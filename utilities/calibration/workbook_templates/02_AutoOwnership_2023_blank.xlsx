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itHub\travel-model-one\utilities\calibration\workbook_templates\"/>
    </mc:Choice>
  </mc:AlternateContent>
  <xr:revisionPtr revIDLastSave="0" documentId="13_ncr:1_{5D245E3F-F611-4129-8011-B56D4B87968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3" r:id="rId1"/>
    <sheet name="calibration" sheetId="5" r:id="rId2"/>
    <sheet name="modeldata" sheetId="4" r:id="rId3"/>
    <sheet name="ACS_1YR_B08201" sheetId="1" r:id="rId4"/>
    <sheet name="County Chart" sheetId="6" r:id="rId5"/>
  </sheets>
  <externalReferences>
    <externalReference r:id="rId6"/>
  </externalReferences>
  <definedNames>
    <definedName name="damp">calibration!$J$1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F8" i="5"/>
  <c r="G8" i="5"/>
  <c r="D8" i="5"/>
  <c r="G14" i="5" l="1"/>
  <c r="F14" i="5"/>
  <c r="E14" i="5"/>
  <c r="D14" i="5"/>
  <c r="G13" i="5"/>
  <c r="F13" i="5"/>
  <c r="E13" i="5"/>
  <c r="D13" i="5"/>
  <c r="G12" i="5"/>
  <c r="F12" i="5"/>
  <c r="E12" i="5"/>
  <c r="D12" i="5"/>
  <c r="G11" i="5"/>
  <c r="F11" i="5"/>
  <c r="E11" i="5"/>
  <c r="D11" i="5"/>
  <c r="G6" i="5"/>
  <c r="F6" i="5"/>
  <c r="E6" i="5"/>
  <c r="D6" i="5"/>
  <c r="G5" i="5"/>
  <c r="F5" i="5"/>
  <c r="E5" i="5"/>
  <c r="D5" i="5"/>
  <c r="N55" i="5" l="1"/>
  <c r="M55" i="5"/>
  <c r="L55" i="5"/>
  <c r="K55" i="5"/>
  <c r="J55" i="5"/>
  <c r="N10" i="5"/>
  <c r="M10" i="5"/>
  <c r="L10" i="5"/>
  <c r="K10" i="5"/>
  <c r="L54" i="5" l="1"/>
  <c r="J54" i="5"/>
  <c r="K54" i="5"/>
  <c r="N54" i="5"/>
  <c r="N56" i="5" s="1"/>
  <c r="J18" i="5"/>
  <c r="M54" i="5"/>
  <c r="L8" i="3"/>
  <c r="M8" i="3"/>
  <c r="N8" i="3"/>
  <c r="O8" i="3"/>
  <c r="L9" i="3"/>
  <c r="M9" i="3"/>
  <c r="N9" i="3"/>
  <c r="O9" i="3"/>
  <c r="L10" i="3"/>
  <c r="M10" i="3"/>
  <c r="N10" i="3"/>
  <c r="O10" i="3"/>
  <c r="L11" i="3"/>
  <c r="M11" i="3"/>
  <c r="N11" i="3"/>
  <c r="O11" i="3"/>
  <c r="L12" i="3"/>
  <c r="M12" i="3"/>
  <c r="N12" i="3"/>
  <c r="O12" i="3"/>
  <c r="L13" i="3"/>
  <c r="M13" i="3"/>
  <c r="N13" i="3"/>
  <c r="O13" i="3"/>
  <c r="L14" i="3"/>
  <c r="M14" i="3"/>
  <c r="N14" i="3"/>
  <c r="O14" i="3"/>
  <c r="L15" i="3"/>
  <c r="M15" i="3"/>
  <c r="N15" i="3"/>
  <c r="O15" i="3"/>
  <c r="L16" i="3"/>
  <c r="M16" i="3"/>
  <c r="N16" i="3"/>
  <c r="O16" i="3"/>
  <c r="K9" i="3"/>
  <c r="K10" i="3"/>
  <c r="K11" i="3"/>
  <c r="K12" i="3"/>
  <c r="K13" i="3"/>
  <c r="K14" i="3"/>
  <c r="K15" i="3"/>
  <c r="K16" i="3"/>
  <c r="K8" i="3"/>
  <c r="K43" i="5"/>
  <c r="L43" i="5"/>
  <c r="M43" i="5"/>
  <c r="N43" i="5"/>
  <c r="J43" i="5"/>
  <c r="K31" i="5"/>
  <c r="L31" i="5"/>
  <c r="M31" i="5"/>
  <c r="N31" i="5"/>
  <c r="J31" i="5"/>
  <c r="K23" i="5"/>
  <c r="L23" i="5"/>
  <c r="M23" i="5"/>
  <c r="N23" i="5"/>
  <c r="K19" i="5"/>
  <c r="L19" i="5"/>
  <c r="M19" i="5"/>
  <c r="N19" i="5"/>
  <c r="J19" i="5"/>
  <c r="L47" i="5"/>
  <c r="M47" i="5"/>
  <c r="N47" i="5"/>
  <c r="K47" i="5"/>
  <c r="L35" i="5"/>
  <c r="M35" i="5"/>
  <c r="N35" i="5"/>
  <c r="K35" i="5"/>
  <c r="K6" i="5"/>
  <c r="L6" i="5"/>
  <c r="M6" i="5"/>
  <c r="N6" i="5"/>
  <c r="J6" i="5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N59" i="5"/>
  <c r="M59" i="5"/>
  <c r="L59" i="5"/>
  <c r="K59" i="5"/>
  <c r="J59" i="5"/>
  <c r="J61" i="5" s="1"/>
  <c r="C21" i="5" s="1"/>
  <c r="J47" i="5"/>
  <c r="J49" i="5" s="1"/>
  <c r="J35" i="5"/>
  <c r="J37" i="5" s="1"/>
  <c r="J23" i="5"/>
  <c r="J25" i="5" s="1"/>
  <c r="J10" i="5"/>
  <c r="J12" i="5" s="1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J42" i="5" l="1"/>
  <c r="L30" i="5"/>
  <c r="N42" i="5"/>
  <c r="N44" i="5" s="1"/>
  <c r="M42" i="5"/>
  <c r="K30" i="5"/>
  <c r="K42" i="5"/>
  <c r="L42" i="5"/>
  <c r="N30" i="5"/>
  <c r="N36" i="5" s="1"/>
  <c r="M30" i="5"/>
  <c r="J30" i="5"/>
  <c r="N18" i="5"/>
  <c r="N24" i="5" s="1"/>
  <c r="K18" i="5"/>
  <c r="L18" i="5"/>
  <c r="M18" i="5"/>
  <c r="M17" i="3"/>
  <c r="P16" i="3"/>
  <c r="P30" i="3" s="1"/>
  <c r="P15" i="3"/>
  <c r="P29" i="3" s="1"/>
  <c r="M56" i="5"/>
  <c r="M57" i="5" s="1"/>
  <c r="L56" i="5"/>
  <c r="L57" i="5" s="1"/>
  <c r="P11" i="3"/>
  <c r="P25" i="3" s="1"/>
  <c r="P10" i="3"/>
  <c r="P24" i="3" s="1"/>
  <c r="P14" i="3"/>
  <c r="P28" i="3" s="1"/>
  <c r="N17" i="3"/>
  <c r="J56" i="5"/>
  <c r="J57" i="5" s="1"/>
  <c r="K56" i="5"/>
  <c r="K57" i="5" s="1"/>
  <c r="O17" i="3"/>
  <c r="H16" i="3"/>
  <c r="H30" i="3" s="1"/>
  <c r="P12" i="3"/>
  <c r="P26" i="3" s="1"/>
  <c r="H12" i="3"/>
  <c r="G26" i="3" s="1"/>
  <c r="P13" i="3"/>
  <c r="P27" i="3" s="1"/>
  <c r="K17" i="3"/>
  <c r="L17" i="3"/>
  <c r="P9" i="3"/>
  <c r="P23" i="3" s="1"/>
  <c r="P8" i="3"/>
  <c r="P22" i="3" s="1"/>
  <c r="H15" i="3"/>
  <c r="D29" i="3" s="1"/>
  <c r="H10" i="3"/>
  <c r="G24" i="3" s="1"/>
  <c r="H13" i="3"/>
  <c r="H27" i="3" s="1"/>
  <c r="H8" i="3"/>
  <c r="G22" i="3" s="1"/>
  <c r="H11" i="3"/>
  <c r="H25" i="3" s="1"/>
  <c r="G17" i="3"/>
  <c r="H9" i="3"/>
  <c r="H23" i="3" s="1"/>
  <c r="H14" i="3"/>
  <c r="C26" i="5"/>
  <c r="C25" i="5"/>
  <c r="C24" i="5"/>
  <c r="D17" i="3"/>
  <c r="E17" i="3"/>
  <c r="C17" i="3"/>
  <c r="F17" i="3"/>
  <c r="N32" i="5" l="1"/>
  <c r="G27" i="3"/>
  <c r="N20" i="5"/>
  <c r="X30" i="3"/>
  <c r="X27" i="3"/>
  <c r="K30" i="3"/>
  <c r="X23" i="3"/>
  <c r="X29" i="3"/>
  <c r="X25" i="3"/>
  <c r="L22" i="3"/>
  <c r="L30" i="3"/>
  <c r="L28" i="3"/>
  <c r="K22" i="3"/>
  <c r="N23" i="3"/>
  <c r="O23" i="3"/>
  <c r="L23" i="3"/>
  <c r="M23" i="3"/>
  <c r="K5" i="5"/>
  <c r="N5" i="5"/>
  <c r="M5" i="5"/>
  <c r="L5" i="5"/>
  <c r="J5" i="5"/>
  <c r="O27" i="3"/>
  <c r="N24" i="3"/>
  <c r="K27" i="3"/>
  <c r="M29" i="3"/>
  <c r="N29" i="3"/>
  <c r="O24" i="3"/>
  <c r="L25" i="3"/>
  <c r="M27" i="3"/>
  <c r="O29" i="3"/>
  <c r="K29" i="3"/>
  <c r="M25" i="3"/>
  <c r="L29" i="3"/>
  <c r="L27" i="3"/>
  <c r="O22" i="3"/>
  <c r="M30" i="3"/>
  <c r="O30" i="3"/>
  <c r="M28" i="3"/>
  <c r="N28" i="3"/>
  <c r="K25" i="3"/>
  <c r="O26" i="3"/>
  <c r="N25" i="3"/>
  <c r="N26" i="3"/>
  <c r="L26" i="3"/>
  <c r="N30" i="3"/>
  <c r="K26" i="3"/>
  <c r="K23" i="3"/>
  <c r="F24" i="3"/>
  <c r="L24" i="3"/>
  <c r="C25" i="3"/>
  <c r="K28" i="3"/>
  <c r="M24" i="3"/>
  <c r="M26" i="3"/>
  <c r="O25" i="3"/>
  <c r="M22" i="3"/>
  <c r="N22" i="3"/>
  <c r="O28" i="3"/>
  <c r="E24" i="3"/>
  <c r="N27" i="3"/>
  <c r="K24" i="3"/>
  <c r="N57" i="5"/>
  <c r="P17" i="3"/>
  <c r="P31" i="3" s="1"/>
  <c r="H26" i="3"/>
  <c r="X26" i="3" s="1"/>
  <c r="G28" i="3"/>
  <c r="G29" i="3"/>
  <c r="C29" i="3"/>
  <c r="G23" i="3"/>
  <c r="E26" i="3"/>
  <c r="G25" i="3"/>
  <c r="D26" i="3"/>
  <c r="G30" i="3"/>
  <c r="E27" i="3"/>
  <c r="H29" i="3"/>
  <c r="C26" i="3"/>
  <c r="D25" i="3"/>
  <c r="F25" i="3"/>
  <c r="E25" i="3"/>
  <c r="F28" i="3"/>
  <c r="K32" i="5"/>
  <c r="K33" i="5" s="1"/>
  <c r="C28" i="3"/>
  <c r="H17" i="3"/>
  <c r="E28" i="3"/>
  <c r="D28" i="3"/>
  <c r="H28" i="3"/>
  <c r="X28" i="3" s="1"/>
  <c r="L32" i="5"/>
  <c r="L33" i="5" s="1"/>
  <c r="M32" i="5"/>
  <c r="M33" i="5" s="1"/>
  <c r="J32" i="5"/>
  <c r="J33" i="5" s="1"/>
  <c r="F29" i="3"/>
  <c r="D24" i="3"/>
  <c r="E29" i="3"/>
  <c r="F27" i="3"/>
  <c r="E30" i="3"/>
  <c r="L44" i="5" s="1"/>
  <c r="L45" i="5" s="1"/>
  <c r="H24" i="3"/>
  <c r="X24" i="3" s="1"/>
  <c r="D30" i="3"/>
  <c r="K44" i="5" s="1"/>
  <c r="K45" i="5" s="1"/>
  <c r="C24" i="3"/>
  <c r="F30" i="3"/>
  <c r="M44" i="5" s="1"/>
  <c r="M45" i="5" s="1"/>
  <c r="C30" i="3"/>
  <c r="H22" i="3"/>
  <c r="X22" i="3" s="1"/>
  <c r="F23" i="3"/>
  <c r="E22" i="3"/>
  <c r="L20" i="5" s="1"/>
  <c r="L21" i="5" s="1"/>
  <c r="E23" i="3"/>
  <c r="F22" i="3"/>
  <c r="M20" i="5" s="1"/>
  <c r="M21" i="5" s="1"/>
  <c r="D23" i="3"/>
  <c r="C22" i="3"/>
  <c r="J20" i="5" s="1"/>
  <c r="D27" i="3"/>
  <c r="D22" i="3"/>
  <c r="K20" i="5" s="1"/>
  <c r="K21" i="5" s="1"/>
  <c r="F26" i="3"/>
  <c r="C27" i="3"/>
  <c r="C23" i="3"/>
  <c r="T25" i="3" l="1"/>
  <c r="V26" i="3"/>
  <c r="U29" i="3"/>
  <c r="V28" i="3"/>
  <c r="S24" i="3"/>
  <c r="V27" i="3"/>
  <c r="W30" i="3"/>
  <c r="S23" i="3"/>
  <c r="S26" i="3"/>
  <c r="V30" i="3"/>
  <c r="T26" i="3"/>
  <c r="V24" i="3"/>
  <c r="U28" i="3"/>
  <c r="W24" i="3"/>
  <c r="S25" i="3"/>
  <c r="U24" i="3"/>
  <c r="V29" i="3"/>
  <c r="S27" i="3"/>
  <c r="V25" i="3"/>
  <c r="S30" i="3"/>
  <c r="U30" i="3"/>
  <c r="U22" i="3"/>
  <c r="U23" i="3"/>
  <c r="W25" i="3"/>
  <c r="T23" i="3"/>
  <c r="U26" i="3"/>
  <c r="T29" i="3"/>
  <c r="W23" i="3"/>
  <c r="S29" i="3"/>
  <c r="S22" i="3"/>
  <c r="W26" i="3"/>
  <c r="W28" i="3"/>
  <c r="V22" i="3"/>
  <c r="W22" i="3"/>
  <c r="U25" i="3"/>
  <c r="W29" i="3"/>
  <c r="T28" i="3"/>
  <c r="T22" i="3"/>
  <c r="W27" i="3"/>
  <c r="T27" i="3"/>
  <c r="V23" i="3"/>
  <c r="S28" i="3"/>
  <c r="T24" i="3"/>
  <c r="U27" i="3"/>
  <c r="T30" i="3"/>
  <c r="O31" i="3"/>
  <c r="K31" i="3"/>
  <c r="M31" i="3"/>
  <c r="L31" i="3"/>
  <c r="N31" i="3"/>
  <c r="N33" i="5"/>
  <c r="J21" i="5"/>
  <c r="N21" i="5"/>
  <c r="J44" i="5"/>
  <c r="F31" i="3"/>
  <c r="M7" i="5" s="1"/>
  <c r="M8" i="5" s="1"/>
  <c r="G31" i="3"/>
  <c r="C31" i="3"/>
  <c r="H31" i="3"/>
  <c r="X31" i="3" s="1"/>
  <c r="D31" i="3"/>
  <c r="E31" i="3"/>
  <c r="V31" i="3" l="1"/>
  <c r="W31" i="3"/>
  <c r="T31" i="3"/>
  <c r="U31" i="3"/>
  <c r="S31" i="3"/>
  <c r="N7" i="5"/>
  <c r="N8" i="5" s="1"/>
  <c r="J45" i="5"/>
  <c r="N45" i="5"/>
  <c r="L7" i="5"/>
  <c r="L8" i="5" s="1"/>
  <c r="L11" i="5"/>
  <c r="L60" i="5" s="1"/>
  <c r="K7" i="5"/>
  <c r="K8" i="5" s="1"/>
  <c r="K11" i="5"/>
  <c r="K60" i="5" s="1"/>
  <c r="N11" i="5"/>
  <c r="N60" i="5" s="1"/>
  <c r="N61" i="5" s="1"/>
  <c r="G21" i="5" s="1"/>
  <c r="J7" i="5"/>
  <c r="J8" i="5" s="1"/>
  <c r="M11" i="5"/>
  <c r="M60" i="5" s="1"/>
  <c r="N12" i="5" l="1"/>
  <c r="G18" i="5" s="1"/>
  <c r="N48" i="5"/>
  <c r="N49" i="5" s="1"/>
  <c r="G27" i="5" s="1"/>
  <c r="M48" i="5"/>
  <c r="M49" i="5" s="1"/>
  <c r="F27" i="5" s="1"/>
  <c r="M61" i="5"/>
  <c r="F21" i="5" s="1"/>
  <c r="M12" i="5"/>
  <c r="F18" i="5" s="1"/>
  <c r="M24" i="5"/>
  <c r="M36" i="5"/>
  <c r="K24" i="5"/>
  <c r="K25" i="5" s="1"/>
  <c r="D19" i="5" s="1"/>
  <c r="K48" i="5"/>
  <c r="K49" i="5" s="1"/>
  <c r="D27" i="5" s="1"/>
  <c r="K61" i="5"/>
  <c r="D21" i="5" s="1"/>
  <c r="K12" i="5"/>
  <c r="D18" i="5" s="1"/>
  <c r="K36" i="5"/>
  <c r="K37" i="5" s="1"/>
  <c r="L24" i="5"/>
  <c r="L25" i="5" s="1"/>
  <c r="E19" i="5" s="1"/>
  <c r="L61" i="5"/>
  <c r="E21" i="5" s="1"/>
  <c r="L12" i="5"/>
  <c r="E18" i="5" s="1"/>
  <c r="L36" i="5"/>
  <c r="L37" i="5" s="1"/>
  <c r="L48" i="5"/>
  <c r="L49" i="5" s="1"/>
  <c r="E27" i="5" s="1"/>
  <c r="D26" i="5" l="1"/>
  <c r="D25" i="5"/>
  <c r="D24" i="5"/>
  <c r="E24" i="5"/>
  <c r="E26" i="5"/>
  <c r="E25" i="5"/>
  <c r="N37" i="5"/>
  <c r="M37" i="5"/>
  <c r="N25" i="5"/>
  <c r="G19" i="5" s="1"/>
  <c r="M25" i="5"/>
  <c r="F19" i="5" s="1"/>
  <c r="G25" i="5" l="1"/>
  <c r="G26" i="5"/>
  <c r="G24" i="5"/>
  <c r="F26" i="5"/>
  <c r="F24" i="5"/>
  <c r="F25" i="5"/>
</calcChain>
</file>

<file path=xl/sharedStrings.xml><?xml version="1.0" encoding="utf-8"?>
<sst xmlns="http://schemas.openxmlformats.org/spreadsheetml/2006/main" count="330" uniqueCount="191">
  <si>
    <t>Geography</t>
  </si>
  <si>
    <t>0500000US06001</t>
  </si>
  <si>
    <t>Alameda County, California</t>
  </si>
  <si>
    <t>0500000US06013</t>
  </si>
  <si>
    <t>Contra Costa County, California</t>
  </si>
  <si>
    <t>0500000US06041</t>
  </si>
  <si>
    <t>Marin County, California</t>
  </si>
  <si>
    <t>0500000US06055</t>
  </si>
  <si>
    <t>Napa County, California</t>
  </si>
  <si>
    <t>0500000US06075</t>
  </si>
  <si>
    <t>San Francisco County, California</t>
  </si>
  <si>
    <t>0500000US06081</t>
  </si>
  <si>
    <t>San Mateo County, California</t>
  </si>
  <si>
    <t>0500000US06085</t>
  </si>
  <si>
    <t>Santa Clara County, California</t>
  </si>
  <si>
    <t>0500000US06095</t>
  </si>
  <si>
    <t>Solano County, California</t>
  </si>
  <si>
    <t>0500000US06097</t>
  </si>
  <si>
    <t>Sonoma County, California</t>
  </si>
  <si>
    <t>San Francisco</t>
  </si>
  <si>
    <t>San Mateo</t>
  </si>
  <si>
    <t>Santa Clara</t>
  </si>
  <si>
    <t>Alameda</t>
  </si>
  <si>
    <t>Contra Costa</t>
  </si>
  <si>
    <t>Solano</t>
  </si>
  <si>
    <t>Napa</t>
  </si>
  <si>
    <t>Sonoma</t>
  </si>
  <si>
    <t>Marin</t>
  </si>
  <si>
    <t>Total</t>
  </si>
  <si>
    <t>County</t>
  </si>
  <si>
    <t>Number of Vehicles</t>
  </si>
  <si>
    <t>COUNTY</t>
  </si>
  <si>
    <t>county_name</t>
  </si>
  <si>
    <t>Old Constants</t>
  </si>
  <si>
    <t>0_car</t>
  </si>
  <si>
    <t>1_car</t>
  </si>
  <si>
    <t>2_cars</t>
  </si>
  <si>
    <t>3_cars</t>
  </si>
  <si>
    <t>4+_cars</t>
  </si>
  <si>
    <t>Constant</t>
  </si>
  <si>
    <t>Observed Share</t>
  </si>
  <si>
    <t>San Francisco county</t>
  </si>
  <si>
    <t>Modeled Share</t>
  </si>
  <si>
    <t>San Mateo county</t>
  </si>
  <si>
    <t>Difference</t>
  </si>
  <si>
    <t>Santa Clara county</t>
  </si>
  <si>
    <t>% Difference</t>
  </si>
  <si>
    <t>Alameda county</t>
  </si>
  <si>
    <t>Contra Costa county</t>
  </si>
  <si>
    <t>Solano county</t>
  </si>
  <si>
    <t>Napa county</t>
  </si>
  <si>
    <t>Sonoma county</t>
  </si>
  <si>
    <t>Marin county</t>
  </si>
  <si>
    <t>Change</t>
  </si>
  <si>
    <t>New Constants</t>
  </si>
  <si>
    <t>Sonoma + Napa + Solano</t>
  </si>
  <si>
    <t>4+</t>
  </si>
  <si>
    <t>Dampening</t>
  </si>
  <si>
    <t>Existing Constant</t>
  </si>
  <si>
    <t>New Constant</t>
  </si>
  <si>
    <t>Model Share minus Observed Share</t>
  </si>
  <si>
    <t>Source:</t>
  </si>
  <si>
    <t>GEO_ID</t>
  </si>
  <si>
    <t>NAME</t>
  </si>
  <si>
    <t>B08201_001E</t>
  </si>
  <si>
    <t>B08201_001M</t>
  </si>
  <si>
    <t>B08201_002E</t>
  </si>
  <si>
    <t>B08201_002M</t>
  </si>
  <si>
    <t>B08201_003E</t>
  </si>
  <si>
    <t>B08201_003M</t>
  </si>
  <si>
    <t>B08201_004E</t>
  </si>
  <si>
    <t>B08201_004M</t>
  </si>
  <si>
    <t>B08201_005E</t>
  </si>
  <si>
    <t>B08201_005M</t>
  </si>
  <si>
    <t>B08201_006E</t>
  </si>
  <si>
    <t>B08201_006M</t>
  </si>
  <si>
    <t>B08201_007E</t>
  </si>
  <si>
    <t>B08201_007M</t>
  </si>
  <si>
    <t>B08201_008E</t>
  </si>
  <si>
    <t>B08201_008M</t>
  </si>
  <si>
    <t>B08201_009E</t>
  </si>
  <si>
    <t>B08201_009M</t>
  </si>
  <si>
    <t>B08201_010E</t>
  </si>
  <si>
    <t>B08201_010M</t>
  </si>
  <si>
    <t>B08201_011E</t>
  </si>
  <si>
    <t>B08201_011M</t>
  </si>
  <si>
    <t>B08201_012E</t>
  </si>
  <si>
    <t>B08201_012M</t>
  </si>
  <si>
    <t>B08201_013E</t>
  </si>
  <si>
    <t>B08201_013M</t>
  </si>
  <si>
    <t>B08201_014E</t>
  </si>
  <si>
    <t>B08201_014M</t>
  </si>
  <si>
    <t>B08201_015E</t>
  </si>
  <si>
    <t>B08201_015M</t>
  </si>
  <si>
    <t>B08201_016E</t>
  </si>
  <si>
    <t>B08201_016M</t>
  </si>
  <si>
    <t>B08201_017E</t>
  </si>
  <si>
    <t>B08201_017M</t>
  </si>
  <si>
    <t>B08201_018E</t>
  </si>
  <si>
    <t>B08201_018M</t>
  </si>
  <si>
    <t>B08201_019E</t>
  </si>
  <si>
    <t>B08201_019M</t>
  </si>
  <si>
    <t>B08201_020E</t>
  </si>
  <si>
    <t>B08201_020M</t>
  </si>
  <si>
    <t>B08201_021E</t>
  </si>
  <si>
    <t>B08201_021M</t>
  </si>
  <si>
    <t>B08201_022E</t>
  </si>
  <si>
    <t>B08201_022M</t>
  </si>
  <si>
    <t>B08201_023E</t>
  </si>
  <si>
    <t>B08201_023M</t>
  </si>
  <si>
    <t>B08201_024E</t>
  </si>
  <si>
    <t>B08201_024M</t>
  </si>
  <si>
    <t>B08201_025E</t>
  </si>
  <si>
    <t>B08201_025M</t>
  </si>
  <si>
    <t>B08201_026E</t>
  </si>
  <si>
    <t>B08201_026M</t>
  </si>
  <si>
    <t>B08201_027E</t>
  </si>
  <si>
    <t>B08201_027M</t>
  </si>
  <si>
    <t>B08201_028E</t>
  </si>
  <si>
    <t>B08201_028M</t>
  </si>
  <si>
    <t>B08201_029E</t>
  </si>
  <si>
    <t>B08201_029M</t>
  </si>
  <si>
    <t>B08201_030E</t>
  </si>
  <si>
    <t>B08201_030M</t>
  </si>
  <si>
    <t>Geographic Area Name</t>
  </si>
  <si>
    <t>Estimate!!Total:</t>
  </si>
  <si>
    <t>Margin of Error!!Total:</t>
  </si>
  <si>
    <t>Estimate!!Total:!!No vehicle available</t>
  </si>
  <si>
    <t>Margin of Error!!Total:!!No vehicle available</t>
  </si>
  <si>
    <t>Estimate!!Total:!!1 vehicle available</t>
  </si>
  <si>
    <t>Margin of Error!!Total:!!1 vehicle available</t>
  </si>
  <si>
    <t>Estimate!!Total:!!2 vehicles available</t>
  </si>
  <si>
    <t>Margin of Error!!Total:!!2 vehicles available</t>
  </si>
  <si>
    <t>Estimate!!Total:!!3 vehicles available</t>
  </si>
  <si>
    <t>Margin of Error!!Total:!!3 vehicles available</t>
  </si>
  <si>
    <t>Estimate!!Total:!!4 or more vehicles available</t>
  </si>
  <si>
    <t>Margin of Error!!Total:!!4 or more vehicles available</t>
  </si>
  <si>
    <t>Estimate!!Total:!!1-person household:</t>
  </si>
  <si>
    <t>Margin of Error!!Total:!!1-person household:</t>
  </si>
  <si>
    <t>Estimate!!Total:!!1-person household:!!No vehicle available</t>
  </si>
  <si>
    <t>Margin of Error!!Total:!!1-person household:!!No vehicle available</t>
  </si>
  <si>
    <t>Estimate!!Total:!!1-person household:!!1 vehicle available</t>
  </si>
  <si>
    <t>Margin of Error!!Total:!!1-person household:!!1 vehicle available</t>
  </si>
  <si>
    <t>Estimate!!Total:!!1-person household:!!2 vehicles available</t>
  </si>
  <si>
    <t>Margin of Error!!Total:!!1-person household:!!2 vehicles available</t>
  </si>
  <si>
    <t>Estimate!!Total:!!1-person household:!!3 vehicles available</t>
  </si>
  <si>
    <t>Margin of Error!!Total:!!1-person household:!!3 vehicles available</t>
  </si>
  <si>
    <t>Estimate!!Total:!!1-person household:!!4 or more vehicles available</t>
  </si>
  <si>
    <t>Margin of Error!!Total:!!1-person household:!!4 or more vehicles available</t>
  </si>
  <si>
    <t>Estimate!!Total:!!2-person household:</t>
  </si>
  <si>
    <t>Margin of Error!!Total:!!2-person household:</t>
  </si>
  <si>
    <t>Estimate!!Total:!!2-person household:!!No vehicle available</t>
  </si>
  <si>
    <t>Margin of Error!!Total:!!2-person household:!!No vehicle available</t>
  </si>
  <si>
    <t>Estimate!!Total:!!2-person household:!!1 vehicle available</t>
  </si>
  <si>
    <t>Margin of Error!!Total:!!2-person household:!!1 vehicle available</t>
  </si>
  <si>
    <t>Estimate!!Total:!!2-person household:!!2 vehicles available</t>
  </si>
  <si>
    <t>Margin of Error!!Total:!!2-person household:!!2 vehicles available</t>
  </si>
  <si>
    <t>Estimate!!Total:!!2-person household:!!3 vehicles available</t>
  </si>
  <si>
    <t>Margin of Error!!Total:!!2-person household:!!3 vehicles available</t>
  </si>
  <si>
    <t>Estimate!!Total:!!2-person household:!!4 or more vehicles available</t>
  </si>
  <si>
    <t>Margin of Error!!Total:!!2-person household:!!4 or more vehicles available</t>
  </si>
  <si>
    <t>Estimate!!Total:!!3-person household:</t>
  </si>
  <si>
    <t>Margin of Error!!Total:!!3-person household:</t>
  </si>
  <si>
    <t>Estimate!!Total:!!3-person household:!!No vehicle available</t>
  </si>
  <si>
    <t>Margin of Error!!Total:!!3-person household:!!No vehicle available</t>
  </si>
  <si>
    <t>Estimate!!Total:!!3-person household:!!1 vehicle available</t>
  </si>
  <si>
    <t>Margin of Error!!Total:!!3-person household:!!1 vehicle available</t>
  </si>
  <si>
    <t>Estimate!!Total:!!3-person household:!!2 vehicles available</t>
  </si>
  <si>
    <t>Margin of Error!!Total:!!3-person household:!!2 vehicles available</t>
  </si>
  <si>
    <t>Estimate!!Total:!!3-person household:!!3 vehicles available</t>
  </si>
  <si>
    <t>Margin of Error!!Total:!!3-person household:!!3 vehicles available</t>
  </si>
  <si>
    <t>Estimate!!Total:!!3-person household:!!4 or more vehicles available</t>
  </si>
  <si>
    <t>Margin of Error!!Total:!!3-person household:!!4 or more vehicles available</t>
  </si>
  <si>
    <t>Estimate!!Total:!!4-or-more-person household:</t>
  </si>
  <si>
    <t>Margin of Error!!Total:!!4-or-more-person household:</t>
  </si>
  <si>
    <t>Estimate!!Total:!!4-or-more-person household:!!No vehicle available</t>
  </si>
  <si>
    <t>Margin of Error!!Total:!!4-or-more-person household:!!No vehicle available</t>
  </si>
  <si>
    <t>Estimate!!Total:!!4-or-more-person household:!!1 vehicle available</t>
  </si>
  <si>
    <t>Margin of Error!!Total:!!4-or-more-person household:!!1 vehicle available</t>
  </si>
  <si>
    <t>Estimate!!Total:!!4-or-more-person household:!!2 vehicles available</t>
  </si>
  <si>
    <t>Margin of Error!!Total:!!4-or-more-person household:!!2 vehicles available</t>
  </si>
  <si>
    <t>Estimate!!Total:!!4-or-more-person household:!!3 vehicles available</t>
  </si>
  <si>
    <t>Margin of Error!!Total:!!4-or-more-person household:!!3 vehicles available</t>
  </si>
  <si>
    <t>Estimate!!Total:!!4-or-more-person household:!!4 or more vehicles available</t>
  </si>
  <si>
    <t>Margin of Error!!Total:!!4-or-more-person household:!!4 or more vehicles available</t>
  </si>
  <si>
    <t>STATE_COUNTY</t>
  </si>
  <si>
    <t>State County</t>
  </si>
  <si>
    <t>Download at https://api.census.gov/data/2023/acs/acs1?get=group(B08201)&amp;ucgid=0500000US06001,0500000US06013,0500000US06041,0500000US06055,0500000US06075,0500000US06081,0500000US06085,0500000US06095,0500000US06097</t>
  </si>
  <si>
    <t>Source: ACSDT1Y2023.B08201.zip\ACSDT1Y2023.B08201-DATA.csv</t>
  </si>
  <si>
    <t>ACS 2023, Table B08201: Household Size by Vehicles Available (Universe, Households)</t>
  </si>
  <si>
    <t>2023 Model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</si>
</sst>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%_);[Red]_(* \-#,##0.0%_);_(* &quot;-&quot;??_);_(@_)"/>
    <numFmt numFmtId="167" formatCode="0.0000;[Red]\-0.0000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sz val="10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/>
    <xf numFmtId="0" fontId="20" fillId="0" borderId="10" xfId="0" applyFont="1" applyBorder="1"/>
    <xf numFmtId="0" fontId="21" fillId="0" borderId="11" xfId="0" applyFont="1" applyBorder="1" applyAlignment="1">
      <alignment horizontal="right"/>
    </xf>
    <xf numFmtId="0" fontId="21" fillId="0" borderId="0" xfId="0" applyFont="1"/>
    <xf numFmtId="0" fontId="21" fillId="0" borderId="12" xfId="0" applyFont="1" applyBorder="1"/>
    <xf numFmtId="3" fontId="18" fillId="0" borderId="0" xfId="0" applyNumberFormat="1" applyFont="1"/>
    <xf numFmtId="3" fontId="18" fillId="0" borderId="12" xfId="0" applyNumberFormat="1" applyFont="1" applyBorder="1"/>
    <xf numFmtId="165" fontId="18" fillId="0" borderId="0" xfId="1" applyNumberFormat="1" applyFont="1"/>
    <xf numFmtId="164" fontId="18" fillId="0" borderId="0" xfId="2" applyNumberFormat="1" applyFont="1"/>
    <xf numFmtId="164" fontId="18" fillId="0" borderId="12" xfId="2" applyNumberFormat="1" applyFont="1" applyBorder="1"/>
    <xf numFmtId="0" fontId="20" fillId="0" borderId="0" xfId="0" applyFont="1"/>
    <xf numFmtId="166" fontId="22" fillId="0" borderId="0" xfId="1" applyNumberFormat="1" applyFont="1"/>
    <xf numFmtId="0" fontId="22" fillId="0" borderId="0" xfId="0" applyFont="1"/>
    <xf numFmtId="166" fontId="22" fillId="0" borderId="12" xfId="1" applyNumberFormat="1" applyFont="1" applyBorder="1"/>
    <xf numFmtId="0" fontId="18" fillId="0" borderId="12" xfId="0" applyFont="1" applyBorder="1" applyAlignment="1">
      <alignment horizontal="right"/>
    </xf>
    <xf numFmtId="0" fontId="18" fillId="0" borderId="12" xfId="0" applyFont="1" applyBorder="1"/>
    <xf numFmtId="0" fontId="18" fillId="0" borderId="0" xfId="0" applyFont="1" applyAlignment="1">
      <alignment horizontal="right"/>
    </xf>
    <xf numFmtId="167" fontId="18" fillId="0" borderId="0" xfId="0" applyNumberFormat="1" applyFont="1"/>
    <xf numFmtId="167" fontId="18" fillId="0" borderId="12" xfId="0" applyNumberFormat="1" applyFont="1" applyBorder="1"/>
    <xf numFmtId="0" fontId="18" fillId="0" borderId="13" xfId="0" applyFont="1" applyBorder="1"/>
    <xf numFmtId="167" fontId="18" fillId="0" borderId="13" xfId="0" applyNumberFormat="1" applyFont="1" applyBorder="1"/>
    <xf numFmtId="1" fontId="18" fillId="0" borderId="0" xfId="0" applyNumberFormat="1" applyFont="1" applyAlignment="1">
      <alignment horizontal="right"/>
    </xf>
    <xf numFmtId="1" fontId="18" fillId="0" borderId="13" xfId="0" applyNumberFormat="1" applyFont="1" applyBorder="1"/>
    <xf numFmtId="1" fontId="18" fillId="0" borderId="12" xfId="0" applyNumberFormat="1" applyFont="1" applyBorder="1" applyAlignment="1">
      <alignment horizontal="right"/>
    </xf>
    <xf numFmtId="0" fontId="23" fillId="0" borderId="0" xfId="0" applyFont="1"/>
    <xf numFmtId="3" fontId="18" fillId="0" borderId="13" xfId="0" applyNumberFormat="1" applyFont="1" applyBorder="1"/>
    <xf numFmtId="0" fontId="22" fillId="0" borderId="13" xfId="0" applyFont="1" applyBorder="1"/>
    <xf numFmtId="0" fontId="22" fillId="0" borderId="0" xfId="0" applyFont="1" applyAlignment="1">
      <alignment horizontal="left"/>
    </xf>
    <xf numFmtId="0" fontId="22" fillId="0" borderId="12" xfId="0" applyFont="1" applyBorder="1"/>
    <xf numFmtId="2" fontId="18" fillId="33" borderId="0" xfId="0" applyNumberFormat="1" applyFont="1" applyFill="1"/>
    <xf numFmtId="168" fontId="22" fillId="0" borderId="0" xfId="0" applyNumberFormat="1" applyFont="1" applyAlignment="1">
      <alignment horizontal="right" vertical="center"/>
    </xf>
    <xf numFmtId="168" fontId="22" fillId="0" borderId="12" xfId="0" applyNumberFormat="1" applyFont="1" applyBorder="1" applyAlignment="1">
      <alignment horizontal="right" vertical="center"/>
    </xf>
    <xf numFmtId="0" fontId="24" fillId="0" borderId="0" xfId="0" applyFont="1"/>
    <xf numFmtId="164" fontId="18" fillId="0" borderId="13" xfId="0" applyNumberFormat="1" applyFont="1" applyBorder="1"/>
    <xf numFmtId="164" fontId="18" fillId="0" borderId="0" xfId="0" applyNumberFormat="1" applyFont="1"/>
    <xf numFmtId="164" fontId="18" fillId="0" borderId="12" xfId="0" applyNumberFormat="1" applyFont="1" applyBorder="1"/>
    <xf numFmtId="164" fontId="18" fillId="0" borderId="0" xfId="1" applyNumberFormat="1" applyFont="1"/>
    <xf numFmtId="0" fontId="20" fillId="0" borderId="10" xfId="0" applyFont="1" applyBorder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2">
    <dxf>
      <font>
        <color theme="6" tint="-0.24994659260841701"/>
      </font>
    </dxf>
    <dxf>
      <font>
        <color theme="5"/>
      </font>
    </dxf>
    <dxf>
      <font>
        <color theme="6" tint="-0.24994659260841701"/>
      </font>
    </dxf>
    <dxf>
      <font>
        <color theme="5"/>
      </font>
    </dxf>
    <dxf>
      <font>
        <color theme="6" tint="-0.24994659260841701"/>
      </font>
    </dxf>
    <dxf>
      <font>
        <color theme="5"/>
      </font>
    </dxf>
    <dxf>
      <font>
        <color theme="6" tint="-0.24994659260841701"/>
      </font>
    </dxf>
    <dxf>
      <font>
        <color theme="5"/>
      </font>
    </dxf>
    <dxf>
      <font>
        <color theme="6" tint="-0.24994659260841701"/>
      </font>
    </dxf>
    <dxf>
      <font>
        <color theme="5"/>
      </font>
    </dxf>
    <dxf>
      <font>
        <color theme="6" tint="-0.24994659260841701"/>
      </font>
    </dxf>
    <dxf>
      <font>
        <color theme="5"/>
      </font>
    </dxf>
  </dxfs>
  <tableStyles count="0" defaultTableStyle="TableStyleMedium2" defaultPivotStyle="PivotStyleLight16"/>
  <colors>
    <mruColors>
      <color rgb="FFFCF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chartsheet" Target="chartsheets/sheet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Automobile Ownership by County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160075405074147E-2"/>
          <c:y val="7.4725745063474597E-2"/>
          <c:w val="0.80403413920720523"/>
          <c:h val="0.8284201278502652"/>
        </c:manualLayout>
      </c:layout>
      <c:barChart>
        <c:barDir val="col"/>
        <c:grouping val="percentStacked"/>
        <c:varyColors val="0"/>
        <c:ser>
          <c:idx val="0"/>
          <c:order val="0"/>
          <c:tx>
            <c:v>0 Observed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summary!$B$8:$B$16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summary!$C$8:$C$16</c:f>
              <c:numCache>
                <c:formatCode>#,##0</c:formatCode>
                <c:ptCount val="9"/>
                <c:pt idx="0">
                  <c:v>115112</c:v>
                </c:pt>
                <c:pt idx="1">
                  <c:v>13792</c:v>
                </c:pt>
                <c:pt idx="2">
                  <c:v>39177</c:v>
                </c:pt>
                <c:pt idx="3">
                  <c:v>66589</c:v>
                </c:pt>
                <c:pt idx="4">
                  <c:v>20544</c:v>
                </c:pt>
                <c:pt idx="5">
                  <c:v>8484</c:v>
                </c:pt>
                <c:pt idx="6">
                  <c:v>2839</c:v>
                </c:pt>
                <c:pt idx="7">
                  <c:v>8223</c:v>
                </c:pt>
                <c:pt idx="8">
                  <c:v>4136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A-4728-9028-9589C23449DF}"/>
            </c:ext>
          </c:extLst>
        </c:ser>
        <c:ser>
          <c:idx val="1"/>
          <c:order val="1"/>
          <c:tx>
            <c:v>1 Observed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summary!$B$8:$B$16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summary!$D$8:$D$16</c:f>
              <c:numCache>
                <c:formatCode>#,##0</c:formatCode>
                <c:ptCount val="9"/>
                <c:pt idx="0">
                  <c:v>163438</c:v>
                </c:pt>
                <c:pt idx="1">
                  <c:v>87455</c:v>
                </c:pt>
                <c:pt idx="2">
                  <c:v>217368</c:v>
                </c:pt>
                <c:pt idx="3">
                  <c:v>209193</c:v>
                </c:pt>
                <c:pt idx="4">
                  <c:v>122178</c:v>
                </c:pt>
                <c:pt idx="5">
                  <c:v>41211</c:v>
                </c:pt>
                <c:pt idx="6">
                  <c:v>13612</c:v>
                </c:pt>
                <c:pt idx="7">
                  <c:v>58846</c:v>
                </c:pt>
                <c:pt idx="8">
                  <c:v>32863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A-4728-9028-9589C23449DF}"/>
            </c:ext>
          </c:extLst>
        </c:ser>
        <c:ser>
          <c:idx val="2"/>
          <c:order val="2"/>
          <c:tx>
            <c:v>2 Observed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summary!$B$8:$B$16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summary!$E$8:$E$16</c:f>
              <c:numCache>
                <c:formatCode>#,##0</c:formatCode>
                <c:ptCount val="9"/>
                <c:pt idx="0">
                  <c:v>70754</c:v>
                </c:pt>
                <c:pt idx="1">
                  <c:v>100042</c:v>
                </c:pt>
                <c:pt idx="2">
                  <c:v>250244</c:v>
                </c:pt>
                <c:pt idx="3">
                  <c:v>208803</c:v>
                </c:pt>
                <c:pt idx="4">
                  <c:v>156754</c:v>
                </c:pt>
                <c:pt idx="5">
                  <c:v>57659</c:v>
                </c:pt>
                <c:pt idx="6">
                  <c:v>20390</c:v>
                </c:pt>
                <c:pt idx="7">
                  <c:v>72836</c:v>
                </c:pt>
                <c:pt idx="8">
                  <c:v>43411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A-4728-9028-9589C23449DF}"/>
            </c:ext>
          </c:extLst>
        </c:ser>
        <c:ser>
          <c:idx val="3"/>
          <c:order val="3"/>
          <c:tx>
            <c:v>3 Observed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summary!$B$8:$B$16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summary!$F$8:$F$16</c:f>
              <c:numCache>
                <c:formatCode>#,##0</c:formatCode>
                <c:ptCount val="9"/>
                <c:pt idx="0">
                  <c:v>14842</c:v>
                </c:pt>
                <c:pt idx="1">
                  <c:v>41492</c:v>
                </c:pt>
                <c:pt idx="2">
                  <c:v>99869</c:v>
                </c:pt>
                <c:pt idx="3">
                  <c:v>78038</c:v>
                </c:pt>
                <c:pt idx="4">
                  <c:v>72177</c:v>
                </c:pt>
                <c:pt idx="5">
                  <c:v>29578</c:v>
                </c:pt>
                <c:pt idx="6">
                  <c:v>8406</c:v>
                </c:pt>
                <c:pt idx="7">
                  <c:v>33514</c:v>
                </c:pt>
                <c:pt idx="8">
                  <c:v>16097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A-4728-9028-9589C23449DF}"/>
            </c:ext>
          </c:extLst>
        </c:ser>
        <c:ser>
          <c:idx val="4"/>
          <c:order val="4"/>
          <c:tx>
            <c:v>4+ Observed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summary!$B$8:$B$16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summary!$G$8:$G$16</c:f>
              <c:numCache>
                <c:formatCode>#,##0</c:formatCode>
                <c:ptCount val="9"/>
                <c:pt idx="0">
                  <c:v>7881</c:v>
                </c:pt>
                <c:pt idx="1">
                  <c:v>22343</c:v>
                </c:pt>
                <c:pt idx="2">
                  <c:v>58891</c:v>
                </c:pt>
                <c:pt idx="3">
                  <c:v>45911</c:v>
                </c:pt>
                <c:pt idx="4">
                  <c:v>44519</c:v>
                </c:pt>
                <c:pt idx="5">
                  <c:v>20834</c:v>
                </c:pt>
                <c:pt idx="6">
                  <c:v>5920</c:v>
                </c:pt>
                <c:pt idx="7">
                  <c:v>19346</c:v>
                </c:pt>
                <c:pt idx="8">
                  <c:v>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A-4728-9028-9589C2344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overlap val="100"/>
        <c:axId val="-434875320"/>
        <c:axId val="-434874536"/>
      </c:barChart>
      <c:barChart>
        <c:barDir val="col"/>
        <c:grouping val="percentStacked"/>
        <c:varyColors val="0"/>
        <c:ser>
          <c:idx val="5"/>
          <c:order val="5"/>
          <c:tx>
            <c:v>0 Modeled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summary!$J$8:$J$16</c:f>
              <c:strCache>
                <c:ptCount val="9"/>
                <c:pt idx="0">
                  <c:v>San Francisco</c:v>
                </c:pt>
                <c:pt idx="1">
                  <c:v>San Mateo</c:v>
                </c:pt>
                <c:pt idx="2">
                  <c:v>Santa Clara</c:v>
                </c:pt>
                <c:pt idx="3">
                  <c:v>Alameda</c:v>
                </c:pt>
                <c:pt idx="4">
                  <c:v>Contra Costa</c:v>
                </c:pt>
                <c:pt idx="5">
                  <c:v>Solano</c:v>
                </c:pt>
                <c:pt idx="6">
                  <c:v>Napa</c:v>
                </c:pt>
                <c:pt idx="7">
                  <c:v>Sonoma</c:v>
                </c:pt>
                <c:pt idx="8">
                  <c:v>Marin</c:v>
                </c:pt>
              </c:strCache>
            </c:strRef>
          </c:cat>
          <c:val>
            <c:numRef>
              <c:f>summary!$K$8:$K$16</c:f>
              <c:numCache>
                <c:formatCode>#,##0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A-4728-9028-9589C23449DF}"/>
            </c:ext>
          </c:extLst>
        </c:ser>
        <c:ser>
          <c:idx val="6"/>
          <c:order val="6"/>
          <c:tx>
            <c:v>1 Modeled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/>
              </a:solidFill>
            </a:ln>
            <a:effectLst/>
          </c:spPr>
          <c:invertIfNegative val="0"/>
          <c:val>
            <c:numRef>
              <c:f>summary!$L$8:$L$16</c:f>
              <c:numCache>
                <c:formatCode>#,##0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A-4728-9028-9589C23449DF}"/>
            </c:ext>
          </c:extLst>
        </c:ser>
        <c:ser>
          <c:idx val="7"/>
          <c:order val="7"/>
          <c:tx>
            <c:v>2 Modeled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val>
            <c:numRef>
              <c:f>summary!$M$8:$M$16</c:f>
              <c:numCache>
                <c:formatCode>#,##0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A-4728-9028-9589C23449DF}"/>
            </c:ext>
          </c:extLst>
        </c:ser>
        <c:ser>
          <c:idx val="8"/>
          <c:order val="8"/>
          <c:tx>
            <c:v>3 Modeled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/>
              </a:solidFill>
            </a:ln>
            <a:effectLst/>
          </c:spPr>
          <c:invertIfNegative val="0"/>
          <c:val>
            <c:numRef>
              <c:f>summary!$N$8:$N$16</c:f>
              <c:numCache>
                <c:formatCode>#,##0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A-4728-9028-9589C23449DF}"/>
            </c:ext>
          </c:extLst>
        </c:ser>
        <c:ser>
          <c:idx val="9"/>
          <c:order val="9"/>
          <c:tx>
            <c:v>4+ Modeled</c:v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summary!$O$8:$O$16</c:f>
              <c:numCache>
                <c:formatCode>#,##0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61A-4728-9028-9589C2344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axId val="-434873752"/>
        <c:axId val="-434874144"/>
      </c:barChart>
      <c:catAx>
        <c:axId val="-43487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4874536"/>
        <c:crosses val="autoZero"/>
        <c:auto val="1"/>
        <c:lblAlgn val="ctr"/>
        <c:lblOffset val="100"/>
        <c:noMultiLvlLbl val="0"/>
      </c:catAx>
      <c:valAx>
        <c:axId val="-43487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4875320"/>
        <c:crosses val="autoZero"/>
        <c:crossBetween val="between"/>
      </c:valAx>
      <c:valAx>
        <c:axId val="-434874144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-434873752"/>
        <c:crosses val="max"/>
        <c:crossBetween val="between"/>
      </c:valAx>
      <c:catAx>
        <c:axId val="-434873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434874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72967497518873"/>
          <c:y val="0.42458243067797186"/>
          <c:w val="0.11490218009701457"/>
          <c:h val="0.132883877591683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223" cy="629759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vel-model-one-calib1.5.2\model-files\model\AutoOwnersh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uto ownership"/>
      <sheetName val="Auto Time"/>
      <sheetName val="Transit Time"/>
      <sheetName val="Walk Time"/>
      <sheetName val="Calibration"/>
      <sheetName val="Calibration (3 futures)"/>
    </sheetNames>
    <sheetDataSet>
      <sheetData sheetId="0" refreshError="1"/>
      <sheetData sheetId="1">
        <row r="53">
          <cell r="H53">
            <v>1.1172992162790916</v>
          </cell>
          <cell r="J53">
            <v>-1.2565051850306308</v>
          </cell>
          <cell r="M53">
            <v>-3.3877106944960214</v>
          </cell>
          <cell r="Q53">
            <v>-5.3502031433147499</v>
          </cell>
        </row>
        <row r="54">
          <cell r="H54">
            <v>0.57931801393948956</v>
          </cell>
          <cell r="J54">
            <v>0.56301198136124597</v>
          </cell>
          <cell r="M54">
            <v>0.4050938414636639</v>
          </cell>
          <cell r="Q54">
            <v>-0.20245078944536879</v>
          </cell>
        </row>
        <row r="55">
          <cell r="H55">
            <v>-0.57903681911096483</v>
          </cell>
          <cell r="J55">
            <v>-0.3943306525851169</v>
          </cell>
          <cell r="M55">
            <v>-0.20319232197177453</v>
          </cell>
          <cell r="Q55">
            <v>-4.5351682239474958E-2</v>
          </cell>
        </row>
        <row r="56">
          <cell r="H56">
            <v>-0.57903681911096483</v>
          </cell>
          <cell r="J56">
            <v>-0.3943306525851169</v>
          </cell>
          <cell r="M56">
            <v>-0.20319232197177453</v>
          </cell>
          <cell r="Q56">
            <v>-4.5351682239474958E-2</v>
          </cell>
        </row>
        <row r="57">
          <cell r="H57">
            <v>-0.57903681911096483</v>
          </cell>
          <cell r="J57">
            <v>-0.3943306525851169</v>
          </cell>
          <cell r="M57">
            <v>-0.20319232197177453</v>
          </cell>
          <cell r="Q57">
            <v>-4.5351682239474958E-2</v>
          </cell>
        </row>
        <row r="58">
          <cell r="H58">
            <v>-0.43045596379246831</v>
          </cell>
          <cell r="J58">
            <v>-0.18915885187210035</v>
          </cell>
          <cell r="M58">
            <v>-0.17100234100196271</v>
          </cell>
          <cell r="Q58">
            <v>-0.14149246034975063</v>
          </cell>
        </row>
        <row r="59">
          <cell r="H59">
            <v>0.1844471057264194</v>
          </cell>
          <cell r="I59">
            <v>0.1844471057264194</v>
          </cell>
          <cell r="J59">
            <v>0.20643155178083641</v>
          </cell>
          <cell r="K59">
            <v>0.20643155178083641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2:X31"/>
  <sheetViews>
    <sheetView workbookViewId="0">
      <pane ySplit="3" topLeftCell="A30" activePane="bottomLeft" state="frozen"/>
      <selection pane="bottomLeft" activeCell="A34" sqref="A34:XFD61"/>
    </sheetView>
  </sheetViews>
  <sheetFormatPr defaultRowHeight="12.75" x14ac:dyDescent="0.2"/>
  <cols>
    <col min="1" max="1" width="5" style="1" customWidth="1"/>
    <col min="2" max="2" width="14.5703125" style="1" customWidth="1"/>
    <col min="3" max="7" width="9.140625" style="1"/>
    <col min="8" max="8" width="10.85546875" style="1" customWidth="1"/>
    <col min="9" max="9" width="9.140625" style="1"/>
    <col min="10" max="10" width="14.5703125" style="1" customWidth="1"/>
    <col min="11" max="12" width="9.140625" style="1"/>
    <col min="13" max="13" width="10" style="1" customWidth="1"/>
    <col min="14" max="15" width="9.140625" style="1"/>
    <col min="16" max="16" width="10.28515625" style="1" customWidth="1"/>
    <col min="17" max="17" width="9.140625" style="1"/>
    <col min="18" max="18" width="13.140625" style="1" customWidth="1"/>
    <col min="19" max="16384" width="9.140625" style="1"/>
  </cols>
  <sheetData>
    <row r="2" spans="1:18" x14ac:dyDescent="0.2">
      <c r="A2" s="13"/>
      <c r="B2" s="13"/>
    </row>
    <row r="3" spans="1:18" x14ac:dyDescent="0.2">
      <c r="A3" s="35" t="s">
        <v>189</v>
      </c>
      <c r="J3" s="35" t="s">
        <v>190</v>
      </c>
      <c r="R3" s="35" t="s">
        <v>60</v>
      </c>
    </row>
    <row r="5" spans="1:18" x14ac:dyDescent="0.2">
      <c r="A5" s="13"/>
    </row>
    <row r="6" spans="1:18" ht="13.5" thickBot="1" x14ac:dyDescent="0.25">
      <c r="A6" s="13"/>
      <c r="B6" s="4" t="s">
        <v>29</v>
      </c>
      <c r="C6" s="40" t="s">
        <v>30</v>
      </c>
      <c r="D6" s="40"/>
      <c r="E6" s="40"/>
      <c r="F6" s="40"/>
      <c r="G6" s="40"/>
      <c r="H6" s="40"/>
      <c r="J6" s="4" t="s">
        <v>29</v>
      </c>
      <c r="K6" s="40" t="s">
        <v>30</v>
      </c>
      <c r="L6" s="40"/>
      <c r="M6" s="40"/>
      <c r="N6" s="40"/>
      <c r="O6" s="40"/>
      <c r="P6" s="40"/>
    </row>
    <row r="7" spans="1:18" x14ac:dyDescent="0.2">
      <c r="A7" s="13"/>
      <c r="C7" s="5">
        <v>0</v>
      </c>
      <c r="D7" s="5">
        <v>1</v>
      </c>
      <c r="E7" s="5">
        <v>2</v>
      </c>
      <c r="F7" s="5">
        <v>3</v>
      </c>
      <c r="G7" s="5" t="s">
        <v>56</v>
      </c>
      <c r="H7" s="5" t="s">
        <v>28</v>
      </c>
      <c r="K7" s="5">
        <v>0</v>
      </c>
      <c r="L7" s="5">
        <v>1</v>
      </c>
      <c r="M7" s="5">
        <v>2</v>
      </c>
      <c r="N7" s="5">
        <v>3</v>
      </c>
      <c r="O7" s="5" t="s">
        <v>56</v>
      </c>
      <c r="P7" s="5" t="s">
        <v>28</v>
      </c>
    </row>
    <row r="8" spans="1:18" x14ac:dyDescent="0.2">
      <c r="A8" s="13"/>
      <c r="B8" s="6" t="s">
        <v>19</v>
      </c>
      <c r="C8" s="8">
        <f>ACS_1YR_B08201!F$9</f>
        <v>115112</v>
      </c>
      <c r="D8" s="8">
        <f>ACS_1YR_B08201!H$9</f>
        <v>163438</v>
      </c>
      <c r="E8" s="8">
        <f>ACS_1YR_B08201!J$9</f>
        <v>70754</v>
      </c>
      <c r="F8" s="8">
        <f>ACS_1YR_B08201!L$9</f>
        <v>14842</v>
      </c>
      <c r="G8" s="8">
        <f>ACS_1YR_B08201!N$9</f>
        <v>7881</v>
      </c>
      <c r="H8" s="8">
        <f>SUM(C8:G8)</f>
        <v>372027</v>
      </c>
      <c r="J8" s="6" t="s">
        <v>19</v>
      </c>
      <c r="K8" s="28">
        <f>modeldata!C4</f>
        <v>1</v>
      </c>
      <c r="L8" s="28">
        <f>modeldata!D4</f>
        <v>1</v>
      </c>
      <c r="M8" s="28">
        <f>modeldata!E4</f>
        <v>1</v>
      </c>
      <c r="N8" s="28">
        <f>modeldata!F4</f>
        <v>1</v>
      </c>
      <c r="O8" s="28">
        <f>modeldata!G4</f>
        <v>1</v>
      </c>
      <c r="P8" s="8">
        <f>SUM(K8:O8)</f>
        <v>5</v>
      </c>
    </row>
    <row r="9" spans="1:18" x14ac:dyDescent="0.2">
      <c r="A9" s="13"/>
      <c r="B9" s="6" t="s">
        <v>20</v>
      </c>
      <c r="C9" s="8">
        <f>ACS_1YR_B08201!F$10</f>
        <v>13792</v>
      </c>
      <c r="D9" s="8">
        <f>ACS_1YR_B08201!H$10</f>
        <v>87455</v>
      </c>
      <c r="E9" s="8">
        <f>ACS_1YR_B08201!J$10</f>
        <v>100042</v>
      </c>
      <c r="F9" s="8">
        <f>ACS_1YR_B08201!L$10</f>
        <v>41492</v>
      </c>
      <c r="G9" s="8">
        <f>+ACS_1YR_B08201!N$10</f>
        <v>22343</v>
      </c>
      <c r="H9" s="8">
        <f t="shared" ref="H9:H16" si="0">SUM(C9:G9)</f>
        <v>265124</v>
      </c>
      <c r="J9" s="6" t="s">
        <v>20</v>
      </c>
      <c r="K9" s="8">
        <f>modeldata!C5</f>
        <v>1</v>
      </c>
      <c r="L9" s="8">
        <f>modeldata!D5</f>
        <v>1</v>
      </c>
      <c r="M9" s="8">
        <f>modeldata!E5</f>
        <v>1</v>
      </c>
      <c r="N9" s="8">
        <f>modeldata!F5</f>
        <v>1</v>
      </c>
      <c r="O9" s="8">
        <f>modeldata!G5</f>
        <v>1</v>
      </c>
      <c r="P9" s="8">
        <f t="shared" ref="P9:P16" si="1">SUM(K9:O9)</f>
        <v>5</v>
      </c>
    </row>
    <row r="10" spans="1:18" x14ac:dyDescent="0.2">
      <c r="A10" s="13"/>
      <c r="B10" s="6" t="s">
        <v>21</v>
      </c>
      <c r="C10" s="8">
        <f>ACS_1YR_B08201!F$11</f>
        <v>39177</v>
      </c>
      <c r="D10" s="8">
        <f>ACS_1YR_B08201!H$11</f>
        <v>217368</v>
      </c>
      <c r="E10" s="8">
        <f>ACS_1YR_B08201!J$11</f>
        <v>250244</v>
      </c>
      <c r="F10" s="8">
        <f>ACS_1YR_B08201!L$11</f>
        <v>99869</v>
      </c>
      <c r="G10" s="8">
        <f>+ACS_1YR_B08201!N$11</f>
        <v>58891</v>
      </c>
      <c r="H10" s="8">
        <f t="shared" si="0"/>
        <v>665549</v>
      </c>
      <c r="J10" s="6" t="s">
        <v>21</v>
      </c>
      <c r="K10" s="8">
        <f>modeldata!C6</f>
        <v>1</v>
      </c>
      <c r="L10" s="8">
        <f>modeldata!D6</f>
        <v>1</v>
      </c>
      <c r="M10" s="8">
        <f>modeldata!E6</f>
        <v>1</v>
      </c>
      <c r="N10" s="8">
        <f>modeldata!F6</f>
        <v>1</v>
      </c>
      <c r="O10" s="8">
        <f>modeldata!G6</f>
        <v>1</v>
      </c>
      <c r="P10" s="8">
        <f t="shared" si="1"/>
        <v>5</v>
      </c>
    </row>
    <row r="11" spans="1:18" x14ac:dyDescent="0.2">
      <c r="A11" s="13"/>
      <c r="B11" s="6" t="s">
        <v>22</v>
      </c>
      <c r="C11" s="8">
        <f>ACS_1YR_B08201!F$5</f>
        <v>66589</v>
      </c>
      <c r="D11" s="8">
        <f>ACS_1YR_B08201!H$5</f>
        <v>209193</v>
      </c>
      <c r="E11" s="8">
        <f>ACS_1YR_B08201!J$5</f>
        <v>208803</v>
      </c>
      <c r="F11" s="8">
        <f>ACS_1YR_B08201!L$5</f>
        <v>78038</v>
      </c>
      <c r="G11" s="8">
        <f>+ACS_1YR_B08201!N$5</f>
        <v>45911</v>
      </c>
      <c r="H11" s="8">
        <f t="shared" si="0"/>
        <v>608534</v>
      </c>
      <c r="J11" s="6" t="s">
        <v>22</v>
      </c>
      <c r="K11" s="8">
        <f>modeldata!C7</f>
        <v>1</v>
      </c>
      <c r="L11" s="8">
        <f>modeldata!D7</f>
        <v>1</v>
      </c>
      <c r="M11" s="8">
        <f>modeldata!E7</f>
        <v>1</v>
      </c>
      <c r="N11" s="8">
        <f>modeldata!F7</f>
        <v>1</v>
      </c>
      <c r="O11" s="8">
        <f>modeldata!G7</f>
        <v>1</v>
      </c>
      <c r="P11" s="8">
        <f t="shared" si="1"/>
        <v>5</v>
      </c>
    </row>
    <row r="12" spans="1:18" x14ac:dyDescent="0.2">
      <c r="A12" s="13"/>
      <c r="B12" s="6" t="s">
        <v>23</v>
      </c>
      <c r="C12" s="8">
        <f>ACS_1YR_B08201!F$6</f>
        <v>20544</v>
      </c>
      <c r="D12" s="8">
        <f>ACS_1YR_B08201!H$6</f>
        <v>122178</v>
      </c>
      <c r="E12" s="8">
        <f>ACS_1YR_B08201!J$6</f>
        <v>156754</v>
      </c>
      <c r="F12" s="8">
        <f>ACS_1YR_B08201!L$6</f>
        <v>72177</v>
      </c>
      <c r="G12" s="8">
        <f>+ACS_1YR_B08201!N$6</f>
        <v>44519</v>
      </c>
      <c r="H12" s="8">
        <f t="shared" si="0"/>
        <v>416172</v>
      </c>
      <c r="J12" s="6" t="s">
        <v>23</v>
      </c>
      <c r="K12" s="8">
        <f>modeldata!C8</f>
        <v>1</v>
      </c>
      <c r="L12" s="8">
        <f>modeldata!D8</f>
        <v>1</v>
      </c>
      <c r="M12" s="8">
        <f>modeldata!E8</f>
        <v>1</v>
      </c>
      <c r="N12" s="8">
        <f>modeldata!F8</f>
        <v>1</v>
      </c>
      <c r="O12" s="8">
        <f>modeldata!G8</f>
        <v>1</v>
      </c>
      <c r="P12" s="8">
        <f t="shared" si="1"/>
        <v>5</v>
      </c>
    </row>
    <row r="13" spans="1:18" x14ac:dyDescent="0.2">
      <c r="A13" s="13"/>
      <c r="B13" s="6" t="s">
        <v>24</v>
      </c>
      <c r="C13" s="8">
        <f>ACS_1YR_B08201!F$12</f>
        <v>8484</v>
      </c>
      <c r="D13" s="8">
        <f>ACS_1YR_B08201!H$12</f>
        <v>41211</v>
      </c>
      <c r="E13" s="8">
        <f>ACS_1YR_B08201!J$12</f>
        <v>57659</v>
      </c>
      <c r="F13" s="8">
        <f>ACS_1YR_B08201!L$12</f>
        <v>29578</v>
      </c>
      <c r="G13" s="8">
        <f>+ACS_1YR_B08201!N$12</f>
        <v>20834</v>
      </c>
      <c r="H13" s="8">
        <f t="shared" si="0"/>
        <v>157766</v>
      </c>
      <c r="J13" s="6" t="s">
        <v>24</v>
      </c>
      <c r="K13" s="8">
        <f>modeldata!C9</f>
        <v>1</v>
      </c>
      <c r="L13" s="8">
        <f>modeldata!D9</f>
        <v>1</v>
      </c>
      <c r="M13" s="8">
        <f>modeldata!E9</f>
        <v>1</v>
      </c>
      <c r="N13" s="8">
        <f>modeldata!F9</f>
        <v>1</v>
      </c>
      <c r="O13" s="8">
        <f>modeldata!G9</f>
        <v>1</v>
      </c>
      <c r="P13" s="8">
        <f t="shared" si="1"/>
        <v>5</v>
      </c>
    </row>
    <row r="14" spans="1:18" x14ac:dyDescent="0.2">
      <c r="A14" s="13"/>
      <c r="B14" s="6" t="s">
        <v>25</v>
      </c>
      <c r="C14" s="8">
        <f>ACS_1YR_B08201!F$8</f>
        <v>2839</v>
      </c>
      <c r="D14" s="8">
        <f>ACS_1YR_B08201!H$8</f>
        <v>13612</v>
      </c>
      <c r="E14" s="8">
        <f>ACS_1YR_B08201!J$8</f>
        <v>20390</v>
      </c>
      <c r="F14" s="8">
        <f>ACS_1YR_B08201!L$8</f>
        <v>8406</v>
      </c>
      <c r="G14" s="8">
        <f>+ACS_1YR_B08201!N$8</f>
        <v>5920</v>
      </c>
      <c r="H14" s="8">
        <f t="shared" si="0"/>
        <v>51167</v>
      </c>
      <c r="J14" s="6" t="s">
        <v>25</v>
      </c>
      <c r="K14" s="8">
        <f>modeldata!C10</f>
        <v>1</v>
      </c>
      <c r="L14" s="8">
        <f>modeldata!D10</f>
        <v>1</v>
      </c>
      <c r="M14" s="8">
        <f>modeldata!E10</f>
        <v>1</v>
      </c>
      <c r="N14" s="8">
        <f>modeldata!F10</f>
        <v>1</v>
      </c>
      <c r="O14" s="8">
        <f>modeldata!G10</f>
        <v>1</v>
      </c>
      <c r="P14" s="8">
        <f t="shared" si="1"/>
        <v>5</v>
      </c>
    </row>
    <row r="15" spans="1:18" x14ac:dyDescent="0.2">
      <c r="A15" s="13"/>
      <c r="B15" s="6" t="s">
        <v>26</v>
      </c>
      <c r="C15" s="8">
        <f>ACS_1YR_B08201!F$13</f>
        <v>8223</v>
      </c>
      <c r="D15" s="8">
        <f>ACS_1YR_B08201!H$13</f>
        <v>58846</v>
      </c>
      <c r="E15" s="8">
        <f>ACS_1YR_B08201!J$13</f>
        <v>72836</v>
      </c>
      <c r="F15" s="8">
        <f>ACS_1YR_B08201!L$13</f>
        <v>33514</v>
      </c>
      <c r="G15" s="8">
        <f>+ACS_1YR_B08201!N$13</f>
        <v>19346</v>
      </c>
      <c r="H15" s="8">
        <f t="shared" si="0"/>
        <v>192765</v>
      </c>
      <c r="J15" s="6" t="s">
        <v>26</v>
      </c>
      <c r="K15" s="8">
        <f>modeldata!C11</f>
        <v>1</v>
      </c>
      <c r="L15" s="8">
        <f>modeldata!D11</f>
        <v>1</v>
      </c>
      <c r="M15" s="8">
        <f>modeldata!E11</f>
        <v>1</v>
      </c>
      <c r="N15" s="8">
        <f>modeldata!F11</f>
        <v>1</v>
      </c>
      <c r="O15" s="8">
        <f>modeldata!G11</f>
        <v>1</v>
      </c>
      <c r="P15" s="8">
        <f t="shared" si="1"/>
        <v>5</v>
      </c>
    </row>
    <row r="16" spans="1:18" x14ac:dyDescent="0.2">
      <c r="A16" s="13"/>
      <c r="B16" s="7" t="s">
        <v>27</v>
      </c>
      <c r="C16" s="9">
        <f>ACS_1YR_B08201!F$7</f>
        <v>4136</v>
      </c>
      <c r="D16" s="9">
        <f>ACS_1YR_B08201!H$7</f>
        <v>32863</v>
      </c>
      <c r="E16" s="9">
        <f>ACS_1YR_B08201!J$7</f>
        <v>43411</v>
      </c>
      <c r="F16" s="9">
        <f>ACS_1YR_B08201!L$7</f>
        <v>16097</v>
      </c>
      <c r="G16" s="9">
        <f>+ACS_1YR_B08201!N$7</f>
        <v>5101</v>
      </c>
      <c r="H16" s="9">
        <f t="shared" si="0"/>
        <v>101608</v>
      </c>
      <c r="J16" s="7" t="s">
        <v>27</v>
      </c>
      <c r="K16" s="9">
        <f>modeldata!C12</f>
        <v>1</v>
      </c>
      <c r="L16" s="9">
        <f>modeldata!D12</f>
        <v>1</v>
      </c>
      <c r="M16" s="9">
        <f>modeldata!E12</f>
        <v>1</v>
      </c>
      <c r="N16" s="9">
        <f>modeldata!F12</f>
        <v>1</v>
      </c>
      <c r="O16" s="9">
        <f>modeldata!G12</f>
        <v>1</v>
      </c>
      <c r="P16" s="9">
        <f t="shared" si="1"/>
        <v>5</v>
      </c>
    </row>
    <row r="17" spans="1:24" x14ac:dyDescent="0.2">
      <c r="A17" s="13"/>
      <c r="B17" s="6" t="s">
        <v>28</v>
      </c>
      <c r="C17" s="10">
        <f t="shared" ref="C17:H17" si="2">SUM(C8:C16)</f>
        <v>278896</v>
      </c>
      <c r="D17" s="10">
        <f t="shared" si="2"/>
        <v>946164</v>
      </c>
      <c r="E17" s="10">
        <f t="shared" si="2"/>
        <v>980893</v>
      </c>
      <c r="F17" s="10">
        <f t="shared" si="2"/>
        <v>394013</v>
      </c>
      <c r="G17" s="10">
        <f t="shared" si="2"/>
        <v>230746</v>
      </c>
      <c r="H17" s="10">
        <f t="shared" si="2"/>
        <v>2830712</v>
      </c>
      <c r="J17" s="6" t="s">
        <v>28</v>
      </c>
      <c r="K17" s="10">
        <f t="shared" ref="K17:P17" si="3">SUM(K8:K16)</f>
        <v>9</v>
      </c>
      <c r="L17" s="10">
        <f t="shared" si="3"/>
        <v>9</v>
      </c>
      <c r="M17" s="10">
        <f t="shared" si="3"/>
        <v>9</v>
      </c>
      <c r="N17" s="10">
        <f t="shared" si="3"/>
        <v>9</v>
      </c>
      <c r="O17" s="10">
        <f t="shared" si="3"/>
        <v>9</v>
      </c>
      <c r="P17" s="10">
        <f t="shared" si="3"/>
        <v>45</v>
      </c>
    </row>
    <row r="18" spans="1:24" x14ac:dyDescent="0.2">
      <c r="A18" s="13"/>
      <c r="C18" s="8"/>
      <c r="D18" s="8"/>
      <c r="E18" s="8"/>
      <c r="F18" s="8"/>
      <c r="G18" s="8"/>
      <c r="R18" s="35"/>
    </row>
    <row r="19" spans="1:24" x14ac:dyDescent="0.2">
      <c r="A19" s="13"/>
    </row>
    <row r="20" spans="1:24" ht="13.5" thickBot="1" x14ac:dyDescent="0.25">
      <c r="A20" s="13"/>
      <c r="B20" s="4" t="s">
        <v>29</v>
      </c>
      <c r="C20" s="40" t="s">
        <v>30</v>
      </c>
      <c r="D20" s="40"/>
      <c r="E20" s="40"/>
      <c r="F20" s="40"/>
      <c r="G20" s="40"/>
      <c r="H20" s="40"/>
      <c r="J20" s="4" t="s">
        <v>29</v>
      </c>
      <c r="K20" s="40" t="s">
        <v>30</v>
      </c>
      <c r="L20" s="40"/>
      <c r="M20" s="40"/>
      <c r="N20" s="40"/>
      <c r="O20" s="40"/>
      <c r="P20" s="40"/>
      <c r="R20" s="4" t="s">
        <v>29</v>
      </c>
      <c r="S20" s="40" t="s">
        <v>30</v>
      </c>
      <c r="T20" s="40"/>
      <c r="U20" s="40"/>
      <c r="V20" s="40"/>
      <c r="W20" s="40"/>
      <c r="X20" s="40"/>
    </row>
    <row r="21" spans="1:24" x14ac:dyDescent="0.2">
      <c r="A21" s="13"/>
      <c r="C21" s="5">
        <v>0</v>
      </c>
      <c r="D21" s="5">
        <v>1</v>
      </c>
      <c r="E21" s="5">
        <v>2</v>
      </c>
      <c r="F21" s="5">
        <v>3</v>
      </c>
      <c r="G21" s="5" t="s">
        <v>56</v>
      </c>
      <c r="H21" s="5" t="s">
        <v>28</v>
      </c>
      <c r="K21" s="5">
        <v>0</v>
      </c>
      <c r="L21" s="5">
        <v>1</v>
      </c>
      <c r="M21" s="5">
        <v>2</v>
      </c>
      <c r="N21" s="5">
        <v>3</v>
      </c>
      <c r="O21" s="5" t="s">
        <v>56</v>
      </c>
      <c r="P21" s="5" t="s">
        <v>28</v>
      </c>
      <c r="S21" s="5">
        <v>0</v>
      </c>
      <c r="T21" s="5">
        <v>1</v>
      </c>
      <c r="U21" s="5">
        <v>2</v>
      </c>
      <c r="V21" s="5">
        <v>3</v>
      </c>
      <c r="W21" s="5" t="s">
        <v>56</v>
      </c>
      <c r="X21" s="5" t="s">
        <v>28</v>
      </c>
    </row>
    <row r="22" spans="1:24" x14ac:dyDescent="0.2">
      <c r="A22" s="13"/>
      <c r="B22" s="6" t="s">
        <v>19</v>
      </c>
      <c r="C22" s="11">
        <f t="shared" ref="C22:H22" si="4">C8/$H8</f>
        <v>0.30941840242778079</v>
      </c>
      <c r="D22" s="11">
        <f t="shared" si="4"/>
        <v>0.43931757641246466</v>
      </c>
      <c r="E22" s="11">
        <f t="shared" si="4"/>
        <v>0.19018512097240253</v>
      </c>
      <c r="F22" s="11">
        <f t="shared" si="4"/>
        <v>3.9894953860875687E-2</v>
      </c>
      <c r="G22" s="11">
        <f t="shared" si="4"/>
        <v>2.1183946326476303E-2</v>
      </c>
      <c r="H22" s="11">
        <f t="shared" si="4"/>
        <v>1</v>
      </c>
      <c r="J22" s="6" t="s">
        <v>19</v>
      </c>
      <c r="K22" s="11">
        <f>K8/$P8</f>
        <v>0.2</v>
      </c>
      <c r="L22" s="11">
        <f t="shared" ref="L22:P22" si="5">L8/$P8</f>
        <v>0.2</v>
      </c>
      <c r="M22" s="11">
        <f t="shared" si="5"/>
        <v>0.2</v>
      </c>
      <c r="N22" s="11">
        <f t="shared" si="5"/>
        <v>0.2</v>
      </c>
      <c r="O22" s="11">
        <f t="shared" si="5"/>
        <v>0.2</v>
      </c>
      <c r="P22" s="11">
        <f t="shared" si="5"/>
        <v>1</v>
      </c>
      <c r="R22" s="6" t="s">
        <v>19</v>
      </c>
      <c r="S22" s="36">
        <f>K22-C22</f>
        <v>-0.10941840242778078</v>
      </c>
      <c r="T22" s="36">
        <f t="shared" ref="T22:T31" si="6">L22-D22</f>
        <v>-0.23931757641246465</v>
      </c>
      <c r="U22" s="36">
        <f t="shared" ref="U22:U31" si="7">M22-E22</f>
        <v>9.8148790275974784E-3</v>
      </c>
      <c r="V22" s="36">
        <f t="shared" ref="V22:V31" si="8">N22-F22</f>
        <v>0.16010504613912432</v>
      </c>
      <c r="W22" s="36">
        <f t="shared" ref="W22:W31" si="9">O22-G22</f>
        <v>0.17881605367352371</v>
      </c>
      <c r="X22" s="37">
        <f t="shared" ref="X22:X31" si="10">P22-H22</f>
        <v>0</v>
      </c>
    </row>
    <row r="23" spans="1:24" x14ac:dyDescent="0.2">
      <c r="A23" s="13"/>
      <c r="B23" s="6" t="s">
        <v>20</v>
      </c>
      <c r="C23" s="11">
        <f t="shared" ref="C23:H31" si="11">C9/$H9</f>
        <v>5.2020941144521056E-2</v>
      </c>
      <c r="D23" s="11">
        <f t="shared" si="11"/>
        <v>0.32986451622636953</v>
      </c>
      <c r="E23" s="11">
        <f t="shared" si="11"/>
        <v>0.37734041429670645</v>
      </c>
      <c r="F23" s="11">
        <f t="shared" si="11"/>
        <v>0.156500354551078</v>
      </c>
      <c r="G23" s="11">
        <f t="shared" ref="G23" si="12">G9/$H9</f>
        <v>8.4273773781324959E-2</v>
      </c>
      <c r="H23" s="11">
        <f t="shared" si="11"/>
        <v>1</v>
      </c>
      <c r="J23" s="6" t="s">
        <v>20</v>
      </c>
      <c r="K23" s="11">
        <f t="shared" ref="K23:P23" si="13">K9/$P9</f>
        <v>0.2</v>
      </c>
      <c r="L23" s="11">
        <f t="shared" si="13"/>
        <v>0.2</v>
      </c>
      <c r="M23" s="11">
        <f t="shared" si="13"/>
        <v>0.2</v>
      </c>
      <c r="N23" s="11">
        <f t="shared" si="13"/>
        <v>0.2</v>
      </c>
      <c r="O23" s="11">
        <f t="shared" si="13"/>
        <v>0.2</v>
      </c>
      <c r="P23" s="11">
        <f t="shared" si="13"/>
        <v>1</v>
      </c>
      <c r="R23" s="6" t="s">
        <v>20</v>
      </c>
      <c r="S23" s="37">
        <f t="shared" ref="S23:S31" si="14">K23-C23</f>
        <v>0.14797905885547896</v>
      </c>
      <c r="T23" s="37">
        <f t="shared" si="6"/>
        <v>-0.12986451622636952</v>
      </c>
      <c r="U23" s="37">
        <f t="shared" si="7"/>
        <v>-0.17734041429670644</v>
      </c>
      <c r="V23" s="37">
        <f t="shared" si="8"/>
        <v>4.3499645448922014E-2</v>
      </c>
      <c r="W23" s="37">
        <f t="shared" si="9"/>
        <v>0.11572622621867505</v>
      </c>
      <c r="X23" s="37">
        <f t="shared" si="10"/>
        <v>0</v>
      </c>
    </row>
    <row r="24" spans="1:24" x14ac:dyDescent="0.2">
      <c r="A24" s="13"/>
      <c r="B24" s="6" t="s">
        <v>21</v>
      </c>
      <c r="C24" s="11">
        <f t="shared" si="11"/>
        <v>5.8864185807506283E-2</v>
      </c>
      <c r="D24" s="11">
        <f t="shared" si="11"/>
        <v>0.32659954413574355</v>
      </c>
      <c r="E24" s="11">
        <f t="shared" si="11"/>
        <v>0.37599635789400931</v>
      </c>
      <c r="F24" s="11">
        <f t="shared" si="11"/>
        <v>0.15005506732036258</v>
      </c>
      <c r="G24" s="11">
        <f t="shared" ref="G24" si="15">G10/$H10</f>
        <v>8.8484844842378244E-2</v>
      </c>
      <c r="H24" s="11">
        <f t="shared" si="11"/>
        <v>1</v>
      </c>
      <c r="J24" s="6" t="s">
        <v>21</v>
      </c>
      <c r="K24" s="11">
        <f t="shared" ref="K24:P24" si="16">K10/$P10</f>
        <v>0.2</v>
      </c>
      <c r="L24" s="11">
        <f t="shared" si="16"/>
        <v>0.2</v>
      </c>
      <c r="M24" s="11">
        <f t="shared" si="16"/>
        <v>0.2</v>
      </c>
      <c r="N24" s="11">
        <f t="shared" si="16"/>
        <v>0.2</v>
      </c>
      <c r="O24" s="11">
        <f t="shared" si="16"/>
        <v>0.2</v>
      </c>
      <c r="P24" s="11">
        <f t="shared" si="16"/>
        <v>1</v>
      </c>
      <c r="R24" s="6" t="s">
        <v>21</v>
      </c>
      <c r="S24" s="37">
        <f t="shared" si="14"/>
        <v>0.14113581419249371</v>
      </c>
      <c r="T24" s="37">
        <f t="shared" si="6"/>
        <v>-0.12659954413574354</v>
      </c>
      <c r="U24" s="37">
        <f t="shared" si="7"/>
        <v>-0.1759963578940093</v>
      </c>
      <c r="V24" s="37">
        <f t="shared" si="8"/>
        <v>4.9944932679637427E-2</v>
      </c>
      <c r="W24" s="37">
        <f t="shared" si="9"/>
        <v>0.11151515515762177</v>
      </c>
      <c r="X24" s="37">
        <f t="shared" si="10"/>
        <v>0</v>
      </c>
    </row>
    <row r="25" spans="1:24" x14ac:dyDescent="0.2">
      <c r="A25" s="13"/>
      <c r="B25" s="6" t="s">
        <v>22</v>
      </c>
      <c r="C25" s="11">
        <f t="shared" si="11"/>
        <v>0.10942527451218831</v>
      </c>
      <c r="D25" s="11">
        <f t="shared" si="11"/>
        <v>0.34376550858292226</v>
      </c>
      <c r="E25" s="11">
        <f t="shared" si="11"/>
        <v>0.34312462409659938</v>
      </c>
      <c r="F25" s="11">
        <f t="shared" si="11"/>
        <v>0.12823934241965115</v>
      </c>
      <c r="G25" s="11">
        <f t="shared" ref="G25" si="17">G11/$H11</f>
        <v>7.5445250388638932E-2</v>
      </c>
      <c r="H25" s="11">
        <f t="shared" si="11"/>
        <v>1</v>
      </c>
      <c r="J25" s="6" t="s">
        <v>22</v>
      </c>
      <c r="K25" s="11">
        <f t="shared" ref="K25:P25" si="18">K11/$P11</f>
        <v>0.2</v>
      </c>
      <c r="L25" s="11">
        <f t="shared" si="18"/>
        <v>0.2</v>
      </c>
      <c r="M25" s="11">
        <f t="shared" si="18"/>
        <v>0.2</v>
      </c>
      <c r="N25" s="11">
        <f t="shared" si="18"/>
        <v>0.2</v>
      </c>
      <c r="O25" s="11">
        <f t="shared" si="18"/>
        <v>0.2</v>
      </c>
      <c r="P25" s="11">
        <f t="shared" si="18"/>
        <v>1</v>
      </c>
      <c r="R25" s="6" t="s">
        <v>22</v>
      </c>
      <c r="S25" s="37">
        <f t="shared" si="14"/>
        <v>9.0574725487811703E-2</v>
      </c>
      <c r="T25" s="37">
        <f t="shared" si="6"/>
        <v>-0.14376550858292225</v>
      </c>
      <c r="U25" s="37">
        <f t="shared" si="7"/>
        <v>-0.14312462409659937</v>
      </c>
      <c r="V25" s="37">
        <f t="shared" si="8"/>
        <v>7.1760657580348858E-2</v>
      </c>
      <c r="W25" s="37">
        <f t="shared" si="9"/>
        <v>0.12455474961136108</v>
      </c>
      <c r="X25" s="37">
        <f t="shared" si="10"/>
        <v>0</v>
      </c>
    </row>
    <row r="26" spans="1:24" x14ac:dyDescent="0.2">
      <c r="A26" s="13"/>
      <c r="B26" s="6" t="s">
        <v>23</v>
      </c>
      <c r="C26" s="11">
        <f t="shared" si="11"/>
        <v>4.936420518439491E-2</v>
      </c>
      <c r="D26" s="11">
        <f t="shared" si="11"/>
        <v>0.29357573311034862</v>
      </c>
      <c r="E26" s="11">
        <f t="shared" si="11"/>
        <v>0.37665676691367994</v>
      </c>
      <c r="F26" s="11">
        <f t="shared" si="11"/>
        <v>0.17343069692338745</v>
      </c>
      <c r="G26" s="11">
        <f t="shared" ref="G26" si="19">G12/$H12</f>
        <v>0.10697259786818912</v>
      </c>
      <c r="H26" s="11">
        <f t="shared" si="11"/>
        <v>1</v>
      </c>
      <c r="J26" s="6" t="s">
        <v>23</v>
      </c>
      <c r="K26" s="11">
        <f t="shared" ref="K26:P26" si="20">K12/$P12</f>
        <v>0.2</v>
      </c>
      <c r="L26" s="11">
        <f t="shared" si="20"/>
        <v>0.2</v>
      </c>
      <c r="M26" s="11">
        <f t="shared" si="20"/>
        <v>0.2</v>
      </c>
      <c r="N26" s="11">
        <f t="shared" si="20"/>
        <v>0.2</v>
      </c>
      <c r="O26" s="11">
        <f t="shared" si="20"/>
        <v>0.2</v>
      </c>
      <c r="P26" s="11">
        <f t="shared" si="20"/>
        <v>1</v>
      </c>
      <c r="R26" s="6" t="s">
        <v>23</v>
      </c>
      <c r="S26" s="37">
        <f t="shared" si="14"/>
        <v>0.1506357948156051</v>
      </c>
      <c r="T26" s="37">
        <f t="shared" si="6"/>
        <v>-9.3575733110348613E-2</v>
      </c>
      <c r="U26" s="37">
        <f t="shared" si="7"/>
        <v>-0.17665676691367993</v>
      </c>
      <c r="V26" s="37">
        <f t="shared" si="8"/>
        <v>2.6569303076612566E-2</v>
      </c>
      <c r="W26" s="37">
        <f t="shared" si="9"/>
        <v>9.3027402131810891E-2</v>
      </c>
      <c r="X26" s="37">
        <f t="shared" si="10"/>
        <v>0</v>
      </c>
    </row>
    <row r="27" spans="1:24" x14ac:dyDescent="0.2">
      <c r="A27" s="13"/>
      <c r="B27" s="6" t="s">
        <v>24</v>
      </c>
      <c r="C27" s="11">
        <f t="shared" si="11"/>
        <v>5.3775845239151653E-2</v>
      </c>
      <c r="D27" s="11">
        <f t="shared" si="11"/>
        <v>0.26121597809413943</v>
      </c>
      <c r="E27" s="11">
        <f t="shared" si="11"/>
        <v>0.36547164788357439</v>
      </c>
      <c r="F27" s="11">
        <f t="shared" si="11"/>
        <v>0.18748019218336018</v>
      </c>
      <c r="G27" s="11">
        <f t="shared" ref="G27" si="21">G13/$H13</f>
        <v>0.13205633659977434</v>
      </c>
      <c r="H27" s="11">
        <f t="shared" si="11"/>
        <v>1</v>
      </c>
      <c r="J27" s="6" t="s">
        <v>24</v>
      </c>
      <c r="K27" s="11">
        <f t="shared" ref="K27:P27" si="22">K13/$P13</f>
        <v>0.2</v>
      </c>
      <c r="L27" s="11">
        <f t="shared" si="22"/>
        <v>0.2</v>
      </c>
      <c r="M27" s="11">
        <f t="shared" si="22"/>
        <v>0.2</v>
      </c>
      <c r="N27" s="11">
        <f t="shared" si="22"/>
        <v>0.2</v>
      </c>
      <c r="O27" s="11">
        <f t="shared" si="22"/>
        <v>0.2</v>
      </c>
      <c r="P27" s="11">
        <f t="shared" si="22"/>
        <v>1</v>
      </c>
      <c r="R27" s="6" t="s">
        <v>24</v>
      </c>
      <c r="S27" s="37">
        <f t="shared" si="14"/>
        <v>0.14622415476084835</v>
      </c>
      <c r="T27" s="37">
        <f t="shared" si="6"/>
        <v>-6.1215978094139423E-2</v>
      </c>
      <c r="U27" s="37">
        <f t="shared" si="7"/>
        <v>-0.16547164788357438</v>
      </c>
      <c r="V27" s="37">
        <f t="shared" si="8"/>
        <v>1.2519807816639833E-2</v>
      </c>
      <c r="W27" s="37">
        <f t="shared" si="9"/>
        <v>6.7943663400225673E-2</v>
      </c>
      <c r="X27" s="37">
        <f t="shared" si="10"/>
        <v>0</v>
      </c>
    </row>
    <row r="28" spans="1:24" x14ac:dyDescent="0.2">
      <c r="A28" s="13"/>
      <c r="B28" s="6" t="s">
        <v>25</v>
      </c>
      <c r="C28" s="11">
        <f t="shared" si="11"/>
        <v>5.5484980553872611E-2</v>
      </c>
      <c r="D28" s="11">
        <f t="shared" si="11"/>
        <v>0.2660308401899662</v>
      </c>
      <c r="E28" s="11">
        <f t="shared" si="11"/>
        <v>0.39849903257959229</v>
      </c>
      <c r="F28" s="11">
        <f t="shared" si="11"/>
        <v>0.16428557468680985</v>
      </c>
      <c r="G28" s="11">
        <f t="shared" ref="G28" si="23">G14/$H14</f>
        <v>0.11569957198975903</v>
      </c>
      <c r="H28" s="11">
        <f t="shared" si="11"/>
        <v>1</v>
      </c>
      <c r="J28" s="6" t="s">
        <v>25</v>
      </c>
      <c r="K28" s="11">
        <f t="shared" ref="K28:P28" si="24">K14/$P14</f>
        <v>0.2</v>
      </c>
      <c r="L28" s="11">
        <f t="shared" si="24"/>
        <v>0.2</v>
      </c>
      <c r="M28" s="11">
        <f t="shared" si="24"/>
        <v>0.2</v>
      </c>
      <c r="N28" s="11">
        <f t="shared" si="24"/>
        <v>0.2</v>
      </c>
      <c r="O28" s="11">
        <f t="shared" si="24"/>
        <v>0.2</v>
      </c>
      <c r="P28" s="11">
        <f t="shared" si="24"/>
        <v>1</v>
      </c>
      <c r="R28" s="6" t="s">
        <v>25</v>
      </c>
      <c r="S28" s="37">
        <f t="shared" si="14"/>
        <v>0.14451501944612741</v>
      </c>
      <c r="T28" s="37">
        <f t="shared" si="6"/>
        <v>-6.6030840189966189E-2</v>
      </c>
      <c r="U28" s="37">
        <f t="shared" si="7"/>
        <v>-0.19849903257959228</v>
      </c>
      <c r="V28" s="37">
        <f t="shared" si="8"/>
        <v>3.5714425313190162E-2</v>
      </c>
      <c r="W28" s="37">
        <f t="shared" si="9"/>
        <v>8.4300428010240985E-2</v>
      </c>
      <c r="X28" s="37">
        <f t="shared" si="10"/>
        <v>0</v>
      </c>
    </row>
    <row r="29" spans="1:24" x14ac:dyDescent="0.2">
      <c r="A29" s="13"/>
      <c r="B29" s="6" t="s">
        <v>26</v>
      </c>
      <c r="C29" s="11">
        <f t="shared" si="11"/>
        <v>4.2658158898140223E-2</v>
      </c>
      <c r="D29" s="11">
        <f t="shared" si="11"/>
        <v>0.30527326018727469</v>
      </c>
      <c r="E29" s="11">
        <f t="shared" si="11"/>
        <v>0.37784867584883147</v>
      </c>
      <c r="F29" s="11">
        <f t="shared" si="11"/>
        <v>0.1738593624361269</v>
      </c>
      <c r="G29" s="11">
        <f t="shared" ref="G29" si="25">G15/$H15</f>
        <v>0.10036054262962675</v>
      </c>
      <c r="H29" s="11">
        <f t="shared" si="11"/>
        <v>1</v>
      </c>
      <c r="J29" s="6" t="s">
        <v>26</v>
      </c>
      <c r="K29" s="11">
        <f t="shared" ref="K29:P29" si="26">K15/$P15</f>
        <v>0.2</v>
      </c>
      <c r="L29" s="11">
        <f t="shared" si="26"/>
        <v>0.2</v>
      </c>
      <c r="M29" s="11">
        <f t="shared" si="26"/>
        <v>0.2</v>
      </c>
      <c r="N29" s="11">
        <f t="shared" si="26"/>
        <v>0.2</v>
      </c>
      <c r="O29" s="11">
        <f t="shared" si="26"/>
        <v>0.2</v>
      </c>
      <c r="P29" s="11">
        <f t="shared" si="26"/>
        <v>1</v>
      </c>
      <c r="R29" s="6" t="s">
        <v>26</v>
      </c>
      <c r="S29" s="37">
        <f t="shared" si="14"/>
        <v>0.15734184110185978</v>
      </c>
      <c r="T29" s="37">
        <f t="shared" si="6"/>
        <v>-0.10527326018727468</v>
      </c>
      <c r="U29" s="37">
        <f t="shared" si="7"/>
        <v>-0.17784867584883146</v>
      </c>
      <c r="V29" s="37">
        <f t="shared" si="8"/>
        <v>2.6140637563873109E-2</v>
      </c>
      <c r="W29" s="37">
        <f t="shared" si="9"/>
        <v>9.9639457370373261E-2</v>
      </c>
      <c r="X29" s="37">
        <f t="shared" si="10"/>
        <v>0</v>
      </c>
    </row>
    <row r="30" spans="1:24" x14ac:dyDescent="0.2">
      <c r="A30" s="13"/>
      <c r="B30" s="7" t="s">
        <v>27</v>
      </c>
      <c r="C30" s="12">
        <f t="shared" si="11"/>
        <v>4.0705456263286352E-2</v>
      </c>
      <c r="D30" s="12">
        <f t="shared" si="11"/>
        <v>0.32342925753877649</v>
      </c>
      <c r="E30" s="12">
        <f t="shared" si="11"/>
        <v>0.42723998110385009</v>
      </c>
      <c r="F30" s="12">
        <f t="shared" si="11"/>
        <v>0.1584225651523502</v>
      </c>
      <c r="G30" s="12">
        <f t="shared" ref="G30" si="27">G16/$H16</f>
        <v>5.0202739941736872E-2</v>
      </c>
      <c r="H30" s="12">
        <f t="shared" si="11"/>
        <v>1</v>
      </c>
      <c r="J30" s="7" t="s">
        <v>27</v>
      </c>
      <c r="K30" s="12">
        <f t="shared" ref="K30:P31" si="28">K16/$P16</f>
        <v>0.2</v>
      </c>
      <c r="L30" s="12">
        <f t="shared" si="28"/>
        <v>0.2</v>
      </c>
      <c r="M30" s="12">
        <f t="shared" si="28"/>
        <v>0.2</v>
      </c>
      <c r="N30" s="12">
        <f t="shared" si="28"/>
        <v>0.2</v>
      </c>
      <c r="O30" s="12">
        <f t="shared" si="28"/>
        <v>0.2</v>
      </c>
      <c r="P30" s="12">
        <f t="shared" si="28"/>
        <v>1</v>
      </c>
      <c r="R30" s="7" t="s">
        <v>27</v>
      </c>
      <c r="S30" s="38">
        <f t="shared" si="14"/>
        <v>0.15929454373671365</v>
      </c>
      <c r="T30" s="38">
        <f t="shared" si="6"/>
        <v>-0.12342925753877648</v>
      </c>
      <c r="U30" s="38">
        <f t="shared" si="7"/>
        <v>-0.22723998110385007</v>
      </c>
      <c r="V30" s="38">
        <f t="shared" si="8"/>
        <v>4.1577434847649808E-2</v>
      </c>
      <c r="W30" s="38">
        <f t="shared" si="9"/>
        <v>0.14979726005826313</v>
      </c>
      <c r="X30" s="38">
        <f t="shared" si="10"/>
        <v>0</v>
      </c>
    </row>
    <row r="31" spans="1:24" x14ac:dyDescent="0.2">
      <c r="A31" s="13"/>
      <c r="B31" s="6" t="s">
        <v>28</v>
      </c>
      <c r="C31" s="11">
        <f t="shared" si="11"/>
        <v>9.8525035397454774E-2</v>
      </c>
      <c r="D31" s="11">
        <f t="shared" si="11"/>
        <v>0.33424947504373459</v>
      </c>
      <c r="E31" s="11">
        <f t="shared" si="11"/>
        <v>0.3465181198228573</v>
      </c>
      <c r="F31" s="11">
        <f t="shared" si="11"/>
        <v>0.13919218910295361</v>
      </c>
      <c r="G31" s="11">
        <f t="shared" ref="G31" si="29">G17/$H17</f>
        <v>8.1515180632999756E-2</v>
      </c>
      <c r="H31" s="11">
        <f t="shared" si="11"/>
        <v>1</v>
      </c>
      <c r="J31" s="6" t="s">
        <v>28</v>
      </c>
      <c r="K31" s="11">
        <f t="shared" si="28"/>
        <v>0.2</v>
      </c>
      <c r="L31" s="11">
        <f t="shared" si="28"/>
        <v>0.2</v>
      </c>
      <c r="M31" s="11">
        <f t="shared" si="28"/>
        <v>0.2</v>
      </c>
      <c r="N31" s="11">
        <f t="shared" si="28"/>
        <v>0.2</v>
      </c>
      <c r="O31" s="11">
        <f t="shared" si="28"/>
        <v>0.2</v>
      </c>
      <c r="P31" s="11">
        <f t="shared" si="28"/>
        <v>1</v>
      </c>
      <c r="R31" s="6" t="s">
        <v>28</v>
      </c>
      <c r="S31" s="39">
        <f t="shared" si="14"/>
        <v>0.10147496460254524</v>
      </c>
      <c r="T31" s="39">
        <f t="shared" si="6"/>
        <v>-0.13424947504373458</v>
      </c>
      <c r="U31" s="39">
        <f t="shared" si="7"/>
        <v>-0.14651811982285728</v>
      </c>
      <c r="V31" s="39">
        <f t="shared" si="8"/>
        <v>6.0807810897046399E-2</v>
      </c>
      <c r="W31" s="39">
        <f t="shared" si="9"/>
        <v>0.11848481936700025</v>
      </c>
      <c r="X31" s="39">
        <f t="shared" si="10"/>
        <v>0</v>
      </c>
    </row>
  </sheetData>
  <mergeCells count="5">
    <mergeCell ref="S20:X20"/>
    <mergeCell ref="C6:H6"/>
    <mergeCell ref="C20:H20"/>
    <mergeCell ref="K6:P6"/>
    <mergeCell ref="K20:P20"/>
  </mergeCells>
  <conditionalFormatting sqref="C22:G30">
    <cfRule type="colorScale" priority="5">
      <colorScale>
        <cfvo type="percentile" val="0"/>
        <cfvo type="percentile" val="100"/>
        <color theme="0"/>
        <color theme="4"/>
      </colorScale>
    </cfRule>
  </conditionalFormatting>
  <conditionalFormatting sqref="K22:O30">
    <cfRule type="colorScale" priority="4">
      <colorScale>
        <cfvo type="percentile" val="0"/>
        <cfvo type="percentile" val="100"/>
        <color theme="0"/>
        <color theme="4"/>
      </colorScale>
    </cfRule>
  </conditionalFormatting>
  <conditionalFormatting sqref="S22:X31">
    <cfRule type="colorScale" priority="1">
      <colorScale>
        <cfvo type="num" val="-0.05"/>
        <cfvo type="num" val="0"/>
        <cfvo type="num" val="0.05"/>
        <color rgb="FFF8696B"/>
        <color rgb="FFFCFCFF"/>
        <color rgb="FF63BE7B"/>
      </colorScale>
    </cfRule>
  </conditionalFormatting>
  <pageMargins left="0.7" right="0.7" top="0.75" bottom="0.75" header="0.3" footer="0.3"/>
  <pageSetup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B1:N61"/>
  <sheetViews>
    <sheetView zoomScaleNormal="100" workbookViewId="0">
      <selection activeCell="C5" sqref="C5"/>
    </sheetView>
  </sheetViews>
  <sheetFormatPr defaultRowHeight="12.75" x14ac:dyDescent="0.2"/>
  <cols>
    <col min="1" max="1" width="3.7109375" style="1" customWidth="1"/>
    <col min="2" max="2" width="17.42578125" style="1" customWidth="1"/>
    <col min="3" max="8" width="9.140625" style="1"/>
    <col min="9" max="9" width="20.140625" style="1" customWidth="1"/>
    <col min="10" max="14" width="9" style="1" customWidth="1"/>
    <col min="15" max="16384" width="9.140625" style="1"/>
  </cols>
  <sheetData>
    <row r="1" spans="2:14" x14ac:dyDescent="0.2">
      <c r="I1" s="1" t="s">
        <v>57</v>
      </c>
      <c r="J1" s="32">
        <v>0</v>
      </c>
    </row>
    <row r="4" spans="2:14" x14ac:dyDescent="0.2">
      <c r="B4" s="27" t="s">
        <v>33</v>
      </c>
      <c r="C4" s="17" t="s">
        <v>34</v>
      </c>
      <c r="D4" s="17" t="s">
        <v>35</v>
      </c>
      <c r="E4" s="17" t="s">
        <v>36</v>
      </c>
      <c r="F4" s="17" t="s">
        <v>37</v>
      </c>
      <c r="G4" s="17" t="s">
        <v>38</v>
      </c>
      <c r="I4" s="27" t="s">
        <v>28</v>
      </c>
      <c r="J4" s="17" t="s">
        <v>34</v>
      </c>
      <c r="K4" s="17" t="s">
        <v>35</v>
      </c>
      <c r="L4" s="17" t="s">
        <v>36</v>
      </c>
      <c r="M4" s="17" t="s">
        <v>37</v>
      </c>
      <c r="N4" s="17" t="s">
        <v>38</v>
      </c>
    </row>
    <row r="5" spans="2:14" x14ac:dyDescent="0.2">
      <c r="B5" s="29" t="s">
        <v>39</v>
      </c>
      <c r="C5" s="22">
        <v>0</v>
      </c>
      <c r="D5" s="33">
        <f>'[1]Auto ownership'!H53</f>
        <v>1.1172992162790916</v>
      </c>
      <c r="E5" s="33">
        <f>'[1]Auto ownership'!J53</f>
        <v>-1.2565051850306308</v>
      </c>
      <c r="F5" s="33">
        <f>'[1]Auto ownership'!M53</f>
        <v>-3.3877106944960214</v>
      </c>
      <c r="G5" s="33">
        <f>'[1]Auto ownership'!Q53</f>
        <v>-5.3502031433147499</v>
      </c>
      <c r="I5" s="22" t="s">
        <v>40</v>
      </c>
      <c r="J5" s="14" t="e">
        <f>summary!#REF!</f>
        <v>#REF!</v>
      </c>
      <c r="K5" s="14" t="e">
        <f>summary!#REF!</f>
        <v>#REF!</v>
      </c>
      <c r="L5" s="14" t="e">
        <f>summary!#REF!</f>
        <v>#REF!</v>
      </c>
      <c r="M5" s="14" t="e">
        <f>summary!#REF!</f>
        <v>#REF!</v>
      </c>
      <c r="N5" s="14" t="e">
        <f>summary!#REF!</f>
        <v>#REF!</v>
      </c>
    </row>
    <row r="6" spans="2:14" x14ac:dyDescent="0.2">
      <c r="B6" s="30" t="s">
        <v>41</v>
      </c>
      <c r="C6" s="19">
        <v>0</v>
      </c>
      <c r="D6" s="33">
        <f>'[1]Auto ownership'!H54</f>
        <v>0.57931801393948956</v>
      </c>
      <c r="E6" s="33">
        <f>'[1]Auto ownership'!J54</f>
        <v>0.56301198136124597</v>
      </c>
      <c r="F6" s="33">
        <f>'[1]Auto ownership'!M54</f>
        <v>0.4050938414636639</v>
      </c>
      <c r="G6" s="33">
        <f>'[1]Auto ownership'!Q54</f>
        <v>-0.20245078944536879</v>
      </c>
      <c r="I6" s="1" t="s">
        <v>42</v>
      </c>
      <c r="J6" s="14">
        <f>SUM(modeldata!C$4:C$12)/SUM(modeldata!$C$4:$G$12)</f>
        <v>0.2</v>
      </c>
      <c r="K6" s="14">
        <f>SUM(modeldata!D$4:D$12)/SUM(modeldata!$C$4:$G$12)</f>
        <v>0.2</v>
      </c>
      <c r="L6" s="14">
        <f>SUM(modeldata!E$4:E$12)/SUM(modeldata!$C$4:$G$12)</f>
        <v>0.2</v>
      </c>
      <c r="M6" s="14">
        <f>SUM(modeldata!F$4:F$12)/SUM(modeldata!$C$4:$G$12)</f>
        <v>0.2</v>
      </c>
      <c r="N6" s="14">
        <f>SUM(modeldata!G$4:G$12)/SUM(modeldata!$C$4:$G$12)</f>
        <v>0.2</v>
      </c>
    </row>
    <row r="7" spans="2:14" x14ac:dyDescent="0.2">
      <c r="B7" s="15" t="s">
        <v>43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I7" s="1" t="s">
        <v>44</v>
      </c>
      <c r="J7" s="14" t="e">
        <f t="shared" ref="J7:N7" si="0">J6-J5</f>
        <v>#REF!</v>
      </c>
      <c r="K7" s="14" t="e">
        <f t="shared" si="0"/>
        <v>#REF!</v>
      </c>
      <c r="L7" s="14" t="e">
        <f t="shared" si="0"/>
        <v>#REF!</v>
      </c>
      <c r="M7" s="14" t="e">
        <f t="shared" si="0"/>
        <v>#REF!</v>
      </c>
      <c r="N7" s="14" t="e">
        <f t="shared" si="0"/>
        <v>#REF!</v>
      </c>
    </row>
    <row r="8" spans="2:14" x14ac:dyDescent="0.2">
      <c r="B8" s="15" t="s">
        <v>45</v>
      </c>
      <c r="C8" s="19">
        <v>0</v>
      </c>
      <c r="D8" s="33">
        <f>'[1]Auto ownership'!H59</f>
        <v>0.1844471057264194</v>
      </c>
      <c r="E8" s="33">
        <f>'[1]Auto ownership'!I59</f>
        <v>0.1844471057264194</v>
      </c>
      <c r="F8" s="33">
        <f>'[1]Auto ownership'!J59</f>
        <v>0.20643155178083641</v>
      </c>
      <c r="G8" s="33">
        <f>'[1]Auto ownership'!K59</f>
        <v>0.20643155178083641</v>
      </c>
      <c r="I8" s="18" t="s">
        <v>46</v>
      </c>
      <c r="J8" s="16" t="e">
        <f t="shared" ref="J8:N8" si="1">J7/J5</f>
        <v>#REF!</v>
      </c>
      <c r="K8" s="16" t="e">
        <f t="shared" si="1"/>
        <v>#REF!</v>
      </c>
      <c r="L8" s="16" t="e">
        <f t="shared" si="1"/>
        <v>#REF!</v>
      </c>
      <c r="M8" s="16" t="e">
        <f t="shared" si="1"/>
        <v>#REF!</v>
      </c>
      <c r="N8" s="16" t="e">
        <f t="shared" si="1"/>
        <v>#REF!</v>
      </c>
    </row>
    <row r="9" spans="2:14" x14ac:dyDescent="0.2">
      <c r="B9" s="15" t="s">
        <v>47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I9" s="27" t="s">
        <v>39</v>
      </c>
      <c r="J9" s="19"/>
      <c r="K9" s="19"/>
      <c r="L9" s="19"/>
      <c r="M9" s="19"/>
      <c r="N9" s="19"/>
    </row>
    <row r="10" spans="2:14" x14ac:dyDescent="0.2">
      <c r="B10" s="15" t="s">
        <v>48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I10" s="22" t="s">
        <v>58</v>
      </c>
      <c r="J10" s="22">
        <f>C5</f>
        <v>0</v>
      </c>
      <c r="K10" s="23">
        <f>D5</f>
        <v>1.1172992162790916</v>
      </c>
      <c r="L10" s="23">
        <f t="shared" ref="L10:N10" si="2">E5</f>
        <v>-1.2565051850306308</v>
      </c>
      <c r="M10" s="23">
        <f t="shared" si="2"/>
        <v>-3.3877106944960214</v>
      </c>
      <c r="N10" s="23">
        <f t="shared" si="2"/>
        <v>-5.3502031433147499</v>
      </c>
    </row>
    <row r="11" spans="2:14" x14ac:dyDescent="0.2">
      <c r="B11" s="15" t="s">
        <v>49</v>
      </c>
      <c r="C11" s="19">
        <v>0</v>
      </c>
      <c r="D11" s="33">
        <f>'[1]Auto ownership'!H55</f>
        <v>-0.57903681911096483</v>
      </c>
      <c r="E11" s="33">
        <f>'[1]Auto ownership'!J55</f>
        <v>-0.3943306525851169</v>
      </c>
      <c r="F11" s="33">
        <f>'[1]Auto ownership'!M55</f>
        <v>-0.20319232197177453</v>
      </c>
      <c r="G11" s="33">
        <f>'[1]Auto ownership'!Q55</f>
        <v>-4.5351682239474958E-2</v>
      </c>
      <c r="I11" s="1" t="s">
        <v>53</v>
      </c>
      <c r="J11" s="19">
        <v>0</v>
      </c>
      <c r="K11" s="20" t="e">
        <f>damp*LN(K5/K6)-damp*LN($J5/$J6)</f>
        <v>#REF!</v>
      </c>
      <c r="L11" s="20" t="e">
        <f>damp*LN(L5/L6)-damp*LN($J5/$J6)</f>
        <v>#REF!</v>
      </c>
      <c r="M11" s="20" t="e">
        <f>damp*LN(M5/M6)-damp*LN($J5/$J6)</f>
        <v>#REF!</v>
      </c>
      <c r="N11" s="20" t="e">
        <f>damp*LN(N5/N6)-damp*LN($J5/$J6)</f>
        <v>#REF!</v>
      </c>
    </row>
    <row r="12" spans="2:14" x14ac:dyDescent="0.2">
      <c r="B12" s="15" t="s">
        <v>50</v>
      </c>
      <c r="C12" s="19">
        <v>0</v>
      </c>
      <c r="D12" s="33">
        <f>'[1]Auto ownership'!H56</f>
        <v>-0.57903681911096483</v>
      </c>
      <c r="E12" s="33">
        <f>'[1]Auto ownership'!J56</f>
        <v>-0.3943306525851169</v>
      </c>
      <c r="F12" s="33">
        <f>'[1]Auto ownership'!M56</f>
        <v>-0.20319232197177453</v>
      </c>
      <c r="G12" s="33">
        <f>'[1]Auto ownership'!Q56</f>
        <v>-4.5351682239474958E-2</v>
      </c>
      <c r="I12" s="18" t="s">
        <v>59</v>
      </c>
      <c r="J12" s="17">
        <f>J10+J11</f>
        <v>0</v>
      </c>
      <c r="K12" s="21" t="e">
        <f>K10+K11</f>
        <v>#REF!</v>
      </c>
      <c r="L12" s="21" t="e">
        <f>L10+L11</f>
        <v>#REF!</v>
      </c>
      <c r="M12" s="21" t="e">
        <f>M10+M11</f>
        <v>#REF!</v>
      </c>
      <c r="N12" s="21" t="e">
        <f>N10+N11</f>
        <v>#REF!</v>
      </c>
    </row>
    <row r="13" spans="2:14" x14ac:dyDescent="0.2">
      <c r="B13" s="15" t="s">
        <v>51</v>
      </c>
      <c r="C13" s="19">
        <v>0</v>
      </c>
      <c r="D13" s="33">
        <f>'[1]Auto ownership'!H57</f>
        <v>-0.57903681911096483</v>
      </c>
      <c r="E13" s="33">
        <f>'[1]Auto ownership'!J57</f>
        <v>-0.3943306525851169</v>
      </c>
      <c r="F13" s="33">
        <f>'[1]Auto ownership'!M57</f>
        <v>-0.20319232197177453</v>
      </c>
      <c r="G13" s="33">
        <f>'[1]Auto ownership'!Q57</f>
        <v>-4.5351682239474958E-2</v>
      </c>
    </row>
    <row r="14" spans="2:14" x14ac:dyDescent="0.2">
      <c r="B14" s="31" t="s">
        <v>52</v>
      </c>
      <c r="C14" s="17">
        <v>0</v>
      </c>
      <c r="D14" s="34">
        <f>'[1]Auto ownership'!H58</f>
        <v>-0.43045596379246831</v>
      </c>
      <c r="E14" s="34">
        <f>'[1]Auto ownership'!J58</f>
        <v>-0.18915885187210035</v>
      </c>
      <c r="F14" s="34">
        <f>'[1]Auto ownership'!M58</f>
        <v>-0.17100234100196271</v>
      </c>
      <c r="G14" s="34">
        <f>'[1]Auto ownership'!Q58</f>
        <v>-0.14149246034975063</v>
      </c>
    </row>
    <row r="17" spans="2:14" x14ac:dyDescent="0.2">
      <c r="B17" s="27" t="s">
        <v>54</v>
      </c>
      <c r="C17" s="19" t="s">
        <v>34</v>
      </c>
      <c r="D17" s="17" t="s">
        <v>35</v>
      </c>
      <c r="E17" s="17" t="s">
        <v>36</v>
      </c>
      <c r="F17" s="17" t="s">
        <v>37</v>
      </c>
      <c r="G17" s="17" t="s">
        <v>38</v>
      </c>
      <c r="I17" s="27" t="s">
        <v>19</v>
      </c>
      <c r="J17" s="17" t="s">
        <v>34</v>
      </c>
      <c r="K17" s="17" t="s">
        <v>35</v>
      </c>
      <c r="L17" s="17" t="s">
        <v>36</v>
      </c>
      <c r="M17" s="17" t="s">
        <v>37</v>
      </c>
      <c r="N17" s="17" t="s">
        <v>38</v>
      </c>
    </row>
    <row r="18" spans="2:14" x14ac:dyDescent="0.2">
      <c r="B18" s="29" t="s">
        <v>39</v>
      </c>
      <c r="C18" s="25">
        <v>0</v>
      </c>
      <c r="D18" s="33" t="e">
        <f>K12</f>
        <v>#REF!</v>
      </c>
      <c r="E18" s="33" t="e">
        <f>L12</f>
        <v>#REF!</v>
      </c>
      <c r="F18" s="33" t="e">
        <f>M12</f>
        <v>#REF!</v>
      </c>
      <c r="G18" s="33" t="e">
        <f>N12</f>
        <v>#REF!</v>
      </c>
      <c r="I18" s="22" t="s">
        <v>40</v>
      </c>
      <c r="J18" s="14" t="e">
        <f>summary!#REF!</f>
        <v>#REF!</v>
      </c>
      <c r="K18" s="14" t="e">
        <f>summary!#REF!</f>
        <v>#REF!</v>
      </c>
      <c r="L18" s="14" t="e">
        <f>summary!#REF!</f>
        <v>#REF!</v>
      </c>
      <c r="M18" s="14" t="e">
        <f>summary!#REF!</f>
        <v>#REF!</v>
      </c>
      <c r="N18" s="14" t="e">
        <f>summary!#REF!</f>
        <v>#REF!</v>
      </c>
    </row>
    <row r="19" spans="2:14" x14ac:dyDescent="0.2">
      <c r="B19" s="30" t="s">
        <v>41</v>
      </c>
      <c r="C19" s="24">
        <v>0</v>
      </c>
      <c r="D19" s="33" t="e">
        <f>K25</f>
        <v>#REF!</v>
      </c>
      <c r="E19" s="33" t="e">
        <f>L25</f>
        <v>#REF!</v>
      </c>
      <c r="F19" s="33" t="e">
        <f>M25</f>
        <v>#REF!</v>
      </c>
      <c r="G19" s="33" t="e">
        <f>N25</f>
        <v>#REF!</v>
      </c>
      <c r="I19" s="1" t="s">
        <v>42</v>
      </c>
      <c r="J19" s="14">
        <f>modeldata!C$4/SUM(modeldata!$C4:$G4)</f>
        <v>0.2</v>
      </c>
      <c r="K19" s="14">
        <f>modeldata!D$4/SUM(modeldata!$C4:$G4)</f>
        <v>0.2</v>
      </c>
      <c r="L19" s="14">
        <f>modeldata!E$4/SUM(modeldata!$C4:$G4)</f>
        <v>0.2</v>
      </c>
      <c r="M19" s="14">
        <f>modeldata!F$4/SUM(modeldata!$C4:$G4)</f>
        <v>0.2</v>
      </c>
      <c r="N19" s="14">
        <f>modeldata!G$4/SUM(modeldata!$C4:$G4)</f>
        <v>0.2</v>
      </c>
    </row>
    <row r="20" spans="2:14" x14ac:dyDescent="0.2">
      <c r="B20" s="15" t="s">
        <v>43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I20" s="1" t="s">
        <v>44</v>
      </c>
      <c r="J20" s="14" t="e">
        <f>J19-J18</f>
        <v>#REF!</v>
      </c>
      <c r="K20" s="14" t="e">
        <f>K19-K18</f>
        <v>#REF!</v>
      </c>
      <c r="L20" s="14" t="e">
        <f>L19-L18</f>
        <v>#REF!</v>
      </c>
      <c r="M20" s="14" t="e">
        <f>M19-M18</f>
        <v>#REF!</v>
      </c>
      <c r="N20" s="14" t="e">
        <f>N19-N18</f>
        <v>#REF!</v>
      </c>
    </row>
    <row r="21" spans="2:14" x14ac:dyDescent="0.2">
      <c r="B21" s="15" t="s">
        <v>45</v>
      </c>
      <c r="C21" s="24">
        <f>J61</f>
        <v>0</v>
      </c>
      <c r="D21" s="33" t="e">
        <f>K61</f>
        <v>#REF!</v>
      </c>
      <c r="E21" s="33" t="e">
        <f t="shared" ref="E21:G21" si="3">L61</f>
        <v>#REF!</v>
      </c>
      <c r="F21" s="33" t="e">
        <f t="shared" si="3"/>
        <v>#REF!</v>
      </c>
      <c r="G21" s="33" t="e">
        <f t="shared" si="3"/>
        <v>#REF!</v>
      </c>
      <c r="I21" s="18" t="s">
        <v>46</v>
      </c>
      <c r="J21" s="16" t="e">
        <f>J20/J18</f>
        <v>#REF!</v>
      </c>
      <c r="K21" s="16" t="e">
        <f>K20/K18</f>
        <v>#REF!</v>
      </c>
      <c r="L21" s="16" t="e">
        <f>L20/L18</f>
        <v>#REF!</v>
      </c>
      <c r="M21" s="16" t="e">
        <f>M20/M18</f>
        <v>#REF!</v>
      </c>
      <c r="N21" s="16" t="e">
        <f>N20/N18</f>
        <v>#REF!</v>
      </c>
    </row>
    <row r="22" spans="2:14" x14ac:dyDescent="0.2">
      <c r="B22" s="15" t="s">
        <v>47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J22" s="14"/>
      <c r="K22" s="14"/>
      <c r="L22" s="14"/>
      <c r="M22" s="14"/>
    </row>
    <row r="23" spans="2:14" x14ac:dyDescent="0.2">
      <c r="B23" s="15" t="s">
        <v>48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I23" s="22" t="s">
        <v>58</v>
      </c>
      <c r="J23" s="22">
        <f>C6</f>
        <v>0</v>
      </c>
      <c r="K23" s="23">
        <f>D6</f>
        <v>0.57931801393948956</v>
      </c>
      <c r="L23" s="23">
        <f>E6</f>
        <v>0.56301198136124597</v>
      </c>
      <c r="M23" s="23">
        <f>F6</f>
        <v>0.4050938414636639</v>
      </c>
      <c r="N23" s="23">
        <f>G6</f>
        <v>-0.20245078944536879</v>
      </c>
    </row>
    <row r="24" spans="2:14" x14ac:dyDescent="0.2">
      <c r="B24" s="15" t="s">
        <v>49</v>
      </c>
      <c r="C24" s="24">
        <f>J37</f>
        <v>0</v>
      </c>
      <c r="D24" s="33" t="e">
        <f>K37</f>
        <v>#REF!</v>
      </c>
      <c r="E24" s="33" t="e">
        <f>L37</f>
        <v>#REF!</v>
      </c>
      <c r="F24" s="33" t="e">
        <f>M37</f>
        <v>#REF!</v>
      </c>
      <c r="G24" s="33" t="e">
        <f>N37</f>
        <v>#REF!</v>
      </c>
      <c r="I24" s="1" t="s">
        <v>53</v>
      </c>
      <c r="J24" s="19">
        <v>0</v>
      </c>
      <c r="K24" s="20" t="e">
        <f>damp*LN(K18/K19)-damp*LN($J18/$J19)-K11</f>
        <v>#REF!</v>
      </c>
      <c r="L24" s="20" t="e">
        <f>damp*LN(L18/L19)-damp*LN($J18/$J19)-L11</f>
        <v>#REF!</v>
      </c>
      <c r="M24" s="20" t="e">
        <f>damp*LN(M18/M19)-damp*LN($J18/$J19)-M11</f>
        <v>#REF!</v>
      </c>
      <c r="N24" s="20" t="e">
        <f>damp*LN(N18/N19)-damp*LN($J18/$J19)</f>
        <v>#REF!</v>
      </c>
    </row>
    <row r="25" spans="2:14" x14ac:dyDescent="0.2">
      <c r="B25" s="15" t="s">
        <v>50</v>
      </c>
      <c r="C25" s="24">
        <f>J37</f>
        <v>0</v>
      </c>
      <c r="D25" s="33" t="e">
        <f>K37</f>
        <v>#REF!</v>
      </c>
      <c r="E25" s="33" t="e">
        <f>L37</f>
        <v>#REF!</v>
      </c>
      <c r="F25" s="33" t="e">
        <f>M37</f>
        <v>#REF!</v>
      </c>
      <c r="G25" s="33" t="e">
        <f>N37</f>
        <v>#REF!</v>
      </c>
      <c r="I25" s="18" t="s">
        <v>59</v>
      </c>
      <c r="J25" s="17">
        <f>J23+J24</f>
        <v>0</v>
      </c>
      <c r="K25" s="21" t="e">
        <f>K23+K24</f>
        <v>#REF!</v>
      </c>
      <c r="L25" s="21" t="e">
        <f>L23+L24</f>
        <v>#REF!</v>
      </c>
      <c r="M25" s="21" t="e">
        <f>M23+M24</f>
        <v>#REF!</v>
      </c>
      <c r="N25" s="21" t="e">
        <f>N23+N24</f>
        <v>#REF!</v>
      </c>
    </row>
    <row r="26" spans="2:14" x14ac:dyDescent="0.2">
      <c r="B26" s="15" t="s">
        <v>51</v>
      </c>
      <c r="C26" s="24">
        <f>J37</f>
        <v>0</v>
      </c>
      <c r="D26" s="33" t="e">
        <f>K37</f>
        <v>#REF!</v>
      </c>
      <c r="E26" s="33" t="e">
        <f>L37</f>
        <v>#REF!</v>
      </c>
      <c r="F26" s="33" t="e">
        <f>M37</f>
        <v>#REF!</v>
      </c>
      <c r="G26" s="33" t="e">
        <f>N37</f>
        <v>#REF!</v>
      </c>
    </row>
    <row r="27" spans="2:14" x14ac:dyDescent="0.2">
      <c r="B27" s="31" t="s">
        <v>52</v>
      </c>
      <c r="C27" s="26">
        <v>0</v>
      </c>
      <c r="D27" s="34" t="e">
        <f>K49</f>
        <v>#REF!</v>
      </c>
      <c r="E27" s="34" t="e">
        <f t="shared" ref="E27:G27" si="4">L49</f>
        <v>#REF!</v>
      </c>
      <c r="F27" s="34" t="e">
        <f t="shared" si="4"/>
        <v>#REF!</v>
      </c>
      <c r="G27" s="34" t="e">
        <f t="shared" si="4"/>
        <v>#REF!</v>
      </c>
    </row>
    <row r="29" spans="2:14" x14ac:dyDescent="0.2">
      <c r="I29" s="27" t="s">
        <v>55</v>
      </c>
      <c r="J29" s="17" t="s">
        <v>34</v>
      </c>
      <c r="K29" s="17" t="s">
        <v>35</v>
      </c>
      <c r="L29" s="17" t="s">
        <v>36</v>
      </c>
      <c r="M29" s="17" t="s">
        <v>37</v>
      </c>
      <c r="N29" s="17" t="s">
        <v>38</v>
      </c>
    </row>
    <row r="30" spans="2:14" x14ac:dyDescent="0.2">
      <c r="I30" s="22" t="s">
        <v>40</v>
      </c>
      <c r="J30" s="14" t="e">
        <f>SUM(summary!#REF!)/SUM(summary!#REF!)</f>
        <v>#REF!</v>
      </c>
      <c r="K30" s="14" t="e">
        <f>SUM(summary!#REF!)/SUM(summary!#REF!)</f>
        <v>#REF!</v>
      </c>
      <c r="L30" s="14" t="e">
        <f>SUM(summary!#REF!)/SUM(summary!#REF!)</f>
        <v>#REF!</v>
      </c>
      <c r="M30" s="14" t="e">
        <f>SUM(summary!#REF!)/SUM(summary!#REF!)</f>
        <v>#REF!</v>
      </c>
      <c r="N30" s="14" t="e">
        <f>SUM(summary!#REF!)/SUM(summary!#REF!)</f>
        <v>#REF!</v>
      </c>
    </row>
    <row r="31" spans="2:14" x14ac:dyDescent="0.2">
      <c r="I31" s="1" t="s">
        <v>42</v>
      </c>
      <c r="J31" s="14">
        <f>SUM(modeldata!C$9:C$11)/SUM(modeldata!$C$9:$G$11)</f>
        <v>0.2</v>
      </c>
      <c r="K31" s="14">
        <f>SUM(modeldata!D$9:D$11)/SUM(modeldata!$C$9:$G$11)</f>
        <v>0.2</v>
      </c>
      <c r="L31" s="14">
        <f>SUM(modeldata!E$9:E$11)/SUM(modeldata!$C$9:$G$11)</f>
        <v>0.2</v>
      </c>
      <c r="M31" s="14">
        <f>SUM(modeldata!F$9:F$11)/SUM(modeldata!$C$9:$G$11)</f>
        <v>0.2</v>
      </c>
      <c r="N31" s="14">
        <f>SUM(modeldata!G$9:G$11)/SUM(modeldata!$C$9:$G$11)</f>
        <v>0.2</v>
      </c>
    </row>
    <row r="32" spans="2:14" x14ac:dyDescent="0.2">
      <c r="I32" s="1" t="s">
        <v>44</v>
      </c>
      <c r="J32" s="14" t="e">
        <f>J31-J30</f>
        <v>#REF!</v>
      </c>
      <c r="K32" s="14" t="e">
        <f>K31-K30</f>
        <v>#REF!</v>
      </c>
      <c r="L32" s="14" t="e">
        <f>L31-L30</f>
        <v>#REF!</v>
      </c>
      <c r="M32" s="14" t="e">
        <f>M31-M30</f>
        <v>#REF!</v>
      </c>
      <c r="N32" s="14" t="e">
        <f>N31-N30</f>
        <v>#REF!</v>
      </c>
    </row>
    <row r="33" spans="9:14" x14ac:dyDescent="0.2">
      <c r="I33" s="18" t="s">
        <v>46</v>
      </c>
      <c r="J33" s="16" t="e">
        <f>J32/J30</f>
        <v>#REF!</v>
      </c>
      <c r="K33" s="16" t="e">
        <f>K32/K30</f>
        <v>#REF!</v>
      </c>
      <c r="L33" s="16" t="e">
        <f>L32/L30</f>
        <v>#REF!</v>
      </c>
      <c r="M33" s="16" t="e">
        <f>M32/M30</f>
        <v>#REF!</v>
      </c>
      <c r="N33" s="16" t="e">
        <f>N32/N30</f>
        <v>#REF!</v>
      </c>
    </row>
    <row r="34" spans="9:14" x14ac:dyDescent="0.2">
      <c r="J34" s="14"/>
      <c r="K34" s="14"/>
      <c r="L34" s="14"/>
      <c r="M34" s="14"/>
    </row>
    <row r="35" spans="9:14" x14ac:dyDescent="0.2">
      <c r="I35" s="22" t="s">
        <v>58</v>
      </c>
      <c r="J35" s="22">
        <f>C12</f>
        <v>0</v>
      </c>
      <c r="K35" s="23">
        <f>D12</f>
        <v>-0.57903681911096483</v>
      </c>
      <c r="L35" s="23">
        <f>E12</f>
        <v>-0.3943306525851169</v>
      </c>
      <c r="M35" s="23">
        <f>F12</f>
        <v>-0.20319232197177453</v>
      </c>
      <c r="N35" s="23">
        <f>G12</f>
        <v>-4.5351682239474958E-2</v>
      </c>
    </row>
    <row r="36" spans="9:14" x14ac:dyDescent="0.2">
      <c r="I36" s="1" t="s">
        <v>53</v>
      </c>
      <c r="J36" s="19">
        <v>0</v>
      </c>
      <c r="K36" s="20" t="e">
        <f>damp*LN(K30/K31)-damp*LN($J30/$J31)-K11</f>
        <v>#REF!</v>
      </c>
      <c r="L36" s="20" t="e">
        <f>damp*LN(L30/L31)-damp*LN($J30/$J31)-L11</f>
        <v>#REF!</v>
      </c>
      <c r="M36" s="20" t="e">
        <f>damp*LN(M30/M31)-damp*LN($J30/$J31)-M11</f>
        <v>#REF!</v>
      </c>
      <c r="N36" s="20" t="e">
        <f>damp*LN(N30/N31)-damp*LN($J30/$J31)</f>
        <v>#REF!</v>
      </c>
    </row>
    <row r="37" spans="9:14" x14ac:dyDescent="0.2">
      <c r="I37" s="18" t="s">
        <v>59</v>
      </c>
      <c r="J37" s="17">
        <f>J35+J36</f>
        <v>0</v>
      </c>
      <c r="K37" s="21" t="e">
        <f>K35+K36</f>
        <v>#REF!</v>
      </c>
      <c r="L37" s="21" t="e">
        <f>L35+L36</f>
        <v>#REF!</v>
      </c>
      <c r="M37" s="21" t="e">
        <f>M35+M36</f>
        <v>#REF!</v>
      </c>
      <c r="N37" s="21" t="e">
        <f>N35+N36</f>
        <v>#REF!</v>
      </c>
    </row>
    <row r="41" spans="9:14" x14ac:dyDescent="0.2">
      <c r="I41" s="27" t="s">
        <v>27</v>
      </c>
      <c r="J41" s="17" t="s">
        <v>34</v>
      </c>
      <c r="K41" s="17" t="s">
        <v>35</v>
      </c>
      <c r="L41" s="17" t="s">
        <v>36</v>
      </c>
      <c r="M41" s="17" t="s">
        <v>37</v>
      </c>
      <c r="N41" s="17" t="s">
        <v>38</v>
      </c>
    </row>
    <row r="42" spans="9:14" x14ac:dyDescent="0.2">
      <c r="I42" s="22" t="s">
        <v>40</v>
      </c>
      <c r="J42" s="14" t="e">
        <f>summary!#REF!</f>
        <v>#REF!</v>
      </c>
      <c r="K42" s="14" t="e">
        <f>summary!#REF!</f>
        <v>#REF!</v>
      </c>
      <c r="L42" s="14" t="e">
        <f>summary!#REF!</f>
        <v>#REF!</v>
      </c>
      <c r="M42" s="14" t="e">
        <f>summary!#REF!</f>
        <v>#REF!</v>
      </c>
      <c r="N42" s="14" t="e">
        <f>summary!#REF!</f>
        <v>#REF!</v>
      </c>
    </row>
    <row r="43" spans="9:14" x14ac:dyDescent="0.2">
      <c r="I43" s="1" t="s">
        <v>42</v>
      </c>
      <c r="J43" s="14">
        <f>modeldata!C$12/SUM(modeldata!$C$12:$G$12)</f>
        <v>0.2</v>
      </c>
      <c r="K43" s="14">
        <f>modeldata!D$12/SUM(modeldata!$C$12:$G$12)</f>
        <v>0.2</v>
      </c>
      <c r="L43" s="14">
        <f>modeldata!E$12/SUM(modeldata!$C$12:$G$12)</f>
        <v>0.2</v>
      </c>
      <c r="M43" s="14">
        <f>modeldata!F$12/SUM(modeldata!$C$12:$G$12)</f>
        <v>0.2</v>
      </c>
      <c r="N43" s="14">
        <f>modeldata!G$12/SUM(modeldata!$C$12:$G$12)</f>
        <v>0.2</v>
      </c>
    </row>
    <row r="44" spans="9:14" x14ac:dyDescent="0.2">
      <c r="I44" s="1" t="s">
        <v>44</v>
      </c>
      <c r="J44" s="14" t="e">
        <f>J43-J42</f>
        <v>#REF!</v>
      </c>
      <c r="K44" s="14" t="e">
        <f>K43-K42</f>
        <v>#REF!</v>
      </c>
      <c r="L44" s="14" t="e">
        <f>L43-L42</f>
        <v>#REF!</v>
      </c>
      <c r="M44" s="14" t="e">
        <f>M43-M42</f>
        <v>#REF!</v>
      </c>
      <c r="N44" s="14" t="e">
        <f>N43-N42</f>
        <v>#REF!</v>
      </c>
    </row>
    <row r="45" spans="9:14" x14ac:dyDescent="0.2">
      <c r="I45" s="18" t="s">
        <v>46</v>
      </c>
      <c r="J45" s="16" t="e">
        <f>J44/J42</f>
        <v>#REF!</v>
      </c>
      <c r="K45" s="16" t="e">
        <f>K44/K42</f>
        <v>#REF!</v>
      </c>
      <c r="L45" s="16" t="e">
        <f>L44/L42</f>
        <v>#REF!</v>
      </c>
      <c r="M45" s="16" t="e">
        <f>M44/M42</f>
        <v>#REF!</v>
      </c>
      <c r="N45" s="16" t="e">
        <f>N44/N42</f>
        <v>#REF!</v>
      </c>
    </row>
    <row r="46" spans="9:14" x14ac:dyDescent="0.2">
      <c r="J46" s="14"/>
      <c r="K46" s="14"/>
      <c r="L46" s="14"/>
      <c r="M46" s="14"/>
    </row>
    <row r="47" spans="9:14" x14ac:dyDescent="0.2">
      <c r="I47" s="22" t="s">
        <v>58</v>
      </c>
      <c r="J47" s="22">
        <f>C14</f>
        <v>0</v>
      </c>
      <c r="K47" s="23">
        <f>D14</f>
        <v>-0.43045596379246831</v>
      </c>
      <c r="L47" s="23">
        <f>E14</f>
        <v>-0.18915885187210035</v>
      </c>
      <c r="M47" s="23">
        <f>F14</f>
        <v>-0.17100234100196271</v>
      </c>
      <c r="N47" s="23">
        <f>G14</f>
        <v>-0.14149246034975063</v>
      </c>
    </row>
    <row r="48" spans="9:14" x14ac:dyDescent="0.2">
      <c r="I48" s="1" t="s">
        <v>53</v>
      </c>
      <c r="J48" s="19">
        <v>0</v>
      </c>
      <c r="K48" s="20" t="e">
        <f>damp*LN(K42/K43)-damp*LN($J42/$J43)-K11</f>
        <v>#REF!</v>
      </c>
      <c r="L48" s="20" t="e">
        <f>damp*LN(L42/L43)-damp*LN($J42/$J43)-L11</f>
        <v>#REF!</v>
      </c>
      <c r="M48" s="20" t="e">
        <f>damp*LN(M42/M43)-damp*LN($J42/$J43)-M11</f>
        <v>#REF!</v>
      </c>
      <c r="N48" s="20" t="e">
        <f>damp*LN(N42/N43)-damp*LN($J42/$J43)-N11</f>
        <v>#REF!</v>
      </c>
    </row>
    <row r="49" spans="9:14" x14ac:dyDescent="0.2">
      <c r="I49" s="18" t="s">
        <v>59</v>
      </c>
      <c r="J49" s="17">
        <f>J47+J48</f>
        <v>0</v>
      </c>
      <c r="K49" s="21" t="e">
        <f>K47+K48</f>
        <v>#REF!</v>
      </c>
      <c r="L49" s="21" t="e">
        <f>L47+L48</f>
        <v>#REF!</v>
      </c>
      <c r="M49" s="21" t="e">
        <f>M47+M48</f>
        <v>#REF!</v>
      </c>
      <c r="N49" s="21" t="e">
        <f>N47+N48</f>
        <v>#REF!</v>
      </c>
    </row>
    <row r="52" spans="9:14" x14ac:dyDescent="0.2">
      <c r="I52" s="13"/>
    </row>
    <row r="53" spans="9:14" x14ac:dyDescent="0.2">
      <c r="I53" s="27" t="s">
        <v>21</v>
      </c>
      <c r="J53" s="18" t="s">
        <v>34</v>
      </c>
      <c r="K53" s="18" t="s">
        <v>35</v>
      </c>
      <c r="L53" s="18" t="s">
        <v>36</v>
      </c>
      <c r="M53" s="18" t="s">
        <v>37</v>
      </c>
      <c r="N53" s="18" t="s">
        <v>38</v>
      </c>
    </row>
    <row r="54" spans="9:14" x14ac:dyDescent="0.2">
      <c r="I54" s="22" t="s">
        <v>40</v>
      </c>
      <c r="J54" s="14" t="e">
        <f>summary!#REF!</f>
        <v>#REF!</v>
      </c>
      <c r="K54" s="14" t="e">
        <f>summary!#REF!</f>
        <v>#REF!</v>
      </c>
      <c r="L54" s="14" t="e">
        <f>summary!#REF!</f>
        <v>#REF!</v>
      </c>
      <c r="M54" s="14" t="e">
        <f>summary!#REF!</f>
        <v>#REF!</v>
      </c>
      <c r="N54" s="14" t="e">
        <f>summary!#REF!</f>
        <v>#REF!</v>
      </c>
    </row>
    <row r="55" spans="9:14" x14ac:dyDescent="0.2">
      <c r="I55" s="1" t="s">
        <v>42</v>
      </c>
      <c r="J55" s="14">
        <f>modeldata!C$6/SUM(modeldata!$C$6:$G$6)</f>
        <v>0.2</v>
      </c>
      <c r="K55" s="14">
        <f>modeldata!D$6/SUM(modeldata!$C$6:$G$6)</f>
        <v>0.2</v>
      </c>
      <c r="L55" s="14">
        <f>modeldata!E$6/SUM(modeldata!$C$6:$G$6)</f>
        <v>0.2</v>
      </c>
      <c r="M55" s="14">
        <f>modeldata!F$6/SUM(modeldata!$C$6:$G$6)</f>
        <v>0.2</v>
      </c>
      <c r="N55" s="14">
        <f>modeldata!G$6/SUM(modeldata!$C$6:$G$6)</f>
        <v>0.2</v>
      </c>
    </row>
    <row r="56" spans="9:14" x14ac:dyDescent="0.2">
      <c r="I56" s="1" t="s">
        <v>44</v>
      </c>
      <c r="J56" s="14" t="e">
        <f>J55-J54</f>
        <v>#REF!</v>
      </c>
      <c r="K56" s="14" t="e">
        <f>K55-K54</f>
        <v>#REF!</v>
      </c>
      <c r="L56" s="14" t="e">
        <f>L55-L54</f>
        <v>#REF!</v>
      </c>
      <c r="M56" s="14" t="e">
        <f>M55-M54</f>
        <v>#REF!</v>
      </c>
      <c r="N56" s="14" t="e">
        <f>N55-N54</f>
        <v>#REF!</v>
      </c>
    </row>
    <row r="57" spans="9:14" x14ac:dyDescent="0.2">
      <c r="I57" s="18" t="s">
        <v>46</v>
      </c>
      <c r="J57" s="16" t="e">
        <f>J56/J54</f>
        <v>#REF!</v>
      </c>
      <c r="K57" s="16" t="e">
        <f>K56/K54</f>
        <v>#REF!</v>
      </c>
      <c r="L57" s="16" t="e">
        <f>L56/L54</f>
        <v>#REF!</v>
      </c>
      <c r="M57" s="16" t="e">
        <f>M56/M54</f>
        <v>#REF!</v>
      </c>
      <c r="N57" s="16" t="e">
        <f>N56/N54</f>
        <v>#REF!</v>
      </c>
    </row>
    <row r="58" spans="9:14" x14ac:dyDescent="0.2">
      <c r="J58" s="14"/>
      <c r="K58" s="14"/>
      <c r="L58" s="14"/>
      <c r="M58" s="14"/>
    </row>
    <row r="59" spans="9:14" x14ac:dyDescent="0.2">
      <c r="I59" s="22" t="s">
        <v>58</v>
      </c>
      <c r="J59" s="22">
        <f>C8</f>
        <v>0</v>
      </c>
      <c r="K59" s="23">
        <f>D8</f>
        <v>0.1844471057264194</v>
      </c>
      <c r="L59" s="23">
        <f>E8</f>
        <v>0.1844471057264194</v>
      </c>
      <c r="M59" s="23">
        <f>F8</f>
        <v>0.20643155178083641</v>
      </c>
      <c r="N59" s="23">
        <f>G8</f>
        <v>0.20643155178083641</v>
      </c>
    </row>
    <row r="60" spans="9:14" x14ac:dyDescent="0.2">
      <c r="I60" s="1" t="s">
        <v>53</v>
      </c>
      <c r="J60" s="19">
        <v>0</v>
      </c>
      <c r="K60" s="20" t="e">
        <f>damp*LN(K54/K55)-damp*LN($J54/$J55)-K11</f>
        <v>#REF!</v>
      </c>
      <c r="L60" s="20" t="e">
        <f>damp*LN(L54/L55)-damp*LN($J54/$J55)-L11</f>
        <v>#REF!</v>
      </c>
      <c r="M60" s="20" t="e">
        <f>damp*LN(M54/M55)-damp*LN($J54/$J55)-M11</f>
        <v>#REF!</v>
      </c>
      <c r="N60" s="20" t="e">
        <f>damp*LN(N54/N55)-damp*LN($J54/$J55)-N11</f>
        <v>#REF!</v>
      </c>
    </row>
    <row r="61" spans="9:14" x14ac:dyDescent="0.2">
      <c r="I61" s="18" t="s">
        <v>59</v>
      </c>
      <c r="J61" s="17">
        <f>J59+J60</f>
        <v>0</v>
      </c>
      <c r="K61" s="21" t="e">
        <f>K59+K60</f>
        <v>#REF!</v>
      </c>
      <c r="L61" s="21" t="e">
        <f>L59+L60</f>
        <v>#REF!</v>
      </c>
      <c r="M61" s="21" t="e">
        <f>M59+M60</f>
        <v>#REF!</v>
      </c>
      <c r="N61" s="21" t="e">
        <f>N59+N60</f>
        <v>#REF!</v>
      </c>
    </row>
  </sheetData>
  <conditionalFormatting sqref="D5:G6">
    <cfRule type="cellIs" dxfId="11" priority="11" stopIfTrue="1" operator="lessThan">
      <formula>0</formula>
    </cfRule>
    <cfRule type="cellIs" dxfId="10" priority="12" stopIfTrue="1" operator="greaterThan">
      <formula>0</formula>
    </cfRule>
  </conditionalFormatting>
  <conditionalFormatting sqref="D8:G8">
    <cfRule type="cellIs" dxfId="9" priority="1" stopIfTrue="1" operator="lessThan">
      <formula>0</formula>
    </cfRule>
    <cfRule type="cellIs" dxfId="8" priority="2" stopIfTrue="1" operator="greaterThan">
      <formula>0</formula>
    </cfRule>
  </conditionalFormatting>
  <conditionalFormatting sqref="D11:G14">
    <cfRule type="cellIs" dxfId="7" priority="9" stopIfTrue="1" operator="lessThan">
      <formula>0</formula>
    </cfRule>
    <cfRule type="cellIs" dxfId="6" priority="10" stopIfTrue="1" operator="greaterThan">
      <formula>0</formula>
    </cfRule>
  </conditionalFormatting>
  <conditionalFormatting sqref="D18:G19">
    <cfRule type="cellIs" dxfId="5" priority="7" stopIfTrue="1" operator="lessThan">
      <formula>0</formula>
    </cfRule>
    <cfRule type="cellIs" dxfId="4" priority="8" stopIfTrue="1" operator="greaterThan">
      <formula>0</formula>
    </cfRule>
  </conditionalFormatting>
  <conditionalFormatting sqref="D21:G21">
    <cfRule type="cellIs" dxfId="3" priority="3" stopIfTrue="1" operator="lessThan">
      <formula>0</formula>
    </cfRule>
    <cfRule type="cellIs" dxfId="2" priority="4" stopIfTrue="1" operator="greaterThan">
      <formula>0</formula>
    </cfRule>
  </conditionalFormatting>
  <conditionalFormatting sqref="D24:G27">
    <cfRule type="cellIs" dxfId="1" priority="5" stopIfTrue="1" operator="lessThan">
      <formula>0</formula>
    </cfRule>
    <cfRule type="cellIs" dxfId="0" priority="6" stopIfTrue="1" operator="greaterThan">
      <formula>0</formula>
    </cfRule>
  </conditionalFormatting>
  <pageMargins left="0.7" right="0.7" top="0.75" bottom="0.75" header="0.3" footer="0.3"/>
  <pageSetup scale="6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G12"/>
  <sheetViews>
    <sheetView workbookViewId="0">
      <selection activeCell="G13" sqref="G13"/>
    </sheetView>
  </sheetViews>
  <sheetFormatPr defaultRowHeight="15" x14ac:dyDescent="0.25"/>
  <cols>
    <col min="1" max="1" width="7.28515625" bestFit="1" customWidth="1"/>
    <col min="2" max="2" width="12" bestFit="1" customWidth="1"/>
    <col min="3" max="6" width="9.42578125" bestFit="1" customWidth="1"/>
    <col min="7" max="7" width="8.42578125" bestFit="1" customWidth="1"/>
  </cols>
  <sheetData>
    <row r="1" spans="1:7" x14ac:dyDescent="0.25">
      <c r="A1" s="3" t="s">
        <v>61</v>
      </c>
    </row>
    <row r="2" spans="1:7" x14ac:dyDescent="0.25">
      <c r="A2" s="3"/>
    </row>
    <row r="3" spans="1:7" x14ac:dyDescent="0.25">
      <c r="A3" s="1" t="s">
        <v>31</v>
      </c>
      <c r="B3" s="1" t="s">
        <v>32</v>
      </c>
      <c r="C3" s="1">
        <v>0</v>
      </c>
      <c r="D3" s="1">
        <v>1</v>
      </c>
      <c r="E3" s="1">
        <v>2</v>
      </c>
      <c r="F3" s="1">
        <v>3</v>
      </c>
      <c r="G3" s="1">
        <v>4</v>
      </c>
    </row>
    <row r="4" spans="1:7" x14ac:dyDescent="0.25">
      <c r="A4" s="1">
        <v>1</v>
      </c>
      <c r="B4" s="1" t="s">
        <v>19</v>
      </c>
      <c r="C4" s="8">
        <v>1</v>
      </c>
      <c r="D4" s="8">
        <v>1</v>
      </c>
      <c r="E4" s="8">
        <v>1</v>
      </c>
      <c r="F4" s="8">
        <v>1</v>
      </c>
      <c r="G4" s="8">
        <v>1</v>
      </c>
    </row>
    <row r="5" spans="1:7" x14ac:dyDescent="0.25">
      <c r="A5" s="1">
        <v>2</v>
      </c>
      <c r="B5" s="1" t="s">
        <v>20</v>
      </c>
      <c r="C5" s="8">
        <v>1</v>
      </c>
      <c r="D5" s="8">
        <v>1</v>
      </c>
      <c r="E5" s="8">
        <v>1</v>
      </c>
      <c r="F5" s="8">
        <v>1</v>
      </c>
      <c r="G5" s="8">
        <v>1</v>
      </c>
    </row>
    <row r="6" spans="1:7" x14ac:dyDescent="0.25">
      <c r="A6" s="1">
        <v>3</v>
      </c>
      <c r="B6" s="1" t="s">
        <v>21</v>
      </c>
      <c r="C6" s="8">
        <v>1</v>
      </c>
      <c r="D6" s="8">
        <v>1</v>
      </c>
      <c r="E6" s="8">
        <v>1</v>
      </c>
      <c r="F6" s="8">
        <v>1</v>
      </c>
      <c r="G6" s="8">
        <v>1</v>
      </c>
    </row>
    <row r="7" spans="1:7" x14ac:dyDescent="0.25">
      <c r="A7" s="1">
        <v>4</v>
      </c>
      <c r="B7" s="1" t="s">
        <v>22</v>
      </c>
      <c r="C7" s="8">
        <v>1</v>
      </c>
      <c r="D7" s="8">
        <v>1</v>
      </c>
      <c r="E7" s="8">
        <v>1</v>
      </c>
      <c r="F7" s="8">
        <v>1</v>
      </c>
      <c r="G7" s="8">
        <v>1</v>
      </c>
    </row>
    <row r="8" spans="1:7" x14ac:dyDescent="0.25">
      <c r="A8" s="1">
        <v>5</v>
      </c>
      <c r="B8" s="1" t="s">
        <v>23</v>
      </c>
      <c r="C8" s="8">
        <v>1</v>
      </c>
      <c r="D8" s="8">
        <v>1</v>
      </c>
      <c r="E8" s="8">
        <v>1</v>
      </c>
      <c r="F8" s="8">
        <v>1</v>
      </c>
      <c r="G8" s="8">
        <v>1</v>
      </c>
    </row>
    <row r="9" spans="1:7" x14ac:dyDescent="0.25">
      <c r="A9" s="1">
        <v>6</v>
      </c>
      <c r="B9" s="1" t="s">
        <v>24</v>
      </c>
      <c r="C9" s="8">
        <v>1</v>
      </c>
      <c r="D9" s="8">
        <v>1</v>
      </c>
      <c r="E9" s="8">
        <v>1</v>
      </c>
      <c r="F9" s="8">
        <v>1</v>
      </c>
      <c r="G9" s="8">
        <v>1</v>
      </c>
    </row>
    <row r="10" spans="1:7" x14ac:dyDescent="0.25">
      <c r="A10" s="1">
        <v>7</v>
      </c>
      <c r="B10" s="1" t="s">
        <v>25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</row>
    <row r="11" spans="1:7" x14ac:dyDescent="0.25">
      <c r="A11" s="1">
        <v>8</v>
      </c>
      <c r="B11" s="1" t="s">
        <v>26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</row>
    <row r="12" spans="1:7" x14ac:dyDescent="0.25">
      <c r="A12" s="1">
        <v>9</v>
      </c>
      <c r="B12" s="1" t="s">
        <v>27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BK15"/>
  <sheetViews>
    <sheetView tabSelected="1" workbookViewId="0">
      <pane ySplit="4" topLeftCell="A5" activePane="bottomLeft" state="frozen"/>
      <selection pane="bottomLeft" activeCell="C21" sqref="C21"/>
    </sheetView>
  </sheetViews>
  <sheetFormatPr defaultRowHeight="12.75" x14ac:dyDescent="0.2"/>
  <cols>
    <col min="1" max="1" width="16.28515625" style="1" customWidth="1"/>
    <col min="2" max="2" width="9.140625" style="1"/>
    <col min="3" max="3" width="28.5703125" style="1" customWidth="1"/>
    <col min="4" max="4" width="9.140625" style="1"/>
    <col min="5" max="5" width="0" style="1" hidden="1" customWidth="1"/>
    <col min="6" max="6" width="9.42578125" style="1" bestFit="1" customWidth="1"/>
    <col min="7" max="7" width="0" style="1" hidden="1" customWidth="1"/>
    <col min="8" max="8" width="9.42578125" style="1" bestFit="1" customWidth="1"/>
    <col min="9" max="9" width="0" style="1" hidden="1" customWidth="1"/>
    <col min="10" max="10" width="9.42578125" style="1" bestFit="1" customWidth="1"/>
    <col min="11" max="11" width="0" style="1" hidden="1" customWidth="1"/>
    <col min="12" max="12" width="9.42578125" style="1" bestFit="1" customWidth="1"/>
    <col min="13" max="13" width="0" style="1" hidden="1" customWidth="1"/>
    <col min="14" max="14" width="9.28515625" style="1" bestFit="1" customWidth="1"/>
    <col min="15" max="15" width="0" style="1" hidden="1" customWidth="1"/>
    <col min="16" max="16" width="9.140625" style="1"/>
    <col min="17" max="17" width="0" style="1" hidden="1" customWidth="1"/>
    <col min="18" max="18" width="9.140625" style="1"/>
    <col min="19" max="19" width="0" style="1" hidden="1" customWidth="1"/>
    <col min="20" max="20" width="9.140625" style="1"/>
    <col min="21" max="21" width="0" style="1" hidden="1" customWidth="1"/>
    <col min="22" max="22" width="9.140625" style="1"/>
    <col min="23" max="23" width="0" style="1" hidden="1" customWidth="1"/>
    <col min="24" max="24" width="9.140625" style="1"/>
    <col min="25" max="25" width="0" style="1" hidden="1" customWidth="1"/>
    <col min="26" max="26" width="9.140625" style="1"/>
    <col min="27" max="27" width="0" style="1" hidden="1" customWidth="1"/>
    <col min="28" max="28" width="9.140625" style="1"/>
    <col min="29" max="29" width="0" style="1" hidden="1" customWidth="1"/>
    <col min="30" max="30" width="9.140625" style="1"/>
    <col min="31" max="31" width="0" style="1" hidden="1" customWidth="1"/>
    <col min="32" max="32" width="9.140625" style="1"/>
    <col min="33" max="33" width="0" style="1" hidden="1" customWidth="1"/>
    <col min="34" max="34" width="9.140625" style="1"/>
    <col min="35" max="35" width="0" style="1" hidden="1" customWidth="1"/>
    <col min="36" max="36" width="9.140625" style="1"/>
    <col min="37" max="37" width="0" style="1" hidden="1" customWidth="1"/>
    <col min="38" max="38" width="9.140625" style="1"/>
    <col min="39" max="39" width="0" style="1" hidden="1" customWidth="1"/>
    <col min="40" max="40" width="9.140625" style="1"/>
    <col min="41" max="41" width="0" style="1" hidden="1" customWidth="1"/>
    <col min="42" max="42" width="9.140625" style="1"/>
    <col min="43" max="43" width="0" style="1" hidden="1" customWidth="1"/>
    <col min="44" max="44" width="9.140625" style="1"/>
    <col min="45" max="45" width="0" style="1" hidden="1" customWidth="1"/>
    <col min="46" max="46" width="9.140625" style="1"/>
    <col min="47" max="47" width="0" style="1" hidden="1" customWidth="1"/>
    <col min="48" max="48" width="9.140625" style="1"/>
    <col min="49" max="49" width="0" style="1" hidden="1" customWidth="1"/>
    <col min="50" max="50" width="9.140625" style="1"/>
    <col min="51" max="51" width="0" style="1" hidden="1" customWidth="1"/>
    <col min="52" max="52" width="9.140625" style="1"/>
    <col min="53" max="53" width="0" style="1" hidden="1" customWidth="1"/>
    <col min="54" max="54" width="9.140625" style="1"/>
    <col min="55" max="55" width="0" style="1" hidden="1" customWidth="1"/>
    <col min="56" max="56" width="9.140625" style="1"/>
    <col min="57" max="57" width="0" style="1" hidden="1" customWidth="1"/>
    <col min="58" max="58" width="9.140625" style="1"/>
    <col min="59" max="59" width="0" style="1" hidden="1" customWidth="1"/>
    <col min="60" max="60" width="9.140625" style="1"/>
    <col min="61" max="61" width="0" style="1" hidden="1" customWidth="1"/>
    <col min="62" max="62" width="9.140625" style="1"/>
    <col min="63" max="63" width="0" style="1" hidden="1" customWidth="1"/>
    <col min="64" max="16384" width="9.140625" style="1"/>
  </cols>
  <sheetData>
    <row r="1" spans="1:63" x14ac:dyDescent="0.2">
      <c r="A1" s="3" t="s">
        <v>188</v>
      </c>
    </row>
    <row r="2" spans="1:63" x14ac:dyDescent="0.2">
      <c r="A2" s="3" t="s">
        <v>187</v>
      </c>
    </row>
    <row r="3" spans="1:63" x14ac:dyDescent="0.2">
      <c r="A3" s="1" t="s">
        <v>62</v>
      </c>
      <c r="B3" s="1" t="s">
        <v>185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72</v>
      </c>
      <c r="M3" s="1" t="s">
        <v>73</v>
      </c>
      <c r="N3" s="1" t="s">
        <v>74</v>
      </c>
      <c r="O3" s="1" t="s">
        <v>75</v>
      </c>
      <c r="P3" s="1" t="s">
        <v>76</v>
      </c>
      <c r="Q3" s="1" t="s">
        <v>77</v>
      </c>
      <c r="R3" s="1" t="s">
        <v>78</v>
      </c>
      <c r="S3" s="1" t="s">
        <v>79</v>
      </c>
      <c r="T3" s="1" t="s">
        <v>80</v>
      </c>
      <c r="U3" s="1" t="s">
        <v>81</v>
      </c>
      <c r="V3" s="1" t="s">
        <v>82</v>
      </c>
      <c r="W3" s="1" t="s">
        <v>83</v>
      </c>
      <c r="X3" s="1" t="s">
        <v>84</v>
      </c>
      <c r="Y3" s="1" t="s">
        <v>85</v>
      </c>
      <c r="Z3" s="1" t="s">
        <v>86</v>
      </c>
      <c r="AA3" s="1" t="s">
        <v>87</v>
      </c>
      <c r="AB3" s="1" t="s">
        <v>88</v>
      </c>
      <c r="AC3" s="1" t="s">
        <v>89</v>
      </c>
      <c r="AD3" s="1" t="s">
        <v>90</v>
      </c>
      <c r="AE3" s="1" t="s">
        <v>91</v>
      </c>
      <c r="AF3" s="1" t="s">
        <v>92</v>
      </c>
      <c r="AG3" s="1" t="s">
        <v>93</v>
      </c>
      <c r="AH3" s="1" t="s">
        <v>94</v>
      </c>
      <c r="AI3" s="1" t="s">
        <v>95</v>
      </c>
      <c r="AJ3" s="1" t="s">
        <v>96</v>
      </c>
      <c r="AK3" s="1" t="s">
        <v>97</v>
      </c>
      <c r="AL3" s="1" t="s">
        <v>98</v>
      </c>
      <c r="AM3" s="1" t="s">
        <v>99</v>
      </c>
      <c r="AN3" s="1" t="s">
        <v>100</v>
      </c>
      <c r="AO3" s="1" t="s">
        <v>101</v>
      </c>
      <c r="AP3" s="1" t="s">
        <v>102</v>
      </c>
      <c r="AQ3" s="1" t="s">
        <v>103</v>
      </c>
      <c r="AR3" s="1" t="s">
        <v>104</v>
      </c>
      <c r="AS3" s="1" t="s">
        <v>105</v>
      </c>
      <c r="AT3" s="1" t="s">
        <v>106</v>
      </c>
      <c r="AU3" s="1" t="s">
        <v>107</v>
      </c>
      <c r="AV3" s="1" t="s">
        <v>108</v>
      </c>
      <c r="AW3" s="1" t="s">
        <v>109</v>
      </c>
      <c r="AX3" s="1" t="s">
        <v>110</v>
      </c>
      <c r="AY3" s="1" t="s">
        <v>111</v>
      </c>
      <c r="AZ3" s="1" t="s">
        <v>112</v>
      </c>
      <c r="BA3" s="1" t="s">
        <v>113</v>
      </c>
      <c r="BB3" s="1" t="s">
        <v>114</v>
      </c>
      <c r="BC3" s="1" t="s">
        <v>115</v>
      </c>
      <c r="BD3" s="1" t="s">
        <v>116</v>
      </c>
      <c r="BE3" s="1" t="s">
        <v>117</v>
      </c>
      <c r="BF3" s="1" t="s">
        <v>118</v>
      </c>
      <c r="BG3" s="1" t="s">
        <v>119</v>
      </c>
      <c r="BH3" s="1" t="s">
        <v>120</v>
      </c>
      <c r="BI3" s="1" t="s">
        <v>121</v>
      </c>
      <c r="BJ3" s="1" t="s">
        <v>122</v>
      </c>
      <c r="BK3" s="1" t="s">
        <v>123</v>
      </c>
    </row>
    <row r="4" spans="1:63" s="2" customFormat="1" ht="127.5" x14ac:dyDescent="0.2">
      <c r="A4" s="2" t="s">
        <v>0</v>
      </c>
      <c r="B4" s="2" t="s">
        <v>186</v>
      </c>
      <c r="C4" s="2" t="s">
        <v>124</v>
      </c>
      <c r="D4" s="2" t="s">
        <v>125</v>
      </c>
      <c r="E4" s="2" t="s">
        <v>126</v>
      </c>
      <c r="F4" s="2" t="s">
        <v>127</v>
      </c>
      <c r="G4" s="2" t="s">
        <v>128</v>
      </c>
      <c r="H4" s="2" t="s">
        <v>129</v>
      </c>
      <c r="I4" s="2" t="s">
        <v>130</v>
      </c>
      <c r="J4" s="2" t="s">
        <v>131</v>
      </c>
      <c r="K4" s="2" t="s">
        <v>132</v>
      </c>
      <c r="L4" s="2" t="s">
        <v>133</v>
      </c>
      <c r="M4" s="2" t="s">
        <v>134</v>
      </c>
      <c r="N4" s="2" t="s">
        <v>135</v>
      </c>
      <c r="O4" s="2" t="s">
        <v>136</v>
      </c>
      <c r="P4" s="2" t="s">
        <v>137</v>
      </c>
      <c r="Q4" s="2" t="s">
        <v>138</v>
      </c>
      <c r="R4" s="2" t="s">
        <v>139</v>
      </c>
      <c r="S4" s="2" t="s">
        <v>140</v>
      </c>
      <c r="T4" s="2" t="s">
        <v>141</v>
      </c>
      <c r="U4" s="2" t="s">
        <v>142</v>
      </c>
      <c r="V4" s="2" t="s">
        <v>143</v>
      </c>
      <c r="W4" s="2" t="s">
        <v>144</v>
      </c>
      <c r="X4" s="2" t="s">
        <v>145</v>
      </c>
      <c r="Y4" s="2" t="s">
        <v>146</v>
      </c>
      <c r="Z4" s="2" t="s">
        <v>147</v>
      </c>
      <c r="AA4" s="2" t="s">
        <v>148</v>
      </c>
      <c r="AB4" s="2" t="s">
        <v>149</v>
      </c>
      <c r="AC4" s="2" t="s">
        <v>150</v>
      </c>
      <c r="AD4" s="2" t="s">
        <v>151</v>
      </c>
      <c r="AE4" s="2" t="s">
        <v>152</v>
      </c>
      <c r="AF4" s="2" t="s">
        <v>153</v>
      </c>
      <c r="AG4" s="2" t="s">
        <v>154</v>
      </c>
      <c r="AH4" s="2" t="s">
        <v>155</v>
      </c>
      <c r="AI4" s="2" t="s">
        <v>156</v>
      </c>
      <c r="AJ4" s="2" t="s">
        <v>157</v>
      </c>
      <c r="AK4" s="2" t="s">
        <v>158</v>
      </c>
      <c r="AL4" s="2" t="s">
        <v>159</v>
      </c>
      <c r="AM4" s="2" t="s">
        <v>160</v>
      </c>
      <c r="AN4" s="2" t="s">
        <v>161</v>
      </c>
      <c r="AO4" s="2" t="s">
        <v>162</v>
      </c>
      <c r="AP4" s="2" t="s">
        <v>163</v>
      </c>
      <c r="AQ4" s="2" t="s">
        <v>164</v>
      </c>
      <c r="AR4" s="2" t="s">
        <v>165</v>
      </c>
      <c r="AS4" s="2" t="s">
        <v>166</v>
      </c>
      <c r="AT4" s="2" t="s">
        <v>167</v>
      </c>
      <c r="AU4" s="2" t="s">
        <v>168</v>
      </c>
      <c r="AV4" s="2" t="s">
        <v>169</v>
      </c>
      <c r="AW4" s="2" t="s">
        <v>170</v>
      </c>
      <c r="AX4" s="2" t="s">
        <v>171</v>
      </c>
      <c r="AY4" s="2" t="s">
        <v>172</v>
      </c>
      <c r="AZ4" s="2" t="s">
        <v>173</v>
      </c>
      <c r="BA4" s="2" t="s">
        <v>174</v>
      </c>
      <c r="BB4" s="2" t="s">
        <v>175</v>
      </c>
      <c r="BC4" s="2" t="s">
        <v>176</v>
      </c>
      <c r="BD4" s="2" t="s">
        <v>177</v>
      </c>
      <c r="BE4" s="2" t="s">
        <v>178</v>
      </c>
      <c r="BF4" s="2" t="s">
        <v>179</v>
      </c>
      <c r="BG4" s="2" t="s">
        <v>180</v>
      </c>
      <c r="BH4" s="2" t="s">
        <v>181</v>
      </c>
      <c r="BI4" s="2" t="s">
        <v>182</v>
      </c>
      <c r="BJ4" s="2" t="s">
        <v>183</v>
      </c>
      <c r="BK4" s="2" t="s">
        <v>184</v>
      </c>
    </row>
    <row r="5" spans="1:63" x14ac:dyDescent="0.2">
      <c r="A5" s="1" t="s">
        <v>1</v>
      </c>
      <c r="B5" s="1">
        <v>6001</v>
      </c>
      <c r="C5" s="1" t="s">
        <v>2</v>
      </c>
      <c r="D5" s="1">
        <v>608534</v>
      </c>
      <c r="E5" s="1">
        <v>4026</v>
      </c>
      <c r="F5" s="8">
        <v>66589</v>
      </c>
      <c r="G5" s="8">
        <v>4670</v>
      </c>
      <c r="H5" s="8">
        <v>209193</v>
      </c>
      <c r="I5" s="8">
        <v>5777</v>
      </c>
      <c r="J5" s="8">
        <v>208803</v>
      </c>
      <c r="K5" s="8">
        <v>6977</v>
      </c>
      <c r="L5" s="8">
        <v>78038</v>
      </c>
      <c r="M5" s="8">
        <v>5421</v>
      </c>
      <c r="N5" s="8">
        <v>45911</v>
      </c>
      <c r="O5" s="1">
        <v>4519</v>
      </c>
      <c r="P5" s="1">
        <v>162846</v>
      </c>
      <c r="Q5" s="1">
        <v>6473</v>
      </c>
      <c r="R5" s="1">
        <v>39939</v>
      </c>
      <c r="S5" s="1">
        <v>4045</v>
      </c>
      <c r="T5" s="1">
        <v>101436</v>
      </c>
      <c r="U5" s="1">
        <v>5445</v>
      </c>
      <c r="V5" s="1">
        <v>16379</v>
      </c>
      <c r="W5" s="1">
        <v>2019</v>
      </c>
      <c r="X5" s="1">
        <v>3828</v>
      </c>
      <c r="Y5" s="1">
        <v>1304</v>
      </c>
      <c r="Z5" s="1">
        <v>1264</v>
      </c>
      <c r="AA5" s="1">
        <v>751</v>
      </c>
      <c r="AB5" s="1">
        <v>191889</v>
      </c>
      <c r="AC5" s="1">
        <v>7234</v>
      </c>
      <c r="AD5" s="1">
        <v>16556</v>
      </c>
      <c r="AE5" s="1">
        <v>2109</v>
      </c>
      <c r="AF5" s="1">
        <v>62424</v>
      </c>
      <c r="AG5" s="1">
        <v>4577</v>
      </c>
      <c r="AH5" s="1">
        <v>87734</v>
      </c>
      <c r="AI5" s="1">
        <v>5373</v>
      </c>
      <c r="AJ5" s="1">
        <v>18917</v>
      </c>
      <c r="AK5" s="1">
        <v>2293</v>
      </c>
      <c r="AL5" s="1">
        <v>6258</v>
      </c>
      <c r="AM5" s="1">
        <v>1586</v>
      </c>
      <c r="AN5" s="1">
        <v>104708</v>
      </c>
      <c r="AO5" s="1">
        <v>5256</v>
      </c>
      <c r="AP5" s="1">
        <v>4274</v>
      </c>
      <c r="AQ5" s="1">
        <v>1045</v>
      </c>
      <c r="AR5" s="1">
        <v>25277</v>
      </c>
      <c r="AS5" s="1">
        <v>2430</v>
      </c>
      <c r="AT5" s="1">
        <v>42666</v>
      </c>
      <c r="AU5" s="1">
        <v>3383</v>
      </c>
      <c r="AV5" s="1">
        <v>23140</v>
      </c>
      <c r="AW5" s="1">
        <v>2675</v>
      </c>
      <c r="AX5" s="1">
        <v>9351</v>
      </c>
      <c r="AY5" s="1">
        <v>2111</v>
      </c>
      <c r="AZ5" s="1">
        <v>149091</v>
      </c>
      <c r="BA5" s="1">
        <v>5035</v>
      </c>
      <c r="BB5" s="1">
        <v>5820</v>
      </c>
      <c r="BC5" s="1">
        <v>1415</v>
      </c>
      <c r="BD5" s="1">
        <v>20056</v>
      </c>
      <c r="BE5" s="1">
        <v>2483</v>
      </c>
      <c r="BF5" s="1">
        <v>62024</v>
      </c>
      <c r="BG5" s="1">
        <v>4301</v>
      </c>
      <c r="BH5" s="1">
        <v>32153</v>
      </c>
      <c r="BI5" s="1">
        <v>3626</v>
      </c>
      <c r="BJ5" s="1">
        <v>29038</v>
      </c>
      <c r="BK5" s="1">
        <v>2675</v>
      </c>
    </row>
    <row r="6" spans="1:63" x14ac:dyDescent="0.2">
      <c r="A6" s="1" t="s">
        <v>3</v>
      </c>
      <c r="B6" s="1">
        <v>6013</v>
      </c>
      <c r="C6" s="1" t="s">
        <v>4</v>
      </c>
      <c r="D6" s="1">
        <v>416172</v>
      </c>
      <c r="E6" s="1">
        <v>2488</v>
      </c>
      <c r="F6" s="8">
        <v>20544</v>
      </c>
      <c r="G6" s="8">
        <v>2680</v>
      </c>
      <c r="H6" s="8">
        <v>122178</v>
      </c>
      <c r="I6" s="8">
        <v>4880</v>
      </c>
      <c r="J6" s="8">
        <v>156754</v>
      </c>
      <c r="K6" s="8">
        <v>5877</v>
      </c>
      <c r="L6" s="8">
        <v>72177</v>
      </c>
      <c r="M6" s="8">
        <v>4760</v>
      </c>
      <c r="N6" s="8">
        <v>44519</v>
      </c>
      <c r="O6" s="1">
        <v>3727</v>
      </c>
      <c r="P6" s="1">
        <v>91727</v>
      </c>
      <c r="Q6" s="1">
        <v>4968</v>
      </c>
      <c r="R6" s="1">
        <v>8874</v>
      </c>
      <c r="S6" s="1">
        <v>1964</v>
      </c>
      <c r="T6" s="1">
        <v>63449</v>
      </c>
      <c r="U6" s="1">
        <v>3757</v>
      </c>
      <c r="V6" s="1">
        <v>14796</v>
      </c>
      <c r="W6" s="1">
        <v>2051</v>
      </c>
      <c r="X6" s="1">
        <v>3280</v>
      </c>
      <c r="Y6" s="1">
        <v>1283</v>
      </c>
      <c r="Z6" s="1">
        <v>1328</v>
      </c>
      <c r="AA6" s="1">
        <v>793</v>
      </c>
      <c r="AB6" s="1">
        <v>136730</v>
      </c>
      <c r="AC6" s="1">
        <v>5274</v>
      </c>
      <c r="AD6" s="1">
        <v>5950</v>
      </c>
      <c r="AE6" s="1">
        <v>1492</v>
      </c>
      <c r="AF6" s="1">
        <v>32791</v>
      </c>
      <c r="AG6" s="1">
        <v>3339</v>
      </c>
      <c r="AH6" s="1">
        <v>68916</v>
      </c>
      <c r="AI6" s="1">
        <v>4227</v>
      </c>
      <c r="AJ6" s="1">
        <v>22205</v>
      </c>
      <c r="AK6" s="1">
        <v>2355</v>
      </c>
      <c r="AL6" s="1">
        <v>6868</v>
      </c>
      <c r="AM6" s="1">
        <v>1610</v>
      </c>
      <c r="AN6" s="1">
        <v>74349</v>
      </c>
      <c r="AO6" s="1">
        <v>4879</v>
      </c>
      <c r="AP6" s="1">
        <v>3046</v>
      </c>
      <c r="AQ6" s="1">
        <v>1190</v>
      </c>
      <c r="AR6" s="1">
        <v>12892</v>
      </c>
      <c r="AS6" s="1">
        <v>2114</v>
      </c>
      <c r="AT6" s="1">
        <v>30028</v>
      </c>
      <c r="AU6" s="1">
        <v>3046</v>
      </c>
      <c r="AV6" s="1">
        <v>18908</v>
      </c>
      <c r="AW6" s="1">
        <v>2492</v>
      </c>
      <c r="AX6" s="1">
        <v>9475</v>
      </c>
      <c r="AY6" s="1">
        <v>1977</v>
      </c>
      <c r="AZ6" s="1">
        <v>113366</v>
      </c>
      <c r="BA6" s="1">
        <v>5699</v>
      </c>
      <c r="BB6" s="1">
        <v>2674</v>
      </c>
      <c r="BC6" s="1">
        <v>923</v>
      </c>
      <c r="BD6" s="1">
        <v>13046</v>
      </c>
      <c r="BE6" s="1">
        <v>2259</v>
      </c>
      <c r="BF6" s="1">
        <v>43014</v>
      </c>
      <c r="BG6" s="1">
        <v>3837</v>
      </c>
      <c r="BH6" s="1">
        <v>27784</v>
      </c>
      <c r="BI6" s="1">
        <v>2867</v>
      </c>
      <c r="BJ6" s="1">
        <v>26848</v>
      </c>
      <c r="BK6" s="1">
        <v>3017</v>
      </c>
    </row>
    <row r="7" spans="1:63" x14ac:dyDescent="0.2">
      <c r="A7" s="1" t="s">
        <v>5</v>
      </c>
      <c r="B7" s="1">
        <v>6041</v>
      </c>
      <c r="C7" s="1" t="s">
        <v>6</v>
      </c>
      <c r="D7" s="1">
        <v>101608</v>
      </c>
      <c r="E7" s="1">
        <v>2158</v>
      </c>
      <c r="F7" s="8">
        <v>4136</v>
      </c>
      <c r="G7" s="8">
        <v>930</v>
      </c>
      <c r="H7" s="8">
        <v>32863</v>
      </c>
      <c r="I7" s="8">
        <v>2880</v>
      </c>
      <c r="J7" s="8">
        <v>43411</v>
      </c>
      <c r="K7" s="8">
        <v>3102</v>
      </c>
      <c r="L7" s="8">
        <v>16097</v>
      </c>
      <c r="M7" s="8">
        <v>1935</v>
      </c>
      <c r="N7" s="8">
        <v>5101</v>
      </c>
      <c r="O7" s="1">
        <v>1104</v>
      </c>
      <c r="P7" s="1">
        <v>28440</v>
      </c>
      <c r="Q7" s="1">
        <v>2335</v>
      </c>
      <c r="R7" s="1">
        <v>3423</v>
      </c>
      <c r="S7" s="1">
        <v>842</v>
      </c>
      <c r="T7" s="1">
        <v>20232</v>
      </c>
      <c r="U7" s="1">
        <v>2130</v>
      </c>
      <c r="V7" s="1">
        <v>4312</v>
      </c>
      <c r="W7" s="1">
        <v>1192</v>
      </c>
      <c r="X7" s="1">
        <v>349</v>
      </c>
      <c r="Y7" s="1">
        <v>300</v>
      </c>
      <c r="Z7" s="1">
        <v>124</v>
      </c>
      <c r="AA7" s="1">
        <v>165</v>
      </c>
      <c r="AB7" s="1">
        <v>36739</v>
      </c>
      <c r="AC7" s="1">
        <v>2800</v>
      </c>
      <c r="AD7" s="1">
        <v>292</v>
      </c>
      <c r="AE7" s="1">
        <v>254</v>
      </c>
      <c r="AF7" s="1">
        <v>6559</v>
      </c>
      <c r="AG7" s="1">
        <v>1512</v>
      </c>
      <c r="AH7" s="1">
        <v>22656</v>
      </c>
      <c r="AI7" s="1">
        <v>2441</v>
      </c>
      <c r="AJ7" s="1">
        <v>5866</v>
      </c>
      <c r="AK7" s="1">
        <v>1181</v>
      </c>
      <c r="AL7" s="1">
        <v>1366</v>
      </c>
      <c r="AM7" s="1">
        <v>575</v>
      </c>
      <c r="AN7" s="1">
        <v>16389</v>
      </c>
      <c r="AO7" s="1">
        <v>2234</v>
      </c>
      <c r="AP7" s="1">
        <v>291</v>
      </c>
      <c r="AQ7" s="1">
        <v>306</v>
      </c>
      <c r="AR7" s="1">
        <v>3118</v>
      </c>
      <c r="AS7" s="1">
        <v>1009</v>
      </c>
      <c r="AT7" s="1">
        <v>6057</v>
      </c>
      <c r="AU7" s="1">
        <v>1544</v>
      </c>
      <c r="AV7" s="1">
        <v>5702</v>
      </c>
      <c r="AW7" s="1">
        <v>1402</v>
      </c>
      <c r="AX7" s="1">
        <v>1221</v>
      </c>
      <c r="AY7" s="1">
        <v>614</v>
      </c>
      <c r="AZ7" s="1">
        <v>20040</v>
      </c>
      <c r="BA7" s="1">
        <v>2106</v>
      </c>
      <c r="BB7" s="1">
        <v>130</v>
      </c>
      <c r="BC7" s="1">
        <v>131</v>
      </c>
      <c r="BD7" s="1">
        <v>2954</v>
      </c>
      <c r="BE7" s="1">
        <v>1065</v>
      </c>
      <c r="BF7" s="1">
        <v>10386</v>
      </c>
      <c r="BG7" s="1">
        <v>1810</v>
      </c>
      <c r="BH7" s="1">
        <v>4180</v>
      </c>
      <c r="BI7" s="1">
        <v>1086</v>
      </c>
      <c r="BJ7" s="1">
        <v>2390</v>
      </c>
      <c r="BK7" s="1">
        <v>820</v>
      </c>
    </row>
    <row r="8" spans="1:63" x14ac:dyDescent="0.2">
      <c r="A8" s="1" t="s">
        <v>7</v>
      </c>
      <c r="B8" s="1">
        <v>6055</v>
      </c>
      <c r="C8" s="1" t="s">
        <v>8</v>
      </c>
      <c r="D8" s="1">
        <v>51167</v>
      </c>
      <c r="E8" s="1">
        <v>1100</v>
      </c>
      <c r="F8" s="8">
        <v>2839</v>
      </c>
      <c r="G8" s="8">
        <v>814</v>
      </c>
      <c r="H8" s="8">
        <v>13612</v>
      </c>
      <c r="I8" s="8">
        <v>1734</v>
      </c>
      <c r="J8" s="8">
        <v>20390</v>
      </c>
      <c r="K8" s="8">
        <v>1733</v>
      </c>
      <c r="L8" s="8">
        <v>8406</v>
      </c>
      <c r="M8" s="8">
        <v>1259</v>
      </c>
      <c r="N8" s="8">
        <v>5920</v>
      </c>
      <c r="O8" s="1">
        <v>1086</v>
      </c>
      <c r="P8" s="1">
        <v>12300</v>
      </c>
      <c r="Q8" s="1">
        <v>1449</v>
      </c>
      <c r="R8" s="1">
        <v>1799</v>
      </c>
      <c r="S8" s="1">
        <v>642</v>
      </c>
      <c r="T8" s="1">
        <v>8373</v>
      </c>
      <c r="U8" s="1">
        <v>1283</v>
      </c>
      <c r="V8" s="1">
        <v>1594</v>
      </c>
      <c r="W8" s="1">
        <v>588</v>
      </c>
      <c r="X8" s="1">
        <v>477</v>
      </c>
      <c r="Y8" s="1">
        <v>393</v>
      </c>
      <c r="Z8" s="1">
        <v>57</v>
      </c>
      <c r="AA8" s="1">
        <v>94</v>
      </c>
      <c r="AB8" s="1">
        <v>18809</v>
      </c>
      <c r="AC8" s="1">
        <v>1665</v>
      </c>
      <c r="AD8" s="1">
        <v>390</v>
      </c>
      <c r="AE8" s="1">
        <v>307</v>
      </c>
      <c r="AF8" s="1">
        <v>3794</v>
      </c>
      <c r="AG8" s="1">
        <v>1116</v>
      </c>
      <c r="AH8" s="1">
        <v>10701</v>
      </c>
      <c r="AI8" s="1">
        <v>1338</v>
      </c>
      <c r="AJ8" s="1">
        <v>2848</v>
      </c>
      <c r="AK8" s="1">
        <v>672</v>
      </c>
      <c r="AL8" s="1">
        <v>1076</v>
      </c>
      <c r="AM8" s="1">
        <v>546</v>
      </c>
      <c r="AN8" s="1">
        <v>7956</v>
      </c>
      <c r="AO8" s="1">
        <v>1350</v>
      </c>
      <c r="AP8" s="1">
        <v>85</v>
      </c>
      <c r="AQ8" s="1">
        <v>140</v>
      </c>
      <c r="AR8" s="1">
        <v>649</v>
      </c>
      <c r="AS8" s="1">
        <v>410</v>
      </c>
      <c r="AT8" s="1">
        <v>3692</v>
      </c>
      <c r="AU8" s="1">
        <v>1019</v>
      </c>
      <c r="AV8" s="1">
        <v>2371</v>
      </c>
      <c r="AW8" s="1">
        <v>740</v>
      </c>
      <c r="AX8" s="1">
        <v>1159</v>
      </c>
      <c r="AY8" s="1">
        <v>509</v>
      </c>
      <c r="AZ8" s="1">
        <v>12102</v>
      </c>
      <c r="BA8" s="1">
        <v>1512</v>
      </c>
      <c r="BB8" s="1">
        <v>565</v>
      </c>
      <c r="BC8" s="1">
        <v>424</v>
      </c>
      <c r="BD8" s="1">
        <v>796</v>
      </c>
      <c r="BE8" s="1">
        <v>559</v>
      </c>
      <c r="BF8" s="1">
        <v>4403</v>
      </c>
      <c r="BG8" s="1">
        <v>1130</v>
      </c>
      <c r="BH8" s="1">
        <v>2710</v>
      </c>
      <c r="BI8" s="1">
        <v>908</v>
      </c>
      <c r="BJ8" s="1">
        <v>3628</v>
      </c>
      <c r="BK8" s="1">
        <v>965</v>
      </c>
    </row>
    <row r="9" spans="1:63" x14ac:dyDescent="0.2">
      <c r="A9" s="1" t="s">
        <v>9</v>
      </c>
      <c r="B9" s="1">
        <v>6075</v>
      </c>
      <c r="C9" s="1" t="s">
        <v>10</v>
      </c>
      <c r="D9" s="1">
        <v>372027</v>
      </c>
      <c r="E9" s="1">
        <v>4832</v>
      </c>
      <c r="F9" s="8">
        <v>115112</v>
      </c>
      <c r="G9" s="8">
        <v>4922</v>
      </c>
      <c r="H9" s="8">
        <v>163438</v>
      </c>
      <c r="I9" s="8">
        <v>5738</v>
      </c>
      <c r="J9" s="8">
        <v>70754</v>
      </c>
      <c r="K9" s="8">
        <v>3487</v>
      </c>
      <c r="L9" s="8">
        <v>14842</v>
      </c>
      <c r="M9" s="8">
        <v>2098</v>
      </c>
      <c r="N9" s="8">
        <v>7881</v>
      </c>
      <c r="O9" s="1">
        <v>1468</v>
      </c>
      <c r="P9" s="1">
        <v>146930</v>
      </c>
      <c r="Q9" s="1">
        <v>5553</v>
      </c>
      <c r="R9" s="1">
        <v>72928</v>
      </c>
      <c r="S9" s="1">
        <v>4120</v>
      </c>
      <c r="T9" s="1">
        <v>67647</v>
      </c>
      <c r="U9" s="1">
        <v>4592</v>
      </c>
      <c r="V9" s="1">
        <v>5430</v>
      </c>
      <c r="W9" s="1">
        <v>1289</v>
      </c>
      <c r="X9" s="1">
        <v>366</v>
      </c>
      <c r="Y9" s="1">
        <v>249</v>
      </c>
      <c r="Z9" s="1">
        <v>559</v>
      </c>
      <c r="AA9" s="1">
        <v>396</v>
      </c>
      <c r="AB9" s="1">
        <v>121777</v>
      </c>
      <c r="AC9" s="1">
        <v>4617</v>
      </c>
      <c r="AD9" s="1">
        <v>29841</v>
      </c>
      <c r="AE9" s="1">
        <v>2756</v>
      </c>
      <c r="AF9" s="1">
        <v>59948</v>
      </c>
      <c r="AG9" s="1">
        <v>3315</v>
      </c>
      <c r="AH9" s="1">
        <v>29206</v>
      </c>
      <c r="AI9" s="1">
        <v>2348</v>
      </c>
      <c r="AJ9" s="1">
        <v>2368</v>
      </c>
      <c r="AK9" s="1">
        <v>993</v>
      </c>
      <c r="AL9" s="1">
        <v>414</v>
      </c>
      <c r="AM9" s="1">
        <v>272</v>
      </c>
      <c r="AN9" s="1">
        <v>46767</v>
      </c>
      <c r="AO9" s="1">
        <v>2884</v>
      </c>
      <c r="AP9" s="1">
        <v>6276</v>
      </c>
      <c r="AQ9" s="1">
        <v>1346</v>
      </c>
      <c r="AR9" s="1">
        <v>19534</v>
      </c>
      <c r="AS9" s="1">
        <v>2170</v>
      </c>
      <c r="AT9" s="1">
        <v>16264</v>
      </c>
      <c r="AU9" s="1">
        <v>2116</v>
      </c>
      <c r="AV9" s="1">
        <v>4157</v>
      </c>
      <c r="AW9" s="1">
        <v>955</v>
      </c>
      <c r="AX9" s="1">
        <v>536</v>
      </c>
      <c r="AY9" s="1">
        <v>445</v>
      </c>
      <c r="AZ9" s="1">
        <v>56553</v>
      </c>
      <c r="BA9" s="1">
        <v>3507</v>
      </c>
      <c r="BB9" s="1">
        <v>6067</v>
      </c>
      <c r="BC9" s="1">
        <v>1549</v>
      </c>
      <c r="BD9" s="1">
        <v>16309</v>
      </c>
      <c r="BE9" s="1">
        <v>2231</v>
      </c>
      <c r="BF9" s="1">
        <v>19854</v>
      </c>
      <c r="BG9" s="1">
        <v>2226</v>
      </c>
      <c r="BH9" s="1">
        <v>7951</v>
      </c>
      <c r="BI9" s="1">
        <v>1656</v>
      </c>
      <c r="BJ9" s="1">
        <v>6372</v>
      </c>
      <c r="BK9" s="1">
        <v>1381</v>
      </c>
    </row>
    <row r="10" spans="1:63" x14ac:dyDescent="0.2">
      <c r="A10" s="1" t="s">
        <v>11</v>
      </c>
      <c r="B10" s="1">
        <v>6081</v>
      </c>
      <c r="C10" s="1" t="s">
        <v>12</v>
      </c>
      <c r="D10" s="1">
        <v>265124</v>
      </c>
      <c r="E10" s="1">
        <v>3090</v>
      </c>
      <c r="F10" s="8">
        <v>13792</v>
      </c>
      <c r="G10" s="8">
        <v>1879</v>
      </c>
      <c r="H10" s="8">
        <v>87455</v>
      </c>
      <c r="I10" s="8">
        <v>4557</v>
      </c>
      <c r="J10" s="8">
        <v>100042</v>
      </c>
      <c r="K10" s="8">
        <v>3638</v>
      </c>
      <c r="L10" s="8">
        <v>41492</v>
      </c>
      <c r="M10" s="8">
        <v>3177</v>
      </c>
      <c r="N10" s="8">
        <v>22343</v>
      </c>
      <c r="O10" s="1">
        <v>2549</v>
      </c>
      <c r="P10" s="1">
        <v>69876</v>
      </c>
      <c r="Q10" s="1">
        <v>4258</v>
      </c>
      <c r="R10" s="1">
        <v>7878</v>
      </c>
      <c r="S10" s="1">
        <v>1279</v>
      </c>
      <c r="T10" s="1">
        <v>50099</v>
      </c>
      <c r="U10" s="1">
        <v>3742</v>
      </c>
      <c r="V10" s="1">
        <v>8790</v>
      </c>
      <c r="W10" s="1">
        <v>1672</v>
      </c>
      <c r="X10" s="1">
        <v>2007</v>
      </c>
      <c r="Y10" s="1">
        <v>675</v>
      </c>
      <c r="Z10" s="1">
        <v>1102</v>
      </c>
      <c r="AA10" s="1">
        <v>754</v>
      </c>
      <c r="AB10" s="1">
        <v>86182</v>
      </c>
      <c r="AC10" s="1">
        <v>4058</v>
      </c>
      <c r="AD10" s="1">
        <v>3310</v>
      </c>
      <c r="AE10" s="1">
        <v>922</v>
      </c>
      <c r="AF10" s="1">
        <v>22068</v>
      </c>
      <c r="AG10" s="1">
        <v>2570</v>
      </c>
      <c r="AH10" s="1">
        <v>45020</v>
      </c>
      <c r="AI10" s="1">
        <v>2968</v>
      </c>
      <c r="AJ10" s="1">
        <v>11877</v>
      </c>
      <c r="AK10" s="1">
        <v>1764</v>
      </c>
      <c r="AL10" s="1">
        <v>3907</v>
      </c>
      <c r="AM10" s="1">
        <v>1062</v>
      </c>
      <c r="AN10" s="1">
        <v>43193</v>
      </c>
      <c r="AO10" s="1">
        <v>3552</v>
      </c>
      <c r="AP10" s="1">
        <v>839</v>
      </c>
      <c r="AQ10" s="1">
        <v>456</v>
      </c>
      <c r="AR10" s="1">
        <v>8537</v>
      </c>
      <c r="AS10" s="1">
        <v>1647</v>
      </c>
      <c r="AT10" s="1">
        <v>19962</v>
      </c>
      <c r="AU10" s="1">
        <v>2599</v>
      </c>
      <c r="AV10" s="1">
        <v>9884</v>
      </c>
      <c r="AW10" s="1">
        <v>1613</v>
      </c>
      <c r="AX10" s="1">
        <v>3971</v>
      </c>
      <c r="AY10" s="1">
        <v>1103</v>
      </c>
      <c r="AZ10" s="1">
        <v>65873</v>
      </c>
      <c r="BA10" s="1">
        <v>3761</v>
      </c>
      <c r="BB10" s="1">
        <v>1765</v>
      </c>
      <c r="BC10" s="1">
        <v>701</v>
      </c>
      <c r="BD10" s="1">
        <v>6751</v>
      </c>
      <c r="BE10" s="1">
        <v>1501</v>
      </c>
      <c r="BF10" s="1">
        <v>26270</v>
      </c>
      <c r="BG10" s="1">
        <v>2366</v>
      </c>
      <c r="BH10" s="1">
        <v>17724</v>
      </c>
      <c r="BI10" s="1">
        <v>2315</v>
      </c>
      <c r="BJ10" s="1">
        <v>13363</v>
      </c>
      <c r="BK10" s="1">
        <v>1909</v>
      </c>
    </row>
    <row r="11" spans="1:63" x14ac:dyDescent="0.2">
      <c r="A11" s="1" t="s">
        <v>13</v>
      </c>
      <c r="B11" s="1">
        <v>6085</v>
      </c>
      <c r="C11" s="1" t="s">
        <v>14</v>
      </c>
      <c r="D11" s="1">
        <v>665549</v>
      </c>
      <c r="E11" s="1">
        <v>3723</v>
      </c>
      <c r="F11" s="8">
        <v>39177</v>
      </c>
      <c r="G11" s="8">
        <v>3870</v>
      </c>
      <c r="H11" s="8">
        <v>217368</v>
      </c>
      <c r="I11" s="8">
        <v>6604</v>
      </c>
      <c r="J11" s="8">
        <v>250244</v>
      </c>
      <c r="K11" s="8">
        <v>6612</v>
      </c>
      <c r="L11" s="8">
        <v>99869</v>
      </c>
      <c r="M11" s="8">
        <v>5258</v>
      </c>
      <c r="N11" s="8">
        <v>58891</v>
      </c>
      <c r="O11" s="1">
        <v>4145</v>
      </c>
      <c r="P11" s="1">
        <v>151634</v>
      </c>
      <c r="Q11" s="1">
        <v>7014</v>
      </c>
      <c r="R11" s="1">
        <v>21649</v>
      </c>
      <c r="S11" s="1">
        <v>2931</v>
      </c>
      <c r="T11" s="1">
        <v>109929</v>
      </c>
      <c r="U11" s="1">
        <v>6242</v>
      </c>
      <c r="V11" s="1">
        <v>14982</v>
      </c>
      <c r="W11" s="1">
        <v>1810</v>
      </c>
      <c r="X11" s="1">
        <v>3701</v>
      </c>
      <c r="Y11" s="1">
        <v>1165</v>
      </c>
      <c r="Z11" s="1">
        <v>1373</v>
      </c>
      <c r="AA11" s="1">
        <v>603</v>
      </c>
      <c r="AB11" s="1">
        <v>217571</v>
      </c>
      <c r="AC11" s="1">
        <v>6859</v>
      </c>
      <c r="AD11" s="1">
        <v>8082</v>
      </c>
      <c r="AE11" s="1">
        <v>1706</v>
      </c>
      <c r="AF11" s="1">
        <v>66642</v>
      </c>
      <c r="AG11" s="1">
        <v>4500</v>
      </c>
      <c r="AH11" s="1">
        <v>111458</v>
      </c>
      <c r="AI11" s="1">
        <v>4710</v>
      </c>
      <c r="AJ11" s="1">
        <v>24389</v>
      </c>
      <c r="AK11" s="1">
        <v>2366</v>
      </c>
      <c r="AL11" s="1">
        <v>7000</v>
      </c>
      <c r="AM11" s="1">
        <v>1473</v>
      </c>
      <c r="AN11" s="1">
        <v>120053</v>
      </c>
      <c r="AO11" s="1">
        <v>5654</v>
      </c>
      <c r="AP11" s="1">
        <v>4264</v>
      </c>
      <c r="AQ11" s="1">
        <v>1209</v>
      </c>
      <c r="AR11" s="1">
        <v>20620</v>
      </c>
      <c r="AS11" s="1">
        <v>2453</v>
      </c>
      <c r="AT11" s="1">
        <v>52610</v>
      </c>
      <c r="AU11" s="1">
        <v>3357</v>
      </c>
      <c r="AV11" s="1">
        <v>30875</v>
      </c>
      <c r="AW11" s="1">
        <v>2871</v>
      </c>
      <c r="AX11" s="1">
        <v>11684</v>
      </c>
      <c r="AY11" s="1">
        <v>1758</v>
      </c>
      <c r="AZ11" s="1">
        <v>176291</v>
      </c>
      <c r="BA11" s="1">
        <v>5480</v>
      </c>
      <c r="BB11" s="1">
        <v>5182</v>
      </c>
      <c r="BC11" s="1">
        <v>1320</v>
      </c>
      <c r="BD11" s="1">
        <v>20177</v>
      </c>
      <c r="BE11" s="1">
        <v>2451</v>
      </c>
      <c r="BF11" s="1">
        <v>71194</v>
      </c>
      <c r="BG11" s="1">
        <v>3954</v>
      </c>
      <c r="BH11" s="1">
        <v>40904</v>
      </c>
      <c r="BI11" s="1">
        <v>3596</v>
      </c>
      <c r="BJ11" s="1">
        <v>38834</v>
      </c>
      <c r="BK11" s="1">
        <v>2903</v>
      </c>
    </row>
    <row r="12" spans="1:63" x14ac:dyDescent="0.2">
      <c r="A12" s="1" t="s">
        <v>15</v>
      </c>
      <c r="B12" s="1">
        <v>6095</v>
      </c>
      <c r="C12" s="1" t="s">
        <v>16</v>
      </c>
      <c r="D12" s="1">
        <v>157766</v>
      </c>
      <c r="E12" s="1">
        <v>1986</v>
      </c>
      <c r="F12" s="8">
        <v>8484</v>
      </c>
      <c r="G12" s="8">
        <v>2103</v>
      </c>
      <c r="H12" s="8">
        <v>41211</v>
      </c>
      <c r="I12" s="8">
        <v>3010</v>
      </c>
      <c r="J12" s="8">
        <v>57659</v>
      </c>
      <c r="K12" s="8">
        <v>3446</v>
      </c>
      <c r="L12" s="8">
        <v>29578</v>
      </c>
      <c r="M12" s="8">
        <v>2349</v>
      </c>
      <c r="N12" s="8">
        <v>20834</v>
      </c>
      <c r="O12" s="1">
        <v>2220</v>
      </c>
      <c r="P12" s="1">
        <v>38918</v>
      </c>
      <c r="Q12" s="1">
        <v>3465</v>
      </c>
      <c r="R12" s="1">
        <v>4614</v>
      </c>
      <c r="S12" s="1">
        <v>1429</v>
      </c>
      <c r="T12" s="1">
        <v>24350</v>
      </c>
      <c r="U12" s="1">
        <v>2648</v>
      </c>
      <c r="V12" s="1">
        <v>7038</v>
      </c>
      <c r="W12" s="1">
        <v>1598</v>
      </c>
      <c r="X12" s="1">
        <v>2159</v>
      </c>
      <c r="Y12" s="1">
        <v>817</v>
      </c>
      <c r="Z12" s="1">
        <v>757</v>
      </c>
      <c r="AA12" s="1">
        <v>474</v>
      </c>
      <c r="AB12" s="1">
        <v>50271</v>
      </c>
      <c r="AC12" s="1">
        <v>2974</v>
      </c>
      <c r="AD12" s="1">
        <v>1815</v>
      </c>
      <c r="AE12" s="1">
        <v>1198</v>
      </c>
      <c r="AF12" s="1">
        <v>10109</v>
      </c>
      <c r="AG12" s="1">
        <v>1676</v>
      </c>
      <c r="AH12" s="1">
        <v>27080</v>
      </c>
      <c r="AI12" s="1">
        <v>2466</v>
      </c>
      <c r="AJ12" s="1">
        <v>7560</v>
      </c>
      <c r="AK12" s="1">
        <v>1441</v>
      </c>
      <c r="AL12" s="1">
        <v>3707</v>
      </c>
      <c r="AM12" s="1">
        <v>1084</v>
      </c>
      <c r="AN12" s="1">
        <v>27249</v>
      </c>
      <c r="AO12" s="1">
        <v>2831</v>
      </c>
      <c r="AP12" s="1">
        <v>1346</v>
      </c>
      <c r="AQ12" s="1">
        <v>821</v>
      </c>
      <c r="AR12" s="1">
        <v>3548</v>
      </c>
      <c r="AS12" s="1">
        <v>1084</v>
      </c>
      <c r="AT12" s="1">
        <v>10153</v>
      </c>
      <c r="AU12" s="1">
        <v>1677</v>
      </c>
      <c r="AV12" s="1">
        <v>8014</v>
      </c>
      <c r="AW12" s="1">
        <v>1439</v>
      </c>
      <c r="AX12" s="1">
        <v>4188</v>
      </c>
      <c r="AY12" s="1">
        <v>976</v>
      </c>
      <c r="AZ12" s="1">
        <v>41328</v>
      </c>
      <c r="BA12" s="1">
        <v>2827</v>
      </c>
      <c r="BB12" s="1">
        <v>709</v>
      </c>
      <c r="BC12" s="1">
        <v>522</v>
      </c>
      <c r="BD12" s="1">
        <v>3204</v>
      </c>
      <c r="BE12" s="1">
        <v>1150</v>
      </c>
      <c r="BF12" s="1">
        <v>13388</v>
      </c>
      <c r="BG12" s="1">
        <v>2084</v>
      </c>
      <c r="BH12" s="1">
        <v>11845</v>
      </c>
      <c r="BI12" s="1">
        <v>1579</v>
      </c>
      <c r="BJ12" s="1">
        <v>12182</v>
      </c>
      <c r="BK12" s="1">
        <v>1612</v>
      </c>
    </row>
    <row r="13" spans="1:63" x14ac:dyDescent="0.2">
      <c r="A13" s="1" t="s">
        <v>17</v>
      </c>
      <c r="B13" s="1">
        <v>6097</v>
      </c>
      <c r="C13" s="1" t="s">
        <v>18</v>
      </c>
      <c r="D13" s="1">
        <v>192765</v>
      </c>
      <c r="E13" s="1">
        <v>2138</v>
      </c>
      <c r="F13" s="8">
        <v>8223</v>
      </c>
      <c r="G13" s="8">
        <v>1587</v>
      </c>
      <c r="H13" s="8">
        <v>58846</v>
      </c>
      <c r="I13" s="8">
        <v>3714</v>
      </c>
      <c r="J13" s="8">
        <v>72836</v>
      </c>
      <c r="K13" s="8">
        <v>3683</v>
      </c>
      <c r="L13" s="8">
        <v>33514</v>
      </c>
      <c r="M13" s="8">
        <v>2951</v>
      </c>
      <c r="N13" s="8">
        <v>19346</v>
      </c>
      <c r="O13" s="1">
        <v>2569</v>
      </c>
      <c r="P13" s="1">
        <v>53236</v>
      </c>
      <c r="Q13" s="1">
        <v>3641</v>
      </c>
      <c r="R13" s="1">
        <v>4547</v>
      </c>
      <c r="S13" s="1">
        <v>912</v>
      </c>
      <c r="T13" s="1">
        <v>38367</v>
      </c>
      <c r="U13" s="1">
        <v>3068</v>
      </c>
      <c r="V13" s="1">
        <v>8211</v>
      </c>
      <c r="W13" s="1">
        <v>1419</v>
      </c>
      <c r="X13" s="1">
        <v>1373</v>
      </c>
      <c r="Y13" s="1">
        <v>438</v>
      </c>
      <c r="Z13" s="1">
        <v>738</v>
      </c>
      <c r="AA13" s="1">
        <v>491</v>
      </c>
      <c r="AB13" s="1">
        <v>70246</v>
      </c>
      <c r="AC13" s="1">
        <v>4033</v>
      </c>
      <c r="AD13" s="1">
        <v>2147</v>
      </c>
      <c r="AE13" s="1">
        <v>858</v>
      </c>
      <c r="AF13" s="1">
        <v>12594</v>
      </c>
      <c r="AG13" s="1">
        <v>1924</v>
      </c>
      <c r="AH13" s="1">
        <v>38946</v>
      </c>
      <c r="AI13" s="1">
        <v>3164</v>
      </c>
      <c r="AJ13" s="1">
        <v>12535</v>
      </c>
      <c r="AK13" s="1">
        <v>1791</v>
      </c>
      <c r="AL13" s="1">
        <v>4024</v>
      </c>
      <c r="AM13" s="1">
        <v>1083</v>
      </c>
      <c r="AN13" s="1">
        <v>27110</v>
      </c>
      <c r="AO13" s="1">
        <v>2639</v>
      </c>
      <c r="AP13" s="1">
        <v>602</v>
      </c>
      <c r="AQ13" s="1">
        <v>617</v>
      </c>
      <c r="AR13" s="1">
        <v>4137</v>
      </c>
      <c r="AS13" s="1">
        <v>1456</v>
      </c>
      <c r="AT13" s="1">
        <v>10744</v>
      </c>
      <c r="AU13" s="1">
        <v>1814</v>
      </c>
      <c r="AV13" s="1">
        <v>8627</v>
      </c>
      <c r="AW13" s="1">
        <v>1306</v>
      </c>
      <c r="AX13" s="1">
        <v>3000</v>
      </c>
      <c r="AY13" s="1">
        <v>890</v>
      </c>
      <c r="AZ13" s="1">
        <v>42173</v>
      </c>
      <c r="BA13" s="1">
        <v>3288</v>
      </c>
      <c r="BB13" s="1">
        <v>927</v>
      </c>
      <c r="BC13" s="1">
        <v>719</v>
      </c>
      <c r="BD13" s="1">
        <v>3748</v>
      </c>
      <c r="BE13" s="1">
        <v>1088</v>
      </c>
      <c r="BF13" s="1">
        <v>14935</v>
      </c>
      <c r="BG13" s="1">
        <v>2047</v>
      </c>
      <c r="BH13" s="1">
        <v>10979</v>
      </c>
      <c r="BI13" s="1">
        <v>1747</v>
      </c>
      <c r="BJ13" s="1">
        <v>11584</v>
      </c>
      <c r="BK13" s="1">
        <v>2141</v>
      </c>
    </row>
    <row r="15" spans="1:63" x14ac:dyDescent="0.2">
      <c r="F15" s="1">
        <v>0</v>
      </c>
      <c r="H15" s="1">
        <v>1</v>
      </c>
      <c r="J15" s="1">
        <v>2</v>
      </c>
      <c r="L15" s="1">
        <v>3</v>
      </c>
      <c r="N15" s="1">
        <v>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calibration</vt:lpstr>
      <vt:lpstr>modeldata</vt:lpstr>
      <vt:lpstr>ACS_1YR_B08201</vt:lpstr>
      <vt:lpstr>County Chart</vt:lpstr>
      <vt:lpstr>damp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Zorn</dc:creator>
  <cp:lastModifiedBy>Melody Tsao</cp:lastModifiedBy>
  <cp:lastPrinted>2018-12-19T23:21:45Z</cp:lastPrinted>
  <dcterms:created xsi:type="dcterms:W3CDTF">2018-11-21T00:35:20Z</dcterms:created>
  <dcterms:modified xsi:type="dcterms:W3CDTF">2026-04-10T20:35:58Z</dcterms:modified>
</cp:coreProperties>
</file>