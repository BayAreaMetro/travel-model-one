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2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itHub\travel-model-one\utilities\calibration\workbook_templates\"/>
    </mc:Choice>
  </mc:AlternateContent>
  <xr:revisionPtr revIDLastSave="0" documentId="13_ncr:1_{E2C396C0-409E-48AF-8E02-04D1ED126F35}" xr6:coauthVersionLast="47" xr6:coauthVersionMax="47" xr10:uidLastSave="{00000000-0000-0000-0000-000000000000}"/>
  <bookViews>
    <workbookView xWindow="-120" yWindow="-120" windowWidth="29040" windowHeight="15720" activeTab="2" xr2:uid="{5C8C7C74-C97C-46D7-9136-B3815B73AB4F}"/>
  </bookViews>
  <sheets>
    <sheet name="calibration" sheetId="4" r:id="rId1"/>
    <sheet name="modeldata" sheetId="3" r:id="rId2"/>
    <sheet name="BATS 2023 TLFD" sheetId="1" r:id="rId3"/>
  </sheets>
  <externalReferences>
    <externalReference r:id="rId4"/>
  </externalReferences>
  <definedNames>
    <definedName name="damp">#REF!</definedName>
    <definedName name="damp_atwork">calibration!$BX$1</definedName>
    <definedName name="damp_disc">calibration!$BL$1</definedName>
    <definedName name="damp_discr">calibration!$BL$1</definedName>
    <definedName name="damp_eatout">calibration!$AN$1</definedName>
    <definedName name="damp_escort">calibration!$D$1</definedName>
    <definedName name="damp_maint">calibration!$AB$1</definedName>
    <definedName name="damp_shopping">calibration!$P$1</definedName>
    <definedName name="damp_social">calibration!$AZ$1</definedName>
    <definedName name="damp_work">calibration!$D$1</definedName>
    <definedName name="damp4">#REF!</definedName>
    <definedName name="damp5">#REF!</definedName>
    <definedName name="damp6">#REF!</definedName>
    <definedName name="damp7">#REF!</definedName>
    <definedName name="damp8">#REF!</definedName>
    <definedName name="damp9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4" i="1" l="1"/>
  <c r="X55" i="1"/>
  <c r="Y55" i="1"/>
  <c r="Z55" i="1"/>
  <c r="AJ54" i="1" s="1"/>
  <c r="AA55" i="1"/>
  <c r="AK30" i="1" s="1"/>
  <c r="AB55" i="1"/>
  <c r="AL50" i="1" s="1"/>
  <c r="AC55" i="1"/>
  <c r="AM41" i="1" s="1"/>
  <c r="W55" i="1"/>
  <c r="AM54" i="1"/>
  <c r="AL54" i="1"/>
  <c r="AK54" i="1"/>
  <c r="AI54" i="1"/>
  <c r="AH54" i="1"/>
  <c r="AG54" i="1"/>
  <c r="AF54" i="1"/>
  <c r="AL53" i="1"/>
  <c r="AK53" i="1"/>
  <c r="AJ53" i="1"/>
  <c r="AI53" i="1"/>
  <c r="AH53" i="1"/>
  <c r="AG53" i="1"/>
  <c r="AF53" i="1"/>
  <c r="AK52" i="1"/>
  <c r="AJ52" i="1"/>
  <c r="AI52" i="1"/>
  <c r="AH52" i="1"/>
  <c r="AG52" i="1"/>
  <c r="AF52" i="1"/>
  <c r="AJ51" i="1"/>
  <c r="AI51" i="1"/>
  <c r="AH51" i="1"/>
  <c r="AG51" i="1"/>
  <c r="AF51" i="1"/>
  <c r="AM50" i="1"/>
  <c r="AJ50" i="1"/>
  <c r="AI50" i="1"/>
  <c r="AH50" i="1"/>
  <c r="AG50" i="1"/>
  <c r="AF50" i="1"/>
  <c r="AM49" i="1"/>
  <c r="AL49" i="1"/>
  <c r="AK49" i="1"/>
  <c r="AI49" i="1"/>
  <c r="AH49" i="1"/>
  <c r="AG49" i="1"/>
  <c r="AF49" i="1"/>
  <c r="AM48" i="1"/>
  <c r="AL48" i="1"/>
  <c r="AK48" i="1"/>
  <c r="AJ48" i="1"/>
  <c r="AI48" i="1"/>
  <c r="AH48" i="1"/>
  <c r="AG48" i="1"/>
  <c r="AF48" i="1"/>
  <c r="AK47" i="1"/>
  <c r="AJ47" i="1"/>
  <c r="AI47" i="1"/>
  <c r="AH47" i="1"/>
  <c r="AG47" i="1"/>
  <c r="AF47" i="1"/>
  <c r="AJ46" i="1"/>
  <c r="AI46" i="1"/>
  <c r="AH46" i="1"/>
  <c r="AG46" i="1"/>
  <c r="AF46" i="1"/>
  <c r="AM45" i="1"/>
  <c r="AJ45" i="1"/>
  <c r="AI45" i="1"/>
  <c r="AH45" i="1"/>
  <c r="AG45" i="1"/>
  <c r="AF45" i="1"/>
  <c r="AM44" i="1"/>
  <c r="AL44" i="1"/>
  <c r="AK44" i="1"/>
  <c r="AI44" i="1"/>
  <c r="AH44" i="1"/>
  <c r="AG44" i="1"/>
  <c r="AF44" i="1"/>
  <c r="AM43" i="1"/>
  <c r="AL43" i="1"/>
  <c r="AK43" i="1"/>
  <c r="AJ43" i="1"/>
  <c r="AI43" i="1"/>
  <c r="AH43" i="1"/>
  <c r="AG43" i="1"/>
  <c r="AF43" i="1"/>
  <c r="AL42" i="1"/>
  <c r="AK42" i="1"/>
  <c r="AJ42" i="1"/>
  <c r="AI42" i="1"/>
  <c r="AH42" i="1"/>
  <c r="AG42" i="1"/>
  <c r="AF42" i="1"/>
  <c r="AJ41" i="1"/>
  <c r="AI41" i="1"/>
  <c r="AH41" i="1"/>
  <c r="AG41" i="1"/>
  <c r="AF41" i="1"/>
  <c r="AM40" i="1"/>
  <c r="AJ40" i="1"/>
  <c r="AI40" i="1"/>
  <c r="AH40" i="1"/>
  <c r="AG40" i="1"/>
  <c r="AF40" i="1"/>
  <c r="AM39" i="1"/>
  <c r="AL39" i="1"/>
  <c r="AK39" i="1"/>
  <c r="AI39" i="1"/>
  <c r="AH39" i="1"/>
  <c r="AG39" i="1"/>
  <c r="AF39" i="1"/>
  <c r="AM38" i="1"/>
  <c r="AL38" i="1"/>
  <c r="AK38" i="1"/>
  <c r="AJ38" i="1"/>
  <c r="AI38" i="1"/>
  <c r="AH38" i="1"/>
  <c r="AG38" i="1"/>
  <c r="AF38" i="1"/>
  <c r="AL37" i="1"/>
  <c r="AK37" i="1"/>
  <c r="AJ37" i="1"/>
  <c r="AI37" i="1"/>
  <c r="AH37" i="1"/>
  <c r="AG37" i="1"/>
  <c r="AF37" i="1"/>
  <c r="AK36" i="1"/>
  <c r="AJ36" i="1"/>
  <c r="AI36" i="1"/>
  <c r="AH36" i="1"/>
  <c r="AG36" i="1"/>
  <c r="AF36" i="1"/>
  <c r="AM35" i="1"/>
  <c r="AJ35" i="1"/>
  <c r="AI35" i="1"/>
  <c r="AH35" i="1"/>
  <c r="AG35" i="1"/>
  <c r="AF35" i="1"/>
  <c r="AM34" i="1"/>
  <c r="AL34" i="1"/>
  <c r="AK34" i="1"/>
  <c r="AI34" i="1"/>
  <c r="AH34" i="1"/>
  <c r="AG34" i="1"/>
  <c r="AF34" i="1"/>
  <c r="AM33" i="1"/>
  <c r="AL33" i="1"/>
  <c r="AK33" i="1"/>
  <c r="AJ33" i="1"/>
  <c r="AI33" i="1"/>
  <c r="AH33" i="1"/>
  <c r="AG33" i="1"/>
  <c r="AF33" i="1"/>
  <c r="AL32" i="1"/>
  <c r="AK32" i="1"/>
  <c r="AJ32" i="1"/>
  <c r="AI32" i="1"/>
  <c r="AH32" i="1"/>
  <c r="AG32" i="1"/>
  <c r="AF32" i="1"/>
  <c r="AK31" i="1"/>
  <c r="AJ31" i="1"/>
  <c r="AI31" i="1"/>
  <c r="AH31" i="1"/>
  <c r="AG31" i="1"/>
  <c r="AF31" i="1"/>
  <c r="AM30" i="1"/>
  <c r="AJ30" i="1"/>
  <c r="AI30" i="1"/>
  <c r="AH30" i="1"/>
  <c r="AG30" i="1"/>
  <c r="AF30" i="1"/>
  <c r="AM29" i="1"/>
  <c r="AL29" i="1"/>
  <c r="AK29" i="1"/>
  <c r="AI29" i="1"/>
  <c r="AH29" i="1"/>
  <c r="AG29" i="1"/>
  <c r="AF29" i="1"/>
  <c r="AM28" i="1"/>
  <c r="AL28" i="1"/>
  <c r="AK28" i="1"/>
  <c r="AJ28" i="1"/>
  <c r="AI28" i="1"/>
  <c r="AH28" i="1"/>
  <c r="AG28" i="1"/>
  <c r="AF28" i="1"/>
  <c r="AL27" i="1"/>
  <c r="AK27" i="1"/>
  <c r="AJ27" i="1"/>
  <c r="AI27" i="1"/>
  <c r="AH27" i="1"/>
  <c r="AG27" i="1"/>
  <c r="AF27" i="1"/>
  <c r="AK26" i="1"/>
  <c r="AJ26" i="1"/>
  <c r="AI26" i="1"/>
  <c r="AH26" i="1"/>
  <c r="AG26" i="1"/>
  <c r="AF26" i="1"/>
  <c r="AM25" i="1"/>
  <c r="AJ25" i="1"/>
  <c r="AI25" i="1"/>
  <c r="AH25" i="1"/>
  <c r="AG25" i="1"/>
  <c r="AF25" i="1"/>
  <c r="AM24" i="1"/>
  <c r="AL24" i="1"/>
  <c r="AK24" i="1"/>
  <c r="AI24" i="1"/>
  <c r="AH24" i="1"/>
  <c r="AG24" i="1"/>
  <c r="AF24" i="1"/>
  <c r="AM23" i="1"/>
  <c r="AL23" i="1"/>
  <c r="AK23" i="1"/>
  <c r="AJ23" i="1"/>
  <c r="AI23" i="1"/>
  <c r="AH23" i="1"/>
  <c r="AG23" i="1"/>
  <c r="AF23" i="1"/>
  <c r="AL22" i="1"/>
  <c r="AK22" i="1"/>
  <c r="AJ22" i="1"/>
  <c r="AI22" i="1"/>
  <c r="AH22" i="1"/>
  <c r="AG22" i="1"/>
  <c r="AF22" i="1"/>
  <c r="AK21" i="1"/>
  <c r="AJ21" i="1"/>
  <c r="AI21" i="1"/>
  <c r="AH21" i="1"/>
  <c r="AG21" i="1"/>
  <c r="AF21" i="1"/>
  <c r="AM20" i="1"/>
  <c r="AJ20" i="1"/>
  <c r="AI20" i="1"/>
  <c r="AH20" i="1"/>
  <c r="AG20" i="1"/>
  <c r="AF20" i="1"/>
  <c r="AM19" i="1"/>
  <c r="AL19" i="1"/>
  <c r="AK19" i="1"/>
  <c r="AI19" i="1"/>
  <c r="AH19" i="1"/>
  <c r="AG19" i="1"/>
  <c r="AF19" i="1"/>
  <c r="AM18" i="1"/>
  <c r="AL18" i="1"/>
  <c r="AK18" i="1"/>
  <c r="AJ18" i="1"/>
  <c r="AI18" i="1"/>
  <c r="AH18" i="1"/>
  <c r="AG18" i="1"/>
  <c r="AF18" i="1"/>
  <c r="AL17" i="1"/>
  <c r="AK17" i="1"/>
  <c r="AJ17" i="1"/>
  <c r="AI17" i="1"/>
  <c r="AH17" i="1"/>
  <c r="AG17" i="1"/>
  <c r="AF17" i="1"/>
  <c r="AK16" i="1"/>
  <c r="AJ16" i="1"/>
  <c r="AI16" i="1"/>
  <c r="AH16" i="1"/>
  <c r="AG16" i="1"/>
  <c r="AF16" i="1"/>
  <c r="AM15" i="1"/>
  <c r="AJ15" i="1"/>
  <c r="AI15" i="1"/>
  <c r="AH15" i="1"/>
  <c r="AG15" i="1"/>
  <c r="AF15" i="1"/>
  <c r="AM14" i="1"/>
  <c r="AL14" i="1"/>
  <c r="AK14" i="1"/>
  <c r="AI14" i="1"/>
  <c r="AH14" i="1"/>
  <c r="AG14" i="1"/>
  <c r="AF14" i="1"/>
  <c r="AM13" i="1"/>
  <c r="AL13" i="1"/>
  <c r="AK13" i="1"/>
  <c r="AJ13" i="1"/>
  <c r="AI13" i="1"/>
  <c r="AH13" i="1"/>
  <c r="AG13" i="1"/>
  <c r="AF13" i="1"/>
  <c r="AL12" i="1"/>
  <c r="AK12" i="1"/>
  <c r="AJ12" i="1"/>
  <c r="AI12" i="1"/>
  <c r="AH12" i="1"/>
  <c r="AG12" i="1"/>
  <c r="AF12" i="1"/>
  <c r="AK11" i="1"/>
  <c r="AJ11" i="1"/>
  <c r="AI11" i="1"/>
  <c r="AH11" i="1"/>
  <c r="AG11" i="1"/>
  <c r="AF11" i="1"/>
  <c r="AM10" i="1"/>
  <c r="AJ10" i="1"/>
  <c r="AI10" i="1"/>
  <c r="AH10" i="1"/>
  <c r="AG10" i="1"/>
  <c r="AF10" i="1"/>
  <c r="AM9" i="1"/>
  <c r="AL9" i="1"/>
  <c r="AK9" i="1"/>
  <c r="AI9" i="1"/>
  <c r="AH9" i="1"/>
  <c r="AG9" i="1"/>
  <c r="AF9" i="1"/>
  <c r="AM8" i="1"/>
  <c r="AL8" i="1"/>
  <c r="AK8" i="1"/>
  <c r="AJ8" i="1"/>
  <c r="AI8" i="1"/>
  <c r="AH8" i="1"/>
  <c r="AG8" i="1"/>
  <c r="AF8" i="1"/>
  <c r="AL7" i="1"/>
  <c r="AK7" i="1"/>
  <c r="AJ7" i="1"/>
  <c r="AI7" i="1"/>
  <c r="AH7" i="1"/>
  <c r="AG7" i="1"/>
  <c r="AF7" i="1"/>
  <c r="AK6" i="1"/>
  <c r="AJ6" i="1"/>
  <c r="AI6" i="1"/>
  <c r="AH6" i="1"/>
  <c r="AG6" i="1"/>
  <c r="AF6" i="1"/>
  <c r="AM5" i="1"/>
  <c r="AJ5" i="1"/>
  <c r="AI5" i="1"/>
  <c r="AH5" i="1"/>
  <c r="AG5" i="1"/>
  <c r="AF5" i="1"/>
  <c r="AM4" i="1"/>
  <c r="AL4" i="1"/>
  <c r="AK4" i="1"/>
  <c r="AI4" i="1"/>
  <c r="AH4" i="1"/>
  <c r="AF4" i="1"/>
  <c r="F67" i="4"/>
  <c r="R67" i="4"/>
  <c r="AD67" i="4"/>
  <c r="AP67" i="4"/>
  <c r="BB67" i="4"/>
  <c r="BN67" i="4"/>
  <c r="BZ67" i="4"/>
  <c r="AL47" i="1" l="1"/>
  <c r="AL52" i="1"/>
  <c r="AM27" i="1"/>
  <c r="AL16" i="1"/>
  <c r="AL31" i="1"/>
  <c r="AL36" i="1"/>
  <c r="AL41" i="1"/>
  <c r="AL51" i="1"/>
  <c r="AK20" i="1"/>
  <c r="AK25" i="1"/>
  <c r="AM31" i="1"/>
  <c r="AK35" i="1"/>
  <c r="AK40" i="1"/>
  <c r="AK45" i="1"/>
  <c r="AM46" i="1"/>
  <c r="AK50" i="1"/>
  <c r="AM51" i="1"/>
  <c r="AM53" i="1"/>
  <c r="AM7" i="1"/>
  <c r="AM12" i="1"/>
  <c r="AM17" i="1"/>
  <c r="AM22" i="1"/>
  <c r="AM32" i="1"/>
  <c r="AM37" i="1"/>
  <c r="AK41" i="1"/>
  <c r="AM42" i="1"/>
  <c r="AK46" i="1"/>
  <c r="AM47" i="1"/>
  <c r="AK51" i="1"/>
  <c r="AM52" i="1"/>
  <c r="AL6" i="1"/>
  <c r="AL11" i="1"/>
  <c r="AL21" i="1"/>
  <c r="AL26" i="1"/>
  <c r="AL46" i="1"/>
  <c r="AK5" i="1"/>
  <c r="AM6" i="1"/>
  <c r="AK10" i="1"/>
  <c r="AM11" i="1"/>
  <c r="AK15" i="1"/>
  <c r="AM16" i="1"/>
  <c r="AM21" i="1"/>
  <c r="AM26" i="1"/>
  <c r="AM36" i="1"/>
  <c r="AJ4" i="1"/>
  <c r="AL5" i="1"/>
  <c r="AJ9" i="1"/>
  <c r="AL10" i="1"/>
  <c r="AJ14" i="1"/>
  <c r="AL15" i="1"/>
  <c r="AJ19" i="1"/>
  <c r="AL20" i="1"/>
  <c r="AJ24" i="1"/>
  <c r="AL25" i="1"/>
  <c r="AJ29" i="1"/>
  <c r="AL30" i="1"/>
  <c r="AJ34" i="1"/>
  <c r="AL35" i="1"/>
  <c r="AJ39" i="1"/>
  <c r="AL40" i="1"/>
  <c r="AJ44" i="1"/>
  <c r="AL45" i="1"/>
  <c r="AJ49" i="1"/>
  <c r="N41" i="1"/>
  <c r="R53" i="4" s="1"/>
  <c r="N50" i="1"/>
  <c r="R62" i="4" s="1"/>
  <c r="M15" i="1"/>
  <c r="F27" i="4" s="1"/>
  <c r="N21" i="1"/>
  <c r="R33" i="4" s="1"/>
  <c r="O21" i="1"/>
  <c r="AD33" i="4" s="1"/>
  <c r="M24" i="1"/>
  <c r="F36" i="4" s="1"/>
  <c r="Q31" i="1"/>
  <c r="BB43" i="4" s="1"/>
  <c r="M34" i="1"/>
  <c r="F46" i="4" s="1"/>
  <c r="D55" i="1"/>
  <c r="N40" i="1" s="1"/>
  <c r="R52" i="4" s="1"/>
  <c r="E55" i="1"/>
  <c r="O37" i="1" s="1"/>
  <c r="AD49" i="4" s="1"/>
  <c r="F55" i="1"/>
  <c r="P44" i="1" s="1"/>
  <c r="AP56" i="4" s="1"/>
  <c r="G55" i="1"/>
  <c r="Q41" i="1" s="1"/>
  <c r="BB53" i="4" s="1"/>
  <c r="H55" i="1"/>
  <c r="R38" i="1" s="1"/>
  <c r="BN50" i="4" s="1"/>
  <c r="I55" i="1"/>
  <c r="S45" i="1" s="1"/>
  <c r="BZ57" i="4" s="1"/>
  <c r="C55" i="1"/>
  <c r="M48" i="1" s="1"/>
  <c r="F60" i="4" s="1"/>
  <c r="M32" i="1" l="1"/>
  <c r="F44" i="4" s="1"/>
  <c r="M12" i="1"/>
  <c r="F24" i="4" s="1"/>
  <c r="M21" i="1"/>
  <c r="F33" i="4" s="1"/>
  <c r="Q11" i="1"/>
  <c r="BB23" i="4" s="1"/>
  <c r="Q48" i="1"/>
  <c r="BB60" i="4" s="1"/>
  <c r="M30" i="1"/>
  <c r="F42" i="4" s="1"/>
  <c r="M20" i="1"/>
  <c r="F32" i="4" s="1"/>
  <c r="Q45" i="1"/>
  <c r="BB57" i="4" s="1"/>
  <c r="Q8" i="1"/>
  <c r="BB20" i="4" s="1"/>
  <c r="M33" i="1"/>
  <c r="F45" i="4" s="1"/>
  <c r="M13" i="1"/>
  <c r="F25" i="4" s="1"/>
  <c r="M50" i="1"/>
  <c r="F62" i="4" s="1"/>
  <c r="R48" i="1"/>
  <c r="BN60" i="4" s="1"/>
  <c r="R8" i="1"/>
  <c r="BN20" i="4" s="1"/>
  <c r="M29" i="1"/>
  <c r="F41" i="4" s="1"/>
  <c r="M19" i="1"/>
  <c r="F31" i="4" s="1"/>
  <c r="M45" i="1"/>
  <c r="F57" i="4" s="1"/>
  <c r="R28" i="1"/>
  <c r="BN40" i="4" s="1"/>
  <c r="R18" i="1"/>
  <c r="BN30" i="4" s="1"/>
  <c r="M8" i="1"/>
  <c r="F20" i="4" s="1"/>
  <c r="Q28" i="1"/>
  <c r="BB40" i="4" s="1"/>
  <c r="N18" i="1"/>
  <c r="R30" i="4" s="1"/>
  <c r="M54" i="1"/>
  <c r="F66" i="4" s="1"/>
  <c r="M41" i="1"/>
  <c r="F53" i="4" s="1"/>
  <c r="M4" i="1"/>
  <c r="F16" i="4" s="1"/>
  <c r="M27" i="1"/>
  <c r="F39" i="4" s="1"/>
  <c r="M18" i="1"/>
  <c r="F30" i="4" s="1"/>
  <c r="M53" i="1"/>
  <c r="F65" i="4" s="1"/>
  <c r="M40" i="1"/>
  <c r="F52" i="4" s="1"/>
  <c r="N34" i="1"/>
  <c r="R46" i="4" s="1"/>
  <c r="M25" i="1"/>
  <c r="F37" i="4" s="1"/>
  <c r="M17" i="1"/>
  <c r="F29" i="4" s="1"/>
  <c r="Q51" i="1"/>
  <c r="BB63" i="4" s="1"/>
  <c r="Q38" i="1"/>
  <c r="BB50" i="4" s="1"/>
  <c r="N54" i="1"/>
  <c r="R66" i="4" s="1"/>
  <c r="P4" i="1"/>
  <c r="AP16" i="4" s="1"/>
  <c r="N38" i="1"/>
  <c r="R50" i="4" s="1"/>
  <c r="N20" i="1"/>
  <c r="R32" i="4" s="1"/>
  <c r="N45" i="1"/>
  <c r="R57" i="4" s="1"/>
  <c r="N24" i="1"/>
  <c r="R36" i="4" s="1"/>
  <c r="P48" i="1"/>
  <c r="AP60" i="4" s="1"/>
  <c r="O4" i="1"/>
  <c r="AD16" i="4" s="1"/>
  <c r="O44" i="1"/>
  <c r="AD56" i="4" s="1"/>
  <c r="N4" i="1"/>
  <c r="R16" i="4" s="1"/>
  <c r="P14" i="1"/>
  <c r="AP26" i="4" s="1"/>
  <c r="M35" i="1"/>
  <c r="F47" i="4" s="1"/>
  <c r="N31" i="1"/>
  <c r="R43" i="4" s="1"/>
  <c r="M28" i="1"/>
  <c r="F40" i="4" s="1"/>
  <c r="M22" i="1"/>
  <c r="F34" i="4" s="1"/>
  <c r="Q18" i="1"/>
  <c r="BB30" i="4" s="1"/>
  <c r="O14" i="1"/>
  <c r="AD26" i="4" s="1"/>
  <c r="N10" i="1"/>
  <c r="R22" i="4" s="1"/>
  <c r="N7" i="1"/>
  <c r="R19" i="4" s="1"/>
  <c r="O51" i="1"/>
  <c r="AD63" i="4" s="1"/>
  <c r="N47" i="1"/>
  <c r="R59" i="4" s="1"/>
  <c r="M44" i="1"/>
  <c r="F56" i="4" s="1"/>
  <c r="M38" i="1"/>
  <c r="F50" i="4" s="1"/>
  <c r="P45" i="1"/>
  <c r="AP57" i="4" s="1"/>
  <c r="P24" i="1"/>
  <c r="AP36" i="4" s="1"/>
  <c r="P8" i="1"/>
  <c r="AP20" i="4" s="1"/>
  <c r="O24" i="1"/>
  <c r="AD36" i="4" s="1"/>
  <c r="P11" i="1"/>
  <c r="AP23" i="4" s="1"/>
  <c r="P28" i="1"/>
  <c r="AP40" i="4" s="1"/>
  <c r="O11" i="1"/>
  <c r="AD23" i="4" s="1"/>
  <c r="P38" i="1"/>
  <c r="AP50" i="4" s="1"/>
  <c r="O28" i="1"/>
  <c r="AD40" i="4" s="1"/>
  <c r="O48" i="1"/>
  <c r="AD60" i="4" s="1"/>
  <c r="N28" i="1"/>
  <c r="R40" i="4" s="1"/>
  <c r="M23" i="1"/>
  <c r="F35" i="4" s="1"/>
  <c r="O7" i="1"/>
  <c r="AD19" i="4" s="1"/>
  <c r="N44" i="1"/>
  <c r="R56" i="4" s="1"/>
  <c r="P34" i="1"/>
  <c r="AP46" i="4" s="1"/>
  <c r="M31" i="1"/>
  <c r="F43" i="4" s="1"/>
  <c r="O27" i="1"/>
  <c r="AD39" i="4" s="1"/>
  <c r="Q21" i="1"/>
  <c r="BB33" i="4" s="1"/>
  <c r="P18" i="1"/>
  <c r="AP30" i="4" s="1"/>
  <c r="N14" i="1"/>
  <c r="R26" i="4" s="1"/>
  <c r="M10" i="1"/>
  <c r="F22" i="4" s="1"/>
  <c r="M7" i="1"/>
  <c r="F19" i="4" s="1"/>
  <c r="N51" i="1"/>
  <c r="R63" i="4" s="1"/>
  <c r="M47" i="1"/>
  <c r="F59" i="4" s="1"/>
  <c r="P41" i="1"/>
  <c r="AP53" i="4" s="1"/>
  <c r="N37" i="1"/>
  <c r="R49" i="4" s="1"/>
  <c r="P54" i="1"/>
  <c r="AP66" i="4" s="1"/>
  <c r="O54" i="1"/>
  <c r="AD66" i="4" s="1"/>
  <c r="O17" i="1"/>
  <c r="AD29" i="4" s="1"/>
  <c r="O45" i="1"/>
  <c r="AD57" i="4" s="1"/>
  <c r="N17" i="1"/>
  <c r="R29" i="4" s="1"/>
  <c r="O8" i="1"/>
  <c r="AD20" i="4" s="1"/>
  <c r="N8" i="1"/>
  <c r="R20" i="4" s="1"/>
  <c r="P31" i="1"/>
  <c r="AP43" i="4" s="1"/>
  <c r="N11" i="1"/>
  <c r="R23" i="4" s="1"/>
  <c r="O38" i="1"/>
  <c r="AD50" i="4" s="1"/>
  <c r="O31" i="1"/>
  <c r="AD43" i="4" s="1"/>
  <c r="M11" i="1"/>
  <c r="F23" i="4" s="1"/>
  <c r="P51" i="1"/>
  <c r="AP63" i="4" s="1"/>
  <c r="N48" i="1"/>
  <c r="R60" i="4" s="1"/>
  <c r="O34" i="1"/>
  <c r="AD46" i="4" s="1"/>
  <c r="N30" i="1"/>
  <c r="R42" i="4" s="1"/>
  <c r="N27" i="1"/>
  <c r="R39" i="4" s="1"/>
  <c r="P21" i="1"/>
  <c r="AP33" i="4" s="1"/>
  <c r="O18" i="1"/>
  <c r="AD30" i="4" s="1"/>
  <c r="M14" i="1"/>
  <c r="F26" i="4" s="1"/>
  <c r="M9" i="1"/>
  <c r="F21" i="4" s="1"/>
  <c r="M5" i="1"/>
  <c r="F17" i="4" s="1"/>
  <c r="M51" i="1"/>
  <c r="F63" i="4" s="1"/>
  <c r="R45" i="1"/>
  <c r="BN57" i="4" s="1"/>
  <c r="O41" i="1"/>
  <c r="AD53" i="4" s="1"/>
  <c r="M37" i="1"/>
  <c r="F49" i="4" s="1"/>
  <c r="S25" i="1"/>
  <c r="BZ37" i="4" s="1"/>
  <c r="S22" i="1"/>
  <c r="BZ34" i="4" s="1"/>
  <c r="S46" i="1"/>
  <c r="BZ58" i="4" s="1"/>
  <c r="S29" i="1"/>
  <c r="BZ41" i="4" s="1"/>
  <c r="S19" i="1"/>
  <c r="BZ31" i="4" s="1"/>
  <c r="R12" i="1"/>
  <c r="BN24" i="4" s="1"/>
  <c r="S49" i="1"/>
  <c r="BZ61" i="4" s="1"/>
  <c r="S16" i="1"/>
  <c r="BZ28" i="4" s="1"/>
  <c r="S35" i="1"/>
  <c r="BZ47" i="4" s="1"/>
  <c r="R15" i="1"/>
  <c r="BN27" i="4" s="1"/>
  <c r="R42" i="1"/>
  <c r="BN54" i="4" s="1"/>
  <c r="Q25" i="1"/>
  <c r="BB37" i="4" s="1"/>
  <c r="R22" i="1"/>
  <c r="BN34" i="4" s="1"/>
  <c r="Q5" i="1"/>
  <c r="BB17" i="4" s="1"/>
  <c r="S26" i="1"/>
  <c r="BZ38" i="4" s="1"/>
  <c r="R36" i="1"/>
  <c r="BN48" i="4" s="1"/>
  <c r="S33" i="1"/>
  <c r="BZ45" i="4" s="1"/>
  <c r="Q29" i="1"/>
  <c r="BB41" i="4" s="1"/>
  <c r="R26" i="1"/>
  <c r="BN38" i="4" s="1"/>
  <c r="S23" i="1"/>
  <c r="BZ35" i="4" s="1"/>
  <c r="Q19" i="1"/>
  <c r="BB31" i="4" s="1"/>
  <c r="O15" i="1"/>
  <c r="AD27" i="4" s="1"/>
  <c r="Q9" i="1"/>
  <c r="BB21" i="4" s="1"/>
  <c r="R6" i="1"/>
  <c r="BN18" i="4" s="1"/>
  <c r="O5" i="1"/>
  <c r="AD17" i="4" s="1"/>
  <c r="S53" i="1"/>
  <c r="BZ65" i="4" s="1"/>
  <c r="P52" i="1"/>
  <c r="AP64" i="4" s="1"/>
  <c r="R43" i="1"/>
  <c r="BN55" i="4" s="1"/>
  <c r="S40" i="1"/>
  <c r="BZ52" i="4" s="1"/>
  <c r="P39" i="1"/>
  <c r="AP51" i="4" s="1"/>
  <c r="R35" i="1"/>
  <c r="BN47" i="4" s="1"/>
  <c r="S12" i="1"/>
  <c r="BZ24" i="4" s="1"/>
  <c r="Q42" i="1"/>
  <c r="BB54" i="4" s="1"/>
  <c r="S36" i="1"/>
  <c r="BZ48" i="4" s="1"/>
  <c r="P15" i="1"/>
  <c r="AP27" i="4" s="1"/>
  <c r="O35" i="1"/>
  <c r="AD47" i="4" s="1"/>
  <c r="O25" i="1"/>
  <c r="AD37" i="4" s="1"/>
  <c r="S13" i="1"/>
  <c r="BZ25" i="4" s="1"/>
  <c r="Q46" i="1"/>
  <c r="BB58" i="4" s="1"/>
  <c r="S20" i="1"/>
  <c r="BZ32" i="4" s="1"/>
  <c r="N15" i="1"/>
  <c r="R27" i="4" s="1"/>
  <c r="N5" i="1"/>
  <c r="R17" i="4" s="1"/>
  <c r="R53" i="1"/>
  <c r="BN65" i="4" s="1"/>
  <c r="O52" i="1"/>
  <c r="AD64" i="4" s="1"/>
  <c r="S50" i="1"/>
  <c r="BZ62" i="4" s="1"/>
  <c r="P49" i="1"/>
  <c r="AP61" i="4" s="1"/>
  <c r="S47" i="1"/>
  <c r="BZ59" i="4" s="1"/>
  <c r="P46" i="1"/>
  <c r="AP58" i="4" s="1"/>
  <c r="R40" i="1"/>
  <c r="BN52" i="4" s="1"/>
  <c r="O39" i="1"/>
  <c r="AD51" i="4" s="1"/>
  <c r="S37" i="1"/>
  <c r="BZ49" i="4" s="1"/>
  <c r="S15" i="1"/>
  <c r="BZ27" i="4" s="1"/>
  <c r="S42" i="1"/>
  <c r="BZ54" i="4" s="1"/>
  <c r="R5" i="1"/>
  <c r="BN17" i="4" s="1"/>
  <c r="R32" i="1"/>
  <c r="BN44" i="4" s="1"/>
  <c r="Q15" i="1"/>
  <c r="BB27" i="4" s="1"/>
  <c r="P35" i="1"/>
  <c r="AP47" i="4" s="1"/>
  <c r="R29" i="1"/>
  <c r="BN41" i="4" s="1"/>
  <c r="Q13" i="1"/>
  <c r="BB25" i="4" s="1"/>
  <c r="N12" i="1"/>
  <c r="R24" i="4" s="1"/>
  <c r="R10" i="1"/>
  <c r="BN22" i="4" s="1"/>
  <c r="O9" i="1"/>
  <c r="AD21" i="4" s="1"/>
  <c r="S7" i="1"/>
  <c r="BZ19" i="4" s="1"/>
  <c r="P6" i="1"/>
  <c r="AP18" i="4" s="1"/>
  <c r="Q53" i="1"/>
  <c r="BB65" i="4" s="1"/>
  <c r="N52" i="1"/>
  <c r="R64" i="4" s="1"/>
  <c r="R50" i="1"/>
  <c r="BN62" i="4" s="1"/>
  <c r="O49" i="1"/>
  <c r="AD61" i="4" s="1"/>
  <c r="R47" i="1"/>
  <c r="BN59" i="4" s="1"/>
  <c r="O46" i="1"/>
  <c r="AD58" i="4" s="1"/>
  <c r="S44" i="1"/>
  <c r="BZ56" i="4" s="1"/>
  <c r="P43" i="1"/>
  <c r="AP55" i="4" s="1"/>
  <c r="M42" i="1"/>
  <c r="F54" i="4" s="1"/>
  <c r="Q40" i="1"/>
  <c r="BB52" i="4" s="1"/>
  <c r="N39" i="1"/>
  <c r="R51" i="4" s="1"/>
  <c r="R37" i="1"/>
  <c r="BN49" i="4" s="1"/>
  <c r="S5" i="1"/>
  <c r="BZ17" i="4" s="1"/>
  <c r="S39" i="1"/>
  <c r="BZ51" i="4" s="1"/>
  <c r="Q35" i="1"/>
  <c r="BB47" i="4" s="1"/>
  <c r="S9" i="1"/>
  <c r="BZ21" i="4" s="1"/>
  <c r="R9" i="1"/>
  <c r="BN21" i="4" s="1"/>
  <c r="P5" i="1"/>
  <c r="AP17" i="4" s="1"/>
  <c r="Q52" i="1"/>
  <c r="BB64" i="4" s="1"/>
  <c r="R49" i="1"/>
  <c r="BN61" i="4" s="1"/>
  <c r="R46" i="1"/>
  <c r="BN58" i="4" s="1"/>
  <c r="Q39" i="1"/>
  <c r="BB51" i="4" s="1"/>
  <c r="R16" i="1"/>
  <c r="BN28" i="4" s="1"/>
  <c r="O42" i="1"/>
  <c r="AD54" i="4" s="1"/>
  <c r="Q36" i="1"/>
  <c r="BB48" i="4" s="1"/>
  <c r="N35" i="1"/>
  <c r="R47" i="4" s="1"/>
  <c r="S30" i="1"/>
  <c r="BZ42" i="4" s="1"/>
  <c r="P29" i="1"/>
  <c r="AP41" i="4" s="1"/>
  <c r="Q26" i="1"/>
  <c r="BB38" i="4" s="1"/>
  <c r="O22" i="1"/>
  <c r="AD34" i="4" s="1"/>
  <c r="Q16" i="1"/>
  <c r="BB28" i="4" s="1"/>
  <c r="S10" i="1"/>
  <c r="BZ22" i="4" s="1"/>
  <c r="Q43" i="1"/>
  <c r="BB55" i="4" s="1"/>
  <c r="P36" i="1"/>
  <c r="AP48" i="4" s="1"/>
  <c r="R30" i="1"/>
  <c r="BN42" i="4" s="1"/>
  <c r="P26" i="1"/>
  <c r="AP38" i="4" s="1"/>
  <c r="P16" i="1"/>
  <c r="AP28" i="4" s="1"/>
  <c r="S4" i="1"/>
  <c r="BZ16" i="4" s="1"/>
  <c r="O36" i="1"/>
  <c r="AD48" i="4" s="1"/>
  <c r="S34" i="1"/>
  <c r="BZ46" i="4" s="1"/>
  <c r="P33" i="1"/>
  <c r="AP45" i="4" s="1"/>
  <c r="Q30" i="1"/>
  <c r="BB42" i="4" s="1"/>
  <c r="N29" i="1"/>
  <c r="R41" i="4" s="1"/>
  <c r="R27" i="1"/>
  <c r="BN39" i="4" s="1"/>
  <c r="O26" i="1"/>
  <c r="AD38" i="4" s="1"/>
  <c r="S24" i="1"/>
  <c r="BZ36" i="4" s="1"/>
  <c r="P23" i="1"/>
  <c r="AP35" i="4" s="1"/>
  <c r="Q20" i="1"/>
  <c r="BB32" i="4" s="1"/>
  <c r="N19" i="1"/>
  <c r="R31" i="4" s="1"/>
  <c r="R17" i="1"/>
  <c r="BN29" i="4" s="1"/>
  <c r="O16" i="1"/>
  <c r="AD28" i="4" s="1"/>
  <c r="S14" i="1"/>
  <c r="BZ26" i="4" s="1"/>
  <c r="P13" i="1"/>
  <c r="AP25" i="4" s="1"/>
  <c r="Q10" i="1"/>
  <c r="BB22" i="4" s="1"/>
  <c r="N9" i="1"/>
  <c r="R21" i="4" s="1"/>
  <c r="R7" i="1"/>
  <c r="BN19" i="4" s="1"/>
  <c r="O6" i="1"/>
  <c r="AD18" i="4" s="1"/>
  <c r="S54" i="1"/>
  <c r="BZ66" i="4" s="1"/>
  <c r="P53" i="1"/>
  <c r="AP65" i="4" s="1"/>
  <c r="M52" i="1"/>
  <c r="F64" i="4" s="1"/>
  <c r="Q50" i="1"/>
  <c r="BB62" i="4" s="1"/>
  <c r="N49" i="1"/>
  <c r="R61" i="4" s="1"/>
  <c r="Q47" i="1"/>
  <c r="BB59" i="4" s="1"/>
  <c r="N46" i="1"/>
  <c r="R58" i="4" s="1"/>
  <c r="R44" i="1"/>
  <c r="BN56" i="4" s="1"/>
  <c r="O43" i="1"/>
  <c r="AD55" i="4" s="1"/>
  <c r="S41" i="1"/>
  <c r="BZ53" i="4" s="1"/>
  <c r="P40" i="1"/>
  <c r="AP52" i="4" s="1"/>
  <c r="M39" i="1"/>
  <c r="F51" i="4" s="1"/>
  <c r="Q37" i="1"/>
  <c r="BB49" i="4" s="1"/>
  <c r="S32" i="1"/>
  <c r="BZ44" i="4" s="1"/>
  <c r="R52" i="1"/>
  <c r="BN64" i="4" s="1"/>
  <c r="Q32" i="1"/>
  <c r="BB44" i="4" s="1"/>
  <c r="Q22" i="1"/>
  <c r="BB34" i="4" s="1"/>
  <c r="P42" i="1"/>
  <c r="AP54" i="4" s="1"/>
  <c r="P32" i="1"/>
  <c r="AP44" i="4" s="1"/>
  <c r="P22" i="1"/>
  <c r="AP34" i="4" s="1"/>
  <c r="P12" i="1"/>
  <c r="AP24" i="4" s="1"/>
  <c r="Q49" i="1"/>
  <c r="BB61" i="4" s="1"/>
  <c r="O32" i="1"/>
  <c r="AD44" i="4" s="1"/>
  <c r="N25" i="1"/>
  <c r="R37" i="4" s="1"/>
  <c r="P19" i="1"/>
  <c r="AP31" i="4" s="1"/>
  <c r="R13" i="1"/>
  <c r="BN25" i="4" s="1"/>
  <c r="P9" i="1"/>
  <c r="AP21" i="4" s="1"/>
  <c r="N32" i="1"/>
  <c r="R44" i="4" s="1"/>
  <c r="O29" i="1"/>
  <c r="AD41" i="4" s="1"/>
  <c r="Q23" i="1"/>
  <c r="BB35" i="4" s="1"/>
  <c r="N22" i="1"/>
  <c r="R34" i="4" s="1"/>
  <c r="R20" i="1"/>
  <c r="BN32" i="4" s="1"/>
  <c r="O19" i="1"/>
  <c r="AD31" i="4" s="1"/>
  <c r="R4" i="1"/>
  <c r="BN16" i="4" s="1"/>
  <c r="N36" i="1"/>
  <c r="R48" i="4" s="1"/>
  <c r="O33" i="1"/>
  <c r="AD45" i="4" s="1"/>
  <c r="S31" i="1"/>
  <c r="BZ43" i="4" s="1"/>
  <c r="R24" i="1"/>
  <c r="BN36" i="4" s="1"/>
  <c r="Q17" i="1"/>
  <c r="BB29" i="4" s="1"/>
  <c r="R14" i="1"/>
  <c r="BN26" i="4" s="1"/>
  <c r="O13" i="1"/>
  <c r="AD25" i="4" s="1"/>
  <c r="S11" i="1"/>
  <c r="BZ23" i="4" s="1"/>
  <c r="P10" i="1"/>
  <c r="AP22" i="4" s="1"/>
  <c r="Q7" i="1"/>
  <c r="BB19" i="4" s="1"/>
  <c r="N6" i="1"/>
  <c r="R18" i="4" s="1"/>
  <c r="O53" i="1"/>
  <c r="AD65" i="4" s="1"/>
  <c r="S51" i="1"/>
  <c r="BZ63" i="4" s="1"/>
  <c r="P50" i="1"/>
  <c r="AP62" i="4" s="1"/>
  <c r="M49" i="1"/>
  <c r="F61" i="4" s="1"/>
  <c r="P47" i="1"/>
  <c r="AP59" i="4" s="1"/>
  <c r="M46" i="1"/>
  <c r="F58" i="4" s="1"/>
  <c r="Q44" i="1"/>
  <c r="BB56" i="4" s="1"/>
  <c r="N43" i="1"/>
  <c r="R55" i="4" s="1"/>
  <c r="R41" i="1"/>
  <c r="BN53" i="4" s="1"/>
  <c r="O40" i="1"/>
  <c r="AD52" i="4" s="1"/>
  <c r="S38" i="1"/>
  <c r="BZ50" i="4" s="1"/>
  <c r="P37" i="1"/>
  <c r="AP49" i="4" s="1"/>
  <c r="R25" i="1"/>
  <c r="BN37" i="4" s="1"/>
  <c r="S52" i="1"/>
  <c r="BZ64" i="4" s="1"/>
  <c r="R39" i="1"/>
  <c r="BN51" i="4" s="1"/>
  <c r="P25" i="1"/>
  <c r="AP37" i="4" s="1"/>
  <c r="R19" i="1"/>
  <c r="BN31" i="4" s="1"/>
  <c r="Q12" i="1"/>
  <c r="BB24" i="4" s="1"/>
  <c r="S6" i="1"/>
  <c r="BZ18" i="4" s="1"/>
  <c r="S43" i="1"/>
  <c r="BZ55" i="4" s="1"/>
  <c r="R33" i="1"/>
  <c r="BN45" i="4" s="1"/>
  <c r="R23" i="1"/>
  <c r="BN35" i="4" s="1"/>
  <c r="O12" i="1"/>
  <c r="AD24" i="4" s="1"/>
  <c r="Q6" i="1"/>
  <c r="BB18" i="4" s="1"/>
  <c r="N42" i="1"/>
  <c r="R54" i="4" s="1"/>
  <c r="Q33" i="1"/>
  <c r="BB45" i="4" s="1"/>
  <c r="S27" i="1"/>
  <c r="BZ39" i="4" s="1"/>
  <c r="S17" i="1"/>
  <c r="BZ29" i="4" s="1"/>
  <c r="R34" i="1"/>
  <c r="BN46" i="4" s="1"/>
  <c r="P30" i="1"/>
  <c r="AP42" i="4" s="1"/>
  <c r="Q27" i="1"/>
  <c r="BB39" i="4" s="1"/>
  <c r="N26" i="1"/>
  <c r="R38" i="4" s="1"/>
  <c r="O23" i="1"/>
  <c r="AD35" i="4" s="1"/>
  <c r="S21" i="1"/>
  <c r="BZ33" i="4" s="1"/>
  <c r="P20" i="1"/>
  <c r="AP32" i="4" s="1"/>
  <c r="N16" i="1"/>
  <c r="R28" i="4" s="1"/>
  <c r="R54" i="1"/>
  <c r="BN66" i="4" s="1"/>
  <c r="Q4" i="1"/>
  <c r="BB16" i="4" s="1"/>
  <c r="M36" i="1"/>
  <c r="F48" i="4" s="1"/>
  <c r="Q34" i="1"/>
  <c r="BB46" i="4" s="1"/>
  <c r="N33" i="1"/>
  <c r="R45" i="4" s="1"/>
  <c r="R31" i="1"/>
  <c r="BN43" i="4" s="1"/>
  <c r="O30" i="1"/>
  <c r="AD42" i="4" s="1"/>
  <c r="S28" i="1"/>
  <c r="BZ40" i="4" s="1"/>
  <c r="P27" i="1"/>
  <c r="AP39" i="4" s="1"/>
  <c r="M26" i="1"/>
  <c r="F38" i="4" s="1"/>
  <c r="Q24" i="1"/>
  <c r="BB36" i="4" s="1"/>
  <c r="N23" i="1"/>
  <c r="R35" i="4" s="1"/>
  <c r="R21" i="1"/>
  <c r="BN33" i="4" s="1"/>
  <c r="O20" i="1"/>
  <c r="AD32" i="4" s="1"/>
  <c r="S18" i="1"/>
  <c r="BZ30" i="4" s="1"/>
  <c r="P17" i="1"/>
  <c r="AP29" i="4" s="1"/>
  <c r="M16" i="1"/>
  <c r="F28" i="4" s="1"/>
  <c r="Q14" i="1"/>
  <c r="BB26" i="4" s="1"/>
  <c r="N13" i="1"/>
  <c r="R25" i="4" s="1"/>
  <c r="R11" i="1"/>
  <c r="BN23" i="4" s="1"/>
  <c r="O10" i="1"/>
  <c r="AD22" i="4" s="1"/>
  <c r="S8" i="1"/>
  <c r="BZ20" i="4" s="1"/>
  <c r="P7" i="1"/>
  <c r="AP19" i="4" s="1"/>
  <c r="M6" i="1"/>
  <c r="F18" i="4" s="1"/>
  <c r="Q54" i="1"/>
  <c r="BB66" i="4" s="1"/>
  <c r="N53" i="1"/>
  <c r="R65" i="4" s="1"/>
  <c r="R51" i="1"/>
  <c r="BN63" i="4" s="1"/>
  <c r="O50" i="1"/>
  <c r="AD62" i="4" s="1"/>
  <c r="S48" i="1"/>
  <c r="BZ60" i="4" s="1"/>
  <c r="O47" i="1"/>
  <c r="AD59" i="4" s="1"/>
  <c r="M43" i="1"/>
  <c r="F55" i="4" s="1"/>
  <c r="L54" i="1"/>
  <c r="L53" i="1"/>
  <c r="L52" i="1"/>
  <c r="L51" i="1"/>
  <c r="L50" i="1"/>
  <c r="L49" i="1"/>
  <c r="L48" i="1"/>
  <c r="L47" i="1"/>
  <c r="L46" i="1"/>
  <c r="L45" i="1"/>
  <c r="B17" i="4"/>
  <c r="B18" i="4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O55" i="1" l="1"/>
  <c r="N55" i="1"/>
  <c r="P55" i="1"/>
  <c r="M55" i="1"/>
  <c r="S55" i="1"/>
  <c r="R55" i="1"/>
  <c r="Q55" i="1"/>
  <c r="CA67" i="4"/>
  <c r="BO67" i="4"/>
  <c r="BC67" i="4"/>
  <c r="AQ67" i="4"/>
  <c r="AE67" i="4"/>
  <c r="S67" i="4"/>
  <c r="G67" i="4"/>
  <c r="BX8" i="4" l="1"/>
  <c r="BX31" i="4" s="1"/>
  <c r="BX7" i="4"/>
  <c r="BX21" i="4" s="1"/>
  <c r="BX6" i="4"/>
  <c r="BX18" i="4" s="1"/>
  <c r="BX5" i="4"/>
  <c r="BX17" i="4" s="1"/>
  <c r="BX4" i="4"/>
  <c r="BX16" i="4" s="1"/>
  <c r="BL8" i="4"/>
  <c r="BL31" i="4" s="1"/>
  <c r="BL7" i="4"/>
  <c r="BL21" i="4" s="1"/>
  <c r="BL6" i="4"/>
  <c r="BL18" i="4" s="1"/>
  <c r="BL5" i="4"/>
  <c r="BL17" i="4" s="1"/>
  <c r="BL4" i="4"/>
  <c r="BL16" i="4" s="1"/>
  <c r="BM17" i="4" s="1"/>
  <c r="AZ8" i="4"/>
  <c r="AZ31" i="4" s="1"/>
  <c r="AZ7" i="4"/>
  <c r="AZ21" i="4" s="1"/>
  <c r="AZ6" i="4"/>
  <c r="AZ18" i="4" s="1"/>
  <c r="AZ19" i="4" s="1"/>
  <c r="AZ5" i="4"/>
  <c r="AZ17" i="4" s="1"/>
  <c r="AZ4" i="4"/>
  <c r="AZ16" i="4" s="1"/>
  <c r="AN8" i="4"/>
  <c r="AN31" i="4" s="1"/>
  <c r="AN7" i="4"/>
  <c r="AN21" i="4" s="1"/>
  <c r="AN6" i="4"/>
  <c r="AN18" i="4" s="1"/>
  <c r="AN5" i="4"/>
  <c r="AN17" i="4" s="1"/>
  <c r="AN4" i="4"/>
  <c r="AN16" i="4" s="1"/>
  <c r="AB8" i="4"/>
  <c r="AB31" i="4" s="1"/>
  <c r="AB7" i="4"/>
  <c r="AB21" i="4" s="1"/>
  <c r="AB6" i="4"/>
  <c r="AB18" i="4" s="1"/>
  <c r="AB5" i="4"/>
  <c r="AB17" i="4" s="1"/>
  <c r="AB4" i="4"/>
  <c r="AB16" i="4" s="1"/>
  <c r="P8" i="4"/>
  <c r="P31" i="4" s="1"/>
  <c r="P7" i="4"/>
  <c r="P21" i="4" s="1"/>
  <c r="P6" i="4"/>
  <c r="P18" i="4" s="1"/>
  <c r="P19" i="4" s="1"/>
  <c r="P5" i="4"/>
  <c r="P17" i="4" s="1"/>
  <c r="P4" i="4"/>
  <c r="P16" i="4" s="1"/>
  <c r="C156" i="3"/>
  <c r="S65" i="4" s="1"/>
  <c r="D156" i="3"/>
  <c r="AE47" i="4" s="1"/>
  <c r="E156" i="3"/>
  <c r="AQ62" i="4" s="1"/>
  <c r="F156" i="3"/>
  <c r="BC51" i="4" s="1"/>
  <c r="G156" i="3"/>
  <c r="BO58" i="4" s="1"/>
  <c r="H156" i="3"/>
  <c r="CA57" i="4" s="1"/>
  <c r="B156" i="3"/>
  <c r="G66" i="4" s="1"/>
  <c r="BY17" i="4" l="1"/>
  <c r="BY18" i="4" s="1"/>
  <c r="BA17" i="4"/>
  <c r="BA18" i="4" s="1"/>
  <c r="AO17" i="4"/>
  <c r="AO18" i="4" s="1"/>
  <c r="AC17" i="4"/>
  <c r="BO21" i="4"/>
  <c r="AQ25" i="4"/>
  <c r="BC34" i="4"/>
  <c r="BO41" i="4"/>
  <c r="CA20" i="4"/>
  <c r="AE30" i="4"/>
  <c r="AQ45" i="4"/>
  <c r="BC54" i="4"/>
  <c r="BO61" i="4"/>
  <c r="CA40" i="4"/>
  <c r="S49" i="4"/>
  <c r="AE50" i="4"/>
  <c r="AQ65" i="4"/>
  <c r="CA60" i="4"/>
  <c r="S46" i="4"/>
  <c r="S47" i="4"/>
  <c r="AE28" i="4"/>
  <c r="AE48" i="4"/>
  <c r="AQ23" i="4"/>
  <c r="AQ43" i="4"/>
  <c r="AQ63" i="4"/>
  <c r="BC32" i="4"/>
  <c r="BC52" i="4"/>
  <c r="BO19" i="4"/>
  <c r="BO39" i="4"/>
  <c r="BO59" i="4"/>
  <c r="CA18" i="4"/>
  <c r="CA38" i="4"/>
  <c r="CA58" i="4"/>
  <c r="S48" i="4"/>
  <c r="AE29" i="4"/>
  <c r="AE49" i="4"/>
  <c r="AQ24" i="4"/>
  <c r="AQ44" i="4"/>
  <c r="AQ64" i="4"/>
  <c r="BC33" i="4"/>
  <c r="BC53" i="4"/>
  <c r="BO20" i="4"/>
  <c r="BO40" i="4"/>
  <c r="BO60" i="4"/>
  <c r="CA19" i="4"/>
  <c r="CA39" i="4"/>
  <c r="CA59" i="4"/>
  <c r="S50" i="4"/>
  <c r="AE31" i="4"/>
  <c r="AE51" i="4"/>
  <c r="AQ26" i="4"/>
  <c r="AQ46" i="4"/>
  <c r="AQ66" i="4"/>
  <c r="BC35" i="4"/>
  <c r="BC55" i="4"/>
  <c r="BO22" i="4"/>
  <c r="BO42" i="4"/>
  <c r="BO62" i="4"/>
  <c r="CA21" i="4"/>
  <c r="CA41" i="4"/>
  <c r="CA61" i="4"/>
  <c r="S51" i="4"/>
  <c r="AE32" i="4"/>
  <c r="AE52" i="4"/>
  <c r="AQ27" i="4"/>
  <c r="AQ47" i="4"/>
  <c r="BC16" i="4"/>
  <c r="BC36" i="4"/>
  <c r="BC56" i="4"/>
  <c r="BO23" i="4"/>
  <c r="BO43" i="4"/>
  <c r="BO63" i="4"/>
  <c r="CA22" i="4"/>
  <c r="CA42" i="4"/>
  <c r="CA62" i="4"/>
  <c r="S66" i="4"/>
  <c r="AE33" i="4"/>
  <c r="AE53" i="4"/>
  <c r="AQ28" i="4"/>
  <c r="AQ48" i="4"/>
  <c r="BC17" i="4"/>
  <c r="BC37" i="4"/>
  <c r="BC57" i="4"/>
  <c r="BO24" i="4"/>
  <c r="BO44" i="4"/>
  <c r="BO64" i="4"/>
  <c r="CA23" i="4"/>
  <c r="CA43" i="4"/>
  <c r="CA63" i="4"/>
  <c r="AE34" i="4"/>
  <c r="AE54" i="4"/>
  <c r="AQ29" i="4"/>
  <c r="AQ49" i="4"/>
  <c r="BC18" i="4"/>
  <c r="BC38" i="4"/>
  <c r="BC58" i="4"/>
  <c r="BO25" i="4"/>
  <c r="BO45" i="4"/>
  <c r="BO65" i="4"/>
  <c r="CA24" i="4"/>
  <c r="CA44" i="4"/>
  <c r="CA64" i="4"/>
  <c r="AE55" i="4"/>
  <c r="AQ30" i="4"/>
  <c r="AQ50" i="4"/>
  <c r="BC19" i="4"/>
  <c r="BC39" i="4"/>
  <c r="BC59" i="4"/>
  <c r="BO26" i="4"/>
  <c r="BO46" i="4"/>
  <c r="BO66" i="4"/>
  <c r="CA25" i="4"/>
  <c r="CA45" i="4"/>
  <c r="CA65" i="4"/>
  <c r="AE16" i="4"/>
  <c r="AE36" i="4"/>
  <c r="AE56" i="4"/>
  <c r="AQ31" i="4"/>
  <c r="AQ51" i="4"/>
  <c r="BC20" i="4"/>
  <c r="BC40" i="4"/>
  <c r="BC60" i="4"/>
  <c r="BO27" i="4"/>
  <c r="BO47" i="4"/>
  <c r="CA26" i="4"/>
  <c r="CA46" i="4"/>
  <c r="CA66" i="4"/>
  <c r="AE17" i="4"/>
  <c r="AE37" i="4"/>
  <c r="AE57" i="4"/>
  <c r="AQ32" i="4"/>
  <c r="AQ52" i="4"/>
  <c r="BC21" i="4"/>
  <c r="BC41" i="4"/>
  <c r="BC61" i="4"/>
  <c r="BO28" i="4"/>
  <c r="BO48" i="4"/>
  <c r="CA27" i="4"/>
  <c r="CA47" i="4"/>
  <c r="AE18" i="4"/>
  <c r="AE38" i="4"/>
  <c r="AE58" i="4"/>
  <c r="AQ33" i="4"/>
  <c r="AQ53" i="4"/>
  <c r="BC22" i="4"/>
  <c r="BC42" i="4"/>
  <c r="BC62" i="4"/>
  <c r="BO29" i="4"/>
  <c r="BO49" i="4"/>
  <c r="CA28" i="4"/>
  <c r="CA48" i="4"/>
  <c r="AE59" i="4"/>
  <c r="AQ34" i="4"/>
  <c r="AQ54" i="4"/>
  <c r="BC23" i="4"/>
  <c r="BC43" i="4"/>
  <c r="BC63" i="4"/>
  <c r="BO30" i="4"/>
  <c r="BO50" i="4"/>
  <c r="CA29" i="4"/>
  <c r="CA49" i="4"/>
  <c r="S26" i="4"/>
  <c r="AE20" i="4"/>
  <c r="AE40" i="4"/>
  <c r="AE60" i="4"/>
  <c r="AQ35" i="4"/>
  <c r="AQ55" i="4"/>
  <c r="BC24" i="4"/>
  <c r="BC44" i="4"/>
  <c r="BC64" i="4"/>
  <c r="BO31" i="4"/>
  <c r="BO51" i="4"/>
  <c r="CA30" i="4"/>
  <c r="CA50" i="4"/>
  <c r="AE19" i="4"/>
  <c r="S27" i="4"/>
  <c r="AE21" i="4"/>
  <c r="AE41" i="4"/>
  <c r="AE61" i="4"/>
  <c r="AQ16" i="4"/>
  <c r="AQ36" i="4"/>
  <c r="AQ56" i="4"/>
  <c r="BC25" i="4"/>
  <c r="BC45" i="4"/>
  <c r="BC65" i="4"/>
  <c r="BO32" i="4"/>
  <c r="BO52" i="4"/>
  <c r="CA31" i="4"/>
  <c r="CA51" i="4"/>
  <c r="S28" i="4"/>
  <c r="AE22" i="4"/>
  <c r="AE42" i="4"/>
  <c r="AE62" i="4"/>
  <c r="AQ17" i="4"/>
  <c r="AQ37" i="4"/>
  <c r="AQ57" i="4"/>
  <c r="BC26" i="4"/>
  <c r="BC46" i="4"/>
  <c r="BC66" i="4"/>
  <c r="BO33" i="4"/>
  <c r="BO53" i="4"/>
  <c r="CA32" i="4"/>
  <c r="CA52" i="4"/>
  <c r="S29" i="4"/>
  <c r="AE23" i="4"/>
  <c r="AE43" i="4"/>
  <c r="AE63" i="4"/>
  <c r="AQ18" i="4"/>
  <c r="AQ38" i="4"/>
  <c r="AQ58" i="4"/>
  <c r="BC27" i="4"/>
  <c r="BC47" i="4"/>
  <c r="BO34" i="4"/>
  <c r="BO54" i="4"/>
  <c r="CA33" i="4"/>
  <c r="CA53" i="4"/>
  <c r="AE35" i="4"/>
  <c r="S30" i="4"/>
  <c r="AE24" i="4"/>
  <c r="AE44" i="4"/>
  <c r="AE64" i="4"/>
  <c r="AQ19" i="4"/>
  <c r="AQ39" i="4"/>
  <c r="AQ59" i="4"/>
  <c r="BC28" i="4"/>
  <c r="BC48" i="4"/>
  <c r="BO35" i="4"/>
  <c r="BO55" i="4"/>
  <c r="CA34" i="4"/>
  <c r="CA54" i="4"/>
  <c r="AE39" i="4"/>
  <c r="S31" i="4"/>
  <c r="AE25" i="4"/>
  <c r="AE45" i="4"/>
  <c r="AE65" i="4"/>
  <c r="AQ20" i="4"/>
  <c r="AQ40" i="4"/>
  <c r="AQ60" i="4"/>
  <c r="BC29" i="4"/>
  <c r="BC49" i="4"/>
  <c r="BO16" i="4"/>
  <c r="BO36" i="4"/>
  <c r="BO56" i="4"/>
  <c r="CA35" i="4"/>
  <c r="CA55" i="4"/>
  <c r="S32" i="4"/>
  <c r="AE26" i="4"/>
  <c r="AE46" i="4"/>
  <c r="AE66" i="4"/>
  <c r="AQ21" i="4"/>
  <c r="AQ41" i="4"/>
  <c r="AQ61" i="4"/>
  <c r="BC30" i="4"/>
  <c r="BC50" i="4"/>
  <c r="BO17" i="4"/>
  <c r="BO37" i="4"/>
  <c r="BO57" i="4"/>
  <c r="CA16" i="4"/>
  <c r="CA36" i="4"/>
  <c r="CA56" i="4"/>
  <c r="AE27" i="4"/>
  <c r="AQ22" i="4"/>
  <c r="AQ42" i="4"/>
  <c r="BC31" i="4"/>
  <c r="BO18" i="4"/>
  <c r="BO38" i="4"/>
  <c r="CA17" i="4"/>
  <c r="CA37" i="4"/>
  <c r="BM18" i="4"/>
  <c r="BX19" i="4"/>
  <c r="BX22" i="4"/>
  <c r="BX32" i="4"/>
  <c r="BL19" i="4"/>
  <c r="BL22" i="4"/>
  <c r="BL32" i="4"/>
  <c r="AZ22" i="4"/>
  <c r="AZ32" i="4"/>
  <c r="AZ20" i="4"/>
  <c r="AN19" i="4"/>
  <c r="AN22" i="4"/>
  <c r="AN32" i="4"/>
  <c r="AC18" i="4"/>
  <c r="AC19" i="4" s="1"/>
  <c r="AB19" i="4"/>
  <c r="AB22" i="4"/>
  <c r="AB32" i="4"/>
  <c r="S52" i="4"/>
  <c r="S33" i="4"/>
  <c r="S53" i="4"/>
  <c r="S55" i="4"/>
  <c r="S56" i="4"/>
  <c r="S54" i="4"/>
  <c r="S37" i="4"/>
  <c r="S57" i="4"/>
  <c r="S18" i="4"/>
  <c r="S38" i="4"/>
  <c r="S58" i="4"/>
  <c r="S19" i="4"/>
  <c r="S39" i="4"/>
  <c r="S59" i="4"/>
  <c r="S20" i="4"/>
  <c r="S40" i="4"/>
  <c r="S60" i="4"/>
  <c r="S16" i="4"/>
  <c r="S17" i="4"/>
  <c r="S21" i="4"/>
  <c r="S41" i="4"/>
  <c r="S61" i="4"/>
  <c r="S22" i="4"/>
  <c r="S42" i="4"/>
  <c r="S62" i="4"/>
  <c r="S34" i="4"/>
  <c r="S35" i="4"/>
  <c r="S36" i="4"/>
  <c r="S23" i="4"/>
  <c r="S43" i="4"/>
  <c r="S63" i="4"/>
  <c r="S24" i="4"/>
  <c r="S44" i="4"/>
  <c r="S64" i="4"/>
  <c r="S25" i="4"/>
  <c r="S45" i="4"/>
  <c r="Q17" i="4"/>
  <c r="Q18" i="4" s="1"/>
  <c r="P20" i="4"/>
  <c r="P22" i="4"/>
  <c r="P32" i="4"/>
  <c r="BM19" i="4" l="1"/>
  <c r="BY19" i="4"/>
  <c r="BX33" i="4"/>
  <c r="BX20" i="4"/>
  <c r="BX23" i="4"/>
  <c r="BL33" i="4"/>
  <c r="BL23" i="4"/>
  <c r="BL20" i="4"/>
  <c r="BA19" i="4"/>
  <c r="AZ33" i="4"/>
  <c r="AZ23" i="4"/>
  <c r="AN23" i="4"/>
  <c r="AN33" i="4"/>
  <c r="AN20" i="4"/>
  <c r="AO19" i="4"/>
  <c r="AB33" i="4"/>
  <c r="AC20" i="4"/>
  <c r="AB20" i="4"/>
  <c r="AB23" i="4"/>
  <c r="P23" i="4"/>
  <c r="Q19" i="4"/>
  <c r="P33" i="4"/>
  <c r="BM20" i="4" l="1"/>
  <c r="AC21" i="4"/>
  <c r="BY20" i="4"/>
  <c r="BX24" i="4"/>
  <c r="BX34" i="4"/>
  <c r="BL24" i="4"/>
  <c r="BL34" i="4"/>
  <c r="AZ24" i="4"/>
  <c r="AZ34" i="4"/>
  <c r="BA20" i="4"/>
  <c r="AO20" i="4"/>
  <c r="AN34" i="4"/>
  <c r="AN24" i="4"/>
  <c r="AB24" i="4"/>
  <c r="AB34" i="4"/>
  <c r="Q20" i="4"/>
  <c r="P34" i="4"/>
  <c r="P24" i="4"/>
  <c r="BY21" i="4" l="1"/>
  <c r="BY22" i="4" s="1"/>
  <c r="BM21" i="4"/>
  <c r="AC22" i="4"/>
  <c r="BX35" i="4"/>
  <c r="BX25" i="4"/>
  <c r="BL35" i="4"/>
  <c r="BL25" i="4"/>
  <c r="BA21" i="4"/>
  <c r="AZ35" i="4"/>
  <c r="AZ25" i="4"/>
  <c r="AO21" i="4"/>
  <c r="AO22" i="4" s="1"/>
  <c r="AN25" i="4"/>
  <c r="AN35" i="4"/>
  <c r="AB35" i="4"/>
  <c r="AB25" i="4"/>
  <c r="AC23" i="4"/>
  <c r="P25" i="4"/>
  <c r="P35" i="4"/>
  <c r="Q21" i="4"/>
  <c r="BM22" i="4" l="1"/>
  <c r="BY23" i="4"/>
  <c r="BX26" i="4"/>
  <c r="BX36" i="4"/>
  <c r="BL36" i="4"/>
  <c r="BL26" i="4"/>
  <c r="AZ26" i="4"/>
  <c r="AZ36" i="4"/>
  <c r="BA22" i="4"/>
  <c r="AO23" i="4"/>
  <c r="AN36" i="4"/>
  <c r="AN26" i="4"/>
  <c r="AB36" i="4"/>
  <c r="AC24" i="4"/>
  <c r="AB26" i="4"/>
  <c r="Q22" i="4"/>
  <c r="P36" i="4"/>
  <c r="P26" i="4"/>
  <c r="BM23" i="4" l="1"/>
  <c r="BX37" i="4"/>
  <c r="BX27" i="4"/>
  <c r="BY24" i="4"/>
  <c r="BL27" i="4"/>
  <c r="BL37" i="4"/>
  <c r="BA23" i="4"/>
  <c r="AZ37" i="4"/>
  <c r="AZ27" i="4"/>
  <c r="AN27" i="4"/>
  <c r="AN37" i="4"/>
  <c r="AO24" i="4"/>
  <c r="AB27" i="4"/>
  <c r="AC25" i="4"/>
  <c r="AB37" i="4"/>
  <c r="P27" i="4"/>
  <c r="P37" i="4"/>
  <c r="Q23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A17" i="4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D5" i="4"/>
  <c r="D17" i="4" s="1"/>
  <c r="D6" i="4"/>
  <c r="D18" i="4" s="1"/>
  <c r="D19" i="4" s="1"/>
  <c r="D20" i="4" s="1"/>
  <c r="D7" i="4"/>
  <c r="D21" i="4" s="1"/>
  <c r="D22" i="4" s="1"/>
  <c r="D23" i="4" s="1"/>
  <c r="D24" i="4" s="1"/>
  <c r="D25" i="4" s="1"/>
  <c r="D26" i="4" s="1"/>
  <c r="D27" i="4" s="1"/>
  <c r="D28" i="4" s="1"/>
  <c r="D29" i="4" s="1"/>
  <c r="D30" i="4" s="1"/>
  <c r="D8" i="4"/>
  <c r="D31" i="4" s="1"/>
  <c r="D32" i="4" s="1"/>
  <c r="D33" i="4" s="1"/>
  <c r="D34" i="4" s="1"/>
  <c r="D35" i="4" s="1"/>
  <c r="D36" i="4" s="1"/>
  <c r="D37" i="4" s="1"/>
  <c r="D38" i="4" s="1"/>
  <c r="D39" i="4" s="1"/>
  <c r="D40" i="4" s="1"/>
  <c r="D41" i="4" s="1"/>
  <c r="D42" i="4" s="1"/>
  <c r="D43" i="4" s="1"/>
  <c r="D44" i="4" s="1"/>
  <c r="D45" i="4" s="1"/>
  <c r="D46" i="4" s="1"/>
  <c r="D47" i="4" s="1"/>
  <c r="D48" i="4" s="1"/>
  <c r="D49" i="4" s="1"/>
  <c r="D50" i="4" s="1"/>
  <c r="D51" i="4" s="1"/>
  <c r="D52" i="4" s="1"/>
  <c r="D53" i="4" s="1"/>
  <c r="D54" i="4" s="1"/>
  <c r="D55" i="4" s="1"/>
  <c r="D56" i="4" s="1"/>
  <c r="D57" i="4" s="1"/>
  <c r="D58" i="4" s="1"/>
  <c r="D59" i="4" s="1"/>
  <c r="D60" i="4" s="1"/>
  <c r="D61" i="4" s="1"/>
  <c r="D62" i="4" s="1"/>
  <c r="D63" i="4" s="1"/>
  <c r="D64" i="4" s="1"/>
  <c r="D65" i="4" s="1"/>
  <c r="D66" i="4" s="1"/>
  <c r="D4" i="4"/>
  <c r="D16" i="4" s="1"/>
  <c r="E17" i="4" s="1"/>
  <c r="BM24" i="4" l="1"/>
  <c r="BY25" i="4"/>
  <c r="BX28" i="4"/>
  <c r="BX38" i="4"/>
  <c r="BL38" i="4"/>
  <c r="BL28" i="4"/>
  <c r="AZ28" i="4"/>
  <c r="AZ38" i="4"/>
  <c r="BA24" i="4"/>
  <c r="AO25" i="4"/>
  <c r="AN38" i="4"/>
  <c r="AN28" i="4"/>
  <c r="AB38" i="4"/>
  <c r="AC26" i="4"/>
  <c r="AB28" i="4"/>
  <c r="Q24" i="4"/>
  <c r="P38" i="4"/>
  <c r="P28" i="4"/>
  <c r="E18" i="4"/>
  <c r="BM25" i="4" l="1"/>
  <c r="BX29" i="4"/>
  <c r="BX39" i="4"/>
  <c r="BY26" i="4"/>
  <c r="BL29" i="4"/>
  <c r="BL39" i="4"/>
  <c r="BA25" i="4"/>
  <c r="AZ39" i="4"/>
  <c r="AZ29" i="4"/>
  <c r="AN29" i="4"/>
  <c r="AN39" i="4"/>
  <c r="AO26" i="4"/>
  <c r="AB29" i="4"/>
  <c r="AC27" i="4"/>
  <c r="AB39" i="4"/>
  <c r="P39" i="4"/>
  <c r="P29" i="4"/>
  <c r="Q25" i="4"/>
  <c r="E19" i="4"/>
  <c r="BM26" i="4" l="1"/>
  <c r="BY27" i="4"/>
  <c r="BX30" i="4"/>
  <c r="BX40" i="4"/>
  <c r="BL40" i="4"/>
  <c r="BL30" i="4"/>
  <c r="AZ30" i="4"/>
  <c r="AZ40" i="4"/>
  <c r="BA26" i="4"/>
  <c r="AO27" i="4"/>
  <c r="AN40" i="4"/>
  <c r="AN30" i="4"/>
  <c r="AB40" i="4"/>
  <c r="AC28" i="4"/>
  <c r="AB30" i="4"/>
  <c r="Q26" i="4"/>
  <c r="P30" i="4"/>
  <c r="P40" i="4"/>
  <c r="E20" i="4"/>
  <c r="BM27" i="4" l="1"/>
  <c r="BX41" i="4"/>
  <c r="BY28" i="4"/>
  <c r="BL41" i="4"/>
  <c r="AZ41" i="4"/>
  <c r="BA27" i="4"/>
  <c r="AN41" i="4"/>
  <c r="AO28" i="4"/>
  <c r="AC29" i="4"/>
  <c r="AB41" i="4"/>
  <c r="P41" i="4"/>
  <c r="Q27" i="4"/>
  <c r="E21" i="4"/>
  <c r="BM28" i="4" l="1"/>
  <c r="BY29" i="4"/>
  <c r="BX42" i="4"/>
  <c r="BL42" i="4"/>
  <c r="BA28" i="4"/>
  <c r="AZ42" i="4"/>
  <c r="AO29" i="4"/>
  <c r="AN42" i="4"/>
  <c r="AB42" i="4"/>
  <c r="AC30" i="4"/>
  <c r="Q28" i="4"/>
  <c r="P42" i="4"/>
  <c r="E22" i="4"/>
  <c r="BM29" i="4" l="1"/>
  <c r="BX43" i="4"/>
  <c r="BY30" i="4"/>
  <c r="BL43" i="4"/>
  <c r="AZ43" i="4"/>
  <c r="BA29" i="4"/>
  <c r="AN43" i="4"/>
  <c r="AO30" i="4"/>
  <c r="AC31" i="4"/>
  <c r="AB43" i="4"/>
  <c r="P43" i="4"/>
  <c r="Q29" i="4"/>
  <c r="E23" i="4"/>
  <c r="BM30" i="4" l="1"/>
  <c r="BY31" i="4"/>
  <c r="BX44" i="4"/>
  <c r="BL44" i="4"/>
  <c r="BA30" i="4"/>
  <c r="AZ44" i="4"/>
  <c r="AO31" i="4"/>
  <c r="AN44" i="4"/>
  <c r="AB44" i="4"/>
  <c r="AC32" i="4"/>
  <c r="Q30" i="4"/>
  <c r="P44" i="4"/>
  <c r="E24" i="4"/>
  <c r="BM31" i="4" l="1"/>
  <c r="BX45" i="4"/>
  <c r="BY32" i="4"/>
  <c r="BL45" i="4"/>
  <c r="AZ45" i="4"/>
  <c r="BA31" i="4"/>
  <c r="AN45" i="4"/>
  <c r="AO32" i="4"/>
  <c r="AC33" i="4"/>
  <c r="AB45" i="4"/>
  <c r="P45" i="4"/>
  <c r="Q31" i="4"/>
  <c r="E25" i="4"/>
  <c r="BM32" i="4" l="1"/>
  <c r="BY33" i="4"/>
  <c r="BX46" i="4"/>
  <c r="BL46" i="4"/>
  <c r="BA32" i="4"/>
  <c r="AZ46" i="4"/>
  <c r="AO33" i="4"/>
  <c r="AN46" i="4"/>
  <c r="AB46" i="4"/>
  <c r="AC34" i="4"/>
  <c r="Q32" i="4"/>
  <c r="P46" i="4"/>
  <c r="E26" i="4"/>
  <c r="BM33" i="4" l="1"/>
  <c r="BX47" i="4"/>
  <c r="BY34" i="4"/>
  <c r="BL47" i="4"/>
  <c r="AZ47" i="4"/>
  <c r="BA33" i="4"/>
  <c r="AN47" i="4"/>
  <c r="AO34" i="4"/>
  <c r="AC35" i="4"/>
  <c r="AB47" i="4"/>
  <c r="Q33" i="4"/>
  <c r="P47" i="4"/>
  <c r="E27" i="4"/>
  <c r="BM34" i="4" l="1"/>
  <c r="BY35" i="4"/>
  <c r="BX48" i="4"/>
  <c r="BL48" i="4"/>
  <c r="BA34" i="4"/>
  <c r="AZ48" i="4"/>
  <c r="AO35" i="4"/>
  <c r="AN48" i="4"/>
  <c r="AB48" i="4"/>
  <c r="AC36" i="4"/>
  <c r="P48" i="4"/>
  <c r="Q34" i="4"/>
  <c r="E28" i="4"/>
  <c r="BM35" i="4" l="1"/>
  <c r="BY36" i="4"/>
  <c r="BX49" i="4"/>
  <c r="BL49" i="4"/>
  <c r="AZ49" i="4"/>
  <c r="BA35" i="4"/>
  <c r="AN49" i="4"/>
  <c r="AO36" i="4"/>
  <c r="AC37" i="4"/>
  <c r="AB49" i="4"/>
  <c r="P49" i="4"/>
  <c r="Q35" i="4"/>
  <c r="E29" i="4"/>
  <c r="BM36" i="4" l="1"/>
  <c r="BY37" i="4"/>
  <c r="BX50" i="4"/>
  <c r="BL50" i="4"/>
  <c r="BA36" i="4"/>
  <c r="AZ50" i="4"/>
  <c r="AO37" i="4"/>
  <c r="AN50" i="4"/>
  <c r="AC38" i="4"/>
  <c r="AB50" i="4"/>
  <c r="Q36" i="4"/>
  <c r="P50" i="4"/>
  <c r="E30" i="4"/>
  <c r="BM37" i="4" l="1"/>
  <c r="BY38" i="4"/>
  <c r="BX51" i="4"/>
  <c r="BL51" i="4"/>
  <c r="AZ51" i="4"/>
  <c r="BA37" i="4"/>
  <c r="AN51" i="4"/>
  <c r="AO38" i="4"/>
  <c r="AB51" i="4"/>
  <c r="AC39" i="4"/>
  <c r="Q37" i="4"/>
  <c r="P51" i="4"/>
  <c r="E31" i="4"/>
  <c r="BM38" i="4" l="1"/>
  <c r="BX52" i="4"/>
  <c r="BY39" i="4"/>
  <c r="BL52" i="4"/>
  <c r="BA38" i="4"/>
  <c r="AZ52" i="4"/>
  <c r="AO39" i="4"/>
  <c r="AN52" i="4"/>
  <c r="AC40" i="4"/>
  <c r="AB52" i="4"/>
  <c r="P52" i="4"/>
  <c r="Q38" i="4"/>
  <c r="E32" i="4"/>
  <c r="BM39" i="4" l="1"/>
  <c r="BY40" i="4"/>
  <c r="BX53" i="4"/>
  <c r="BL53" i="4"/>
  <c r="AZ53" i="4"/>
  <c r="BA39" i="4"/>
  <c r="AN53" i="4"/>
  <c r="AO40" i="4"/>
  <c r="AB53" i="4"/>
  <c r="AC41" i="4"/>
  <c r="Q39" i="4"/>
  <c r="P53" i="4"/>
  <c r="E33" i="4"/>
  <c r="BM40" i="4" l="1"/>
  <c r="BX54" i="4"/>
  <c r="BY41" i="4"/>
  <c r="BL54" i="4"/>
  <c r="BA40" i="4"/>
  <c r="AZ54" i="4"/>
  <c r="AO41" i="4"/>
  <c r="AN54" i="4"/>
  <c r="AC42" i="4"/>
  <c r="AB54" i="4"/>
  <c r="P54" i="4"/>
  <c r="Q40" i="4"/>
  <c r="E34" i="4"/>
  <c r="BM41" i="4" l="1"/>
  <c r="BY42" i="4"/>
  <c r="BX55" i="4"/>
  <c r="BL55" i="4"/>
  <c r="AZ55" i="4"/>
  <c r="BA41" i="4"/>
  <c r="AN55" i="4"/>
  <c r="AO42" i="4"/>
  <c r="AB55" i="4"/>
  <c r="AC43" i="4"/>
  <c r="Q41" i="4"/>
  <c r="P55" i="4"/>
  <c r="E35" i="4"/>
  <c r="BM42" i="4" l="1"/>
  <c r="BX56" i="4"/>
  <c r="BY43" i="4"/>
  <c r="BL56" i="4"/>
  <c r="BA42" i="4"/>
  <c r="AZ56" i="4"/>
  <c r="AO43" i="4"/>
  <c r="AN56" i="4"/>
  <c r="AC44" i="4"/>
  <c r="AB56" i="4"/>
  <c r="P56" i="4"/>
  <c r="Q42" i="4"/>
  <c r="E36" i="4"/>
  <c r="BM43" i="4" l="1"/>
  <c r="BY44" i="4"/>
  <c r="BX57" i="4"/>
  <c r="BL57" i="4"/>
  <c r="AZ57" i="4"/>
  <c r="BA43" i="4"/>
  <c r="AN57" i="4"/>
  <c r="AO44" i="4"/>
  <c r="AB57" i="4"/>
  <c r="AC45" i="4"/>
  <c r="Q43" i="4"/>
  <c r="P57" i="4"/>
  <c r="E37" i="4"/>
  <c r="BM44" i="4" l="1"/>
  <c r="BX58" i="4"/>
  <c r="BY45" i="4"/>
  <c r="BL58" i="4"/>
  <c r="BA44" i="4"/>
  <c r="AZ58" i="4"/>
  <c r="AO45" i="4"/>
  <c r="AN58" i="4"/>
  <c r="AC46" i="4"/>
  <c r="AB58" i="4"/>
  <c r="P58" i="4"/>
  <c r="Q44" i="4"/>
  <c r="E38" i="4"/>
  <c r="BM45" i="4" l="1"/>
  <c r="BY46" i="4"/>
  <c r="BX59" i="4"/>
  <c r="BL59" i="4"/>
  <c r="AZ59" i="4"/>
  <c r="BA45" i="4"/>
  <c r="AN59" i="4"/>
  <c r="AO46" i="4"/>
  <c r="AB59" i="4"/>
  <c r="AC47" i="4"/>
  <c r="Q45" i="4"/>
  <c r="P59" i="4"/>
  <c r="E39" i="4"/>
  <c r="BM46" i="4" l="1"/>
  <c r="BX60" i="4"/>
  <c r="BY47" i="4"/>
  <c r="BL60" i="4"/>
  <c r="BA46" i="4"/>
  <c r="AZ60" i="4"/>
  <c r="AO47" i="4"/>
  <c r="AN60" i="4"/>
  <c r="AC48" i="4"/>
  <c r="AB60" i="4"/>
  <c r="P60" i="4"/>
  <c r="Q46" i="4"/>
  <c r="E40" i="4"/>
  <c r="BM47" i="4" l="1"/>
  <c r="BY48" i="4"/>
  <c r="BX61" i="4"/>
  <c r="BL61" i="4"/>
  <c r="AZ61" i="4"/>
  <c r="BA47" i="4"/>
  <c r="AN61" i="4"/>
  <c r="AO48" i="4"/>
  <c r="AC49" i="4"/>
  <c r="AB61" i="4"/>
  <c r="Q47" i="4"/>
  <c r="P61" i="4"/>
  <c r="E41" i="4"/>
  <c r="BM48" i="4" l="1"/>
  <c r="BY49" i="4"/>
  <c r="BX62" i="4"/>
  <c r="BL62" i="4"/>
  <c r="BA48" i="4"/>
  <c r="AZ62" i="4"/>
  <c r="AO49" i="4"/>
  <c r="AN62" i="4"/>
  <c r="AC50" i="4"/>
  <c r="AB62" i="4"/>
  <c r="P62" i="4"/>
  <c r="Q48" i="4"/>
  <c r="E42" i="4"/>
  <c r="BM49" i="4" l="1"/>
  <c r="BY50" i="4"/>
  <c r="BX63" i="4"/>
  <c r="BL63" i="4"/>
  <c r="AZ63" i="4"/>
  <c r="BA49" i="4"/>
  <c r="AN63" i="4"/>
  <c r="AO50" i="4"/>
  <c r="AB63" i="4"/>
  <c r="AC51" i="4"/>
  <c r="Q49" i="4"/>
  <c r="P63" i="4"/>
  <c r="E43" i="4"/>
  <c r="BM50" i="4" l="1"/>
  <c r="BY51" i="4"/>
  <c r="BX64" i="4"/>
  <c r="BL64" i="4"/>
  <c r="BA50" i="4"/>
  <c r="AZ64" i="4"/>
  <c r="AN64" i="4"/>
  <c r="AO51" i="4"/>
  <c r="AC52" i="4"/>
  <c r="AB64" i="4"/>
  <c r="P64" i="4"/>
  <c r="Q50" i="4"/>
  <c r="E44" i="4"/>
  <c r="BM51" i="4" l="1"/>
  <c r="BY52" i="4"/>
  <c r="BX65" i="4"/>
  <c r="BL65" i="4"/>
  <c r="AZ65" i="4"/>
  <c r="BA51" i="4"/>
  <c r="AO52" i="4"/>
  <c r="AN65" i="4"/>
  <c r="AB65" i="4"/>
  <c r="AC53" i="4"/>
  <c r="Q51" i="4"/>
  <c r="P65" i="4"/>
  <c r="E45" i="4"/>
  <c r="BM52" i="4" l="1"/>
  <c r="BX66" i="4"/>
  <c r="BY53" i="4"/>
  <c r="BL66" i="4"/>
  <c r="BA52" i="4"/>
  <c r="AZ66" i="4"/>
  <c r="AO53" i="4"/>
  <c r="AN66" i="4"/>
  <c r="AC54" i="4"/>
  <c r="AB66" i="4"/>
  <c r="P66" i="4"/>
  <c r="Q52" i="4"/>
  <c r="E46" i="4"/>
  <c r="BM53" i="4" l="1"/>
  <c r="BY54" i="4"/>
  <c r="BA53" i="4"/>
  <c r="AO54" i="4"/>
  <c r="AC55" i="4"/>
  <c r="Q53" i="4"/>
  <c r="E47" i="4"/>
  <c r="BM54" i="4" l="1"/>
  <c r="BY55" i="4"/>
  <c r="BA54" i="4"/>
  <c r="AO55" i="4"/>
  <c r="AC56" i="4"/>
  <c r="Q54" i="4"/>
  <c r="E48" i="4"/>
  <c r="BM55" i="4" l="1"/>
  <c r="BY56" i="4"/>
  <c r="BA55" i="4"/>
  <c r="AO56" i="4"/>
  <c r="AC57" i="4"/>
  <c r="Q55" i="4"/>
  <c r="E49" i="4"/>
  <c r="BM56" i="4" l="1"/>
  <c r="BY57" i="4"/>
  <c r="BA56" i="4"/>
  <c r="AO57" i="4"/>
  <c r="AC58" i="4"/>
  <c r="Q56" i="4"/>
  <c r="E50" i="4"/>
  <c r="BM57" i="4" l="1"/>
  <c r="BY58" i="4"/>
  <c r="BA57" i="4"/>
  <c r="AO58" i="4"/>
  <c r="AC59" i="4"/>
  <c r="Q57" i="4"/>
  <c r="E51" i="4"/>
  <c r="BM58" i="4" l="1"/>
  <c r="BY59" i="4"/>
  <c r="BA58" i="4"/>
  <c r="AO59" i="4"/>
  <c r="AC60" i="4"/>
  <c r="Q58" i="4"/>
  <c r="E52" i="4"/>
  <c r="BM59" i="4" l="1"/>
  <c r="BY60" i="4"/>
  <c r="BA59" i="4"/>
  <c r="AO60" i="4"/>
  <c r="AC61" i="4"/>
  <c r="Q59" i="4"/>
  <c r="E53" i="4"/>
  <c r="BM60" i="4" l="1"/>
  <c r="BY61" i="4"/>
  <c r="BA60" i="4"/>
  <c r="AO61" i="4"/>
  <c r="AC62" i="4"/>
  <c r="Q60" i="4"/>
  <c r="E54" i="4"/>
  <c r="BM61" i="4" l="1"/>
  <c r="BY62" i="4"/>
  <c r="BA61" i="4"/>
  <c r="AO62" i="4"/>
  <c r="AC63" i="4"/>
  <c r="Q61" i="4"/>
  <c r="E55" i="4"/>
  <c r="BM62" i="4" l="1"/>
  <c r="BY63" i="4"/>
  <c r="BA62" i="4"/>
  <c r="AO63" i="4"/>
  <c r="AC64" i="4"/>
  <c r="Q62" i="4"/>
  <c r="E56" i="4"/>
  <c r="BM63" i="4" l="1"/>
  <c r="BY64" i="4"/>
  <c r="BA63" i="4"/>
  <c r="AO64" i="4"/>
  <c r="AC65" i="4"/>
  <c r="Q63" i="4"/>
  <c r="E57" i="4"/>
  <c r="BM64" i="4" l="1"/>
  <c r="BY65" i="4"/>
  <c r="BA64" i="4"/>
  <c r="AO65" i="4"/>
  <c r="AC66" i="4"/>
  <c r="Q64" i="4"/>
  <c r="E58" i="4"/>
  <c r="BM65" i="4" l="1"/>
  <c r="BY66" i="4"/>
  <c r="BA65" i="4"/>
  <c r="AO66" i="4"/>
  <c r="Q65" i="4"/>
  <c r="E59" i="4"/>
  <c r="BM66" i="4" l="1"/>
  <c r="BA66" i="4"/>
  <c r="Q66" i="4"/>
  <c r="E60" i="4"/>
  <c r="E61" i="4" l="1"/>
  <c r="E62" i="4" l="1"/>
  <c r="E63" i="4" l="1"/>
  <c r="E64" i="4" l="1"/>
  <c r="E65" i="4" l="1"/>
  <c r="E66" i="4" l="1"/>
  <c r="L5" i="1" l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" i="1"/>
  <c r="CB54" i="4" l="1"/>
  <c r="CC54" i="4"/>
  <c r="CB41" i="4" l="1"/>
  <c r="CC41" i="4"/>
  <c r="CC27" i="4"/>
  <c r="CB27" i="4"/>
  <c r="CB61" i="4"/>
  <c r="CC61" i="4"/>
  <c r="CC58" i="4"/>
  <c r="CB58" i="4"/>
  <c r="CB39" i="4"/>
  <c r="CC39" i="4"/>
  <c r="CB20" i="4"/>
  <c r="CC20" i="4"/>
  <c r="CB64" i="4"/>
  <c r="CC64" i="4"/>
  <c r="CC55" i="4"/>
  <c r="CB55" i="4"/>
  <c r="CB38" i="4"/>
  <c r="CC38" i="4"/>
  <c r="CB40" i="4"/>
  <c r="CC40" i="4"/>
  <c r="CB34" i="4"/>
  <c r="CC34" i="4"/>
  <c r="CB33" i="4"/>
  <c r="CC33" i="4"/>
  <c r="CB36" i="4"/>
  <c r="CC36" i="4"/>
  <c r="CB63" i="4"/>
  <c r="CC63" i="4"/>
  <c r="CC47" i="4"/>
  <c r="CB47" i="4"/>
  <c r="CB45" i="4"/>
  <c r="CC45" i="4"/>
  <c r="CB23" i="4"/>
  <c r="CC23" i="4"/>
  <c r="CB50" i="4"/>
  <c r="CC50" i="4"/>
  <c r="CB28" i="4"/>
  <c r="CC28" i="4"/>
  <c r="CB42" i="4"/>
  <c r="CC42" i="4"/>
  <c r="CC56" i="4"/>
  <c r="CB56" i="4"/>
  <c r="CC66" i="4"/>
  <c r="CB66" i="4"/>
  <c r="CB60" i="4"/>
  <c r="CC60" i="4"/>
  <c r="CC22" i="4"/>
  <c r="CB22" i="4"/>
  <c r="CB17" i="4"/>
  <c r="CC17" i="4"/>
  <c r="CB59" i="4"/>
  <c r="CC59" i="4"/>
  <c r="CB62" i="4"/>
  <c r="CC62" i="4"/>
  <c r="CB25" i="4"/>
  <c r="CC25" i="4"/>
  <c r="CC53" i="4"/>
  <c r="CB53" i="4"/>
  <c r="CC65" i="4"/>
  <c r="CB65" i="4"/>
  <c r="CC35" i="4"/>
  <c r="CB35" i="4"/>
  <c r="CB18" i="4"/>
  <c r="CC18" i="4"/>
  <c r="CB19" i="4"/>
  <c r="CC19" i="4"/>
  <c r="CB48" i="4"/>
  <c r="CC48" i="4"/>
  <c r="CB37" i="4"/>
  <c r="CC37" i="4"/>
  <c r="CB24" i="4"/>
  <c r="CC24" i="4"/>
  <c r="CB30" i="4"/>
  <c r="CC30" i="4"/>
  <c r="CC49" i="4"/>
  <c r="CB49" i="4"/>
  <c r="CC57" i="4"/>
  <c r="CB57" i="4"/>
  <c r="CB43" i="4"/>
  <c r="CC43" i="4"/>
  <c r="CB44" i="4"/>
  <c r="CC44" i="4"/>
  <c r="CB29" i="4"/>
  <c r="CC29" i="4"/>
  <c r="CB51" i="4"/>
  <c r="CC51" i="4"/>
  <c r="CB46" i="4"/>
  <c r="CC46" i="4"/>
  <c r="CB21" i="4"/>
  <c r="CC21" i="4"/>
  <c r="CB52" i="4"/>
  <c r="CC52" i="4"/>
  <c r="CC32" i="4"/>
  <c r="CB32" i="4"/>
  <c r="CB31" i="4"/>
  <c r="CC31" i="4"/>
  <c r="CC26" i="4"/>
  <c r="CB26" i="4"/>
  <c r="CB16" i="4" l="1"/>
  <c r="CC16" i="4"/>
  <c r="CD59" i="4" s="1"/>
  <c r="CE59" i="4" s="1"/>
  <c r="CD18" i="4" l="1"/>
  <c r="CE18" i="4" s="1"/>
  <c r="CD45" i="4"/>
  <c r="CE45" i="4" s="1"/>
  <c r="AR57" i="4"/>
  <c r="AR40" i="4"/>
  <c r="AR28" i="4"/>
  <c r="AR26" i="4"/>
  <c r="AR31" i="4"/>
  <c r="AR48" i="4"/>
  <c r="AR38" i="4"/>
  <c r="AR37" i="4"/>
  <c r="AR61" i="4"/>
  <c r="AR51" i="4"/>
  <c r="AR41" i="4"/>
  <c r="AS21" i="4"/>
  <c r="AR65" i="4"/>
  <c r="AR45" i="4"/>
  <c r="I22" i="4"/>
  <c r="CD16" i="4"/>
  <c r="CE16" i="4" s="1"/>
  <c r="CD54" i="4"/>
  <c r="CE54" i="4" s="1"/>
  <c r="CD55" i="4"/>
  <c r="CE55" i="4" s="1"/>
  <c r="CD21" i="4"/>
  <c r="CE21" i="4" s="1"/>
  <c r="BY6" i="4" s="1"/>
  <c r="CF18" i="4" s="1"/>
  <c r="CF19" i="4" s="1"/>
  <c r="CF20" i="4" s="1"/>
  <c r="CD63" i="4"/>
  <c r="CE63" i="4" s="1"/>
  <c r="CD49" i="4"/>
  <c r="CE49" i="4" s="1"/>
  <c r="CD24" i="4"/>
  <c r="CE24" i="4" s="1"/>
  <c r="CD48" i="4"/>
  <c r="CE48" i="4" s="1"/>
  <c r="CD52" i="4"/>
  <c r="CE52" i="4" s="1"/>
  <c r="T19" i="4"/>
  <c r="U19" i="4"/>
  <c r="CD36" i="4"/>
  <c r="CE36" i="4" s="1"/>
  <c r="CD60" i="4"/>
  <c r="CE60" i="4" s="1"/>
  <c r="CD19" i="4"/>
  <c r="CE19" i="4" s="1"/>
  <c r="CD29" i="4"/>
  <c r="CE29" i="4" s="1"/>
  <c r="CD56" i="4"/>
  <c r="CE56" i="4" s="1"/>
  <c r="CD22" i="4"/>
  <c r="CE22" i="4" s="1"/>
  <c r="CD41" i="4"/>
  <c r="CE41" i="4" s="1"/>
  <c r="CD34" i="4"/>
  <c r="CE34" i="4" s="1"/>
  <c r="CD50" i="4"/>
  <c r="CE50" i="4" s="1"/>
  <c r="CD64" i="4"/>
  <c r="CE64" i="4" s="1"/>
  <c r="CD62" i="4"/>
  <c r="CE62" i="4" s="1"/>
  <c r="CD58" i="4"/>
  <c r="CE58" i="4" s="1"/>
  <c r="CD47" i="4"/>
  <c r="CE47" i="4" s="1"/>
  <c r="CD25" i="4"/>
  <c r="CE25" i="4" s="1"/>
  <c r="CD44" i="4"/>
  <c r="CE44" i="4" s="1"/>
  <c r="BD56" i="4"/>
  <c r="BE56" i="4"/>
  <c r="CD42" i="4"/>
  <c r="CE42" i="4" s="1"/>
  <c r="CD32" i="4"/>
  <c r="CE32" i="4" s="1"/>
  <c r="BQ30" i="4"/>
  <c r="BP30" i="4"/>
  <c r="CD65" i="4"/>
  <c r="CE65" i="4" s="1"/>
  <c r="CD23" i="4"/>
  <c r="CE23" i="4" s="1"/>
  <c r="I55" i="4"/>
  <c r="H55" i="4"/>
  <c r="CD17" i="4"/>
  <c r="CE17" i="4" s="1"/>
  <c r="CD53" i="4"/>
  <c r="CE53" i="4" s="1"/>
  <c r="CD30" i="4"/>
  <c r="CE30" i="4" s="1"/>
  <c r="CD35" i="4"/>
  <c r="CE35" i="4" s="1"/>
  <c r="AS60" i="4"/>
  <c r="AR60" i="4"/>
  <c r="AS19" i="4"/>
  <c r="AR19" i="4"/>
  <c r="CD66" i="4"/>
  <c r="CE66" i="4" s="1"/>
  <c r="CD39" i="4"/>
  <c r="CE39" i="4" s="1"/>
  <c r="CD57" i="4"/>
  <c r="CE57" i="4" s="1"/>
  <c r="AS57" i="4"/>
  <c r="CD61" i="4"/>
  <c r="CE61" i="4" s="1"/>
  <c r="AF54" i="4"/>
  <c r="AG54" i="4"/>
  <c r="CD31" i="4"/>
  <c r="CE31" i="4" s="1"/>
  <c r="CD46" i="4"/>
  <c r="CE46" i="4" s="1"/>
  <c r="CD38" i="4"/>
  <c r="CE38" i="4" s="1"/>
  <c r="CD40" i="4"/>
  <c r="CE40" i="4" s="1"/>
  <c r="CD26" i="4"/>
  <c r="CE26" i="4" s="1"/>
  <c r="AR50" i="4"/>
  <c r="AS50" i="4"/>
  <c r="CD37" i="4"/>
  <c r="CE37" i="4" s="1"/>
  <c r="CD43" i="4"/>
  <c r="CE43" i="4" s="1"/>
  <c r="CD51" i="4"/>
  <c r="CE51" i="4" s="1"/>
  <c r="CD27" i="4"/>
  <c r="CE27" i="4" s="1"/>
  <c r="CD33" i="4"/>
  <c r="CE33" i="4" s="1"/>
  <c r="CD20" i="4"/>
  <c r="CE20" i="4" s="1"/>
  <c r="CD28" i="4"/>
  <c r="CE28" i="4" s="1"/>
  <c r="AS40" i="4" l="1"/>
  <c r="AS48" i="4"/>
  <c r="AS28" i="4"/>
  <c r="AS31" i="4"/>
  <c r="BY8" i="4"/>
  <c r="CF31" i="4" s="1"/>
  <c r="CF32" i="4" s="1"/>
  <c r="CF33" i="4" s="1"/>
  <c r="CF34" i="4" s="1"/>
  <c r="CF35" i="4" s="1"/>
  <c r="CF36" i="4" s="1"/>
  <c r="CF37" i="4" s="1"/>
  <c r="CF38" i="4" s="1"/>
  <c r="CF39" i="4" s="1"/>
  <c r="CF40" i="4" s="1"/>
  <c r="CF41" i="4" s="1"/>
  <c r="CF42" i="4" s="1"/>
  <c r="CF43" i="4" s="1"/>
  <c r="CF44" i="4" s="1"/>
  <c r="CF45" i="4" s="1"/>
  <c r="CF46" i="4" s="1"/>
  <c r="CF47" i="4" s="1"/>
  <c r="CF48" i="4" s="1"/>
  <c r="CF49" i="4" s="1"/>
  <c r="CF50" i="4" s="1"/>
  <c r="CF51" i="4" s="1"/>
  <c r="CF52" i="4" s="1"/>
  <c r="CF53" i="4" s="1"/>
  <c r="CF54" i="4" s="1"/>
  <c r="CF55" i="4" s="1"/>
  <c r="CF56" i="4" s="1"/>
  <c r="CF57" i="4" s="1"/>
  <c r="CF58" i="4" s="1"/>
  <c r="CF59" i="4" s="1"/>
  <c r="CF60" i="4" s="1"/>
  <c r="CF61" i="4" s="1"/>
  <c r="CF62" i="4" s="1"/>
  <c r="CF63" i="4" s="1"/>
  <c r="CF64" i="4" s="1"/>
  <c r="CF65" i="4" s="1"/>
  <c r="CF66" i="4" s="1"/>
  <c r="AS51" i="4"/>
  <c r="AS61" i="4"/>
  <c r="BY4" i="4"/>
  <c r="CF16" i="4" s="1"/>
  <c r="CG17" i="4" s="1"/>
  <c r="BY7" i="4"/>
  <c r="CF21" i="4" s="1"/>
  <c r="CF22" i="4" s="1"/>
  <c r="CF23" i="4" s="1"/>
  <c r="CF24" i="4" s="1"/>
  <c r="CF25" i="4" s="1"/>
  <c r="CF26" i="4" s="1"/>
  <c r="CF27" i="4" s="1"/>
  <c r="CF28" i="4" s="1"/>
  <c r="CF29" i="4" s="1"/>
  <c r="CF30" i="4" s="1"/>
  <c r="BY5" i="4"/>
  <c r="CF17" i="4" s="1"/>
  <c r="AS41" i="4"/>
  <c r="AS26" i="4"/>
  <c r="AS38" i="4"/>
  <c r="AS37" i="4"/>
  <c r="H22" i="4"/>
  <c r="AS45" i="4"/>
  <c r="AR21" i="4"/>
  <c r="AS65" i="4"/>
  <c r="BP32" i="4"/>
  <c r="BQ32" i="4"/>
  <c r="AF29" i="4"/>
  <c r="AG29" i="4"/>
  <c r="BE35" i="4"/>
  <c r="BD35" i="4"/>
  <c r="BE45" i="4"/>
  <c r="BD45" i="4"/>
  <c r="H40" i="4"/>
  <c r="I40" i="4"/>
  <c r="U63" i="4"/>
  <c r="T63" i="4"/>
  <c r="AF35" i="4"/>
  <c r="AG35" i="4"/>
  <c r="AG19" i="4"/>
  <c r="AF19" i="4"/>
  <c r="BP64" i="4"/>
  <c r="BQ64" i="4"/>
  <c r="H23" i="4"/>
  <c r="I23" i="4"/>
  <c r="BE22" i="4"/>
  <c r="BD22" i="4"/>
  <c r="BD52" i="4"/>
  <c r="BE52" i="4"/>
  <c r="I17" i="4"/>
  <c r="H17" i="4"/>
  <c r="AS36" i="4"/>
  <c r="AR36" i="4"/>
  <c r="AF51" i="4"/>
  <c r="AG51" i="4"/>
  <c r="AF30" i="4"/>
  <c r="AG30" i="4"/>
  <c r="BP49" i="4"/>
  <c r="BQ49" i="4"/>
  <c r="I29" i="4"/>
  <c r="H29" i="4"/>
  <c r="BD28" i="4"/>
  <c r="BE28" i="4"/>
  <c r="BD48" i="4"/>
  <c r="BE48" i="4"/>
  <c r="BE30" i="4"/>
  <c r="BD30" i="4"/>
  <c r="T26" i="4"/>
  <c r="U26" i="4"/>
  <c r="BD43" i="4"/>
  <c r="BE43" i="4"/>
  <c r="I66" i="4"/>
  <c r="H66" i="4"/>
  <c r="AF40" i="4"/>
  <c r="AG40" i="4"/>
  <c r="AR63" i="4"/>
  <c r="AS63" i="4"/>
  <c r="T34" i="4"/>
  <c r="U34" i="4"/>
  <c r="AR58" i="4"/>
  <c r="AS58" i="4"/>
  <c r="H30" i="4"/>
  <c r="I30" i="4"/>
  <c r="I52" i="4"/>
  <c r="H52" i="4"/>
  <c r="U53" i="4"/>
  <c r="T53" i="4"/>
  <c r="AG23" i="4"/>
  <c r="AF23" i="4"/>
  <c r="BP63" i="4"/>
  <c r="BQ63" i="4"/>
  <c r="U62" i="4"/>
  <c r="T62" i="4"/>
  <c r="I28" i="4"/>
  <c r="H28" i="4"/>
  <c r="T27" i="4"/>
  <c r="U27" i="4"/>
  <c r="BQ25" i="4"/>
  <c r="BP25" i="4"/>
  <c r="BE24" i="4"/>
  <c r="BD24" i="4"/>
  <c r="H16" i="4"/>
  <c r="I16" i="4"/>
  <c r="J16" i="4" s="1"/>
  <c r="K16" i="4" s="1"/>
  <c r="AR32" i="4"/>
  <c r="AS32" i="4"/>
  <c r="AG62" i="4"/>
  <c r="AF62" i="4"/>
  <c r="T48" i="4"/>
  <c r="U48" i="4"/>
  <c r="T55" i="4"/>
  <c r="U55" i="4"/>
  <c r="T46" i="4"/>
  <c r="U46" i="4"/>
  <c r="BP34" i="4"/>
  <c r="BQ34" i="4"/>
  <c r="H42" i="4"/>
  <c r="I42" i="4"/>
  <c r="H33" i="4"/>
  <c r="I33" i="4"/>
  <c r="U41" i="4"/>
  <c r="T41" i="4"/>
  <c r="H54" i="4"/>
  <c r="I54" i="4"/>
  <c r="I18" i="4"/>
  <c r="H18" i="4"/>
  <c r="AG49" i="4"/>
  <c r="AF49" i="4"/>
  <c r="AS24" i="4"/>
  <c r="AR24" i="4"/>
  <c r="AF63" i="4"/>
  <c r="AG63" i="4"/>
  <c r="AG47" i="4"/>
  <c r="AF47" i="4"/>
  <c r="BP36" i="4"/>
  <c r="BQ36" i="4"/>
  <c r="BP56" i="4"/>
  <c r="BQ56" i="4"/>
  <c r="BQ58" i="4"/>
  <c r="BP58" i="4"/>
  <c r="AS18" i="4"/>
  <c r="AR18" i="4"/>
  <c r="H59" i="4"/>
  <c r="I59" i="4"/>
  <c r="U64" i="4"/>
  <c r="T64" i="4"/>
  <c r="H41" i="4"/>
  <c r="I41" i="4"/>
  <c r="J41" i="4" s="1"/>
  <c r="K41" i="4" s="1"/>
  <c r="AF48" i="4"/>
  <c r="AG48" i="4"/>
  <c r="I63" i="4"/>
  <c r="H63" i="4"/>
  <c r="BE41" i="4"/>
  <c r="BD41" i="4"/>
  <c r="BE46" i="4"/>
  <c r="BD46" i="4"/>
  <c r="BP57" i="4"/>
  <c r="BQ57" i="4"/>
  <c r="BQ55" i="4"/>
  <c r="BP55" i="4"/>
  <c r="I57" i="4"/>
  <c r="H57" i="4"/>
  <c r="AF25" i="4"/>
  <c r="AG25" i="4"/>
  <c r="AR27" i="4"/>
  <c r="AS27" i="4"/>
  <c r="AR54" i="4"/>
  <c r="AS54" i="4"/>
  <c r="AR20" i="4"/>
  <c r="AS20" i="4"/>
  <c r="BP27" i="4"/>
  <c r="BQ27" i="4"/>
  <c r="I31" i="4"/>
  <c r="H31" i="4"/>
  <c r="AS16" i="4"/>
  <c r="AT37" i="4" s="1"/>
  <c r="AU37" i="4" s="1"/>
  <c r="AR16" i="4"/>
  <c r="BE49" i="4"/>
  <c r="BD49" i="4"/>
  <c r="BQ60" i="4"/>
  <c r="BP60" i="4"/>
  <c r="BD60" i="4"/>
  <c r="BE60" i="4"/>
  <c r="T60" i="4"/>
  <c r="U60" i="4"/>
  <c r="I24" i="4"/>
  <c r="H24" i="4"/>
  <c r="BD50" i="4"/>
  <c r="BE50" i="4"/>
  <c r="T21" i="4"/>
  <c r="U21" i="4"/>
  <c r="BE21" i="4"/>
  <c r="BD21" i="4"/>
  <c r="BD47" i="4"/>
  <c r="BE47" i="4"/>
  <c r="BP31" i="4"/>
  <c r="BQ31" i="4"/>
  <c r="AR33" i="4"/>
  <c r="AS33" i="4"/>
  <c r="AR59" i="4"/>
  <c r="AS59" i="4"/>
  <c r="AR64" i="4"/>
  <c r="AS64" i="4"/>
  <c r="AG33" i="4"/>
  <c r="AF33" i="4"/>
  <c r="BP23" i="4"/>
  <c r="BQ23" i="4"/>
  <c r="BP39" i="4"/>
  <c r="BQ39" i="4"/>
  <c r="AS66" i="4"/>
  <c r="AR66" i="4"/>
  <c r="T43" i="4"/>
  <c r="U43" i="4"/>
  <c r="AF34" i="4"/>
  <c r="AG34" i="4"/>
  <c r="AG66" i="4"/>
  <c r="AF66" i="4"/>
  <c r="AG64" i="4"/>
  <c r="AF64" i="4"/>
  <c r="H51" i="4"/>
  <c r="I51" i="4"/>
  <c r="BP37" i="4"/>
  <c r="BQ37" i="4"/>
  <c r="BD32" i="4"/>
  <c r="BE32" i="4"/>
  <c r="H58" i="4"/>
  <c r="I58" i="4"/>
  <c r="J58" i="4" s="1"/>
  <c r="K58" i="4" s="1"/>
  <c r="BQ22" i="4"/>
  <c r="BP22" i="4"/>
  <c r="AR46" i="4"/>
  <c r="AS46" i="4"/>
  <c r="AG27" i="4"/>
  <c r="AF27" i="4"/>
  <c r="AR49" i="4"/>
  <c r="AS49" i="4"/>
  <c r="I60" i="4"/>
  <c r="H60" i="4"/>
  <c r="AS29" i="4"/>
  <c r="AR29" i="4"/>
  <c r="T39" i="4"/>
  <c r="U39" i="4"/>
  <c r="AR17" i="4"/>
  <c r="AS17" i="4"/>
  <c r="AF18" i="4"/>
  <c r="AG18" i="4"/>
  <c r="AF55" i="4"/>
  <c r="AG55" i="4"/>
  <c r="U36" i="4"/>
  <c r="T36" i="4"/>
  <c r="H20" i="4"/>
  <c r="I20" i="4"/>
  <c r="BE23" i="4"/>
  <c r="BD23" i="4"/>
  <c r="BD62" i="4"/>
  <c r="BE62" i="4"/>
  <c r="BD54" i="4"/>
  <c r="BE54" i="4"/>
  <c r="AF50" i="4"/>
  <c r="AG50" i="4"/>
  <c r="AG53" i="4"/>
  <c r="AF53" i="4"/>
  <c r="AR22" i="4"/>
  <c r="AS22" i="4"/>
  <c r="H36" i="4"/>
  <c r="I36" i="4"/>
  <c r="BD20" i="4"/>
  <c r="BE20" i="4"/>
  <c r="AR47" i="4"/>
  <c r="AS47" i="4"/>
  <c r="BE61" i="4"/>
  <c r="BD61" i="4"/>
  <c r="AF16" i="4"/>
  <c r="AG16" i="4"/>
  <c r="T65" i="4"/>
  <c r="U65" i="4"/>
  <c r="BD26" i="4"/>
  <c r="BE26" i="4"/>
  <c r="I43" i="4"/>
  <c r="H43" i="4"/>
  <c r="U28" i="4"/>
  <c r="T28" i="4"/>
  <c r="BD53" i="4"/>
  <c r="BE53" i="4"/>
  <c r="BD25" i="4"/>
  <c r="BE25" i="4"/>
  <c r="AF32" i="4"/>
  <c r="AG32" i="4"/>
  <c r="AR34" i="4"/>
  <c r="AS34" i="4"/>
  <c r="AR25" i="4"/>
  <c r="AS25" i="4"/>
  <c r="AF43" i="4"/>
  <c r="AG43" i="4"/>
  <c r="AG44" i="4"/>
  <c r="AF44" i="4"/>
  <c r="H47" i="4"/>
  <c r="I47" i="4"/>
  <c r="T56" i="4"/>
  <c r="U56" i="4"/>
  <c r="H39" i="4"/>
  <c r="I39" i="4"/>
  <c r="BP50" i="4"/>
  <c r="BQ50" i="4"/>
  <c r="H26" i="4"/>
  <c r="I26" i="4"/>
  <c r="BP53" i="4"/>
  <c r="BQ53" i="4"/>
  <c r="AF17" i="4"/>
  <c r="AG17" i="4"/>
  <c r="AG36" i="4"/>
  <c r="AF36" i="4"/>
  <c r="T38" i="4"/>
  <c r="U38" i="4"/>
  <c r="BE17" i="4"/>
  <c r="BD17" i="4"/>
  <c r="BP35" i="4"/>
  <c r="BQ35" i="4"/>
  <c r="BD34" i="4"/>
  <c r="BE34" i="4"/>
  <c r="T29" i="4"/>
  <c r="U29" i="4"/>
  <c r="AR42" i="4"/>
  <c r="AS42" i="4"/>
  <c r="AF24" i="4"/>
  <c r="AG24" i="4"/>
  <c r="T51" i="4"/>
  <c r="U51" i="4"/>
  <c r="T57" i="4"/>
  <c r="U57" i="4"/>
  <c r="AS44" i="4"/>
  <c r="AR44" i="4"/>
  <c r="BQ29" i="4"/>
  <c r="BP29" i="4"/>
  <c r="T54" i="4"/>
  <c r="U54" i="4"/>
  <c r="BD39" i="4"/>
  <c r="BE39" i="4"/>
  <c r="T42" i="4"/>
  <c r="U42" i="4"/>
  <c r="H27" i="4"/>
  <c r="I27" i="4"/>
  <c r="BP24" i="4"/>
  <c r="BQ24" i="4"/>
  <c r="AF58" i="4"/>
  <c r="AG58" i="4"/>
  <c r="BQ54" i="4"/>
  <c r="BP54" i="4"/>
  <c r="BE58" i="4"/>
  <c r="BD58" i="4"/>
  <c r="BE16" i="4"/>
  <c r="BF56" i="4" s="1"/>
  <c r="BG56" i="4" s="1"/>
  <c r="BD16" i="4"/>
  <c r="BD27" i="4"/>
  <c r="BE27" i="4"/>
  <c r="T17" i="4"/>
  <c r="U17" i="4"/>
  <c r="BP46" i="4"/>
  <c r="BQ46" i="4"/>
  <c r="AS43" i="4"/>
  <c r="AR43" i="4"/>
  <c r="AG21" i="4"/>
  <c r="AF21" i="4"/>
  <c r="AR62" i="4"/>
  <c r="AS62" i="4"/>
  <c r="BQ42" i="4"/>
  <c r="BP42" i="4"/>
  <c r="BP65" i="4"/>
  <c r="BQ65" i="4"/>
  <c r="AF52" i="4"/>
  <c r="AG52" i="4"/>
  <c r="I37" i="4"/>
  <c r="H37" i="4"/>
  <c r="I19" i="4"/>
  <c r="H19" i="4"/>
  <c r="BP19" i="4"/>
  <c r="BQ19" i="4"/>
  <c r="BP61" i="4"/>
  <c r="BQ61" i="4"/>
  <c r="BP43" i="4"/>
  <c r="BQ43" i="4"/>
  <c r="T50" i="4"/>
  <c r="U50" i="4"/>
  <c r="BP48" i="4"/>
  <c r="BQ48" i="4"/>
  <c r="BE38" i="4"/>
  <c r="BD38" i="4"/>
  <c r="T33" i="4"/>
  <c r="U33" i="4"/>
  <c r="BE66" i="4"/>
  <c r="BD66" i="4"/>
  <c r="I48" i="4"/>
  <c r="H48" i="4"/>
  <c r="U16" i="4"/>
  <c r="V16" i="4" s="1"/>
  <c r="W16" i="4" s="1"/>
  <c r="T16" i="4"/>
  <c r="BD29" i="4"/>
  <c r="BE29" i="4"/>
  <c r="AF60" i="4"/>
  <c r="AG60" i="4"/>
  <c r="AF37" i="4"/>
  <c r="AG37" i="4"/>
  <c r="AR55" i="4"/>
  <c r="AS55" i="4"/>
  <c r="BP44" i="4"/>
  <c r="BQ44" i="4"/>
  <c r="BD64" i="4"/>
  <c r="BE64" i="4"/>
  <c r="T49" i="4"/>
  <c r="U49" i="4"/>
  <c r="AF38" i="4"/>
  <c r="AG38" i="4"/>
  <c r="AS56" i="4"/>
  <c r="AR56" i="4"/>
  <c r="T44" i="4"/>
  <c r="U44" i="4"/>
  <c r="BP52" i="4"/>
  <c r="BQ52" i="4"/>
  <c r="BD65" i="4"/>
  <c r="BE65" i="4"/>
  <c r="U40" i="4"/>
  <c r="T40" i="4"/>
  <c r="I44" i="4"/>
  <c r="H44" i="4"/>
  <c r="T45" i="4"/>
  <c r="U45" i="4"/>
  <c r="BE40" i="4"/>
  <c r="BD40" i="4"/>
  <c r="BD57" i="4"/>
  <c r="BE57" i="4"/>
  <c r="H61" i="4"/>
  <c r="I61" i="4"/>
  <c r="J61" i="4" s="1"/>
  <c r="K61" i="4" s="1"/>
  <c r="T66" i="4"/>
  <c r="U66" i="4"/>
  <c r="I62" i="4"/>
  <c r="H62" i="4"/>
  <c r="AF42" i="4"/>
  <c r="AG42" i="4"/>
  <c r="AF39" i="4"/>
  <c r="AG39" i="4"/>
  <c r="AR30" i="4"/>
  <c r="AS30" i="4"/>
  <c r="T24" i="4"/>
  <c r="U24" i="4"/>
  <c r="I50" i="4"/>
  <c r="H50" i="4"/>
  <c r="H35" i="4"/>
  <c r="I35" i="4"/>
  <c r="AS23" i="4"/>
  <c r="AR23" i="4"/>
  <c r="I65" i="4"/>
  <c r="H65" i="4"/>
  <c r="T61" i="4"/>
  <c r="U61" i="4"/>
  <c r="BQ40" i="4"/>
  <c r="BP40" i="4"/>
  <c r="BP33" i="4"/>
  <c r="BQ33" i="4"/>
  <c r="AF28" i="4"/>
  <c r="AG28" i="4"/>
  <c r="T32" i="4"/>
  <c r="U32" i="4"/>
  <c r="BP20" i="4"/>
  <c r="BQ20" i="4"/>
  <c r="U20" i="4"/>
  <c r="T20" i="4"/>
  <c r="BE19" i="4"/>
  <c r="BD19" i="4"/>
  <c r="T58" i="4"/>
  <c r="U58" i="4"/>
  <c r="BD42" i="4"/>
  <c r="BE42" i="4"/>
  <c r="BQ26" i="4"/>
  <c r="BP26" i="4"/>
  <c r="BQ16" i="4"/>
  <c r="BR30" i="4" s="1"/>
  <c r="BS30" i="4" s="1"/>
  <c r="BP16" i="4"/>
  <c r="AR52" i="4"/>
  <c r="AS52" i="4"/>
  <c r="AF59" i="4"/>
  <c r="AG59" i="4"/>
  <c r="AF20" i="4"/>
  <c r="AG20" i="4"/>
  <c r="T22" i="4"/>
  <c r="U22" i="4"/>
  <c r="BQ62" i="4"/>
  <c r="BP62" i="4"/>
  <c r="T18" i="4"/>
  <c r="U18" i="4"/>
  <c r="H21" i="4"/>
  <c r="I21" i="4"/>
  <c r="BE55" i="4"/>
  <c r="BD55" i="4"/>
  <c r="T30" i="4"/>
  <c r="U30" i="4"/>
  <c r="BP38" i="4"/>
  <c r="BQ38" i="4"/>
  <c r="AG45" i="4"/>
  <c r="AF45" i="4"/>
  <c r="BE31" i="4"/>
  <c r="BD31" i="4"/>
  <c r="U25" i="4"/>
  <c r="T25" i="4"/>
  <c r="I53" i="4"/>
  <c r="H53" i="4"/>
  <c r="BD33" i="4"/>
  <c r="BE33" i="4"/>
  <c r="BP21" i="4"/>
  <c r="BQ21" i="4"/>
  <c r="BP66" i="4"/>
  <c r="BQ66" i="4"/>
  <c r="AG41" i="4"/>
  <c r="AF41" i="4"/>
  <c r="AG46" i="4"/>
  <c r="AF46" i="4"/>
  <c r="AF57" i="4"/>
  <c r="AG57" i="4"/>
  <c r="I64" i="4"/>
  <c r="H64" i="4"/>
  <c r="T47" i="4"/>
  <c r="U47" i="4"/>
  <c r="AF31" i="4"/>
  <c r="AG31" i="4"/>
  <c r="I25" i="4"/>
  <c r="H25" i="4"/>
  <c r="H45" i="4"/>
  <c r="I45" i="4"/>
  <c r="U59" i="4"/>
  <c r="T59" i="4"/>
  <c r="I32" i="4"/>
  <c r="H32" i="4"/>
  <c r="AG22" i="4"/>
  <c r="AF22" i="4"/>
  <c r="I49" i="4"/>
  <c r="H49" i="4"/>
  <c r="BD51" i="4"/>
  <c r="BE51" i="4"/>
  <c r="BE36" i="4"/>
  <c r="BD36" i="4"/>
  <c r="T31" i="4"/>
  <c r="U31" i="4"/>
  <c r="I34" i="4"/>
  <c r="J34" i="4" s="1"/>
  <c r="K34" i="4" s="1"/>
  <c r="H34" i="4"/>
  <c r="BD63" i="4"/>
  <c r="BE63" i="4"/>
  <c r="BQ17" i="4"/>
  <c r="BP17" i="4"/>
  <c r="AF61" i="4"/>
  <c r="AG61" i="4"/>
  <c r="AF26" i="4"/>
  <c r="AG26" i="4"/>
  <c r="T35" i="4"/>
  <c r="U35" i="4"/>
  <c r="BE37" i="4"/>
  <c r="BD37" i="4"/>
  <c r="BP28" i="4"/>
  <c r="BQ28" i="4"/>
  <c r="BE59" i="4"/>
  <c r="BD59" i="4"/>
  <c r="T23" i="4"/>
  <c r="U23" i="4"/>
  <c r="U52" i="4"/>
  <c r="T52" i="4"/>
  <c r="BE18" i="4"/>
  <c r="BD18" i="4"/>
  <c r="AR35" i="4"/>
  <c r="AS35" i="4"/>
  <c r="BP41" i="4"/>
  <c r="BQ41" i="4"/>
  <c r="BP51" i="4"/>
  <c r="BQ51" i="4"/>
  <c r="I56" i="4"/>
  <c r="H56" i="4"/>
  <c r="AR39" i="4"/>
  <c r="AS39" i="4"/>
  <c r="BP59" i="4"/>
  <c r="BQ59" i="4"/>
  <c r="I46" i="4"/>
  <c r="H46" i="4"/>
  <c r="AF65" i="4"/>
  <c r="AG65" i="4"/>
  <c r="H38" i="4"/>
  <c r="I38" i="4"/>
  <c r="BP47" i="4"/>
  <c r="BQ47" i="4"/>
  <c r="BP45" i="4"/>
  <c r="BQ45" i="4"/>
  <c r="BD44" i="4"/>
  <c r="BE44" i="4"/>
  <c r="BP18" i="4"/>
  <c r="BQ18" i="4"/>
  <c r="AR53" i="4"/>
  <c r="AS53" i="4"/>
  <c r="AF56" i="4"/>
  <c r="AG56" i="4"/>
  <c r="U37" i="4"/>
  <c r="T37" i="4"/>
  <c r="AH61" i="4" l="1"/>
  <c r="AI61" i="4" s="1"/>
  <c r="AH43" i="4"/>
  <c r="AI43" i="4" s="1"/>
  <c r="J65" i="4"/>
  <c r="K65" i="4" s="1"/>
  <c r="J21" i="4"/>
  <c r="K21" i="4" s="1"/>
  <c r="J32" i="4"/>
  <c r="K32" i="4" s="1"/>
  <c r="J35" i="4"/>
  <c r="K35" i="4" s="1"/>
  <c r="J24" i="4"/>
  <c r="K24" i="4" s="1"/>
  <c r="J36" i="4"/>
  <c r="K36" i="4" s="1"/>
  <c r="J54" i="4"/>
  <c r="K54" i="4" s="1"/>
  <c r="J46" i="4"/>
  <c r="K46" i="4" s="1"/>
  <c r="J26" i="4"/>
  <c r="K26" i="4" s="1"/>
  <c r="J64" i="4"/>
  <c r="K64" i="4" s="1"/>
  <c r="AT51" i="4"/>
  <c r="AU51" i="4" s="1"/>
  <c r="J45" i="4"/>
  <c r="K45" i="4" s="1"/>
  <c r="J50" i="4"/>
  <c r="K50" i="4" s="1"/>
  <c r="AT53" i="4"/>
  <c r="AU53" i="4" s="1"/>
  <c r="J38" i="4"/>
  <c r="K38" i="4" s="1"/>
  <c r="J63" i="4"/>
  <c r="K63" i="4" s="1"/>
  <c r="J56" i="4"/>
  <c r="K56" i="4" s="1"/>
  <c r="J49" i="4"/>
  <c r="K49" i="4" s="1"/>
  <c r="J25" i="4"/>
  <c r="K25" i="4" s="1"/>
  <c r="J53" i="4"/>
  <c r="K53" i="4" s="1"/>
  <c r="J44" i="4"/>
  <c r="K44" i="4" s="1"/>
  <c r="J48" i="4"/>
  <c r="K48" i="4" s="1"/>
  <c r="J37" i="4"/>
  <c r="K37" i="4" s="1"/>
  <c r="J20" i="4"/>
  <c r="K20" i="4" s="1"/>
  <c r="AT41" i="4"/>
  <c r="AU41" i="4" s="1"/>
  <c r="J27" i="4"/>
  <c r="K27" i="4" s="1"/>
  <c r="J60" i="4"/>
  <c r="K60" i="4" s="1"/>
  <c r="J62" i="4"/>
  <c r="K62" i="4" s="1"/>
  <c r="J19" i="4"/>
  <c r="K19" i="4" s="1"/>
  <c r="J22" i="4"/>
  <c r="K22" i="4" s="1"/>
  <c r="J66" i="4"/>
  <c r="K66" i="4" s="1"/>
  <c r="J47" i="4"/>
  <c r="K47" i="4" s="1"/>
  <c r="J31" i="4"/>
  <c r="K31" i="4" s="1"/>
  <c r="CG18" i="4"/>
  <c r="CG19" i="4" s="1"/>
  <c r="CG20" i="4" s="1"/>
  <c r="CG21" i="4" s="1"/>
  <c r="CG22" i="4" s="1"/>
  <c r="CG23" i="4" s="1"/>
  <c r="CG24" i="4" s="1"/>
  <c r="CG25" i="4" s="1"/>
  <c r="CG26" i="4" s="1"/>
  <c r="CG27" i="4" s="1"/>
  <c r="CG28" i="4" s="1"/>
  <c r="CG29" i="4" s="1"/>
  <c r="CG30" i="4" s="1"/>
  <c r="CG31" i="4" s="1"/>
  <c r="CG32" i="4" s="1"/>
  <c r="CG33" i="4" s="1"/>
  <c r="CG34" i="4" s="1"/>
  <c r="CG35" i="4" s="1"/>
  <c r="CG36" i="4" s="1"/>
  <c r="CG37" i="4" s="1"/>
  <c r="CG38" i="4" s="1"/>
  <c r="CG39" i="4" s="1"/>
  <c r="CG40" i="4" s="1"/>
  <c r="CG41" i="4" s="1"/>
  <c r="CG42" i="4" s="1"/>
  <c r="CG43" i="4" s="1"/>
  <c r="CG44" i="4" s="1"/>
  <c r="CG45" i="4" s="1"/>
  <c r="CG46" i="4" s="1"/>
  <c r="CG47" i="4" s="1"/>
  <c r="CG48" i="4" s="1"/>
  <c r="CG49" i="4" s="1"/>
  <c r="CG50" i="4" s="1"/>
  <c r="CG51" i="4" s="1"/>
  <c r="CG52" i="4" s="1"/>
  <c r="CG53" i="4" s="1"/>
  <c r="CG54" i="4" s="1"/>
  <c r="CG55" i="4" s="1"/>
  <c r="CG56" i="4" s="1"/>
  <c r="CG57" i="4" s="1"/>
  <c r="CG58" i="4" s="1"/>
  <c r="CG59" i="4" s="1"/>
  <c r="CG60" i="4" s="1"/>
  <c r="CG61" i="4" s="1"/>
  <c r="CG62" i="4" s="1"/>
  <c r="CG63" i="4" s="1"/>
  <c r="CG64" i="4" s="1"/>
  <c r="CG65" i="4" s="1"/>
  <c r="CG66" i="4" s="1"/>
  <c r="J42" i="4"/>
  <c r="K42" i="4" s="1"/>
  <c r="J40" i="4"/>
  <c r="K40" i="4" s="1"/>
  <c r="J28" i="4"/>
  <c r="K28" i="4" s="1"/>
  <c r="V37" i="4"/>
  <c r="W37" i="4" s="1"/>
  <c r="BF17" i="4"/>
  <c r="BG17" i="4" s="1"/>
  <c r="V35" i="4"/>
  <c r="W35" i="4" s="1"/>
  <c r="V52" i="4"/>
  <c r="W52" i="4" s="1"/>
  <c r="AT49" i="4"/>
  <c r="AU49" i="4" s="1"/>
  <c r="AT56" i="4"/>
  <c r="AU56" i="4" s="1"/>
  <c r="BR45" i="4"/>
  <c r="BS45" i="4" s="1"/>
  <c r="AT35" i="4"/>
  <c r="AU35" i="4" s="1"/>
  <c r="AT23" i="4"/>
  <c r="AU23" i="4" s="1"/>
  <c r="BF18" i="4"/>
  <c r="BG18" i="4" s="1"/>
  <c r="AT62" i="4"/>
  <c r="AU62" i="4" s="1"/>
  <c r="AT65" i="4"/>
  <c r="AU65" i="4" s="1"/>
  <c r="J59" i="4"/>
  <c r="K59" i="4" s="1"/>
  <c r="J18" i="4"/>
  <c r="K18" i="4" s="1"/>
  <c r="AT60" i="4"/>
  <c r="AU60" i="4" s="1"/>
  <c r="AT55" i="4"/>
  <c r="AU55" i="4" s="1"/>
  <c r="AT40" i="4"/>
  <c r="AU40" i="4" s="1"/>
  <c r="AT28" i="4"/>
  <c r="AU28" i="4" s="1"/>
  <c r="J39" i="4"/>
  <c r="K39" i="4" s="1"/>
  <c r="AT30" i="4"/>
  <c r="AU30" i="4" s="1"/>
  <c r="J51" i="4"/>
  <c r="K51" i="4" s="1"/>
  <c r="J29" i="4"/>
  <c r="K29" i="4" s="1"/>
  <c r="AT38" i="4"/>
  <c r="AU38" i="4" s="1"/>
  <c r="AT31" i="4"/>
  <c r="AU31" i="4" s="1"/>
  <c r="AT52" i="4"/>
  <c r="AU52" i="4" s="1"/>
  <c r="J43" i="4"/>
  <c r="K43" i="4" s="1"/>
  <c r="J33" i="4"/>
  <c r="K33" i="4" s="1"/>
  <c r="AT39" i="4"/>
  <c r="AU39" i="4" s="1"/>
  <c r="AT33" i="4"/>
  <c r="AU33" i="4" s="1"/>
  <c r="AH64" i="4"/>
  <c r="AI64" i="4" s="1"/>
  <c r="V30" i="4"/>
  <c r="W30" i="4" s="1"/>
  <c r="V61" i="4"/>
  <c r="W61" i="4" s="1"/>
  <c r="V44" i="4"/>
  <c r="W44" i="4" s="1"/>
  <c r="AH44" i="4"/>
  <c r="AI44" i="4" s="1"/>
  <c r="AT44" i="4"/>
  <c r="AU44" i="4" s="1"/>
  <c r="AT25" i="4"/>
  <c r="AU25" i="4" s="1"/>
  <c r="V58" i="4"/>
  <c r="W58" i="4" s="1"/>
  <c r="AH38" i="4"/>
  <c r="AI38" i="4" s="1"/>
  <c r="V57" i="4"/>
  <c r="W57" i="4" s="1"/>
  <c r="J17" i="4"/>
  <c r="K17" i="4" s="1"/>
  <c r="V20" i="4"/>
  <c r="W20" i="4" s="1"/>
  <c r="V23" i="4"/>
  <c r="W23" i="4" s="1"/>
  <c r="BR59" i="4"/>
  <c r="BS59" i="4" s="1"/>
  <c r="BR28" i="4"/>
  <c r="BS28" i="4" s="1"/>
  <c r="J57" i="4"/>
  <c r="K57" i="4" s="1"/>
  <c r="BR55" i="4"/>
  <c r="BS55" i="4" s="1"/>
  <c r="BR58" i="4"/>
  <c r="BS58" i="4" s="1"/>
  <c r="BR57" i="4"/>
  <c r="BS57" i="4" s="1"/>
  <c r="BR56" i="4"/>
  <c r="BS56" i="4" s="1"/>
  <c r="BR25" i="4"/>
  <c r="BS25" i="4" s="1"/>
  <c r="BF49" i="4"/>
  <c r="BG49" i="4" s="1"/>
  <c r="BR18" i="4"/>
  <c r="BS18" i="4" s="1"/>
  <c r="BR51" i="4"/>
  <c r="BS51" i="4" s="1"/>
  <c r="BF62" i="4"/>
  <c r="BG62" i="4" s="1"/>
  <c r="BR31" i="4"/>
  <c r="BS31" i="4" s="1"/>
  <c r="BR29" i="4"/>
  <c r="BS29" i="4" s="1"/>
  <c r="V38" i="4"/>
  <c r="W38" i="4" s="1"/>
  <c r="BR41" i="4"/>
  <c r="BS41" i="4" s="1"/>
  <c r="V66" i="4"/>
  <c r="W66" i="4" s="1"/>
  <c r="BR66" i="4"/>
  <c r="BS66" i="4" s="1"/>
  <c r="V43" i="4"/>
  <c r="W43" i="4" s="1"/>
  <c r="V59" i="4"/>
  <c r="W59" i="4" s="1"/>
  <c r="BR21" i="4"/>
  <c r="BS21" i="4" s="1"/>
  <c r="V18" i="4"/>
  <c r="W18" i="4" s="1"/>
  <c r="AT47" i="4"/>
  <c r="AU47" i="4" s="1"/>
  <c r="BR47" i="4"/>
  <c r="BS47" i="4" s="1"/>
  <c r="BF19" i="4"/>
  <c r="BG19" i="4" s="1"/>
  <c r="BF57" i="4"/>
  <c r="BG57" i="4" s="1"/>
  <c r="V49" i="4"/>
  <c r="W49" i="4" s="1"/>
  <c r="V33" i="4"/>
  <c r="W33" i="4" s="1"/>
  <c r="BR65" i="4"/>
  <c r="BS65" i="4" s="1"/>
  <c r="BR17" i="4"/>
  <c r="BS17" i="4" s="1"/>
  <c r="BR54" i="4"/>
  <c r="BS54" i="4" s="1"/>
  <c r="V51" i="4"/>
  <c r="W51" i="4" s="1"/>
  <c r="BR53" i="4"/>
  <c r="BS53" i="4" s="1"/>
  <c r="V36" i="4"/>
  <c r="W36" i="4" s="1"/>
  <c r="BR62" i="4"/>
  <c r="BS62" i="4" s="1"/>
  <c r="V22" i="4"/>
  <c r="W22" i="4" s="1"/>
  <c r="BR20" i="4"/>
  <c r="BS20" i="4" s="1"/>
  <c r="V24" i="4"/>
  <c r="W24" i="4" s="1"/>
  <c r="BR42" i="4"/>
  <c r="BS42" i="4" s="1"/>
  <c r="V45" i="4"/>
  <c r="W45" i="4" s="1"/>
  <c r="BR44" i="4"/>
  <c r="BS44" i="4" s="1"/>
  <c r="BR48" i="4"/>
  <c r="BS48" i="4" s="1"/>
  <c r="BR24" i="4"/>
  <c r="BS24" i="4" s="1"/>
  <c r="V32" i="4"/>
  <c r="W32" i="4" s="1"/>
  <c r="V19" i="4"/>
  <c r="W19" i="4" s="1"/>
  <c r="AT42" i="4"/>
  <c r="AU42" i="4" s="1"/>
  <c r="BR50" i="4"/>
  <c r="BS50" i="4" s="1"/>
  <c r="V31" i="4"/>
  <c r="W31" i="4" s="1"/>
  <c r="V25" i="4"/>
  <c r="W25" i="4" s="1"/>
  <c r="V50" i="4"/>
  <c r="W50" i="4" s="1"/>
  <c r="V47" i="4"/>
  <c r="W47" i="4" s="1"/>
  <c r="J23" i="4"/>
  <c r="K23" i="4" s="1"/>
  <c r="BR33" i="4"/>
  <c r="BS33" i="4" s="1"/>
  <c r="V40" i="4"/>
  <c r="W40" i="4" s="1"/>
  <c r="J55" i="4"/>
  <c r="K55" i="4" s="1"/>
  <c r="BR64" i="4"/>
  <c r="BS64" i="4" s="1"/>
  <c r="V41" i="4"/>
  <c r="W41" i="4" s="1"/>
  <c r="BF28" i="4"/>
  <c r="BG28" i="4" s="1"/>
  <c r="BF33" i="4"/>
  <c r="BG33" i="4" s="1"/>
  <c r="BF66" i="4"/>
  <c r="BG66" i="4" s="1"/>
  <c r="AH52" i="4"/>
  <c r="AI52" i="4" s="1"/>
  <c r="AH34" i="4"/>
  <c r="AI34" i="4" s="1"/>
  <c r="AT34" i="4"/>
  <c r="AU34" i="4" s="1"/>
  <c r="AT16" i="4"/>
  <c r="AU16" i="4" s="1"/>
  <c r="BR36" i="4"/>
  <c r="BS36" i="4" s="1"/>
  <c r="AT58" i="4"/>
  <c r="AU58" i="4" s="1"/>
  <c r="AH66" i="4"/>
  <c r="AI66" i="4" s="1"/>
  <c r="AH16" i="4"/>
  <c r="AI16" i="4" s="1"/>
  <c r="BF63" i="4"/>
  <c r="BG63" i="4" s="1"/>
  <c r="BF40" i="4"/>
  <c r="BG40" i="4" s="1"/>
  <c r="BF64" i="4"/>
  <c r="BG64" i="4" s="1"/>
  <c r="AH17" i="4"/>
  <c r="AI17" i="4" s="1"/>
  <c r="BR34" i="4"/>
  <c r="BS34" i="4" s="1"/>
  <c r="V27" i="4"/>
  <c r="W27" i="4" s="1"/>
  <c r="V34" i="4"/>
  <c r="W34" i="4" s="1"/>
  <c r="BR49" i="4"/>
  <c r="BS49" i="4" s="1"/>
  <c r="AH19" i="4"/>
  <c r="AI19" i="4" s="1"/>
  <c r="AH27" i="4"/>
  <c r="AI27" i="4" s="1"/>
  <c r="BR27" i="4"/>
  <c r="BS27" i="4" s="1"/>
  <c r="BF41" i="4"/>
  <c r="BG41" i="4" s="1"/>
  <c r="AH47" i="4"/>
  <c r="AI47" i="4" s="1"/>
  <c r="AH35" i="4"/>
  <c r="AI35" i="4" s="1"/>
  <c r="AH31" i="4"/>
  <c r="AI31" i="4" s="1"/>
  <c r="AH20" i="4"/>
  <c r="AI20" i="4" s="1"/>
  <c r="AH58" i="4"/>
  <c r="AI58" i="4" s="1"/>
  <c r="AH32" i="4"/>
  <c r="AI32" i="4" s="1"/>
  <c r="BF20" i="4"/>
  <c r="BG20" i="4" s="1"/>
  <c r="AT46" i="4"/>
  <c r="AU46" i="4" s="1"/>
  <c r="BF21" i="4"/>
  <c r="BG21" i="4" s="1"/>
  <c r="BA6" i="4" s="1"/>
  <c r="BH18" i="4" s="1"/>
  <c r="BH19" i="4" s="1"/>
  <c r="BH20" i="4" s="1"/>
  <c r="V46" i="4"/>
  <c r="W46" i="4" s="1"/>
  <c r="AT63" i="4"/>
  <c r="AU63" i="4" s="1"/>
  <c r="AT48" i="4"/>
  <c r="AU48" i="4" s="1"/>
  <c r="AH65" i="4"/>
  <c r="AI65" i="4" s="1"/>
  <c r="BF59" i="4"/>
  <c r="BG59" i="4" s="1"/>
  <c r="AT66" i="4"/>
  <c r="AU66" i="4" s="1"/>
  <c r="V21" i="4"/>
  <c r="W21" i="4" s="1"/>
  <c r="AT45" i="4"/>
  <c r="AU45" i="4" s="1"/>
  <c r="AT57" i="4"/>
  <c r="AU57" i="4" s="1"/>
  <c r="AH30" i="4"/>
  <c r="AI30" i="4" s="1"/>
  <c r="BF61" i="4"/>
  <c r="BG61" i="4" s="1"/>
  <c r="AH28" i="4"/>
  <c r="AI28" i="4" s="1"/>
  <c r="AH24" i="4"/>
  <c r="AI24" i="4" s="1"/>
  <c r="BF25" i="4"/>
  <c r="BG25" i="4" s="1"/>
  <c r="AH55" i="4"/>
  <c r="AI55" i="4" s="1"/>
  <c r="BR39" i="4"/>
  <c r="BS39" i="4" s="1"/>
  <c r="AT20" i="4"/>
  <c r="AU20" i="4" s="1"/>
  <c r="AH48" i="4"/>
  <c r="AI48" i="4" s="1"/>
  <c r="AH63" i="4"/>
  <c r="AI63" i="4" s="1"/>
  <c r="V55" i="4"/>
  <c r="W55" i="4" s="1"/>
  <c r="AH40" i="4"/>
  <c r="AI40" i="4" s="1"/>
  <c r="V63" i="4"/>
  <c r="W63" i="4" s="1"/>
  <c r="BF31" i="4"/>
  <c r="BG31" i="4" s="1"/>
  <c r="BR22" i="4"/>
  <c r="BS22" i="4" s="1"/>
  <c r="BF50" i="4"/>
  <c r="BG50" i="4" s="1"/>
  <c r="V62" i="4"/>
  <c r="W62" i="4" s="1"/>
  <c r="AH51" i="4"/>
  <c r="AI51" i="4" s="1"/>
  <c r="BF58" i="4"/>
  <c r="BG58" i="4" s="1"/>
  <c r="BF47" i="4"/>
  <c r="BG47" i="4" s="1"/>
  <c r="BF53" i="4"/>
  <c r="BG53" i="4" s="1"/>
  <c r="AH18" i="4"/>
  <c r="AI18" i="4" s="1"/>
  <c r="BR23" i="4"/>
  <c r="BS23" i="4" s="1"/>
  <c r="AT54" i="4"/>
  <c r="AU54" i="4" s="1"/>
  <c r="V48" i="4"/>
  <c r="W48" i="4" s="1"/>
  <c r="BR63" i="4"/>
  <c r="BS63" i="4" s="1"/>
  <c r="BF38" i="4"/>
  <c r="BG38" i="4" s="1"/>
  <c r="BF16" i="4"/>
  <c r="BG16" i="4" s="1"/>
  <c r="AH36" i="4"/>
  <c r="AI36" i="4" s="1"/>
  <c r="BF23" i="4"/>
  <c r="BG23" i="4" s="1"/>
  <c r="AH59" i="4"/>
  <c r="AI59" i="4" s="1"/>
  <c r="BF37" i="4"/>
  <c r="BG37" i="4" s="1"/>
  <c r="BF51" i="4"/>
  <c r="BG51" i="4" s="1"/>
  <c r="AH45" i="4"/>
  <c r="AI45" i="4" s="1"/>
  <c r="AH39" i="4"/>
  <c r="AI39" i="4" s="1"/>
  <c r="BF65" i="4"/>
  <c r="BG65" i="4" s="1"/>
  <c r="AH37" i="4"/>
  <c r="AI37" i="4" s="1"/>
  <c r="BR43" i="4"/>
  <c r="BS43" i="4" s="1"/>
  <c r="AH21" i="4"/>
  <c r="AI21" i="4" s="1"/>
  <c r="AT50" i="4"/>
  <c r="AU50" i="4" s="1"/>
  <c r="AT24" i="4"/>
  <c r="AU24" i="4" s="1"/>
  <c r="AH57" i="4"/>
  <c r="AI57" i="4" s="1"/>
  <c r="BR38" i="4"/>
  <c r="BS38" i="4" s="1"/>
  <c r="V42" i="4"/>
  <c r="W42" i="4" s="1"/>
  <c r="V29" i="4"/>
  <c r="W29" i="4" s="1"/>
  <c r="AT22" i="4"/>
  <c r="AU22" i="4" s="1"/>
  <c r="AT17" i="4"/>
  <c r="AU17" i="4" s="1"/>
  <c r="BF32" i="4"/>
  <c r="BG32" i="4" s="1"/>
  <c r="AT27" i="4"/>
  <c r="AU27" i="4" s="1"/>
  <c r="AH54" i="4"/>
  <c r="AI54" i="4" s="1"/>
  <c r="BF43" i="4"/>
  <c r="BG43" i="4" s="1"/>
  <c r="AT36" i="4"/>
  <c r="AU36" i="4" s="1"/>
  <c r="BF45" i="4"/>
  <c r="BG45" i="4" s="1"/>
  <c r="BR19" i="4"/>
  <c r="BS19" i="4" s="1"/>
  <c r="BR16" i="4"/>
  <c r="BS16" i="4" s="1"/>
  <c r="BR40" i="4"/>
  <c r="BS40" i="4" s="1"/>
  <c r="AH42" i="4"/>
  <c r="AI42" i="4" s="1"/>
  <c r="BR52" i="4"/>
  <c r="BS52" i="4" s="1"/>
  <c r="AH60" i="4"/>
  <c r="AI60" i="4" s="1"/>
  <c r="BR61" i="4"/>
  <c r="BS61" i="4" s="1"/>
  <c r="AT43" i="4"/>
  <c r="AU43" i="4" s="1"/>
  <c r="V28" i="4"/>
  <c r="W28" i="4" s="1"/>
  <c r="AH33" i="4"/>
  <c r="AI33" i="4" s="1"/>
  <c r="V60" i="4"/>
  <c r="W60" i="4" s="1"/>
  <c r="V64" i="4"/>
  <c r="W64" i="4" s="1"/>
  <c r="AH49" i="4"/>
  <c r="AI49" i="4" s="1"/>
  <c r="AT61" i="4"/>
  <c r="AU61" i="4" s="1"/>
  <c r="AH23" i="4"/>
  <c r="AI23" i="4" s="1"/>
  <c r="BR46" i="4"/>
  <c r="BS46" i="4" s="1"/>
  <c r="BF39" i="4"/>
  <c r="BG39" i="4" s="1"/>
  <c r="BF34" i="4"/>
  <c r="BG34" i="4" s="1"/>
  <c r="V56" i="4"/>
  <c r="W56" i="4" s="1"/>
  <c r="V39" i="4"/>
  <c r="W39" i="4" s="1"/>
  <c r="BR37" i="4"/>
  <c r="BS37" i="4" s="1"/>
  <c r="AT21" i="4"/>
  <c r="AU21" i="4" s="1"/>
  <c r="AH25" i="4"/>
  <c r="AI25" i="4" s="1"/>
  <c r="V26" i="4"/>
  <c r="W26" i="4" s="1"/>
  <c r="BF35" i="4"/>
  <c r="BG35" i="4" s="1"/>
  <c r="BF46" i="4"/>
  <c r="BG46" i="4" s="1"/>
  <c r="AH56" i="4"/>
  <c r="AI56" i="4" s="1"/>
  <c r="AH46" i="4"/>
  <c r="AI46" i="4" s="1"/>
  <c r="BR26" i="4"/>
  <c r="BS26" i="4" s="1"/>
  <c r="BF29" i="4"/>
  <c r="BG29" i="4" s="1"/>
  <c r="AH53" i="4"/>
  <c r="AI53" i="4" s="1"/>
  <c r="AT64" i="4"/>
  <c r="AU64" i="4" s="1"/>
  <c r="BF60" i="4"/>
  <c r="BG60" i="4" s="1"/>
  <c r="AH62" i="4"/>
  <c r="AI62" i="4" s="1"/>
  <c r="V53" i="4"/>
  <c r="W53" i="4" s="1"/>
  <c r="BF52" i="4"/>
  <c r="BG52" i="4" s="1"/>
  <c r="AH29" i="4"/>
  <c r="AI29" i="4" s="1"/>
  <c r="BF24" i="4"/>
  <c r="BG24" i="4" s="1"/>
  <c r="BF36" i="4"/>
  <c r="BG36" i="4" s="1"/>
  <c r="BF44" i="4"/>
  <c r="BG44" i="4" s="1"/>
  <c r="AH22" i="4"/>
  <c r="AI22" i="4" s="1"/>
  <c r="BF42" i="4"/>
  <c r="BG42" i="4" s="1"/>
  <c r="V17" i="4"/>
  <c r="W17" i="4" s="1"/>
  <c r="V54" i="4"/>
  <c r="W54" i="4" s="1"/>
  <c r="BR35" i="4"/>
  <c r="BS35" i="4" s="1"/>
  <c r="BF26" i="4"/>
  <c r="BG26" i="4" s="1"/>
  <c r="AH50" i="4"/>
  <c r="AI50" i="4" s="1"/>
  <c r="AT32" i="4"/>
  <c r="AU32" i="4" s="1"/>
  <c r="AH26" i="4"/>
  <c r="AI26" i="4" s="1"/>
  <c r="AH41" i="4"/>
  <c r="AI41" i="4" s="1"/>
  <c r="BF55" i="4"/>
  <c r="BG55" i="4" s="1"/>
  <c r="AT26" i="4"/>
  <c r="AU26" i="4" s="1"/>
  <c r="AT19" i="4"/>
  <c r="AU19" i="4" s="1"/>
  <c r="AT29" i="4"/>
  <c r="AU29" i="4" s="1"/>
  <c r="AT59" i="4"/>
  <c r="AU59" i="4" s="1"/>
  <c r="AT18" i="4"/>
  <c r="AU18" i="4" s="1"/>
  <c r="J52" i="4"/>
  <c r="K52" i="4" s="1"/>
  <c r="BF30" i="4"/>
  <c r="BG30" i="4" s="1"/>
  <c r="BR32" i="4"/>
  <c r="BS32" i="4" s="1"/>
  <c r="BF27" i="4"/>
  <c r="BG27" i="4" s="1"/>
  <c r="V65" i="4"/>
  <c r="W65" i="4" s="1"/>
  <c r="BF54" i="4"/>
  <c r="BG54" i="4" s="1"/>
  <c r="BR60" i="4"/>
  <c r="BS60" i="4" s="1"/>
  <c r="J30" i="4"/>
  <c r="K30" i="4" s="1"/>
  <c r="BF48" i="4"/>
  <c r="BG48" i="4" s="1"/>
  <c r="BF22" i="4"/>
  <c r="BG22" i="4" s="1"/>
  <c r="E8" i="4" l="1"/>
  <c r="L31" i="4" s="1"/>
  <c r="L32" i="4" s="1"/>
  <c r="L33" i="4" s="1"/>
  <c r="L34" i="4" s="1"/>
  <c r="L35" i="4" s="1"/>
  <c r="L36" i="4" s="1"/>
  <c r="L37" i="4" s="1"/>
  <c r="L38" i="4" s="1"/>
  <c r="L39" i="4" s="1"/>
  <c r="L40" i="4" s="1"/>
  <c r="L41" i="4" s="1"/>
  <c r="L42" i="4" s="1"/>
  <c r="L43" i="4" s="1"/>
  <c r="L44" i="4" s="1"/>
  <c r="L45" i="4" s="1"/>
  <c r="L46" i="4" s="1"/>
  <c r="L47" i="4" s="1"/>
  <c r="L48" i="4" s="1"/>
  <c r="L49" i="4" s="1"/>
  <c r="L50" i="4" s="1"/>
  <c r="L51" i="4" s="1"/>
  <c r="L52" i="4" s="1"/>
  <c r="L53" i="4" s="1"/>
  <c r="L54" i="4" s="1"/>
  <c r="L55" i="4" s="1"/>
  <c r="L56" i="4" s="1"/>
  <c r="L57" i="4" s="1"/>
  <c r="L58" i="4" s="1"/>
  <c r="L59" i="4" s="1"/>
  <c r="L60" i="4" s="1"/>
  <c r="L61" i="4" s="1"/>
  <c r="L62" i="4" s="1"/>
  <c r="L63" i="4" s="1"/>
  <c r="L64" i="4" s="1"/>
  <c r="L65" i="4" s="1"/>
  <c r="L66" i="4" s="1"/>
  <c r="Q8" i="4"/>
  <c r="X31" i="4" s="1"/>
  <c r="X32" i="4" s="1"/>
  <c r="X33" i="4" s="1"/>
  <c r="X34" i="4" s="1"/>
  <c r="X35" i="4" s="1"/>
  <c r="X36" i="4" s="1"/>
  <c r="X37" i="4" s="1"/>
  <c r="X38" i="4" s="1"/>
  <c r="X39" i="4" s="1"/>
  <c r="X40" i="4" s="1"/>
  <c r="X41" i="4" s="1"/>
  <c r="X42" i="4" s="1"/>
  <c r="X43" i="4" s="1"/>
  <c r="X44" i="4" s="1"/>
  <c r="X45" i="4" s="1"/>
  <c r="X46" i="4" s="1"/>
  <c r="X47" i="4" s="1"/>
  <c r="X48" i="4" s="1"/>
  <c r="X49" i="4" s="1"/>
  <c r="X50" i="4" s="1"/>
  <c r="X51" i="4" s="1"/>
  <c r="X52" i="4" s="1"/>
  <c r="X53" i="4" s="1"/>
  <c r="X54" i="4" s="1"/>
  <c r="X55" i="4" s="1"/>
  <c r="X56" i="4" s="1"/>
  <c r="X57" i="4" s="1"/>
  <c r="X58" i="4" s="1"/>
  <c r="X59" i="4" s="1"/>
  <c r="X60" i="4" s="1"/>
  <c r="X61" i="4" s="1"/>
  <c r="X62" i="4" s="1"/>
  <c r="X63" i="4" s="1"/>
  <c r="X64" i="4" s="1"/>
  <c r="X65" i="4" s="1"/>
  <c r="X66" i="4" s="1"/>
  <c r="AO5" i="4"/>
  <c r="AV17" i="4" s="1"/>
  <c r="AO8" i="4"/>
  <c r="AV31" i="4" s="1"/>
  <c r="AV32" i="4" s="1"/>
  <c r="AV33" i="4" s="1"/>
  <c r="AV34" i="4" s="1"/>
  <c r="AV35" i="4" s="1"/>
  <c r="AV36" i="4" s="1"/>
  <c r="AV37" i="4" s="1"/>
  <c r="AV38" i="4" s="1"/>
  <c r="AV39" i="4" s="1"/>
  <c r="AV40" i="4" s="1"/>
  <c r="AV41" i="4" s="1"/>
  <c r="AV42" i="4" s="1"/>
  <c r="AV43" i="4" s="1"/>
  <c r="AV44" i="4" s="1"/>
  <c r="AV45" i="4" s="1"/>
  <c r="AV46" i="4" s="1"/>
  <c r="AV47" i="4" s="1"/>
  <c r="AV48" i="4" s="1"/>
  <c r="AV49" i="4" s="1"/>
  <c r="AV50" i="4" s="1"/>
  <c r="AV51" i="4" s="1"/>
  <c r="AV52" i="4" s="1"/>
  <c r="AV53" i="4" s="1"/>
  <c r="AV54" i="4" s="1"/>
  <c r="AV55" i="4" s="1"/>
  <c r="AV56" i="4" s="1"/>
  <c r="AV57" i="4" s="1"/>
  <c r="AV58" i="4" s="1"/>
  <c r="AV59" i="4" s="1"/>
  <c r="AV60" i="4" s="1"/>
  <c r="AV61" i="4" s="1"/>
  <c r="AV62" i="4" s="1"/>
  <c r="AV63" i="4" s="1"/>
  <c r="AV64" i="4" s="1"/>
  <c r="AV65" i="4" s="1"/>
  <c r="AV66" i="4" s="1"/>
  <c r="E7" i="4"/>
  <c r="L21" i="4" s="1"/>
  <c r="L22" i="4" s="1"/>
  <c r="L23" i="4" s="1"/>
  <c r="L24" i="4" s="1"/>
  <c r="L25" i="4" s="1"/>
  <c r="L26" i="4" s="1"/>
  <c r="L27" i="4" s="1"/>
  <c r="L28" i="4" s="1"/>
  <c r="L29" i="4" s="1"/>
  <c r="L30" i="4" s="1"/>
  <c r="Q6" i="4"/>
  <c r="X18" i="4" s="1"/>
  <c r="X19" i="4" s="1"/>
  <c r="X20" i="4" s="1"/>
  <c r="BM7" i="4"/>
  <c r="BT21" i="4" s="1"/>
  <c r="BT22" i="4" s="1"/>
  <c r="BT23" i="4" s="1"/>
  <c r="BT24" i="4" s="1"/>
  <c r="BT25" i="4" s="1"/>
  <c r="BT26" i="4" s="1"/>
  <c r="BT27" i="4" s="1"/>
  <c r="BT28" i="4" s="1"/>
  <c r="BT29" i="4" s="1"/>
  <c r="BT30" i="4" s="1"/>
  <c r="BA7" i="4"/>
  <c r="BH21" i="4" s="1"/>
  <c r="BH22" i="4" s="1"/>
  <c r="BH23" i="4" s="1"/>
  <c r="BH24" i="4" s="1"/>
  <c r="BH25" i="4" s="1"/>
  <c r="BH26" i="4" s="1"/>
  <c r="BH27" i="4" s="1"/>
  <c r="BH28" i="4" s="1"/>
  <c r="BH29" i="4" s="1"/>
  <c r="BH30" i="4" s="1"/>
  <c r="AO6" i="4"/>
  <c r="AV18" i="4" s="1"/>
  <c r="AV19" i="4" s="1"/>
  <c r="AV20" i="4" s="1"/>
  <c r="AC6" i="4"/>
  <c r="AJ18" i="4" s="1"/>
  <c r="AJ19" i="4" s="1"/>
  <c r="AJ20" i="4" s="1"/>
  <c r="BM5" i="4"/>
  <c r="BT17" i="4" s="1"/>
  <c r="AC8" i="4"/>
  <c r="AJ31" i="4" s="1"/>
  <c r="AJ32" i="4" s="1"/>
  <c r="AJ33" i="4" s="1"/>
  <c r="AJ34" i="4" s="1"/>
  <c r="AJ35" i="4" s="1"/>
  <c r="AJ36" i="4" s="1"/>
  <c r="AJ37" i="4" s="1"/>
  <c r="AJ38" i="4" s="1"/>
  <c r="AJ39" i="4" s="1"/>
  <c r="AJ40" i="4" s="1"/>
  <c r="AJ41" i="4" s="1"/>
  <c r="AJ42" i="4" s="1"/>
  <c r="AJ43" i="4" s="1"/>
  <c r="AJ44" i="4" s="1"/>
  <c r="AJ45" i="4" s="1"/>
  <c r="AJ46" i="4" s="1"/>
  <c r="AJ47" i="4" s="1"/>
  <c r="AJ48" i="4" s="1"/>
  <c r="AJ49" i="4" s="1"/>
  <c r="AJ50" i="4" s="1"/>
  <c r="AJ51" i="4" s="1"/>
  <c r="AJ52" i="4" s="1"/>
  <c r="AJ53" i="4" s="1"/>
  <c r="AJ54" i="4" s="1"/>
  <c r="AJ55" i="4" s="1"/>
  <c r="AJ56" i="4" s="1"/>
  <c r="AJ57" i="4" s="1"/>
  <c r="AJ58" i="4" s="1"/>
  <c r="AJ59" i="4" s="1"/>
  <c r="AJ60" i="4" s="1"/>
  <c r="AJ61" i="4" s="1"/>
  <c r="AJ62" i="4" s="1"/>
  <c r="AJ63" i="4" s="1"/>
  <c r="AJ64" i="4" s="1"/>
  <c r="AJ65" i="4" s="1"/>
  <c r="AJ66" i="4" s="1"/>
  <c r="BM4" i="4"/>
  <c r="BT16" i="4" s="1"/>
  <c r="BU17" i="4" s="1"/>
  <c r="BM6" i="4"/>
  <c r="BT18" i="4" s="1"/>
  <c r="BT19" i="4" s="1"/>
  <c r="BT20" i="4" s="1"/>
  <c r="BM8" i="4"/>
  <c r="BT31" i="4" s="1"/>
  <c r="BT32" i="4" s="1"/>
  <c r="BT33" i="4" s="1"/>
  <c r="BT34" i="4" s="1"/>
  <c r="BT35" i="4" s="1"/>
  <c r="BT36" i="4" s="1"/>
  <c r="BT37" i="4" s="1"/>
  <c r="BT38" i="4" s="1"/>
  <c r="BT39" i="4" s="1"/>
  <c r="BT40" i="4" s="1"/>
  <c r="BT41" i="4" s="1"/>
  <c r="BT42" i="4" s="1"/>
  <c r="BT43" i="4" s="1"/>
  <c r="BT44" i="4" s="1"/>
  <c r="BT45" i="4" s="1"/>
  <c r="BT46" i="4" s="1"/>
  <c r="BT47" i="4" s="1"/>
  <c r="BT48" i="4" s="1"/>
  <c r="BT49" i="4" s="1"/>
  <c r="BT50" i="4" s="1"/>
  <c r="BT51" i="4" s="1"/>
  <c r="BT52" i="4" s="1"/>
  <c r="BT53" i="4" s="1"/>
  <c r="BT54" i="4" s="1"/>
  <c r="BT55" i="4" s="1"/>
  <c r="BT56" i="4" s="1"/>
  <c r="BT57" i="4" s="1"/>
  <c r="BT58" i="4" s="1"/>
  <c r="BT59" i="4" s="1"/>
  <c r="BT60" i="4" s="1"/>
  <c r="BT61" i="4" s="1"/>
  <c r="BT62" i="4" s="1"/>
  <c r="BT63" i="4" s="1"/>
  <c r="BT64" i="4" s="1"/>
  <c r="BT65" i="4" s="1"/>
  <c r="BT66" i="4" s="1"/>
  <c r="BA5" i="4"/>
  <c r="BH17" i="4" s="1"/>
  <c r="BA4" i="4"/>
  <c r="BH16" i="4" s="1"/>
  <c r="BI17" i="4" s="1"/>
  <c r="BA8" i="4"/>
  <c r="BH31" i="4" s="1"/>
  <c r="BH32" i="4" s="1"/>
  <c r="BH33" i="4" s="1"/>
  <c r="BH34" i="4" s="1"/>
  <c r="BH35" i="4" s="1"/>
  <c r="BH36" i="4" s="1"/>
  <c r="BH37" i="4" s="1"/>
  <c r="BH38" i="4" s="1"/>
  <c r="BH39" i="4" s="1"/>
  <c r="BH40" i="4" s="1"/>
  <c r="BH41" i="4" s="1"/>
  <c r="BH42" i="4" s="1"/>
  <c r="BH43" i="4" s="1"/>
  <c r="BH44" i="4" s="1"/>
  <c r="BH45" i="4" s="1"/>
  <c r="BH46" i="4" s="1"/>
  <c r="BH47" i="4" s="1"/>
  <c r="BH48" i="4" s="1"/>
  <c r="BH49" i="4" s="1"/>
  <c r="BH50" i="4" s="1"/>
  <c r="BH51" i="4" s="1"/>
  <c r="BH52" i="4" s="1"/>
  <c r="BH53" i="4" s="1"/>
  <c r="BH54" i="4" s="1"/>
  <c r="BH55" i="4" s="1"/>
  <c r="BH56" i="4" s="1"/>
  <c r="BH57" i="4" s="1"/>
  <c r="BH58" i="4" s="1"/>
  <c r="BH59" i="4" s="1"/>
  <c r="BH60" i="4" s="1"/>
  <c r="BH61" i="4" s="1"/>
  <c r="BH62" i="4" s="1"/>
  <c r="BH63" i="4" s="1"/>
  <c r="BH64" i="4" s="1"/>
  <c r="BH65" i="4" s="1"/>
  <c r="BH66" i="4" s="1"/>
  <c r="AO7" i="4"/>
  <c r="AV21" i="4" s="1"/>
  <c r="AV22" i="4" s="1"/>
  <c r="AV23" i="4" s="1"/>
  <c r="AV24" i="4" s="1"/>
  <c r="AV25" i="4" s="1"/>
  <c r="AV26" i="4" s="1"/>
  <c r="AV27" i="4" s="1"/>
  <c r="AV28" i="4" s="1"/>
  <c r="AV29" i="4" s="1"/>
  <c r="AV30" i="4" s="1"/>
  <c r="AO4" i="4"/>
  <c r="AV16" i="4" s="1"/>
  <c r="AW17" i="4" s="1"/>
  <c r="AW18" i="4" s="1"/>
  <c r="AW19" i="4" s="1"/>
  <c r="AW20" i="4" s="1"/>
  <c r="AW21" i="4" s="1"/>
  <c r="AC4" i="4"/>
  <c r="AJ16" i="4" s="1"/>
  <c r="AK17" i="4" s="1"/>
  <c r="AC7" i="4"/>
  <c r="AJ21" i="4" s="1"/>
  <c r="AJ22" i="4" s="1"/>
  <c r="AJ23" i="4" s="1"/>
  <c r="AJ24" i="4" s="1"/>
  <c r="AJ25" i="4" s="1"/>
  <c r="AJ26" i="4" s="1"/>
  <c r="AJ27" i="4" s="1"/>
  <c r="AJ28" i="4" s="1"/>
  <c r="AJ29" i="4" s="1"/>
  <c r="AJ30" i="4" s="1"/>
  <c r="AC5" i="4"/>
  <c r="AJ17" i="4" s="1"/>
  <c r="Q7" i="4"/>
  <c r="X21" i="4" s="1"/>
  <c r="X22" i="4" s="1"/>
  <c r="X23" i="4" s="1"/>
  <c r="X24" i="4" s="1"/>
  <c r="X25" i="4" s="1"/>
  <c r="X26" i="4" s="1"/>
  <c r="X27" i="4" s="1"/>
  <c r="X28" i="4" s="1"/>
  <c r="X29" i="4" s="1"/>
  <c r="X30" i="4" s="1"/>
  <c r="Q5" i="4"/>
  <c r="X17" i="4" s="1"/>
  <c r="Q4" i="4"/>
  <c r="X16" i="4" s="1"/>
  <c r="Y17" i="4" s="1"/>
  <c r="E5" i="4"/>
  <c r="L17" i="4" s="1"/>
  <c r="E4" i="4"/>
  <c r="L16" i="4" s="1"/>
  <c r="M17" i="4" s="1"/>
  <c r="E6" i="4"/>
  <c r="L18" i="4" s="1"/>
  <c r="L19" i="4" s="1"/>
  <c r="L20" i="4" s="1"/>
  <c r="BI18" i="4" l="1"/>
  <c r="BI19" i="4" s="1"/>
  <c r="BI20" i="4" s="1"/>
  <c r="BI21" i="4" s="1"/>
  <c r="BI22" i="4" s="1"/>
  <c r="BI23" i="4" s="1"/>
  <c r="BI24" i="4" s="1"/>
  <c r="BI25" i="4" s="1"/>
  <c r="BI26" i="4" s="1"/>
  <c r="BI27" i="4" s="1"/>
  <c r="BI28" i="4" s="1"/>
  <c r="BI29" i="4" s="1"/>
  <c r="BI30" i="4" s="1"/>
  <c r="BI31" i="4" s="1"/>
  <c r="BI32" i="4" s="1"/>
  <c r="BI33" i="4" s="1"/>
  <c r="BI34" i="4" s="1"/>
  <c r="BI35" i="4" s="1"/>
  <c r="BI36" i="4" s="1"/>
  <c r="BI37" i="4" s="1"/>
  <c r="BI38" i="4" s="1"/>
  <c r="BI39" i="4" s="1"/>
  <c r="BI40" i="4" s="1"/>
  <c r="BI41" i="4" s="1"/>
  <c r="BI42" i="4" s="1"/>
  <c r="BI43" i="4" s="1"/>
  <c r="BI44" i="4" s="1"/>
  <c r="BI45" i="4" s="1"/>
  <c r="BI46" i="4" s="1"/>
  <c r="BI47" i="4" s="1"/>
  <c r="BI48" i="4" s="1"/>
  <c r="BI49" i="4" s="1"/>
  <c r="BI50" i="4" s="1"/>
  <c r="BI51" i="4" s="1"/>
  <c r="BI52" i="4" s="1"/>
  <c r="BI53" i="4" s="1"/>
  <c r="BI54" i="4" s="1"/>
  <c r="BI55" i="4" s="1"/>
  <c r="BI56" i="4" s="1"/>
  <c r="BI57" i="4" s="1"/>
  <c r="BI58" i="4" s="1"/>
  <c r="BI59" i="4" s="1"/>
  <c r="BI60" i="4" s="1"/>
  <c r="BI61" i="4" s="1"/>
  <c r="BI62" i="4" s="1"/>
  <c r="BI63" i="4" s="1"/>
  <c r="BI64" i="4" s="1"/>
  <c r="BI65" i="4" s="1"/>
  <c r="BI66" i="4" s="1"/>
  <c r="AK18" i="4"/>
  <c r="AK19" i="4" s="1"/>
  <c r="AK20" i="4" s="1"/>
  <c r="AK21" i="4" s="1"/>
  <c r="AK22" i="4" s="1"/>
  <c r="AK23" i="4" s="1"/>
  <c r="AK24" i="4" s="1"/>
  <c r="AK25" i="4" s="1"/>
  <c r="AK26" i="4" s="1"/>
  <c r="AK27" i="4" s="1"/>
  <c r="AK28" i="4" s="1"/>
  <c r="AK29" i="4" s="1"/>
  <c r="AK30" i="4" s="1"/>
  <c r="AK31" i="4" s="1"/>
  <c r="AK32" i="4" s="1"/>
  <c r="AK33" i="4" s="1"/>
  <c r="AK34" i="4" s="1"/>
  <c r="AK35" i="4" s="1"/>
  <c r="AK36" i="4" s="1"/>
  <c r="AK37" i="4" s="1"/>
  <c r="AK38" i="4" s="1"/>
  <c r="AK39" i="4" s="1"/>
  <c r="AK40" i="4" s="1"/>
  <c r="AK41" i="4" s="1"/>
  <c r="AK42" i="4" s="1"/>
  <c r="AK43" i="4" s="1"/>
  <c r="AK44" i="4" s="1"/>
  <c r="AK45" i="4" s="1"/>
  <c r="AK46" i="4" s="1"/>
  <c r="AK47" i="4" s="1"/>
  <c r="AK48" i="4" s="1"/>
  <c r="AK49" i="4" s="1"/>
  <c r="AK50" i="4" s="1"/>
  <c r="AK51" i="4" s="1"/>
  <c r="AK52" i="4" s="1"/>
  <c r="AK53" i="4" s="1"/>
  <c r="AK54" i="4" s="1"/>
  <c r="AK55" i="4" s="1"/>
  <c r="AK56" i="4" s="1"/>
  <c r="AK57" i="4" s="1"/>
  <c r="AK58" i="4" s="1"/>
  <c r="AK59" i="4" s="1"/>
  <c r="AK60" i="4" s="1"/>
  <c r="AK61" i="4" s="1"/>
  <c r="AK62" i="4" s="1"/>
  <c r="AK63" i="4" s="1"/>
  <c r="AK64" i="4" s="1"/>
  <c r="AK65" i="4" s="1"/>
  <c r="AK66" i="4" s="1"/>
  <c r="Y18" i="4"/>
  <c r="Y19" i="4" s="1"/>
  <c r="Y20" i="4" s="1"/>
  <c r="Y21" i="4" s="1"/>
  <c r="Y22" i="4" s="1"/>
  <c r="Y23" i="4" s="1"/>
  <c r="Y24" i="4" s="1"/>
  <c r="Y25" i="4" s="1"/>
  <c r="Y26" i="4" s="1"/>
  <c r="Y27" i="4" s="1"/>
  <c r="Y28" i="4" s="1"/>
  <c r="Y29" i="4" s="1"/>
  <c r="Y30" i="4" s="1"/>
  <c r="Y31" i="4" s="1"/>
  <c r="Y32" i="4" s="1"/>
  <c r="Y33" i="4" s="1"/>
  <c r="Y34" i="4" s="1"/>
  <c r="Y35" i="4" s="1"/>
  <c r="Y36" i="4" s="1"/>
  <c r="Y37" i="4" s="1"/>
  <c r="Y38" i="4" s="1"/>
  <c r="Y39" i="4" s="1"/>
  <c r="Y40" i="4" s="1"/>
  <c r="Y41" i="4" s="1"/>
  <c r="Y42" i="4" s="1"/>
  <c r="Y43" i="4" s="1"/>
  <c r="Y44" i="4" s="1"/>
  <c r="Y45" i="4" s="1"/>
  <c r="Y46" i="4" s="1"/>
  <c r="Y47" i="4" s="1"/>
  <c r="Y48" i="4" s="1"/>
  <c r="Y49" i="4" s="1"/>
  <c r="Y50" i="4" s="1"/>
  <c r="Y51" i="4" s="1"/>
  <c r="Y52" i="4" s="1"/>
  <c r="Y53" i="4" s="1"/>
  <c r="Y54" i="4" s="1"/>
  <c r="Y55" i="4" s="1"/>
  <c r="Y56" i="4" s="1"/>
  <c r="Y57" i="4" s="1"/>
  <c r="Y58" i="4" s="1"/>
  <c r="Y59" i="4" s="1"/>
  <c r="Y60" i="4" s="1"/>
  <c r="Y61" i="4" s="1"/>
  <c r="Y62" i="4" s="1"/>
  <c r="Y63" i="4" s="1"/>
  <c r="Y64" i="4" s="1"/>
  <c r="Y65" i="4" s="1"/>
  <c r="Y66" i="4" s="1"/>
  <c r="BU18" i="4"/>
  <c r="BU19" i="4" s="1"/>
  <c r="BU20" i="4" s="1"/>
  <c r="BU21" i="4" s="1"/>
  <c r="BU22" i="4" s="1"/>
  <c r="BU23" i="4" s="1"/>
  <c r="BU24" i="4" s="1"/>
  <c r="BU25" i="4" s="1"/>
  <c r="BU26" i="4" s="1"/>
  <c r="BU27" i="4" s="1"/>
  <c r="BU28" i="4" s="1"/>
  <c r="BU29" i="4" s="1"/>
  <c r="BU30" i="4" s="1"/>
  <c r="BU31" i="4" s="1"/>
  <c r="BU32" i="4" s="1"/>
  <c r="BU33" i="4" s="1"/>
  <c r="BU34" i="4" s="1"/>
  <c r="BU35" i="4" s="1"/>
  <c r="BU36" i="4" s="1"/>
  <c r="BU37" i="4" s="1"/>
  <c r="BU38" i="4" s="1"/>
  <c r="BU39" i="4" s="1"/>
  <c r="BU40" i="4" s="1"/>
  <c r="BU41" i="4" s="1"/>
  <c r="BU42" i="4" s="1"/>
  <c r="BU43" i="4" s="1"/>
  <c r="BU44" i="4" s="1"/>
  <c r="BU45" i="4" s="1"/>
  <c r="BU46" i="4" s="1"/>
  <c r="BU47" i="4" s="1"/>
  <c r="BU48" i="4" s="1"/>
  <c r="BU49" i="4" s="1"/>
  <c r="BU50" i="4" s="1"/>
  <c r="BU51" i="4" s="1"/>
  <c r="BU52" i="4" s="1"/>
  <c r="BU53" i="4" s="1"/>
  <c r="BU54" i="4" s="1"/>
  <c r="BU55" i="4" s="1"/>
  <c r="BU56" i="4" s="1"/>
  <c r="BU57" i="4" s="1"/>
  <c r="BU58" i="4" s="1"/>
  <c r="BU59" i="4" s="1"/>
  <c r="BU60" i="4" s="1"/>
  <c r="BU61" i="4" s="1"/>
  <c r="BU62" i="4" s="1"/>
  <c r="BU63" i="4" s="1"/>
  <c r="BU64" i="4" s="1"/>
  <c r="BU65" i="4" s="1"/>
  <c r="BU66" i="4" s="1"/>
  <c r="M18" i="4"/>
  <c r="M19" i="4" s="1"/>
  <c r="M20" i="4" s="1"/>
  <c r="M21" i="4" s="1"/>
  <c r="M22" i="4" s="1"/>
  <c r="M23" i="4" s="1"/>
  <c r="M24" i="4" s="1"/>
  <c r="M25" i="4" s="1"/>
  <c r="M26" i="4" s="1"/>
  <c r="M27" i="4" s="1"/>
  <c r="M28" i="4" s="1"/>
  <c r="M29" i="4" s="1"/>
  <c r="M30" i="4" s="1"/>
  <c r="M31" i="4" s="1"/>
  <c r="M32" i="4" s="1"/>
  <c r="M33" i="4" s="1"/>
  <c r="M34" i="4" s="1"/>
  <c r="M35" i="4" s="1"/>
  <c r="M36" i="4" s="1"/>
  <c r="M37" i="4" s="1"/>
  <c r="M38" i="4" s="1"/>
  <c r="M39" i="4" s="1"/>
  <c r="M40" i="4" s="1"/>
  <c r="M41" i="4" s="1"/>
  <c r="M42" i="4" s="1"/>
  <c r="M43" i="4" s="1"/>
  <c r="M44" i="4" s="1"/>
  <c r="M45" i="4" s="1"/>
  <c r="M46" i="4" s="1"/>
  <c r="M47" i="4" s="1"/>
  <c r="M48" i="4" s="1"/>
  <c r="M49" i="4" s="1"/>
  <c r="M50" i="4" s="1"/>
  <c r="M51" i="4" s="1"/>
  <c r="M52" i="4" s="1"/>
  <c r="M53" i="4" s="1"/>
  <c r="M54" i="4" s="1"/>
  <c r="M55" i="4" s="1"/>
  <c r="M56" i="4" s="1"/>
  <c r="M57" i="4" s="1"/>
  <c r="M58" i="4" s="1"/>
  <c r="M59" i="4" s="1"/>
  <c r="M60" i="4" s="1"/>
  <c r="M61" i="4" s="1"/>
  <c r="M62" i="4" s="1"/>
  <c r="M63" i="4" s="1"/>
  <c r="M64" i="4" s="1"/>
  <c r="M65" i="4" s="1"/>
  <c r="M66" i="4" s="1"/>
  <c r="AW22" i="4"/>
  <c r="AW23" i="4" s="1"/>
  <c r="AW24" i="4" s="1"/>
  <c r="AW25" i="4" s="1"/>
  <c r="AW26" i="4" s="1"/>
  <c r="AW27" i="4" s="1"/>
  <c r="AW28" i="4" s="1"/>
  <c r="AW29" i="4" s="1"/>
  <c r="AW30" i="4" s="1"/>
  <c r="AW31" i="4" s="1"/>
  <c r="AW32" i="4" s="1"/>
  <c r="AW33" i="4" s="1"/>
  <c r="AW34" i="4" s="1"/>
  <c r="AW35" i="4" s="1"/>
  <c r="AW36" i="4" s="1"/>
  <c r="AW37" i="4" s="1"/>
  <c r="AW38" i="4" s="1"/>
  <c r="AW39" i="4" s="1"/>
  <c r="AW40" i="4" s="1"/>
  <c r="AW41" i="4" s="1"/>
  <c r="AW42" i="4" s="1"/>
  <c r="AW43" i="4" s="1"/>
  <c r="AW44" i="4" s="1"/>
  <c r="AW45" i="4" s="1"/>
  <c r="AW46" i="4" s="1"/>
  <c r="AW47" i="4" s="1"/>
  <c r="AW48" i="4" s="1"/>
  <c r="AW49" i="4" s="1"/>
  <c r="AW50" i="4" s="1"/>
  <c r="AW51" i="4" s="1"/>
  <c r="AW52" i="4" s="1"/>
  <c r="AW53" i="4" s="1"/>
  <c r="AW54" i="4" s="1"/>
  <c r="AW55" i="4" s="1"/>
  <c r="AW56" i="4" s="1"/>
  <c r="AW57" i="4" s="1"/>
  <c r="AW58" i="4" s="1"/>
  <c r="AW59" i="4" s="1"/>
  <c r="AW60" i="4" s="1"/>
  <c r="AW61" i="4" s="1"/>
  <c r="AW62" i="4" s="1"/>
  <c r="AW63" i="4" s="1"/>
  <c r="AW64" i="4" s="1"/>
  <c r="AW65" i="4" s="1"/>
  <c r="AW66" i="4" s="1"/>
</calcChain>
</file>

<file path=xl/sharedStrings.xml><?xml version="1.0" encoding="utf-8"?>
<sst xmlns="http://schemas.openxmlformats.org/spreadsheetml/2006/main" count="622" uniqueCount="106">
  <si>
    <t>Distance</t>
  </si>
  <si>
    <t>0-1</t>
  </si>
  <si>
    <t>1-2</t>
  </si>
  <si>
    <t>2-3</t>
  </si>
  <si>
    <t>3-4</t>
  </si>
  <si>
    <t>4-5</t>
  </si>
  <si>
    <t>5-6</t>
  </si>
  <si>
    <t>6-7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</si>
  <si>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</si>
  <si>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</si>
  <si>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</si>
  <si>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</si>
  <si>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</si>
  <si>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</si>
  <si>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</si>
  <si>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</si>
  <si>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</si>
  <si>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</si>
  <si>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</si>
  <si>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</si>
  <si>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</si>
  <si>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</si>
  <si>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</si>
  <si>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</si>
  <si>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23-24</t>
  </si>
  <si>
    <t>24-25</t>
  </si>
  <si>
    <t>25-26</t>
  </si>
  <si>
    <t>26-27</t>
  </si>
  <si>
    <t>27-28</t>
  </si>
  <si>
    <t>28-29</t>
  </si>
  <si>
    <t>29-30</t>
  </si>
  <si>
    <t>30-31</t>
  </si>
  <si>
    <t>31-32</t>
  </si>
  <si>
    <t>32-33</t>
  </si>
  <si>
    <t>33-34</t>
  </si>
  <si>
    <t>34-35</t>
  </si>
  <si>
    <t>35-36</t>
  </si>
  <si>
    <t>36-37</t>
  </si>
  <si>
    <t>37-38</t>
  </si>
  <si>
    <t>38-39</t>
  </si>
  <si>
    <t>39-40</t>
  </si>
  <si>
    <t>40-41</t>
  </si>
  <si>
    <t>41-42</t>
  </si>
  <si>
    <t>42-43</t>
  </si>
  <si>
    <t>43-44</t>
  </si>
  <si>
    <t>44-45</t>
  </si>
  <si>
    <t>45-46</t>
  </si>
  <si>
    <t>46-47</t>
  </si>
  <si>
    <t>47-48</t>
  </si>
  <si>
    <t>48-49</t>
  </si>
  <si>
    <t>49-50</t>
  </si>
  <si>
    <t>50+</t>
  </si>
  <si>
    <t>Individual and Joint Tour Length Frequency Distribution, by Primary Tour Purpose</t>
  </si>
  <si>
    <t>Total</t>
  </si>
  <si>
    <t>atwork</t>
  </si>
  <si>
    <t>Escort</t>
  </si>
  <si>
    <t>Discretionary</t>
  </si>
  <si>
    <t>Maintenance</t>
  </si>
  <si>
    <t>Eating Out</t>
  </si>
  <si>
    <t>Source:</t>
  </si>
  <si>
    <t>distbin</t>
  </si>
  <si>
    <t>escort</t>
  </si>
  <si>
    <t>shop</t>
  </si>
  <si>
    <t>maintenance</t>
  </si>
  <si>
    <t>eatout</t>
  </si>
  <si>
    <t>visit</t>
  </si>
  <si>
    <t>discretionary</t>
  </si>
  <si>
    <t>trip_type</t>
  </si>
  <si>
    <t>mean_trip_length</t>
  </si>
  <si>
    <t>ThisIter</t>
  </si>
  <si>
    <t>NextIter</t>
  </si>
  <si>
    <t>Dist15PlsMiles</t>
  </si>
  <si>
    <t>Dampening (Escort)</t>
  </si>
  <si>
    <t>Existing</t>
  </si>
  <si>
    <t>Coefficient</t>
  </si>
  <si>
    <t>Total Value</t>
  </si>
  <si>
    <t>Percent of Trips</t>
  </si>
  <si>
    <t>Observed</t>
  </si>
  <si>
    <t>Modeled</t>
  </si>
  <si>
    <t>% Difference</t>
  </si>
  <si>
    <t>Coefficient Change</t>
  </si>
  <si>
    <t>Raw</t>
  </si>
  <si>
    <t>Normalized</t>
  </si>
  <si>
    <t>Ideal</t>
  </si>
  <si>
    <t>Proposed</t>
  </si>
  <si>
    <t>Dampening (Shop)</t>
  </si>
  <si>
    <t>Shopping</t>
  </si>
  <si>
    <t>Dampening (Maintenance)</t>
  </si>
  <si>
    <t>Dist5to15Miles</t>
  </si>
  <si>
    <t>Dist2to5Miles</t>
  </si>
  <si>
    <t>Dist1to2Miles</t>
  </si>
  <si>
    <t>Dist0to1Miles</t>
  </si>
  <si>
    <t>Dampening (Eating Out)</t>
  </si>
  <si>
    <t>Dampening (Social)</t>
  </si>
  <si>
    <t>Dampening (Discretionary)</t>
  </si>
  <si>
    <t>Dampening (At Work)</t>
  </si>
  <si>
    <t>Work Based</t>
  </si>
  <si>
    <t>Social</t>
  </si>
  <si>
    <t>Average Tour Length</t>
  </si>
  <si>
    <t>avg</t>
  </si>
  <si>
    <t>min</t>
  </si>
  <si>
    <t>Source: M:/Development/Travel Model One/Calibration/Version 1.7/2023_BATS_Summaries/pipeline_mt_20260623_NoMon_rmo/ctramp_2023/BATS_Summaries/BATS2023_TLFD.csv</t>
  </si>
  <si>
    <t>Source: M:/Development/Travel Model One/Calibration/Version 1.7/2023_BATS_Summaries/pipeline_mt_20260623_NoMon_rmo/ctramp_2023/BATS_Summaries/BATS2023_avgtriplen.csv</t>
  </si>
  <si>
    <t>Source: M:/Development/Travel Model One/Calibration/Version 1.7/2023_BATS_Summaries/pipeline_mt_20260623_NoMon_rmo/ctramp_2023/BATS_Summaries/BATS2023_TLFD_county_filtered.csv</t>
  </si>
  <si>
    <t>BATS2023 - FILTERED FOR NORTH BAY (SOLANO, NAPA, SONOMA, MARIN)</t>
  </si>
  <si>
    <t>Source: M:/Development/Travel Model One/Calibration/Version 1.7/2023_BATS_Summaries/pipeline_mt_20260623_NoMon_rmo/ctramp_2023/BATS_Summaries/BATS2023_avgtriplen_county_filtered.csv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</si>
</sst>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0.0000;[Red]\-0.0000"/>
    <numFmt numFmtId="165" formatCode="#,##0.000"/>
    <numFmt numFmtId="166" formatCode="_(* #,##0%_);[Red]_(* \-#,##0%_);_(* &quot;-&quot;??_);_(@_)"/>
    <numFmt numFmtId="167" formatCode="_(* #,##0.000_);[Red]_(* \-#,##0.000_);_(* &quot;-&quot;??_);_(@_)"/>
    <numFmt numFmtId="168" formatCode="0.000"/>
    <numFmt numFmtId="169" formatCode="0.0"/>
    <numFmt numFmtId="170" formatCode="0.0%"/>
  </numFmts>
  <fonts count="11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0"/>
      <name val="Arial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 tint="-0.499984740745262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43" fontId="8" fillId="0" borderId="0" applyFont="0" applyFill="0" applyBorder="0" applyAlignment="0" applyProtection="0"/>
  </cellStyleXfs>
  <cellXfs count="107">
    <xf numFmtId="0" fontId="0" fillId="0" borderId="0" xfId="0"/>
    <xf numFmtId="0" fontId="3" fillId="0" borderId="0" xfId="1" applyFont="1"/>
    <xf numFmtId="0" fontId="4" fillId="0" borderId="0" xfId="1" applyFont="1"/>
    <xf numFmtId="0" fontId="3" fillId="0" borderId="0" xfId="1" applyFont="1" applyAlignment="1">
      <alignment horizontal="center"/>
    </xf>
    <xf numFmtId="0" fontId="6" fillId="0" borderId="0" xfId="0" applyFont="1"/>
    <xf numFmtId="0" fontId="3" fillId="0" borderId="0" xfId="2" applyFont="1" applyAlignment="1">
      <alignment horizontal="center" vertical="center" wrapText="1"/>
    </xf>
    <xf numFmtId="0" fontId="5" fillId="0" borderId="0" xfId="0" applyFont="1"/>
    <xf numFmtId="3" fontId="6" fillId="0" borderId="6" xfId="0" applyNumberFormat="1" applyFont="1" applyBorder="1"/>
    <xf numFmtId="3" fontId="6" fillId="0" borderId="7" xfId="0" applyNumberFormat="1" applyFont="1" applyBorder="1"/>
    <xf numFmtId="3" fontId="6" fillId="0" borderId="1" xfId="0" applyNumberFormat="1" applyFont="1" applyBorder="1"/>
    <xf numFmtId="9" fontId="6" fillId="0" borderId="0" xfId="0" applyNumberFormat="1" applyFont="1"/>
    <xf numFmtId="0" fontId="6" fillId="0" borderId="6" xfId="0" applyFont="1" applyBorder="1"/>
    <xf numFmtId="0" fontId="6" fillId="0" borderId="1" xfId="0" applyFont="1" applyBorder="1"/>
    <xf numFmtId="0" fontId="6" fillId="0" borderId="2" xfId="0" applyFont="1" applyBorder="1"/>
    <xf numFmtId="0" fontId="6" fillId="0" borderId="3" xfId="0" applyFont="1" applyBorder="1"/>
    <xf numFmtId="0" fontId="6" fillId="0" borderId="5" xfId="0" applyFont="1" applyBorder="1"/>
    <xf numFmtId="4" fontId="6" fillId="0" borderId="9" xfId="0" applyNumberFormat="1" applyFont="1" applyBorder="1"/>
    <xf numFmtId="4" fontId="6" fillId="0" borderId="10" xfId="0" applyNumberFormat="1" applyFont="1" applyBorder="1"/>
    <xf numFmtId="4" fontId="6" fillId="0" borderId="11" xfId="0" applyNumberFormat="1" applyFont="1" applyBorder="1"/>
    <xf numFmtId="2" fontId="6" fillId="2" borderId="0" xfId="0" applyNumberFormat="1" applyFont="1" applyFill="1"/>
    <xf numFmtId="164" fontId="6" fillId="0" borderId="0" xfId="0" applyNumberFormat="1" applyFont="1"/>
    <xf numFmtId="164" fontId="3" fillId="0" borderId="0" xfId="2" applyNumberFormat="1" applyFont="1" applyAlignment="1">
      <alignment horizontal="right"/>
    </xf>
    <xf numFmtId="164" fontId="3" fillId="3" borderId="0" xfId="2" applyNumberFormat="1" applyFont="1" applyFill="1" applyAlignment="1">
      <alignment horizontal="right"/>
    </xf>
    <xf numFmtId="165" fontId="3" fillId="0" borderId="0" xfId="2" applyNumberFormat="1" applyFont="1"/>
    <xf numFmtId="165" fontId="3" fillId="3" borderId="0" xfId="2" applyNumberFormat="1" applyFont="1" applyFill="1"/>
    <xf numFmtId="0" fontId="7" fillId="0" borderId="0" xfId="1" applyFont="1"/>
    <xf numFmtId="0" fontId="7" fillId="0" borderId="4" xfId="1" applyFont="1" applyBorder="1"/>
    <xf numFmtId="0" fontId="6" fillId="0" borderId="9" xfId="0" applyFont="1" applyBorder="1" applyAlignment="1">
      <alignment horizontal="center"/>
    </xf>
    <xf numFmtId="0" fontId="6" fillId="0" borderId="3" xfId="0" applyFont="1" applyBorder="1" applyAlignment="1">
      <alignment horizontal="center" wrapText="1"/>
    </xf>
    <xf numFmtId="0" fontId="6" fillId="0" borderId="5" xfId="0" applyFont="1" applyBorder="1" applyAlignment="1">
      <alignment horizontal="center" wrapText="1"/>
    </xf>
    <xf numFmtId="0" fontId="6" fillId="0" borderId="11" xfId="0" applyFont="1" applyBorder="1" applyAlignment="1">
      <alignment horizontal="center" wrapText="1"/>
    </xf>
    <xf numFmtId="0" fontId="3" fillId="0" borderId="3" xfId="2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6" fillId="0" borderId="2" xfId="0" applyFont="1" applyBorder="1" applyAlignment="1">
      <alignment horizontal="center" wrapText="1"/>
    </xf>
    <xf numFmtId="10" fontId="3" fillId="0" borderId="6" xfId="2" applyNumberFormat="1" applyFont="1" applyBorder="1"/>
    <xf numFmtId="10" fontId="3" fillId="3" borderId="1" xfId="2" applyNumberFormat="1" applyFont="1" applyFill="1" applyBorder="1"/>
    <xf numFmtId="10" fontId="3" fillId="0" borderId="1" xfId="2" applyNumberFormat="1" applyFont="1" applyBorder="1"/>
    <xf numFmtId="49" fontId="3" fillId="0" borderId="9" xfId="2" applyNumberFormat="1" applyFont="1" applyBorder="1" applyAlignment="1">
      <alignment horizontal="right"/>
    </xf>
    <xf numFmtId="49" fontId="3" fillId="3" borderId="10" xfId="2" applyNumberFormat="1" applyFont="1" applyFill="1" applyBorder="1" applyAlignment="1">
      <alignment horizontal="right"/>
    </xf>
    <xf numFmtId="49" fontId="3" fillId="0" borderId="10" xfId="2" applyNumberFormat="1" applyFont="1" applyBorder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/>
    <xf numFmtId="0" fontId="3" fillId="0" borderId="5" xfId="2" applyFont="1" applyBorder="1" applyAlignment="1">
      <alignment horizontal="center" vertical="center" wrapText="1"/>
    </xf>
    <xf numFmtId="10" fontId="6" fillId="0" borderId="7" xfId="0" applyNumberFormat="1" applyFont="1" applyBorder="1"/>
    <xf numFmtId="10" fontId="6" fillId="3" borderId="0" xfId="0" applyNumberFormat="1" applyFont="1" applyFill="1"/>
    <xf numFmtId="10" fontId="6" fillId="0" borderId="0" xfId="0" applyNumberFormat="1" applyFont="1"/>
    <xf numFmtId="166" fontId="3" fillId="0" borderId="8" xfId="3" applyNumberFormat="1" applyFont="1" applyBorder="1"/>
    <xf numFmtId="166" fontId="6" fillId="3" borderId="2" xfId="0" applyNumberFormat="1" applyFont="1" applyFill="1" applyBorder="1"/>
    <xf numFmtId="166" fontId="6" fillId="0" borderId="2" xfId="0" applyNumberFormat="1" applyFont="1" applyBorder="1"/>
    <xf numFmtId="167" fontId="6" fillId="0" borderId="1" xfId="0" applyNumberFormat="1" applyFont="1" applyBorder="1"/>
    <xf numFmtId="167" fontId="6" fillId="0" borderId="2" xfId="0" applyNumberFormat="1" applyFont="1" applyBorder="1"/>
    <xf numFmtId="167" fontId="6" fillId="0" borderId="10" xfId="0" applyNumberFormat="1" applyFont="1" applyBorder="1"/>
    <xf numFmtId="168" fontId="6" fillId="0" borderId="1" xfId="0" applyNumberFormat="1" applyFont="1" applyBorder="1"/>
    <xf numFmtId="167" fontId="6" fillId="3" borderId="1" xfId="0" applyNumberFormat="1" applyFont="1" applyFill="1" applyBorder="1"/>
    <xf numFmtId="167" fontId="6" fillId="3" borderId="2" xfId="0" applyNumberFormat="1" applyFont="1" applyFill="1" applyBorder="1"/>
    <xf numFmtId="167" fontId="6" fillId="3" borderId="10" xfId="0" applyNumberFormat="1" applyFont="1" applyFill="1" applyBorder="1"/>
    <xf numFmtId="168" fontId="6" fillId="3" borderId="1" xfId="0" applyNumberFormat="1" applyFont="1" applyFill="1" applyBorder="1"/>
    <xf numFmtId="168" fontId="6" fillId="3" borderId="2" xfId="0" applyNumberFormat="1" applyFont="1" applyFill="1" applyBorder="1"/>
    <xf numFmtId="168" fontId="6" fillId="0" borderId="2" xfId="0" applyNumberFormat="1" applyFont="1" applyBorder="1"/>
    <xf numFmtId="0" fontId="7" fillId="4" borderId="0" xfId="1" applyFont="1" applyFill="1"/>
    <xf numFmtId="164" fontId="6" fillId="4" borderId="0" xfId="0" applyNumberFormat="1" applyFont="1" applyFill="1"/>
    <xf numFmtId="0" fontId="0" fillId="4" borderId="0" xfId="0" applyFill="1"/>
    <xf numFmtId="0" fontId="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2" fontId="0" fillId="0" borderId="0" xfId="0" applyNumberFormat="1"/>
    <xf numFmtId="2" fontId="6" fillId="0" borderId="0" xfId="0" applyNumberFormat="1" applyFont="1"/>
    <xf numFmtId="169" fontId="6" fillId="0" borderId="0" xfId="0" applyNumberFormat="1" applyFont="1"/>
    <xf numFmtId="49" fontId="3" fillId="0" borderId="7" xfId="2" applyNumberFormat="1" applyFont="1" applyBorder="1" applyAlignment="1">
      <alignment horizontal="right"/>
    </xf>
    <xf numFmtId="49" fontId="3" fillId="0" borderId="7" xfId="2" applyNumberFormat="1" applyFont="1" applyBorder="1"/>
    <xf numFmtId="49" fontId="3" fillId="0" borderId="11" xfId="2" applyNumberFormat="1" applyFont="1" applyBorder="1" applyAlignment="1">
      <alignment horizontal="right"/>
    </xf>
    <xf numFmtId="164" fontId="3" fillId="0" borderId="4" xfId="2" applyNumberFormat="1" applyFont="1" applyBorder="1" applyAlignment="1">
      <alignment horizontal="right"/>
    </xf>
    <xf numFmtId="165" fontId="3" fillId="0" borderId="4" xfId="2" applyNumberFormat="1" applyFont="1" applyBorder="1"/>
    <xf numFmtId="10" fontId="3" fillId="0" borderId="3" xfId="2" applyNumberFormat="1" applyFont="1" applyBorder="1"/>
    <xf numFmtId="10" fontId="6" fillId="0" borderId="4" xfId="0" applyNumberFormat="1" applyFont="1" applyBorder="1"/>
    <xf numFmtId="166" fontId="6" fillId="0" borderId="5" xfId="0" applyNumberFormat="1" applyFont="1" applyBorder="1"/>
    <xf numFmtId="167" fontId="6" fillId="0" borderId="3" xfId="0" applyNumberFormat="1" applyFont="1" applyBorder="1"/>
    <xf numFmtId="167" fontId="6" fillId="0" borderId="5" xfId="0" applyNumberFormat="1" applyFont="1" applyBorder="1"/>
    <xf numFmtId="167" fontId="6" fillId="0" borderId="11" xfId="0" applyNumberFormat="1" applyFont="1" applyBorder="1"/>
    <xf numFmtId="168" fontId="6" fillId="0" borderId="3" xfId="0" applyNumberFormat="1" applyFont="1" applyBorder="1"/>
    <xf numFmtId="168" fontId="6" fillId="0" borderId="5" xfId="0" applyNumberFormat="1" applyFont="1" applyBorder="1"/>
    <xf numFmtId="0" fontId="6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169" fontId="6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165" fontId="3" fillId="0" borderId="8" xfId="2" applyNumberFormat="1" applyFont="1" applyBorder="1"/>
    <xf numFmtId="3" fontId="6" fillId="0" borderId="0" xfId="0" applyNumberFormat="1" applyFont="1"/>
    <xf numFmtId="0" fontId="6" fillId="0" borderId="8" xfId="0" applyFont="1" applyBorder="1"/>
    <xf numFmtId="2" fontId="6" fillId="0" borderId="4" xfId="0" applyNumberFormat="1" applyFont="1" applyBorder="1"/>
    <xf numFmtId="0" fontId="6" fillId="0" borderId="4" xfId="0" applyFont="1" applyBorder="1"/>
    <xf numFmtId="0" fontId="3" fillId="0" borderId="1" xfId="0" applyFont="1" applyBorder="1"/>
    <xf numFmtId="170" fontId="6" fillId="0" borderId="6" xfId="0" applyNumberFormat="1" applyFont="1" applyBorder="1"/>
    <xf numFmtId="170" fontId="6" fillId="0" borderId="7" xfId="0" applyNumberFormat="1" applyFont="1" applyBorder="1"/>
    <xf numFmtId="170" fontId="6" fillId="0" borderId="8" xfId="0" applyNumberFormat="1" applyFont="1" applyBorder="1"/>
    <xf numFmtId="170" fontId="6" fillId="0" borderId="1" xfId="0" applyNumberFormat="1" applyFont="1" applyBorder="1"/>
    <xf numFmtId="170" fontId="6" fillId="0" borderId="0" xfId="0" applyNumberFormat="1" applyFont="1"/>
    <xf numFmtId="170" fontId="6" fillId="0" borderId="2" xfId="0" applyNumberFormat="1" applyFont="1" applyBorder="1"/>
    <xf numFmtId="170" fontId="6" fillId="0" borderId="3" xfId="0" applyNumberFormat="1" applyFont="1" applyBorder="1"/>
    <xf numFmtId="170" fontId="6" fillId="0" borderId="4" xfId="0" applyNumberFormat="1" applyFont="1" applyBorder="1"/>
    <xf numFmtId="170" fontId="6" fillId="0" borderId="5" xfId="0" applyNumberFormat="1" applyFont="1" applyBorder="1"/>
    <xf numFmtId="0" fontId="6" fillId="0" borderId="6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3" fillId="0" borderId="6" xfId="1" applyFont="1" applyBorder="1" applyAlignment="1">
      <alignment horizontal="center"/>
    </xf>
    <xf numFmtId="0" fontId="3" fillId="0" borderId="8" xfId="1" applyFont="1" applyBorder="1" applyAlignment="1">
      <alignment horizontal="center"/>
    </xf>
    <xf numFmtId="0" fontId="10" fillId="0" borderId="0" xfId="0" applyFont="1"/>
    <xf numFmtId="0" fontId="6" fillId="0" borderId="7" xfId="0" applyFont="1" applyBorder="1"/>
    <xf numFmtId="0" fontId="6" fillId="0" borderId="0" xfId="0" applyFont="1" applyBorder="1"/>
  </cellXfs>
  <cellStyles count="4">
    <cellStyle name="Comma" xfId="3" builtinId="3"/>
    <cellStyle name="Normal" xfId="0" builtinId="0"/>
    <cellStyle name="Normal 2" xfId="2" xr:uid="{473D8C0C-53E8-4C07-B0A3-5F26932D4840}"/>
    <cellStyle name="Normal_BATS2000_IndividualTours_CountySD" xfId="1" xr:uid="{163F048F-6748-43E3-99AC-8ECAAE09C31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</a:t>
            </a:r>
            <a:r>
              <a:rPr lang="en-US" sz="1200" baseline="0"/>
              <a:t> Escort</a:t>
            </a:r>
            <a:r>
              <a:rPr lang="en-US" sz="1200"/>
              <a:t> </a:t>
            </a:r>
            <a:r>
              <a:rPr lang="en-US" sz="1200" baseline="0"/>
              <a:t> 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calibration!$D$14</c:f>
              <c:strCache>
                <c:ptCount val="1"/>
                <c:pt idx="0">
                  <c:v>Existing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calibration!$E$16:$E$66</c:f>
              <c:numCache>
                <c:formatCode>#,##0.000</c:formatCode>
                <c:ptCount val="51"/>
                <c:pt idx="0">
                  <c:v>0</c:v>
                </c:pt>
                <c:pt idx="1">
                  <c:v>-0.14986892900823967</c:v>
                </c:pt>
                <c:pt idx="2">
                  <c:v>-0.29973785801647934</c:v>
                </c:pt>
                <c:pt idx="3">
                  <c:v>-1.1668687870577168</c:v>
                </c:pt>
                <c:pt idx="4">
                  <c:v>-2.0339997160989545</c:v>
                </c:pt>
                <c:pt idx="5">
                  <c:v>-2.9011306451401921</c:v>
                </c:pt>
                <c:pt idx="6">
                  <c:v>-3.1148389057606432</c:v>
                </c:pt>
                <c:pt idx="7">
                  <c:v>-3.3285471663810942</c:v>
                </c:pt>
                <c:pt idx="8">
                  <c:v>-3.5422554270015452</c:v>
                </c:pt>
                <c:pt idx="9">
                  <c:v>-3.7559636876219962</c:v>
                </c:pt>
                <c:pt idx="10">
                  <c:v>-3.9696719482424472</c:v>
                </c:pt>
                <c:pt idx="11">
                  <c:v>-4.1833802088628982</c:v>
                </c:pt>
                <c:pt idx="12">
                  <c:v>-4.3970884694833492</c:v>
                </c:pt>
                <c:pt idx="13">
                  <c:v>-4.6107967301038002</c:v>
                </c:pt>
                <c:pt idx="14">
                  <c:v>-4.8245049907242512</c:v>
                </c:pt>
                <c:pt idx="15">
                  <c:v>-5.0382132513447022</c:v>
                </c:pt>
                <c:pt idx="16">
                  <c:v>-5.2519215119651532</c:v>
                </c:pt>
                <c:pt idx="17">
                  <c:v>-5.4656297725856042</c:v>
                </c:pt>
                <c:pt idx="18">
                  <c:v>-5.6793380332060552</c:v>
                </c:pt>
                <c:pt idx="19">
                  <c:v>-5.8930462938265062</c:v>
                </c:pt>
                <c:pt idx="20">
                  <c:v>-6.1067545544469573</c:v>
                </c:pt>
                <c:pt idx="21">
                  <c:v>-6.3204628150674083</c:v>
                </c:pt>
                <c:pt idx="22">
                  <c:v>-6.5341710756878593</c:v>
                </c:pt>
                <c:pt idx="23">
                  <c:v>-6.7478793363083103</c:v>
                </c:pt>
                <c:pt idx="24">
                  <c:v>-6.9615875969287613</c:v>
                </c:pt>
                <c:pt idx="25">
                  <c:v>-7.1752958575492123</c:v>
                </c:pt>
                <c:pt idx="26">
                  <c:v>-7.3890041181696633</c:v>
                </c:pt>
                <c:pt idx="27">
                  <c:v>-7.6027123787901143</c:v>
                </c:pt>
                <c:pt idx="28">
                  <c:v>-7.8164206394105653</c:v>
                </c:pt>
                <c:pt idx="29">
                  <c:v>-8.0301289000310163</c:v>
                </c:pt>
                <c:pt idx="30">
                  <c:v>-8.2438371606514664</c:v>
                </c:pt>
                <c:pt idx="31">
                  <c:v>-8.4575454212719166</c:v>
                </c:pt>
                <c:pt idx="32">
                  <c:v>-8.6712536818923667</c:v>
                </c:pt>
                <c:pt idx="33">
                  <c:v>-8.8849619425128168</c:v>
                </c:pt>
                <c:pt idx="34">
                  <c:v>-9.0986702031332669</c:v>
                </c:pt>
                <c:pt idx="35">
                  <c:v>-9.312378463753717</c:v>
                </c:pt>
                <c:pt idx="36">
                  <c:v>-9.5260867243741671</c:v>
                </c:pt>
                <c:pt idx="37">
                  <c:v>-9.7397949849946173</c:v>
                </c:pt>
                <c:pt idx="38">
                  <c:v>-9.9535032456150674</c:v>
                </c:pt>
                <c:pt idx="39">
                  <c:v>-10.167211506235518</c:v>
                </c:pt>
                <c:pt idx="40">
                  <c:v>-10.380919766855968</c:v>
                </c:pt>
                <c:pt idx="41">
                  <c:v>-10.594628027476418</c:v>
                </c:pt>
                <c:pt idx="42">
                  <c:v>-10.808336288096868</c:v>
                </c:pt>
                <c:pt idx="43">
                  <c:v>-11.022044548717318</c:v>
                </c:pt>
                <c:pt idx="44">
                  <c:v>-11.235752809337768</c:v>
                </c:pt>
                <c:pt idx="45">
                  <c:v>-11.449461069958218</c:v>
                </c:pt>
                <c:pt idx="46">
                  <c:v>-11.663169330578668</c:v>
                </c:pt>
                <c:pt idx="47">
                  <c:v>-11.876877591199118</c:v>
                </c:pt>
                <c:pt idx="48">
                  <c:v>-12.090585851819569</c:v>
                </c:pt>
                <c:pt idx="49">
                  <c:v>-12.304294112440019</c:v>
                </c:pt>
                <c:pt idx="50">
                  <c:v>-12.518002373060469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B7B-4D2B-94FE-7FA683C08FA3}"/>
            </c:ext>
          </c:extLst>
        </c:ser>
        <c:ser>
          <c:idx val="0"/>
          <c:order val="1"/>
          <c:tx>
            <c:strRef>
              <c:f>calibration!$L$14</c:f>
              <c:strCache>
                <c:ptCount val="1"/>
                <c:pt idx="0">
                  <c:v>Proposed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calibration!$M$16:$M$66</c:f>
              <c:numCache>
                <c:formatCode>0.000</c:formatCode>
                <c:ptCount val="51"/>
                <c:pt idx="0" formatCode="#,##0.000">
                  <c:v>0</c:v>
                </c:pt>
                <c:pt idx="1">
                  <c:v>-0.14986892900823967</c:v>
                </c:pt>
                <c:pt idx="2">
                  <c:v>-0.29973785801647934</c:v>
                </c:pt>
                <c:pt idx="3">
                  <c:v>-1.1668687870577168</c:v>
                </c:pt>
                <c:pt idx="4">
                  <c:v>-2.0339997160989545</c:v>
                </c:pt>
                <c:pt idx="5">
                  <c:v>-2.9011306451401921</c:v>
                </c:pt>
                <c:pt idx="6">
                  <c:v>-3.1148389057606432</c:v>
                </c:pt>
                <c:pt idx="7">
                  <c:v>-3.3285471663810942</c:v>
                </c:pt>
                <c:pt idx="8">
                  <c:v>-3.5422554270015452</c:v>
                </c:pt>
                <c:pt idx="9">
                  <c:v>-3.7559636876219962</c:v>
                </c:pt>
                <c:pt idx="10">
                  <c:v>-3.9696719482424472</c:v>
                </c:pt>
                <c:pt idx="11">
                  <c:v>-4.1833802088628982</c:v>
                </c:pt>
                <c:pt idx="12">
                  <c:v>-4.3970884694833492</c:v>
                </c:pt>
                <c:pt idx="13">
                  <c:v>-4.6107967301038002</c:v>
                </c:pt>
                <c:pt idx="14">
                  <c:v>-4.8245049907242512</c:v>
                </c:pt>
                <c:pt idx="15">
                  <c:v>-5.0382132513447022</c:v>
                </c:pt>
                <c:pt idx="16">
                  <c:v>-5.2519215119651532</c:v>
                </c:pt>
                <c:pt idx="17">
                  <c:v>-5.4656297725856042</c:v>
                </c:pt>
                <c:pt idx="18">
                  <c:v>-5.6793380332060552</c:v>
                </c:pt>
                <c:pt idx="19">
                  <c:v>-5.8930462938265062</c:v>
                </c:pt>
                <c:pt idx="20">
                  <c:v>-6.1067545544469573</c:v>
                </c:pt>
                <c:pt idx="21">
                  <c:v>-6.3204628150674083</c:v>
                </c:pt>
                <c:pt idx="22">
                  <c:v>-6.5341710756878593</c:v>
                </c:pt>
                <c:pt idx="23">
                  <c:v>-6.7478793363083103</c:v>
                </c:pt>
                <c:pt idx="24">
                  <c:v>-6.9615875969287613</c:v>
                </c:pt>
                <c:pt idx="25">
                  <c:v>-7.1752958575492123</c:v>
                </c:pt>
                <c:pt idx="26">
                  <c:v>-7.3890041181696633</c:v>
                </c:pt>
                <c:pt idx="27">
                  <c:v>-7.6027123787901143</c:v>
                </c:pt>
                <c:pt idx="28">
                  <c:v>-7.8164206394105653</c:v>
                </c:pt>
                <c:pt idx="29">
                  <c:v>-8.0301289000310163</c:v>
                </c:pt>
                <c:pt idx="30">
                  <c:v>-8.2438371606514664</c:v>
                </c:pt>
                <c:pt idx="31">
                  <c:v>-8.4575454212719166</c:v>
                </c:pt>
                <c:pt idx="32">
                  <c:v>-8.6712536818923667</c:v>
                </c:pt>
                <c:pt idx="33">
                  <c:v>-8.8849619425128168</c:v>
                </c:pt>
                <c:pt idx="34">
                  <c:v>-9.0986702031332669</c:v>
                </c:pt>
                <c:pt idx="35">
                  <c:v>-9.312378463753717</c:v>
                </c:pt>
                <c:pt idx="36">
                  <c:v>-9.5260867243741671</c:v>
                </c:pt>
                <c:pt idx="37">
                  <c:v>-9.7397949849946173</c:v>
                </c:pt>
                <c:pt idx="38">
                  <c:v>-9.9535032456150674</c:v>
                </c:pt>
                <c:pt idx="39">
                  <c:v>-10.167211506235518</c:v>
                </c:pt>
                <c:pt idx="40">
                  <c:v>-10.380919766855968</c:v>
                </c:pt>
                <c:pt idx="41">
                  <c:v>-10.594628027476418</c:v>
                </c:pt>
                <c:pt idx="42">
                  <c:v>-10.808336288096868</c:v>
                </c:pt>
                <c:pt idx="43">
                  <c:v>-11.022044548717318</c:v>
                </c:pt>
                <c:pt idx="44">
                  <c:v>-11.235752809337768</c:v>
                </c:pt>
                <c:pt idx="45">
                  <c:v>-11.449461069958218</c:v>
                </c:pt>
                <c:pt idx="46">
                  <c:v>-11.663169330578668</c:v>
                </c:pt>
                <c:pt idx="47">
                  <c:v>-11.876877591199118</c:v>
                </c:pt>
                <c:pt idx="48">
                  <c:v>-12.090585851819569</c:v>
                </c:pt>
                <c:pt idx="49">
                  <c:v>-12.304294112440019</c:v>
                </c:pt>
                <c:pt idx="50">
                  <c:v>-12.518002373060469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41-4D7B-A3D9-EAB89F1A0C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550304"/>
        <c:axId val="1964897952"/>
      </c:scatterChart>
      <c:valAx>
        <c:axId val="2011550304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897952"/>
        <c:crosses val="autoZero"/>
        <c:crossBetween val="midCat"/>
      </c:valAx>
      <c:valAx>
        <c:axId val="196489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550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4937759336099585"/>
          <c:y val="0.52653834937299504"/>
          <c:w val="0.17908735474455734"/>
          <c:h val="0.1768184898971293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Escort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886482939632541E-2"/>
          <c:y val="0.16450665259060732"/>
          <c:w val="0.88389129483814521"/>
          <c:h val="0.692293746360687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calibration!$F$15</c:f>
              <c:strCache>
                <c:ptCount val="1"/>
                <c:pt idx="0">
                  <c:v>Observed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calibration!$F$15:$F$66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0.1388914247676615</c:v>
                </c:pt>
                <c:pt idx="2">
                  <c:v>0.18583591478650557</c:v>
                </c:pt>
                <c:pt idx="3">
                  <c:v>0.21665054003929377</c:v>
                </c:pt>
                <c:pt idx="4">
                  <c:v>0.12244866461634471</c:v>
                </c:pt>
                <c:pt idx="5">
                  <c:v>6.2875094573347154E-2</c:v>
                </c:pt>
                <c:pt idx="6">
                  <c:v>7.0263592747708506E-2</c:v>
                </c:pt>
                <c:pt idx="7">
                  <c:v>4.0943657427918188E-2</c:v>
                </c:pt>
                <c:pt idx="8">
                  <c:v>4.039151935373015E-2</c:v>
                </c:pt>
                <c:pt idx="9">
                  <c:v>3.4875345829074367E-2</c:v>
                </c:pt>
                <c:pt idx="10">
                  <c:v>7.2936779089504983E-3</c:v>
                </c:pt>
                <c:pt idx="11">
                  <c:v>9.1698665804351119E-3</c:v>
                </c:pt>
                <c:pt idx="12">
                  <c:v>9.7816840217232158E-3</c:v>
                </c:pt>
                <c:pt idx="13">
                  <c:v>8.9707708467288323E-3</c:v>
                </c:pt>
                <c:pt idx="14">
                  <c:v>1.8016501806581459E-3</c:v>
                </c:pt>
                <c:pt idx="15">
                  <c:v>7.1773652583677437E-3</c:v>
                </c:pt>
                <c:pt idx="16">
                  <c:v>1.8523978722306334E-3</c:v>
                </c:pt>
                <c:pt idx="17">
                  <c:v>1.5553549755066977E-3</c:v>
                </c:pt>
                <c:pt idx="18">
                  <c:v>9.8244843944551527E-4</c:v>
                </c:pt>
                <c:pt idx="19">
                  <c:v>5.8849382829912157E-3</c:v>
                </c:pt>
                <c:pt idx="20">
                  <c:v>4.8982312461425198E-3</c:v>
                </c:pt>
                <c:pt idx="21">
                  <c:v>3.7462932608031806E-3</c:v>
                </c:pt>
                <c:pt idx="22">
                  <c:v>8.062755777020397E-4</c:v>
                </c:pt>
                <c:pt idx="23">
                  <c:v>3.0460125081854561E-4</c:v>
                </c:pt>
                <c:pt idx="24">
                  <c:v>3.5233097373702659E-4</c:v>
                </c:pt>
                <c:pt idx="25">
                  <c:v>3.8958226087211772E-4</c:v>
                </c:pt>
                <c:pt idx="26">
                  <c:v>4.90217878819431E-4</c:v>
                </c:pt>
                <c:pt idx="27">
                  <c:v>1.4026550813090366E-3</c:v>
                </c:pt>
                <c:pt idx="28">
                  <c:v>4.0622939042009344E-3</c:v>
                </c:pt>
                <c:pt idx="29">
                  <c:v>1.6495482103157672E-3</c:v>
                </c:pt>
                <c:pt idx="30">
                  <c:v>2.0021530907314406E-4</c:v>
                </c:pt>
                <c:pt idx="31">
                  <c:v>1.3598645806270086E-3</c:v>
                </c:pt>
                <c:pt idx="32">
                  <c:v>3.0604478263694196E-4</c:v>
                </c:pt>
                <c:pt idx="33">
                  <c:v>4.0255872992997987E-4</c:v>
                </c:pt>
                <c:pt idx="34">
                  <c:v>1E-4</c:v>
                </c:pt>
                <c:pt idx="35">
                  <c:v>2.4375334668479311E-4</c:v>
                </c:pt>
                <c:pt idx="36">
                  <c:v>1.2628185073928332E-3</c:v>
                </c:pt>
                <c:pt idx="37">
                  <c:v>3.4809151321788198E-3</c:v>
                </c:pt>
                <c:pt idx="38">
                  <c:v>3.3952470585355568E-4</c:v>
                </c:pt>
                <c:pt idx="39">
                  <c:v>1E-4</c:v>
                </c:pt>
                <c:pt idx="40">
                  <c:v>8.2523162479693408E-4</c:v>
                </c:pt>
                <c:pt idx="41">
                  <c:v>2.8051142123383216E-4</c:v>
                </c:pt>
                <c:pt idx="42">
                  <c:v>1.8373023496311557E-3</c:v>
                </c:pt>
                <c:pt idx="43">
                  <c:v>1E-4</c:v>
                </c:pt>
                <c:pt idx="44">
                  <c:v>1E-4</c:v>
                </c:pt>
                <c:pt idx="45">
                  <c:v>5.7563213692024605E-4</c:v>
                </c:pt>
                <c:pt idx="46">
                  <c:v>2.4729017298936928E-3</c:v>
                </c:pt>
                <c:pt idx="47">
                  <c:v>1E-4</c:v>
                </c:pt>
                <c:pt idx="48">
                  <c:v>1.8400589489472421E-4</c:v>
                </c:pt>
                <c:pt idx="49">
                  <c:v>2.4782057267670201E-4</c:v>
                </c:pt>
                <c:pt idx="50">
                  <c:v>1E-4</c:v>
                </c:pt>
                <c:pt idx="51">
                  <c:v>1.1014078988980664E-4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C13-4FF5-90CF-6E429E508226}"/>
            </c:ext>
          </c:extLst>
        </c:ser>
        <c:ser>
          <c:idx val="1"/>
          <c:order val="1"/>
          <c:tx>
            <c:strRef>
              <c:f>calibration!$G$15</c:f>
              <c:strCache>
                <c:ptCount val="1"/>
                <c:pt idx="0">
                  <c:v>Modeled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calibration!$G$15:$G$66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6.6666666666666671E-3</c:v>
                </c:pt>
                <c:pt idx="51">
                  <c:v>0.66666666666666663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C13-4FF5-90CF-6E429E508226}"/>
            </c:ext>
          </c:extLst>
        </c:ser>
        <c:ser>
          <c:idx val="2"/>
          <c:order val="2"/>
          <c:tx>
            <c:v>Observed Mean</c:v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(calibration!$F$67,calibration!$F$67)</c:f>
              <c:numCache>
                <c:formatCode>0.00</c:formatCode>
                <c:ptCount val="2"/>
                <c:pt idx="0">
                  <c:v>4.5277015639864233</c:v>
                </c:pt>
                <c:pt idx="1">
                  <c:v>4.5277015639864233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0-2426-4772-9AFA-F3262867884B}"/>
            </c:ext>
          </c:extLst>
        </c:ser>
        <c:ser>
          <c:idx val="3"/>
          <c:order val="3"/>
          <c:tx>
            <c:v>Modeled Mean</c:v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(calibration!$G$67,calibration!$G$67)</c:f>
              <c:numCache>
                <c:formatCode>0.00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1-2426-4772-9AFA-F32628678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8374240"/>
        <c:axId val="1167028672"/>
      </c:scatterChart>
      <c:valAx>
        <c:axId val="1728374240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28672"/>
        <c:crosses val="autoZero"/>
        <c:crossBetween val="midCat"/>
      </c:valAx>
      <c:valAx>
        <c:axId val="1167028672"/>
        <c:scaling>
          <c:orientation val="minMax"/>
          <c:max val="0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8374240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6637489063867028"/>
          <c:y val="0.21066261493909286"/>
          <c:w val="0.26626421697287839"/>
          <c:h val="0.4166707981067311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Shopping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886482939632541E-2"/>
          <c:y val="0.16450665259060732"/>
          <c:w val="0.88389129483814521"/>
          <c:h val="0.692293746360687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calibration!$R$15</c:f>
              <c:strCache>
                <c:ptCount val="1"/>
                <c:pt idx="0">
                  <c:v>Observed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calibration!$R$15:$R$66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0.17010654159153002</c:v>
                </c:pt>
                <c:pt idx="2">
                  <c:v>0.23382262488619271</c:v>
                </c:pt>
                <c:pt idx="3">
                  <c:v>0.15151506017057648</c:v>
                </c:pt>
                <c:pt idx="4">
                  <c:v>0.13502914998471699</c:v>
                </c:pt>
                <c:pt idx="5">
                  <c:v>6.5401568737770047E-2</c:v>
                </c:pt>
                <c:pt idx="6">
                  <c:v>4.9783975006325622E-2</c:v>
                </c:pt>
                <c:pt idx="7">
                  <c:v>4.0291804300979638E-2</c:v>
                </c:pt>
                <c:pt idx="8">
                  <c:v>2.0202787425190678E-2</c:v>
                </c:pt>
                <c:pt idx="9">
                  <c:v>2.0282577109762154E-2</c:v>
                </c:pt>
                <c:pt idx="10">
                  <c:v>1.2133851108778852E-2</c:v>
                </c:pt>
                <c:pt idx="11">
                  <c:v>1.5922381035437132E-2</c:v>
                </c:pt>
                <c:pt idx="12">
                  <c:v>6.2314850686591748E-3</c:v>
                </c:pt>
                <c:pt idx="13">
                  <c:v>1.4717841500098913E-2</c:v>
                </c:pt>
                <c:pt idx="14">
                  <c:v>1.1931966523153406E-2</c:v>
                </c:pt>
                <c:pt idx="15">
                  <c:v>2.9022926573627323E-3</c:v>
                </c:pt>
                <c:pt idx="16">
                  <c:v>1.497716324709325E-3</c:v>
                </c:pt>
                <c:pt idx="17">
                  <c:v>9.8928162552834966E-4</c:v>
                </c:pt>
                <c:pt idx="18">
                  <c:v>4.8033004547979787E-3</c:v>
                </c:pt>
                <c:pt idx="19">
                  <c:v>3.3857454284131139E-3</c:v>
                </c:pt>
                <c:pt idx="20">
                  <c:v>1.887304030192129E-3</c:v>
                </c:pt>
                <c:pt idx="21">
                  <c:v>3.5562503815108454E-3</c:v>
                </c:pt>
                <c:pt idx="22">
                  <c:v>4.3129779111391363E-3</c:v>
                </c:pt>
                <c:pt idx="23">
                  <c:v>2.4676988865665454E-4</c:v>
                </c:pt>
                <c:pt idx="24">
                  <c:v>4.2146140580142543E-4</c:v>
                </c:pt>
                <c:pt idx="25">
                  <c:v>2.9739330878039297E-3</c:v>
                </c:pt>
                <c:pt idx="26">
                  <c:v>2.1952335942103406E-4</c:v>
                </c:pt>
                <c:pt idx="27">
                  <c:v>1E-4</c:v>
                </c:pt>
                <c:pt idx="28">
                  <c:v>7.1757062662197195E-3</c:v>
                </c:pt>
                <c:pt idx="29">
                  <c:v>6.5513518603906324E-3</c:v>
                </c:pt>
                <c:pt idx="30">
                  <c:v>5.5553351531132072E-4</c:v>
                </c:pt>
                <c:pt idx="31">
                  <c:v>1E-4</c:v>
                </c:pt>
                <c:pt idx="32">
                  <c:v>1E-4</c:v>
                </c:pt>
                <c:pt idx="33">
                  <c:v>4.5685576639132718E-4</c:v>
                </c:pt>
                <c:pt idx="34">
                  <c:v>1.7317949548278394E-3</c:v>
                </c:pt>
                <c:pt idx="35">
                  <c:v>1E-4</c:v>
                </c:pt>
                <c:pt idx="36">
                  <c:v>1E-4</c:v>
                </c:pt>
                <c:pt idx="37">
                  <c:v>1E-4</c:v>
                </c:pt>
                <c:pt idx="38">
                  <c:v>3.5836912230860969E-3</c:v>
                </c:pt>
                <c:pt idx="39">
                  <c:v>4.3561035672135467E-4</c:v>
                </c:pt>
                <c:pt idx="40">
                  <c:v>1E-4</c:v>
                </c:pt>
                <c:pt idx="41">
                  <c:v>1.5531176927593795E-3</c:v>
                </c:pt>
                <c:pt idx="42">
                  <c:v>2.0587431876981012E-4</c:v>
                </c:pt>
                <c:pt idx="43">
                  <c:v>1.0572814010240501E-3</c:v>
                </c:pt>
                <c:pt idx="44">
                  <c:v>1E-4</c:v>
                </c:pt>
                <c:pt idx="45">
                  <c:v>1.3512030083427137E-3</c:v>
                </c:pt>
                <c:pt idx="46">
                  <c:v>4.7873503222896238E-4</c:v>
                </c:pt>
                <c:pt idx="47">
                  <c:v>1E-4</c:v>
                </c:pt>
                <c:pt idx="48">
                  <c:v>1E-4</c:v>
                </c:pt>
                <c:pt idx="49">
                  <c:v>1E-4</c:v>
                </c:pt>
                <c:pt idx="50">
                  <c:v>1E-4</c:v>
                </c:pt>
                <c:pt idx="51">
                  <c:v>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CEB-42A6-8D6A-7083B6FC5BDF}"/>
            </c:ext>
          </c:extLst>
        </c:ser>
        <c:ser>
          <c:idx val="1"/>
          <c:order val="1"/>
          <c:tx>
            <c:strRef>
              <c:f>calibration!$S$15</c:f>
              <c:strCache>
                <c:ptCount val="1"/>
                <c:pt idx="0">
                  <c:v>Modeled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calibration!$S$15:$S$66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6.6666666666666671E-3</c:v>
                </c:pt>
                <c:pt idx="51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CEB-42A6-8D6A-7083B6FC5BDF}"/>
            </c:ext>
          </c:extLst>
        </c:ser>
        <c:ser>
          <c:idx val="2"/>
          <c:order val="2"/>
          <c:tx>
            <c:v>Observed Mean</c:v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(calibration!$R$67,calibration!$R$67)</c:f>
              <c:numCache>
                <c:formatCode>0.00</c:formatCode>
                <c:ptCount val="2"/>
                <c:pt idx="0">
                  <c:v>4.5403223944540603</c:v>
                </c:pt>
                <c:pt idx="1">
                  <c:v>4.5403223944540603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3-8CEB-42A6-8D6A-7083B6FC5BDF}"/>
            </c:ext>
          </c:extLst>
        </c:ser>
        <c:ser>
          <c:idx val="3"/>
          <c:order val="3"/>
          <c:tx>
            <c:v>Modeled Mean</c:v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(calibration!$S$67,calibration!$S$67)</c:f>
              <c:numCache>
                <c:formatCode>0.00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4-8CEB-42A6-8D6A-7083B6FC5B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8374240"/>
        <c:axId val="1167028672"/>
      </c:scatterChart>
      <c:valAx>
        <c:axId val="1728374240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28672"/>
        <c:crosses val="autoZero"/>
        <c:crossBetween val="midCat"/>
      </c:valAx>
      <c:valAx>
        <c:axId val="1167028672"/>
        <c:scaling>
          <c:orientation val="minMax"/>
          <c:max val="0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8374240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13748906386703"/>
          <c:y val="0.23535404497145421"/>
          <c:w val="0.26626421697287839"/>
          <c:h val="0.4166707981067311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Maintenance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886482939632541E-2"/>
          <c:y val="0.16450665259060732"/>
          <c:w val="0.88389129483814521"/>
          <c:h val="0.692293746360687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calibration!$AD$15</c:f>
              <c:strCache>
                <c:ptCount val="1"/>
                <c:pt idx="0">
                  <c:v>Observed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calibration!$AD$15:$AD$66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0.11968013023429461</c:v>
                </c:pt>
                <c:pt idx="2">
                  <c:v>0.18547930221035949</c:v>
                </c:pt>
                <c:pt idx="3">
                  <c:v>0.1191555605482543</c:v>
                </c:pt>
                <c:pt idx="4">
                  <c:v>0.11962607220479668</c:v>
                </c:pt>
                <c:pt idx="5">
                  <c:v>6.8534602217479756E-2</c:v>
                </c:pt>
                <c:pt idx="6">
                  <c:v>6.3886069651661756E-2</c:v>
                </c:pt>
                <c:pt idx="7">
                  <c:v>6.3762806907830608E-2</c:v>
                </c:pt>
                <c:pt idx="8">
                  <c:v>6.6784499427918781E-2</c:v>
                </c:pt>
                <c:pt idx="9">
                  <c:v>1.9922819149867533E-2</c:v>
                </c:pt>
                <c:pt idx="10">
                  <c:v>2.8316056749111668E-2</c:v>
                </c:pt>
                <c:pt idx="11">
                  <c:v>1.5943322129248882E-2</c:v>
                </c:pt>
                <c:pt idx="12">
                  <c:v>1.0464626490500215E-2</c:v>
                </c:pt>
                <c:pt idx="13">
                  <c:v>1.43109805009735E-2</c:v>
                </c:pt>
                <c:pt idx="14">
                  <c:v>5.2271484652923984E-3</c:v>
                </c:pt>
                <c:pt idx="15">
                  <c:v>1.4160240414815579E-2</c:v>
                </c:pt>
                <c:pt idx="16">
                  <c:v>1.5200093586078064E-2</c:v>
                </c:pt>
                <c:pt idx="17">
                  <c:v>2.8034166493040246E-3</c:v>
                </c:pt>
                <c:pt idx="18">
                  <c:v>2.7524626079365412E-3</c:v>
                </c:pt>
                <c:pt idx="19">
                  <c:v>1.1253595406718291E-2</c:v>
                </c:pt>
                <c:pt idx="20">
                  <c:v>1.485687482036678E-3</c:v>
                </c:pt>
                <c:pt idx="21">
                  <c:v>6.2018177381309514E-3</c:v>
                </c:pt>
                <c:pt idx="22">
                  <c:v>1.0946931578734376E-2</c:v>
                </c:pt>
                <c:pt idx="23">
                  <c:v>2.4549778883681882E-3</c:v>
                </c:pt>
                <c:pt idx="24">
                  <c:v>1.0426119700617685E-3</c:v>
                </c:pt>
                <c:pt idx="25">
                  <c:v>1.6393253373031783E-3</c:v>
                </c:pt>
                <c:pt idx="26">
                  <c:v>6.9600182050286877E-3</c:v>
                </c:pt>
                <c:pt idx="27">
                  <c:v>6.108826174858935E-3</c:v>
                </c:pt>
                <c:pt idx="28">
                  <c:v>9.6467070846390824E-4</c:v>
                </c:pt>
                <c:pt idx="29">
                  <c:v>3.2749533665678153E-3</c:v>
                </c:pt>
                <c:pt idx="30">
                  <c:v>4.8755046267384992E-4</c:v>
                </c:pt>
                <c:pt idx="31">
                  <c:v>2.9545504015079738E-3</c:v>
                </c:pt>
                <c:pt idx="32">
                  <c:v>2.7258917784568001E-3</c:v>
                </c:pt>
                <c:pt idx="33">
                  <c:v>2.0656112433013426E-4</c:v>
                </c:pt>
                <c:pt idx="34">
                  <c:v>1.0529023175638208E-3</c:v>
                </c:pt>
                <c:pt idx="35">
                  <c:v>1E-4</c:v>
                </c:pt>
                <c:pt idx="36">
                  <c:v>1E-4</c:v>
                </c:pt>
                <c:pt idx="37">
                  <c:v>1E-4</c:v>
                </c:pt>
                <c:pt idx="38">
                  <c:v>1E-4</c:v>
                </c:pt>
                <c:pt idx="39">
                  <c:v>9.2324948387693571E-4</c:v>
                </c:pt>
                <c:pt idx="40">
                  <c:v>1E-4</c:v>
                </c:pt>
                <c:pt idx="41">
                  <c:v>5.0849502331687976E-4</c:v>
                </c:pt>
                <c:pt idx="42">
                  <c:v>1E-4</c:v>
                </c:pt>
                <c:pt idx="43">
                  <c:v>1.5685270483981103E-3</c:v>
                </c:pt>
                <c:pt idx="44">
                  <c:v>1E-4</c:v>
                </c:pt>
                <c:pt idx="45">
                  <c:v>1E-4</c:v>
                </c:pt>
                <c:pt idx="46">
                  <c:v>1E-4</c:v>
                </c:pt>
                <c:pt idx="47">
                  <c:v>1E-4</c:v>
                </c:pt>
                <c:pt idx="48">
                  <c:v>1E-4</c:v>
                </c:pt>
                <c:pt idx="49">
                  <c:v>1.7528058696134809E-4</c:v>
                </c:pt>
                <c:pt idx="50">
                  <c:v>1E-4</c:v>
                </c:pt>
                <c:pt idx="51">
                  <c:v>7.5873335948848741E-4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C8-459B-AA42-F55968B77F99}"/>
            </c:ext>
          </c:extLst>
        </c:ser>
        <c:ser>
          <c:idx val="1"/>
          <c:order val="1"/>
          <c:tx>
            <c:strRef>
              <c:f>calibration!$AE$15</c:f>
              <c:strCache>
                <c:ptCount val="1"/>
                <c:pt idx="0">
                  <c:v>Modeled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calibration!$AE$15:$AE$66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6.6666666666666671E-3</c:v>
                </c:pt>
                <c:pt idx="51">
                  <c:v>3.3333333333333335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C8-459B-AA42-F55968B77F99}"/>
            </c:ext>
          </c:extLst>
        </c:ser>
        <c:ser>
          <c:idx val="2"/>
          <c:order val="2"/>
          <c:tx>
            <c:v>Observed Mean</c:v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(calibration!$AD$67,calibration!$AD$67)</c:f>
              <c:numCache>
                <c:formatCode>0.00</c:formatCode>
                <c:ptCount val="2"/>
                <c:pt idx="0">
                  <c:v>6.0311092544758598</c:v>
                </c:pt>
                <c:pt idx="1">
                  <c:v>6.0311092544758598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2-A6C8-459B-AA42-F55968B77F99}"/>
            </c:ext>
          </c:extLst>
        </c:ser>
        <c:ser>
          <c:idx val="3"/>
          <c:order val="3"/>
          <c:tx>
            <c:v>Modeled Mean</c:v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(calibration!$AE$67,calibration!$AE$67)</c:f>
              <c:numCache>
                <c:formatCode>0.00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3-A6C8-459B-AA42-F55968B77F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8374240"/>
        <c:axId val="1167028672"/>
      </c:scatterChart>
      <c:valAx>
        <c:axId val="1728374240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28672"/>
        <c:crosses val="autoZero"/>
        <c:crossBetween val="midCat"/>
      </c:valAx>
      <c:valAx>
        <c:axId val="1167028672"/>
        <c:scaling>
          <c:orientation val="minMax"/>
          <c:max val="0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8374240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026377952755901"/>
          <c:y val="0.2230083299552735"/>
          <c:w val="0.26626421697287839"/>
          <c:h val="0.4166707981067311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Eating Out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886482939632541E-2"/>
          <c:y val="0.16450665259060732"/>
          <c:w val="0.88389129483814521"/>
          <c:h val="0.692293746360687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calibration!$AP$15</c:f>
              <c:strCache>
                <c:ptCount val="1"/>
                <c:pt idx="0">
                  <c:v>Observed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calibration!$AP$15:$AP$66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0.22767743472439714</c:v>
                </c:pt>
                <c:pt idx="2">
                  <c:v>0.23946977712070494</c:v>
                </c:pt>
                <c:pt idx="3">
                  <c:v>0.15671782833659156</c:v>
                </c:pt>
                <c:pt idx="4">
                  <c:v>7.7684832193718953E-2</c:v>
                </c:pt>
                <c:pt idx="5">
                  <c:v>4.5497245020633646E-2</c:v>
                </c:pt>
                <c:pt idx="6">
                  <c:v>4.2667333099925583E-2</c:v>
                </c:pt>
                <c:pt idx="7">
                  <c:v>4.0080371545020525E-2</c:v>
                </c:pt>
                <c:pt idx="8">
                  <c:v>1.9897218931886562E-2</c:v>
                </c:pt>
                <c:pt idx="9">
                  <c:v>2.875110535976598E-2</c:v>
                </c:pt>
                <c:pt idx="10">
                  <c:v>2.2892546729427917E-2</c:v>
                </c:pt>
                <c:pt idx="11">
                  <c:v>1.0026931434814347E-2</c:v>
                </c:pt>
                <c:pt idx="12">
                  <c:v>1.9438321736543796E-2</c:v>
                </c:pt>
                <c:pt idx="13">
                  <c:v>5.4917087781489963E-3</c:v>
                </c:pt>
                <c:pt idx="14">
                  <c:v>6.010525550243416E-3</c:v>
                </c:pt>
                <c:pt idx="15">
                  <c:v>2.8411400826627389E-3</c:v>
                </c:pt>
                <c:pt idx="16">
                  <c:v>7.4489398270773995E-3</c:v>
                </c:pt>
                <c:pt idx="17">
                  <c:v>1.0847610083711435E-3</c:v>
                </c:pt>
                <c:pt idx="18">
                  <c:v>4.2169752832853305E-3</c:v>
                </c:pt>
                <c:pt idx="19">
                  <c:v>2.3861850728598378E-3</c:v>
                </c:pt>
                <c:pt idx="20">
                  <c:v>2.5740524473761325E-3</c:v>
                </c:pt>
                <c:pt idx="21">
                  <c:v>1.154721178796495E-3</c:v>
                </c:pt>
                <c:pt idx="22">
                  <c:v>6.8627003906185499E-4</c:v>
                </c:pt>
                <c:pt idx="23">
                  <c:v>7.1241792583678399E-4</c:v>
                </c:pt>
                <c:pt idx="24">
                  <c:v>7.3889525643626431E-4</c:v>
                </c:pt>
                <c:pt idx="25">
                  <c:v>4.2072095940899144E-3</c:v>
                </c:pt>
                <c:pt idx="26">
                  <c:v>1E-4</c:v>
                </c:pt>
                <c:pt idx="27">
                  <c:v>4.9866706929651259E-4</c:v>
                </c:pt>
                <c:pt idx="28">
                  <c:v>8.9196738309032554E-3</c:v>
                </c:pt>
                <c:pt idx="29">
                  <c:v>4.1887975087644532E-4</c:v>
                </c:pt>
                <c:pt idx="30">
                  <c:v>1.3834762381657911E-3</c:v>
                </c:pt>
                <c:pt idx="31">
                  <c:v>3.4245643836185828E-3</c:v>
                </c:pt>
                <c:pt idx="32">
                  <c:v>3.7612057371658051E-3</c:v>
                </c:pt>
                <c:pt idx="33">
                  <c:v>1.8902910448600449E-4</c:v>
                </c:pt>
                <c:pt idx="34">
                  <c:v>1E-4</c:v>
                </c:pt>
                <c:pt idx="35">
                  <c:v>3.8570422514537842E-4</c:v>
                </c:pt>
                <c:pt idx="36">
                  <c:v>1E-4</c:v>
                </c:pt>
                <c:pt idx="37">
                  <c:v>1.6511453704527374E-4</c:v>
                </c:pt>
                <c:pt idx="38">
                  <c:v>2.4297028549508229E-4</c:v>
                </c:pt>
                <c:pt idx="39">
                  <c:v>3.2046068261087928E-4</c:v>
                </c:pt>
                <c:pt idx="40">
                  <c:v>7.1319813181493815E-4</c:v>
                </c:pt>
                <c:pt idx="41">
                  <c:v>4.7350039248080121E-3</c:v>
                </c:pt>
                <c:pt idx="42">
                  <c:v>1E-4</c:v>
                </c:pt>
                <c:pt idx="43">
                  <c:v>2.526595438336158E-4</c:v>
                </c:pt>
                <c:pt idx="44">
                  <c:v>1.3939163903826978E-3</c:v>
                </c:pt>
                <c:pt idx="45">
                  <c:v>8.0877231075836601E-4</c:v>
                </c:pt>
                <c:pt idx="46">
                  <c:v>1E-4</c:v>
                </c:pt>
                <c:pt idx="47">
                  <c:v>6.2138071898773029E-4</c:v>
                </c:pt>
                <c:pt idx="48">
                  <c:v>6.6201941086130897E-4</c:v>
                </c:pt>
                <c:pt idx="49">
                  <c:v>1E-4</c:v>
                </c:pt>
                <c:pt idx="50">
                  <c:v>3.0227168077539857E-4</c:v>
                </c:pt>
                <c:pt idx="51">
                  <c:v>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2ED-4812-B355-F1B6B7DCBB24}"/>
            </c:ext>
          </c:extLst>
        </c:ser>
        <c:ser>
          <c:idx val="1"/>
          <c:order val="1"/>
          <c:tx>
            <c:strRef>
              <c:f>calibration!$AQ$15</c:f>
              <c:strCache>
                <c:ptCount val="1"/>
                <c:pt idx="0">
                  <c:v>Modeled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calibration!$AQ$15:$AQ$66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6.6666666666666671E-3</c:v>
                </c:pt>
                <c:pt idx="51">
                  <c:v>2.6666666666666665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2ED-4812-B355-F1B6B7DCBB24}"/>
            </c:ext>
          </c:extLst>
        </c:ser>
        <c:ser>
          <c:idx val="2"/>
          <c:order val="2"/>
          <c:tx>
            <c:v>Observed Mean</c:v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(calibration!$AP$67,calibration!$AP$67)</c:f>
              <c:numCache>
                <c:formatCode>0.00</c:formatCode>
                <c:ptCount val="2"/>
                <c:pt idx="0">
                  <c:v>4.6562404495800243</c:v>
                </c:pt>
                <c:pt idx="1">
                  <c:v>4.6562404495800243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2-62ED-4812-B355-F1B6B7DCBB24}"/>
            </c:ext>
          </c:extLst>
        </c:ser>
        <c:ser>
          <c:idx val="3"/>
          <c:order val="3"/>
          <c:tx>
            <c:v>Modeled Mean</c:v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(calibration!$AQ$67,calibration!$AQ$67)</c:f>
              <c:numCache>
                <c:formatCode>0.00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3-62ED-4812-B355-F1B6B7DCBB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8374240"/>
        <c:axId val="1167028672"/>
      </c:scatterChart>
      <c:valAx>
        <c:axId val="1728374240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28672"/>
        <c:crosses val="autoZero"/>
        <c:crossBetween val="midCat"/>
      </c:valAx>
      <c:valAx>
        <c:axId val="1167028672"/>
        <c:scaling>
          <c:orientation val="minMax"/>
          <c:max val="0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8374240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026377952755901"/>
          <c:y val="0.2230083299552735"/>
          <c:w val="0.26626421697287839"/>
          <c:h val="0.4166707981067311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Social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886482939632541E-2"/>
          <c:y val="0.16450665259060732"/>
          <c:w val="0.88389129483814521"/>
          <c:h val="0.692293746360687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calibration!$BB$15</c:f>
              <c:strCache>
                <c:ptCount val="1"/>
                <c:pt idx="0">
                  <c:v>Observed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calibration!$BB$15:$BB$66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0.31136797174951525</c:v>
                </c:pt>
                <c:pt idx="2">
                  <c:v>0.21858331402573331</c:v>
                </c:pt>
                <c:pt idx="3">
                  <c:v>0.10634977822590569</c:v>
                </c:pt>
                <c:pt idx="4">
                  <c:v>8.2225863697620749E-2</c:v>
                </c:pt>
                <c:pt idx="5">
                  <c:v>5.6741778123987292E-2</c:v>
                </c:pt>
                <c:pt idx="6">
                  <c:v>4.4833568639816357E-2</c:v>
                </c:pt>
                <c:pt idx="7">
                  <c:v>3.0606070601045469E-2</c:v>
                </c:pt>
                <c:pt idx="8">
                  <c:v>2.7677617000619933E-2</c:v>
                </c:pt>
                <c:pt idx="9">
                  <c:v>2.5657871554120533E-2</c:v>
                </c:pt>
                <c:pt idx="10">
                  <c:v>7.0727021787914662E-3</c:v>
                </c:pt>
                <c:pt idx="11">
                  <c:v>1.1640875104327791E-2</c:v>
                </c:pt>
                <c:pt idx="12">
                  <c:v>4.3924178037128099E-3</c:v>
                </c:pt>
                <c:pt idx="13">
                  <c:v>6.4071346107743817E-3</c:v>
                </c:pt>
                <c:pt idx="14">
                  <c:v>6.4642276788685017E-3</c:v>
                </c:pt>
                <c:pt idx="15">
                  <c:v>3.6356922945635314E-3</c:v>
                </c:pt>
                <c:pt idx="16">
                  <c:v>1.1035741922675636E-2</c:v>
                </c:pt>
                <c:pt idx="17">
                  <c:v>2.3412629896889438E-3</c:v>
                </c:pt>
                <c:pt idx="18">
                  <c:v>1.1189256765223449E-2</c:v>
                </c:pt>
                <c:pt idx="19">
                  <c:v>1.6140146904244658E-3</c:v>
                </c:pt>
                <c:pt idx="20">
                  <c:v>1.758489831788404E-3</c:v>
                </c:pt>
                <c:pt idx="21">
                  <c:v>3.2122526931166852E-3</c:v>
                </c:pt>
                <c:pt idx="22">
                  <c:v>6.8408757947195156E-3</c:v>
                </c:pt>
                <c:pt idx="23">
                  <c:v>4.3328719586425838E-4</c:v>
                </c:pt>
                <c:pt idx="24">
                  <c:v>2.8615968143228877E-4</c:v>
                </c:pt>
                <c:pt idx="25">
                  <c:v>4.1136474386631382E-4</c:v>
                </c:pt>
                <c:pt idx="26">
                  <c:v>2.9383035397908333E-3</c:v>
                </c:pt>
                <c:pt idx="27">
                  <c:v>1E-4</c:v>
                </c:pt>
                <c:pt idx="28">
                  <c:v>1.4913519301964469E-3</c:v>
                </c:pt>
                <c:pt idx="29">
                  <c:v>7.5238547806241469E-4</c:v>
                </c:pt>
                <c:pt idx="30">
                  <c:v>2.217807800194965E-3</c:v>
                </c:pt>
                <c:pt idx="31">
                  <c:v>8.7206976631648819E-4</c:v>
                </c:pt>
                <c:pt idx="32">
                  <c:v>3.4558524125174317E-4</c:v>
                </c:pt>
                <c:pt idx="33">
                  <c:v>8.0634319892702346E-4</c:v>
                </c:pt>
                <c:pt idx="34">
                  <c:v>5.3989022249994545E-4</c:v>
                </c:pt>
                <c:pt idx="35">
                  <c:v>3.1899991436981629E-4</c:v>
                </c:pt>
                <c:pt idx="36">
                  <c:v>1.7403416668808149E-4</c:v>
                </c:pt>
                <c:pt idx="37">
                  <c:v>6.7768957578995975E-4</c:v>
                </c:pt>
                <c:pt idx="38">
                  <c:v>1.3636406818165367E-4</c:v>
                </c:pt>
                <c:pt idx="39">
                  <c:v>1E-4</c:v>
                </c:pt>
                <c:pt idx="40">
                  <c:v>3.3218488250538042E-4</c:v>
                </c:pt>
                <c:pt idx="41">
                  <c:v>2.4579857110997505E-4</c:v>
                </c:pt>
                <c:pt idx="42">
                  <c:v>1E-4</c:v>
                </c:pt>
                <c:pt idx="43">
                  <c:v>2.2761530265114164E-4</c:v>
                </c:pt>
                <c:pt idx="44">
                  <c:v>1E-4</c:v>
                </c:pt>
                <c:pt idx="45">
                  <c:v>9.2463430989336989E-4</c:v>
                </c:pt>
                <c:pt idx="46">
                  <c:v>1.4671639716799943E-3</c:v>
                </c:pt>
                <c:pt idx="47">
                  <c:v>1.1160151136939878E-4</c:v>
                </c:pt>
                <c:pt idx="48">
                  <c:v>1E-4</c:v>
                </c:pt>
                <c:pt idx="49">
                  <c:v>8.0424253403049467E-4</c:v>
                </c:pt>
                <c:pt idx="50">
                  <c:v>1E-4</c:v>
                </c:pt>
                <c:pt idx="51">
                  <c:v>1.5280813983332389E-3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5B4-4F11-964F-D430D9BB1594}"/>
            </c:ext>
          </c:extLst>
        </c:ser>
        <c:ser>
          <c:idx val="1"/>
          <c:order val="1"/>
          <c:tx>
            <c:strRef>
              <c:f>calibration!$BC$15</c:f>
              <c:strCache>
                <c:ptCount val="1"/>
                <c:pt idx="0">
                  <c:v>Modeled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calibration!$BC$15:$BC$66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6.6666666666666671E-3</c:v>
                </c:pt>
                <c:pt idx="5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5B4-4F11-964F-D430D9BB1594}"/>
            </c:ext>
          </c:extLst>
        </c:ser>
        <c:ser>
          <c:idx val="2"/>
          <c:order val="2"/>
          <c:tx>
            <c:v>Observed Mean</c:v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(calibration!$BB$67,calibration!$BB$67)</c:f>
              <c:numCache>
                <c:formatCode>0.00</c:formatCode>
                <c:ptCount val="2"/>
                <c:pt idx="0">
                  <c:v>4.5629193518272348</c:v>
                </c:pt>
                <c:pt idx="1">
                  <c:v>4.5629193518272348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2-95B4-4F11-964F-D430D9BB1594}"/>
            </c:ext>
          </c:extLst>
        </c:ser>
        <c:ser>
          <c:idx val="3"/>
          <c:order val="3"/>
          <c:tx>
            <c:v>Modeled Mean</c:v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(calibration!$BC$67,calibration!$BC$67)</c:f>
              <c:numCache>
                <c:formatCode>0.00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3-95B4-4F11-964F-D430D9BB15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8374240"/>
        <c:axId val="1167028672"/>
      </c:scatterChart>
      <c:valAx>
        <c:axId val="1728374240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28672"/>
        <c:crosses val="autoZero"/>
        <c:crossBetween val="midCat"/>
      </c:valAx>
      <c:valAx>
        <c:axId val="1167028672"/>
        <c:scaling>
          <c:orientation val="minMax"/>
          <c:max val="0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8374240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026377952755901"/>
          <c:y val="0.2230083299552735"/>
          <c:w val="0.26626421697287839"/>
          <c:h val="0.4166707981067311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Social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886482939632541E-2"/>
          <c:y val="0.16450665259060732"/>
          <c:w val="0.88389129483814521"/>
          <c:h val="0.692293746360687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calibration!$BN$15</c:f>
              <c:strCache>
                <c:ptCount val="1"/>
                <c:pt idx="0">
                  <c:v>Observed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calibration!$BN$15:$BN$66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0.28931003637265068</c:v>
                </c:pt>
                <c:pt idx="2">
                  <c:v>0.18089139845286131</c:v>
                </c:pt>
                <c:pt idx="3">
                  <c:v>0.14639737922721013</c:v>
                </c:pt>
                <c:pt idx="4">
                  <c:v>5.3184875383126239E-2</c:v>
                </c:pt>
                <c:pt idx="5">
                  <c:v>3.7694170009444548E-2</c:v>
                </c:pt>
                <c:pt idx="6">
                  <c:v>5.184281596870028E-2</c:v>
                </c:pt>
                <c:pt idx="7">
                  <c:v>2.1543592297444125E-2</c:v>
                </c:pt>
                <c:pt idx="8">
                  <c:v>1.1606641266815047E-2</c:v>
                </c:pt>
                <c:pt idx="9">
                  <c:v>2.5153344655011473E-2</c:v>
                </c:pt>
                <c:pt idx="10">
                  <c:v>2.2914766644244359E-2</c:v>
                </c:pt>
                <c:pt idx="11">
                  <c:v>1.6788947889559105E-2</c:v>
                </c:pt>
                <c:pt idx="12">
                  <c:v>6.9654772035027653E-3</c:v>
                </c:pt>
                <c:pt idx="13">
                  <c:v>3.6497675497708742E-3</c:v>
                </c:pt>
                <c:pt idx="14">
                  <c:v>9.1491353556096607E-3</c:v>
                </c:pt>
                <c:pt idx="15">
                  <c:v>9.9083278532793567E-3</c:v>
                </c:pt>
                <c:pt idx="16">
                  <c:v>9.8036832062612812E-3</c:v>
                </c:pt>
                <c:pt idx="17">
                  <c:v>2.3401354068048109E-3</c:v>
                </c:pt>
                <c:pt idx="18">
                  <c:v>5.4527249534218006E-3</c:v>
                </c:pt>
                <c:pt idx="19">
                  <c:v>1.1109719842595314E-2</c:v>
                </c:pt>
                <c:pt idx="20">
                  <c:v>1.011121823093847E-2</c:v>
                </c:pt>
                <c:pt idx="21">
                  <c:v>1.4680786334523596E-2</c:v>
                </c:pt>
                <c:pt idx="22">
                  <c:v>8.0218369994530195E-3</c:v>
                </c:pt>
                <c:pt idx="23">
                  <c:v>1.0627095224096422E-2</c:v>
                </c:pt>
                <c:pt idx="24">
                  <c:v>5.6778746666050484E-3</c:v>
                </c:pt>
                <c:pt idx="25">
                  <c:v>7.1937064760549171E-3</c:v>
                </c:pt>
                <c:pt idx="26">
                  <c:v>2.0942905093009039E-3</c:v>
                </c:pt>
                <c:pt idx="27">
                  <c:v>2.6215492523231081E-3</c:v>
                </c:pt>
                <c:pt idx="28">
                  <c:v>4.0538603482963695E-3</c:v>
                </c:pt>
                <c:pt idx="29">
                  <c:v>2.9850174401341208E-4</c:v>
                </c:pt>
                <c:pt idx="30">
                  <c:v>2.3679475698285958E-4</c:v>
                </c:pt>
                <c:pt idx="31">
                  <c:v>1.5458873043580177E-3</c:v>
                </c:pt>
                <c:pt idx="32">
                  <c:v>6.5525980685911852E-4</c:v>
                </c:pt>
                <c:pt idx="33">
                  <c:v>1.7794620687771304E-3</c:v>
                </c:pt>
                <c:pt idx="34">
                  <c:v>3.6468485906105216E-4</c:v>
                </c:pt>
                <c:pt idx="35">
                  <c:v>2.4103839373286954E-3</c:v>
                </c:pt>
                <c:pt idx="36">
                  <c:v>4.0281214158483123E-3</c:v>
                </c:pt>
                <c:pt idx="37">
                  <c:v>1.8060253739694684E-3</c:v>
                </c:pt>
                <c:pt idx="38">
                  <c:v>3.4344721862988848E-3</c:v>
                </c:pt>
                <c:pt idx="39">
                  <c:v>1E-4</c:v>
                </c:pt>
                <c:pt idx="40">
                  <c:v>5.8065624928026465E-4</c:v>
                </c:pt>
                <c:pt idx="41">
                  <c:v>1E-4</c:v>
                </c:pt>
                <c:pt idx="42">
                  <c:v>1E-4</c:v>
                </c:pt>
                <c:pt idx="43">
                  <c:v>1.6319210762248603E-4</c:v>
                </c:pt>
                <c:pt idx="44">
                  <c:v>1.3945084899845512E-4</c:v>
                </c:pt>
                <c:pt idx="45">
                  <c:v>1E-4</c:v>
                </c:pt>
                <c:pt idx="46">
                  <c:v>3.9239996932435709E-4</c:v>
                </c:pt>
                <c:pt idx="47">
                  <c:v>1E-4</c:v>
                </c:pt>
                <c:pt idx="48">
                  <c:v>3.5748535084636704E-4</c:v>
                </c:pt>
                <c:pt idx="49">
                  <c:v>1.1569310867119512E-4</c:v>
                </c:pt>
                <c:pt idx="50">
                  <c:v>4.1976521906355267E-4</c:v>
                </c:pt>
                <c:pt idx="51">
                  <c:v>2.8985945124968698E-4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895-4B33-BA07-1510F748E5AB}"/>
            </c:ext>
          </c:extLst>
        </c:ser>
        <c:ser>
          <c:idx val="1"/>
          <c:order val="1"/>
          <c:tx>
            <c:strRef>
              <c:f>calibration!$BO$15</c:f>
              <c:strCache>
                <c:ptCount val="1"/>
                <c:pt idx="0">
                  <c:v>Modeled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calibration!$BO$15:$BO$66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6.6666666666666671E-3</c:v>
                </c:pt>
                <c:pt idx="51">
                  <c:v>1.3333333333333333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895-4B33-BA07-1510F748E5AB}"/>
            </c:ext>
          </c:extLst>
        </c:ser>
        <c:ser>
          <c:idx val="2"/>
          <c:order val="2"/>
          <c:tx>
            <c:v>Observed Mean</c:v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(calibration!$BN$67,calibration!$BN$67)</c:f>
              <c:numCache>
                <c:formatCode>0.00</c:formatCode>
                <c:ptCount val="2"/>
                <c:pt idx="0">
                  <c:v>5.4575023801434135</c:v>
                </c:pt>
                <c:pt idx="1">
                  <c:v>5.4575023801434135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2-0895-4B33-BA07-1510F748E5AB}"/>
            </c:ext>
          </c:extLst>
        </c:ser>
        <c:ser>
          <c:idx val="3"/>
          <c:order val="3"/>
          <c:tx>
            <c:v>Modeled Mean</c:v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(calibration!$BO$67,calibration!$BO$67)</c:f>
              <c:numCache>
                <c:formatCode>0.00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3-0895-4B33-BA07-1510F748E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8374240"/>
        <c:axId val="1167028672"/>
      </c:scatterChart>
      <c:valAx>
        <c:axId val="1728374240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28672"/>
        <c:crosses val="autoZero"/>
        <c:crossBetween val="midCat"/>
      </c:valAx>
      <c:valAx>
        <c:axId val="1167028672"/>
        <c:scaling>
          <c:orientation val="minMax"/>
          <c:max val="0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8374240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026377952755901"/>
          <c:y val="0.2230083299552735"/>
          <c:w val="0.26626421697287839"/>
          <c:h val="0.4166707981067311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Work Based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886482939632541E-2"/>
          <c:y val="0.16450665259060732"/>
          <c:w val="0.88389129483814521"/>
          <c:h val="0.692293746360687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calibration!$BZ$15</c:f>
              <c:strCache>
                <c:ptCount val="1"/>
                <c:pt idx="0">
                  <c:v>Observed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calibration!$BZ$15:$BZ$66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0.45134914191083592</c:v>
                </c:pt>
                <c:pt idx="2">
                  <c:v>0.24908652977842055</c:v>
                </c:pt>
                <c:pt idx="3">
                  <c:v>0.12774507001508009</c:v>
                </c:pt>
                <c:pt idx="4">
                  <c:v>6.1454428300899484E-2</c:v>
                </c:pt>
                <c:pt idx="5">
                  <c:v>3.4937672363042641E-2</c:v>
                </c:pt>
                <c:pt idx="6">
                  <c:v>3.0820330473347205E-2</c:v>
                </c:pt>
                <c:pt idx="7">
                  <c:v>1.6561906358932784E-2</c:v>
                </c:pt>
                <c:pt idx="8">
                  <c:v>3.0162762208418891E-3</c:v>
                </c:pt>
                <c:pt idx="9">
                  <c:v>1.4018910194273271E-3</c:v>
                </c:pt>
                <c:pt idx="10">
                  <c:v>1.5695976188554945E-3</c:v>
                </c:pt>
                <c:pt idx="11">
                  <c:v>1.4141010608882519E-4</c:v>
                </c:pt>
                <c:pt idx="12">
                  <c:v>2.2152713582533332E-3</c:v>
                </c:pt>
                <c:pt idx="13">
                  <c:v>1.5862823070640592E-4</c:v>
                </c:pt>
                <c:pt idx="14">
                  <c:v>4.4548219420933896E-4</c:v>
                </c:pt>
                <c:pt idx="15">
                  <c:v>6.8451011150649438E-3</c:v>
                </c:pt>
                <c:pt idx="16">
                  <c:v>1.3728192087453755E-3</c:v>
                </c:pt>
                <c:pt idx="17">
                  <c:v>8.3685413405457793E-4</c:v>
                </c:pt>
                <c:pt idx="18">
                  <c:v>1.0911312086494577E-3</c:v>
                </c:pt>
                <c:pt idx="19">
                  <c:v>8.7258197410476496E-3</c:v>
                </c:pt>
                <c:pt idx="20">
                  <c:v>1E-4</c:v>
                </c:pt>
                <c:pt idx="21">
                  <c:v>1E-4</c:v>
                </c:pt>
                <c:pt idx="22">
                  <c:v>1.515028308706194E-4</c:v>
                </c:pt>
                <c:pt idx="23">
                  <c:v>1E-4</c:v>
                </c:pt>
                <c:pt idx="24">
                  <c:v>1E-4</c:v>
                </c:pt>
                <c:pt idx="25">
                  <c:v>1E-4</c:v>
                </c:pt>
                <c:pt idx="26">
                  <c:v>1E-4</c:v>
                </c:pt>
                <c:pt idx="27">
                  <c:v>1E-4</c:v>
                </c:pt>
                <c:pt idx="28">
                  <c:v>1E-4</c:v>
                </c:pt>
                <c:pt idx="29">
                  <c:v>1E-4</c:v>
                </c:pt>
                <c:pt idx="30">
                  <c:v>1E-4</c:v>
                </c:pt>
                <c:pt idx="31">
                  <c:v>1E-4</c:v>
                </c:pt>
                <c:pt idx="32">
                  <c:v>1E-4</c:v>
                </c:pt>
                <c:pt idx="33">
                  <c:v>1E-4</c:v>
                </c:pt>
                <c:pt idx="34">
                  <c:v>1E-4</c:v>
                </c:pt>
                <c:pt idx="35">
                  <c:v>1E-4</c:v>
                </c:pt>
                <c:pt idx="36">
                  <c:v>1E-4</c:v>
                </c:pt>
                <c:pt idx="37">
                  <c:v>1E-4</c:v>
                </c:pt>
                <c:pt idx="38">
                  <c:v>1E-4</c:v>
                </c:pt>
                <c:pt idx="39">
                  <c:v>1E-4</c:v>
                </c:pt>
                <c:pt idx="40">
                  <c:v>1E-4</c:v>
                </c:pt>
                <c:pt idx="41">
                  <c:v>1E-4</c:v>
                </c:pt>
                <c:pt idx="42">
                  <c:v>1E-4</c:v>
                </c:pt>
                <c:pt idx="43">
                  <c:v>1E-4</c:v>
                </c:pt>
                <c:pt idx="44">
                  <c:v>1E-4</c:v>
                </c:pt>
                <c:pt idx="45">
                  <c:v>1E-4</c:v>
                </c:pt>
                <c:pt idx="46">
                  <c:v>1E-4</c:v>
                </c:pt>
                <c:pt idx="47">
                  <c:v>1E-4</c:v>
                </c:pt>
                <c:pt idx="48">
                  <c:v>1E-4</c:v>
                </c:pt>
                <c:pt idx="49">
                  <c:v>1E-4</c:v>
                </c:pt>
                <c:pt idx="50">
                  <c:v>1E-4</c:v>
                </c:pt>
                <c:pt idx="51">
                  <c:v>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15D-48D4-99FE-99295E65AF80}"/>
            </c:ext>
          </c:extLst>
        </c:ser>
        <c:ser>
          <c:idx val="1"/>
          <c:order val="1"/>
          <c:tx>
            <c:strRef>
              <c:f>calibration!$CA$15</c:f>
              <c:strCache>
                <c:ptCount val="1"/>
                <c:pt idx="0">
                  <c:v>Modeled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calibration!$CA$15:$CA$66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6.6666666666666671E-3</c:v>
                </c:pt>
                <c:pt idx="51">
                  <c:v>0.66666666666666663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15D-48D4-99FE-99295E65AF80}"/>
            </c:ext>
          </c:extLst>
        </c:ser>
        <c:ser>
          <c:idx val="2"/>
          <c:order val="2"/>
          <c:tx>
            <c:v>Observed Mean</c:v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(calibration!$BZ$67,calibration!$BZ$67)</c:f>
              <c:numCache>
                <c:formatCode>0.00</c:formatCode>
                <c:ptCount val="2"/>
                <c:pt idx="0">
                  <c:v>1.9229022598657155</c:v>
                </c:pt>
                <c:pt idx="1">
                  <c:v>1.9229022598657155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2-315D-48D4-99FE-99295E65AF80}"/>
            </c:ext>
          </c:extLst>
        </c:ser>
        <c:ser>
          <c:idx val="3"/>
          <c:order val="3"/>
          <c:tx>
            <c:v>Modeled Mean</c:v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(calibration!$CA$67,calibration!$CA$67)</c:f>
              <c:numCache>
                <c:formatCode>0.00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3-315D-48D4-99FE-99295E65AF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8374240"/>
        <c:axId val="1167028672"/>
      </c:scatterChart>
      <c:valAx>
        <c:axId val="1728374240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28672"/>
        <c:crosses val="autoZero"/>
        <c:crossBetween val="midCat"/>
      </c:valAx>
      <c:valAx>
        <c:axId val="1167028672"/>
        <c:scaling>
          <c:orientation val="minMax"/>
          <c:max val="0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8374240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026377952755901"/>
          <c:y val="0.2230083299552735"/>
          <c:w val="0.26626421697287839"/>
          <c:h val="0.4166707981067311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</a:t>
            </a:r>
            <a:r>
              <a:rPr lang="en-US" sz="1200" baseline="0"/>
              <a:t> Shopping</a:t>
            </a:r>
            <a:r>
              <a:rPr lang="en-US" sz="1200"/>
              <a:t> </a:t>
            </a:r>
            <a:r>
              <a:rPr lang="en-US" sz="1200" baseline="0"/>
              <a:t> 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calibration!$P$14</c:f>
              <c:strCache>
                <c:ptCount val="1"/>
                <c:pt idx="0">
                  <c:v>Existing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calibration!$Q$16:$Q$66</c:f>
              <c:numCache>
                <c:formatCode>#,##0.000</c:formatCode>
                <c:ptCount val="5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-0.56554370538783028</c:v>
                </c:pt>
                <c:pt idx="4">
                  <c:v>-1.1310874107756606</c:v>
                </c:pt>
                <c:pt idx="5">
                  <c:v>-1.6966311161634908</c:v>
                </c:pt>
                <c:pt idx="6">
                  <c:v>-1.8798798290013168</c:v>
                </c:pt>
                <c:pt idx="7">
                  <c:v>-2.0631285418391427</c:v>
                </c:pt>
                <c:pt idx="8">
                  <c:v>-2.2463772546769687</c:v>
                </c:pt>
                <c:pt idx="9">
                  <c:v>-2.4296259675147946</c:v>
                </c:pt>
                <c:pt idx="10">
                  <c:v>-2.6128746803526206</c:v>
                </c:pt>
                <c:pt idx="11">
                  <c:v>-2.7961233931904466</c:v>
                </c:pt>
                <c:pt idx="12">
                  <c:v>-2.9793721060282725</c:v>
                </c:pt>
                <c:pt idx="13">
                  <c:v>-3.1626208188660985</c:v>
                </c:pt>
                <c:pt idx="14">
                  <c:v>-3.3458695317039244</c:v>
                </c:pt>
                <c:pt idx="15">
                  <c:v>-3.5291182445417504</c:v>
                </c:pt>
                <c:pt idx="16">
                  <c:v>-3.7123669573795763</c:v>
                </c:pt>
                <c:pt idx="17">
                  <c:v>-3.8956156702174023</c:v>
                </c:pt>
                <c:pt idx="18">
                  <c:v>-4.0788643830552287</c:v>
                </c:pt>
                <c:pt idx="19">
                  <c:v>-4.2621130958930546</c:v>
                </c:pt>
                <c:pt idx="20">
                  <c:v>-4.4453618087308806</c:v>
                </c:pt>
                <c:pt idx="21">
                  <c:v>-4.6286105215687066</c:v>
                </c:pt>
                <c:pt idx="22">
                  <c:v>-4.8118592344065325</c:v>
                </c:pt>
                <c:pt idx="23">
                  <c:v>-4.9951079472443585</c:v>
                </c:pt>
                <c:pt idx="24">
                  <c:v>-5.1783566600821844</c:v>
                </c:pt>
                <c:pt idx="25">
                  <c:v>-5.3616053729200104</c:v>
                </c:pt>
                <c:pt idx="26">
                  <c:v>-5.5448540857578363</c:v>
                </c:pt>
                <c:pt idx="27">
                  <c:v>-5.7281027985956623</c:v>
                </c:pt>
                <c:pt idx="28">
                  <c:v>-5.9113515114334882</c:v>
                </c:pt>
                <c:pt idx="29">
                  <c:v>-6.0946002242713142</c:v>
                </c:pt>
                <c:pt idx="30">
                  <c:v>-6.2778489371091402</c:v>
                </c:pt>
                <c:pt idx="31">
                  <c:v>-6.4610976499469661</c:v>
                </c:pt>
                <c:pt idx="32">
                  <c:v>-6.6443463627847921</c:v>
                </c:pt>
                <c:pt idx="33">
                  <c:v>-6.827595075622618</c:v>
                </c:pt>
                <c:pt idx="34">
                  <c:v>-7.010843788460444</c:v>
                </c:pt>
                <c:pt idx="35">
                  <c:v>-7.1940925012982699</c:v>
                </c:pt>
                <c:pt idx="36">
                  <c:v>-7.3773412141360959</c:v>
                </c:pt>
                <c:pt idx="37">
                  <c:v>-7.5605899269739218</c:v>
                </c:pt>
                <c:pt idx="38">
                  <c:v>-7.7438386398117478</c:v>
                </c:pt>
                <c:pt idx="39">
                  <c:v>-7.9270873526495738</c:v>
                </c:pt>
                <c:pt idx="40">
                  <c:v>-8.1103360654874006</c:v>
                </c:pt>
                <c:pt idx="41">
                  <c:v>-8.2935847783252274</c:v>
                </c:pt>
                <c:pt idx="42">
                  <c:v>-8.4768334911630543</c:v>
                </c:pt>
                <c:pt idx="43">
                  <c:v>-8.6600822040008811</c:v>
                </c:pt>
                <c:pt idx="44">
                  <c:v>-8.843330916838708</c:v>
                </c:pt>
                <c:pt idx="45">
                  <c:v>-9.0265796296765348</c:v>
                </c:pt>
                <c:pt idx="46">
                  <c:v>-9.2098283425143617</c:v>
                </c:pt>
                <c:pt idx="47">
                  <c:v>-9.3930770553521885</c:v>
                </c:pt>
                <c:pt idx="48">
                  <c:v>-9.5763257681900154</c:v>
                </c:pt>
                <c:pt idx="49">
                  <c:v>-9.7595744810278422</c:v>
                </c:pt>
                <c:pt idx="50">
                  <c:v>-9.942823193865669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85-44E7-9DA2-276150C87CC6}"/>
            </c:ext>
          </c:extLst>
        </c:ser>
        <c:ser>
          <c:idx val="0"/>
          <c:order val="1"/>
          <c:tx>
            <c:strRef>
              <c:f>calibration!$X$14</c:f>
              <c:strCache>
                <c:ptCount val="1"/>
                <c:pt idx="0">
                  <c:v>Proposed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calibration!$Y$16:$Y$66</c:f>
              <c:numCache>
                <c:formatCode>0.000</c:formatCode>
                <c:ptCount val="51"/>
                <c:pt idx="0" formatCode="#,##0.00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-0.56554370538783028</c:v>
                </c:pt>
                <c:pt idx="4">
                  <c:v>-1.1310874107756606</c:v>
                </c:pt>
                <c:pt idx="5">
                  <c:v>-1.6966311161634908</c:v>
                </c:pt>
                <c:pt idx="6">
                  <c:v>-1.8798798290013168</c:v>
                </c:pt>
                <c:pt idx="7">
                  <c:v>-2.0631285418391427</c:v>
                </c:pt>
                <c:pt idx="8">
                  <c:v>-2.2463772546769687</c:v>
                </c:pt>
                <c:pt idx="9">
                  <c:v>-2.4296259675147946</c:v>
                </c:pt>
                <c:pt idx="10">
                  <c:v>-2.6128746803526206</c:v>
                </c:pt>
                <c:pt idx="11">
                  <c:v>-2.7961233931904466</c:v>
                </c:pt>
                <c:pt idx="12">
                  <c:v>-2.9793721060282725</c:v>
                </c:pt>
                <c:pt idx="13">
                  <c:v>-3.1626208188660985</c:v>
                </c:pt>
                <c:pt idx="14">
                  <c:v>-3.3458695317039244</c:v>
                </c:pt>
                <c:pt idx="15">
                  <c:v>-3.5291182445417504</c:v>
                </c:pt>
                <c:pt idx="16">
                  <c:v>-3.7123669573795763</c:v>
                </c:pt>
                <c:pt idx="17">
                  <c:v>-3.8956156702174023</c:v>
                </c:pt>
                <c:pt idx="18">
                  <c:v>-4.0788643830552287</c:v>
                </c:pt>
                <c:pt idx="19">
                  <c:v>-4.2621130958930546</c:v>
                </c:pt>
                <c:pt idx="20">
                  <c:v>-4.4453618087308806</c:v>
                </c:pt>
                <c:pt idx="21">
                  <c:v>-4.6286105215687066</c:v>
                </c:pt>
                <c:pt idx="22">
                  <c:v>-4.8118592344065325</c:v>
                </c:pt>
                <c:pt idx="23">
                  <c:v>-4.9951079472443585</c:v>
                </c:pt>
                <c:pt idx="24">
                  <c:v>-5.1783566600821844</c:v>
                </c:pt>
                <c:pt idx="25">
                  <c:v>-5.3616053729200104</c:v>
                </c:pt>
                <c:pt idx="26">
                  <c:v>-5.5448540857578363</c:v>
                </c:pt>
                <c:pt idx="27">
                  <c:v>-5.7281027985956623</c:v>
                </c:pt>
                <c:pt idx="28">
                  <c:v>-5.9113515114334882</c:v>
                </c:pt>
                <c:pt idx="29">
                  <c:v>-6.0946002242713142</c:v>
                </c:pt>
                <c:pt idx="30">
                  <c:v>-6.2778489371091402</c:v>
                </c:pt>
                <c:pt idx="31">
                  <c:v>-6.4610976499469661</c:v>
                </c:pt>
                <c:pt idx="32">
                  <c:v>-6.6443463627847921</c:v>
                </c:pt>
                <c:pt idx="33">
                  <c:v>-6.827595075622618</c:v>
                </c:pt>
                <c:pt idx="34">
                  <c:v>-7.010843788460444</c:v>
                </c:pt>
                <c:pt idx="35">
                  <c:v>-7.1940925012982699</c:v>
                </c:pt>
                <c:pt idx="36">
                  <c:v>-7.3773412141360959</c:v>
                </c:pt>
                <c:pt idx="37">
                  <c:v>-7.5605899269739218</c:v>
                </c:pt>
                <c:pt idx="38">
                  <c:v>-7.7438386398117478</c:v>
                </c:pt>
                <c:pt idx="39">
                  <c:v>-7.9270873526495738</c:v>
                </c:pt>
                <c:pt idx="40">
                  <c:v>-8.1103360654874006</c:v>
                </c:pt>
                <c:pt idx="41">
                  <c:v>-8.2935847783252274</c:v>
                </c:pt>
                <c:pt idx="42">
                  <c:v>-8.4768334911630543</c:v>
                </c:pt>
                <c:pt idx="43">
                  <c:v>-8.6600822040008811</c:v>
                </c:pt>
                <c:pt idx="44">
                  <c:v>-8.843330916838708</c:v>
                </c:pt>
                <c:pt idx="45">
                  <c:v>-9.0265796296765348</c:v>
                </c:pt>
                <c:pt idx="46">
                  <c:v>-9.2098283425143617</c:v>
                </c:pt>
                <c:pt idx="47">
                  <c:v>-9.3930770553521885</c:v>
                </c:pt>
                <c:pt idx="48">
                  <c:v>-9.5763257681900154</c:v>
                </c:pt>
                <c:pt idx="49">
                  <c:v>-9.7595744810278422</c:v>
                </c:pt>
                <c:pt idx="50">
                  <c:v>-9.942823193865669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85-44E7-9DA2-276150C87C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550304"/>
        <c:axId val="1964897952"/>
      </c:scatterChart>
      <c:valAx>
        <c:axId val="2011550304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897952"/>
        <c:crosses val="autoZero"/>
        <c:crossBetween val="midCat"/>
      </c:valAx>
      <c:valAx>
        <c:axId val="196489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550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4937759336099585"/>
          <c:y val="0.52653834937299504"/>
          <c:w val="0.17908735474455734"/>
          <c:h val="0.1768184898971293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</a:t>
            </a:r>
            <a:r>
              <a:rPr lang="en-US" sz="1200" baseline="0"/>
              <a:t> Maintenance</a:t>
            </a:r>
            <a:r>
              <a:rPr lang="en-US" sz="1200"/>
              <a:t> </a:t>
            </a:r>
            <a:r>
              <a:rPr lang="en-US" sz="1200" baseline="0"/>
              <a:t> 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calibration!$AB$14</c:f>
              <c:strCache>
                <c:ptCount val="1"/>
                <c:pt idx="0">
                  <c:v>Existing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calibration!$AC$16:$AC$66</c:f>
              <c:numCache>
                <c:formatCode>#,##0.000</c:formatCode>
                <c:ptCount val="5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-0.60549817274913609</c:v>
                </c:pt>
                <c:pt idx="4">
                  <c:v>-1.2109963454982722</c:v>
                </c:pt>
                <c:pt idx="5">
                  <c:v>-1.8164945182474082</c:v>
                </c:pt>
                <c:pt idx="6">
                  <c:v>-1.9257709066744952</c:v>
                </c:pt>
                <c:pt idx="7">
                  <c:v>-2.0350472951015823</c:v>
                </c:pt>
                <c:pt idx="8">
                  <c:v>-2.1443236835286692</c:v>
                </c:pt>
                <c:pt idx="9">
                  <c:v>-2.2536000719557561</c:v>
                </c:pt>
                <c:pt idx="10">
                  <c:v>-2.3628764603828429</c:v>
                </c:pt>
                <c:pt idx="11">
                  <c:v>-2.4721528488099298</c:v>
                </c:pt>
                <c:pt idx="12">
                  <c:v>-2.5814292372370167</c:v>
                </c:pt>
                <c:pt idx="13">
                  <c:v>-2.6907056256641035</c:v>
                </c:pt>
                <c:pt idx="14">
                  <c:v>-2.7999820140911904</c:v>
                </c:pt>
                <c:pt idx="15">
                  <c:v>-2.9092584025182773</c:v>
                </c:pt>
                <c:pt idx="16">
                  <c:v>-3.0185347909453641</c:v>
                </c:pt>
                <c:pt idx="17">
                  <c:v>-3.127811179372451</c:v>
                </c:pt>
                <c:pt idx="18">
                  <c:v>-3.2370875677995379</c:v>
                </c:pt>
                <c:pt idx="19">
                  <c:v>-3.3463639562266247</c:v>
                </c:pt>
                <c:pt idx="20">
                  <c:v>-3.4556403446537116</c:v>
                </c:pt>
                <c:pt idx="21">
                  <c:v>-3.5649167330807985</c:v>
                </c:pt>
                <c:pt idx="22">
                  <c:v>-3.6741931215078854</c:v>
                </c:pt>
                <c:pt idx="23">
                  <c:v>-3.7834695099349722</c:v>
                </c:pt>
                <c:pt idx="24">
                  <c:v>-3.8927458983620591</c:v>
                </c:pt>
                <c:pt idx="25">
                  <c:v>-4.0020222867891464</c:v>
                </c:pt>
                <c:pt idx="26">
                  <c:v>-4.1112986752162337</c:v>
                </c:pt>
                <c:pt idx="27">
                  <c:v>-4.220575063643321</c:v>
                </c:pt>
                <c:pt idx="28">
                  <c:v>-4.3298514520704083</c:v>
                </c:pt>
                <c:pt idx="29">
                  <c:v>-4.4391278404974956</c:v>
                </c:pt>
                <c:pt idx="30">
                  <c:v>-4.548404228924583</c:v>
                </c:pt>
                <c:pt idx="31">
                  <c:v>-4.6576806173516703</c:v>
                </c:pt>
                <c:pt idx="32">
                  <c:v>-4.7669570057787576</c:v>
                </c:pt>
                <c:pt idx="33">
                  <c:v>-4.8762333942058449</c:v>
                </c:pt>
                <c:pt idx="34">
                  <c:v>-4.9855097826329322</c:v>
                </c:pt>
                <c:pt idx="35">
                  <c:v>-5.0947861710600195</c:v>
                </c:pt>
                <c:pt idx="36">
                  <c:v>-5.2040625594871068</c:v>
                </c:pt>
                <c:pt idx="37">
                  <c:v>-5.3133389479141941</c:v>
                </c:pt>
                <c:pt idx="38">
                  <c:v>-5.4226153363412815</c:v>
                </c:pt>
                <c:pt idx="39">
                  <c:v>-5.5318917247683688</c:v>
                </c:pt>
                <c:pt idx="40">
                  <c:v>-5.6411681131954561</c:v>
                </c:pt>
                <c:pt idx="41">
                  <c:v>-5.7504445016225434</c:v>
                </c:pt>
                <c:pt idx="42">
                  <c:v>-5.8597208900496307</c:v>
                </c:pt>
                <c:pt idx="43">
                  <c:v>-5.968997278476718</c:v>
                </c:pt>
                <c:pt idx="44">
                  <c:v>-6.0782736669038053</c:v>
                </c:pt>
                <c:pt idx="45">
                  <c:v>-6.1875500553308926</c:v>
                </c:pt>
                <c:pt idx="46">
                  <c:v>-6.29682644375798</c:v>
                </c:pt>
                <c:pt idx="47">
                  <c:v>-6.4061028321850673</c:v>
                </c:pt>
                <c:pt idx="48">
                  <c:v>-6.5153792206121546</c:v>
                </c:pt>
                <c:pt idx="49">
                  <c:v>-6.6246556090392419</c:v>
                </c:pt>
                <c:pt idx="50">
                  <c:v>-6.7339319974663292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DF-4F48-8992-2B4F23695D30}"/>
            </c:ext>
          </c:extLst>
        </c:ser>
        <c:ser>
          <c:idx val="0"/>
          <c:order val="1"/>
          <c:tx>
            <c:strRef>
              <c:f>calibration!$AJ$14</c:f>
              <c:strCache>
                <c:ptCount val="1"/>
                <c:pt idx="0">
                  <c:v>Proposed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calibration!$AK$16:$AK$66</c:f>
              <c:numCache>
                <c:formatCode>0.000</c:formatCode>
                <c:ptCount val="51"/>
                <c:pt idx="0" formatCode="#,##0.00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-0.60549817274913609</c:v>
                </c:pt>
                <c:pt idx="4">
                  <c:v>-1.2109963454982722</c:v>
                </c:pt>
                <c:pt idx="5">
                  <c:v>-1.8164945182474082</c:v>
                </c:pt>
                <c:pt idx="6">
                  <c:v>-1.925770906674495</c:v>
                </c:pt>
                <c:pt idx="7">
                  <c:v>-2.0350472951015819</c:v>
                </c:pt>
                <c:pt idx="8">
                  <c:v>-2.1443236835286688</c:v>
                </c:pt>
                <c:pt idx="9">
                  <c:v>-2.2536000719557556</c:v>
                </c:pt>
                <c:pt idx="10">
                  <c:v>-2.3628764603828425</c:v>
                </c:pt>
                <c:pt idx="11">
                  <c:v>-2.4721528488099294</c:v>
                </c:pt>
                <c:pt idx="12">
                  <c:v>-2.5814292372370162</c:v>
                </c:pt>
                <c:pt idx="13">
                  <c:v>-2.6907056256641031</c:v>
                </c:pt>
                <c:pt idx="14">
                  <c:v>-2.79998201409119</c:v>
                </c:pt>
                <c:pt idx="15">
                  <c:v>-2.9092584025182768</c:v>
                </c:pt>
                <c:pt idx="16">
                  <c:v>-3.0185347909453637</c:v>
                </c:pt>
                <c:pt idx="17">
                  <c:v>-3.1278111793724506</c:v>
                </c:pt>
                <c:pt idx="18">
                  <c:v>-3.2370875677995374</c:v>
                </c:pt>
                <c:pt idx="19">
                  <c:v>-3.3463639562266243</c:v>
                </c:pt>
                <c:pt idx="20">
                  <c:v>-3.4556403446537112</c:v>
                </c:pt>
                <c:pt idx="21">
                  <c:v>-3.564916733080798</c:v>
                </c:pt>
                <c:pt idx="22">
                  <c:v>-3.6741931215078849</c:v>
                </c:pt>
                <c:pt idx="23">
                  <c:v>-3.7834695099349718</c:v>
                </c:pt>
                <c:pt idx="24">
                  <c:v>-3.8927458983620586</c:v>
                </c:pt>
                <c:pt idx="25">
                  <c:v>-4.0020222867891455</c:v>
                </c:pt>
                <c:pt idx="26">
                  <c:v>-4.1112986752162328</c:v>
                </c:pt>
                <c:pt idx="27">
                  <c:v>-4.2205750636433201</c:v>
                </c:pt>
                <c:pt idx="28">
                  <c:v>-4.3298514520704074</c:v>
                </c:pt>
                <c:pt idx="29">
                  <c:v>-4.4391278404974948</c:v>
                </c:pt>
                <c:pt idx="30">
                  <c:v>-4.5484042289245821</c:v>
                </c:pt>
                <c:pt idx="31">
                  <c:v>-4.6576806173516694</c:v>
                </c:pt>
                <c:pt idx="32">
                  <c:v>-4.7669570057787567</c:v>
                </c:pt>
                <c:pt idx="33">
                  <c:v>-4.876233394205844</c:v>
                </c:pt>
                <c:pt idx="34">
                  <c:v>-4.9855097826329313</c:v>
                </c:pt>
                <c:pt idx="35">
                  <c:v>-5.0947861710600186</c:v>
                </c:pt>
                <c:pt idx="36">
                  <c:v>-5.2040625594871059</c:v>
                </c:pt>
                <c:pt idx="37">
                  <c:v>-5.3133389479141933</c:v>
                </c:pt>
                <c:pt idx="38">
                  <c:v>-5.4226153363412806</c:v>
                </c:pt>
                <c:pt idx="39">
                  <c:v>-5.5318917247683679</c:v>
                </c:pt>
                <c:pt idx="40">
                  <c:v>-5.6411681131954552</c:v>
                </c:pt>
                <c:pt idx="41">
                  <c:v>-5.7504445016225425</c:v>
                </c:pt>
                <c:pt idx="42">
                  <c:v>-5.8597208900496298</c:v>
                </c:pt>
                <c:pt idx="43">
                  <c:v>-5.9689972784767171</c:v>
                </c:pt>
                <c:pt idx="44">
                  <c:v>-6.0782736669038044</c:v>
                </c:pt>
                <c:pt idx="45">
                  <c:v>-6.1875500553308918</c:v>
                </c:pt>
                <c:pt idx="46">
                  <c:v>-6.2968264437579791</c:v>
                </c:pt>
                <c:pt idx="47">
                  <c:v>-6.4061028321850664</c:v>
                </c:pt>
                <c:pt idx="48">
                  <c:v>-6.5153792206121537</c:v>
                </c:pt>
                <c:pt idx="49">
                  <c:v>-6.624655609039241</c:v>
                </c:pt>
                <c:pt idx="50">
                  <c:v>-6.7339319974663283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DF-4F48-8992-2B4F23695D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550304"/>
        <c:axId val="1964897952"/>
      </c:scatterChart>
      <c:valAx>
        <c:axId val="2011550304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897952"/>
        <c:crosses val="autoZero"/>
        <c:crossBetween val="midCat"/>
      </c:valAx>
      <c:valAx>
        <c:axId val="196489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550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4937759336099585"/>
          <c:y val="0.52653834937299504"/>
          <c:w val="0.17908735474455734"/>
          <c:h val="0.1768184898971293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</a:t>
            </a:r>
            <a:r>
              <a:rPr lang="en-US" sz="1200" baseline="0"/>
              <a:t> Eating Out</a:t>
            </a:r>
            <a:r>
              <a:rPr lang="en-US" sz="1200"/>
              <a:t> </a:t>
            </a:r>
            <a:r>
              <a:rPr lang="en-US" sz="1200" baseline="0"/>
              <a:t> 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calibration!$AN$14</c:f>
              <c:strCache>
                <c:ptCount val="1"/>
                <c:pt idx="0">
                  <c:v>Existing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calibration!$AO$16:$AO$66</c:f>
              <c:numCache>
                <c:formatCode>#,##0.000</c:formatCode>
                <c:ptCount val="51"/>
                <c:pt idx="0">
                  <c:v>0</c:v>
                </c:pt>
                <c:pt idx="1">
                  <c:v>-0.56088406404174651</c:v>
                </c:pt>
                <c:pt idx="2">
                  <c:v>-1.121768128083493</c:v>
                </c:pt>
                <c:pt idx="3">
                  <c:v>-1.4409386314684314</c:v>
                </c:pt>
                <c:pt idx="4">
                  <c:v>-1.7601091348533697</c:v>
                </c:pt>
                <c:pt idx="5">
                  <c:v>-2.0792796382383081</c:v>
                </c:pt>
                <c:pt idx="6">
                  <c:v>-2.2030463169147589</c:v>
                </c:pt>
                <c:pt idx="7">
                  <c:v>-2.3268129955912098</c:v>
                </c:pt>
                <c:pt idx="8">
                  <c:v>-2.4505796742676607</c:v>
                </c:pt>
                <c:pt idx="9">
                  <c:v>-2.5743463529441115</c:v>
                </c:pt>
                <c:pt idx="10">
                  <c:v>-2.6981130316205624</c:v>
                </c:pt>
                <c:pt idx="11">
                  <c:v>-2.8218797102970132</c:v>
                </c:pt>
                <c:pt idx="12">
                  <c:v>-2.9456463889734641</c:v>
                </c:pt>
                <c:pt idx="13">
                  <c:v>-3.069413067649915</c:v>
                </c:pt>
                <c:pt idx="14">
                  <c:v>-3.1931797463263658</c:v>
                </c:pt>
                <c:pt idx="15">
                  <c:v>-3.3169464250028167</c:v>
                </c:pt>
                <c:pt idx="16">
                  <c:v>-3.4407131036792675</c:v>
                </c:pt>
                <c:pt idx="17">
                  <c:v>-3.5644797823557184</c:v>
                </c:pt>
                <c:pt idx="18">
                  <c:v>-3.6882464610321692</c:v>
                </c:pt>
                <c:pt idx="19">
                  <c:v>-3.8120131397086201</c:v>
                </c:pt>
                <c:pt idx="20">
                  <c:v>-3.935779818385071</c:v>
                </c:pt>
                <c:pt idx="21">
                  <c:v>-4.0595464970615218</c:v>
                </c:pt>
                <c:pt idx="22">
                  <c:v>-4.1833131757379727</c:v>
                </c:pt>
                <c:pt idx="23">
                  <c:v>-4.3070798544144235</c:v>
                </c:pt>
                <c:pt idx="24">
                  <c:v>-4.4308465330908744</c:v>
                </c:pt>
                <c:pt idx="25">
                  <c:v>-4.5546132117673253</c:v>
                </c:pt>
                <c:pt idx="26">
                  <c:v>-4.6783798904437761</c:v>
                </c:pt>
                <c:pt idx="27">
                  <c:v>-4.802146569120227</c:v>
                </c:pt>
                <c:pt idx="28">
                  <c:v>-4.9259132477966778</c:v>
                </c:pt>
                <c:pt idx="29">
                  <c:v>-5.0496799264731287</c:v>
                </c:pt>
                <c:pt idx="30">
                  <c:v>-5.1734466051495795</c:v>
                </c:pt>
                <c:pt idx="31">
                  <c:v>-5.2972132838260304</c:v>
                </c:pt>
                <c:pt idx="32">
                  <c:v>-5.4209799625024813</c:v>
                </c:pt>
                <c:pt idx="33">
                  <c:v>-5.5447466411789321</c:v>
                </c:pt>
                <c:pt idx="34">
                  <c:v>-5.668513319855383</c:v>
                </c:pt>
                <c:pt idx="35">
                  <c:v>-5.7922799985318338</c:v>
                </c:pt>
                <c:pt idx="36">
                  <c:v>-5.9160466772082847</c:v>
                </c:pt>
                <c:pt idx="37">
                  <c:v>-6.0398133558847356</c:v>
                </c:pt>
                <c:pt idx="38">
                  <c:v>-6.1635800345611864</c:v>
                </c:pt>
                <c:pt idx="39">
                  <c:v>-6.2873467132376373</c:v>
                </c:pt>
                <c:pt idx="40">
                  <c:v>-6.4111133919140881</c:v>
                </c:pt>
                <c:pt idx="41">
                  <c:v>-6.534880070590539</c:v>
                </c:pt>
                <c:pt idx="42">
                  <c:v>-6.6586467492669899</c:v>
                </c:pt>
                <c:pt idx="43">
                  <c:v>-6.7824134279434407</c:v>
                </c:pt>
                <c:pt idx="44">
                  <c:v>-6.9061801066198916</c:v>
                </c:pt>
                <c:pt idx="45">
                  <c:v>-7.0299467852963424</c:v>
                </c:pt>
                <c:pt idx="46">
                  <c:v>-7.1537134639727933</c:v>
                </c:pt>
                <c:pt idx="47">
                  <c:v>-7.2774801426492441</c:v>
                </c:pt>
                <c:pt idx="48">
                  <c:v>-7.401246821325695</c:v>
                </c:pt>
                <c:pt idx="49">
                  <c:v>-7.5250135000021459</c:v>
                </c:pt>
                <c:pt idx="50">
                  <c:v>-7.6487801786785967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10-4B61-A212-EB1A789708EB}"/>
            </c:ext>
          </c:extLst>
        </c:ser>
        <c:ser>
          <c:idx val="0"/>
          <c:order val="1"/>
          <c:tx>
            <c:strRef>
              <c:f>calibration!$AV$14</c:f>
              <c:strCache>
                <c:ptCount val="1"/>
                <c:pt idx="0">
                  <c:v>Proposed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calibration!$AW$16:$AW$66</c:f>
              <c:numCache>
                <c:formatCode>0.000</c:formatCode>
                <c:ptCount val="51"/>
                <c:pt idx="0" formatCode="#,##0.000">
                  <c:v>0</c:v>
                </c:pt>
                <c:pt idx="1">
                  <c:v>-0.56088406404174651</c:v>
                </c:pt>
                <c:pt idx="2">
                  <c:v>-1.121768128083493</c:v>
                </c:pt>
                <c:pt idx="3">
                  <c:v>-1.4409386314684314</c:v>
                </c:pt>
                <c:pt idx="4">
                  <c:v>-1.7601091348533697</c:v>
                </c:pt>
                <c:pt idx="5">
                  <c:v>-2.0792796382383081</c:v>
                </c:pt>
                <c:pt idx="6">
                  <c:v>-2.2030463169147589</c:v>
                </c:pt>
                <c:pt idx="7">
                  <c:v>-2.3268129955912098</c:v>
                </c:pt>
                <c:pt idx="8">
                  <c:v>-2.4505796742676607</c:v>
                </c:pt>
                <c:pt idx="9">
                  <c:v>-2.5743463529441115</c:v>
                </c:pt>
                <c:pt idx="10">
                  <c:v>-2.6981130316205624</c:v>
                </c:pt>
                <c:pt idx="11">
                  <c:v>-2.8218797102970132</c:v>
                </c:pt>
                <c:pt idx="12">
                  <c:v>-2.9456463889734641</c:v>
                </c:pt>
                <c:pt idx="13">
                  <c:v>-3.069413067649915</c:v>
                </c:pt>
                <c:pt idx="14">
                  <c:v>-3.1931797463263658</c:v>
                </c:pt>
                <c:pt idx="15">
                  <c:v>-3.3169464250028167</c:v>
                </c:pt>
                <c:pt idx="16">
                  <c:v>-3.4407131036792675</c:v>
                </c:pt>
                <c:pt idx="17">
                  <c:v>-3.5644797823557184</c:v>
                </c:pt>
                <c:pt idx="18">
                  <c:v>-3.6882464610321692</c:v>
                </c:pt>
                <c:pt idx="19">
                  <c:v>-3.8120131397086201</c:v>
                </c:pt>
                <c:pt idx="20">
                  <c:v>-3.935779818385071</c:v>
                </c:pt>
                <c:pt idx="21">
                  <c:v>-4.0595464970615218</c:v>
                </c:pt>
                <c:pt idx="22">
                  <c:v>-4.1833131757379727</c:v>
                </c:pt>
                <c:pt idx="23">
                  <c:v>-4.3070798544144235</c:v>
                </c:pt>
                <c:pt idx="24">
                  <c:v>-4.4308465330908744</c:v>
                </c:pt>
                <c:pt idx="25">
                  <c:v>-4.5546132117673253</c:v>
                </c:pt>
                <c:pt idx="26">
                  <c:v>-4.6783798904437761</c:v>
                </c:pt>
                <c:pt idx="27">
                  <c:v>-4.802146569120227</c:v>
                </c:pt>
                <c:pt idx="28">
                  <c:v>-4.9259132477966778</c:v>
                </c:pt>
                <c:pt idx="29">
                  <c:v>-5.0496799264731287</c:v>
                </c:pt>
                <c:pt idx="30">
                  <c:v>-5.1734466051495795</c:v>
                </c:pt>
                <c:pt idx="31">
                  <c:v>-5.2972132838260304</c:v>
                </c:pt>
                <c:pt idx="32">
                  <c:v>-5.4209799625024813</c:v>
                </c:pt>
                <c:pt idx="33">
                  <c:v>-5.5447466411789321</c:v>
                </c:pt>
                <c:pt idx="34">
                  <c:v>-5.668513319855383</c:v>
                </c:pt>
                <c:pt idx="35">
                  <c:v>-5.7922799985318338</c:v>
                </c:pt>
                <c:pt idx="36">
                  <c:v>-5.9160466772082847</c:v>
                </c:pt>
                <c:pt idx="37">
                  <c:v>-6.0398133558847356</c:v>
                </c:pt>
                <c:pt idx="38">
                  <c:v>-6.1635800345611864</c:v>
                </c:pt>
                <c:pt idx="39">
                  <c:v>-6.2873467132376373</c:v>
                </c:pt>
                <c:pt idx="40">
                  <c:v>-6.4111133919140881</c:v>
                </c:pt>
                <c:pt idx="41">
                  <c:v>-6.534880070590539</c:v>
                </c:pt>
                <c:pt idx="42">
                  <c:v>-6.6586467492669899</c:v>
                </c:pt>
                <c:pt idx="43">
                  <c:v>-6.7824134279434407</c:v>
                </c:pt>
                <c:pt idx="44">
                  <c:v>-6.9061801066198916</c:v>
                </c:pt>
                <c:pt idx="45">
                  <c:v>-7.0299467852963424</c:v>
                </c:pt>
                <c:pt idx="46">
                  <c:v>-7.1537134639727933</c:v>
                </c:pt>
                <c:pt idx="47">
                  <c:v>-7.2774801426492441</c:v>
                </c:pt>
                <c:pt idx="48">
                  <c:v>-7.401246821325695</c:v>
                </c:pt>
                <c:pt idx="49">
                  <c:v>-7.5250135000021459</c:v>
                </c:pt>
                <c:pt idx="50">
                  <c:v>-7.6487801786785967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10-4B61-A212-EB1A789708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550304"/>
        <c:axId val="1964897952"/>
      </c:scatterChart>
      <c:valAx>
        <c:axId val="2011550304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897952"/>
        <c:crosses val="autoZero"/>
        <c:crossBetween val="midCat"/>
      </c:valAx>
      <c:valAx>
        <c:axId val="196489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550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4937759336099585"/>
          <c:y val="0.52653834937299504"/>
          <c:w val="0.17908735474455734"/>
          <c:h val="0.1768184898971293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</a:t>
            </a:r>
            <a:r>
              <a:rPr lang="en-US" sz="1200" baseline="0"/>
              <a:t> Social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calibration!$AZ$14</c:f>
              <c:strCache>
                <c:ptCount val="1"/>
                <c:pt idx="0">
                  <c:v>Existing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calibration!$BA$16:$BA$66</c:f>
              <c:numCache>
                <c:formatCode>#,##0.000</c:formatCode>
                <c:ptCount val="51"/>
                <c:pt idx="0">
                  <c:v>0</c:v>
                </c:pt>
                <c:pt idx="1">
                  <c:v>-0.78413579510767972</c:v>
                </c:pt>
                <c:pt idx="2">
                  <c:v>-1.5682715902153594</c:v>
                </c:pt>
                <c:pt idx="3">
                  <c:v>-1.9167356324073319</c:v>
                </c:pt>
                <c:pt idx="4">
                  <c:v>-2.2651996745993044</c:v>
                </c:pt>
                <c:pt idx="5">
                  <c:v>-2.6136637167912768</c:v>
                </c:pt>
                <c:pt idx="6">
                  <c:v>-2.7442643960693567</c:v>
                </c:pt>
                <c:pt idx="7">
                  <c:v>-2.8748650753474365</c:v>
                </c:pt>
                <c:pt idx="8">
                  <c:v>-3.0054657546255164</c:v>
                </c:pt>
                <c:pt idx="9">
                  <c:v>-3.1360664339035962</c:v>
                </c:pt>
                <c:pt idx="10">
                  <c:v>-3.266667113181676</c:v>
                </c:pt>
                <c:pt idx="11">
                  <c:v>-3.3972677924597559</c:v>
                </c:pt>
                <c:pt idx="12">
                  <c:v>-3.5278684717378357</c:v>
                </c:pt>
                <c:pt idx="13">
                  <c:v>-3.6584691510159155</c:v>
                </c:pt>
                <c:pt idx="14">
                  <c:v>-3.7890698302939954</c:v>
                </c:pt>
                <c:pt idx="15">
                  <c:v>-3.9196705095720752</c:v>
                </c:pt>
                <c:pt idx="16">
                  <c:v>-4.0502711888501555</c:v>
                </c:pt>
                <c:pt idx="17">
                  <c:v>-4.1808718681282357</c:v>
                </c:pt>
                <c:pt idx="18">
                  <c:v>-4.311472547406316</c:v>
                </c:pt>
                <c:pt idx="19">
                  <c:v>-4.4420732266843963</c:v>
                </c:pt>
                <c:pt idx="20">
                  <c:v>-4.5726739059624766</c:v>
                </c:pt>
                <c:pt idx="21">
                  <c:v>-4.7032745852405569</c:v>
                </c:pt>
                <c:pt idx="22">
                  <c:v>-4.8338752645186371</c:v>
                </c:pt>
                <c:pt idx="23">
                  <c:v>-4.9644759437967174</c:v>
                </c:pt>
                <c:pt idx="24">
                  <c:v>-5.0950766230747977</c:v>
                </c:pt>
                <c:pt idx="25">
                  <c:v>-5.225677302352878</c:v>
                </c:pt>
                <c:pt idx="26">
                  <c:v>-5.3562779816309583</c:v>
                </c:pt>
                <c:pt idx="27">
                  <c:v>-5.4868786609090385</c:v>
                </c:pt>
                <c:pt idx="28">
                  <c:v>-5.6174793401871188</c:v>
                </c:pt>
                <c:pt idx="29">
                  <c:v>-5.7480800194651991</c:v>
                </c:pt>
                <c:pt idx="30">
                  <c:v>-5.8786806987432794</c:v>
                </c:pt>
                <c:pt idx="31">
                  <c:v>-6.0092813780213596</c:v>
                </c:pt>
                <c:pt idx="32">
                  <c:v>-6.1398820572994399</c:v>
                </c:pt>
                <c:pt idx="33">
                  <c:v>-6.2704827365775202</c:v>
                </c:pt>
                <c:pt idx="34">
                  <c:v>-6.4010834158556005</c:v>
                </c:pt>
                <c:pt idx="35">
                  <c:v>-6.5316840951336808</c:v>
                </c:pt>
                <c:pt idx="36">
                  <c:v>-6.662284774411761</c:v>
                </c:pt>
                <c:pt idx="37">
                  <c:v>-6.7928854536898413</c:v>
                </c:pt>
                <c:pt idx="38">
                  <c:v>-6.9234861329679216</c:v>
                </c:pt>
                <c:pt idx="39">
                  <c:v>-7.0540868122460019</c:v>
                </c:pt>
                <c:pt idx="40">
                  <c:v>-7.1846874915240821</c:v>
                </c:pt>
                <c:pt idx="41">
                  <c:v>-7.3152881708021624</c:v>
                </c:pt>
                <c:pt idx="42">
                  <c:v>-7.4458888500802427</c:v>
                </c:pt>
                <c:pt idx="43">
                  <c:v>-7.576489529358323</c:v>
                </c:pt>
                <c:pt idx="44">
                  <c:v>-7.7070902086364033</c:v>
                </c:pt>
                <c:pt idx="45">
                  <c:v>-7.8376908879144835</c:v>
                </c:pt>
                <c:pt idx="46">
                  <c:v>-7.9682915671925638</c:v>
                </c:pt>
                <c:pt idx="47">
                  <c:v>-8.0988922464706441</c:v>
                </c:pt>
                <c:pt idx="48">
                  <c:v>-8.2294929257487244</c:v>
                </c:pt>
                <c:pt idx="49">
                  <c:v>-8.3600936050268047</c:v>
                </c:pt>
                <c:pt idx="50">
                  <c:v>-8.4906942843048849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E6-48D0-8818-88FF811A654E}"/>
            </c:ext>
          </c:extLst>
        </c:ser>
        <c:ser>
          <c:idx val="0"/>
          <c:order val="1"/>
          <c:tx>
            <c:strRef>
              <c:f>calibration!$BH$14</c:f>
              <c:strCache>
                <c:ptCount val="1"/>
                <c:pt idx="0">
                  <c:v>Proposed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calibration!$BI$16:$BI$66</c:f>
              <c:numCache>
                <c:formatCode>0.000</c:formatCode>
                <c:ptCount val="51"/>
                <c:pt idx="0" formatCode="#,##0.000">
                  <c:v>0</c:v>
                </c:pt>
                <c:pt idx="1">
                  <c:v>-0.78413579510767972</c:v>
                </c:pt>
                <c:pt idx="2">
                  <c:v>-1.5682715902153594</c:v>
                </c:pt>
                <c:pt idx="3">
                  <c:v>-1.9167356324073319</c:v>
                </c:pt>
                <c:pt idx="4">
                  <c:v>-2.2651996745993044</c:v>
                </c:pt>
                <c:pt idx="5">
                  <c:v>-2.6136637167912768</c:v>
                </c:pt>
                <c:pt idx="6">
                  <c:v>-2.7442643960693567</c:v>
                </c:pt>
                <c:pt idx="7">
                  <c:v>-2.8748650753474365</c:v>
                </c:pt>
                <c:pt idx="8">
                  <c:v>-3.0054657546255164</c:v>
                </c:pt>
                <c:pt idx="9">
                  <c:v>-3.1360664339035962</c:v>
                </c:pt>
                <c:pt idx="10">
                  <c:v>-3.266667113181676</c:v>
                </c:pt>
                <c:pt idx="11">
                  <c:v>-3.3972677924597559</c:v>
                </c:pt>
                <c:pt idx="12">
                  <c:v>-3.5278684717378357</c:v>
                </c:pt>
                <c:pt idx="13">
                  <c:v>-3.6584691510159155</c:v>
                </c:pt>
                <c:pt idx="14">
                  <c:v>-3.7890698302939954</c:v>
                </c:pt>
                <c:pt idx="15">
                  <c:v>-3.9196705095720752</c:v>
                </c:pt>
                <c:pt idx="16">
                  <c:v>-4.0502711888501555</c:v>
                </c:pt>
                <c:pt idx="17">
                  <c:v>-4.1808718681282357</c:v>
                </c:pt>
                <c:pt idx="18">
                  <c:v>-4.311472547406316</c:v>
                </c:pt>
                <c:pt idx="19">
                  <c:v>-4.4420732266843963</c:v>
                </c:pt>
                <c:pt idx="20">
                  <c:v>-4.5726739059624766</c:v>
                </c:pt>
                <c:pt idx="21">
                  <c:v>-4.7032745852405569</c:v>
                </c:pt>
                <c:pt idx="22">
                  <c:v>-4.8338752645186371</c:v>
                </c:pt>
                <c:pt idx="23">
                  <c:v>-4.9644759437967174</c:v>
                </c:pt>
                <c:pt idx="24">
                  <c:v>-5.0950766230747977</c:v>
                </c:pt>
                <c:pt idx="25">
                  <c:v>-5.225677302352878</c:v>
                </c:pt>
                <c:pt idx="26">
                  <c:v>-5.3562779816309583</c:v>
                </c:pt>
                <c:pt idx="27">
                  <c:v>-5.4868786609090385</c:v>
                </c:pt>
                <c:pt idx="28">
                  <c:v>-5.6174793401871188</c:v>
                </c:pt>
                <c:pt idx="29">
                  <c:v>-5.7480800194651991</c:v>
                </c:pt>
                <c:pt idx="30">
                  <c:v>-5.8786806987432794</c:v>
                </c:pt>
                <c:pt idx="31">
                  <c:v>-6.0092813780213596</c:v>
                </c:pt>
                <c:pt idx="32">
                  <c:v>-6.1398820572994399</c:v>
                </c:pt>
                <c:pt idx="33">
                  <c:v>-6.2704827365775202</c:v>
                </c:pt>
                <c:pt idx="34">
                  <c:v>-6.4010834158556005</c:v>
                </c:pt>
                <c:pt idx="35">
                  <c:v>-6.5316840951336808</c:v>
                </c:pt>
                <c:pt idx="36">
                  <c:v>-6.662284774411761</c:v>
                </c:pt>
                <c:pt idx="37">
                  <c:v>-6.7928854536898413</c:v>
                </c:pt>
                <c:pt idx="38">
                  <c:v>-6.9234861329679216</c:v>
                </c:pt>
                <c:pt idx="39">
                  <c:v>-7.0540868122460019</c:v>
                </c:pt>
                <c:pt idx="40">
                  <c:v>-7.1846874915240821</c:v>
                </c:pt>
                <c:pt idx="41">
                  <c:v>-7.3152881708021624</c:v>
                </c:pt>
                <c:pt idx="42">
                  <c:v>-7.4458888500802427</c:v>
                </c:pt>
                <c:pt idx="43">
                  <c:v>-7.576489529358323</c:v>
                </c:pt>
                <c:pt idx="44">
                  <c:v>-7.7070902086364033</c:v>
                </c:pt>
                <c:pt idx="45">
                  <c:v>-7.8376908879144835</c:v>
                </c:pt>
                <c:pt idx="46">
                  <c:v>-7.9682915671925638</c:v>
                </c:pt>
                <c:pt idx="47">
                  <c:v>-8.0988922464706441</c:v>
                </c:pt>
                <c:pt idx="48">
                  <c:v>-8.2294929257487244</c:v>
                </c:pt>
                <c:pt idx="49">
                  <c:v>-8.3600936050268047</c:v>
                </c:pt>
                <c:pt idx="50">
                  <c:v>-8.4906942843048849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E6-48D0-8818-88FF811A6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550304"/>
        <c:axId val="1964897952"/>
      </c:scatterChart>
      <c:valAx>
        <c:axId val="2011550304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897952"/>
        <c:crosses val="autoZero"/>
        <c:crossBetween val="midCat"/>
      </c:valAx>
      <c:valAx>
        <c:axId val="196489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550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4937759336099585"/>
          <c:y val="0.52653834937299504"/>
          <c:w val="0.17908735474455734"/>
          <c:h val="0.1768184898971293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</a:t>
            </a:r>
            <a:r>
              <a:rPr lang="en-US" sz="1200" baseline="0"/>
              <a:t> Discretionary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calibration!$BL$14</c:f>
              <c:strCache>
                <c:ptCount val="1"/>
                <c:pt idx="0">
                  <c:v>Existing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calibration!$BM$16:$BM$66</c:f>
              <c:numCache>
                <c:formatCode>#,##0.000</c:formatCode>
                <c:ptCount val="51"/>
                <c:pt idx="0">
                  <c:v>0</c:v>
                </c:pt>
                <c:pt idx="1">
                  <c:v>-0.16770688910210765</c:v>
                </c:pt>
                <c:pt idx="2">
                  <c:v>-0.33541377820421531</c:v>
                </c:pt>
                <c:pt idx="3">
                  <c:v>-0.83090697826024584</c:v>
                </c:pt>
                <c:pt idx="4">
                  <c:v>-1.3264001783162764</c:v>
                </c:pt>
                <c:pt idx="5">
                  <c:v>-1.821893378372307</c:v>
                </c:pt>
                <c:pt idx="6">
                  <c:v>-1.941189267093496</c:v>
                </c:pt>
                <c:pt idx="7">
                  <c:v>-2.0604851558146851</c:v>
                </c:pt>
                <c:pt idx="8">
                  <c:v>-2.1797810445358738</c:v>
                </c:pt>
                <c:pt idx="9">
                  <c:v>-2.2990769332570626</c:v>
                </c:pt>
                <c:pt idx="10">
                  <c:v>-2.4183728219782514</c:v>
                </c:pt>
                <c:pt idx="11">
                  <c:v>-2.5376687106994402</c:v>
                </c:pt>
                <c:pt idx="12">
                  <c:v>-2.656964599420629</c:v>
                </c:pt>
                <c:pt idx="13">
                  <c:v>-2.7762604881418178</c:v>
                </c:pt>
                <c:pt idx="14">
                  <c:v>-2.8955563768630066</c:v>
                </c:pt>
                <c:pt idx="15">
                  <c:v>-3.0148522655841954</c:v>
                </c:pt>
                <c:pt idx="16">
                  <c:v>-3.1341481543053842</c:v>
                </c:pt>
                <c:pt idx="17">
                  <c:v>-3.253444043026573</c:v>
                </c:pt>
                <c:pt idx="18">
                  <c:v>-3.3727399317477618</c:v>
                </c:pt>
                <c:pt idx="19">
                  <c:v>-3.4920358204689506</c:v>
                </c:pt>
                <c:pt idx="20">
                  <c:v>-3.6113317091901393</c:v>
                </c:pt>
                <c:pt idx="21">
                  <c:v>-3.7306275979113281</c:v>
                </c:pt>
                <c:pt idx="22">
                  <c:v>-3.8499234866325169</c:v>
                </c:pt>
                <c:pt idx="23">
                  <c:v>-3.9692193753537057</c:v>
                </c:pt>
                <c:pt idx="24">
                  <c:v>-4.0885152640748945</c:v>
                </c:pt>
                <c:pt idx="25">
                  <c:v>-4.2078111527960838</c:v>
                </c:pt>
                <c:pt idx="26">
                  <c:v>-4.327107041517273</c:v>
                </c:pt>
                <c:pt idx="27">
                  <c:v>-4.4464029302384622</c:v>
                </c:pt>
                <c:pt idx="28">
                  <c:v>-4.5656988189596515</c:v>
                </c:pt>
                <c:pt idx="29">
                  <c:v>-4.6849947076808407</c:v>
                </c:pt>
                <c:pt idx="30">
                  <c:v>-4.8042905964020299</c:v>
                </c:pt>
                <c:pt idx="31">
                  <c:v>-4.9235864851232192</c:v>
                </c:pt>
                <c:pt idx="32">
                  <c:v>-5.0428823738444084</c:v>
                </c:pt>
                <c:pt idx="33">
                  <c:v>-5.1621782625655976</c:v>
                </c:pt>
                <c:pt idx="34">
                  <c:v>-5.2814741512867869</c:v>
                </c:pt>
                <c:pt idx="35">
                  <c:v>-5.4007700400079761</c:v>
                </c:pt>
                <c:pt idx="36">
                  <c:v>-5.5200659287291653</c:v>
                </c:pt>
                <c:pt idx="37">
                  <c:v>-5.6393618174503546</c:v>
                </c:pt>
                <c:pt idx="38">
                  <c:v>-5.7586577061715438</c:v>
                </c:pt>
                <c:pt idx="39">
                  <c:v>-5.8779535948927331</c:v>
                </c:pt>
                <c:pt idx="40">
                  <c:v>-5.9972494836139223</c:v>
                </c:pt>
                <c:pt idx="41">
                  <c:v>-6.1165453723351115</c:v>
                </c:pt>
                <c:pt idx="42">
                  <c:v>-6.2358412610563008</c:v>
                </c:pt>
                <c:pt idx="43">
                  <c:v>-6.35513714977749</c:v>
                </c:pt>
                <c:pt idx="44">
                  <c:v>-6.4744330384986792</c:v>
                </c:pt>
                <c:pt idx="45">
                  <c:v>-6.5937289272198685</c:v>
                </c:pt>
                <c:pt idx="46">
                  <c:v>-6.7130248159410577</c:v>
                </c:pt>
                <c:pt idx="47">
                  <c:v>-6.8323207046622469</c:v>
                </c:pt>
                <c:pt idx="48">
                  <c:v>-6.9516165933834362</c:v>
                </c:pt>
                <c:pt idx="49">
                  <c:v>-7.0709124821046254</c:v>
                </c:pt>
                <c:pt idx="50">
                  <c:v>-7.1902083708258147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4E-4090-9D89-3C682D7B8AA0}"/>
            </c:ext>
          </c:extLst>
        </c:ser>
        <c:ser>
          <c:idx val="0"/>
          <c:order val="1"/>
          <c:tx>
            <c:strRef>
              <c:f>calibration!$BT$14</c:f>
              <c:strCache>
                <c:ptCount val="1"/>
                <c:pt idx="0">
                  <c:v>Proposed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calibration!$BU$16:$BU$66</c:f>
              <c:numCache>
                <c:formatCode>0.000</c:formatCode>
                <c:ptCount val="51"/>
                <c:pt idx="0" formatCode="#,##0.000">
                  <c:v>0</c:v>
                </c:pt>
                <c:pt idx="1">
                  <c:v>-0.16770688910210765</c:v>
                </c:pt>
                <c:pt idx="2">
                  <c:v>-0.33541377820421531</c:v>
                </c:pt>
                <c:pt idx="3">
                  <c:v>-0.83090697826024584</c:v>
                </c:pt>
                <c:pt idx="4">
                  <c:v>-1.3264001783162764</c:v>
                </c:pt>
                <c:pt idx="5">
                  <c:v>-1.821893378372307</c:v>
                </c:pt>
                <c:pt idx="6">
                  <c:v>-1.9411892670934958</c:v>
                </c:pt>
                <c:pt idx="7">
                  <c:v>-2.0604851558146846</c:v>
                </c:pt>
                <c:pt idx="8">
                  <c:v>-2.1797810445358734</c:v>
                </c:pt>
                <c:pt idx="9">
                  <c:v>-2.2990769332570622</c:v>
                </c:pt>
                <c:pt idx="10">
                  <c:v>-2.418372821978251</c:v>
                </c:pt>
                <c:pt idx="11">
                  <c:v>-2.5376687106994398</c:v>
                </c:pt>
                <c:pt idx="12">
                  <c:v>-2.6569645994206286</c:v>
                </c:pt>
                <c:pt idx="13">
                  <c:v>-2.7762604881418174</c:v>
                </c:pt>
                <c:pt idx="14">
                  <c:v>-2.8955563768630062</c:v>
                </c:pt>
                <c:pt idx="15">
                  <c:v>-3.0148522655841949</c:v>
                </c:pt>
                <c:pt idx="16">
                  <c:v>-3.1341481543053837</c:v>
                </c:pt>
                <c:pt idx="17">
                  <c:v>-3.2534440430265725</c:v>
                </c:pt>
                <c:pt idx="18">
                  <c:v>-3.3727399317477613</c:v>
                </c:pt>
                <c:pt idx="19">
                  <c:v>-3.4920358204689501</c:v>
                </c:pt>
                <c:pt idx="20">
                  <c:v>-3.6113317091901389</c:v>
                </c:pt>
                <c:pt idx="21">
                  <c:v>-3.7306275979113277</c:v>
                </c:pt>
                <c:pt idx="22">
                  <c:v>-3.8499234866325165</c:v>
                </c:pt>
                <c:pt idx="23">
                  <c:v>-3.9692193753537053</c:v>
                </c:pt>
                <c:pt idx="24">
                  <c:v>-4.0885152640748945</c:v>
                </c:pt>
                <c:pt idx="25">
                  <c:v>-4.2078111527960838</c:v>
                </c:pt>
                <c:pt idx="26">
                  <c:v>-4.327107041517273</c:v>
                </c:pt>
                <c:pt idx="27">
                  <c:v>-4.4464029302384622</c:v>
                </c:pt>
                <c:pt idx="28">
                  <c:v>-4.5656988189596515</c:v>
                </c:pt>
                <c:pt idx="29">
                  <c:v>-4.6849947076808407</c:v>
                </c:pt>
                <c:pt idx="30">
                  <c:v>-4.8042905964020299</c:v>
                </c:pt>
                <c:pt idx="31">
                  <c:v>-4.9235864851232192</c:v>
                </c:pt>
                <c:pt idx="32">
                  <c:v>-5.0428823738444084</c:v>
                </c:pt>
                <c:pt idx="33">
                  <c:v>-5.1621782625655976</c:v>
                </c:pt>
                <c:pt idx="34">
                  <c:v>-5.2814741512867869</c:v>
                </c:pt>
                <c:pt idx="35">
                  <c:v>-5.4007700400079761</c:v>
                </c:pt>
                <c:pt idx="36">
                  <c:v>-5.5200659287291653</c:v>
                </c:pt>
                <c:pt idx="37">
                  <c:v>-5.6393618174503546</c:v>
                </c:pt>
                <c:pt idx="38">
                  <c:v>-5.7586577061715438</c:v>
                </c:pt>
                <c:pt idx="39">
                  <c:v>-5.8779535948927331</c:v>
                </c:pt>
                <c:pt idx="40">
                  <c:v>-5.9972494836139223</c:v>
                </c:pt>
                <c:pt idx="41">
                  <c:v>-6.1165453723351115</c:v>
                </c:pt>
                <c:pt idx="42">
                  <c:v>-6.2358412610563008</c:v>
                </c:pt>
                <c:pt idx="43">
                  <c:v>-6.35513714977749</c:v>
                </c:pt>
                <c:pt idx="44">
                  <c:v>-6.4744330384986792</c:v>
                </c:pt>
                <c:pt idx="45">
                  <c:v>-6.5937289272198685</c:v>
                </c:pt>
                <c:pt idx="46">
                  <c:v>-6.7130248159410577</c:v>
                </c:pt>
                <c:pt idx="47">
                  <c:v>-6.8323207046622469</c:v>
                </c:pt>
                <c:pt idx="48">
                  <c:v>-6.9516165933834362</c:v>
                </c:pt>
                <c:pt idx="49">
                  <c:v>-7.0709124821046254</c:v>
                </c:pt>
                <c:pt idx="50">
                  <c:v>-7.1902083708258147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34E-4090-9D89-3C682D7B8A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550304"/>
        <c:axId val="1964897952"/>
      </c:scatterChart>
      <c:valAx>
        <c:axId val="2011550304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897952"/>
        <c:crosses val="autoZero"/>
        <c:crossBetween val="midCat"/>
      </c:valAx>
      <c:valAx>
        <c:axId val="196489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550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4937759336099585"/>
          <c:y val="0.52653834937299504"/>
          <c:w val="0.17908735474455734"/>
          <c:h val="0.1768184898971293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</a:t>
            </a:r>
            <a:r>
              <a:rPr lang="en-US" sz="1200" baseline="0"/>
              <a:t> Work Based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calibration!$BX$14</c:f>
              <c:strCache>
                <c:ptCount val="1"/>
                <c:pt idx="0">
                  <c:v>Existing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calibration!$BY$16:$BY$66</c:f>
              <c:numCache>
                <c:formatCode>#,##0.000</c:formatCode>
                <c:ptCount val="51"/>
                <c:pt idx="0">
                  <c:v>0</c:v>
                </c:pt>
                <c:pt idx="1">
                  <c:v>-0.7925675882562816</c:v>
                </c:pt>
                <c:pt idx="2">
                  <c:v>-1.5851351765125632</c:v>
                </c:pt>
                <c:pt idx="3">
                  <c:v>-2.1048442010384392</c:v>
                </c:pt>
                <c:pt idx="4">
                  <c:v>-2.6245532255643154</c:v>
                </c:pt>
                <c:pt idx="5">
                  <c:v>-3.1442622500901916</c:v>
                </c:pt>
                <c:pt idx="6">
                  <c:v>-3.3487357026135793</c:v>
                </c:pt>
                <c:pt idx="7">
                  <c:v>-3.5532091551369671</c:v>
                </c:pt>
                <c:pt idx="8">
                  <c:v>-3.7576826076603549</c:v>
                </c:pt>
                <c:pt idx="9">
                  <c:v>-3.9621560601837427</c:v>
                </c:pt>
                <c:pt idx="10">
                  <c:v>-4.1666295127071304</c:v>
                </c:pt>
                <c:pt idx="11">
                  <c:v>-4.3711029652305182</c:v>
                </c:pt>
                <c:pt idx="12">
                  <c:v>-4.575576417753906</c:v>
                </c:pt>
                <c:pt idx="13">
                  <c:v>-4.7800498702772938</c:v>
                </c:pt>
                <c:pt idx="14">
                  <c:v>-4.9845233228006816</c:v>
                </c:pt>
                <c:pt idx="15">
                  <c:v>-5.1889967753240693</c:v>
                </c:pt>
                <c:pt idx="16">
                  <c:v>-5.3934702278474571</c:v>
                </c:pt>
                <c:pt idx="17">
                  <c:v>-5.5979436803708449</c:v>
                </c:pt>
                <c:pt idx="18">
                  <c:v>-5.8024171328942327</c:v>
                </c:pt>
                <c:pt idx="19">
                  <c:v>-6.0068905854176204</c:v>
                </c:pt>
                <c:pt idx="20">
                  <c:v>-6.2113640379410082</c:v>
                </c:pt>
                <c:pt idx="21">
                  <c:v>-6.415837490464396</c:v>
                </c:pt>
                <c:pt idx="22">
                  <c:v>-6.6203109429877838</c:v>
                </c:pt>
                <c:pt idx="23">
                  <c:v>-6.8247843955111716</c:v>
                </c:pt>
                <c:pt idx="24">
                  <c:v>-7.0292578480345593</c:v>
                </c:pt>
                <c:pt idx="25">
                  <c:v>-7.2337313005579471</c:v>
                </c:pt>
                <c:pt idx="26">
                  <c:v>-7.4382047530813349</c:v>
                </c:pt>
                <c:pt idx="27">
                  <c:v>-7.6426782056047227</c:v>
                </c:pt>
                <c:pt idx="28">
                  <c:v>-7.8471516581281104</c:v>
                </c:pt>
                <c:pt idx="29">
                  <c:v>-8.0516251106514982</c:v>
                </c:pt>
                <c:pt idx="30">
                  <c:v>-8.256098563174886</c:v>
                </c:pt>
                <c:pt idx="31">
                  <c:v>-8.4605720156982738</c:v>
                </c:pt>
                <c:pt idx="32">
                  <c:v>-8.6650454682216616</c:v>
                </c:pt>
                <c:pt idx="33">
                  <c:v>-8.8695189207450493</c:v>
                </c:pt>
                <c:pt idx="34">
                  <c:v>-9.0739923732684371</c:v>
                </c:pt>
                <c:pt idx="35">
                  <c:v>-9.2784658257918249</c:v>
                </c:pt>
                <c:pt idx="36">
                  <c:v>-9.4829392783152127</c:v>
                </c:pt>
                <c:pt idx="37">
                  <c:v>-9.6874127308386004</c:v>
                </c:pt>
                <c:pt idx="38">
                  <c:v>-9.8918861833619882</c:v>
                </c:pt>
                <c:pt idx="39">
                  <c:v>-10.096359635885376</c:v>
                </c:pt>
                <c:pt idx="40">
                  <c:v>-10.300833088408764</c:v>
                </c:pt>
                <c:pt idx="41">
                  <c:v>-10.505306540932152</c:v>
                </c:pt>
                <c:pt idx="42">
                  <c:v>-10.709779993455539</c:v>
                </c:pt>
                <c:pt idx="43">
                  <c:v>-10.914253445978927</c:v>
                </c:pt>
                <c:pt idx="44">
                  <c:v>-11.118726898502315</c:v>
                </c:pt>
                <c:pt idx="45">
                  <c:v>-11.323200351025703</c:v>
                </c:pt>
                <c:pt idx="46">
                  <c:v>-11.52767380354909</c:v>
                </c:pt>
                <c:pt idx="47">
                  <c:v>-11.732147256072478</c:v>
                </c:pt>
                <c:pt idx="48">
                  <c:v>-11.936620708595866</c:v>
                </c:pt>
                <c:pt idx="49">
                  <c:v>-12.141094161119254</c:v>
                </c:pt>
                <c:pt idx="50">
                  <c:v>-12.345567613642642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D4-4E14-90C8-C6BF53BDB7E4}"/>
            </c:ext>
          </c:extLst>
        </c:ser>
        <c:ser>
          <c:idx val="0"/>
          <c:order val="1"/>
          <c:tx>
            <c:strRef>
              <c:f>calibration!$CF$14</c:f>
              <c:strCache>
                <c:ptCount val="1"/>
                <c:pt idx="0">
                  <c:v>Proposed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calibration!$CG$16:$CG$66</c:f>
              <c:numCache>
                <c:formatCode>0.000</c:formatCode>
                <c:ptCount val="51"/>
                <c:pt idx="0" formatCode="#,##0.000">
                  <c:v>0</c:v>
                </c:pt>
                <c:pt idx="1">
                  <c:v>-0.7925675882562816</c:v>
                </c:pt>
                <c:pt idx="2">
                  <c:v>-1.5851351765125632</c:v>
                </c:pt>
                <c:pt idx="3">
                  <c:v>-2.1048442010384392</c:v>
                </c:pt>
                <c:pt idx="4">
                  <c:v>-2.6245532255643154</c:v>
                </c:pt>
                <c:pt idx="5">
                  <c:v>-3.1442622500901916</c:v>
                </c:pt>
                <c:pt idx="6">
                  <c:v>-3.3487357026135793</c:v>
                </c:pt>
                <c:pt idx="7">
                  <c:v>-3.5532091551369671</c:v>
                </c:pt>
                <c:pt idx="8">
                  <c:v>-3.7576826076603549</c:v>
                </c:pt>
                <c:pt idx="9">
                  <c:v>-3.9621560601837427</c:v>
                </c:pt>
                <c:pt idx="10">
                  <c:v>-4.1666295127071304</c:v>
                </c:pt>
                <c:pt idx="11">
                  <c:v>-4.3711029652305182</c:v>
                </c:pt>
                <c:pt idx="12">
                  <c:v>-4.575576417753906</c:v>
                </c:pt>
                <c:pt idx="13">
                  <c:v>-4.7800498702772938</c:v>
                </c:pt>
                <c:pt idx="14">
                  <c:v>-4.9845233228006816</c:v>
                </c:pt>
                <c:pt idx="15">
                  <c:v>-5.1889967753240693</c:v>
                </c:pt>
                <c:pt idx="16">
                  <c:v>-5.3934702278474571</c:v>
                </c:pt>
                <c:pt idx="17">
                  <c:v>-5.5979436803708449</c:v>
                </c:pt>
                <c:pt idx="18">
                  <c:v>-5.8024171328942327</c:v>
                </c:pt>
                <c:pt idx="19">
                  <c:v>-6.0068905854176204</c:v>
                </c:pt>
                <c:pt idx="20">
                  <c:v>-6.2113640379410082</c:v>
                </c:pt>
                <c:pt idx="21">
                  <c:v>-6.415837490464396</c:v>
                </c:pt>
                <c:pt idx="22">
                  <c:v>-6.6203109429877838</c:v>
                </c:pt>
                <c:pt idx="23">
                  <c:v>-6.8247843955111716</c:v>
                </c:pt>
                <c:pt idx="24">
                  <c:v>-7.0292578480345593</c:v>
                </c:pt>
                <c:pt idx="25">
                  <c:v>-7.2337313005579471</c:v>
                </c:pt>
                <c:pt idx="26">
                  <c:v>-7.4382047530813349</c:v>
                </c:pt>
                <c:pt idx="27">
                  <c:v>-7.6426782056047227</c:v>
                </c:pt>
                <c:pt idx="28">
                  <c:v>-7.8471516581281104</c:v>
                </c:pt>
                <c:pt idx="29">
                  <c:v>-8.0516251106514982</c:v>
                </c:pt>
                <c:pt idx="30">
                  <c:v>-8.256098563174886</c:v>
                </c:pt>
                <c:pt idx="31">
                  <c:v>-8.4605720156982738</c:v>
                </c:pt>
                <c:pt idx="32">
                  <c:v>-8.6650454682216616</c:v>
                </c:pt>
                <c:pt idx="33">
                  <c:v>-8.8695189207450493</c:v>
                </c:pt>
                <c:pt idx="34">
                  <c:v>-9.0739923732684371</c:v>
                </c:pt>
                <c:pt idx="35">
                  <c:v>-9.2784658257918249</c:v>
                </c:pt>
                <c:pt idx="36">
                  <c:v>-9.4829392783152127</c:v>
                </c:pt>
                <c:pt idx="37">
                  <c:v>-9.6874127308386004</c:v>
                </c:pt>
                <c:pt idx="38">
                  <c:v>-9.8918861833619882</c:v>
                </c:pt>
                <c:pt idx="39">
                  <c:v>-10.096359635885376</c:v>
                </c:pt>
                <c:pt idx="40">
                  <c:v>-10.300833088408764</c:v>
                </c:pt>
                <c:pt idx="41">
                  <c:v>-10.505306540932152</c:v>
                </c:pt>
                <c:pt idx="42">
                  <c:v>-10.709779993455539</c:v>
                </c:pt>
                <c:pt idx="43">
                  <c:v>-10.914253445978927</c:v>
                </c:pt>
                <c:pt idx="44">
                  <c:v>-11.118726898502315</c:v>
                </c:pt>
                <c:pt idx="45">
                  <c:v>-11.323200351025703</c:v>
                </c:pt>
                <c:pt idx="46">
                  <c:v>-11.52767380354909</c:v>
                </c:pt>
                <c:pt idx="47">
                  <c:v>-11.732147256072478</c:v>
                </c:pt>
                <c:pt idx="48">
                  <c:v>-11.936620708595866</c:v>
                </c:pt>
                <c:pt idx="49">
                  <c:v>-12.141094161119254</c:v>
                </c:pt>
                <c:pt idx="50">
                  <c:v>-12.345567613642642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9D4-4E14-90C8-C6BF53BDB7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550304"/>
        <c:axId val="1964897952"/>
      </c:scatterChart>
      <c:valAx>
        <c:axId val="2011550304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897952"/>
        <c:crosses val="autoZero"/>
        <c:crossBetween val="midCat"/>
      </c:valAx>
      <c:valAx>
        <c:axId val="196489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550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4937759336099585"/>
          <c:y val="0.52653834937299504"/>
          <c:w val="0.17908735474455734"/>
          <c:h val="0.1768184898971293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BATS 2023 Observed TLFD</a:t>
            </a:r>
            <a:r>
              <a:rPr lang="en-US" sz="1200" baseline="0"/>
              <a:t> Summary</a:t>
            </a:r>
            <a:r>
              <a:rPr lang="en-US" sz="1200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'BATS 2023 TLFD'!$M$3</c:f>
              <c:strCache>
                <c:ptCount val="1"/>
                <c:pt idx="0">
                  <c:v>escort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'BATS 2023 TLFD'!$L$4:$L$54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'BATS 2023 TLFD'!$M$4:$M$54</c:f>
              <c:numCache>
                <c:formatCode>0.0%</c:formatCode>
                <c:ptCount val="51"/>
                <c:pt idx="0">
                  <c:v>0.1388914247676615</c:v>
                </c:pt>
                <c:pt idx="1">
                  <c:v>0.18583591478650557</c:v>
                </c:pt>
                <c:pt idx="2">
                  <c:v>0.21665054003929377</c:v>
                </c:pt>
                <c:pt idx="3">
                  <c:v>0.12244866461634471</c:v>
                </c:pt>
                <c:pt idx="4">
                  <c:v>6.2875094573347154E-2</c:v>
                </c:pt>
                <c:pt idx="5">
                  <c:v>7.0263592747708506E-2</c:v>
                </c:pt>
                <c:pt idx="6">
                  <c:v>4.0943657427918188E-2</c:v>
                </c:pt>
                <c:pt idx="7">
                  <c:v>4.039151935373015E-2</c:v>
                </c:pt>
                <c:pt idx="8">
                  <c:v>3.4875345829074367E-2</c:v>
                </c:pt>
                <c:pt idx="9">
                  <c:v>7.2936779089504983E-3</c:v>
                </c:pt>
                <c:pt idx="10">
                  <c:v>9.1698665804351119E-3</c:v>
                </c:pt>
                <c:pt idx="11">
                  <c:v>9.7816840217232158E-3</c:v>
                </c:pt>
                <c:pt idx="12">
                  <c:v>8.9707708467288323E-3</c:v>
                </c:pt>
                <c:pt idx="13">
                  <c:v>1.8016501806581459E-3</c:v>
                </c:pt>
                <c:pt idx="14">
                  <c:v>7.1773652583677437E-3</c:v>
                </c:pt>
                <c:pt idx="15">
                  <c:v>1.8523978722306334E-3</c:v>
                </c:pt>
                <c:pt idx="16">
                  <c:v>1.5553549755066977E-3</c:v>
                </c:pt>
                <c:pt idx="17">
                  <c:v>9.8244843944551527E-4</c:v>
                </c:pt>
                <c:pt idx="18">
                  <c:v>5.8849382829912157E-3</c:v>
                </c:pt>
                <c:pt idx="19">
                  <c:v>4.8982312461425198E-3</c:v>
                </c:pt>
                <c:pt idx="20">
                  <c:v>3.7462932608031806E-3</c:v>
                </c:pt>
                <c:pt idx="21">
                  <c:v>8.062755777020397E-4</c:v>
                </c:pt>
                <c:pt idx="22">
                  <c:v>3.0460125081854561E-4</c:v>
                </c:pt>
                <c:pt idx="23">
                  <c:v>3.5233097373702659E-4</c:v>
                </c:pt>
                <c:pt idx="24">
                  <c:v>3.8958226087211772E-4</c:v>
                </c:pt>
                <c:pt idx="25">
                  <c:v>4.90217878819431E-4</c:v>
                </c:pt>
                <c:pt idx="26">
                  <c:v>1.4026550813090366E-3</c:v>
                </c:pt>
                <c:pt idx="27">
                  <c:v>4.0622939042009344E-3</c:v>
                </c:pt>
                <c:pt idx="28">
                  <c:v>1.6495482103157672E-3</c:v>
                </c:pt>
                <c:pt idx="29">
                  <c:v>2.0021530907314406E-4</c:v>
                </c:pt>
                <c:pt idx="30">
                  <c:v>1.3598645806270086E-3</c:v>
                </c:pt>
                <c:pt idx="31">
                  <c:v>3.0604478263694196E-4</c:v>
                </c:pt>
                <c:pt idx="32">
                  <c:v>4.0255872992997987E-4</c:v>
                </c:pt>
                <c:pt idx="33">
                  <c:v>4.2393265941898147E-5</c:v>
                </c:pt>
                <c:pt idx="34">
                  <c:v>2.4375334668479311E-4</c:v>
                </c:pt>
                <c:pt idx="35">
                  <c:v>1.2628185073928332E-3</c:v>
                </c:pt>
                <c:pt idx="36">
                  <c:v>3.4809151321788198E-3</c:v>
                </c:pt>
                <c:pt idx="37">
                  <c:v>3.3952470585355568E-4</c:v>
                </c:pt>
                <c:pt idx="38">
                  <c:v>7.138811605301079E-5</c:v>
                </c:pt>
                <c:pt idx="39">
                  <c:v>8.2523162479693408E-4</c:v>
                </c:pt>
                <c:pt idx="40">
                  <c:v>2.8051142123383216E-4</c:v>
                </c:pt>
                <c:pt idx="41">
                  <c:v>1.8373023496311557E-3</c:v>
                </c:pt>
                <c:pt idx="42">
                  <c:v>0</c:v>
                </c:pt>
                <c:pt idx="43">
                  <c:v>9.0388503487729979E-6</c:v>
                </c:pt>
                <c:pt idx="44">
                  <c:v>5.7563213692024605E-4</c:v>
                </c:pt>
                <c:pt idx="45">
                  <c:v>2.4729017298936928E-3</c:v>
                </c:pt>
                <c:pt idx="46">
                  <c:v>0</c:v>
                </c:pt>
                <c:pt idx="47">
                  <c:v>1.8400589489472421E-4</c:v>
                </c:pt>
                <c:pt idx="48">
                  <c:v>2.4782057267670201E-4</c:v>
                </c:pt>
                <c:pt idx="49">
                  <c:v>0</c:v>
                </c:pt>
                <c:pt idx="50">
                  <c:v>1.1014078988980664E-4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407-4B16-8633-F55630E6B067}"/>
            </c:ext>
          </c:extLst>
        </c:ser>
        <c:ser>
          <c:idx val="1"/>
          <c:order val="1"/>
          <c:tx>
            <c:strRef>
              <c:f>'BATS 2023 TLFD'!$N$3</c:f>
              <c:strCache>
                <c:ptCount val="1"/>
                <c:pt idx="0">
                  <c:v>shop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'BATS 2023 TLFD'!$L$4:$L$54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'BATS 2023 TLFD'!$N$4:$N$54</c:f>
              <c:numCache>
                <c:formatCode>0.0%</c:formatCode>
                <c:ptCount val="51"/>
                <c:pt idx="0">
                  <c:v>0.17010654159153002</c:v>
                </c:pt>
                <c:pt idx="1">
                  <c:v>0.23382262488619271</c:v>
                </c:pt>
                <c:pt idx="2">
                  <c:v>0.15151506017057648</c:v>
                </c:pt>
                <c:pt idx="3">
                  <c:v>0.13502914998471699</c:v>
                </c:pt>
                <c:pt idx="4">
                  <c:v>6.5401568737770047E-2</c:v>
                </c:pt>
                <c:pt idx="5">
                  <c:v>4.9783975006325622E-2</c:v>
                </c:pt>
                <c:pt idx="6">
                  <c:v>4.0291804300979638E-2</c:v>
                </c:pt>
                <c:pt idx="7">
                  <c:v>2.0202787425190678E-2</c:v>
                </c:pt>
                <c:pt idx="8">
                  <c:v>2.0282577109762154E-2</c:v>
                </c:pt>
                <c:pt idx="9">
                  <c:v>1.2133851108778852E-2</c:v>
                </c:pt>
                <c:pt idx="10">
                  <c:v>1.5922381035437132E-2</c:v>
                </c:pt>
                <c:pt idx="11">
                  <c:v>6.2314850686591748E-3</c:v>
                </c:pt>
                <c:pt idx="12">
                  <c:v>1.4717841500098913E-2</c:v>
                </c:pt>
                <c:pt idx="13">
                  <c:v>1.1931966523153406E-2</c:v>
                </c:pt>
                <c:pt idx="14">
                  <c:v>2.9022926573627323E-3</c:v>
                </c:pt>
                <c:pt idx="15">
                  <c:v>1.497716324709325E-3</c:v>
                </c:pt>
                <c:pt idx="16">
                  <c:v>9.8928162552834966E-4</c:v>
                </c:pt>
                <c:pt idx="17">
                  <c:v>4.8033004547979787E-3</c:v>
                </c:pt>
                <c:pt idx="18">
                  <c:v>3.3857454284131139E-3</c:v>
                </c:pt>
                <c:pt idx="19">
                  <c:v>1.887304030192129E-3</c:v>
                </c:pt>
                <c:pt idx="20">
                  <c:v>3.5562503815108454E-3</c:v>
                </c:pt>
                <c:pt idx="21">
                  <c:v>4.3129779111391363E-3</c:v>
                </c:pt>
                <c:pt idx="22">
                  <c:v>2.4676988865665454E-4</c:v>
                </c:pt>
                <c:pt idx="23">
                  <c:v>4.2146140580142543E-4</c:v>
                </c:pt>
                <c:pt idx="24">
                  <c:v>2.9739330878039297E-3</c:v>
                </c:pt>
                <c:pt idx="25">
                  <c:v>2.1952335942103406E-4</c:v>
                </c:pt>
                <c:pt idx="26">
                  <c:v>4.4716705936231844E-5</c:v>
                </c:pt>
                <c:pt idx="27">
                  <c:v>7.1757062662197195E-3</c:v>
                </c:pt>
                <c:pt idx="28">
                  <c:v>6.5513518603906324E-3</c:v>
                </c:pt>
                <c:pt idx="29">
                  <c:v>5.5553351531132072E-4</c:v>
                </c:pt>
                <c:pt idx="30">
                  <c:v>1.2363930009389988E-5</c:v>
                </c:pt>
                <c:pt idx="31">
                  <c:v>7.1564586302565953E-5</c:v>
                </c:pt>
                <c:pt idx="32">
                  <c:v>4.5685576639132718E-4</c:v>
                </c:pt>
                <c:pt idx="33">
                  <c:v>1.7317949548278394E-3</c:v>
                </c:pt>
                <c:pt idx="34">
                  <c:v>8.0969239264893248E-5</c:v>
                </c:pt>
                <c:pt idx="35">
                  <c:v>3.1036742467931814E-5</c:v>
                </c:pt>
                <c:pt idx="36">
                  <c:v>0</c:v>
                </c:pt>
                <c:pt idx="37">
                  <c:v>3.5836912230860969E-3</c:v>
                </c:pt>
                <c:pt idx="38">
                  <c:v>4.3561035672135467E-4</c:v>
                </c:pt>
                <c:pt idx="39">
                  <c:v>2.9371840988393573E-5</c:v>
                </c:pt>
                <c:pt idx="40">
                  <c:v>1.5531176927593795E-3</c:v>
                </c:pt>
                <c:pt idx="41">
                  <c:v>2.0587431876981012E-4</c:v>
                </c:pt>
                <c:pt idx="42">
                  <c:v>1.0572814010240501E-3</c:v>
                </c:pt>
                <c:pt idx="43">
                  <c:v>0</c:v>
                </c:pt>
                <c:pt idx="44">
                  <c:v>1.3512030083427137E-3</c:v>
                </c:pt>
                <c:pt idx="45">
                  <c:v>4.7873503222896238E-4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2.3050554448902258E-5</c:v>
                </c:pt>
                <c:pt idx="5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407-4B16-8633-F55630E6B067}"/>
            </c:ext>
          </c:extLst>
        </c:ser>
        <c:ser>
          <c:idx val="2"/>
          <c:order val="2"/>
          <c:tx>
            <c:strRef>
              <c:f>'BATS 2023 TLFD'!$O$3</c:f>
              <c:strCache>
                <c:ptCount val="1"/>
                <c:pt idx="0">
                  <c:v>maintenance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'BATS 2023 TLFD'!$L$4:$L$54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'BATS 2023 TLFD'!$O$4:$O$54</c:f>
              <c:numCache>
                <c:formatCode>0.0%</c:formatCode>
                <c:ptCount val="51"/>
                <c:pt idx="0">
                  <c:v>0.11968013023429461</c:v>
                </c:pt>
                <c:pt idx="1">
                  <c:v>0.18547930221035949</c:v>
                </c:pt>
                <c:pt idx="2">
                  <c:v>0.1191555605482543</c:v>
                </c:pt>
                <c:pt idx="3">
                  <c:v>0.11962607220479668</c:v>
                </c:pt>
                <c:pt idx="4">
                  <c:v>6.8534602217479756E-2</c:v>
                </c:pt>
                <c:pt idx="5">
                  <c:v>6.3886069651661756E-2</c:v>
                </c:pt>
                <c:pt idx="6">
                  <c:v>6.3762806907830608E-2</c:v>
                </c:pt>
                <c:pt idx="7">
                  <c:v>6.6784499427918781E-2</c:v>
                </c:pt>
                <c:pt idx="8">
                  <c:v>1.9922819149867533E-2</c:v>
                </c:pt>
                <c:pt idx="9">
                  <c:v>2.8316056749111668E-2</c:v>
                </c:pt>
                <c:pt idx="10">
                  <c:v>1.5943322129248882E-2</c:v>
                </c:pt>
                <c:pt idx="11">
                  <c:v>1.0464626490500215E-2</c:v>
                </c:pt>
                <c:pt idx="12">
                  <c:v>1.43109805009735E-2</c:v>
                </c:pt>
                <c:pt idx="13">
                  <c:v>5.2271484652923984E-3</c:v>
                </c:pt>
                <c:pt idx="14">
                  <c:v>1.4160240414815579E-2</c:v>
                </c:pt>
                <c:pt idx="15">
                  <c:v>1.5200093586078064E-2</c:v>
                </c:pt>
                <c:pt idx="16">
                  <c:v>2.8034166493040246E-3</c:v>
                </c:pt>
                <c:pt idx="17">
                  <c:v>2.7524626079365412E-3</c:v>
                </c:pt>
                <c:pt idx="18">
                  <c:v>1.1253595406718291E-2</c:v>
                </c:pt>
                <c:pt idx="19">
                  <c:v>1.485687482036678E-3</c:v>
                </c:pt>
                <c:pt idx="20">
                  <c:v>6.2018177381309514E-3</c:v>
                </c:pt>
                <c:pt idx="21">
                  <c:v>1.0946931578734376E-2</c:v>
                </c:pt>
                <c:pt idx="22">
                  <c:v>2.4549778883681882E-3</c:v>
                </c:pt>
                <c:pt idx="23">
                  <c:v>1.0426119700617685E-3</c:v>
                </c:pt>
                <c:pt idx="24">
                  <c:v>1.6393253373031783E-3</c:v>
                </c:pt>
                <c:pt idx="25">
                  <c:v>6.9600182050286877E-3</c:v>
                </c:pt>
                <c:pt idx="26">
                  <c:v>6.108826174858935E-3</c:v>
                </c:pt>
                <c:pt idx="27">
                  <c:v>9.6467070846390824E-4</c:v>
                </c:pt>
                <c:pt idx="28">
                  <c:v>3.2749533665678153E-3</c:v>
                </c:pt>
                <c:pt idx="29">
                  <c:v>4.8755046267384992E-4</c:v>
                </c:pt>
                <c:pt idx="30">
                  <c:v>2.9545504015079738E-3</c:v>
                </c:pt>
                <c:pt idx="31">
                  <c:v>2.7258917784568001E-3</c:v>
                </c:pt>
                <c:pt idx="32">
                  <c:v>2.0656112433013426E-4</c:v>
                </c:pt>
                <c:pt idx="33">
                  <c:v>1.0529023175638208E-3</c:v>
                </c:pt>
                <c:pt idx="34">
                  <c:v>5.0132332268221882E-5</c:v>
                </c:pt>
                <c:pt idx="35">
                  <c:v>0</c:v>
                </c:pt>
                <c:pt idx="36">
                  <c:v>4.666894046922193E-5</c:v>
                </c:pt>
                <c:pt idx="37">
                  <c:v>0</c:v>
                </c:pt>
                <c:pt idx="38">
                  <c:v>9.2324948387693571E-4</c:v>
                </c:pt>
                <c:pt idx="39">
                  <c:v>4.9967262520629527E-5</c:v>
                </c:pt>
                <c:pt idx="40">
                  <c:v>5.0849502331687976E-4</c:v>
                </c:pt>
                <c:pt idx="41">
                  <c:v>6.4361786347327235E-5</c:v>
                </c:pt>
                <c:pt idx="42">
                  <c:v>1.5685270483981103E-3</c:v>
                </c:pt>
                <c:pt idx="43">
                  <c:v>0</c:v>
                </c:pt>
                <c:pt idx="44">
                  <c:v>3.3496038737385003E-5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1.7528058696134809E-4</c:v>
                </c:pt>
                <c:pt idx="49">
                  <c:v>5.0006051085685434E-5</c:v>
                </c:pt>
                <c:pt idx="50">
                  <c:v>7.5873335948848741E-4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407-4B16-8633-F55630E6B067}"/>
            </c:ext>
          </c:extLst>
        </c:ser>
        <c:ser>
          <c:idx val="5"/>
          <c:order val="3"/>
          <c:tx>
            <c:strRef>
              <c:f>'BATS 2023 TLFD'!$P$3</c:f>
              <c:strCache>
                <c:ptCount val="1"/>
                <c:pt idx="0">
                  <c:v>eatout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'BATS 2023 TLFD'!$L$4:$L$54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'BATS 2023 TLFD'!$P$4:$P$54</c:f>
              <c:numCache>
                <c:formatCode>0.0%</c:formatCode>
                <c:ptCount val="51"/>
                <c:pt idx="0">
                  <c:v>0.22767743472439714</c:v>
                </c:pt>
                <c:pt idx="1">
                  <c:v>0.23946977712070494</c:v>
                </c:pt>
                <c:pt idx="2">
                  <c:v>0.15671782833659156</c:v>
                </c:pt>
                <c:pt idx="3">
                  <c:v>7.7684832193718953E-2</c:v>
                </c:pt>
                <c:pt idx="4">
                  <c:v>4.5497245020633646E-2</c:v>
                </c:pt>
                <c:pt idx="5">
                  <c:v>4.2667333099925583E-2</c:v>
                </c:pt>
                <c:pt idx="6">
                  <c:v>4.0080371545020525E-2</c:v>
                </c:pt>
                <c:pt idx="7">
                  <c:v>1.9897218931886562E-2</c:v>
                </c:pt>
                <c:pt idx="8">
                  <c:v>2.875110535976598E-2</c:v>
                </c:pt>
                <c:pt idx="9">
                  <c:v>2.2892546729427917E-2</c:v>
                </c:pt>
                <c:pt idx="10">
                  <c:v>1.0026931434814347E-2</c:v>
                </c:pt>
                <c:pt idx="11">
                  <c:v>1.9438321736543796E-2</c:v>
                </c:pt>
                <c:pt idx="12">
                  <c:v>5.4917087781489963E-3</c:v>
                </c:pt>
                <c:pt idx="13">
                  <c:v>6.010525550243416E-3</c:v>
                </c:pt>
                <c:pt idx="14">
                  <c:v>2.8411400826627389E-3</c:v>
                </c:pt>
                <c:pt idx="15">
                  <c:v>7.4489398270773995E-3</c:v>
                </c:pt>
                <c:pt idx="16">
                  <c:v>1.0847610083711435E-3</c:v>
                </c:pt>
                <c:pt idx="17">
                  <c:v>4.2169752832853305E-3</c:v>
                </c:pt>
                <c:pt idx="18">
                  <c:v>2.3861850728598378E-3</c:v>
                </c:pt>
                <c:pt idx="19">
                  <c:v>2.5740524473761325E-3</c:v>
                </c:pt>
                <c:pt idx="20">
                  <c:v>1.154721178796495E-3</c:v>
                </c:pt>
                <c:pt idx="21">
                  <c:v>6.8627003906185499E-4</c:v>
                </c:pt>
                <c:pt idx="22">
                  <c:v>7.1241792583678399E-4</c:v>
                </c:pt>
                <c:pt idx="23">
                  <c:v>7.3889525643626431E-4</c:v>
                </c:pt>
                <c:pt idx="24">
                  <c:v>4.2072095940899144E-3</c:v>
                </c:pt>
                <c:pt idx="25">
                  <c:v>5.3549302520629504E-5</c:v>
                </c:pt>
                <c:pt idx="26">
                  <c:v>4.9866706929651259E-4</c:v>
                </c:pt>
                <c:pt idx="27">
                  <c:v>8.9196738309032554E-3</c:v>
                </c:pt>
                <c:pt idx="28">
                  <c:v>4.1887975087644532E-4</c:v>
                </c:pt>
                <c:pt idx="29">
                  <c:v>1.3834762381657911E-3</c:v>
                </c:pt>
                <c:pt idx="30">
                  <c:v>3.4245643836185828E-3</c:v>
                </c:pt>
                <c:pt idx="31">
                  <c:v>3.7612057371658051E-3</c:v>
                </c:pt>
                <c:pt idx="32">
                  <c:v>1.8902910448600449E-4</c:v>
                </c:pt>
                <c:pt idx="33">
                  <c:v>8.944658212777766E-5</c:v>
                </c:pt>
                <c:pt idx="34">
                  <c:v>3.8570422514537842E-4</c:v>
                </c:pt>
                <c:pt idx="35">
                  <c:v>6.3459910467406793E-5</c:v>
                </c:pt>
                <c:pt idx="36">
                  <c:v>1.6511453704527374E-4</c:v>
                </c:pt>
                <c:pt idx="37">
                  <c:v>2.4297028549508229E-4</c:v>
                </c:pt>
                <c:pt idx="38">
                  <c:v>3.2046068261087928E-4</c:v>
                </c:pt>
                <c:pt idx="39">
                  <c:v>7.1319813181493815E-4</c:v>
                </c:pt>
                <c:pt idx="40">
                  <c:v>4.7350039248080121E-3</c:v>
                </c:pt>
                <c:pt idx="41">
                  <c:v>9.6358240160215907E-5</c:v>
                </c:pt>
                <c:pt idx="42">
                  <c:v>2.526595438336158E-4</c:v>
                </c:pt>
                <c:pt idx="43">
                  <c:v>1.3939163903826978E-3</c:v>
                </c:pt>
                <c:pt idx="44">
                  <c:v>8.0877231075836601E-4</c:v>
                </c:pt>
                <c:pt idx="45">
                  <c:v>9.2449053190925672E-5</c:v>
                </c:pt>
                <c:pt idx="46">
                  <c:v>6.2138071898773029E-4</c:v>
                </c:pt>
                <c:pt idx="47">
                  <c:v>6.6201941086130897E-4</c:v>
                </c:pt>
                <c:pt idx="48">
                  <c:v>5.1020676824736369E-5</c:v>
                </c:pt>
                <c:pt idx="49">
                  <c:v>3.0227168077539857E-4</c:v>
                </c:pt>
                <c:pt idx="5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407-4B16-8633-F55630E6B067}"/>
            </c:ext>
          </c:extLst>
        </c:ser>
        <c:ser>
          <c:idx val="3"/>
          <c:order val="4"/>
          <c:tx>
            <c:strRef>
              <c:f>'BATS 2023 TLFD'!$Q$3</c:f>
              <c:strCache>
                <c:ptCount val="1"/>
                <c:pt idx="0">
                  <c:v>visit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'BATS 2023 TLFD'!$L$4:$L$54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'BATS 2023 TLFD'!$Q$4:$Q$54</c:f>
              <c:numCache>
                <c:formatCode>0.0%</c:formatCode>
                <c:ptCount val="51"/>
                <c:pt idx="0">
                  <c:v>0.31136797174951525</c:v>
                </c:pt>
                <c:pt idx="1">
                  <c:v>0.21858331402573331</c:v>
                </c:pt>
                <c:pt idx="2">
                  <c:v>0.10634977822590569</c:v>
                </c:pt>
                <c:pt idx="3">
                  <c:v>8.2225863697620749E-2</c:v>
                </c:pt>
                <c:pt idx="4">
                  <c:v>5.6741778123987292E-2</c:v>
                </c:pt>
                <c:pt idx="5">
                  <c:v>4.4833568639816357E-2</c:v>
                </c:pt>
                <c:pt idx="6">
                  <c:v>3.0606070601045469E-2</c:v>
                </c:pt>
                <c:pt idx="7">
                  <c:v>2.7677617000619933E-2</c:v>
                </c:pt>
                <c:pt idx="8">
                  <c:v>2.5657871554120533E-2</c:v>
                </c:pt>
                <c:pt idx="9">
                  <c:v>7.0727021787914662E-3</c:v>
                </c:pt>
                <c:pt idx="10">
                  <c:v>1.1640875104327791E-2</c:v>
                </c:pt>
                <c:pt idx="11">
                  <c:v>4.3924178037128099E-3</c:v>
                </c:pt>
                <c:pt idx="12">
                  <c:v>6.4071346107743817E-3</c:v>
                </c:pt>
                <c:pt idx="13">
                  <c:v>6.4642276788685017E-3</c:v>
                </c:pt>
                <c:pt idx="14">
                  <c:v>3.6356922945635314E-3</c:v>
                </c:pt>
                <c:pt idx="15">
                  <c:v>1.1035741922675636E-2</c:v>
                </c:pt>
                <c:pt idx="16">
                  <c:v>2.3412629896889438E-3</c:v>
                </c:pt>
                <c:pt idx="17">
                  <c:v>1.1189256765223449E-2</c:v>
                </c:pt>
                <c:pt idx="18">
                  <c:v>1.6140146904244658E-3</c:v>
                </c:pt>
                <c:pt idx="19">
                  <c:v>1.758489831788404E-3</c:v>
                </c:pt>
                <c:pt idx="20">
                  <c:v>3.2122526931166852E-3</c:v>
                </c:pt>
                <c:pt idx="21">
                  <c:v>6.8408757947195156E-3</c:v>
                </c:pt>
                <c:pt idx="22">
                  <c:v>4.3328719586425838E-4</c:v>
                </c:pt>
                <c:pt idx="23">
                  <c:v>2.8615968143228877E-4</c:v>
                </c:pt>
                <c:pt idx="24">
                  <c:v>4.1136474386631382E-4</c:v>
                </c:pt>
                <c:pt idx="25">
                  <c:v>2.9383035397908333E-3</c:v>
                </c:pt>
                <c:pt idx="26">
                  <c:v>4.4492972390964238E-5</c:v>
                </c:pt>
                <c:pt idx="27">
                  <c:v>1.4913519301964469E-3</c:v>
                </c:pt>
                <c:pt idx="28">
                  <c:v>7.5238547806241469E-4</c:v>
                </c:pt>
                <c:pt idx="29">
                  <c:v>2.217807800194965E-3</c:v>
                </c:pt>
                <c:pt idx="30">
                  <c:v>8.7206976631648819E-4</c:v>
                </c:pt>
                <c:pt idx="31">
                  <c:v>3.4558524125174317E-4</c:v>
                </c:pt>
                <c:pt idx="32">
                  <c:v>8.0634319892702346E-4</c:v>
                </c:pt>
                <c:pt idx="33">
                  <c:v>5.3989022249994545E-4</c:v>
                </c:pt>
                <c:pt idx="34">
                  <c:v>3.1899991436981629E-4</c:v>
                </c:pt>
                <c:pt idx="35">
                  <c:v>1.7403416668808149E-4</c:v>
                </c:pt>
                <c:pt idx="36">
                  <c:v>6.7768957578995975E-4</c:v>
                </c:pt>
                <c:pt idx="37">
                  <c:v>1.3636406818165367E-4</c:v>
                </c:pt>
                <c:pt idx="38">
                  <c:v>6.4357607822222059E-5</c:v>
                </c:pt>
                <c:pt idx="39">
                  <c:v>3.3218488250538042E-4</c:v>
                </c:pt>
                <c:pt idx="40">
                  <c:v>2.4579857110997505E-4</c:v>
                </c:pt>
                <c:pt idx="41">
                  <c:v>4.2574789888867784E-5</c:v>
                </c:pt>
                <c:pt idx="42">
                  <c:v>2.2761530265114164E-4</c:v>
                </c:pt>
                <c:pt idx="43">
                  <c:v>8.1026026135937659E-5</c:v>
                </c:pt>
                <c:pt idx="44">
                  <c:v>9.2463430989336989E-4</c:v>
                </c:pt>
                <c:pt idx="45">
                  <c:v>1.4671639716799943E-3</c:v>
                </c:pt>
                <c:pt idx="46">
                  <c:v>1.1160151136939878E-4</c:v>
                </c:pt>
                <c:pt idx="47">
                  <c:v>7.5811621716630458E-5</c:v>
                </c:pt>
                <c:pt idx="48">
                  <c:v>8.0424253403049467E-4</c:v>
                </c:pt>
                <c:pt idx="49">
                  <c:v>0</c:v>
                </c:pt>
                <c:pt idx="50">
                  <c:v>1.5280813983332389E-3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104-4154-847D-EAD728101557}"/>
            </c:ext>
          </c:extLst>
        </c:ser>
        <c:ser>
          <c:idx val="4"/>
          <c:order val="5"/>
          <c:tx>
            <c:strRef>
              <c:f>'BATS 2023 TLFD'!$R$3</c:f>
              <c:strCache>
                <c:ptCount val="1"/>
                <c:pt idx="0">
                  <c:v>discretionary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'BATS 2023 TLFD'!$L$4:$L$54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'BATS 2023 TLFD'!$R$4:$R$54</c:f>
              <c:numCache>
                <c:formatCode>0.0%</c:formatCode>
                <c:ptCount val="51"/>
                <c:pt idx="0">
                  <c:v>0.28931003637265068</c:v>
                </c:pt>
                <c:pt idx="1">
                  <c:v>0.18089139845286131</c:v>
                </c:pt>
                <c:pt idx="2">
                  <c:v>0.14639737922721013</c:v>
                </c:pt>
                <c:pt idx="3">
                  <c:v>5.3184875383126239E-2</c:v>
                </c:pt>
                <c:pt idx="4">
                  <c:v>3.7694170009444548E-2</c:v>
                </c:pt>
                <c:pt idx="5">
                  <c:v>5.184281596870028E-2</c:v>
                </c:pt>
                <c:pt idx="6">
                  <c:v>2.1543592297444125E-2</c:v>
                </c:pt>
                <c:pt idx="7">
                  <c:v>1.1606641266815047E-2</c:v>
                </c:pt>
                <c:pt idx="8">
                  <c:v>2.5153344655011473E-2</c:v>
                </c:pt>
                <c:pt idx="9">
                  <c:v>2.2914766644244359E-2</c:v>
                </c:pt>
                <c:pt idx="10">
                  <c:v>1.6788947889559105E-2</c:v>
                </c:pt>
                <c:pt idx="11">
                  <c:v>6.9654772035027653E-3</c:v>
                </c:pt>
                <c:pt idx="12">
                  <c:v>3.6497675497708742E-3</c:v>
                </c:pt>
                <c:pt idx="13">
                  <c:v>9.1491353556096607E-3</c:v>
                </c:pt>
                <c:pt idx="14">
                  <c:v>9.9083278532793567E-3</c:v>
                </c:pt>
                <c:pt idx="15">
                  <c:v>9.8036832062612812E-3</c:v>
                </c:pt>
                <c:pt idx="16">
                  <c:v>2.3401354068048109E-3</c:v>
                </c:pt>
                <c:pt idx="17">
                  <c:v>5.4527249534218006E-3</c:v>
                </c:pt>
                <c:pt idx="18">
                  <c:v>1.1109719842595314E-2</c:v>
                </c:pt>
                <c:pt idx="19">
                  <c:v>1.011121823093847E-2</c:v>
                </c:pt>
                <c:pt idx="20">
                  <c:v>1.4680786334523596E-2</c:v>
                </c:pt>
                <c:pt idx="21">
                  <c:v>8.0218369994530195E-3</c:v>
                </c:pt>
                <c:pt idx="22">
                  <c:v>1.0627095224096422E-2</c:v>
                </c:pt>
                <c:pt idx="23">
                  <c:v>5.6778746666050484E-3</c:v>
                </c:pt>
                <c:pt idx="24">
                  <c:v>7.1937064760549171E-3</c:v>
                </c:pt>
                <c:pt idx="25">
                  <c:v>2.0942905093009039E-3</c:v>
                </c:pt>
                <c:pt idx="26">
                  <c:v>2.6215492523231081E-3</c:v>
                </c:pt>
                <c:pt idx="27">
                  <c:v>4.0538603482963695E-3</c:v>
                </c:pt>
                <c:pt idx="28">
                  <c:v>2.9850174401341208E-4</c:v>
                </c:pt>
                <c:pt idx="29">
                  <c:v>2.3679475698285958E-4</c:v>
                </c:pt>
                <c:pt idx="30">
                  <c:v>1.5458873043580177E-3</c:v>
                </c:pt>
                <c:pt idx="31">
                  <c:v>6.5525980685911852E-4</c:v>
                </c:pt>
                <c:pt idx="32">
                  <c:v>1.7794620687771304E-3</c:v>
                </c:pt>
                <c:pt idx="33">
                  <c:v>3.6468485906105216E-4</c:v>
                </c:pt>
                <c:pt idx="34">
                  <c:v>2.4103839373286954E-3</c:v>
                </c:pt>
                <c:pt idx="35">
                  <c:v>4.0281214158483123E-3</c:v>
                </c:pt>
                <c:pt idx="36">
                  <c:v>1.8060253739694684E-3</c:v>
                </c:pt>
                <c:pt idx="37">
                  <c:v>3.4344721862988848E-3</c:v>
                </c:pt>
                <c:pt idx="38">
                  <c:v>2.8842049804899855E-5</c:v>
                </c:pt>
                <c:pt idx="39">
                  <c:v>5.8065624928026465E-4</c:v>
                </c:pt>
                <c:pt idx="40">
                  <c:v>0</c:v>
                </c:pt>
                <c:pt idx="41">
                  <c:v>5.5117034305616989E-5</c:v>
                </c:pt>
                <c:pt idx="42">
                  <c:v>1.6319210762248603E-4</c:v>
                </c:pt>
                <c:pt idx="43">
                  <c:v>1.3945084899845512E-4</c:v>
                </c:pt>
                <c:pt idx="44">
                  <c:v>6.9464383883259041E-5</c:v>
                </c:pt>
                <c:pt idx="45">
                  <c:v>3.9239996932435709E-4</c:v>
                </c:pt>
                <c:pt idx="46">
                  <c:v>3.9323193547911574E-5</c:v>
                </c:pt>
                <c:pt idx="47">
                  <c:v>3.5748535084636704E-4</c:v>
                </c:pt>
                <c:pt idx="48">
                  <c:v>1.1569310867119512E-4</c:v>
                </c:pt>
                <c:pt idx="49">
                  <c:v>4.1976521906355267E-4</c:v>
                </c:pt>
                <c:pt idx="50">
                  <c:v>2.8985945124968698E-4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104-4154-847D-EAD728101557}"/>
            </c:ext>
          </c:extLst>
        </c:ser>
        <c:ser>
          <c:idx val="6"/>
          <c:order val="6"/>
          <c:tx>
            <c:strRef>
              <c:f>'BATS 2023 TLFD'!$S$3</c:f>
              <c:strCache>
                <c:ptCount val="1"/>
                <c:pt idx="0">
                  <c:v>atwork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'BATS 2023 TLFD'!$L$4:$L$54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'BATS 2023 TLFD'!$S$4:$S$54</c:f>
              <c:numCache>
                <c:formatCode>0.0%</c:formatCode>
                <c:ptCount val="51"/>
                <c:pt idx="0">
                  <c:v>0.45134914191083592</c:v>
                </c:pt>
                <c:pt idx="1">
                  <c:v>0.24908652977842055</c:v>
                </c:pt>
                <c:pt idx="2">
                  <c:v>0.12774507001508009</c:v>
                </c:pt>
                <c:pt idx="3">
                  <c:v>6.1454428300899484E-2</c:v>
                </c:pt>
                <c:pt idx="4">
                  <c:v>3.4937672363042641E-2</c:v>
                </c:pt>
                <c:pt idx="5">
                  <c:v>3.0820330473347205E-2</c:v>
                </c:pt>
                <c:pt idx="6">
                  <c:v>1.6561906358932784E-2</c:v>
                </c:pt>
                <c:pt idx="7">
                  <c:v>3.0162762208418891E-3</c:v>
                </c:pt>
                <c:pt idx="8">
                  <c:v>1.4018910194273271E-3</c:v>
                </c:pt>
                <c:pt idx="9">
                  <c:v>1.5695976188554945E-3</c:v>
                </c:pt>
                <c:pt idx="10">
                  <c:v>1.4141010608882519E-4</c:v>
                </c:pt>
                <c:pt idx="11">
                  <c:v>2.2152713582533332E-3</c:v>
                </c:pt>
                <c:pt idx="12">
                  <c:v>1.5862823070640592E-4</c:v>
                </c:pt>
                <c:pt idx="13">
                  <c:v>4.4548219420933896E-4</c:v>
                </c:pt>
                <c:pt idx="14">
                  <c:v>6.8451011150649438E-3</c:v>
                </c:pt>
                <c:pt idx="15">
                  <c:v>1.3728192087453755E-3</c:v>
                </c:pt>
                <c:pt idx="16">
                  <c:v>8.3685413405457793E-4</c:v>
                </c:pt>
                <c:pt idx="17">
                  <c:v>1.0911312086494577E-3</c:v>
                </c:pt>
                <c:pt idx="18">
                  <c:v>8.7258197410476496E-3</c:v>
                </c:pt>
                <c:pt idx="19">
                  <c:v>0</c:v>
                </c:pt>
                <c:pt idx="20">
                  <c:v>0</c:v>
                </c:pt>
                <c:pt idx="21">
                  <c:v>1.515028308706194E-4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7.3135812626076818E-5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104-4154-847D-EAD7281015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0863104"/>
        <c:axId val="1619244288"/>
      </c:scatterChart>
      <c:valAx>
        <c:axId val="2020863104"/>
        <c:scaling>
          <c:orientation val="minMax"/>
          <c:max val="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9244288"/>
        <c:crosses val="autoZero"/>
        <c:crossBetween val="midCat"/>
      </c:valAx>
      <c:valAx>
        <c:axId val="1619244288"/>
        <c:scaling>
          <c:orientation val="minMax"/>
          <c:max val="0.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08631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47464432114526"/>
          <c:y val="0.3404946850605815"/>
          <c:w val="0.15726286486916408"/>
          <c:h val="0.48837543170759418"/>
        </c:manualLayout>
      </c:layout>
      <c:overlay val="1"/>
      <c:spPr>
        <a:solidFill>
          <a:schemeClr val="bg1"/>
        </a:solidFill>
        <a:ln>
          <a:solidFill>
            <a:schemeClr val="bg1">
              <a:lumMod val="7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67</xdr:row>
      <xdr:rowOff>166687</xdr:rowOff>
    </xdr:from>
    <xdr:to>
      <xdr:col>10</xdr:col>
      <xdr:colOff>200025</xdr:colOff>
      <xdr:row>80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95636D-2182-46B8-98B8-C0BD66ABB1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242887</xdr:colOff>
      <xdr:row>0</xdr:row>
      <xdr:rowOff>38106</xdr:rowOff>
    </xdr:from>
    <xdr:to>
      <xdr:col>12</xdr:col>
      <xdr:colOff>423862</xdr:colOff>
      <xdr:row>11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8A8B4B5-0D9E-4E42-A005-FD813BEB26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76200</xdr:colOff>
      <xdr:row>0</xdr:row>
      <xdr:rowOff>28575</xdr:rowOff>
    </xdr:from>
    <xdr:to>
      <xdr:col>24</xdr:col>
      <xdr:colOff>314325</xdr:colOff>
      <xdr:row>10</xdr:row>
      <xdr:rowOff>180969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EA4CCE0-12A5-40CE-8A30-D6C3C55C1A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29</xdr:col>
      <xdr:colOff>57150</xdr:colOff>
      <xdr:row>0</xdr:row>
      <xdr:rowOff>85725</xdr:rowOff>
    </xdr:from>
    <xdr:to>
      <xdr:col>36</xdr:col>
      <xdr:colOff>304800</xdr:colOff>
      <xdr:row>11</xdr:row>
      <xdr:rowOff>47619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83D2E1A-F547-4948-BEE4-E028A6B7EC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41</xdr:col>
      <xdr:colOff>47625</xdr:colOff>
      <xdr:row>0</xdr:row>
      <xdr:rowOff>47625</xdr:rowOff>
    </xdr:from>
    <xdr:to>
      <xdr:col>48</xdr:col>
      <xdr:colOff>304800</xdr:colOff>
      <xdr:row>11</xdr:row>
      <xdr:rowOff>9519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81D4F6E-F627-4C11-B728-9AB466BBCE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53</xdr:col>
      <xdr:colOff>66675</xdr:colOff>
      <xdr:row>0</xdr:row>
      <xdr:rowOff>76200</xdr:rowOff>
    </xdr:from>
    <xdr:to>
      <xdr:col>60</xdr:col>
      <xdr:colOff>333375</xdr:colOff>
      <xdr:row>11</xdr:row>
      <xdr:rowOff>38094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C5CFDD1-20BD-40BF-A1B0-34BA0ECC54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65</xdr:col>
      <xdr:colOff>66675</xdr:colOff>
      <xdr:row>0</xdr:row>
      <xdr:rowOff>47625</xdr:rowOff>
    </xdr:from>
    <xdr:to>
      <xdr:col>72</xdr:col>
      <xdr:colOff>371475</xdr:colOff>
      <xdr:row>11</xdr:row>
      <xdr:rowOff>9519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BEDEE78-3466-4024-A915-1F79405137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77</xdr:col>
      <xdr:colOff>95250</xdr:colOff>
      <xdr:row>0</xdr:row>
      <xdr:rowOff>66675</xdr:rowOff>
    </xdr:from>
    <xdr:to>
      <xdr:col>84</xdr:col>
      <xdr:colOff>400050</xdr:colOff>
      <xdr:row>11</xdr:row>
      <xdr:rowOff>28569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BA16149-8654-4B4D-B4C3-F4B5940F53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0</xdr:colOff>
      <xdr:row>68</xdr:row>
      <xdr:rowOff>0</xdr:rowOff>
    </xdr:from>
    <xdr:to>
      <xdr:col>22</xdr:col>
      <xdr:colOff>257175</xdr:colOff>
      <xdr:row>80</xdr:row>
      <xdr:rowOff>138113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A33E947-74C7-48A8-BAA8-910EF2B291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27</xdr:col>
      <xdr:colOff>0</xdr:colOff>
      <xdr:row>68</xdr:row>
      <xdr:rowOff>0</xdr:rowOff>
    </xdr:from>
    <xdr:to>
      <xdr:col>34</xdr:col>
      <xdr:colOff>266700</xdr:colOff>
      <xdr:row>80</xdr:row>
      <xdr:rowOff>138113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9D81DCF-ABA3-4A44-A6A0-D542A688B0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39</xdr:col>
      <xdr:colOff>0</xdr:colOff>
      <xdr:row>68</xdr:row>
      <xdr:rowOff>0</xdr:rowOff>
    </xdr:from>
    <xdr:to>
      <xdr:col>46</xdr:col>
      <xdr:colOff>276225</xdr:colOff>
      <xdr:row>80</xdr:row>
      <xdr:rowOff>138113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D0BF6B4-607D-49B5-AF58-740352756B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51</xdr:col>
      <xdr:colOff>0</xdr:colOff>
      <xdr:row>68</xdr:row>
      <xdr:rowOff>0</xdr:rowOff>
    </xdr:from>
    <xdr:to>
      <xdr:col>58</xdr:col>
      <xdr:colOff>285750</xdr:colOff>
      <xdr:row>80</xdr:row>
      <xdr:rowOff>138113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046CA6B-7FFC-4081-8B48-E191080B17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63</xdr:col>
      <xdr:colOff>0</xdr:colOff>
      <xdr:row>68</xdr:row>
      <xdr:rowOff>0</xdr:rowOff>
    </xdr:from>
    <xdr:to>
      <xdr:col>70</xdr:col>
      <xdr:colOff>276225</xdr:colOff>
      <xdr:row>80</xdr:row>
      <xdr:rowOff>138113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33CB8B1-8333-4267-A69E-A4040CA6EF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75</xdr:col>
      <xdr:colOff>0</xdr:colOff>
      <xdr:row>68</xdr:row>
      <xdr:rowOff>0</xdr:rowOff>
    </xdr:from>
    <xdr:to>
      <xdr:col>82</xdr:col>
      <xdr:colOff>266700</xdr:colOff>
      <xdr:row>80</xdr:row>
      <xdr:rowOff>138113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6542132-61A6-44F4-9C03-1E75338BFB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114300</xdr:colOff>
      <xdr:row>58</xdr:row>
      <xdr:rowOff>4762</xdr:rowOff>
    </xdr:from>
    <xdr:to>
      <xdr:col>18</xdr:col>
      <xdr:colOff>771525</xdr:colOff>
      <xdr:row>77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5387F10-5827-472F-81E3-7AD53BF028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travel-model-one-calib1.5.2\model-files\model\DestinationChoic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Work"/>
      <sheetName val="University"/>
      <sheetName val="HighSchool"/>
      <sheetName val="GradeSchool"/>
      <sheetName val="EscortKids"/>
      <sheetName val="EscortNoKids"/>
      <sheetName val="Shopping"/>
      <sheetName val="EatOut"/>
      <sheetName val="OthMaint"/>
      <sheetName val="Social"/>
      <sheetName val="OthDiscr"/>
      <sheetName val="WorkBased"/>
    </sheetNames>
    <sheetDataSet>
      <sheetData sheetId="0"/>
      <sheetData sheetId="1"/>
      <sheetData sheetId="2"/>
      <sheetData sheetId="3"/>
      <sheetData sheetId="4"/>
      <sheetData sheetId="5">
        <row r="12">
          <cell r="G12">
            <v>-0.14986892900823967</v>
          </cell>
        </row>
        <row r="13">
          <cell r="G13">
            <v>-0.14986892900823967</v>
          </cell>
        </row>
        <row r="14">
          <cell r="G14">
            <v>-0.86713092904123756</v>
          </cell>
        </row>
        <row r="15">
          <cell r="G15">
            <v>-0.21370826062045101</v>
          </cell>
        </row>
        <row r="16">
          <cell r="G16">
            <v>-0.21370826062045101</v>
          </cell>
        </row>
      </sheetData>
      <sheetData sheetId="6"/>
      <sheetData sheetId="7">
        <row r="12">
          <cell r="G12">
            <v>0</v>
          </cell>
        </row>
        <row r="13">
          <cell r="G13">
            <v>0</v>
          </cell>
        </row>
        <row r="14">
          <cell r="G14">
            <v>-0.56554370538783028</v>
          </cell>
        </row>
        <row r="15">
          <cell r="G15">
            <v>-0.18324871283782601</v>
          </cell>
        </row>
        <row r="16">
          <cell r="G16">
            <v>-0.18324871283782601</v>
          </cell>
        </row>
      </sheetData>
      <sheetData sheetId="8">
        <row r="12">
          <cell r="G12">
            <v>-0.56088406404174651</v>
          </cell>
        </row>
        <row r="13">
          <cell r="G13">
            <v>-0.56088406404174651</v>
          </cell>
        </row>
        <row r="14">
          <cell r="G14">
            <v>-0.31917050338493835</v>
          </cell>
        </row>
        <row r="15">
          <cell r="G15">
            <v>-0.123766678676451</v>
          </cell>
        </row>
        <row r="16">
          <cell r="G16">
            <v>-0.123766678676451</v>
          </cell>
        </row>
      </sheetData>
      <sheetData sheetId="9">
        <row r="12">
          <cell r="G12">
            <v>0</v>
          </cell>
        </row>
        <row r="13">
          <cell r="G13">
            <v>0</v>
          </cell>
        </row>
        <row r="14">
          <cell r="G14">
            <v>-0.60549817274913609</v>
          </cell>
        </row>
        <row r="15">
          <cell r="G15">
            <v>-0.10927638842708701</v>
          </cell>
        </row>
        <row r="16">
          <cell r="G16">
            <v>-0.10927638842708701</v>
          </cell>
        </row>
      </sheetData>
      <sheetData sheetId="10">
        <row r="12">
          <cell r="G12">
            <v>-0.78413579510767972</v>
          </cell>
        </row>
        <row r="13">
          <cell r="G13">
            <v>-0.78413579510767972</v>
          </cell>
        </row>
        <row r="14">
          <cell r="G14">
            <v>-0.34846404219197241</v>
          </cell>
        </row>
        <row r="15">
          <cell r="G15">
            <v>-0.13060067927808</v>
          </cell>
        </row>
        <row r="16">
          <cell r="G16">
            <v>-0.13060067927808</v>
          </cell>
        </row>
      </sheetData>
      <sheetData sheetId="11">
        <row r="12">
          <cell r="G12">
            <v>-0.16770688910210765</v>
          </cell>
        </row>
        <row r="13">
          <cell r="G13">
            <v>-0.16770688910210765</v>
          </cell>
        </row>
        <row r="14">
          <cell r="G14">
            <v>-0.49549320005603059</v>
          </cell>
        </row>
        <row r="15">
          <cell r="G15">
            <v>-0.119295888721189</v>
          </cell>
        </row>
        <row r="16">
          <cell r="G16">
            <v>-0.119295888721189</v>
          </cell>
        </row>
      </sheetData>
      <sheetData sheetId="12">
        <row r="12">
          <cell r="G12">
            <v>-0.7925675882562816</v>
          </cell>
        </row>
        <row r="13">
          <cell r="G13">
            <v>-0.7925675882562816</v>
          </cell>
        </row>
        <row r="14">
          <cell r="G14">
            <v>-0.51970902452587597</v>
          </cell>
        </row>
        <row r="15">
          <cell r="G15">
            <v>-0.204473452523388</v>
          </cell>
        </row>
        <row r="16">
          <cell r="G16">
            <v>-0.204473452523388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1F0C0-2A7C-4C85-9CE9-8A6E74B5B9EF}">
  <sheetPr>
    <tabColor theme="1"/>
  </sheetPr>
  <dimension ref="A1:CG68"/>
  <sheetViews>
    <sheetView topLeftCell="B1" workbookViewId="0">
      <pane ySplit="18" topLeftCell="A64" activePane="bottomLeft" state="frozen"/>
      <selection pane="bottomLeft" activeCell="G61" sqref="G61"/>
    </sheetView>
  </sheetViews>
  <sheetFormatPr defaultRowHeight="15" x14ac:dyDescent="0.25"/>
  <cols>
    <col min="1" max="1" width="5" style="4" customWidth="1"/>
    <col min="2" max="2" width="5.140625" style="66" customWidth="1"/>
    <col min="3" max="3" width="16.42578125" customWidth="1"/>
    <col min="6" max="6" width="8.42578125" bestFit="1" customWidth="1"/>
    <col min="8" max="8" width="10.140625" bestFit="1" customWidth="1"/>
    <col min="10" max="10" width="10" customWidth="1"/>
    <col min="14" max="14" width="5.7109375" customWidth="1"/>
    <col min="15" max="15" width="14.5703125" customWidth="1"/>
    <col min="22" max="22" width="10.140625" customWidth="1"/>
    <col min="26" max="26" width="5.5703125" customWidth="1"/>
    <col min="27" max="27" width="11.7109375" customWidth="1"/>
    <col min="34" max="34" width="10" customWidth="1"/>
    <col min="46" max="46" width="9.85546875" customWidth="1"/>
    <col min="58" max="58" width="9.7109375" customWidth="1"/>
    <col min="70" max="70" width="9.85546875" customWidth="1"/>
    <col min="82" max="82" width="10" customWidth="1"/>
  </cols>
  <sheetData>
    <row r="1" spans="1:85" x14ac:dyDescent="0.25">
      <c r="C1" s="63" t="s">
        <v>72</v>
      </c>
      <c r="D1" s="19">
        <v>0</v>
      </c>
      <c r="E1" s="4"/>
      <c r="O1" s="62" t="s">
        <v>85</v>
      </c>
      <c r="P1" s="19">
        <v>0</v>
      </c>
      <c r="Q1" s="4"/>
      <c r="AA1" s="62" t="s">
        <v>87</v>
      </c>
      <c r="AB1" s="19">
        <v>0</v>
      </c>
      <c r="AC1" s="4"/>
      <c r="AM1" s="62" t="s">
        <v>92</v>
      </c>
      <c r="AN1" s="19">
        <v>0</v>
      </c>
      <c r="AO1" s="4"/>
      <c r="AY1" s="62" t="s">
        <v>93</v>
      </c>
      <c r="AZ1" s="19">
        <v>0</v>
      </c>
      <c r="BA1" s="4"/>
      <c r="BK1" s="62" t="s">
        <v>94</v>
      </c>
      <c r="BL1" s="19">
        <v>0</v>
      </c>
      <c r="BM1" s="4"/>
      <c r="BW1" s="62" t="s">
        <v>95</v>
      </c>
      <c r="BX1" s="19">
        <v>0</v>
      </c>
      <c r="BY1" s="4"/>
    </row>
    <row r="2" spans="1:85" x14ac:dyDescent="0.25">
      <c r="C2" s="4"/>
      <c r="D2" s="4"/>
      <c r="E2" s="4"/>
      <c r="O2" s="62"/>
      <c r="P2" s="4"/>
      <c r="Q2" s="4"/>
      <c r="AA2" s="4"/>
      <c r="AB2" s="4"/>
      <c r="AC2" s="4"/>
      <c r="AM2" s="4"/>
      <c r="AN2" s="4"/>
      <c r="AO2" s="4"/>
      <c r="AY2" s="4"/>
      <c r="AZ2" s="4"/>
      <c r="BA2" s="4"/>
      <c r="BK2" s="4"/>
      <c r="BL2" s="4"/>
      <c r="BM2" s="4"/>
      <c r="BW2" s="4"/>
      <c r="BX2" s="4"/>
      <c r="BY2" s="4"/>
    </row>
    <row r="3" spans="1:85" x14ac:dyDescent="0.25">
      <c r="C3" s="4"/>
      <c r="D3" s="4" t="s">
        <v>69</v>
      </c>
      <c r="E3" s="4" t="s">
        <v>70</v>
      </c>
      <c r="O3" s="62"/>
      <c r="P3" s="4" t="s">
        <v>69</v>
      </c>
      <c r="Q3" s="4" t="s">
        <v>70</v>
      </c>
      <c r="AA3" s="4"/>
      <c r="AB3" s="4" t="s">
        <v>69</v>
      </c>
      <c r="AC3" s="4" t="s">
        <v>70</v>
      </c>
      <c r="AM3" s="4"/>
      <c r="AN3" s="4" t="s">
        <v>69</v>
      </c>
      <c r="AO3" s="4" t="s">
        <v>70</v>
      </c>
      <c r="AY3" s="4"/>
      <c r="AZ3" s="4" t="s">
        <v>69</v>
      </c>
      <c r="BA3" s="4" t="s">
        <v>70</v>
      </c>
      <c r="BK3" s="4"/>
      <c r="BL3" s="4" t="s">
        <v>69</v>
      </c>
      <c r="BM3" s="4" t="s">
        <v>70</v>
      </c>
      <c r="BW3" s="4"/>
      <c r="BX3" s="4" t="s">
        <v>69</v>
      </c>
      <c r="BY3" s="4" t="s">
        <v>70</v>
      </c>
    </row>
    <row r="4" spans="1:85" x14ac:dyDescent="0.25">
      <c r="C4" s="62" t="s">
        <v>91</v>
      </c>
      <c r="D4" s="20">
        <f>[1]EscortKids!$G12</f>
        <v>-0.14986892900823967</v>
      </c>
      <c r="E4" s="20">
        <f>MIN(K17,0)</f>
        <v>-0.14986892900823967</v>
      </c>
      <c r="O4" s="62" t="s">
        <v>91</v>
      </c>
      <c r="P4" s="20">
        <f>[1]Shopping!$G12</f>
        <v>0</v>
      </c>
      <c r="Q4" s="20">
        <f>MIN(W17,0)</f>
        <v>0</v>
      </c>
      <c r="AA4" s="62" t="s">
        <v>91</v>
      </c>
      <c r="AB4" s="20">
        <f>[1]OthMaint!$G12</f>
        <v>0</v>
      </c>
      <c r="AC4" s="20">
        <f>MIN(AI17,0)</f>
        <v>0</v>
      </c>
      <c r="AM4" s="62" t="s">
        <v>91</v>
      </c>
      <c r="AN4" s="20">
        <f>[1]EatOut!$G12</f>
        <v>-0.56088406404174651</v>
      </c>
      <c r="AO4" s="20">
        <f>MIN(AU17,0)</f>
        <v>-0.56088406404174651</v>
      </c>
      <c r="AY4" s="62" t="s">
        <v>91</v>
      </c>
      <c r="AZ4" s="20">
        <f>[1]Social!$G12</f>
        <v>-0.78413579510767972</v>
      </c>
      <c r="BA4" s="20">
        <f>MIN(BG17,0)</f>
        <v>-0.78413579510767972</v>
      </c>
      <c r="BK4" s="62" t="s">
        <v>91</v>
      </c>
      <c r="BL4" s="20">
        <f>[1]OthDiscr!$G12</f>
        <v>-0.16770688910210765</v>
      </c>
      <c r="BM4" s="20">
        <f>MIN(BS17,0)</f>
        <v>-0.16770688910210765</v>
      </c>
      <c r="BW4" s="62" t="s">
        <v>91</v>
      </c>
      <c r="BX4" s="20">
        <f>[1]WorkBased!$G12</f>
        <v>-0.7925675882562816</v>
      </c>
      <c r="BY4" s="20">
        <f>MIN(CE17,0)</f>
        <v>-0.7925675882562816</v>
      </c>
    </row>
    <row r="5" spans="1:85" x14ac:dyDescent="0.25">
      <c r="C5" s="62" t="s">
        <v>90</v>
      </c>
      <c r="D5" s="20">
        <f>[1]EscortKids!$G13</f>
        <v>-0.14986892900823967</v>
      </c>
      <c r="E5" s="20">
        <f>MIN(K18-K17,0)</f>
        <v>-0.14986892900823967</v>
      </c>
      <c r="O5" s="62" t="s">
        <v>90</v>
      </c>
      <c r="P5" s="20">
        <f>[1]Shopping!$G13</f>
        <v>0</v>
      </c>
      <c r="Q5" s="20">
        <f>MIN(W18-W17,0)</f>
        <v>0</v>
      </c>
      <c r="AA5" s="62" t="s">
        <v>90</v>
      </c>
      <c r="AB5" s="20">
        <f>[1]OthMaint!$G13</f>
        <v>0</v>
      </c>
      <c r="AC5" s="20">
        <f>MIN(AI18-AI17,0)</f>
        <v>0</v>
      </c>
      <c r="AM5" s="62" t="s">
        <v>90</v>
      </c>
      <c r="AN5" s="20">
        <f>[1]EatOut!$G13</f>
        <v>-0.56088406404174651</v>
      </c>
      <c r="AO5" s="20">
        <f>MIN(AU18-AU17,0)</f>
        <v>-0.56088406404174651</v>
      </c>
      <c r="AY5" s="62" t="s">
        <v>90</v>
      </c>
      <c r="AZ5" s="20">
        <f>[1]Social!$G13</f>
        <v>-0.78413579510767972</v>
      </c>
      <c r="BA5" s="20">
        <f>MIN(BG18-BG17,0)</f>
        <v>-0.78413579510767972</v>
      </c>
      <c r="BK5" s="62" t="s">
        <v>90</v>
      </c>
      <c r="BL5" s="20">
        <f>[1]OthDiscr!$G13</f>
        <v>-0.16770688910210765</v>
      </c>
      <c r="BM5" s="20">
        <f>MIN(BS18-BS17,0)</f>
        <v>-0.16770688910210765</v>
      </c>
      <c r="BW5" s="62" t="s">
        <v>90</v>
      </c>
      <c r="BX5" s="20">
        <f>[1]WorkBased!$G13</f>
        <v>-0.7925675882562816</v>
      </c>
      <c r="BY5" s="20">
        <f>MIN(CE18-CE17,0)</f>
        <v>-0.7925675882562816</v>
      </c>
    </row>
    <row r="6" spans="1:85" x14ac:dyDescent="0.25">
      <c r="C6" s="62" t="s">
        <v>89</v>
      </c>
      <c r="D6" s="20">
        <f>[1]EscortKids!$G14</f>
        <v>-0.86713092904123756</v>
      </c>
      <c r="E6" s="20">
        <f>MIN((K21-K18)/3,0)</f>
        <v>-0.86713092904123756</v>
      </c>
      <c r="O6" s="62" t="s">
        <v>89</v>
      </c>
      <c r="P6" s="20">
        <f>[1]Shopping!$G14</f>
        <v>-0.56554370538783028</v>
      </c>
      <c r="Q6" s="20">
        <f>MIN((W21-W18)/3,0)</f>
        <v>-0.56554370538783028</v>
      </c>
      <c r="AA6" s="62" t="s">
        <v>89</v>
      </c>
      <c r="AB6" s="20">
        <f>[1]OthMaint!$G14</f>
        <v>-0.60549817274913609</v>
      </c>
      <c r="AC6" s="20">
        <f>MIN((AI21-AI18)/3,0)</f>
        <v>-0.60549817274913609</v>
      </c>
      <c r="AM6" s="62" t="s">
        <v>89</v>
      </c>
      <c r="AN6" s="20">
        <f>[1]EatOut!$G14</f>
        <v>-0.31917050338493835</v>
      </c>
      <c r="AO6" s="20">
        <f>MIN((AU21-AU18)/3,0)</f>
        <v>-0.31917050338493835</v>
      </c>
      <c r="AY6" s="62" t="s">
        <v>89</v>
      </c>
      <c r="AZ6" s="20">
        <f>[1]Social!$G14</f>
        <v>-0.34846404219197241</v>
      </c>
      <c r="BA6" s="20">
        <f>MIN((BG21-BG18)/3,0)</f>
        <v>-0.34846404219197247</v>
      </c>
      <c r="BK6" s="62" t="s">
        <v>89</v>
      </c>
      <c r="BL6" s="20">
        <f>[1]OthDiscr!$G14</f>
        <v>-0.49549320005603059</v>
      </c>
      <c r="BM6" s="20">
        <f>MIN((BS21-BS18)/3,0)</f>
        <v>-0.49549320005603059</v>
      </c>
      <c r="BW6" s="62" t="s">
        <v>89</v>
      </c>
      <c r="BX6" s="20">
        <f>[1]WorkBased!$G14</f>
        <v>-0.51970902452587597</v>
      </c>
      <c r="BY6" s="20">
        <f>MIN((CE21-CE18)/3,0)</f>
        <v>-0.51970902452587608</v>
      </c>
    </row>
    <row r="7" spans="1:85" x14ac:dyDescent="0.25">
      <c r="C7" s="62" t="s">
        <v>88</v>
      </c>
      <c r="D7" s="20">
        <f>[1]EscortKids!$G15</f>
        <v>-0.21370826062045101</v>
      </c>
      <c r="E7" s="20">
        <f>MIN((K31-K21)/10,0)</f>
        <v>-0.21370826062045101</v>
      </c>
      <c r="O7" s="62" t="s">
        <v>88</v>
      </c>
      <c r="P7" s="20">
        <f>[1]Shopping!$G15</f>
        <v>-0.18324871283782601</v>
      </c>
      <c r="Q7" s="20">
        <f>MIN((W31-W21)/10,0)</f>
        <v>-0.18324871283782596</v>
      </c>
      <c r="AA7" s="62" t="s">
        <v>88</v>
      </c>
      <c r="AB7" s="20">
        <f>[1]OthMaint!$G15</f>
        <v>-0.10927638842708701</v>
      </c>
      <c r="AC7" s="20">
        <f>MIN((AI31-AI21)/10,0)</f>
        <v>-0.10927638842708691</v>
      </c>
      <c r="AM7" s="62" t="s">
        <v>88</v>
      </c>
      <c r="AN7" s="20">
        <f>[1]EatOut!$G15</f>
        <v>-0.123766678676451</v>
      </c>
      <c r="AO7" s="20">
        <f>MIN((AU31-AU21)/10,0)</f>
        <v>-0.12376667867645086</v>
      </c>
      <c r="AY7" s="62" t="s">
        <v>88</v>
      </c>
      <c r="AZ7" s="20">
        <f>[1]Social!$G15</f>
        <v>-0.13060067927808</v>
      </c>
      <c r="BA7" s="20">
        <f>MIN((BG31-BG21)/10,0)</f>
        <v>-0.13060067927807983</v>
      </c>
      <c r="BK7" s="62" t="s">
        <v>88</v>
      </c>
      <c r="BL7" s="20">
        <f>[1]OthDiscr!$G15</f>
        <v>-0.119295888721189</v>
      </c>
      <c r="BM7" s="20">
        <f>MIN((BS31-BS21)/10,0)</f>
        <v>-0.11929588872118883</v>
      </c>
      <c r="BW7" s="62" t="s">
        <v>88</v>
      </c>
      <c r="BX7" s="20">
        <f>[1]WorkBased!$G15</f>
        <v>-0.204473452523388</v>
      </c>
      <c r="BY7" s="20">
        <f>MIN((CE31-CE21)/10,0)</f>
        <v>-0.20447345252338778</v>
      </c>
    </row>
    <row r="8" spans="1:85" x14ac:dyDescent="0.25">
      <c r="C8" s="62" t="s">
        <v>71</v>
      </c>
      <c r="D8" s="20">
        <f>[1]EscortKids!$G16</f>
        <v>-0.21370826062045101</v>
      </c>
      <c r="E8" s="20">
        <f>MIN((K46-K31)/15,0)</f>
        <v>-0.21370826062045095</v>
      </c>
      <c r="O8" s="62" t="s">
        <v>71</v>
      </c>
      <c r="P8" s="20">
        <f>[1]Shopping!$G16</f>
        <v>-0.18324871283782601</v>
      </c>
      <c r="Q8" s="20">
        <f>MIN((W46-W31)/15,0)</f>
        <v>-0.18324871283782598</v>
      </c>
      <c r="AA8" s="62" t="s">
        <v>71</v>
      </c>
      <c r="AB8" s="20">
        <f>[1]OthMaint!$G16</f>
        <v>-0.10927638842708701</v>
      </c>
      <c r="AC8" s="20">
        <f>MIN((AI46-AI31)/15,0)</f>
        <v>-0.10927638842708705</v>
      </c>
      <c r="AM8" s="62" t="s">
        <v>71</v>
      </c>
      <c r="AN8" s="20">
        <f>[1]EatOut!$G16</f>
        <v>-0.123766678676451</v>
      </c>
      <c r="AO8" s="20">
        <f>MIN((AU46-AU31)/15,0)</f>
        <v>-0.12376667867645086</v>
      </c>
      <c r="AY8" s="62" t="s">
        <v>71</v>
      </c>
      <c r="AZ8" s="20">
        <f>[1]Social!$G16</f>
        <v>-0.13060067927808</v>
      </c>
      <c r="BA8" s="20">
        <f>MIN((BG46-BG31)/15,0)</f>
        <v>-0.13060067927808028</v>
      </c>
      <c r="BK8" s="62" t="s">
        <v>71</v>
      </c>
      <c r="BL8" s="20">
        <f>[1]OthDiscr!$G16</f>
        <v>-0.119295888721189</v>
      </c>
      <c r="BM8" s="20">
        <f>MIN((BS46-BS31)/15,0)</f>
        <v>-0.11929588872118897</v>
      </c>
      <c r="BW8" s="62" t="s">
        <v>71</v>
      </c>
      <c r="BX8" s="20">
        <f>[1]WorkBased!$G16</f>
        <v>-0.204473452523388</v>
      </c>
      <c r="BY8" s="20">
        <f>MIN((CE46-CE31)/15,0)</f>
        <v>-0.20447345252338778</v>
      </c>
    </row>
    <row r="9" spans="1:85" x14ac:dyDescent="0.25">
      <c r="C9" s="62"/>
      <c r="D9" s="20"/>
      <c r="E9" s="20"/>
      <c r="O9" s="62"/>
      <c r="P9" s="20"/>
      <c r="Q9" s="20"/>
      <c r="AA9" s="62"/>
      <c r="AB9" s="20"/>
      <c r="AC9" s="20"/>
      <c r="AM9" s="62"/>
      <c r="AN9" s="20"/>
      <c r="AO9" s="20"/>
      <c r="AY9" s="62"/>
      <c r="AZ9" s="20"/>
      <c r="BA9" s="20"/>
      <c r="BK9" s="62"/>
      <c r="BL9" s="20"/>
      <c r="BM9" s="20"/>
      <c r="BW9" s="62"/>
      <c r="BX9" s="20"/>
      <c r="BY9" s="20"/>
    </row>
    <row r="10" spans="1:85" x14ac:dyDescent="0.25">
      <c r="C10" s="4"/>
      <c r="D10" s="20"/>
      <c r="E10" s="20"/>
    </row>
    <row r="11" spans="1:85" x14ac:dyDescent="0.25">
      <c r="C11" s="59" t="s">
        <v>55</v>
      </c>
      <c r="D11" s="60"/>
      <c r="E11" s="60"/>
      <c r="F11" s="61"/>
      <c r="G11" s="61"/>
      <c r="H11" s="61"/>
      <c r="I11" s="61"/>
      <c r="J11" s="61"/>
      <c r="K11" s="61"/>
      <c r="L11" s="61"/>
      <c r="M11" s="61"/>
      <c r="O11" s="59" t="s">
        <v>86</v>
      </c>
      <c r="P11" s="60"/>
      <c r="Q11" s="60"/>
      <c r="R11" s="61"/>
      <c r="S11" s="61"/>
      <c r="T11" s="61"/>
      <c r="U11" s="61"/>
      <c r="V11" s="61"/>
      <c r="W11" s="61"/>
      <c r="X11" s="61"/>
      <c r="Y11" s="61"/>
      <c r="AA11" s="59" t="s">
        <v>57</v>
      </c>
      <c r="AB11" s="60"/>
      <c r="AC11" s="60"/>
      <c r="AD11" s="61"/>
      <c r="AE11" s="61"/>
      <c r="AF11" s="61"/>
      <c r="AG11" s="61"/>
      <c r="AH11" s="61"/>
      <c r="AI11" s="61"/>
      <c r="AJ11" s="61"/>
      <c r="AK11" s="61"/>
      <c r="AM11" s="59" t="s">
        <v>58</v>
      </c>
      <c r="AN11" s="60"/>
      <c r="AO11" s="60"/>
      <c r="AP11" s="61"/>
      <c r="AQ11" s="61"/>
      <c r="AR11" s="61"/>
      <c r="AS11" s="61"/>
      <c r="AT11" s="61"/>
      <c r="AU11" s="61"/>
      <c r="AV11" s="61"/>
      <c r="AW11" s="61"/>
      <c r="AY11" s="59" t="s">
        <v>97</v>
      </c>
      <c r="AZ11" s="60"/>
      <c r="BA11" s="60"/>
      <c r="BB11" s="61"/>
      <c r="BC11" s="61"/>
      <c r="BD11" s="61"/>
      <c r="BE11" s="61"/>
      <c r="BF11" s="61"/>
      <c r="BG11" s="61"/>
      <c r="BH11" s="61"/>
      <c r="BI11" s="61"/>
      <c r="BK11" s="59" t="s">
        <v>56</v>
      </c>
      <c r="BL11" s="60"/>
      <c r="BM11" s="60"/>
      <c r="BN11" s="61"/>
      <c r="BO11" s="61"/>
      <c r="BP11" s="61"/>
      <c r="BQ11" s="61"/>
      <c r="BR11" s="61"/>
      <c r="BS11" s="61"/>
      <c r="BT11" s="61"/>
      <c r="BU11" s="61"/>
      <c r="BW11" s="59" t="s">
        <v>96</v>
      </c>
      <c r="BX11" s="60"/>
      <c r="BY11" s="60"/>
      <c r="BZ11" s="61"/>
      <c r="CA11" s="61"/>
      <c r="CB11" s="61"/>
      <c r="CC11" s="61"/>
      <c r="CD11" s="61"/>
      <c r="CE11" s="61"/>
      <c r="CF11" s="61"/>
      <c r="CG11" s="61"/>
    </row>
    <row r="12" spans="1:85" x14ac:dyDescent="0.25">
      <c r="C12" s="2" t="s">
        <v>52</v>
      </c>
      <c r="D12" s="1"/>
      <c r="E12" s="1"/>
      <c r="F12" s="1"/>
      <c r="O12" s="2" t="s">
        <v>52</v>
      </c>
      <c r="P12" s="1"/>
      <c r="Q12" s="1"/>
      <c r="R12" s="1"/>
      <c r="AA12" s="2" t="s">
        <v>52</v>
      </c>
      <c r="AB12" s="1"/>
      <c r="AC12" s="1"/>
      <c r="AD12" s="1"/>
      <c r="AM12" s="2" t="s">
        <v>52</v>
      </c>
      <c r="AN12" s="1"/>
      <c r="AO12" s="1"/>
      <c r="AP12" s="1"/>
      <c r="AY12" s="2" t="s">
        <v>52</v>
      </c>
      <c r="AZ12" s="1"/>
      <c r="BA12" s="1"/>
      <c r="BB12" s="1"/>
      <c r="BK12" s="2" t="s">
        <v>52</v>
      </c>
      <c r="BL12" s="1"/>
      <c r="BM12" s="1"/>
      <c r="BN12" s="1"/>
      <c r="BW12" s="2" t="s">
        <v>52</v>
      </c>
      <c r="BX12" s="1"/>
      <c r="BY12" s="1"/>
      <c r="BZ12" s="1"/>
    </row>
    <row r="13" spans="1:85" x14ac:dyDescent="0.25">
      <c r="D13" s="25"/>
      <c r="E13" s="25"/>
      <c r="F13" s="26"/>
      <c r="O13" s="25"/>
      <c r="P13" s="25"/>
      <c r="Q13" s="25"/>
      <c r="R13" s="26"/>
      <c r="AA13" s="25"/>
      <c r="AB13" s="25"/>
      <c r="AC13" s="25"/>
      <c r="AD13" s="26"/>
      <c r="AM13" s="25"/>
      <c r="AN13" s="25"/>
      <c r="AO13" s="25"/>
      <c r="AP13" s="26"/>
      <c r="AY13" s="25"/>
      <c r="AZ13" s="25"/>
      <c r="BA13" s="25"/>
      <c r="BB13" s="26"/>
      <c r="BK13" s="25"/>
      <c r="BL13" s="25"/>
      <c r="BM13" s="25"/>
      <c r="BN13" s="26"/>
      <c r="BW13" s="25"/>
      <c r="BX13" s="25"/>
      <c r="BY13" s="25"/>
      <c r="BZ13" s="26"/>
    </row>
    <row r="14" spans="1:85" x14ac:dyDescent="0.25">
      <c r="C14" s="3"/>
      <c r="D14" s="102" t="s">
        <v>73</v>
      </c>
      <c r="E14" s="103"/>
      <c r="F14" s="101" t="s">
        <v>76</v>
      </c>
      <c r="G14" s="101"/>
      <c r="H14" s="100"/>
      <c r="I14" s="99" t="s">
        <v>80</v>
      </c>
      <c r="J14" s="100"/>
      <c r="K14" s="27" t="s">
        <v>83</v>
      </c>
      <c r="L14" s="99" t="s">
        <v>84</v>
      </c>
      <c r="M14" s="100"/>
      <c r="O14" s="3"/>
      <c r="P14" s="102" t="s">
        <v>73</v>
      </c>
      <c r="Q14" s="103"/>
      <c r="R14" s="101" t="s">
        <v>76</v>
      </c>
      <c r="S14" s="101"/>
      <c r="T14" s="100"/>
      <c r="U14" s="99" t="s">
        <v>80</v>
      </c>
      <c r="V14" s="100"/>
      <c r="W14" s="27" t="s">
        <v>83</v>
      </c>
      <c r="X14" s="99" t="s">
        <v>84</v>
      </c>
      <c r="Y14" s="100"/>
      <c r="AA14" s="3"/>
      <c r="AB14" s="102" t="s">
        <v>73</v>
      </c>
      <c r="AC14" s="103"/>
      <c r="AD14" s="101" t="s">
        <v>76</v>
      </c>
      <c r="AE14" s="101"/>
      <c r="AF14" s="100"/>
      <c r="AG14" s="99" t="s">
        <v>80</v>
      </c>
      <c r="AH14" s="100"/>
      <c r="AI14" s="27" t="s">
        <v>83</v>
      </c>
      <c r="AJ14" s="99" t="s">
        <v>84</v>
      </c>
      <c r="AK14" s="100"/>
      <c r="AM14" s="3"/>
      <c r="AN14" s="102" t="s">
        <v>73</v>
      </c>
      <c r="AO14" s="103"/>
      <c r="AP14" s="101" t="s">
        <v>76</v>
      </c>
      <c r="AQ14" s="101"/>
      <c r="AR14" s="100"/>
      <c r="AS14" s="99" t="s">
        <v>80</v>
      </c>
      <c r="AT14" s="100"/>
      <c r="AU14" s="27" t="s">
        <v>83</v>
      </c>
      <c r="AV14" s="99" t="s">
        <v>84</v>
      </c>
      <c r="AW14" s="100"/>
      <c r="AY14" s="3"/>
      <c r="AZ14" s="102" t="s">
        <v>73</v>
      </c>
      <c r="BA14" s="103"/>
      <c r="BB14" s="101" t="s">
        <v>76</v>
      </c>
      <c r="BC14" s="101"/>
      <c r="BD14" s="100"/>
      <c r="BE14" s="99" t="s">
        <v>80</v>
      </c>
      <c r="BF14" s="100"/>
      <c r="BG14" s="27" t="s">
        <v>83</v>
      </c>
      <c r="BH14" s="99" t="s">
        <v>84</v>
      </c>
      <c r="BI14" s="100"/>
      <c r="BK14" s="3"/>
      <c r="BL14" s="102" t="s">
        <v>73</v>
      </c>
      <c r="BM14" s="103"/>
      <c r="BN14" s="101" t="s">
        <v>76</v>
      </c>
      <c r="BO14" s="101"/>
      <c r="BP14" s="100"/>
      <c r="BQ14" s="99" t="s">
        <v>80</v>
      </c>
      <c r="BR14" s="100"/>
      <c r="BS14" s="27" t="s">
        <v>83</v>
      </c>
      <c r="BT14" s="99" t="s">
        <v>84</v>
      </c>
      <c r="BU14" s="100"/>
      <c r="BW14" s="3"/>
      <c r="BX14" s="102" t="s">
        <v>73</v>
      </c>
      <c r="BY14" s="103"/>
      <c r="BZ14" s="101" t="s">
        <v>76</v>
      </c>
      <c r="CA14" s="101"/>
      <c r="CB14" s="100"/>
      <c r="CC14" s="99" t="s">
        <v>80</v>
      </c>
      <c r="CD14" s="100"/>
      <c r="CE14" s="27" t="s">
        <v>83</v>
      </c>
      <c r="CF14" s="99" t="s">
        <v>84</v>
      </c>
      <c r="CG14" s="100"/>
    </row>
    <row r="15" spans="1:85" ht="26.25" x14ac:dyDescent="0.25">
      <c r="A15" s="80" t="s">
        <v>99</v>
      </c>
      <c r="B15" s="82" t="s">
        <v>100</v>
      </c>
      <c r="C15" s="5" t="s">
        <v>0</v>
      </c>
      <c r="D15" s="31" t="s">
        <v>74</v>
      </c>
      <c r="E15" s="42" t="s">
        <v>75</v>
      </c>
      <c r="F15" s="32" t="s">
        <v>77</v>
      </c>
      <c r="G15" s="32" t="s">
        <v>78</v>
      </c>
      <c r="H15" s="33" t="s">
        <v>79</v>
      </c>
      <c r="I15" s="28" t="s">
        <v>81</v>
      </c>
      <c r="J15" s="29" t="s">
        <v>82</v>
      </c>
      <c r="K15" s="30" t="s">
        <v>75</v>
      </c>
      <c r="L15" s="28" t="s">
        <v>74</v>
      </c>
      <c r="M15" s="29" t="s">
        <v>75</v>
      </c>
      <c r="O15" s="5" t="s">
        <v>0</v>
      </c>
      <c r="P15" s="31" t="s">
        <v>74</v>
      </c>
      <c r="Q15" s="42" t="s">
        <v>75</v>
      </c>
      <c r="R15" s="32" t="s">
        <v>77</v>
      </c>
      <c r="S15" s="32" t="s">
        <v>78</v>
      </c>
      <c r="T15" s="33" t="s">
        <v>79</v>
      </c>
      <c r="U15" s="28" t="s">
        <v>81</v>
      </c>
      <c r="V15" s="29" t="s">
        <v>82</v>
      </c>
      <c r="W15" s="30" t="s">
        <v>75</v>
      </c>
      <c r="X15" s="28" t="s">
        <v>74</v>
      </c>
      <c r="Y15" s="29" t="s">
        <v>75</v>
      </c>
      <c r="AA15" s="5" t="s">
        <v>0</v>
      </c>
      <c r="AB15" s="31" t="s">
        <v>74</v>
      </c>
      <c r="AC15" s="42" t="s">
        <v>75</v>
      </c>
      <c r="AD15" s="32" t="s">
        <v>77</v>
      </c>
      <c r="AE15" s="32" t="s">
        <v>78</v>
      </c>
      <c r="AF15" s="33" t="s">
        <v>79</v>
      </c>
      <c r="AG15" s="28" t="s">
        <v>81</v>
      </c>
      <c r="AH15" s="29" t="s">
        <v>82</v>
      </c>
      <c r="AI15" s="30" t="s">
        <v>75</v>
      </c>
      <c r="AJ15" s="28" t="s">
        <v>74</v>
      </c>
      <c r="AK15" s="29" t="s">
        <v>75</v>
      </c>
      <c r="AM15" s="5" t="s">
        <v>0</v>
      </c>
      <c r="AN15" s="31" t="s">
        <v>74</v>
      </c>
      <c r="AO15" s="42" t="s">
        <v>75</v>
      </c>
      <c r="AP15" s="32" t="s">
        <v>77</v>
      </c>
      <c r="AQ15" s="32" t="s">
        <v>78</v>
      </c>
      <c r="AR15" s="33" t="s">
        <v>79</v>
      </c>
      <c r="AS15" s="28" t="s">
        <v>81</v>
      </c>
      <c r="AT15" s="29" t="s">
        <v>82</v>
      </c>
      <c r="AU15" s="30" t="s">
        <v>75</v>
      </c>
      <c r="AV15" s="28" t="s">
        <v>74</v>
      </c>
      <c r="AW15" s="29" t="s">
        <v>75</v>
      </c>
      <c r="AY15" s="5" t="s">
        <v>0</v>
      </c>
      <c r="AZ15" s="31" t="s">
        <v>74</v>
      </c>
      <c r="BA15" s="42" t="s">
        <v>75</v>
      </c>
      <c r="BB15" s="32" t="s">
        <v>77</v>
      </c>
      <c r="BC15" s="32" t="s">
        <v>78</v>
      </c>
      <c r="BD15" s="33" t="s">
        <v>79</v>
      </c>
      <c r="BE15" s="28" t="s">
        <v>81</v>
      </c>
      <c r="BF15" s="29" t="s">
        <v>82</v>
      </c>
      <c r="BG15" s="30" t="s">
        <v>75</v>
      </c>
      <c r="BH15" s="28" t="s">
        <v>74</v>
      </c>
      <c r="BI15" s="29" t="s">
        <v>75</v>
      </c>
      <c r="BK15" s="5" t="s">
        <v>0</v>
      </c>
      <c r="BL15" s="31" t="s">
        <v>74</v>
      </c>
      <c r="BM15" s="42" t="s">
        <v>75</v>
      </c>
      <c r="BN15" s="32" t="s">
        <v>77</v>
      </c>
      <c r="BO15" s="32" t="s">
        <v>78</v>
      </c>
      <c r="BP15" s="33" t="s">
        <v>79</v>
      </c>
      <c r="BQ15" s="28" t="s">
        <v>81</v>
      </c>
      <c r="BR15" s="29" t="s">
        <v>82</v>
      </c>
      <c r="BS15" s="30" t="s">
        <v>75</v>
      </c>
      <c r="BT15" s="28" t="s">
        <v>74</v>
      </c>
      <c r="BU15" s="29" t="s">
        <v>75</v>
      </c>
      <c r="BW15" s="5" t="s">
        <v>0</v>
      </c>
      <c r="BX15" s="31" t="s">
        <v>74</v>
      </c>
      <c r="BY15" s="42" t="s">
        <v>75</v>
      </c>
      <c r="BZ15" s="32" t="s">
        <v>77</v>
      </c>
      <c r="CA15" s="32" t="s">
        <v>78</v>
      </c>
      <c r="CB15" s="33" t="s">
        <v>79</v>
      </c>
      <c r="CC15" s="28" t="s">
        <v>81</v>
      </c>
      <c r="CD15" s="29" t="s">
        <v>82</v>
      </c>
      <c r="CE15" s="30" t="s">
        <v>75</v>
      </c>
      <c r="CF15" s="28" t="s">
        <v>74</v>
      </c>
      <c r="CG15" s="29" t="s">
        <v>75</v>
      </c>
    </row>
    <row r="16" spans="1:85" x14ac:dyDescent="0.25">
      <c r="A16" s="81">
        <v>0.5</v>
      </c>
      <c r="B16" s="83">
        <v>0</v>
      </c>
      <c r="C16" s="37" t="s">
        <v>1</v>
      </c>
      <c r="D16" s="21">
        <f>D4</f>
        <v>-0.14986892900823967</v>
      </c>
      <c r="E16" s="23">
        <v>0</v>
      </c>
      <c r="F16" s="34">
        <f>MAX('BATS 2023 TLFD'!M4,0.0001)</f>
        <v>0.1388914247676615</v>
      </c>
      <c r="G16" s="43">
        <f>modeldata!B4/modeldata!B$156</f>
        <v>6.6666666666666671E-3</v>
      </c>
      <c r="H16" s="46">
        <f>IF(F16&gt;0,(G16-F16)/F16,"")</f>
        <v>-0.95200087638370257</v>
      </c>
      <c r="I16" s="49">
        <f t="shared" ref="I16:I47" si="0">damp_escort*LN(F16/G16)</f>
        <v>0</v>
      </c>
      <c r="J16" s="50">
        <f t="shared" ref="J16:J66" si="1">I16-I$16</f>
        <v>0</v>
      </c>
      <c r="K16" s="51">
        <f t="shared" ref="K16:K66" si="2">SUM(E16,J16)</f>
        <v>0</v>
      </c>
      <c r="L16" s="52">
        <f>E4</f>
        <v>-0.14986892900823967</v>
      </c>
      <c r="M16" s="84">
        <v>0</v>
      </c>
      <c r="O16" s="37" t="s">
        <v>1</v>
      </c>
      <c r="P16" s="21">
        <f>P4</f>
        <v>0</v>
      </c>
      <c r="Q16" s="23">
        <v>0</v>
      </c>
      <c r="R16" s="34">
        <f>MAX('BATS 2023 TLFD'!N4,0.0001)</f>
        <v>0.17010654159153002</v>
      </c>
      <c r="S16" s="43">
        <f>modeldata!C4/modeldata!C$156</f>
        <v>6.6666666666666671E-3</v>
      </c>
      <c r="T16" s="46">
        <f>IF(R16&gt;0,(S16-R16)/R16,"")</f>
        <v>-0.96080887540071769</v>
      </c>
      <c r="U16" s="49">
        <f t="shared" ref="U16:U47" si="3">damp_shopping*LN(R16/S16)</f>
        <v>0</v>
      </c>
      <c r="V16" s="50">
        <f t="shared" ref="V16:V66" si="4">U16-U$16</f>
        <v>0</v>
      </c>
      <c r="W16" s="51">
        <f t="shared" ref="W16:W66" si="5">SUM(Q16,V16)</f>
        <v>0</v>
      </c>
      <c r="X16" s="52">
        <f>Q4</f>
        <v>0</v>
      </c>
      <c r="Y16" s="84">
        <v>0</v>
      </c>
      <c r="AA16" s="37" t="s">
        <v>1</v>
      </c>
      <c r="AB16" s="21">
        <f>AB4</f>
        <v>0</v>
      </c>
      <c r="AC16" s="23">
        <v>0</v>
      </c>
      <c r="AD16" s="34">
        <f>MAX('BATS 2023 TLFD'!O4,0.0001)</f>
        <v>0.11968013023429461</v>
      </c>
      <c r="AE16" s="43">
        <f>modeldata!D4/modeldata!D$156</f>
        <v>6.6666666666666671E-3</v>
      </c>
      <c r="AF16" s="46">
        <f>IF(AD16&gt;0,(AE16-AD16)/AD16,"")</f>
        <v>-0.94429596079469902</v>
      </c>
      <c r="AG16" s="49">
        <f t="shared" ref="AG16:AG47" si="6">damp_maint*LN(AD16/AE16)</f>
        <v>0</v>
      </c>
      <c r="AH16" s="50">
        <f t="shared" ref="AH16:AH66" si="7">AG16-AG$16</f>
        <v>0</v>
      </c>
      <c r="AI16" s="51">
        <f t="shared" ref="AI16:AI66" si="8">SUM(AC16,AH16)</f>
        <v>0</v>
      </c>
      <c r="AJ16" s="52">
        <f>AC4</f>
        <v>0</v>
      </c>
      <c r="AK16" s="84">
        <v>0</v>
      </c>
      <c r="AM16" s="37" t="s">
        <v>1</v>
      </c>
      <c r="AN16" s="21">
        <f>AN4</f>
        <v>-0.56088406404174651</v>
      </c>
      <c r="AO16" s="23">
        <v>0</v>
      </c>
      <c r="AP16" s="34">
        <f>MAX('BATS 2023 TLFD'!P4,0.0001)</f>
        <v>0.22767743472439714</v>
      </c>
      <c r="AQ16" s="43">
        <f>modeldata!E4/modeldata!E$156</f>
        <v>6.6666666666666671E-3</v>
      </c>
      <c r="AR16" s="46">
        <f>IF(AP16&gt;0,(AQ16-AP16)/AP16,"")</f>
        <v>-0.97071880805958377</v>
      </c>
      <c r="AS16" s="49">
        <f t="shared" ref="AS16:AS47" si="9">damp_eatout*LN(AP16/AQ16)</f>
        <v>0</v>
      </c>
      <c r="AT16" s="50">
        <f t="shared" ref="AT16:AT66" si="10">AS16-AS$16</f>
        <v>0</v>
      </c>
      <c r="AU16" s="51">
        <f t="shared" ref="AU16:AU66" si="11">SUM(AO16,AT16)</f>
        <v>0</v>
      </c>
      <c r="AV16" s="52">
        <f>AO4</f>
        <v>-0.56088406404174651</v>
      </c>
      <c r="AW16" s="84">
        <v>0</v>
      </c>
      <c r="AY16" s="37" t="s">
        <v>1</v>
      </c>
      <c r="AZ16" s="21">
        <f>AZ4</f>
        <v>-0.78413579510767972</v>
      </c>
      <c r="BA16" s="23">
        <v>0</v>
      </c>
      <c r="BB16" s="34">
        <f>MAX('BATS 2023 TLFD'!Q4,0.0001)</f>
        <v>0.31136797174951525</v>
      </c>
      <c r="BC16" s="43">
        <f>modeldata!F4/modeldata!F$156</f>
        <v>6.6666666666666671E-3</v>
      </c>
      <c r="BD16" s="46">
        <f>IF(BB16&gt;0,(BC16-BB16)/BB16,"")</f>
        <v>-0.97858910590833104</v>
      </c>
      <c r="BE16" s="49">
        <f t="shared" ref="BE16:BE47" si="12">damp_social*LN(BB16/BC16)</f>
        <v>0</v>
      </c>
      <c r="BF16" s="50">
        <f t="shared" ref="BF16:BF66" si="13">BE16-BE$16</f>
        <v>0</v>
      </c>
      <c r="BG16" s="51">
        <f t="shared" ref="BG16:BG66" si="14">SUM(BA16,BF16)</f>
        <v>0</v>
      </c>
      <c r="BH16" s="52">
        <f>BA4</f>
        <v>-0.78413579510767972</v>
      </c>
      <c r="BI16" s="84">
        <v>0</v>
      </c>
      <c r="BK16" s="37" t="s">
        <v>1</v>
      </c>
      <c r="BL16" s="21">
        <f>BL4</f>
        <v>-0.16770688910210765</v>
      </c>
      <c r="BM16" s="23">
        <v>0</v>
      </c>
      <c r="BN16" s="34">
        <f>MAX('BATS 2023 TLFD'!R4,0.0001)</f>
        <v>0.28931003637265068</v>
      </c>
      <c r="BO16" s="43">
        <f>modeldata!G4/modeldata!G$156</f>
        <v>6.6666666666666671E-3</v>
      </c>
      <c r="BP16" s="46">
        <f>IF(BN16&gt;0,(BO16-BN16)/BN16,"")</f>
        <v>-0.9769566699093718</v>
      </c>
      <c r="BQ16" s="49">
        <f t="shared" ref="BQ16:BQ47" si="15">damp_discr*LN(BN16/BO16)</f>
        <v>0</v>
      </c>
      <c r="BR16" s="50">
        <f t="shared" ref="BR16:BR66" si="16">BQ16-BQ$16</f>
        <v>0</v>
      </c>
      <c r="BS16" s="51">
        <f t="shared" ref="BS16:BS66" si="17">SUM(BM16,BR16)</f>
        <v>0</v>
      </c>
      <c r="BT16" s="52">
        <f>BM4</f>
        <v>-0.16770688910210765</v>
      </c>
      <c r="BU16" s="84">
        <v>0</v>
      </c>
      <c r="BW16" s="37" t="s">
        <v>1</v>
      </c>
      <c r="BX16" s="21">
        <f>BX4</f>
        <v>-0.7925675882562816</v>
      </c>
      <c r="BY16" s="23">
        <v>0</v>
      </c>
      <c r="BZ16" s="34">
        <f>MAX('BATS 2023 TLFD'!S4,0.0001)</f>
        <v>0.45134914191083592</v>
      </c>
      <c r="CA16" s="43">
        <f>modeldata!H4/modeldata!H$156</f>
        <v>6.6666666666666671E-3</v>
      </c>
      <c r="CB16" s="46">
        <f>IF(BZ16&gt;0,(CA16-BZ16)/BZ16,"")</f>
        <v>-0.9852294686139369</v>
      </c>
      <c r="CC16" s="49">
        <f t="shared" ref="CC16:CC47" si="18">damp_atwork*LN(BZ16/CA16)</f>
        <v>0</v>
      </c>
      <c r="CD16" s="50">
        <f t="shared" ref="CD16:CD66" si="19">CC16-CC$16</f>
        <v>0</v>
      </c>
      <c r="CE16" s="51">
        <f t="shared" ref="CE16:CE66" si="20">SUM(BY16,CD16)</f>
        <v>0</v>
      </c>
      <c r="CF16" s="52">
        <f>BY4</f>
        <v>-0.7925675882562816</v>
      </c>
      <c r="CG16" s="84">
        <v>0</v>
      </c>
    </row>
    <row r="17" spans="1:85" x14ac:dyDescent="0.25">
      <c r="A17" s="81">
        <f>A16+1</f>
        <v>1.5</v>
      </c>
      <c r="B17" s="83">
        <f>B16+1</f>
        <v>1</v>
      </c>
      <c r="C17" s="38" t="s">
        <v>2</v>
      </c>
      <c r="D17" s="22">
        <f>D5</f>
        <v>-0.14986892900823967</v>
      </c>
      <c r="E17" s="24">
        <f>D16+E16</f>
        <v>-0.14986892900823967</v>
      </c>
      <c r="F17" s="35">
        <f>MAX('BATS 2023 TLFD'!M5,0.0001)</f>
        <v>0.18583591478650557</v>
      </c>
      <c r="G17" s="44">
        <f>modeldata!B5/modeldata!B$156</f>
        <v>6.6666666666666671E-3</v>
      </c>
      <c r="H17" s="47">
        <f t="shared" ref="H17:H66" si="21">IF(F17&gt;0,(G17-F17)/F17,"")</f>
        <v>-0.96412605887120617</v>
      </c>
      <c r="I17" s="53">
        <f t="shared" si="0"/>
        <v>0</v>
      </c>
      <c r="J17" s="54">
        <f t="shared" si="1"/>
        <v>0</v>
      </c>
      <c r="K17" s="55">
        <f t="shared" si="2"/>
        <v>-0.14986892900823967</v>
      </c>
      <c r="L17" s="56">
        <f>E5</f>
        <v>-0.14986892900823967</v>
      </c>
      <c r="M17" s="57">
        <f>M16+L16</f>
        <v>-0.14986892900823967</v>
      </c>
      <c r="O17" s="38" t="s">
        <v>2</v>
      </c>
      <c r="P17" s="22">
        <f>P5</f>
        <v>0</v>
      </c>
      <c r="Q17" s="24">
        <f>P16+Q16</f>
        <v>0</v>
      </c>
      <c r="R17" s="35">
        <f>MAX('BATS 2023 TLFD'!N5,0.0001)</f>
        <v>0.23382262488619271</v>
      </c>
      <c r="S17" s="44">
        <f>modeldata!C5/modeldata!C$156</f>
        <v>6.6666666666666671E-3</v>
      </c>
      <c r="T17" s="47">
        <f t="shared" ref="T17:T66" si="22">IF(R17&gt;0,(S17-R17)/R17,"")</f>
        <v>-0.97148835930692556</v>
      </c>
      <c r="U17" s="53">
        <f t="shared" si="3"/>
        <v>0</v>
      </c>
      <c r="V17" s="54">
        <f t="shared" si="4"/>
        <v>0</v>
      </c>
      <c r="W17" s="55">
        <f t="shared" si="5"/>
        <v>0</v>
      </c>
      <c r="X17" s="56">
        <f>Q5</f>
        <v>0</v>
      </c>
      <c r="Y17" s="57">
        <f>Y16+X16</f>
        <v>0</v>
      </c>
      <c r="AA17" s="38" t="s">
        <v>2</v>
      </c>
      <c r="AB17" s="22">
        <f>AB5</f>
        <v>0</v>
      </c>
      <c r="AC17" s="24">
        <f>AB16+AC16</f>
        <v>0</v>
      </c>
      <c r="AD17" s="35">
        <f>MAX('BATS 2023 TLFD'!O5,0.0001)</f>
        <v>0.18547930221035949</v>
      </c>
      <c r="AE17" s="44">
        <f>modeldata!D5/modeldata!D$156</f>
        <v>6.6666666666666671E-3</v>
      </c>
      <c r="AF17" s="47">
        <f t="shared" ref="AF17:AF66" si="23">IF(AD17&gt;0,(AE17-AD17)/AD17,"")</f>
        <v>-0.96405708568438697</v>
      </c>
      <c r="AG17" s="53">
        <f t="shared" si="6"/>
        <v>0</v>
      </c>
      <c r="AH17" s="54">
        <f t="shared" si="7"/>
        <v>0</v>
      </c>
      <c r="AI17" s="55">
        <f t="shared" si="8"/>
        <v>0</v>
      </c>
      <c r="AJ17" s="56">
        <f>AC5</f>
        <v>0</v>
      </c>
      <c r="AK17" s="57">
        <f>AK16+AJ16</f>
        <v>0</v>
      </c>
      <c r="AM17" s="38" t="s">
        <v>2</v>
      </c>
      <c r="AN17" s="22">
        <f>AN5</f>
        <v>-0.56088406404174651</v>
      </c>
      <c r="AO17" s="24">
        <f>AN16+AO16</f>
        <v>-0.56088406404174651</v>
      </c>
      <c r="AP17" s="35">
        <f>MAX('BATS 2023 TLFD'!P5,0.0001)</f>
        <v>0.23946977712070494</v>
      </c>
      <c r="AQ17" s="44">
        <f>modeldata!E5/modeldata!E$156</f>
        <v>6.6666666666666671E-3</v>
      </c>
      <c r="AR17" s="47">
        <f t="shared" ref="AR17:AR66" si="24">IF(AP17&gt;0,(AQ17-AP17)/AP17,"")</f>
        <v>-0.97216071795437331</v>
      </c>
      <c r="AS17" s="53">
        <f t="shared" si="9"/>
        <v>0</v>
      </c>
      <c r="AT17" s="54">
        <f t="shared" si="10"/>
        <v>0</v>
      </c>
      <c r="AU17" s="55">
        <f t="shared" si="11"/>
        <v>-0.56088406404174651</v>
      </c>
      <c r="AV17" s="56">
        <f>AO5</f>
        <v>-0.56088406404174651</v>
      </c>
      <c r="AW17" s="57">
        <f>AW16+AV16</f>
        <v>-0.56088406404174651</v>
      </c>
      <c r="AY17" s="38" t="s">
        <v>2</v>
      </c>
      <c r="AZ17" s="22">
        <f>AZ5</f>
        <v>-0.78413579510767972</v>
      </c>
      <c r="BA17" s="24">
        <f>AZ16+BA16</f>
        <v>-0.78413579510767972</v>
      </c>
      <c r="BB17" s="35">
        <f>MAX('BATS 2023 TLFD'!Q5,0.0001)</f>
        <v>0.21858331402573331</v>
      </c>
      <c r="BC17" s="44">
        <f>modeldata!F5/modeldata!F$156</f>
        <v>6.6666666666666671E-3</v>
      </c>
      <c r="BD17" s="47">
        <f t="shared" ref="BD17:BD66" si="25">IF(BB17&gt;0,(BC17-BB17)/BB17,"")</f>
        <v>-0.96950056917024419</v>
      </c>
      <c r="BE17" s="53">
        <f t="shared" si="12"/>
        <v>0</v>
      </c>
      <c r="BF17" s="54">
        <f t="shared" si="13"/>
        <v>0</v>
      </c>
      <c r="BG17" s="55">
        <f t="shared" si="14"/>
        <v>-0.78413579510767972</v>
      </c>
      <c r="BH17" s="56">
        <f>BA5</f>
        <v>-0.78413579510767972</v>
      </c>
      <c r="BI17" s="57">
        <f>BI16+BH16</f>
        <v>-0.78413579510767972</v>
      </c>
      <c r="BK17" s="38" t="s">
        <v>2</v>
      </c>
      <c r="BL17" s="22">
        <f>BL5</f>
        <v>-0.16770688910210765</v>
      </c>
      <c r="BM17" s="24">
        <f>BL16+BM16</f>
        <v>-0.16770688910210765</v>
      </c>
      <c r="BN17" s="35">
        <f>MAX('BATS 2023 TLFD'!R5,0.0001)</f>
        <v>0.18089139845286131</v>
      </c>
      <c r="BO17" s="44">
        <f>modeldata!G5/modeldata!G$156</f>
        <v>6.6666666666666671E-3</v>
      </c>
      <c r="BP17" s="47">
        <f t="shared" ref="BP17:BP66" si="26">IF(BN17&gt;0,(BO17-BN17)/BN17,"")</f>
        <v>-0.96314547444662535</v>
      </c>
      <c r="BQ17" s="53">
        <f t="shared" si="15"/>
        <v>0</v>
      </c>
      <c r="BR17" s="54">
        <f t="shared" si="16"/>
        <v>0</v>
      </c>
      <c r="BS17" s="55">
        <f t="shared" si="17"/>
        <v>-0.16770688910210765</v>
      </c>
      <c r="BT17" s="56">
        <f>BM5</f>
        <v>-0.16770688910210765</v>
      </c>
      <c r="BU17" s="57">
        <f>BU16+BT16</f>
        <v>-0.16770688910210765</v>
      </c>
      <c r="BW17" s="38" t="s">
        <v>2</v>
      </c>
      <c r="BX17" s="22">
        <f>BX5</f>
        <v>-0.7925675882562816</v>
      </c>
      <c r="BY17" s="24">
        <f>BX16+BY16</f>
        <v>-0.7925675882562816</v>
      </c>
      <c r="BZ17" s="35">
        <f>MAX('BATS 2023 TLFD'!S5,0.0001)</f>
        <v>0.24908652977842055</v>
      </c>
      <c r="CA17" s="44">
        <f>modeldata!H5/modeldata!H$156</f>
        <v>6.6666666666666671E-3</v>
      </c>
      <c r="CB17" s="47">
        <f t="shared" ref="CB17:CB66" si="27">IF(BZ17&gt;0,(CA17-BZ17)/BZ17,"")</f>
        <v>-0.97323553918151617</v>
      </c>
      <c r="CC17" s="53">
        <f t="shared" si="18"/>
        <v>0</v>
      </c>
      <c r="CD17" s="54">
        <f t="shared" si="19"/>
        <v>0</v>
      </c>
      <c r="CE17" s="55">
        <f t="shared" si="20"/>
        <v>-0.7925675882562816</v>
      </c>
      <c r="CF17" s="56">
        <f>BY5</f>
        <v>-0.7925675882562816</v>
      </c>
      <c r="CG17" s="57">
        <f>CG16+CF16</f>
        <v>-0.7925675882562816</v>
      </c>
    </row>
    <row r="18" spans="1:85" x14ac:dyDescent="0.25">
      <c r="A18" s="81">
        <f t="shared" ref="A18:B66" si="28">A17+1</f>
        <v>2.5</v>
      </c>
      <c r="B18" s="83">
        <f t="shared" si="28"/>
        <v>2</v>
      </c>
      <c r="C18" s="39" t="s">
        <v>3</v>
      </c>
      <c r="D18" s="21">
        <f>D6</f>
        <v>-0.86713092904123756</v>
      </c>
      <c r="E18" s="23">
        <f t="shared" ref="E18:E66" si="29">D17+E17</f>
        <v>-0.29973785801647934</v>
      </c>
      <c r="F18" s="36">
        <f>MAX('BATS 2023 TLFD'!M6,0.0001)</f>
        <v>0.21665054003929377</v>
      </c>
      <c r="G18" s="45">
        <f>modeldata!B6/modeldata!B$156</f>
        <v>6.6666666666666671E-3</v>
      </c>
      <c r="H18" s="48">
        <f t="shared" si="21"/>
        <v>-0.96922847888836317</v>
      </c>
      <c r="I18" s="49">
        <f t="shared" si="0"/>
        <v>0</v>
      </c>
      <c r="J18" s="50">
        <f t="shared" si="1"/>
        <v>0</v>
      </c>
      <c r="K18" s="51">
        <f t="shared" si="2"/>
        <v>-0.29973785801647934</v>
      </c>
      <c r="L18" s="52">
        <f>E6</f>
        <v>-0.86713092904123756</v>
      </c>
      <c r="M18" s="58">
        <f t="shared" ref="M18:M66" si="30">M17+L17</f>
        <v>-0.29973785801647934</v>
      </c>
      <c r="O18" s="39" t="s">
        <v>3</v>
      </c>
      <c r="P18" s="21">
        <f>P6</f>
        <v>-0.56554370538783028</v>
      </c>
      <c r="Q18" s="23">
        <f t="shared" ref="Q18:Q66" si="31">P17+Q17</f>
        <v>0</v>
      </c>
      <c r="R18" s="36">
        <f>MAX('BATS 2023 TLFD'!N6,0.0001)</f>
        <v>0.15151506017057648</v>
      </c>
      <c r="S18" s="45">
        <f>modeldata!C6/modeldata!C$156</f>
        <v>6.6666666666666671E-3</v>
      </c>
      <c r="T18" s="48">
        <f t="shared" si="22"/>
        <v>-0.9559999734735195</v>
      </c>
      <c r="U18" s="49">
        <f t="shared" si="3"/>
        <v>0</v>
      </c>
      <c r="V18" s="50">
        <f t="shared" si="4"/>
        <v>0</v>
      </c>
      <c r="W18" s="51">
        <f t="shared" si="5"/>
        <v>0</v>
      </c>
      <c r="X18" s="52">
        <f>Q6</f>
        <v>-0.56554370538783028</v>
      </c>
      <c r="Y18" s="58">
        <f t="shared" ref="Y18:Y66" si="32">Y17+X17</f>
        <v>0</v>
      </c>
      <c r="AA18" s="39" t="s">
        <v>3</v>
      </c>
      <c r="AB18" s="21">
        <f>AB6</f>
        <v>-0.60549817274913609</v>
      </c>
      <c r="AC18" s="23">
        <f t="shared" ref="AC18:AC66" si="33">AB17+AC17</f>
        <v>0</v>
      </c>
      <c r="AD18" s="36">
        <f>MAX('BATS 2023 TLFD'!O6,0.0001)</f>
        <v>0.1191555605482543</v>
      </c>
      <c r="AE18" s="45">
        <f>modeldata!D6/modeldata!D$156</f>
        <v>6.6666666666666671E-3</v>
      </c>
      <c r="AF18" s="48">
        <f t="shared" si="23"/>
        <v>-0.94405072968485704</v>
      </c>
      <c r="AG18" s="49">
        <f t="shared" si="6"/>
        <v>0</v>
      </c>
      <c r="AH18" s="50">
        <f t="shared" si="7"/>
        <v>0</v>
      </c>
      <c r="AI18" s="51">
        <f t="shared" si="8"/>
        <v>0</v>
      </c>
      <c r="AJ18" s="52">
        <f>AC6</f>
        <v>-0.60549817274913609</v>
      </c>
      <c r="AK18" s="58">
        <f t="shared" ref="AK18:AK66" si="34">AK17+AJ17</f>
        <v>0</v>
      </c>
      <c r="AM18" s="39" t="s">
        <v>3</v>
      </c>
      <c r="AN18" s="21">
        <f>AN6</f>
        <v>-0.31917050338493835</v>
      </c>
      <c r="AO18" s="23">
        <f t="shared" ref="AO18:AO66" si="35">AN17+AO17</f>
        <v>-1.121768128083493</v>
      </c>
      <c r="AP18" s="36">
        <f>MAX('BATS 2023 TLFD'!P6,0.0001)</f>
        <v>0.15671782833659156</v>
      </c>
      <c r="AQ18" s="45">
        <f>modeldata!E6/modeldata!E$156</f>
        <v>6.6666666666666671E-3</v>
      </c>
      <c r="AR18" s="48">
        <f t="shared" si="24"/>
        <v>-0.95746070030814689</v>
      </c>
      <c r="AS18" s="49">
        <f t="shared" si="9"/>
        <v>0</v>
      </c>
      <c r="AT18" s="50">
        <f t="shared" si="10"/>
        <v>0</v>
      </c>
      <c r="AU18" s="51">
        <f t="shared" si="11"/>
        <v>-1.121768128083493</v>
      </c>
      <c r="AV18" s="52">
        <f>AO6</f>
        <v>-0.31917050338493835</v>
      </c>
      <c r="AW18" s="58">
        <f t="shared" ref="AW18:AW66" si="36">AW17+AV17</f>
        <v>-1.121768128083493</v>
      </c>
      <c r="AY18" s="39" t="s">
        <v>3</v>
      </c>
      <c r="AZ18" s="21">
        <f>AZ6</f>
        <v>-0.34846404219197241</v>
      </c>
      <c r="BA18" s="23">
        <f t="shared" ref="BA18:BA66" si="37">AZ17+BA17</f>
        <v>-1.5682715902153594</v>
      </c>
      <c r="BB18" s="36">
        <f>MAX('BATS 2023 TLFD'!Q6,0.0001)</f>
        <v>0.10634977822590569</v>
      </c>
      <c r="BC18" s="45">
        <f>modeldata!F6/modeldata!F$156</f>
        <v>6.6666666666666671E-3</v>
      </c>
      <c r="BD18" s="48">
        <f t="shared" si="25"/>
        <v>-0.93731376992149906</v>
      </c>
      <c r="BE18" s="49">
        <f t="shared" si="12"/>
        <v>0</v>
      </c>
      <c r="BF18" s="50">
        <f t="shared" si="13"/>
        <v>0</v>
      </c>
      <c r="BG18" s="51">
        <f t="shared" si="14"/>
        <v>-1.5682715902153594</v>
      </c>
      <c r="BH18" s="52">
        <f>BA6</f>
        <v>-0.34846404219197247</v>
      </c>
      <c r="BI18" s="58">
        <f t="shared" ref="BI18:BI66" si="38">BI17+BH17</f>
        <v>-1.5682715902153594</v>
      </c>
      <c r="BK18" s="39" t="s">
        <v>3</v>
      </c>
      <c r="BL18" s="21">
        <f>BL6</f>
        <v>-0.49549320005603059</v>
      </c>
      <c r="BM18" s="23">
        <f t="shared" ref="BM18:BM66" si="39">BL17+BM17</f>
        <v>-0.33541377820421531</v>
      </c>
      <c r="BN18" s="36">
        <f>MAX('BATS 2023 TLFD'!R6,0.0001)</f>
        <v>0.14639737922721013</v>
      </c>
      <c r="BO18" s="45">
        <f>modeldata!G6/modeldata!G$156</f>
        <v>6.6666666666666671E-3</v>
      </c>
      <c r="BP18" s="48">
        <f t="shared" si="26"/>
        <v>-0.95446184418151414</v>
      </c>
      <c r="BQ18" s="49">
        <f t="shared" si="15"/>
        <v>0</v>
      </c>
      <c r="BR18" s="50">
        <f t="shared" si="16"/>
        <v>0</v>
      </c>
      <c r="BS18" s="51">
        <f t="shared" si="17"/>
        <v>-0.33541377820421531</v>
      </c>
      <c r="BT18" s="52">
        <f>BM6</f>
        <v>-0.49549320005603059</v>
      </c>
      <c r="BU18" s="58">
        <f t="shared" ref="BU18:BU66" si="40">BU17+BT17</f>
        <v>-0.33541377820421531</v>
      </c>
      <c r="BW18" s="39" t="s">
        <v>3</v>
      </c>
      <c r="BX18" s="21">
        <f>BX6</f>
        <v>-0.51970902452587597</v>
      </c>
      <c r="BY18" s="23">
        <f t="shared" ref="BY18:BY66" si="41">BX17+BY17</f>
        <v>-1.5851351765125632</v>
      </c>
      <c r="BZ18" s="36">
        <f>MAX('BATS 2023 TLFD'!S6,0.0001)</f>
        <v>0.12774507001508009</v>
      </c>
      <c r="CA18" s="45">
        <f>modeldata!H6/modeldata!H$156</f>
        <v>6.6666666666666671E-3</v>
      </c>
      <c r="CB18" s="48">
        <f t="shared" si="27"/>
        <v>-0.94781272838255382</v>
      </c>
      <c r="CC18" s="49">
        <f t="shared" si="18"/>
        <v>0</v>
      </c>
      <c r="CD18" s="50">
        <f t="shared" si="19"/>
        <v>0</v>
      </c>
      <c r="CE18" s="51">
        <f t="shared" si="20"/>
        <v>-1.5851351765125632</v>
      </c>
      <c r="CF18" s="52">
        <f>BY6</f>
        <v>-0.51970902452587608</v>
      </c>
      <c r="CG18" s="58">
        <f t="shared" ref="CG18:CG66" si="42">CG17+CF17</f>
        <v>-1.5851351765125632</v>
      </c>
    </row>
    <row r="19" spans="1:85" x14ac:dyDescent="0.25">
      <c r="A19" s="81">
        <f t="shared" si="28"/>
        <v>3.5</v>
      </c>
      <c r="B19" s="83">
        <f t="shared" si="28"/>
        <v>3</v>
      </c>
      <c r="C19" s="39" t="s">
        <v>4</v>
      </c>
      <c r="D19" s="21">
        <f>D18</f>
        <v>-0.86713092904123756</v>
      </c>
      <c r="E19" s="23">
        <f t="shared" si="29"/>
        <v>-1.1668687870577168</v>
      </c>
      <c r="F19" s="36">
        <f>MAX('BATS 2023 TLFD'!M7,0.0001)</f>
        <v>0.12244866461634471</v>
      </c>
      <c r="G19" s="45">
        <f>modeldata!B7/modeldata!B$156</f>
        <v>6.6666666666666671E-3</v>
      </c>
      <c r="H19" s="48">
        <f t="shared" si="21"/>
        <v>-0.9455554155077589</v>
      </c>
      <c r="I19" s="49">
        <f t="shared" si="0"/>
        <v>0</v>
      </c>
      <c r="J19" s="50">
        <f t="shared" si="1"/>
        <v>0</v>
      </c>
      <c r="K19" s="51">
        <f t="shared" si="2"/>
        <v>-1.1668687870577168</v>
      </c>
      <c r="L19" s="52">
        <f>L18</f>
        <v>-0.86713092904123756</v>
      </c>
      <c r="M19" s="58">
        <f t="shared" si="30"/>
        <v>-1.1668687870577168</v>
      </c>
      <c r="O19" s="39" t="s">
        <v>4</v>
      </c>
      <c r="P19" s="21">
        <f>P18</f>
        <v>-0.56554370538783028</v>
      </c>
      <c r="Q19" s="23">
        <f t="shared" si="31"/>
        <v>-0.56554370538783028</v>
      </c>
      <c r="R19" s="36">
        <f>MAX('BATS 2023 TLFD'!N7,0.0001)</f>
        <v>0.13502914998471699</v>
      </c>
      <c r="S19" s="45">
        <f>modeldata!C7/modeldata!C$156</f>
        <v>6.6666666666666671E-3</v>
      </c>
      <c r="T19" s="48">
        <f t="shared" si="22"/>
        <v>-0.95062794465179401</v>
      </c>
      <c r="U19" s="49">
        <f t="shared" si="3"/>
        <v>0</v>
      </c>
      <c r="V19" s="50">
        <f t="shared" si="4"/>
        <v>0</v>
      </c>
      <c r="W19" s="51">
        <f t="shared" si="5"/>
        <v>-0.56554370538783028</v>
      </c>
      <c r="X19" s="52">
        <f>X18</f>
        <v>-0.56554370538783028</v>
      </c>
      <c r="Y19" s="58">
        <f t="shared" si="32"/>
        <v>-0.56554370538783028</v>
      </c>
      <c r="AA19" s="39" t="s">
        <v>4</v>
      </c>
      <c r="AB19" s="21">
        <f>AB18</f>
        <v>-0.60549817274913609</v>
      </c>
      <c r="AC19" s="23">
        <f t="shared" si="33"/>
        <v>-0.60549817274913609</v>
      </c>
      <c r="AD19" s="36">
        <f>MAX('BATS 2023 TLFD'!O7,0.0001)</f>
        <v>0.11962607220479668</v>
      </c>
      <c r="AE19" s="45">
        <f>modeldata!D7/modeldata!D$156</f>
        <v>6.6666666666666671E-3</v>
      </c>
      <c r="AF19" s="48">
        <f t="shared" si="23"/>
        <v>-0.94427078860155578</v>
      </c>
      <c r="AG19" s="49">
        <f t="shared" si="6"/>
        <v>0</v>
      </c>
      <c r="AH19" s="50">
        <f t="shared" si="7"/>
        <v>0</v>
      </c>
      <c r="AI19" s="51">
        <f t="shared" si="8"/>
        <v>-0.60549817274913609</v>
      </c>
      <c r="AJ19" s="52">
        <f>AJ18</f>
        <v>-0.60549817274913609</v>
      </c>
      <c r="AK19" s="58">
        <f t="shared" si="34"/>
        <v>-0.60549817274913609</v>
      </c>
      <c r="AM19" s="39" t="s">
        <v>4</v>
      </c>
      <c r="AN19" s="21">
        <f>AN18</f>
        <v>-0.31917050338493835</v>
      </c>
      <c r="AO19" s="23">
        <f t="shared" si="35"/>
        <v>-1.4409386314684314</v>
      </c>
      <c r="AP19" s="36">
        <f>MAX('BATS 2023 TLFD'!P7,0.0001)</f>
        <v>7.7684832193718953E-2</v>
      </c>
      <c r="AQ19" s="45">
        <f>modeldata!E7/modeldata!E$156</f>
        <v>6.6666666666666671E-3</v>
      </c>
      <c r="AR19" s="48">
        <f t="shared" si="24"/>
        <v>-0.91418316190678872</v>
      </c>
      <c r="AS19" s="49">
        <f t="shared" si="9"/>
        <v>0</v>
      </c>
      <c r="AT19" s="50">
        <f t="shared" si="10"/>
        <v>0</v>
      </c>
      <c r="AU19" s="51">
        <f t="shared" si="11"/>
        <v>-1.4409386314684314</v>
      </c>
      <c r="AV19" s="52">
        <f>AV18</f>
        <v>-0.31917050338493835</v>
      </c>
      <c r="AW19" s="58">
        <f t="shared" si="36"/>
        <v>-1.4409386314684314</v>
      </c>
      <c r="AY19" s="39" t="s">
        <v>4</v>
      </c>
      <c r="AZ19" s="21">
        <f>AZ18</f>
        <v>-0.34846404219197241</v>
      </c>
      <c r="BA19" s="23">
        <f t="shared" si="37"/>
        <v>-1.9167356324073319</v>
      </c>
      <c r="BB19" s="36">
        <f>MAX('BATS 2023 TLFD'!Q7,0.0001)</f>
        <v>8.2225863697620749E-2</v>
      </c>
      <c r="BC19" s="45">
        <f>modeldata!F7/modeldata!F$156</f>
        <v>6.6666666666666671E-3</v>
      </c>
      <c r="BD19" s="48">
        <f t="shared" si="25"/>
        <v>-0.91892250969618494</v>
      </c>
      <c r="BE19" s="49">
        <f t="shared" si="12"/>
        <v>0</v>
      </c>
      <c r="BF19" s="50">
        <f t="shared" si="13"/>
        <v>0</v>
      </c>
      <c r="BG19" s="51">
        <f t="shared" si="14"/>
        <v>-1.9167356324073319</v>
      </c>
      <c r="BH19" s="52">
        <f>BH18</f>
        <v>-0.34846404219197247</v>
      </c>
      <c r="BI19" s="58">
        <f t="shared" si="38"/>
        <v>-1.9167356324073319</v>
      </c>
      <c r="BK19" s="39" t="s">
        <v>4</v>
      </c>
      <c r="BL19" s="21">
        <f>BL18</f>
        <v>-0.49549320005603059</v>
      </c>
      <c r="BM19" s="23">
        <f t="shared" si="39"/>
        <v>-0.83090697826024584</v>
      </c>
      <c r="BN19" s="36">
        <f>MAX('BATS 2023 TLFD'!R7,0.0001)</f>
        <v>5.3184875383126239E-2</v>
      </c>
      <c r="BO19" s="45">
        <f>modeldata!G7/modeldata!G$156</f>
        <v>6.6666666666666671E-3</v>
      </c>
      <c r="BP19" s="48">
        <f t="shared" si="26"/>
        <v>-0.87465108043137818</v>
      </c>
      <c r="BQ19" s="49">
        <f t="shared" si="15"/>
        <v>0</v>
      </c>
      <c r="BR19" s="50">
        <f t="shared" si="16"/>
        <v>0</v>
      </c>
      <c r="BS19" s="51">
        <f t="shared" si="17"/>
        <v>-0.83090697826024584</v>
      </c>
      <c r="BT19" s="52">
        <f>BT18</f>
        <v>-0.49549320005603059</v>
      </c>
      <c r="BU19" s="58">
        <f t="shared" si="40"/>
        <v>-0.83090697826024584</v>
      </c>
      <c r="BW19" s="39" t="s">
        <v>4</v>
      </c>
      <c r="BX19" s="21">
        <f>BX18</f>
        <v>-0.51970902452587597</v>
      </c>
      <c r="BY19" s="23">
        <f t="shared" si="41"/>
        <v>-2.1048442010384392</v>
      </c>
      <c r="BZ19" s="36">
        <f>MAX('BATS 2023 TLFD'!S7,0.0001)</f>
        <v>6.1454428300899484E-2</v>
      </c>
      <c r="CA19" s="45">
        <f>modeldata!H7/modeldata!H$156</f>
        <v>6.6666666666666671E-3</v>
      </c>
      <c r="CB19" s="48">
        <f t="shared" si="27"/>
        <v>-0.89151853086933541</v>
      </c>
      <c r="CC19" s="49">
        <f t="shared" si="18"/>
        <v>0</v>
      </c>
      <c r="CD19" s="50">
        <f t="shared" si="19"/>
        <v>0</v>
      </c>
      <c r="CE19" s="51">
        <f t="shared" si="20"/>
        <v>-2.1048442010384392</v>
      </c>
      <c r="CF19" s="52">
        <f>CF18</f>
        <v>-0.51970902452587608</v>
      </c>
      <c r="CG19" s="58">
        <f t="shared" si="42"/>
        <v>-2.1048442010384392</v>
      </c>
    </row>
    <row r="20" spans="1:85" x14ac:dyDescent="0.25">
      <c r="A20" s="81">
        <f t="shared" si="28"/>
        <v>4.5</v>
      </c>
      <c r="B20" s="83">
        <f t="shared" si="28"/>
        <v>4</v>
      </c>
      <c r="C20" s="39" t="s">
        <v>5</v>
      </c>
      <c r="D20" s="21">
        <f>D19</f>
        <v>-0.86713092904123756</v>
      </c>
      <c r="E20" s="23">
        <f t="shared" si="29"/>
        <v>-2.0339997160989545</v>
      </c>
      <c r="F20" s="36">
        <f>MAX('BATS 2023 TLFD'!M8,0.0001)</f>
        <v>6.2875094573347154E-2</v>
      </c>
      <c r="G20" s="45">
        <f>modeldata!B8/modeldata!B$156</f>
        <v>6.6666666666666671E-3</v>
      </c>
      <c r="H20" s="48">
        <f t="shared" si="21"/>
        <v>-0.89396967572128827</v>
      </c>
      <c r="I20" s="49">
        <f t="shared" si="0"/>
        <v>0</v>
      </c>
      <c r="J20" s="50">
        <f t="shared" si="1"/>
        <v>0</v>
      </c>
      <c r="K20" s="51">
        <f t="shared" si="2"/>
        <v>-2.0339997160989545</v>
      </c>
      <c r="L20" s="52">
        <f>L19</f>
        <v>-0.86713092904123756</v>
      </c>
      <c r="M20" s="58">
        <f t="shared" si="30"/>
        <v>-2.0339997160989545</v>
      </c>
      <c r="O20" s="39" t="s">
        <v>5</v>
      </c>
      <c r="P20" s="21">
        <f>P19</f>
        <v>-0.56554370538783028</v>
      </c>
      <c r="Q20" s="23">
        <f t="shared" si="31"/>
        <v>-1.1310874107756606</v>
      </c>
      <c r="R20" s="36">
        <f>MAX('BATS 2023 TLFD'!N8,0.0001)</f>
        <v>6.5401568737770047E-2</v>
      </c>
      <c r="S20" s="45">
        <f>modeldata!C8/modeldata!C$156</f>
        <v>6.6666666666666671E-3</v>
      </c>
      <c r="T20" s="48">
        <f t="shared" si="22"/>
        <v>-0.89806564589609605</v>
      </c>
      <c r="U20" s="49">
        <f t="shared" si="3"/>
        <v>0</v>
      </c>
      <c r="V20" s="50">
        <f t="shared" si="4"/>
        <v>0</v>
      </c>
      <c r="W20" s="51">
        <f t="shared" si="5"/>
        <v>-1.1310874107756606</v>
      </c>
      <c r="X20" s="52">
        <f>X19</f>
        <v>-0.56554370538783028</v>
      </c>
      <c r="Y20" s="58">
        <f t="shared" si="32"/>
        <v>-1.1310874107756606</v>
      </c>
      <c r="AA20" s="39" t="s">
        <v>5</v>
      </c>
      <c r="AB20" s="21">
        <f>AB19</f>
        <v>-0.60549817274913609</v>
      </c>
      <c r="AC20" s="23">
        <f t="shared" si="33"/>
        <v>-1.2109963454982722</v>
      </c>
      <c r="AD20" s="36">
        <f>MAX('BATS 2023 TLFD'!O8,0.0001)</f>
        <v>6.8534602217479756E-2</v>
      </c>
      <c r="AE20" s="45">
        <f>modeldata!D8/modeldata!D$156</f>
        <v>6.6666666666666671E-3</v>
      </c>
      <c r="AF20" s="48">
        <f t="shared" si="23"/>
        <v>-0.90272553643032116</v>
      </c>
      <c r="AG20" s="49">
        <f t="shared" si="6"/>
        <v>0</v>
      </c>
      <c r="AH20" s="50">
        <f t="shared" si="7"/>
        <v>0</v>
      </c>
      <c r="AI20" s="51">
        <f t="shared" si="8"/>
        <v>-1.2109963454982722</v>
      </c>
      <c r="AJ20" s="52">
        <f>AJ19</f>
        <v>-0.60549817274913609</v>
      </c>
      <c r="AK20" s="58">
        <f t="shared" si="34"/>
        <v>-1.2109963454982722</v>
      </c>
      <c r="AM20" s="39" t="s">
        <v>5</v>
      </c>
      <c r="AN20" s="21">
        <f>AN19</f>
        <v>-0.31917050338493835</v>
      </c>
      <c r="AO20" s="23">
        <f t="shared" si="35"/>
        <v>-1.7601091348533697</v>
      </c>
      <c r="AP20" s="36">
        <f>MAX('BATS 2023 TLFD'!P8,0.0001)</f>
        <v>4.5497245020633646E-2</v>
      </c>
      <c r="AQ20" s="45">
        <f>modeldata!E8/modeldata!E$156</f>
        <v>6.6666666666666671E-3</v>
      </c>
      <c r="AR20" s="48">
        <f t="shared" si="24"/>
        <v>-0.85347098129473031</v>
      </c>
      <c r="AS20" s="49">
        <f t="shared" si="9"/>
        <v>0</v>
      </c>
      <c r="AT20" s="50">
        <f t="shared" si="10"/>
        <v>0</v>
      </c>
      <c r="AU20" s="51">
        <f t="shared" si="11"/>
        <v>-1.7601091348533697</v>
      </c>
      <c r="AV20" s="52">
        <f>AV19</f>
        <v>-0.31917050338493835</v>
      </c>
      <c r="AW20" s="58">
        <f t="shared" si="36"/>
        <v>-1.7601091348533697</v>
      </c>
      <c r="AY20" s="39" t="s">
        <v>5</v>
      </c>
      <c r="AZ20" s="21">
        <f>AZ19</f>
        <v>-0.34846404219197241</v>
      </c>
      <c r="BA20" s="23">
        <f t="shared" si="37"/>
        <v>-2.2651996745993044</v>
      </c>
      <c r="BB20" s="36">
        <f>MAX('BATS 2023 TLFD'!Q8,0.0001)</f>
        <v>5.6741778123987292E-2</v>
      </c>
      <c r="BC20" s="45">
        <f>modeldata!F8/modeldata!F$156</f>
        <v>6.6666666666666671E-3</v>
      </c>
      <c r="BD20" s="48">
        <f t="shared" si="25"/>
        <v>-0.88250867549305145</v>
      </c>
      <c r="BE20" s="49">
        <f t="shared" si="12"/>
        <v>0</v>
      </c>
      <c r="BF20" s="50">
        <f t="shared" si="13"/>
        <v>0</v>
      </c>
      <c r="BG20" s="51">
        <f t="shared" si="14"/>
        <v>-2.2651996745993044</v>
      </c>
      <c r="BH20" s="52">
        <f>BH19</f>
        <v>-0.34846404219197247</v>
      </c>
      <c r="BI20" s="58">
        <f t="shared" si="38"/>
        <v>-2.2651996745993044</v>
      </c>
      <c r="BK20" s="39" t="s">
        <v>5</v>
      </c>
      <c r="BL20" s="21">
        <f>BL19</f>
        <v>-0.49549320005603059</v>
      </c>
      <c r="BM20" s="23">
        <f t="shared" si="39"/>
        <v>-1.3264001783162764</v>
      </c>
      <c r="BN20" s="36">
        <f>MAX('BATS 2023 TLFD'!R8,0.0001)</f>
        <v>3.7694170009444548E-2</v>
      </c>
      <c r="BO20" s="45">
        <f>modeldata!G8/modeldata!G$156</f>
        <v>6.6666666666666671E-3</v>
      </c>
      <c r="BP20" s="48">
        <f t="shared" si="26"/>
        <v>-0.82313799017205347</v>
      </c>
      <c r="BQ20" s="49">
        <f t="shared" si="15"/>
        <v>0</v>
      </c>
      <c r="BR20" s="50">
        <f t="shared" si="16"/>
        <v>0</v>
      </c>
      <c r="BS20" s="51">
        <f t="shared" si="17"/>
        <v>-1.3264001783162764</v>
      </c>
      <c r="BT20" s="52">
        <f>BT19</f>
        <v>-0.49549320005603059</v>
      </c>
      <c r="BU20" s="58">
        <f t="shared" si="40"/>
        <v>-1.3264001783162764</v>
      </c>
      <c r="BW20" s="39" t="s">
        <v>5</v>
      </c>
      <c r="BX20" s="21">
        <f>BX19</f>
        <v>-0.51970902452587597</v>
      </c>
      <c r="BY20" s="23">
        <f t="shared" si="41"/>
        <v>-2.6245532255643154</v>
      </c>
      <c r="BZ20" s="36">
        <f>MAX('BATS 2023 TLFD'!S8,0.0001)</f>
        <v>3.4937672363042641E-2</v>
      </c>
      <c r="CA20" s="45">
        <f>modeldata!H8/modeldata!H$156</f>
        <v>6.6666666666666671E-3</v>
      </c>
      <c r="CB20" s="48">
        <f t="shared" si="27"/>
        <v>-0.80918400638164079</v>
      </c>
      <c r="CC20" s="49">
        <f t="shared" si="18"/>
        <v>0</v>
      </c>
      <c r="CD20" s="50">
        <f t="shared" si="19"/>
        <v>0</v>
      </c>
      <c r="CE20" s="51">
        <f t="shared" si="20"/>
        <v>-2.6245532255643154</v>
      </c>
      <c r="CF20" s="52">
        <f>CF19</f>
        <v>-0.51970902452587608</v>
      </c>
      <c r="CG20" s="58">
        <f t="shared" si="42"/>
        <v>-2.6245532255643154</v>
      </c>
    </row>
    <row r="21" spans="1:85" x14ac:dyDescent="0.25">
      <c r="A21" s="81">
        <f t="shared" si="28"/>
        <v>5.5</v>
      </c>
      <c r="B21" s="83">
        <f t="shared" si="28"/>
        <v>5</v>
      </c>
      <c r="C21" s="38" t="s">
        <v>6</v>
      </c>
      <c r="D21" s="22">
        <f>D7</f>
        <v>-0.21370826062045101</v>
      </c>
      <c r="E21" s="24">
        <f t="shared" si="29"/>
        <v>-2.9011306451401921</v>
      </c>
      <c r="F21" s="35">
        <f>MAX('BATS 2023 TLFD'!M9,0.0001)</f>
        <v>7.0263592747708506E-2</v>
      </c>
      <c r="G21" s="44">
        <f>modeldata!B9/modeldata!B$156</f>
        <v>6.6666666666666671E-3</v>
      </c>
      <c r="H21" s="47">
        <f t="shared" si="21"/>
        <v>-0.9051191889574407</v>
      </c>
      <c r="I21" s="53">
        <f t="shared" si="0"/>
        <v>0</v>
      </c>
      <c r="J21" s="54">
        <f t="shared" si="1"/>
        <v>0</v>
      </c>
      <c r="K21" s="55">
        <f t="shared" si="2"/>
        <v>-2.9011306451401921</v>
      </c>
      <c r="L21" s="56">
        <f>E7</f>
        <v>-0.21370826062045101</v>
      </c>
      <c r="M21" s="57">
        <f t="shared" si="30"/>
        <v>-2.9011306451401921</v>
      </c>
      <c r="O21" s="38" t="s">
        <v>6</v>
      </c>
      <c r="P21" s="22">
        <f>P7</f>
        <v>-0.18324871283782601</v>
      </c>
      <c r="Q21" s="24">
        <f t="shared" si="31"/>
        <v>-1.6966311161634908</v>
      </c>
      <c r="R21" s="35">
        <f>MAX('BATS 2023 TLFD'!N9,0.0001)</f>
        <v>4.9783975006325622E-2</v>
      </c>
      <c r="S21" s="44">
        <f>modeldata!C9/modeldata!C$156</f>
        <v>6.6666666666666671E-3</v>
      </c>
      <c r="T21" s="47">
        <f t="shared" si="22"/>
        <v>-0.86608810032104522</v>
      </c>
      <c r="U21" s="53">
        <f t="shared" si="3"/>
        <v>0</v>
      </c>
      <c r="V21" s="54">
        <f t="shared" si="4"/>
        <v>0</v>
      </c>
      <c r="W21" s="55">
        <f t="shared" si="5"/>
        <v>-1.6966311161634908</v>
      </c>
      <c r="X21" s="56">
        <f>Q7</f>
        <v>-0.18324871283782596</v>
      </c>
      <c r="Y21" s="57">
        <f t="shared" si="32"/>
        <v>-1.6966311161634908</v>
      </c>
      <c r="AA21" s="38" t="s">
        <v>6</v>
      </c>
      <c r="AB21" s="22">
        <f>AB7</f>
        <v>-0.10927638842708701</v>
      </c>
      <c r="AC21" s="24">
        <f t="shared" si="33"/>
        <v>-1.8164945182474082</v>
      </c>
      <c r="AD21" s="35">
        <f>MAX('BATS 2023 TLFD'!O9,0.0001)</f>
        <v>6.3886069651661756E-2</v>
      </c>
      <c r="AE21" s="44">
        <f>modeldata!D9/modeldata!D$156</f>
        <v>6.6666666666666671E-3</v>
      </c>
      <c r="AF21" s="47">
        <f t="shared" si="23"/>
        <v>-0.89564756913335553</v>
      </c>
      <c r="AG21" s="53">
        <f t="shared" si="6"/>
        <v>0</v>
      </c>
      <c r="AH21" s="54">
        <f t="shared" si="7"/>
        <v>0</v>
      </c>
      <c r="AI21" s="55">
        <f t="shared" si="8"/>
        <v>-1.8164945182474082</v>
      </c>
      <c r="AJ21" s="56">
        <f>AC7</f>
        <v>-0.10927638842708691</v>
      </c>
      <c r="AK21" s="57">
        <f t="shared" si="34"/>
        <v>-1.8164945182474082</v>
      </c>
      <c r="AM21" s="38" t="s">
        <v>6</v>
      </c>
      <c r="AN21" s="22">
        <f>AN7</f>
        <v>-0.123766678676451</v>
      </c>
      <c r="AO21" s="24">
        <f t="shared" si="35"/>
        <v>-2.0792796382383081</v>
      </c>
      <c r="AP21" s="35">
        <f>MAX('BATS 2023 TLFD'!P9,0.0001)</f>
        <v>4.2667333099925583E-2</v>
      </c>
      <c r="AQ21" s="44">
        <f>modeldata!E9/modeldata!E$156</f>
        <v>6.6666666666666671E-3</v>
      </c>
      <c r="AR21" s="47">
        <f t="shared" si="24"/>
        <v>-0.84375244051336562</v>
      </c>
      <c r="AS21" s="53">
        <f t="shared" si="9"/>
        <v>0</v>
      </c>
      <c r="AT21" s="54">
        <f t="shared" si="10"/>
        <v>0</v>
      </c>
      <c r="AU21" s="55">
        <f t="shared" si="11"/>
        <v>-2.0792796382383081</v>
      </c>
      <c r="AV21" s="56">
        <f>AO7</f>
        <v>-0.12376667867645086</v>
      </c>
      <c r="AW21" s="57">
        <f t="shared" si="36"/>
        <v>-2.0792796382383081</v>
      </c>
      <c r="AY21" s="38" t="s">
        <v>6</v>
      </c>
      <c r="AZ21" s="22">
        <f>AZ7</f>
        <v>-0.13060067927808</v>
      </c>
      <c r="BA21" s="24">
        <f t="shared" si="37"/>
        <v>-2.6136637167912768</v>
      </c>
      <c r="BB21" s="35">
        <f>MAX('BATS 2023 TLFD'!Q9,0.0001)</f>
        <v>4.4833568639816357E-2</v>
      </c>
      <c r="BC21" s="44">
        <f>modeldata!F9/modeldata!F$156</f>
        <v>6.6666666666666671E-3</v>
      </c>
      <c r="BD21" s="47">
        <f t="shared" si="25"/>
        <v>-0.85130189567943404</v>
      </c>
      <c r="BE21" s="53">
        <f t="shared" si="12"/>
        <v>0</v>
      </c>
      <c r="BF21" s="54">
        <f t="shared" si="13"/>
        <v>0</v>
      </c>
      <c r="BG21" s="55">
        <f t="shared" si="14"/>
        <v>-2.6136637167912768</v>
      </c>
      <c r="BH21" s="56">
        <f>BA7</f>
        <v>-0.13060067927807983</v>
      </c>
      <c r="BI21" s="57">
        <f t="shared" si="38"/>
        <v>-2.6136637167912768</v>
      </c>
      <c r="BK21" s="38" t="s">
        <v>6</v>
      </c>
      <c r="BL21" s="22">
        <f>BL7</f>
        <v>-0.119295888721189</v>
      </c>
      <c r="BM21" s="24">
        <f t="shared" si="39"/>
        <v>-1.821893378372307</v>
      </c>
      <c r="BN21" s="35">
        <f>MAX('BATS 2023 TLFD'!R9,0.0001)</f>
        <v>5.184281596870028E-2</v>
      </c>
      <c r="BO21" s="44">
        <f>modeldata!G9/modeldata!G$156</f>
        <v>6.6666666666666671E-3</v>
      </c>
      <c r="BP21" s="47">
        <f t="shared" si="26"/>
        <v>-0.87140616222136502</v>
      </c>
      <c r="BQ21" s="53">
        <f t="shared" si="15"/>
        <v>0</v>
      </c>
      <c r="BR21" s="54">
        <f t="shared" si="16"/>
        <v>0</v>
      </c>
      <c r="BS21" s="55">
        <f t="shared" si="17"/>
        <v>-1.821893378372307</v>
      </c>
      <c r="BT21" s="56">
        <f>BM7</f>
        <v>-0.11929588872118883</v>
      </c>
      <c r="BU21" s="57">
        <f t="shared" si="40"/>
        <v>-1.821893378372307</v>
      </c>
      <c r="BW21" s="38" t="s">
        <v>6</v>
      </c>
      <c r="BX21" s="22">
        <f>BX7</f>
        <v>-0.204473452523388</v>
      </c>
      <c r="BY21" s="24">
        <f t="shared" si="41"/>
        <v>-3.1442622500901916</v>
      </c>
      <c r="BZ21" s="35">
        <f>MAX('BATS 2023 TLFD'!S9,0.0001)</f>
        <v>3.0820330473347205E-2</v>
      </c>
      <c r="CA21" s="44">
        <f>modeldata!H9/modeldata!H$156</f>
        <v>6.6666666666666671E-3</v>
      </c>
      <c r="CB21" s="47">
        <f t="shared" si="27"/>
        <v>-0.78369256382789709</v>
      </c>
      <c r="CC21" s="53">
        <f t="shared" si="18"/>
        <v>0</v>
      </c>
      <c r="CD21" s="54">
        <f t="shared" si="19"/>
        <v>0</v>
      </c>
      <c r="CE21" s="55">
        <f t="shared" si="20"/>
        <v>-3.1442622500901916</v>
      </c>
      <c r="CF21" s="56">
        <f>BY7</f>
        <v>-0.20447345252338778</v>
      </c>
      <c r="CG21" s="57">
        <f t="shared" si="42"/>
        <v>-3.1442622500901916</v>
      </c>
    </row>
    <row r="22" spans="1:85" x14ac:dyDescent="0.25">
      <c r="A22" s="81">
        <f t="shared" si="28"/>
        <v>6.5</v>
      </c>
      <c r="B22" s="83">
        <f t="shared" si="28"/>
        <v>6</v>
      </c>
      <c r="C22" s="38" t="s">
        <v>7</v>
      </c>
      <c r="D22" s="22">
        <f>D21</f>
        <v>-0.21370826062045101</v>
      </c>
      <c r="E22" s="24">
        <f t="shared" si="29"/>
        <v>-3.1148389057606432</v>
      </c>
      <c r="F22" s="35">
        <f>MAX('BATS 2023 TLFD'!M10,0.0001)</f>
        <v>4.0943657427918188E-2</v>
      </c>
      <c r="G22" s="44">
        <f>modeldata!B10/modeldata!B$156</f>
        <v>6.6666666666666671E-3</v>
      </c>
      <c r="H22" s="47">
        <f t="shared" si="21"/>
        <v>-0.83717461786594383</v>
      </c>
      <c r="I22" s="53">
        <f t="shared" si="0"/>
        <v>0</v>
      </c>
      <c r="J22" s="54">
        <f t="shared" si="1"/>
        <v>0</v>
      </c>
      <c r="K22" s="55">
        <f t="shared" si="2"/>
        <v>-3.1148389057606432</v>
      </c>
      <c r="L22" s="56">
        <f>L21</f>
        <v>-0.21370826062045101</v>
      </c>
      <c r="M22" s="57">
        <f t="shared" si="30"/>
        <v>-3.1148389057606432</v>
      </c>
      <c r="O22" s="38" t="s">
        <v>7</v>
      </c>
      <c r="P22" s="22">
        <f>P21</f>
        <v>-0.18324871283782601</v>
      </c>
      <c r="Q22" s="24">
        <f t="shared" si="31"/>
        <v>-1.8798798290013168</v>
      </c>
      <c r="R22" s="35">
        <f>MAX('BATS 2023 TLFD'!N10,0.0001)</f>
        <v>4.0291804300979638E-2</v>
      </c>
      <c r="S22" s="44">
        <f>modeldata!C10/modeldata!C$156</f>
        <v>6.6666666666666671E-3</v>
      </c>
      <c r="T22" s="47">
        <f t="shared" si="22"/>
        <v>-0.83454037905905898</v>
      </c>
      <c r="U22" s="53">
        <f t="shared" si="3"/>
        <v>0</v>
      </c>
      <c r="V22" s="54">
        <f t="shared" si="4"/>
        <v>0</v>
      </c>
      <c r="W22" s="55">
        <f t="shared" si="5"/>
        <v>-1.8798798290013168</v>
      </c>
      <c r="X22" s="56">
        <f>X21</f>
        <v>-0.18324871283782596</v>
      </c>
      <c r="Y22" s="57">
        <f t="shared" si="32"/>
        <v>-1.8798798290013168</v>
      </c>
      <c r="AA22" s="38" t="s">
        <v>7</v>
      </c>
      <c r="AB22" s="22">
        <f>AB21</f>
        <v>-0.10927638842708701</v>
      </c>
      <c r="AC22" s="24">
        <f t="shared" si="33"/>
        <v>-1.9257709066744952</v>
      </c>
      <c r="AD22" s="35">
        <f>MAX('BATS 2023 TLFD'!O10,0.0001)</f>
        <v>6.3762806907830608E-2</v>
      </c>
      <c r="AE22" s="44">
        <f>modeldata!D10/modeldata!D$156</f>
        <v>6.6666666666666671E-3</v>
      </c>
      <c r="AF22" s="47">
        <f t="shared" si="23"/>
        <v>-0.8954458407657091</v>
      </c>
      <c r="AG22" s="53">
        <f t="shared" si="6"/>
        <v>0</v>
      </c>
      <c r="AH22" s="54">
        <f t="shared" si="7"/>
        <v>0</v>
      </c>
      <c r="AI22" s="55">
        <f t="shared" si="8"/>
        <v>-1.9257709066744952</v>
      </c>
      <c r="AJ22" s="56">
        <f>AJ21</f>
        <v>-0.10927638842708691</v>
      </c>
      <c r="AK22" s="57">
        <f t="shared" si="34"/>
        <v>-1.925770906674495</v>
      </c>
      <c r="AM22" s="38" t="s">
        <v>7</v>
      </c>
      <c r="AN22" s="22">
        <f>AN21</f>
        <v>-0.123766678676451</v>
      </c>
      <c r="AO22" s="24">
        <f t="shared" si="35"/>
        <v>-2.2030463169147589</v>
      </c>
      <c r="AP22" s="35">
        <f>MAX('BATS 2023 TLFD'!P10,0.0001)</f>
        <v>4.0080371545020525E-2</v>
      </c>
      <c r="AQ22" s="44">
        <f>modeldata!E10/modeldata!E$156</f>
        <v>6.6666666666666671E-3</v>
      </c>
      <c r="AR22" s="47">
        <f t="shared" si="24"/>
        <v>-0.8336675432467413</v>
      </c>
      <c r="AS22" s="53">
        <f t="shared" si="9"/>
        <v>0</v>
      </c>
      <c r="AT22" s="54">
        <f t="shared" si="10"/>
        <v>0</v>
      </c>
      <c r="AU22" s="55">
        <f t="shared" si="11"/>
        <v>-2.2030463169147589</v>
      </c>
      <c r="AV22" s="56">
        <f>AV21</f>
        <v>-0.12376667867645086</v>
      </c>
      <c r="AW22" s="57">
        <f t="shared" si="36"/>
        <v>-2.2030463169147589</v>
      </c>
      <c r="AY22" s="38" t="s">
        <v>7</v>
      </c>
      <c r="AZ22" s="22">
        <f>AZ21</f>
        <v>-0.13060067927808</v>
      </c>
      <c r="BA22" s="24">
        <f t="shared" si="37"/>
        <v>-2.7442643960693567</v>
      </c>
      <c r="BB22" s="35">
        <f>MAX('BATS 2023 TLFD'!Q10,0.0001)</f>
        <v>3.0606070601045469E-2</v>
      </c>
      <c r="BC22" s="44">
        <f>modeldata!F10/modeldata!F$156</f>
        <v>6.6666666666666671E-3</v>
      </c>
      <c r="BD22" s="47">
        <f t="shared" si="25"/>
        <v>-0.78217828895555963</v>
      </c>
      <c r="BE22" s="53">
        <f t="shared" si="12"/>
        <v>0</v>
      </c>
      <c r="BF22" s="54">
        <f t="shared" si="13"/>
        <v>0</v>
      </c>
      <c r="BG22" s="55">
        <f t="shared" si="14"/>
        <v>-2.7442643960693567</v>
      </c>
      <c r="BH22" s="56">
        <f>BH21</f>
        <v>-0.13060067927807983</v>
      </c>
      <c r="BI22" s="57">
        <f t="shared" si="38"/>
        <v>-2.7442643960693567</v>
      </c>
      <c r="BK22" s="38" t="s">
        <v>7</v>
      </c>
      <c r="BL22" s="22">
        <f>BL21</f>
        <v>-0.119295888721189</v>
      </c>
      <c r="BM22" s="24">
        <f t="shared" si="39"/>
        <v>-1.941189267093496</v>
      </c>
      <c r="BN22" s="35">
        <f>MAX('BATS 2023 TLFD'!R10,0.0001)</f>
        <v>2.1543592297444125E-2</v>
      </c>
      <c r="BO22" s="44">
        <f>modeldata!G10/modeldata!G$156</f>
        <v>6.6666666666666671E-3</v>
      </c>
      <c r="BP22" s="47">
        <f t="shared" si="26"/>
        <v>-0.6905499057621145</v>
      </c>
      <c r="BQ22" s="53">
        <f t="shared" si="15"/>
        <v>0</v>
      </c>
      <c r="BR22" s="54">
        <f t="shared" si="16"/>
        <v>0</v>
      </c>
      <c r="BS22" s="55">
        <f t="shared" si="17"/>
        <v>-1.941189267093496</v>
      </c>
      <c r="BT22" s="56">
        <f>BT21</f>
        <v>-0.11929588872118883</v>
      </c>
      <c r="BU22" s="57">
        <f t="shared" si="40"/>
        <v>-1.9411892670934958</v>
      </c>
      <c r="BW22" s="38" t="s">
        <v>7</v>
      </c>
      <c r="BX22" s="22">
        <f>BX21</f>
        <v>-0.204473452523388</v>
      </c>
      <c r="BY22" s="24">
        <f t="shared" si="41"/>
        <v>-3.3487357026135793</v>
      </c>
      <c r="BZ22" s="35">
        <f>MAX('BATS 2023 TLFD'!S10,0.0001)</f>
        <v>1.6561906358932784E-2</v>
      </c>
      <c r="CA22" s="44">
        <f>modeldata!H10/modeldata!H$156</f>
        <v>6.6666666666666671E-3</v>
      </c>
      <c r="CB22" s="47">
        <f t="shared" si="27"/>
        <v>-0.59746984905086409</v>
      </c>
      <c r="CC22" s="53">
        <f t="shared" si="18"/>
        <v>0</v>
      </c>
      <c r="CD22" s="54">
        <f t="shared" si="19"/>
        <v>0</v>
      </c>
      <c r="CE22" s="55">
        <f t="shared" si="20"/>
        <v>-3.3487357026135793</v>
      </c>
      <c r="CF22" s="56">
        <f>CF21</f>
        <v>-0.20447345252338778</v>
      </c>
      <c r="CG22" s="57">
        <f t="shared" si="42"/>
        <v>-3.3487357026135793</v>
      </c>
    </row>
    <row r="23" spans="1:85" x14ac:dyDescent="0.25">
      <c r="A23" s="81">
        <f t="shared" si="28"/>
        <v>7.5</v>
      </c>
      <c r="B23" s="83">
        <f t="shared" si="28"/>
        <v>7</v>
      </c>
      <c r="C23" s="38" t="s">
        <v>8</v>
      </c>
      <c r="D23" s="22">
        <f t="shared" ref="D23:D30" si="43">D22</f>
        <v>-0.21370826062045101</v>
      </c>
      <c r="E23" s="24">
        <f t="shared" si="29"/>
        <v>-3.3285471663810942</v>
      </c>
      <c r="F23" s="35">
        <f>MAX('BATS 2023 TLFD'!M11,0.0001)</f>
        <v>4.039151935373015E-2</v>
      </c>
      <c r="G23" s="44">
        <f>modeldata!B11/modeldata!B$156</f>
        <v>6.6666666666666671E-3</v>
      </c>
      <c r="H23" s="47">
        <f t="shared" si="21"/>
        <v>-0.83494885131002128</v>
      </c>
      <c r="I23" s="53">
        <f t="shared" si="0"/>
        <v>0</v>
      </c>
      <c r="J23" s="54">
        <f t="shared" si="1"/>
        <v>0</v>
      </c>
      <c r="K23" s="55">
        <f t="shared" si="2"/>
        <v>-3.3285471663810942</v>
      </c>
      <c r="L23" s="56">
        <f t="shared" ref="L23:L30" si="44">L22</f>
        <v>-0.21370826062045101</v>
      </c>
      <c r="M23" s="57">
        <f t="shared" si="30"/>
        <v>-3.3285471663810942</v>
      </c>
      <c r="O23" s="38" t="s">
        <v>8</v>
      </c>
      <c r="P23" s="22">
        <f t="shared" ref="P23:P30" si="45">P22</f>
        <v>-0.18324871283782601</v>
      </c>
      <c r="Q23" s="24">
        <f t="shared" si="31"/>
        <v>-2.0631285418391427</v>
      </c>
      <c r="R23" s="35">
        <f>MAX('BATS 2023 TLFD'!N11,0.0001)</f>
        <v>2.0202787425190678E-2</v>
      </c>
      <c r="S23" s="44">
        <f>modeldata!C11/modeldata!C$156</f>
        <v>6.6666666666666671E-3</v>
      </c>
      <c r="T23" s="47">
        <f t="shared" si="22"/>
        <v>-0.6700125321145507</v>
      </c>
      <c r="U23" s="53">
        <f t="shared" si="3"/>
        <v>0</v>
      </c>
      <c r="V23" s="54">
        <f t="shared" si="4"/>
        <v>0</v>
      </c>
      <c r="W23" s="55">
        <f t="shared" si="5"/>
        <v>-2.0631285418391427</v>
      </c>
      <c r="X23" s="56">
        <f t="shared" ref="X23:X30" si="46">X22</f>
        <v>-0.18324871283782596</v>
      </c>
      <c r="Y23" s="57">
        <f t="shared" si="32"/>
        <v>-2.0631285418391427</v>
      </c>
      <c r="AA23" s="38" t="s">
        <v>8</v>
      </c>
      <c r="AB23" s="22">
        <f t="shared" ref="AB23:AB30" si="47">AB22</f>
        <v>-0.10927638842708701</v>
      </c>
      <c r="AC23" s="24">
        <f t="shared" si="33"/>
        <v>-2.0350472951015823</v>
      </c>
      <c r="AD23" s="35">
        <f>MAX('BATS 2023 TLFD'!O11,0.0001)</f>
        <v>6.6784499427918781E-2</v>
      </c>
      <c r="AE23" s="44">
        <f>modeldata!D11/modeldata!D$156</f>
        <v>6.6666666666666671E-3</v>
      </c>
      <c r="AF23" s="47">
        <f t="shared" si="23"/>
        <v>-0.90017643729048125</v>
      </c>
      <c r="AG23" s="53">
        <f t="shared" si="6"/>
        <v>0</v>
      </c>
      <c r="AH23" s="54">
        <f t="shared" si="7"/>
        <v>0</v>
      </c>
      <c r="AI23" s="55">
        <f t="shared" si="8"/>
        <v>-2.0350472951015823</v>
      </c>
      <c r="AJ23" s="56">
        <f t="shared" ref="AJ23:AJ30" si="48">AJ22</f>
        <v>-0.10927638842708691</v>
      </c>
      <c r="AK23" s="57">
        <f t="shared" si="34"/>
        <v>-2.0350472951015819</v>
      </c>
      <c r="AM23" s="38" t="s">
        <v>8</v>
      </c>
      <c r="AN23" s="22">
        <f t="shared" ref="AN23:AN30" si="49">AN22</f>
        <v>-0.123766678676451</v>
      </c>
      <c r="AO23" s="24">
        <f t="shared" si="35"/>
        <v>-2.3268129955912098</v>
      </c>
      <c r="AP23" s="35">
        <f>MAX('BATS 2023 TLFD'!P11,0.0001)</f>
        <v>1.9897218931886562E-2</v>
      </c>
      <c r="AQ23" s="44">
        <f>modeldata!E11/modeldata!E$156</f>
        <v>6.6666666666666671E-3</v>
      </c>
      <c r="AR23" s="47">
        <f t="shared" si="24"/>
        <v>-0.66494480010053514</v>
      </c>
      <c r="AS23" s="53">
        <f t="shared" si="9"/>
        <v>0</v>
      </c>
      <c r="AT23" s="54">
        <f t="shared" si="10"/>
        <v>0</v>
      </c>
      <c r="AU23" s="55">
        <f t="shared" si="11"/>
        <v>-2.3268129955912098</v>
      </c>
      <c r="AV23" s="56">
        <f t="shared" ref="AV23:AV30" si="50">AV22</f>
        <v>-0.12376667867645086</v>
      </c>
      <c r="AW23" s="57">
        <f t="shared" si="36"/>
        <v>-2.3268129955912098</v>
      </c>
      <c r="AY23" s="38" t="s">
        <v>8</v>
      </c>
      <c r="AZ23" s="22">
        <f t="shared" ref="AZ23:AZ30" si="51">AZ22</f>
        <v>-0.13060067927808</v>
      </c>
      <c r="BA23" s="24">
        <f t="shared" si="37"/>
        <v>-2.8748650753474365</v>
      </c>
      <c r="BB23" s="35">
        <f>MAX('BATS 2023 TLFD'!Q11,0.0001)</f>
        <v>2.7677617000619933E-2</v>
      </c>
      <c r="BC23" s="44">
        <f>modeldata!F11/modeldata!F$156</f>
        <v>6.6666666666666671E-3</v>
      </c>
      <c r="BD23" s="47">
        <f t="shared" si="25"/>
        <v>-0.75913147918343749</v>
      </c>
      <c r="BE23" s="53">
        <f t="shared" si="12"/>
        <v>0</v>
      </c>
      <c r="BF23" s="54">
        <f t="shared" si="13"/>
        <v>0</v>
      </c>
      <c r="BG23" s="55">
        <f t="shared" si="14"/>
        <v>-2.8748650753474365</v>
      </c>
      <c r="BH23" s="56">
        <f t="shared" ref="BH23:BH30" si="52">BH22</f>
        <v>-0.13060067927807983</v>
      </c>
      <c r="BI23" s="57">
        <f t="shared" si="38"/>
        <v>-2.8748650753474365</v>
      </c>
      <c r="BK23" s="38" t="s">
        <v>8</v>
      </c>
      <c r="BL23" s="22">
        <f t="shared" ref="BL23:BL30" si="53">BL22</f>
        <v>-0.119295888721189</v>
      </c>
      <c r="BM23" s="24">
        <f t="shared" si="39"/>
        <v>-2.0604851558146851</v>
      </c>
      <c r="BN23" s="35">
        <f>MAX('BATS 2023 TLFD'!R11,0.0001)</f>
        <v>1.1606641266815047E-2</v>
      </c>
      <c r="BO23" s="44">
        <f>modeldata!G11/modeldata!G$156</f>
        <v>6.6666666666666671E-3</v>
      </c>
      <c r="BP23" s="47">
        <f t="shared" si="26"/>
        <v>-0.42561620425647456</v>
      </c>
      <c r="BQ23" s="53">
        <f t="shared" si="15"/>
        <v>0</v>
      </c>
      <c r="BR23" s="54">
        <f t="shared" si="16"/>
        <v>0</v>
      </c>
      <c r="BS23" s="55">
        <f t="shared" si="17"/>
        <v>-2.0604851558146851</v>
      </c>
      <c r="BT23" s="56">
        <f t="shared" ref="BT23:BT30" si="54">BT22</f>
        <v>-0.11929588872118883</v>
      </c>
      <c r="BU23" s="57">
        <f t="shared" si="40"/>
        <v>-2.0604851558146846</v>
      </c>
      <c r="BW23" s="38" t="s">
        <v>8</v>
      </c>
      <c r="BX23" s="22">
        <f t="shared" ref="BX23:BX30" si="55">BX22</f>
        <v>-0.204473452523388</v>
      </c>
      <c r="BY23" s="24">
        <f t="shared" si="41"/>
        <v>-3.5532091551369671</v>
      </c>
      <c r="BZ23" s="35">
        <f>MAX('BATS 2023 TLFD'!S11,0.0001)</f>
        <v>3.0162762208418891E-3</v>
      </c>
      <c r="CA23" s="44">
        <f>modeldata!H11/modeldata!H$156</f>
        <v>6.6666666666666671E-3</v>
      </c>
      <c r="CB23" s="47">
        <f t="shared" si="27"/>
        <v>1.2102308205731562</v>
      </c>
      <c r="CC23" s="53">
        <f t="shared" si="18"/>
        <v>0</v>
      </c>
      <c r="CD23" s="54">
        <f t="shared" si="19"/>
        <v>0</v>
      </c>
      <c r="CE23" s="55">
        <f t="shared" si="20"/>
        <v>-3.5532091551369671</v>
      </c>
      <c r="CF23" s="56">
        <f t="shared" ref="CF23:CF30" si="56">CF22</f>
        <v>-0.20447345252338778</v>
      </c>
      <c r="CG23" s="57">
        <f t="shared" si="42"/>
        <v>-3.5532091551369671</v>
      </c>
    </row>
    <row r="24" spans="1:85" x14ac:dyDescent="0.25">
      <c r="A24" s="81">
        <f t="shared" si="28"/>
        <v>8.5</v>
      </c>
      <c r="B24" s="83">
        <f t="shared" si="28"/>
        <v>8</v>
      </c>
      <c r="C24" s="38" t="s">
        <v>9</v>
      </c>
      <c r="D24" s="22">
        <f t="shared" si="43"/>
        <v>-0.21370826062045101</v>
      </c>
      <c r="E24" s="24">
        <f t="shared" si="29"/>
        <v>-3.5422554270015452</v>
      </c>
      <c r="F24" s="35">
        <f>MAX('BATS 2023 TLFD'!M12,0.0001)</f>
        <v>3.4875345829074367E-2</v>
      </c>
      <c r="G24" s="44">
        <f>modeldata!B12/modeldata!B$156</f>
        <v>6.6666666666666671E-3</v>
      </c>
      <c r="H24" s="47">
        <f t="shared" si="21"/>
        <v>-0.80884299472354193</v>
      </c>
      <c r="I24" s="53">
        <f t="shared" si="0"/>
        <v>0</v>
      </c>
      <c r="J24" s="54">
        <f t="shared" si="1"/>
        <v>0</v>
      </c>
      <c r="K24" s="55">
        <f t="shared" si="2"/>
        <v>-3.5422554270015452</v>
      </c>
      <c r="L24" s="56">
        <f t="shared" si="44"/>
        <v>-0.21370826062045101</v>
      </c>
      <c r="M24" s="57">
        <f t="shared" si="30"/>
        <v>-3.5422554270015452</v>
      </c>
      <c r="O24" s="38" t="s">
        <v>9</v>
      </c>
      <c r="P24" s="22">
        <f t="shared" si="45"/>
        <v>-0.18324871283782601</v>
      </c>
      <c r="Q24" s="24">
        <f t="shared" si="31"/>
        <v>-2.2463772546769687</v>
      </c>
      <c r="R24" s="35">
        <f>MAX('BATS 2023 TLFD'!N12,0.0001)</f>
        <v>2.0282577109762154E-2</v>
      </c>
      <c r="S24" s="44">
        <f>modeldata!C12/modeldata!C$156</f>
        <v>6.6666666666666671E-3</v>
      </c>
      <c r="T24" s="47">
        <f t="shared" si="22"/>
        <v>-0.67131067070081774</v>
      </c>
      <c r="U24" s="53">
        <f t="shared" si="3"/>
        <v>0</v>
      </c>
      <c r="V24" s="54">
        <f t="shared" si="4"/>
        <v>0</v>
      </c>
      <c r="W24" s="55">
        <f t="shared" si="5"/>
        <v>-2.2463772546769687</v>
      </c>
      <c r="X24" s="56">
        <f t="shared" si="46"/>
        <v>-0.18324871283782596</v>
      </c>
      <c r="Y24" s="57">
        <f t="shared" si="32"/>
        <v>-2.2463772546769687</v>
      </c>
      <c r="AA24" s="38" t="s">
        <v>9</v>
      </c>
      <c r="AB24" s="22">
        <f t="shared" si="47"/>
        <v>-0.10927638842708701</v>
      </c>
      <c r="AC24" s="24">
        <f t="shared" si="33"/>
        <v>-2.1443236835286692</v>
      </c>
      <c r="AD24" s="35">
        <f>MAX('BATS 2023 TLFD'!O12,0.0001)</f>
        <v>1.9922819149867533E-2</v>
      </c>
      <c r="AE24" s="44">
        <f>modeldata!D12/modeldata!D$156</f>
        <v>6.6666666666666671E-3</v>
      </c>
      <c r="AF24" s="47">
        <f t="shared" si="23"/>
        <v>-0.66537533586400122</v>
      </c>
      <c r="AG24" s="53">
        <f t="shared" si="6"/>
        <v>0</v>
      </c>
      <c r="AH24" s="54">
        <f t="shared" si="7"/>
        <v>0</v>
      </c>
      <c r="AI24" s="55">
        <f t="shared" si="8"/>
        <v>-2.1443236835286692</v>
      </c>
      <c r="AJ24" s="56">
        <f t="shared" si="48"/>
        <v>-0.10927638842708691</v>
      </c>
      <c r="AK24" s="57">
        <f t="shared" si="34"/>
        <v>-2.1443236835286688</v>
      </c>
      <c r="AM24" s="38" t="s">
        <v>9</v>
      </c>
      <c r="AN24" s="22">
        <f t="shared" si="49"/>
        <v>-0.123766678676451</v>
      </c>
      <c r="AO24" s="24">
        <f t="shared" si="35"/>
        <v>-2.4505796742676607</v>
      </c>
      <c r="AP24" s="35">
        <f>MAX('BATS 2023 TLFD'!P12,0.0001)</f>
        <v>2.875110535976598E-2</v>
      </c>
      <c r="AQ24" s="44">
        <f>modeldata!E12/modeldata!E$156</f>
        <v>6.6666666666666671E-3</v>
      </c>
      <c r="AR24" s="47">
        <f t="shared" si="24"/>
        <v>-0.76812485700129163</v>
      </c>
      <c r="AS24" s="53">
        <f t="shared" si="9"/>
        <v>0</v>
      </c>
      <c r="AT24" s="54">
        <f t="shared" si="10"/>
        <v>0</v>
      </c>
      <c r="AU24" s="55">
        <f t="shared" si="11"/>
        <v>-2.4505796742676607</v>
      </c>
      <c r="AV24" s="56">
        <f t="shared" si="50"/>
        <v>-0.12376667867645086</v>
      </c>
      <c r="AW24" s="57">
        <f t="shared" si="36"/>
        <v>-2.4505796742676607</v>
      </c>
      <c r="AY24" s="38" t="s">
        <v>9</v>
      </c>
      <c r="AZ24" s="22">
        <f t="shared" si="51"/>
        <v>-0.13060067927808</v>
      </c>
      <c r="BA24" s="24">
        <f t="shared" si="37"/>
        <v>-3.0054657546255164</v>
      </c>
      <c r="BB24" s="35">
        <f>MAX('BATS 2023 TLFD'!Q12,0.0001)</f>
        <v>2.5657871554120533E-2</v>
      </c>
      <c r="BC24" s="44">
        <f>modeldata!F12/modeldata!F$156</f>
        <v>6.6666666666666671E-3</v>
      </c>
      <c r="BD24" s="47">
        <f t="shared" si="25"/>
        <v>-0.74017070540693264</v>
      </c>
      <c r="BE24" s="53">
        <f t="shared" si="12"/>
        <v>0</v>
      </c>
      <c r="BF24" s="54">
        <f t="shared" si="13"/>
        <v>0</v>
      </c>
      <c r="BG24" s="55">
        <f t="shared" si="14"/>
        <v>-3.0054657546255164</v>
      </c>
      <c r="BH24" s="56">
        <f t="shared" si="52"/>
        <v>-0.13060067927807983</v>
      </c>
      <c r="BI24" s="57">
        <f t="shared" si="38"/>
        <v>-3.0054657546255164</v>
      </c>
      <c r="BK24" s="38" t="s">
        <v>9</v>
      </c>
      <c r="BL24" s="22">
        <f t="shared" si="53"/>
        <v>-0.119295888721189</v>
      </c>
      <c r="BM24" s="24">
        <f t="shared" si="39"/>
        <v>-2.1797810445358738</v>
      </c>
      <c r="BN24" s="35">
        <f>MAX('BATS 2023 TLFD'!R12,0.0001)</f>
        <v>2.5153344655011473E-2</v>
      </c>
      <c r="BO24" s="44">
        <f>modeldata!G12/modeldata!G$156</f>
        <v>6.6666666666666671E-3</v>
      </c>
      <c r="BP24" s="47">
        <f t="shared" si="26"/>
        <v>-0.73495903792904049</v>
      </c>
      <c r="BQ24" s="53">
        <f t="shared" si="15"/>
        <v>0</v>
      </c>
      <c r="BR24" s="54">
        <f t="shared" si="16"/>
        <v>0</v>
      </c>
      <c r="BS24" s="55">
        <f t="shared" si="17"/>
        <v>-2.1797810445358738</v>
      </c>
      <c r="BT24" s="56">
        <f t="shared" si="54"/>
        <v>-0.11929588872118883</v>
      </c>
      <c r="BU24" s="57">
        <f t="shared" si="40"/>
        <v>-2.1797810445358734</v>
      </c>
      <c r="BW24" s="38" t="s">
        <v>9</v>
      </c>
      <c r="BX24" s="22">
        <f t="shared" si="55"/>
        <v>-0.204473452523388</v>
      </c>
      <c r="BY24" s="24">
        <f t="shared" si="41"/>
        <v>-3.7576826076603549</v>
      </c>
      <c r="BZ24" s="35">
        <f>MAX('BATS 2023 TLFD'!S12,0.0001)</f>
        <v>1.4018910194273271E-3</v>
      </c>
      <c r="CA24" s="44">
        <f>modeldata!H12/modeldata!H$156</f>
        <v>6.6666666666666671E-3</v>
      </c>
      <c r="CB24" s="47">
        <f t="shared" si="27"/>
        <v>3.7554813992531333</v>
      </c>
      <c r="CC24" s="53">
        <f t="shared" si="18"/>
        <v>0</v>
      </c>
      <c r="CD24" s="54">
        <f t="shared" si="19"/>
        <v>0</v>
      </c>
      <c r="CE24" s="55">
        <f t="shared" si="20"/>
        <v>-3.7576826076603549</v>
      </c>
      <c r="CF24" s="56">
        <f t="shared" si="56"/>
        <v>-0.20447345252338778</v>
      </c>
      <c r="CG24" s="57">
        <f t="shared" si="42"/>
        <v>-3.7576826076603549</v>
      </c>
    </row>
    <row r="25" spans="1:85" x14ac:dyDescent="0.25">
      <c r="A25" s="81">
        <f t="shared" si="28"/>
        <v>9.5</v>
      </c>
      <c r="B25" s="83">
        <f t="shared" si="28"/>
        <v>9</v>
      </c>
      <c r="C25" s="38" t="s">
        <v>10</v>
      </c>
      <c r="D25" s="22">
        <f t="shared" si="43"/>
        <v>-0.21370826062045101</v>
      </c>
      <c r="E25" s="24">
        <f t="shared" si="29"/>
        <v>-3.7559636876219962</v>
      </c>
      <c r="F25" s="35">
        <f>MAX('BATS 2023 TLFD'!M13,0.0001)</f>
        <v>7.2936779089504983E-3</v>
      </c>
      <c r="G25" s="44">
        <f>modeldata!B13/modeldata!B$156</f>
        <v>6.6666666666666671E-3</v>
      </c>
      <c r="H25" s="47">
        <f t="shared" si="21"/>
        <v>-8.5966401328798625E-2</v>
      </c>
      <c r="I25" s="53">
        <f t="shared" si="0"/>
        <v>0</v>
      </c>
      <c r="J25" s="54">
        <f t="shared" si="1"/>
        <v>0</v>
      </c>
      <c r="K25" s="55">
        <f t="shared" si="2"/>
        <v>-3.7559636876219962</v>
      </c>
      <c r="L25" s="56">
        <f t="shared" si="44"/>
        <v>-0.21370826062045101</v>
      </c>
      <c r="M25" s="57">
        <f t="shared" si="30"/>
        <v>-3.7559636876219962</v>
      </c>
      <c r="O25" s="38" t="s">
        <v>10</v>
      </c>
      <c r="P25" s="22">
        <f t="shared" si="45"/>
        <v>-0.18324871283782601</v>
      </c>
      <c r="Q25" s="24">
        <f t="shared" si="31"/>
        <v>-2.4296259675147946</v>
      </c>
      <c r="R25" s="35">
        <f>MAX('BATS 2023 TLFD'!N13,0.0001)</f>
        <v>1.2133851108778852E-2</v>
      </c>
      <c r="S25" s="44">
        <f>modeldata!C13/modeldata!C$156</f>
        <v>6.6666666666666671E-3</v>
      </c>
      <c r="T25" s="47">
        <f t="shared" si="22"/>
        <v>-0.45057289669202155</v>
      </c>
      <c r="U25" s="53">
        <f t="shared" si="3"/>
        <v>0</v>
      </c>
      <c r="V25" s="54">
        <f t="shared" si="4"/>
        <v>0</v>
      </c>
      <c r="W25" s="55">
        <f t="shared" si="5"/>
        <v>-2.4296259675147946</v>
      </c>
      <c r="X25" s="56">
        <f t="shared" si="46"/>
        <v>-0.18324871283782596</v>
      </c>
      <c r="Y25" s="57">
        <f t="shared" si="32"/>
        <v>-2.4296259675147946</v>
      </c>
      <c r="AA25" s="38" t="s">
        <v>10</v>
      </c>
      <c r="AB25" s="22">
        <f t="shared" si="47"/>
        <v>-0.10927638842708701</v>
      </c>
      <c r="AC25" s="24">
        <f t="shared" si="33"/>
        <v>-2.2536000719557561</v>
      </c>
      <c r="AD25" s="35">
        <f>MAX('BATS 2023 TLFD'!O13,0.0001)</f>
        <v>2.8316056749111668E-2</v>
      </c>
      <c r="AE25" s="44">
        <f>modeldata!D13/modeldata!D$156</f>
        <v>6.6666666666666671E-3</v>
      </c>
      <c r="AF25" s="47">
        <f t="shared" si="23"/>
        <v>-0.76456232145120928</v>
      </c>
      <c r="AG25" s="53">
        <f t="shared" si="6"/>
        <v>0</v>
      </c>
      <c r="AH25" s="54">
        <f t="shared" si="7"/>
        <v>0</v>
      </c>
      <c r="AI25" s="55">
        <f t="shared" si="8"/>
        <v>-2.2536000719557561</v>
      </c>
      <c r="AJ25" s="56">
        <f t="shared" si="48"/>
        <v>-0.10927638842708691</v>
      </c>
      <c r="AK25" s="57">
        <f t="shared" si="34"/>
        <v>-2.2536000719557556</v>
      </c>
      <c r="AM25" s="38" t="s">
        <v>10</v>
      </c>
      <c r="AN25" s="22">
        <f t="shared" si="49"/>
        <v>-0.123766678676451</v>
      </c>
      <c r="AO25" s="24">
        <f t="shared" si="35"/>
        <v>-2.5743463529441115</v>
      </c>
      <c r="AP25" s="35">
        <f>MAX('BATS 2023 TLFD'!P13,0.0001)</f>
        <v>2.2892546729427917E-2</v>
      </c>
      <c r="AQ25" s="44">
        <f>modeldata!E13/modeldata!E$156</f>
        <v>6.6666666666666671E-3</v>
      </c>
      <c r="AR25" s="47">
        <f t="shared" si="24"/>
        <v>-0.70878440282501209</v>
      </c>
      <c r="AS25" s="53">
        <f t="shared" si="9"/>
        <v>0</v>
      </c>
      <c r="AT25" s="54">
        <f t="shared" si="10"/>
        <v>0</v>
      </c>
      <c r="AU25" s="55">
        <f t="shared" si="11"/>
        <v>-2.5743463529441115</v>
      </c>
      <c r="AV25" s="56">
        <f t="shared" si="50"/>
        <v>-0.12376667867645086</v>
      </c>
      <c r="AW25" s="57">
        <f t="shared" si="36"/>
        <v>-2.5743463529441115</v>
      </c>
      <c r="AY25" s="38" t="s">
        <v>10</v>
      </c>
      <c r="AZ25" s="22">
        <f t="shared" si="51"/>
        <v>-0.13060067927808</v>
      </c>
      <c r="BA25" s="24">
        <f t="shared" si="37"/>
        <v>-3.1360664339035962</v>
      </c>
      <c r="BB25" s="35">
        <f>MAX('BATS 2023 TLFD'!Q13,0.0001)</f>
        <v>7.0727021787914662E-3</v>
      </c>
      <c r="BC25" s="44">
        <f>modeldata!F13/modeldata!F$156</f>
        <v>6.6666666666666671E-3</v>
      </c>
      <c r="BD25" s="47">
        <f t="shared" si="25"/>
        <v>-5.7408823651921334E-2</v>
      </c>
      <c r="BE25" s="53">
        <f t="shared" si="12"/>
        <v>0</v>
      </c>
      <c r="BF25" s="54">
        <f t="shared" si="13"/>
        <v>0</v>
      </c>
      <c r="BG25" s="55">
        <f t="shared" si="14"/>
        <v>-3.1360664339035962</v>
      </c>
      <c r="BH25" s="56">
        <f t="shared" si="52"/>
        <v>-0.13060067927807983</v>
      </c>
      <c r="BI25" s="57">
        <f t="shared" si="38"/>
        <v>-3.1360664339035962</v>
      </c>
      <c r="BK25" s="38" t="s">
        <v>10</v>
      </c>
      <c r="BL25" s="22">
        <f t="shared" si="53"/>
        <v>-0.119295888721189</v>
      </c>
      <c r="BM25" s="24">
        <f t="shared" si="39"/>
        <v>-2.2990769332570626</v>
      </c>
      <c r="BN25" s="35">
        <f>MAX('BATS 2023 TLFD'!R13,0.0001)</f>
        <v>2.2914766644244359E-2</v>
      </c>
      <c r="BO25" s="44">
        <f>modeldata!G13/modeldata!G$156</f>
        <v>6.6666666666666671E-3</v>
      </c>
      <c r="BP25" s="47">
        <f t="shared" si="26"/>
        <v>-0.70906678779811294</v>
      </c>
      <c r="BQ25" s="53">
        <f t="shared" si="15"/>
        <v>0</v>
      </c>
      <c r="BR25" s="54">
        <f t="shared" si="16"/>
        <v>0</v>
      </c>
      <c r="BS25" s="55">
        <f t="shared" si="17"/>
        <v>-2.2990769332570626</v>
      </c>
      <c r="BT25" s="56">
        <f t="shared" si="54"/>
        <v>-0.11929588872118883</v>
      </c>
      <c r="BU25" s="57">
        <f t="shared" si="40"/>
        <v>-2.2990769332570622</v>
      </c>
      <c r="BW25" s="38" t="s">
        <v>10</v>
      </c>
      <c r="BX25" s="22">
        <f t="shared" si="55"/>
        <v>-0.204473452523388</v>
      </c>
      <c r="BY25" s="24">
        <f t="shared" si="41"/>
        <v>-3.9621560601837427</v>
      </c>
      <c r="BZ25" s="35">
        <f>MAX('BATS 2023 TLFD'!S13,0.0001)</f>
        <v>1.5695976188554945E-3</v>
      </c>
      <c r="CA25" s="44">
        <f>modeldata!H13/modeldata!H$156</f>
        <v>6.6666666666666671E-3</v>
      </c>
      <c r="CB25" s="47">
        <f t="shared" si="27"/>
        <v>3.2473730761185844</v>
      </c>
      <c r="CC25" s="53">
        <f t="shared" si="18"/>
        <v>0</v>
      </c>
      <c r="CD25" s="54">
        <f t="shared" si="19"/>
        <v>0</v>
      </c>
      <c r="CE25" s="55">
        <f t="shared" si="20"/>
        <v>-3.9621560601837427</v>
      </c>
      <c r="CF25" s="56">
        <f t="shared" si="56"/>
        <v>-0.20447345252338778</v>
      </c>
      <c r="CG25" s="57">
        <f t="shared" si="42"/>
        <v>-3.9621560601837427</v>
      </c>
    </row>
    <row r="26" spans="1:85" x14ac:dyDescent="0.25">
      <c r="A26" s="81">
        <f t="shared" si="28"/>
        <v>10.5</v>
      </c>
      <c r="B26" s="83">
        <f t="shared" si="28"/>
        <v>10</v>
      </c>
      <c r="C26" s="38" t="s">
        <v>11</v>
      </c>
      <c r="D26" s="22">
        <f t="shared" si="43"/>
        <v>-0.21370826062045101</v>
      </c>
      <c r="E26" s="24">
        <f t="shared" si="29"/>
        <v>-3.9696719482424472</v>
      </c>
      <c r="F26" s="35">
        <f>MAX('BATS 2023 TLFD'!M14,0.0001)</f>
        <v>9.1698665804351119E-3</v>
      </c>
      <c r="G26" s="44">
        <f>modeldata!B14/modeldata!B$156</f>
        <v>6.6666666666666671E-3</v>
      </c>
      <c r="H26" s="47">
        <f t="shared" si="21"/>
        <v>-0.27298106159028407</v>
      </c>
      <c r="I26" s="53">
        <f t="shared" si="0"/>
        <v>0</v>
      </c>
      <c r="J26" s="54">
        <f t="shared" si="1"/>
        <v>0</v>
      </c>
      <c r="K26" s="55">
        <f t="shared" si="2"/>
        <v>-3.9696719482424472</v>
      </c>
      <c r="L26" s="56">
        <f t="shared" si="44"/>
        <v>-0.21370826062045101</v>
      </c>
      <c r="M26" s="57">
        <f t="shared" si="30"/>
        <v>-3.9696719482424472</v>
      </c>
      <c r="O26" s="38" t="s">
        <v>11</v>
      </c>
      <c r="P26" s="22">
        <f t="shared" si="45"/>
        <v>-0.18324871283782601</v>
      </c>
      <c r="Q26" s="24">
        <f t="shared" si="31"/>
        <v>-2.6128746803526206</v>
      </c>
      <c r="R26" s="35">
        <f>MAX('BATS 2023 TLFD'!N14,0.0001)</f>
        <v>1.5922381035437132E-2</v>
      </c>
      <c r="S26" s="44">
        <f>modeldata!C14/modeldata!C$156</f>
        <v>6.6666666666666671E-3</v>
      </c>
      <c r="T26" s="47">
        <f t="shared" si="22"/>
        <v>-0.58130215249658845</v>
      </c>
      <c r="U26" s="53">
        <f t="shared" si="3"/>
        <v>0</v>
      </c>
      <c r="V26" s="54">
        <f t="shared" si="4"/>
        <v>0</v>
      </c>
      <c r="W26" s="55">
        <f t="shared" si="5"/>
        <v>-2.6128746803526206</v>
      </c>
      <c r="X26" s="56">
        <f t="shared" si="46"/>
        <v>-0.18324871283782596</v>
      </c>
      <c r="Y26" s="57">
        <f t="shared" si="32"/>
        <v>-2.6128746803526206</v>
      </c>
      <c r="AA26" s="38" t="s">
        <v>11</v>
      </c>
      <c r="AB26" s="22">
        <f t="shared" si="47"/>
        <v>-0.10927638842708701</v>
      </c>
      <c r="AC26" s="24">
        <f t="shared" si="33"/>
        <v>-2.3628764603828429</v>
      </c>
      <c r="AD26" s="35">
        <f>MAX('BATS 2023 TLFD'!O14,0.0001)</f>
        <v>1.5943322129248882E-2</v>
      </c>
      <c r="AE26" s="44">
        <f>modeldata!D14/modeldata!D$156</f>
        <v>6.6666666666666671E-3</v>
      </c>
      <c r="AF26" s="47">
        <f t="shared" si="23"/>
        <v>-0.58185210004404853</v>
      </c>
      <c r="AG26" s="53">
        <f t="shared" si="6"/>
        <v>0</v>
      </c>
      <c r="AH26" s="54">
        <f t="shared" si="7"/>
        <v>0</v>
      </c>
      <c r="AI26" s="55">
        <f t="shared" si="8"/>
        <v>-2.3628764603828429</v>
      </c>
      <c r="AJ26" s="56">
        <f t="shared" si="48"/>
        <v>-0.10927638842708691</v>
      </c>
      <c r="AK26" s="57">
        <f t="shared" si="34"/>
        <v>-2.3628764603828425</v>
      </c>
      <c r="AM26" s="38" t="s">
        <v>11</v>
      </c>
      <c r="AN26" s="22">
        <f t="shared" si="49"/>
        <v>-0.123766678676451</v>
      </c>
      <c r="AO26" s="24">
        <f t="shared" si="35"/>
        <v>-2.6981130316205624</v>
      </c>
      <c r="AP26" s="35">
        <f>MAX('BATS 2023 TLFD'!P14,0.0001)</f>
        <v>1.0026931434814347E-2</v>
      </c>
      <c r="AQ26" s="44">
        <f>modeldata!E14/modeldata!E$156</f>
        <v>6.6666666666666671E-3</v>
      </c>
      <c r="AR26" s="47">
        <f t="shared" si="24"/>
        <v>-0.33512393996039097</v>
      </c>
      <c r="AS26" s="53">
        <f t="shared" si="9"/>
        <v>0</v>
      </c>
      <c r="AT26" s="54">
        <f t="shared" si="10"/>
        <v>0</v>
      </c>
      <c r="AU26" s="55">
        <f t="shared" si="11"/>
        <v>-2.6981130316205624</v>
      </c>
      <c r="AV26" s="56">
        <f t="shared" si="50"/>
        <v>-0.12376667867645086</v>
      </c>
      <c r="AW26" s="57">
        <f t="shared" si="36"/>
        <v>-2.6981130316205624</v>
      </c>
      <c r="AY26" s="38" t="s">
        <v>11</v>
      </c>
      <c r="AZ26" s="22">
        <f t="shared" si="51"/>
        <v>-0.13060067927808</v>
      </c>
      <c r="BA26" s="24">
        <f t="shared" si="37"/>
        <v>-3.266667113181676</v>
      </c>
      <c r="BB26" s="35">
        <f>MAX('BATS 2023 TLFD'!Q14,0.0001)</f>
        <v>1.1640875104327791E-2</v>
      </c>
      <c r="BC26" s="44">
        <f>modeldata!F14/modeldata!F$156</f>
        <v>6.6666666666666671E-3</v>
      </c>
      <c r="BD26" s="47">
        <f t="shared" si="25"/>
        <v>-0.42730536949166614</v>
      </c>
      <c r="BE26" s="53">
        <f t="shared" si="12"/>
        <v>0</v>
      </c>
      <c r="BF26" s="54">
        <f t="shared" si="13"/>
        <v>0</v>
      </c>
      <c r="BG26" s="55">
        <f t="shared" si="14"/>
        <v>-3.266667113181676</v>
      </c>
      <c r="BH26" s="56">
        <f t="shared" si="52"/>
        <v>-0.13060067927807983</v>
      </c>
      <c r="BI26" s="57">
        <f t="shared" si="38"/>
        <v>-3.266667113181676</v>
      </c>
      <c r="BK26" s="38" t="s">
        <v>11</v>
      </c>
      <c r="BL26" s="22">
        <f t="shared" si="53"/>
        <v>-0.119295888721189</v>
      </c>
      <c r="BM26" s="24">
        <f t="shared" si="39"/>
        <v>-2.4183728219782514</v>
      </c>
      <c r="BN26" s="35">
        <f>MAX('BATS 2023 TLFD'!R14,0.0001)</f>
        <v>1.6788947889559105E-2</v>
      </c>
      <c r="BO26" s="44">
        <f>modeldata!G14/modeldata!G$156</f>
        <v>6.6666666666666671E-3</v>
      </c>
      <c r="BP26" s="47">
        <f t="shared" si="26"/>
        <v>-0.60291337429115455</v>
      </c>
      <c r="BQ26" s="53">
        <f t="shared" si="15"/>
        <v>0</v>
      </c>
      <c r="BR26" s="54">
        <f t="shared" si="16"/>
        <v>0</v>
      </c>
      <c r="BS26" s="55">
        <f t="shared" si="17"/>
        <v>-2.4183728219782514</v>
      </c>
      <c r="BT26" s="56">
        <f t="shared" si="54"/>
        <v>-0.11929588872118883</v>
      </c>
      <c r="BU26" s="57">
        <f t="shared" si="40"/>
        <v>-2.418372821978251</v>
      </c>
      <c r="BW26" s="38" t="s">
        <v>11</v>
      </c>
      <c r="BX26" s="22">
        <f t="shared" si="55"/>
        <v>-0.204473452523388</v>
      </c>
      <c r="BY26" s="24">
        <f t="shared" si="41"/>
        <v>-4.1666295127071304</v>
      </c>
      <c r="BZ26" s="35">
        <f>MAX('BATS 2023 TLFD'!S14,0.0001)</f>
        <v>1.4141010608882519E-4</v>
      </c>
      <c r="CA26" s="44">
        <f>modeldata!H14/modeldata!H$156</f>
        <v>6.6666666666666671E-3</v>
      </c>
      <c r="CB26" s="47">
        <f t="shared" si="27"/>
        <v>46.144202426940225</v>
      </c>
      <c r="CC26" s="53">
        <f t="shared" si="18"/>
        <v>0</v>
      </c>
      <c r="CD26" s="54">
        <f t="shared" si="19"/>
        <v>0</v>
      </c>
      <c r="CE26" s="55">
        <f t="shared" si="20"/>
        <v>-4.1666295127071304</v>
      </c>
      <c r="CF26" s="56">
        <f t="shared" si="56"/>
        <v>-0.20447345252338778</v>
      </c>
      <c r="CG26" s="57">
        <f t="shared" si="42"/>
        <v>-4.1666295127071304</v>
      </c>
    </row>
    <row r="27" spans="1:85" x14ac:dyDescent="0.25">
      <c r="A27" s="81">
        <f t="shared" si="28"/>
        <v>11.5</v>
      </c>
      <c r="B27" s="83">
        <f t="shared" si="28"/>
        <v>11</v>
      </c>
      <c r="C27" s="38" t="s">
        <v>12</v>
      </c>
      <c r="D27" s="22">
        <f t="shared" si="43"/>
        <v>-0.21370826062045101</v>
      </c>
      <c r="E27" s="24">
        <f t="shared" si="29"/>
        <v>-4.1833802088628982</v>
      </c>
      <c r="F27" s="35">
        <f>MAX('BATS 2023 TLFD'!M15,0.0001)</f>
        <v>9.7816840217232158E-3</v>
      </c>
      <c r="G27" s="44">
        <f>modeldata!B15/modeldata!B$156</f>
        <v>6.6666666666666671E-3</v>
      </c>
      <c r="H27" s="47">
        <f t="shared" si="21"/>
        <v>-0.31845409728413854</v>
      </c>
      <c r="I27" s="53">
        <f t="shared" si="0"/>
        <v>0</v>
      </c>
      <c r="J27" s="54">
        <f t="shared" si="1"/>
        <v>0</v>
      </c>
      <c r="K27" s="55">
        <f t="shared" si="2"/>
        <v>-4.1833802088628982</v>
      </c>
      <c r="L27" s="56">
        <f t="shared" si="44"/>
        <v>-0.21370826062045101</v>
      </c>
      <c r="M27" s="57">
        <f t="shared" si="30"/>
        <v>-4.1833802088628982</v>
      </c>
      <c r="O27" s="38" t="s">
        <v>12</v>
      </c>
      <c r="P27" s="22">
        <f t="shared" si="45"/>
        <v>-0.18324871283782601</v>
      </c>
      <c r="Q27" s="24">
        <f t="shared" si="31"/>
        <v>-2.7961233931904466</v>
      </c>
      <c r="R27" s="35">
        <f>MAX('BATS 2023 TLFD'!N15,0.0001)</f>
        <v>6.2314850686591748E-3</v>
      </c>
      <c r="S27" s="44">
        <f>modeldata!C15/modeldata!C$156</f>
        <v>6.6666666666666671E-3</v>
      </c>
      <c r="T27" s="47">
        <f t="shared" si="22"/>
        <v>6.9835936893471534E-2</v>
      </c>
      <c r="U27" s="53">
        <f t="shared" si="3"/>
        <v>0</v>
      </c>
      <c r="V27" s="54">
        <f t="shared" si="4"/>
        <v>0</v>
      </c>
      <c r="W27" s="55">
        <f t="shared" si="5"/>
        <v>-2.7961233931904466</v>
      </c>
      <c r="X27" s="56">
        <f t="shared" si="46"/>
        <v>-0.18324871283782596</v>
      </c>
      <c r="Y27" s="57">
        <f t="shared" si="32"/>
        <v>-2.7961233931904466</v>
      </c>
      <c r="AA27" s="38" t="s">
        <v>12</v>
      </c>
      <c r="AB27" s="22">
        <f t="shared" si="47"/>
        <v>-0.10927638842708701</v>
      </c>
      <c r="AC27" s="24">
        <f t="shared" si="33"/>
        <v>-2.4721528488099298</v>
      </c>
      <c r="AD27" s="35">
        <f>MAX('BATS 2023 TLFD'!O15,0.0001)</f>
        <v>1.0464626490500215E-2</v>
      </c>
      <c r="AE27" s="44">
        <f>modeldata!D15/modeldata!D$156</f>
        <v>6.6666666666666671E-3</v>
      </c>
      <c r="AF27" s="47">
        <f t="shared" si="23"/>
        <v>-0.36293314694808598</v>
      </c>
      <c r="AG27" s="53">
        <f t="shared" si="6"/>
        <v>0</v>
      </c>
      <c r="AH27" s="54">
        <f t="shared" si="7"/>
        <v>0</v>
      </c>
      <c r="AI27" s="55">
        <f t="shared" si="8"/>
        <v>-2.4721528488099298</v>
      </c>
      <c r="AJ27" s="56">
        <f t="shared" si="48"/>
        <v>-0.10927638842708691</v>
      </c>
      <c r="AK27" s="57">
        <f t="shared" si="34"/>
        <v>-2.4721528488099294</v>
      </c>
      <c r="AM27" s="38" t="s">
        <v>12</v>
      </c>
      <c r="AN27" s="22">
        <f t="shared" si="49"/>
        <v>-0.123766678676451</v>
      </c>
      <c r="AO27" s="24">
        <f t="shared" si="35"/>
        <v>-2.8218797102970132</v>
      </c>
      <c r="AP27" s="35">
        <f>MAX('BATS 2023 TLFD'!P15,0.0001)</f>
        <v>1.9438321736543796E-2</v>
      </c>
      <c r="AQ27" s="44">
        <f>modeldata!E15/modeldata!E$156</f>
        <v>6.6666666666666671E-3</v>
      </c>
      <c r="AR27" s="47">
        <f t="shared" si="24"/>
        <v>-0.65703486355339924</v>
      </c>
      <c r="AS27" s="53">
        <f t="shared" si="9"/>
        <v>0</v>
      </c>
      <c r="AT27" s="54">
        <f t="shared" si="10"/>
        <v>0</v>
      </c>
      <c r="AU27" s="55">
        <f t="shared" si="11"/>
        <v>-2.8218797102970132</v>
      </c>
      <c r="AV27" s="56">
        <f t="shared" si="50"/>
        <v>-0.12376667867645086</v>
      </c>
      <c r="AW27" s="57">
        <f t="shared" si="36"/>
        <v>-2.8218797102970132</v>
      </c>
      <c r="AY27" s="38" t="s">
        <v>12</v>
      </c>
      <c r="AZ27" s="22">
        <f t="shared" si="51"/>
        <v>-0.13060067927808</v>
      </c>
      <c r="BA27" s="24">
        <f t="shared" si="37"/>
        <v>-3.3972677924597559</v>
      </c>
      <c r="BB27" s="35">
        <f>MAX('BATS 2023 TLFD'!Q15,0.0001)</f>
        <v>4.3924178037128099E-3</v>
      </c>
      <c r="BC27" s="44">
        <f>modeldata!F15/modeldata!F$156</f>
        <v>6.6666666666666671E-3</v>
      </c>
      <c r="BD27" s="47">
        <f t="shared" si="25"/>
        <v>0.51776697130939753</v>
      </c>
      <c r="BE27" s="53">
        <f t="shared" si="12"/>
        <v>0</v>
      </c>
      <c r="BF27" s="54">
        <f t="shared" si="13"/>
        <v>0</v>
      </c>
      <c r="BG27" s="55">
        <f t="shared" si="14"/>
        <v>-3.3972677924597559</v>
      </c>
      <c r="BH27" s="56">
        <f t="shared" si="52"/>
        <v>-0.13060067927807983</v>
      </c>
      <c r="BI27" s="57">
        <f t="shared" si="38"/>
        <v>-3.3972677924597559</v>
      </c>
      <c r="BK27" s="38" t="s">
        <v>12</v>
      </c>
      <c r="BL27" s="22">
        <f t="shared" si="53"/>
        <v>-0.119295888721189</v>
      </c>
      <c r="BM27" s="24">
        <f t="shared" si="39"/>
        <v>-2.5376687106994402</v>
      </c>
      <c r="BN27" s="35">
        <f>MAX('BATS 2023 TLFD'!R15,0.0001)</f>
        <v>6.9654772035027653E-3</v>
      </c>
      <c r="BO27" s="44">
        <f>modeldata!G15/modeldata!G$156</f>
        <v>6.6666666666666671E-3</v>
      </c>
      <c r="BP27" s="47">
        <f t="shared" si="26"/>
        <v>-4.2898788999816667E-2</v>
      </c>
      <c r="BQ27" s="53">
        <f t="shared" si="15"/>
        <v>0</v>
      </c>
      <c r="BR27" s="54">
        <f t="shared" si="16"/>
        <v>0</v>
      </c>
      <c r="BS27" s="55">
        <f t="shared" si="17"/>
        <v>-2.5376687106994402</v>
      </c>
      <c r="BT27" s="56">
        <f t="shared" si="54"/>
        <v>-0.11929588872118883</v>
      </c>
      <c r="BU27" s="57">
        <f t="shared" si="40"/>
        <v>-2.5376687106994398</v>
      </c>
      <c r="BW27" s="38" t="s">
        <v>12</v>
      </c>
      <c r="BX27" s="22">
        <f t="shared" si="55"/>
        <v>-0.204473452523388</v>
      </c>
      <c r="BY27" s="24">
        <f t="shared" si="41"/>
        <v>-4.3711029652305182</v>
      </c>
      <c r="BZ27" s="35">
        <f>MAX('BATS 2023 TLFD'!S15,0.0001)</f>
        <v>2.2152713582533332E-3</v>
      </c>
      <c r="CA27" s="44">
        <f>modeldata!H15/modeldata!H$156</f>
        <v>6.6666666666666671E-3</v>
      </c>
      <c r="CB27" s="47">
        <f t="shared" si="27"/>
        <v>2.0094131095177019</v>
      </c>
      <c r="CC27" s="53">
        <f t="shared" si="18"/>
        <v>0</v>
      </c>
      <c r="CD27" s="54">
        <f t="shared" si="19"/>
        <v>0</v>
      </c>
      <c r="CE27" s="55">
        <f t="shared" si="20"/>
        <v>-4.3711029652305182</v>
      </c>
      <c r="CF27" s="56">
        <f t="shared" si="56"/>
        <v>-0.20447345252338778</v>
      </c>
      <c r="CG27" s="57">
        <f t="shared" si="42"/>
        <v>-4.3711029652305182</v>
      </c>
    </row>
    <row r="28" spans="1:85" x14ac:dyDescent="0.25">
      <c r="A28" s="81">
        <f t="shared" si="28"/>
        <v>12.5</v>
      </c>
      <c r="B28" s="83">
        <f t="shared" si="28"/>
        <v>12</v>
      </c>
      <c r="C28" s="38" t="s">
        <v>13</v>
      </c>
      <c r="D28" s="22">
        <f t="shared" si="43"/>
        <v>-0.21370826062045101</v>
      </c>
      <c r="E28" s="24">
        <f t="shared" si="29"/>
        <v>-4.3970884694833492</v>
      </c>
      <c r="F28" s="35">
        <f>MAX('BATS 2023 TLFD'!M16,0.0001)</f>
        <v>8.9707708467288323E-3</v>
      </c>
      <c r="G28" s="44">
        <f>modeldata!B16/modeldata!B$156</f>
        <v>6.6666666666666671E-3</v>
      </c>
      <c r="H28" s="47">
        <f t="shared" si="21"/>
        <v>-0.25684572924993959</v>
      </c>
      <c r="I28" s="53">
        <f t="shared" si="0"/>
        <v>0</v>
      </c>
      <c r="J28" s="54">
        <f t="shared" si="1"/>
        <v>0</v>
      </c>
      <c r="K28" s="55">
        <f t="shared" si="2"/>
        <v>-4.3970884694833492</v>
      </c>
      <c r="L28" s="56">
        <f t="shared" si="44"/>
        <v>-0.21370826062045101</v>
      </c>
      <c r="M28" s="57">
        <f t="shared" si="30"/>
        <v>-4.3970884694833492</v>
      </c>
      <c r="O28" s="38" t="s">
        <v>13</v>
      </c>
      <c r="P28" s="22">
        <f t="shared" si="45"/>
        <v>-0.18324871283782601</v>
      </c>
      <c r="Q28" s="24">
        <f t="shared" si="31"/>
        <v>-2.9793721060282725</v>
      </c>
      <c r="R28" s="35">
        <f>MAX('BATS 2023 TLFD'!N16,0.0001)</f>
        <v>1.4717841500098913E-2</v>
      </c>
      <c r="S28" s="44">
        <f>modeldata!C16/modeldata!C$156</f>
        <v>6.6666666666666671E-3</v>
      </c>
      <c r="T28" s="47">
        <f t="shared" si="22"/>
        <v>-0.54703502775037605</v>
      </c>
      <c r="U28" s="53">
        <f t="shared" si="3"/>
        <v>0</v>
      </c>
      <c r="V28" s="54">
        <f t="shared" si="4"/>
        <v>0</v>
      </c>
      <c r="W28" s="55">
        <f t="shared" si="5"/>
        <v>-2.9793721060282725</v>
      </c>
      <c r="X28" s="56">
        <f t="shared" si="46"/>
        <v>-0.18324871283782596</v>
      </c>
      <c r="Y28" s="57">
        <f t="shared" si="32"/>
        <v>-2.9793721060282725</v>
      </c>
      <c r="AA28" s="38" t="s">
        <v>13</v>
      </c>
      <c r="AB28" s="22">
        <f t="shared" si="47"/>
        <v>-0.10927638842708701</v>
      </c>
      <c r="AC28" s="24">
        <f t="shared" si="33"/>
        <v>-2.5814292372370167</v>
      </c>
      <c r="AD28" s="35">
        <f>MAX('BATS 2023 TLFD'!O16,0.0001)</f>
        <v>1.43109805009735E-2</v>
      </c>
      <c r="AE28" s="44">
        <f>modeldata!D16/modeldata!D$156</f>
        <v>6.6666666666666671E-3</v>
      </c>
      <c r="AF28" s="47">
        <f t="shared" si="23"/>
        <v>-0.53415723917636748</v>
      </c>
      <c r="AG28" s="53">
        <f t="shared" si="6"/>
        <v>0</v>
      </c>
      <c r="AH28" s="54">
        <f t="shared" si="7"/>
        <v>0</v>
      </c>
      <c r="AI28" s="55">
        <f t="shared" si="8"/>
        <v>-2.5814292372370167</v>
      </c>
      <c r="AJ28" s="56">
        <f t="shared" si="48"/>
        <v>-0.10927638842708691</v>
      </c>
      <c r="AK28" s="57">
        <f t="shared" si="34"/>
        <v>-2.5814292372370162</v>
      </c>
      <c r="AM28" s="38" t="s">
        <v>13</v>
      </c>
      <c r="AN28" s="22">
        <f t="shared" si="49"/>
        <v>-0.123766678676451</v>
      </c>
      <c r="AO28" s="24">
        <f t="shared" si="35"/>
        <v>-2.9456463889734641</v>
      </c>
      <c r="AP28" s="35">
        <f>MAX('BATS 2023 TLFD'!P16,0.0001)</f>
        <v>5.4917087781489963E-3</v>
      </c>
      <c r="AQ28" s="44">
        <f>modeldata!E16/modeldata!E$156</f>
        <v>6.6666666666666671E-3</v>
      </c>
      <c r="AR28" s="47">
        <f t="shared" si="24"/>
        <v>0.21395123739858896</v>
      </c>
      <c r="AS28" s="53">
        <f t="shared" si="9"/>
        <v>0</v>
      </c>
      <c r="AT28" s="54">
        <f t="shared" si="10"/>
        <v>0</v>
      </c>
      <c r="AU28" s="55">
        <f t="shared" si="11"/>
        <v>-2.9456463889734641</v>
      </c>
      <c r="AV28" s="56">
        <f t="shared" si="50"/>
        <v>-0.12376667867645086</v>
      </c>
      <c r="AW28" s="57">
        <f t="shared" si="36"/>
        <v>-2.9456463889734641</v>
      </c>
      <c r="AY28" s="38" t="s">
        <v>13</v>
      </c>
      <c r="AZ28" s="22">
        <f t="shared" si="51"/>
        <v>-0.13060067927808</v>
      </c>
      <c r="BA28" s="24">
        <f t="shared" si="37"/>
        <v>-3.5278684717378357</v>
      </c>
      <c r="BB28" s="35">
        <f>MAX('BATS 2023 TLFD'!Q16,0.0001)</f>
        <v>6.4071346107743817E-3</v>
      </c>
      <c r="BC28" s="44">
        <f>modeldata!F16/modeldata!F$156</f>
        <v>6.6666666666666671E-3</v>
      </c>
      <c r="BD28" s="47">
        <f t="shared" si="25"/>
        <v>4.0506727524633315E-2</v>
      </c>
      <c r="BE28" s="53">
        <f t="shared" si="12"/>
        <v>0</v>
      </c>
      <c r="BF28" s="54">
        <f t="shared" si="13"/>
        <v>0</v>
      </c>
      <c r="BG28" s="55">
        <f t="shared" si="14"/>
        <v>-3.5278684717378357</v>
      </c>
      <c r="BH28" s="56">
        <f t="shared" si="52"/>
        <v>-0.13060067927807983</v>
      </c>
      <c r="BI28" s="57">
        <f t="shared" si="38"/>
        <v>-3.5278684717378357</v>
      </c>
      <c r="BK28" s="38" t="s">
        <v>13</v>
      </c>
      <c r="BL28" s="22">
        <f t="shared" si="53"/>
        <v>-0.119295888721189</v>
      </c>
      <c r="BM28" s="24">
        <f t="shared" si="39"/>
        <v>-2.656964599420629</v>
      </c>
      <c r="BN28" s="35">
        <f>MAX('BATS 2023 TLFD'!R16,0.0001)</f>
        <v>3.6497675497708742E-3</v>
      </c>
      <c r="BO28" s="44">
        <f>modeldata!G16/modeldata!G$156</f>
        <v>6.6666666666666671E-3</v>
      </c>
      <c r="BP28" s="47">
        <f t="shared" si="26"/>
        <v>0.82660034529738435</v>
      </c>
      <c r="BQ28" s="53">
        <f t="shared" si="15"/>
        <v>0</v>
      </c>
      <c r="BR28" s="54">
        <f t="shared" si="16"/>
        <v>0</v>
      </c>
      <c r="BS28" s="55">
        <f t="shared" si="17"/>
        <v>-2.656964599420629</v>
      </c>
      <c r="BT28" s="56">
        <f t="shared" si="54"/>
        <v>-0.11929588872118883</v>
      </c>
      <c r="BU28" s="57">
        <f t="shared" si="40"/>
        <v>-2.6569645994206286</v>
      </c>
      <c r="BW28" s="38" t="s">
        <v>13</v>
      </c>
      <c r="BX28" s="22">
        <f t="shared" si="55"/>
        <v>-0.204473452523388</v>
      </c>
      <c r="BY28" s="24">
        <f t="shared" si="41"/>
        <v>-4.575576417753906</v>
      </c>
      <c r="BZ28" s="35">
        <f>MAX('BATS 2023 TLFD'!S16,0.0001)</f>
        <v>1.5862823070640592E-4</v>
      </c>
      <c r="CA28" s="44">
        <f>modeldata!H16/modeldata!H$156</f>
        <v>6.6666666666666671E-3</v>
      </c>
      <c r="CB28" s="47">
        <f t="shared" si="27"/>
        <v>41.026987485005371</v>
      </c>
      <c r="CC28" s="53">
        <f t="shared" si="18"/>
        <v>0</v>
      </c>
      <c r="CD28" s="54">
        <f t="shared" si="19"/>
        <v>0</v>
      </c>
      <c r="CE28" s="55">
        <f t="shared" si="20"/>
        <v>-4.575576417753906</v>
      </c>
      <c r="CF28" s="56">
        <f t="shared" si="56"/>
        <v>-0.20447345252338778</v>
      </c>
      <c r="CG28" s="57">
        <f t="shared" si="42"/>
        <v>-4.575576417753906</v>
      </c>
    </row>
    <row r="29" spans="1:85" x14ac:dyDescent="0.25">
      <c r="A29" s="81">
        <f t="shared" si="28"/>
        <v>13.5</v>
      </c>
      <c r="B29" s="83">
        <f t="shared" si="28"/>
        <v>13</v>
      </c>
      <c r="C29" s="38" t="s">
        <v>14</v>
      </c>
      <c r="D29" s="22">
        <f t="shared" si="43"/>
        <v>-0.21370826062045101</v>
      </c>
      <c r="E29" s="24">
        <f t="shared" si="29"/>
        <v>-4.6107967301038002</v>
      </c>
      <c r="F29" s="35">
        <f>MAX('BATS 2023 TLFD'!M17,0.0001)</f>
        <v>1.8016501806581459E-3</v>
      </c>
      <c r="G29" s="44">
        <f>modeldata!B17/modeldata!B$156</f>
        <v>6.6666666666666671E-3</v>
      </c>
      <c r="H29" s="47">
        <f t="shared" si="21"/>
        <v>2.7003113802210605</v>
      </c>
      <c r="I29" s="53">
        <f t="shared" si="0"/>
        <v>0</v>
      </c>
      <c r="J29" s="54">
        <f t="shared" si="1"/>
        <v>0</v>
      </c>
      <c r="K29" s="55">
        <f t="shared" si="2"/>
        <v>-4.6107967301038002</v>
      </c>
      <c r="L29" s="56">
        <f t="shared" si="44"/>
        <v>-0.21370826062045101</v>
      </c>
      <c r="M29" s="57">
        <f t="shared" si="30"/>
        <v>-4.6107967301038002</v>
      </c>
      <c r="O29" s="38" t="s">
        <v>14</v>
      </c>
      <c r="P29" s="22">
        <f t="shared" si="45"/>
        <v>-0.18324871283782601</v>
      </c>
      <c r="Q29" s="24">
        <f t="shared" si="31"/>
        <v>-3.1626208188660985</v>
      </c>
      <c r="R29" s="35">
        <f>MAX('BATS 2023 TLFD'!N17,0.0001)</f>
        <v>1.1931966523153406E-2</v>
      </c>
      <c r="S29" s="44">
        <f>modeldata!C17/modeldata!C$156</f>
        <v>6.6666666666666671E-3</v>
      </c>
      <c r="T29" s="47">
        <f t="shared" si="22"/>
        <v>-0.44127678754961963</v>
      </c>
      <c r="U29" s="53">
        <f t="shared" si="3"/>
        <v>0</v>
      </c>
      <c r="V29" s="54">
        <f t="shared" si="4"/>
        <v>0</v>
      </c>
      <c r="W29" s="55">
        <f t="shared" si="5"/>
        <v>-3.1626208188660985</v>
      </c>
      <c r="X29" s="56">
        <f t="shared" si="46"/>
        <v>-0.18324871283782596</v>
      </c>
      <c r="Y29" s="57">
        <f t="shared" si="32"/>
        <v>-3.1626208188660985</v>
      </c>
      <c r="AA29" s="38" t="s">
        <v>14</v>
      </c>
      <c r="AB29" s="22">
        <f t="shared" si="47"/>
        <v>-0.10927638842708701</v>
      </c>
      <c r="AC29" s="24">
        <f t="shared" si="33"/>
        <v>-2.6907056256641035</v>
      </c>
      <c r="AD29" s="35">
        <f>MAX('BATS 2023 TLFD'!O17,0.0001)</f>
        <v>5.2271484652923984E-3</v>
      </c>
      <c r="AE29" s="44">
        <f>modeldata!D17/modeldata!D$156</f>
        <v>6.6666666666666671E-3</v>
      </c>
      <c r="AF29" s="47">
        <f t="shared" si="23"/>
        <v>0.27539263729210806</v>
      </c>
      <c r="AG29" s="53">
        <f t="shared" si="6"/>
        <v>0</v>
      </c>
      <c r="AH29" s="54">
        <f t="shared" si="7"/>
        <v>0</v>
      </c>
      <c r="AI29" s="55">
        <f t="shared" si="8"/>
        <v>-2.6907056256641035</v>
      </c>
      <c r="AJ29" s="56">
        <f t="shared" si="48"/>
        <v>-0.10927638842708691</v>
      </c>
      <c r="AK29" s="57">
        <f t="shared" si="34"/>
        <v>-2.6907056256641031</v>
      </c>
      <c r="AM29" s="38" t="s">
        <v>14</v>
      </c>
      <c r="AN29" s="22">
        <f t="shared" si="49"/>
        <v>-0.123766678676451</v>
      </c>
      <c r="AO29" s="24">
        <f t="shared" si="35"/>
        <v>-3.069413067649915</v>
      </c>
      <c r="AP29" s="35">
        <f>MAX('BATS 2023 TLFD'!P17,0.0001)</f>
        <v>6.010525550243416E-3</v>
      </c>
      <c r="AQ29" s="44">
        <f>modeldata!E17/modeldata!E$156</f>
        <v>6.6666666666666671E-3</v>
      </c>
      <c r="AR29" s="47">
        <f t="shared" si="24"/>
        <v>0.10916534851044407</v>
      </c>
      <c r="AS29" s="53">
        <f t="shared" si="9"/>
        <v>0</v>
      </c>
      <c r="AT29" s="54">
        <f t="shared" si="10"/>
        <v>0</v>
      </c>
      <c r="AU29" s="55">
        <f t="shared" si="11"/>
        <v>-3.069413067649915</v>
      </c>
      <c r="AV29" s="56">
        <f t="shared" si="50"/>
        <v>-0.12376667867645086</v>
      </c>
      <c r="AW29" s="57">
        <f t="shared" si="36"/>
        <v>-3.069413067649915</v>
      </c>
      <c r="AY29" s="38" t="s">
        <v>14</v>
      </c>
      <c r="AZ29" s="22">
        <f t="shared" si="51"/>
        <v>-0.13060067927808</v>
      </c>
      <c r="BA29" s="24">
        <f t="shared" si="37"/>
        <v>-3.6584691510159155</v>
      </c>
      <c r="BB29" s="35">
        <f>MAX('BATS 2023 TLFD'!Q17,0.0001)</f>
        <v>6.4642276788685017E-3</v>
      </c>
      <c r="BC29" s="44">
        <f>modeldata!F17/modeldata!F$156</f>
        <v>6.6666666666666671E-3</v>
      </c>
      <c r="BD29" s="47">
        <f t="shared" si="25"/>
        <v>3.1316809656927236E-2</v>
      </c>
      <c r="BE29" s="53">
        <f t="shared" si="12"/>
        <v>0</v>
      </c>
      <c r="BF29" s="54">
        <f t="shared" si="13"/>
        <v>0</v>
      </c>
      <c r="BG29" s="55">
        <f t="shared" si="14"/>
        <v>-3.6584691510159155</v>
      </c>
      <c r="BH29" s="56">
        <f t="shared" si="52"/>
        <v>-0.13060067927807983</v>
      </c>
      <c r="BI29" s="57">
        <f t="shared" si="38"/>
        <v>-3.6584691510159155</v>
      </c>
      <c r="BK29" s="38" t="s">
        <v>14</v>
      </c>
      <c r="BL29" s="22">
        <f t="shared" si="53"/>
        <v>-0.119295888721189</v>
      </c>
      <c r="BM29" s="24">
        <f t="shared" si="39"/>
        <v>-2.7762604881418178</v>
      </c>
      <c r="BN29" s="35">
        <f>MAX('BATS 2023 TLFD'!R17,0.0001)</f>
        <v>9.1491353556096607E-3</v>
      </c>
      <c r="BO29" s="44">
        <f>modeldata!G17/modeldata!G$156</f>
        <v>6.6666666666666671E-3</v>
      </c>
      <c r="BP29" s="47">
        <f t="shared" si="26"/>
        <v>-0.2713336935627369</v>
      </c>
      <c r="BQ29" s="53">
        <f t="shared" si="15"/>
        <v>0</v>
      </c>
      <c r="BR29" s="54">
        <f t="shared" si="16"/>
        <v>0</v>
      </c>
      <c r="BS29" s="55">
        <f t="shared" si="17"/>
        <v>-2.7762604881418178</v>
      </c>
      <c r="BT29" s="56">
        <f t="shared" si="54"/>
        <v>-0.11929588872118883</v>
      </c>
      <c r="BU29" s="57">
        <f t="shared" si="40"/>
        <v>-2.7762604881418174</v>
      </c>
      <c r="BW29" s="38" t="s">
        <v>14</v>
      </c>
      <c r="BX29" s="22">
        <f t="shared" si="55"/>
        <v>-0.204473452523388</v>
      </c>
      <c r="BY29" s="24">
        <f t="shared" si="41"/>
        <v>-4.7800498702772938</v>
      </c>
      <c r="BZ29" s="35">
        <f>MAX('BATS 2023 TLFD'!S17,0.0001)</f>
        <v>4.4548219420933896E-4</v>
      </c>
      <c r="CA29" s="44">
        <f>modeldata!H17/modeldata!H$156</f>
        <v>6.6666666666666671E-3</v>
      </c>
      <c r="CB29" s="47">
        <f t="shared" si="27"/>
        <v>13.965057533890787</v>
      </c>
      <c r="CC29" s="53">
        <f t="shared" si="18"/>
        <v>0</v>
      </c>
      <c r="CD29" s="54">
        <f t="shared" si="19"/>
        <v>0</v>
      </c>
      <c r="CE29" s="55">
        <f t="shared" si="20"/>
        <v>-4.7800498702772938</v>
      </c>
      <c r="CF29" s="56">
        <f t="shared" si="56"/>
        <v>-0.20447345252338778</v>
      </c>
      <c r="CG29" s="57">
        <f t="shared" si="42"/>
        <v>-4.7800498702772938</v>
      </c>
    </row>
    <row r="30" spans="1:85" x14ac:dyDescent="0.25">
      <c r="A30" s="81">
        <f t="shared" si="28"/>
        <v>14.5</v>
      </c>
      <c r="B30" s="83">
        <f t="shared" si="28"/>
        <v>14</v>
      </c>
      <c r="C30" s="38" t="s">
        <v>15</v>
      </c>
      <c r="D30" s="22">
        <f t="shared" si="43"/>
        <v>-0.21370826062045101</v>
      </c>
      <c r="E30" s="24">
        <f t="shared" si="29"/>
        <v>-4.8245049907242512</v>
      </c>
      <c r="F30" s="35">
        <f>MAX('BATS 2023 TLFD'!M18,0.0001)</f>
        <v>7.1773652583677437E-3</v>
      </c>
      <c r="G30" s="44">
        <f>modeldata!B18/modeldata!B$156</f>
        <v>6.6666666666666671E-3</v>
      </c>
      <c r="H30" s="47">
        <f t="shared" si="21"/>
        <v>-7.1154047943383925E-2</v>
      </c>
      <c r="I30" s="53">
        <f t="shared" si="0"/>
        <v>0</v>
      </c>
      <c r="J30" s="54">
        <f t="shared" si="1"/>
        <v>0</v>
      </c>
      <c r="K30" s="55">
        <f t="shared" si="2"/>
        <v>-4.8245049907242512</v>
      </c>
      <c r="L30" s="56">
        <f t="shared" si="44"/>
        <v>-0.21370826062045101</v>
      </c>
      <c r="M30" s="57">
        <f t="shared" si="30"/>
        <v>-4.8245049907242512</v>
      </c>
      <c r="O30" s="38" t="s">
        <v>15</v>
      </c>
      <c r="P30" s="22">
        <f t="shared" si="45"/>
        <v>-0.18324871283782601</v>
      </c>
      <c r="Q30" s="24">
        <f t="shared" si="31"/>
        <v>-3.3458695317039244</v>
      </c>
      <c r="R30" s="35">
        <f>MAX('BATS 2023 TLFD'!N18,0.0001)</f>
        <v>2.9022926573627323E-3</v>
      </c>
      <c r="S30" s="44">
        <f>modeldata!C18/modeldata!C$156</f>
        <v>6.6666666666666671E-3</v>
      </c>
      <c r="T30" s="47">
        <f t="shared" si="22"/>
        <v>1.2970346046096406</v>
      </c>
      <c r="U30" s="53">
        <f t="shared" si="3"/>
        <v>0</v>
      </c>
      <c r="V30" s="54">
        <f t="shared" si="4"/>
        <v>0</v>
      </c>
      <c r="W30" s="55">
        <f t="shared" si="5"/>
        <v>-3.3458695317039244</v>
      </c>
      <c r="X30" s="56">
        <f t="shared" si="46"/>
        <v>-0.18324871283782596</v>
      </c>
      <c r="Y30" s="57">
        <f t="shared" si="32"/>
        <v>-3.3458695317039244</v>
      </c>
      <c r="AA30" s="38" t="s">
        <v>15</v>
      </c>
      <c r="AB30" s="22">
        <f t="shared" si="47"/>
        <v>-0.10927638842708701</v>
      </c>
      <c r="AC30" s="24">
        <f t="shared" si="33"/>
        <v>-2.7999820140911904</v>
      </c>
      <c r="AD30" s="35">
        <f>MAX('BATS 2023 TLFD'!O18,0.0001)</f>
        <v>1.4160240414815579E-2</v>
      </c>
      <c r="AE30" s="44">
        <f>modeldata!D18/modeldata!D$156</f>
        <v>6.6666666666666671E-3</v>
      </c>
      <c r="AF30" s="47">
        <f t="shared" si="23"/>
        <v>-0.52919820063990819</v>
      </c>
      <c r="AG30" s="53">
        <f t="shared" si="6"/>
        <v>0</v>
      </c>
      <c r="AH30" s="54">
        <f t="shared" si="7"/>
        <v>0</v>
      </c>
      <c r="AI30" s="55">
        <f t="shared" si="8"/>
        <v>-2.7999820140911904</v>
      </c>
      <c r="AJ30" s="56">
        <f t="shared" si="48"/>
        <v>-0.10927638842708691</v>
      </c>
      <c r="AK30" s="57">
        <f t="shared" si="34"/>
        <v>-2.79998201409119</v>
      </c>
      <c r="AM30" s="38" t="s">
        <v>15</v>
      </c>
      <c r="AN30" s="22">
        <f t="shared" si="49"/>
        <v>-0.123766678676451</v>
      </c>
      <c r="AO30" s="24">
        <f t="shared" si="35"/>
        <v>-3.1931797463263658</v>
      </c>
      <c r="AP30" s="35">
        <f>MAX('BATS 2023 TLFD'!P18,0.0001)</f>
        <v>2.8411400826627389E-3</v>
      </c>
      <c r="AQ30" s="44">
        <f>modeldata!E18/modeldata!E$156</f>
        <v>6.6666666666666671E-3</v>
      </c>
      <c r="AR30" s="47">
        <f t="shared" si="24"/>
        <v>1.3464758768313227</v>
      </c>
      <c r="AS30" s="53">
        <f t="shared" si="9"/>
        <v>0</v>
      </c>
      <c r="AT30" s="54">
        <f t="shared" si="10"/>
        <v>0</v>
      </c>
      <c r="AU30" s="55">
        <f t="shared" si="11"/>
        <v>-3.1931797463263658</v>
      </c>
      <c r="AV30" s="56">
        <f t="shared" si="50"/>
        <v>-0.12376667867645086</v>
      </c>
      <c r="AW30" s="57">
        <f t="shared" si="36"/>
        <v>-3.1931797463263658</v>
      </c>
      <c r="AY30" s="38" t="s">
        <v>15</v>
      </c>
      <c r="AZ30" s="22">
        <f t="shared" si="51"/>
        <v>-0.13060067927808</v>
      </c>
      <c r="BA30" s="24">
        <f t="shared" si="37"/>
        <v>-3.7890698302939954</v>
      </c>
      <c r="BB30" s="35">
        <f>MAX('BATS 2023 TLFD'!Q18,0.0001)</f>
        <v>3.6356922945635314E-3</v>
      </c>
      <c r="BC30" s="44">
        <f>modeldata!F18/modeldata!F$156</f>
        <v>6.6666666666666671E-3</v>
      </c>
      <c r="BD30" s="47">
        <f t="shared" si="25"/>
        <v>0.83367186399007598</v>
      </c>
      <c r="BE30" s="53">
        <f t="shared" si="12"/>
        <v>0</v>
      </c>
      <c r="BF30" s="54">
        <f t="shared" si="13"/>
        <v>0</v>
      </c>
      <c r="BG30" s="55">
        <f t="shared" si="14"/>
        <v>-3.7890698302939954</v>
      </c>
      <c r="BH30" s="56">
        <f t="shared" si="52"/>
        <v>-0.13060067927807983</v>
      </c>
      <c r="BI30" s="57">
        <f t="shared" si="38"/>
        <v>-3.7890698302939954</v>
      </c>
      <c r="BK30" s="38" t="s">
        <v>15</v>
      </c>
      <c r="BL30" s="22">
        <f t="shared" si="53"/>
        <v>-0.119295888721189</v>
      </c>
      <c r="BM30" s="24">
        <f t="shared" si="39"/>
        <v>-2.8955563768630066</v>
      </c>
      <c r="BN30" s="35">
        <f>MAX('BATS 2023 TLFD'!R18,0.0001)</f>
        <v>9.9083278532793567E-3</v>
      </c>
      <c r="BO30" s="44">
        <f>modeldata!G18/modeldata!G$156</f>
        <v>6.6666666666666671E-3</v>
      </c>
      <c r="BP30" s="47">
        <f t="shared" si="26"/>
        <v>-0.32716531332174253</v>
      </c>
      <c r="BQ30" s="53">
        <f t="shared" si="15"/>
        <v>0</v>
      </c>
      <c r="BR30" s="54">
        <f t="shared" si="16"/>
        <v>0</v>
      </c>
      <c r="BS30" s="55">
        <f t="shared" si="17"/>
        <v>-2.8955563768630066</v>
      </c>
      <c r="BT30" s="56">
        <f t="shared" si="54"/>
        <v>-0.11929588872118883</v>
      </c>
      <c r="BU30" s="57">
        <f t="shared" si="40"/>
        <v>-2.8955563768630062</v>
      </c>
      <c r="BW30" s="38" t="s">
        <v>15</v>
      </c>
      <c r="BX30" s="22">
        <f t="shared" si="55"/>
        <v>-0.204473452523388</v>
      </c>
      <c r="BY30" s="24">
        <f t="shared" si="41"/>
        <v>-4.9845233228006816</v>
      </c>
      <c r="BZ30" s="35">
        <f>MAX('BATS 2023 TLFD'!S18,0.0001)</f>
        <v>6.8451011150649438E-3</v>
      </c>
      <c r="CA30" s="44">
        <f>modeldata!H18/modeldata!H$156</f>
        <v>6.6666666666666671E-3</v>
      </c>
      <c r="CB30" s="47">
        <f t="shared" si="27"/>
        <v>-2.6067467141657235E-2</v>
      </c>
      <c r="CC30" s="53">
        <f t="shared" si="18"/>
        <v>0</v>
      </c>
      <c r="CD30" s="54">
        <f t="shared" si="19"/>
        <v>0</v>
      </c>
      <c r="CE30" s="55">
        <f t="shared" si="20"/>
        <v>-4.9845233228006816</v>
      </c>
      <c r="CF30" s="56">
        <f t="shared" si="56"/>
        <v>-0.20447345252338778</v>
      </c>
      <c r="CG30" s="57">
        <f t="shared" si="42"/>
        <v>-4.9845233228006816</v>
      </c>
    </row>
    <row r="31" spans="1:85" x14ac:dyDescent="0.25">
      <c r="A31" s="81">
        <f t="shared" si="28"/>
        <v>15.5</v>
      </c>
      <c r="B31" s="83">
        <f t="shared" si="28"/>
        <v>15</v>
      </c>
      <c r="C31" s="39" t="s">
        <v>16</v>
      </c>
      <c r="D31" s="21">
        <f>D8</f>
        <v>-0.21370826062045101</v>
      </c>
      <c r="E31" s="23">
        <f t="shared" si="29"/>
        <v>-5.0382132513447022</v>
      </c>
      <c r="F31" s="36">
        <f>MAX('BATS 2023 TLFD'!M19,0.0001)</f>
        <v>1.8523978722306334E-3</v>
      </c>
      <c r="G31" s="45">
        <f>modeldata!B19/modeldata!B$156</f>
        <v>6.6666666666666671E-3</v>
      </c>
      <c r="H31" s="48">
        <f t="shared" si="21"/>
        <v>2.598938849265009</v>
      </c>
      <c r="I31" s="49">
        <f t="shared" si="0"/>
        <v>0</v>
      </c>
      <c r="J31" s="50">
        <f t="shared" si="1"/>
        <v>0</v>
      </c>
      <c r="K31" s="51">
        <f t="shared" si="2"/>
        <v>-5.0382132513447022</v>
      </c>
      <c r="L31" s="52">
        <f>E8</f>
        <v>-0.21370826062045095</v>
      </c>
      <c r="M31" s="58">
        <f t="shared" si="30"/>
        <v>-5.0382132513447022</v>
      </c>
      <c r="O31" s="39" t="s">
        <v>16</v>
      </c>
      <c r="P31" s="21">
        <f>P8</f>
        <v>-0.18324871283782601</v>
      </c>
      <c r="Q31" s="23">
        <f t="shared" si="31"/>
        <v>-3.5291182445417504</v>
      </c>
      <c r="R31" s="36">
        <f>MAX('BATS 2023 TLFD'!N19,0.0001)</f>
        <v>1.497716324709325E-3</v>
      </c>
      <c r="S31" s="45">
        <f>modeldata!C19/modeldata!C$156</f>
        <v>6.6666666666666671E-3</v>
      </c>
      <c r="T31" s="48">
        <f t="shared" si="22"/>
        <v>3.4512212070336656</v>
      </c>
      <c r="U31" s="49">
        <f t="shared" si="3"/>
        <v>0</v>
      </c>
      <c r="V31" s="50">
        <f t="shared" si="4"/>
        <v>0</v>
      </c>
      <c r="W31" s="51">
        <f t="shared" si="5"/>
        <v>-3.5291182445417504</v>
      </c>
      <c r="X31" s="52">
        <f>Q8</f>
        <v>-0.18324871283782598</v>
      </c>
      <c r="Y31" s="58">
        <f t="shared" si="32"/>
        <v>-3.5291182445417504</v>
      </c>
      <c r="AA31" s="39" t="s">
        <v>16</v>
      </c>
      <c r="AB31" s="21">
        <f>AB8</f>
        <v>-0.10927638842708701</v>
      </c>
      <c r="AC31" s="23">
        <f t="shared" si="33"/>
        <v>-2.9092584025182773</v>
      </c>
      <c r="AD31" s="36">
        <f>MAX('BATS 2023 TLFD'!O19,0.0001)</f>
        <v>1.5200093586078064E-2</v>
      </c>
      <c r="AE31" s="45">
        <f>modeldata!D19/modeldata!D$156</f>
        <v>6.6666666666666671E-3</v>
      </c>
      <c r="AF31" s="48">
        <f t="shared" si="23"/>
        <v>-0.56140620918461048</v>
      </c>
      <c r="AG31" s="49">
        <f t="shared" si="6"/>
        <v>0</v>
      </c>
      <c r="AH31" s="50">
        <f t="shared" si="7"/>
        <v>0</v>
      </c>
      <c r="AI31" s="51">
        <f t="shared" si="8"/>
        <v>-2.9092584025182773</v>
      </c>
      <c r="AJ31" s="52">
        <f>AC8</f>
        <v>-0.10927638842708705</v>
      </c>
      <c r="AK31" s="58">
        <f t="shared" si="34"/>
        <v>-2.9092584025182768</v>
      </c>
      <c r="AM31" s="39" t="s">
        <v>16</v>
      </c>
      <c r="AN31" s="21">
        <f>AN8</f>
        <v>-0.123766678676451</v>
      </c>
      <c r="AO31" s="23">
        <f t="shared" si="35"/>
        <v>-3.3169464250028167</v>
      </c>
      <c r="AP31" s="36">
        <f>MAX('BATS 2023 TLFD'!P19,0.0001)</f>
        <v>7.4489398270773995E-3</v>
      </c>
      <c r="AQ31" s="45">
        <f>modeldata!E19/modeldata!E$156</f>
        <v>6.6666666666666671E-3</v>
      </c>
      <c r="AR31" s="48">
        <f t="shared" si="24"/>
        <v>-0.10501805338353207</v>
      </c>
      <c r="AS31" s="49">
        <f t="shared" si="9"/>
        <v>0</v>
      </c>
      <c r="AT31" s="50">
        <f t="shared" si="10"/>
        <v>0</v>
      </c>
      <c r="AU31" s="51">
        <f t="shared" si="11"/>
        <v>-3.3169464250028167</v>
      </c>
      <c r="AV31" s="52">
        <f>AO8</f>
        <v>-0.12376667867645086</v>
      </c>
      <c r="AW31" s="58">
        <f t="shared" si="36"/>
        <v>-3.3169464250028167</v>
      </c>
      <c r="AY31" s="39" t="s">
        <v>16</v>
      </c>
      <c r="AZ31" s="21">
        <f>AZ8</f>
        <v>-0.13060067927808</v>
      </c>
      <c r="BA31" s="23">
        <f t="shared" si="37"/>
        <v>-3.9196705095720752</v>
      </c>
      <c r="BB31" s="36">
        <f>MAX('BATS 2023 TLFD'!Q19,0.0001)</f>
        <v>1.1035741922675636E-2</v>
      </c>
      <c r="BC31" s="45">
        <f>modeldata!F19/modeldata!F$156</f>
        <v>6.6666666666666671E-3</v>
      </c>
      <c r="BD31" s="48">
        <f t="shared" si="25"/>
        <v>-0.39590226797816219</v>
      </c>
      <c r="BE31" s="49">
        <f t="shared" si="12"/>
        <v>0</v>
      </c>
      <c r="BF31" s="50">
        <f t="shared" si="13"/>
        <v>0</v>
      </c>
      <c r="BG31" s="51">
        <f t="shared" si="14"/>
        <v>-3.9196705095720752</v>
      </c>
      <c r="BH31" s="52">
        <f>BA8</f>
        <v>-0.13060067927808028</v>
      </c>
      <c r="BI31" s="58">
        <f t="shared" si="38"/>
        <v>-3.9196705095720752</v>
      </c>
      <c r="BK31" s="39" t="s">
        <v>16</v>
      </c>
      <c r="BL31" s="21">
        <f>BL8</f>
        <v>-0.119295888721189</v>
      </c>
      <c r="BM31" s="23">
        <f t="shared" si="39"/>
        <v>-3.0148522655841954</v>
      </c>
      <c r="BN31" s="36">
        <f>MAX('BATS 2023 TLFD'!R19,0.0001)</f>
        <v>9.8036832062612812E-3</v>
      </c>
      <c r="BO31" s="45">
        <f>modeldata!G19/modeldata!G$156</f>
        <v>6.6666666666666671E-3</v>
      </c>
      <c r="BP31" s="48">
        <f t="shared" si="26"/>
        <v>-0.319983466784311</v>
      </c>
      <c r="BQ31" s="49">
        <f t="shared" si="15"/>
        <v>0</v>
      </c>
      <c r="BR31" s="50">
        <f t="shared" si="16"/>
        <v>0</v>
      </c>
      <c r="BS31" s="51">
        <f t="shared" si="17"/>
        <v>-3.0148522655841954</v>
      </c>
      <c r="BT31" s="52">
        <f>BM8</f>
        <v>-0.11929588872118897</v>
      </c>
      <c r="BU31" s="58">
        <f t="shared" si="40"/>
        <v>-3.0148522655841949</v>
      </c>
      <c r="BW31" s="39" t="s">
        <v>16</v>
      </c>
      <c r="BX31" s="21">
        <f>BX8</f>
        <v>-0.204473452523388</v>
      </c>
      <c r="BY31" s="23">
        <f t="shared" si="41"/>
        <v>-5.1889967753240693</v>
      </c>
      <c r="BZ31" s="36">
        <f>MAX('BATS 2023 TLFD'!S19,0.0001)</f>
        <v>1.3728192087453755E-3</v>
      </c>
      <c r="CA31" s="45">
        <f>modeldata!H19/modeldata!H$156</f>
        <v>6.6666666666666671E-3</v>
      </c>
      <c r="CB31" s="48">
        <f t="shared" si="27"/>
        <v>3.8561869066206893</v>
      </c>
      <c r="CC31" s="49">
        <f t="shared" si="18"/>
        <v>0</v>
      </c>
      <c r="CD31" s="50">
        <f t="shared" si="19"/>
        <v>0</v>
      </c>
      <c r="CE31" s="51">
        <f t="shared" si="20"/>
        <v>-5.1889967753240693</v>
      </c>
      <c r="CF31" s="52">
        <f>BY8</f>
        <v>-0.20447345252338778</v>
      </c>
      <c r="CG31" s="58">
        <f t="shared" si="42"/>
        <v>-5.1889967753240693</v>
      </c>
    </row>
    <row r="32" spans="1:85" x14ac:dyDescent="0.25">
      <c r="A32" s="81">
        <f t="shared" si="28"/>
        <v>16.5</v>
      </c>
      <c r="B32" s="83">
        <f t="shared" si="28"/>
        <v>16</v>
      </c>
      <c r="C32" s="39" t="s">
        <v>17</v>
      </c>
      <c r="D32" s="21">
        <f>D31</f>
        <v>-0.21370826062045101</v>
      </c>
      <c r="E32" s="23">
        <f t="shared" si="29"/>
        <v>-5.2519215119651532</v>
      </c>
      <c r="F32" s="36">
        <f>MAX('BATS 2023 TLFD'!M20,0.0001)</f>
        <v>1.5553549755066977E-3</v>
      </c>
      <c r="G32" s="45">
        <f>modeldata!B20/modeldata!B$156</f>
        <v>6.6666666666666671E-3</v>
      </c>
      <c r="H32" s="48">
        <f t="shared" si="21"/>
        <v>3.2862669754824463</v>
      </c>
      <c r="I32" s="49">
        <f t="shared" si="0"/>
        <v>0</v>
      </c>
      <c r="J32" s="50">
        <f t="shared" si="1"/>
        <v>0</v>
      </c>
      <c r="K32" s="51">
        <f t="shared" si="2"/>
        <v>-5.2519215119651532</v>
      </c>
      <c r="L32" s="52">
        <f>L31</f>
        <v>-0.21370826062045095</v>
      </c>
      <c r="M32" s="58">
        <f t="shared" si="30"/>
        <v>-5.2519215119651532</v>
      </c>
      <c r="O32" s="39" t="s">
        <v>17</v>
      </c>
      <c r="P32" s="21">
        <f>P31</f>
        <v>-0.18324871283782601</v>
      </c>
      <c r="Q32" s="23">
        <f t="shared" si="31"/>
        <v>-3.7123669573795763</v>
      </c>
      <c r="R32" s="36">
        <f>MAX('BATS 2023 TLFD'!N20,0.0001)</f>
        <v>9.8928162552834966E-4</v>
      </c>
      <c r="S32" s="45">
        <f>modeldata!C20/modeldata!C$156</f>
        <v>6.6666666666666671E-3</v>
      </c>
      <c r="T32" s="48">
        <f t="shared" si="22"/>
        <v>5.7388966848607676</v>
      </c>
      <c r="U32" s="49">
        <f t="shared" si="3"/>
        <v>0</v>
      </c>
      <c r="V32" s="50">
        <f t="shared" si="4"/>
        <v>0</v>
      </c>
      <c r="W32" s="51">
        <f t="shared" si="5"/>
        <v>-3.7123669573795763</v>
      </c>
      <c r="X32" s="52">
        <f>X31</f>
        <v>-0.18324871283782598</v>
      </c>
      <c r="Y32" s="58">
        <f t="shared" si="32"/>
        <v>-3.7123669573795763</v>
      </c>
      <c r="AA32" s="39" t="s">
        <v>17</v>
      </c>
      <c r="AB32" s="21">
        <f>AB31</f>
        <v>-0.10927638842708701</v>
      </c>
      <c r="AC32" s="23">
        <f t="shared" si="33"/>
        <v>-3.0185347909453641</v>
      </c>
      <c r="AD32" s="36">
        <f>MAX('BATS 2023 TLFD'!O20,0.0001)</f>
        <v>2.8034166493040246E-3</v>
      </c>
      <c r="AE32" s="45">
        <f>modeldata!D20/modeldata!D$156</f>
        <v>6.6666666666666671E-3</v>
      </c>
      <c r="AF32" s="48">
        <f t="shared" si="23"/>
        <v>1.3780506077545527</v>
      </c>
      <c r="AG32" s="49">
        <f t="shared" si="6"/>
        <v>0</v>
      </c>
      <c r="AH32" s="50">
        <f t="shared" si="7"/>
        <v>0</v>
      </c>
      <c r="AI32" s="51">
        <f t="shared" si="8"/>
        <v>-3.0185347909453641</v>
      </c>
      <c r="AJ32" s="52">
        <f>AJ31</f>
        <v>-0.10927638842708705</v>
      </c>
      <c r="AK32" s="58">
        <f t="shared" si="34"/>
        <v>-3.0185347909453637</v>
      </c>
      <c r="AM32" s="39" t="s">
        <v>17</v>
      </c>
      <c r="AN32" s="21">
        <f>AN31</f>
        <v>-0.123766678676451</v>
      </c>
      <c r="AO32" s="23">
        <f t="shared" si="35"/>
        <v>-3.4407131036792675</v>
      </c>
      <c r="AP32" s="36">
        <f>MAX('BATS 2023 TLFD'!P20,0.0001)</f>
        <v>1.0847610083711435E-3</v>
      </c>
      <c r="AQ32" s="45">
        <f>modeldata!E20/modeldata!E$156</f>
        <v>6.6666666666666671E-3</v>
      </c>
      <c r="AR32" s="48">
        <f t="shared" si="24"/>
        <v>5.1457469573664039</v>
      </c>
      <c r="AS32" s="49">
        <f t="shared" si="9"/>
        <v>0</v>
      </c>
      <c r="AT32" s="50">
        <f t="shared" si="10"/>
        <v>0</v>
      </c>
      <c r="AU32" s="51">
        <f t="shared" si="11"/>
        <v>-3.4407131036792675</v>
      </c>
      <c r="AV32" s="52">
        <f>AV31</f>
        <v>-0.12376667867645086</v>
      </c>
      <c r="AW32" s="58">
        <f t="shared" si="36"/>
        <v>-3.4407131036792675</v>
      </c>
      <c r="AY32" s="39" t="s">
        <v>17</v>
      </c>
      <c r="AZ32" s="21">
        <f>AZ31</f>
        <v>-0.13060067927808</v>
      </c>
      <c r="BA32" s="23">
        <f t="shared" si="37"/>
        <v>-4.0502711888501555</v>
      </c>
      <c r="BB32" s="36">
        <f>MAX('BATS 2023 TLFD'!Q20,0.0001)</f>
        <v>2.3412629896889438E-3</v>
      </c>
      <c r="BC32" s="45">
        <f>modeldata!F20/modeldata!F$156</f>
        <v>6.6666666666666671E-3</v>
      </c>
      <c r="BD32" s="48">
        <f t="shared" si="25"/>
        <v>1.8474659600510701</v>
      </c>
      <c r="BE32" s="49">
        <f t="shared" si="12"/>
        <v>0</v>
      </c>
      <c r="BF32" s="50">
        <f t="shared" si="13"/>
        <v>0</v>
      </c>
      <c r="BG32" s="51">
        <f t="shared" si="14"/>
        <v>-4.0502711888501555</v>
      </c>
      <c r="BH32" s="52">
        <f>BH31</f>
        <v>-0.13060067927808028</v>
      </c>
      <c r="BI32" s="58">
        <f t="shared" si="38"/>
        <v>-4.0502711888501555</v>
      </c>
      <c r="BK32" s="39" t="s">
        <v>17</v>
      </c>
      <c r="BL32" s="21">
        <f>BL31</f>
        <v>-0.119295888721189</v>
      </c>
      <c r="BM32" s="23">
        <f t="shared" si="39"/>
        <v>-3.1341481543053842</v>
      </c>
      <c r="BN32" s="36">
        <f>MAX('BATS 2023 TLFD'!R20,0.0001)</f>
        <v>2.3401354068048109E-3</v>
      </c>
      <c r="BO32" s="45">
        <f>modeldata!G20/modeldata!G$156</f>
        <v>6.6666666666666671E-3</v>
      </c>
      <c r="BP32" s="48">
        <f t="shared" si="26"/>
        <v>1.8488379976991343</v>
      </c>
      <c r="BQ32" s="49">
        <f t="shared" si="15"/>
        <v>0</v>
      </c>
      <c r="BR32" s="50">
        <f t="shared" si="16"/>
        <v>0</v>
      </c>
      <c r="BS32" s="51">
        <f t="shared" si="17"/>
        <v>-3.1341481543053842</v>
      </c>
      <c r="BT32" s="52">
        <f>BT31</f>
        <v>-0.11929588872118897</v>
      </c>
      <c r="BU32" s="58">
        <f t="shared" si="40"/>
        <v>-3.1341481543053837</v>
      </c>
      <c r="BW32" s="39" t="s">
        <v>17</v>
      </c>
      <c r="BX32" s="21">
        <f>BX31</f>
        <v>-0.204473452523388</v>
      </c>
      <c r="BY32" s="23">
        <f t="shared" si="41"/>
        <v>-5.3934702278474571</v>
      </c>
      <c r="BZ32" s="36">
        <f>MAX('BATS 2023 TLFD'!S20,0.0001)</f>
        <v>8.3685413405457793E-4</v>
      </c>
      <c r="CA32" s="45">
        <f>modeldata!H20/modeldata!H$156</f>
        <v>6.6666666666666671E-3</v>
      </c>
      <c r="CB32" s="48">
        <f t="shared" si="27"/>
        <v>6.9663425146345528</v>
      </c>
      <c r="CC32" s="49">
        <f t="shared" si="18"/>
        <v>0</v>
      </c>
      <c r="CD32" s="50">
        <f t="shared" si="19"/>
        <v>0</v>
      </c>
      <c r="CE32" s="51">
        <f t="shared" si="20"/>
        <v>-5.3934702278474571</v>
      </c>
      <c r="CF32" s="52">
        <f>CF31</f>
        <v>-0.20447345252338778</v>
      </c>
      <c r="CG32" s="58">
        <f t="shared" si="42"/>
        <v>-5.3934702278474571</v>
      </c>
    </row>
    <row r="33" spans="1:85" x14ac:dyDescent="0.25">
      <c r="A33" s="81">
        <f t="shared" si="28"/>
        <v>17.5</v>
      </c>
      <c r="B33" s="83">
        <f t="shared" si="28"/>
        <v>17</v>
      </c>
      <c r="C33" s="39" t="s">
        <v>18</v>
      </c>
      <c r="D33" s="21">
        <f t="shared" ref="D33:D66" si="57">D32</f>
        <v>-0.21370826062045101</v>
      </c>
      <c r="E33" s="23">
        <f t="shared" si="29"/>
        <v>-5.4656297725856042</v>
      </c>
      <c r="F33" s="36">
        <f>MAX('BATS 2023 TLFD'!M21,0.0001)</f>
        <v>9.8244843944551527E-4</v>
      </c>
      <c r="G33" s="45">
        <f>modeldata!B21/modeldata!B$156</f>
        <v>6.6666666666666671E-3</v>
      </c>
      <c r="H33" s="48">
        <f t="shared" si="21"/>
        <v>5.7857674754201573</v>
      </c>
      <c r="I33" s="49">
        <f t="shared" si="0"/>
        <v>0</v>
      </c>
      <c r="J33" s="50">
        <f t="shared" si="1"/>
        <v>0</v>
      </c>
      <c r="K33" s="51">
        <f t="shared" si="2"/>
        <v>-5.4656297725856042</v>
      </c>
      <c r="L33" s="52">
        <f t="shared" ref="L33:L66" si="58">L32</f>
        <v>-0.21370826062045095</v>
      </c>
      <c r="M33" s="58">
        <f t="shared" si="30"/>
        <v>-5.4656297725856042</v>
      </c>
      <c r="O33" s="39" t="s">
        <v>18</v>
      </c>
      <c r="P33" s="21">
        <f t="shared" ref="P33:P66" si="59">P32</f>
        <v>-0.18324871283782601</v>
      </c>
      <c r="Q33" s="23">
        <f t="shared" si="31"/>
        <v>-3.8956156702174023</v>
      </c>
      <c r="R33" s="36">
        <f>MAX('BATS 2023 TLFD'!N21,0.0001)</f>
        <v>4.8033004547979787E-3</v>
      </c>
      <c r="S33" s="45">
        <f>modeldata!C21/modeldata!C$156</f>
        <v>6.6666666666666671E-3</v>
      </c>
      <c r="T33" s="48">
        <f t="shared" si="22"/>
        <v>0.3879345523779148</v>
      </c>
      <c r="U33" s="49">
        <f t="shared" si="3"/>
        <v>0</v>
      </c>
      <c r="V33" s="50">
        <f t="shared" si="4"/>
        <v>0</v>
      </c>
      <c r="W33" s="51">
        <f t="shared" si="5"/>
        <v>-3.8956156702174023</v>
      </c>
      <c r="X33" s="52">
        <f t="shared" ref="X33:X66" si="60">X32</f>
        <v>-0.18324871283782598</v>
      </c>
      <c r="Y33" s="58">
        <f t="shared" si="32"/>
        <v>-3.8956156702174023</v>
      </c>
      <c r="AA33" s="39" t="s">
        <v>18</v>
      </c>
      <c r="AB33" s="21">
        <f t="shared" ref="AB33:AB66" si="61">AB32</f>
        <v>-0.10927638842708701</v>
      </c>
      <c r="AC33" s="23">
        <f t="shared" si="33"/>
        <v>-3.127811179372451</v>
      </c>
      <c r="AD33" s="36">
        <f>MAX('BATS 2023 TLFD'!O21,0.0001)</f>
        <v>2.7524626079365412E-3</v>
      </c>
      <c r="AE33" s="45">
        <f>modeldata!D21/modeldata!D$156</f>
        <v>6.6666666666666671E-3</v>
      </c>
      <c r="AF33" s="48">
        <f t="shared" si="23"/>
        <v>1.4220734724765312</v>
      </c>
      <c r="AG33" s="49">
        <f t="shared" si="6"/>
        <v>0</v>
      </c>
      <c r="AH33" s="50">
        <f t="shared" si="7"/>
        <v>0</v>
      </c>
      <c r="AI33" s="51">
        <f t="shared" si="8"/>
        <v>-3.127811179372451</v>
      </c>
      <c r="AJ33" s="52">
        <f t="shared" ref="AJ33:AJ66" si="62">AJ32</f>
        <v>-0.10927638842708705</v>
      </c>
      <c r="AK33" s="58">
        <f t="shared" si="34"/>
        <v>-3.1278111793724506</v>
      </c>
      <c r="AM33" s="39" t="s">
        <v>18</v>
      </c>
      <c r="AN33" s="21">
        <f t="shared" ref="AN33:AN66" si="63">AN32</f>
        <v>-0.123766678676451</v>
      </c>
      <c r="AO33" s="23">
        <f t="shared" si="35"/>
        <v>-3.5644797823557184</v>
      </c>
      <c r="AP33" s="36">
        <f>MAX('BATS 2023 TLFD'!P21,0.0001)</f>
        <v>4.2169752832853305E-3</v>
      </c>
      <c r="AQ33" s="45">
        <f>modeldata!E21/modeldata!E$156</f>
        <v>6.6666666666666671E-3</v>
      </c>
      <c r="AR33" s="48">
        <f t="shared" si="24"/>
        <v>0.58091196149313185</v>
      </c>
      <c r="AS33" s="49">
        <f t="shared" si="9"/>
        <v>0</v>
      </c>
      <c r="AT33" s="50">
        <f t="shared" si="10"/>
        <v>0</v>
      </c>
      <c r="AU33" s="51">
        <f t="shared" si="11"/>
        <v>-3.5644797823557184</v>
      </c>
      <c r="AV33" s="52">
        <f t="shared" ref="AV33:AV66" si="64">AV32</f>
        <v>-0.12376667867645086</v>
      </c>
      <c r="AW33" s="58">
        <f t="shared" si="36"/>
        <v>-3.5644797823557184</v>
      </c>
      <c r="AY33" s="39" t="s">
        <v>18</v>
      </c>
      <c r="AZ33" s="21">
        <f t="shared" ref="AZ33:AZ66" si="65">AZ32</f>
        <v>-0.13060067927808</v>
      </c>
      <c r="BA33" s="23">
        <f t="shared" si="37"/>
        <v>-4.1808718681282357</v>
      </c>
      <c r="BB33" s="36">
        <f>MAX('BATS 2023 TLFD'!Q21,0.0001)</f>
        <v>1.1189256765223449E-2</v>
      </c>
      <c r="BC33" s="45">
        <f>modeldata!F21/modeldata!F$156</f>
        <v>6.6666666666666671E-3</v>
      </c>
      <c r="BD33" s="48">
        <f t="shared" si="25"/>
        <v>-0.40419039382607874</v>
      </c>
      <c r="BE33" s="49">
        <f t="shared" si="12"/>
        <v>0</v>
      </c>
      <c r="BF33" s="50">
        <f t="shared" si="13"/>
        <v>0</v>
      </c>
      <c r="BG33" s="51">
        <f t="shared" si="14"/>
        <v>-4.1808718681282357</v>
      </c>
      <c r="BH33" s="52">
        <f t="shared" ref="BH33:BH66" si="66">BH32</f>
        <v>-0.13060067927808028</v>
      </c>
      <c r="BI33" s="58">
        <f t="shared" si="38"/>
        <v>-4.1808718681282357</v>
      </c>
      <c r="BK33" s="39" t="s">
        <v>18</v>
      </c>
      <c r="BL33" s="21">
        <f t="shared" ref="BL33:BL66" si="67">BL32</f>
        <v>-0.119295888721189</v>
      </c>
      <c r="BM33" s="23">
        <f t="shared" si="39"/>
        <v>-3.253444043026573</v>
      </c>
      <c r="BN33" s="36">
        <f>MAX('BATS 2023 TLFD'!R21,0.0001)</f>
        <v>5.4527249534218006E-3</v>
      </c>
      <c r="BO33" s="45">
        <f>modeldata!G21/modeldata!G$156</f>
        <v>6.6666666666666671E-3</v>
      </c>
      <c r="BP33" s="48">
        <f t="shared" si="26"/>
        <v>0.22263028552046624</v>
      </c>
      <c r="BQ33" s="49">
        <f t="shared" si="15"/>
        <v>0</v>
      </c>
      <c r="BR33" s="50">
        <f t="shared" si="16"/>
        <v>0</v>
      </c>
      <c r="BS33" s="51">
        <f t="shared" si="17"/>
        <v>-3.253444043026573</v>
      </c>
      <c r="BT33" s="52">
        <f t="shared" ref="BT33:BT66" si="68">BT32</f>
        <v>-0.11929588872118897</v>
      </c>
      <c r="BU33" s="58">
        <f t="shared" si="40"/>
        <v>-3.2534440430265725</v>
      </c>
      <c r="BW33" s="39" t="s">
        <v>18</v>
      </c>
      <c r="BX33" s="21">
        <f t="shared" ref="BX33:BX66" si="69">BX32</f>
        <v>-0.204473452523388</v>
      </c>
      <c r="BY33" s="23">
        <f t="shared" si="41"/>
        <v>-5.5979436803708449</v>
      </c>
      <c r="BZ33" s="36">
        <f>MAX('BATS 2023 TLFD'!S21,0.0001)</f>
        <v>1.0911312086494577E-3</v>
      </c>
      <c r="CA33" s="45">
        <f>modeldata!H21/modeldata!H$156</f>
        <v>6.6666666666666671E-3</v>
      </c>
      <c r="CB33" s="48">
        <f t="shared" si="27"/>
        <v>5.1098670937277113</v>
      </c>
      <c r="CC33" s="49">
        <f t="shared" si="18"/>
        <v>0</v>
      </c>
      <c r="CD33" s="50">
        <f t="shared" si="19"/>
        <v>0</v>
      </c>
      <c r="CE33" s="51">
        <f t="shared" si="20"/>
        <v>-5.5979436803708449</v>
      </c>
      <c r="CF33" s="52">
        <f t="shared" ref="CF33:CF66" si="70">CF32</f>
        <v>-0.20447345252338778</v>
      </c>
      <c r="CG33" s="58">
        <f t="shared" si="42"/>
        <v>-5.5979436803708449</v>
      </c>
    </row>
    <row r="34" spans="1:85" x14ac:dyDescent="0.25">
      <c r="A34" s="81">
        <f t="shared" si="28"/>
        <v>18.5</v>
      </c>
      <c r="B34" s="83">
        <f t="shared" si="28"/>
        <v>18</v>
      </c>
      <c r="C34" s="39" t="s">
        <v>19</v>
      </c>
      <c r="D34" s="21">
        <f t="shared" si="57"/>
        <v>-0.21370826062045101</v>
      </c>
      <c r="E34" s="23">
        <f t="shared" si="29"/>
        <v>-5.6793380332060552</v>
      </c>
      <c r="F34" s="36">
        <f>MAX('BATS 2023 TLFD'!M22,0.0001)</f>
        <v>5.8849382829912157E-3</v>
      </c>
      <c r="G34" s="45">
        <f>modeldata!B22/modeldata!B$156</f>
        <v>6.6666666666666671E-3</v>
      </c>
      <c r="H34" s="48">
        <f t="shared" si="21"/>
        <v>0.13283544297054412</v>
      </c>
      <c r="I34" s="49">
        <f t="shared" si="0"/>
        <v>0</v>
      </c>
      <c r="J34" s="50">
        <f t="shared" si="1"/>
        <v>0</v>
      </c>
      <c r="K34" s="51">
        <f t="shared" si="2"/>
        <v>-5.6793380332060552</v>
      </c>
      <c r="L34" s="52">
        <f t="shared" si="58"/>
        <v>-0.21370826062045095</v>
      </c>
      <c r="M34" s="58">
        <f t="shared" si="30"/>
        <v>-5.6793380332060552</v>
      </c>
      <c r="O34" s="39" t="s">
        <v>19</v>
      </c>
      <c r="P34" s="21">
        <f t="shared" si="59"/>
        <v>-0.18324871283782601</v>
      </c>
      <c r="Q34" s="23">
        <f t="shared" si="31"/>
        <v>-4.0788643830552287</v>
      </c>
      <c r="R34" s="36">
        <f>MAX('BATS 2023 TLFD'!N22,0.0001)</f>
        <v>3.3857454284131139E-3</v>
      </c>
      <c r="S34" s="45">
        <f>modeldata!C22/modeldata!C$156</f>
        <v>6.6666666666666671E-3</v>
      </c>
      <c r="T34" s="48">
        <f t="shared" si="22"/>
        <v>0.96903955351164972</v>
      </c>
      <c r="U34" s="49">
        <f t="shared" si="3"/>
        <v>0</v>
      </c>
      <c r="V34" s="50">
        <f t="shared" si="4"/>
        <v>0</v>
      </c>
      <c r="W34" s="51">
        <f t="shared" si="5"/>
        <v>-4.0788643830552287</v>
      </c>
      <c r="X34" s="52">
        <f t="shared" si="60"/>
        <v>-0.18324871283782598</v>
      </c>
      <c r="Y34" s="58">
        <f t="shared" si="32"/>
        <v>-4.0788643830552287</v>
      </c>
      <c r="AA34" s="39" t="s">
        <v>19</v>
      </c>
      <c r="AB34" s="21">
        <f t="shared" si="61"/>
        <v>-0.10927638842708701</v>
      </c>
      <c r="AC34" s="23">
        <f t="shared" si="33"/>
        <v>-3.2370875677995379</v>
      </c>
      <c r="AD34" s="36">
        <f>MAX('BATS 2023 TLFD'!O22,0.0001)</f>
        <v>1.1253595406718291E-2</v>
      </c>
      <c r="AE34" s="45">
        <f>modeldata!D22/modeldata!D$156</f>
        <v>6.6666666666666671E-3</v>
      </c>
      <c r="AF34" s="48">
        <f t="shared" si="23"/>
        <v>-0.40759673457900136</v>
      </c>
      <c r="AG34" s="49">
        <f t="shared" si="6"/>
        <v>0</v>
      </c>
      <c r="AH34" s="50">
        <f t="shared" si="7"/>
        <v>0</v>
      </c>
      <c r="AI34" s="51">
        <f t="shared" si="8"/>
        <v>-3.2370875677995379</v>
      </c>
      <c r="AJ34" s="52">
        <f t="shared" si="62"/>
        <v>-0.10927638842708705</v>
      </c>
      <c r="AK34" s="58">
        <f t="shared" si="34"/>
        <v>-3.2370875677995374</v>
      </c>
      <c r="AM34" s="39" t="s">
        <v>19</v>
      </c>
      <c r="AN34" s="21">
        <f t="shared" si="63"/>
        <v>-0.123766678676451</v>
      </c>
      <c r="AO34" s="23">
        <f t="shared" si="35"/>
        <v>-3.6882464610321692</v>
      </c>
      <c r="AP34" s="36">
        <f>MAX('BATS 2023 TLFD'!P22,0.0001)</f>
        <v>2.3861850728598378E-3</v>
      </c>
      <c r="AQ34" s="45">
        <f>modeldata!E22/modeldata!E$156</f>
        <v>6.6666666666666671E-3</v>
      </c>
      <c r="AR34" s="48">
        <f t="shared" si="24"/>
        <v>1.7938598487152051</v>
      </c>
      <c r="AS34" s="49">
        <f t="shared" si="9"/>
        <v>0</v>
      </c>
      <c r="AT34" s="50">
        <f t="shared" si="10"/>
        <v>0</v>
      </c>
      <c r="AU34" s="51">
        <f t="shared" si="11"/>
        <v>-3.6882464610321692</v>
      </c>
      <c r="AV34" s="52">
        <f t="shared" si="64"/>
        <v>-0.12376667867645086</v>
      </c>
      <c r="AW34" s="58">
        <f t="shared" si="36"/>
        <v>-3.6882464610321692</v>
      </c>
      <c r="AY34" s="39" t="s">
        <v>19</v>
      </c>
      <c r="AZ34" s="21">
        <f t="shared" si="65"/>
        <v>-0.13060067927808</v>
      </c>
      <c r="BA34" s="23">
        <f t="shared" si="37"/>
        <v>-4.311472547406316</v>
      </c>
      <c r="BB34" s="36">
        <f>MAX('BATS 2023 TLFD'!Q22,0.0001)</f>
        <v>1.6140146904244658E-3</v>
      </c>
      <c r="BC34" s="45">
        <f>modeldata!F22/modeldata!F$156</f>
        <v>6.6666666666666671E-3</v>
      </c>
      <c r="BD34" s="48">
        <f t="shared" si="25"/>
        <v>3.1304869814496032</v>
      </c>
      <c r="BE34" s="49">
        <f t="shared" si="12"/>
        <v>0</v>
      </c>
      <c r="BF34" s="50">
        <f t="shared" si="13"/>
        <v>0</v>
      </c>
      <c r="BG34" s="51">
        <f t="shared" si="14"/>
        <v>-4.311472547406316</v>
      </c>
      <c r="BH34" s="52">
        <f t="shared" si="66"/>
        <v>-0.13060067927808028</v>
      </c>
      <c r="BI34" s="58">
        <f t="shared" si="38"/>
        <v>-4.311472547406316</v>
      </c>
      <c r="BK34" s="39" t="s">
        <v>19</v>
      </c>
      <c r="BL34" s="21">
        <f t="shared" si="67"/>
        <v>-0.119295888721189</v>
      </c>
      <c r="BM34" s="23">
        <f t="shared" si="39"/>
        <v>-3.3727399317477618</v>
      </c>
      <c r="BN34" s="36">
        <f>MAX('BATS 2023 TLFD'!R22,0.0001)</f>
        <v>1.1109719842595314E-2</v>
      </c>
      <c r="BO34" s="45">
        <f>modeldata!G22/modeldata!G$156</f>
        <v>6.6666666666666671E-3</v>
      </c>
      <c r="BP34" s="48">
        <f t="shared" si="26"/>
        <v>-0.39992486209181632</v>
      </c>
      <c r="BQ34" s="49">
        <f t="shared" si="15"/>
        <v>0</v>
      </c>
      <c r="BR34" s="50">
        <f t="shared" si="16"/>
        <v>0</v>
      </c>
      <c r="BS34" s="51">
        <f t="shared" si="17"/>
        <v>-3.3727399317477618</v>
      </c>
      <c r="BT34" s="52">
        <f t="shared" si="68"/>
        <v>-0.11929588872118897</v>
      </c>
      <c r="BU34" s="58">
        <f t="shared" si="40"/>
        <v>-3.3727399317477613</v>
      </c>
      <c r="BW34" s="39" t="s">
        <v>19</v>
      </c>
      <c r="BX34" s="21">
        <f t="shared" si="69"/>
        <v>-0.204473452523388</v>
      </c>
      <c r="BY34" s="23">
        <f t="shared" si="41"/>
        <v>-5.8024171328942327</v>
      </c>
      <c r="BZ34" s="36">
        <f>MAX('BATS 2023 TLFD'!S22,0.0001)</f>
        <v>8.7258197410476496E-3</v>
      </c>
      <c r="CA34" s="45">
        <f>modeldata!H22/modeldata!H$156</f>
        <v>6.6666666666666671E-3</v>
      </c>
      <c r="CB34" s="48">
        <f t="shared" si="27"/>
        <v>-0.23598391159679791</v>
      </c>
      <c r="CC34" s="49">
        <f t="shared" si="18"/>
        <v>0</v>
      </c>
      <c r="CD34" s="50">
        <f t="shared" si="19"/>
        <v>0</v>
      </c>
      <c r="CE34" s="51">
        <f t="shared" si="20"/>
        <v>-5.8024171328942327</v>
      </c>
      <c r="CF34" s="52">
        <f t="shared" si="70"/>
        <v>-0.20447345252338778</v>
      </c>
      <c r="CG34" s="58">
        <f t="shared" si="42"/>
        <v>-5.8024171328942327</v>
      </c>
    </row>
    <row r="35" spans="1:85" x14ac:dyDescent="0.25">
      <c r="A35" s="81">
        <f t="shared" si="28"/>
        <v>19.5</v>
      </c>
      <c r="B35" s="83">
        <f t="shared" si="28"/>
        <v>19</v>
      </c>
      <c r="C35" s="39" t="s">
        <v>20</v>
      </c>
      <c r="D35" s="21">
        <f t="shared" si="57"/>
        <v>-0.21370826062045101</v>
      </c>
      <c r="E35" s="23">
        <f t="shared" si="29"/>
        <v>-5.8930462938265062</v>
      </c>
      <c r="F35" s="36">
        <f>MAX('BATS 2023 TLFD'!M23,0.0001)</f>
        <v>4.8982312461425198E-3</v>
      </c>
      <c r="G35" s="45">
        <f>modeldata!B23/modeldata!B$156</f>
        <v>6.6666666666666671E-3</v>
      </c>
      <c r="H35" s="48">
        <f t="shared" si="21"/>
        <v>0.36103551091362512</v>
      </c>
      <c r="I35" s="49">
        <f t="shared" si="0"/>
        <v>0</v>
      </c>
      <c r="J35" s="50">
        <f t="shared" si="1"/>
        <v>0</v>
      </c>
      <c r="K35" s="51">
        <f t="shared" si="2"/>
        <v>-5.8930462938265062</v>
      </c>
      <c r="L35" s="52">
        <f t="shared" si="58"/>
        <v>-0.21370826062045095</v>
      </c>
      <c r="M35" s="58">
        <f t="shared" si="30"/>
        <v>-5.8930462938265062</v>
      </c>
      <c r="O35" s="39" t="s">
        <v>20</v>
      </c>
      <c r="P35" s="21">
        <f t="shared" si="59"/>
        <v>-0.18324871283782601</v>
      </c>
      <c r="Q35" s="23">
        <f t="shared" si="31"/>
        <v>-4.2621130958930546</v>
      </c>
      <c r="R35" s="36">
        <f>MAX('BATS 2023 TLFD'!N23,0.0001)</f>
        <v>1.887304030192129E-3</v>
      </c>
      <c r="S35" s="45">
        <f>modeldata!C23/modeldata!C$156</f>
        <v>6.6666666666666671E-3</v>
      </c>
      <c r="T35" s="48">
        <f t="shared" si="22"/>
        <v>2.5323755791418492</v>
      </c>
      <c r="U35" s="49">
        <f t="shared" si="3"/>
        <v>0</v>
      </c>
      <c r="V35" s="50">
        <f t="shared" si="4"/>
        <v>0</v>
      </c>
      <c r="W35" s="51">
        <f t="shared" si="5"/>
        <v>-4.2621130958930546</v>
      </c>
      <c r="X35" s="52">
        <f t="shared" si="60"/>
        <v>-0.18324871283782598</v>
      </c>
      <c r="Y35" s="58">
        <f t="shared" si="32"/>
        <v>-4.2621130958930546</v>
      </c>
      <c r="AA35" s="39" t="s">
        <v>20</v>
      </c>
      <c r="AB35" s="21">
        <f t="shared" si="61"/>
        <v>-0.10927638842708701</v>
      </c>
      <c r="AC35" s="23">
        <f t="shared" si="33"/>
        <v>-3.3463639562266247</v>
      </c>
      <c r="AD35" s="36">
        <f>MAX('BATS 2023 TLFD'!O23,0.0001)</f>
        <v>1.485687482036678E-3</v>
      </c>
      <c r="AE35" s="45">
        <f>modeldata!D23/modeldata!D$156</f>
        <v>6.6666666666666671E-3</v>
      </c>
      <c r="AF35" s="48">
        <f t="shared" si="23"/>
        <v>3.487260441561749</v>
      </c>
      <c r="AG35" s="49">
        <f t="shared" si="6"/>
        <v>0</v>
      </c>
      <c r="AH35" s="50">
        <f t="shared" si="7"/>
        <v>0</v>
      </c>
      <c r="AI35" s="51">
        <f t="shared" si="8"/>
        <v>-3.3463639562266247</v>
      </c>
      <c r="AJ35" s="52">
        <f t="shared" si="62"/>
        <v>-0.10927638842708705</v>
      </c>
      <c r="AK35" s="58">
        <f t="shared" si="34"/>
        <v>-3.3463639562266243</v>
      </c>
      <c r="AM35" s="39" t="s">
        <v>20</v>
      </c>
      <c r="AN35" s="21">
        <f t="shared" si="63"/>
        <v>-0.123766678676451</v>
      </c>
      <c r="AO35" s="23">
        <f t="shared" si="35"/>
        <v>-3.8120131397086201</v>
      </c>
      <c r="AP35" s="36">
        <f>MAX('BATS 2023 TLFD'!P23,0.0001)</f>
        <v>2.5740524473761325E-3</v>
      </c>
      <c r="AQ35" s="45">
        <f>modeldata!E23/modeldata!E$156</f>
        <v>6.6666666666666671E-3</v>
      </c>
      <c r="AR35" s="48">
        <f t="shared" si="24"/>
        <v>1.5899498176357489</v>
      </c>
      <c r="AS35" s="49">
        <f t="shared" si="9"/>
        <v>0</v>
      </c>
      <c r="AT35" s="50">
        <f t="shared" si="10"/>
        <v>0</v>
      </c>
      <c r="AU35" s="51">
        <f t="shared" si="11"/>
        <v>-3.8120131397086201</v>
      </c>
      <c r="AV35" s="52">
        <f t="shared" si="64"/>
        <v>-0.12376667867645086</v>
      </c>
      <c r="AW35" s="58">
        <f t="shared" si="36"/>
        <v>-3.8120131397086201</v>
      </c>
      <c r="AY35" s="39" t="s">
        <v>20</v>
      </c>
      <c r="AZ35" s="21">
        <f t="shared" si="65"/>
        <v>-0.13060067927808</v>
      </c>
      <c r="BA35" s="23">
        <f t="shared" si="37"/>
        <v>-4.4420732266843963</v>
      </c>
      <c r="BB35" s="36">
        <f>MAX('BATS 2023 TLFD'!Q23,0.0001)</f>
        <v>1.758489831788404E-3</v>
      </c>
      <c r="BC35" s="45">
        <f>modeldata!F23/modeldata!F$156</f>
        <v>6.6666666666666671E-3</v>
      </c>
      <c r="BD35" s="48">
        <f t="shared" si="25"/>
        <v>2.7911317689489237</v>
      </c>
      <c r="BE35" s="49">
        <f t="shared" si="12"/>
        <v>0</v>
      </c>
      <c r="BF35" s="50">
        <f t="shared" si="13"/>
        <v>0</v>
      </c>
      <c r="BG35" s="51">
        <f t="shared" si="14"/>
        <v>-4.4420732266843963</v>
      </c>
      <c r="BH35" s="52">
        <f t="shared" si="66"/>
        <v>-0.13060067927808028</v>
      </c>
      <c r="BI35" s="58">
        <f t="shared" si="38"/>
        <v>-4.4420732266843963</v>
      </c>
      <c r="BK35" s="39" t="s">
        <v>20</v>
      </c>
      <c r="BL35" s="21">
        <f t="shared" si="67"/>
        <v>-0.119295888721189</v>
      </c>
      <c r="BM35" s="23">
        <f t="shared" si="39"/>
        <v>-3.4920358204689506</v>
      </c>
      <c r="BN35" s="36">
        <f>MAX('BATS 2023 TLFD'!R23,0.0001)</f>
        <v>1.011121823093847E-2</v>
      </c>
      <c r="BO35" s="45">
        <f>modeldata!G23/modeldata!G$156</f>
        <v>6.6666666666666671E-3</v>
      </c>
      <c r="BP35" s="48">
        <f t="shared" si="26"/>
        <v>-0.34066632581740819</v>
      </c>
      <c r="BQ35" s="49">
        <f t="shared" si="15"/>
        <v>0</v>
      </c>
      <c r="BR35" s="50">
        <f t="shared" si="16"/>
        <v>0</v>
      </c>
      <c r="BS35" s="51">
        <f t="shared" si="17"/>
        <v>-3.4920358204689506</v>
      </c>
      <c r="BT35" s="52">
        <f t="shared" si="68"/>
        <v>-0.11929588872118897</v>
      </c>
      <c r="BU35" s="58">
        <f t="shared" si="40"/>
        <v>-3.4920358204689501</v>
      </c>
      <c r="BW35" s="39" t="s">
        <v>20</v>
      </c>
      <c r="BX35" s="21">
        <f t="shared" si="69"/>
        <v>-0.204473452523388</v>
      </c>
      <c r="BY35" s="23">
        <f t="shared" si="41"/>
        <v>-6.0068905854176204</v>
      </c>
      <c r="BZ35" s="36">
        <f>MAX('BATS 2023 TLFD'!S23,0.0001)</f>
        <v>1E-4</v>
      </c>
      <c r="CA35" s="45">
        <f>modeldata!H23/modeldata!H$156</f>
        <v>6.6666666666666671E-3</v>
      </c>
      <c r="CB35" s="48">
        <f t="shared" si="27"/>
        <v>65.666666666666671</v>
      </c>
      <c r="CC35" s="49">
        <f t="shared" si="18"/>
        <v>0</v>
      </c>
      <c r="CD35" s="50">
        <f t="shared" si="19"/>
        <v>0</v>
      </c>
      <c r="CE35" s="51">
        <f t="shared" si="20"/>
        <v>-6.0068905854176204</v>
      </c>
      <c r="CF35" s="52">
        <f t="shared" si="70"/>
        <v>-0.20447345252338778</v>
      </c>
      <c r="CG35" s="58">
        <f t="shared" si="42"/>
        <v>-6.0068905854176204</v>
      </c>
    </row>
    <row r="36" spans="1:85" x14ac:dyDescent="0.25">
      <c r="A36" s="81">
        <f t="shared" si="28"/>
        <v>20.5</v>
      </c>
      <c r="B36" s="83">
        <f t="shared" si="28"/>
        <v>20</v>
      </c>
      <c r="C36" s="39" t="s">
        <v>21</v>
      </c>
      <c r="D36" s="21">
        <f t="shared" si="57"/>
        <v>-0.21370826062045101</v>
      </c>
      <c r="E36" s="23">
        <f t="shared" si="29"/>
        <v>-6.1067545544469573</v>
      </c>
      <c r="F36" s="36">
        <f>MAX('BATS 2023 TLFD'!M24,0.0001)</f>
        <v>3.7462932608031806E-3</v>
      </c>
      <c r="G36" s="45">
        <f>modeldata!B24/modeldata!B$156</f>
        <v>6.6666666666666671E-3</v>
      </c>
      <c r="H36" s="48">
        <f t="shared" si="21"/>
        <v>0.7795367854457228</v>
      </c>
      <c r="I36" s="49">
        <f t="shared" si="0"/>
        <v>0</v>
      </c>
      <c r="J36" s="50">
        <f t="shared" si="1"/>
        <v>0</v>
      </c>
      <c r="K36" s="51">
        <f t="shared" si="2"/>
        <v>-6.1067545544469573</v>
      </c>
      <c r="L36" s="52">
        <f t="shared" si="58"/>
        <v>-0.21370826062045095</v>
      </c>
      <c r="M36" s="58">
        <f t="shared" si="30"/>
        <v>-6.1067545544469573</v>
      </c>
      <c r="O36" s="39" t="s">
        <v>21</v>
      </c>
      <c r="P36" s="21">
        <f t="shared" si="59"/>
        <v>-0.18324871283782601</v>
      </c>
      <c r="Q36" s="23">
        <f t="shared" si="31"/>
        <v>-4.4453618087308806</v>
      </c>
      <c r="R36" s="36">
        <f>MAX('BATS 2023 TLFD'!N24,0.0001)</f>
        <v>3.5562503815108454E-3</v>
      </c>
      <c r="S36" s="45">
        <f>modeldata!C24/modeldata!C$156</f>
        <v>6.6666666666666671E-3</v>
      </c>
      <c r="T36" s="48">
        <f t="shared" si="22"/>
        <v>0.87463365946533422</v>
      </c>
      <c r="U36" s="49">
        <f t="shared" si="3"/>
        <v>0</v>
      </c>
      <c r="V36" s="50">
        <f t="shared" si="4"/>
        <v>0</v>
      </c>
      <c r="W36" s="51">
        <f t="shared" si="5"/>
        <v>-4.4453618087308806</v>
      </c>
      <c r="X36" s="52">
        <f t="shared" si="60"/>
        <v>-0.18324871283782598</v>
      </c>
      <c r="Y36" s="58">
        <f t="shared" si="32"/>
        <v>-4.4453618087308806</v>
      </c>
      <c r="AA36" s="39" t="s">
        <v>21</v>
      </c>
      <c r="AB36" s="21">
        <f t="shared" si="61"/>
        <v>-0.10927638842708701</v>
      </c>
      <c r="AC36" s="23">
        <f t="shared" si="33"/>
        <v>-3.4556403446537116</v>
      </c>
      <c r="AD36" s="36">
        <f>MAX('BATS 2023 TLFD'!O24,0.0001)</f>
        <v>6.2018177381309514E-3</v>
      </c>
      <c r="AE36" s="45">
        <f>modeldata!D24/modeldata!D$156</f>
        <v>6.6666666666666671E-3</v>
      </c>
      <c r="AF36" s="48">
        <f t="shared" si="23"/>
        <v>7.4953658453659699E-2</v>
      </c>
      <c r="AG36" s="49">
        <f t="shared" si="6"/>
        <v>0</v>
      </c>
      <c r="AH36" s="50">
        <f t="shared" si="7"/>
        <v>0</v>
      </c>
      <c r="AI36" s="51">
        <f t="shared" si="8"/>
        <v>-3.4556403446537116</v>
      </c>
      <c r="AJ36" s="52">
        <f t="shared" si="62"/>
        <v>-0.10927638842708705</v>
      </c>
      <c r="AK36" s="58">
        <f t="shared" si="34"/>
        <v>-3.4556403446537112</v>
      </c>
      <c r="AM36" s="39" t="s">
        <v>21</v>
      </c>
      <c r="AN36" s="21">
        <f t="shared" si="63"/>
        <v>-0.123766678676451</v>
      </c>
      <c r="AO36" s="23">
        <f t="shared" si="35"/>
        <v>-3.935779818385071</v>
      </c>
      <c r="AP36" s="36">
        <f>MAX('BATS 2023 TLFD'!P24,0.0001)</f>
        <v>1.154721178796495E-3</v>
      </c>
      <c r="AQ36" s="45">
        <f>modeldata!E24/modeldata!E$156</f>
        <v>6.6666666666666671E-3</v>
      </c>
      <c r="AR36" s="48">
        <f t="shared" si="24"/>
        <v>4.7733994916547582</v>
      </c>
      <c r="AS36" s="49">
        <f t="shared" si="9"/>
        <v>0</v>
      </c>
      <c r="AT36" s="50">
        <f t="shared" si="10"/>
        <v>0</v>
      </c>
      <c r="AU36" s="51">
        <f t="shared" si="11"/>
        <v>-3.935779818385071</v>
      </c>
      <c r="AV36" s="52">
        <f t="shared" si="64"/>
        <v>-0.12376667867645086</v>
      </c>
      <c r="AW36" s="58">
        <f t="shared" si="36"/>
        <v>-3.935779818385071</v>
      </c>
      <c r="AY36" s="39" t="s">
        <v>21</v>
      </c>
      <c r="AZ36" s="21">
        <f t="shared" si="65"/>
        <v>-0.13060067927808</v>
      </c>
      <c r="BA36" s="23">
        <f t="shared" si="37"/>
        <v>-4.5726739059624766</v>
      </c>
      <c r="BB36" s="36">
        <f>MAX('BATS 2023 TLFD'!Q24,0.0001)</f>
        <v>3.2122526931166852E-3</v>
      </c>
      <c r="BC36" s="45">
        <f>modeldata!F24/modeldata!F$156</f>
        <v>6.6666666666666671E-3</v>
      </c>
      <c r="BD36" s="48">
        <f t="shared" si="25"/>
        <v>1.0753867467999039</v>
      </c>
      <c r="BE36" s="49">
        <f t="shared" si="12"/>
        <v>0</v>
      </c>
      <c r="BF36" s="50">
        <f t="shared" si="13"/>
        <v>0</v>
      </c>
      <c r="BG36" s="51">
        <f t="shared" si="14"/>
        <v>-4.5726739059624766</v>
      </c>
      <c r="BH36" s="52">
        <f t="shared" si="66"/>
        <v>-0.13060067927808028</v>
      </c>
      <c r="BI36" s="58">
        <f t="shared" si="38"/>
        <v>-4.5726739059624766</v>
      </c>
      <c r="BK36" s="39" t="s">
        <v>21</v>
      </c>
      <c r="BL36" s="21">
        <f t="shared" si="67"/>
        <v>-0.119295888721189</v>
      </c>
      <c r="BM36" s="23">
        <f t="shared" si="39"/>
        <v>-3.6113317091901393</v>
      </c>
      <c r="BN36" s="36">
        <f>MAX('BATS 2023 TLFD'!R24,0.0001)</f>
        <v>1.4680786334523596E-2</v>
      </c>
      <c r="BO36" s="45">
        <f>modeldata!G24/modeldata!G$156</f>
        <v>6.6666666666666671E-3</v>
      </c>
      <c r="BP36" s="48">
        <f t="shared" si="26"/>
        <v>-0.54589171759899435</v>
      </c>
      <c r="BQ36" s="49">
        <f t="shared" si="15"/>
        <v>0</v>
      </c>
      <c r="BR36" s="50">
        <f t="shared" si="16"/>
        <v>0</v>
      </c>
      <c r="BS36" s="51">
        <f t="shared" si="17"/>
        <v>-3.6113317091901393</v>
      </c>
      <c r="BT36" s="52">
        <f t="shared" si="68"/>
        <v>-0.11929588872118897</v>
      </c>
      <c r="BU36" s="58">
        <f t="shared" si="40"/>
        <v>-3.6113317091901389</v>
      </c>
      <c r="BW36" s="39" t="s">
        <v>21</v>
      </c>
      <c r="BX36" s="21">
        <f t="shared" si="69"/>
        <v>-0.204473452523388</v>
      </c>
      <c r="BY36" s="23">
        <f t="shared" si="41"/>
        <v>-6.2113640379410082</v>
      </c>
      <c r="BZ36" s="36">
        <f>MAX('BATS 2023 TLFD'!S24,0.0001)</f>
        <v>1E-4</v>
      </c>
      <c r="CA36" s="45">
        <f>modeldata!H24/modeldata!H$156</f>
        <v>6.6666666666666671E-3</v>
      </c>
      <c r="CB36" s="48">
        <f t="shared" si="27"/>
        <v>65.666666666666671</v>
      </c>
      <c r="CC36" s="49">
        <f t="shared" si="18"/>
        <v>0</v>
      </c>
      <c r="CD36" s="50">
        <f t="shared" si="19"/>
        <v>0</v>
      </c>
      <c r="CE36" s="51">
        <f t="shared" si="20"/>
        <v>-6.2113640379410082</v>
      </c>
      <c r="CF36" s="52">
        <f t="shared" si="70"/>
        <v>-0.20447345252338778</v>
      </c>
      <c r="CG36" s="58">
        <f t="shared" si="42"/>
        <v>-6.2113640379410082</v>
      </c>
    </row>
    <row r="37" spans="1:85" x14ac:dyDescent="0.25">
      <c r="A37" s="81">
        <f t="shared" si="28"/>
        <v>21.5</v>
      </c>
      <c r="B37" s="83">
        <f t="shared" si="28"/>
        <v>21</v>
      </c>
      <c r="C37" s="39" t="s">
        <v>22</v>
      </c>
      <c r="D37" s="21">
        <f t="shared" si="57"/>
        <v>-0.21370826062045101</v>
      </c>
      <c r="E37" s="23">
        <f t="shared" si="29"/>
        <v>-6.3204628150674083</v>
      </c>
      <c r="F37" s="36">
        <f>MAX('BATS 2023 TLFD'!M25,0.0001)</f>
        <v>8.062755777020397E-4</v>
      </c>
      <c r="G37" s="45">
        <f>modeldata!B25/modeldata!B$156</f>
        <v>6.6666666666666671E-3</v>
      </c>
      <c r="H37" s="48">
        <f t="shared" si="21"/>
        <v>7.2684715388097043</v>
      </c>
      <c r="I37" s="49">
        <f t="shared" si="0"/>
        <v>0</v>
      </c>
      <c r="J37" s="50">
        <f t="shared" si="1"/>
        <v>0</v>
      </c>
      <c r="K37" s="51">
        <f t="shared" si="2"/>
        <v>-6.3204628150674083</v>
      </c>
      <c r="L37" s="52">
        <f t="shared" si="58"/>
        <v>-0.21370826062045095</v>
      </c>
      <c r="M37" s="58">
        <f t="shared" si="30"/>
        <v>-6.3204628150674083</v>
      </c>
      <c r="O37" s="39" t="s">
        <v>22</v>
      </c>
      <c r="P37" s="21">
        <f t="shared" si="59"/>
        <v>-0.18324871283782601</v>
      </c>
      <c r="Q37" s="23">
        <f t="shared" si="31"/>
        <v>-4.6286105215687066</v>
      </c>
      <c r="R37" s="36">
        <f>MAX('BATS 2023 TLFD'!N25,0.0001)</f>
        <v>4.3129779111391363E-3</v>
      </c>
      <c r="S37" s="45">
        <f>modeldata!C25/modeldata!C$156</f>
        <v>6.6666666666666671E-3</v>
      </c>
      <c r="T37" s="48">
        <f t="shared" si="22"/>
        <v>0.54572242288759565</v>
      </c>
      <c r="U37" s="49">
        <f t="shared" si="3"/>
        <v>0</v>
      </c>
      <c r="V37" s="50">
        <f t="shared" si="4"/>
        <v>0</v>
      </c>
      <c r="W37" s="51">
        <f t="shared" si="5"/>
        <v>-4.6286105215687066</v>
      </c>
      <c r="X37" s="52">
        <f t="shared" si="60"/>
        <v>-0.18324871283782598</v>
      </c>
      <c r="Y37" s="58">
        <f t="shared" si="32"/>
        <v>-4.6286105215687066</v>
      </c>
      <c r="AA37" s="39" t="s">
        <v>22</v>
      </c>
      <c r="AB37" s="21">
        <f t="shared" si="61"/>
        <v>-0.10927638842708701</v>
      </c>
      <c r="AC37" s="23">
        <f t="shared" si="33"/>
        <v>-3.5649167330807985</v>
      </c>
      <c r="AD37" s="36">
        <f>MAX('BATS 2023 TLFD'!O25,0.0001)</f>
        <v>1.0946931578734376E-2</v>
      </c>
      <c r="AE37" s="45">
        <f>modeldata!D25/modeldata!D$156</f>
        <v>6.6666666666666671E-3</v>
      </c>
      <c r="AF37" s="48">
        <f t="shared" si="23"/>
        <v>-0.39100133962494082</v>
      </c>
      <c r="AG37" s="49">
        <f t="shared" si="6"/>
        <v>0</v>
      </c>
      <c r="AH37" s="50">
        <f t="shared" si="7"/>
        <v>0</v>
      </c>
      <c r="AI37" s="51">
        <f t="shared" si="8"/>
        <v>-3.5649167330807985</v>
      </c>
      <c r="AJ37" s="52">
        <f t="shared" si="62"/>
        <v>-0.10927638842708705</v>
      </c>
      <c r="AK37" s="58">
        <f t="shared" si="34"/>
        <v>-3.564916733080798</v>
      </c>
      <c r="AM37" s="39" t="s">
        <v>22</v>
      </c>
      <c r="AN37" s="21">
        <f t="shared" si="63"/>
        <v>-0.123766678676451</v>
      </c>
      <c r="AO37" s="23">
        <f t="shared" si="35"/>
        <v>-4.0595464970615218</v>
      </c>
      <c r="AP37" s="36">
        <f>MAX('BATS 2023 TLFD'!P25,0.0001)</f>
        <v>6.8627003906185499E-4</v>
      </c>
      <c r="AQ37" s="45">
        <f>modeldata!E25/modeldata!E$156</f>
        <v>6.6666666666666671E-3</v>
      </c>
      <c r="AR37" s="48">
        <f t="shared" si="24"/>
        <v>8.7143489985081324</v>
      </c>
      <c r="AS37" s="49">
        <f t="shared" si="9"/>
        <v>0</v>
      </c>
      <c r="AT37" s="50">
        <f t="shared" si="10"/>
        <v>0</v>
      </c>
      <c r="AU37" s="51">
        <f t="shared" si="11"/>
        <v>-4.0595464970615218</v>
      </c>
      <c r="AV37" s="52">
        <f t="shared" si="64"/>
        <v>-0.12376667867645086</v>
      </c>
      <c r="AW37" s="58">
        <f t="shared" si="36"/>
        <v>-4.0595464970615218</v>
      </c>
      <c r="AY37" s="39" t="s">
        <v>22</v>
      </c>
      <c r="AZ37" s="21">
        <f t="shared" si="65"/>
        <v>-0.13060067927808</v>
      </c>
      <c r="BA37" s="23">
        <f t="shared" si="37"/>
        <v>-4.7032745852405569</v>
      </c>
      <c r="BB37" s="36">
        <f>MAX('BATS 2023 TLFD'!Q25,0.0001)</f>
        <v>6.8408757947195156E-3</v>
      </c>
      <c r="BC37" s="45">
        <f>modeldata!F25/modeldata!F$156</f>
        <v>6.6666666666666671E-3</v>
      </c>
      <c r="BD37" s="48">
        <f t="shared" si="25"/>
        <v>-2.5465910108661945E-2</v>
      </c>
      <c r="BE37" s="49">
        <f t="shared" si="12"/>
        <v>0</v>
      </c>
      <c r="BF37" s="50">
        <f t="shared" si="13"/>
        <v>0</v>
      </c>
      <c r="BG37" s="51">
        <f t="shared" si="14"/>
        <v>-4.7032745852405569</v>
      </c>
      <c r="BH37" s="52">
        <f t="shared" si="66"/>
        <v>-0.13060067927808028</v>
      </c>
      <c r="BI37" s="58">
        <f t="shared" si="38"/>
        <v>-4.7032745852405569</v>
      </c>
      <c r="BK37" s="39" t="s">
        <v>22</v>
      </c>
      <c r="BL37" s="21">
        <f t="shared" si="67"/>
        <v>-0.119295888721189</v>
      </c>
      <c r="BM37" s="23">
        <f t="shared" si="39"/>
        <v>-3.7306275979113281</v>
      </c>
      <c r="BN37" s="36">
        <f>MAX('BATS 2023 TLFD'!R25,0.0001)</f>
        <v>8.0218369994530195E-3</v>
      </c>
      <c r="BO37" s="45">
        <f>modeldata!G25/modeldata!G$156</f>
        <v>6.6666666666666671E-3</v>
      </c>
      <c r="BP37" s="48">
        <f t="shared" si="26"/>
        <v>-0.1689351619683567</v>
      </c>
      <c r="BQ37" s="49">
        <f t="shared" si="15"/>
        <v>0</v>
      </c>
      <c r="BR37" s="50">
        <f t="shared" si="16"/>
        <v>0</v>
      </c>
      <c r="BS37" s="51">
        <f t="shared" si="17"/>
        <v>-3.7306275979113281</v>
      </c>
      <c r="BT37" s="52">
        <f t="shared" si="68"/>
        <v>-0.11929588872118897</v>
      </c>
      <c r="BU37" s="58">
        <f t="shared" si="40"/>
        <v>-3.7306275979113277</v>
      </c>
      <c r="BW37" s="39" t="s">
        <v>22</v>
      </c>
      <c r="BX37" s="21">
        <f t="shared" si="69"/>
        <v>-0.204473452523388</v>
      </c>
      <c r="BY37" s="23">
        <f t="shared" si="41"/>
        <v>-6.415837490464396</v>
      </c>
      <c r="BZ37" s="36">
        <f>MAX('BATS 2023 TLFD'!S25,0.0001)</f>
        <v>1.515028308706194E-4</v>
      </c>
      <c r="CA37" s="45">
        <f>modeldata!H25/modeldata!H$156</f>
        <v>6.6666666666666671E-3</v>
      </c>
      <c r="CB37" s="48">
        <f t="shared" si="27"/>
        <v>43.00357820613845</v>
      </c>
      <c r="CC37" s="49">
        <f t="shared" si="18"/>
        <v>0</v>
      </c>
      <c r="CD37" s="50">
        <f t="shared" si="19"/>
        <v>0</v>
      </c>
      <c r="CE37" s="51">
        <f t="shared" si="20"/>
        <v>-6.415837490464396</v>
      </c>
      <c r="CF37" s="52">
        <f t="shared" si="70"/>
        <v>-0.20447345252338778</v>
      </c>
      <c r="CG37" s="58">
        <f t="shared" si="42"/>
        <v>-6.415837490464396</v>
      </c>
    </row>
    <row r="38" spans="1:85" x14ac:dyDescent="0.25">
      <c r="A38" s="81">
        <f t="shared" si="28"/>
        <v>22.5</v>
      </c>
      <c r="B38" s="83">
        <f t="shared" si="28"/>
        <v>22</v>
      </c>
      <c r="C38" s="39" t="s">
        <v>23</v>
      </c>
      <c r="D38" s="21">
        <f t="shared" si="57"/>
        <v>-0.21370826062045101</v>
      </c>
      <c r="E38" s="23">
        <f t="shared" si="29"/>
        <v>-6.5341710756878593</v>
      </c>
      <c r="F38" s="36">
        <f>MAX('BATS 2023 TLFD'!M26,0.0001)</f>
        <v>3.0460125081854561E-4</v>
      </c>
      <c r="G38" s="45">
        <f>modeldata!B26/modeldata!B$156</f>
        <v>6.6666666666666671E-3</v>
      </c>
      <c r="H38" s="48">
        <f t="shared" si="21"/>
        <v>20.886537395206151</v>
      </c>
      <c r="I38" s="49">
        <f t="shared" si="0"/>
        <v>0</v>
      </c>
      <c r="J38" s="50">
        <f t="shared" si="1"/>
        <v>0</v>
      </c>
      <c r="K38" s="51">
        <f t="shared" si="2"/>
        <v>-6.5341710756878593</v>
      </c>
      <c r="L38" s="52">
        <f t="shared" si="58"/>
        <v>-0.21370826062045095</v>
      </c>
      <c r="M38" s="58">
        <f t="shared" si="30"/>
        <v>-6.5341710756878593</v>
      </c>
      <c r="O38" s="39" t="s">
        <v>23</v>
      </c>
      <c r="P38" s="21">
        <f t="shared" si="59"/>
        <v>-0.18324871283782601</v>
      </c>
      <c r="Q38" s="23">
        <f t="shared" si="31"/>
        <v>-4.8118592344065325</v>
      </c>
      <c r="R38" s="36">
        <f>MAX('BATS 2023 TLFD'!N26,0.0001)</f>
        <v>2.4676988865665454E-4</v>
      </c>
      <c r="S38" s="45">
        <f>modeldata!C26/modeldata!C$156</f>
        <v>6.6666666666666671E-3</v>
      </c>
      <c r="T38" s="48">
        <f t="shared" si="22"/>
        <v>26.015721824725514</v>
      </c>
      <c r="U38" s="49">
        <f t="shared" si="3"/>
        <v>0</v>
      </c>
      <c r="V38" s="50">
        <f t="shared" si="4"/>
        <v>0</v>
      </c>
      <c r="W38" s="51">
        <f t="shared" si="5"/>
        <v>-4.8118592344065325</v>
      </c>
      <c r="X38" s="52">
        <f t="shared" si="60"/>
        <v>-0.18324871283782598</v>
      </c>
      <c r="Y38" s="58">
        <f t="shared" si="32"/>
        <v>-4.8118592344065325</v>
      </c>
      <c r="AA38" s="39" t="s">
        <v>23</v>
      </c>
      <c r="AB38" s="21">
        <f t="shared" si="61"/>
        <v>-0.10927638842708701</v>
      </c>
      <c r="AC38" s="23">
        <f t="shared" si="33"/>
        <v>-3.6741931215078854</v>
      </c>
      <c r="AD38" s="36">
        <f>MAX('BATS 2023 TLFD'!O26,0.0001)</f>
        <v>2.4549778883681882E-3</v>
      </c>
      <c r="AE38" s="45">
        <f>modeldata!D26/modeldata!D$156</f>
        <v>6.6666666666666671E-3</v>
      </c>
      <c r="AF38" s="48">
        <f t="shared" si="23"/>
        <v>1.7155709622696311</v>
      </c>
      <c r="AG38" s="49">
        <f t="shared" si="6"/>
        <v>0</v>
      </c>
      <c r="AH38" s="50">
        <f t="shared" si="7"/>
        <v>0</v>
      </c>
      <c r="AI38" s="51">
        <f t="shared" si="8"/>
        <v>-3.6741931215078854</v>
      </c>
      <c r="AJ38" s="52">
        <f t="shared" si="62"/>
        <v>-0.10927638842708705</v>
      </c>
      <c r="AK38" s="58">
        <f t="shared" si="34"/>
        <v>-3.6741931215078849</v>
      </c>
      <c r="AM38" s="39" t="s">
        <v>23</v>
      </c>
      <c r="AN38" s="21">
        <f t="shared" si="63"/>
        <v>-0.123766678676451</v>
      </c>
      <c r="AO38" s="23">
        <f t="shared" si="35"/>
        <v>-4.1833131757379727</v>
      </c>
      <c r="AP38" s="36">
        <f>MAX('BATS 2023 TLFD'!P26,0.0001)</f>
        <v>7.1241792583678399E-4</v>
      </c>
      <c r="AQ38" s="45">
        <f>modeldata!E26/modeldata!E$156</f>
        <v>6.6666666666666671E-3</v>
      </c>
      <c r="AR38" s="48">
        <f t="shared" si="24"/>
        <v>8.3578030884557091</v>
      </c>
      <c r="AS38" s="49">
        <f t="shared" si="9"/>
        <v>0</v>
      </c>
      <c r="AT38" s="50">
        <f t="shared" si="10"/>
        <v>0</v>
      </c>
      <c r="AU38" s="51">
        <f t="shared" si="11"/>
        <v>-4.1833131757379727</v>
      </c>
      <c r="AV38" s="52">
        <f t="shared" si="64"/>
        <v>-0.12376667867645086</v>
      </c>
      <c r="AW38" s="58">
        <f t="shared" si="36"/>
        <v>-4.1833131757379727</v>
      </c>
      <c r="AY38" s="39" t="s">
        <v>23</v>
      </c>
      <c r="AZ38" s="21">
        <f t="shared" si="65"/>
        <v>-0.13060067927808</v>
      </c>
      <c r="BA38" s="23">
        <f t="shared" si="37"/>
        <v>-4.8338752645186371</v>
      </c>
      <c r="BB38" s="36">
        <f>MAX('BATS 2023 TLFD'!Q26,0.0001)</f>
        <v>4.3328719586425838E-4</v>
      </c>
      <c r="BC38" s="45">
        <f>modeldata!F26/modeldata!F$156</f>
        <v>6.6666666666666671E-3</v>
      </c>
      <c r="BD38" s="48">
        <f t="shared" si="25"/>
        <v>14.386253575688912</v>
      </c>
      <c r="BE38" s="49">
        <f t="shared" si="12"/>
        <v>0</v>
      </c>
      <c r="BF38" s="50">
        <f t="shared" si="13"/>
        <v>0</v>
      </c>
      <c r="BG38" s="51">
        <f t="shared" si="14"/>
        <v>-4.8338752645186371</v>
      </c>
      <c r="BH38" s="52">
        <f t="shared" si="66"/>
        <v>-0.13060067927808028</v>
      </c>
      <c r="BI38" s="58">
        <f t="shared" si="38"/>
        <v>-4.8338752645186371</v>
      </c>
      <c r="BK38" s="39" t="s">
        <v>23</v>
      </c>
      <c r="BL38" s="21">
        <f t="shared" si="67"/>
        <v>-0.119295888721189</v>
      </c>
      <c r="BM38" s="23">
        <f t="shared" si="39"/>
        <v>-3.8499234866325169</v>
      </c>
      <c r="BN38" s="36">
        <f>MAX('BATS 2023 TLFD'!R26,0.0001)</f>
        <v>1.0627095224096422E-2</v>
      </c>
      <c r="BO38" s="45">
        <f>modeldata!G26/modeldata!G$156</f>
        <v>6.6666666666666671E-3</v>
      </c>
      <c r="BP38" s="48">
        <f t="shared" si="26"/>
        <v>-0.37267272701666165</v>
      </c>
      <c r="BQ38" s="49">
        <f t="shared" si="15"/>
        <v>0</v>
      </c>
      <c r="BR38" s="50">
        <f t="shared" si="16"/>
        <v>0</v>
      </c>
      <c r="BS38" s="51">
        <f t="shared" si="17"/>
        <v>-3.8499234866325169</v>
      </c>
      <c r="BT38" s="52">
        <f t="shared" si="68"/>
        <v>-0.11929588872118897</v>
      </c>
      <c r="BU38" s="58">
        <f t="shared" si="40"/>
        <v>-3.8499234866325165</v>
      </c>
      <c r="BW38" s="39" t="s">
        <v>23</v>
      </c>
      <c r="BX38" s="21">
        <f t="shared" si="69"/>
        <v>-0.204473452523388</v>
      </c>
      <c r="BY38" s="23">
        <f t="shared" si="41"/>
        <v>-6.6203109429877838</v>
      </c>
      <c r="BZ38" s="36">
        <f>MAX('BATS 2023 TLFD'!S26,0.0001)</f>
        <v>1E-4</v>
      </c>
      <c r="CA38" s="45">
        <f>modeldata!H26/modeldata!H$156</f>
        <v>6.6666666666666671E-3</v>
      </c>
      <c r="CB38" s="48">
        <f t="shared" si="27"/>
        <v>65.666666666666671</v>
      </c>
      <c r="CC38" s="49">
        <f t="shared" si="18"/>
        <v>0</v>
      </c>
      <c r="CD38" s="50">
        <f t="shared" si="19"/>
        <v>0</v>
      </c>
      <c r="CE38" s="51">
        <f t="shared" si="20"/>
        <v>-6.6203109429877838</v>
      </c>
      <c r="CF38" s="52">
        <f t="shared" si="70"/>
        <v>-0.20447345252338778</v>
      </c>
      <c r="CG38" s="58">
        <f t="shared" si="42"/>
        <v>-6.6203109429877838</v>
      </c>
    </row>
    <row r="39" spans="1:85" x14ac:dyDescent="0.25">
      <c r="A39" s="81">
        <f t="shared" si="28"/>
        <v>23.5</v>
      </c>
      <c r="B39" s="83">
        <f t="shared" si="28"/>
        <v>23</v>
      </c>
      <c r="C39" s="39" t="s">
        <v>24</v>
      </c>
      <c r="D39" s="21">
        <f t="shared" si="57"/>
        <v>-0.21370826062045101</v>
      </c>
      <c r="E39" s="23">
        <f t="shared" si="29"/>
        <v>-6.7478793363083103</v>
      </c>
      <c r="F39" s="36">
        <f>MAX('BATS 2023 TLFD'!M27,0.0001)</f>
        <v>3.5233097373702659E-4</v>
      </c>
      <c r="G39" s="45">
        <f>modeldata!B27/modeldata!B$156</f>
        <v>6.6666666666666671E-3</v>
      </c>
      <c r="H39" s="48">
        <f t="shared" si="21"/>
        <v>17.921602594163481</v>
      </c>
      <c r="I39" s="49">
        <f t="shared" si="0"/>
        <v>0</v>
      </c>
      <c r="J39" s="50">
        <f t="shared" si="1"/>
        <v>0</v>
      </c>
      <c r="K39" s="51">
        <f t="shared" si="2"/>
        <v>-6.7478793363083103</v>
      </c>
      <c r="L39" s="52">
        <f t="shared" si="58"/>
        <v>-0.21370826062045095</v>
      </c>
      <c r="M39" s="58">
        <f t="shared" si="30"/>
        <v>-6.7478793363083103</v>
      </c>
      <c r="O39" s="39" t="s">
        <v>24</v>
      </c>
      <c r="P39" s="21">
        <f t="shared" si="59"/>
        <v>-0.18324871283782601</v>
      </c>
      <c r="Q39" s="23">
        <f t="shared" si="31"/>
        <v>-4.9951079472443585</v>
      </c>
      <c r="R39" s="36">
        <f>MAX('BATS 2023 TLFD'!N27,0.0001)</f>
        <v>4.2146140580142543E-4</v>
      </c>
      <c r="S39" s="45">
        <f>modeldata!C27/modeldata!C$156</f>
        <v>6.6666666666666671E-3</v>
      </c>
      <c r="T39" s="48">
        <f t="shared" si="22"/>
        <v>14.817976628227058</v>
      </c>
      <c r="U39" s="49">
        <f t="shared" si="3"/>
        <v>0</v>
      </c>
      <c r="V39" s="50">
        <f t="shared" si="4"/>
        <v>0</v>
      </c>
      <c r="W39" s="51">
        <f t="shared" si="5"/>
        <v>-4.9951079472443585</v>
      </c>
      <c r="X39" s="52">
        <f t="shared" si="60"/>
        <v>-0.18324871283782598</v>
      </c>
      <c r="Y39" s="58">
        <f t="shared" si="32"/>
        <v>-4.9951079472443585</v>
      </c>
      <c r="AA39" s="39" t="s">
        <v>24</v>
      </c>
      <c r="AB39" s="21">
        <f t="shared" si="61"/>
        <v>-0.10927638842708701</v>
      </c>
      <c r="AC39" s="23">
        <f t="shared" si="33"/>
        <v>-3.7834695099349722</v>
      </c>
      <c r="AD39" s="36">
        <f>MAX('BATS 2023 TLFD'!O27,0.0001)</f>
        <v>1.0426119700617685E-3</v>
      </c>
      <c r="AE39" s="45">
        <f>modeldata!D27/modeldata!D$156</f>
        <v>6.6666666666666671E-3</v>
      </c>
      <c r="AF39" s="48">
        <f t="shared" si="23"/>
        <v>5.3941973218202239</v>
      </c>
      <c r="AG39" s="49">
        <f t="shared" si="6"/>
        <v>0</v>
      </c>
      <c r="AH39" s="50">
        <f t="shared" si="7"/>
        <v>0</v>
      </c>
      <c r="AI39" s="51">
        <f t="shared" si="8"/>
        <v>-3.7834695099349722</v>
      </c>
      <c r="AJ39" s="52">
        <f t="shared" si="62"/>
        <v>-0.10927638842708705</v>
      </c>
      <c r="AK39" s="58">
        <f t="shared" si="34"/>
        <v>-3.7834695099349718</v>
      </c>
      <c r="AM39" s="39" t="s">
        <v>24</v>
      </c>
      <c r="AN39" s="21">
        <f t="shared" si="63"/>
        <v>-0.123766678676451</v>
      </c>
      <c r="AO39" s="23">
        <f t="shared" si="35"/>
        <v>-4.3070798544144235</v>
      </c>
      <c r="AP39" s="36">
        <f>MAX('BATS 2023 TLFD'!P27,0.0001)</f>
        <v>7.3889525643626431E-4</v>
      </c>
      <c r="AQ39" s="45">
        <f>modeldata!E27/modeldata!E$156</f>
        <v>6.6666666666666671E-3</v>
      </c>
      <c r="AR39" s="48">
        <f t="shared" si="24"/>
        <v>8.02247863766293</v>
      </c>
      <c r="AS39" s="49">
        <f t="shared" si="9"/>
        <v>0</v>
      </c>
      <c r="AT39" s="50">
        <f t="shared" si="10"/>
        <v>0</v>
      </c>
      <c r="AU39" s="51">
        <f t="shared" si="11"/>
        <v>-4.3070798544144235</v>
      </c>
      <c r="AV39" s="52">
        <f t="shared" si="64"/>
        <v>-0.12376667867645086</v>
      </c>
      <c r="AW39" s="58">
        <f t="shared" si="36"/>
        <v>-4.3070798544144235</v>
      </c>
      <c r="AY39" s="39" t="s">
        <v>24</v>
      </c>
      <c r="AZ39" s="21">
        <f t="shared" si="65"/>
        <v>-0.13060067927808</v>
      </c>
      <c r="BA39" s="23">
        <f t="shared" si="37"/>
        <v>-4.9644759437967174</v>
      </c>
      <c r="BB39" s="36">
        <f>MAX('BATS 2023 TLFD'!Q27,0.0001)</f>
        <v>2.8615968143228877E-4</v>
      </c>
      <c r="BC39" s="45">
        <f>modeldata!F27/modeldata!F$156</f>
        <v>6.6666666666666671E-3</v>
      </c>
      <c r="BD39" s="48">
        <f t="shared" si="25"/>
        <v>22.297015964298719</v>
      </c>
      <c r="BE39" s="49">
        <f t="shared" si="12"/>
        <v>0</v>
      </c>
      <c r="BF39" s="50">
        <f t="shared" si="13"/>
        <v>0</v>
      </c>
      <c r="BG39" s="51">
        <f t="shared" si="14"/>
        <v>-4.9644759437967174</v>
      </c>
      <c r="BH39" s="52">
        <f t="shared" si="66"/>
        <v>-0.13060067927808028</v>
      </c>
      <c r="BI39" s="58">
        <f t="shared" si="38"/>
        <v>-4.9644759437967174</v>
      </c>
      <c r="BK39" s="39" t="s">
        <v>24</v>
      </c>
      <c r="BL39" s="21">
        <f t="shared" si="67"/>
        <v>-0.119295888721189</v>
      </c>
      <c r="BM39" s="23">
        <f t="shared" si="39"/>
        <v>-3.9692193753537057</v>
      </c>
      <c r="BN39" s="36">
        <f>MAX('BATS 2023 TLFD'!R27,0.0001)</f>
        <v>5.6778746666050484E-3</v>
      </c>
      <c r="BO39" s="45">
        <f>modeldata!G27/modeldata!G$156</f>
        <v>6.6666666666666671E-3</v>
      </c>
      <c r="BP39" s="48">
        <f t="shared" si="26"/>
        <v>0.17414826112265061</v>
      </c>
      <c r="BQ39" s="49">
        <f t="shared" si="15"/>
        <v>0</v>
      </c>
      <c r="BR39" s="50">
        <f t="shared" si="16"/>
        <v>0</v>
      </c>
      <c r="BS39" s="51">
        <f t="shared" si="17"/>
        <v>-3.9692193753537057</v>
      </c>
      <c r="BT39" s="52">
        <f t="shared" si="68"/>
        <v>-0.11929588872118897</v>
      </c>
      <c r="BU39" s="58">
        <f t="shared" si="40"/>
        <v>-3.9692193753537053</v>
      </c>
      <c r="BW39" s="39" t="s">
        <v>24</v>
      </c>
      <c r="BX39" s="21">
        <f t="shared" si="69"/>
        <v>-0.204473452523388</v>
      </c>
      <c r="BY39" s="23">
        <f t="shared" si="41"/>
        <v>-6.8247843955111716</v>
      </c>
      <c r="BZ39" s="36">
        <f>MAX('BATS 2023 TLFD'!S27,0.0001)</f>
        <v>1E-4</v>
      </c>
      <c r="CA39" s="45">
        <f>modeldata!H27/modeldata!H$156</f>
        <v>6.6666666666666671E-3</v>
      </c>
      <c r="CB39" s="48">
        <f t="shared" si="27"/>
        <v>65.666666666666671</v>
      </c>
      <c r="CC39" s="49">
        <f t="shared" si="18"/>
        <v>0</v>
      </c>
      <c r="CD39" s="50">
        <f t="shared" si="19"/>
        <v>0</v>
      </c>
      <c r="CE39" s="51">
        <f t="shared" si="20"/>
        <v>-6.8247843955111716</v>
      </c>
      <c r="CF39" s="52">
        <f t="shared" si="70"/>
        <v>-0.20447345252338778</v>
      </c>
      <c r="CG39" s="58">
        <f t="shared" si="42"/>
        <v>-6.8247843955111716</v>
      </c>
    </row>
    <row r="40" spans="1:85" x14ac:dyDescent="0.25">
      <c r="A40" s="81">
        <f t="shared" si="28"/>
        <v>24.5</v>
      </c>
      <c r="B40" s="83">
        <f t="shared" si="28"/>
        <v>24</v>
      </c>
      <c r="C40" s="39" t="s">
        <v>25</v>
      </c>
      <c r="D40" s="21">
        <f t="shared" si="57"/>
        <v>-0.21370826062045101</v>
      </c>
      <c r="E40" s="23">
        <f t="shared" si="29"/>
        <v>-6.9615875969287613</v>
      </c>
      <c r="F40" s="36">
        <f>MAX('BATS 2023 TLFD'!M28,0.0001)</f>
        <v>3.8958226087211772E-4</v>
      </c>
      <c r="G40" s="45">
        <f>modeldata!B28/modeldata!B$156</f>
        <v>6.6666666666666671E-3</v>
      </c>
      <c r="H40" s="48">
        <f t="shared" si="21"/>
        <v>16.112346572820556</v>
      </c>
      <c r="I40" s="49">
        <f t="shared" si="0"/>
        <v>0</v>
      </c>
      <c r="J40" s="50">
        <f t="shared" si="1"/>
        <v>0</v>
      </c>
      <c r="K40" s="51">
        <f t="shared" si="2"/>
        <v>-6.9615875969287613</v>
      </c>
      <c r="L40" s="52">
        <f t="shared" si="58"/>
        <v>-0.21370826062045095</v>
      </c>
      <c r="M40" s="58">
        <f t="shared" si="30"/>
        <v>-6.9615875969287613</v>
      </c>
      <c r="O40" s="39" t="s">
        <v>25</v>
      </c>
      <c r="P40" s="21">
        <f t="shared" si="59"/>
        <v>-0.18324871283782601</v>
      </c>
      <c r="Q40" s="23">
        <f t="shared" si="31"/>
        <v>-5.1783566600821844</v>
      </c>
      <c r="R40" s="36">
        <f>MAX('BATS 2023 TLFD'!N28,0.0001)</f>
        <v>2.9739330878039297E-3</v>
      </c>
      <c r="S40" s="45">
        <f>modeldata!C28/modeldata!C$156</f>
        <v>6.6666666666666671E-3</v>
      </c>
      <c r="T40" s="48">
        <f t="shared" si="22"/>
        <v>1.2417002904357874</v>
      </c>
      <c r="U40" s="49">
        <f t="shared" si="3"/>
        <v>0</v>
      </c>
      <c r="V40" s="50">
        <f t="shared" si="4"/>
        <v>0</v>
      </c>
      <c r="W40" s="51">
        <f t="shared" si="5"/>
        <v>-5.1783566600821844</v>
      </c>
      <c r="X40" s="52">
        <f t="shared" si="60"/>
        <v>-0.18324871283782598</v>
      </c>
      <c r="Y40" s="58">
        <f t="shared" si="32"/>
        <v>-5.1783566600821844</v>
      </c>
      <c r="AA40" s="39" t="s">
        <v>25</v>
      </c>
      <c r="AB40" s="21">
        <f t="shared" si="61"/>
        <v>-0.10927638842708701</v>
      </c>
      <c r="AC40" s="23">
        <f t="shared" si="33"/>
        <v>-3.8927458983620591</v>
      </c>
      <c r="AD40" s="36">
        <f>MAX('BATS 2023 TLFD'!O28,0.0001)</f>
        <v>1.6393253373031783E-3</v>
      </c>
      <c r="AE40" s="45">
        <f>modeldata!D28/modeldata!D$156</f>
        <v>6.6666666666666671E-3</v>
      </c>
      <c r="AF40" s="48">
        <f t="shared" si="23"/>
        <v>3.0667136138052187</v>
      </c>
      <c r="AG40" s="49">
        <f t="shared" si="6"/>
        <v>0</v>
      </c>
      <c r="AH40" s="50">
        <f t="shared" si="7"/>
        <v>0</v>
      </c>
      <c r="AI40" s="51">
        <f t="shared" si="8"/>
        <v>-3.8927458983620591</v>
      </c>
      <c r="AJ40" s="52">
        <f t="shared" si="62"/>
        <v>-0.10927638842708705</v>
      </c>
      <c r="AK40" s="58">
        <f t="shared" si="34"/>
        <v>-3.8927458983620586</v>
      </c>
      <c r="AM40" s="39" t="s">
        <v>25</v>
      </c>
      <c r="AN40" s="21">
        <f t="shared" si="63"/>
        <v>-0.123766678676451</v>
      </c>
      <c r="AO40" s="23">
        <f t="shared" si="35"/>
        <v>-4.4308465330908744</v>
      </c>
      <c r="AP40" s="36">
        <f>MAX('BATS 2023 TLFD'!P28,0.0001)</f>
        <v>4.2072095940899144E-3</v>
      </c>
      <c r="AQ40" s="45">
        <f>modeldata!E28/modeldata!E$156</f>
        <v>6.6666666666666671E-3</v>
      </c>
      <c r="AR40" s="48">
        <f t="shared" si="24"/>
        <v>0.58458154212989044</v>
      </c>
      <c r="AS40" s="49">
        <f t="shared" si="9"/>
        <v>0</v>
      </c>
      <c r="AT40" s="50">
        <f t="shared" si="10"/>
        <v>0</v>
      </c>
      <c r="AU40" s="51">
        <f t="shared" si="11"/>
        <v>-4.4308465330908744</v>
      </c>
      <c r="AV40" s="52">
        <f t="shared" si="64"/>
        <v>-0.12376667867645086</v>
      </c>
      <c r="AW40" s="58">
        <f t="shared" si="36"/>
        <v>-4.4308465330908744</v>
      </c>
      <c r="AY40" s="39" t="s">
        <v>25</v>
      </c>
      <c r="AZ40" s="21">
        <f t="shared" si="65"/>
        <v>-0.13060067927808</v>
      </c>
      <c r="BA40" s="23">
        <f t="shared" si="37"/>
        <v>-5.0950766230747977</v>
      </c>
      <c r="BB40" s="36">
        <f>MAX('BATS 2023 TLFD'!Q28,0.0001)</f>
        <v>4.1136474386631382E-4</v>
      </c>
      <c r="BC40" s="45">
        <f>modeldata!F28/modeldata!F$156</f>
        <v>6.6666666666666671E-3</v>
      </c>
      <c r="BD40" s="48">
        <f t="shared" si="25"/>
        <v>15.206217878587122</v>
      </c>
      <c r="BE40" s="49">
        <f t="shared" si="12"/>
        <v>0</v>
      </c>
      <c r="BF40" s="50">
        <f t="shared" si="13"/>
        <v>0</v>
      </c>
      <c r="BG40" s="51">
        <f t="shared" si="14"/>
        <v>-5.0950766230747977</v>
      </c>
      <c r="BH40" s="52">
        <f t="shared" si="66"/>
        <v>-0.13060067927808028</v>
      </c>
      <c r="BI40" s="58">
        <f t="shared" si="38"/>
        <v>-5.0950766230747977</v>
      </c>
      <c r="BK40" s="39" t="s">
        <v>25</v>
      </c>
      <c r="BL40" s="21">
        <f t="shared" si="67"/>
        <v>-0.119295888721189</v>
      </c>
      <c r="BM40" s="23">
        <f t="shared" si="39"/>
        <v>-4.0885152640748945</v>
      </c>
      <c r="BN40" s="36">
        <f>MAX('BATS 2023 TLFD'!R28,0.0001)</f>
        <v>7.1937064760549171E-3</v>
      </c>
      <c r="BO40" s="45">
        <f>modeldata!G28/modeldata!G$156</f>
        <v>6.6666666666666671E-3</v>
      </c>
      <c r="BP40" s="48">
        <f t="shared" si="26"/>
        <v>-7.326401364061251E-2</v>
      </c>
      <c r="BQ40" s="49">
        <f t="shared" si="15"/>
        <v>0</v>
      </c>
      <c r="BR40" s="50">
        <f t="shared" si="16"/>
        <v>0</v>
      </c>
      <c r="BS40" s="51">
        <f t="shared" si="17"/>
        <v>-4.0885152640748945</v>
      </c>
      <c r="BT40" s="52">
        <f t="shared" si="68"/>
        <v>-0.11929588872118897</v>
      </c>
      <c r="BU40" s="58">
        <f t="shared" si="40"/>
        <v>-4.0885152640748945</v>
      </c>
      <c r="BW40" s="39" t="s">
        <v>25</v>
      </c>
      <c r="BX40" s="21">
        <f t="shared" si="69"/>
        <v>-0.204473452523388</v>
      </c>
      <c r="BY40" s="23">
        <f t="shared" si="41"/>
        <v>-7.0292578480345593</v>
      </c>
      <c r="BZ40" s="36">
        <f>MAX('BATS 2023 TLFD'!S28,0.0001)</f>
        <v>1E-4</v>
      </c>
      <c r="CA40" s="45">
        <f>modeldata!H28/modeldata!H$156</f>
        <v>6.6666666666666671E-3</v>
      </c>
      <c r="CB40" s="48">
        <f t="shared" si="27"/>
        <v>65.666666666666671</v>
      </c>
      <c r="CC40" s="49">
        <f t="shared" si="18"/>
        <v>0</v>
      </c>
      <c r="CD40" s="50">
        <f t="shared" si="19"/>
        <v>0</v>
      </c>
      <c r="CE40" s="51">
        <f t="shared" si="20"/>
        <v>-7.0292578480345593</v>
      </c>
      <c r="CF40" s="52">
        <f t="shared" si="70"/>
        <v>-0.20447345252338778</v>
      </c>
      <c r="CG40" s="58">
        <f t="shared" si="42"/>
        <v>-7.0292578480345593</v>
      </c>
    </row>
    <row r="41" spans="1:85" x14ac:dyDescent="0.25">
      <c r="A41" s="81">
        <f t="shared" si="28"/>
        <v>25.5</v>
      </c>
      <c r="B41" s="83">
        <f t="shared" si="28"/>
        <v>25</v>
      </c>
      <c r="C41" s="39" t="s">
        <v>26</v>
      </c>
      <c r="D41" s="21">
        <f t="shared" si="57"/>
        <v>-0.21370826062045101</v>
      </c>
      <c r="E41" s="23">
        <f t="shared" si="29"/>
        <v>-7.1752958575492123</v>
      </c>
      <c r="F41" s="36">
        <f>MAX('BATS 2023 TLFD'!M29,0.0001)</f>
        <v>4.90217878819431E-4</v>
      </c>
      <c r="G41" s="45">
        <f>modeldata!B29/modeldata!B$156</f>
        <v>6.6666666666666671E-3</v>
      </c>
      <c r="H41" s="48">
        <f t="shared" si="21"/>
        <v>12.599395196930988</v>
      </c>
      <c r="I41" s="49">
        <f t="shared" si="0"/>
        <v>0</v>
      </c>
      <c r="J41" s="50">
        <f t="shared" si="1"/>
        <v>0</v>
      </c>
      <c r="K41" s="51">
        <f t="shared" si="2"/>
        <v>-7.1752958575492123</v>
      </c>
      <c r="L41" s="52">
        <f t="shared" si="58"/>
        <v>-0.21370826062045095</v>
      </c>
      <c r="M41" s="58">
        <f t="shared" si="30"/>
        <v>-7.1752958575492123</v>
      </c>
      <c r="O41" s="39" t="s">
        <v>26</v>
      </c>
      <c r="P41" s="21">
        <f t="shared" si="59"/>
        <v>-0.18324871283782601</v>
      </c>
      <c r="Q41" s="23">
        <f t="shared" si="31"/>
        <v>-5.3616053729200104</v>
      </c>
      <c r="R41" s="36">
        <f>MAX('BATS 2023 TLFD'!N29,0.0001)</f>
        <v>2.1952335942103406E-4</v>
      </c>
      <c r="S41" s="45">
        <f>modeldata!C29/modeldata!C$156</f>
        <v>6.6666666666666671E-3</v>
      </c>
      <c r="T41" s="48">
        <f t="shared" si="22"/>
        <v>29.368825824500785</v>
      </c>
      <c r="U41" s="49">
        <f t="shared" si="3"/>
        <v>0</v>
      </c>
      <c r="V41" s="50">
        <f t="shared" si="4"/>
        <v>0</v>
      </c>
      <c r="W41" s="51">
        <f t="shared" si="5"/>
        <v>-5.3616053729200104</v>
      </c>
      <c r="X41" s="52">
        <f t="shared" si="60"/>
        <v>-0.18324871283782598</v>
      </c>
      <c r="Y41" s="58">
        <f t="shared" si="32"/>
        <v>-5.3616053729200104</v>
      </c>
      <c r="AA41" s="39" t="s">
        <v>26</v>
      </c>
      <c r="AB41" s="21">
        <f t="shared" si="61"/>
        <v>-0.10927638842708701</v>
      </c>
      <c r="AC41" s="23">
        <f t="shared" si="33"/>
        <v>-4.0020222867891464</v>
      </c>
      <c r="AD41" s="36">
        <f>MAX('BATS 2023 TLFD'!O29,0.0001)</f>
        <v>6.9600182050286877E-3</v>
      </c>
      <c r="AE41" s="45">
        <f>modeldata!D29/modeldata!D$156</f>
        <v>6.6666666666666671E-3</v>
      </c>
      <c r="AF41" s="48">
        <f t="shared" si="23"/>
        <v>-4.2148099289463205E-2</v>
      </c>
      <c r="AG41" s="49">
        <f t="shared" si="6"/>
        <v>0</v>
      </c>
      <c r="AH41" s="50">
        <f t="shared" si="7"/>
        <v>0</v>
      </c>
      <c r="AI41" s="51">
        <f t="shared" si="8"/>
        <v>-4.0020222867891464</v>
      </c>
      <c r="AJ41" s="52">
        <f t="shared" si="62"/>
        <v>-0.10927638842708705</v>
      </c>
      <c r="AK41" s="58">
        <f t="shared" si="34"/>
        <v>-4.0020222867891455</v>
      </c>
      <c r="AM41" s="39" t="s">
        <v>26</v>
      </c>
      <c r="AN41" s="21">
        <f t="shared" si="63"/>
        <v>-0.123766678676451</v>
      </c>
      <c r="AO41" s="23">
        <f t="shared" si="35"/>
        <v>-4.5546132117673253</v>
      </c>
      <c r="AP41" s="36">
        <f>MAX('BATS 2023 TLFD'!P29,0.0001)</f>
        <v>1E-4</v>
      </c>
      <c r="AQ41" s="45">
        <f>modeldata!E29/modeldata!E$156</f>
        <v>6.6666666666666671E-3</v>
      </c>
      <c r="AR41" s="48">
        <f t="shared" si="24"/>
        <v>65.666666666666671</v>
      </c>
      <c r="AS41" s="49">
        <f t="shared" si="9"/>
        <v>0</v>
      </c>
      <c r="AT41" s="50">
        <f t="shared" si="10"/>
        <v>0</v>
      </c>
      <c r="AU41" s="51">
        <f t="shared" si="11"/>
        <v>-4.5546132117673253</v>
      </c>
      <c r="AV41" s="52">
        <f t="shared" si="64"/>
        <v>-0.12376667867645086</v>
      </c>
      <c r="AW41" s="58">
        <f t="shared" si="36"/>
        <v>-4.5546132117673253</v>
      </c>
      <c r="AY41" s="39" t="s">
        <v>26</v>
      </c>
      <c r="AZ41" s="21">
        <f t="shared" si="65"/>
        <v>-0.13060067927808</v>
      </c>
      <c r="BA41" s="23">
        <f t="shared" si="37"/>
        <v>-5.225677302352878</v>
      </c>
      <c r="BB41" s="36">
        <f>MAX('BATS 2023 TLFD'!Q29,0.0001)</f>
        <v>2.9383035397908333E-3</v>
      </c>
      <c r="BC41" s="45">
        <f>modeldata!F29/modeldata!F$156</f>
        <v>6.6666666666666671E-3</v>
      </c>
      <c r="BD41" s="48">
        <f t="shared" si="25"/>
        <v>1.2688829034801632</v>
      </c>
      <c r="BE41" s="49">
        <f t="shared" si="12"/>
        <v>0</v>
      </c>
      <c r="BF41" s="50">
        <f t="shared" si="13"/>
        <v>0</v>
      </c>
      <c r="BG41" s="51">
        <f t="shared" si="14"/>
        <v>-5.225677302352878</v>
      </c>
      <c r="BH41" s="52">
        <f t="shared" si="66"/>
        <v>-0.13060067927808028</v>
      </c>
      <c r="BI41" s="58">
        <f t="shared" si="38"/>
        <v>-5.225677302352878</v>
      </c>
      <c r="BK41" s="39" t="s">
        <v>26</v>
      </c>
      <c r="BL41" s="21">
        <f t="shared" si="67"/>
        <v>-0.119295888721189</v>
      </c>
      <c r="BM41" s="23">
        <f t="shared" si="39"/>
        <v>-4.2078111527960838</v>
      </c>
      <c r="BN41" s="36">
        <f>MAX('BATS 2023 TLFD'!R29,0.0001)</f>
        <v>2.0942905093009039E-3</v>
      </c>
      <c r="BO41" s="45">
        <f>modeldata!G29/modeldata!G$156</f>
        <v>6.6666666666666671E-3</v>
      </c>
      <c r="BP41" s="48">
        <f t="shared" si="26"/>
        <v>2.1832578322154887</v>
      </c>
      <c r="BQ41" s="49">
        <f t="shared" si="15"/>
        <v>0</v>
      </c>
      <c r="BR41" s="50">
        <f t="shared" si="16"/>
        <v>0</v>
      </c>
      <c r="BS41" s="51">
        <f t="shared" si="17"/>
        <v>-4.2078111527960838</v>
      </c>
      <c r="BT41" s="52">
        <f t="shared" si="68"/>
        <v>-0.11929588872118897</v>
      </c>
      <c r="BU41" s="58">
        <f t="shared" si="40"/>
        <v>-4.2078111527960838</v>
      </c>
      <c r="BW41" s="39" t="s">
        <v>26</v>
      </c>
      <c r="BX41" s="21">
        <f t="shared" si="69"/>
        <v>-0.204473452523388</v>
      </c>
      <c r="BY41" s="23">
        <f t="shared" si="41"/>
        <v>-7.2337313005579471</v>
      </c>
      <c r="BZ41" s="36">
        <f>MAX('BATS 2023 TLFD'!S29,0.0001)</f>
        <v>1E-4</v>
      </c>
      <c r="CA41" s="45">
        <f>modeldata!H29/modeldata!H$156</f>
        <v>6.6666666666666671E-3</v>
      </c>
      <c r="CB41" s="48">
        <f t="shared" si="27"/>
        <v>65.666666666666671</v>
      </c>
      <c r="CC41" s="49">
        <f t="shared" si="18"/>
        <v>0</v>
      </c>
      <c r="CD41" s="50">
        <f t="shared" si="19"/>
        <v>0</v>
      </c>
      <c r="CE41" s="51">
        <f t="shared" si="20"/>
        <v>-7.2337313005579471</v>
      </c>
      <c r="CF41" s="52">
        <f t="shared" si="70"/>
        <v>-0.20447345252338778</v>
      </c>
      <c r="CG41" s="58">
        <f t="shared" si="42"/>
        <v>-7.2337313005579471</v>
      </c>
    </row>
    <row r="42" spans="1:85" x14ac:dyDescent="0.25">
      <c r="A42" s="81">
        <f t="shared" si="28"/>
        <v>26.5</v>
      </c>
      <c r="B42" s="83">
        <f t="shared" si="28"/>
        <v>26</v>
      </c>
      <c r="C42" s="39" t="s">
        <v>27</v>
      </c>
      <c r="D42" s="21">
        <f t="shared" si="57"/>
        <v>-0.21370826062045101</v>
      </c>
      <c r="E42" s="23">
        <f t="shared" si="29"/>
        <v>-7.3890041181696633</v>
      </c>
      <c r="F42" s="36">
        <f>MAX('BATS 2023 TLFD'!M30,0.0001)</f>
        <v>1.4026550813090366E-3</v>
      </c>
      <c r="G42" s="45">
        <f>modeldata!B30/modeldata!B$156</f>
        <v>6.6666666666666671E-3</v>
      </c>
      <c r="H42" s="48">
        <f t="shared" si="21"/>
        <v>3.7528909676389999</v>
      </c>
      <c r="I42" s="49">
        <f t="shared" si="0"/>
        <v>0</v>
      </c>
      <c r="J42" s="50">
        <f t="shared" si="1"/>
        <v>0</v>
      </c>
      <c r="K42" s="51">
        <f t="shared" si="2"/>
        <v>-7.3890041181696633</v>
      </c>
      <c r="L42" s="52">
        <f t="shared" si="58"/>
        <v>-0.21370826062045095</v>
      </c>
      <c r="M42" s="58">
        <f t="shared" si="30"/>
        <v>-7.3890041181696633</v>
      </c>
      <c r="O42" s="39" t="s">
        <v>27</v>
      </c>
      <c r="P42" s="21">
        <f t="shared" si="59"/>
        <v>-0.18324871283782601</v>
      </c>
      <c r="Q42" s="23">
        <f t="shared" si="31"/>
        <v>-5.5448540857578363</v>
      </c>
      <c r="R42" s="36">
        <f>MAX('BATS 2023 TLFD'!N30,0.0001)</f>
        <v>1E-4</v>
      </c>
      <c r="S42" s="45">
        <f>modeldata!C30/modeldata!C$156</f>
        <v>6.6666666666666671E-3</v>
      </c>
      <c r="T42" s="48">
        <f t="shared" si="22"/>
        <v>65.666666666666671</v>
      </c>
      <c r="U42" s="49">
        <f t="shared" si="3"/>
        <v>0</v>
      </c>
      <c r="V42" s="50">
        <f t="shared" si="4"/>
        <v>0</v>
      </c>
      <c r="W42" s="51">
        <f t="shared" si="5"/>
        <v>-5.5448540857578363</v>
      </c>
      <c r="X42" s="52">
        <f t="shared" si="60"/>
        <v>-0.18324871283782598</v>
      </c>
      <c r="Y42" s="58">
        <f t="shared" si="32"/>
        <v>-5.5448540857578363</v>
      </c>
      <c r="AA42" s="39" t="s">
        <v>27</v>
      </c>
      <c r="AB42" s="21">
        <f t="shared" si="61"/>
        <v>-0.10927638842708701</v>
      </c>
      <c r="AC42" s="23">
        <f t="shared" si="33"/>
        <v>-4.1112986752162337</v>
      </c>
      <c r="AD42" s="36">
        <f>MAX('BATS 2023 TLFD'!O30,0.0001)</f>
        <v>6.108826174858935E-3</v>
      </c>
      <c r="AE42" s="45">
        <f>modeldata!D30/modeldata!D$156</f>
        <v>6.6666666666666671E-3</v>
      </c>
      <c r="AF42" s="48">
        <f t="shared" si="23"/>
        <v>9.131713292212211E-2</v>
      </c>
      <c r="AG42" s="49">
        <f t="shared" si="6"/>
        <v>0</v>
      </c>
      <c r="AH42" s="50">
        <f t="shared" si="7"/>
        <v>0</v>
      </c>
      <c r="AI42" s="51">
        <f t="shared" si="8"/>
        <v>-4.1112986752162337</v>
      </c>
      <c r="AJ42" s="52">
        <f t="shared" si="62"/>
        <v>-0.10927638842708705</v>
      </c>
      <c r="AK42" s="58">
        <f t="shared" si="34"/>
        <v>-4.1112986752162328</v>
      </c>
      <c r="AM42" s="39" t="s">
        <v>27</v>
      </c>
      <c r="AN42" s="21">
        <f t="shared" si="63"/>
        <v>-0.123766678676451</v>
      </c>
      <c r="AO42" s="23">
        <f t="shared" si="35"/>
        <v>-4.6783798904437761</v>
      </c>
      <c r="AP42" s="36">
        <f>MAX('BATS 2023 TLFD'!P30,0.0001)</f>
        <v>4.9866706929651259E-4</v>
      </c>
      <c r="AQ42" s="45">
        <f>modeldata!E30/modeldata!E$156</f>
        <v>6.6666666666666671E-3</v>
      </c>
      <c r="AR42" s="48">
        <f t="shared" si="24"/>
        <v>12.368973162939296</v>
      </c>
      <c r="AS42" s="49">
        <f t="shared" si="9"/>
        <v>0</v>
      </c>
      <c r="AT42" s="50">
        <f t="shared" si="10"/>
        <v>0</v>
      </c>
      <c r="AU42" s="51">
        <f t="shared" si="11"/>
        <v>-4.6783798904437761</v>
      </c>
      <c r="AV42" s="52">
        <f t="shared" si="64"/>
        <v>-0.12376667867645086</v>
      </c>
      <c r="AW42" s="58">
        <f t="shared" si="36"/>
        <v>-4.6783798904437761</v>
      </c>
      <c r="AY42" s="39" t="s">
        <v>27</v>
      </c>
      <c r="AZ42" s="21">
        <f t="shared" si="65"/>
        <v>-0.13060067927808</v>
      </c>
      <c r="BA42" s="23">
        <f t="shared" si="37"/>
        <v>-5.3562779816309583</v>
      </c>
      <c r="BB42" s="36">
        <f>MAX('BATS 2023 TLFD'!Q30,0.0001)</f>
        <v>1E-4</v>
      </c>
      <c r="BC42" s="45">
        <f>modeldata!F30/modeldata!F$156</f>
        <v>6.6666666666666671E-3</v>
      </c>
      <c r="BD42" s="48">
        <f t="shared" si="25"/>
        <v>65.666666666666671</v>
      </c>
      <c r="BE42" s="49">
        <f t="shared" si="12"/>
        <v>0</v>
      </c>
      <c r="BF42" s="50">
        <f t="shared" si="13"/>
        <v>0</v>
      </c>
      <c r="BG42" s="51">
        <f t="shared" si="14"/>
        <v>-5.3562779816309583</v>
      </c>
      <c r="BH42" s="52">
        <f t="shared" si="66"/>
        <v>-0.13060067927808028</v>
      </c>
      <c r="BI42" s="58">
        <f t="shared" si="38"/>
        <v>-5.3562779816309583</v>
      </c>
      <c r="BK42" s="39" t="s">
        <v>27</v>
      </c>
      <c r="BL42" s="21">
        <f t="shared" si="67"/>
        <v>-0.119295888721189</v>
      </c>
      <c r="BM42" s="23">
        <f t="shared" si="39"/>
        <v>-4.327107041517273</v>
      </c>
      <c r="BN42" s="36">
        <f>MAX('BATS 2023 TLFD'!R30,0.0001)</f>
        <v>2.6215492523231081E-3</v>
      </c>
      <c r="BO42" s="45">
        <f>modeldata!G30/modeldata!G$156</f>
        <v>6.6666666666666671E-3</v>
      </c>
      <c r="BP42" s="48">
        <f t="shared" si="26"/>
        <v>1.5430255261307577</v>
      </c>
      <c r="BQ42" s="49">
        <f t="shared" si="15"/>
        <v>0</v>
      </c>
      <c r="BR42" s="50">
        <f t="shared" si="16"/>
        <v>0</v>
      </c>
      <c r="BS42" s="51">
        <f t="shared" si="17"/>
        <v>-4.327107041517273</v>
      </c>
      <c r="BT42" s="52">
        <f t="shared" si="68"/>
        <v>-0.11929588872118897</v>
      </c>
      <c r="BU42" s="58">
        <f t="shared" si="40"/>
        <v>-4.327107041517273</v>
      </c>
      <c r="BW42" s="39" t="s">
        <v>27</v>
      </c>
      <c r="BX42" s="21">
        <f t="shared" si="69"/>
        <v>-0.204473452523388</v>
      </c>
      <c r="BY42" s="23">
        <f t="shared" si="41"/>
        <v>-7.4382047530813349</v>
      </c>
      <c r="BZ42" s="36">
        <f>MAX('BATS 2023 TLFD'!S30,0.0001)</f>
        <v>1E-4</v>
      </c>
      <c r="CA42" s="45">
        <f>modeldata!H30/modeldata!H$156</f>
        <v>6.6666666666666671E-3</v>
      </c>
      <c r="CB42" s="48">
        <f t="shared" si="27"/>
        <v>65.666666666666671</v>
      </c>
      <c r="CC42" s="49">
        <f t="shared" si="18"/>
        <v>0</v>
      </c>
      <c r="CD42" s="50">
        <f t="shared" si="19"/>
        <v>0</v>
      </c>
      <c r="CE42" s="51">
        <f t="shared" si="20"/>
        <v>-7.4382047530813349</v>
      </c>
      <c r="CF42" s="52">
        <f t="shared" si="70"/>
        <v>-0.20447345252338778</v>
      </c>
      <c r="CG42" s="58">
        <f t="shared" si="42"/>
        <v>-7.4382047530813349</v>
      </c>
    </row>
    <row r="43" spans="1:85" x14ac:dyDescent="0.25">
      <c r="A43" s="81">
        <f t="shared" si="28"/>
        <v>27.5</v>
      </c>
      <c r="B43" s="83">
        <f t="shared" si="28"/>
        <v>27</v>
      </c>
      <c r="C43" s="39" t="s">
        <v>28</v>
      </c>
      <c r="D43" s="21">
        <f t="shared" si="57"/>
        <v>-0.21370826062045101</v>
      </c>
      <c r="E43" s="23">
        <f t="shared" si="29"/>
        <v>-7.6027123787901143</v>
      </c>
      <c r="F43" s="36">
        <f>MAX('BATS 2023 TLFD'!M31,0.0001)</f>
        <v>4.0622939042009344E-3</v>
      </c>
      <c r="G43" s="45">
        <f>modeldata!B31/modeldata!B$156</f>
        <v>6.6666666666666671E-3</v>
      </c>
      <c r="H43" s="48">
        <f t="shared" si="21"/>
        <v>0.64110889657010695</v>
      </c>
      <c r="I43" s="49">
        <f t="shared" si="0"/>
        <v>0</v>
      </c>
      <c r="J43" s="50">
        <f t="shared" si="1"/>
        <v>0</v>
      </c>
      <c r="K43" s="51">
        <f t="shared" si="2"/>
        <v>-7.6027123787901143</v>
      </c>
      <c r="L43" s="52">
        <f t="shared" si="58"/>
        <v>-0.21370826062045095</v>
      </c>
      <c r="M43" s="58">
        <f t="shared" si="30"/>
        <v>-7.6027123787901143</v>
      </c>
      <c r="O43" s="39" t="s">
        <v>28</v>
      </c>
      <c r="P43" s="21">
        <f t="shared" si="59"/>
        <v>-0.18324871283782601</v>
      </c>
      <c r="Q43" s="23">
        <f t="shared" si="31"/>
        <v>-5.7281027985956623</v>
      </c>
      <c r="R43" s="36">
        <f>MAX('BATS 2023 TLFD'!N31,0.0001)</f>
        <v>7.1757062662197195E-3</v>
      </c>
      <c r="S43" s="45">
        <f>modeldata!C31/modeldata!C$156</f>
        <v>6.6666666666666671E-3</v>
      </c>
      <c r="T43" s="48">
        <f t="shared" si="22"/>
        <v>-7.0939302790221773E-2</v>
      </c>
      <c r="U43" s="49">
        <f t="shared" si="3"/>
        <v>0</v>
      </c>
      <c r="V43" s="50">
        <f t="shared" si="4"/>
        <v>0</v>
      </c>
      <c r="W43" s="51">
        <f t="shared" si="5"/>
        <v>-5.7281027985956623</v>
      </c>
      <c r="X43" s="52">
        <f t="shared" si="60"/>
        <v>-0.18324871283782598</v>
      </c>
      <c r="Y43" s="58">
        <f t="shared" si="32"/>
        <v>-5.7281027985956623</v>
      </c>
      <c r="AA43" s="39" t="s">
        <v>28</v>
      </c>
      <c r="AB43" s="21">
        <f t="shared" si="61"/>
        <v>-0.10927638842708701</v>
      </c>
      <c r="AC43" s="23">
        <f t="shared" si="33"/>
        <v>-4.220575063643321</v>
      </c>
      <c r="AD43" s="36">
        <f>MAX('BATS 2023 TLFD'!O31,0.0001)</f>
        <v>9.6467070846390824E-4</v>
      </c>
      <c r="AE43" s="45">
        <f>modeldata!D31/modeldata!D$156</f>
        <v>6.6666666666666671E-3</v>
      </c>
      <c r="AF43" s="48">
        <f t="shared" si="23"/>
        <v>5.9108210793321616</v>
      </c>
      <c r="AG43" s="49">
        <f t="shared" si="6"/>
        <v>0</v>
      </c>
      <c r="AH43" s="50">
        <f t="shared" si="7"/>
        <v>0</v>
      </c>
      <c r="AI43" s="51">
        <f t="shared" si="8"/>
        <v>-4.220575063643321</v>
      </c>
      <c r="AJ43" s="52">
        <f t="shared" si="62"/>
        <v>-0.10927638842708705</v>
      </c>
      <c r="AK43" s="58">
        <f t="shared" si="34"/>
        <v>-4.2205750636433201</v>
      </c>
      <c r="AM43" s="39" t="s">
        <v>28</v>
      </c>
      <c r="AN43" s="21">
        <f t="shared" si="63"/>
        <v>-0.123766678676451</v>
      </c>
      <c r="AO43" s="23">
        <f t="shared" si="35"/>
        <v>-4.802146569120227</v>
      </c>
      <c r="AP43" s="36">
        <f>MAX('BATS 2023 TLFD'!P31,0.0001)</f>
        <v>8.9196738309032554E-3</v>
      </c>
      <c r="AQ43" s="45">
        <f>modeldata!E31/modeldata!E$156</f>
        <v>6.6666666666666671E-3</v>
      </c>
      <c r="AR43" s="48">
        <f t="shared" si="24"/>
        <v>-0.25258851466415522</v>
      </c>
      <c r="AS43" s="49">
        <f t="shared" si="9"/>
        <v>0</v>
      </c>
      <c r="AT43" s="50">
        <f t="shared" si="10"/>
        <v>0</v>
      </c>
      <c r="AU43" s="51">
        <f t="shared" si="11"/>
        <v>-4.802146569120227</v>
      </c>
      <c r="AV43" s="52">
        <f t="shared" si="64"/>
        <v>-0.12376667867645086</v>
      </c>
      <c r="AW43" s="58">
        <f t="shared" si="36"/>
        <v>-4.802146569120227</v>
      </c>
      <c r="AY43" s="39" t="s">
        <v>28</v>
      </c>
      <c r="AZ43" s="21">
        <f t="shared" si="65"/>
        <v>-0.13060067927808</v>
      </c>
      <c r="BA43" s="23">
        <f t="shared" si="37"/>
        <v>-5.4868786609090385</v>
      </c>
      <c r="BB43" s="36">
        <f>MAX('BATS 2023 TLFD'!Q31,0.0001)</f>
        <v>1.4913519301964469E-3</v>
      </c>
      <c r="BC43" s="45">
        <f>modeldata!F31/modeldata!F$156</f>
        <v>6.6666666666666671E-3</v>
      </c>
      <c r="BD43" s="48">
        <f t="shared" si="25"/>
        <v>3.4702169432191012</v>
      </c>
      <c r="BE43" s="49">
        <f t="shared" si="12"/>
        <v>0</v>
      </c>
      <c r="BF43" s="50">
        <f t="shared" si="13"/>
        <v>0</v>
      </c>
      <c r="BG43" s="51">
        <f t="shared" si="14"/>
        <v>-5.4868786609090385</v>
      </c>
      <c r="BH43" s="52">
        <f t="shared" si="66"/>
        <v>-0.13060067927808028</v>
      </c>
      <c r="BI43" s="58">
        <f t="shared" si="38"/>
        <v>-5.4868786609090385</v>
      </c>
      <c r="BK43" s="39" t="s">
        <v>28</v>
      </c>
      <c r="BL43" s="21">
        <f t="shared" si="67"/>
        <v>-0.119295888721189</v>
      </c>
      <c r="BM43" s="23">
        <f t="shared" si="39"/>
        <v>-4.4464029302384622</v>
      </c>
      <c r="BN43" s="36">
        <f>MAX('BATS 2023 TLFD'!R31,0.0001)</f>
        <v>4.0538603482963695E-3</v>
      </c>
      <c r="BO43" s="45">
        <f>modeldata!G31/modeldata!G$156</f>
        <v>6.6666666666666671E-3</v>
      </c>
      <c r="BP43" s="48">
        <f t="shared" si="26"/>
        <v>0.64452302099363801</v>
      </c>
      <c r="BQ43" s="49">
        <f t="shared" si="15"/>
        <v>0</v>
      </c>
      <c r="BR43" s="50">
        <f t="shared" si="16"/>
        <v>0</v>
      </c>
      <c r="BS43" s="51">
        <f t="shared" si="17"/>
        <v>-4.4464029302384622</v>
      </c>
      <c r="BT43" s="52">
        <f t="shared" si="68"/>
        <v>-0.11929588872118897</v>
      </c>
      <c r="BU43" s="58">
        <f t="shared" si="40"/>
        <v>-4.4464029302384622</v>
      </c>
      <c r="BW43" s="39" t="s">
        <v>28</v>
      </c>
      <c r="BX43" s="21">
        <f t="shared" si="69"/>
        <v>-0.204473452523388</v>
      </c>
      <c r="BY43" s="23">
        <f t="shared" si="41"/>
        <v>-7.6426782056047227</v>
      </c>
      <c r="BZ43" s="36">
        <f>MAX('BATS 2023 TLFD'!S31,0.0001)</f>
        <v>1E-4</v>
      </c>
      <c r="CA43" s="45">
        <f>modeldata!H31/modeldata!H$156</f>
        <v>6.6666666666666671E-3</v>
      </c>
      <c r="CB43" s="48">
        <f t="shared" si="27"/>
        <v>65.666666666666671</v>
      </c>
      <c r="CC43" s="49">
        <f t="shared" si="18"/>
        <v>0</v>
      </c>
      <c r="CD43" s="50">
        <f t="shared" si="19"/>
        <v>0</v>
      </c>
      <c r="CE43" s="51">
        <f t="shared" si="20"/>
        <v>-7.6426782056047227</v>
      </c>
      <c r="CF43" s="52">
        <f t="shared" si="70"/>
        <v>-0.20447345252338778</v>
      </c>
      <c r="CG43" s="58">
        <f t="shared" si="42"/>
        <v>-7.6426782056047227</v>
      </c>
    </row>
    <row r="44" spans="1:85" x14ac:dyDescent="0.25">
      <c r="A44" s="81">
        <f t="shared" si="28"/>
        <v>28.5</v>
      </c>
      <c r="B44" s="83">
        <f t="shared" si="28"/>
        <v>28</v>
      </c>
      <c r="C44" s="39" t="s">
        <v>29</v>
      </c>
      <c r="D44" s="21">
        <f t="shared" si="57"/>
        <v>-0.21370826062045101</v>
      </c>
      <c r="E44" s="23">
        <f t="shared" si="29"/>
        <v>-7.8164206394105653</v>
      </c>
      <c r="F44" s="36">
        <f>MAX('BATS 2023 TLFD'!M32,0.0001)</f>
        <v>1.6495482103157672E-3</v>
      </c>
      <c r="G44" s="45">
        <f>modeldata!B32/modeldata!B$156</f>
        <v>6.6666666666666671E-3</v>
      </c>
      <c r="H44" s="48">
        <f t="shared" si="21"/>
        <v>3.0415106542357382</v>
      </c>
      <c r="I44" s="49">
        <f t="shared" si="0"/>
        <v>0</v>
      </c>
      <c r="J44" s="50">
        <f t="shared" si="1"/>
        <v>0</v>
      </c>
      <c r="K44" s="51">
        <f t="shared" si="2"/>
        <v>-7.8164206394105653</v>
      </c>
      <c r="L44" s="52">
        <f t="shared" si="58"/>
        <v>-0.21370826062045095</v>
      </c>
      <c r="M44" s="58">
        <f t="shared" si="30"/>
        <v>-7.8164206394105653</v>
      </c>
      <c r="O44" s="39" t="s">
        <v>29</v>
      </c>
      <c r="P44" s="21">
        <f t="shared" si="59"/>
        <v>-0.18324871283782601</v>
      </c>
      <c r="Q44" s="23">
        <f t="shared" si="31"/>
        <v>-5.9113515114334882</v>
      </c>
      <c r="R44" s="36">
        <f>MAX('BATS 2023 TLFD'!N32,0.0001)</f>
        <v>6.5513518603906324E-3</v>
      </c>
      <c r="S44" s="45">
        <f>modeldata!C32/modeldata!C$156</f>
        <v>6.6666666666666671E-3</v>
      </c>
      <c r="T44" s="48">
        <f t="shared" si="22"/>
        <v>1.7601681108478717E-2</v>
      </c>
      <c r="U44" s="49">
        <f t="shared" si="3"/>
        <v>0</v>
      </c>
      <c r="V44" s="50">
        <f t="shared" si="4"/>
        <v>0</v>
      </c>
      <c r="W44" s="51">
        <f t="shared" si="5"/>
        <v>-5.9113515114334882</v>
      </c>
      <c r="X44" s="52">
        <f t="shared" si="60"/>
        <v>-0.18324871283782598</v>
      </c>
      <c r="Y44" s="58">
        <f t="shared" si="32"/>
        <v>-5.9113515114334882</v>
      </c>
      <c r="AA44" s="39" t="s">
        <v>29</v>
      </c>
      <c r="AB44" s="21">
        <f t="shared" si="61"/>
        <v>-0.10927638842708701</v>
      </c>
      <c r="AC44" s="23">
        <f t="shared" si="33"/>
        <v>-4.3298514520704083</v>
      </c>
      <c r="AD44" s="36">
        <f>MAX('BATS 2023 TLFD'!O32,0.0001)</f>
        <v>3.2749533665678153E-3</v>
      </c>
      <c r="AE44" s="45">
        <f>modeldata!D32/modeldata!D$156</f>
        <v>6.6666666666666671E-3</v>
      </c>
      <c r="AF44" s="48">
        <f t="shared" si="23"/>
        <v>1.0356523957632418</v>
      </c>
      <c r="AG44" s="49">
        <f t="shared" si="6"/>
        <v>0</v>
      </c>
      <c r="AH44" s="50">
        <f t="shared" si="7"/>
        <v>0</v>
      </c>
      <c r="AI44" s="51">
        <f t="shared" si="8"/>
        <v>-4.3298514520704083</v>
      </c>
      <c r="AJ44" s="52">
        <f t="shared" si="62"/>
        <v>-0.10927638842708705</v>
      </c>
      <c r="AK44" s="58">
        <f t="shared" si="34"/>
        <v>-4.3298514520704074</v>
      </c>
      <c r="AM44" s="39" t="s">
        <v>29</v>
      </c>
      <c r="AN44" s="21">
        <f t="shared" si="63"/>
        <v>-0.123766678676451</v>
      </c>
      <c r="AO44" s="23">
        <f t="shared" si="35"/>
        <v>-4.9259132477966778</v>
      </c>
      <c r="AP44" s="36">
        <f>MAX('BATS 2023 TLFD'!P32,0.0001)</f>
        <v>4.1887975087644532E-4</v>
      </c>
      <c r="AQ44" s="45">
        <f>modeldata!E32/modeldata!E$156</f>
        <v>6.6666666666666671E-3</v>
      </c>
      <c r="AR44" s="48">
        <f t="shared" si="24"/>
        <v>14.915466557449079</v>
      </c>
      <c r="AS44" s="49">
        <f t="shared" si="9"/>
        <v>0</v>
      </c>
      <c r="AT44" s="50">
        <f t="shared" si="10"/>
        <v>0</v>
      </c>
      <c r="AU44" s="51">
        <f t="shared" si="11"/>
        <v>-4.9259132477966778</v>
      </c>
      <c r="AV44" s="52">
        <f t="shared" si="64"/>
        <v>-0.12376667867645086</v>
      </c>
      <c r="AW44" s="58">
        <f t="shared" si="36"/>
        <v>-4.9259132477966778</v>
      </c>
      <c r="AY44" s="39" t="s">
        <v>29</v>
      </c>
      <c r="AZ44" s="21">
        <f t="shared" si="65"/>
        <v>-0.13060067927808</v>
      </c>
      <c r="BA44" s="23">
        <f t="shared" si="37"/>
        <v>-5.6174793401871188</v>
      </c>
      <c r="BB44" s="36">
        <f>MAX('BATS 2023 TLFD'!Q32,0.0001)</f>
        <v>7.5238547806241469E-4</v>
      </c>
      <c r="BC44" s="45">
        <f>modeldata!F32/modeldata!F$156</f>
        <v>6.6666666666666671E-3</v>
      </c>
      <c r="BD44" s="48">
        <f t="shared" si="25"/>
        <v>7.8607061952272677</v>
      </c>
      <c r="BE44" s="49">
        <f t="shared" si="12"/>
        <v>0</v>
      </c>
      <c r="BF44" s="50">
        <f t="shared" si="13"/>
        <v>0</v>
      </c>
      <c r="BG44" s="51">
        <f t="shared" si="14"/>
        <v>-5.6174793401871188</v>
      </c>
      <c r="BH44" s="52">
        <f t="shared" si="66"/>
        <v>-0.13060067927808028</v>
      </c>
      <c r="BI44" s="58">
        <f t="shared" si="38"/>
        <v>-5.6174793401871188</v>
      </c>
      <c r="BK44" s="39" t="s">
        <v>29</v>
      </c>
      <c r="BL44" s="21">
        <f t="shared" si="67"/>
        <v>-0.119295888721189</v>
      </c>
      <c r="BM44" s="23">
        <f t="shared" si="39"/>
        <v>-4.5656988189596515</v>
      </c>
      <c r="BN44" s="36">
        <f>MAX('BATS 2023 TLFD'!R32,0.0001)</f>
        <v>2.9850174401341208E-4</v>
      </c>
      <c r="BO44" s="45">
        <f>modeldata!G32/modeldata!G$156</f>
        <v>6.6666666666666671E-3</v>
      </c>
      <c r="BP44" s="48">
        <f t="shared" si="26"/>
        <v>21.333761193593311</v>
      </c>
      <c r="BQ44" s="49">
        <f t="shared" si="15"/>
        <v>0</v>
      </c>
      <c r="BR44" s="50">
        <f t="shared" si="16"/>
        <v>0</v>
      </c>
      <c r="BS44" s="51">
        <f t="shared" si="17"/>
        <v>-4.5656988189596515</v>
      </c>
      <c r="BT44" s="52">
        <f t="shared" si="68"/>
        <v>-0.11929588872118897</v>
      </c>
      <c r="BU44" s="58">
        <f t="shared" si="40"/>
        <v>-4.5656988189596515</v>
      </c>
      <c r="BW44" s="39" t="s">
        <v>29</v>
      </c>
      <c r="BX44" s="21">
        <f t="shared" si="69"/>
        <v>-0.204473452523388</v>
      </c>
      <c r="BY44" s="23">
        <f t="shared" si="41"/>
        <v>-7.8471516581281104</v>
      </c>
      <c r="BZ44" s="36">
        <f>MAX('BATS 2023 TLFD'!S32,0.0001)</f>
        <v>1E-4</v>
      </c>
      <c r="CA44" s="45">
        <f>modeldata!H32/modeldata!H$156</f>
        <v>6.6666666666666671E-3</v>
      </c>
      <c r="CB44" s="48">
        <f t="shared" si="27"/>
        <v>65.666666666666671</v>
      </c>
      <c r="CC44" s="49">
        <f t="shared" si="18"/>
        <v>0</v>
      </c>
      <c r="CD44" s="50">
        <f t="shared" si="19"/>
        <v>0</v>
      </c>
      <c r="CE44" s="51">
        <f t="shared" si="20"/>
        <v>-7.8471516581281104</v>
      </c>
      <c r="CF44" s="52">
        <f t="shared" si="70"/>
        <v>-0.20447345252338778</v>
      </c>
      <c r="CG44" s="58">
        <f t="shared" si="42"/>
        <v>-7.8471516581281104</v>
      </c>
    </row>
    <row r="45" spans="1:85" x14ac:dyDescent="0.25">
      <c r="A45" s="81">
        <f t="shared" si="28"/>
        <v>29.5</v>
      </c>
      <c r="B45" s="83">
        <f t="shared" si="28"/>
        <v>29</v>
      </c>
      <c r="C45" s="39" t="s">
        <v>30</v>
      </c>
      <c r="D45" s="21">
        <f t="shared" si="57"/>
        <v>-0.21370826062045101</v>
      </c>
      <c r="E45" s="23">
        <f t="shared" si="29"/>
        <v>-8.0301289000310163</v>
      </c>
      <c r="F45" s="36">
        <f>MAX('BATS 2023 TLFD'!M33,0.0001)</f>
        <v>2.0021530907314406E-4</v>
      </c>
      <c r="G45" s="45">
        <f>modeldata!B33/modeldata!B$156</f>
        <v>6.6666666666666671E-3</v>
      </c>
      <c r="H45" s="48">
        <f t="shared" si="21"/>
        <v>32.29748707792946</v>
      </c>
      <c r="I45" s="49">
        <f t="shared" si="0"/>
        <v>0</v>
      </c>
      <c r="J45" s="50">
        <f t="shared" si="1"/>
        <v>0</v>
      </c>
      <c r="K45" s="51">
        <f t="shared" si="2"/>
        <v>-8.0301289000310163</v>
      </c>
      <c r="L45" s="52">
        <f t="shared" si="58"/>
        <v>-0.21370826062045095</v>
      </c>
      <c r="M45" s="58">
        <f t="shared" si="30"/>
        <v>-8.0301289000310163</v>
      </c>
      <c r="O45" s="39" t="s">
        <v>30</v>
      </c>
      <c r="P45" s="21">
        <f t="shared" si="59"/>
        <v>-0.18324871283782601</v>
      </c>
      <c r="Q45" s="23">
        <f t="shared" si="31"/>
        <v>-6.0946002242713142</v>
      </c>
      <c r="R45" s="36">
        <f>MAX('BATS 2023 TLFD'!N33,0.0001)</f>
        <v>5.5553351531132072E-4</v>
      </c>
      <c r="S45" s="45">
        <f>modeldata!C33/modeldata!C$156</f>
        <v>6.6666666666666671E-3</v>
      </c>
      <c r="T45" s="48">
        <f t="shared" si="22"/>
        <v>11.000476088163051</v>
      </c>
      <c r="U45" s="49">
        <f t="shared" si="3"/>
        <v>0</v>
      </c>
      <c r="V45" s="50">
        <f t="shared" si="4"/>
        <v>0</v>
      </c>
      <c r="W45" s="51">
        <f t="shared" si="5"/>
        <v>-6.0946002242713142</v>
      </c>
      <c r="X45" s="52">
        <f t="shared" si="60"/>
        <v>-0.18324871283782598</v>
      </c>
      <c r="Y45" s="58">
        <f t="shared" si="32"/>
        <v>-6.0946002242713142</v>
      </c>
      <c r="AA45" s="39" t="s">
        <v>30</v>
      </c>
      <c r="AB45" s="21">
        <f t="shared" si="61"/>
        <v>-0.10927638842708701</v>
      </c>
      <c r="AC45" s="23">
        <f t="shared" si="33"/>
        <v>-4.4391278404974956</v>
      </c>
      <c r="AD45" s="36">
        <f>MAX('BATS 2023 TLFD'!O33,0.0001)</f>
        <v>4.8755046267384992E-4</v>
      </c>
      <c r="AE45" s="45">
        <f>modeldata!D33/modeldata!D$156</f>
        <v>6.6666666666666671E-3</v>
      </c>
      <c r="AF45" s="48">
        <f t="shared" si="23"/>
        <v>12.673798256912695</v>
      </c>
      <c r="AG45" s="49">
        <f t="shared" si="6"/>
        <v>0</v>
      </c>
      <c r="AH45" s="50">
        <f t="shared" si="7"/>
        <v>0</v>
      </c>
      <c r="AI45" s="51">
        <f t="shared" si="8"/>
        <v>-4.4391278404974956</v>
      </c>
      <c r="AJ45" s="52">
        <f t="shared" si="62"/>
        <v>-0.10927638842708705</v>
      </c>
      <c r="AK45" s="58">
        <f t="shared" si="34"/>
        <v>-4.4391278404974948</v>
      </c>
      <c r="AM45" s="39" t="s">
        <v>30</v>
      </c>
      <c r="AN45" s="21">
        <f t="shared" si="63"/>
        <v>-0.123766678676451</v>
      </c>
      <c r="AO45" s="23">
        <f t="shared" si="35"/>
        <v>-5.0496799264731287</v>
      </c>
      <c r="AP45" s="36">
        <f>MAX('BATS 2023 TLFD'!P33,0.0001)</f>
        <v>1.3834762381657911E-3</v>
      </c>
      <c r="AQ45" s="45">
        <f>modeldata!E33/modeldata!E$156</f>
        <v>6.6666666666666671E-3</v>
      </c>
      <c r="AR45" s="48">
        <f t="shared" si="24"/>
        <v>3.8187793058920292</v>
      </c>
      <c r="AS45" s="49">
        <f t="shared" si="9"/>
        <v>0</v>
      </c>
      <c r="AT45" s="50">
        <f t="shared" si="10"/>
        <v>0</v>
      </c>
      <c r="AU45" s="51">
        <f t="shared" si="11"/>
        <v>-5.0496799264731287</v>
      </c>
      <c r="AV45" s="52">
        <f t="shared" si="64"/>
        <v>-0.12376667867645086</v>
      </c>
      <c r="AW45" s="58">
        <f t="shared" si="36"/>
        <v>-5.0496799264731287</v>
      </c>
      <c r="AY45" s="39" t="s">
        <v>30</v>
      </c>
      <c r="AZ45" s="21">
        <f t="shared" si="65"/>
        <v>-0.13060067927808</v>
      </c>
      <c r="BA45" s="23">
        <f t="shared" si="37"/>
        <v>-5.7480800194651991</v>
      </c>
      <c r="BB45" s="36">
        <f>MAX('BATS 2023 TLFD'!Q33,0.0001)</f>
        <v>2.217807800194965E-3</v>
      </c>
      <c r="BC45" s="45">
        <f>modeldata!F33/modeldata!F$156</f>
        <v>6.6666666666666671E-3</v>
      </c>
      <c r="BD45" s="48">
        <f t="shared" si="25"/>
        <v>2.0059713317270358</v>
      </c>
      <c r="BE45" s="49">
        <f t="shared" si="12"/>
        <v>0</v>
      </c>
      <c r="BF45" s="50">
        <f t="shared" si="13"/>
        <v>0</v>
      </c>
      <c r="BG45" s="51">
        <f t="shared" si="14"/>
        <v>-5.7480800194651991</v>
      </c>
      <c r="BH45" s="52">
        <f t="shared" si="66"/>
        <v>-0.13060067927808028</v>
      </c>
      <c r="BI45" s="58">
        <f t="shared" si="38"/>
        <v>-5.7480800194651991</v>
      </c>
      <c r="BK45" s="39" t="s">
        <v>30</v>
      </c>
      <c r="BL45" s="21">
        <f t="shared" si="67"/>
        <v>-0.119295888721189</v>
      </c>
      <c r="BM45" s="23">
        <f t="shared" si="39"/>
        <v>-4.6849947076808407</v>
      </c>
      <c r="BN45" s="36">
        <f>MAX('BATS 2023 TLFD'!R33,0.0001)</f>
        <v>2.3679475698285958E-4</v>
      </c>
      <c r="BO45" s="45">
        <f>modeldata!G33/modeldata!G$156</f>
        <v>6.6666666666666671E-3</v>
      </c>
      <c r="BP45" s="48">
        <f t="shared" si="26"/>
        <v>27.153776509288313</v>
      </c>
      <c r="BQ45" s="49">
        <f t="shared" si="15"/>
        <v>0</v>
      </c>
      <c r="BR45" s="50">
        <f t="shared" si="16"/>
        <v>0</v>
      </c>
      <c r="BS45" s="51">
        <f t="shared" si="17"/>
        <v>-4.6849947076808407</v>
      </c>
      <c r="BT45" s="52">
        <f t="shared" si="68"/>
        <v>-0.11929588872118897</v>
      </c>
      <c r="BU45" s="58">
        <f t="shared" si="40"/>
        <v>-4.6849947076808407</v>
      </c>
      <c r="BW45" s="39" t="s">
        <v>30</v>
      </c>
      <c r="BX45" s="21">
        <f t="shared" si="69"/>
        <v>-0.204473452523388</v>
      </c>
      <c r="BY45" s="23">
        <f t="shared" si="41"/>
        <v>-8.0516251106514982</v>
      </c>
      <c r="BZ45" s="36">
        <f>MAX('BATS 2023 TLFD'!S33,0.0001)</f>
        <v>1E-4</v>
      </c>
      <c r="CA45" s="45">
        <f>modeldata!H33/modeldata!H$156</f>
        <v>6.6666666666666671E-3</v>
      </c>
      <c r="CB45" s="48">
        <f t="shared" si="27"/>
        <v>65.666666666666671</v>
      </c>
      <c r="CC45" s="49">
        <f t="shared" si="18"/>
        <v>0</v>
      </c>
      <c r="CD45" s="50">
        <f t="shared" si="19"/>
        <v>0</v>
      </c>
      <c r="CE45" s="51">
        <f t="shared" si="20"/>
        <v>-8.0516251106514982</v>
      </c>
      <c r="CF45" s="52">
        <f t="shared" si="70"/>
        <v>-0.20447345252338778</v>
      </c>
      <c r="CG45" s="58">
        <f t="shared" si="42"/>
        <v>-8.0516251106514982</v>
      </c>
    </row>
    <row r="46" spans="1:85" x14ac:dyDescent="0.25">
      <c r="A46" s="81">
        <f t="shared" si="28"/>
        <v>30.5</v>
      </c>
      <c r="B46" s="83">
        <f t="shared" si="28"/>
        <v>30</v>
      </c>
      <c r="C46" s="39" t="s">
        <v>31</v>
      </c>
      <c r="D46" s="21">
        <f t="shared" si="57"/>
        <v>-0.21370826062045101</v>
      </c>
      <c r="E46" s="23">
        <f t="shared" si="29"/>
        <v>-8.2438371606514664</v>
      </c>
      <c r="F46" s="36">
        <f>MAX('BATS 2023 TLFD'!M34,0.0001)</f>
        <v>1.3598645806270086E-3</v>
      </c>
      <c r="G46" s="45">
        <f>modeldata!B34/modeldata!B$156</f>
        <v>6.6666666666666671E-3</v>
      </c>
      <c r="H46" s="48">
        <f t="shared" si="21"/>
        <v>3.9024489361968593</v>
      </c>
      <c r="I46" s="49">
        <f t="shared" si="0"/>
        <v>0</v>
      </c>
      <c r="J46" s="50">
        <f t="shared" si="1"/>
        <v>0</v>
      </c>
      <c r="K46" s="51">
        <f t="shared" si="2"/>
        <v>-8.2438371606514664</v>
      </c>
      <c r="L46" s="52">
        <f t="shared" si="58"/>
        <v>-0.21370826062045095</v>
      </c>
      <c r="M46" s="58">
        <f t="shared" si="30"/>
        <v>-8.2438371606514664</v>
      </c>
      <c r="O46" s="39" t="s">
        <v>31</v>
      </c>
      <c r="P46" s="21">
        <f t="shared" si="59"/>
        <v>-0.18324871283782601</v>
      </c>
      <c r="Q46" s="23">
        <f t="shared" si="31"/>
        <v>-6.2778489371091402</v>
      </c>
      <c r="R46" s="36">
        <f>MAX('BATS 2023 TLFD'!N34,0.0001)</f>
        <v>1E-4</v>
      </c>
      <c r="S46" s="45">
        <f>modeldata!C34/modeldata!C$156</f>
        <v>6.6666666666666671E-3</v>
      </c>
      <c r="T46" s="48">
        <f t="shared" si="22"/>
        <v>65.666666666666671</v>
      </c>
      <c r="U46" s="49">
        <f t="shared" si="3"/>
        <v>0</v>
      </c>
      <c r="V46" s="50">
        <f t="shared" si="4"/>
        <v>0</v>
      </c>
      <c r="W46" s="51">
        <f t="shared" si="5"/>
        <v>-6.2778489371091402</v>
      </c>
      <c r="X46" s="52">
        <f t="shared" si="60"/>
        <v>-0.18324871283782598</v>
      </c>
      <c r="Y46" s="58">
        <f t="shared" si="32"/>
        <v>-6.2778489371091402</v>
      </c>
      <c r="AA46" s="39" t="s">
        <v>31</v>
      </c>
      <c r="AB46" s="21">
        <f t="shared" si="61"/>
        <v>-0.10927638842708701</v>
      </c>
      <c r="AC46" s="23">
        <f t="shared" si="33"/>
        <v>-4.548404228924583</v>
      </c>
      <c r="AD46" s="36">
        <f>MAX('BATS 2023 TLFD'!O34,0.0001)</f>
        <v>2.9545504015079738E-3</v>
      </c>
      <c r="AE46" s="45">
        <f>modeldata!D34/modeldata!D$156</f>
        <v>6.6666666666666671E-3</v>
      </c>
      <c r="AF46" s="48">
        <f t="shared" si="23"/>
        <v>1.2564064783813014</v>
      </c>
      <c r="AG46" s="49">
        <f t="shared" si="6"/>
        <v>0</v>
      </c>
      <c r="AH46" s="50">
        <f t="shared" si="7"/>
        <v>0</v>
      </c>
      <c r="AI46" s="51">
        <f t="shared" si="8"/>
        <v>-4.548404228924583</v>
      </c>
      <c r="AJ46" s="52">
        <f t="shared" si="62"/>
        <v>-0.10927638842708705</v>
      </c>
      <c r="AK46" s="58">
        <f t="shared" si="34"/>
        <v>-4.5484042289245821</v>
      </c>
      <c r="AM46" s="39" t="s">
        <v>31</v>
      </c>
      <c r="AN46" s="21">
        <f t="shared" si="63"/>
        <v>-0.123766678676451</v>
      </c>
      <c r="AO46" s="23">
        <f t="shared" si="35"/>
        <v>-5.1734466051495795</v>
      </c>
      <c r="AP46" s="36">
        <f>MAX('BATS 2023 TLFD'!P34,0.0001)</f>
        <v>3.4245643836185828E-3</v>
      </c>
      <c r="AQ46" s="45">
        <f>modeldata!E34/modeldata!E$156</f>
        <v>6.6666666666666671E-3</v>
      </c>
      <c r="AR46" s="48">
        <f t="shared" si="24"/>
        <v>0.94671961740789379</v>
      </c>
      <c r="AS46" s="49">
        <f t="shared" si="9"/>
        <v>0</v>
      </c>
      <c r="AT46" s="50">
        <f t="shared" si="10"/>
        <v>0</v>
      </c>
      <c r="AU46" s="51">
        <f t="shared" si="11"/>
        <v>-5.1734466051495795</v>
      </c>
      <c r="AV46" s="52">
        <f t="shared" si="64"/>
        <v>-0.12376667867645086</v>
      </c>
      <c r="AW46" s="58">
        <f t="shared" si="36"/>
        <v>-5.1734466051495795</v>
      </c>
      <c r="AY46" s="39" t="s">
        <v>31</v>
      </c>
      <c r="AZ46" s="21">
        <f t="shared" si="65"/>
        <v>-0.13060067927808</v>
      </c>
      <c r="BA46" s="23">
        <f t="shared" si="37"/>
        <v>-5.8786806987432794</v>
      </c>
      <c r="BB46" s="36">
        <f>MAX('BATS 2023 TLFD'!Q34,0.0001)</f>
        <v>8.7206976631648819E-4</v>
      </c>
      <c r="BC46" s="45">
        <f>modeldata!F34/modeldata!F$156</f>
        <v>6.6666666666666671E-3</v>
      </c>
      <c r="BD46" s="48">
        <f t="shared" si="25"/>
        <v>6.6446483115976136</v>
      </c>
      <c r="BE46" s="49">
        <f t="shared" si="12"/>
        <v>0</v>
      </c>
      <c r="BF46" s="50">
        <f t="shared" si="13"/>
        <v>0</v>
      </c>
      <c r="BG46" s="51">
        <f t="shared" si="14"/>
        <v>-5.8786806987432794</v>
      </c>
      <c r="BH46" s="52">
        <f t="shared" si="66"/>
        <v>-0.13060067927808028</v>
      </c>
      <c r="BI46" s="58">
        <f t="shared" si="38"/>
        <v>-5.8786806987432794</v>
      </c>
      <c r="BK46" s="39" t="s">
        <v>31</v>
      </c>
      <c r="BL46" s="21">
        <f t="shared" si="67"/>
        <v>-0.119295888721189</v>
      </c>
      <c r="BM46" s="23">
        <f t="shared" si="39"/>
        <v>-4.8042905964020299</v>
      </c>
      <c r="BN46" s="36">
        <f>MAX('BATS 2023 TLFD'!R34,0.0001)</f>
        <v>1.5458873043580177E-3</v>
      </c>
      <c r="BO46" s="45">
        <f>modeldata!G34/modeldata!G$156</f>
        <v>6.6666666666666671E-3</v>
      </c>
      <c r="BP46" s="48">
        <f t="shared" si="26"/>
        <v>3.3125178969208413</v>
      </c>
      <c r="BQ46" s="49">
        <f t="shared" si="15"/>
        <v>0</v>
      </c>
      <c r="BR46" s="50">
        <f t="shared" si="16"/>
        <v>0</v>
      </c>
      <c r="BS46" s="51">
        <f t="shared" si="17"/>
        <v>-4.8042905964020299</v>
      </c>
      <c r="BT46" s="52">
        <f t="shared" si="68"/>
        <v>-0.11929588872118897</v>
      </c>
      <c r="BU46" s="58">
        <f t="shared" si="40"/>
        <v>-4.8042905964020299</v>
      </c>
      <c r="BW46" s="39" t="s">
        <v>31</v>
      </c>
      <c r="BX46" s="21">
        <f t="shared" si="69"/>
        <v>-0.204473452523388</v>
      </c>
      <c r="BY46" s="23">
        <f t="shared" si="41"/>
        <v>-8.256098563174886</v>
      </c>
      <c r="BZ46" s="36">
        <f>MAX('BATS 2023 TLFD'!S34,0.0001)</f>
        <v>1E-4</v>
      </c>
      <c r="CA46" s="45">
        <f>modeldata!H34/modeldata!H$156</f>
        <v>6.6666666666666671E-3</v>
      </c>
      <c r="CB46" s="48">
        <f t="shared" si="27"/>
        <v>65.666666666666671</v>
      </c>
      <c r="CC46" s="49">
        <f t="shared" si="18"/>
        <v>0</v>
      </c>
      <c r="CD46" s="50">
        <f t="shared" si="19"/>
        <v>0</v>
      </c>
      <c r="CE46" s="51">
        <f t="shared" si="20"/>
        <v>-8.256098563174886</v>
      </c>
      <c r="CF46" s="52">
        <f t="shared" si="70"/>
        <v>-0.20447345252338778</v>
      </c>
      <c r="CG46" s="58">
        <f t="shared" si="42"/>
        <v>-8.256098563174886</v>
      </c>
    </row>
    <row r="47" spans="1:85" x14ac:dyDescent="0.25">
      <c r="A47" s="81">
        <f t="shared" si="28"/>
        <v>31.5</v>
      </c>
      <c r="B47" s="83">
        <f t="shared" si="28"/>
        <v>31</v>
      </c>
      <c r="C47" s="39" t="s">
        <v>32</v>
      </c>
      <c r="D47" s="21">
        <f t="shared" si="57"/>
        <v>-0.21370826062045101</v>
      </c>
      <c r="E47" s="23">
        <f t="shared" si="29"/>
        <v>-8.4575454212719166</v>
      </c>
      <c r="F47" s="36">
        <f>MAX('BATS 2023 TLFD'!M35,0.0001)</f>
        <v>3.0604478263694196E-4</v>
      </c>
      <c r="G47" s="45">
        <f>modeldata!B35/modeldata!B$156</f>
        <v>6.6666666666666671E-3</v>
      </c>
      <c r="H47" s="48">
        <f t="shared" si="21"/>
        <v>20.783304421089479</v>
      </c>
      <c r="I47" s="49">
        <f t="shared" si="0"/>
        <v>0</v>
      </c>
      <c r="J47" s="50">
        <f t="shared" si="1"/>
        <v>0</v>
      </c>
      <c r="K47" s="51">
        <f t="shared" si="2"/>
        <v>-8.4575454212719166</v>
      </c>
      <c r="L47" s="52">
        <f t="shared" si="58"/>
        <v>-0.21370826062045095</v>
      </c>
      <c r="M47" s="58">
        <f t="shared" si="30"/>
        <v>-8.4575454212719166</v>
      </c>
      <c r="O47" s="39" t="s">
        <v>32</v>
      </c>
      <c r="P47" s="21">
        <f t="shared" si="59"/>
        <v>-0.18324871283782601</v>
      </c>
      <c r="Q47" s="23">
        <f t="shared" si="31"/>
        <v>-6.4610976499469661</v>
      </c>
      <c r="R47" s="36">
        <f>MAX('BATS 2023 TLFD'!N35,0.0001)</f>
        <v>1E-4</v>
      </c>
      <c r="S47" s="45">
        <f>modeldata!C35/modeldata!C$156</f>
        <v>6.6666666666666671E-3</v>
      </c>
      <c r="T47" s="48">
        <f t="shared" si="22"/>
        <v>65.666666666666671</v>
      </c>
      <c r="U47" s="49">
        <f t="shared" si="3"/>
        <v>0</v>
      </c>
      <c r="V47" s="50">
        <f t="shared" si="4"/>
        <v>0</v>
      </c>
      <c r="W47" s="51">
        <f t="shared" si="5"/>
        <v>-6.4610976499469661</v>
      </c>
      <c r="X47" s="52">
        <f t="shared" si="60"/>
        <v>-0.18324871283782598</v>
      </c>
      <c r="Y47" s="58">
        <f t="shared" si="32"/>
        <v>-6.4610976499469661</v>
      </c>
      <c r="AA47" s="39" t="s">
        <v>32</v>
      </c>
      <c r="AB47" s="21">
        <f t="shared" si="61"/>
        <v>-0.10927638842708701</v>
      </c>
      <c r="AC47" s="23">
        <f t="shared" si="33"/>
        <v>-4.6576806173516703</v>
      </c>
      <c r="AD47" s="36">
        <f>MAX('BATS 2023 TLFD'!O35,0.0001)</f>
        <v>2.7258917784568001E-3</v>
      </c>
      <c r="AE47" s="45">
        <f>modeldata!D35/modeldata!D$156</f>
        <v>6.6666666666666671E-3</v>
      </c>
      <c r="AF47" s="48">
        <f t="shared" si="23"/>
        <v>1.4456828107977362</v>
      </c>
      <c r="AG47" s="49">
        <f t="shared" si="6"/>
        <v>0</v>
      </c>
      <c r="AH47" s="50">
        <f t="shared" si="7"/>
        <v>0</v>
      </c>
      <c r="AI47" s="51">
        <f t="shared" si="8"/>
        <v>-4.6576806173516703</v>
      </c>
      <c r="AJ47" s="52">
        <f t="shared" si="62"/>
        <v>-0.10927638842708705</v>
      </c>
      <c r="AK47" s="58">
        <f t="shared" si="34"/>
        <v>-4.6576806173516694</v>
      </c>
      <c r="AM47" s="39" t="s">
        <v>32</v>
      </c>
      <c r="AN47" s="21">
        <f t="shared" si="63"/>
        <v>-0.123766678676451</v>
      </c>
      <c r="AO47" s="23">
        <f t="shared" si="35"/>
        <v>-5.2972132838260304</v>
      </c>
      <c r="AP47" s="36">
        <f>MAX('BATS 2023 TLFD'!P35,0.0001)</f>
        <v>3.7612057371658051E-3</v>
      </c>
      <c r="AQ47" s="45">
        <f>modeldata!E35/modeldata!E$156</f>
        <v>6.6666666666666671E-3</v>
      </c>
      <c r="AR47" s="48">
        <f t="shared" si="24"/>
        <v>0.77248125535675283</v>
      </c>
      <c r="AS47" s="49">
        <f t="shared" si="9"/>
        <v>0</v>
      </c>
      <c r="AT47" s="50">
        <f t="shared" si="10"/>
        <v>0</v>
      </c>
      <c r="AU47" s="51">
        <f t="shared" si="11"/>
        <v>-5.2972132838260304</v>
      </c>
      <c r="AV47" s="52">
        <f t="shared" si="64"/>
        <v>-0.12376667867645086</v>
      </c>
      <c r="AW47" s="58">
        <f t="shared" si="36"/>
        <v>-5.2972132838260304</v>
      </c>
      <c r="AY47" s="39" t="s">
        <v>32</v>
      </c>
      <c r="AZ47" s="21">
        <f t="shared" si="65"/>
        <v>-0.13060067927808</v>
      </c>
      <c r="BA47" s="23">
        <f t="shared" si="37"/>
        <v>-6.0092813780213596</v>
      </c>
      <c r="BB47" s="36">
        <f>MAX('BATS 2023 TLFD'!Q35,0.0001)</f>
        <v>3.4558524125174317E-4</v>
      </c>
      <c r="BC47" s="45">
        <f>modeldata!F35/modeldata!F$156</f>
        <v>6.6666666666666671E-3</v>
      </c>
      <c r="BD47" s="48">
        <f t="shared" si="25"/>
        <v>18.290947271125802</v>
      </c>
      <c r="BE47" s="49">
        <f t="shared" si="12"/>
        <v>0</v>
      </c>
      <c r="BF47" s="50">
        <f t="shared" si="13"/>
        <v>0</v>
      </c>
      <c r="BG47" s="51">
        <f t="shared" si="14"/>
        <v>-6.0092813780213596</v>
      </c>
      <c r="BH47" s="52">
        <f t="shared" si="66"/>
        <v>-0.13060067927808028</v>
      </c>
      <c r="BI47" s="58">
        <f t="shared" si="38"/>
        <v>-6.0092813780213596</v>
      </c>
      <c r="BK47" s="39" t="s">
        <v>32</v>
      </c>
      <c r="BL47" s="21">
        <f t="shared" si="67"/>
        <v>-0.119295888721189</v>
      </c>
      <c r="BM47" s="23">
        <f t="shared" si="39"/>
        <v>-4.9235864851232192</v>
      </c>
      <c r="BN47" s="36">
        <f>MAX('BATS 2023 TLFD'!R35,0.0001)</f>
        <v>6.5525980685911852E-4</v>
      </c>
      <c r="BO47" s="45">
        <f>modeldata!G35/modeldata!G$156</f>
        <v>6.6666666666666671E-3</v>
      </c>
      <c r="BP47" s="48">
        <f t="shared" si="26"/>
        <v>9.1740814816984599</v>
      </c>
      <c r="BQ47" s="49">
        <f t="shared" si="15"/>
        <v>0</v>
      </c>
      <c r="BR47" s="50">
        <f t="shared" si="16"/>
        <v>0</v>
      </c>
      <c r="BS47" s="51">
        <f t="shared" si="17"/>
        <v>-4.9235864851232192</v>
      </c>
      <c r="BT47" s="52">
        <f t="shared" si="68"/>
        <v>-0.11929588872118897</v>
      </c>
      <c r="BU47" s="58">
        <f t="shared" si="40"/>
        <v>-4.9235864851232192</v>
      </c>
      <c r="BW47" s="39" t="s">
        <v>32</v>
      </c>
      <c r="BX47" s="21">
        <f t="shared" si="69"/>
        <v>-0.204473452523388</v>
      </c>
      <c r="BY47" s="23">
        <f t="shared" si="41"/>
        <v>-8.4605720156982738</v>
      </c>
      <c r="BZ47" s="36">
        <f>MAX('BATS 2023 TLFD'!S35,0.0001)</f>
        <v>1E-4</v>
      </c>
      <c r="CA47" s="45">
        <f>modeldata!H35/modeldata!H$156</f>
        <v>6.6666666666666671E-3</v>
      </c>
      <c r="CB47" s="48">
        <f t="shared" si="27"/>
        <v>65.666666666666671</v>
      </c>
      <c r="CC47" s="49">
        <f t="shared" si="18"/>
        <v>0</v>
      </c>
      <c r="CD47" s="50">
        <f t="shared" si="19"/>
        <v>0</v>
      </c>
      <c r="CE47" s="51">
        <f t="shared" si="20"/>
        <v>-8.4605720156982738</v>
      </c>
      <c r="CF47" s="52">
        <f t="shared" si="70"/>
        <v>-0.20447345252338778</v>
      </c>
      <c r="CG47" s="58">
        <f t="shared" si="42"/>
        <v>-8.4605720156982738</v>
      </c>
    </row>
    <row r="48" spans="1:85" x14ac:dyDescent="0.25">
      <c r="A48" s="81">
        <f t="shared" si="28"/>
        <v>32.5</v>
      </c>
      <c r="B48" s="83">
        <f t="shared" si="28"/>
        <v>32</v>
      </c>
      <c r="C48" s="39" t="s">
        <v>33</v>
      </c>
      <c r="D48" s="21">
        <f t="shared" si="57"/>
        <v>-0.21370826062045101</v>
      </c>
      <c r="E48" s="23">
        <f t="shared" si="29"/>
        <v>-8.6712536818923667</v>
      </c>
      <c r="F48" s="36">
        <f>MAX('BATS 2023 TLFD'!M36,0.0001)</f>
        <v>4.0255872992997987E-4</v>
      </c>
      <c r="G48" s="45">
        <f>modeldata!B36/modeldata!B$156</f>
        <v>6.6666666666666671E-3</v>
      </c>
      <c r="H48" s="48">
        <f t="shared" si="21"/>
        <v>15.560730574210256</v>
      </c>
      <c r="I48" s="49">
        <f t="shared" ref="I48:I66" si="71">damp_escort*LN(F48/G48)</f>
        <v>0</v>
      </c>
      <c r="J48" s="50">
        <f t="shared" si="1"/>
        <v>0</v>
      </c>
      <c r="K48" s="51">
        <f t="shared" si="2"/>
        <v>-8.6712536818923667</v>
      </c>
      <c r="L48" s="52">
        <f t="shared" si="58"/>
        <v>-0.21370826062045095</v>
      </c>
      <c r="M48" s="58">
        <f t="shared" si="30"/>
        <v>-8.6712536818923667</v>
      </c>
      <c r="O48" s="39" t="s">
        <v>33</v>
      </c>
      <c r="P48" s="21">
        <f t="shared" si="59"/>
        <v>-0.18324871283782601</v>
      </c>
      <c r="Q48" s="23">
        <f t="shared" si="31"/>
        <v>-6.6443463627847921</v>
      </c>
      <c r="R48" s="36">
        <f>MAX('BATS 2023 TLFD'!N36,0.0001)</f>
        <v>4.5685576639132718E-4</v>
      </c>
      <c r="S48" s="45">
        <f>modeldata!C36/modeldata!C$156</f>
        <v>6.6666666666666671E-3</v>
      </c>
      <c r="T48" s="48">
        <f t="shared" si="22"/>
        <v>13.592497582609532</v>
      </c>
      <c r="U48" s="49">
        <f t="shared" ref="U48:U66" si="72">damp_shopping*LN(R48/S48)</f>
        <v>0</v>
      </c>
      <c r="V48" s="50">
        <f t="shared" si="4"/>
        <v>0</v>
      </c>
      <c r="W48" s="51">
        <f t="shared" si="5"/>
        <v>-6.6443463627847921</v>
      </c>
      <c r="X48" s="52">
        <f t="shared" si="60"/>
        <v>-0.18324871283782598</v>
      </c>
      <c r="Y48" s="58">
        <f t="shared" si="32"/>
        <v>-6.6443463627847921</v>
      </c>
      <c r="AA48" s="39" t="s">
        <v>33</v>
      </c>
      <c r="AB48" s="21">
        <f t="shared" si="61"/>
        <v>-0.10927638842708701</v>
      </c>
      <c r="AC48" s="23">
        <f t="shared" si="33"/>
        <v>-4.7669570057787576</v>
      </c>
      <c r="AD48" s="36">
        <f>MAX('BATS 2023 TLFD'!O36,0.0001)</f>
        <v>2.0656112433013426E-4</v>
      </c>
      <c r="AE48" s="45">
        <f>modeldata!D36/modeldata!D$156</f>
        <v>6.6666666666666671E-3</v>
      </c>
      <c r="AF48" s="48">
        <f t="shared" si="23"/>
        <v>31.274546763270585</v>
      </c>
      <c r="AG48" s="49">
        <f t="shared" ref="AG48:AG66" si="73">damp_maint*LN(AD48/AE48)</f>
        <v>0</v>
      </c>
      <c r="AH48" s="50">
        <f t="shared" si="7"/>
        <v>0</v>
      </c>
      <c r="AI48" s="51">
        <f t="shared" si="8"/>
        <v>-4.7669570057787576</v>
      </c>
      <c r="AJ48" s="52">
        <f t="shared" si="62"/>
        <v>-0.10927638842708705</v>
      </c>
      <c r="AK48" s="58">
        <f t="shared" si="34"/>
        <v>-4.7669570057787567</v>
      </c>
      <c r="AM48" s="39" t="s">
        <v>33</v>
      </c>
      <c r="AN48" s="21">
        <f t="shared" si="63"/>
        <v>-0.123766678676451</v>
      </c>
      <c r="AO48" s="23">
        <f t="shared" si="35"/>
        <v>-5.4209799625024813</v>
      </c>
      <c r="AP48" s="36">
        <f>MAX('BATS 2023 TLFD'!P36,0.0001)</f>
        <v>1.8902910448600449E-4</v>
      </c>
      <c r="AQ48" s="45">
        <f>modeldata!E36/modeldata!E$156</f>
        <v>6.6666666666666671E-3</v>
      </c>
      <c r="AR48" s="48">
        <f t="shared" si="24"/>
        <v>34.267937626823283</v>
      </c>
      <c r="AS48" s="49">
        <f t="shared" ref="AS48:AS66" si="74">damp_eatout*LN(AP48/AQ48)</f>
        <v>0</v>
      </c>
      <c r="AT48" s="50">
        <f t="shared" si="10"/>
        <v>0</v>
      </c>
      <c r="AU48" s="51">
        <f t="shared" si="11"/>
        <v>-5.4209799625024813</v>
      </c>
      <c r="AV48" s="52">
        <f t="shared" si="64"/>
        <v>-0.12376667867645086</v>
      </c>
      <c r="AW48" s="58">
        <f t="shared" si="36"/>
        <v>-5.4209799625024813</v>
      </c>
      <c r="AY48" s="39" t="s">
        <v>33</v>
      </c>
      <c r="AZ48" s="21">
        <f t="shared" si="65"/>
        <v>-0.13060067927808</v>
      </c>
      <c r="BA48" s="23">
        <f t="shared" si="37"/>
        <v>-6.1398820572994399</v>
      </c>
      <c r="BB48" s="36">
        <f>MAX('BATS 2023 TLFD'!Q36,0.0001)</f>
        <v>8.0634319892702346E-4</v>
      </c>
      <c r="BC48" s="45">
        <f>modeldata!F36/modeldata!F$156</f>
        <v>6.6666666666666671E-3</v>
      </c>
      <c r="BD48" s="48">
        <f t="shared" si="25"/>
        <v>7.2677781316166605</v>
      </c>
      <c r="BE48" s="49">
        <f t="shared" ref="BE48:BE66" si="75">damp_social*LN(BB48/BC48)</f>
        <v>0</v>
      </c>
      <c r="BF48" s="50">
        <f t="shared" si="13"/>
        <v>0</v>
      </c>
      <c r="BG48" s="51">
        <f t="shared" si="14"/>
        <v>-6.1398820572994399</v>
      </c>
      <c r="BH48" s="52">
        <f t="shared" si="66"/>
        <v>-0.13060067927808028</v>
      </c>
      <c r="BI48" s="58">
        <f t="shared" si="38"/>
        <v>-6.1398820572994399</v>
      </c>
      <c r="BK48" s="39" t="s">
        <v>33</v>
      </c>
      <c r="BL48" s="21">
        <f t="shared" si="67"/>
        <v>-0.119295888721189</v>
      </c>
      <c r="BM48" s="23">
        <f t="shared" si="39"/>
        <v>-5.0428823738444084</v>
      </c>
      <c r="BN48" s="36">
        <f>MAX('BATS 2023 TLFD'!R36,0.0001)</f>
        <v>1.7794620687771304E-3</v>
      </c>
      <c r="BO48" s="45">
        <f>modeldata!G36/modeldata!G$156</f>
        <v>6.6666666666666671E-3</v>
      </c>
      <c r="BP48" s="48">
        <f t="shared" si="26"/>
        <v>2.7464505614598953</v>
      </c>
      <c r="BQ48" s="49">
        <f t="shared" ref="BQ48:BQ66" si="76">damp_discr*LN(BN48/BO48)</f>
        <v>0</v>
      </c>
      <c r="BR48" s="50">
        <f t="shared" si="16"/>
        <v>0</v>
      </c>
      <c r="BS48" s="51">
        <f t="shared" si="17"/>
        <v>-5.0428823738444084</v>
      </c>
      <c r="BT48" s="52">
        <f t="shared" si="68"/>
        <v>-0.11929588872118897</v>
      </c>
      <c r="BU48" s="58">
        <f t="shared" si="40"/>
        <v>-5.0428823738444084</v>
      </c>
      <c r="BW48" s="39" t="s">
        <v>33</v>
      </c>
      <c r="BX48" s="21">
        <f t="shared" si="69"/>
        <v>-0.204473452523388</v>
      </c>
      <c r="BY48" s="23">
        <f t="shared" si="41"/>
        <v>-8.6650454682216616</v>
      </c>
      <c r="BZ48" s="36">
        <f>MAX('BATS 2023 TLFD'!S36,0.0001)</f>
        <v>1E-4</v>
      </c>
      <c r="CA48" s="45">
        <f>modeldata!H36/modeldata!H$156</f>
        <v>6.6666666666666671E-3</v>
      </c>
      <c r="CB48" s="48">
        <f t="shared" si="27"/>
        <v>65.666666666666671</v>
      </c>
      <c r="CC48" s="49">
        <f t="shared" ref="CC48:CC66" si="77">damp_atwork*LN(BZ48/CA48)</f>
        <v>0</v>
      </c>
      <c r="CD48" s="50">
        <f t="shared" si="19"/>
        <v>0</v>
      </c>
      <c r="CE48" s="51">
        <f t="shared" si="20"/>
        <v>-8.6650454682216616</v>
      </c>
      <c r="CF48" s="52">
        <f t="shared" si="70"/>
        <v>-0.20447345252338778</v>
      </c>
      <c r="CG48" s="58">
        <f t="shared" si="42"/>
        <v>-8.6650454682216616</v>
      </c>
    </row>
    <row r="49" spans="1:85" x14ac:dyDescent="0.25">
      <c r="A49" s="81">
        <f t="shared" si="28"/>
        <v>33.5</v>
      </c>
      <c r="B49" s="83">
        <f t="shared" si="28"/>
        <v>33</v>
      </c>
      <c r="C49" s="39" t="s">
        <v>34</v>
      </c>
      <c r="D49" s="21">
        <f t="shared" si="57"/>
        <v>-0.21370826062045101</v>
      </c>
      <c r="E49" s="23">
        <f t="shared" si="29"/>
        <v>-8.8849619425128168</v>
      </c>
      <c r="F49" s="36">
        <f>MAX('BATS 2023 TLFD'!M37,0.0001)</f>
        <v>1E-4</v>
      </c>
      <c r="G49" s="45">
        <f>modeldata!B37/modeldata!B$156</f>
        <v>6.6666666666666671E-3</v>
      </c>
      <c r="H49" s="48">
        <f t="shared" si="21"/>
        <v>65.666666666666671</v>
      </c>
      <c r="I49" s="49">
        <f t="shared" si="71"/>
        <v>0</v>
      </c>
      <c r="J49" s="50">
        <f t="shared" si="1"/>
        <v>0</v>
      </c>
      <c r="K49" s="51">
        <f t="shared" si="2"/>
        <v>-8.8849619425128168</v>
      </c>
      <c r="L49" s="52">
        <f t="shared" si="58"/>
        <v>-0.21370826062045095</v>
      </c>
      <c r="M49" s="58">
        <f t="shared" si="30"/>
        <v>-8.8849619425128168</v>
      </c>
      <c r="O49" s="39" t="s">
        <v>34</v>
      </c>
      <c r="P49" s="21">
        <f t="shared" si="59"/>
        <v>-0.18324871283782601</v>
      </c>
      <c r="Q49" s="23">
        <f t="shared" si="31"/>
        <v>-6.827595075622618</v>
      </c>
      <c r="R49" s="36">
        <f>MAX('BATS 2023 TLFD'!N37,0.0001)</f>
        <v>1.7317949548278394E-3</v>
      </c>
      <c r="S49" s="45">
        <f>modeldata!C37/modeldata!C$156</f>
        <v>6.6666666666666671E-3</v>
      </c>
      <c r="T49" s="48">
        <f t="shared" si="22"/>
        <v>2.8495704402426854</v>
      </c>
      <c r="U49" s="49">
        <f t="shared" si="72"/>
        <v>0</v>
      </c>
      <c r="V49" s="50">
        <f t="shared" si="4"/>
        <v>0</v>
      </c>
      <c r="W49" s="51">
        <f t="shared" si="5"/>
        <v>-6.827595075622618</v>
      </c>
      <c r="X49" s="52">
        <f t="shared" si="60"/>
        <v>-0.18324871283782598</v>
      </c>
      <c r="Y49" s="58">
        <f t="shared" si="32"/>
        <v>-6.827595075622618</v>
      </c>
      <c r="AA49" s="39" t="s">
        <v>34</v>
      </c>
      <c r="AB49" s="21">
        <f t="shared" si="61"/>
        <v>-0.10927638842708701</v>
      </c>
      <c r="AC49" s="23">
        <f t="shared" si="33"/>
        <v>-4.8762333942058449</v>
      </c>
      <c r="AD49" s="36">
        <f>MAX('BATS 2023 TLFD'!O37,0.0001)</f>
        <v>1.0529023175638208E-3</v>
      </c>
      <c r="AE49" s="45">
        <f>modeldata!D37/modeldata!D$156</f>
        <v>6.6666666666666671E-3</v>
      </c>
      <c r="AF49" s="48">
        <f t="shared" si="23"/>
        <v>5.3317048081837584</v>
      </c>
      <c r="AG49" s="49">
        <f t="shared" si="73"/>
        <v>0</v>
      </c>
      <c r="AH49" s="50">
        <f t="shared" si="7"/>
        <v>0</v>
      </c>
      <c r="AI49" s="51">
        <f t="shared" si="8"/>
        <v>-4.8762333942058449</v>
      </c>
      <c r="AJ49" s="52">
        <f t="shared" si="62"/>
        <v>-0.10927638842708705</v>
      </c>
      <c r="AK49" s="58">
        <f t="shared" si="34"/>
        <v>-4.876233394205844</v>
      </c>
      <c r="AM49" s="39" t="s">
        <v>34</v>
      </c>
      <c r="AN49" s="21">
        <f t="shared" si="63"/>
        <v>-0.123766678676451</v>
      </c>
      <c r="AO49" s="23">
        <f t="shared" si="35"/>
        <v>-5.5447466411789321</v>
      </c>
      <c r="AP49" s="36">
        <f>MAX('BATS 2023 TLFD'!P37,0.0001)</f>
        <v>1E-4</v>
      </c>
      <c r="AQ49" s="45">
        <f>modeldata!E37/modeldata!E$156</f>
        <v>6.6666666666666671E-3</v>
      </c>
      <c r="AR49" s="48">
        <f t="shared" si="24"/>
        <v>65.666666666666671</v>
      </c>
      <c r="AS49" s="49">
        <f t="shared" si="74"/>
        <v>0</v>
      </c>
      <c r="AT49" s="50">
        <f t="shared" si="10"/>
        <v>0</v>
      </c>
      <c r="AU49" s="51">
        <f t="shared" si="11"/>
        <v>-5.5447466411789321</v>
      </c>
      <c r="AV49" s="52">
        <f t="shared" si="64"/>
        <v>-0.12376667867645086</v>
      </c>
      <c r="AW49" s="58">
        <f t="shared" si="36"/>
        <v>-5.5447466411789321</v>
      </c>
      <c r="AY49" s="39" t="s">
        <v>34</v>
      </c>
      <c r="AZ49" s="21">
        <f t="shared" si="65"/>
        <v>-0.13060067927808</v>
      </c>
      <c r="BA49" s="23">
        <f t="shared" si="37"/>
        <v>-6.2704827365775202</v>
      </c>
      <c r="BB49" s="36">
        <f>MAX('BATS 2023 TLFD'!Q37,0.0001)</f>
        <v>5.3989022249994545E-4</v>
      </c>
      <c r="BC49" s="45">
        <f>modeldata!F37/modeldata!F$156</f>
        <v>6.6666666666666671E-3</v>
      </c>
      <c r="BD49" s="48">
        <f t="shared" si="25"/>
        <v>11.348189296329293</v>
      </c>
      <c r="BE49" s="49">
        <f t="shared" si="75"/>
        <v>0</v>
      </c>
      <c r="BF49" s="50">
        <f t="shared" si="13"/>
        <v>0</v>
      </c>
      <c r="BG49" s="51">
        <f t="shared" si="14"/>
        <v>-6.2704827365775202</v>
      </c>
      <c r="BH49" s="52">
        <f t="shared" si="66"/>
        <v>-0.13060067927808028</v>
      </c>
      <c r="BI49" s="58">
        <f t="shared" si="38"/>
        <v>-6.2704827365775202</v>
      </c>
      <c r="BK49" s="39" t="s">
        <v>34</v>
      </c>
      <c r="BL49" s="21">
        <f t="shared" si="67"/>
        <v>-0.119295888721189</v>
      </c>
      <c r="BM49" s="23">
        <f t="shared" si="39"/>
        <v>-5.1621782625655976</v>
      </c>
      <c r="BN49" s="36">
        <f>MAX('BATS 2023 TLFD'!R37,0.0001)</f>
        <v>3.6468485906105216E-4</v>
      </c>
      <c r="BO49" s="45">
        <f>modeldata!G37/modeldata!G$156</f>
        <v>6.6666666666666671E-3</v>
      </c>
      <c r="BP49" s="48">
        <f t="shared" si="26"/>
        <v>17.28062367006741</v>
      </c>
      <c r="BQ49" s="49">
        <f t="shared" si="76"/>
        <v>0</v>
      </c>
      <c r="BR49" s="50">
        <f t="shared" si="16"/>
        <v>0</v>
      </c>
      <c r="BS49" s="51">
        <f t="shared" si="17"/>
        <v>-5.1621782625655976</v>
      </c>
      <c r="BT49" s="52">
        <f t="shared" si="68"/>
        <v>-0.11929588872118897</v>
      </c>
      <c r="BU49" s="58">
        <f t="shared" si="40"/>
        <v>-5.1621782625655976</v>
      </c>
      <c r="BW49" s="39" t="s">
        <v>34</v>
      </c>
      <c r="BX49" s="21">
        <f t="shared" si="69"/>
        <v>-0.204473452523388</v>
      </c>
      <c r="BY49" s="23">
        <f t="shared" si="41"/>
        <v>-8.8695189207450493</v>
      </c>
      <c r="BZ49" s="36">
        <f>MAX('BATS 2023 TLFD'!S37,0.0001)</f>
        <v>1E-4</v>
      </c>
      <c r="CA49" s="45">
        <f>modeldata!H37/modeldata!H$156</f>
        <v>6.6666666666666671E-3</v>
      </c>
      <c r="CB49" s="48">
        <f t="shared" si="27"/>
        <v>65.666666666666671</v>
      </c>
      <c r="CC49" s="49">
        <f t="shared" si="77"/>
        <v>0</v>
      </c>
      <c r="CD49" s="50">
        <f t="shared" si="19"/>
        <v>0</v>
      </c>
      <c r="CE49" s="51">
        <f t="shared" si="20"/>
        <v>-8.8695189207450493</v>
      </c>
      <c r="CF49" s="52">
        <f t="shared" si="70"/>
        <v>-0.20447345252338778</v>
      </c>
      <c r="CG49" s="58">
        <f t="shared" si="42"/>
        <v>-8.8695189207450493</v>
      </c>
    </row>
    <row r="50" spans="1:85" x14ac:dyDescent="0.25">
      <c r="A50" s="81">
        <f t="shared" si="28"/>
        <v>34.5</v>
      </c>
      <c r="B50" s="83">
        <f t="shared" si="28"/>
        <v>34</v>
      </c>
      <c r="C50" s="39" t="s">
        <v>35</v>
      </c>
      <c r="D50" s="21">
        <f t="shared" si="57"/>
        <v>-0.21370826062045101</v>
      </c>
      <c r="E50" s="23">
        <f t="shared" si="29"/>
        <v>-9.0986702031332669</v>
      </c>
      <c r="F50" s="36">
        <f>MAX('BATS 2023 TLFD'!M38,0.0001)</f>
        <v>2.4375334668479311E-4</v>
      </c>
      <c r="G50" s="45">
        <f>modeldata!B38/modeldata!B$156</f>
        <v>6.6666666666666671E-3</v>
      </c>
      <c r="H50" s="48">
        <f t="shared" si="21"/>
        <v>26.350051834519391</v>
      </c>
      <c r="I50" s="49">
        <f t="shared" si="71"/>
        <v>0</v>
      </c>
      <c r="J50" s="50">
        <f t="shared" si="1"/>
        <v>0</v>
      </c>
      <c r="K50" s="51">
        <f t="shared" si="2"/>
        <v>-9.0986702031332669</v>
      </c>
      <c r="L50" s="52">
        <f t="shared" si="58"/>
        <v>-0.21370826062045095</v>
      </c>
      <c r="M50" s="58">
        <f t="shared" si="30"/>
        <v>-9.0986702031332669</v>
      </c>
      <c r="O50" s="39" t="s">
        <v>35</v>
      </c>
      <c r="P50" s="21">
        <f t="shared" si="59"/>
        <v>-0.18324871283782601</v>
      </c>
      <c r="Q50" s="23">
        <f t="shared" si="31"/>
        <v>-7.010843788460444</v>
      </c>
      <c r="R50" s="36">
        <f>MAX('BATS 2023 TLFD'!N38,0.0001)</f>
        <v>1E-4</v>
      </c>
      <c r="S50" s="45">
        <f>modeldata!C38/modeldata!C$156</f>
        <v>6.6666666666666671E-3</v>
      </c>
      <c r="T50" s="48">
        <f t="shared" si="22"/>
        <v>65.666666666666671</v>
      </c>
      <c r="U50" s="49">
        <f t="shared" si="72"/>
        <v>0</v>
      </c>
      <c r="V50" s="50">
        <f t="shared" si="4"/>
        <v>0</v>
      </c>
      <c r="W50" s="51">
        <f t="shared" si="5"/>
        <v>-7.010843788460444</v>
      </c>
      <c r="X50" s="52">
        <f t="shared" si="60"/>
        <v>-0.18324871283782598</v>
      </c>
      <c r="Y50" s="58">
        <f t="shared" si="32"/>
        <v>-7.010843788460444</v>
      </c>
      <c r="AA50" s="39" t="s">
        <v>35</v>
      </c>
      <c r="AB50" s="21">
        <f t="shared" si="61"/>
        <v>-0.10927638842708701</v>
      </c>
      <c r="AC50" s="23">
        <f t="shared" si="33"/>
        <v>-4.9855097826329322</v>
      </c>
      <c r="AD50" s="36">
        <f>MAX('BATS 2023 TLFD'!O38,0.0001)</f>
        <v>1E-4</v>
      </c>
      <c r="AE50" s="45">
        <f>modeldata!D38/modeldata!D$156</f>
        <v>6.6666666666666671E-3</v>
      </c>
      <c r="AF50" s="48">
        <f t="shared" si="23"/>
        <v>65.666666666666671</v>
      </c>
      <c r="AG50" s="49">
        <f t="shared" si="73"/>
        <v>0</v>
      </c>
      <c r="AH50" s="50">
        <f t="shared" si="7"/>
        <v>0</v>
      </c>
      <c r="AI50" s="51">
        <f t="shared" si="8"/>
        <v>-4.9855097826329322</v>
      </c>
      <c r="AJ50" s="52">
        <f t="shared" si="62"/>
        <v>-0.10927638842708705</v>
      </c>
      <c r="AK50" s="58">
        <f t="shared" si="34"/>
        <v>-4.9855097826329313</v>
      </c>
      <c r="AM50" s="39" t="s">
        <v>35</v>
      </c>
      <c r="AN50" s="21">
        <f t="shared" si="63"/>
        <v>-0.123766678676451</v>
      </c>
      <c r="AO50" s="23">
        <f t="shared" si="35"/>
        <v>-5.668513319855383</v>
      </c>
      <c r="AP50" s="36">
        <f>MAX('BATS 2023 TLFD'!P38,0.0001)</f>
        <v>3.8570422514537842E-4</v>
      </c>
      <c r="AQ50" s="45">
        <f>modeldata!E38/modeldata!E$156</f>
        <v>6.6666666666666671E-3</v>
      </c>
      <c r="AR50" s="48">
        <f t="shared" si="24"/>
        <v>16.28440144557371</v>
      </c>
      <c r="AS50" s="49">
        <f t="shared" si="74"/>
        <v>0</v>
      </c>
      <c r="AT50" s="50">
        <f t="shared" si="10"/>
        <v>0</v>
      </c>
      <c r="AU50" s="51">
        <f t="shared" si="11"/>
        <v>-5.668513319855383</v>
      </c>
      <c r="AV50" s="52">
        <f t="shared" si="64"/>
        <v>-0.12376667867645086</v>
      </c>
      <c r="AW50" s="58">
        <f t="shared" si="36"/>
        <v>-5.668513319855383</v>
      </c>
      <c r="AY50" s="39" t="s">
        <v>35</v>
      </c>
      <c r="AZ50" s="21">
        <f t="shared" si="65"/>
        <v>-0.13060067927808</v>
      </c>
      <c r="BA50" s="23">
        <f t="shared" si="37"/>
        <v>-6.4010834158556005</v>
      </c>
      <c r="BB50" s="36">
        <f>MAX('BATS 2023 TLFD'!Q38,0.0001)</f>
        <v>3.1899991436981629E-4</v>
      </c>
      <c r="BC50" s="45">
        <f>modeldata!F38/modeldata!F$156</f>
        <v>6.6666666666666671E-3</v>
      </c>
      <c r="BD50" s="48">
        <f t="shared" si="25"/>
        <v>19.898647198187042</v>
      </c>
      <c r="BE50" s="49">
        <f t="shared" si="75"/>
        <v>0</v>
      </c>
      <c r="BF50" s="50">
        <f t="shared" si="13"/>
        <v>0</v>
      </c>
      <c r="BG50" s="51">
        <f t="shared" si="14"/>
        <v>-6.4010834158556005</v>
      </c>
      <c r="BH50" s="52">
        <f t="shared" si="66"/>
        <v>-0.13060067927808028</v>
      </c>
      <c r="BI50" s="58">
        <f t="shared" si="38"/>
        <v>-6.4010834158556005</v>
      </c>
      <c r="BK50" s="39" t="s">
        <v>35</v>
      </c>
      <c r="BL50" s="21">
        <f t="shared" si="67"/>
        <v>-0.119295888721189</v>
      </c>
      <c r="BM50" s="23">
        <f t="shared" si="39"/>
        <v>-5.2814741512867869</v>
      </c>
      <c r="BN50" s="36">
        <f>MAX('BATS 2023 TLFD'!R38,0.0001)</f>
        <v>2.4103839373286954E-3</v>
      </c>
      <c r="BO50" s="45">
        <f>modeldata!G38/modeldata!G$156</f>
        <v>6.6666666666666671E-3</v>
      </c>
      <c r="BP50" s="48">
        <f t="shared" si="26"/>
        <v>1.7658111072773706</v>
      </c>
      <c r="BQ50" s="49">
        <f t="shared" si="76"/>
        <v>0</v>
      </c>
      <c r="BR50" s="50">
        <f t="shared" si="16"/>
        <v>0</v>
      </c>
      <c r="BS50" s="51">
        <f t="shared" si="17"/>
        <v>-5.2814741512867869</v>
      </c>
      <c r="BT50" s="52">
        <f t="shared" si="68"/>
        <v>-0.11929588872118897</v>
      </c>
      <c r="BU50" s="58">
        <f t="shared" si="40"/>
        <v>-5.2814741512867869</v>
      </c>
      <c r="BW50" s="39" t="s">
        <v>35</v>
      </c>
      <c r="BX50" s="21">
        <f t="shared" si="69"/>
        <v>-0.204473452523388</v>
      </c>
      <c r="BY50" s="23">
        <f t="shared" si="41"/>
        <v>-9.0739923732684371</v>
      </c>
      <c r="BZ50" s="36">
        <f>MAX('BATS 2023 TLFD'!S38,0.0001)</f>
        <v>1E-4</v>
      </c>
      <c r="CA50" s="45">
        <f>modeldata!H38/modeldata!H$156</f>
        <v>6.6666666666666671E-3</v>
      </c>
      <c r="CB50" s="48">
        <f t="shared" si="27"/>
        <v>65.666666666666671</v>
      </c>
      <c r="CC50" s="49">
        <f t="shared" si="77"/>
        <v>0</v>
      </c>
      <c r="CD50" s="50">
        <f t="shared" si="19"/>
        <v>0</v>
      </c>
      <c r="CE50" s="51">
        <f t="shared" si="20"/>
        <v>-9.0739923732684371</v>
      </c>
      <c r="CF50" s="52">
        <f t="shared" si="70"/>
        <v>-0.20447345252338778</v>
      </c>
      <c r="CG50" s="58">
        <f t="shared" si="42"/>
        <v>-9.0739923732684371</v>
      </c>
    </row>
    <row r="51" spans="1:85" x14ac:dyDescent="0.25">
      <c r="A51" s="81">
        <f t="shared" si="28"/>
        <v>35.5</v>
      </c>
      <c r="B51" s="83">
        <f t="shared" si="28"/>
        <v>35</v>
      </c>
      <c r="C51" s="39" t="s">
        <v>36</v>
      </c>
      <c r="D51" s="21">
        <f t="shared" si="57"/>
        <v>-0.21370826062045101</v>
      </c>
      <c r="E51" s="23">
        <f t="shared" si="29"/>
        <v>-9.312378463753717</v>
      </c>
      <c r="F51" s="36">
        <f>MAX('BATS 2023 TLFD'!M39,0.0001)</f>
        <v>1.2628185073928332E-3</v>
      </c>
      <c r="G51" s="45">
        <f>modeldata!B39/modeldata!B$156</f>
        <v>6.6666666666666671E-3</v>
      </c>
      <c r="H51" s="48">
        <f t="shared" si="21"/>
        <v>4.2791962009096718</v>
      </c>
      <c r="I51" s="49">
        <f t="shared" si="71"/>
        <v>0</v>
      </c>
      <c r="J51" s="50">
        <f t="shared" si="1"/>
        <v>0</v>
      </c>
      <c r="K51" s="51">
        <f t="shared" si="2"/>
        <v>-9.312378463753717</v>
      </c>
      <c r="L51" s="52">
        <f t="shared" si="58"/>
        <v>-0.21370826062045095</v>
      </c>
      <c r="M51" s="58">
        <f t="shared" si="30"/>
        <v>-9.312378463753717</v>
      </c>
      <c r="O51" s="39" t="s">
        <v>36</v>
      </c>
      <c r="P51" s="21">
        <f t="shared" si="59"/>
        <v>-0.18324871283782601</v>
      </c>
      <c r="Q51" s="23">
        <f t="shared" si="31"/>
        <v>-7.1940925012982699</v>
      </c>
      <c r="R51" s="36">
        <f>MAX('BATS 2023 TLFD'!N39,0.0001)</f>
        <v>1E-4</v>
      </c>
      <c r="S51" s="45">
        <f>modeldata!C39/modeldata!C$156</f>
        <v>6.6666666666666671E-3</v>
      </c>
      <c r="T51" s="48">
        <f t="shared" si="22"/>
        <v>65.666666666666671</v>
      </c>
      <c r="U51" s="49">
        <f t="shared" si="72"/>
        <v>0</v>
      </c>
      <c r="V51" s="50">
        <f t="shared" si="4"/>
        <v>0</v>
      </c>
      <c r="W51" s="51">
        <f t="shared" si="5"/>
        <v>-7.1940925012982699</v>
      </c>
      <c r="X51" s="52">
        <f t="shared" si="60"/>
        <v>-0.18324871283782598</v>
      </c>
      <c r="Y51" s="58">
        <f t="shared" si="32"/>
        <v>-7.1940925012982699</v>
      </c>
      <c r="AA51" s="39" t="s">
        <v>36</v>
      </c>
      <c r="AB51" s="21">
        <f t="shared" si="61"/>
        <v>-0.10927638842708701</v>
      </c>
      <c r="AC51" s="23">
        <f t="shared" si="33"/>
        <v>-5.0947861710600195</v>
      </c>
      <c r="AD51" s="36">
        <f>MAX('BATS 2023 TLFD'!O39,0.0001)</f>
        <v>1E-4</v>
      </c>
      <c r="AE51" s="45">
        <f>modeldata!D39/modeldata!D$156</f>
        <v>6.6666666666666671E-3</v>
      </c>
      <c r="AF51" s="48">
        <f t="shared" si="23"/>
        <v>65.666666666666671</v>
      </c>
      <c r="AG51" s="49">
        <f t="shared" si="73"/>
        <v>0</v>
      </c>
      <c r="AH51" s="50">
        <f t="shared" si="7"/>
        <v>0</v>
      </c>
      <c r="AI51" s="51">
        <f t="shared" si="8"/>
        <v>-5.0947861710600195</v>
      </c>
      <c r="AJ51" s="52">
        <f t="shared" si="62"/>
        <v>-0.10927638842708705</v>
      </c>
      <c r="AK51" s="58">
        <f t="shared" si="34"/>
        <v>-5.0947861710600186</v>
      </c>
      <c r="AM51" s="39" t="s">
        <v>36</v>
      </c>
      <c r="AN51" s="21">
        <f t="shared" si="63"/>
        <v>-0.123766678676451</v>
      </c>
      <c r="AO51" s="23">
        <f t="shared" si="35"/>
        <v>-5.7922799985318338</v>
      </c>
      <c r="AP51" s="36">
        <f>MAX('BATS 2023 TLFD'!P39,0.0001)</f>
        <v>1E-4</v>
      </c>
      <c r="AQ51" s="45">
        <f>modeldata!E39/modeldata!E$156</f>
        <v>6.6666666666666671E-3</v>
      </c>
      <c r="AR51" s="48">
        <f t="shared" si="24"/>
        <v>65.666666666666671</v>
      </c>
      <c r="AS51" s="49">
        <f t="shared" si="74"/>
        <v>0</v>
      </c>
      <c r="AT51" s="50">
        <f t="shared" si="10"/>
        <v>0</v>
      </c>
      <c r="AU51" s="51">
        <f t="shared" si="11"/>
        <v>-5.7922799985318338</v>
      </c>
      <c r="AV51" s="52">
        <f t="shared" si="64"/>
        <v>-0.12376667867645086</v>
      </c>
      <c r="AW51" s="58">
        <f t="shared" si="36"/>
        <v>-5.7922799985318338</v>
      </c>
      <c r="AY51" s="39" t="s">
        <v>36</v>
      </c>
      <c r="AZ51" s="21">
        <f t="shared" si="65"/>
        <v>-0.13060067927808</v>
      </c>
      <c r="BA51" s="23">
        <f t="shared" si="37"/>
        <v>-6.5316840951336808</v>
      </c>
      <c r="BB51" s="36">
        <f>MAX('BATS 2023 TLFD'!Q39,0.0001)</f>
        <v>1.7403416668808149E-4</v>
      </c>
      <c r="BC51" s="45">
        <f>modeldata!F39/modeldata!F$156</f>
        <v>6.6666666666666671E-3</v>
      </c>
      <c r="BD51" s="48">
        <f t="shared" si="25"/>
        <v>37.306654339979239</v>
      </c>
      <c r="BE51" s="49">
        <f t="shared" si="75"/>
        <v>0</v>
      </c>
      <c r="BF51" s="50">
        <f t="shared" si="13"/>
        <v>0</v>
      </c>
      <c r="BG51" s="51">
        <f t="shared" si="14"/>
        <v>-6.5316840951336808</v>
      </c>
      <c r="BH51" s="52">
        <f t="shared" si="66"/>
        <v>-0.13060067927808028</v>
      </c>
      <c r="BI51" s="58">
        <f t="shared" si="38"/>
        <v>-6.5316840951336808</v>
      </c>
      <c r="BK51" s="39" t="s">
        <v>36</v>
      </c>
      <c r="BL51" s="21">
        <f t="shared" si="67"/>
        <v>-0.119295888721189</v>
      </c>
      <c r="BM51" s="23">
        <f t="shared" si="39"/>
        <v>-5.4007700400079761</v>
      </c>
      <c r="BN51" s="36">
        <f>MAX('BATS 2023 TLFD'!R39,0.0001)</f>
        <v>4.0281214158483123E-3</v>
      </c>
      <c r="BO51" s="45">
        <f>modeldata!G39/modeldata!G$156</f>
        <v>6.6666666666666671E-3</v>
      </c>
      <c r="BP51" s="48">
        <f t="shared" si="26"/>
        <v>0.65503121143201282</v>
      </c>
      <c r="BQ51" s="49">
        <f t="shared" si="76"/>
        <v>0</v>
      </c>
      <c r="BR51" s="50">
        <f t="shared" si="16"/>
        <v>0</v>
      </c>
      <c r="BS51" s="51">
        <f t="shared" si="17"/>
        <v>-5.4007700400079761</v>
      </c>
      <c r="BT51" s="52">
        <f t="shared" si="68"/>
        <v>-0.11929588872118897</v>
      </c>
      <c r="BU51" s="58">
        <f t="shared" si="40"/>
        <v>-5.4007700400079761</v>
      </c>
      <c r="BW51" s="39" t="s">
        <v>36</v>
      </c>
      <c r="BX51" s="21">
        <f t="shared" si="69"/>
        <v>-0.204473452523388</v>
      </c>
      <c r="BY51" s="23">
        <f t="shared" si="41"/>
        <v>-9.2784658257918249</v>
      </c>
      <c r="BZ51" s="36">
        <f>MAX('BATS 2023 TLFD'!S39,0.0001)</f>
        <v>1E-4</v>
      </c>
      <c r="CA51" s="45">
        <f>modeldata!H39/modeldata!H$156</f>
        <v>6.6666666666666671E-3</v>
      </c>
      <c r="CB51" s="48">
        <f t="shared" si="27"/>
        <v>65.666666666666671</v>
      </c>
      <c r="CC51" s="49">
        <f t="shared" si="77"/>
        <v>0</v>
      </c>
      <c r="CD51" s="50">
        <f t="shared" si="19"/>
        <v>0</v>
      </c>
      <c r="CE51" s="51">
        <f t="shared" si="20"/>
        <v>-9.2784658257918249</v>
      </c>
      <c r="CF51" s="52">
        <f t="shared" si="70"/>
        <v>-0.20447345252338778</v>
      </c>
      <c r="CG51" s="58">
        <f t="shared" si="42"/>
        <v>-9.2784658257918249</v>
      </c>
    </row>
    <row r="52" spans="1:85" x14ac:dyDescent="0.25">
      <c r="A52" s="81">
        <f t="shared" si="28"/>
        <v>36.5</v>
      </c>
      <c r="B52" s="83">
        <f t="shared" si="28"/>
        <v>36</v>
      </c>
      <c r="C52" s="39" t="s">
        <v>37</v>
      </c>
      <c r="D52" s="21">
        <f t="shared" si="57"/>
        <v>-0.21370826062045101</v>
      </c>
      <c r="E52" s="23">
        <f t="shared" si="29"/>
        <v>-9.5260867243741671</v>
      </c>
      <c r="F52" s="36">
        <f>MAX('BATS 2023 TLFD'!M40,0.0001)</f>
        <v>3.4809151321788198E-3</v>
      </c>
      <c r="G52" s="45">
        <f>modeldata!B40/modeldata!B$156</f>
        <v>6.6666666666666671E-3</v>
      </c>
      <c r="H52" s="48">
        <f t="shared" si="21"/>
        <v>0.91520517263912149</v>
      </c>
      <c r="I52" s="49">
        <f t="shared" si="71"/>
        <v>0</v>
      </c>
      <c r="J52" s="50">
        <f t="shared" si="1"/>
        <v>0</v>
      </c>
      <c r="K52" s="51">
        <f t="shared" si="2"/>
        <v>-9.5260867243741671</v>
      </c>
      <c r="L52" s="52">
        <f t="shared" si="58"/>
        <v>-0.21370826062045095</v>
      </c>
      <c r="M52" s="58">
        <f t="shared" si="30"/>
        <v>-9.5260867243741671</v>
      </c>
      <c r="O52" s="39" t="s">
        <v>37</v>
      </c>
      <c r="P52" s="21">
        <f t="shared" si="59"/>
        <v>-0.18324871283782601</v>
      </c>
      <c r="Q52" s="23">
        <f t="shared" si="31"/>
        <v>-7.3773412141360959</v>
      </c>
      <c r="R52" s="36">
        <f>MAX('BATS 2023 TLFD'!N40,0.0001)</f>
        <v>1E-4</v>
      </c>
      <c r="S52" s="45">
        <f>modeldata!C40/modeldata!C$156</f>
        <v>6.6666666666666671E-3</v>
      </c>
      <c r="T52" s="48">
        <f t="shared" si="22"/>
        <v>65.666666666666671</v>
      </c>
      <c r="U52" s="49">
        <f t="shared" si="72"/>
        <v>0</v>
      </c>
      <c r="V52" s="50">
        <f t="shared" si="4"/>
        <v>0</v>
      </c>
      <c r="W52" s="51">
        <f t="shared" si="5"/>
        <v>-7.3773412141360959</v>
      </c>
      <c r="X52" s="52">
        <f t="shared" si="60"/>
        <v>-0.18324871283782598</v>
      </c>
      <c r="Y52" s="58">
        <f t="shared" si="32"/>
        <v>-7.3773412141360959</v>
      </c>
      <c r="AA52" s="39" t="s">
        <v>37</v>
      </c>
      <c r="AB52" s="21">
        <f t="shared" si="61"/>
        <v>-0.10927638842708701</v>
      </c>
      <c r="AC52" s="23">
        <f t="shared" si="33"/>
        <v>-5.2040625594871068</v>
      </c>
      <c r="AD52" s="36">
        <f>MAX('BATS 2023 TLFD'!O40,0.0001)</f>
        <v>1E-4</v>
      </c>
      <c r="AE52" s="45">
        <f>modeldata!D40/modeldata!D$156</f>
        <v>6.6666666666666671E-3</v>
      </c>
      <c r="AF52" s="48">
        <f t="shared" si="23"/>
        <v>65.666666666666671</v>
      </c>
      <c r="AG52" s="49">
        <f t="shared" si="73"/>
        <v>0</v>
      </c>
      <c r="AH52" s="50">
        <f t="shared" si="7"/>
        <v>0</v>
      </c>
      <c r="AI52" s="51">
        <f t="shared" si="8"/>
        <v>-5.2040625594871068</v>
      </c>
      <c r="AJ52" s="52">
        <f t="shared" si="62"/>
        <v>-0.10927638842708705</v>
      </c>
      <c r="AK52" s="58">
        <f t="shared" si="34"/>
        <v>-5.2040625594871059</v>
      </c>
      <c r="AM52" s="39" t="s">
        <v>37</v>
      </c>
      <c r="AN52" s="21">
        <f t="shared" si="63"/>
        <v>-0.123766678676451</v>
      </c>
      <c r="AO52" s="23">
        <f t="shared" si="35"/>
        <v>-5.9160466772082847</v>
      </c>
      <c r="AP52" s="36">
        <f>MAX('BATS 2023 TLFD'!P40,0.0001)</f>
        <v>1.6511453704527374E-4</v>
      </c>
      <c r="AQ52" s="45">
        <f>modeldata!E40/modeldata!E$156</f>
        <v>6.6666666666666671E-3</v>
      </c>
      <c r="AR52" s="48">
        <f t="shared" si="24"/>
        <v>39.376012833071712</v>
      </c>
      <c r="AS52" s="49">
        <f t="shared" si="74"/>
        <v>0</v>
      </c>
      <c r="AT52" s="50">
        <f t="shared" si="10"/>
        <v>0</v>
      </c>
      <c r="AU52" s="51">
        <f t="shared" si="11"/>
        <v>-5.9160466772082847</v>
      </c>
      <c r="AV52" s="52">
        <f t="shared" si="64"/>
        <v>-0.12376667867645086</v>
      </c>
      <c r="AW52" s="58">
        <f t="shared" si="36"/>
        <v>-5.9160466772082847</v>
      </c>
      <c r="AY52" s="39" t="s">
        <v>37</v>
      </c>
      <c r="AZ52" s="21">
        <f t="shared" si="65"/>
        <v>-0.13060067927808</v>
      </c>
      <c r="BA52" s="23">
        <f t="shared" si="37"/>
        <v>-6.662284774411761</v>
      </c>
      <c r="BB52" s="36">
        <f>MAX('BATS 2023 TLFD'!Q40,0.0001)</f>
        <v>6.7768957578995975E-4</v>
      </c>
      <c r="BC52" s="45">
        <f>modeldata!F40/modeldata!F$156</f>
        <v>6.6666666666666671E-3</v>
      </c>
      <c r="BD52" s="48">
        <f t="shared" si="25"/>
        <v>8.8373457477128223</v>
      </c>
      <c r="BE52" s="49">
        <f t="shared" si="75"/>
        <v>0</v>
      </c>
      <c r="BF52" s="50">
        <f t="shared" si="13"/>
        <v>0</v>
      </c>
      <c r="BG52" s="51">
        <f t="shared" si="14"/>
        <v>-6.662284774411761</v>
      </c>
      <c r="BH52" s="52">
        <f t="shared" si="66"/>
        <v>-0.13060067927808028</v>
      </c>
      <c r="BI52" s="58">
        <f t="shared" si="38"/>
        <v>-6.662284774411761</v>
      </c>
      <c r="BK52" s="39" t="s">
        <v>37</v>
      </c>
      <c r="BL52" s="21">
        <f t="shared" si="67"/>
        <v>-0.119295888721189</v>
      </c>
      <c r="BM52" s="23">
        <f t="shared" si="39"/>
        <v>-5.5200659287291653</v>
      </c>
      <c r="BN52" s="36">
        <f>MAX('BATS 2023 TLFD'!R40,0.0001)</f>
        <v>1.8060253739694684E-3</v>
      </c>
      <c r="BO52" s="45">
        <f>modeldata!G40/modeldata!G$156</f>
        <v>6.6666666666666671E-3</v>
      </c>
      <c r="BP52" s="48">
        <f t="shared" si="26"/>
        <v>2.6913471774839914</v>
      </c>
      <c r="BQ52" s="49">
        <f t="shared" si="76"/>
        <v>0</v>
      </c>
      <c r="BR52" s="50">
        <f t="shared" si="16"/>
        <v>0</v>
      </c>
      <c r="BS52" s="51">
        <f t="shared" si="17"/>
        <v>-5.5200659287291653</v>
      </c>
      <c r="BT52" s="52">
        <f t="shared" si="68"/>
        <v>-0.11929588872118897</v>
      </c>
      <c r="BU52" s="58">
        <f t="shared" si="40"/>
        <v>-5.5200659287291653</v>
      </c>
      <c r="BW52" s="39" t="s">
        <v>37</v>
      </c>
      <c r="BX52" s="21">
        <f t="shared" si="69"/>
        <v>-0.204473452523388</v>
      </c>
      <c r="BY52" s="23">
        <f t="shared" si="41"/>
        <v>-9.4829392783152127</v>
      </c>
      <c r="BZ52" s="36">
        <f>MAX('BATS 2023 TLFD'!S40,0.0001)</f>
        <v>1E-4</v>
      </c>
      <c r="CA52" s="45">
        <f>modeldata!H40/modeldata!H$156</f>
        <v>6.6666666666666671E-3</v>
      </c>
      <c r="CB52" s="48">
        <f t="shared" si="27"/>
        <v>65.666666666666671</v>
      </c>
      <c r="CC52" s="49">
        <f t="shared" si="77"/>
        <v>0</v>
      </c>
      <c r="CD52" s="50">
        <f t="shared" si="19"/>
        <v>0</v>
      </c>
      <c r="CE52" s="51">
        <f t="shared" si="20"/>
        <v>-9.4829392783152127</v>
      </c>
      <c r="CF52" s="52">
        <f t="shared" si="70"/>
        <v>-0.20447345252338778</v>
      </c>
      <c r="CG52" s="58">
        <f t="shared" si="42"/>
        <v>-9.4829392783152127</v>
      </c>
    </row>
    <row r="53" spans="1:85" x14ac:dyDescent="0.25">
      <c r="A53" s="81">
        <f t="shared" si="28"/>
        <v>37.5</v>
      </c>
      <c r="B53" s="83">
        <f t="shared" si="28"/>
        <v>37</v>
      </c>
      <c r="C53" s="39" t="s">
        <v>38</v>
      </c>
      <c r="D53" s="21">
        <f t="shared" si="57"/>
        <v>-0.21370826062045101</v>
      </c>
      <c r="E53" s="23">
        <f t="shared" si="29"/>
        <v>-9.7397949849946173</v>
      </c>
      <c r="F53" s="36">
        <f>MAX('BATS 2023 TLFD'!M41,0.0001)</f>
        <v>3.3952470585355568E-4</v>
      </c>
      <c r="G53" s="45">
        <f>modeldata!B41/modeldata!B$156</f>
        <v>6.6666666666666671E-3</v>
      </c>
      <c r="H53" s="48">
        <f t="shared" si="21"/>
        <v>18.635291782101252</v>
      </c>
      <c r="I53" s="49">
        <f t="shared" si="71"/>
        <v>0</v>
      </c>
      <c r="J53" s="50">
        <f t="shared" si="1"/>
        <v>0</v>
      </c>
      <c r="K53" s="51">
        <f t="shared" si="2"/>
        <v>-9.7397949849946173</v>
      </c>
      <c r="L53" s="52">
        <f t="shared" si="58"/>
        <v>-0.21370826062045095</v>
      </c>
      <c r="M53" s="58">
        <f t="shared" si="30"/>
        <v>-9.7397949849946173</v>
      </c>
      <c r="O53" s="39" t="s">
        <v>38</v>
      </c>
      <c r="P53" s="21">
        <f t="shared" si="59"/>
        <v>-0.18324871283782601</v>
      </c>
      <c r="Q53" s="23">
        <f t="shared" si="31"/>
        <v>-7.5605899269739218</v>
      </c>
      <c r="R53" s="36">
        <f>MAX('BATS 2023 TLFD'!N41,0.0001)</f>
        <v>3.5836912230860969E-3</v>
      </c>
      <c r="S53" s="45">
        <f>modeldata!C41/modeldata!C$156</f>
        <v>6.6666666666666671E-3</v>
      </c>
      <c r="T53" s="48">
        <f t="shared" si="22"/>
        <v>0.86027931863104679</v>
      </c>
      <c r="U53" s="49">
        <f t="shared" si="72"/>
        <v>0</v>
      </c>
      <c r="V53" s="50">
        <f t="shared" si="4"/>
        <v>0</v>
      </c>
      <c r="W53" s="51">
        <f t="shared" si="5"/>
        <v>-7.5605899269739218</v>
      </c>
      <c r="X53" s="52">
        <f t="shared" si="60"/>
        <v>-0.18324871283782598</v>
      </c>
      <c r="Y53" s="58">
        <f t="shared" si="32"/>
        <v>-7.5605899269739218</v>
      </c>
      <c r="AA53" s="39" t="s">
        <v>38</v>
      </c>
      <c r="AB53" s="21">
        <f t="shared" si="61"/>
        <v>-0.10927638842708701</v>
      </c>
      <c r="AC53" s="23">
        <f t="shared" si="33"/>
        <v>-5.3133389479141941</v>
      </c>
      <c r="AD53" s="36">
        <f>MAX('BATS 2023 TLFD'!O41,0.0001)</f>
        <v>1E-4</v>
      </c>
      <c r="AE53" s="45">
        <f>modeldata!D41/modeldata!D$156</f>
        <v>6.6666666666666671E-3</v>
      </c>
      <c r="AF53" s="48">
        <f t="shared" si="23"/>
        <v>65.666666666666671</v>
      </c>
      <c r="AG53" s="49">
        <f t="shared" si="73"/>
        <v>0</v>
      </c>
      <c r="AH53" s="50">
        <f t="shared" si="7"/>
        <v>0</v>
      </c>
      <c r="AI53" s="51">
        <f t="shared" si="8"/>
        <v>-5.3133389479141941</v>
      </c>
      <c r="AJ53" s="52">
        <f t="shared" si="62"/>
        <v>-0.10927638842708705</v>
      </c>
      <c r="AK53" s="58">
        <f t="shared" si="34"/>
        <v>-5.3133389479141933</v>
      </c>
      <c r="AM53" s="39" t="s">
        <v>38</v>
      </c>
      <c r="AN53" s="21">
        <f t="shared" si="63"/>
        <v>-0.123766678676451</v>
      </c>
      <c r="AO53" s="23">
        <f t="shared" si="35"/>
        <v>-6.0398133558847356</v>
      </c>
      <c r="AP53" s="36">
        <f>MAX('BATS 2023 TLFD'!P41,0.0001)</f>
        <v>2.4297028549508229E-4</v>
      </c>
      <c r="AQ53" s="45">
        <f>modeldata!E41/modeldata!E$156</f>
        <v>6.6666666666666671E-3</v>
      </c>
      <c r="AR53" s="48">
        <f t="shared" si="24"/>
        <v>26.438197444936534</v>
      </c>
      <c r="AS53" s="49">
        <f t="shared" si="74"/>
        <v>0</v>
      </c>
      <c r="AT53" s="50">
        <f t="shared" si="10"/>
        <v>0</v>
      </c>
      <c r="AU53" s="51">
        <f t="shared" si="11"/>
        <v>-6.0398133558847356</v>
      </c>
      <c r="AV53" s="52">
        <f t="shared" si="64"/>
        <v>-0.12376667867645086</v>
      </c>
      <c r="AW53" s="58">
        <f t="shared" si="36"/>
        <v>-6.0398133558847356</v>
      </c>
      <c r="AY53" s="39" t="s">
        <v>38</v>
      </c>
      <c r="AZ53" s="21">
        <f t="shared" si="65"/>
        <v>-0.13060067927808</v>
      </c>
      <c r="BA53" s="23">
        <f t="shared" si="37"/>
        <v>-6.7928854536898413</v>
      </c>
      <c r="BB53" s="36">
        <f>MAX('BATS 2023 TLFD'!Q41,0.0001)</f>
        <v>1.3636406818165367E-4</v>
      </c>
      <c r="BC53" s="45">
        <f>modeldata!F41/modeldata!F$156</f>
        <v>6.6666666666666671E-3</v>
      </c>
      <c r="BD53" s="48">
        <f t="shared" si="25"/>
        <v>47.888734074623301</v>
      </c>
      <c r="BE53" s="49">
        <f t="shared" si="75"/>
        <v>0</v>
      </c>
      <c r="BF53" s="50">
        <f t="shared" si="13"/>
        <v>0</v>
      </c>
      <c r="BG53" s="51">
        <f t="shared" si="14"/>
        <v>-6.7928854536898413</v>
      </c>
      <c r="BH53" s="52">
        <f t="shared" si="66"/>
        <v>-0.13060067927808028</v>
      </c>
      <c r="BI53" s="58">
        <f t="shared" si="38"/>
        <v>-6.7928854536898413</v>
      </c>
      <c r="BK53" s="39" t="s">
        <v>38</v>
      </c>
      <c r="BL53" s="21">
        <f t="shared" si="67"/>
        <v>-0.119295888721189</v>
      </c>
      <c r="BM53" s="23">
        <f t="shared" si="39"/>
        <v>-5.6393618174503546</v>
      </c>
      <c r="BN53" s="36">
        <f>MAX('BATS 2023 TLFD'!R41,0.0001)</f>
        <v>3.4344721862988848E-3</v>
      </c>
      <c r="BO53" s="45">
        <f>modeldata!G41/modeldata!G$156</f>
        <v>6.6666666666666671E-3</v>
      </c>
      <c r="BP53" s="48">
        <f t="shared" si="26"/>
        <v>0.94110369950350814</v>
      </c>
      <c r="BQ53" s="49">
        <f t="shared" si="76"/>
        <v>0</v>
      </c>
      <c r="BR53" s="50">
        <f t="shared" si="16"/>
        <v>0</v>
      </c>
      <c r="BS53" s="51">
        <f t="shared" si="17"/>
        <v>-5.6393618174503546</v>
      </c>
      <c r="BT53" s="52">
        <f t="shared" si="68"/>
        <v>-0.11929588872118897</v>
      </c>
      <c r="BU53" s="58">
        <f t="shared" si="40"/>
        <v>-5.6393618174503546</v>
      </c>
      <c r="BW53" s="39" t="s">
        <v>38</v>
      </c>
      <c r="BX53" s="21">
        <f t="shared" si="69"/>
        <v>-0.204473452523388</v>
      </c>
      <c r="BY53" s="23">
        <f t="shared" si="41"/>
        <v>-9.6874127308386004</v>
      </c>
      <c r="BZ53" s="36">
        <f>MAX('BATS 2023 TLFD'!S41,0.0001)</f>
        <v>1E-4</v>
      </c>
      <c r="CA53" s="45">
        <f>modeldata!H41/modeldata!H$156</f>
        <v>6.6666666666666671E-3</v>
      </c>
      <c r="CB53" s="48">
        <f t="shared" si="27"/>
        <v>65.666666666666671</v>
      </c>
      <c r="CC53" s="49">
        <f t="shared" si="77"/>
        <v>0</v>
      </c>
      <c r="CD53" s="50">
        <f t="shared" si="19"/>
        <v>0</v>
      </c>
      <c r="CE53" s="51">
        <f t="shared" si="20"/>
        <v>-9.6874127308386004</v>
      </c>
      <c r="CF53" s="52">
        <f t="shared" si="70"/>
        <v>-0.20447345252338778</v>
      </c>
      <c r="CG53" s="58">
        <f t="shared" si="42"/>
        <v>-9.6874127308386004</v>
      </c>
    </row>
    <row r="54" spans="1:85" x14ac:dyDescent="0.25">
      <c r="A54" s="81">
        <f t="shared" si="28"/>
        <v>38.5</v>
      </c>
      <c r="B54" s="83">
        <f t="shared" si="28"/>
        <v>38</v>
      </c>
      <c r="C54" s="39" t="s">
        <v>39</v>
      </c>
      <c r="D54" s="21">
        <f t="shared" si="57"/>
        <v>-0.21370826062045101</v>
      </c>
      <c r="E54" s="23">
        <f t="shared" si="29"/>
        <v>-9.9535032456150674</v>
      </c>
      <c r="F54" s="36">
        <f>MAX('BATS 2023 TLFD'!M42,0.0001)</f>
        <v>1E-4</v>
      </c>
      <c r="G54" s="45">
        <f>modeldata!B42/modeldata!B$156</f>
        <v>6.6666666666666671E-3</v>
      </c>
      <c r="H54" s="48">
        <f t="shared" si="21"/>
        <v>65.666666666666671</v>
      </c>
      <c r="I54" s="49">
        <f t="shared" si="71"/>
        <v>0</v>
      </c>
      <c r="J54" s="50">
        <f t="shared" si="1"/>
        <v>0</v>
      </c>
      <c r="K54" s="51">
        <f t="shared" si="2"/>
        <v>-9.9535032456150674</v>
      </c>
      <c r="L54" s="52">
        <f t="shared" si="58"/>
        <v>-0.21370826062045095</v>
      </c>
      <c r="M54" s="58">
        <f t="shared" si="30"/>
        <v>-9.9535032456150674</v>
      </c>
      <c r="O54" s="39" t="s">
        <v>39</v>
      </c>
      <c r="P54" s="21">
        <f t="shared" si="59"/>
        <v>-0.18324871283782601</v>
      </c>
      <c r="Q54" s="23">
        <f t="shared" si="31"/>
        <v>-7.7438386398117478</v>
      </c>
      <c r="R54" s="36">
        <f>MAX('BATS 2023 TLFD'!N42,0.0001)</f>
        <v>4.3561035672135467E-4</v>
      </c>
      <c r="S54" s="45">
        <f>modeldata!C42/modeldata!C$156</f>
        <v>6.6666666666666671E-3</v>
      </c>
      <c r="T54" s="48">
        <f t="shared" si="22"/>
        <v>14.304196890183468</v>
      </c>
      <c r="U54" s="49">
        <f t="shared" si="72"/>
        <v>0</v>
      </c>
      <c r="V54" s="50">
        <f t="shared" si="4"/>
        <v>0</v>
      </c>
      <c r="W54" s="51">
        <f t="shared" si="5"/>
        <v>-7.7438386398117478</v>
      </c>
      <c r="X54" s="52">
        <f t="shared" si="60"/>
        <v>-0.18324871283782598</v>
      </c>
      <c r="Y54" s="58">
        <f t="shared" si="32"/>
        <v>-7.7438386398117478</v>
      </c>
      <c r="AA54" s="39" t="s">
        <v>39</v>
      </c>
      <c r="AB54" s="21">
        <f t="shared" si="61"/>
        <v>-0.10927638842708701</v>
      </c>
      <c r="AC54" s="23">
        <f t="shared" si="33"/>
        <v>-5.4226153363412815</v>
      </c>
      <c r="AD54" s="36">
        <f>MAX('BATS 2023 TLFD'!O42,0.0001)</f>
        <v>9.2324948387693571E-4</v>
      </c>
      <c r="AE54" s="45">
        <f>modeldata!D42/modeldata!D$156</f>
        <v>6.6666666666666671E-3</v>
      </c>
      <c r="AF54" s="48">
        <f t="shared" si="23"/>
        <v>6.2208723460876563</v>
      </c>
      <c r="AG54" s="49">
        <f t="shared" si="73"/>
        <v>0</v>
      </c>
      <c r="AH54" s="50">
        <f t="shared" si="7"/>
        <v>0</v>
      </c>
      <c r="AI54" s="51">
        <f t="shared" si="8"/>
        <v>-5.4226153363412815</v>
      </c>
      <c r="AJ54" s="52">
        <f t="shared" si="62"/>
        <v>-0.10927638842708705</v>
      </c>
      <c r="AK54" s="58">
        <f t="shared" si="34"/>
        <v>-5.4226153363412806</v>
      </c>
      <c r="AM54" s="39" t="s">
        <v>39</v>
      </c>
      <c r="AN54" s="21">
        <f t="shared" si="63"/>
        <v>-0.123766678676451</v>
      </c>
      <c r="AO54" s="23">
        <f t="shared" si="35"/>
        <v>-6.1635800345611864</v>
      </c>
      <c r="AP54" s="36">
        <f>MAX('BATS 2023 TLFD'!P42,0.0001)</f>
        <v>3.2046068261087928E-4</v>
      </c>
      <c r="AQ54" s="45">
        <f>modeldata!E42/modeldata!E$156</f>
        <v>6.6666666666666671E-3</v>
      </c>
      <c r="AR54" s="48">
        <f t="shared" si="24"/>
        <v>19.803384091775449</v>
      </c>
      <c r="AS54" s="49">
        <f t="shared" si="74"/>
        <v>0</v>
      </c>
      <c r="AT54" s="50">
        <f t="shared" si="10"/>
        <v>0</v>
      </c>
      <c r="AU54" s="51">
        <f t="shared" si="11"/>
        <v>-6.1635800345611864</v>
      </c>
      <c r="AV54" s="52">
        <f t="shared" si="64"/>
        <v>-0.12376667867645086</v>
      </c>
      <c r="AW54" s="58">
        <f t="shared" si="36"/>
        <v>-6.1635800345611864</v>
      </c>
      <c r="AY54" s="39" t="s">
        <v>39</v>
      </c>
      <c r="AZ54" s="21">
        <f t="shared" si="65"/>
        <v>-0.13060067927808</v>
      </c>
      <c r="BA54" s="23">
        <f t="shared" si="37"/>
        <v>-6.9234861329679216</v>
      </c>
      <c r="BB54" s="36">
        <f>MAX('BATS 2023 TLFD'!Q42,0.0001)</f>
        <v>1E-4</v>
      </c>
      <c r="BC54" s="45">
        <f>modeldata!F42/modeldata!F$156</f>
        <v>6.6666666666666671E-3</v>
      </c>
      <c r="BD54" s="48">
        <f t="shared" si="25"/>
        <v>65.666666666666671</v>
      </c>
      <c r="BE54" s="49">
        <f t="shared" si="75"/>
        <v>0</v>
      </c>
      <c r="BF54" s="50">
        <f t="shared" si="13"/>
        <v>0</v>
      </c>
      <c r="BG54" s="51">
        <f t="shared" si="14"/>
        <v>-6.9234861329679216</v>
      </c>
      <c r="BH54" s="52">
        <f t="shared" si="66"/>
        <v>-0.13060067927808028</v>
      </c>
      <c r="BI54" s="58">
        <f t="shared" si="38"/>
        <v>-6.9234861329679216</v>
      </c>
      <c r="BK54" s="39" t="s">
        <v>39</v>
      </c>
      <c r="BL54" s="21">
        <f t="shared" si="67"/>
        <v>-0.119295888721189</v>
      </c>
      <c r="BM54" s="23">
        <f t="shared" si="39"/>
        <v>-5.7586577061715438</v>
      </c>
      <c r="BN54" s="36">
        <f>MAX('BATS 2023 TLFD'!R42,0.0001)</f>
        <v>1E-4</v>
      </c>
      <c r="BO54" s="45">
        <f>modeldata!G42/modeldata!G$156</f>
        <v>6.6666666666666671E-3</v>
      </c>
      <c r="BP54" s="48">
        <f t="shared" si="26"/>
        <v>65.666666666666671</v>
      </c>
      <c r="BQ54" s="49">
        <f t="shared" si="76"/>
        <v>0</v>
      </c>
      <c r="BR54" s="50">
        <f t="shared" si="16"/>
        <v>0</v>
      </c>
      <c r="BS54" s="51">
        <f t="shared" si="17"/>
        <v>-5.7586577061715438</v>
      </c>
      <c r="BT54" s="52">
        <f t="shared" si="68"/>
        <v>-0.11929588872118897</v>
      </c>
      <c r="BU54" s="58">
        <f t="shared" si="40"/>
        <v>-5.7586577061715438</v>
      </c>
      <c r="BW54" s="39" t="s">
        <v>39</v>
      </c>
      <c r="BX54" s="21">
        <f t="shared" si="69"/>
        <v>-0.204473452523388</v>
      </c>
      <c r="BY54" s="23">
        <f t="shared" si="41"/>
        <v>-9.8918861833619882</v>
      </c>
      <c r="BZ54" s="36">
        <f>MAX('BATS 2023 TLFD'!S42,0.0001)</f>
        <v>1E-4</v>
      </c>
      <c r="CA54" s="45">
        <f>modeldata!H42/modeldata!H$156</f>
        <v>6.6666666666666671E-3</v>
      </c>
      <c r="CB54" s="48">
        <f t="shared" si="27"/>
        <v>65.666666666666671</v>
      </c>
      <c r="CC54" s="49">
        <f t="shared" si="77"/>
        <v>0</v>
      </c>
      <c r="CD54" s="50">
        <f t="shared" si="19"/>
        <v>0</v>
      </c>
      <c r="CE54" s="51">
        <f t="shared" si="20"/>
        <v>-9.8918861833619882</v>
      </c>
      <c r="CF54" s="52">
        <f t="shared" si="70"/>
        <v>-0.20447345252338778</v>
      </c>
      <c r="CG54" s="58">
        <f t="shared" si="42"/>
        <v>-9.8918861833619882</v>
      </c>
    </row>
    <row r="55" spans="1:85" x14ac:dyDescent="0.25">
      <c r="A55" s="81">
        <f t="shared" si="28"/>
        <v>39.5</v>
      </c>
      <c r="B55" s="83">
        <f t="shared" si="28"/>
        <v>39</v>
      </c>
      <c r="C55" s="39" t="s">
        <v>40</v>
      </c>
      <c r="D55" s="21">
        <f t="shared" si="57"/>
        <v>-0.21370826062045101</v>
      </c>
      <c r="E55" s="23">
        <f t="shared" si="29"/>
        <v>-10.167211506235518</v>
      </c>
      <c r="F55" s="36">
        <f>MAX('BATS 2023 TLFD'!M43,0.0001)</f>
        <v>8.2523162479693408E-4</v>
      </c>
      <c r="G55" s="45">
        <f>modeldata!B43/modeldata!B$156</f>
        <v>6.6666666666666671E-3</v>
      </c>
      <c r="H55" s="48">
        <f t="shared" si="21"/>
        <v>7.0785399714984791</v>
      </c>
      <c r="I55" s="49">
        <f t="shared" si="71"/>
        <v>0</v>
      </c>
      <c r="J55" s="50">
        <f t="shared" si="1"/>
        <v>0</v>
      </c>
      <c r="K55" s="51">
        <f t="shared" si="2"/>
        <v>-10.167211506235518</v>
      </c>
      <c r="L55" s="52">
        <f t="shared" si="58"/>
        <v>-0.21370826062045095</v>
      </c>
      <c r="M55" s="58">
        <f t="shared" si="30"/>
        <v>-10.167211506235518</v>
      </c>
      <c r="O55" s="39" t="s">
        <v>40</v>
      </c>
      <c r="P55" s="21">
        <f t="shared" si="59"/>
        <v>-0.18324871283782601</v>
      </c>
      <c r="Q55" s="23">
        <f t="shared" si="31"/>
        <v>-7.9270873526495738</v>
      </c>
      <c r="R55" s="36">
        <f>MAX('BATS 2023 TLFD'!N43,0.0001)</f>
        <v>1E-4</v>
      </c>
      <c r="S55" s="45">
        <f>modeldata!C43/modeldata!C$156</f>
        <v>6.6666666666666671E-3</v>
      </c>
      <c r="T55" s="48">
        <f t="shared" si="22"/>
        <v>65.666666666666671</v>
      </c>
      <c r="U55" s="49">
        <f t="shared" si="72"/>
        <v>0</v>
      </c>
      <c r="V55" s="50">
        <f t="shared" si="4"/>
        <v>0</v>
      </c>
      <c r="W55" s="51">
        <f t="shared" si="5"/>
        <v>-7.9270873526495738</v>
      </c>
      <c r="X55" s="52">
        <f t="shared" si="60"/>
        <v>-0.18324871283782598</v>
      </c>
      <c r="Y55" s="58">
        <f t="shared" si="32"/>
        <v>-7.9270873526495738</v>
      </c>
      <c r="AA55" s="39" t="s">
        <v>40</v>
      </c>
      <c r="AB55" s="21">
        <f t="shared" si="61"/>
        <v>-0.10927638842708701</v>
      </c>
      <c r="AC55" s="23">
        <f t="shared" si="33"/>
        <v>-5.5318917247683688</v>
      </c>
      <c r="AD55" s="36">
        <f>MAX('BATS 2023 TLFD'!O43,0.0001)</f>
        <v>1E-4</v>
      </c>
      <c r="AE55" s="45">
        <f>modeldata!D43/modeldata!D$156</f>
        <v>6.6666666666666671E-3</v>
      </c>
      <c r="AF55" s="48">
        <f t="shared" si="23"/>
        <v>65.666666666666671</v>
      </c>
      <c r="AG55" s="49">
        <f t="shared" si="73"/>
        <v>0</v>
      </c>
      <c r="AH55" s="50">
        <f t="shared" si="7"/>
        <v>0</v>
      </c>
      <c r="AI55" s="51">
        <f t="shared" si="8"/>
        <v>-5.5318917247683688</v>
      </c>
      <c r="AJ55" s="52">
        <f t="shared" si="62"/>
        <v>-0.10927638842708705</v>
      </c>
      <c r="AK55" s="58">
        <f t="shared" si="34"/>
        <v>-5.5318917247683679</v>
      </c>
      <c r="AM55" s="39" t="s">
        <v>40</v>
      </c>
      <c r="AN55" s="21">
        <f t="shared" si="63"/>
        <v>-0.123766678676451</v>
      </c>
      <c r="AO55" s="23">
        <f t="shared" si="35"/>
        <v>-6.2873467132376373</v>
      </c>
      <c r="AP55" s="36">
        <f>MAX('BATS 2023 TLFD'!P43,0.0001)</f>
        <v>7.1319813181493815E-4</v>
      </c>
      <c r="AQ55" s="45">
        <f>modeldata!E43/modeldata!E$156</f>
        <v>6.6666666666666671E-3</v>
      </c>
      <c r="AR55" s="48">
        <f t="shared" si="24"/>
        <v>8.3475660819545521</v>
      </c>
      <c r="AS55" s="49">
        <f t="shared" si="74"/>
        <v>0</v>
      </c>
      <c r="AT55" s="50">
        <f t="shared" si="10"/>
        <v>0</v>
      </c>
      <c r="AU55" s="51">
        <f t="shared" si="11"/>
        <v>-6.2873467132376373</v>
      </c>
      <c r="AV55" s="52">
        <f t="shared" si="64"/>
        <v>-0.12376667867645086</v>
      </c>
      <c r="AW55" s="58">
        <f t="shared" si="36"/>
        <v>-6.2873467132376373</v>
      </c>
      <c r="AY55" s="39" t="s">
        <v>40</v>
      </c>
      <c r="AZ55" s="21">
        <f t="shared" si="65"/>
        <v>-0.13060067927808</v>
      </c>
      <c r="BA55" s="23">
        <f t="shared" si="37"/>
        <v>-7.0540868122460019</v>
      </c>
      <c r="BB55" s="36">
        <f>MAX('BATS 2023 TLFD'!Q43,0.0001)</f>
        <v>3.3218488250538042E-4</v>
      </c>
      <c r="BC55" s="45">
        <f>modeldata!F43/modeldata!F$156</f>
        <v>6.6666666666666671E-3</v>
      </c>
      <c r="BD55" s="48">
        <f t="shared" si="25"/>
        <v>19.069145279537778</v>
      </c>
      <c r="BE55" s="49">
        <f t="shared" si="75"/>
        <v>0</v>
      </c>
      <c r="BF55" s="50">
        <f t="shared" si="13"/>
        <v>0</v>
      </c>
      <c r="BG55" s="51">
        <f t="shared" si="14"/>
        <v>-7.0540868122460019</v>
      </c>
      <c r="BH55" s="52">
        <f t="shared" si="66"/>
        <v>-0.13060067927808028</v>
      </c>
      <c r="BI55" s="58">
        <f t="shared" si="38"/>
        <v>-7.0540868122460019</v>
      </c>
      <c r="BK55" s="39" t="s">
        <v>40</v>
      </c>
      <c r="BL55" s="21">
        <f t="shared" si="67"/>
        <v>-0.119295888721189</v>
      </c>
      <c r="BM55" s="23">
        <f t="shared" si="39"/>
        <v>-5.8779535948927331</v>
      </c>
      <c r="BN55" s="36">
        <f>MAX('BATS 2023 TLFD'!R43,0.0001)</f>
        <v>5.8065624928026465E-4</v>
      </c>
      <c r="BO55" s="45">
        <f>modeldata!G43/modeldata!G$156</f>
        <v>6.6666666666666671E-3</v>
      </c>
      <c r="BP55" s="48">
        <f t="shared" si="26"/>
        <v>10.481262235496711</v>
      </c>
      <c r="BQ55" s="49">
        <f t="shared" si="76"/>
        <v>0</v>
      </c>
      <c r="BR55" s="50">
        <f t="shared" si="16"/>
        <v>0</v>
      </c>
      <c r="BS55" s="51">
        <f t="shared" si="17"/>
        <v>-5.8779535948927331</v>
      </c>
      <c r="BT55" s="52">
        <f t="shared" si="68"/>
        <v>-0.11929588872118897</v>
      </c>
      <c r="BU55" s="58">
        <f t="shared" si="40"/>
        <v>-5.8779535948927331</v>
      </c>
      <c r="BW55" s="39" t="s">
        <v>40</v>
      </c>
      <c r="BX55" s="21">
        <f t="shared" si="69"/>
        <v>-0.204473452523388</v>
      </c>
      <c r="BY55" s="23">
        <f t="shared" si="41"/>
        <v>-10.096359635885376</v>
      </c>
      <c r="BZ55" s="36">
        <f>MAX('BATS 2023 TLFD'!S43,0.0001)</f>
        <v>1E-4</v>
      </c>
      <c r="CA55" s="45">
        <f>modeldata!H43/modeldata!H$156</f>
        <v>6.6666666666666671E-3</v>
      </c>
      <c r="CB55" s="48">
        <f t="shared" si="27"/>
        <v>65.666666666666671</v>
      </c>
      <c r="CC55" s="49">
        <f t="shared" si="77"/>
        <v>0</v>
      </c>
      <c r="CD55" s="50">
        <f t="shared" si="19"/>
        <v>0</v>
      </c>
      <c r="CE55" s="51">
        <f t="shared" si="20"/>
        <v>-10.096359635885376</v>
      </c>
      <c r="CF55" s="52">
        <f t="shared" si="70"/>
        <v>-0.20447345252338778</v>
      </c>
      <c r="CG55" s="58">
        <f t="shared" si="42"/>
        <v>-10.096359635885376</v>
      </c>
    </row>
    <row r="56" spans="1:85" x14ac:dyDescent="0.25">
      <c r="A56" s="81">
        <f t="shared" si="28"/>
        <v>40.5</v>
      </c>
      <c r="B56" s="83">
        <f t="shared" si="28"/>
        <v>40</v>
      </c>
      <c r="C56" s="39" t="s">
        <v>41</v>
      </c>
      <c r="D56" s="21">
        <f t="shared" si="57"/>
        <v>-0.21370826062045101</v>
      </c>
      <c r="E56" s="23">
        <f t="shared" si="29"/>
        <v>-10.380919766855968</v>
      </c>
      <c r="F56" s="36">
        <f>MAX('BATS 2023 TLFD'!M44,0.0001)</f>
        <v>2.8051142123383216E-4</v>
      </c>
      <c r="G56" s="45">
        <f>modeldata!B44/modeldata!B$156</f>
        <v>6.6666666666666671E-3</v>
      </c>
      <c r="H56" s="48">
        <f t="shared" si="21"/>
        <v>22.76611489593996</v>
      </c>
      <c r="I56" s="49">
        <f t="shared" si="71"/>
        <v>0</v>
      </c>
      <c r="J56" s="50">
        <f t="shared" si="1"/>
        <v>0</v>
      </c>
      <c r="K56" s="51">
        <f t="shared" si="2"/>
        <v>-10.380919766855968</v>
      </c>
      <c r="L56" s="52">
        <f t="shared" si="58"/>
        <v>-0.21370826062045095</v>
      </c>
      <c r="M56" s="58">
        <f t="shared" si="30"/>
        <v>-10.380919766855968</v>
      </c>
      <c r="O56" s="39" t="s">
        <v>41</v>
      </c>
      <c r="P56" s="21">
        <f t="shared" si="59"/>
        <v>-0.18324871283782601</v>
      </c>
      <c r="Q56" s="23">
        <f t="shared" si="31"/>
        <v>-8.1103360654874006</v>
      </c>
      <c r="R56" s="36">
        <f>MAX('BATS 2023 TLFD'!N44,0.0001)</f>
        <v>1.5531176927593795E-3</v>
      </c>
      <c r="S56" s="45">
        <f>modeldata!C44/modeldata!C$156</f>
        <v>6.6666666666666671E-3</v>
      </c>
      <c r="T56" s="48">
        <f t="shared" si="22"/>
        <v>3.2924413891790723</v>
      </c>
      <c r="U56" s="49">
        <f t="shared" si="72"/>
        <v>0</v>
      </c>
      <c r="V56" s="50">
        <f t="shared" si="4"/>
        <v>0</v>
      </c>
      <c r="W56" s="51">
        <f t="shared" si="5"/>
        <v>-8.1103360654874006</v>
      </c>
      <c r="X56" s="52">
        <f t="shared" si="60"/>
        <v>-0.18324871283782598</v>
      </c>
      <c r="Y56" s="58">
        <f t="shared" si="32"/>
        <v>-8.1103360654874006</v>
      </c>
      <c r="AA56" s="39" t="s">
        <v>41</v>
      </c>
      <c r="AB56" s="21">
        <f t="shared" si="61"/>
        <v>-0.10927638842708701</v>
      </c>
      <c r="AC56" s="23">
        <f t="shared" si="33"/>
        <v>-5.6411681131954561</v>
      </c>
      <c r="AD56" s="36">
        <f>MAX('BATS 2023 TLFD'!O44,0.0001)</f>
        <v>5.0849502331687976E-4</v>
      </c>
      <c r="AE56" s="45">
        <f>modeldata!D44/modeldata!D$156</f>
        <v>6.6666666666666671E-3</v>
      </c>
      <c r="AF56" s="48">
        <f t="shared" si="23"/>
        <v>12.11058390145185</v>
      </c>
      <c r="AG56" s="49">
        <f t="shared" si="73"/>
        <v>0</v>
      </c>
      <c r="AH56" s="50">
        <f t="shared" si="7"/>
        <v>0</v>
      </c>
      <c r="AI56" s="51">
        <f t="shared" si="8"/>
        <v>-5.6411681131954561</v>
      </c>
      <c r="AJ56" s="52">
        <f t="shared" si="62"/>
        <v>-0.10927638842708705</v>
      </c>
      <c r="AK56" s="58">
        <f t="shared" si="34"/>
        <v>-5.6411681131954552</v>
      </c>
      <c r="AM56" s="39" t="s">
        <v>41</v>
      </c>
      <c r="AN56" s="21">
        <f t="shared" si="63"/>
        <v>-0.123766678676451</v>
      </c>
      <c r="AO56" s="23">
        <f t="shared" si="35"/>
        <v>-6.4111133919140881</v>
      </c>
      <c r="AP56" s="36">
        <f>MAX('BATS 2023 TLFD'!P44,0.0001)</f>
        <v>4.7350039248080121E-3</v>
      </c>
      <c r="AQ56" s="45">
        <f>modeldata!E44/modeldata!E$156</f>
        <v>6.6666666666666671E-3</v>
      </c>
      <c r="AR56" s="48">
        <f t="shared" si="24"/>
        <v>0.40795377839881669</v>
      </c>
      <c r="AS56" s="49">
        <f t="shared" si="74"/>
        <v>0</v>
      </c>
      <c r="AT56" s="50">
        <f t="shared" si="10"/>
        <v>0</v>
      </c>
      <c r="AU56" s="51">
        <f t="shared" si="11"/>
        <v>-6.4111133919140881</v>
      </c>
      <c r="AV56" s="52">
        <f t="shared" si="64"/>
        <v>-0.12376667867645086</v>
      </c>
      <c r="AW56" s="58">
        <f t="shared" si="36"/>
        <v>-6.4111133919140881</v>
      </c>
      <c r="AY56" s="39" t="s">
        <v>41</v>
      </c>
      <c r="AZ56" s="21">
        <f t="shared" si="65"/>
        <v>-0.13060067927808</v>
      </c>
      <c r="BA56" s="23">
        <f t="shared" si="37"/>
        <v>-7.1846874915240821</v>
      </c>
      <c r="BB56" s="36">
        <f>MAX('BATS 2023 TLFD'!Q44,0.0001)</f>
        <v>2.4579857110997505E-4</v>
      </c>
      <c r="BC56" s="45">
        <f>modeldata!F44/modeldata!F$156</f>
        <v>6.6666666666666671E-3</v>
      </c>
      <c r="BD56" s="48">
        <f t="shared" si="25"/>
        <v>26.122479339734941</v>
      </c>
      <c r="BE56" s="49">
        <f t="shared" si="75"/>
        <v>0</v>
      </c>
      <c r="BF56" s="50">
        <f t="shared" si="13"/>
        <v>0</v>
      </c>
      <c r="BG56" s="51">
        <f t="shared" si="14"/>
        <v>-7.1846874915240821</v>
      </c>
      <c r="BH56" s="52">
        <f t="shared" si="66"/>
        <v>-0.13060067927808028</v>
      </c>
      <c r="BI56" s="58">
        <f t="shared" si="38"/>
        <v>-7.1846874915240821</v>
      </c>
      <c r="BK56" s="39" t="s">
        <v>41</v>
      </c>
      <c r="BL56" s="21">
        <f t="shared" si="67"/>
        <v>-0.119295888721189</v>
      </c>
      <c r="BM56" s="23">
        <f t="shared" si="39"/>
        <v>-5.9972494836139223</v>
      </c>
      <c r="BN56" s="36">
        <f>MAX('BATS 2023 TLFD'!R44,0.0001)</f>
        <v>1E-4</v>
      </c>
      <c r="BO56" s="45">
        <f>modeldata!G44/modeldata!G$156</f>
        <v>6.6666666666666671E-3</v>
      </c>
      <c r="BP56" s="48">
        <f t="shared" si="26"/>
        <v>65.666666666666671</v>
      </c>
      <c r="BQ56" s="49">
        <f t="shared" si="76"/>
        <v>0</v>
      </c>
      <c r="BR56" s="50">
        <f t="shared" si="16"/>
        <v>0</v>
      </c>
      <c r="BS56" s="51">
        <f t="shared" si="17"/>
        <v>-5.9972494836139223</v>
      </c>
      <c r="BT56" s="52">
        <f t="shared" si="68"/>
        <v>-0.11929588872118897</v>
      </c>
      <c r="BU56" s="58">
        <f t="shared" si="40"/>
        <v>-5.9972494836139223</v>
      </c>
      <c r="BW56" s="39" t="s">
        <v>41</v>
      </c>
      <c r="BX56" s="21">
        <f t="shared" si="69"/>
        <v>-0.204473452523388</v>
      </c>
      <c r="BY56" s="23">
        <f t="shared" si="41"/>
        <v>-10.300833088408764</v>
      </c>
      <c r="BZ56" s="36">
        <f>MAX('BATS 2023 TLFD'!S44,0.0001)</f>
        <v>1E-4</v>
      </c>
      <c r="CA56" s="45">
        <f>modeldata!H44/modeldata!H$156</f>
        <v>6.6666666666666671E-3</v>
      </c>
      <c r="CB56" s="48">
        <f t="shared" si="27"/>
        <v>65.666666666666671</v>
      </c>
      <c r="CC56" s="49">
        <f t="shared" si="77"/>
        <v>0</v>
      </c>
      <c r="CD56" s="50">
        <f t="shared" si="19"/>
        <v>0</v>
      </c>
      <c r="CE56" s="51">
        <f t="shared" si="20"/>
        <v>-10.300833088408764</v>
      </c>
      <c r="CF56" s="52">
        <f t="shared" si="70"/>
        <v>-0.20447345252338778</v>
      </c>
      <c r="CG56" s="58">
        <f t="shared" si="42"/>
        <v>-10.300833088408764</v>
      </c>
    </row>
    <row r="57" spans="1:85" x14ac:dyDescent="0.25">
      <c r="A57" s="81">
        <f t="shared" si="28"/>
        <v>41.5</v>
      </c>
      <c r="B57" s="83">
        <f t="shared" si="28"/>
        <v>41</v>
      </c>
      <c r="C57" s="39" t="s">
        <v>42</v>
      </c>
      <c r="D57" s="21">
        <f t="shared" si="57"/>
        <v>-0.21370826062045101</v>
      </c>
      <c r="E57" s="23">
        <f t="shared" si="29"/>
        <v>-10.594628027476418</v>
      </c>
      <c r="F57" s="36">
        <f>MAX('BATS 2023 TLFD'!M45,0.0001)</f>
        <v>1.8373023496311557E-3</v>
      </c>
      <c r="G57" s="45">
        <f>modeldata!B45/modeldata!B$156</f>
        <v>6.6666666666666671E-3</v>
      </c>
      <c r="H57" s="48">
        <f t="shared" si="21"/>
        <v>2.6285082136889564</v>
      </c>
      <c r="I57" s="49">
        <f t="shared" si="71"/>
        <v>0</v>
      </c>
      <c r="J57" s="50">
        <f t="shared" si="1"/>
        <v>0</v>
      </c>
      <c r="K57" s="51">
        <f t="shared" si="2"/>
        <v>-10.594628027476418</v>
      </c>
      <c r="L57" s="52">
        <f t="shared" si="58"/>
        <v>-0.21370826062045095</v>
      </c>
      <c r="M57" s="58">
        <f t="shared" si="30"/>
        <v>-10.594628027476418</v>
      </c>
      <c r="O57" s="39" t="s">
        <v>42</v>
      </c>
      <c r="P57" s="21">
        <f t="shared" si="59"/>
        <v>-0.18324871283782601</v>
      </c>
      <c r="Q57" s="23">
        <f t="shared" si="31"/>
        <v>-8.2935847783252274</v>
      </c>
      <c r="R57" s="36">
        <f>MAX('BATS 2023 TLFD'!N45,0.0001)</f>
        <v>2.0587431876981012E-4</v>
      </c>
      <c r="S57" s="45">
        <f>modeldata!C45/modeldata!C$156</f>
        <v>6.6666666666666671E-3</v>
      </c>
      <c r="T57" s="48">
        <f t="shared" si="22"/>
        <v>31.382216035991966</v>
      </c>
      <c r="U57" s="49">
        <f t="shared" si="72"/>
        <v>0</v>
      </c>
      <c r="V57" s="50">
        <f t="shared" si="4"/>
        <v>0</v>
      </c>
      <c r="W57" s="51">
        <f t="shared" si="5"/>
        <v>-8.2935847783252274</v>
      </c>
      <c r="X57" s="52">
        <f t="shared" si="60"/>
        <v>-0.18324871283782598</v>
      </c>
      <c r="Y57" s="58">
        <f t="shared" si="32"/>
        <v>-8.2935847783252274</v>
      </c>
      <c r="AA57" s="39" t="s">
        <v>42</v>
      </c>
      <c r="AB57" s="21">
        <f t="shared" si="61"/>
        <v>-0.10927638842708701</v>
      </c>
      <c r="AC57" s="23">
        <f t="shared" si="33"/>
        <v>-5.7504445016225434</v>
      </c>
      <c r="AD57" s="36">
        <f>MAX('BATS 2023 TLFD'!O45,0.0001)</f>
        <v>1E-4</v>
      </c>
      <c r="AE57" s="45">
        <f>modeldata!D45/modeldata!D$156</f>
        <v>6.6666666666666671E-3</v>
      </c>
      <c r="AF57" s="48">
        <f t="shared" si="23"/>
        <v>65.666666666666671</v>
      </c>
      <c r="AG57" s="49">
        <f t="shared" si="73"/>
        <v>0</v>
      </c>
      <c r="AH57" s="50">
        <f t="shared" si="7"/>
        <v>0</v>
      </c>
      <c r="AI57" s="51">
        <f t="shared" si="8"/>
        <v>-5.7504445016225434</v>
      </c>
      <c r="AJ57" s="52">
        <f t="shared" si="62"/>
        <v>-0.10927638842708705</v>
      </c>
      <c r="AK57" s="58">
        <f t="shared" si="34"/>
        <v>-5.7504445016225425</v>
      </c>
      <c r="AM57" s="39" t="s">
        <v>42</v>
      </c>
      <c r="AN57" s="21">
        <f t="shared" si="63"/>
        <v>-0.123766678676451</v>
      </c>
      <c r="AO57" s="23">
        <f t="shared" si="35"/>
        <v>-6.534880070590539</v>
      </c>
      <c r="AP57" s="36">
        <f>MAX('BATS 2023 TLFD'!P45,0.0001)</f>
        <v>1E-4</v>
      </c>
      <c r="AQ57" s="45">
        <f>modeldata!E45/modeldata!E$156</f>
        <v>6.6666666666666671E-3</v>
      </c>
      <c r="AR57" s="48">
        <f t="shared" si="24"/>
        <v>65.666666666666671</v>
      </c>
      <c r="AS57" s="49">
        <f t="shared" si="74"/>
        <v>0</v>
      </c>
      <c r="AT57" s="50">
        <f t="shared" si="10"/>
        <v>0</v>
      </c>
      <c r="AU57" s="51">
        <f t="shared" si="11"/>
        <v>-6.534880070590539</v>
      </c>
      <c r="AV57" s="52">
        <f t="shared" si="64"/>
        <v>-0.12376667867645086</v>
      </c>
      <c r="AW57" s="58">
        <f t="shared" si="36"/>
        <v>-6.534880070590539</v>
      </c>
      <c r="AY57" s="39" t="s">
        <v>42</v>
      </c>
      <c r="AZ57" s="21">
        <f t="shared" si="65"/>
        <v>-0.13060067927808</v>
      </c>
      <c r="BA57" s="23">
        <f t="shared" si="37"/>
        <v>-7.3152881708021624</v>
      </c>
      <c r="BB57" s="36">
        <f>MAX('BATS 2023 TLFD'!Q45,0.0001)</f>
        <v>1E-4</v>
      </c>
      <c r="BC57" s="45">
        <f>modeldata!F45/modeldata!F$156</f>
        <v>6.6666666666666671E-3</v>
      </c>
      <c r="BD57" s="48">
        <f t="shared" si="25"/>
        <v>65.666666666666671</v>
      </c>
      <c r="BE57" s="49">
        <f t="shared" si="75"/>
        <v>0</v>
      </c>
      <c r="BF57" s="50">
        <f t="shared" si="13"/>
        <v>0</v>
      </c>
      <c r="BG57" s="51">
        <f t="shared" si="14"/>
        <v>-7.3152881708021624</v>
      </c>
      <c r="BH57" s="52">
        <f t="shared" si="66"/>
        <v>-0.13060067927808028</v>
      </c>
      <c r="BI57" s="58">
        <f t="shared" si="38"/>
        <v>-7.3152881708021624</v>
      </c>
      <c r="BK57" s="39" t="s">
        <v>42</v>
      </c>
      <c r="BL57" s="21">
        <f t="shared" si="67"/>
        <v>-0.119295888721189</v>
      </c>
      <c r="BM57" s="23">
        <f t="shared" si="39"/>
        <v>-6.1165453723351115</v>
      </c>
      <c r="BN57" s="36">
        <f>MAX('BATS 2023 TLFD'!R45,0.0001)</f>
        <v>1E-4</v>
      </c>
      <c r="BO57" s="45">
        <f>modeldata!G45/modeldata!G$156</f>
        <v>6.6666666666666671E-3</v>
      </c>
      <c r="BP57" s="48">
        <f t="shared" si="26"/>
        <v>65.666666666666671</v>
      </c>
      <c r="BQ57" s="49">
        <f t="shared" si="76"/>
        <v>0</v>
      </c>
      <c r="BR57" s="50">
        <f t="shared" si="16"/>
        <v>0</v>
      </c>
      <c r="BS57" s="51">
        <f t="shared" si="17"/>
        <v>-6.1165453723351115</v>
      </c>
      <c r="BT57" s="52">
        <f t="shared" si="68"/>
        <v>-0.11929588872118897</v>
      </c>
      <c r="BU57" s="58">
        <f t="shared" si="40"/>
        <v>-6.1165453723351115</v>
      </c>
      <c r="BW57" s="39" t="s">
        <v>42</v>
      </c>
      <c r="BX57" s="21">
        <f t="shared" si="69"/>
        <v>-0.204473452523388</v>
      </c>
      <c r="BY57" s="23">
        <f t="shared" si="41"/>
        <v>-10.505306540932152</v>
      </c>
      <c r="BZ57" s="36">
        <f>MAX('BATS 2023 TLFD'!S45,0.0001)</f>
        <v>1E-4</v>
      </c>
      <c r="CA57" s="45">
        <f>modeldata!H45/modeldata!H$156</f>
        <v>6.6666666666666671E-3</v>
      </c>
      <c r="CB57" s="48">
        <f t="shared" si="27"/>
        <v>65.666666666666671</v>
      </c>
      <c r="CC57" s="49">
        <f t="shared" si="77"/>
        <v>0</v>
      </c>
      <c r="CD57" s="50">
        <f t="shared" si="19"/>
        <v>0</v>
      </c>
      <c r="CE57" s="51">
        <f t="shared" si="20"/>
        <v>-10.505306540932152</v>
      </c>
      <c r="CF57" s="52">
        <f t="shared" si="70"/>
        <v>-0.20447345252338778</v>
      </c>
      <c r="CG57" s="58">
        <f t="shared" si="42"/>
        <v>-10.505306540932152</v>
      </c>
    </row>
    <row r="58" spans="1:85" x14ac:dyDescent="0.25">
      <c r="A58" s="81">
        <f t="shared" si="28"/>
        <v>42.5</v>
      </c>
      <c r="B58" s="83">
        <f t="shared" si="28"/>
        <v>42</v>
      </c>
      <c r="C58" s="39" t="s">
        <v>43</v>
      </c>
      <c r="D58" s="21">
        <f t="shared" si="57"/>
        <v>-0.21370826062045101</v>
      </c>
      <c r="E58" s="23">
        <f t="shared" si="29"/>
        <v>-10.808336288096868</v>
      </c>
      <c r="F58" s="36">
        <f>MAX('BATS 2023 TLFD'!M46,0.0001)</f>
        <v>1E-4</v>
      </c>
      <c r="G58" s="45">
        <f>modeldata!B46/modeldata!B$156</f>
        <v>6.6666666666666671E-3</v>
      </c>
      <c r="H58" s="48">
        <f t="shared" si="21"/>
        <v>65.666666666666671</v>
      </c>
      <c r="I58" s="49">
        <f t="shared" si="71"/>
        <v>0</v>
      </c>
      <c r="J58" s="50">
        <f t="shared" si="1"/>
        <v>0</v>
      </c>
      <c r="K58" s="51">
        <f t="shared" si="2"/>
        <v>-10.808336288096868</v>
      </c>
      <c r="L58" s="52">
        <f t="shared" si="58"/>
        <v>-0.21370826062045095</v>
      </c>
      <c r="M58" s="58">
        <f t="shared" si="30"/>
        <v>-10.808336288096868</v>
      </c>
      <c r="O58" s="39" t="s">
        <v>43</v>
      </c>
      <c r="P58" s="21">
        <f t="shared" si="59"/>
        <v>-0.18324871283782601</v>
      </c>
      <c r="Q58" s="23">
        <f t="shared" si="31"/>
        <v>-8.4768334911630543</v>
      </c>
      <c r="R58" s="36">
        <f>MAX('BATS 2023 TLFD'!N46,0.0001)</f>
        <v>1.0572814010240501E-3</v>
      </c>
      <c r="S58" s="45">
        <f>modeldata!C46/modeldata!C$156</f>
        <v>6.6666666666666671E-3</v>
      </c>
      <c r="T58" s="48">
        <f t="shared" si="22"/>
        <v>5.3054799414891249</v>
      </c>
      <c r="U58" s="49">
        <f t="shared" si="72"/>
        <v>0</v>
      </c>
      <c r="V58" s="50">
        <f t="shared" si="4"/>
        <v>0</v>
      </c>
      <c r="W58" s="51">
        <f t="shared" si="5"/>
        <v>-8.4768334911630543</v>
      </c>
      <c r="X58" s="52">
        <f t="shared" si="60"/>
        <v>-0.18324871283782598</v>
      </c>
      <c r="Y58" s="58">
        <f t="shared" si="32"/>
        <v>-8.4768334911630543</v>
      </c>
      <c r="AA58" s="39" t="s">
        <v>43</v>
      </c>
      <c r="AB58" s="21">
        <f t="shared" si="61"/>
        <v>-0.10927638842708701</v>
      </c>
      <c r="AC58" s="23">
        <f t="shared" si="33"/>
        <v>-5.8597208900496307</v>
      </c>
      <c r="AD58" s="36">
        <f>MAX('BATS 2023 TLFD'!O46,0.0001)</f>
        <v>1.5685270483981103E-3</v>
      </c>
      <c r="AE58" s="45">
        <f>modeldata!D46/modeldata!D$156</f>
        <v>6.6666666666666671E-3</v>
      </c>
      <c r="AF58" s="48">
        <f t="shared" si="23"/>
        <v>3.2502720456591003</v>
      </c>
      <c r="AG58" s="49">
        <f t="shared" si="73"/>
        <v>0</v>
      </c>
      <c r="AH58" s="50">
        <f t="shared" si="7"/>
        <v>0</v>
      </c>
      <c r="AI58" s="51">
        <f t="shared" si="8"/>
        <v>-5.8597208900496307</v>
      </c>
      <c r="AJ58" s="52">
        <f t="shared" si="62"/>
        <v>-0.10927638842708705</v>
      </c>
      <c r="AK58" s="58">
        <f t="shared" si="34"/>
        <v>-5.8597208900496298</v>
      </c>
      <c r="AM58" s="39" t="s">
        <v>43</v>
      </c>
      <c r="AN58" s="21">
        <f t="shared" si="63"/>
        <v>-0.123766678676451</v>
      </c>
      <c r="AO58" s="23">
        <f t="shared" si="35"/>
        <v>-6.6586467492669899</v>
      </c>
      <c r="AP58" s="36">
        <f>MAX('BATS 2023 TLFD'!P46,0.0001)</f>
        <v>2.526595438336158E-4</v>
      </c>
      <c r="AQ58" s="45">
        <f>modeldata!E46/modeldata!E$156</f>
        <v>6.6666666666666671E-3</v>
      </c>
      <c r="AR58" s="48">
        <f t="shared" si="24"/>
        <v>25.385968111526694</v>
      </c>
      <c r="AS58" s="49">
        <f t="shared" si="74"/>
        <v>0</v>
      </c>
      <c r="AT58" s="50">
        <f t="shared" si="10"/>
        <v>0</v>
      </c>
      <c r="AU58" s="51">
        <f t="shared" si="11"/>
        <v>-6.6586467492669899</v>
      </c>
      <c r="AV58" s="52">
        <f t="shared" si="64"/>
        <v>-0.12376667867645086</v>
      </c>
      <c r="AW58" s="58">
        <f t="shared" si="36"/>
        <v>-6.6586467492669899</v>
      </c>
      <c r="AY58" s="39" t="s">
        <v>43</v>
      </c>
      <c r="AZ58" s="21">
        <f t="shared" si="65"/>
        <v>-0.13060067927808</v>
      </c>
      <c r="BA58" s="23">
        <f t="shared" si="37"/>
        <v>-7.4458888500802427</v>
      </c>
      <c r="BB58" s="36">
        <f>MAX('BATS 2023 TLFD'!Q46,0.0001)</f>
        <v>2.2761530265114164E-4</v>
      </c>
      <c r="BC58" s="45">
        <f>modeldata!F46/modeldata!F$156</f>
        <v>6.6666666666666671E-3</v>
      </c>
      <c r="BD58" s="48">
        <f t="shared" si="25"/>
        <v>28.289184817615027</v>
      </c>
      <c r="BE58" s="49">
        <f t="shared" si="75"/>
        <v>0</v>
      </c>
      <c r="BF58" s="50">
        <f t="shared" si="13"/>
        <v>0</v>
      </c>
      <c r="BG58" s="51">
        <f t="shared" si="14"/>
        <v>-7.4458888500802427</v>
      </c>
      <c r="BH58" s="52">
        <f t="shared" si="66"/>
        <v>-0.13060067927808028</v>
      </c>
      <c r="BI58" s="58">
        <f t="shared" si="38"/>
        <v>-7.4458888500802427</v>
      </c>
      <c r="BK58" s="39" t="s">
        <v>43</v>
      </c>
      <c r="BL58" s="21">
        <f t="shared" si="67"/>
        <v>-0.119295888721189</v>
      </c>
      <c r="BM58" s="23">
        <f t="shared" si="39"/>
        <v>-6.2358412610563008</v>
      </c>
      <c r="BN58" s="36">
        <f>MAX('BATS 2023 TLFD'!R46,0.0001)</f>
        <v>1.6319210762248603E-4</v>
      </c>
      <c r="BO58" s="45">
        <f>modeldata!G46/modeldata!G$156</f>
        <v>6.6666666666666671E-3</v>
      </c>
      <c r="BP58" s="48">
        <f t="shared" si="26"/>
        <v>39.851648794736661</v>
      </c>
      <c r="BQ58" s="49">
        <f t="shared" si="76"/>
        <v>0</v>
      </c>
      <c r="BR58" s="50">
        <f t="shared" si="16"/>
        <v>0</v>
      </c>
      <c r="BS58" s="51">
        <f t="shared" si="17"/>
        <v>-6.2358412610563008</v>
      </c>
      <c r="BT58" s="52">
        <f t="shared" si="68"/>
        <v>-0.11929588872118897</v>
      </c>
      <c r="BU58" s="58">
        <f t="shared" si="40"/>
        <v>-6.2358412610563008</v>
      </c>
      <c r="BW58" s="39" t="s">
        <v>43</v>
      </c>
      <c r="BX58" s="21">
        <f t="shared" si="69"/>
        <v>-0.204473452523388</v>
      </c>
      <c r="BY58" s="23">
        <f t="shared" si="41"/>
        <v>-10.709779993455539</v>
      </c>
      <c r="BZ58" s="36">
        <f>MAX('BATS 2023 TLFD'!S46,0.0001)</f>
        <v>1E-4</v>
      </c>
      <c r="CA58" s="45">
        <f>modeldata!H46/modeldata!H$156</f>
        <v>6.6666666666666671E-3</v>
      </c>
      <c r="CB58" s="48">
        <f t="shared" si="27"/>
        <v>65.666666666666671</v>
      </c>
      <c r="CC58" s="49">
        <f t="shared" si="77"/>
        <v>0</v>
      </c>
      <c r="CD58" s="50">
        <f t="shared" si="19"/>
        <v>0</v>
      </c>
      <c r="CE58" s="51">
        <f t="shared" si="20"/>
        <v>-10.709779993455539</v>
      </c>
      <c r="CF58" s="52">
        <f t="shared" si="70"/>
        <v>-0.20447345252338778</v>
      </c>
      <c r="CG58" s="58">
        <f t="shared" si="42"/>
        <v>-10.709779993455539</v>
      </c>
    </row>
    <row r="59" spans="1:85" x14ac:dyDescent="0.25">
      <c r="A59" s="81">
        <f t="shared" si="28"/>
        <v>43.5</v>
      </c>
      <c r="B59" s="83">
        <f t="shared" si="28"/>
        <v>43</v>
      </c>
      <c r="C59" s="39" t="s">
        <v>44</v>
      </c>
      <c r="D59" s="21">
        <f t="shared" si="57"/>
        <v>-0.21370826062045101</v>
      </c>
      <c r="E59" s="23">
        <f t="shared" si="29"/>
        <v>-11.022044548717318</v>
      </c>
      <c r="F59" s="36">
        <f>MAX('BATS 2023 TLFD'!M47,0.0001)</f>
        <v>1E-4</v>
      </c>
      <c r="G59" s="45">
        <f>modeldata!B47/modeldata!B$156</f>
        <v>6.6666666666666671E-3</v>
      </c>
      <c r="H59" s="48">
        <f t="shared" si="21"/>
        <v>65.666666666666671</v>
      </c>
      <c r="I59" s="49">
        <f t="shared" si="71"/>
        <v>0</v>
      </c>
      <c r="J59" s="50">
        <f t="shared" si="1"/>
        <v>0</v>
      </c>
      <c r="K59" s="51">
        <f t="shared" si="2"/>
        <v>-11.022044548717318</v>
      </c>
      <c r="L59" s="52">
        <f t="shared" si="58"/>
        <v>-0.21370826062045095</v>
      </c>
      <c r="M59" s="58">
        <f t="shared" si="30"/>
        <v>-11.022044548717318</v>
      </c>
      <c r="O59" s="39" t="s">
        <v>44</v>
      </c>
      <c r="P59" s="21">
        <f t="shared" si="59"/>
        <v>-0.18324871283782601</v>
      </c>
      <c r="Q59" s="23">
        <f t="shared" si="31"/>
        <v>-8.6600822040008811</v>
      </c>
      <c r="R59" s="36">
        <f>MAX('BATS 2023 TLFD'!N47,0.0001)</f>
        <v>1E-4</v>
      </c>
      <c r="S59" s="45">
        <f>modeldata!C47/modeldata!C$156</f>
        <v>6.6666666666666671E-3</v>
      </c>
      <c r="T59" s="48">
        <f t="shared" si="22"/>
        <v>65.666666666666671</v>
      </c>
      <c r="U59" s="49">
        <f t="shared" si="72"/>
        <v>0</v>
      </c>
      <c r="V59" s="50">
        <f t="shared" si="4"/>
        <v>0</v>
      </c>
      <c r="W59" s="51">
        <f t="shared" si="5"/>
        <v>-8.6600822040008811</v>
      </c>
      <c r="X59" s="52">
        <f t="shared" si="60"/>
        <v>-0.18324871283782598</v>
      </c>
      <c r="Y59" s="58">
        <f t="shared" si="32"/>
        <v>-8.6600822040008811</v>
      </c>
      <c r="AA59" s="39" t="s">
        <v>44</v>
      </c>
      <c r="AB59" s="21">
        <f t="shared" si="61"/>
        <v>-0.10927638842708701</v>
      </c>
      <c r="AC59" s="23">
        <f t="shared" si="33"/>
        <v>-5.968997278476718</v>
      </c>
      <c r="AD59" s="36">
        <f>MAX('BATS 2023 TLFD'!O47,0.0001)</f>
        <v>1E-4</v>
      </c>
      <c r="AE59" s="45">
        <f>modeldata!D47/modeldata!D$156</f>
        <v>6.6666666666666671E-3</v>
      </c>
      <c r="AF59" s="48">
        <f t="shared" si="23"/>
        <v>65.666666666666671</v>
      </c>
      <c r="AG59" s="49">
        <f t="shared" si="73"/>
        <v>0</v>
      </c>
      <c r="AH59" s="50">
        <f t="shared" si="7"/>
        <v>0</v>
      </c>
      <c r="AI59" s="51">
        <f t="shared" si="8"/>
        <v>-5.968997278476718</v>
      </c>
      <c r="AJ59" s="52">
        <f t="shared" si="62"/>
        <v>-0.10927638842708705</v>
      </c>
      <c r="AK59" s="58">
        <f t="shared" si="34"/>
        <v>-5.9689972784767171</v>
      </c>
      <c r="AM59" s="39" t="s">
        <v>44</v>
      </c>
      <c r="AN59" s="21">
        <f t="shared" si="63"/>
        <v>-0.123766678676451</v>
      </c>
      <c r="AO59" s="23">
        <f t="shared" si="35"/>
        <v>-6.7824134279434407</v>
      </c>
      <c r="AP59" s="36">
        <f>MAX('BATS 2023 TLFD'!P47,0.0001)</f>
        <v>1.3939163903826978E-3</v>
      </c>
      <c r="AQ59" s="45">
        <f>modeldata!E47/modeldata!E$156</f>
        <v>6.6666666666666671E-3</v>
      </c>
      <c r="AR59" s="48">
        <f t="shared" si="24"/>
        <v>3.7826876222011734</v>
      </c>
      <c r="AS59" s="49">
        <f t="shared" si="74"/>
        <v>0</v>
      </c>
      <c r="AT59" s="50">
        <f t="shared" si="10"/>
        <v>0</v>
      </c>
      <c r="AU59" s="51">
        <f t="shared" si="11"/>
        <v>-6.7824134279434407</v>
      </c>
      <c r="AV59" s="52">
        <f t="shared" si="64"/>
        <v>-0.12376667867645086</v>
      </c>
      <c r="AW59" s="58">
        <f t="shared" si="36"/>
        <v>-6.7824134279434407</v>
      </c>
      <c r="AY59" s="39" t="s">
        <v>44</v>
      </c>
      <c r="AZ59" s="21">
        <f t="shared" si="65"/>
        <v>-0.13060067927808</v>
      </c>
      <c r="BA59" s="23">
        <f t="shared" si="37"/>
        <v>-7.576489529358323</v>
      </c>
      <c r="BB59" s="36">
        <f>MAX('BATS 2023 TLFD'!Q47,0.0001)</f>
        <v>1E-4</v>
      </c>
      <c r="BC59" s="45">
        <f>modeldata!F47/modeldata!F$156</f>
        <v>6.6666666666666671E-3</v>
      </c>
      <c r="BD59" s="48">
        <f t="shared" si="25"/>
        <v>65.666666666666671</v>
      </c>
      <c r="BE59" s="49">
        <f t="shared" si="75"/>
        <v>0</v>
      </c>
      <c r="BF59" s="50">
        <f t="shared" si="13"/>
        <v>0</v>
      </c>
      <c r="BG59" s="51">
        <f t="shared" si="14"/>
        <v>-7.576489529358323</v>
      </c>
      <c r="BH59" s="52">
        <f t="shared" si="66"/>
        <v>-0.13060067927808028</v>
      </c>
      <c r="BI59" s="58">
        <f t="shared" si="38"/>
        <v>-7.576489529358323</v>
      </c>
      <c r="BK59" s="39" t="s">
        <v>44</v>
      </c>
      <c r="BL59" s="21">
        <f t="shared" si="67"/>
        <v>-0.119295888721189</v>
      </c>
      <c r="BM59" s="23">
        <f t="shared" si="39"/>
        <v>-6.35513714977749</v>
      </c>
      <c r="BN59" s="36">
        <f>MAX('BATS 2023 TLFD'!R47,0.0001)</f>
        <v>1.3945084899845512E-4</v>
      </c>
      <c r="BO59" s="45">
        <f>modeldata!G47/modeldata!G$156</f>
        <v>6.6666666666666671E-3</v>
      </c>
      <c r="BP59" s="48">
        <f t="shared" si="26"/>
        <v>46.806569228850826</v>
      </c>
      <c r="BQ59" s="49">
        <f t="shared" si="76"/>
        <v>0</v>
      </c>
      <c r="BR59" s="50">
        <f t="shared" si="16"/>
        <v>0</v>
      </c>
      <c r="BS59" s="51">
        <f t="shared" si="17"/>
        <v>-6.35513714977749</v>
      </c>
      <c r="BT59" s="52">
        <f t="shared" si="68"/>
        <v>-0.11929588872118897</v>
      </c>
      <c r="BU59" s="58">
        <f t="shared" si="40"/>
        <v>-6.35513714977749</v>
      </c>
      <c r="BW59" s="39" t="s">
        <v>44</v>
      </c>
      <c r="BX59" s="21">
        <f t="shared" si="69"/>
        <v>-0.204473452523388</v>
      </c>
      <c r="BY59" s="23">
        <f t="shared" si="41"/>
        <v>-10.914253445978927</v>
      </c>
      <c r="BZ59" s="36">
        <f>MAX('BATS 2023 TLFD'!S47,0.0001)</f>
        <v>1E-4</v>
      </c>
      <c r="CA59" s="45">
        <f>modeldata!H47/modeldata!H$156</f>
        <v>6.6666666666666671E-3</v>
      </c>
      <c r="CB59" s="48">
        <f t="shared" si="27"/>
        <v>65.666666666666671</v>
      </c>
      <c r="CC59" s="49">
        <f t="shared" si="77"/>
        <v>0</v>
      </c>
      <c r="CD59" s="50">
        <f t="shared" si="19"/>
        <v>0</v>
      </c>
      <c r="CE59" s="51">
        <f t="shared" si="20"/>
        <v>-10.914253445978927</v>
      </c>
      <c r="CF59" s="52">
        <f t="shared" si="70"/>
        <v>-0.20447345252338778</v>
      </c>
      <c r="CG59" s="58">
        <f t="shared" si="42"/>
        <v>-10.914253445978927</v>
      </c>
    </row>
    <row r="60" spans="1:85" x14ac:dyDescent="0.25">
      <c r="A60" s="81">
        <f t="shared" si="28"/>
        <v>44.5</v>
      </c>
      <c r="B60" s="83">
        <f t="shared" si="28"/>
        <v>44</v>
      </c>
      <c r="C60" s="39" t="s">
        <v>45</v>
      </c>
      <c r="D60" s="21">
        <f t="shared" si="57"/>
        <v>-0.21370826062045101</v>
      </c>
      <c r="E60" s="23">
        <f t="shared" si="29"/>
        <v>-11.235752809337768</v>
      </c>
      <c r="F60" s="36">
        <f>MAX('BATS 2023 TLFD'!M48,0.0001)</f>
        <v>5.7563213692024605E-4</v>
      </c>
      <c r="G60" s="45">
        <f>modeldata!B48/modeldata!B$156</f>
        <v>6.6666666666666671E-3</v>
      </c>
      <c r="H60" s="48">
        <f t="shared" si="21"/>
        <v>10.581470593936514</v>
      </c>
      <c r="I60" s="49">
        <f t="shared" si="71"/>
        <v>0</v>
      </c>
      <c r="J60" s="50">
        <f t="shared" si="1"/>
        <v>0</v>
      </c>
      <c r="K60" s="51">
        <f t="shared" si="2"/>
        <v>-11.235752809337768</v>
      </c>
      <c r="L60" s="52">
        <f t="shared" si="58"/>
        <v>-0.21370826062045095</v>
      </c>
      <c r="M60" s="58">
        <f t="shared" si="30"/>
        <v>-11.235752809337768</v>
      </c>
      <c r="O60" s="39" t="s">
        <v>45</v>
      </c>
      <c r="P60" s="21">
        <f t="shared" si="59"/>
        <v>-0.18324871283782601</v>
      </c>
      <c r="Q60" s="23">
        <f t="shared" si="31"/>
        <v>-8.843330916838708</v>
      </c>
      <c r="R60" s="36">
        <f>MAX('BATS 2023 TLFD'!N48,0.0001)</f>
        <v>1.3512030083427137E-3</v>
      </c>
      <c r="S60" s="45">
        <f>modeldata!C48/modeldata!C$156</f>
        <v>6.6666666666666671E-3</v>
      </c>
      <c r="T60" s="48">
        <f t="shared" si="22"/>
        <v>3.933874943664839</v>
      </c>
      <c r="U60" s="49">
        <f t="shared" si="72"/>
        <v>0</v>
      </c>
      <c r="V60" s="50">
        <f t="shared" si="4"/>
        <v>0</v>
      </c>
      <c r="W60" s="51">
        <f t="shared" si="5"/>
        <v>-8.843330916838708</v>
      </c>
      <c r="X60" s="52">
        <f t="shared" si="60"/>
        <v>-0.18324871283782598</v>
      </c>
      <c r="Y60" s="58">
        <f t="shared" si="32"/>
        <v>-8.843330916838708</v>
      </c>
      <c r="AA60" s="39" t="s">
        <v>45</v>
      </c>
      <c r="AB60" s="21">
        <f t="shared" si="61"/>
        <v>-0.10927638842708701</v>
      </c>
      <c r="AC60" s="23">
        <f t="shared" si="33"/>
        <v>-6.0782736669038053</v>
      </c>
      <c r="AD60" s="36">
        <f>MAX('BATS 2023 TLFD'!O48,0.0001)</f>
        <v>1E-4</v>
      </c>
      <c r="AE60" s="45">
        <f>modeldata!D48/modeldata!D$156</f>
        <v>6.6666666666666671E-3</v>
      </c>
      <c r="AF60" s="48">
        <f t="shared" si="23"/>
        <v>65.666666666666671</v>
      </c>
      <c r="AG60" s="49">
        <f t="shared" si="73"/>
        <v>0</v>
      </c>
      <c r="AH60" s="50">
        <f t="shared" si="7"/>
        <v>0</v>
      </c>
      <c r="AI60" s="51">
        <f t="shared" si="8"/>
        <v>-6.0782736669038053</v>
      </c>
      <c r="AJ60" s="52">
        <f t="shared" si="62"/>
        <v>-0.10927638842708705</v>
      </c>
      <c r="AK60" s="58">
        <f t="shared" si="34"/>
        <v>-6.0782736669038044</v>
      </c>
      <c r="AM60" s="39" t="s">
        <v>45</v>
      </c>
      <c r="AN60" s="21">
        <f t="shared" si="63"/>
        <v>-0.123766678676451</v>
      </c>
      <c r="AO60" s="23">
        <f t="shared" si="35"/>
        <v>-6.9061801066198916</v>
      </c>
      <c r="AP60" s="36">
        <f>MAX('BATS 2023 TLFD'!P48,0.0001)</f>
        <v>8.0877231075836601E-4</v>
      </c>
      <c r="AQ60" s="45">
        <f>modeldata!E48/modeldata!E$156</f>
        <v>6.6666666666666671E-3</v>
      </c>
      <c r="AR60" s="48">
        <f t="shared" si="24"/>
        <v>7.2429462260095141</v>
      </c>
      <c r="AS60" s="49">
        <f t="shared" si="74"/>
        <v>0</v>
      </c>
      <c r="AT60" s="50">
        <f t="shared" si="10"/>
        <v>0</v>
      </c>
      <c r="AU60" s="51">
        <f t="shared" si="11"/>
        <v>-6.9061801066198916</v>
      </c>
      <c r="AV60" s="52">
        <f t="shared" si="64"/>
        <v>-0.12376667867645086</v>
      </c>
      <c r="AW60" s="58">
        <f t="shared" si="36"/>
        <v>-6.9061801066198916</v>
      </c>
      <c r="AY60" s="39" t="s">
        <v>45</v>
      </c>
      <c r="AZ60" s="21">
        <f t="shared" si="65"/>
        <v>-0.13060067927808</v>
      </c>
      <c r="BA60" s="23">
        <f t="shared" si="37"/>
        <v>-7.7070902086364033</v>
      </c>
      <c r="BB60" s="36">
        <f>MAX('BATS 2023 TLFD'!Q48,0.0001)</f>
        <v>9.2463430989336989E-4</v>
      </c>
      <c r="BC60" s="45">
        <f>modeldata!F48/modeldata!F$156</f>
        <v>6.6666666666666671E-3</v>
      </c>
      <c r="BD60" s="48">
        <f t="shared" si="25"/>
        <v>6.2100576361215456</v>
      </c>
      <c r="BE60" s="49">
        <f t="shared" si="75"/>
        <v>0</v>
      </c>
      <c r="BF60" s="50">
        <f t="shared" si="13"/>
        <v>0</v>
      </c>
      <c r="BG60" s="51">
        <f t="shared" si="14"/>
        <v>-7.7070902086364033</v>
      </c>
      <c r="BH60" s="52">
        <f t="shared" si="66"/>
        <v>-0.13060067927808028</v>
      </c>
      <c r="BI60" s="58">
        <f t="shared" si="38"/>
        <v>-7.7070902086364033</v>
      </c>
      <c r="BK60" s="39" t="s">
        <v>45</v>
      </c>
      <c r="BL60" s="21">
        <f t="shared" si="67"/>
        <v>-0.119295888721189</v>
      </c>
      <c r="BM60" s="23">
        <f t="shared" si="39"/>
        <v>-6.4744330384986792</v>
      </c>
      <c r="BN60" s="36">
        <f>MAX('BATS 2023 TLFD'!R48,0.0001)</f>
        <v>1E-4</v>
      </c>
      <c r="BO60" s="45">
        <f>modeldata!G48/modeldata!G$156</f>
        <v>6.6666666666666671E-3</v>
      </c>
      <c r="BP60" s="48">
        <f t="shared" si="26"/>
        <v>65.666666666666671</v>
      </c>
      <c r="BQ60" s="49">
        <f t="shared" si="76"/>
        <v>0</v>
      </c>
      <c r="BR60" s="50">
        <f t="shared" si="16"/>
        <v>0</v>
      </c>
      <c r="BS60" s="51">
        <f t="shared" si="17"/>
        <v>-6.4744330384986792</v>
      </c>
      <c r="BT60" s="52">
        <f t="shared" si="68"/>
        <v>-0.11929588872118897</v>
      </c>
      <c r="BU60" s="58">
        <f t="shared" si="40"/>
        <v>-6.4744330384986792</v>
      </c>
      <c r="BW60" s="39" t="s">
        <v>45</v>
      </c>
      <c r="BX60" s="21">
        <f t="shared" si="69"/>
        <v>-0.204473452523388</v>
      </c>
      <c r="BY60" s="23">
        <f t="shared" si="41"/>
        <v>-11.118726898502315</v>
      </c>
      <c r="BZ60" s="36">
        <f>MAX('BATS 2023 TLFD'!S48,0.0001)</f>
        <v>1E-4</v>
      </c>
      <c r="CA60" s="45">
        <f>modeldata!H48/modeldata!H$156</f>
        <v>6.6666666666666671E-3</v>
      </c>
      <c r="CB60" s="48">
        <f t="shared" si="27"/>
        <v>65.666666666666671</v>
      </c>
      <c r="CC60" s="49">
        <f t="shared" si="77"/>
        <v>0</v>
      </c>
      <c r="CD60" s="50">
        <f t="shared" si="19"/>
        <v>0</v>
      </c>
      <c r="CE60" s="51">
        <f t="shared" si="20"/>
        <v>-11.118726898502315</v>
      </c>
      <c r="CF60" s="52">
        <f t="shared" si="70"/>
        <v>-0.20447345252338778</v>
      </c>
      <c r="CG60" s="58">
        <f t="shared" si="42"/>
        <v>-11.118726898502315</v>
      </c>
    </row>
    <row r="61" spans="1:85" x14ac:dyDescent="0.25">
      <c r="A61" s="81">
        <f t="shared" si="28"/>
        <v>45.5</v>
      </c>
      <c r="B61" s="83">
        <f t="shared" si="28"/>
        <v>45</v>
      </c>
      <c r="C61" s="39" t="s">
        <v>46</v>
      </c>
      <c r="D61" s="21">
        <f t="shared" si="57"/>
        <v>-0.21370826062045101</v>
      </c>
      <c r="E61" s="23">
        <f t="shared" si="29"/>
        <v>-11.449461069958218</v>
      </c>
      <c r="F61" s="36">
        <f>MAX('BATS 2023 TLFD'!M49,0.0001)</f>
        <v>2.4729017298936928E-3</v>
      </c>
      <c r="G61" s="45">
        <f>modeldata!B49/modeldata!B$156</f>
        <v>6.6666666666666671E-3</v>
      </c>
      <c r="H61" s="48">
        <f t="shared" si="21"/>
        <v>1.6958882296359021</v>
      </c>
      <c r="I61" s="49">
        <f t="shared" si="71"/>
        <v>0</v>
      </c>
      <c r="J61" s="50">
        <f t="shared" si="1"/>
        <v>0</v>
      </c>
      <c r="K61" s="51">
        <f t="shared" si="2"/>
        <v>-11.449461069958218</v>
      </c>
      <c r="L61" s="52">
        <f t="shared" si="58"/>
        <v>-0.21370826062045095</v>
      </c>
      <c r="M61" s="58">
        <f t="shared" si="30"/>
        <v>-11.449461069958218</v>
      </c>
      <c r="O61" s="39" t="s">
        <v>46</v>
      </c>
      <c r="P61" s="21">
        <f t="shared" si="59"/>
        <v>-0.18324871283782601</v>
      </c>
      <c r="Q61" s="23">
        <f t="shared" si="31"/>
        <v>-9.0265796296765348</v>
      </c>
      <c r="R61" s="36">
        <f>MAX('BATS 2023 TLFD'!N49,0.0001)</f>
        <v>4.7873503222896238E-4</v>
      </c>
      <c r="S61" s="45">
        <f>modeldata!C49/modeldata!C$156</f>
        <v>6.6666666666666671E-3</v>
      </c>
      <c r="T61" s="48">
        <f t="shared" si="22"/>
        <v>12.925587679738113</v>
      </c>
      <c r="U61" s="49">
        <f t="shared" si="72"/>
        <v>0</v>
      </c>
      <c r="V61" s="50">
        <f t="shared" si="4"/>
        <v>0</v>
      </c>
      <c r="W61" s="51">
        <f t="shared" si="5"/>
        <v>-9.0265796296765348</v>
      </c>
      <c r="X61" s="52">
        <f t="shared" si="60"/>
        <v>-0.18324871283782598</v>
      </c>
      <c r="Y61" s="58">
        <f t="shared" si="32"/>
        <v>-9.0265796296765348</v>
      </c>
      <c r="AA61" s="39" t="s">
        <v>46</v>
      </c>
      <c r="AB61" s="21">
        <f t="shared" si="61"/>
        <v>-0.10927638842708701</v>
      </c>
      <c r="AC61" s="23">
        <f t="shared" si="33"/>
        <v>-6.1875500553308926</v>
      </c>
      <c r="AD61" s="36">
        <f>MAX('BATS 2023 TLFD'!O49,0.0001)</f>
        <v>1E-4</v>
      </c>
      <c r="AE61" s="45">
        <f>modeldata!D49/modeldata!D$156</f>
        <v>6.6666666666666671E-3</v>
      </c>
      <c r="AF61" s="48">
        <f t="shared" si="23"/>
        <v>65.666666666666671</v>
      </c>
      <c r="AG61" s="49">
        <f t="shared" si="73"/>
        <v>0</v>
      </c>
      <c r="AH61" s="50">
        <f t="shared" si="7"/>
        <v>0</v>
      </c>
      <c r="AI61" s="51">
        <f t="shared" si="8"/>
        <v>-6.1875500553308926</v>
      </c>
      <c r="AJ61" s="52">
        <f t="shared" si="62"/>
        <v>-0.10927638842708705</v>
      </c>
      <c r="AK61" s="58">
        <f t="shared" si="34"/>
        <v>-6.1875500553308918</v>
      </c>
      <c r="AM61" s="39" t="s">
        <v>46</v>
      </c>
      <c r="AN61" s="21">
        <f t="shared" si="63"/>
        <v>-0.123766678676451</v>
      </c>
      <c r="AO61" s="23">
        <f t="shared" si="35"/>
        <v>-7.0299467852963424</v>
      </c>
      <c r="AP61" s="36">
        <f>MAX('BATS 2023 TLFD'!P49,0.0001)</f>
        <v>1E-4</v>
      </c>
      <c r="AQ61" s="45">
        <f>modeldata!E49/modeldata!E$156</f>
        <v>6.6666666666666671E-3</v>
      </c>
      <c r="AR61" s="48">
        <f t="shared" si="24"/>
        <v>65.666666666666671</v>
      </c>
      <c r="AS61" s="49">
        <f t="shared" si="74"/>
        <v>0</v>
      </c>
      <c r="AT61" s="50">
        <f t="shared" si="10"/>
        <v>0</v>
      </c>
      <c r="AU61" s="51">
        <f t="shared" si="11"/>
        <v>-7.0299467852963424</v>
      </c>
      <c r="AV61" s="52">
        <f t="shared" si="64"/>
        <v>-0.12376667867645086</v>
      </c>
      <c r="AW61" s="58">
        <f t="shared" si="36"/>
        <v>-7.0299467852963424</v>
      </c>
      <c r="AY61" s="39" t="s">
        <v>46</v>
      </c>
      <c r="AZ61" s="21">
        <f t="shared" si="65"/>
        <v>-0.13060067927808</v>
      </c>
      <c r="BA61" s="23">
        <f t="shared" si="37"/>
        <v>-7.8376908879144835</v>
      </c>
      <c r="BB61" s="36">
        <f>MAX('BATS 2023 TLFD'!Q49,0.0001)</f>
        <v>1.4671639716799943E-3</v>
      </c>
      <c r="BC61" s="45">
        <f>modeldata!F49/modeldata!F$156</f>
        <v>6.6666666666666671E-3</v>
      </c>
      <c r="BD61" s="48">
        <f t="shared" si="25"/>
        <v>3.5439138333208366</v>
      </c>
      <c r="BE61" s="49">
        <f t="shared" si="75"/>
        <v>0</v>
      </c>
      <c r="BF61" s="50">
        <f t="shared" si="13"/>
        <v>0</v>
      </c>
      <c r="BG61" s="51">
        <f t="shared" si="14"/>
        <v>-7.8376908879144835</v>
      </c>
      <c r="BH61" s="52">
        <f t="shared" si="66"/>
        <v>-0.13060067927808028</v>
      </c>
      <c r="BI61" s="58">
        <f t="shared" si="38"/>
        <v>-7.8376908879144835</v>
      </c>
      <c r="BK61" s="39" t="s">
        <v>46</v>
      </c>
      <c r="BL61" s="21">
        <f t="shared" si="67"/>
        <v>-0.119295888721189</v>
      </c>
      <c r="BM61" s="23">
        <f t="shared" si="39"/>
        <v>-6.5937289272198685</v>
      </c>
      <c r="BN61" s="36">
        <f>MAX('BATS 2023 TLFD'!R49,0.0001)</f>
        <v>3.9239996932435709E-4</v>
      </c>
      <c r="BO61" s="45">
        <f>modeldata!G49/modeldata!G$156</f>
        <v>6.6666666666666671E-3</v>
      </c>
      <c r="BP61" s="48">
        <f t="shared" si="26"/>
        <v>15.989467858892754</v>
      </c>
      <c r="BQ61" s="49">
        <f t="shared" si="76"/>
        <v>0</v>
      </c>
      <c r="BR61" s="50">
        <f t="shared" si="16"/>
        <v>0</v>
      </c>
      <c r="BS61" s="51">
        <f t="shared" si="17"/>
        <v>-6.5937289272198685</v>
      </c>
      <c r="BT61" s="52">
        <f t="shared" si="68"/>
        <v>-0.11929588872118897</v>
      </c>
      <c r="BU61" s="58">
        <f t="shared" si="40"/>
        <v>-6.5937289272198685</v>
      </c>
      <c r="BW61" s="39" t="s">
        <v>46</v>
      </c>
      <c r="BX61" s="21">
        <f t="shared" si="69"/>
        <v>-0.204473452523388</v>
      </c>
      <c r="BY61" s="23">
        <f t="shared" si="41"/>
        <v>-11.323200351025703</v>
      </c>
      <c r="BZ61" s="36">
        <f>MAX('BATS 2023 TLFD'!S49,0.0001)</f>
        <v>1E-4</v>
      </c>
      <c r="CA61" s="45">
        <f>modeldata!H49/modeldata!H$156</f>
        <v>6.6666666666666671E-3</v>
      </c>
      <c r="CB61" s="48">
        <f t="shared" si="27"/>
        <v>65.666666666666671</v>
      </c>
      <c r="CC61" s="49">
        <f t="shared" si="77"/>
        <v>0</v>
      </c>
      <c r="CD61" s="50">
        <f t="shared" si="19"/>
        <v>0</v>
      </c>
      <c r="CE61" s="51">
        <f t="shared" si="20"/>
        <v>-11.323200351025703</v>
      </c>
      <c r="CF61" s="52">
        <f t="shared" si="70"/>
        <v>-0.20447345252338778</v>
      </c>
      <c r="CG61" s="58">
        <f t="shared" si="42"/>
        <v>-11.323200351025703</v>
      </c>
    </row>
    <row r="62" spans="1:85" x14ac:dyDescent="0.25">
      <c r="A62" s="81">
        <f t="shared" si="28"/>
        <v>46.5</v>
      </c>
      <c r="B62" s="83">
        <f t="shared" si="28"/>
        <v>46</v>
      </c>
      <c r="C62" s="39" t="s">
        <v>47</v>
      </c>
      <c r="D62" s="21">
        <f t="shared" si="57"/>
        <v>-0.21370826062045101</v>
      </c>
      <c r="E62" s="23">
        <f t="shared" si="29"/>
        <v>-11.663169330578668</v>
      </c>
      <c r="F62" s="36">
        <f>MAX('BATS 2023 TLFD'!M50,0.0001)</f>
        <v>1E-4</v>
      </c>
      <c r="G62" s="45">
        <f>modeldata!B50/modeldata!B$156</f>
        <v>6.6666666666666671E-3</v>
      </c>
      <c r="H62" s="48">
        <f t="shared" si="21"/>
        <v>65.666666666666671</v>
      </c>
      <c r="I62" s="49">
        <f t="shared" si="71"/>
        <v>0</v>
      </c>
      <c r="J62" s="50">
        <f t="shared" si="1"/>
        <v>0</v>
      </c>
      <c r="K62" s="51">
        <f t="shared" si="2"/>
        <v>-11.663169330578668</v>
      </c>
      <c r="L62" s="52">
        <f t="shared" si="58"/>
        <v>-0.21370826062045095</v>
      </c>
      <c r="M62" s="58">
        <f t="shared" si="30"/>
        <v>-11.663169330578668</v>
      </c>
      <c r="O62" s="39" t="s">
        <v>47</v>
      </c>
      <c r="P62" s="21">
        <f t="shared" si="59"/>
        <v>-0.18324871283782601</v>
      </c>
      <c r="Q62" s="23">
        <f t="shared" si="31"/>
        <v>-9.2098283425143617</v>
      </c>
      <c r="R62" s="36">
        <f>MAX('BATS 2023 TLFD'!N50,0.0001)</f>
        <v>1E-4</v>
      </c>
      <c r="S62" s="45">
        <f>modeldata!C50/modeldata!C$156</f>
        <v>6.6666666666666671E-3</v>
      </c>
      <c r="T62" s="48">
        <f t="shared" si="22"/>
        <v>65.666666666666671</v>
      </c>
      <c r="U62" s="49">
        <f t="shared" si="72"/>
        <v>0</v>
      </c>
      <c r="V62" s="50">
        <f t="shared" si="4"/>
        <v>0</v>
      </c>
      <c r="W62" s="51">
        <f t="shared" si="5"/>
        <v>-9.2098283425143617</v>
      </c>
      <c r="X62" s="52">
        <f t="shared" si="60"/>
        <v>-0.18324871283782598</v>
      </c>
      <c r="Y62" s="58">
        <f t="shared" si="32"/>
        <v>-9.2098283425143617</v>
      </c>
      <c r="AA62" s="39" t="s">
        <v>47</v>
      </c>
      <c r="AB62" s="21">
        <f t="shared" si="61"/>
        <v>-0.10927638842708701</v>
      </c>
      <c r="AC62" s="23">
        <f t="shared" si="33"/>
        <v>-6.29682644375798</v>
      </c>
      <c r="AD62" s="36">
        <f>MAX('BATS 2023 TLFD'!O50,0.0001)</f>
        <v>1E-4</v>
      </c>
      <c r="AE62" s="45">
        <f>modeldata!D50/modeldata!D$156</f>
        <v>6.6666666666666671E-3</v>
      </c>
      <c r="AF62" s="48">
        <f t="shared" si="23"/>
        <v>65.666666666666671</v>
      </c>
      <c r="AG62" s="49">
        <f t="shared" si="73"/>
        <v>0</v>
      </c>
      <c r="AH62" s="50">
        <f t="shared" si="7"/>
        <v>0</v>
      </c>
      <c r="AI62" s="51">
        <f t="shared" si="8"/>
        <v>-6.29682644375798</v>
      </c>
      <c r="AJ62" s="52">
        <f t="shared" si="62"/>
        <v>-0.10927638842708705</v>
      </c>
      <c r="AK62" s="58">
        <f t="shared" si="34"/>
        <v>-6.2968264437579791</v>
      </c>
      <c r="AM62" s="39" t="s">
        <v>47</v>
      </c>
      <c r="AN62" s="21">
        <f t="shared" si="63"/>
        <v>-0.123766678676451</v>
      </c>
      <c r="AO62" s="23">
        <f t="shared" si="35"/>
        <v>-7.1537134639727933</v>
      </c>
      <c r="AP62" s="36">
        <f>MAX('BATS 2023 TLFD'!P50,0.0001)</f>
        <v>6.2138071898773029E-4</v>
      </c>
      <c r="AQ62" s="45">
        <f>modeldata!E50/modeldata!E$156</f>
        <v>6.6666666666666671E-3</v>
      </c>
      <c r="AR62" s="48">
        <f t="shared" si="24"/>
        <v>9.7287955080535848</v>
      </c>
      <c r="AS62" s="49">
        <f t="shared" si="74"/>
        <v>0</v>
      </c>
      <c r="AT62" s="50">
        <f t="shared" si="10"/>
        <v>0</v>
      </c>
      <c r="AU62" s="51">
        <f t="shared" si="11"/>
        <v>-7.1537134639727933</v>
      </c>
      <c r="AV62" s="52">
        <f t="shared" si="64"/>
        <v>-0.12376667867645086</v>
      </c>
      <c r="AW62" s="58">
        <f t="shared" si="36"/>
        <v>-7.1537134639727933</v>
      </c>
      <c r="AY62" s="39" t="s">
        <v>47</v>
      </c>
      <c r="AZ62" s="21">
        <f t="shared" si="65"/>
        <v>-0.13060067927808</v>
      </c>
      <c r="BA62" s="23">
        <f t="shared" si="37"/>
        <v>-7.9682915671925638</v>
      </c>
      <c r="BB62" s="36">
        <f>MAX('BATS 2023 TLFD'!Q50,0.0001)</f>
        <v>1.1160151136939878E-4</v>
      </c>
      <c r="BC62" s="45">
        <f>modeldata!F50/modeldata!F$156</f>
        <v>6.6666666666666671E-3</v>
      </c>
      <c r="BD62" s="48">
        <f t="shared" si="25"/>
        <v>58.736347517733286</v>
      </c>
      <c r="BE62" s="49">
        <f t="shared" si="75"/>
        <v>0</v>
      </c>
      <c r="BF62" s="50">
        <f t="shared" si="13"/>
        <v>0</v>
      </c>
      <c r="BG62" s="51">
        <f t="shared" si="14"/>
        <v>-7.9682915671925638</v>
      </c>
      <c r="BH62" s="52">
        <f t="shared" si="66"/>
        <v>-0.13060067927808028</v>
      </c>
      <c r="BI62" s="58">
        <f t="shared" si="38"/>
        <v>-7.9682915671925638</v>
      </c>
      <c r="BK62" s="39" t="s">
        <v>47</v>
      </c>
      <c r="BL62" s="21">
        <f t="shared" si="67"/>
        <v>-0.119295888721189</v>
      </c>
      <c r="BM62" s="23">
        <f t="shared" si="39"/>
        <v>-6.7130248159410577</v>
      </c>
      <c r="BN62" s="36">
        <f>MAX('BATS 2023 TLFD'!R50,0.0001)</f>
        <v>1E-4</v>
      </c>
      <c r="BO62" s="45">
        <f>modeldata!G50/modeldata!G$156</f>
        <v>6.6666666666666671E-3</v>
      </c>
      <c r="BP62" s="48">
        <f t="shared" si="26"/>
        <v>65.666666666666671</v>
      </c>
      <c r="BQ62" s="49">
        <f t="shared" si="76"/>
        <v>0</v>
      </c>
      <c r="BR62" s="50">
        <f t="shared" si="16"/>
        <v>0</v>
      </c>
      <c r="BS62" s="51">
        <f t="shared" si="17"/>
        <v>-6.7130248159410577</v>
      </c>
      <c r="BT62" s="52">
        <f t="shared" si="68"/>
        <v>-0.11929588872118897</v>
      </c>
      <c r="BU62" s="58">
        <f t="shared" si="40"/>
        <v>-6.7130248159410577</v>
      </c>
      <c r="BW62" s="39" t="s">
        <v>47</v>
      </c>
      <c r="BX62" s="21">
        <f t="shared" si="69"/>
        <v>-0.204473452523388</v>
      </c>
      <c r="BY62" s="23">
        <f t="shared" si="41"/>
        <v>-11.52767380354909</v>
      </c>
      <c r="BZ62" s="36">
        <f>MAX('BATS 2023 TLFD'!S50,0.0001)</f>
        <v>1E-4</v>
      </c>
      <c r="CA62" s="45">
        <f>modeldata!H50/modeldata!H$156</f>
        <v>6.6666666666666671E-3</v>
      </c>
      <c r="CB62" s="48">
        <f t="shared" si="27"/>
        <v>65.666666666666671</v>
      </c>
      <c r="CC62" s="49">
        <f t="shared" si="77"/>
        <v>0</v>
      </c>
      <c r="CD62" s="50">
        <f t="shared" si="19"/>
        <v>0</v>
      </c>
      <c r="CE62" s="51">
        <f t="shared" si="20"/>
        <v>-11.52767380354909</v>
      </c>
      <c r="CF62" s="52">
        <f t="shared" si="70"/>
        <v>-0.20447345252338778</v>
      </c>
      <c r="CG62" s="58">
        <f t="shared" si="42"/>
        <v>-11.52767380354909</v>
      </c>
    </row>
    <row r="63" spans="1:85" x14ac:dyDescent="0.25">
      <c r="A63" s="81">
        <f t="shared" si="28"/>
        <v>47.5</v>
      </c>
      <c r="B63" s="83">
        <f t="shared" si="28"/>
        <v>47</v>
      </c>
      <c r="C63" s="39" t="s">
        <v>48</v>
      </c>
      <c r="D63" s="21">
        <f t="shared" si="57"/>
        <v>-0.21370826062045101</v>
      </c>
      <c r="E63" s="23">
        <f t="shared" si="29"/>
        <v>-11.876877591199118</v>
      </c>
      <c r="F63" s="36">
        <f>MAX('BATS 2023 TLFD'!M51,0.0001)</f>
        <v>1.8400589489472421E-4</v>
      </c>
      <c r="G63" s="45">
        <f>modeldata!B51/modeldata!B$156</f>
        <v>6.6666666666666671E-3</v>
      </c>
      <c r="H63" s="48">
        <f t="shared" si="21"/>
        <v>35.230723317211577</v>
      </c>
      <c r="I63" s="49">
        <f t="shared" si="71"/>
        <v>0</v>
      </c>
      <c r="J63" s="50">
        <f t="shared" si="1"/>
        <v>0</v>
      </c>
      <c r="K63" s="51">
        <f t="shared" si="2"/>
        <v>-11.876877591199118</v>
      </c>
      <c r="L63" s="52">
        <f t="shared" si="58"/>
        <v>-0.21370826062045095</v>
      </c>
      <c r="M63" s="58">
        <f t="shared" si="30"/>
        <v>-11.876877591199118</v>
      </c>
      <c r="O63" s="39" t="s">
        <v>48</v>
      </c>
      <c r="P63" s="21">
        <f t="shared" si="59"/>
        <v>-0.18324871283782601</v>
      </c>
      <c r="Q63" s="23">
        <f t="shared" si="31"/>
        <v>-9.3930770553521885</v>
      </c>
      <c r="R63" s="36">
        <f>MAX('BATS 2023 TLFD'!N51,0.0001)</f>
        <v>1E-4</v>
      </c>
      <c r="S63" s="45">
        <f>modeldata!C51/modeldata!C$156</f>
        <v>6.6666666666666671E-3</v>
      </c>
      <c r="T63" s="48">
        <f t="shared" si="22"/>
        <v>65.666666666666671</v>
      </c>
      <c r="U63" s="49">
        <f t="shared" si="72"/>
        <v>0</v>
      </c>
      <c r="V63" s="50">
        <f t="shared" si="4"/>
        <v>0</v>
      </c>
      <c r="W63" s="51">
        <f t="shared" si="5"/>
        <v>-9.3930770553521885</v>
      </c>
      <c r="X63" s="52">
        <f t="shared" si="60"/>
        <v>-0.18324871283782598</v>
      </c>
      <c r="Y63" s="58">
        <f t="shared" si="32"/>
        <v>-9.3930770553521885</v>
      </c>
      <c r="AA63" s="39" t="s">
        <v>48</v>
      </c>
      <c r="AB63" s="21">
        <f t="shared" si="61"/>
        <v>-0.10927638842708701</v>
      </c>
      <c r="AC63" s="23">
        <f t="shared" si="33"/>
        <v>-6.4061028321850673</v>
      </c>
      <c r="AD63" s="36">
        <f>MAX('BATS 2023 TLFD'!O51,0.0001)</f>
        <v>1E-4</v>
      </c>
      <c r="AE63" s="45">
        <f>modeldata!D51/modeldata!D$156</f>
        <v>6.6666666666666671E-3</v>
      </c>
      <c r="AF63" s="48">
        <f t="shared" si="23"/>
        <v>65.666666666666671</v>
      </c>
      <c r="AG63" s="49">
        <f t="shared" si="73"/>
        <v>0</v>
      </c>
      <c r="AH63" s="50">
        <f t="shared" si="7"/>
        <v>0</v>
      </c>
      <c r="AI63" s="51">
        <f t="shared" si="8"/>
        <v>-6.4061028321850673</v>
      </c>
      <c r="AJ63" s="52">
        <f t="shared" si="62"/>
        <v>-0.10927638842708705</v>
      </c>
      <c r="AK63" s="58">
        <f t="shared" si="34"/>
        <v>-6.4061028321850664</v>
      </c>
      <c r="AM63" s="39" t="s">
        <v>48</v>
      </c>
      <c r="AN63" s="21">
        <f t="shared" si="63"/>
        <v>-0.123766678676451</v>
      </c>
      <c r="AO63" s="23">
        <f t="shared" si="35"/>
        <v>-7.2774801426492441</v>
      </c>
      <c r="AP63" s="36">
        <f>MAX('BATS 2023 TLFD'!P51,0.0001)</f>
        <v>6.6201941086130897E-4</v>
      </c>
      <c r="AQ63" s="45">
        <f>modeldata!E51/modeldata!E$156</f>
        <v>6.6666666666666671E-3</v>
      </c>
      <c r="AR63" s="48">
        <f t="shared" si="24"/>
        <v>9.0701981804326781</v>
      </c>
      <c r="AS63" s="49">
        <f t="shared" si="74"/>
        <v>0</v>
      </c>
      <c r="AT63" s="50">
        <f t="shared" si="10"/>
        <v>0</v>
      </c>
      <c r="AU63" s="51">
        <f t="shared" si="11"/>
        <v>-7.2774801426492441</v>
      </c>
      <c r="AV63" s="52">
        <f t="shared" si="64"/>
        <v>-0.12376667867645086</v>
      </c>
      <c r="AW63" s="58">
        <f t="shared" si="36"/>
        <v>-7.2774801426492441</v>
      </c>
      <c r="AY63" s="39" t="s">
        <v>48</v>
      </c>
      <c r="AZ63" s="21">
        <f t="shared" si="65"/>
        <v>-0.13060067927808</v>
      </c>
      <c r="BA63" s="23">
        <f t="shared" si="37"/>
        <v>-8.0988922464706441</v>
      </c>
      <c r="BB63" s="36">
        <f>MAX('BATS 2023 TLFD'!Q51,0.0001)</f>
        <v>1E-4</v>
      </c>
      <c r="BC63" s="45">
        <f>modeldata!F51/modeldata!F$156</f>
        <v>6.6666666666666671E-3</v>
      </c>
      <c r="BD63" s="48">
        <f t="shared" si="25"/>
        <v>65.666666666666671</v>
      </c>
      <c r="BE63" s="49">
        <f t="shared" si="75"/>
        <v>0</v>
      </c>
      <c r="BF63" s="50">
        <f t="shared" si="13"/>
        <v>0</v>
      </c>
      <c r="BG63" s="51">
        <f t="shared" si="14"/>
        <v>-8.0988922464706441</v>
      </c>
      <c r="BH63" s="52">
        <f t="shared" si="66"/>
        <v>-0.13060067927808028</v>
      </c>
      <c r="BI63" s="58">
        <f t="shared" si="38"/>
        <v>-8.0988922464706441</v>
      </c>
      <c r="BK63" s="39" t="s">
        <v>48</v>
      </c>
      <c r="BL63" s="21">
        <f t="shared" si="67"/>
        <v>-0.119295888721189</v>
      </c>
      <c r="BM63" s="23">
        <f t="shared" si="39"/>
        <v>-6.8323207046622469</v>
      </c>
      <c r="BN63" s="36">
        <f>MAX('BATS 2023 TLFD'!R51,0.0001)</f>
        <v>3.5748535084636704E-4</v>
      </c>
      <c r="BO63" s="45">
        <f>modeldata!G51/modeldata!G$156</f>
        <v>6.6666666666666671E-3</v>
      </c>
      <c r="BP63" s="48">
        <f t="shared" si="26"/>
        <v>17.648782812730513</v>
      </c>
      <c r="BQ63" s="49">
        <f t="shared" si="76"/>
        <v>0</v>
      </c>
      <c r="BR63" s="50">
        <f t="shared" si="16"/>
        <v>0</v>
      </c>
      <c r="BS63" s="51">
        <f t="shared" si="17"/>
        <v>-6.8323207046622469</v>
      </c>
      <c r="BT63" s="52">
        <f t="shared" si="68"/>
        <v>-0.11929588872118897</v>
      </c>
      <c r="BU63" s="58">
        <f t="shared" si="40"/>
        <v>-6.8323207046622469</v>
      </c>
      <c r="BW63" s="39" t="s">
        <v>48</v>
      </c>
      <c r="BX63" s="21">
        <f t="shared" si="69"/>
        <v>-0.204473452523388</v>
      </c>
      <c r="BY63" s="23">
        <f t="shared" si="41"/>
        <v>-11.732147256072478</v>
      </c>
      <c r="BZ63" s="36">
        <f>MAX('BATS 2023 TLFD'!S51,0.0001)</f>
        <v>1E-4</v>
      </c>
      <c r="CA63" s="45">
        <f>modeldata!H51/modeldata!H$156</f>
        <v>6.6666666666666671E-3</v>
      </c>
      <c r="CB63" s="48">
        <f t="shared" si="27"/>
        <v>65.666666666666671</v>
      </c>
      <c r="CC63" s="49">
        <f t="shared" si="77"/>
        <v>0</v>
      </c>
      <c r="CD63" s="50">
        <f t="shared" si="19"/>
        <v>0</v>
      </c>
      <c r="CE63" s="51">
        <f t="shared" si="20"/>
        <v>-11.732147256072478</v>
      </c>
      <c r="CF63" s="52">
        <f t="shared" si="70"/>
        <v>-0.20447345252338778</v>
      </c>
      <c r="CG63" s="58">
        <f t="shared" si="42"/>
        <v>-11.732147256072478</v>
      </c>
    </row>
    <row r="64" spans="1:85" x14ac:dyDescent="0.25">
      <c r="A64" s="81">
        <f t="shared" si="28"/>
        <v>48.5</v>
      </c>
      <c r="B64" s="83">
        <f t="shared" si="28"/>
        <v>48</v>
      </c>
      <c r="C64" s="39" t="s">
        <v>49</v>
      </c>
      <c r="D64" s="21">
        <f t="shared" si="57"/>
        <v>-0.21370826062045101</v>
      </c>
      <c r="E64" s="23">
        <f t="shared" si="29"/>
        <v>-12.090585851819569</v>
      </c>
      <c r="F64" s="36">
        <f>MAX('BATS 2023 TLFD'!M52,0.0001)</f>
        <v>2.4782057267670201E-4</v>
      </c>
      <c r="G64" s="45">
        <f>modeldata!B52/modeldata!B$156</f>
        <v>6.6666666666666671E-3</v>
      </c>
      <c r="H64" s="48">
        <f t="shared" si="21"/>
        <v>25.901183362866995</v>
      </c>
      <c r="I64" s="49">
        <f t="shared" si="71"/>
        <v>0</v>
      </c>
      <c r="J64" s="50">
        <f t="shared" si="1"/>
        <v>0</v>
      </c>
      <c r="K64" s="51">
        <f t="shared" si="2"/>
        <v>-12.090585851819569</v>
      </c>
      <c r="L64" s="52">
        <f t="shared" si="58"/>
        <v>-0.21370826062045095</v>
      </c>
      <c r="M64" s="58">
        <f t="shared" si="30"/>
        <v>-12.090585851819569</v>
      </c>
      <c r="O64" s="39" t="s">
        <v>49</v>
      </c>
      <c r="P64" s="21">
        <f t="shared" si="59"/>
        <v>-0.18324871283782601</v>
      </c>
      <c r="Q64" s="23">
        <f t="shared" si="31"/>
        <v>-9.5763257681900154</v>
      </c>
      <c r="R64" s="36">
        <f>MAX('BATS 2023 TLFD'!N52,0.0001)</f>
        <v>1E-4</v>
      </c>
      <c r="S64" s="45">
        <f>modeldata!C52/modeldata!C$156</f>
        <v>6.6666666666666671E-3</v>
      </c>
      <c r="T64" s="48">
        <f t="shared" si="22"/>
        <v>65.666666666666671</v>
      </c>
      <c r="U64" s="49">
        <f t="shared" si="72"/>
        <v>0</v>
      </c>
      <c r="V64" s="50">
        <f t="shared" si="4"/>
        <v>0</v>
      </c>
      <c r="W64" s="51">
        <f t="shared" si="5"/>
        <v>-9.5763257681900154</v>
      </c>
      <c r="X64" s="52">
        <f t="shared" si="60"/>
        <v>-0.18324871283782598</v>
      </c>
      <c r="Y64" s="58">
        <f t="shared" si="32"/>
        <v>-9.5763257681900154</v>
      </c>
      <c r="AA64" s="39" t="s">
        <v>49</v>
      </c>
      <c r="AB64" s="21">
        <f t="shared" si="61"/>
        <v>-0.10927638842708701</v>
      </c>
      <c r="AC64" s="23">
        <f t="shared" si="33"/>
        <v>-6.5153792206121546</v>
      </c>
      <c r="AD64" s="36">
        <f>MAX('BATS 2023 TLFD'!O52,0.0001)</f>
        <v>1.7528058696134809E-4</v>
      </c>
      <c r="AE64" s="45">
        <f>modeldata!D52/modeldata!D$156</f>
        <v>6.6666666666666671E-3</v>
      </c>
      <c r="AF64" s="48">
        <f t="shared" si="23"/>
        <v>37.034255716731273</v>
      </c>
      <c r="AG64" s="49">
        <f t="shared" si="73"/>
        <v>0</v>
      </c>
      <c r="AH64" s="50">
        <f t="shared" si="7"/>
        <v>0</v>
      </c>
      <c r="AI64" s="51">
        <f t="shared" si="8"/>
        <v>-6.5153792206121546</v>
      </c>
      <c r="AJ64" s="52">
        <f t="shared" si="62"/>
        <v>-0.10927638842708705</v>
      </c>
      <c r="AK64" s="58">
        <f t="shared" si="34"/>
        <v>-6.5153792206121537</v>
      </c>
      <c r="AM64" s="39" t="s">
        <v>49</v>
      </c>
      <c r="AN64" s="21">
        <f t="shared" si="63"/>
        <v>-0.123766678676451</v>
      </c>
      <c r="AO64" s="23">
        <f t="shared" si="35"/>
        <v>-7.401246821325695</v>
      </c>
      <c r="AP64" s="36">
        <f>MAX('BATS 2023 TLFD'!P52,0.0001)</f>
        <v>1E-4</v>
      </c>
      <c r="AQ64" s="45">
        <f>modeldata!E52/modeldata!E$156</f>
        <v>6.6666666666666671E-3</v>
      </c>
      <c r="AR64" s="48">
        <f t="shared" si="24"/>
        <v>65.666666666666671</v>
      </c>
      <c r="AS64" s="49">
        <f t="shared" si="74"/>
        <v>0</v>
      </c>
      <c r="AT64" s="50">
        <f t="shared" si="10"/>
        <v>0</v>
      </c>
      <c r="AU64" s="51">
        <f t="shared" si="11"/>
        <v>-7.401246821325695</v>
      </c>
      <c r="AV64" s="52">
        <f t="shared" si="64"/>
        <v>-0.12376667867645086</v>
      </c>
      <c r="AW64" s="58">
        <f t="shared" si="36"/>
        <v>-7.401246821325695</v>
      </c>
      <c r="AY64" s="39" t="s">
        <v>49</v>
      </c>
      <c r="AZ64" s="21">
        <f t="shared" si="65"/>
        <v>-0.13060067927808</v>
      </c>
      <c r="BA64" s="23">
        <f t="shared" si="37"/>
        <v>-8.2294929257487244</v>
      </c>
      <c r="BB64" s="36">
        <f>MAX('BATS 2023 TLFD'!Q52,0.0001)</f>
        <v>8.0424253403049467E-4</v>
      </c>
      <c r="BC64" s="45">
        <f>modeldata!F52/modeldata!F$156</f>
        <v>6.6666666666666671E-3</v>
      </c>
      <c r="BD64" s="48">
        <f t="shared" si="25"/>
        <v>7.2893733974207908</v>
      </c>
      <c r="BE64" s="49">
        <f t="shared" si="75"/>
        <v>0</v>
      </c>
      <c r="BF64" s="50">
        <f t="shared" si="13"/>
        <v>0</v>
      </c>
      <c r="BG64" s="51">
        <f t="shared" si="14"/>
        <v>-8.2294929257487244</v>
      </c>
      <c r="BH64" s="52">
        <f t="shared" si="66"/>
        <v>-0.13060067927808028</v>
      </c>
      <c r="BI64" s="58">
        <f t="shared" si="38"/>
        <v>-8.2294929257487244</v>
      </c>
      <c r="BK64" s="39" t="s">
        <v>49</v>
      </c>
      <c r="BL64" s="21">
        <f t="shared" si="67"/>
        <v>-0.119295888721189</v>
      </c>
      <c r="BM64" s="23">
        <f t="shared" si="39"/>
        <v>-6.9516165933834362</v>
      </c>
      <c r="BN64" s="36">
        <f>MAX('BATS 2023 TLFD'!R52,0.0001)</f>
        <v>1.1569310867119512E-4</v>
      </c>
      <c r="BO64" s="45">
        <f>modeldata!G52/modeldata!G$156</f>
        <v>6.6666666666666671E-3</v>
      </c>
      <c r="BP64" s="48">
        <f t="shared" si="26"/>
        <v>56.623714525759915</v>
      </c>
      <c r="BQ64" s="49">
        <f t="shared" si="76"/>
        <v>0</v>
      </c>
      <c r="BR64" s="50">
        <f t="shared" si="16"/>
        <v>0</v>
      </c>
      <c r="BS64" s="51">
        <f t="shared" si="17"/>
        <v>-6.9516165933834362</v>
      </c>
      <c r="BT64" s="52">
        <f t="shared" si="68"/>
        <v>-0.11929588872118897</v>
      </c>
      <c r="BU64" s="58">
        <f t="shared" si="40"/>
        <v>-6.9516165933834362</v>
      </c>
      <c r="BW64" s="39" t="s">
        <v>49</v>
      </c>
      <c r="BX64" s="21">
        <f t="shared" si="69"/>
        <v>-0.204473452523388</v>
      </c>
      <c r="BY64" s="23">
        <f t="shared" si="41"/>
        <v>-11.936620708595866</v>
      </c>
      <c r="BZ64" s="36">
        <f>MAX('BATS 2023 TLFD'!S52,0.0001)</f>
        <v>1E-4</v>
      </c>
      <c r="CA64" s="45">
        <f>modeldata!H52/modeldata!H$156</f>
        <v>6.6666666666666671E-3</v>
      </c>
      <c r="CB64" s="48">
        <f t="shared" si="27"/>
        <v>65.666666666666671</v>
      </c>
      <c r="CC64" s="49">
        <f t="shared" si="77"/>
        <v>0</v>
      </c>
      <c r="CD64" s="50">
        <f t="shared" si="19"/>
        <v>0</v>
      </c>
      <c r="CE64" s="51">
        <f t="shared" si="20"/>
        <v>-11.936620708595866</v>
      </c>
      <c r="CF64" s="52">
        <f t="shared" si="70"/>
        <v>-0.20447345252338778</v>
      </c>
      <c r="CG64" s="58">
        <f t="shared" si="42"/>
        <v>-11.936620708595866</v>
      </c>
    </row>
    <row r="65" spans="1:85" x14ac:dyDescent="0.25">
      <c r="A65" s="81">
        <f t="shared" si="28"/>
        <v>49.5</v>
      </c>
      <c r="B65" s="83">
        <f t="shared" si="28"/>
        <v>49</v>
      </c>
      <c r="C65" s="39" t="s">
        <v>50</v>
      </c>
      <c r="D65" s="21">
        <f t="shared" si="57"/>
        <v>-0.21370826062045101</v>
      </c>
      <c r="E65" s="23">
        <f t="shared" si="29"/>
        <v>-12.304294112440019</v>
      </c>
      <c r="F65" s="36">
        <f>MAX('BATS 2023 TLFD'!M53,0.0001)</f>
        <v>1E-4</v>
      </c>
      <c r="G65" s="45">
        <f>modeldata!B53/modeldata!B$156</f>
        <v>6.6666666666666671E-3</v>
      </c>
      <c r="H65" s="48">
        <f t="shared" si="21"/>
        <v>65.666666666666671</v>
      </c>
      <c r="I65" s="49">
        <f t="shared" si="71"/>
        <v>0</v>
      </c>
      <c r="J65" s="50">
        <f t="shared" si="1"/>
        <v>0</v>
      </c>
      <c r="K65" s="51">
        <f t="shared" si="2"/>
        <v>-12.304294112440019</v>
      </c>
      <c r="L65" s="52">
        <f t="shared" si="58"/>
        <v>-0.21370826062045095</v>
      </c>
      <c r="M65" s="58">
        <f t="shared" si="30"/>
        <v>-12.304294112440019</v>
      </c>
      <c r="O65" s="39" t="s">
        <v>50</v>
      </c>
      <c r="P65" s="21">
        <f t="shared" si="59"/>
        <v>-0.18324871283782601</v>
      </c>
      <c r="Q65" s="23">
        <f t="shared" si="31"/>
        <v>-9.7595744810278422</v>
      </c>
      <c r="R65" s="36">
        <f>MAX('BATS 2023 TLFD'!N53,0.0001)</f>
        <v>1E-4</v>
      </c>
      <c r="S65" s="45">
        <f>modeldata!C53/modeldata!C$156</f>
        <v>6.6666666666666671E-3</v>
      </c>
      <c r="T65" s="48">
        <f t="shared" si="22"/>
        <v>65.666666666666671</v>
      </c>
      <c r="U65" s="49">
        <f t="shared" si="72"/>
        <v>0</v>
      </c>
      <c r="V65" s="50">
        <f t="shared" si="4"/>
        <v>0</v>
      </c>
      <c r="W65" s="51">
        <f t="shared" si="5"/>
        <v>-9.7595744810278422</v>
      </c>
      <c r="X65" s="52">
        <f t="shared" si="60"/>
        <v>-0.18324871283782598</v>
      </c>
      <c r="Y65" s="58">
        <f t="shared" si="32"/>
        <v>-9.7595744810278422</v>
      </c>
      <c r="AA65" s="39" t="s">
        <v>50</v>
      </c>
      <c r="AB65" s="21">
        <f t="shared" si="61"/>
        <v>-0.10927638842708701</v>
      </c>
      <c r="AC65" s="23">
        <f t="shared" si="33"/>
        <v>-6.6246556090392419</v>
      </c>
      <c r="AD65" s="36">
        <f>MAX('BATS 2023 TLFD'!O53,0.0001)</f>
        <v>1E-4</v>
      </c>
      <c r="AE65" s="45">
        <f>modeldata!D53/modeldata!D$156</f>
        <v>6.6666666666666671E-3</v>
      </c>
      <c r="AF65" s="48">
        <f t="shared" si="23"/>
        <v>65.666666666666671</v>
      </c>
      <c r="AG65" s="49">
        <f t="shared" si="73"/>
        <v>0</v>
      </c>
      <c r="AH65" s="50">
        <f t="shared" si="7"/>
        <v>0</v>
      </c>
      <c r="AI65" s="51">
        <f t="shared" si="8"/>
        <v>-6.6246556090392419</v>
      </c>
      <c r="AJ65" s="52">
        <f t="shared" si="62"/>
        <v>-0.10927638842708705</v>
      </c>
      <c r="AK65" s="58">
        <f t="shared" si="34"/>
        <v>-6.624655609039241</v>
      </c>
      <c r="AM65" s="39" t="s">
        <v>50</v>
      </c>
      <c r="AN65" s="21">
        <f t="shared" si="63"/>
        <v>-0.123766678676451</v>
      </c>
      <c r="AO65" s="23">
        <f t="shared" si="35"/>
        <v>-7.5250135000021459</v>
      </c>
      <c r="AP65" s="36">
        <f>MAX('BATS 2023 TLFD'!P53,0.0001)</f>
        <v>3.0227168077539857E-4</v>
      </c>
      <c r="AQ65" s="45">
        <f>modeldata!E53/modeldata!E$156</f>
        <v>6.6666666666666671E-3</v>
      </c>
      <c r="AR65" s="48">
        <f t="shared" si="24"/>
        <v>21.05521420188979</v>
      </c>
      <c r="AS65" s="49">
        <f t="shared" si="74"/>
        <v>0</v>
      </c>
      <c r="AT65" s="50">
        <f t="shared" si="10"/>
        <v>0</v>
      </c>
      <c r="AU65" s="51">
        <f t="shared" si="11"/>
        <v>-7.5250135000021459</v>
      </c>
      <c r="AV65" s="52">
        <f t="shared" si="64"/>
        <v>-0.12376667867645086</v>
      </c>
      <c r="AW65" s="58">
        <f t="shared" si="36"/>
        <v>-7.5250135000021459</v>
      </c>
      <c r="AY65" s="39" t="s">
        <v>50</v>
      </c>
      <c r="AZ65" s="21">
        <f t="shared" si="65"/>
        <v>-0.13060067927808</v>
      </c>
      <c r="BA65" s="23">
        <f t="shared" si="37"/>
        <v>-8.3600936050268047</v>
      </c>
      <c r="BB65" s="36">
        <f>MAX('BATS 2023 TLFD'!Q53,0.0001)</f>
        <v>1E-4</v>
      </c>
      <c r="BC65" s="45">
        <f>modeldata!F53/modeldata!F$156</f>
        <v>6.6666666666666671E-3</v>
      </c>
      <c r="BD65" s="48">
        <f t="shared" si="25"/>
        <v>65.666666666666671</v>
      </c>
      <c r="BE65" s="49">
        <f t="shared" si="75"/>
        <v>0</v>
      </c>
      <c r="BF65" s="50">
        <f t="shared" si="13"/>
        <v>0</v>
      </c>
      <c r="BG65" s="51">
        <f t="shared" si="14"/>
        <v>-8.3600936050268047</v>
      </c>
      <c r="BH65" s="52">
        <f t="shared" si="66"/>
        <v>-0.13060067927808028</v>
      </c>
      <c r="BI65" s="58">
        <f t="shared" si="38"/>
        <v>-8.3600936050268047</v>
      </c>
      <c r="BK65" s="39" t="s">
        <v>50</v>
      </c>
      <c r="BL65" s="21">
        <f t="shared" si="67"/>
        <v>-0.119295888721189</v>
      </c>
      <c r="BM65" s="23">
        <f t="shared" si="39"/>
        <v>-7.0709124821046254</v>
      </c>
      <c r="BN65" s="36">
        <f>MAX('BATS 2023 TLFD'!R53,0.0001)</f>
        <v>4.1976521906355267E-4</v>
      </c>
      <c r="BO65" s="45">
        <f>modeldata!G53/modeldata!G$156</f>
        <v>6.6666666666666671E-3</v>
      </c>
      <c r="BP65" s="48">
        <f t="shared" si="26"/>
        <v>14.881893887109618</v>
      </c>
      <c r="BQ65" s="49">
        <f t="shared" si="76"/>
        <v>0</v>
      </c>
      <c r="BR65" s="50">
        <f t="shared" si="16"/>
        <v>0</v>
      </c>
      <c r="BS65" s="51">
        <f t="shared" si="17"/>
        <v>-7.0709124821046254</v>
      </c>
      <c r="BT65" s="52">
        <f t="shared" si="68"/>
        <v>-0.11929588872118897</v>
      </c>
      <c r="BU65" s="58">
        <f t="shared" si="40"/>
        <v>-7.0709124821046254</v>
      </c>
      <c r="BW65" s="39" t="s">
        <v>50</v>
      </c>
      <c r="BX65" s="21">
        <f t="shared" si="69"/>
        <v>-0.204473452523388</v>
      </c>
      <c r="BY65" s="23">
        <f t="shared" si="41"/>
        <v>-12.141094161119254</v>
      </c>
      <c r="BZ65" s="36">
        <f>MAX('BATS 2023 TLFD'!S53,0.0001)</f>
        <v>1E-4</v>
      </c>
      <c r="CA65" s="45">
        <f>modeldata!H53/modeldata!H$156</f>
        <v>6.6666666666666671E-3</v>
      </c>
      <c r="CB65" s="48">
        <f t="shared" si="27"/>
        <v>65.666666666666671</v>
      </c>
      <c r="CC65" s="49">
        <f t="shared" si="77"/>
        <v>0</v>
      </c>
      <c r="CD65" s="50">
        <f t="shared" si="19"/>
        <v>0</v>
      </c>
      <c r="CE65" s="51">
        <f t="shared" si="20"/>
        <v>-12.141094161119254</v>
      </c>
      <c r="CF65" s="52">
        <f t="shared" si="70"/>
        <v>-0.20447345252338778</v>
      </c>
      <c r="CG65" s="58">
        <f t="shared" si="42"/>
        <v>-12.141094161119254</v>
      </c>
    </row>
    <row r="66" spans="1:85" x14ac:dyDescent="0.25">
      <c r="A66" s="81">
        <f t="shared" si="28"/>
        <v>50.5</v>
      </c>
      <c r="B66" s="83">
        <f t="shared" si="28"/>
        <v>50</v>
      </c>
      <c r="C66" s="69" t="s">
        <v>51</v>
      </c>
      <c r="D66" s="70">
        <f t="shared" si="57"/>
        <v>-0.21370826062045101</v>
      </c>
      <c r="E66" s="71">
        <f t="shared" si="29"/>
        <v>-12.518002373060469</v>
      </c>
      <c r="F66" s="72">
        <f>MAX('BATS 2023 TLFD'!M54,0.0001)</f>
        <v>1.1014078988980664E-4</v>
      </c>
      <c r="G66" s="73">
        <f>SUM(modeldata!B54:B153)/modeldata!B156</f>
        <v>0.66666666666666663</v>
      </c>
      <c r="H66" s="74">
        <f t="shared" si="21"/>
        <v>6051.8589574639109</v>
      </c>
      <c r="I66" s="75">
        <f t="shared" si="71"/>
        <v>0</v>
      </c>
      <c r="J66" s="76">
        <f t="shared" si="1"/>
        <v>0</v>
      </c>
      <c r="K66" s="77">
        <f t="shared" si="2"/>
        <v>-12.518002373060469</v>
      </c>
      <c r="L66" s="78">
        <f t="shared" si="58"/>
        <v>-0.21370826062045095</v>
      </c>
      <c r="M66" s="79">
        <f t="shared" si="30"/>
        <v>-12.518002373060469</v>
      </c>
      <c r="O66" s="69" t="s">
        <v>51</v>
      </c>
      <c r="P66" s="70">
        <f t="shared" si="59"/>
        <v>-0.18324871283782601</v>
      </c>
      <c r="Q66" s="71">
        <f t="shared" si="31"/>
        <v>-9.942823193865669</v>
      </c>
      <c r="R66" s="72">
        <f>MAX('BATS 2023 TLFD'!N54,0.0001)</f>
        <v>1E-4</v>
      </c>
      <c r="S66" s="73">
        <f>SUM(modeldata!C54:N153)/modeldata!C156</f>
        <v>4</v>
      </c>
      <c r="T66" s="74">
        <f t="shared" si="22"/>
        <v>39998.999999999993</v>
      </c>
      <c r="U66" s="75">
        <f t="shared" si="72"/>
        <v>0</v>
      </c>
      <c r="V66" s="76">
        <f t="shared" si="4"/>
        <v>0</v>
      </c>
      <c r="W66" s="77">
        <f t="shared" si="5"/>
        <v>-9.942823193865669</v>
      </c>
      <c r="X66" s="78">
        <f t="shared" si="60"/>
        <v>-0.18324871283782598</v>
      </c>
      <c r="Y66" s="79">
        <f t="shared" si="32"/>
        <v>-9.942823193865669</v>
      </c>
      <c r="AA66" s="69" t="s">
        <v>51</v>
      </c>
      <c r="AB66" s="70">
        <f t="shared" si="61"/>
        <v>-0.10927638842708701</v>
      </c>
      <c r="AC66" s="71">
        <f t="shared" si="33"/>
        <v>-6.7339319974663292</v>
      </c>
      <c r="AD66" s="72">
        <f>MAX('BATS 2023 TLFD'!O54,0.0001)</f>
        <v>7.5873335948848741E-4</v>
      </c>
      <c r="AE66" s="73">
        <f>SUM(modeldata!D54:Z153)/modeldata!D156</f>
        <v>3.3333333333333335</v>
      </c>
      <c r="AF66" s="74">
        <f t="shared" si="23"/>
        <v>4392.2869059303721</v>
      </c>
      <c r="AG66" s="75">
        <f t="shared" si="73"/>
        <v>0</v>
      </c>
      <c r="AH66" s="76">
        <f t="shared" si="7"/>
        <v>0</v>
      </c>
      <c r="AI66" s="77">
        <f t="shared" si="8"/>
        <v>-6.7339319974663292</v>
      </c>
      <c r="AJ66" s="78">
        <f t="shared" si="62"/>
        <v>-0.10927638842708705</v>
      </c>
      <c r="AK66" s="79">
        <f t="shared" si="34"/>
        <v>-6.7339319974663283</v>
      </c>
      <c r="AM66" s="69" t="s">
        <v>51</v>
      </c>
      <c r="AN66" s="70">
        <f t="shared" si="63"/>
        <v>-0.123766678676451</v>
      </c>
      <c r="AO66" s="71">
        <f t="shared" si="35"/>
        <v>-7.6487801786785967</v>
      </c>
      <c r="AP66" s="72">
        <f>MAX('BATS 2023 TLFD'!P54,0.0001)</f>
        <v>1E-4</v>
      </c>
      <c r="AQ66" s="73">
        <f>SUM(modeldata!E54:AL153)/modeldata!E156</f>
        <v>2.6666666666666665</v>
      </c>
      <c r="AR66" s="74">
        <f t="shared" si="24"/>
        <v>26665.666666666661</v>
      </c>
      <c r="AS66" s="75">
        <f t="shared" si="74"/>
        <v>0</v>
      </c>
      <c r="AT66" s="76">
        <f t="shared" si="10"/>
        <v>0</v>
      </c>
      <c r="AU66" s="77">
        <f t="shared" si="11"/>
        <v>-7.6487801786785967</v>
      </c>
      <c r="AV66" s="78">
        <f t="shared" si="64"/>
        <v>-0.12376667867645086</v>
      </c>
      <c r="AW66" s="79">
        <f t="shared" si="36"/>
        <v>-7.6487801786785967</v>
      </c>
      <c r="AY66" s="69" t="s">
        <v>51</v>
      </c>
      <c r="AZ66" s="70">
        <f t="shared" si="65"/>
        <v>-0.13060067927808</v>
      </c>
      <c r="BA66" s="71">
        <f t="shared" si="37"/>
        <v>-8.4906942843048849</v>
      </c>
      <c r="BB66" s="72">
        <f>MAX('BATS 2023 TLFD'!Q54,0.0001)</f>
        <v>1.5280813983332389E-3</v>
      </c>
      <c r="BC66" s="73">
        <f>SUM(modeldata!F54:AX153)/modeldata!F156</f>
        <v>2</v>
      </c>
      <c r="BD66" s="74">
        <f t="shared" si="25"/>
        <v>1307.8308006245663</v>
      </c>
      <c r="BE66" s="75">
        <f t="shared" si="75"/>
        <v>0</v>
      </c>
      <c r="BF66" s="76">
        <f t="shared" si="13"/>
        <v>0</v>
      </c>
      <c r="BG66" s="77">
        <f t="shared" si="14"/>
        <v>-8.4906942843048849</v>
      </c>
      <c r="BH66" s="78">
        <f t="shared" si="66"/>
        <v>-0.13060067927808028</v>
      </c>
      <c r="BI66" s="79">
        <f t="shared" si="38"/>
        <v>-8.4906942843048849</v>
      </c>
      <c r="BK66" s="69" t="s">
        <v>51</v>
      </c>
      <c r="BL66" s="70">
        <f t="shared" si="67"/>
        <v>-0.119295888721189</v>
      </c>
      <c r="BM66" s="71">
        <f t="shared" si="39"/>
        <v>-7.1902083708258147</v>
      </c>
      <c r="BN66" s="72">
        <f>MAX('BATS 2023 TLFD'!R54,0.0001)</f>
        <v>2.8985945124968698E-4</v>
      </c>
      <c r="BO66" s="73">
        <f>SUM(modeldata!G54:BJ153)/modeldata!G156</f>
        <v>1.3333333333333333</v>
      </c>
      <c r="BP66" s="74">
        <f t="shared" si="26"/>
        <v>4598.9305097172437</v>
      </c>
      <c r="BQ66" s="75">
        <f t="shared" si="76"/>
        <v>0</v>
      </c>
      <c r="BR66" s="76">
        <f t="shared" si="16"/>
        <v>0</v>
      </c>
      <c r="BS66" s="77">
        <f t="shared" si="17"/>
        <v>-7.1902083708258147</v>
      </c>
      <c r="BT66" s="78">
        <f t="shared" si="68"/>
        <v>-0.11929588872118897</v>
      </c>
      <c r="BU66" s="79">
        <f t="shared" si="40"/>
        <v>-7.1902083708258147</v>
      </c>
      <c r="BW66" s="69" t="s">
        <v>51</v>
      </c>
      <c r="BX66" s="70">
        <f t="shared" si="69"/>
        <v>-0.204473452523388</v>
      </c>
      <c r="BY66" s="71">
        <f t="shared" si="41"/>
        <v>-12.345567613642642</v>
      </c>
      <c r="BZ66" s="72">
        <f>MAX('BATS 2023 TLFD'!S54,0.0001)</f>
        <v>1E-4</v>
      </c>
      <c r="CA66" s="73">
        <f>SUM(modeldata!H54:BV153)/modeldata!H156</f>
        <v>0.66666666666666663</v>
      </c>
      <c r="CB66" s="74">
        <f t="shared" si="27"/>
        <v>6665.6666666666661</v>
      </c>
      <c r="CC66" s="75">
        <f t="shared" si="77"/>
        <v>0</v>
      </c>
      <c r="CD66" s="76">
        <f t="shared" si="19"/>
        <v>0</v>
      </c>
      <c r="CE66" s="77">
        <f t="shared" si="20"/>
        <v>-12.345567613642642</v>
      </c>
      <c r="CF66" s="78">
        <f t="shared" si="70"/>
        <v>-0.20447345252338778</v>
      </c>
      <c r="CG66" s="79">
        <f t="shared" si="42"/>
        <v>-12.345567613642642</v>
      </c>
    </row>
    <row r="67" spans="1:85" x14ac:dyDescent="0.25">
      <c r="D67" s="68"/>
      <c r="E67" s="67" t="s">
        <v>98</v>
      </c>
      <c r="F67" s="65">
        <f>'BATS 2023 TLFD'!D59</f>
        <v>4.5277015639864233</v>
      </c>
      <c r="G67" s="65">
        <f>modeldata!$K$4</f>
        <v>1</v>
      </c>
      <c r="O67" s="68"/>
      <c r="P67" s="68"/>
      <c r="Q67" s="67" t="s">
        <v>98</v>
      </c>
      <c r="R67" s="65">
        <f>'BATS 2023 TLFD'!D60</f>
        <v>4.5403223944540603</v>
      </c>
      <c r="S67" s="65">
        <f>modeldata!$K$5</f>
        <v>1</v>
      </c>
      <c r="AC67" s="67" t="s">
        <v>98</v>
      </c>
      <c r="AD67" s="65">
        <f>'BATS 2023 TLFD'!D61</f>
        <v>6.0311092544758598</v>
      </c>
      <c r="AE67" s="65">
        <f>modeldata!$K$6</f>
        <v>1</v>
      </c>
      <c r="AO67" s="67" t="s">
        <v>98</v>
      </c>
      <c r="AP67" s="65">
        <f>'BATS 2023 TLFD'!D62</f>
        <v>4.6562404495800243</v>
      </c>
      <c r="AQ67" s="65">
        <f>modeldata!$K$7</f>
        <v>1</v>
      </c>
      <c r="BA67" s="67" t="s">
        <v>98</v>
      </c>
      <c r="BB67" s="65">
        <f>'BATS 2023 TLFD'!D63</f>
        <v>4.5629193518272348</v>
      </c>
      <c r="BC67" s="65">
        <f>modeldata!$K$8</f>
        <v>1</v>
      </c>
      <c r="BM67" s="67" t="s">
        <v>98</v>
      </c>
      <c r="BN67" s="65">
        <f>'BATS 2023 TLFD'!D64</f>
        <v>5.4575023801434135</v>
      </c>
      <c r="BO67" s="65">
        <f>modeldata!$K$9</f>
        <v>1</v>
      </c>
      <c r="BY67" s="67" t="s">
        <v>98</v>
      </c>
      <c r="BZ67" s="65">
        <f>'BATS 2023 TLFD'!D65</f>
        <v>1.9229022598657155</v>
      </c>
      <c r="CA67" s="65">
        <f>modeldata!$K$10</f>
        <v>1</v>
      </c>
    </row>
    <row r="68" spans="1:85" x14ac:dyDescent="0.25">
      <c r="F68" s="64"/>
      <c r="G68" s="64"/>
    </row>
  </sheetData>
  <mergeCells count="28">
    <mergeCell ref="BT14:BU14"/>
    <mergeCell ref="BX14:BY14"/>
    <mergeCell ref="BZ14:CB14"/>
    <mergeCell ref="CC14:CD14"/>
    <mergeCell ref="CF14:CG14"/>
    <mergeCell ref="BQ14:BR14"/>
    <mergeCell ref="AJ14:AK14"/>
    <mergeCell ref="AN14:AO14"/>
    <mergeCell ref="AP14:AR14"/>
    <mergeCell ref="AS14:AT14"/>
    <mergeCell ref="AV14:AW14"/>
    <mergeCell ref="AZ14:BA14"/>
    <mergeCell ref="BB14:BD14"/>
    <mergeCell ref="BE14:BF14"/>
    <mergeCell ref="BH14:BI14"/>
    <mergeCell ref="BL14:BM14"/>
    <mergeCell ref="BN14:BP14"/>
    <mergeCell ref="AG14:AH14"/>
    <mergeCell ref="F14:H14"/>
    <mergeCell ref="I14:J14"/>
    <mergeCell ref="L14:M14"/>
    <mergeCell ref="D14:E14"/>
    <mergeCell ref="P14:Q14"/>
    <mergeCell ref="R14:T14"/>
    <mergeCell ref="U14:V14"/>
    <mergeCell ref="X14:Y14"/>
    <mergeCell ref="AB14:AC14"/>
    <mergeCell ref="AD14:AF14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7CD01-D468-42E6-92EA-4C7A1985A38F}">
  <sheetPr>
    <tabColor theme="9"/>
  </sheetPr>
  <dimension ref="A2:K156"/>
  <sheetViews>
    <sheetView workbookViewId="0">
      <pane ySplit="16" topLeftCell="A17" activePane="bottomLeft" state="frozen"/>
      <selection pane="bottomLeft" activeCell="F56" sqref="F56"/>
    </sheetView>
  </sheetViews>
  <sheetFormatPr defaultRowHeight="15" x14ac:dyDescent="0.25"/>
  <cols>
    <col min="2" max="8" width="12.7109375" customWidth="1"/>
    <col min="10" max="10" width="14.7109375" customWidth="1"/>
    <col min="11" max="11" width="11.85546875" customWidth="1"/>
  </cols>
  <sheetData>
    <row r="2" spans="1:11" s="4" customFormat="1" ht="12.75" x14ac:dyDescent="0.2">
      <c r="A2" s="6" t="s">
        <v>59</v>
      </c>
      <c r="J2" s="6" t="s">
        <v>59</v>
      </c>
    </row>
    <row r="3" spans="1:11" s="4" customFormat="1" x14ac:dyDescent="0.25">
      <c r="A3" t="s">
        <v>60</v>
      </c>
      <c r="B3" t="s">
        <v>61</v>
      </c>
      <c r="C3" t="s">
        <v>62</v>
      </c>
      <c r="D3" t="s">
        <v>63</v>
      </c>
      <c r="E3" t="s">
        <v>64</v>
      </c>
      <c r="F3" t="s">
        <v>65</v>
      </c>
      <c r="G3" t="s">
        <v>66</v>
      </c>
      <c r="H3" t="s">
        <v>54</v>
      </c>
      <c r="J3" s="4" t="s">
        <v>67</v>
      </c>
      <c r="K3" s="4" t="s">
        <v>68</v>
      </c>
    </row>
    <row r="4" spans="1:11" x14ac:dyDescent="0.25">
      <c r="A4">
        <v>1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J4" s="4" t="s">
        <v>61</v>
      </c>
      <c r="K4" s="16">
        <v>1</v>
      </c>
    </row>
    <row r="5" spans="1:11" x14ac:dyDescent="0.25">
      <c r="A5">
        <v>2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J5" s="4" t="s">
        <v>62</v>
      </c>
      <c r="K5" s="17">
        <v>1</v>
      </c>
    </row>
    <row r="6" spans="1:11" x14ac:dyDescent="0.25">
      <c r="A6">
        <v>3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J6" s="4" t="s">
        <v>63</v>
      </c>
      <c r="K6" s="17">
        <v>1</v>
      </c>
    </row>
    <row r="7" spans="1:11" x14ac:dyDescent="0.25">
      <c r="A7">
        <v>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J7" s="4" t="s">
        <v>64</v>
      </c>
      <c r="K7" s="17">
        <v>1</v>
      </c>
    </row>
    <row r="8" spans="1:11" x14ac:dyDescent="0.25">
      <c r="A8">
        <v>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J8" s="4" t="s">
        <v>65</v>
      </c>
      <c r="K8" s="17">
        <v>1</v>
      </c>
    </row>
    <row r="9" spans="1:11" x14ac:dyDescent="0.25">
      <c r="A9">
        <v>6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J9" s="4" t="s">
        <v>66</v>
      </c>
      <c r="K9" s="17">
        <v>1</v>
      </c>
    </row>
    <row r="10" spans="1:11" x14ac:dyDescent="0.25">
      <c r="A10">
        <v>7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J10" s="4" t="s">
        <v>54</v>
      </c>
      <c r="K10" s="18">
        <v>1</v>
      </c>
    </row>
    <row r="11" spans="1:11" x14ac:dyDescent="0.25">
      <c r="A11">
        <v>8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</row>
    <row r="12" spans="1:11" x14ac:dyDescent="0.25">
      <c r="A12">
        <v>9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</row>
    <row r="13" spans="1:11" x14ac:dyDescent="0.25">
      <c r="A13">
        <v>10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</row>
    <row r="14" spans="1:11" x14ac:dyDescent="0.25">
      <c r="A14">
        <v>11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</row>
    <row r="15" spans="1:11" x14ac:dyDescent="0.25">
      <c r="A15">
        <v>12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</row>
    <row r="16" spans="1:11" x14ac:dyDescent="0.25">
      <c r="A16">
        <v>13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</row>
    <row r="17" spans="1:8" x14ac:dyDescent="0.25">
      <c r="A17">
        <v>14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</row>
    <row r="18" spans="1:8" x14ac:dyDescent="0.25">
      <c r="A18">
        <v>15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</row>
    <row r="19" spans="1:8" x14ac:dyDescent="0.25">
      <c r="A19">
        <v>16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</row>
    <row r="20" spans="1:8" x14ac:dyDescent="0.25">
      <c r="A20">
        <v>17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</row>
    <row r="21" spans="1:8" x14ac:dyDescent="0.25">
      <c r="A21">
        <v>18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</row>
    <row r="22" spans="1:8" x14ac:dyDescent="0.25">
      <c r="A22">
        <v>19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</row>
    <row r="23" spans="1:8" x14ac:dyDescent="0.25">
      <c r="A23">
        <v>20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</row>
    <row r="24" spans="1:8" x14ac:dyDescent="0.25">
      <c r="A24">
        <v>21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</row>
    <row r="25" spans="1:8" x14ac:dyDescent="0.25">
      <c r="A25">
        <v>22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</row>
    <row r="26" spans="1:8" x14ac:dyDescent="0.25">
      <c r="A26">
        <v>23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</row>
    <row r="27" spans="1:8" x14ac:dyDescent="0.25">
      <c r="A27">
        <v>24</v>
      </c>
      <c r="B27">
        <v>1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</row>
    <row r="28" spans="1:8" x14ac:dyDescent="0.25">
      <c r="A28">
        <v>25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</row>
    <row r="29" spans="1:8" x14ac:dyDescent="0.25">
      <c r="A29">
        <v>26</v>
      </c>
      <c r="B29">
        <v>1</v>
      </c>
      <c r="C29">
        <v>1</v>
      </c>
      <c r="D29">
        <v>1</v>
      </c>
      <c r="E29">
        <v>1</v>
      </c>
      <c r="F29">
        <v>1</v>
      </c>
      <c r="G29">
        <v>1</v>
      </c>
      <c r="H29">
        <v>1</v>
      </c>
    </row>
    <row r="30" spans="1:8" x14ac:dyDescent="0.25">
      <c r="A30">
        <v>27</v>
      </c>
      <c r="B30">
        <v>1</v>
      </c>
      <c r="C30">
        <v>1</v>
      </c>
      <c r="D30">
        <v>1</v>
      </c>
      <c r="E30">
        <v>1</v>
      </c>
      <c r="F30">
        <v>1</v>
      </c>
      <c r="G30">
        <v>1</v>
      </c>
      <c r="H30">
        <v>1</v>
      </c>
    </row>
    <row r="31" spans="1:8" x14ac:dyDescent="0.25">
      <c r="A31">
        <v>28</v>
      </c>
      <c r="B31">
        <v>1</v>
      </c>
      <c r="C31">
        <v>1</v>
      </c>
      <c r="D31">
        <v>1</v>
      </c>
      <c r="E31">
        <v>1</v>
      </c>
      <c r="F31">
        <v>1</v>
      </c>
      <c r="G31">
        <v>1</v>
      </c>
      <c r="H31">
        <v>1</v>
      </c>
    </row>
    <row r="32" spans="1:8" x14ac:dyDescent="0.25">
      <c r="A32">
        <v>29</v>
      </c>
      <c r="B32">
        <v>1</v>
      </c>
      <c r="C32">
        <v>1</v>
      </c>
      <c r="D32">
        <v>1</v>
      </c>
      <c r="E32">
        <v>1</v>
      </c>
      <c r="F32">
        <v>1</v>
      </c>
      <c r="G32">
        <v>1</v>
      </c>
      <c r="H32">
        <v>1</v>
      </c>
    </row>
    <row r="33" spans="1:8" x14ac:dyDescent="0.25">
      <c r="A33">
        <v>30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</row>
    <row r="34" spans="1:8" x14ac:dyDescent="0.25">
      <c r="A34">
        <v>31</v>
      </c>
      <c r="B34">
        <v>1</v>
      </c>
      <c r="C34">
        <v>1</v>
      </c>
      <c r="D34">
        <v>1</v>
      </c>
      <c r="E34">
        <v>1</v>
      </c>
      <c r="F34">
        <v>1</v>
      </c>
      <c r="G34">
        <v>1</v>
      </c>
      <c r="H34">
        <v>1</v>
      </c>
    </row>
    <row r="35" spans="1:8" x14ac:dyDescent="0.25">
      <c r="A35">
        <v>32</v>
      </c>
      <c r="B35">
        <v>1</v>
      </c>
      <c r="C35">
        <v>1</v>
      </c>
      <c r="D35">
        <v>1</v>
      </c>
      <c r="E35">
        <v>1</v>
      </c>
      <c r="F35">
        <v>1</v>
      </c>
      <c r="G35">
        <v>1</v>
      </c>
      <c r="H35">
        <v>1</v>
      </c>
    </row>
    <row r="36" spans="1:8" x14ac:dyDescent="0.25">
      <c r="A36">
        <v>33</v>
      </c>
      <c r="B36">
        <v>1</v>
      </c>
      <c r="C36">
        <v>1</v>
      </c>
      <c r="D36">
        <v>1</v>
      </c>
      <c r="E36">
        <v>1</v>
      </c>
      <c r="F36">
        <v>1</v>
      </c>
      <c r="G36">
        <v>1</v>
      </c>
      <c r="H36">
        <v>1</v>
      </c>
    </row>
    <row r="37" spans="1:8" x14ac:dyDescent="0.25">
      <c r="A37">
        <v>34</v>
      </c>
      <c r="B37">
        <v>1</v>
      </c>
      <c r="C37">
        <v>1</v>
      </c>
      <c r="D37">
        <v>1</v>
      </c>
      <c r="E37">
        <v>1</v>
      </c>
      <c r="F37">
        <v>1</v>
      </c>
      <c r="G37">
        <v>1</v>
      </c>
      <c r="H37">
        <v>1</v>
      </c>
    </row>
    <row r="38" spans="1:8" x14ac:dyDescent="0.25">
      <c r="A38">
        <v>35</v>
      </c>
      <c r="B38">
        <v>1</v>
      </c>
      <c r="C38">
        <v>1</v>
      </c>
      <c r="D38">
        <v>1</v>
      </c>
      <c r="E38">
        <v>1</v>
      </c>
      <c r="F38">
        <v>1</v>
      </c>
      <c r="G38">
        <v>1</v>
      </c>
      <c r="H38">
        <v>1</v>
      </c>
    </row>
    <row r="39" spans="1:8" x14ac:dyDescent="0.25">
      <c r="A39">
        <v>36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1</v>
      </c>
    </row>
    <row r="40" spans="1:8" x14ac:dyDescent="0.25">
      <c r="A40">
        <v>37</v>
      </c>
      <c r="B40">
        <v>1</v>
      </c>
      <c r="C40">
        <v>1</v>
      </c>
      <c r="D40">
        <v>1</v>
      </c>
      <c r="E40">
        <v>1</v>
      </c>
      <c r="F40">
        <v>1</v>
      </c>
      <c r="G40">
        <v>1</v>
      </c>
      <c r="H40">
        <v>1</v>
      </c>
    </row>
    <row r="41" spans="1:8" x14ac:dyDescent="0.25">
      <c r="A41">
        <v>38</v>
      </c>
      <c r="B41">
        <v>1</v>
      </c>
      <c r="C41">
        <v>1</v>
      </c>
      <c r="D41">
        <v>1</v>
      </c>
      <c r="E41">
        <v>1</v>
      </c>
      <c r="F41">
        <v>1</v>
      </c>
      <c r="G41">
        <v>1</v>
      </c>
      <c r="H41">
        <v>1</v>
      </c>
    </row>
    <row r="42" spans="1:8" x14ac:dyDescent="0.25">
      <c r="A42">
        <v>39</v>
      </c>
      <c r="B42">
        <v>1</v>
      </c>
      <c r="C42">
        <v>1</v>
      </c>
      <c r="D42">
        <v>1</v>
      </c>
      <c r="E42">
        <v>1</v>
      </c>
      <c r="F42">
        <v>1</v>
      </c>
      <c r="G42">
        <v>1</v>
      </c>
      <c r="H42">
        <v>1</v>
      </c>
    </row>
    <row r="43" spans="1:8" x14ac:dyDescent="0.25">
      <c r="A43">
        <v>40</v>
      </c>
      <c r="B43">
        <v>1</v>
      </c>
      <c r="C43">
        <v>1</v>
      </c>
      <c r="D43">
        <v>1</v>
      </c>
      <c r="E43">
        <v>1</v>
      </c>
      <c r="F43">
        <v>1</v>
      </c>
      <c r="G43">
        <v>1</v>
      </c>
      <c r="H43">
        <v>1</v>
      </c>
    </row>
    <row r="44" spans="1:8" x14ac:dyDescent="0.25">
      <c r="A44">
        <v>41</v>
      </c>
      <c r="B44">
        <v>1</v>
      </c>
      <c r="C44">
        <v>1</v>
      </c>
      <c r="D44">
        <v>1</v>
      </c>
      <c r="E44">
        <v>1</v>
      </c>
      <c r="F44">
        <v>1</v>
      </c>
      <c r="G44">
        <v>1</v>
      </c>
      <c r="H44">
        <v>1</v>
      </c>
    </row>
    <row r="45" spans="1:8" x14ac:dyDescent="0.25">
      <c r="A45">
        <v>42</v>
      </c>
      <c r="B45">
        <v>1</v>
      </c>
      <c r="C45">
        <v>1</v>
      </c>
      <c r="D45">
        <v>1</v>
      </c>
      <c r="E45">
        <v>1</v>
      </c>
      <c r="F45">
        <v>1</v>
      </c>
      <c r="G45">
        <v>1</v>
      </c>
      <c r="H45">
        <v>1</v>
      </c>
    </row>
    <row r="46" spans="1:8" x14ac:dyDescent="0.25">
      <c r="A46">
        <v>43</v>
      </c>
      <c r="B46">
        <v>1</v>
      </c>
      <c r="C46">
        <v>1</v>
      </c>
      <c r="D46">
        <v>1</v>
      </c>
      <c r="E46">
        <v>1</v>
      </c>
      <c r="F46">
        <v>1</v>
      </c>
      <c r="G46">
        <v>1</v>
      </c>
      <c r="H46">
        <v>1</v>
      </c>
    </row>
    <row r="47" spans="1:8" x14ac:dyDescent="0.25">
      <c r="A47">
        <v>44</v>
      </c>
      <c r="B47">
        <v>1</v>
      </c>
      <c r="C47">
        <v>1</v>
      </c>
      <c r="D47">
        <v>1</v>
      </c>
      <c r="E47">
        <v>1</v>
      </c>
      <c r="F47">
        <v>1</v>
      </c>
      <c r="G47">
        <v>1</v>
      </c>
      <c r="H47">
        <v>1</v>
      </c>
    </row>
    <row r="48" spans="1:8" x14ac:dyDescent="0.25">
      <c r="A48">
        <v>45</v>
      </c>
      <c r="B48">
        <v>1</v>
      </c>
      <c r="C48">
        <v>1</v>
      </c>
      <c r="D48">
        <v>1</v>
      </c>
      <c r="E48">
        <v>1</v>
      </c>
      <c r="F48">
        <v>1</v>
      </c>
      <c r="G48">
        <v>1</v>
      </c>
      <c r="H48">
        <v>1</v>
      </c>
    </row>
    <row r="49" spans="1:8" x14ac:dyDescent="0.25">
      <c r="A49">
        <v>46</v>
      </c>
      <c r="B49">
        <v>1</v>
      </c>
      <c r="C49">
        <v>1</v>
      </c>
      <c r="D49">
        <v>1</v>
      </c>
      <c r="E49">
        <v>1</v>
      </c>
      <c r="F49">
        <v>1</v>
      </c>
      <c r="G49">
        <v>1</v>
      </c>
      <c r="H49">
        <v>1</v>
      </c>
    </row>
    <row r="50" spans="1:8" x14ac:dyDescent="0.25">
      <c r="A50">
        <v>47</v>
      </c>
      <c r="B50">
        <v>1</v>
      </c>
      <c r="C50">
        <v>1</v>
      </c>
      <c r="D50">
        <v>1</v>
      </c>
      <c r="E50">
        <v>1</v>
      </c>
      <c r="F50">
        <v>1</v>
      </c>
      <c r="G50">
        <v>1</v>
      </c>
      <c r="H50">
        <v>1</v>
      </c>
    </row>
    <row r="51" spans="1:8" x14ac:dyDescent="0.25">
      <c r="A51">
        <v>48</v>
      </c>
      <c r="B51">
        <v>1</v>
      </c>
      <c r="C51">
        <v>1</v>
      </c>
      <c r="D51">
        <v>1</v>
      </c>
      <c r="E51">
        <v>1</v>
      </c>
      <c r="F51">
        <v>1</v>
      </c>
      <c r="G51">
        <v>1</v>
      </c>
      <c r="H51">
        <v>1</v>
      </c>
    </row>
    <row r="52" spans="1:8" x14ac:dyDescent="0.25">
      <c r="A52">
        <v>49</v>
      </c>
      <c r="B52">
        <v>1</v>
      </c>
      <c r="C52">
        <v>1</v>
      </c>
      <c r="D52">
        <v>1</v>
      </c>
      <c r="E52">
        <v>1</v>
      </c>
      <c r="F52">
        <v>1</v>
      </c>
      <c r="G52">
        <v>1</v>
      </c>
      <c r="H52">
        <v>1</v>
      </c>
    </row>
    <row r="53" spans="1:8" x14ac:dyDescent="0.25">
      <c r="A53">
        <v>50</v>
      </c>
      <c r="B53">
        <v>1</v>
      </c>
      <c r="C53">
        <v>1</v>
      </c>
      <c r="D53">
        <v>1</v>
      </c>
      <c r="E53">
        <v>1</v>
      </c>
      <c r="F53">
        <v>1</v>
      </c>
      <c r="G53">
        <v>1</v>
      </c>
      <c r="H53">
        <v>1</v>
      </c>
    </row>
    <row r="54" spans="1:8" x14ac:dyDescent="0.25">
      <c r="A54">
        <v>51</v>
      </c>
      <c r="B54">
        <v>1</v>
      </c>
      <c r="C54">
        <v>1</v>
      </c>
      <c r="D54">
        <v>1</v>
      </c>
      <c r="E54">
        <v>1</v>
      </c>
      <c r="F54">
        <v>1</v>
      </c>
      <c r="G54">
        <v>1</v>
      </c>
      <c r="H54">
        <v>1</v>
      </c>
    </row>
    <row r="55" spans="1:8" x14ac:dyDescent="0.25">
      <c r="A55">
        <v>52</v>
      </c>
      <c r="B55">
        <v>1</v>
      </c>
      <c r="C55">
        <v>1</v>
      </c>
      <c r="D55">
        <v>1</v>
      </c>
      <c r="E55">
        <v>1</v>
      </c>
      <c r="F55">
        <v>1</v>
      </c>
      <c r="G55">
        <v>1</v>
      </c>
      <c r="H55">
        <v>1</v>
      </c>
    </row>
    <row r="56" spans="1:8" x14ac:dyDescent="0.25">
      <c r="A56">
        <v>53</v>
      </c>
      <c r="B56">
        <v>1</v>
      </c>
      <c r="C56">
        <v>1</v>
      </c>
      <c r="D56">
        <v>1</v>
      </c>
      <c r="E56">
        <v>1</v>
      </c>
      <c r="F56">
        <v>1</v>
      </c>
      <c r="G56">
        <v>1</v>
      </c>
      <c r="H56">
        <v>1</v>
      </c>
    </row>
    <row r="57" spans="1:8" x14ac:dyDescent="0.25">
      <c r="A57">
        <v>54</v>
      </c>
      <c r="B57">
        <v>1</v>
      </c>
      <c r="C57">
        <v>1</v>
      </c>
      <c r="D57">
        <v>1</v>
      </c>
      <c r="E57">
        <v>1</v>
      </c>
      <c r="F57">
        <v>1</v>
      </c>
      <c r="G57">
        <v>1</v>
      </c>
      <c r="H57">
        <v>1</v>
      </c>
    </row>
    <row r="58" spans="1:8" x14ac:dyDescent="0.25">
      <c r="A58">
        <v>55</v>
      </c>
      <c r="B58">
        <v>1</v>
      </c>
      <c r="C58">
        <v>1</v>
      </c>
      <c r="D58">
        <v>1</v>
      </c>
      <c r="E58">
        <v>1</v>
      </c>
      <c r="F58">
        <v>1</v>
      </c>
      <c r="G58">
        <v>1</v>
      </c>
      <c r="H58">
        <v>1</v>
      </c>
    </row>
    <row r="59" spans="1:8" x14ac:dyDescent="0.25">
      <c r="A59">
        <v>56</v>
      </c>
      <c r="B59">
        <v>1</v>
      </c>
      <c r="C59">
        <v>1</v>
      </c>
      <c r="D59">
        <v>1</v>
      </c>
      <c r="E59">
        <v>1</v>
      </c>
      <c r="F59">
        <v>1</v>
      </c>
      <c r="G59">
        <v>1</v>
      </c>
      <c r="H59">
        <v>1</v>
      </c>
    </row>
    <row r="60" spans="1:8" x14ac:dyDescent="0.25">
      <c r="A60">
        <v>57</v>
      </c>
      <c r="B60">
        <v>1</v>
      </c>
      <c r="C60">
        <v>1</v>
      </c>
      <c r="D60">
        <v>1</v>
      </c>
      <c r="E60">
        <v>1</v>
      </c>
      <c r="F60">
        <v>1</v>
      </c>
      <c r="G60">
        <v>1</v>
      </c>
      <c r="H60">
        <v>1</v>
      </c>
    </row>
    <row r="61" spans="1:8" x14ac:dyDescent="0.25">
      <c r="A61">
        <v>58</v>
      </c>
      <c r="B61">
        <v>1</v>
      </c>
      <c r="C61">
        <v>1</v>
      </c>
      <c r="D61">
        <v>1</v>
      </c>
      <c r="E61">
        <v>1</v>
      </c>
      <c r="F61">
        <v>1</v>
      </c>
      <c r="G61">
        <v>1</v>
      </c>
      <c r="H61">
        <v>1</v>
      </c>
    </row>
    <row r="62" spans="1:8" x14ac:dyDescent="0.25">
      <c r="A62">
        <v>59</v>
      </c>
      <c r="B62">
        <v>1</v>
      </c>
      <c r="C62">
        <v>1</v>
      </c>
      <c r="D62">
        <v>1</v>
      </c>
      <c r="E62">
        <v>1</v>
      </c>
      <c r="F62">
        <v>1</v>
      </c>
      <c r="G62">
        <v>1</v>
      </c>
      <c r="H62">
        <v>1</v>
      </c>
    </row>
    <row r="63" spans="1:8" x14ac:dyDescent="0.25">
      <c r="A63">
        <v>60</v>
      </c>
      <c r="B63">
        <v>1</v>
      </c>
      <c r="C63">
        <v>1</v>
      </c>
      <c r="D63">
        <v>1</v>
      </c>
      <c r="E63">
        <v>1</v>
      </c>
      <c r="F63">
        <v>1</v>
      </c>
      <c r="G63">
        <v>1</v>
      </c>
      <c r="H63">
        <v>1</v>
      </c>
    </row>
    <row r="64" spans="1:8" x14ac:dyDescent="0.25">
      <c r="A64">
        <v>61</v>
      </c>
      <c r="B64">
        <v>1</v>
      </c>
      <c r="C64">
        <v>1</v>
      </c>
      <c r="D64">
        <v>1</v>
      </c>
      <c r="E64">
        <v>1</v>
      </c>
      <c r="F64">
        <v>1</v>
      </c>
      <c r="G64">
        <v>1</v>
      </c>
      <c r="H64">
        <v>1</v>
      </c>
    </row>
    <row r="65" spans="1:8" x14ac:dyDescent="0.25">
      <c r="A65">
        <v>62</v>
      </c>
      <c r="B65">
        <v>1</v>
      </c>
      <c r="C65">
        <v>1</v>
      </c>
      <c r="D65">
        <v>1</v>
      </c>
      <c r="E65">
        <v>1</v>
      </c>
      <c r="F65">
        <v>1</v>
      </c>
      <c r="G65">
        <v>1</v>
      </c>
      <c r="H65">
        <v>1</v>
      </c>
    </row>
    <row r="66" spans="1:8" x14ac:dyDescent="0.25">
      <c r="A66">
        <v>63</v>
      </c>
      <c r="B66">
        <v>1</v>
      </c>
      <c r="C66">
        <v>1</v>
      </c>
      <c r="D66">
        <v>1</v>
      </c>
      <c r="E66">
        <v>1</v>
      </c>
      <c r="F66">
        <v>1</v>
      </c>
      <c r="G66">
        <v>1</v>
      </c>
      <c r="H66">
        <v>1</v>
      </c>
    </row>
    <row r="67" spans="1:8" x14ac:dyDescent="0.25">
      <c r="A67">
        <v>64</v>
      </c>
      <c r="B67">
        <v>1</v>
      </c>
      <c r="C67">
        <v>1</v>
      </c>
      <c r="D67">
        <v>1</v>
      </c>
      <c r="E67">
        <v>1</v>
      </c>
      <c r="F67">
        <v>1</v>
      </c>
      <c r="G67">
        <v>1</v>
      </c>
      <c r="H67">
        <v>1</v>
      </c>
    </row>
    <row r="68" spans="1:8" x14ac:dyDescent="0.25">
      <c r="A68">
        <v>65</v>
      </c>
      <c r="B68">
        <v>1</v>
      </c>
      <c r="C68">
        <v>1</v>
      </c>
      <c r="D68">
        <v>1</v>
      </c>
      <c r="E68">
        <v>1</v>
      </c>
      <c r="F68">
        <v>1</v>
      </c>
      <c r="G68">
        <v>1</v>
      </c>
      <c r="H68">
        <v>1</v>
      </c>
    </row>
    <row r="69" spans="1:8" x14ac:dyDescent="0.25">
      <c r="A69">
        <v>66</v>
      </c>
      <c r="B69">
        <v>1</v>
      </c>
      <c r="C69">
        <v>1</v>
      </c>
      <c r="D69">
        <v>1</v>
      </c>
      <c r="E69">
        <v>1</v>
      </c>
      <c r="F69">
        <v>1</v>
      </c>
      <c r="G69">
        <v>1</v>
      </c>
      <c r="H69">
        <v>1</v>
      </c>
    </row>
    <row r="70" spans="1:8" x14ac:dyDescent="0.25">
      <c r="A70">
        <v>67</v>
      </c>
      <c r="B70">
        <v>1</v>
      </c>
      <c r="C70">
        <v>1</v>
      </c>
      <c r="D70">
        <v>1</v>
      </c>
      <c r="E70">
        <v>1</v>
      </c>
      <c r="F70">
        <v>1</v>
      </c>
      <c r="G70">
        <v>1</v>
      </c>
      <c r="H70">
        <v>1</v>
      </c>
    </row>
    <row r="71" spans="1:8" x14ac:dyDescent="0.25">
      <c r="A71">
        <v>68</v>
      </c>
      <c r="B71">
        <v>1</v>
      </c>
      <c r="C71">
        <v>1</v>
      </c>
      <c r="D71">
        <v>1</v>
      </c>
      <c r="E71">
        <v>1</v>
      </c>
      <c r="F71">
        <v>1</v>
      </c>
      <c r="G71">
        <v>1</v>
      </c>
      <c r="H71">
        <v>1</v>
      </c>
    </row>
    <row r="72" spans="1:8" x14ac:dyDescent="0.25">
      <c r="A72">
        <v>69</v>
      </c>
      <c r="B72">
        <v>1</v>
      </c>
      <c r="C72">
        <v>1</v>
      </c>
      <c r="D72">
        <v>1</v>
      </c>
      <c r="E72">
        <v>1</v>
      </c>
      <c r="F72">
        <v>1</v>
      </c>
      <c r="G72">
        <v>1</v>
      </c>
      <c r="H72">
        <v>1</v>
      </c>
    </row>
    <row r="73" spans="1:8" x14ac:dyDescent="0.25">
      <c r="A73">
        <v>70</v>
      </c>
      <c r="B73">
        <v>1</v>
      </c>
      <c r="C73">
        <v>1</v>
      </c>
      <c r="D73">
        <v>1</v>
      </c>
      <c r="E73">
        <v>1</v>
      </c>
      <c r="F73">
        <v>1</v>
      </c>
      <c r="G73">
        <v>1</v>
      </c>
      <c r="H73">
        <v>1</v>
      </c>
    </row>
    <row r="74" spans="1:8" x14ac:dyDescent="0.25">
      <c r="A74">
        <v>71</v>
      </c>
      <c r="B74">
        <v>1</v>
      </c>
      <c r="C74">
        <v>1</v>
      </c>
      <c r="D74">
        <v>1</v>
      </c>
      <c r="E74">
        <v>1</v>
      </c>
      <c r="F74">
        <v>1</v>
      </c>
      <c r="G74">
        <v>1</v>
      </c>
      <c r="H74">
        <v>1</v>
      </c>
    </row>
    <row r="75" spans="1:8" x14ac:dyDescent="0.25">
      <c r="A75">
        <v>72</v>
      </c>
      <c r="B75">
        <v>1</v>
      </c>
      <c r="C75">
        <v>1</v>
      </c>
      <c r="D75">
        <v>1</v>
      </c>
      <c r="E75">
        <v>1</v>
      </c>
      <c r="F75">
        <v>1</v>
      </c>
      <c r="G75">
        <v>1</v>
      </c>
      <c r="H75">
        <v>1</v>
      </c>
    </row>
    <row r="76" spans="1:8" x14ac:dyDescent="0.25">
      <c r="A76">
        <v>73</v>
      </c>
      <c r="B76">
        <v>1</v>
      </c>
      <c r="C76">
        <v>1</v>
      </c>
      <c r="D76">
        <v>1</v>
      </c>
      <c r="E76">
        <v>1</v>
      </c>
      <c r="F76">
        <v>1</v>
      </c>
      <c r="G76">
        <v>1</v>
      </c>
      <c r="H76">
        <v>1</v>
      </c>
    </row>
    <row r="77" spans="1:8" x14ac:dyDescent="0.25">
      <c r="A77">
        <v>74</v>
      </c>
      <c r="B77">
        <v>1</v>
      </c>
      <c r="C77">
        <v>1</v>
      </c>
      <c r="D77">
        <v>1</v>
      </c>
      <c r="E77">
        <v>1</v>
      </c>
      <c r="F77">
        <v>1</v>
      </c>
      <c r="G77">
        <v>1</v>
      </c>
      <c r="H77">
        <v>1</v>
      </c>
    </row>
    <row r="78" spans="1:8" x14ac:dyDescent="0.25">
      <c r="A78">
        <v>75</v>
      </c>
      <c r="B78">
        <v>1</v>
      </c>
      <c r="C78">
        <v>1</v>
      </c>
      <c r="D78">
        <v>1</v>
      </c>
      <c r="E78">
        <v>1</v>
      </c>
      <c r="F78">
        <v>1</v>
      </c>
      <c r="G78">
        <v>1</v>
      </c>
      <c r="H78">
        <v>1</v>
      </c>
    </row>
    <row r="79" spans="1:8" x14ac:dyDescent="0.25">
      <c r="A79">
        <v>76</v>
      </c>
      <c r="B79">
        <v>1</v>
      </c>
      <c r="C79">
        <v>1</v>
      </c>
      <c r="D79">
        <v>1</v>
      </c>
      <c r="E79">
        <v>1</v>
      </c>
      <c r="F79">
        <v>1</v>
      </c>
      <c r="G79">
        <v>1</v>
      </c>
      <c r="H79">
        <v>1</v>
      </c>
    </row>
    <row r="80" spans="1:8" x14ac:dyDescent="0.25">
      <c r="A80">
        <v>77</v>
      </c>
      <c r="B80">
        <v>1</v>
      </c>
      <c r="C80">
        <v>1</v>
      </c>
      <c r="D80">
        <v>1</v>
      </c>
      <c r="E80">
        <v>1</v>
      </c>
      <c r="F80">
        <v>1</v>
      </c>
      <c r="G80">
        <v>1</v>
      </c>
      <c r="H80">
        <v>1</v>
      </c>
    </row>
    <row r="81" spans="1:8" x14ac:dyDescent="0.25">
      <c r="A81">
        <v>78</v>
      </c>
      <c r="B81">
        <v>1</v>
      </c>
      <c r="C81">
        <v>1</v>
      </c>
      <c r="D81">
        <v>1</v>
      </c>
      <c r="E81">
        <v>1</v>
      </c>
      <c r="F81">
        <v>1</v>
      </c>
      <c r="G81">
        <v>1</v>
      </c>
      <c r="H81">
        <v>1</v>
      </c>
    </row>
    <row r="82" spans="1:8" x14ac:dyDescent="0.25">
      <c r="A82">
        <v>79</v>
      </c>
      <c r="B82">
        <v>1</v>
      </c>
      <c r="C82">
        <v>1</v>
      </c>
      <c r="D82">
        <v>1</v>
      </c>
      <c r="E82">
        <v>1</v>
      </c>
      <c r="F82">
        <v>1</v>
      </c>
      <c r="G82">
        <v>1</v>
      </c>
      <c r="H82">
        <v>1</v>
      </c>
    </row>
    <row r="83" spans="1:8" x14ac:dyDescent="0.25">
      <c r="A83">
        <v>80</v>
      </c>
      <c r="B83">
        <v>1</v>
      </c>
      <c r="C83">
        <v>1</v>
      </c>
      <c r="D83">
        <v>1</v>
      </c>
      <c r="E83">
        <v>1</v>
      </c>
      <c r="F83">
        <v>1</v>
      </c>
      <c r="G83">
        <v>1</v>
      </c>
      <c r="H83">
        <v>1</v>
      </c>
    </row>
    <row r="84" spans="1:8" x14ac:dyDescent="0.25">
      <c r="A84">
        <v>81</v>
      </c>
      <c r="B84">
        <v>1</v>
      </c>
      <c r="C84">
        <v>1</v>
      </c>
      <c r="D84">
        <v>1</v>
      </c>
      <c r="E84">
        <v>1</v>
      </c>
      <c r="F84">
        <v>1</v>
      </c>
      <c r="G84">
        <v>1</v>
      </c>
      <c r="H84">
        <v>1</v>
      </c>
    </row>
    <row r="85" spans="1:8" x14ac:dyDescent="0.25">
      <c r="A85">
        <v>82</v>
      </c>
      <c r="B85">
        <v>1</v>
      </c>
      <c r="C85">
        <v>1</v>
      </c>
      <c r="D85">
        <v>1</v>
      </c>
      <c r="E85">
        <v>1</v>
      </c>
      <c r="F85">
        <v>1</v>
      </c>
      <c r="G85">
        <v>1</v>
      </c>
      <c r="H85">
        <v>1</v>
      </c>
    </row>
    <row r="86" spans="1:8" x14ac:dyDescent="0.25">
      <c r="A86">
        <v>83</v>
      </c>
      <c r="B86">
        <v>1</v>
      </c>
      <c r="C86">
        <v>1</v>
      </c>
      <c r="D86">
        <v>1</v>
      </c>
      <c r="E86">
        <v>1</v>
      </c>
      <c r="F86">
        <v>1</v>
      </c>
      <c r="G86">
        <v>1</v>
      </c>
      <c r="H86">
        <v>1</v>
      </c>
    </row>
    <row r="87" spans="1:8" x14ac:dyDescent="0.25">
      <c r="A87">
        <v>84</v>
      </c>
      <c r="B87">
        <v>1</v>
      </c>
      <c r="C87">
        <v>1</v>
      </c>
      <c r="D87">
        <v>1</v>
      </c>
      <c r="E87">
        <v>1</v>
      </c>
      <c r="F87">
        <v>1</v>
      </c>
      <c r="G87">
        <v>1</v>
      </c>
      <c r="H87">
        <v>1</v>
      </c>
    </row>
    <row r="88" spans="1:8" x14ac:dyDescent="0.25">
      <c r="A88">
        <v>85</v>
      </c>
      <c r="B88">
        <v>1</v>
      </c>
      <c r="C88">
        <v>1</v>
      </c>
      <c r="D88">
        <v>1</v>
      </c>
      <c r="E88">
        <v>1</v>
      </c>
      <c r="F88">
        <v>1</v>
      </c>
      <c r="G88">
        <v>1</v>
      </c>
      <c r="H88">
        <v>1</v>
      </c>
    </row>
    <row r="89" spans="1:8" x14ac:dyDescent="0.25">
      <c r="A89">
        <v>86</v>
      </c>
      <c r="B89">
        <v>1</v>
      </c>
      <c r="C89">
        <v>1</v>
      </c>
      <c r="D89">
        <v>1</v>
      </c>
      <c r="E89">
        <v>1</v>
      </c>
      <c r="F89">
        <v>1</v>
      </c>
      <c r="G89">
        <v>1</v>
      </c>
      <c r="H89">
        <v>1</v>
      </c>
    </row>
    <row r="90" spans="1:8" x14ac:dyDescent="0.25">
      <c r="A90">
        <v>87</v>
      </c>
      <c r="B90">
        <v>1</v>
      </c>
      <c r="C90">
        <v>1</v>
      </c>
      <c r="D90">
        <v>1</v>
      </c>
      <c r="E90">
        <v>1</v>
      </c>
      <c r="F90">
        <v>1</v>
      </c>
      <c r="G90">
        <v>1</v>
      </c>
      <c r="H90">
        <v>1</v>
      </c>
    </row>
    <row r="91" spans="1:8" x14ac:dyDescent="0.25">
      <c r="A91">
        <v>88</v>
      </c>
      <c r="B91">
        <v>1</v>
      </c>
      <c r="C91">
        <v>1</v>
      </c>
      <c r="D91">
        <v>1</v>
      </c>
      <c r="E91">
        <v>1</v>
      </c>
      <c r="F91">
        <v>1</v>
      </c>
      <c r="G91">
        <v>1</v>
      </c>
      <c r="H91">
        <v>1</v>
      </c>
    </row>
    <row r="92" spans="1:8" x14ac:dyDescent="0.25">
      <c r="A92">
        <v>89</v>
      </c>
      <c r="B92">
        <v>1</v>
      </c>
      <c r="C92">
        <v>1</v>
      </c>
      <c r="D92">
        <v>1</v>
      </c>
      <c r="E92">
        <v>1</v>
      </c>
      <c r="F92">
        <v>1</v>
      </c>
      <c r="G92">
        <v>1</v>
      </c>
      <c r="H92">
        <v>1</v>
      </c>
    </row>
    <row r="93" spans="1:8" x14ac:dyDescent="0.25">
      <c r="A93">
        <v>90</v>
      </c>
      <c r="B93">
        <v>1</v>
      </c>
      <c r="C93">
        <v>1</v>
      </c>
      <c r="D93">
        <v>1</v>
      </c>
      <c r="E93">
        <v>1</v>
      </c>
      <c r="F93">
        <v>1</v>
      </c>
      <c r="G93">
        <v>1</v>
      </c>
      <c r="H93">
        <v>1</v>
      </c>
    </row>
    <row r="94" spans="1:8" x14ac:dyDescent="0.25">
      <c r="A94">
        <v>91</v>
      </c>
      <c r="B94">
        <v>1</v>
      </c>
      <c r="C94">
        <v>1</v>
      </c>
      <c r="D94">
        <v>1</v>
      </c>
      <c r="E94">
        <v>1</v>
      </c>
      <c r="F94">
        <v>1</v>
      </c>
      <c r="G94">
        <v>1</v>
      </c>
      <c r="H94">
        <v>1</v>
      </c>
    </row>
    <row r="95" spans="1:8" x14ac:dyDescent="0.25">
      <c r="A95">
        <v>92</v>
      </c>
      <c r="B95">
        <v>1</v>
      </c>
      <c r="C95">
        <v>1</v>
      </c>
      <c r="D95">
        <v>1</v>
      </c>
      <c r="E95">
        <v>1</v>
      </c>
      <c r="F95">
        <v>1</v>
      </c>
      <c r="G95">
        <v>1</v>
      </c>
      <c r="H95">
        <v>1</v>
      </c>
    </row>
    <row r="96" spans="1:8" x14ac:dyDescent="0.25">
      <c r="A96">
        <v>93</v>
      </c>
      <c r="B96">
        <v>1</v>
      </c>
      <c r="C96">
        <v>1</v>
      </c>
      <c r="D96">
        <v>1</v>
      </c>
      <c r="E96">
        <v>1</v>
      </c>
      <c r="F96">
        <v>1</v>
      </c>
      <c r="G96">
        <v>1</v>
      </c>
      <c r="H96">
        <v>1</v>
      </c>
    </row>
    <row r="97" spans="1:8" x14ac:dyDescent="0.25">
      <c r="A97">
        <v>94</v>
      </c>
      <c r="B97">
        <v>1</v>
      </c>
      <c r="C97">
        <v>1</v>
      </c>
      <c r="D97">
        <v>1</v>
      </c>
      <c r="E97">
        <v>1</v>
      </c>
      <c r="F97">
        <v>1</v>
      </c>
      <c r="G97">
        <v>1</v>
      </c>
      <c r="H97">
        <v>1</v>
      </c>
    </row>
    <row r="98" spans="1:8" x14ac:dyDescent="0.25">
      <c r="A98">
        <v>95</v>
      </c>
      <c r="B98">
        <v>1</v>
      </c>
      <c r="C98">
        <v>1</v>
      </c>
      <c r="D98">
        <v>1</v>
      </c>
      <c r="E98">
        <v>1</v>
      </c>
      <c r="F98">
        <v>1</v>
      </c>
      <c r="G98">
        <v>1</v>
      </c>
      <c r="H98">
        <v>1</v>
      </c>
    </row>
    <row r="99" spans="1:8" x14ac:dyDescent="0.25">
      <c r="A99">
        <v>96</v>
      </c>
      <c r="B99">
        <v>1</v>
      </c>
      <c r="C99">
        <v>1</v>
      </c>
      <c r="D99">
        <v>1</v>
      </c>
      <c r="E99">
        <v>1</v>
      </c>
      <c r="F99">
        <v>1</v>
      </c>
      <c r="G99">
        <v>1</v>
      </c>
      <c r="H99">
        <v>1</v>
      </c>
    </row>
    <row r="100" spans="1:8" x14ac:dyDescent="0.25">
      <c r="A100">
        <v>97</v>
      </c>
      <c r="B100">
        <v>1</v>
      </c>
      <c r="C100">
        <v>1</v>
      </c>
      <c r="D100">
        <v>1</v>
      </c>
      <c r="E100">
        <v>1</v>
      </c>
      <c r="F100">
        <v>1</v>
      </c>
      <c r="G100">
        <v>1</v>
      </c>
      <c r="H100">
        <v>1</v>
      </c>
    </row>
    <row r="101" spans="1:8" x14ac:dyDescent="0.25">
      <c r="A101">
        <v>98</v>
      </c>
      <c r="B101">
        <v>1</v>
      </c>
      <c r="C101">
        <v>1</v>
      </c>
      <c r="D101">
        <v>1</v>
      </c>
      <c r="E101">
        <v>1</v>
      </c>
      <c r="F101">
        <v>1</v>
      </c>
      <c r="G101">
        <v>1</v>
      </c>
      <c r="H101">
        <v>1</v>
      </c>
    </row>
    <row r="102" spans="1:8" x14ac:dyDescent="0.25">
      <c r="A102">
        <v>99</v>
      </c>
      <c r="B102">
        <v>1</v>
      </c>
      <c r="C102">
        <v>1</v>
      </c>
      <c r="D102">
        <v>1</v>
      </c>
      <c r="E102">
        <v>1</v>
      </c>
      <c r="F102">
        <v>1</v>
      </c>
      <c r="G102">
        <v>1</v>
      </c>
      <c r="H102">
        <v>1</v>
      </c>
    </row>
    <row r="103" spans="1:8" x14ac:dyDescent="0.25">
      <c r="A103">
        <v>100</v>
      </c>
      <c r="B103">
        <v>1</v>
      </c>
      <c r="C103">
        <v>1</v>
      </c>
      <c r="D103">
        <v>1</v>
      </c>
      <c r="E103">
        <v>1</v>
      </c>
      <c r="F103">
        <v>1</v>
      </c>
      <c r="G103">
        <v>1</v>
      </c>
      <c r="H103">
        <v>1</v>
      </c>
    </row>
    <row r="104" spans="1:8" x14ac:dyDescent="0.25">
      <c r="A104">
        <v>101</v>
      </c>
      <c r="B104">
        <v>1</v>
      </c>
      <c r="C104">
        <v>1</v>
      </c>
      <c r="D104">
        <v>1</v>
      </c>
      <c r="E104">
        <v>1</v>
      </c>
      <c r="F104">
        <v>1</v>
      </c>
      <c r="G104">
        <v>1</v>
      </c>
      <c r="H104">
        <v>1</v>
      </c>
    </row>
    <row r="105" spans="1:8" x14ac:dyDescent="0.25">
      <c r="A105">
        <v>102</v>
      </c>
      <c r="B105">
        <v>1</v>
      </c>
      <c r="C105">
        <v>1</v>
      </c>
      <c r="D105">
        <v>1</v>
      </c>
      <c r="E105">
        <v>1</v>
      </c>
      <c r="F105">
        <v>1</v>
      </c>
      <c r="G105">
        <v>1</v>
      </c>
      <c r="H105">
        <v>1</v>
      </c>
    </row>
    <row r="106" spans="1:8" x14ac:dyDescent="0.25">
      <c r="A106">
        <v>103</v>
      </c>
      <c r="B106">
        <v>1</v>
      </c>
      <c r="C106">
        <v>1</v>
      </c>
      <c r="D106">
        <v>1</v>
      </c>
      <c r="E106">
        <v>1</v>
      </c>
      <c r="F106">
        <v>1</v>
      </c>
      <c r="G106">
        <v>1</v>
      </c>
      <c r="H106">
        <v>1</v>
      </c>
    </row>
    <row r="107" spans="1:8" x14ac:dyDescent="0.25">
      <c r="A107">
        <v>104</v>
      </c>
      <c r="B107">
        <v>1</v>
      </c>
      <c r="C107">
        <v>1</v>
      </c>
      <c r="D107">
        <v>1</v>
      </c>
      <c r="E107">
        <v>1</v>
      </c>
      <c r="F107">
        <v>1</v>
      </c>
      <c r="G107">
        <v>1</v>
      </c>
      <c r="H107">
        <v>1</v>
      </c>
    </row>
    <row r="108" spans="1:8" x14ac:dyDescent="0.25">
      <c r="A108">
        <v>105</v>
      </c>
      <c r="B108">
        <v>1</v>
      </c>
      <c r="C108">
        <v>1</v>
      </c>
      <c r="D108">
        <v>1</v>
      </c>
      <c r="E108">
        <v>1</v>
      </c>
      <c r="F108">
        <v>1</v>
      </c>
      <c r="G108">
        <v>1</v>
      </c>
      <c r="H108">
        <v>1</v>
      </c>
    </row>
    <row r="109" spans="1:8" x14ac:dyDescent="0.25">
      <c r="A109">
        <v>106</v>
      </c>
      <c r="B109">
        <v>1</v>
      </c>
      <c r="C109">
        <v>1</v>
      </c>
      <c r="D109">
        <v>1</v>
      </c>
      <c r="E109">
        <v>1</v>
      </c>
      <c r="F109">
        <v>1</v>
      </c>
      <c r="G109">
        <v>1</v>
      </c>
      <c r="H109">
        <v>1</v>
      </c>
    </row>
    <row r="110" spans="1:8" x14ac:dyDescent="0.25">
      <c r="A110">
        <v>107</v>
      </c>
      <c r="B110">
        <v>1</v>
      </c>
      <c r="C110">
        <v>1</v>
      </c>
      <c r="D110">
        <v>1</v>
      </c>
      <c r="E110">
        <v>1</v>
      </c>
      <c r="F110">
        <v>1</v>
      </c>
      <c r="G110">
        <v>1</v>
      </c>
      <c r="H110">
        <v>1</v>
      </c>
    </row>
    <row r="111" spans="1:8" x14ac:dyDescent="0.25">
      <c r="A111">
        <v>108</v>
      </c>
      <c r="B111">
        <v>1</v>
      </c>
      <c r="C111">
        <v>1</v>
      </c>
      <c r="D111">
        <v>1</v>
      </c>
      <c r="E111">
        <v>1</v>
      </c>
      <c r="F111">
        <v>1</v>
      </c>
      <c r="G111">
        <v>1</v>
      </c>
      <c r="H111">
        <v>1</v>
      </c>
    </row>
    <row r="112" spans="1:8" x14ac:dyDescent="0.25">
      <c r="A112">
        <v>109</v>
      </c>
      <c r="B112">
        <v>1</v>
      </c>
      <c r="C112">
        <v>1</v>
      </c>
      <c r="D112">
        <v>1</v>
      </c>
      <c r="E112">
        <v>1</v>
      </c>
      <c r="F112">
        <v>1</v>
      </c>
      <c r="G112">
        <v>1</v>
      </c>
      <c r="H112">
        <v>1</v>
      </c>
    </row>
    <row r="113" spans="1:8" x14ac:dyDescent="0.25">
      <c r="A113">
        <v>110</v>
      </c>
      <c r="B113">
        <v>1</v>
      </c>
      <c r="C113">
        <v>1</v>
      </c>
      <c r="D113">
        <v>1</v>
      </c>
      <c r="E113">
        <v>1</v>
      </c>
      <c r="F113">
        <v>1</v>
      </c>
      <c r="G113">
        <v>1</v>
      </c>
      <c r="H113">
        <v>1</v>
      </c>
    </row>
    <row r="114" spans="1:8" x14ac:dyDescent="0.25">
      <c r="A114">
        <v>111</v>
      </c>
      <c r="B114">
        <v>1</v>
      </c>
      <c r="C114">
        <v>1</v>
      </c>
      <c r="D114">
        <v>1</v>
      </c>
      <c r="E114">
        <v>1</v>
      </c>
      <c r="F114">
        <v>1</v>
      </c>
      <c r="G114">
        <v>1</v>
      </c>
      <c r="H114">
        <v>1</v>
      </c>
    </row>
    <row r="115" spans="1:8" x14ac:dyDescent="0.25">
      <c r="A115">
        <v>112</v>
      </c>
      <c r="B115">
        <v>1</v>
      </c>
      <c r="C115">
        <v>1</v>
      </c>
      <c r="D115">
        <v>1</v>
      </c>
      <c r="E115">
        <v>1</v>
      </c>
      <c r="F115">
        <v>1</v>
      </c>
      <c r="G115">
        <v>1</v>
      </c>
      <c r="H115">
        <v>1</v>
      </c>
    </row>
    <row r="116" spans="1:8" x14ac:dyDescent="0.25">
      <c r="A116">
        <v>113</v>
      </c>
      <c r="B116">
        <v>1</v>
      </c>
      <c r="C116">
        <v>1</v>
      </c>
      <c r="D116">
        <v>1</v>
      </c>
      <c r="E116">
        <v>1</v>
      </c>
      <c r="F116">
        <v>1</v>
      </c>
      <c r="G116">
        <v>1</v>
      </c>
      <c r="H116">
        <v>1</v>
      </c>
    </row>
    <row r="117" spans="1:8" x14ac:dyDescent="0.25">
      <c r="A117">
        <v>114</v>
      </c>
      <c r="B117">
        <v>1</v>
      </c>
      <c r="C117">
        <v>1</v>
      </c>
      <c r="D117">
        <v>1</v>
      </c>
      <c r="E117">
        <v>1</v>
      </c>
      <c r="F117">
        <v>1</v>
      </c>
      <c r="G117">
        <v>1</v>
      </c>
      <c r="H117">
        <v>1</v>
      </c>
    </row>
    <row r="118" spans="1:8" x14ac:dyDescent="0.25">
      <c r="A118">
        <v>115</v>
      </c>
      <c r="B118">
        <v>1</v>
      </c>
      <c r="C118">
        <v>1</v>
      </c>
      <c r="D118">
        <v>1</v>
      </c>
      <c r="E118">
        <v>1</v>
      </c>
      <c r="F118">
        <v>1</v>
      </c>
      <c r="G118">
        <v>1</v>
      </c>
      <c r="H118">
        <v>1</v>
      </c>
    </row>
    <row r="119" spans="1:8" x14ac:dyDescent="0.25">
      <c r="A119">
        <v>116</v>
      </c>
      <c r="B119">
        <v>1</v>
      </c>
      <c r="C119">
        <v>1</v>
      </c>
      <c r="D119">
        <v>1</v>
      </c>
      <c r="E119">
        <v>1</v>
      </c>
      <c r="F119">
        <v>1</v>
      </c>
      <c r="G119">
        <v>1</v>
      </c>
      <c r="H119">
        <v>1</v>
      </c>
    </row>
    <row r="120" spans="1:8" x14ac:dyDescent="0.25">
      <c r="A120">
        <v>117</v>
      </c>
      <c r="B120">
        <v>1</v>
      </c>
      <c r="C120">
        <v>1</v>
      </c>
      <c r="D120">
        <v>1</v>
      </c>
      <c r="E120">
        <v>1</v>
      </c>
      <c r="F120">
        <v>1</v>
      </c>
      <c r="G120">
        <v>1</v>
      </c>
      <c r="H120">
        <v>1</v>
      </c>
    </row>
    <row r="121" spans="1:8" x14ac:dyDescent="0.25">
      <c r="A121">
        <v>118</v>
      </c>
      <c r="B121">
        <v>1</v>
      </c>
      <c r="C121">
        <v>1</v>
      </c>
      <c r="D121">
        <v>1</v>
      </c>
      <c r="E121">
        <v>1</v>
      </c>
      <c r="F121">
        <v>1</v>
      </c>
      <c r="G121">
        <v>1</v>
      </c>
      <c r="H121">
        <v>1</v>
      </c>
    </row>
    <row r="122" spans="1:8" x14ac:dyDescent="0.25">
      <c r="A122">
        <v>119</v>
      </c>
      <c r="B122">
        <v>1</v>
      </c>
      <c r="C122">
        <v>1</v>
      </c>
      <c r="D122">
        <v>1</v>
      </c>
      <c r="E122">
        <v>1</v>
      </c>
      <c r="F122">
        <v>1</v>
      </c>
      <c r="G122">
        <v>1</v>
      </c>
      <c r="H122">
        <v>1</v>
      </c>
    </row>
    <row r="123" spans="1:8" x14ac:dyDescent="0.25">
      <c r="A123">
        <v>120</v>
      </c>
      <c r="B123">
        <v>1</v>
      </c>
      <c r="C123">
        <v>1</v>
      </c>
      <c r="D123">
        <v>1</v>
      </c>
      <c r="E123">
        <v>1</v>
      </c>
      <c r="F123">
        <v>1</v>
      </c>
      <c r="G123">
        <v>1</v>
      </c>
      <c r="H123">
        <v>1</v>
      </c>
    </row>
    <row r="124" spans="1:8" x14ac:dyDescent="0.25">
      <c r="A124">
        <v>121</v>
      </c>
      <c r="B124">
        <v>1</v>
      </c>
      <c r="C124">
        <v>1</v>
      </c>
      <c r="D124">
        <v>1</v>
      </c>
      <c r="E124">
        <v>1</v>
      </c>
      <c r="F124">
        <v>1</v>
      </c>
      <c r="G124">
        <v>1</v>
      </c>
      <c r="H124">
        <v>1</v>
      </c>
    </row>
    <row r="125" spans="1:8" x14ac:dyDescent="0.25">
      <c r="A125">
        <v>122</v>
      </c>
      <c r="B125">
        <v>1</v>
      </c>
      <c r="C125">
        <v>1</v>
      </c>
      <c r="D125">
        <v>1</v>
      </c>
      <c r="E125">
        <v>1</v>
      </c>
      <c r="F125">
        <v>1</v>
      </c>
      <c r="G125">
        <v>1</v>
      </c>
      <c r="H125">
        <v>1</v>
      </c>
    </row>
    <row r="126" spans="1:8" x14ac:dyDescent="0.25">
      <c r="A126">
        <v>123</v>
      </c>
      <c r="B126">
        <v>1</v>
      </c>
      <c r="C126">
        <v>1</v>
      </c>
      <c r="D126">
        <v>1</v>
      </c>
      <c r="E126">
        <v>1</v>
      </c>
      <c r="F126">
        <v>1</v>
      </c>
      <c r="G126">
        <v>1</v>
      </c>
      <c r="H126">
        <v>1</v>
      </c>
    </row>
    <row r="127" spans="1:8" x14ac:dyDescent="0.25">
      <c r="A127">
        <v>124</v>
      </c>
      <c r="B127">
        <v>1</v>
      </c>
      <c r="C127">
        <v>1</v>
      </c>
      <c r="D127">
        <v>1</v>
      </c>
      <c r="E127">
        <v>1</v>
      </c>
      <c r="F127">
        <v>1</v>
      </c>
      <c r="G127">
        <v>1</v>
      </c>
      <c r="H127">
        <v>1</v>
      </c>
    </row>
    <row r="128" spans="1:8" x14ac:dyDescent="0.25">
      <c r="A128">
        <v>125</v>
      </c>
      <c r="B128">
        <v>1</v>
      </c>
      <c r="C128">
        <v>1</v>
      </c>
      <c r="D128">
        <v>1</v>
      </c>
      <c r="E128">
        <v>1</v>
      </c>
      <c r="F128">
        <v>1</v>
      </c>
      <c r="G128">
        <v>1</v>
      </c>
      <c r="H128">
        <v>1</v>
      </c>
    </row>
    <row r="129" spans="1:8" x14ac:dyDescent="0.25">
      <c r="A129">
        <v>126</v>
      </c>
      <c r="B129">
        <v>1</v>
      </c>
      <c r="C129">
        <v>1</v>
      </c>
      <c r="D129">
        <v>1</v>
      </c>
      <c r="E129">
        <v>1</v>
      </c>
      <c r="F129">
        <v>1</v>
      </c>
      <c r="G129">
        <v>1</v>
      </c>
      <c r="H129">
        <v>1</v>
      </c>
    </row>
    <row r="130" spans="1:8" x14ac:dyDescent="0.25">
      <c r="A130">
        <v>127</v>
      </c>
      <c r="B130">
        <v>1</v>
      </c>
      <c r="C130">
        <v>1</v>
      </c>
      <c r="D130">
        <v>1</v>
      </c>
      <c r="E130">
        <v>1</v>
      </c>
      <c r="F130">
        <v>1</v>
      </c>
      <c r="G130">
        <v>1</v>
      </c>
      <c r="H130">
        <v>1</v>
      </c>
    </row>
    <row r="131" spans="1:8" x14ac:dyDescent="0.25">
      <c r="A131">
        <v>128</v>
      </c>
      <c r="B131">
        <v>1</v>
      </c>
      <c r="C131">
        <v>1</v>
      </c>
      <c r="D131">
        <v>1</v>
      </c>
      <c r="E131">
        <v>1</v>
      </c>
      <c r="F131">
        <v>1</v>
      </c>
      <c r="G131">
        <v>1</v>
      </c>
      <c r="H131">
        <v>1</v>
      </c>
    </row>
    <row r="132" spans="1:8" x14ac:dyDescent="0.25">
      <c r="A132">
        <v>129</v>
      </c>
      <c r="B132">
        <v>1</v>
      </c>
      <c r="C132">
        <v>1</v>
      </c>
      <c r="D132">
        <v>1</v>
      </c>
      <c r="E132">
        <v>1</v>
      </c>
      <c r="F132">
        <v>1</v>
      </c>
      <c r="G132">
        <v>1</v>
      </c>
      <c r="H132">
        <v>1</v>
      </c>
    </row>
    <row r="133" spans="1:8" x14ac:dyDescent="0.25">
      <c r="A133">
        <v>130</v>
      </c>
      <c r="B133">
        <v>1</v>
      </c>
      <c r="C133">
        <v>1</v>
      </c>
      <c r="D133">
        <v>1</v>
      </c>
      <c r="E133">
        <v>1</v>
      </c>
      <c r="F133">
        <v>1</v>
      </c>
      <c r="G133">
        <v>1</v>
      </c>
      <c r="H133">
        <v>1</v>
      </c>
    </row>
    <row r="134" spans="1:8" x14ac:dyDescent="0.25">
      <c r="A134">
        <v>131</v>
      </c>
      <c r="B134">
        <v>1</v>
      </c>
      <c r="C134">
        <v>1</v>
      </c>
      <c r="D134">
        <v>1</v>
      </c>
      <c r="E134">
        <v>1</v>
      </c>
      <c r="F134">
        <v>1</v>
      </c>
      <c r="G134">
        <v>1</v>
      </c>
      <c r="H134">
        <v>1</v>
      </c>
    </row>
    <row r="135" spans="1:8" x14ac:dyDescent="0.25">
      <c r="A135">
        <v>132</v>
      </c>
      <c r="B135">
        <v>1</v>
      </c>
      <c r="C135">
        <v>1</v>
      </c>
      <c r="D135">
        <v>1</v>
      </c>
      <c r="E135">
        <v>1</v>
      </c>
      <c r="F135">
        <v>1</v>
      </c>
      <c r="G135">
        <v>1</v>
      </c>
      <c r="H135">
        <v>1</v>
      </c>
    </row>
    <row r="136" spans="1:8" x14ac:dyDescent="0.25">
      <c r="A136">
        <v>133</v>
      </c>
      <c r="B136">
        <v>1</v>
      </c>
      <c r="C136">
        <v>1</v>
      </c>
      <c r="D136">
        <v>1</v>
      </c>
      <c r="E136">
        <v>1</v>
      </c>
      <c r="F136">
        <v>1</v>
      </c>
      <c r="G136">
        <v>1</v>
      </c>
      <c r="H136">
        <v>1</v>
      </c>
    </row>
    <row r="137" spans="1:8" x14ac:dyDescent="0.25">
      <c r="A137">
        <v>134</v>
      </c>
      <c r="B137">
        <v>1</v>
      </c>
      <c r="C137">
        <v>1</v>
      </c>
      <c r="D137">
        <v>1</v>
      </c>
      <c r="E137">
        <v>1</v>
      </c>
      <c r="F137">
        <v>1</v>
      </c>
      <c r="G137">
        <v>1</v>
      </c>
      <c r="H137">
        <v>1</v>
      </c>
    </row>
    <row r="138" spans="1:8" x14ac:dyDescent="0.25">
      <c r="A138">
        <v>135</v>
      </c>
      <c r="B138">
        <v>1</v>
      </c>
      <c r="C138">
        <v>1</v>
      </c>
      <c r="D138">
        <v>1</v>
      </c>
      <c r="E138">
        <v>1</v>
      </c>
      <c r="F138">
        <v>1</v>
      </c>
      <c r="G138">
        <v>1</v>
      </c>
      <c r="H138">
        <v>1</v>
      </c>
    </row>
    <row r="139" spans="1:8" x14ac:dyDescent="0.25">
      <c r="A139">
        <v>136</v>
      </c>
      <c r="B139">
        <v>1</v>
      </c>
      <c r="C139">
        <v>1</v>
      </c>
      <c r="D139">
        <v>1</v>
      </c>
      <c r="E139">
        <v>1</v>
      </c>
      <c r="F139">
        <v>1</v>
      </c>
      <c r="G139">
        <v>1</v>
      </c>
      <c r="H139">
        <v>1</v>
      </c>
    </row>
    <row r="140" spans="1:8" x14ac:dyDescent="0.25">
      <c r="A140">
        <v>137</v>
      </c>
      <c r="B140">
        <v>1</v>
      </c>
      <c r="C140">
        <v>1</v>
      </c>
      <c r="D140">
        <v>1</v>
      </c>
      <c r="E140">
        <v>1</v>
      </c>
      <c r="F140">
        <v>1</v>
      </c>
      <c r="G140">
        <v>1</v>
      </c>
      <c r="H140">
        <v>1</v>
      </c>
    </row>
    <row r="141" spans="1:8" x14ac:dyDescent="0.25">
      <c r="A141">
        <v>138</v>
      </c>
      <c r="B141">
        <v>1</v>
      </c>
      <c r="C141">
        <v>1</v>
      </c>
      <c r="D141">
        <v>1</v>
      </c>
      <c r="E141">
        <v>1</v>
      </c>
      <c r="F141">
        <v>1</v>
      </c>
      <c r="G141">
        <v>1</v>
      </c>
      <c r="H141">
        <v>1</v>
      </c>
    </row>
    <row r="142" spans="1:8" x14ac:dyDescent="0.25">
      <c r="A142">
        <v>139</v>
      </c>
      <c r="B142">
        <v>1</v>
      </c>
      <c r="C142">
        <v>1</v>
      </c>
      <c r="D142">
        <v>1</v>
      </c>
      <c r="E142">
        <v>1</v>
      </c>
      <c r="F142">
        <v>1</v>
      </c>
      <c r="G142">
        <v>1</v>
      </c>
      <c r="H142">
        <v>1</v>
      </c>
    </row>
    <row r="143" spans="1:8" x14ac:dyDescent="0.25">
      <c r="A143">
        <v>140</v>
      </c>
      <c r="B143">
        <v>1</v>
      </c>
      <c r="C143">
        <v>1</v>
      </c>
      <c r="D143">
        <v>1</v>
      </c>
      <c r="E143">
        <v>1</v>
      </c>
      <c r="F143">
        <v>1</v>
      </c>
      <c r="G143">
        <v>1</v>
      </c>
      <c r="H143">
        <v>1</v>
      </c>
    </row>
    <row r="144" spans="1:8" x14ac:dyDescent="0.25">
      <c r="A144">
        <v>141</v>
      </c>
      <c r="B144">
        <v>1</v>
      </c>
      <c r="C144">
        <v>1</v>
      </c>
      <c r="D144">
        <v>1</v>
      </c>
      <c r="E144">
        <v>1</v>
      </c>
      <c r="F144">
        <v>1</v>
      </c>
      <c r="G144">
        <v>1</v>
      </c>
      <c r="H144">
        <v>1</v>
      </c>
    </row>
    <row r="145" spans="1:8" x14ac:dyDescent="0.25">
      <c r="A145">
        <v>142</v>
      </c>
      <c r="B145">
        <v>1</v>
      </c>
      <c r="C145">
        <v>1</v>
      </c>
      <c r="D145">
        <v>1</v>
      </c>
      <c r="E145">
        <v>1</v>
      </c>
      <c r="F145">
        <v>1</v>
      </c>
      <c r="G145">
        <v>1</v>
      </c>
      <c r="H145">
        <v>1</v>
      </c>
    </row>
    <row r="146" spans="1:8" x14ac:dyDescent="0.25">
      <c r="A146">
        <v>143</v>
      </c>
      <c r="B146">
        <v>1</v>
      </c>
      <c r="C146">
        <v>1</v>
      </c>
      <c r="D146">
        <v>1</v>
      </c>
      <c r="E146">
        <v>1</v>
      </c>
      <c r="F146">
        <v>1</v>
      </c>
      <c r="G146">
        <v>1</v>
      </c>
      <c r="H146">
        <v>1</v>
      </c>
    </row>
    <row r="147" spans="1:8" x14ac:dyDescent="0.25">
      <c r="A147">
        <v>144</v>
      </c>
      <c r="B147">
        <v>1</v>
      </c>
      <c r="C147">
        <v>1</v>
      </c>
      <c r="D147">
        <v>1</v>
      </c>
      <c r="E147">
        <v>1</v>
      </c>
      <c r="F147">
        <v>1</v>
      </c>
      <c r="G147">
        <v>1</v>
      </c>
      <c r="H147">
        <v>1</v>
      </c>
    </row>
    <row r="148" spans="1:8" x14ac:dyDescent="0.25">
      <c r="A148">
        <v>145</v>
      </c>
      <c r="B148">
        <v>1</v>
      </c>
      <c r="C148">
        <v>1</v>
      </c>
      <c r="D148">
        <v>1</v>
      </c>
      <c r="E148">
        <v>1</v>
      </c>
      <c r="F148">
        <v>1</v>
      </c>
      <c r="G148">
        <v>1</v>
      </c>
      <c r="H148">
        <v>1</v>
      </c>
    </row>
    <row r="149" spans="1:8" x14ac:dyDescent="0.25">
      <c r="A149">
        <v>146</v>
      </c>
      <c r="B149">
        <v>1</v>
      </c>
      <c r="C149">
        <v>1</v>
      </c>
      <c r="D149">
        <v>1</v>
      </c>
      <c r="E149">
        <v>1</v>
      </c>
      <c r="F149">
        <v>1</v>
      </c>
      <c r="G149">
        <v>1</v>
      </c>
      <c r="H149">
        <v>1</v>
      </c>
    </row>
    <row r="150" spans="1:8" x14ac:dyDescent="0.25">
      <c r="A150">
        <v>147</v>
      </c>
      <c r="B150">
        <v>1</v>
      </c>
      <c r="C150">
        <v>1</v>
      </c>
      <c r="D150">
        <v>1</v>
      </c>
      <c r="E150">
        <v>1</v>
      </c>
      <c r="F150">
        <v>1</v>
      </c>
      <c r="G150">
        <v>1</v>
      </c>
      <c r="H150">
        <v>1</v>
      </c>
    </row>
    <row r="151" spans="1:8" x14ac:dyDescent="0.25">
      <c r="A151">
        <v>148</v>
      </c>
      <c r="B151">
        <v>1</v>
      </c>
      <c r="C151">
        <v>1</v>
      </c>
      <c r="D151">
        <v>1</v>
      </c>
      <c r="E151">
        <v>1</v>
      </c>
      <c r="F151">
        <v>1</v>
      </c>
      <c r="G151">
        <v>1</v>
      </c>
      <c r="H151">
        <v>1</v>
      </c>
    </row>
    <row r="152" spans="1:8" x14ac:dyDescent="0.25">
      <c r="A152">
        <v>149</v>
      </c>
      <c r="B152">
        <v>1</v>
      </c>
      <c r="C152">
        <v>1</v>
      </c>
      <c r="D152">
        <v>1</v>
      </c>
      <c r="E152">
        <v>1</v>
      </c>
      <c r="F152">
        <v>1</v>
      </c>
      <c r="G152">
        <v>1</v>
      </c>
      <c r="H152">
        <v>1</v>
      </c>
    </row>
    <row r="153" spans="1:8" x14ac:dyDescent="0.25">
      <c r="A153">
        <v>150</v>
      </c>
      <c r="B153">
        <v>1</v>
      </c>
      <c r="C153">
        <v>1</v>
      </c>
      <c r="D153">
        <v>1</v>
      </c>
      <c r="E153">
        <v>1</v>
      </c>
      <c r="F153">
        <v>1</v>
      </c>
      <c r="G153">
        <v>1</v>
      </c>
      <c r="H153">
        <v>1</v>
      </c>
    </row>
    <row r="156" spans="1:8" x14ac:dyDescent="0.25">
      <c r="A156" s="40" t="s">
        <v>53</v>
      </c>
      <c r="B156" s="41">
        <f>SUM(B4:B153)</f>
        <v>150</v>
      </c>
      <c r="C156" s="41">
        <f t="shared" ref="C156:H156" si="0">SUM(C4:C153)</f>
        <v>150</v>
      </c>
      <c r="D156" s="41">
        <f t="shared" si="0"/>
        <v>150</v>
      </c>
      <c r="E156" s="41">
        <f t="shared" si="0"/>
        <v>150</v>
      </c>
      <c r="F156" s="41">
        <f t="shared" si="0"/>
        <v>150</v>
      </c>
      <c r="G156" s="41">
        <f t="shared" si="0"/>
        <v>150</v>
      </c>
      <c r="H156" s="41">
        <f t="shared" si="0"/>
        <v>150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1C363-43EA-49C8-B93F-3FA53DC6D6BF}">
  <sheetPr>
    <tabColor theme="4"/>
  </sheetPr>
  <dimension ref="B1:AM66"/>
  <sheetViews>
    <sheetView tabSelected="1" topLeftCell="A40" workbookViewId="0">
      <selection activeCell="U49" sqref="U49"/>
    </sheetView>
  </sheetViews>
  <sheetFormatPr defaultRowHeight="12.75" x14ac:dyDescent="0.2"/>
  <cols>
    <col min="1" max="2" width="9.140625" style="4"/>
    <col min="3" max="5" width="9.42578125" style="4" bestFit="1" customWidth="1"/>
    <col min="6" max="7" width="9.28515625" style="4" bestFit="1" customWidth="1"/>
    <col min="8" max="8" width="9.42578125" style="4" bestFit="1" customWidth="1"/>
    <col min="9" max="16" width="9.140625" style="4"/>
    <col min="17" max="17" width="12.85546875" style="4" customWidth="1"/>
    <col min="18" max="18" width="7.5703125" style="4" customWidth="1"/>
    <col min="19" max="19" width="12.28515625" style="4" customWidth="1"/>
    <col min="20" max="16384" width="9.140625" style="4"/>
  </cols>
  <sheetData>
    <row r="1" spans="2:39" x14ac:dyDescent="0.2">
      <c r="B1" s="6" t="s">
        <v>101</v>
      </c>
      <c r="V1" s="6" t="s">
        <v>103</v>
      </c>
    </row>
    <row r="2" spans="2:39" x14ac:dyDescent="0.2">
      <c r="V2" s="104" t="s">
        <v>104</v>
      </c>
    </row>
    <row r="3" spans="2:39" x14ac:dyDescent="0.2">
      <c r="B3" s="4" t="s">
        <v>60</v>
      </c>
      <c r="C3" s="4" t="s">
        <v>61</v>
      </c>
      <c r="D3" s="4" t="s">
        <v>62</v>
      </c>
      <c r="E3" s="4" t="s">
        <v>63</v>
      </c>
      <c r="F3" s="4" t="s">
        <v>64</v>
      </c>
      <c r="G3" s="4" t="s">
        <v>65</v>
      </c>
      <c r="H3" s="4" t="s">
        <v>66</v>
      </c>
      <c r="I3" s="4" t="s">
        <v>54</v>
      </c>
      <c r="M3" s="4" t="s">
        <v>61</v>
      </c>
      <c r="N3" s="4" t="s">
        <v>62</v>
      </c>
      <c r="O3" s="4" t="s">
        <v>63</v>
      </c>
      <c r="P3" s="4" t="s">
        <v>64</v>
      </c>
      <c r="Q3" s="4" t="s">
        <v>65</v>
      </c>
      <c r="R3" s="4" t="s">
        <v>66</v>
      </c>
      <c r="S3" s="4" t="s">
        <v>54</v>
      </c>
      <c r="V3" s="4" t="s">
        <v>60</v>
      </c>
      <c r="W3" s="4" t="s">
        <v>61</v>
      </c>
      <c r="X3" s="4" t="s">
        <v>62</v>
      </c>
      <c r="Y3" s="4" t="s">
        <v>63</v>
      </c>
      <c r="Z3" s="4" t="s">
        <v>64</v>
      </c>
      <c r="AA3" s="4" t="s">
        <v>65</v>
      </c>
      <c r="AB3" s="4" t="s">
        <v>66</v>
      </c>
      <c r="AC3" s="4" t="s">
        <v>54</v>
      </c>
      <c r="AG3" s="4" t="s">
        <v>61</v>
      </c>
      <c r="AH3" s="4" t="s">
        <v>62</v>
      </c>
      <c r="AI3" s="4" t="s">
        <v>63</v>
      </c>
      <c r="AJ3" s="4" t="s">
        <v>64</v>
      </c>
      <c r="AK3" s="4" t="s">
        <v>65</v>
      </c>
      <c r="AL3" s="4" t="s">
        <v>66</v>
      </c>
      <c r="AM3" s="4" t="s">
        <v>54</v>
      </c>
    </row>
    <row r="4" spans="2:39" x14ac:dyDescent="0.2">
      <c r="B4" s="4">
        <v>1</v>
      </c>
      <c r="C4" s="7">
        <v>269883.95163816668</v>
      </c>
      <c r="D4" s="8">
        <v>142714.38114066646</v>
      </c>
      <c r="E4" s="8">
        <v>62120.368530666681</v>
      </c>
      <c r="F4" s="8">
        <v>132208.1197561665</v>
      </c>
      <c r="G4" s="8">
        <v>458320.99693283212</v>
      </c>
      <c r="H4" s="8">
        <v>361875.1601609994</v>
      </c>
      <c r="I4" s="86">
        <v>77509.876882833254</v>
      </c>
      <c r="L4" s="4">
        <f t="shared" ref="L4:L35" si="0">B4-0.5</f>
        <v>0.5</v>
      </c>
      <c r="M4" s="90">
        <f>C4/C$55</f>
        <v>0.1388914247676615</v>
      </c>
      <c r="N4" s="91">
        <f t="shared" ref="N4:S4" si="1">D4/D$55</f>
        <v>0.17010654159153002</v>
      </c>
      <c r="O4" s="91">
        <f t="shared" si="1"/>
        <v>0.11968013023429461</v>
      </c>
      <c r="P4" s="91">
        <f t="shared" si="1"/>
        <v>0.22767743472439714</v>
      </c>
      <c r="Q4" s="91">
        <f t="shared" si="1"/>
        <v>0.31136797174951525</v>
      </c>
      <c r="R4" s="91">
        <f t="shared" si="1"/>
        <v>0.28931003637265068</v>
      </c>
      <c r="S4" s="92">
        <f t="shared" si="1"/>
        <v>0.45134914191083592</v>
      </c>
      <c r="V4" s="4">
        <v>1</v>
      </c>
      <c r="W4" s="11">
        <v>22506.776786833299</v>
      </c>
      <c r="X4" s="105">
        <v>16268.8708096666</v>
      </c>
      <c r="Y4" s="105">
        <v>6234.4835349999903</v>
      </c>
      <c r="Z4" s="105">
        <v>12596.2293823333</v>
      </c>
      <c r="AA4" s="105">
        <v>45077.249525333304</v>
      </c>
      <c r="AB4" s="105">
        <v>43154.349156499899</v>
      </c>
      <c r="AC4" s="86">
        <v>5938.4303786666696</v>
      </c>
      <c r="AF4" s="4">
        <f t="shared" ref="AF4:AF54" si="2">V4-0.5</f>
        <v>0.5</v>
      </c>
      <c r="AG4" s="90">
        <f>W4/W$55</f>
        <v>5.5676226185051483E-2</v>
      </c>
      <c r="AH4" s="91">
        <f t="shared" ref="AH4:AH54" si="3">X4/X$55</f>
        <v>0.11939156761148709</v>
      </c>
      <c r="AI4" s="91">
        <f t="shared" ref="AI4:AI54" si="4">Y4/Y$55</f>
        <v>7.5592054310948842E-2</v>
      </c>
      <c r="AJ4" s="91">
        <f t="shared" ref="AJ4:AJ54" si="5">Z4/Z$55</f>
        <v>0.13366178823357039</v>
      </c>
      <c r="AK4" s="91">
        <f t="shared" ref="AK4:AK54" si="6">AA4/AA$55</f>
        <v>0.1786625166643859</v>
      </c>
      <c r="AL4" s="91">
        <f t="shared" ref="AL4:AL54" si="7">AB4/AB$55</f>
        <v>0.19644612811876844</v>
      </c>
      <c r="AM4" s="92">
        <f t="shared" ref="AM4:AM54" si="8">AC4/AC$55</f>
        <v>0.18552392689366032</v>
      </c>
    </row>
    <row r="5" spans="2:39" x14ac:dyDescent="0.2">
      <c r="B5" s="4">
        <v>2</v>
      </c>
      <c r="C5" s="9">
        <v>361103.15034044685</v>
      </c>
      <c r="D5" s="85">
        <v>196170.29947883406</v>
      </c>
      <c r="E5" s="85">
        <v>96273.646975166514</v>
      </c>
      <c r="F5" s="85">
        <v>139055.71718111113</v>
      </c>
      <c r="G5" s="85">
        <v>321745.75257133</v>
      </c>
      <c r="H5" s="85">
        <v>226262.81689916679</v>
      </c>
      <c r="I5" s="13">
        <v>42775.457984833367</v>
      </c>
      <c r="L5" s="4">
        <f t="shared" si="0"/>
        <v>1.5</v>
      </c>
      <c r="M5" s="93">
        <f t="shared" ref="M5:M36" si="9">C5/C$55</f>
        <v>0.18583591478650557</v>
      </c>
      <c r="N5" s="94">
        <f t="shared" ref="N5:N37" si="10">D5/D$55</f>
        <v>0.23382262488619271</v>
      </c>
      <c r="O5" s="94">
        <f t="shared" ref="O5:O37" si="11">E5/E$55</f>
        <v>0.18547930221035949</v>
      </c>
      <c r="P5" s="94">
        <f t="shared" ref="P5:P37" si="12">F5/F$55</f>
        <v>0.23946977712070494</v>
      </c>
      <c r="Q5" s="94">
        <f t="shared" ref="Q5:Q37" si="13">G5/G$55</f>
        <v>0.21858331402573331</v>
      </c>
      <c r="R5" s="94">
        <f t="shared" ref="R5:R37" si="14">H5/H$55</f>
        <v>0.18089139845286131</v>
      </c>
      <c r="S5" s="95">
        <f t="shared" ref="S5:S37" si="15">I5/I$55</f>
        <v>0.24908652977842055</v>
      </c>
      <c r="V5" s="4">
        <v>2</v>
      </c>
      <c r="W5" s="12">
        <v>77079.823988166594</v>
      </c>
      <c r="X5" s="106">
        <v>25066.573161333301</v>
      </c>
      <c r="Y5" s="106">
        <v>14672.663514333301</v>
      </c>
      <c r="Z5" s="106">
        <v>22847.616298333302</v>
      </c>
      <c r="AA5" s="106">
        <v>60897.4150333332</v>
      </c>
      <c r="AB5" s="106">
        <v>32504.264186666602</v>
      </c>
      <c r="AC5" s="13">
        <v>8341.4606173333195</v>
      </c>
      <c r="AF5" s="4">
        <f t="shared" si="2"/>
        <v>1.5</v>
      </c>
      <c r="AG5" s="93">
        <f t="shared" ref="AG5:AG36" si="16">W5/W$55</f>
        <v>0.19067651291497684</v>
      </c>
      <c r="AH5" s="94">
        <f t="shared" si="3"/>
        <v>0.18395483616486738</v>
      </c>
      <c r="AI5" s="94">
        <f t="shared" si="4"/>
        <v>0.17790355384453863</v>
      </c>
      <c r="AJ5" s="94">
        <f t="shared" si="5"/>
        <v>0.24244185768741594</v>
      </c>
      <c r="AK5" s="94">
        <f t="shared" si="6"/>
        <v>0.24136533490350462</v>
      </c>
      <c r="AL5" s="94">
        <f t="shared" si="7"/>
        <v>0.14796508281618809</v>
      </c>
      <c r="AM5" s="95">
        <f t="shared" si="8"/>
        <v>0.26059757058294519</v>
      </c>
    </row>
    <row r="6" spans="2:39" x14ac:dyDescent="0.2">
      <c r="B6" s="4">
        <v>3</v>
      </c>
      <c r="C6" s="9">
        <v>420979.94147700118</v>
      </c>
      <c r="D6" s="85">
        <v>127116.67548716621</v>
      </c>
      <c r="E6" s="85">
        <v>61848.088895333349</v>
      </c>
      <c r="F6" s="85">
        <v>91003.174915999814</v>
      </c>
      <c r="G6" s="85">
        <v>156542.55030216859</v>
      </c>
      <c r="H6" s="85">
        <v>183116.96240900049</v>
      </c>
      <c r="I6" s="13">
        <v>21937.572778666799</v>
      </c>
      <c r="L6" s="4">
        <f t="shared" si="0"/>
        <v>2.5</v>
      </c>
      <c r="M6" s="93">
        <f t="shared" si="9"/>
        <v>0.21665054003929377</v>
      </c>
      <c r="N6" s="94">
        <f t="shared" si="10"/>
        <v>0.15151506017057648</v>
      </c>
      <c r="O6" s="94">
        <f t="shared" si="11"/>
        <v>0.1191555605482543</v>
      </c>
      <c r="P6" s="94">
        <f t="shared" si="12"/>
        <v>0.15671782833659156</v>
      </c>
      <c r="Q6" s="94">
        <f t="shared" si="13"/>
        <v>0.10634977822590569</v>
      </c>
      <c r="R6" s="94">
        <f t="shared" si="14"/>
        <v>0.14639737922721013</v>
      </c>
      <c r="S6" s="95">
        <f t="shared" si="15"/>
        <v>0.12774507001508009</v>
      </c>
      <c r="V6" s="4">
        <v>3</v>
      </c>
      <c r="W6" s="12">
        <v>101689.294270666</v>
      </c>
      <c r="X6" s="106">
        <v>17879.711271333301</v>
      </c>
      <c r="Y6" s="106">
        <v>9950.3124856666509</v>
      </c>
      <c r="Z6" s="106">
        <v>14630.2859833333</v>
      </c>
      <c r="AA6" s="106">
        <v>24202.453500999902</v>
      </c>
      <c r="AB6" s="106">
        <v>46075.034709666601</v>
      </c>
      <c r="AC6" s="13">
        <v>8007.8554166666599</v>
      </c>
      <c r="AF6" s="4">
        <f t="shared" si="2"/>
        <v>2.5</v>
      </c>
      <c r="AG6" s="93">
        <f t="shared" si="16"/>
        <v>0.25155428527304718</v>
      </c>
      <c r="AH6" s="94">
        <f t="shared" si="3"/>
        <v>0.13121296383132347</v>
      </c>
      <c r="AI6" s="94">
        <f t="shared" si="4"/>
        <v>0.12064584942839647</v>
      </c>
      <c r="AJ6" s="94">
        <f t="shared" si="5"/>
        <v>0.15524567928586214</v>
      </c>
      <c r="AK6" s="94">
        <f t="shared" si="6"/>
        <v>9.5925800652750623E-2</v>
      </c>
      <c r="AL6" s="94">
        <f t="shared" si="7"/>
        <v>0.20974159843837126</v>
      </c>
      <c r="AM6" s="95">
        <f t="shared" si="8"/>
        <v>0.25017533054420243</v>
      </c>
    </row>
    <row r="7" spans="2:39" x14ac:dyDescent="0.2">
      <c r="B7" s="4">
        <v>4</v>
      </c>
      <c r="C7" s="9">
        <v>237933.54798366269</v>
      </c>
      <c r="D7" s="85">
        <v>113285.48212033394</v>
      </c>
      <c r="E7" s="85">
        <v>62092.309531166276</v>
      </c>
      <c r="F7" s="85">
        <v>45110.160391333397</v>
      </c>
      <c r="G7" s="85">
        <v>121033.1287826664</v>
      </c>
      <c r="H7" s="85">
        <v>66524.775768999243</v>
      </c>
      <c r="I7" s="13">
        <v>10553.526592166687</v>
      </c>
      <c r="L7" s="4">
        <f t="shared" si="0"/>
        <v>3.5</v>
      </c>
      <c r="M7" s="93">
        <f t="shared" si="9"/>
        <v>0.12244866461634471</v>
      </c>
      <c r="N7" s="94">
        <f t="shared" si="10"/>
        <v>0.13502914998471699</v>
      </c>
      <c r="O7" s="94">
        <f t="shared" si="11"/>
        <v>0.11962607220479668</v>
      </c>
      <c r="P7" s="94">
        <f t="shared" si="12"/>
        <v>7.7684832193718953E-2</v>
      </c>
      <c r="Q7" s="94">
        <f t="shared" si="13"/>
        <v>8.2225863697620749E-2</v>
      </c>
      <c r="R7" s="94">
        <f t="shared" si="14"/>
        <v>5.3184875383126239E-2</v>
      </c>
      <c r="S7" s="95">
        <f t="shared" si="15"/>
        <v>6.1454428300899484E-2</v>
      </c>
      <c r="V7" s="4">
        <v>4</v>
      </c>
      <c r="W7" s="12">
        <v>70712.136358333402</v>
      </c>
      <c r="X7" s="106">
        <v>16986.179707499999</v>
      </c>
      <c r="Y7" s="106">
        <v>7896.2909309999995</v>
      </c>
      <c r="Z7" s="106">
        <v>3355.37405616666</v>
      </c>
      <c r="AA7" s="106">
        <v>32696.024082333301</v>
      </c>
      <c r="AB7" s="106">
        <v>22635.620014</v>
      </c>
      <c r="AC7" s="13">
        <v>2550.4669043333301</v>
      </c>
      <c r="AF7" s="4">
        <f t="shared" si="2"/>
        <v>3.5</v>
      </c>
      <c r="AG7" s="93">
        <f t="shared" si="16"/>
        <v>0.17492442099563321</v>
      </c>
      <c r="AH7" s="94">
        <f t="shared" si="3"/>
        <v>0.12465564738542641</v>
      </c>
      <c r="AI7" s="94">
        <f t="shared" si="4"/>
        <v>9.5741186829713179E-2</v>
      </c>
      <c r="AJ7" s="94">
        <f t="shared" si="5"/>
        <v>3.5604726059433489E-2</v>
      </c>
      <c r="AK7" s="94">
        <f t="shared" si="6"/>
        <v>0.12958984873702414</v>
      </c>
      <c r="AL7" s="94">
        <f t="shared" si="7"/>
        <v>0.10304129238960484</v>
      </c>
      <c r="AM7" s="95">
        <f t="shared" si="8"/>
        <v>7.9679747901747117E-2</v>
      </c>
    </row>
    <row r="8" spans="2:39" x14ac:dyDescent="0.2">
      <c r="B8" s="4">
        <v>5</v>
      </c>
      <c r="C8" s="9">
        <v>122174.41797766997</v>
      </c>
      <c r="D8" s="85">
        <v>54869.991011000355</v>
      </c>
      <c r="E8" s="85">
        <v>35573.112583666982</v>
      </c>
      <c r="F8" s="85">
        <v>26419.417565666314</v>
      </c>
      <c r="G8" s="85">
        <v>83521.590776999714</v>
      </c>
      <c r="H8" s="85">
        <v>47148.671301999711</v>
      </c>
      <c r="I8" s="13">
        <v>5999.8223813332734</v>
      </c>
      <c r="L8" s="4">
        <f t="shared" si="0"/>
        <v>4.5</v>
      </c>
      <c r="M8" s="93">
        <f t="shared" si="9"/>
        <v>6.2875094573347154E-2</v>
      </c>
      <c r="N8" s="94">
        <f t="shared" si="10"/>
        <v>6.5401568737770047E-2</v>
      </c>
      <c r="O8" s="94">
        <f t="shared" si="11"/>
        <v>6.8534602217479756E-2</v>
      </c>
      <c r="P8" s="94">
        <f t="shared" si="12"/>
        <v>4.5497245020633646E-2</v>
      </c>
      <c r="Q8" s="94">
        <f t="shared" si="13"/>
        <v>5.6741778123987292E-2</v>
      </c>
      <c r="R8" s="94">
        <f t="shared" si="14"/>
        <v>3.7694170009444548E-2</v>
      </c>
      <c r="S8" s="95">
        <f t="shared" si="15"/>
        <v>3.4937672363042641E-2</v>
      </c>
      <c r="V8" s="4">
        <v>5</v>
      </c>
      <c r="W8" s="12">
        <v>19089.941798999698</v>
      </c>
      <c r="X8" s="106">
        <v>11190.088533333201</v>
      </c>
      <c r="Y8" s="106">
        <v>2754.95320866665</v>
      </c>
      <c r="Z8" s="106">
        <v>6587.4393186666703</v>
      </c>
      <c r="AA8" s="106">
        <v>8695.4868819998792</v>
      </c>
      <c r="AB8" s="106">
        <v>15454.586766333399</v>
      </c>
      <c r="AC8" s="13">
        <v>2515.60179666666</v>
      </c>
      <c r="AF8" s="4">
        <f t="shared" si="2"/>
        <v>4.5</v>
      </c>
      <c r="AG8" s="93">
        <f t="shared" si="16"/>
        <v>4.7223817409623829E-2</v>
      </c>
      <c r="AH8" s="94">
        <f t="shared" si="3"/>
        <v>8.2120156176552495E-2</v>
      </c>
      <c r="AI8" s="94">
        <f t="shared" si="4"/>
        <v>3.3403339892476354E-2</v>
      </c>
      <c r="AJ8" s="94">
        <f t="shared" si="5"/>
        <v>6.9900991200433318E-2</v>
      </c>
      <c r="AK8" s="94">
        <f t="shared" si="6"/>
        <v>3.4464338137737457E-2</v>
      </c>
      <c r="AL8" s="94">
        <f t="shared" si="7"/>
        <v>7.0351975901934635E-2</v>
      </c>
      <c r="AM8" s="95">
        <f t="shared" si="8"/>
        <v>7.8590518716013483E-2</v>
      </c>
    </row>
    <row r="9" spans="2:39" x14ac:dyDescent="0.2">
      <c r="B9" s="4">
        <v>6</v>
      </c>
      <c r="C9" s="9">
        <v>136531.22285099933</v>
      </c>
      <c r="D9" s="85">
        <v>41767.289589666994</v>
      </c>
      <c r="E9" s="85">
        <v>33160.276338000258</v>
      </c>
      <c r="F9" s="85">
        <v>24776.139501833299</v>
      </c>
      <c r="G9" s="85">
        <v>65993.190499334596</v>
      </c>
      <c r="H9" s="85">
        <v>64846.09924733371</v>
      </c>
      <c r="I9" s="13">
        <v>5292.754098000034</v>
      </c>
      <c r="L9" s="4">
        <f t="shared" si="0"/>
        <v>5.5</v>
      </c>
      <c r="M9" s="93">
        <f t="shared" si="9"/>
        <v>7.0263592747708506E-2</v>
      </c>
      <c r="N9" s="94">
        <f t="shared" si="10"/>
        <v>4.9783975006325622E-2</v>
      </c>
      <c r="O9" s="94">
        <f t="shared" si="11"/>
        <v>6.3886069651661756E-2</v>
      </c>
      <c r="P9" s="94">
        <f t="shared" si="12"/>
        <v>4.2667333099925583E-2</v>
      </c>
      <c r="Q9" s="94">
        <f t="shared" si="13"/>
        <v>4.4833568639816357E-2</v>
      </c>
      <c r="R9" s="94">
        <f t="shared" si="14"/>
        <v>5.184281596870028E-2</v>
      </c>
      <c r="S9" s="95">
        <f t="shared" si="15"/>
        <v>3.0820330473347205E-2</v>
      </c>
      <c r="V9" s="4">
        <v>6</v>
      </c>
      <c r="W9" s="12">
        <v>37497.831776666702</v>
      </c>
      <c r="X9" s="106">
        <v>7437.8649059999798</v>
      </c>
      <c r="Y9" s="106">
        <v>5463.6560823333302</v>
      </c>
      <c r="Z9" s="106">
        <v>6814.9098846666602</v>
      </c>
      <c r="AA9" s="106">
        <v>15074.7427629999</v>
      </c>
      <c r="AB9" s="106">
        <v>19858.2379259999</v>
      </c>
      <c r="AC9" s="13">
        <v>2453.3307233333198</v>
      </c>
      <c r="AF9" s="4">
        <f t="shared" si="2"/>
        <v>5.5</v>
      </c>
      <c r="AG9" s="93">
        <f t="shared" si="16"/>
        <v>9.2760406486461208E-2</v>
      </c>
      <c r="AH9" s="94">
        <f t="shared" si="3"/>
        <v>5.4583895907647319E-2</v>
      </c>
      <c r="AI9" s="94">
        <f t="shared" si="4"/>
        <v>6.6245902325907366E-2</v>
      </c>
      <c r="AJ9" s="94">
        <f t="shared" si="5"/>
        <v>7.2314739132390171E-2</v>
      </c>
      <c r="AK9" s="94">
        <f t="shared" si="6"/>
        <v>5.9748354401973375E-2</v>
      </c>
      <c r="AL9" s="94">
        <f t="shared" si="7"/>
        <v>9.0398164450972457E-2</v>
      </c>
      <c r="AM9" s="95">
        <f t="shared" si="8"/>
        <v>7.6645093187714494E-2</v>
      </c>
    </row>
    <row r="10" spans="2:39" x14ac:dyDescent="0.2">
      <c r="B10" s="4">
        <v>7</v>
      </c>
      <c r="C10" s="9">
        <v>79558.80702966731</v>
      </c>
      <c r="D10" s="85">
        <v>33803.637779333163</v>
      </c>
      <c r="E10" s="85">
        <v>33096.296402000007</v>
      </c>
      <c r="F10" s="85">
        <v>23273.938269333041</v>
      </c>
      <c r="G10" s="85">
        <v>45050.891751166899</v>
      </c>
      <c r="H10" s="85">
        <v>26947.184449000517</v>
      </c>
      <c r="I10" s="13">
        <v>2844.1647576666728</v>
      </c>
      <c r="L10" s="4">
        <f t="shared" si="0"/>
        <v>6.5</v>
      </c>
      <c r="M10" s="93">
        <f t="shared" si="9"/>
        <v>4.0943657427918188E-2</v>
      </c>
      <c r="N10" s="94">
        <f t="shared" si="10"/>
        <v>4.0291804300979638E-2</v>
      </c>
      <c r="O10" s="94">
        <f t="shared" si="11"/>
        <v>6.3762806907830608E-2</v>
      </c>
      <c r="P10" s="94">
        <f t="shared" si="12"/>
        <v>4.0080371545020525E-2</v>
      </c>
      <c r="Q10" s="94">
        <f t="shared" si="13"/>
        <v>3.0606070601045469E-2</v>
      </c>
      <c r="R10" s="94">
        <f t="shared" si="14"/>
        <v>2.1543592297444125E-2</v>
      </c>
      <c r="S10" s="95">
        <f t="shared" si="15"/>
        <v>1.6561906358932784E-2</v>
      </c>
      <c r="V10" s="4">
        <v>7</v>
      </c>
      <c r="W10" s="12">
        <v>10472.4855146667</v>
      </c>
      <c r="X10" s="106">
        <v>1683.9392013333099</v>
      </c>
      <c r="Y10" s="106">
        <v>2441.2127099999998</v>
      </c>
      <c r="Z10" s="106">
        <v>8947.5597033333397</v>
      </c>
      <c r="AA10" s="106">
        <v>10396.006169999901</v>
      </c>
      <c r="AB10" s="106">
        <v>5882.0552766667097</v>
      </c>
      <c r="AC10" s="13">
        <v>561.855551666667</v>
      </c>
      <c r="AF10" s="4">
        <f t="shared" si="2"/>
        <v>6.5</v>
      </c>
      <c r="AG10" s="93">
        <f t="shared" si="16"/>
        <v>2.5906351573867281E-2</v>
      </c>
      <c r="AH10" s="94">
        <f t="shared" si="3"/>
        <v>1.2357842370360526E-2</v>
      </c>
      <c r="AI10" s="94">
        <f t="shared" si="4"/>
        <v>2.9599289616040164E-2</v>
      </c>
      <c r="AJ10" s="94">
        <f t="shared" si="5"/>
        <v>9.4944827850747981E-2</v>
      </c>
      <c r="AK10" s="94">
        <f t="shared" si="6"/>
        <v>4.1204302506230438E-2</v>
      </c>
      <c r="AL10" s="94">
        <f t="shared" si="7"/>
        <v>2.6776142082256479E-2</v>
      </c>
      <c r="AM10" s="95">
        <f t="shared" si="8"/>
        <v>1.7553063965634629E-2</v>
      </c>
    </row>
    <row r="11" spans="2:39" x14ac:dyDescent="0.2">
      <c r="B11" s="4">
        <v>8</v>
      </c>
      <c r="C11" s="9">
        <v>78485.931540334364</v>
      </c>
      <c r="D11" s="85">
        <v>16949.543960666168</v>
      </c>
      <c r="E11" s="85">
        <v>34664.715926333447</v>
      </c>
      <c r="F11" s="85">
        <v>11553.950906666811</v>
      </c>
      <c r="G11" s="85">
        <v>40740.327096500667</v>
      </c>
      <c r="H11" s="85">
        <v>14517.834293000051</v>
      </c>
      <c r="I11" s="13">
        <v>517.98303533333819</v>
      </c>
      <c r="L11" s="4">
        <f t="shared" si="0"/>
        <v>7.5</v>
      </c>
      <c r="M11" s="93">
        <f t="shared" si="9"/>
        <v>4.039151935373015E-2</v>
      </c>
      <c r="N11" s="94">
        <f t="shared" si="10"/>
        <v>2.0202787425190678E-2</v>
      </c>
      <c r="O11" s="94">
        <f t="shared" si="11"/>
        <v>6.6784499427918781E-2</v>
      </c>
      <c r="P11" s="94">
        <f t="shared" si="12"/>
        <v>1.9897218931886562E-2</v>
      </c>
      <c r="Q11" s="94">
        <f t="shared" si="13"/>
        <v>2.7677617000619933E-2</v>
      </c>
      <c r="R11" s="94">
        <f t="shared" si="14"/>
        <v>1.1606641266815047E-2</v>
      </c>
      <c r="S11" s="95">
        <f t="shared" si="15"/>
        <v>3.0162762208418891E-3</v>
      </c>
      <c r="V11" s="4">
        <v>8</v>
      </c>
      <c r="W11" s="12">
        <v>18955.962331666698</v>
      </c>
      <c r="X11" s="106">
        <v>3955.6159373333298</v>
      </c>
      <c r="Y11" s="106">
        <v>6912.7874160000001</v>
      </c>
      <c r="Z11" s="106">
        <v>3466.8651546666802</v>
      </c>
      <c r="AA11" s="106">
        <v>6611.7851816665698</v>
      </c>
      <c r="AB11" s="106">
        <v>498.61588066676597</v>
      </c>
      <c r="AC11" s="13">
        <v>60.700242000002604</v>
      </c>
      <c r="AF11" s="4">
        <f t="shared" si="2"/>
        <v>7.5</v>
      </c>
      <c r="AG11" s="93">
        <f t="shared" si="16"/>
        <v>4.6892385183764256E-2</v>
      </c>
      <c r="AH11" s="94">
        <f t="shared" si="3"/>
        <v>2.9028885480275466E-2</v>
      </c>
      <c r="AI11" s="94">
        <f t="shared" si="4"/>
        <v>8.3816373699079225E-2</v>
      </c>
      <c r="AJ11" s="94">
        <f t="shared" si="5"/>
        <v>3.6787786413870871E-2</v>
      </c>
      <c r="AK11" s="94">
        <f t="shared" si="6"/>
        <v>2.6205640154175064E-2</v>
      </c>
      <c r="AL11" s="94">
        <f t="shared" si="7"/>
        <v>2.269786501015105E-3</v>
      </c>
      <c r="AM11" s="95">
        <f t="shared" si="8"/>
        <v>1.8963508100880411E-3</v>
      </c>
    </row>
    <row r="12" spans="2:39" x14ac:dyDescent="0.2">
      <c r="B12" s="4">
        <v>9</v>
      </c>
      <c r="C12" s="9">
        <v>67767.294941665372</v>
      </c>
      <c r="D12" s="85">
        <v>17016.485157333198</v>
      </c>
      <c r="E12" s="85">
        <v>10341.005355999805</v>
      </c>
      <c r="F12" s="85">
        <v>16695.240725666808</v>
      </c>
      <c r="G12" s="85">
        <v>37767.343904334586</v>
      </c>
      <c r="H12" s="85">
        <v>31462.33964000002</v>
      </c>
      <c r="I12" s="13">
        <v>240.74577800001134</v>
      </c>
      <c r="L12" s="4">
        <f t="shared" si="0"/>
        <v>8.5</v>
      </c>
      <c r="M12" s="93">
        <f t="shared" si="9"/>
        <v>3.4875345829074367E-2</v>
      </c>
      <c r="N12" s="94">
        <f t="shared" si="10"/>
        <v>2.0282577109762154E-2</v>
      </c>
      <c r="O12" s="94">
        <f t="shared" si="11"/>
        <v>1.9922819149867533E-2</v>
      </c>
      <c r="P12" s="94">
        <f t="shared" si="12"/>
        <v>2.875110535976598E-2</v>
      </c>
      <c r="Q12" s="94">
        <f t="shared" si="13"/>
        <v>2.5657871554120533E-2</v>
      </c>
      <c r="R12" s="94">
        <f t="shared" si="14"/>
        <v>2.5153344655011473E-2</v>
      </c>
      <c r="S12" s="95">
        <f t="shared" si="15"/>
        <v>1.4018910194273271E-3</v>
      </c>
      <c r="V12" s="4">
        <v>9</v>
      </c>
      <c r="W12" s="12">
        <v>16952.208148666399</v>
      </c>
      <c r="X12" s="106">
        <v>9682.74172166668</v>
      </c>
      <c r="Y12" s="106">
        <v>1542.75811200001</v>
      </c>
      <c r="Z12" s="106">
        <v>3689.4801133333299</v>
      </c>
      <c r="AA12" s="106">
        <v>15917.5908496667</v>
      </c>
      <c r="AB12" s="106">
        <v>478.16101700003401</v>
      </c>
      <c r="AC12" s="13">
        <v>8.9576779999988503</v>
      </c>
      <c r="AF12" s="4">
        <f t="shared" si="2"/>
        <v>8.5</v>
      </c>
      <c r="AG12" s="93">
        <f t="shared" si="16"/>
        <v>4.1935590518380077E-2</v>
      </c>
      <c r="AH12" s="94">
        <f t="shared" si="3"/>
        <v>7.1058263751165973E-2</v>
      </c>
      <c r="AI12" s="94">
        <f t="shared" si="4"/>
        <v>1.8705680163603453E-2</v>
      </c>
      <c r="AJ12" s="94">
        <f t="shared" si="5"/>
        <v>3.9150010263546031E-2</v>
      </c>
      <c r="AK12" s="94">
        <f t="shared" si="6"/>
        <v>6.3088961069756519E-2</v>
      </c>
      <c r="AL12" s="94">
        <f t="shared" si="7"/>
        <v>2.176672392076643E-3</v>
      </c>
      <c r="AM12" s="95">
        <f t="shared" si="8"/>
        <v>2.7984896554127272E-4</v>
      </c>
    </row>
    <row r="13" spans="2:39" x14ac:dyDescent="0.2">
      <c r="B13" s="4">
        <v>10</v>
      </c>
      <c r="C13" s="9">
        <v>14172.556868333602</v>
      </c>
      <c r="D13" s="85">
        <v>10179.943908333429</v>
      </c>
      <c r="E13" s="85">
        <v>14697.543169000011</v>
      </c>
      <c r="F13" s="85">
        <v>13293.282943000086</v>
      </c>
      <c r="G13" s="85">
        <v>10410.730093332939</v>
      </c>
      <c r="H13" s="85">
        <v>28662.278548666858</v>
      </c>
      <c r="I13" s="13">
        <v>269.54591666668421</v>
      </c>
      <c r="L13" s="4">
        <f t="shared" si="0"/>
        <v>9.5</v>
      </c>
      <c r="M13" s="93">
        <f t="shared" si="9"/>
        <v>7.2936779089504983E-3</v>
      </c>
      <c r="N13" s="94">
        <f t="shared" si="10"/>
        <v>1.2133851108778852E-2</v>
      </c>
      <c r="O13" s="94">
        <f t="shared" si="11"/>
        <v>2.8316056749111668E-2</v>
      </c>
      <c r="P13" s="94">
        <f t="shared" si="12"/>
        <v>2.2892546729427917E-2</v>
      </c>
      <c r="Q13" s="94">
        <f t="shared" si="13"/>
        <v>7.0727021787914662E-3</v>
      </c>
      <c r="R13" s="94">
        <f t="shared" si="14"/>
        <v>2.2914766644244359E-2</v>
      </c>
      <c r="S13" s="95">
        <f t="shared" si="15"/>
        <v>1.5695976188554945E-3</v>
      </c>
      <c r="V13" s="4">
        <v>10</v>
      </c>
      <c r="W13" s="12">
        <v>2810.2511993333401</v>
      </c>
      <c r="X13" s="106">
        <v>1683.63125866667</v>
      </c>
      <c r="Y13" s="106">
        <v>3993.1493006666801</v>
      </c>
      <c r="Z13" s="106">
        <v>90.911413000008906</v>
      </c>
      <c r="AA13" s="106">
        <v>2447.67148400002</v>
      </c>
      <c r="AB13" s="106">
        <v>81.650806666671997</v>
      </c>
      <c r="AC13" s="13">
        <v>55.720336666668999</v>
      </c>
      <c r="AF13" s="4">
        <f t="shared" si="2"/>
        <v>9.5</v>
      </c>
      <c r="AG13" s="93">
        <f t="shared" si="16"/>
        <v>6.9518697809465299E-3</v>
      </c>
      <c r="AH13" s="94">
        <f t="shared" si="3"/>
        <v>1.23555824865533E-2</v>
      </c>
      <c r="AI13" s="94">
        <f t="shared" si="4"/>
        <v>4.8416257275066092E-2</v>
      </c>
      <c r="AJ13" s="94">
        <f t="shared" si="5"/>
        <v>9.646840862920957E-4</v>
      </c>
      <c r="AK13" s="94">
        <f t="shared" si="6"/>
        <v>9.7012828401016396E-3</v>
      </c>
      <c r="AL13" s="94">
        <f t="shared" si="7"/>
        <v>3.716887206263404E-4</v>
      </c>
      <c r="AM13" s="95">
        <f t="shared" si="8"/>
        <v>1.7407723938927889E-3</v>
      </c>
    </row>
    <row r="14" spans="2:39" x14ac:dyDescent="0.2">
      <c r="B14" s="4">
        <v>11</v>
      </c>
      <c r="C14" s="9">
        <v>17818.23343566712</v>
      </c>
      <c r="D14" s="85">
        <v>13358.408997666906</v>
      </c>
      <c r="E14" s="85">
        <v>8275.4342290001223</v>
      </c>
      <c r="F14" s="85">
        <v>5822.4555873334175</v>
      </c>
      <c r="G14" s="85">
        <v>17134.894938000012</v>
      </c>
      <c r="H14" s="85">
        <v>20999.973877999932</v>
      </c>
      <c r="I14" s="13">
        <v>24.284259999985807</v>
      </c>
      <c r="L14" s="4">
        <f t="shared" si="0"/>
        <v>10.5</v>
      </c>
      <c r="M14" s="93">
        <f t="shared" si="9"/>
        <v>9.1698665804351119E-3</v>
      </c>
      <c r="N14" s="94">
        <f t="shared" si="10"/>
        <v>1.5922381035437132E-2</v>
      </c>
      <c r="O14" s="94">
        <f t="shared" si="11"/>
        <v>1.5943322129248882E-2</v>
      </c>
      <c r="P14" s="94">
        <f t="shared" si="12"/>
        <v>1.0026931434814347E-2</v>
      </c>
      <c r="Q14" s="94">
        <f t="shared" si="13"/>
        <v>1.1640875104327791E-2</v>
      </c>
      <c r="R14" s="94">
        <f t="shared" si="14"/>
        <v>1.6788947889559105E-2</v>
      </c>
      <c r="S14" s="95">
        <f t="shared" si="15"/>
        <v>1.4141010608882519E-4</v>
      </c>
      <c r="V14" s="4">
        <v>11</v>
      </c>
      <c r="W14" s="12">
        <v>808.92998333333503</v>
      </c>
      <c r="X14" s="106">
        <v>3542.6516486666601</v>
      </c>
      <c r="Y14" s="106">
        <v>798.58165533331999</v>
      </c>
      <c r="Z14" s="106">
        <v>1535.17366666666</v>
      </c>
      <c r="AA14" s="106">
        <v>7397.8817813334099</v>
      </c>
      <c r="AB14" s="106">
        <v>923.92813666668303</v>
      </c>
      <c r="AC14" s="13">
        <v>0</v>
      </c>
      <c r="AF14" s="4">
        <f t="shared" si="2"/>
        <v>10.5</v>
      </c>
      <c r="AG14" s="93">
        <f t="shared" si="16"/>
        <v>2.0010936770957131E-3</v>
      </c>
      <c r="AH14" s="94">
        <f t="shared" si="3"/>
        <v>2.5998284624917961E-2</v>
      </c>
      <c r="AI14" s="94">
        <f t="shared" si="4"/>
        <v>9.6826669799977023E-3</v>
      </c>
      <c r="AJ14" s="94">
        <f t="shared" si="5"/>
        <v>1.6290117566733542E-2</v>
      </c>
      <c r="AK14" s="94">
        <f t="shared" si="6"/>
        <v>2.932131376595707E-2</v>
      </c>
      <c r="AL14" s="94">
        <f t="shared" si="7"/>
        <v>4.2058821105130815E-3</v>
      </c>
      <c r="AM14" s="95">
        <f t="shared" si="8"/>
        <v>0</v>
      </c>
    </row>
    <row r="15" spans="2:39" x14ac:dyDescent="0.2">
      <c r="B15" s="4">
        <v>12</v>
      </c>
      <c r="C15" s="9">
        <v>19007.073632332962</v>
      </c>
      <c r="D15" s="85">
        <v>5228.0325426666532</v>
      </c>
      <c r="E15" s="85">
        <v>5431.6990869999281</v>
      </c>
      <c r="F15" s="85">
        <v>11287.477703333832</v>
      </c>
      <c r="G15" s="85">
        <v>6465.4604499998968</v>
      </c>
      <c r="H15" s="85">
        <v>8712.567355833482</v>
      </c>
      <c r="I15" s="13">
        <v>380.42702266664128</v>
      </c>
      <c r="L15" s="4">
        <f t="shared" si="0"/>
        <v>11.5</v>
      </c>
      <c r="M15" s="93">
        <f t="shared" si="9"/>
        <v>9.7816840217232158E-3</v>
      </c>
      <c r="N15" s="94">
        <f t="shared" si="10"/>
        <v>6.2314850686591748E-3</v>
      </c>
      <c r="O15" s="94">
        <f t="shared" si="11"/>
        <v>1.0464626490500215E-2</v>
      </c>
      <c r="P15" s="94">
        <f t="shared" si="12"/>
        <v>1.9438321736543796E-2</v>
      </c>
      <c r="Q15" s="94">
        <f t="shared" si="13"/>
        <v>4.3924178037128099E-3</v>
      </c>
      <c r="R15" s="94">
        <f t="shared" si="14"/>
        <v>6.9654772035027653E-3</v>
      </c>
      <c r="S15" s="95">
        <f t="shared" si="15"/>
        <v>2.2152713582533332E-3</v>
      </c>
      <c r="V15" s="4">
        <v>12</v>
      </c>
      <c r="W15" s="12">
        <v>4574.7010903333403</v>
      </c>
      <c r="X15" s="106">
        <v>1064.53365733334</v>
      </c>
      <c r="Y15" s="106">
        <v>132.91929766666701</v>
      </c>
      <c r="Z15" s="106">
        <v>1624.4941716666799</v>
      </c>
      <c r="AA15" s="106">
        <v>1843.45951466663</v>
      </c>
      <c r="AB15" s="106">
        <v>2112.0166850000001</v>
      </c>
      <c r="AC15" s="13">
        <v>356.14276266666599</v>
      </c>
      <c r="AF15" s="4">
        <f t="shared" si="2"/>
        <v>11.5</v>
      </c>
      <c r="AG15" s="93">
        <f t="shared" si="16"/>
        <v>1.1316684527808712E-2</v>
      </c>
      <c r="AH15" s="94">
        <f t="shared" si="3"/>
        <v>7.812241157431731E-3</v>
      </c>
      <c r="AI15" s="94">
        <f t="shared" si="4"/>
        <v>1.611623915884138E-3</v>
      </c>
      <c r="AJ15" s="94">
        <f t="shared" si="5"/>
        <v>1.7237920124296743E-2</v>
      </c>
      <c r="AK15" s="94">
        <f t="shared" si="6"/>
        <v>7.3065042727185388E-3</v>
      </c>
      <c r="AL15" s="94">
        <f t="shared" si="7"/>
        <v>9.6142685129105895E-3</v>
      </c>
      <c r="AM15" s="95">
        <f t="shared" si="8"/>
        <v>1.1126341415408131E-2</v>
      </c>
    </row>
    <row r="16" spans="2:39" x14ac:dyDescent="0.2">
      <c r="B16" s="4">
        <v>13</v>
      </c>
      <c r="C16" s="9">
        <v>17431.36474700016</v>
      </c>
      <c r="D16" s="85">
        <v>12347.83578433306</v>
      </c>
      <c r="E16" s="85">
        <v>7428.1618929999531</v>
      </c>
      <c r="F16" s="85">
        <v>3188.934786999831</v>
      </c>
      <c r="G16" s="85">
        <v>9431.0416893337388</v>
      </c>
      <c r="H16" s="85">
        <v>4565.2070463346317</v>
      </c>
      <c r="I16" s="13">
        <v>27.241116666671587</v>
      </c>
      <c r="L16" s="4">
        <f t="shared" si="0"/>
        <v>12.5</v>
      </c>
      <c r="M16" s="93">
        <f t="shared" si="9"/>
        <v>8.9707708467288323E-3</v>
      </c>
      <c r="N16" s="94">
        <f t="shared" si="10"/>
        <v>1.4717841500098913E-2</v>
      </c>
      <c r="O16" s="94">
        <f t="shared" si="11"/>
        <v>1.43109805009735E-2</v>
      </c>
      <c r="P16" s="94">
        <f t="shared" si="12"/>
        <v>5.4917087781489963E-3</v>
      </c>
      <c r="Q16" s="94">
        <f t="shared" si="13"/>
        <v>6.4071346107743817E-3</v>
      </c>
      <c r="R16" s="94">
        <f t="shared" si="14"/>
        <v>3.6497675497708742E-3</v>
      </c>
      <c r="S16" s="95">
        <f t="shared" si="15"/>
        <v>1.5862823070640592E-4</v>
      </c>
      <c r="V16" s="4">
        <v>13</v>
      </c>
      <c r="W16" s="12">
        <v>2497.4406300000201</v>
      </c>
      <c r="X16" s="106">
        <v>723.67767133333803</v>
      </c>
      <c r="Y16" s="106">
        <v>124.43912333333699</v>
      </c>
      <c r="Z16" s="106">
        <v>236.974939666659</v>
      </c>
      <c r="AA16" s="106">
        <v>231.684469333355</v>
      </c>
      <c r="AB16" s="106">
        <v>92.105806666659106</v>
      </c>
      <c r="AC16" s="13">
        <v>27.241116666667899</v>
      </c>
      <c r="AF16" s="4">
        <f t="shared" si="2"/>
        <v>12.5</v>
      </c>
      <c r="AG16" s="93">
        <f t="shared" si="16"/>
        <v>6.1780534243785264E-3</v>
      </c>
      <c r="AH16" s="94">
        <f t="shared" si="3"/>
        <v>5.3108179809615436E-3</v>
      </c>
      <c r="AI16" s="94">
        <f t="shared" si="4"/>
        <v>1.5088032419385458E-3</v>
      </c>
      <c r="AJ16" s="94">
        <f t="shared" si="5"/>
        <v>2.5146012541509286E-3</v>
      </c>
      <c r="AK16" s="94">
        <f t="shared" si="6"/>
        <v>9.1827542272487125E-4</v>
      </c>
      <c r="AL16" s="94">
        <f t="shared" si="7"/>
        <v>4.1928170510238693E-4</v>
      </c>
      <c r="AM16" s="95">
        <f t="shared" si="8"/>
        <v>8.510462554422155E-4</v>
      </c>
    </row>
    <row r="17" spans="2:39" x14ac:dyDescent="0.2">
      <c r="B17" s="4">
        <v>14</v>
      </c>
      <c r="C17" s="9">
        <v>3500.8386661668774</v>
      </c>
      <c r="D17" s="85">
        <v>10010.568683666526</v>
      </c>
      <c r="E17" s="85">
        <v>2713.1687473333441</v>
      </c>
      <c r="F17" s="85">
        <v>3490.2021920002298</v>
      </c>
      <c r="G17" s="85">
        <v>9515.0803646664135</v>
      </c>
      <c r="H17" s="85">
        <v>11443.933517333353</v>
      </c>
      <c r="I17" s="13">
        <v>76.502349999995204</v>
      </c>
      <c r="L17" s="4">
        <f t="shared" si="0"/>
        <v>13.5</v>
      </c>
      <c r="M17" s="93">
        <f t="shared" si="9"/>
        <v>1.8016501806581459E-3</v>
      </c>
      <c r="N17" s="94">
        <f t="shared" si="10"/>
        <v>1.1931966523153406E-2</v>
      </c>
      <c r="O17" s="94">
        <f t="shared" si="11"/>
        <v>5.2271484652923984E-3</v>
      </c>
      <c r="P17" s="94">
        <f t="shared" si="12"/>
        <v>6.010525550243416E-3</v>
      </c>
      <c r="Q17" s="94">
        <f t="shared" si="13"/>
        <v>6.4642276788685017E-3</v>
      </c>
      <c r="R17" s="94">
        <f t="shared" si="14"/>
        <v>9.1491353556096607E-3</v>
      </c>
      <c r="S17" s="95">
        <f t="shared" si="15"/>
        <v>4.4548219420933896E-4</v>
      </c>
      <c r="V17" s="4">
        <v>14</v>
      </c>
      <c r="W17" s="12">
        <v>1619.8632953333399</v>
      </c>
      <c r="X17" s="106">
        <v>8448.7660940000205</v>
      </c>
      <c r="Y17" s="106">
        <v>1619.68467933332</v>
      </c>
      <c r="Z17" s="106">
        <v>16.688936666672799</v>
      </c>
      <c r="AA17" s="106">
        <v>934.13353733331303</v>
      </c>
      <c r="AB17" s="106">
        <v>3587.3452356666598</v>
      </c>
      <c r="AC17" s="13">
        <v>0</v>
      </c>
      <c r="AF17" s="4">
        <f t="shared" si="2"/>
        <v>13.5</v>
      </c>
      <c r="AG17" s="93">
        <f t="shared" si="16"/>
        <v>4.0071430962341417E-3</v>
      </c>
      <c r="AH17" s="94">
        <f t="shared" si="3"/>
        <v>6.2002547081884095E-2</v>
      </c>
      <c r="AI17" s="94">
        <f t="shared" si="4"/>
        <v>1.9638401731183058E-2</v>
      </c>
      <c r="AJ17" s="94">
        <f t="shared" si="5"/>
        <v>1.770905443904422E-4</v>
      </c>
      <c r="AK17" s="94">
        <f t="shared" si="6"/>
        <v>3.7024141986919676E-3</v>
      </c>
      <c r="AL17" s="94">
        <f t="shared" si="7"/>
        <v>1.6330221531469475E-2</v>
      </c>
      <c r="AM17" s="95">
        <f t="shared" si="8"/>
        <v>0</v>
      </c>
    </row>
    <row r="18" spans="2:39" x14ac:dyDescent="0.2">
      <c r="B18" s="4">
        <v>15</v>
      </c>
      <c r="C18" s="9">
        <v>13946.546387000475</v>
      </c>
      <c r="D18" s="85">
        <v>2434.9381076667923</v>
      </c>
      <c r="E18" s="85">
        <v>7349.9197513333056</v>
      </c>
      <c r="F18" s="85">
        <v>1649.7980520002311</v>
      </c>
      <c r="G18" s="85">
        <v>5351.5912623340264</v>
      </c>
      <c r="H18" s="85">
        <v>12393.547675666166</v>
      </c>
      <c r="I18" s="13">
        <v>1175.5044939999934</v>
      </c>
      <c r="L18" s="4">
        <f t="shared" si="0"/>
        <v>14.5</v>
      </c>
      <c r="M18" s="93">
        <f t="shared" si="9"/>
        <v>7.1773652583677437E-3</v>
      </c>
      <c r="N18" s="94">
        <f t="shared" si="10"/>
        <v>2.9022926573627323E-3</v>
      </c>
      <c r="O18" s="94">
        <f t="shared" si="11"/>
        <v>1.4160240414815579E-2</v>
      </c>
      <c r="P18" s="94">
        <f t="shared" si="12"/>
        <v>2.8411400826627389E-3</v>
      </c>
      <c r="Q18" s="94">
        <f t="shared" si="13"/>
        <v>3.6356922945635314E-3</v>
      </c>
      <c r="R18" s="94">
        <f t="shared" si="14"/>
        <v>9.9083278532793567E-3</v>
      </c>
      <c r="S18" s="95">
        <f t="shared" si="15"/>
        <v>6.8451011150649438E-3</v>
      </c>
      <c r="V18" s="4">
        <v>15</v>
      </c>
      <c r="W18" s="12">
        <v>176.83868999994499</v>
      </c>
      <c r="X18" s="106">
        <v>222.37348366666899</v>
      </c>
      <c r="Y18" s="106">
        <v>337.51020333333099</v>
      </c>
      <c r="Z18" s="106">
        <v>69.280678666662396</v>
      </c>
      <c r="AA18" s="106">
        <v>267.71111999999198</v>
      </c>
      <c r="AB18" s="106">
        <v>1505.5980583333001</v>
      </c>
      <c r="AC18" s="13">
        <v>1092.6324999999899</v>
      </c>
      <c r="AF18" s="4">
        <f t="shared" si="2"/>
        <v>14.5</v>
      </c>
      <c r="AG18" s="93">
        <f t="shared" si="16"/>
        <v>4.3745539381120907E-4</v>
      </c>
      <c r="AH18" s="94">
        <f t="shared" si="3"/>
        <v>1.6319214234841609E-3</v>
      </c>
      <c r="AI18" s="94">
        <f t="shared" si="4"/>
        <v>4.0922539096692927E-3</v>
      </c>
      <c r="AJ18" s="94">
        <f t="shared" si="5"/>
        <v>7.3515487210873019E-4</v>
      </c>
      <c r="AK18" s="94">
        <f t="shared" si="6"/>
        <v>1.0610661240846044E-3</v>
      </c>
      <c r="AL18" s="94">
        <f t="shared" si="7"/>
        <v>6.8537450997140995E-3</v>
      </c>
      <c r="AM18" s="95">
        <f t="shared" si="8"/>
        <v>3.4135193835033044E-2</v>
      </c>
    </row>
    <row r="19" spans="2:39" x14ac:dyDescent="0.2">
      <c r="B19" s="4">
        <v>16</v>
      </c>
      <c r="C19" s="9">
        <v>3599.4479760001414</v>
      </c>
      <c r="D19" s="85">
        <v>1256.5399096668698</v>
      </c>
      <c r="E19" s="85">
        <v>7889.6589886666043</v>
      </c>
      <c r="F19" s="85">
        <v>4325.463039000053</v>
      </c>
      <c r="G19" s="85">
        <v>16244.163493999513</v>
      </c>
      <c r="H19" s="85">
        <v>12262.655920667108</v>
      </c>
      <c r="I19" s="13">
        <v>235.75329599998076</v>
      </c>
      <c r="L19" s="4">
        <f t="shared" si="0"/>
        <v>15.5</v>
      </c>
      <c r="M19" s="93">
        <f t="shared" si="9"/>
        <v>1.8523978722306334E-3</v>
      </c>
      <c r="N19" s="94">
        <f t="shared" si="10"/>
        <v>1.497716324709325E-3</v>
      </c>
      <c r="O19" s="94">
        <f t="shared" si="11"/>
        <v>1.5200093586078064E-2</v>
      </c>
      <c r="P19" s="94">
        <f t="shared" si="12"/>
        <v>7.4489398270773995E-3</v>
      </c>
      <c r="Q19" s="94">
        <f t="shared" si="13"/>
        <v>1.1035741922675636E-2</v>
      </c>
      <c r="R19" s="94">
        <f t="shared" si="14"/>
        <v>9.8036832062612812E-3</v>
      </c>
      <c r="S19" s="95">
        <f t="shared" si="15"/>
        <v>1.3728192087453755E-3</v>
      </c>
      <c r="V19" s="4">
        <v>16</v>
      </c>
      <c r="W19" s="12">
        <v>1098.4972566666499</v>
      </c>
      <c r="X19" s="106">
        <v>376.15096233333998</v>
      </c>
      <c r="Y19" s="106">
        <v>4498.44611766667</v>
      </c>
      <c r="Z19" s="106">
        <v>103.271860333319</v>
      </c>
      <c r="AA19" s="106">
        <v>2858.3352570000202</v>
      </c>
      <c r="AB19" s="106">
        <v>3188.74280866666</v>
      </c>
      <c r="AC19" s="13">
        <v>0</v>
      </c>
      <c r="AF19" s="4">
        <f t="shared" si="2"/>
        <v>15.5</v>
      </c>
      <c r="AG19" s="93">
        <f t="shared" si="16"/>
        <v>2.7174118402245096E-3</v>
      </c>
      <c r="AH19" s="94">
        <f t="shared" si="3"/>
        <v>2.7604406954207798E-3</v>
      </c>
      <c r="AI19" s="94">
        <f t="shared" si="4"/>
        <v>5.4542895387009217E-2</v>
      </c>
      <c r="AJ19" s="94">
        <f t="shared" si="5"/>
        <v>1.0958439313370149E-3</v>
      </c>
      <c r="AK19" s="94">
        <f t="shared" si="6"/>
        <v>1.1328938119863956E-2</v>
      </c>
      <c r="AL19" s="94">
        <f t="shared" si="7"/>
        <v>1.4515713724645099E-2</v>
      </c>
      <c r="AM19" s="95">
        <f t="shared" si="8"/>
        <v>0</v>
      </c>
    </row>
    <row r="20" spans="2:39" x14ac:dyDescent="0.2">
      <c r="B20" s="4">
        <v>17</v>
      </c>
      <c r="C20" s="9">
        <v>3022.2553170004394</v>
      </c>
      <c r="D20" s="85">
        <v>829.97816333326045</v>
      </c>
      <c r="E20" s="85">
        <v>1455.1227096665534</v>
      </c>
      <c r="F20" s="85">
        <v>629.90086599998176</v>
      </c>
      <c r="G20" s="85">
        <v>3446.243945666356</v>
      </c>
      <c r="H20" s="85">
        <v>2927.0912470009644</v>
      </c>
      <c r="I20" s="13">
        <v>143.71238333333167</v>
      </c>
      <c r="L20" s="4">
        <f t="shared" si="0"/>
        <v>16.5</v>
      </c>
      <c r="M20" s="93">
        <f t="shared" si="9"/>
        <v>1.5553549755066977E-3</v>
      </c>
      <c r="N20" s="94">
        <f t="shared" si="10"/>
        <v>9.8928162552834966E-4</v>
      </c>
      <c r="O20" s="94">
        <f t="shared" si="11"/>
        <v>2.8034166493040246E-3</v>
      </c>
      <c r="P20" s="94">
        <f t="shared" si="12"/>
        <v>1.0847610083711435E-3</v>
      </c>
      <c r="Q20" s="94">
        <f t="shared" si="13"/>
        <v>2.3412629896889438E-3</v>
      </c>
      <c r="R20" s="94">
        <f t="shared" si="14"/>
        <v>2.3401354068048109E-3</v>
      </c>
      <c r="S20" s="95">
        <f t="shared" si="15"/>
        <v>8.3685413405457793E-4</v>
      </c>
      <c r="V20" s="4">
        <v>17</v>
      </c>
      <c r="W20" s="12">
        <v>236.25610999989999</v>
      </c>
      <c r="X20" s="106">
        <v>609.46708333333595</v>
      </c>
      <c r="Y20" s="106">
        <v>86.8306129999837</v>
      </c>
      <c r="Z20" s="106">
        <v>154.97933100000901</v>
      </c>
      <c r="AA20" s="106">
        <v>296.98402333332302</v>
      </c>
      <c r="AB20" s="106">
        <v>1457.49582099998</v>
      </c>
      <c r="AC20" s="13">
        <v>0</v>
      </c>
      <c r="AF20" s="4">
        <f t="shared" si="2"/>
        <v>16.5</v>
      </c>
      <c r="AG20" s="93">
        <f t="shared" si="16"/>
        <v>5.8443946650103959E-4</v>
      </c>
      <c r="AH20" s="94">
        <f t="shared" si="3"/>
        <v>4.4726663170459469E-3</v>
      </c>
      <c r="AI20" s="94">
        <f t="shared" si="4"/>
        <v>1.0528064396833406E-3</v>
      </c>
      <c r="AJ20" s="94">
        <f t="shared" si="5"/>
        <v>1.644525031415905E-3</v>
      </c>
      <c r="AK20" s="94">
        <f t="shared" si="6"/>
        <v>1.1770885219610982E-3</v>
      </c>
      <c r="AL20" s="94">
        <f t="shared" si="7"/>
        <v>6.6347753211707583E-3</v>
      </c>
      <c r="AM20" s="95">
        <f t="shared" si="8"/>
        <v>0</v>
      </c>
    </row>
    <row r="21" spans="2:39" x14ac:dyDescent="0.2">
      <c r="B21" s="4">
        <v>18</v>
      </c>
      <c r="C21" s="9">
        <v>1909.0240276665427</v>
      </c>
      <c r="D21" s="85">
        <v>4029.8276916665491</v>
      </c>
      <c r="E21" s="85">
        <v>1428.6748454999761</v>
      </c>
      <c r="F21" s="85">
        <v>2448.7203746662708</v>
      </c>
      <c r="G21" s="85">
        <v>16470.13110166695</v>
      </c>
      <c r="H21" s="85">
        <v>6820.3845969995018</v>
      </c>
      <c r="I21" s="13">
        <v>187.3792100000137</v>
      </c>
      <c r="L21" s="4">
        <f t="shared" si="0"/>
        <v>17.5</v>
      </c>
      <c r="M21" s="93">
        <f t="shared" si="9"/>
        <v>9.8244843944551527E-4</v>
      </c>
      <c r="N21" s="94">
        <f t="shared" si="10"/>
        <v>4.8033004547979787E-3</v>
      </c>
      <c r="O21" s="94">
        <f t="shared" si="11"/>
        <v>2.7524626079365412E-3</v>
      </c>
      <c r="P21" s="94">
        <f t="shared" si="12"/>
        <v>4.2169752832853305E-3</v>
      </c>
      <c r="Q21" s="94">
        <f t="shared" si="13"/>
        <v>1.1189256765223449E-2</v>
      </c>
      <c r="R21" s="94">
        <f t="shared" si="14"/>
        <v>5.4527249534218006E-3</v>
      </c>
      <c r="S21" s="95">
        <f t="shared" si="15"/>
        <v>1.0911312086494577E-3</v>
      </c>
      <c r="V21" s="4">
        <v>18</v>
      </c>
      <c r="W21" s="12">
        <v>269.60106900002501</v>
      </c>
      <c r="X21" s="106">
        <v>1202.0667099999901</v>
      </c>
      <c r="Y21" s="106">
        <v>653.00966133332895</v>
      </c>
      <c r="Z21" s="106">
        <v>547.98898466666196</v>
      </c>
      <c r="AA21" s="106">
        <v>363.24843333338498</v>
      </c>
      <c r="AB21" s="106">
        <v>306.54557600003301</v>
      </c>
      <c r="AC21" s="13">
        <v>0</v>
      </c>
      <c r="AF21" s="4">
        <f t="shared" si="2"/>
        <v>17.5</v>
      </c>
      <c r="AG21" s="93">
        <f t="shared" si="16"/>
        <v>6.6692668788354839E-4</v>
      </c>
      <c r="AH21" s="94">
        <f t="shared" si="3"/>
        <v>8.8215482536874827E-3</v>
      </c>
      <c r="AI21" s="94">
        <f t="shared" si="4"/>
        <v>7.9176312693691932E-3</v>
      </c>
      <c r="AJ21" s="94">
        <f t="shared" si="5"/>
        <v>5.8148502539636061E-3</v>
      </c>
      <c r="AK21" s="94">
        <f t="shared" si="6"/>
        <v>1.4397258030853226E-3</v>
      </c>
      <c r="AL21" s="94">
        <f t="shared" si="7"/>
        <v>1.3954489564599046E-3</v>
      </c>
      <c r="AM21" s="95">
        <f t="shared" si="8"/>
        <v>0</v>
      </c>
    </row>
    <row r="22" spans="2:39" x14ac:dyDescent="0.2">
      <c r="B22" s="4">
        <v>19</v>
      </c>
      <c r="C22" s="9">
        <v>11435.194085000083</v>
      </c>
      <c r="D22" s="85">
        <v>2840.5407516666455</v>
      </c>
      <c r="E22" s="85">
        <v>5841.2160196666955</v>
      </c>
      <c r="F22" s="85">
        <v>1385.6140036666766</v>
      </c>
      <c r="G22" s="85">
        <v>2375.7640126668848</v>
      </c>
      <c r="H22" s="85">
        <v>13896.274383666925</v>
      </c>
      <c r="I22" s="13">
        <v>1498.479006666661</v>
      </c>
      <c r="L22" s="4">
        <f t="shared" si="0"/>
        <v>18.5</v>
      </c>
      <c r="M22" s="93">
        <f t="shared" si="9"/>
        <v>5.8849382829912157E-3</v>
      </c>
      <c r="N22" s="94">
        <f t="shared" si="10"/>
        <v>3.3857454284131139E-3</v>
      </c>
      <c r="O22" s="94">
        <f t="shared" si="11"/>
        <v>1.1253595406718291E-2</v>
      </c>
      <c r="P22" s="94">
        <f t="shared" si="12"/>
        <v>2.3861850728598378E-3</v>
      </c>
      <c r="Q22" s="94">
        <f t="shared" si="13"/>
        <v>1.6140146904244658E-3</v>
      </c>
      <c r="R22" s="94">
        <f t="shared" si="14"/>
        <v>1.1109719842595314E-2</v>
      </c>
      <c r="S22" s="95">
        <f t="shared" si="15"/>
        <v>8.7258197410476496E-3</v>
      </c>
      <c r="V22" s="4">
        <v>19</v>
      </c>
      <c r="W22" s="12">
        <v>158.01801233337</v>
      </c>
      <c r="X22" s="106">
        <v>198.369284999993</v>
      </c>
      <c r="Y22" s="106">
        <v>54.907919999997802</v>
      </c>
      <c r="Z22" s="106">
        <v>1027.9208019999901</v>
      </c>
      <c r="AA22" s="106">
        <v>1788.8320346666701</v>
      </c>
      <c r="AB22" s="106">
        <v>207.90940999999199</v>
      </c>
      <c r="AC22" s="13">
        <v>0</v>
      </c>
      <c r="AF22" s="4">
        <f t="shared" si="2"/>
        <v>18.5</v>
      </c>
      <c r="AG22" s="93">
        <f t="shared" si="16"/>
        <v>3.9089766959131151E-4</v>
      </c>
      <c r="AH22" s="94">
        <f t="shared" si="3"/>
        <v>1.4557629831350519E-3</v>
      </c>
      <c r="AI22" s="94">
        <f t="shared" si="4"/>
        <v>6.6574920720214464E-4</v>
      </c>
      <c r="AJ22" s="94">
        <f t="shared" si="5"/>
        <v>1.0907528625233243E-2</v>
      </c>
      <c r="AK22" s="94">
        <f t="shared" si="6"/>
        <v>7.0899896637173576E-3</v>
      </c>
      <c r="AL22" s="94">
        <f t="shared" si="7"/>
        <v>9.4643991607516157E-4</v>
      </c>
      <c r="AM22" s="95">
        <f t="shared" si="8"/>
        <v>0</v>
      </c>
    </row>
    <row r="23" spans="2:39" x14ac:dyDescent="0.2">
      <c r="B23" s="4">
        <v>20</v>
      </c>
      <c r="C23" s="9">
        <v>9517.8950533329044</v>
      </c>
      <c r="D23" s="85">
        <v>1583.3925266667502</v>
      </c>
      <c r="E23" s="85">
        <v>771.15101500006858</v>
      </c>
      <c r="F23" s="85">
        <v>1494.7051500000525</v>
      </c>
      <c r="G23" s="85">
        <v>2588.425547666382</v>
      </c>
      <c r="H23" s="85">
        <v>12647.327284666477</v>
      </c>
      <c r="I23" s="13">
        <v>0</v>
      </c>
      <c r="L23" s="4">
        <f t="shared" si="0"/>
        <v>19.5</v>
      </c>
      <c r="M23" s="93">
        <f t="shared" si="9"/>
        <v>4.8982312461425198E-3</v>
      </c>
      <c r="N23" s="94">
        <f t="shared" si="10"/>
        <v>1.887304030192129E-3</v>
      </c>
      <c r="O23" s="94">
        <f t="shared" si="11"/>
        <v>1.485687482036678E-3</v>
      </c>
      <c r="P23" s="94">
        <f t="shared" si="12"/>
        <v>2.5740524473761325E-3</v>
      </c>
      <c r="Q23" s="94">
        <f t="shared" si="13"/>
        <v>1.758489831788404E-3</v>
      </c>
      <c r="R23" s="94">
        <f t="shared" si="14"/>
        <v>1.011121823093847E-2</v>
      </c>
      <c r="S23" s="95">
        <f t="shared" si="15"/>
        <v>0</v>
      </c>
      <c r="V23" s="4">
        <v>20</v>
      </c>
      <c r="W23" s="12">
        <v>3055.6011133333</v>
      </c>
      <c r="X23" s="106">
        <v>1510.3591999999901</v>
      </c>
      <c r="Y23" s="106">
        <v>124.96979499999701</v>
      </c>
      <c r="Z23" s="106">
        <v>1367.9907433333201</v>
      </c>
      <c r="AA23" s="106">
        <v>1316.94327399999</v>
      </c>
      <c r="AB23" s="106">
        <v>37.375112000008798</v>
      </c>
      <c r="AC23" s="13">
        <v>0</v>
      </c>
      <c r="AF23" s="4">
        <f t="shared" si="2"/>
        <v>19.5</v>
      </c>
      <c r="AG23" s="93">
        <f t="shared" si="16"/>
        <v>7.5588050802887271E-3</v>
      </c>
      <c r="AH23" s="94">
        <f t="shared" si="3"/>
        <v>1.1083999292519171E-2</v>
      </c>
      <c r="AI23" s="94">
        <f t="shared" si="4"/>
        <v>1.5152375457942293E-3</v>
      </c>
      <c r="AJ23" s="94">
        <f t="shared" si="5"/>
        <v>1.4516097118503915E-2</v>
      </c>
      <c r="AK23" s="94">
        <f t="shared" si="6"/>
        <v>5.2196707233621836E-3</v>
      </c>
      <c r="AL23" s="94">
        <f t="shared" si="7"/>
        <v>1.7013803206208632E-4</v>
      </c>
      <c r="AM23" s="95">
        <f t="shared" si="8"/>
        <v>0</v>
      </c>
    </row>
    <row r="24" spans="2:39" x14ac:dyDescent="0.2">
      <c r="B24" s="4">
        <v>21</v>
      </c>
      <c r="C24" s="9">
        <v>7279.5309783329722</v>
      </c>
      <c r="D24" s="85">
        <v>2983.5893883333774</v>
      </c>
      <c r="E24" s="85">
        <v>3219.074066000001</v>
      </c>
      <c r="F24" s="85">
        <v>670.52545666683</v>
      </c>
      <c r="G24" s="85">
        <v>4728.3053823332302</v>
      </c>
      <c r="H24" s="85">
        <v>18363.040469332831</v>
      </c>
      <c r="I24" s="13">
        <v>0</v>
      </c>
      <c r="L24" s="4">
        <f t="shared" si="0"/>
        <v>20.5</v>
      </c>
      <c r="M24" s="93">
        <f t="shared" si="9"/>
        <v>3.7462932608031806E-3</v>
      </c>
      <c r="N24" s="94">
        <f t="shared" si="10"/>
        <v>3.5562503815108454E-3</v>
      </c>
      <c r="O24" s="94">
        <f t="shared" si="11"/>
        <v>6.2018177381309514E-3</v>
      </c>
      <c r="P24" s="94">
        <f t="shared" si="12"/>
        <v>1.154721178796495E-3</v>
      </c>
      <c r="Q24" s="94">
        <f t="shared" si="13"/>
        <v>3.2122526931166852E-3</v>
      </c>
      <c r="R24" s="94">
        <f t="shared" si="14"/>
        <v>1.4680786334523596E-2</v>
      </c>
      <c r="S24" s="95">
        <f t="shared" si="15"/>
        <v>0</v>
      </c>
      <c r="V24" s="4">
        <v>21</v>
      </c>
      <c r="W24" s="12">
        <v>2538.6376333333901</v>
      </c>
      <c r="X24" s="106">
        <v>137.152863333336</v>
      </c>
      <c r="Y24" s="106">
        <v>3175.5554529999999</v>
      </c>
      <c r="Z24" s="106">
        <v>431.20697666666803</v>
      </c>
      <c r="AA24" s="106">
        <v>2877.9024733333199</v>
      </c>
      <c r="AB24" s="106">
        <v>713.09948999999301</v>
      </c>
      <c r="AC24" s="13">
        <v>0</v>
      </c>
      <c r="AF24" s="4">
        <f t="shared" si="2"/>
        <v>20.5</v>
      </c>
      <c r="AG24" s="93">
        <f t="shared" si="16"/>
        <v>6.2799646708203921E-3</v>
      </c>
      <c r="AH24" s="94">
        <f t="shared" si="3"/>
        <v>1.0065170193644562E-3</v>
      </c>
      <c r="AI24" s="94">
        <f t="shared" si="4"/>
        <v>3.8503070691100337E-2</v>
      </c>
      <c r="AJ24" s="94">
        <f t="shared" si="5"/>
        <v>4.5756467154285784E-3</v>
      </c>
      <c r="AK24" s="94">
        <f t="shared" si="6"/>
        <v>1.1406492277471977E-2</v>
      </c>
      <c r="AL24" s="94">
        <f t="shared" si="7"/>
        <v>3.2461533197023639E-3</v>
      </c>
      <c r="AM24" s="95">
        <f t="shared" si="8"/>
        <v>0</v>
      </c>
    </row>
    <row r="25" spans="2:39" x14ac:dyDescent="0.2">
      <c r="B25" s="4">
        <v>22</v>
      </c>
      <c r="C25" s="9">
        <v>1566.6974356665742</v>
      </c>
      <c r="D25" s="85">
        <v>3618.4615106667625</v>
      </c>
      <c r="E25" s="85">
        <v>5682.0411426667124</v>
      </c>
      <c r="F25" s="85">
        <v>398.50445266650058</v>
      </c>
      <c r="G25" s="85">
        <v>10069.491080000298</v>
      </c>
      <c r="H25" s="85">
        <v>10033.884704999859</v>
      </c>
      <c r="I25" s="13">
        <v>26.017476666660514</v>
      </c>
      <c r="L25" s="4">
        <f t="shared" si="0"/>
        <v>21.5</v>
      </c>
      <c r="M25" s="93">
        <f t="shared" si="9"/>
        <v>8.062755777020397E-4</v>
      </c>
      <c r="N25" s="94">
        <f t="shared" si="10"/>
        <v>4.3129779111391363E-3</v>
      </c>
      <c r="O25" s="94">
        <f t="shared" si="11"/>
        <v>1.0946931578734376E-2</v>
      </c>
      <c r="P25" s="94">
        <f t="shared" si="12"/>
        <v>6.8627003906185499E-4</v>
      </c>
      <c r="Q25" s="94">
        <f t="shared" si="13"/>
        <v>6.8408757947195156E-3</v>
      </c>
      <c r="R25" s="94">
        <f t="shared" si="14"/>
        <v>8.0218369994530195E-3</v>
      </c>
      <c r="S25" s="95">
        <f t="shared" si="15"/>
        <v>1.515028308706194E-4</v>
      </c>
      <c r="V25" s="4">
        <v>22</v>
      </c>
      <c r="W25" s="12">
        <v>126.783956666709</v>
      </c>
      <c r="X25" s="106">
        <v>136.83014833333399</v>
      </c>
      <c r="Y25" s="106">
        <v>1569.26671699999</v>
      </c>
      <c r="Z25" s="106">
        <v>215.765644333339</v>
      </c>
      <c r="AA25" s="106">
        <v>63.733421666664</v>
      </c>
      <c r="AB25" s="106">
        <v>2603.3368333333301</v>
      </c>
      <c r="AC25" s="13">
        <v>26.017476666667701</v>
      </c>
      <c r="AF25" s="4">
        <f t="shared" si="2"/>
        <v>21.5</v>
      </c>
      <c r="AG25" s="93">
        <f t="shared" si="16"/>
        <v>3.1363230349984895E-4</v>
      </c>
      <c r="AH25" s="94">
        <f t="shared" si="3"/>
        <v>1.0041487265558928E-3</v>
      </c>
      <c r="AI25" s="94">
        <f t="shared" si="4"/>
        <v>1.9027092498340812E-2</v>
      </c>
      <c r="AJ25" s="94">
        <f t="shared" si="5"/>
        <v>2.2895440362027159E-3</v>
      </c>
      <c r="AK25" s="94">
        <f t="shared" si="6"/>
        <v>2.5260577409895766E-4</v>
      </c>
      <c r="AL25" s="94">
        <f t="shared" si="7"/>
        <v>1.1850843567183749E-2</v>
      </c>
      <c r="AM25" s="95">
        <f t="shared" si="8"/>
        <v>8.1281822489735528E-4</v>
      </c>
    </row>
    <row r="26" spans="2:39" x14ac:dyDescent="0.2">
      <c r="B26" s="4">
        <v>23</v>
      </c>
      <c r="C26" s="9">
        <v>591.87951583298855</v>
      </c>
      <c r="D26" s="85">
        <v>207.03267266671173</v>
      </c>
      <c r="E26" s="85">
        <v>1274.2644151666318</v>
      </c>
      <c r="F26" s="85">
        <v>413.68805199989583</v>
      </c>
      <c r="G26" s="85">
        <v>637.78113866667263</v>
      </c>
      <c r="H26" s="85">
        <v>13292.597223666962</v>
      </c>
      <c r="I26" s="13">
        <v>0</v>
      </c>
      <c r="L26" s="4">
        <f t="shared" si="0"/>
        <v>22.5</v>
      </c>
      <c r="M26" s="93">
        <f t="shared" si="9"/>
        <v>3.0460125081854561E-4</v>
      </c>
      <c r="N26" s="94">
        <f t="shared" si="10"/>
        <v>2.4676988865665454E-4</v>
      </c>
      <c r="O26" s="94">
        <f t="shared" si="11"/>
        <v>2.4549778883681882E-3</v>
      </c>
      <c r="P26" s="94">
        <f t="shared" si="12"/>
        <v>7.1241792583678399E-4</v>
      </c>
      <c r="Q26" s="94">
        <f t="shared" si="13"/>
        <v>4.3328719586425838E-4</v>
      </c>
      <c r="R26" s="94">
        <f t="shared" si="14"/>
        <v>1.0627095224096422E-2</v>
      </c>
      <c r="S26" s="95">
        <f t="shared" si="15"/>
        <v>0</v>
      </c>
      <c r="V26" s="4">
        <v>23</v>
      </c>
      <c r="W26" s="12">
        <v>280.10682333336399</v>
      </c>
      <c r="X26" s="106">
        <v>88.276500000007204</v>
      </c>
      <c r="Y26" s="106">
        <v>181.46533466664499</v>
      </c>
      <c r="Z26" s="106">
        <v>58.663341999999801</v>
      </c>
      <c r="AA26" s="106">
        <v>93.165395333344307</v>
      </c>
      <c r="AB26" s="106">
        <v>3425.9552336666302</v>
      </c>
      <c r="AC26" s="13">
        <v>0</v>
      </c>
      <c r="AF26" s="4">
        <f t="shared" si="2"/>
        <v>22.5</v>
      </c>
      <c r="AG26" s="93">
        <f t="shared" si="16"/>
        <v>6.9291533832636747E-4</v>
      </c>
      <c r="AH26" s="94">
        <f t="shared" si="3"/>
        <v>6.4783043897514894E-4</v>
      </c>
      <c r="AI26" s="94">
        <f t="shared" si="4"/>
        <v>2.2002363718930818E-3</v>
      </c>
      <c r="AJ26" s="94">
        <f t="shared" si="5"/>
        <v>6.2249161693378355E-4</v>
      </c>
      <c r="AK26" s="94">
        <f t="shared" si="6"/>
        <v>3.6925864314177347E-4</v>
      </c>
      <c r="AL26" s="94">
        <f t="shared" si="7"/>
        <v>1.5595546078596591E-2</v>
      </c>
      <c r="AM26" s="95">
        <f t="shared" si="8"/>
        <v>0</v>
      </c>
    </row>
    <row r="27" spans="2:39" x14ac:dyDescent="0.2">
      <c r="B27" s="4">
        <v>24</v>
      </c>
      <c r="C27" s="9">
        <v>684.62452333350666</v>
      </c>
      <c r="D27" s="85">
        <v>353.59371333324816</v>
      </c>
      <c r="E27" s="85">
        <v>541.1712009999319</v>
      </c>
      <c r="F27" s="85">
        <v>429.06295333325397</v>
      </c>
      <c r="G27" s="85">
        <v>421.2154183331877</v>
      </c>
      <c r="H27" s="85">
        <v>7102.0066573328804</v>
      </c>
      <c r="I27" s="13">
        <v>0</v>
      </c>
      <c r="L27" s="4">
        <f t="shared" si="0"/>
        <v>23.5</v>
      </c>
      <c r="M27" s="93">
        <f t="shared" si="9"/>
        <v>3.5233097373702659E-4</v>
      </c>
      <c r="N27" s="94">
        <f t="shared" si="10"/>
        <v>4.2146140580142543E-4</v>
      </c>
      <c r="O27" s="94">
        <f t="shared" si="11"/>
        <v>1.0426119700617685E-3</v>
      </c>
      <c r="P27" s="94">
        <f t="shared" si="12"/>
        <v>7.3889525643626431E-4</v>
      </c>
      <c r="Q27" s="94">
        <f t="shared" si="13"/>
        <v>2.8615968143228877E-4</v>
      </c>
      <c r="R27" s="94">
        <f t="shared" si="14"/>
        <v>5.6778746666050484E-3</v>
      </c>
      <c r="S27" s="95">
        <f t="shared" si="15"/>
        <v>0</v>
      </c>
      <c r="V27" s="4">
        <v>24</v>
      </c>
      <c r="W27" s="12">
        <v>123.468306666647</v>
      </c>
      <c r="X27" s="106">
        <v>24.8097633333381</v>
      </c>
      <c r="Y27" s="106">
        <v>108.614784333316</v>
      </c>
      <c r="Z27" s="106">
        <v>24.706216666672798</v>
      </c>
      <c r="AA27" s="106">
        <v>106.72929499999699</v>
      </c>
      <c r="AB27" s="106">
        <v>1416.7693466666601</v>
      </c>
      <c r="AC27" s="13">
        <v>0</v>
      </c>
      <c r="AF27" s="4">
        <f t="shared" si="2"/>
        <v>23.5</v>
      </c>
      <c r="AG27" s="93">
        <f t="shared" si="16"/>
        <v>3.0543020147954044E-4</v>
      </c>
      <c r="AH27" s="94">
        <f t="shared" si="3"/>
        <v>1.8207019842318925E-4</v>
      </c>
      <c r="AI27" s="94">
        <f t="shared" si="4"/>
        <v>1.3169358183726489E-3</v>
      </c>
      <c r="AJ27" s="94">
        <f t="shared" si="5"/>
        <v>2.6216393810556501E-4</v>
      </c>
      <c r="AK27" s="94">
        <f t="shared" si="6"/>
        <v>4.2301880987212091E-4</v>
      </c>
      <c r="AL27" s="94">
        <f t="shared" si="7"/>
        <v>6.4493813029295154E-3</v>
      </c>
      <c r="AM27" s="95">
        <f t="shared" si="8"/>
        <v>0</v>
      </c>
    </row>
    <row r="28" spans="2:39" x14ac:dyDescent="0.2">
      <c r="B28" s="4">
        <v>25</v>
      </c>
      <c r="C28" s="9">
        <v>757.00857866625302</v>
      </c>
      <c r="D28" s="85">
        <v>2495.0423199998913</v>
      </c>
      <c r="E28" s="85">
        <v>850.89725333329989</v>
      </c>
      <c r="F28" s="85">
        <v>2443.0496176665183</v>
      </c>
      <c r="G28" s="85">
        <v>605.51218049973249</v>
      </c>
      <c r="H28" s="85">
        <v>8998.0413946665358</v>
      </c>
      <c r="I28" s="13">
        <v>0</v>
      </c>
      <c r="L28" s="4">
        <f t="shared" si="0"/>
        <v>24.5</v>
      </c>
      <c r="M28" s="93">
        <f t="shared" si="9"/>
        <v>3.8958226087211772E-4</v>
      </c>
      <c r="N28" s="94">
        <f t="shared" si="10"/>
        <v>2.9739330878039297E-3</v>
      </c>
      <c r="O28" s="94">
        <f t="shared" si="11"/>
        <v>1.6393253373031783E-3</v>
      </c>
      <c r="P28" s="94">
        <f t="shared" si="12"/>
        <v>4.2072095940899144E-3</v>
      </c>
      <c r="Q28" s="94">
        <f t="shared" si="13"/>
        <v>4.1136474386631382E-4</v>
      </c>
      <c r="R28" s="94">
        <f t="shared" si="14"/>
        <v>7.1937064760549171E-3</v>
      </c>
      <c r="S28" s="95">
        <f t="shared" si="15"/>
        <v>0</v>
      </c>
      <c r="V28" s="4">
        <v>25</v>
      </c>
      <c r="W28" s="12">
        <v>135.04204366664601</v>
      </c>
      <c r="X28" s="106">
        <v>1296.8227666666701</v>
      </c>
      <c r="Y28" s="106">
        <v>73.791936666675596</v>
      </c>
      <c r="Z28" s="106">
        <v>49.426775333325999</v>
      </c>
      <c r="AA28" s="106">
        <v>24.544976666657</v>
      </c>
      <c r="AB28" s="106">
        <v>3045.5512886666402</v>
      </c>
      <c r="AC28" s="13">
        <v>0</v>
      </c>
      <c r="AF28" s="4">
        <f t="shared" si="2"/>
        <v>24.5</v>
      </c>
      <c r="AG28" s="93">
        <f t="shared" si="16"/>
        <v>3.3406077817745369E-4</v>
      </c>
      <c r="AH28" s="94">
        <f t="shared" si="3"/>
        <v>9.5169298986997383E-3</v>
      </c>
      <c r="AI28" s="94">
        <f t="shared" si="4"/>
        <v>8.947147029745821E-4</v>
      </c>
      <c r="AJ28" s="94">
        <f t="shared" si="5"/>
        <v>5.2448006281444128E-4</v>
      </c>
      <c r="AK28" s="94">
        <f t="shared" si="6"/>
        <v>9.7283382391577817E-5</v>
      </c>
      <c r="AL28" s="94">
        <f t="shared" si="7"/>
        <v>1.3863880937608193E-2</v>
      </c>
      <c r="AM28" s="95">
        <f t="shared" si="8"/>
        <v>0</v>
      </c>
    </row>
    <row r="29" spans="2:39" x14ac:dyDescent="0.2">
      <c r="B29" s="4">
        <v>26</v>
      </c>
      <c r="C29" s="9">
        <v>952.55656366678886</v>
      </c>
      <c r="D29" s="85">
        <v>184.17363666661549</v>
      </c>
      <c r="E29" s="85">
        <v>3612.6205330000375</v>
      </c>
      <c r="F29" s="85">
        <v>31.095100000035018</v>
      </c>
      <c r="G29" s="85">
        <v>4325.0633650000673</v>
      </c>
      <c r="H29" s="85">
        <v>2619.5832089998294</v>
      </c>
      <c r="I29" s="13">
        <v>0</v>
      </c>
      <c r="L29" s="4">
        <f t="shared" si="0"/>
        <v>25.5</v>
      </c>
      <c r="M29" s="93">
        <f t="shared" si="9"/>
        <v>4.90217878819431E-4</v>
      </c>
      <c r="N29" s="94">
        <f t="shared" si="10"/>
        <v>2.1952335942103406E-4</v>
      </c>
      <c r="O29" s="94">
        <f t="shared" si="11"/>
        <v>6.9600182050286877E-3</v>
      </c>
      <c r="P29" s="94">
        <f t="shared" si="12"/>
        <v>5.3549302520629504E-5</v>
      </c>
      <c r="Q29" s="94">
        <f t="shared" si="13"/>
        <v>2.9383035397908333E-3</v>
      </c>
      <c r="R29" s="94">
        <f t="shared" si="14"/>
        <v>2.0942905093009039E-3</v>
      </c>
      <c r="S29" s="95">
        <f t="shared" si="15"/>
        <v>0</v>
      </c>
      <c r="V29" s="4">
        <v>26</v>
      </c>
      <c r="W29" s="12">
        <v>71.878216666635097</v>
      </c>
      <c r="X29" s="106">
        <v>69.720603333320398</v>
      </c>
      <c r="Y29" s="106">
        <v>2564.9877666666698</v>
      </c>
      <c r="Z29" s="106">
        <v>0</v>
      </c>
      <c r="AA29" s="106">
        <v>3972.9468933333401</v>
      </c>
      <c r="AB29" s="106">
        <v>922.213108333322</v>
      </c>
      <c r="AC29" s="13">
        <v>0</v>
      </c>
      <c r="AF29" s="4">
        <f t="shared" si="2"/>
        <v>25.5</v>
      </c>
      <c r="AG29" s="93">
        <f t="shared" si="16"/>
        <v>1.7780901667140855E-4</v>
      </c>
      <c r="AH29" s="94">
        <f t="shared" si="3"/>
        <v>5.1165518640899335E-4</v>
      </c>
      <c r="AI29" s="94">
        <f t="shared" si="4"/>
        <v>3.1100041162397035E-2</v>
      </c>
      <c r="AJ29" s="94">
        <f t="shared" si="5"/>
        <v>0</v>
      </c>
      <c r="AK29" s="94">
        <f t="shared" si="6"/>
        <v>1.5746672612266921E-2</v>
      </c>
      <c r="AL29" s="94">
        <f t="shared" si="7"/>
        <v>4.1980750022542835E-3</v>
      </c>
      <c r="AM29" s="95">
        <f t="shared" si="8"/>
        <v>0</v>
      </c>
    </row>
    <row r="30" spans="2:39" x14ac:dyDescent="0.2">
      <c r="B30" s="4">
        <v>27</v>
      </c>
      <c r="C30" s="9">
        <v>2725.5397283330094</v>
      </c>
      <c r="D30" s="85">
        <v>37.515999999945052</v>
      </c>
      <c r="E30" s="85">
        <v>3170.8064866667264</v>
      </c>
      <c r="F30" s="85">
        <v>289.56684133328963</v>
      </c>
      <c r="G30" s="85">
        <v>65.491846666671336</v>
      </c>
      <c r="H30" s="85">
        <v>3279.0896833334118</v>
      </c>
      <c r="I30" s="13">
        <v>0</v>
      </c>
      <c r="L30" s="4">
        <f t="shared" si="0"/>
        <v>26.5</v>
      </c>
      <c r="M30" s="93">
        <f t="shared" si="9"/>
        <v>1.4026550813090366E-3</v>
      </c>
      <c r="N30" s="94">
        <f t="shared" si="10"/>
        <v>4.4716705936231844E-5</v>
      </c>
      <c r="O30" s="94">
        <f t="shared" si="11"/>
        <v>6.108826174858935E-3</v>
      </c>
      <c r="P30" s="94">
        <f t="shared" si="12"/>
        <v>4.9866706929651259E-4</v>
      </c>
      <c r="Q30" s="94">
        <f t="shared" si="13"/>
        <v>4.4492972390964238E-5</v>
      </c>
      <c r="R30" s="94">
        <f t="shared" si="14"/>
        <v>2.6215492523231081E-3</v>
      </c>
      <c r="S30" s="95">
        <f t="shared" si="15"/>
        <v>0</v>
      </c>
      <c r="V30" s="4">
        <v>27</v>
      </c>
      <c r="W30" s="12">
        <v>840.95105833333196</v>
      </c>
      <c r="X30" s="106">
        <v>37.516000000003203</v>
      </c>
      <c r="Y30" s="106">
        <v>31.863556666663499</v>
      </c>
      <c r="Z30" s="106">
        <v>64.981741333336601</v>
      </c>
      <c r="AA30" s="106">
        <v>0</v>
      </c>
      <c r="AB30" s="106">
        <v>33.897103333321802</v>
      </c>
      <c r="AC30" s="13">
        <v>0</v>
      </c>
      <c r="AF30" s="4">
        <f t="shared" si="2"/>
        <v>26.5</v>
      </c>
      <c r="AG30" s="93">
        <f t="shared" si="16"/>
        <v>2.0803059353090392E-3</v>
      </c>
      <c r="AH30" s="94">
        <f t="shared" si="3"/>
        <v>2.7531683685456243E-4</v>
      </c>
      <c r="AI30" s="94">
        <f t="shared" si="4"/>
        <v>3.8634021448040072E-4</v>
      </c>
      <c r="AJ30" s="94">
        <f t="shared" si="5"/>
        <v>6.8953775653902755E-4</v>
      </c>
      <c r="AK30" s="94">
        <f t="shared" si="6"/>
        <v>0</v>
      </c>
      <c r="AL30" s="94">
        <f t="shared" si="7"/>
        <v>1.543055296726656E-4</v>
      </c>
      <c r="AM30" s="95">
        <f t="shared" si="8"/>
        <v>0</v>
      </c>
    </row>
    <row r="31" spans="2:39" x14ac:dyDescent="0.2">
      <c r="B31" s="4">
        <v>28</v>
      </c>
      <c r="C31" s="9">
        <v>7893.5609841670375</v>
      </c>
      <c r="D31" s="85">
        <v>6020.2063333332771</v>
      </c>
      <c r="E31" s="85">
        <v>500.7155306666391</v>
      </c>
      <c r="F31" s="85">
        <v>5179.4913600001018</v>
      </c>
      <c r="G31" s="85">
        <v>2195.2094159999397</v>
      </c>
      <c r="H31" s="85">
        <v>5070.6549319999758</v>
      </c>
      <c r="I31" s="13">
        <v>0</v>
      </c>
      <c r="L31" s="4">
        <f t="shared" si="0"/>
        <v>27.5</v>
      </c>
      <c r="M31" s="93">
        <f t="shared" si="9"/>
        <v>4.0622939042009344E-3</v>
      </c>
      <c r="N31" s="94">
        <f t="shared" si="10"/>
        <v>7.1757062662197195E-3</v>
      </c>
      <c r="O31" s="94">
        <f t="shared" si="11"/>
        <v>9.6467070846390824E-4</v>
      </c>
      <c r="P31" s="94">
        <f t="shared" si="12"/>
        <v>8.9196738309032554E-3</v>
      </c>
      <c r="Q31" s="94">
        <f t="shared" si="13"/>
        <v>1.4913519301964469E-3</v>
      </c>
      <c r="R31" s="94">
        <f t="shared" si="14"/>
        <v>4.0538603482963695E-3</v>
      </c>
      <c r="S31" s="95">
        <f t="shared" si="15"/>
        <v>0</v>
      </c>
      <c r="V31" s="4">
        <v>28</v>
      </c>
      <c r="W31" s="12">
        <v>1590.1288666666901</v>
      </c>
      <c r="X31" s="106">
        <v>0</v>
      </c>
      <c r="Y31" s="106">
        <v>0</v>
      </c>
      <c r="Z31" s="106">
        <v>49.219653333333497</v>
      </c>
      <c r="AA31" s="106">
        <v>25.8878266666724</v>
      </c>
      <c r="AB31" s="106">
        <v>72.327311999979401</v>
      </c>
      <c r="AC31" s="13">
        <v>0</v>
      </c>
      <c r="AF31" s="4">
        <f t="shared" si="2"/>
        <v>27.5</v>
      </c>
      <c r="AG31" s="93">
        <f t="shared" si="16"/>
        <v>3.9335874382380055E-3</v>
      </c>
      <c r="AH31" s="94">
        <f t="shared" si="3"/>
        <v>0</v>
      </c>
      <c r="AI31" s="94">
        <f t="shared" si="4"/>
        <v>0</v>
      </c>
      <c r="AJ31" s="94">
        <f t="shared" si="5"/>
        <v>5.2228223868301194E-4</v>
      </c>
      <c r="AK31" s="94">
        <f t="shared" si="6"/>
        <v>1.0260573375577738E-4</v>
      </c>
      <c r="AL31" s="94">
        <f t="shared" si="7"/>
        <v>3.2924654588363826E-4</v>
      </c>
      <c r="AM31" s="95">
        <f t="shared" si="8"/>
        <v>0</v>
      </c>
    </row>
    <row r="32" spans="2:39" x14ac:dyDescent="0.2">
      <c r="B32" s="4">
        <v>29</v>
      </c>
      <c r="C32" s="9">
        <v>3205.2849206665996</v>
      </c>
      <c r="D32" s="85">
        <v>5496.3913653333439</v>
      </c>
      <c r="E32" s="85">
        <v>1699.8754066666588</v>
      </c>
      <c r="F32" s="85">
        <v>243.23580566665623</v>
      </c>
      <c r="G32" s="85">
        <v>1107.4808383334894</v>
      </c>
      <c r="H32" s="85">
        <v>373.37234400003217</v>
      </c>
      <c r="I32" s="13">
        <v>0</v>
      </c>
      <c r="L32" s="4">
        <f t="shared" si="0"/>
        <v>28.5</v>
      </c>
      <c r="M32" s="93">
        <f t="shared" si="9"/>
        <v>1.6495482103157672E-3</v>
      </c>
      <c r="N32" s="94">
        <f t="shared" si="10"/>
        <v>6.5513518603906324E-3</v>
      </c>
      <c r="O32" s="94">
        <f t="shared" si="11"/>
        <v>3.2749533665678153E-3</v>
      </c>
      <c r="P32" s="94">
        <f t="shared" si="12"/>
        <v>4.1887975087644532E-4</v>
      </c>
      <c r="Q32" s="94">
        <f t="shared" si="13"/>
        <v>7.5238547806241469E-4</v>
      </c>
      <c r="R32" s="94">
        <f t="shared" si="14"/>
        <v>2.9850174401341208E-4</v>
      </c>
      <c r="S32" s="95">
        <f t="shared" si="15"/>
        <v>0</v>
      </c>
      <c r="V32" s="4">
        <v>29</v>
      </c>
      <c r="W32" s="12">
        <v>2509.6641289999802</v>
      </c>
      <c r="X32" s="106">
        <v>47.063052000012199</v>
      </c>
      <c r="Y32" s="106">
        <v>24.236000000004399</v>
      </c>
      <c r="Z32" s="106">
        <v>36.667476666669202</v>
      </c>
      <c r="AA32" s="106">
        <v>48.8659766666824</v>
      </c>
      <c r="AB32" s="106">
        <v>4.6763423333468301</v>
      </c>
      <c r="AC32" s="13">
        <v>0</v>
      </c>
      <c r="AF32" s="4">
        <f t="shared" si="2"/>
        <v>28.5</v>
      </c>
      <c r="AG32" s="93">
        <f t="shared" si="16"/>
        <v>6.208291352338636E-3</v>
      </c>
      <c r="AH32" s="94">
        <f t="shared" si="3"/>
        <v>3.4537932107271674E-4</v>
      </c>
      <c r="AI32" s="94">
        <f t="shared" si="4"/>
        <v>2.9385738497751787E-4</v>
      </c>
      <c r="AJ32" s="94">
        <f t="shared" si="5"/>
        <v>3.8908790500065215E-4</v>
      </c>
      <c r="AK32" s="94">
        <f t="shared" si="6"/>
        <v>1.9367903903777685E-4</v>
      </c>
      <c r="AL32" s="94">
        <f t="shared" si="7"/>
        <v>2.1287526358290705E-5</v>
      </c>
      <c r="AM32" s="95">
        <f t="shared" si="8"/>
        <v>0</v>
      </c>
    </row>
    <row r="33" spans="2:39" x14ac:dyDescent="0.2">
      <c r="B33" s="4">
        <v>30</v>
      </c>
      <c r="C33" s="9">
        <v>389.04416800034232</v>
      </c>
      <c r="D33" s="85">
        <v>466.07626666664146</v>
      </c>
      <c r="E33" s="85">
        <v>253.0646846665768</v>
      </c>
      <c r="F33" s="85">
        <v>803.3593333333265</v>
      </c>
      <c r="G33" s="85">
        <v>3264.5229253331199</v>
      </c>
      <c r="H33" s="85">
        <v>296.18792933295481</v>
      </c>
      <c r="I33" s="13">
        <v>0</v>
      </c>
      <c r="L33" s="4">
        <f t="shared" si="0"/>
        <v>29.5</v>
      </c>
      <c r="M33" s="93">
        <f t="shared" si="9"/>
        <v>2.0021530907314406E-4</v>
      </c>
      <c r="N33" s="94">
        <f t="shared" si="10"/>
        <v>5.5553351531132072E-4</v>
      </c>
      <c r="O33" s="94">
        <f t="shared" si="11"/>
        <v>4.8755046267384992E-4</v>
      </c>
      <c r="P33" s="94">
        <f t="shared" si="12"/>
        <v>1.3834762381657911E-3</v>
      </c>
      <c r="Q33" s="94">
        <f t="shared" si="13"/>
        <v>2.217807800194965E-3</v>
      </c>
      <c r="R33" s="94">
        <f t="shared" si="14"/>
        <v>2.3679475698285958E-4</v>
      </c>
      <c r="S33" s="95">
        <f t="shared" si="15"/>
        <v>0</v>
      </c>
      <c r="V33" s="4">
        <v>30</v>
      </c>
      <c r="W33" s="12">
        <v>8.0789813333540206</v>
      </c>
      <c r="X33" s="106">
        <v>63.727113333356101</v>
      </c>
      <c r="Y33" s="106">
        <v>56.508739999990198</v>
      </c>
      <c r="Z33" s="106">
        <v>0</v>
      </c>
      <c r="AA33" s="106">
        <v>38.659655333322</v>
      </c>
      <c r="AB33" s="106">
        <v>10.874636666674601</v>
      </c>
      <c r="AC33" s="13">
        <v>0</v>
      </c>
      <c r="AF33" s="4">
        <f t="shared" si="2"/>
        <v>29.5</v>
      </c>
      <c r="AG33" s="93">
        <f t="shared" si="16"/>
        <v>1.9985411341697279E-5</v>
      </c>
      <c r="AH33" s="94">
        <f t="shared" si="3"/>
        <v>4.6767105407853485E-4</v>
      </c>
      <c r="AI33" s="94">
        <f t="shared" si="4"/>
        <v>6.8515887789934681E-4</v>
      </c>
      <c r="AJ33" s="94">
        <f t="shared" si="5"/>
        <v>0</v>
      </c>
      <c r="AK33" s="94">
        <f t="shared" si="6"/>
        <v>1.5322654749259541E-4</v>
      </c>
      <c r="AL33" s="94">
        <f t="shared" si="7"/>
        <v>4.9503243812561344E-5</v>
      </c>
      <c r="AM33" s="95">
        <f t="shared" si="8"/>
        <v>0</v>
      </c>
    </row>
    <row r="34" spans="2:39" x14ac:dyDescent="0.2">
      <c r="B34" s="4">
        <v>31</v>
      </c>
      <c r="C34" s="9">
        <v>2642.3922666667495</v>
      </c>
      <c r="D34" s="85">
        <v>10.372973333345726</v>
      </c>
      <c r="E34" s="85">
        <v>1533.5691850000294</v>
      </c>
      <c r="F34" s="85">
        <v>1988.581866666791</v>
      </c>
      <c r="G34" s="85">
        <v>1283.6512453332543</v>
      </c>
      <c r="H34" s="85">
        <v>1933.6287909999955</v>
      </c>
      <c r="I34" s="13">
        <v>0</v>
      </c>
      <c r="L34" s="4">
        <f t="shared" si="0"/>
        <v>30.5</v>
      </c>
      <c r="M34" s="93">
        <f t="shared" si="9"/>
        <v>1.3598645806270086E-3</v>
      </c>
      <c r="N34" s="94">
        <f t="shared" si="10"/>
        <v>1.2363930009389988E-5</v>
      </c>
      <c r="O34" s="94">
        <f t="shared" si="11"/>
        <v>2.9545504015079738E-3</v>
      </c>
      <c r="P34" s="94">
        <f t="shared" si="12"/>
        <v>3.4245643836185828E-3</v>
      </c>
      <c r="Q34" s="94">
        <f t="shared" si="13"/>
        <v>8.7206976631648819E-4</v>
      </c>
      <c r="R34" s="94">
        <f t="shared" si="14"/>
        <v>1.5458873043580177E-3</v>
      </c>
      <c r="S34" s="95">
        <f t="shared" si="15"/>
        <v>0</v>
      </c>
      <c r="V34" s="4">
        <v>31</v>
      </c>
      <c r="W34" s="12">
        <v>1000.8821666666699</v>
      </c>
      <c r="X34" s="106">
        <v>0</v>
      </c>
      <c r="Y34" s="106">
        <v>1478.5513066666599</v>
      </c>
      <c r="Z34" s="106">
        <v>1189.21706666666</v>
      </c>
      <c r="AA34" s="106">
        <v>36.641299999988398</v>
      </c>
      <c r="AB34" s="106">
        <v>0</v>
      </c>
      <c r="AC34" s="13">
        <v>0</v>
      </c>
      <c r="AF34" s="4">
        <f t="shared" si="2"/>
        <v>30.5</v>
      </c>
      <c r="AG34" s="93">
        <f t="shared" si="16"/>
        <v>2.4759361335345816E-3</v>
      </c>
      <c r="AH34" s="94">
        <f t="shared" si="3"/>
        <v>0</v>
      </c>
      <c r="AI34" s="94">
        <f t="shared" si="4"/>
        <v>1.7927183550589119E-2</v>
      </c>
      <c r="AJ34" s="94">
        <f t="shared" si="5"/>
        <v>1.2619084243693152E-2</v>
      </c>
      <c r="AK34" s="94">
        <f t="shared" si="6"/>
        <v>1.4522684815038714E-4</v>
      </c>
      <c r="AL34" s="94">
        <f t="shared" si="7"/>
        <v>0</v>
      </c>
      <c r="AM34" s="95">
        <f t="shared" si="8"/>
        <v>0</v>
      </c>
    </row>
    <row r="35" spans="2:39" x14ac:dyDescent="0.2">
      <c r="B35" s="4">
        <v>32</v>
      </c>
      <c r="C35" s="9">
        <v>594.6844843334984</v>
      </c>
      <c r="D35" s="85">
        <v>60.040581333334558</v>
      </c>
      <c r="E35" s="85">
        <v>1414.8831683333847</v>
      </c>
      <c r="F35" s="85">
        <v>2184.0633399999933</v>
      </c>
      <c r="G35" s="85">
        <v>508.68742666696198</v>
      </c>
      <c r="H35" s="85">
        <v>819.61293333349749</v>
      </c>
      <c r="I35" s="13">
        <v>0</v>
      </c>
      <c r="L35" s="4">
        <f t="shared" si="0"/>
        <v>31.5</v>
      </c>
      <c r="M35" s="93">
        <f t="shared" si="9"/>
        <v>3.0604478263694196E-4</v>
      </c>
      <c r="N35" s="94">
        <f t="shared" si="10"/>
        <v>7.1564586302565953E-5</v>
      </c>
      <c r="O35" s="94">
        <f t="shared" si="11"/>
        <v>2.7258917784568001E-3</v>
      </c>
      <c r="P35" s="94">
        <f t="shared" si="12"/>
        <v>3.7612057371658051E-3</v>
      </c>
      <c r="Q35" s="94">
        <f t="shared" si="13"/>
        <v>3.4558524125174317E-4</v>
      </c>
      <c r="R35" s="94">
        <f t="shared" si="14"/>
        <v>6.5525980685911852E-4</v>
      </c>
      <c r="S35" s="95">
        <f t="shared" si="15"/>
        <v>0</v>
      </c>
      <c r="V35" s="4">
        <v>32</v>
      </c>
      <c r="W35" s="12">
        <v>7.0836316666682198</v>
      </c>
      <c r="X35" s="106">
        <v>33.243920000008004</v>
      </c>
      <c r="Y35" s="106">
        <v>1274.58157333334</v>
      </c>
      <c r="Z35" s="106">
        <v>907.21793666666701</v>
      </c>
      <c r="AA35" s="106">
        <v>61.312969999998998</v>
      </c>
      <c r="AB35" s="106">
        <v>81.956373333348793</v>
      </c>
      <c r="AC35" s="13">
        <v>0</v>
      </c>
      <c r="AF35" s="4">
        <f t="shared" si="2"/>
        <v>31.5</v>
      </c>
      <c r="AG35" s="93">
        <f t="shared" si="16"/>
        <v>1.7523161251402965E-5</v>
      </c>
      <c r="AH35" s="94">
        <f t="shared" si="3"/>
        <v>2.4396553201427518E-4</v>
      </c>
      <c r="AI35" s="94">
        <f t="shared" si="4"/>
        <v>1.5454085165877113E-2</v>
      </c>
      <c r="AJ35" s="94">
        <f t="shared" si="5"/>
        <v>9.6267198740052403E-3</v>
      </c>
      <c r="AK35" s="94">
        <f t="shared" si="6"/>
        <v>2.4301237630329481E-4</v>
      </c>
      <c r="AL35" s="94">
        <f t="shared" si="7"/>
        <v>3.730797134167339E-4</v>
      </c>
      <c r="AM35" s="95">
        <f t="shared" si="8"/>
        <v>0</v>
      </c>
    </row>
    <row r="36" spans="2:39" x14ac:dyDescent="0.2">
      <c r="B36" s="4">
        <v>33</v>
      </c>
      <c r="C36" s="9">
        <v>782.22353166644461</v>
      </c>
      <c r="D36" s="85">
        <v>383.28854000009596</v>
      </c>
      <c r="E36" s="85">
        <v>107.21623666665982</v>
      </c>
      <c r="F36" s="85">
        <v>109.76574166666251</v>
      </c>
      <c r="G36" s="85">
        <v>1186.9044099999592</v>
      </c>
      <c r="H36" s="85">
        <v>2225.7890849998221</v>
      </c>
      <c r="I36" s="13">
        <v>0</v>
      </c>
      <c r="L36" s="4">
        <f t="shared" ref="L36:L54" si="17">B36-0.5</f>
        <v>32.5</v>
      </c>
      <c r="M36" s="93">
        <f t="shared" si="9"/>
        <v>4.0255872992997987E-4</v>
      </c>
      <c r="N36" s="94">
        <f t="shared" si="10"/>
        <v>4.5685576639132718E-4</v>
      </c>
      <c r="O36" s="94">
        <f t="shared" si="11"/>
        <v>2.0656112433013426E-4</v>
      </c>
      <c r="P36" s="94">
        <f t="shared" si="12"/>
        <v>1.8902910448600449E-4</v>
      </c>
      <c r="Q36" s="94">
        <f t="shared" si="13"/>
        <v>8.0634319892702346E-4</v>
      </c>
      <c r="R36" s="94">
        <f t="shared" si="14"/>
        <v>1.7794620687771304E-3</v>
      </c>
      <c r="S36" s="95">
        <f t="shared" si="15"/>
        <v>0</v>
      </c>
      <c r="V36" s="4">
        <v>33</v>
      </c>
      <c r="W36" s="12">
        <v>54.237658333324298</v>
      </c>
      <c r="X36" s="106">
        <v>0</v>
      </c>
      <c r="Y36" s="106">
        <v>107.216236666659</v>
      </c>
      <c r="Z36" s="106">
        <v>49.302946666662997</v>
      </c>
      <c r="AA36" s="106">
        <v>678.83066666667503</v>
      </c>
      <c r="AB36" s="106">
        <v>1892.2717666666699</v>
      </c>
      <c r="AC36" s="13">
        <v>0</v>
      </c>
      <c r="AF36" s="4">
        <f t="shared" si="2"/>
        <v>32.5</v>
      </c>
      <c r="AG36" s="93">
        <f t="shared" si="16"/>
        <v>1.3417061721962296E-4</v>
      </c>
      <c r="AH36" s="94">
        <f t="shared" si="3"/>
        <v>0</v>
      </c>
      <c r="AI36" s="94">
        <f t="shared" si="4"/>
        <v>1.2999786653733851E-3</v>
      </c>
      <c r="AJ36" s="94">
        <f t="shared" si="5"/>
        <v>5.2316608539164453E-4</v>
      </c>
      <c r="AK36" s="94">
        <f t="shared" si="6"/>
        <v>2.6905278510276245E-3</v>
      </c>
      <c r="AL36" s="94">
        <f t="shared" si="7"/>
        <v>8.6139512975168843E-3</v>
      </c>
      <c r="AM36" s="95">
        <f t="shared" si="8"/>
        <v>0</v>
      </c>
    </row>
    <row r="37" spans="2:39" x14ac:dyDescent="0.2">
      <c r="B37" s="4">
        <v>34</v>
      </c>
      <c r="C37" s="9">
        <v>82.375583333428949</v>
      </c>
      <c r="D37" s="85">
        <v>1452.924989999854</v>
      </c>
      <c r="E37" s="85">
        <v>546.51243999996223</v>
      </c>
      <c r="F37" s="85">
        <v>51.939993333304301</v>
      </c>
      <c r="G37" s="85">
        <v>794.69646033318713</v>
      </c>
      <c r="H37" s="85">
        <v>456.15559499990195</v>
      </c>
      <c r="I37" s="13">
        <v>0</v>
      </c>
      <c r="L37" s="4">
        <f t="shared" si="17"/>
        <v>33.5</v>
      </c>
      <c r="M37" s="93">
        <f>C37/C$55</f>
        <v>4.2393265941898147E-5</v>
      </c>
      <c r="N37" s="94">
        <f t="shared" si="10"/>
        <v>1.7317949548278394E-3</v>
      </c>
      <c r="O37" s="94">
        <f t="shared" si="11"/>
        <v>1.0529023175638208E-3</v>
      </c>
      <c r="P37" s="94">
        <f t="shared" si="12"/>
        <v>8.944658212777766E-5</v>
      </c>
      <c r="Q37" s="94">
        <f t="shared" si="13"/>
        <v>5.3989022249994545E-4</v>
      </c>
      <c r="R37" s="94">
        <f t="shared" si="14"/>
        <v>3.6468485906105216E-4</v>
      </c>
      <c r="S37" s="95">
        <f t="shared" si="15"/>
        <v>0</v>
      </c>
      <c r="V37" s="4">
        <v>34</v>
      </c>
      <c r="W37" s="12">
        <v>0</v>
      </c>
      <c r="X37" s="106">
        <v>47.9985866666538</v>
      </c>
      <c r="Y37" s="106">
        <v>0</v>
      </c>
      <c r="Z37" s="106">
        <v>51.939993333333398</v>
      </c>
      <c r="AA37" s="106">
        <v>91.794272333296206</v>
      </c>
      <c r="AB37" s="106">
        <v>49.0799849999893</v>
      </c>
      <c r="AC37" s="13">
        <v>0</v>
      </c>
      <c r="AF37" s="4">
        <f t="shared" si="2"/>
        <v>33.5</v>
      </c>
      <c r="AG37" s="93">
        <f>W37/W$55</f>
        <v>0</v>
      </c>
      <c r="AH37" s="94">
        <f t="shared" si="3"/>
        <v>3.522448836376898E-4</v>
      </c>
      <c r="AI37" s="94">
        <f t="shared" si="4"/>
        <v>0</v>
      </c>
      <c r="AJ37" s="94">
        <f t="shared" si="5"/>
        <v>5.5114845713353242E-4</v>
      </c>
      <c r="AK37" s="94">
        <f t="shared" si="6"/>
        <v>3.6382423247065775E-4</v>
      </c>
      <c r="AL37" s="94">
        <f t="shared" si="7"/>
        <v>2.2342065654633837E-4</v>
      </c>
      <c r="AM37" s="95">
        <f t="shared" si="8"/>
        <v>0</v>
      </c>
    </row>
    <row r="38" spans="2:39" x14ac:dyDescent="0.2">
      <c r="B38" s="4">
        <v>35</v>
      </c>
      <c r="C38" s="9">
        <v>473.64419033331797</v>
      </c>
      <c r="D38" s="85">
        <v>67.930808333447203</v>
      </c>
      <c r="E38" s="85">
        <v>26.021353333315346</v>
      </c>
      <c r="F38" s="85">
        <v>223.97138500004075</v>
      </c>
      <c r="G38" s="85">
        <v>469.5549062222708</v>
      </c>
      <c r="H38" s="85">
        <v>3014.9596063331701</v>
      </c>
      <c r="I38" s="13">
        <v>0</v>
      </c>
      <c r="L38" s="4">
        <f t="shared" si="17"/>
        <v>34.5</v>
      </c>
      <c r="M38" s="93">
        <f t="shared" ref="M38:M54" si="18">C38/C$55</f>
        <v>2.4375334668479311E-4</v>
      </c>
      <c r="N38" s="94">
        <f t="shared" ref="N38:N54" si="19">D38/D$55</f>
        <v>8.0969239264893248E-5</v>
      </c>
      <c r="O38" s="94">
        <f t="shared" ref="O38:O54" si="20">E38/E$55</f>
        <v>5.0132332268221882E-5</v>
      </c>
      <c r="P38" s="94">
        <f t="shared" ref="P38:P54" si="21">F38/F$55</f>
        <v>3.8570422514537842E-4</v>
      </c>
      <c r="Q38" s="94">
        <f t="shared" ref="Q38:Q54" si="22">G38/G$55</f>
        <v>3.1899991436981629E-4</v>
      </c>
      <c r="R38" s="94">
        <f t="shared" ref="R38:R54" si="23">H38/H$55</f>
        <v>2.4103839373286954E-3</v>
      </c>
      <c r="S38" s="95">
        <f t="shared" ref="S38:S54" si="24">I38/I$55</f>
        <v>0</v>
      </c>
      <c r="V38" s="4">
        <v>35</v>
      </c>
      <c r="W38" s="12">
        <v>41.206108666665301</v>
      </c>
      <c r="X38" s="106">
        <v>34.935163333313497</v>
      </c>
      <c r="Y38" s="106">
        <v>0</v>
      </c>
      <c r="Z38" s="106">
        <v>53.562781666667398</v>
      </c>
      <c r="AA38" s="106">
        <v>109.646769999992</v>
      </c>
      <c r="AB38" s="106">
        <v>2546.9710466666702</v>
      </c>
      <c r="AC38" s="13">
        <v>0</v>
      </c>
      <c r="AF38" s="4">
        <f t="shared" si="2"/>
        <v>34.5</v>
      </c>
      <c r="AG38" s="93">
        <f t="shared" ref="AG38:AG54" si="25">W38/W$55</f>
        <v>1.0193377079534547E-4</v>
      </c>
      <c r="AH38" s="94">
        <f t="shared" si="3"/>
        <v>2.5637697686119366E-4</v>
      </c>
      <c r="AI38" s="94">
        <f t="shared" si="4"/>
        <v>0</v>
      </c>
      <c r="AJ38" s="94">
        <f t="shared" si="5"/>
        <v>5.6836827617415861E-4</v>
      </c>
      <c r="AK38" s="94">
        <f t="shared" si="6"/>
        <v>4.3458214683906698E-4</v>
      </c>
      <c r="AL38" s="94">
        <f t="shared" si="7"/>
        <v>1.1594256670023558E-2</v>
      </c>
      <c r="AM38" s="95">
        <f t="shared" si="8"/>
        <v>0</v>
      </c>
    </row>
    <row r="39" spans="2:39" x14ac:dyDescent="0.2">
      <c r="B39" s="4">
        <v>36</v>
      </c>
      <c r="C39" s="9">
        <v>2453.8192300000228</v>
      </c>
      <c r="D39" s="85">
        <v>26.038913333322853</v>
      </c>
      <c r="E39" s="85">
        <v>0</v>
      </c>
      <c r="F39" s="85">
        <v>36.850008666631766</v>
      </c>
      <c r="G39" s="85">
        <v>256.17121866671368</v>
      </c>
      <c r="H39" s="85">
        <v>5038.460126666585</v>
      </c>
      <c r="I39" s="13">
        <v>0</v>
      </c>
      <c r="L39" s="4">
        <f t="shared" si="17"/>
        <v>35.5</v>
      </c>
      <c r="M39" s="93">
        <f t="shared" si="18"/>
        <v>1.2628185073928332E-3</v>
      </c>
      <c r="N39" s="94">
        <f t="shared" si="19"/>
        <v>3.1036742467931814E-5</v>
      </c>
      <c r="O39" s="94">
        <f t="shared" si="20"/>
        <v>0</v>
      </c>
      <c r="P39" s="94">
        <f t="shared" si="21"/>
        <v>6.3459910467406793E-5</v>
      </c>
      <c r="Q39" s="94">
        <f t="shared" si="22"/>
        <v>1.7403416668808149E-4</v>
      </c>
      <c r="R39" s="94">
        <f t="shared" si="23"/>
        <v>4.0281214158483123E-3</v>
      </c>
      <c r="S39" s="95">
        <f t="shared" si="24"/>
        <v>0</v>
      </c>
      <c r="V39" s="4">
        <v>36</v>
      </c>
      <c r="W39" s="12">
        <v>0</v>
      </c>
      <c r="X39" s="106">
        <v>26.0389133333228</v>
      </c>
      <c r="Y39" s="106">
        <v>0</v>
      </c>
      <c r="Z39" s="106">
        <v>36.850008666660798</v>
      </c>
      <c r="AA39" s="106">
        <v>21.595153333328199</v>
      </c>
      <c r="AB39" s="106">
        <v>1494.0532333333299</v>
      </c>
      <c r="AC39" s="13">
        <v>0</v>
      </c>
      <c r="AF39" s="4">
        <f t="shared" si="2"/>
        <v>35.5</v>
      </c>
      <c r="AG39" s="93">
        <f t="shared" si="25"/>
        <v>0</v>
      </c>
      <c r="AH39" s="94">
        <f t="shared" si="3"/>
        <v>1.910905014942934E-4</v>
      </c>
      <c r="AI39" s="94">
        <f t="shared" si="4"/>
        <v>0</v>
      </c>
      <c r="AJ39" s="94">
        <f t="shared" si="5"/>
        <v>3.910247983985245E-4</v>
      </c>
      <c r="AK39" s="94">
        <f t="shared" si="6"/>
        <v>8.5591833639215141E-5</v>
      </c>
      <c r="AL39" s="94">
        <f t="shared" si="7"/>
        <v>6.801191041655474E-3</v>
      </c>
      <c r="AM39" s="95">
        <f t="shared" si="8"/>
        <v>0</v>
      </c>
    </row>
    <row r="40" spans="2:39" x14ac:dyDescent="0.2">
      <c r="B40" s="4">
        <v>37</v>
      </c>
      <c r="C40" s="9">
        <v>6763.8670476670377</v>
      </c>
      <c r="D40" s="85">
        <v>0</v>
      </c>
      <c r="E40" s="85">
        <v>24.223668333317619</v>
      </c>
      <c r="F40" s="85">
        <v>95.87898999999743</v>
      </c>
      <c r="G40" s="85">
        <v>997.5315066666808</v>
      </c>
      <c r="H40" s="85">
        <v>2259.0150333333295</v>
      </c>
      <c r="I40" s="13">
        <v>0</v>
      </c>
      <c r="L40" s="4">
        <f t="shared" si="17"/>
        <v>36.5</v>
      </c>
      <c r="M40" s="93">
        <f t="shared" si="18"/>
        <v>3.4809151321788198E-3</v>
      </c>
      <c r="N40" s="94">
        <f t="shared" si="19"/>
        <v>0</v>
      </c>
      <c r="O40" s="94">
        <f t="shared" si="20"/>
        <v>4.666894046922193E-5</v>
      </c>
      <c r="P40" s="94">
        <f t="shared" si="21"/>
        <v>1.6511453704527374E-4</v>
      </c>
      <c r="Q40" s="94">
        <f t="shared" si="22"/>
        <v>6.7768957578995975E-4</v>
      </c>
      <c r="R40" s="94">
        <f t="shared" si="23"/>
        <v>1.8060253739694684E-3</v>
      </c>
      <c r="S40" s="95">
        <f t="shared" si="24"/>
        <v>0</v>
      </c>
      <c r="V40" s="4">
        <v>37</v>
      </c>
      <c r="W40" s="12">
        <v>11.015911000023999</v>
      </c>
      <c r="X40" s="106">
        <v>0</v>
      </c>
      <c r="Y40" s="106">
        <v>0</v>
      </c>
      <c r="Z40" s="106">
        <v>95.878989999997401</v>
      </c>
      <c r="AA40" s="106">
        <v>823.24860066667304</v>
      </c>
      <c r="AB40" s="106">
        <v>16.612323333334601</v>
      </c>
      <c r="AC40" s="13">
        <v>0</v>
      </c>
      <c r="AF40" s="4">
        <f t="shared" si="2"/>
        <v>36.5</v>
      </c>
      <c r="AG40" s="93">
        <f t="shared" si="25"/>
        <v>2.7250652471505117E-5</v>
      </c>
      <c r="AH40" s="94">
        <f t="shared" si="3"/>
        <v>0</v>
      </c>
      <c r="AI40" s="94">
        <f t="shared" si="4"/>
        <v>0</v>
      </c>
      <c r="AJ40" s="94">
        <f t="shared" si="5"/>
        <v>1.0173963071363483E-3</v>
      </c>
      <c r="AK40" s="94">
        <f t="shared" si="6"/>
        <v>3.2629246101823755E-3</v>
      </c>
      <c r="AL40" s="94">
        <f t="shared" si="7"/>
        <v>7.5622194788659407E-5</v>
      </c>
      <c r="AM40" s="95">
        <f t="shared" si="8"/>
        <v>0</v>
      </c>
    </row>
    <row r="41" spans="2:39" x14ac:dyDescent="0.2">
      <c r="B41" s="4">
        <v>38</v>
      </c>
      <c r="C41" s="9">
        <v>659.74029316660017</v>
      </c>
      <c r="D41" s="85">
        <v>3006.6114466666477</v>
      </c>
      <c r="E41" s="85">
        <v>0</v>
      </c>
      <c r="F41" s="85">
        <v>141.08839833340608</v>
      </c>
      <c r="G41" s="85">
        <v>200.72236500005238</v>
      </c>
      <c r="H41" s="85">
        <v>4295.9110166663304</v>
      </c>
      <c r="I41" s="13">
        <v>0</v>
      </c>
      <c r="L41" s="4">
        <f t="shared" si="17"/>
        <v>37.5</v>
      </c>
      <c r="M41" s="93">
        <f t="shared" si="18"/>
        <v>3.3952470585355568E-4</v>
      </c>
      <c r="N41" s="94">
        <f t="shared" si="19"/>
        <v>3.5836912230860969E-3</v>
      </c>
      <c r="O41" s="94">
        <f t="shared" si="20"/>
        <v>0</v>
      </c>
      <c r="P41" s="94">
        <f t="shared" si="21"/>
        <v>2.4297028549508229E-4</v>
      </c>
      <c r="Q41" s="94">
        <f t="shared" si="22"/>
        <v>1.3636406818165367E-4</v>
      </c>
      <c r="R41" s="94">
        <f t="shared" si="23"/>
        <v>3.4344721862988848E-3</v>
      </c>
      <c r="S41" s="95">
        <f t="shared" si="24"/>
        <v>0</v>
      </c>
      <c r="V41" s="4">
        <v>38</v>
      </c>
      <c r="W41" s="12">
        <v>31.993773333320799</v>
      </c>
      <c r="X41" s="106">
        <v>2980.6078066666601</v>
      </c>
      <c r="Y41" s="106">
        <v>0</v>
      </c>
      <c r="Z41" s="106">
        <v>17.347956666664601</v>
      </c>
      <c r="AA41" s="106">
        <v>105.12391666666301</v>
      </c>
      <c r="AB41" s="106">
        <v>116.566079999989</v>
      </c>
      <c r="AC41" s="13">
        <v>0</v>
      </c>
      <c r="AF41" s="4">
        <f t="shared" si="2"/>
        <v>37.5</v>
      </c>
      <c r="AG41" s="93">
        <f t="shared" si="25"/>
        <v>7.9144720609719302E-5</v>
      </c>
      <c r="AH41" s="94">
        <f t="shared" si="3"/>
        <v>2.1873640932812931E-2</v>
      </c>
      <c r="AI41" s="94">
        <f t="shared" si="4"/>
        <v>0</v>
      </c>
      <c r="AJ41" s="94">
        <f t="shared" si="5"/>
        <v>1.8408357293945668E-4</v>
      </c>
      <c r="AK41" s="94">
        <f t="shared" si="6"/>
        <v>4.1665593422526642E-4</v>
      </c>
      <c r="AL41" s="94">
        <f t="shared" si="7"/>
        <v>5.3062913781730424E-4</v>
      </c>
      <c r="AM41" s="95">
        <f t="shared" si="8"/>
        <v>0</v>
      </c>
    </row>
    <row r="42" spans="2:39" x14ac:dyDescent="0.2">
      <c r="B42" s="4">
        <v>39</v>
      </c>
      <c r="C42" s="9">
        <v>138.71631666691974</v>
      </c>
      <c r="D42" s="85">
        <v>365.46426666667685</v>
      </c>
      <c r="E42" s="85">
        <v>479.21570666664047</v>
      </c>
      <c r="F42" s="85">
        <v>186.08565383323003</v>
      </c>
      <c r="G42" s="85">
        <v>94.731782500166446</v>
      </c>
      <c r="H42" s="85">
        <v>36.076250666519627</v>
      </c>
      <c r="I42" s="13">
        <v>0</v>
      </c>
      <c r="L42" s="4">
        <f t="shared" si="17"/>
        <v>38.5</v>
      </c>
      <c r="M42" s="93">
        <f t="shared" si="18"/>
        <v>7.138811605301079E-5</v>
      </c>
      <c r="N42" s="94">
        <f t="shared" si="19"/>
        <v>4.3561035672135467E-4</v>
      </c>
      <c r="O42" s="94">
        <f t="shared" si="20"/>
        <v>9.2324948387693571E-4</v>
      </c>
      <c r="P42" s="94">
        <f t="shared" si="21"/>
        <v>3.2046068261087928E-4</v>
      </c>
      <c r="Q42" s="94">
        <f t="shared" si="22"/>
        <v>6.4357607822222059E-5</v>
      </c>
      <c r="R42" s="94">
        <f t="shared" si="23"/>
        <v>2.8842049804899855E-5</v>
      </c>
      <c r="S42" s="95">
        <f t="shared" si="24"/>
        <v>0</v>
      </c>
      <c r="V42" s="4">
        <v>39</v>
      </c>
      <c r="W42" s="12">
        <v>102.30213666666501</v>
      </c>
      <c r="X42" s="106">
        <v>365.464266666676</v>
      </c>
      <c r="Y42" s="106">
        <v>140.582869999998</v>
      </c>
      <c r="Z42" s="106">
        <v>121.211636666659</v>
      </c>
      <c r="AA42" s="106">
        <v>17.347956666664601</v>
      </c>
      <c r="AB42" s="106">
        <v>0</v>
      </c>
      <c r="AC42" s="13">
        <v>0</v>
      </c>
      <c r="AF42" s="4">
        <f t="shared" si="2"/>
        <v>38.5</v>
      </c>
      <c r="AG42" s="93">
        <f t="shared" si="25"/>
        <v>2.5307030652205122E-4</v>
      </c>
      <c r="AH42" s="94">
        <f t="shared" si="3"/>
        <v>2.6820147638882863E-3</v>
      </c>
      <c r="AI42" s="94">
        <f t="shared" si="4"/>
        <v>1.7045434292303292E-3</v>
      </c>
      <c r="AJ42" s="94">
        <f t="shared" si="5"/>
        <v>1.2862074530261012E-3</v>
      </c>
      <c r="AK42" s="94">
        <f t="shared" si="6"/>
        <v>6.8758179118917555E-5</v>
      </c>
      <c r="AL42" s="94">
        <f t="shared" si="7"/>
        <v>0</v>
      </c>
      <c r="AM42" s="95">
        <f t="shared" si="8"/>
        <v>0</v>
      </c>
    </row>
    <row r="43" spans="2:39" x14ac:dyDescent="0.2">
      <c r="B43" s="4">
        <v>40</v>
      </c>
      <c r="C43" s="9">
        <v>1603.5314799998887</v>
      </c>
      <c r="D43" s="85">
        <v>24.642110000015236</v>
      </c>
      <c r="E43" s="85">
        <v>25.935673333355226</v>
      </c>
      <c r="F43" s="85">
        <v>414.14110333332792</v>
      </c>
      <c r="G43" s="85">
        <v>488.96264333301224</v>
      </c>
      <c r="H43" s="85">
        <v>726.29721333319321</v>
      </c>
      <c r="I43" s="13">
        <v>0</v>
      </c>
      <c r="L43" s="4">
        <f t="shared" si="17"/>
        <v>39.5</v>
      </c>
      <c r="M43" s="93">
        <f t="shared" si="18"/>
        <v>8.2523162479693408E-4</v>
      </c>
      <c r="N43" s="94">
        <f t="shared" si="19"/>
        <v>2.9371840988393573E-5</v>
      </c>
      <c r="O43" s="94">
        <f t="shared" si="20"/>
        <v>4.9967262520629527E-5</v>
      </c>
      <c r="P43" s="94">
        <f t="shared" si="21"/>
        <v>7.1319813181493815E-4</v>
      </c>
      <c r="Q43" s="94">
        <f t="shared" si="22"/>
        <v>3.3218488250538042E-4</v>
      </c>
      <c r="R43" s="94">
        <f t="shared" si="23"/>
        <v>5.8065624928026465E-4</v>
      </c>
      <c r="S43" s="95">
        <f t="shared" si="24"/>
        <v>0</v>
      </c>
      <c r="V43" s="4">
        <v>40</v>
      </c>
      <c r="W43" s="12">
        <v>38.408259999996503</v>
      </c>
      <c r="X43" s="106">
        <v>24.642109999986101</v>
      </c>
      <c r="Y43" s="106">
        <v>25.9356733333261</v>
      </c>
      <c r="Z43" s="106">
        <v>25.993919999993501</v>
      </c>
      <c r="AA43" s="106">
        <v>472.86266333336198</v>
      </c>
      <c r="AB43" s="106">
        <v>539.04556666666701</v>
      </c>
      <c r="AC43" s="13">
        <v>0</v>
      </c>
      <c r="AF43" s="4">
        <f t="shared" si="2"/>
        <v>39.5</v>
      </c>
      <c r="AG43" s="93">
        <f t="shared" si="25"/>
        <v>9.5012581827579731E-5</v>
      </c>
      <c r="AH43" s="94">
        <f t="shared" si="3"/>
        <v>1.8083984909419382E-4</v>
      </c>
      <c r="AI43" s="94">
        <f t="shared" si="4"/>
        <v>3.1446563555706259E-4</v>
      </c>
      <c r="AJ43" s="94">
        <f t="shared" si="5"/>
        <v>2.7582808513097366E-4</v>
      </c>
      <c r="AK43" s="94">
        <f t="shared" si="6"/>
        <v>1.874178978473022E-3</v>
      </c>
      <c r="AL43" s="94">
        <f t="shared" si="7"/>
        <v>2.4538294869708298E-3</v>
      </c>
      <c r="AM43" s="95">
        <f t="shared" si="8"/>
        <v>0</v>
      </c>
    </row>
    <row r="44" spans="2:39" x14ac:dyDescent="0.2">
      <c r="B44" s="4">
        <v>41</v>
      </c>
      <c r="C44" s="9">
        <v>545.06987000000663</v>
      </c>
      <c r="D44" s="85">
        <v>1303.0200266666943</v>
      </c>
      <c r="E44" s="85">
        <v>263.93602833332261</v>
      </c>
      <c r="F44" s="85">
        <v>2749.5301266667666</v>
      </c>
      <c r="G44" s="85">
        <v>361.80550466640852</v>
      </c>
      <c r="H44" s="85">
        <v>0</v>
      </c>
      <c r="I44" s="13">
        <v>0</v>
      </c>
      <c r="L44" s="4">
        <f t="shared" si="17"/>
        <v>40.5</v>
      </c>
      <c r="M44" s="93">
        <f t="shared" si="18"/>
        <v>2.8051142123383216E-4</v>
      </c>
      <c r="N44" s="94">
        <f t="shared" si="19"/>
        <v>1.5531176927593795E-3</v>
      </c>
      <c r="O44" s="94">
        <f t="shared" si="20"/>
        <v>5.0849502331687976E-4</v>
      </c>
      <c r="P44" s="94">
        <f t="shared" si="21"/>
        <v>4.7350039248080121E-3</v>
      </c>
      <c r="Q44" s="94">
        <f t="shared" si="22"/>
        <v>2.4579857110997505E-4</v>
      </c>
      <c r="R44" s="94">
        <f t="shared" si="23"/>
        <v>0</v>
      </c>
      <c r="S44" s="95">
        <f t="shared" si="24"/>
        <v>0</v>
      </c>
      <c r="V44" s="4">
        <v>41</v>
      </c>
      <c r="W44" s="12">
        <v>0</v>
      </c>
      <c r="X44" s="106">
        <v>72.108893333322996</v>
      </c>
      <c r="Y44" s="106">
        <v>239.16111333333501</v>
      </c>
      <c r="Z44" s="106">
        <v>511.61462666667597</v>
      </c>
      <c r="AA44" s="106">
        <v>196.34730666672101</v>
      </c>
      <c r="AB44" s="106">
        <v>0</v>
      </c>
      <c r="AC44" s="13">
        <v>0</v>
      </c>
      <c r="AF44" s="4">
        <f t="shared" si="2"/>
        <v>40.5</v>
      </c>
      <c r="AG44" s="93">
        <f t="shared" si="25"/>
        <v>0</v>
      </c>
      <c r="AH44" s="94">
        <f t="shared" si="3"/>
        <v>5.2918201358385323E-4</v>
      </c>
      <c r="AI44" s="94">
        <f t="shared" si="4"/>
        <v>2.899787892079256E-3</v>
      </c>
      <c r="AJ44" s="94">
        <f t="shared" si="5"/>
        <v>5.4288727055597039E-3</v>
      </c>
      <c r="AK44" s="94">
        <f t="shared" si="6"/>
        <v>7.7821748928216024E-4</v>
      </c>
      <c r="AL44" s="94">
        <f t="shared" si="7"/>
        <v>0</v>
      </c>
      <c r="AM44" s="95">
        <f t="shared" si="8"/>
        <v>0</v>
      </c>
    </row>
    <row r="45" spans="2:39" x14ac:dyDescent="0.2">
      <c r="B45" s="4">
        <v>42</v>
      </c>
      <c r="C45" s="9">
        <v>3570.115428666817</v>
      </c>
      <c r="D45" s="85">
        <v>172.72249333327636</v>
      </c>
      <c r="E45" s="85">
        <v>33.40719866665313</v>
      </c>
      <c r="F45" s="85">
        <v>55.953466666629538</v>
      </c>
      <c r="G45" s="85">
        <v>62.66836000001058</v>
      </c>
      <c r="H45" s="85">
        <v>68.941561333369464</v>
      </c>
      <c r="I45" s="13">
        <v>0</v>
      </c>
      <c r="L45" s="4">
        <f t="shared" si="17"/>
        <v>41.5</v>
      </c>
      <c r="M45" s="93">
        <f t="shared" si="18"/>
        <v>1.8373023496311557E-3</v>
      </c>
      <c r="N45" s="94">
        <f t="shared" si="19"/>
        <v>2.0587431876981012E-4</v>
      </c>
      <c r="O45" s="94">
        <f t="shared" si="20"/>
        <v>6.4361786347327235E-5</v>
      </c>
      <c r="P45" s="94">
        <f t="shared" si="21"/>
        <v>9.6358240160215907E-5</v>
      </c>
      <c r="Q45" s="94">
        <f t="shared" si="22"/>
        <v>4.2574789888867784E-5</v>
      </c>
      <c r="R45" s="94">
        <f t="shared" si="23"/>
        <v>5.5117034305616989E-5</v>
      </c>
      <c r="S45" s="95">
        <f t="shared" si="24"/>
        <v>0</v>
      </c>
      <c r="V45" s="4">
        <v>42</v>
      </c>
      <c r="W45" s="12">
        <v>37.516000000003203</v>
      </c>
      <c r="X45" s="106">
        <v>0</v>
      </c>
      <c r="Y45" s="106">
        <v>33.407198666667597</v>
      </c>
      <c r="Z45" s="106">
        <v>0</v>
      </c>
      <c r="AA45" s="106">
        <v>62.668360000010502</v>
      </c>
      <c r="AB45" s="106">
        <v>0</v>
      </c>
      <c r="AC45" s="13">
        <v>0</v>
      </c>
      <c r="AF45" s="4">
        <f t="shared" si="2"/>
        <v>41.5</v>
      </c>
      <c r="AG45" s="93">
        <f t="shared" si="25"/>
        <v>9.2805350199256872E-5</v>
      </c>
      <c r="AH45" s="94">
        <f t="shared" si="3"/>
        <v>0</v>
      </c>
      <c r="AI45" s="94">
        <f t="shared" si="4"/>
        <v>4.0505661163597867E-4</v>
      </c>
      <c r="AJ45" s="94">
        <f t="shared" si="5"/>
        <v>0</v>
      </c>
      <c r="AK45" s="94">
        <f t="shared" si="6"/>
        <v>2.4838442963427069E-4</v>
      </c>
      <c r="AL45" s="94">
        <f t="shared" si="7"/>
        <v>0</v>
      </c>
      <c r="AM45" s="95">
        <f t="shared" si="8"/>
        <v>0</v>
      </c>
    </row>
    <row r="46" spans="2:39" x14ac:dyDescent="0.2">
      <c r="B46" s="4">
        <v>43</v>
      </c>
      <c r="C46" s="12">
        <v>0</v>
      </c>
      <c r="D46" s="4">
        <v>887.02797333337367</v>
      </c>
      <c r="E46" s="4">
        <v>814.14916666666977</v>
      </c>
      <c r="F46" s="4">
        <v>146.71477333328221</v>
      </c>
      <c r="G46" s="4">
        <v>335.04047266673297</v>
      </c>
      <c r="H46" s="4">
        <v>204.1241666667629</v>
      </c>
      <c r="I46" s="13">
        <v>0</v>
      </c>
      <c r="L46" s="4">
        <f t="shared" si="17"/>
        <v>42.5</v>
      </c>
      <c r="M46" s="93">
        <f t="shared" si="18"/>
        <v>0</v>
      </c>
      <c r="N46" s="94">
        <f t="shared" si="19"/>
        <v>1.0572814010240501E-3</v>
      </c>
      <c r="O46" s="94">
        <f t="shared" si="20"/>
        <v>1.5685270483981103E-3</v>
      </c>
      <c r="P46" s="94">
        <f t="shared" si="21"/>
        <v>2.526595438336158E-4</v>
      </c>
      <c r="Q46" s="94">
        <f t="shared" si="22"/>
        <v>2.2761530265114164E-4</v>
      </c>
      <c r="R46" s="94">
        <f t="shared" si="23"/>
        <v>1.6319210762248603E-4</v>
      </c>
      <c r="S46" s="95">
        <f t="shared" si="24"/>
        <v>0</v>
      </c>
      <c r="V46" s="4">
        <v>43</v>
      </c>
      <c r="W46" s="12">
        <v>0</v>
      </c>
      <c r="X46" s="106">
        <v>0</v>
      </c>
      <c r="Y46" s="106">
        <v>814.14916666666898</v>
      </c>
      <c r="Z46" s="106">
        <v>101.24850666667</v>
      </c>
      <c r="AA46" s="106">
        <v>17.4168243333406</v>
      </c>
      <c r="AB46" s="106">
        <v>0</v>
      </c>
      <c r="AC46" s="13">
        <v>0</v>
      </c>
      <c r="AF46" s="4">
        <f t="shared" si="2"/>
        <v>42.5</v>
      </c>
      <c r="AG46" s="93">
        <f t="shared" si="25"/>
        <v>0</v>
      </c>
      <c r="AH46" s="94">
        <f t="shared" si="3"/>
        <v>0</v>
      </c>
      <c r="AI46" s="94">
        <f t="shared" si="4"/>
        <v>9.8714204117118856E-3</v>
      </c>
      <c r="AJ46" s="94">
        <f t="shared" si="5"/>
        <v>1.0743736118386602E-3</v>
      </c>
      <c r="AK46" s="94">
        <f t="shared" si="6"/>
        <v>6.9031134340780047E-5</v>
      </c>
      <c r="AL46" s="94">
        <f t="shared" si="7"/>
        <v>0</v>
      </c>
      <c r="AM46" s="95">
        <f t="shared" si="8"/>
        <v>0</v>
      </c>
    </row>
    <row r="47" spans="2:39" x14ac:dyDescent="0.2">
      <c r="B47" s="4">
        <v>44</v>
      </c>
      <c r="C47" s="89">
        <v>17.563651999924332</v>
      </c>
      <c r="D47" s="4">
        <v>0</v>
      </c>
      <c r="E47" s="4">
        <v>0</v>
      </c>
      <c r="F47" s="4">
        <v>809.4217386667151</v>
      </c>
      <c r="G47" s="4">
        <v>119.26701666670851</v>
      </c>
      <c r="H47" s="4">
        <v>174.42809433303773</v>
      </c>
      <c r="I47" s="13">
        <v>12.559562666661805</v>
      </c>
      <c r="L47" s="4">
        <f t="shared" si="17"/>
        <v>43.5</v>
      </c>
      <c r="M47" s="93">
        <f t="shared" si="18"/>
        <v>9.0388503487729979E-6</v>
      </c>
      <c r="N47" s="94">
        <f t="shared" si="19"/>
        <v>0</v>
      </c>
      <c r="O47" s="94">
        <f t="shared" si="20"/>
        <v>0</v>
      </c>
      <c r="P47" s="94">
        <f t="shared" si="21"/>
        <v>1.3939163903826978E-3</v>
      </c>
      <c r="Q47" s="94">
        <f t="shared" si="22"/>
        <v>8.1026026135937659E-5</v>
      </c>
      <c r="R47" s="94">
        <f t="shared" si="23"/>
        <v>1.3945084899845512E-4</v>
      </c>
      <c r="S47" s="95">
        <f t="shared" si="24"/>
        <v>7.3135812626076818E-5</v>
      </c>
      <c r="V47" s="4">
        <v>44</v>
      </c>
      <c r="W47" s="12">
        <v>17.5636519999825</v>
      </c>
      <c r="X47" s="106">
        <v>0</v>
      </c>
      <c r="Y47" s="106">
        <v>0</v>
      </c>
      <c r="Z47" s="106">
        <v>16.2402153333387</v>
      </c>
      <c r="AA47" s="106">
        <v>32.108609999995601</v>
      </c>
      <c r="AB47" s="106">
        <v>49.5979600000137</v>
      </c>
      <c r="AC47" s="13">
        <v>12.5595626666654</v>
      </c>
      <c r="AF47" s="4">
        <f t="shared" si="2"/>
        <v>43.5</v>
      </c>
      <c r="AG47" s="93">
        <f t="shared" si="25"/>
        <v>4.3448152112061928E-5</v>
      </c>
      <c r="AH47" s="94">
        <f t="shared" si="3"/>
        <v>0</v>
      </c>
      <c r="AI47" s="94">
        <f t="shared" si="4"/>
        <v>0</v>
      </c>
      <c r="AJ47" s="94">
        <f t="shared" si="5"/>
        <v>1.723290483894161E-4</v>
      </c>
      <c r="AK47" s="94">
        <f t="shared" si="6"/>
        <v>1.2726164816179666E-4</v>
      </c>
      <c r="AL47" s="94">
        <f t="shared" si="7"/>
        <v>2.257785691369813E-4</v>
      </c>
      <c r="AM47" s="95">
        <f t="shared" si="8"/>
        <v>3.9237630777948842E-4</v>
      </c>
    </row>
    <row r="48" spans="2:39" x14ac:dyDescent="0.2">
      <c r="B48" s="4">
        <v>45</v>
      </c>
      <c r="C48" s="12">
        <v>1118.5274833333679</v>
      </c>
      <c r="D48" s="4">
        <v>1133.6195499999449</v>
      </c>
      <c r="E48" s="4">
        <v>17.386230000003707</v>
      </c>
      <c r="F48" s="4">
        <v>469.63928000000305</v>
      </c>
      <c r="G48" s="4">
        <v>1361.0241166665219</v>
      </c>
      <c r="H48" s="4">
        <v>86.887531999964267</v>
      </c>
      <c r="I48" s="13">
        <v>0</v>
      </c>
      <c r="L48" s="4">
        <f t="shared" si="17"/>
        <v>44.5</v>
      </c>
      <c r="M48" s="93">
        <f>C48/C$55</f>
        <v>5.7563213692024605E-4</v>
      </c>
      <c r="N48" s="94">
        <f t="shared" si="19"/>
        <v>1.3512030083427137E-3</v>
      </c>
      <c r="O48" s="94">
        <f t="shared" si="20"/>
        <v>3.3496038737385003E-5</v>
      </c>
      <c r="P48" s="94">
        <f t="shared" si="21"/>
        <v>8.0877231075836601E-4</v>
      </c>
      <c r="Q48" s="94">
        <f t="shared" si="22"/>
        <v>9.2463430989336989E-4</v>
      </c>
      <c r="R48" s="94">
        <f t="shared" si="23"/>
        <v>6.9464383883259041E-5</v>
      </c>
      <c r="S48" s="95">
        <f t="shared" si="24"/>
        <v>0</v>
      </c>
      <c r="V48" s="4">
        <v>45</v>
      </c>
      <c r="W48" s="12">
        <v>1066.6319800000001</v>
      </c>
      <c r="X48" s="106">
        <v>1024.89333333334</v>
      </c>
      <c r="Y48" s="106">
        <v>17.3862300000037</v>
      </c>
      <c r="Z48" s="106">
        <v>0</v>
      </c>
      <c r="AA48" s="106">
        <v>1024.89333333334</v>
      </c>
      <c r="AB48" s="106">
        <v>86.8875319999933</v>
      </c>
      <c r="AC48" s="13">
        <v>0</v>
      </c>
      <c r="AF48" s="4">
        <f t="shared" si="2"/>
        <v>44.5</v>
      </c>
      <c r="AG48" s="93">
        <f>W48/W$55</f>
        <v>2.6385849887412922E-3</v>
      </c>
      <c r="AH48" s="94">
        <f t="shared" si="3"/>
        <v>7.5213346477940009E-3</v>
      </c>
      <c r="AI48" s="94">
        <f t="shared" si="4"/>
        <v>2.1080508674772364E-4</v>
      </c>
      <c r="AJ48" s="94">
        <f t="shared" si="5"/>
        <v>0</v>
      </c>
      <c r="AK48" s="94">
        <f t="shared" si="6"/>
        <v>4.0621383108784955E-3</v>
      </c>
      <c r="AL48" s="94">
        <f t="shared" si="7"/>
        <v>3.955272081915616E-4</v>
      </c>
      <c r="AM48" s="95">
        <f t="shared" si="8"/>
        <v>0</v>
      </c>
    </row>
    <row r="49" spans="2:39" x14ac:dyDescent="0.2">
      <c r="B49" s="4">
        <v>46</v>
      </c>
      <c r="C49" s="12">
        <v>4805.1670000001322</v>
      </c>
      <c r="D49" s="65">
        <v>401.64459999999963</v>
      </c>
      <c r="E49" s="4">
        <v>0</v>
      </c>
      <c r="F49" s="4">
        <v>53.683473333250731</v>
      </c>
      <c r="G49" s="4">
        <v>2159.6057243333198</v>
      </c>
      <c r="H49" s="4">
        <v>490.82224566699006</v>
      </c>
      <c r="I49" s="13">
        <v>0</v>
      </c>
      <c r="L49" s="4">
        <f t="shared" si="17"/>
        <v>45.5</v>
      </c>
      <c r="M49" s="93">
        <f t="shared" si="18"/>
        <v>2.4729017298936928E-3</v>
      </c>
      <c r="N49" s="94">
        <f t="shared" si="19"/>
        <v>4.7873503222896238E-4</v>
      </c>
      <c r="O49" s="94">
        <f t="shared" si="20"/>
        <v>0</v>
      </c>
      <c r="P49" s="94">
        <f t="shared" si="21"/>
        <v>9.2449053190925672E-5</v>
      </c>
      <c r="Q49" s="94">
        <f t="shared" si="22"/>
        <v>1.4671639716799943E-3</v>
      </c>
      <c r="R49" s="94">
        <f t="shared" si="23"/>
        <v>3.9239996932435709E-4</v>
      </c>
      <c r="S49" s="95">
        <f t="shared" si="24"/>
        <v>0</v>
      </c>
      <c r="V49" s="4">
        <v>46</v>
      </c>
      <c r="W49" s="12">
        <v>899.75900000002002</v>
      </c>
      <c r="X49" s="106">
        <v>0</v>
      </c>
      <c r="Y49" s="106">
        <v>0</v>
      </c>
      <c r="Z49" s="106">
        <v>37.250416666662197</v>
      </c>
      <c r="AA49" s="106">
        <v>1459.2194909999901</v>
      </c>
      <c r="AB49" s="106">
        <v>107.036359999998</v>
      </c>
      <c r="AC49" s="13">
        <v>0</v>
      </c>
      <c r="AF49" s="4">
        <f t="shared" si="2"/>
        <v>45.5</v>
      </c>
      <c r="AG49" s="93">
        <f t="shared" ref="AG49:AG54" si="26">W49/W$55</f>
        <v>2.2257823086130691E-3</v>
      </c>
      <c r="AH49" s="94">
        <f t="shared" si="3"/>
        <v>0</v>
      </c>
      <c r="AI49" s="94">
        <f t="shared" si="4"/>
        <v>0</v>
      </c>
      <c r="AJ49" s="94">
        <f t="shared" si="5"/>
        <v>3.9527362935251435E-4</v>
      </c>
      <c r="AK49" s="94">
        <f t="shared" si="6"/>
        <v>5.7835788423884491E-3</v>
      </c>
      <c r="AL49" s="94">
        <f t="shared" si="7"/>
        <v>4.8724818936955662E-4</v>
      </c>
      <c r="AM49" s="95">
        <f t="shared" si="8"/>
        <v>0</v>
      </c>
    </row>
    <row r="50" spans="2:39" x14ac:dyDescent="0.2">
      <c r="B50" s="4">
        <v>47</v>
      </c>
      <c r="C50" s="12">
        <v>0</v>
      </c>
      <c r="D50" s="65">
        <v>0</v>
      </c>
      <c r="E50" s="4">
        <v>0</v>
      </c>
      <c r="F50" s="4">
        <v>360.82441200001631</v>
      </c>
      <c r="G50" s="4">
        <v>164.2728880001232</v>
      </c>
      <c r="H50" s="4">
        <v>49.186288666678593</v>
      </c>
      <c r="I50" s="13">
        <v>0</v>
      </c>
      <c r="L50" s="4">
        <f t="shared" si="17"/>
        <v>46.5</v>
      </c>
      <c r="M50" s="93">
        <f t="shared" si="18"/>
        <v>0</v>
      </c>
      <c r="N50" s="94">
        <f t="shared" si="19"/>
        <v>0</v>
      </c>
      <c r="O50" s="94">
        <f t="shared" si="20"/>
        <v>0</v>
      </c>
      <c r="P50" s="94">
        <f t="shared" si="21"/>
        <v>6.2138071898773029E-4</v>
      </c>
      <c r="Q50" s="94">
        <f t="shared" si="22"/>
        <v>1.1160151136939878E-4</v>
      </c>
      <c r="R50" s="94">
        <f t="shared" si="23"/>
        <v>3.9323193547911574E-5</v>
      </c>
      <c r="S50" s="95">
        <f t="shared" si="24"/>
        <v>0</v>
      </c>
      <c r="V50" s="4">
        <v>47</v>
      </c>
      <c r="W50" s="12">
        <v>0</v>
      </c>
      <c r="X50" s="106">
        <v>0</v>
      </c>
      <c r="Y50" s="106">
        <v>0</v>
      </c>
      <c r="Z50" s="106">
        <v>356.452066666664</v>
      </c>
      <c r="AA50" s="106">
        <v>52.214826666691799</v>
      </c>
      <c r="AB50" s="106">
        <v>49.1862886666785</v>
      </c>
      <c r="AC50" s="13">
        <v>0</v>
      </c>
      <c r="AF50" s="4">
        <f t="shared" si="2"/>
        <v>46.5</v>
      </c>
      <c r="AG50" s="93">
        <f t="shared" si="26"/>
        <v>0</v>
      </c>
      <c r="AH50" s="94">
        <f t="shared" si="3"/>
        <v>0</v>
      </c>
      <c r="AI50" s="94">
        <f t="shared" si="4"/>
        <v>0</v>
      </c>
      <c r="AJ50" s="94">
        <f t="shared" si="5"/>
        <v>3.7824033847018335E-3</v>
      </c>
      <c r="AK50" s="94">
        <f t="shared" si="6"/>
        <v>2.0695211969894181E-4</v>
      </c>
      <c r="AL50" s="94">
        <f t="shared" si="7"/>
        <v>2.239045693878967E-4</v>
      </c>
      <c r="AM50" s="95">
        <f t="shared" si="8"/>
        <v>0</v>
      </c>
    </row>
    <row r="51" spans="2:39" x14ac:dyDescent="0.2">
      <c r="B51" s="4">
        <v>48</v>
      </c>
      <c r="C51" s="12">
        <v>357.54718566662632</v>
      </c>
      <c r="D51" s="65">
        <v>0</v>
      </c>
      <c r="E51" s="4">
        <v>0</v>
      </c>
      <c r="F51" s="4">
        <v>384.42255666665733</v>
      </c>
      <c r="G51" s="4">
        <v>111.591625333298</v>
      </c>
      <c r="H51" s="4">
        <v>447.15029666689225</v>
      </c>
      <c r="I51" s="13">
        <v>0</v>
      </c>
      <c r="L51" s="4">
        <f t="shared" si="17"/>
        <v>47.5</v>
      </c>
      <c r="M51" s="93">
        <f t="shared" si="18"/>
        <v>1.8400589489472421E-4</v>
      </c>
      <c r="N51" s="94">
        <f t="shared" si="19"/>
        <v>0</v>
      </c>
      <c r="O51" s="94">
        <f t="shared" si="20"/>
        <v>0</v>
      </c>
      <c r="P51" s="94">
        <f t="shared" si="21"/>
        <v>6.6201941086130897E-4</v>
      </c>
      <c r="Q51" s="94">
        <f t="shared" si="22"/>
        <v>7.5811621716630458E-5</v>
      </c>
      <c r="R51" s="94">
        <f t="shared" si="23"/>
        <v>3.5748535084636704E-4</v>
      </c>
      <c r="S51" s="95">
        <f t="shared" si="24"/>
        <v>0</v>
      </c>
      <c r="V51" s="4">
        <v>48</v>
      </c>
      <c r="W51" s="12">
        <v>340.86954666668299</v>
      </c>
      <c r="X51" s="106">
        <v>0</v>
      </c>
      <c r="Y51" s="106">
        <v>0</v>
      </c>
      <c r="Z51" s="106">
        <v>26.167186666672901</v>
      </c>
      <c r="AA51" s="106">
        <v>59.318778666667598</v>
      </c>
      <c r="AB51" s="106">
        <v>215.261563333304</v>
      </c>
      <c r="AC51" s="13">
        <v>0</v>
      </c>
      <c r="AF51" s="4">
        <f t="shared" si="2"/>
        <v>47.5</v>
      </c>
      <c r="AG51" s="93">
        <f t="shared" si="26"/>
        <v>8.4322736034387323E-4</v>
      </c>
      <c r="AH51" s="94">
        <f t="shared" si="3"/>
        <v>0</v>
      </c>
      <c r="AI51" s="94">
        <f t="shared" si="4"/>
        <v>0</v>
      </c>
      <c r="AJ51" s="94">
        <f t="shared" si="5"/>
        <v>2.7766666172454699E-4</v>
      </c>
      <c r="AK51" s="94">
        <f t="shared" si="6"/>
        <v>2.3510845035228792E-4</v>
      </c>
      <c r="AL51" s="94">
        <f t="shared" si="7"/>
        <v>9.7990820105443117E-4</v>
      </c>
      <c r="AM51" s="95">
        <f t="shared" si="8"/>
        <v>0</v>
      </c>
    </row>
    <row r="52" spans="2:39" x14ac:dyDescent="0.2">
      <c r="B52" s="4">
        <v>49</v>
      </c>
      <c r="C52" s="12">
        <v>481.54733500001021</v>
      </c>
      <c r="D52" s="65">
        <v>0</v>
      </c>
      <c r="E52" s="4">
        <v>90.979969999985769</v>
      </c>
      <c r="F52" s="4">
        <v>29.626773333293386</v>
      </c>
      <c r="G52" s="4">
        <v>1183.8123166668229</v>
      </c>
      <c r="H52" s="4">
        <v>144.71140633360483</v>
      </c>
      <c r="I52" s="13">
        <v>0</v>
      </c>
      <c r="L52" s="4">
        <f t="shared" si="17"/>
        <v>48.5</v>
      </c>
      <c r="M52" s="93">
        <f t="shared" si="18"/>
        <v>2.4782057267670201E-4</v>
      </c>
      <c r="N52" s="94">
        <f t="shared" si="19"/>
        <v>0</v>
      </c>
      <c r="O52" s="94">
        <f t="shared" si="20"/>
        <v>1.7528058696134809E-4</v>
      </c>
      <c r="P52" s="94">
        <f t="shared" si="21"/>
        <v>5.1020676824736369E-5</v>
      </c>
      <c r="Q52" s="94">
        <f t="shared" si="22"/>
        <v>8.0424253403049467E-4</v>
      </c>
      <c r="R52" s="94">
        <f t="shared" si="23"/>
        <v>1.1569310867119512E-4</v>
      </c>
      <c r="S52" s="95">
        <f t="shared" si="24"/>
        <v>0</v>
      </c>
      <c r="V52" s="4">
        <v>49</v>
      </c>
      <c r="W52" s="12">
        <v>107.266234999988</v>
      </c>
      <c r="X52" s="106">
        <v>0</v>
      </c>
      <c r="Y52" s="106">
        <v>16.678803333328599</v>
      </c>
      <c r="Z52" s="106">
        <v>0</v>
      </c>
      <c r="AA52" s="106">
        <v>413.23217666667102</v>
      </c>
      <c r="AB52" s="106">
        <v>140.36880333331601</v>
      </c>
      <c r="AC52" s="13">
        <v>0</v>
      </c>
      <c r="AF52" s="4">
        <f t="shared" si="2"/>
        <v>48.5</v>
      </c>
      <c r="AG52" s="93">
        <f t="shared" si="26"/>
        <v>2.6535026398680087E-4</v>
      </c>
      <c r="AH52" s="94">
        <f t="shared" si="3"/>
        <v>0</v>
      </c>
      <c r="AI52" s="94">
        <f t="shared" si="4"/>
        <v>2.0222765852803104E-4</v>
      </c>
      <c r="AJ52" s="94">
        <f t="shared" si="5"/>
        <v>0</v>
      </c>
      <c r="AK52" s="94">
        <f t="shared" si="6"/>
        <v>1.6378350814966604E-3</v>
      </c>
      <c r="AL52" s="94">
        <f t="shared" si="7"/>
        <v>6.3898328818478959E-4</v>
      </c>
      <c r="AM52" s="95">
        <f t="shared" si="8"/>
        <v>0</v>
      </c>
    </row>
    <row r="53" spans="2:39" x14ac:dyDescent="0.2">
      <c r="B53" s="4">
        <v>50</v>
      </c>
      <c r="C53" s="12">
        <v>0</v>
      </c>
      <c r="D53" s="65">
        <v>19.338736666715704</v>
      </c>
      <c r="E53" s="4">
        <v>25.955806666694116</v>
      </c>
      <c r="F53" s="4">
        <v>175.52363333338872</v>
      </c>
      <c r="G53" s="4">
        <v>0</v>
      </c>
      <c r="H53" s="4">
        <v>525.05128333321773</v>
      </c>
      <c r="I53" s="13">
        <v>0</v>
      </c>
      <c r="L53" s="4">
        <f t="shared" si="17"/>
        <v>49.5</v>
      </c>
      <c r="M53" s="93">
        <f t="shared" si="18"/>
        <v>0</v>
      </c>
      <c r="N53" s="94">
        <f t="shared" si="19"/>
        <v>2.3050554448902258E-5</v>
      </c>
      <c r="O53" s="94">
        <f t="shared" si="20"/>
        <v>5.0006051085685434E-5</v>
      </c>
      <c r="P53" s="94">
        <f t="shared" si="21"/>
        <v>3.0227168077539857E-4</v>
      </c>
      <c r="Q53" s="94">
        <f t="shared" si="22"/>
        <v>0</v>
      </c>
      <c r="R53" s="94">
        <f t="shared" si="23"/>
        <v>4.1976521906355267E-4</v>
      </c>
      <c r="S53" s="95">
        <f t="shared" si="24"/>
        <v>0</v>
      </c>
      <c r="V53" s="4">
        <v>50</v>
      </c>
      <c r="W53" s="12">
        <v>0</v>
      </c>
      <c r="X53" s="106">
        <v>19.3387366666574</v>
      </c>
      <c r="Y53" s="106">
        <v>25.955806666665001</v>
      </c>
      <c r="Z53" s="106">
        <v>0</v>
      </c>
      <c r="AA53" s="106">
        <v>0</v>
      </c>
      <c r="AB53" s="106">
        <v>0</v>
      </c>
      <c r="AC53" s="13">
        <v>0</v>
      </c>
      <c r="AF53" s="4">
        <f t="shared" si="2"/>
        <v>49.5</v>
      </c>
      <c r="AG53" s="93">
        <f t="shared" si="26"/>
        <v>0</v>
      </c>
      <c r="AH53" s="94">
        <f t="shared" si="3"/>
        <v>1.4192024223869831E-4</v>
      </c>
      <c r="AI53" s="94">
        <f t="shared" si="4"/>
        <v>3.1470974880536465E-4</v>
      </c>
      <c r="AJ53" s="94">
        <f t="shared" si="5"/>
        <v>0</v>
      </c>
      <c r="AK53" s="94">
        <f t="shared" si="6"/>
        <v>0</v>
      </c>
      <c r="AL53" s="94">
        <f t="shared" si="7"/>
        <v>0</v>
      </c>
      <c r="AM53" s="95">
        <f t="shared" si="8"/>
        <v>0</v>
      </c>
    </row>
    <row r="54" spans="2:39" x14ac:dyDescent="0.2">
      <c r="B54" s="4">
        <v>51</v>
      </c>
      <c r="C54" s="14">
        <v>214.01776000019163</v>
      </c>
      <c r="D54" s="87">
        <v>0</v>
      </c>
      <c r="E54" s="88">
        <v>393.82306666666409</v>
      </c>
      <c r="F54" s="88">
        <v>0</v>
      </c>
      <c r="G54" s="88">
        <v>2249.2737000002526</v>
      </c>
      <c r="H54" s="88">
        <v>362.56238000001758</v>
      </c>
      <c r="I54" s="15">
        <v>0</v>
      </c>
      <c r="L54" s="4">
        <f t="shared" si="17"/>
        <v>50.5</v>
      </c>
      <c r="M54" s="96">
        <f t="shared" si="18"/>
        <v>1.1014078988980664E-4</v>
      </c>
      <c r="N54" s="97">
        <f t="shared" si="19"/>
        <v>0</v>
      </c>
      <c r="O54" s="97">
        <f t="shared" si="20"/>
        <v>7.5873335948848741E-4</v>
      </c>
      <c r="P54" s="97">
        <f t="shared" si="21"/>
        <v>0</v>
      </c>
      <c r="Q54" s="97">
        <f t="shared" si="22"/>
        <v>1.5280813983332389E-3</v>
      </c>
      <c r="R54" s="97">
        <f t="shared" si="23"/>
        <v>2.8985945124968698E-4</v>
      </c>
      <c r="S54" s="98">
        <f t="shared" si="24"/>
        <v>0</v>
      </c>
      <c r="V54" s="4">
        <v>51</v>
      </c>
      <c r="W54" s="14">
        <v>0</v>
      </c>
      <c r="X54" s="88">
        <v>0</v>
      </c>
      <c r="Y54" s="88">
        <v>221.91909999999899</v>
      </c>
      <c r="Z54" s="88">
        <v>0</v>
      </c>
      <c r="AA54" s="88">
        <v>0</v>
      </c>
      <c r="AB54" s="88">
        <v>0</v>
      </c>
      <c r="AC54" s="15">
        <v>0</v>
      </c>
      <c r="AF54" s="4">
        <f t="shared" si="2"/>
        <v>50.5</v>
      </c>
      <c r="AG54" s="96">
        <f t="shared" si="26"/>
        <v>0</v>
      </c>
      <c r="AH54" s="97">
        <f t="shared" si="3"/>
        <v>0</v>
      </c>
      <c r="AI54" s="97">
        <f t="shared" si="4"/>
        <v>2.6907314079283773E-3</v>
      </c>
      <c r="AJ54" s="97">
        <f t="shared" si="5"/>
        <v>0</v>
      </c>
      <c r="AK54" s="97">
        <f t="shared" si="6"/>
        <v>0</v>
      </c>
      <c r="AL54" s="97">
        <f t="shared" si="7"/>
        <v>0</v>
      </c>
      <c r="AM54" s="98">
        <f t="shared" si="8"/>
        <v>0</v>
      </c>
    </row>
    <row r="55" spans="2:39" x14ac:dyDescent="0.2">
      <c r="C55" s="85">
        <f>SUM(C4:C54)</f>
        <v>1943128.9735102821</v>
      </c>
      <c r="D55" s="85">
        <f t="shared" ref="D55:I55" si="27">SUM(D4:D54)</f>
        <v>838970.56400900055</v>
      </c>
      <c r="E55" s="85">
        <f t="shared" si="27"/>
        <v>519053.31661199976</v>
      </c>
      <c r="F55" s="85">
        <f t="shared" si="27"/>
        <v>580681.69959927758</v>
      </c>
      <c r="G55" s="85">
        <f t="shared" si="27"/>
        <v>1471959.3487975555</v>
      </c>
      <c r="H55" s="85">
        <f t="shared" si="27"/>
        <v>1250821.3150783335</v>
      </c>
      <c r="I55" s="85">
        <f t="shared" si="27"/>
        <v>171729.31038416672</v>
      </c>
      <c r="M55" s="10">
        <f>SUM(M4:M54)</f>
        <v>1.0000000000000004</v>
      </c>
      <c r="N55" s="10">
        <f t="shared" ref="N55:S55" si="28">SUM(N4:N54)</f>
        <v>1</v>
      </c>
      <c r="O55" s="10">
        <f t="shared" si="28"/>
        <v>1</v>
      </c>
      <c r="P55" s="10">
        <f t="shared" si="28"/>
        <v>0.99999999999999989</v>
      </c>
      <c r="Q55" s="10">
        <f t="shared" si="28"/>
        <v>0.99999999999999944</v>
      </c>
      <c r="R55" s="10">
        <f t="shared" si="28"/>
        <v>1</v>
      </c>
      <c r="S55" s="10">
        <f t="shared" si="28"/>
        <v>0.99999999999999989</v>
      </c>
      <c r="W55" s="4">
        <f>SUM(W4:W54)</f>
        <v>404243.93549999886</v>
      </c>
      <c r="X55" s="4">
        <f t="shared" ref="X55:AC55" si="29">SUM(X4:X54)</f>
        <v>136264.82284416637</v>
      </c>
      <c r="Y55" s="4">
        <f t="shared" si="29"/>
        <v>82475.381729333167</v>
      </c>
      <c r="Z55" s="4">
        <f t="shared" si="29"/>
        <v>94239.569504499872</v>
      </c>
      <c r="AA55" s="4">
        <f t="shared" si="29"/>
        <v>252303.89880833286</v>
      </c>
      <c r="AB55" s="4">
        <f t="shared" si="29"/>
        <v>219675.23396749981</v>
      </c>
      <c r="AC55" s="4">
        <f t="shared" si="29"/>
        <v>32008.973063999954</v>
      </c>
    </row>
    <row r="57" spans="2:39" x14ac:dyDescent="0.2">
      <c r="C57" s="6" t="s">
        <v>102</v>
      </c>
      <c r="W57" s="6" t="s">
        <v>105</v>
      </c>
    </row>
    <row r="58" spans="2:39" x14ac:dyDescent="0.2">
      <c r="C58" s="4" t="s">
        <v>67</v>
      </c>
      <c r="D58" s="4" t="s">
        <v>68</v>
      </c>
      <c r="W58" s="104" t="s">
        <v>104</v>
      </c>
    </row>
    <row r="59" spans="2:39" x14ac:dyDescent="0.2">
      <c r="C59" s="11" t="s">
        <v>61</v>
      </c>
      <c r="D59" s="86">
        <v>4.5277015639864233</v>
      </c>
      <c r="W59" s="4" t="s">
        <v>67</v>
      </c>
      <c r="X59" s="4" t="s">
        <v>68</v>
      </c>
    </row>
    <row r="60" spans="2:39" x14ac:dyDescent="0.2">
      <c r="C60" s="12" t="s">
        <v>62</v>
      </c>
      <c r="D60" s="13">
        <v>4.5403223944540603</v>
      </c>
      <c r="W60" s="11" t="s">
        <v>61</v>
      </c>
      <c r="X60" s="86">
        <v>4.5484287798730598</v>
      </c>
    </row>
    <row r="61" spans="2:39" x14ac:dyDescent="0.2">
      <c r="C61" s="12" t="s">
        <v>63</v>
      </c>
      <c r="D61" s="13">
        <v>6.0311092544758598</v>
      </c>
      <c r="W61" s="12" t="s">
        <v>62</v>
      </c>
      <c r="X61" s="13">
        <v>6.5320388592461001</v>
      </c>
    </row>
    <row r="62" spans="2:39" x14ac:dyDescent="0.2">
      <c r="C62" s="12" t="s">
        <v>64</v>
      </c>
      <c r="D62" s="13">
        <v>4.6562404495800243</v>
      </c>
      <c r="W62" s="12" t="s">
        <v>63</v>
      </c>
      <c r="X62" s="13">
        <v>10.332287085890499</v>
      </c>
    </row>
    <row r="63" spans="2:39" x14ac:dyDescent="0.2">
      <c r="C63" s="12" t="s">
        <v>65</v>
      </c>
      <c r="D63" s="13">
        <v>4.5629193518272348</v>
      </c>
      <c r="W63" s="12" t="s">
        <v>64</v>
      </c>
      <c r="X63" s="13">
        <v>6.8110051289679596</v>
      </c>
    </row>
    <row r="64" spans="2:39" x14ac:dyDescent="0.2">
      <c r="C64" s="12" t="s">
        <v>66</v>
      </c>
      <c r="D64" s="13">
        <v>5.4575023801434135</v>
      </c>
      <c r="W64" s="12" t="s">
        <v>65</v>
      </c>
      <c r="X64" s="13">
        <v>6.1088991047946202</v>
      </c>
    </row>
    <row r="65" spans="3:24" x14ac:dyDescent="0.2">
      <c r="C65" s="14" t="s">
        <v>54</v>
      </c>
      <c r="D65" s="15">
        <v>1.9229022598657155</v>
      </c>
      <c r="W65" s="12" t="s">
        <v>66</v>
      </c>
      <c r="X65" s="13">
        <v>6.6131706885177897</v>
      </c>
    </row>
    <row r="66" spans="3:24" x14ac:dyDescent="0.2">
      <c r="W66" s="14" t="s">
        <v>54</v>
      </c>
      <c r="X66" s="15">
        <v>2.8797484020625301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9</vt:i4>
      </vt:variant>
    </vt:vector>
  </HeadingPairs>
  <TitlesOfParts>
    <vt:vector size="12" baseType="lpstr">
      <vt:lpstr>calibration</vt:lpstr>
      <vt:lpstr>modeldata</vt:lpstr>
      <vt:lpstr>BATS 2023 TLFD</vt:lpstr>
      <vt:lpstr>damp_atwork</vt:lpstr>
      <vt:lpstr>damp_disc</vt:lpstr>
      <vt:lpstr>damp_discr</vt:lpstr>
      <vt:lpstr>damp_eatout</vt:lpstr>
      <vt:lpstr>damp_escort</vt:lpstr>
      <vt:lpstr>damp_maint</vt:lpstr>
      <vt:lpstr>damp_shopping</vt:lpstr>
      <vt:lpstr>damp_social</vt:lpstr>
      <vt:lpstr>damp_work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Zorn</dc:creator>
  <cp:lastModifiedBy>Melody Tsao</cp:lastModifiedBy>
  <dcterms:created xsi:type="dcterms:W3CDTF">2020-01-24T00:50:18Z</dcterms:created>
  <dcterms:modified xsi:type="dcterms:W3CDTF">2026-07-02T23:02:06Z</dcterms:modified>
</cp:coreProperties>
</file>