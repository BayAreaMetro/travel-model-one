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travel-model-one-tm1.7_calibration\utilities\calibration\workbook_templates\"/>
    </mc:Choice>
  </mc:AlternateContent>
  <xr:revisionPtr revIDLastSave="0" documentId="13_ncr:1_{C7F938C4-3B9E-4E4A-886A-5E188BD9B0E8}" xr6:coauthVersionLast="47" xr6:coauthVersionMax="47" xr10:uidLastSave="{00000000-0000-0000-0000-000000000000}"/>
  <bookViews>
    <workbookView xWindow="-120" yWindow="-120" windowWidth="38640" windowHeight="15720" activeTab="2" xr2:uid="{5C8C7C74-C97C-46D7-9136-B3815B73AB4F}"/>
  </bookViews>
  <sheets>
    <sheet name="calibration" sheetId="4" r:id="rId1"/>
    <sheet name="modeldata" sheetId="3" r:id="rId2"/>
    <sheet name="BATS 2023 TLFD" sheetId="1" r:id="rId3"/>
  </sheets>
  <externalReferences>
    <externalReference r:id="rId4"/>
  </externalReferences>
  <definedNames>
    <definedName name="damp">#REF!</definedName>
    <definedName name="damp_atwork">calibration!$BX$1</definedName>
    <definedName name="damp_disc">calibration!$BL$1</definedName>
    <definedName name="damp_discr">calibration!$BL$1</definedName>
    <definedName name="damp_eatout">calibration!$AN$1</definedName>
    <definedName name="damp_escort">calibration!$D$1</definedName>
    <definedName name="damp_maint">calibration!$AB$1</definedName>
    <definedName name="damp_shopping">calibration!$P$1</definedName>
    <definedName name="damp_social">calibration!$AZ$1</definedName>
    <definedName name="damp_work">calibration!$D$1</definedName>
    <definedName name="damp4">#REF!</definedName>
    <definedName name="damp5">#REF!</definedName>
    <definedName name="damp6">#REF!</definedName>
    <definedName name="damp7">#REF!</definedName>
    <definedName name="damp8">#REF!</definedName>
    <definedName name="damp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5" i="1" l="1"/>
  <c r="BG54" i="1" s="1"/>
  <c r="AV55" i="1"/>
  <c r="AU55" i="1"/>
  <c r="BE51" i="1" s="1"/>
  <c r="AT55" i="1"/>
  <c r="BD31" i="1" s="1"/>
  <c r="AS55" i="1"/>
  <c r="BC50" i="1" s="1"/>
  <c r="AR55" i="1"/>
  <c r="AQ55" i="1"/>
  <c r="BA54" i="1" s="1"/>
  <c r="BF54" i="1"/>
  <c r="BE54" i="1"/>
  <c r="BD54" i="1"/>
  <c r="BC54" i="1"/>
  <c r="AZ54" i="1"/>
  <c r="BG53" i="1"/>
  <c r="BF53" i="1"/>
  <c r="BE53" i="1"/>
  <c r="BD53" i="1"/>
  <c r="BC53" i="1"/>
  <c r="BB53" i="1"/>
  <c r="BA53" i="1"/>
  <c r="AZ53" i="1"/>
  <c r="BG52" i="1"/>
  <c r="BF52" i="1"/>
  <c r="BE52" i="1"/>
  <c r="BD52" i="1"/>
  <c r="BC52" i="1"/>
  <c r="BA52" i="1"/>
  <c r="AZ52" i="1"/>
  <c r="BG51" i="1"/>
  <c r="BF51" i="1"/>
  <c r="AZ51" i="1"/>
  <c r="BG50" i="1"/>
  <c r="BF50" i="1"/>
  <c r="BE50" i="1"/>
  <c r="BD50" i="1"/>
  <c r="AZ50" i="1"/>
  <c r="BG49" i="1"/>
  <c r="BF49" i="1"/>
  <c r="BE49" i="1"/>
  <c r="BD49" i="1"/>
  <c r="BC49" i="1"/>
  <c r="BB49" i="1"/>
  <c r="AZ49" i="1"/>
  <c r="BG48" i="1"/>
  <c r="BF48" i="1"/>
  <c r="BE48" i="1"/>
  <c r="BD48" i="1"/>
  <c r="BC48" i="1"/>
  <c r="BB48" i="1"/>
  <c r="BA48" i="1"/>
  <c r="AZ48" i="1"/>
  <c r="BG47" i="1"/>
  <c r="BF47" i="1"/>
  <c r="BE47" i="1"/>
  <c r="BD47" i="1"/>
  <c r="BC47" i="1"/>
  <c r="BA47" i="1"/>
  <c r="AZ47" i="1"/>
  <c r="BG46" i="1"/>
  <c r="BF46" i="1"/>
  <c r="BA46" i="1"/>
  <c r="AZ46" i="1"/>
  <c r="BG45" i="1"/>
  <c r="BF45" i="1"/>
  <c r="BE45" i="1"/>
  <c r="BD45" i="1"/>
  <c r="AZ45" i="1"/>
  <c r="BG44" i="1"/>
  <c r="BF44" i="1"/>
  <c r="BE44" i="1"/>
  <c r="BD44" i="1"/>
  <c r="BC44" i="1"/>
  <c r="BB44" i="1"/>
  <c r="AZ44" i="1"/>
  <c r="BG43" i="1"/>
  <c r="BF43" i="1"/>
  <c r="BE43" i="1"/>
  <c r="BD43" i="1"/>
  <c r="BC43" i="1"/>
  <c r="BB43" i="1"/>
  <c r="BA43" i="1"/>
  <c r="AZ43" i="1"/>
  <c r="BG42" i="1"/>
  <c r="BF42" i="1"/>
  <c r="BE42" i="1"/>
  <c r="BD42" i="1"/>
  <c r="BC42" i="1"/>
  <c r="BA42" i="1"/>
  <c r="AZ42" i="1"/>
  <c r="BG41" i="1"/>
  <c r="BF41" i="1"/>
  <c r="BA41" i="1"/>
  <c r="AZ41" i="1"/>
  <c r="BG40" i="1"/>
  <c r="BF40" i="1"/>
  <c r="BE40" i="1"/>
  <c r="BD40" i="1"/>
  <c r="AZ40" i="1"/>
  <c r="BG39" i="1"/>
  <c r="BF39" i="1"/>
  <c r="BE39" i="1"/>
  <c r="BD39" i="1"/>
  <c r="BC39" i="1"/>
  <c r="BB39" i="1"/>
  <c r="AZ39" i="1"/>
  <c r="BG38" i="1"/>
  <c r="BF38" i="1"/>
  <c r="BE38" i="1"/>
  <c r="BD38" i="1"/>
  <c r="BC38" i="1"/>
  <c r="BB38" i="1"/>
  <c r="BA38" i="1"/>
  <c r="AZ38" i="1"/>
  <c r="BG37" i="1"/>
  <c r="BF37" i="1"/>
  <c r="BE37" i="1"/>
  <c r="BD37" i="1"/>
  <c r="BC37" i="1"/>
  <c r="BA37" i="1"/>
  <c r="AZ37" i="1"/>
  <c r="BG36" i="1"/>
  <c r="BF36" i="1"/>
  <c r="BA36" i="1"/>
  <c r="AZ36" i="1"/>
  <c r="BG35" i="1"/>
  <c r="BF35" i="1"/>
  <c r="BE35" i="1"/>
  <c r="BD35" i="1"/>
  <c r="AZ35" i="1"/>
  <c r="BG34" i="1"/>
  <c r="BF34" i="1"/>
  <c r="BE34" i="1"/>
  <c r="BD34" i="1"/>
  <c r="BC34" i="1"/>
  <c r="BB34" i="1"/>
  <c r="AZ34" i="1"/>
  <c r="BG33" i="1"/>
  <c r="BF33" i="1"/>
  <c r="BE33" i="1"/>
  <c r="BD33" i="1"/>
  <c r="BC33" i="1"/>
  <c r="BB33" i="1"/>
  <c r="BA33" i="1"/>
  <c r="AZ33" i="1"/>
  <c r="BG32" i="1"/>
  <c r="BF32" i="1"/>
  <c r="BE32" i="1"/>
  <c r="BD32" i="1"/>
  <c r="BC32" i="1"/>
  <c r="BB32" i="1"/>
  <c r="BA32" i="1"/>
  <c r="AZ32" i="1"/>
  <c r="BG31" i="1"/>
  <c r="BF31" i="1"/>
  <c r="BA31" i="1"/>
  <c r="AZ31" i="1"/>
  <c r="BG30" i="1"/>
  <c r="BF30" i="1"/>
  <c r="BE30" i="1"/>
  <c r="BD30" i="1"/>
  <c r="AZ30" i="1"/>
  <c r="BG29" i="1"/>
  <c r="BF29" i="1"/>
  <c r="BE29" i="1"/>
  <c r="BD29" i="1"/>
  <c r="BC29" i="1"/>
  <c r="BB29" i="1"/>
  <c r="AZ29" i="1"/>
  <c r="BG28" i="1"/>
  <c r="BF28" i="1"/>
  <c r="BE28" i="1"/>
  <c r="BD28" i="1"/>
  <c r="BC28" i="1"/>
  <c r="BB28" i="1"/>
  <c r="BA28" i="1"/>
  <c r="AZ28" i="1"/>
  <c r="BG27" i="1"/>
  <c r="BF27" i="1"/>
  <c r="BE27" i="1"/>
  <c r="BD27" i="1"/>
  <c r="BC27" i="1"/>
  <c r="BB27" i="1"/>
  <c r="BA27" i="1"/>
  <c r="AZ27" i="1"/>
  <c r="BG26" i="1"/>
  <c r="BF26" i="1"/>
  <c r="BA26" i="1"/>
  <c r="AZ26" i="1"/>
  <c r="BG25" i="1"/>
  <c r="BF25" i="1"/>
  <c r="BE25" i="1"/>
  <c r="BD25" i="1"/>
  <c r="AZ25" i="1"/>
  <c r="BG24" i="1"/>
  <c r="BF24" i="1"/>
  <c r="BE24" i="1"/>
  <c r="BD24" i="1"/>
  <c r="BC24" i="1"/>
  <c r="BB24" i="1"/>
  <c r="AZ24" i="1"/>
  <c r="BG23" i="1"/>
  <c r="BF23" i="1"/>
  <c r="BE23" i="1"/>
  <c r="BD23" i="1"/>
  <c r="BC23" i="1"/>
  <c r="BB23" i="1"/>
  <c r="BA23" i="1"/>
  <c r="AZ23" i="1"/>
  <c r="BG22" i="1"/>
  <c r="BF22" i="1"/>
  <c r="BE22" i="1"/>
  <c r="BD22" i="1"/>
  <c r="BC22" i="1"/>
  <c r="BB22" i="1"/>
  <c r="BA22" i="1"/>
  <c r="AZ22" i="1"/>
  <c r="BG21" i="1"/>
  <c r="BF21" i="1"/>
  <c r="BA21" i="1"/>
  <c r="AZ21" i="1"/>
  <c r="BG20" i="1"/>
  <c r="BF20" i="1"/>
  <c r="BE20" i="1"/>
  <c r="BD20" i="1"/>
  <c r="AZ20" i="1"/>
  <c r="BG19" i="1"/>
  <c r="BF19" i="1"/>
  <c r="BE19" i="1"/>
  <c r="BD19" i="1"/>
  <c r="BC19" i="1"/>
  <c r="BB19" i="1"/>
  <c r="AZ19" i="1"/>
  <c r="BG18" i="1"/>
  <c r="BF18" i="1"/>
  <c r="BE18" i="1"/>
  <c r="BD18" i="1"/>
  <c r="BC18" i="1"/>
  <c r="BB18" i="1"/>
  <c r="BA18" i="1"/>
  <c r="AZ18" i="1"/>
  <c r="BG17" i="1"/>
  <c r="BF17" i="1"/>
  <c r="BE17" i="1"/>
  <c r="BD17" i="1"/>
  <c r="BC17" i="1"/>
  <c r="BB17" i="1"/>
  <c r="BA17" i="1"/>
  <c r="AZ17" i="1"/>
  <c r="BG16" i="1"/>
  <c r="BF16" i="1"/>
  <c r="BA16" i="1"/>
  <c r="AZ16" i="1"/>
  <c r="BG15" i="1"/>
  <c r="BF15" i="1"/>
  <c r="BE15" i="1"/>
  <c r="BD15" i="1"/>
  <c r="AZ15" i="1"/>
  <c r="BG14" i="1"/>
  <c r="BF14" i="1"/>
  <c r="BE14" i="1"/>
  <c r="BD14" i="1"/>
  <c r="BC14" i="1"/>
  <c r="BB14" i="1"/>
  <c r="AZ14" i="1"/>
  <c r="BG13" i="1"/>
  <c r="BF13" i="1"/>
  <c r="BE13" i="1"/>
  <c r="BD13" i="1"/>
  <c r="BC13" i="1"/>
  <c r="BB13" i="1"/>
  <c r="BA13" i="1"/>
  <c r="AZ13" i="1"/>
  <c r="BG12" i="1"/>
  <c r="BF12" i="1"/>
  <c r="BE12" i="1"/>
  <c r="BD12" i="1"/>
  <c r="BC12" i="1"/>
  <c r="BB12" i="1"/>
  <c r="BA12" i="1"/>
  <c r="AZ12" i="1"/>
  <c r="BG11" i="1"/>
  <c r="BF11" i="1"/>
  <c r="BA11" i="1"/>
  <c r="AZ11" i="1"/>
  <c r="BG10" i="1"/>
  <c r="BF10" i="1"/>
  <c r="BE10" i="1"/>
  <c r="BD10" i="1"/>
  <c r="AZ10" i="1"/>
  <c r="BG9" i="1"/>
  <c r="BF9" i="1"/>
  <c r="BE9" i="1"/>
  <c r="BD9" i="1"/>
  <c r="BC9" i="1"/>
  <c r="BB9" i="1"/>
  <c r="AZ9" i="1"/>
  <c r="BG8" i="1"/>
  <c r="BF8" i="1"/>
  <c r="BE8" i="1"/>
  <c r="BD8" i="1"/>
  <c r="BC8" i="1"/>
  <c r="BB8" i="1"/>
  <c r="BA8" i="1"/>
  <c r="AZ8" i="1"/>
  <c r="BG7" i="1"/>
  <c r="BF7" i="1"/>
  <c r="BE7" i="1"/>
  <c r="BD7" i="1"/>
  <c r="BC7" i="1"/>
  <c r="BB7" i="1"/>
  <c r="BA7" i="1"/>
  <c r="AZ7" i="1"/>
  <c r="BG6" i="1"/>
  <c r="BF6" i="1"/>
  <c r="BA6" i="1"/>
  <c r="AZ6" i="1"/>
  <c r="BG5" i="1"/>
  <c r="BF5" i="1"/>
  <c r="BE5" i="1"/>
  <c r="BD5" i="1"/>
  <c r="AZ5" i="1"/>
  <c r="BG4" i="1"/>
  <c r="BF4" i="1"/>
  <c r="BE4" i="1"/>
  <c r="BD4" i="1"/>
  <c r="BC4" i="1"/>
  <c r="BB4" i="1"/>
  <c r="AZ4" i="1"/>
  <c r="X55" i="1"/>
  <c r="AH45" i="1" s="1"/>
  <c r="Y55" i="1"/>
  <c r="AI53" i="1" s="1"/>
  <c r="Z55" i="1"/>
  <c r="AJ54" i="1" s="1"/>
  <c r="AA55" i="1"/>
  <c r="AK30" i="1" s="1"/>
  <c r="AB55" i="1"/>
  <c r="AL50" i="1" s="1"/>
  <c r="AC55" i="1"/>
  <c r="AM41" i="1" s="1"/>
  <c r="W55" i="1"/>
  <c r="AG47" i="1" s="1"/>
  <c r="AH54" i="1"/>
  <c r="AF54" i="1"/>
  <c r="AF53" i="1"/>
  <c r="AF52" i="1"/>
  <c r="AF51" i="1"/>
  <c r="AI50" i="1"/>
  <c r="AF50" i="1"/>
  <c r="AH49" i="1"/>
  <c r="AF49" i="1"/>
  <c r="AF48" i="1"/>
  <c r="AF47" i="1"/>
  <c r="AF46" i="1"/>
  <c r="AF45" i="1"/>
  <c r="AF44" i="1"/>
  <c r="AF43" i="1"/>
  <c r="AF42" i="1"/>
  <c r="AH41" i="1"/>
  <c r="AF41" i="1"/>
  <c r="AF40" i="1"/>
  <c r="AF39" i="1"/>
  <c r="AI38" i="1"/>
  <c r="AH38" i="1"/>
  <c r="AF38" i="1"/>
  <c r="AF37" i="1"/>
  <c r="AF36" i="1"/>
  <c r="AF35" i="1"/>
  <c r="AF34" i="1"/>
  <c r="AF33" i="1"/>
  <c r="AJ32" i="1"/>
  <c r="AF32" i="1"/>
  <c r="AF31" i="1"/>
  <c r="AH30" i="1"/>
  <c r="AF30" i="1"/>
  <c r="AF29" i="1"/>
  <c r="AF28" i="1"/>
  <c r="AF27" i="1"/>
  <c r="AH26" i="1"/>
  <c r="AF26" i="1"/>
  <c r="AH25" i="1"/>
  <c r="AF25" i="1"/>
  <c r="AF24" i="1"/>
  <c r="AF23" i="1"/>
  <c r="AF22" i="1"/>
  <c r="AF21" i="1"/>
  <c r="AF20" i="1"/>
  <c r="AI19" i="1"/>
  <c r="AH19" i="1"/>
  <c r="AF19" i="1"/>
  <c r="AF18" i="1"/>
  <c r="AF17" i="1"/>
  <c r="AH16" i="1"/>
  <c r="AF16" i="1"/>
  <c r="AF15" i="1"/>
  <c r="AF14" i="1"/>
  <c r="AF13" i="1"/>
  <c r="AF12" i="1"/>
  <c r="AH11" i="1"/>
  <c r="AF11" i="1"/>
  <c r="AH10" i="1"/>
  <c r="AF10" i="1"/>
  <c r="AF9" i="1"/>
  <c r="AF8" i="1"/>
  <c r="AI7" i="1"/>
  <c r="AH7" i="1"/>
  <c r="AF7" i="1"/>
  <c r="AF6" i="1"/>
  <c r="AF5" i="1"/>
  <c r="AH4" i="1"/>
  <c r="AF4" i="1"/>
  <c r="F67" i="4"/>
  <c r="R67" i="4"/>
  <c r="AD67" i="4"/>
  <c r="AP67" i="4"/>
  <c r="BB67" i="4"/>
  <c r="BN67" i="4"/>
  <c r="BZ67" i="4"/>
  <c r="BB15" i="1" l="1"/>
  <c r="BB54" i="1"/>
  <c r="BA51" i="1"/>
  <c r="BB42" i="1"/>
  <c r="BB52" i="1"/>
  <c r="BB6" i="1"/>
  <c r="BB11" i="1"/>
  <c r="BB16" i="1"/>
  <c r="BB21" i="1"/>
  <c r="BB31" i="1"/>
  <c r="BB36" i="1"/>
  <c r="BB41" i="1"/>
  <c r="BB46" i="1"/>
  <c r="BB51" i="1"/>
  <c r="BB47" i="1"/>
  <c r="BC6" i="1"/>
  <c r="BC11" i="1"/>
  <c r="BC16" i="1"/>
  <c r="BC21" i="1"/>
  <c r="BA25" i="1"/>
  <c r="BC26" i="1"/>
  <c r="BA30" i="1"/>
  <c r="BC31" i="1"/>
  <c r="BA35" i="1"/>
  <c r="BC36" i="1"/>
  <c r="BA40" i="1"/>
  <c r="BC41" i="1"/>
  <c r="BA45" i="1"/>
  <c r="BC46" i="1"/>
  <c r="BC51" i="1"/>
  <c r="BB37" i="1"/>
  <c r="BB5" i="1"/>
  <c r="BB10" i="1"/>
  <c r="BD11" i="1"/>
  <c r="BD16" i="1"/>
  <c r="BB20" i="1"/>
  <c r="BD21" i="1"/>
  <c r="BB25" i="1"/>
  <c r="BD26" i="1"/>
  <c r="BB30" i="1"/>
  <c r="BB35" i="1"/>
  <c r="BD36" i="1"/>
  <c r="BB40" i="1"/>
  <c r="BD41" i="1"/>
  <c r="BB45" i="1"/>
  <c r="BD46" i="1"/>
  <c r="BB50" i="1"/>
  <c r="BD51" i="1"/>
  <c r="BB26" i="1"/>
  <c r="BA5" i="1"/>
  <c r="BA10" i="1"/>
  <c r="BA15" i="1"/>
  <c r="BA20" i="1"/>
  <c r="BA50" i="1"/>
  <c r="BD6" i="1"/>
  <c r="BA4" i="1"/>
  <c r="BC5" i="1"/>
  <c r="BE6" i="1"/>
  <c r="BA9" i="1"/>
  <c r="BC10" i="1"/>
  <c r="BE11" i="1"/>
  <c r="BA14" i="1"/>
  <c r="BC15" i="1"/>
  <c r="BE16" i="1"/>
  <c r="BA19" i="1"/>
  <c r="BC20" i="1"/>
  <c r="BE21" i="1"/>
  <c r="BA24" i="1"/>
  <c r="BC25" i="1"/>
  <c r="BE26" i="1"/>
  <c r="BA29" i="1"/>
  <c r="BC30" i="1"/>
  <c r="BE31" i="1"/>
  <c r="BA34" i="1"/>
  <c r="BC35" i="1"/>
  <c r="BE36" i="1"/>
  <c r="BA39" i="1"/>
  <c r="BC40" i="1"/>
  <c r="BE41" i="1"/>
  <c r="BA44" i="1"/>
  <c r="BC45" i="1"/>
  <c r="BE46" i="1"/>
  <c r="BA49" i="1"/>
  <c r="AH20" i="1"/>
  <c r="AH35" i="1"/>
  <c r="AH15" i="1"/>
  <c r="AJ50" i="1"/>
  <c r="AH9" i="1"/>
  <c r="AJ10" i="1"/>
  <c r="AI16" i="1"/>
  <c r="AI45" i="1"/>
  <c r="AH40" i="1"/>
  <c r="AH22" i="1"/>
  <c r="AH33" i="1"/>
  <c r="AJ7" i="1"/>
  <c r="AI12" i="1"/>
  <c r="AH17" i="1"/>
  <c r="AH46" i="1"/>
  <c r="AH52" i="1"/>
  <c r="AJ23" i="1"/>
  <c r="AH29" i="1"/>
  <c r="AH34" i="1"/>
  <c r="AH13" i="1"/>
  <c r="AK23" i="1"/>
  <c r="AI29" i="1"/>
  <c r="AI20" i="1"/>
  <c r="AI26" i="1"/>
  <c r="AJ36" i="1"/>
  <c r="AI41" i="1"/>
  <c r="AJ16" i="1"/>
  <c r="AJ45" i="1"/>
  <c r="AI4" i="1"/>
  <c r="AI13" i="1"/>
  <c r="AJ30" i="1"/>
  <c r="AJ13" i="1"/>
  <c r="AH6" i="1"/>
  <c r="AI10" i="1"/>
  <c r="AH18" i="1"/>
  <c r="AI22" i="1"/>
  <c r="AJ26" i="1"/>
  <c r="AJ41" i="1"/>
  <c r="AG13" i="1"/>
  <c r="AK26" i="1"/>
  <c r="AK7" i="1"/>
  <c r="AJ47" i="1"/>
  <c r="AJ35" i="1"/>
  <c r="AH44" i="1"/>
  <c r="AH48" i="1"/>
  <c r="AG38" i="1"/>
  <c r="AK4" i="1"/>
  <c r="AJ38" i="1"/>
  <c r="AJ11" i="1"/>
  <c r="AH14" i="1"/>
  <c r="AK17" i="1"/>
  <c r="AJ20" i="1"/>
  <c r="AH24" i="1"/>
  <c r="AH27" i="1"/>
  <c r="AI35" i="1"/>
  <c r="AI52" i="1"/>
  <c r="AH5" i="1"/>
  <c r="AH8" i="1"/>
  <c r="AL14" i="1"/>
  <c r="AL17" i="1"/>
  <c r="AL24" i="1"/>
  <c r="AH32" i="1"/>
  <c r="AI39" i="1"/>
  <c r="AJ5" i="1"/>
  <c r="AH12" i="1"/>
  <c r="AH21" i="1"/>
  <c r="AH28" i="1"/>
  <c r="AI32" i="1"/>
  <c r="AI44" i="1"/>
  <c r="AK29" i="1"/>
  <c r="AM18" i="1"/>
  <c r="AK39" i="1"/>
  <c r="AK32" i="1"/>
  <c r="AL27" i="1"/>
  <c r="AK11" i="1"/>
  <c r="AI28" i="1"/>
  <c r="AL33" i="1"/>
  <c r="AL39" i="1"/>
  <c r="AJ53" i="1"/>
  <c r="AL48" i="1"/>
  <c r="AM5" i="1"/>
  <c r="AM24" i="1"/>
  <c r="AM48" i="1"/>
  <c r="AK8" i="1"/>
  <c r="AK42" i="1"/>
  <c r="AL8" i="1"/>
  <c r="AJ22" i="1"/>
  <c r="AM30" i="1"/>
  <c r="AK33" i="1"/>
  <c r="AK36" i="1"/>
  <c r="AL42" i="1"/>
  <c r="AI6" i="1"/>
  <c r="AI14" i="1"/>
  <c r="AK14" i="1"/>
  <c r="AJ17" i="1"/>
  <c r="AI23" i="1"/>
  <c r="AH31" i="1"/>
  <c r="AH37" i="1"/>
  <c r="AH43" i="1"/>
  <c r="AH47" i="1"/>
  <c r="AG50" i="1"/>
  <c r="AK53" i="1"/>
  <c r="AG29" i="1"/>
  <c r="AI47" i="1"/>
  <c r="AH50" i="1"/>
  <c r="AG22" i="1"/>
  <c r="AL23" i="1"/>
  <c r="AL32" i="1"/>
  <c r="AJ52" i="1"/>
  <c r="AK16" i="1"/>
  <c r="AK19" i="1"/>
  <c r="AG21" i="1"/>
  <c r="AK22" i="1"/>
  <c r="AI25" i="1"/>
  <c r="AG27" i="1"/>
  <c r="AJ28" i="1"/>
  <c r="AI31" i="1"/>
  <c r="AM35" i="1"/>
  <c r="AI37" i="1"/>
  <c r="AL38" i="1"/>
  <c r="AG40" i="1"/>
  <c r="AI43" i="1"/>
  <c r="AL44" i="1"/>
  <c r="AG48" i="1"/>
  <c r="AI49" i="1"/>
  <c r="AJ6" i="1"/>
  <c r="AI18" i="1"/>
  <c r="AL19" i="1"/>
  <c r="AL22" i="1"/>
  <c r="AJ25" i="1"/>
  <c r="AK28" i="1"/>
  <c r="AJ31" i="1"/>
  <c r="AG33" i="1"/>
  <c r="AI34" i="1"/>
  <c r="AJ37" i="1"/>
  <c r="AM38" i="1"/>
  <c r="AG42" i="1"/>
  <c r="AJ43" i="1"/>
  <c r="AM44" i="1"/>
  <c r="AI46" i="1"/>
  <c r="AK49" i="1"/>
  <c r="AG51" i="1"/>
  <c r="AI54" i="1"/>
  <c r="AG52" i="1"/>
  <c r="AG28" i="1"/>
  <c r="AM33" i="1"/>
  <c r="AM45" i="1"/>
  <c r="AG46" i="1"/>
  <c r="AM50" i="1"/>
  <c r="AL13" i="1"/>
  <c r="AG8" i="1"/>
  <c r="AJ12" i="1"/>
  <c r="AK6" i="1"/>
  <c r="AK12" i="1"/>
  <c r="AI15" i="1"/>
  <c r="AG17" i="1"/>
  <c r="AJ18" i="1"/>
  <c r="AM19" i="1"/>
  <c r="AI21" i="1"/>
  <c r="AM25" i="1"/>
  <c r="AI27" i="1"/>
  <c r="AL28" i="1"/>
  <c r="AG30" i="1"/>
  <c r="AK31" i="1"/>
  <c r="AK34" i="1"/>
  <c r="AG36" i="1"/>
  <c r="AK37" i="1"/>
  <c r="AI40" i="1"/>
  <c r="AH42" i="1"/>
  <c r="AK43" i="1"/>
  <c r="AJ46" i="1"/>
  <c r="AI48" i="1"/>
  <c r="AL49" i="1"/>
  <c r="AH51" i="1"/>
  <c r="AG53" i="1"/>
  <c r="AK54" i="1"/>
  <c r="AG4" i="1"/>
  <c r="AG35" i="1"/>
  <c r="AG44" i="1"/>
  <c r="AG19" i="1"/>
  <c r="AG31" i="1"/>
  <c r="AL4" i="1"/>
  <c r="AL7" i="1"/>
  <c r="AG9" i="1"/>
  <c r="AK13" i="1"/>
  <c r="AG18" i="1"/>
  <c r="AM23" i="1"/>
  <c r="AL29" i="1"/>
  <c r="AG34" i="1"/>
  <c r="AK38" i="1"/>
  <c r="AK44" i="1"/>
  <c r="AG54" i="1"/>
  <c r="AM29" i="1"/>
  <c r="AM13" i="1"/>
  <c r="AI8" i="1"/>
  <c r="AK18" i="1"/>
  <c r="AJ21" i="1"/>
  <c r="AG23" i="1"/>
  <c r="AI24" i="1"/>
  <c r="AJ27" i="1"/>
  <c r="AM28" i="1"/>
  <c r="AI33" i="1"/>
  <c r="AL34" i="1"/>
  <c r="AH36" i="1"/>
  <c r="AL37" i="1"/>
  <c r="AG39" i="1"/>
  <c r="AJ40" i="1"/>
  <c r="AI42" i="1"/>
  <c r="AL43" i="1"/>
  <c r="AG45" i="1"/>
  <c r="AJ48" i="1"/>
  <c r="AM49" i="1"/>
  <c r="AI51" i="1"/>
  <c r="AH53" i="1"/>
  <c r="AL54" i="1"/>
  <c r="AG10" i="1"/>
  <c r="AG16" i="1"/>
  <c r="AG41" i="1"/>
  <c r="AM8" i="1"/>
  <c r="AL53" i="1"/>
  <c r="AG6" i="1"/>
  <c r="AG12" i="1"/>
  <c r="AM14" i="1"/>
  <c r="AM20" i="1"/>
  <c r="AG25" i="1"/>
  <c r="AG37" i="1"/>
  <c r="AM39" i="1"/>
  <c r="AG43" i="1"/>
  <c r="AK47" i="1"/>
  <c r="AG49" i="1"/>
  <c r="AM4" i="1"/>
  <c r="AM10" i="1"/>
  <c r="AG15" i="1"/>
  <c r="AK52" i="1"/>
  <c r="AI9" i="1"/>
  <c r="AG24" i="1"/>
  <c r="AG5" i="1"/>
  <c r="AK9" i="1"/>
  <c r="AG11" i="1"/>
  <c r="AL9" i="1"/>
  <c r="AL12" i="1"/>
  <c r="AG14" i="1"/>
  <c r="AJ15" i="1"/>
  <c r="AI5" i="1"/>
  <c r="AG7" i="1"/>
  <c r="AJ8" i="1"/>
  <c r="AM9" i="1"/>
  <c r="AI11" i="1"/>
  <c r="AM15" i="1"/>
  <c r="AI17" i="1"/>
  <c r="AL18" i="1"/>
  <c r="AG20" i="1"/>
  <c r="AK21" i="1"/>
  <c r="AH23" i="1"/>
  <c r="AK24" i="1"/>
  <c r="AG26" i="1"/>
  <c r="AK27" i="1"/>
  <c r="AI30" i="1"/>
  <c r="AG32" i="1"/>
  <c r="AJ33" i="1"/>
  <c r="AM34" i="1"/>
  <c r="AI36" i="1"/>
  <c r="AH39" i="1"/>
  <c r="AM40" i="1"/>
  <c r="AJ42" i="1"/>
  <c r="AM43" i="1"/>
  <c r="AK48" i="1"/>
  <c r="AJ51" i="1"/>
  <c r="AM54" i="1"/>
  <c r="AL47" i="1"/>
  <c r="AL52" i="1"/>
  <c r="AM27" i="1"/>
  <c r="AL16" i="1"/>
  <c r="AL31" i="1"/>
  <c r="AL36" i="1"/>
  <c r="AL41" i="1"/>
  <c r="AL51" i="1"/>
  <c r="AK20" i="1"/>
  <c r="AK25" i="1"/>
  <c r="AM31" i="1"/>
  <c r="AK35" i="1"/>
  <c r="AK40" i="1"/>
  <c r="AK45" i="1"/>
  <c r="AM46" i="1"/>
  <c r="AK50" i="1"/>
  <c r="AM51" i="1"/>
  <c r="AM53" i="1"/>
  <c r="AM7" i="1"/>
  <c r="AM12" i="1"/>
  <c r="AM17" i="1"/>
  <c r="AM22" i="1"/>
  <c r="AM32" i="1"/>
  <c r="AM37" i="1"/>
  <c r="AK41" i="1"/>
  <c r="AM42" i="1"/>
  <c r="AK46" i="1"/>
  <c r="AM47" i="1"/>
  <c r="AK51" i="1"/>
  <c r="AM52" i="1"/>
  <c r="AL6" i="1"/>
  <c r="AL11" i="1"/>
  <c r="AL21" i="1"/>
  <c r="AL26" i="1"/>
  <c r="AL46" i="1"/>
  <c r="AK5" i="1"/>
  <c r="AM6" i="1"/>
  <c r="AK10" i="1"/>
  <c r="AM11" i="1"/>
  <c r="AK15" i="1"/>
  <c r="AM16" i="1"/>
  <c r="AM21" i="1"/>
  <c r="AM26" i="1"/>
  <c r="AM36" i="1"/>
  <c r="AJ4" i="1"/>
  <c r="AL5" i="1"/>
  <c r="AJ9" i="1"/>
  <c r="AL10" i="1"/>
  <c r="AJ14" i="1"/>
  <c r="AL15" i="1"/>
  <c r="AJ19" i="1"/>
  <c r="AL20" i="1"/>
  <c r="AJ24" i="1"/>
  <c r="AL25" i="1"/>
  <c r="AJ29" i="1"/>
  <c r="AL30" i="1"/>
  <c r="AJ34" i="1"/>
  <c r="AL35" i="1"/>
  <c r="AJ39" i="1"/>
  <c r="AL40" i="1"/>
  <c r="AJ44" i="1"/>
  <c r="AL45" i="1"/>
  <c r="AJ49" i="1"/>
  <c r="D55" i="1"/>
  <c r="N40" i="1" s="1"/>
  <c r="R52" i="4" s="1"/>
  <c r="E55" i="1"/>
  <c r="O37" i="1" s="1"/>
  <c r="AD49" i="4" s="1"/>
  <c r="F55" i="1"/>
  <c r="P44" i="1" s="1"/>
  <c r="AP56" i="4" s="1"/>
  <c r="G55" i="1"/>
  <c r="Q41" i="1" s="1"/>
  <c r="BB53" i="4" s="1"/>
  <c r="H55" i="1"/>
  <c r="R38" i="1" s="1"/>
  <c r="BN50" i="4" s="1"/>
  <c r="I55" i="1"/>
  <c r="S45" i="1" s="1"/>
  <c r="BZ57" i="4" s="1"/>
  <c r="C55" i="1"/>
  <c r="M48" i="1" s="1"/>
  <c r="F60" i="4" s="1"/>
  <c r="AH55" i="1" l="1"/>
  <c r="AJ55" i="1"/>
  <c r="AG55" i="1"/>
  <c r="AK55" i="1"/>
  <c r="AM55" i="1"/>
  <c r="AL55" i="1"/>
  <c r="AI55" i="1"/>
  <c r="Q31" i="1"/>
  <c r="BB43" i="4" s="1"/>
  <c r="N41" i="1"/>
  <c r="R53" i="4" s="1"/>
  <c r="N21" i="1"/>
  <c r="R33" i="4" s="1"/>
  <c r="O21" i="1"/>
  <c r="AD33" i="4" s="1"/>
  <c r="N50" i="1"/>
  <c r="R62" i="4" s="1"/>
  <c r="M24" i="1"/>
  <c r="F36" i="4" s="1"/>
  <c r="M15" i="1"/>
  <c r="F27" i="4" s="1"/>
  <c r="M34" i="1"/>
  <c r="F46" i="4" s="1"/>
  <c r="M32" i="1"/>
  <c r="F44" i="4" s="1"/>
  <c r="M12" i="1"/>
  <c r="F24" i="4" s="1"/>
  <c r="M21" i="1"/>
  <c r="F33" i="4" s="1"/>
  <c r="Q11" i="1"/>
  <c r="BB23" i="4" s="1"/>
  <c r="Q48" i="1"/>
  <c r="BB60" i="4" s="1"/>
  <c r="M30" i="1"/>
  <c r="F42" i="4" s="1"/>
  <c r="M20" i="1"/>
  <c r="F32" i="4" s="1"/>
  <c r="Q45" i="1"/>
  <c r="BB57" i="4" s="1"/>
  <c r="Q8" i="1"/>
  <c r="BB20" i="4" s="1"/>
  <c r="M33" i="1"/>
  <c r="F45" i="4" s="1"/>
  <c r="M13" i="1"/>
  <c r="F25" i="4" s="1"/>
  <c r="M50" i="1"/>
  <c r="F62" i="4" s="1"/>
  <c r="R48" i="1"/>
  <c r="BN60" i="4" s="1"/>
  <c r="R8" i="1"/>
  <c r="BN20" i="4" s="1"/>
  <c r="M29" i="1"/>
  <c r="F41" i="4" s="1"/>
  <c r="M19" i="1"/>
  <c r="F31" i="4" s="1"/>
  <c r="M45" i="1"/>
  <c r="F57" i="4" s="1"/>
  <c r="R28" i="1"/>
  <c r="BN40" i="4" s="1"/>
  <c r="R18" i="1"/>
  <c r="BN30" i="4" s="1"/>
  <c r="M8" i="1"/>
  <c r="F20" i="4" s="1"/>
  <c r="Q28" i="1"/>
  <c r="BB40" i="4" s="1"/>
  <c r="N18" i="1"/>
  <c r="R30" i="4" s="1"/>
  <c r="M54" i="1"/>
  <c r="F66" i="4" s="1"/>
  <c r="M41" i="1"/>
  <c r="F53" i="4" s="1"/>
  <c r="M4" i="1"/>
  <c r="F16" i="4" s="1"/>
  <c r="M27" i="1"/>
  <c r="F39" i="4" s="1"/>
  <c r="M18" i="1"/>
  <c r="F30" i="4" s="1"/>
  <c r="M53" i="1"/>
  <c r="F65" i="4" s="1"/>
  <c r="M40" i="1"/>
  <c r="F52" i="4" s="1"/>
  <c r="N34" i="1"/>
  <c r="R46" i="4" s="1"/>
  <c r="M25" i="1"/>
  <c r="F37" i="4" s="1"/>
  <c r="M17" i="1"/>
  <c r="F29" i="4" s="1"/>
  <c r="Q51" i="1"/>
  <c r="BB63" i="4" s="1"/>
  <c r="Q38" i="1"/>
  <c r="BB50" i="4" s="1"/>
  <c r="N54" i="1"/>
  <c r="R66" i="4" s="1"/>
  <c r="P4" i="1"/>
  <c r="AP16" i="4" s="1"/>
  <c r="N38" i="1"/>
  <c r="R50" i="4" s="1"/>
  <c r="N20" i="1"/>
  <c r="R32" i="4" s="1"/>
  <c r="N45" i="1"/>
  <c r="R57" i="4" s="1"/>
  <c r="N24" i="1"/>
  <c r="R36" i="4" s="1"/>
  <c r="P48" i="1"/>
  <c r="AP60" i="4" s="1"/>
  <c r="O4" i="1"/>
  <c r="AD16" i="4" s="1"/>
  <c r="O44" i="1"/>
  <c r="AD56" i="4" s="1"/>
  <c r="N4" i="1"/>
  <c r="R16" i="4" s="1"/>
  <c r="P14" i="1"/>
  <c r="AP26" i="4" s="1"/>
  <c r="M35" i="1"/>
  <c r="F47" i="4" s="1"/>
  <c r="N31" i="1"/>
  <c r="R43" i="4" s="1"/>
  <c r="M28" i="1"/>
  <c r="F40" i="4" s="1"/>
  <c r="M22" i="1"/>
  <c r="F34" i="4" s="1"/>
  <c r="Q18" i="1"/>
  <c r="BB30" i="4" s="1"/>
  <c r="O14" i="1"/>
  <c r="AD26" i="4" s="1"/>
  <c r="N10" i="1"/>
  <c r="R22" i="4" s="1"/>
  <c r="N7" i="1"/>
  <c r="R19" i="4" s="1"/>
  <c r="O51" i="1"/>
  <c r="AD63" i="4" s="1"/>
  <c r="N47" i="1"/>
  <c r="R59" i="4" s="1"/>
  <c r="M44" i="1"/>
  <c r="F56" i="4" s="1"/>
  <c r="M38" i="1"/>
  <c r="F50" i="4" s="1"/>
  <c r="P45" i="1"/>
  <c r="AP57" i="4" s="1"/>
  <c r="P24" i="1"/>
  <c r="AP36" i="4" s="1"/>
  <c r="P8" i="1"/>
  <c r="AP20" i="4" s="1"/>
  <c r="O24" i="1"/>
  <c r="AD36" i="4" s="1"/>
  <c r="P11" i="1"/>
  <c r="AP23" i="4" s="1"/>
  <c r="P28" i="1"/>
  <c r="AP40" i="4" s="1"/>
  <c r="O11" i="1"/>
  <c r="AD23" i="4" s="1"/>
  <c r="P38" i="1"/>
  <c r="AP50" i="4" s="1"/>
  <c r="O28" i="1"/>
  <c r="AD40" i="4" s="1"/>
  <c r="O48" i="1"/>
  <c r="AD60" i="4" s="1"/>
  <c r="N28" i="1"/>
  <c r="R40" i="4" s="1"/>
  <c r="M23" i="1"/>
  <c r="F35" i="4" s="1"/>
  <c r="O7" i="1"/>
  <c r="AD19" i="4" s="1"/>
  <c r="N44" i="1"/>
  <c r="R56" i="4" s="1"/>
  <c r="P34" i="1"/>
  <c r="AP46" i="4" s="1"/>
  <c r="M31" i="1"/>
  <c r="F43" i="4" s="1"/>
  <c r="O27" i="1"/>
  <c r="AD39" i="4" s="1"/>
  <c r="Q21" i="1"/>
  <c r="BB33" i="4" s="1"/>
  <c r="P18" i="1"/>
  <c r="AP30" i="4" s="1"/>
  <c r="N14" i="1"/>
  <c r="R26" i="4" s="1"/>
  <c r="M10" i="1"/>
  <c r="F22" i="4" s="1"/>
  <c r="M7" i="1"/>
  <c r="F19" i="4" s="1"/>
  <c r="N51" i="1"/>
  <c r="R63" i="4" s="1"/>
  <c r="M47" i="1"/>
  <c r="F59" i="4" s="1"/>
  <c r="P41" i="1"/>
  <c r="AP53" i="4" s="1"/>
  <c r="N37" i="1"/>
  <c r="R49" i="4" s="1"/>
  <c r="P54" i="1"/>
  <c r="AP66" i="4" s="1"/>
  <c r="O54" i="1"/>
  <c r="AD66" i="4" s="1"/>
  <c r="O17" i="1"/>
  <c r="AD29" i="4" s="1"/>
  <c r="O45" i="1"/>
  <c r="AD57" i="4" s="1"/>
  <c r="N17" i="1"/>
  <c r="R29" i="4" s="1"/>
  <c r="O8" i="1"/>
  <c r="AD20" i="4" s="1"/>
  <c r="N8" i="1"/>
  <c r="R20" i="4" s="1"/>
  <c r="P31" i="1"/>
  <c r="AP43" i="4" s="1"/>
  <c r="N11" i="1"/>
  <c r="R23" i="4" s="1"/>
  <c r="O38" i="1"/>
  <c r="AD50" i="4" s="1"/>
  <c r="O31" i="1"/>
  <c r="AD43" i="4" s="1"/>
  <c r="M11" i="1"/>
  <c r="F23" i="4" s="1"/>
  <c r="P51" i="1"/>
  <c r="AP63" i="4" s="1"/>
  <c r="N48" i="1"/>
  <c r="R60" i="4" s="1"/>
  <c r="O34" i="1"/>
  <c r="AD46" i="4" s="1"/>
  <c r="N30" i="1"/>
  <c r="R42" i="4" s="1"/>
  <c r="N27" i="1"/>
  <c r="R39" i="4" s="1"/>
  <c r="P21" i="1"/>
  <c r="AP33" i="4" s="1"/>
  <c r="O18" i="1"/>
  <c r="AD30" i="4" s="1"/>
  <c r="M14" i="1"/>
  <c r="F26" i="4" s="1"/>
  <c r="M9" i="1"/>
  <c r="F21" i="4" s="1"/>
  <c r="M5" i="1"/>
  <c r="F17" i="4" s="1"/>
  <c r="M51" i="1"/>
  <c r="F63" i="4" s="1"/>
  <c r="R45" i="1"/>
  <c r="BN57" i="4" s="1"/>
  <c r="O41" i="1"/>
  <c r="AD53" i="4" s="1"/>
  <c r="M37" i="1"/>
  <c r="F49" i="4" s="1"/>
  <c r="S25" i="1"/>
  <c r="BZ37" i="4" s="1"/>
  <c r="S22" i="1"/>
  <c r="BZ34" i="4" s="1"/>
  <c r="S46" i="1"/>
  <c r="BZ58" i="4" s="1"/>
  <c r="S29" i="1"/>
  <c r="BZ41" i="4" s="1"/>
  <c r="S19" i="1"/>
  <c r="BZ31" i="4" s="1"/>
  <c r="R12" i="1"/>
  <c r="BN24" i="4" s="1"/>
  <c r="S49" i="1"/>
  <c r="BZ61" i="4" s="1"/>
  <c r="S16" i="1"/>
  <c r="BZ28" i="4" s="1"/>
  <c r="S35" i="1"/>
  <c r="BZ47" i="4" s="1"/>
  <c r="R15" i="1"/>
  <c r="BN27" i="4" s="1"/>
  <c r="R42" i="1"/>
  <c r="BN54" i="4" s="1"/>
  <c r="Q25" i="1"/>
  <c r="BB37" i="4" s="1"/>
  <c r="R22" i="1"/>
  <c r="BN34" i="4" s="1"/>
  <c r="Q5" i="1"/>
  <c r="BB17" i="4" s="1"/>
  <c r="S26" i="1"/>
  <c r="BZ38" i="4" s="1"/>
  <c r="R36" i="1"/>
  <c r="BN48" i="4" s="1"/>
  <c r="S33" i="1"/>
  <c r="BZ45" i="4" s="1"/>
  <c r="Q29" i="1"/>
  <c r="BB41" i="4" s="1"/>
  <c r="R26" i="1"/>
  <c r="BN38" i="4" s="1"/>
  <c r="S23" i="1"/>
  <c r="BZ35" i="4" s="1"/>
  <c r="Q19" i="1"/>
  <c r="BB31" i="4" s="1"/>
  <c r="O15" i="1"/>
  <c r="AD27" i="4" s="1"/>
  <c r="Q9" i="1"/>
  <c r="BB21" i="4" s="1"/>
  <c r="R6" i="1"/>
  <c r="BN18" i="4" s="1"/>
  <c r="O5" i="1"/>
  <c r="AD17" i="4" s="1"/>
  <c r="S53" i="1"/>
  <c r="BZ65" i="4" s="1"/>
  <c r="P52" i="1"/>
  <c r="AP64" i="4" s="1"/>
  <c r="R43" i="1"/>
  <c r="BN55" i="4" s="1"/>
  <c r="S40" i="1"/>
  <c r="BZ52" i="4" s="1"/>
  <c r="P39" i="1"/>
  <c r="AP51" i="4" s="1"/>
  <c r="R35" i="1"/>
  <c r="BN47" i="4" s="1"/>
  <c r="S12" i="1"/>
  <c r="BZ24" i="4" s="1"/>
  <c r="Q42" i="1"/>
  <c r="BB54" i="4" s="1"/>
  <c r="S36" i="1"/>
  <c r="BZ48" i="4" s="1"/>
  <c r="P15" i="1"/>
  <c r="AP27" i="4" s="1"/>
  <c r="O35" i="1"/>
  <c r="AD47" i="4" s="1"/>
  <c r="O25" i="1"/>
  <c r="AD37" i="4" s="1"/>
  <c r="S13" i="1"/>
  <c r="BZ25" i="4" s="1"/>
  <c r="Q46" i="1"/>
  <c r="BB58" i="4" s="1"/>
  <c r="S20" i="1"/>
  <c r="BZ32" i="4" s="1"/>
  <c r="N15" i="1"/>
  <c r="R27" i="4" s="1"/>
  <c r="N5" i="1"/>
  <c r="R17" i="4" s="1"/>
  <c r="R53" i="1"/>
  <c r="BN65" i="4" s="1"/>
  <c r="O52" i="1"/>
  <c r="AD64" i="4" s="1"/>
  <c r="S50" i="1"/>
  <c r="BZ62" i="4" s="1"/>
  <c r="P49" i="1"/>
  <c r="AP61" i="4" s="1"/>
  <c r="S47" i="1"/>
  <c r="BZ59" i="4" s="1"/>
  <c r="P46" i="1"/>
  <c r="AP58" i="4" s="1"/>
  <c r="R40" i="1"/>
  <c r="BN52" i="4" s="1"/>
  <c r="O39" i="1"/>
  <c r="AD51" i="4" s="1"/>
  <c r="S37" i="1"/>
  <c r="BZ49" i="4" s="1"/>
  <c r="S15" i="1"/>
  <c r="BZ27" i="4" s="1"/>
  <c r="S42" i="1"/>
  <c r="BZ54" i="4" s="1"/>
  <c r="R5" i="1"/>
  <c r="BN17" i="4" s="1"/>
  <c r="R32" i="1"/>
  <c r="BN44" i="4" s="1"/>
  <c r="Q15" i="1"/>
  <c r="BB27" i="4" s="1"/>
  <c r="P35" i="1"/>
  <c r="AP47" i="4" s="1"/>
  <c r="R29" i="1"/>
  <c r="BN41" i="4" s="1"/>
  <c r="Q13" i="1"/>
  <c r="BB25" i="4" s="1"/>
  <c r="N12" i="1"/>
  <c r="R24" i="4" s="1"/>
  <c r="R10" i="1"/>
  <c r="BN22" i="4" s="1"/>
  <c r="O9" i="1"/>
  <c r="AD21" i="4" s="1"/>
  <c r="S7" i="1"/>
  <c r="BZ19" i="4" s="1"/>
  <c r="P6" i="1"/>
  <c r="AP18" i="4" s="1"/>
  <c r="Q53" i="1"/>
  <c r="BB65" i="4" s="1"/>
  <c r="N52" i="1"/>
  <c r="R64" i="4" s="1"/>
  <c r="R50" i="1"/>
  <c r="BN62" i="4" s="1"/>
  <c r="O49" i="1"/>
  <c r="AD61" i="4" s="1"/>
  <c r="R47" i="1"/>
  <c r="BN59" i="4" s="1"/>
  <c r="O46" i="1"/>
  <c r="AD58" i="4" s="1"/>
  <c r="S44" i="1"/>
  <c r="BZ56" i="4" s="1"/>
  <c r="P43" i="1"/>
  <c r="AP55" i="4" s="1"/>
  <c r="M42" i="1"/>
  <c r="F54" i="4" s="1"/>
  <c r="Q40" i="1"/>
  <c r="BB52" i="4" s="1"/>
  <c r="N39" i="1"/>
  <c r="R51" i="4" s="1"/>
  <c r="R37" i="1"/>
  <c r="BN49" i="4" s="1"/>
  <c r="S5" i="1"/>
  <c r="BZ17" i="4" s="1"/>
  <c r="S39" i="1"/>
  <c r="BZ51" i="4" s="1"/>
  <c r="Q35" i="1"/>
  <c r="BB47" i="4" s="1"/>
  <c r="S9" i="1"/>
  <c r="BZ21" i="4" s="1"/>
  <c r="R9" i="1"/>
  <c r="BN21" i="4" s="1"/>
  <c r="P5" i="1"/>
  <c r="AP17" i="4" s="1"/>
  <c r="Q52" i="1"/>
  <c r="BB64" i="4" s="1"/>
  <c r="R49" i="1"/>
  <c r="BN61" i="4" s="1"/>
  <c r="R46" i="1"/>
  <c r="BN58" i="4" s="1"/>
  <c r="Q39" i="1"/>
  <c r="BB51" i="4" s="1"/>
  <c r="R16" i="1"/>
  <c r="BN28" i="4" s="1"/>
  <c r="O42" i="1"/>
  <c r="AD54" i="4" s="1"/>
  <c r="Q36" i="1"/>
  <c r="BB48" i="4" s="1"/>
  <c r="N35" i="1"/>
  <c r="R47" i="4" s="1"/>
  <c r="S30" i="1"/>
  <c r="BZ42" i="4" s="1"/>
  <c r="P29" i="1"/>
  <c r="AP41" i="4" s="1"/>
  <c r="Q26" i="1"/>
  <c r="BB38" i="4" s="1"/>
  <c r="O22" i="1"/>
  <c r="AD34" i="4" s="1"/>
  <c r="Q16" i="1"/>
  <c r="BB28" i="4" s="1"/>
  <c r="S10" i="1"/>
  <c r="BZ22" i="4" s="1"/>
  <c r="Q43" i="1"/>
  <c r="BB55" i="4" s="1"/>
  <c r="P36" i="1"/>
  <c r="AP48" i="4" s="1"/>
  <c r="R30" i="1"/>
  <c r="BN42" i="4" s="1"/>
  <c r="P26" i="1"/>
  <c r="AP38" i="4" s="1"/>
  <c r="P16" i="1"/>
  <c r="AP28" i="4" s="1"/>
  <c r="S4" i="1"/>
  <c r="BZ16" i="4" s="1"/>
  <c r="O36" i="1"/>
  <c r="AD48" i="4" s="1"/>
  <c r="S34" i="1"/>
  <c r="BZ46" i="4" s="1"/>
  <c r="P33" i="1"/>
  <c r="AP45" i="4" s="1"/>
  <c r="Q30" i="1"/>
  <c r="BB42" i="4" s="1"/>
  <c r="N29" i="1"/>
  <c r="R41" i="4" s="1"/>
  <c r="R27" i="1"/>
  <c r="BN39" i="4" s="1"/>
  <c r="O26" i="1"/>
  <c r="AD38" i="4" s="1"/>
  <c r="S24" i="1"/>
  <c r="BZ36" i="4" s="1"/>
  <c r="P23" i="1"/>
  <c r="AP35" i="4" s="1"/>
  <c r="Q20" i="1"/>
  <c r="BB32" i="4" s="1"/>
  <c r="N19" i="1"/>
  <c r="R31" i="4" s="1"/>
  <c r="R17" i="1"/>
  <c r="BN29" i="4" s="1"/>
  <c r="O16" i="1"/>
  <c r="AD28" i="4" s="1"/>
  <c r="S14" i="1"/>
  <c r="BZ26" i="4" s="1"/>
  <c r="P13" i="1"/>
  <c r="AP25" i="4" s="1"/>
  <c r="Q10" i="1"/>
  <c r="BB22" i="4" s="1"/>
  <c r="N9" i="1"/>
  <c r="R21" i="4" s="1"/>
  <c r="R7" i="1"/>
  <c r="BN19" i="4" s="1"/>
  <c r="O6" i="1"/>
  <c r="AD18" i="4" s="1"/>
  <c r="S54" i="1"/>
  <c r="BZ66" i="4" s="1"/>
  <c r="P53" i="1"/>
  <c r="AP65" i="4" s="1"/>
  <c r="M52" i="1"/>
  <c r="F64" i="4" s="1"/>
  <c r="Q50" i="1"/>
  <c r="BB62" i="4" s="1"/>
  <c r="N49" i="1"/>
  <c r="R61" i="4" s="1"/>
  <c r="Q47" i="1"/>
  <c r="BB59" i="4" s="1"/>
  <c r="N46" i="1"/>
  <c r="R58" i="4" s="1"/>
  <c r="R44" i="1"/>
  <c r="BN56" i="4" s="1"/>
  <c r="O43" i="1"/>
  <c r="AD55" i="4" s="1"/>
  <c r="S41" i="1"/>
  <c r="BZ53" i="4" s="1"/>
  <c r="P40" i="1"/>
  <c r="AP52" i="4" s="1"/>
  <c r="M39" i="1"/>
  <c r="F51" i="4" s="1"/>
  <c r="Q37" i="1"/>
  <c r="BB49" i="4" s="1"/>
  <c r="S32" i="1"/>
  <c r="BZ44" i="4" s="1"/>
  <c r="R52" i="1"/>
  <c r="BN64" i="4" s="1"/>
  <c r="Q32" i="1"/>
  <c r="BB44" i="4" s="1"/>
  <c r="Q22" i="1"/>
  <c r="BB34" i="4" s="1"/>
  <c r="P42" i="1"/>
  <c r="AP54" i="4" s="1"/>
  <c r="P32" i="1"/>
  <c r="AP44" i="4" s="1"/>
  <c r="P22" i="1"/>
  <c r="AP34" i="4" s="1"/>
  <c r="P12" i="1"/>
  <c r="AP24" i="4" s="1"/>
  <c r="Q49" i="1"/>
  <c r="BB61" i="4" s="1"/>
  <c r="O32" i="1"/>
  <c r="AD44" i="4" s="1"/>
  <c r="N25" i="1"/>
  <c r="R37" i="4" s="1"/>
  <c r="P19" i="1"/>
  <c r="AP31" i="4" s="1"/>
  <c r="R13" i="1"/>
  <c r="BN25" i="4" s="1"/>
  <c r="P9" i="1"/>
  <c r="AP21" i="4" s="1"/>
  <c r="N32" i="1"/>
  <c r="R44" i="4" s="1"/>
  <c r="O29" i="1"/>
  <c r="AD41" i="4" s="1"/>
  <c r="Q23" i="1"/>
  <c r="BB35" i="4" s="1"/>
  <c r="N22" i="1"/>
  <c r="R34" i="4" s="1"/>
  <c r="R20" i="1"/>
  <c r="BN32" i="4" s="1"/>
  <c r="O19" i="1"/>
  <c r="AD31" i="4" s="1"/>
  <c r="R4" i="1"/>
  <c r="BN16" i="4" s="1"/>
  <c r="N36" i="1"/>
  <c r="R48" i="4" s="1"/>
  <c r="O33" i="1"/>
  <c r="AD45" i="4" s="1"/>
  <c r="S31" i="1"/>
  <c r="BZ43" i="4" s="1"/>
  <c r="R24" i="1"/>
  <c r="BN36" i="4" s="1"/>
  <c r="Q17" i="1"/>
  <c r="BB29" i="4" s="1"/>
  <c r="R14" i="1"/>
  <c r="BN26" i="4" s="1"/>
  <c r="O13" i="1"/>
  <c r="AD25" i="4" s="1"/>
  <c r="S11" i="1"/>
  <c r="BZ23" i="4" s="1"/>
  <c r="P10" i="1"/>
  <c r="AP22" i="4" s="1"/>
  <c r="Q7" i="1"/>
  <c r="BB19" i="4" s="1"/>
  <c r="N6" i="1"/>
  <c r="R18" i="4" s="1"/>
  <c r="O53" i="1"/>
  <c r="AD65" i="4" s="1"/>
  <c r="S51" i="1"/>
  <c r="BZ63" i="4" s="1"/>
  <c r="P50" i="1"/>
  <c r="AP62" i="4" s="1"/>
  <c r="M49" i="1"/>
  <c r="F61" i="4" s="1"/>
  <c r="P47" i="1"/>
  <c r="AP59" i="4" s="1"/>
  <c r="M46" i="1"/>
  <c r="F58" i="4" s="1"/>
  <c r="Q44" i="1"/>
  <c r="BB56" i="4" s="1"/>
  <c r="N43" i="1"/>
  <c r="R55" i="4" s="1"/>
  <c r="R41" i="1"/>
  <c r="BN53" i="4" s="1"/>
  <c r="O40" i="1"/>
  <c r="AD52" i="4" s="1"/>
  <c r="S38" i="1"/>
  <c r="BZ50" i="4" s="1"/>
  <c r="P37" i="1"/>
  <c r="AP49" i="4" s="1"/>
  <c r="R25" i="1"/>
  <c r="BN37" i="4" s="1"/>
  <c r="S52" i="1"/>
  <c r="BZ64" i="4" s="1"/>
  <c r="R39" i="1"/>
  <c r="BN51" i="4" s="1"/>
  <c r="P25" i="1"/>
  <c r="AP37" i="4" s="1"/>
  <c r="R19" i="1"/>
  <c r="BN31" i="4" s="1"/>
  <c r="Q12" i="1"/>
  <c r="BB24" i="4" s="1"/>
  <c r="S6" i="1"/>
  <c r="BZ18" i="4" s="1"/>
  <c r="S43" i="1"/>
  <c r="BZ55" i="4" s="1"/>
  <c r="R33" i="1"/>
  <c r="BN45" i="4" s="1"/>
  <c r="R23" i="1"/>
  <c r="BN35" i="4" s="1"/>
  <c r="O12" i="1"/>
  <c r="AD24" i="4" s="1"/>
  <c r="Q6" i="1"/>
  <c r="BB18" i="4" s="1"/>
  <c r="N42" i="1"/>
  <c r="R54" i="4" s="1"/>
  <c r="Q33" i="1"/>
  <c r="BB45" i="4" s="1"/>
  <c r="S27" i="1"/>
  <c r="BZ39" i="4" s="1"/>
  <c r="S17" i="1"/>
  <c r="BZ29" i="4" s="1"/>
  <c r="R34" i="1"/>
  <c r="BN46" i="4" s="1"/>
  <c r="P30" i="1"/>
  <c r="AP42" i="4" s="1"/>
  <c r="Q27" i="1"/>
  <c r="BB39" i="4" s="1"/>
  <c r="N26" i="1"/>
  <c r="R38" i="4" s="1"/>
  <c r="O23" i="1"/>
  <c r="AD35" i="4" s="1"/>
  <c r="S21" i="1"/>
  <c r="BZ33" i="4" s="1"/>
  <c r="P20" i="1"/>
  <c r="AP32" i="4" s="1"/>
  <c r="N16" i="1"/>
  <c r="R28" i="4" s="1"/>
  <c r="R54" i="1"/>
  <c r="BN66" i="4" s="1"/>
  <c r="Q4" i="1"/>
  <c r="BB16" i="4" s="1"/>
  <c r="M36" i="1"/>
  <c r="F48" i="4" s="1"/>
  <c r="Q34" i="1"/>
  <c r="BB46" i="4" s="1"/>
  <c r="N33" i="1"/>
  <c r="R45" i="4" s="1"/>
  <c r="R31" i="1"/>
  <c r="BN43" i="4" s="1"/>
  <c r="O30" i="1"/>
  <c r="AD42" i="4" s="1"/>
  <c r="S28" i="1"/>
  <c r="BZ40" i="4" s="1"/>
  <c r="P27" i="1"/>
  <c r="AP39" i="4" s="1"/>
  <c r="M26" i="1"/>
  <c r="F38" i="4" s="1"/>
  <c r="Q24" i="1"/>
  <c r="BB36" i="4" s="1"/>
  <c r="N23" i="1"/>
  <c r="R35" i="4" s="1"/>
  <c r="R21" i="1"/>
  <c r="BN33" i="4" s="1"/>
  <c r="O20" i="1"/>
  <c r="AD32" i="4" s="1"/>
  <c r="S18" i="1"/>
  <c r="BZ30" i="4" s="1"/>
  <c r="P17" i="1"/>
  <c r="AP29" i="4" s="1"/>
  <c r="M16" i="1"/>
  <c r="F28" i="4" s="1"/>
  <c r="Q14" i="1"/>
  <c r="BB26" i="4" s="1"/>
  <c r="N13" i="1"/>
  <c r="R25" i="4" s="1"/>
  <c r="R11" i="1"/>
  <c r="BN23" i="4" s="1"/>
  <c r="O10" i="1"/>
  <c r="AD22" i="4" s="1"/>
  <c r="S8" i="1"/>
  <c r="BZ20" i="4" s="1"/>
  <c r="P7" i="1"/>
  <c r="AP19" i="4" s="1"/>
  <c r="M6" i="1"/>
  <c r="F18" i="4" s="1"/>
  <c r="Q54" i="1"/>
  <c r="BB66" i="4" s="1"/>
  <c r="N53" i="1"/>
  <c r="R65" i="4" s="1"/>
  <c r="R51" i="1"/>
  <c r="BN63" i="4" s="1"/>
  <c r="O50" i="1"/>
  <c r="AD62" i="4" s="1"/>
  <c r="S48" i="1"/>
  <c r="BZ60" i="4" s="1"/>
  <c r="O47" i="1"/>
  <c r="AD59" i="4" s="1"/>
  <c r="M43" i="1"/>
  <c r="F55" i="4" s="1"/>
  <c r="L54" i="1"/>
  <c r="L53" i="1"/>
  <c r="L52" i="1"/>
  <c r="L51" i="1"/>
  <c r="L50" i="1"/>
  <c r="L49" i="1"/>
  <c r="L48" i="1"/>
  <c r="L47" i="1"/>
  <c r="L46" i="1"/>
  <c r="L45" i="1"/>
  <c r="B17" i="4"/>
  <c r="B18" i="4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O55" i="1" l="1"/>
  <c r="N55" i="1"/>
  <c r="P55" i="1"/>
  <c r="M55" i="1"/>
  <c r="S55" i="1"/>
  <c r="R55" i="1"/>
  <c r="Q55" i="1"/>
  <c r="CA67" i="4"/>
  <c r="BO67" i="4"/>
  <c r="BC67" i="4"/>
  <c r="AQ67" i="4"/>
  <c r="AE67" i="4"/>
  <c r="S67" i="4"/>
  <c r="G67" i="4"/>
  <c r="BX8" i="4" l="1"/>
  <c r="BX31" i="4" s="1"/>
  <c r="BX7" i="4"/>
  <c r="BX21" i="4" s="1"/>
  <c r="BX6" i="4"/>
  <c r="BX18" i="4" s="1"/>
  <c r="BX5" i="4"/>
  <c r="BX17" i="4" s="1"/>
  <c r="BX4" i="4"/>
  <c r="BX16" i="4" s="1"/>
  <c r="BL8" i="4"/>
  <c r="BL31" i="4" s="1"/>
  <c r="BL7" i="4"/>
  <c r="BL21" i="4" s="1"/>
  <c r="BL6" i="4"/>
  <c r="BL18" i="4" s="1"/>
  <c r="BL5" i="4"/>
  <c r="BL17" i="4" s="1"/>
  <c r="BL4" i="4"/>
  <c r="BL16" i="4" s="1"/>
  <c r="BM17" i="4" s="1"/>
  <c r="AZ8" i="4"/>
  <c r="AZ31" i="4" s="1"/>
  <c r="AZ7" i="4"/>
  <c r="AZ21" i="4" s="1"/>
  <c r="AZ6" i="4"/>
  <c r="AZ18" i="4" s="1"/>
  <c r="AZ19" i="4" s="1"/>
  <c r="AZ5" i="4"/>
  <c r="AZ17" i="4" s="1"/>
  <c r="AZ4" i="4"/>
  <c r="AZ16" i="4" s="1"/>
  <c r="AN8" i="4"/>
  <c r="AN31" i="4" s="1"/>
  <c r="AN7" i="4"/>
  <c r="AN21" i="4" s="1"/>
  <c r="AN6" i="4"/>
  <c r="AN18" i="4" s="1"/>
  <c r="AN5" i="4"/>
  <c r="AN17" i="4" s="1"/>
  <c r="AN4" i="4"/>
  <c r="AN16" i="4" s="1"/>
  <c r="AB8" i="4"/>
  <c r="AB31" i="4" s="1"/>
  <c r="AB7" i="4"/>
  <c r="AB21" i="4" s="1"/>
  <c r="AB6" i="4"/>
  <c r="AB18" i="4" s="1"/>
  <c r="AB5" i="4"/>
  <c r="AB17" i="4" s="1"/>
  <c r="AB4" i="4"/>
  <c r="AB16" i="4" s="1"/>
  <c r="P8" i="4"/>
  <c r="P31" i="4" s="1"/>
  <c r="P7" i="4"/>
  <c r="P21" i="4" s="1"/>
  <c r="P6" i="4"/>
  <c r="P18" i="4" s="1"/>
  <c r="P19" i="4" s="1"/>
  <c r="P5" i="4"/>
  <c r="P17" i="4" s="1"/>
  <c r="P4" i="4"/>
  <c r="P16" i="4" s="1"/>
  <c r="C156" i="3"/>
  <c r="S65" i="4" s="1"/>
  <c r="D156" i="3"/>
  <c r="AE47" i="4" s="1"/>
  <c r="E156" i="3"/>
  <c r="AQ62" i="4" s="1"/>
  <c r="F156" i="3"/>
  <c r="BC51" i="4" s="1"/>
  <c r="G156" i="3"/>
  <c r="BO58" i="4" s="1"/>
  <c r="H156" i="3"/>
  <c r="CA57" i="4" s="1"/>
  <c r="B156" i="3"/>
  <c r="G66" i="4" s="1"/>
  <c r="BY17" i="4" l="1"/>
  <c r="BY18" i="4" s="1"/>
  <c r="BA17" i="4"/>
  <c r="BA18" i="4" s="1"/>
  <c r="AO17" i="4"/>
  <c r="AO18" i="4" s="1"/>
  <c r="AC17" i="4"/>
  <c r="BO21" i="4"/>
  <c r="AQ25" i="4"/>
  <c r="BC34" i="4"/>
  <c r="BO41" i="4"/>
  <c r="CA20" i="4"/>
  <c r="AE30" i="4"/>
  <c r="AQ45" i="4"/>
  <c r="BC54" i="4"/>
  <c r="BO61" i="4"/>
  <c r="CA40" i="4"/>
  <c r="S49" i="4"/>
  <c r="AE50" i="4"/>
  <c r="AQ65" i="4"/>
  <c r="CA60" i="4"/>
  <c r="S46" i="4"/>
  <c r="S47" i="4"/>
  <c r="AE28" i="4"/>
  <c r="AE48" i="4"/>
  <c r="AQ23" i="4"/>
  <c r="AQ43" i="4"/>
  <c r="AQ63" i="4"/>
  <c r="BC32" i="4"/>
  <c r="BC52" i="4"/>
  <c r="BO19" i="4"/>
  <c r="BO39" i="4"/>
  <c r="BO59" i="4"/>
  <c r="CA18" i="4"/>
  <c r="CA38" i="4"/>
  <c r="CA58" i="4"/>
  <c r="S48" i="4"/>
  <c r="AE29" i="4"/>
  <c r="AE49" i="4"/>
  <c r="AQ24" i="4"/>
  <c r="AQ44" i="4"/>
  <c r="AQ64" i="4"/>
  <c r="BC33" i="4"/>
  <c r="BC53" i="4"/>
  <c r="BO20" i="4"/>
  <c r="BO40" i="4"/>
  <c r="BO60" i="4"/>
  <c r="CA19" i="4"/>
  <c r="CA39" i="4"/>
  <c r="CA59" i="4"/>
  <c r="S50" i="4"/>
  <c r="AE31" i="4"/>
  <c r="AE51" i="4"/>
  <c r="AQ26" i="4"/>
  <c r="AQ46" i="4"/>
  <c r="AQ66" i="4"/>
  <c r="BC35" i="4"/>
  <c r="BC55" i="4"/>
  <c r="BO22" i="4"/>
  <c r="BO42" i="4"/>
  <c r="BO62" i="4"/>
  <c r="CA21" i="4"/>
  <c r="CA41" i="4"/>
  <c r="CA61" i="4"/>
  <c r="S51" i="4"/>
  <c r="AE32" i="4"/>
  <c r="AE52" i="4"/>
  <c r="AQ27" i="4"/>
  <c r="AQ47" i="4"/>
  <c r="BC16" i="4"/>
  <c r="BC36" i="4"/>
  <c r="BC56" i="4"/>
  <c r="BO23" i="4"/>
  <c r="BO43" i="4"/>
  <c r="BO63" i="4"/>
  <c r="CA22" i="4"/>
  <c r="CA42" i="4"/>
  <c r="CA62" i="4"/>
  <c r="S66" i="4"/>
  <c r="AE33" i="4"/>
  <c r="AE53" i="4"/>
  <c r="AQ28" i="4"/>
  <c r="AQ48" i="4"/>
  <c r="BC17" i="4"/>
  <c r="BC37" i="4"/>
  <c r="BC57" i="4"/>
  <c r="BO24" i="4"/>
  <c r="BO44" i="4"/>
  <c r="BO64" i="4"/>
  <c r="CA23" i="4"/>
  <c r="CA43" i="4"/>
  <c r="CA63" i="4"/>
  <c r="AE34" i="4"/>
  <c r="AE54" i="4"/>
  <c r="AQ29" i="4"/>
  <c r="AQ49" i="4"/>
  <c r="BC18" i="4"/>
  <c r="BC38" i="4"/>
  <c r="BC58" i="4"/>
  <c r="BO25" i="4"/>
  <c r="BO45" i="4"/>
  <c r="BO65" i="4"/>
  <c r="CA24" i="4"/>
  <c r="CA44" i="4"/>
  <c r="CA64" i="4"/>
  <c r="AE55" i="4"/>
  <c r="AQ30" i="4"/>
  <c r="AQ50" i="4"/>
  <c r="BC19" i="4"/>
  <c r="BC39" i="4"/>
  <c r="BC59" i="4"/>
  <c r="BO26" i="4"/>
  <c r="BO46" i="4"/>
  <c r="BO66" i="4"/>
  <c r="CA25" i="4"/>
  <c r="CA45" i="4"/>
  <c r="CA65" i="4"/>
  <c r="AE16" i="4"/>
  <c r="AE36" i="4"/>
  <c r="AE56" i="4"/>
  <c r="AQ31" i="4"/>
  <c r="AQ51" i="4"/>
  <c r="BC20" i="4"/>
  <c r="BC40" i="4"/>
  <c r="BC60" i="4"/>
  <c r="BO27" i="4"/>
  <c r="BO47" i="4"/>
  <c r="CA26" i="4"/>
  <c r="CA46" i="4"/>
  <c r="CA66" i="4"/>
  <c r="AE17" i="4"/>
  <c r="AE37" i="4"/>
  <c r="AE57" i="4"/>
  <c r="AQ32" i="4"/>
  <c r="AQ52" i="4"/>
  <c r="BC21" i="4"/>
  <c r="BC41" i="4"/>
  <c r="BC61" i="4"/>
  <c r="BO28" i="4"/>
  <c r="BO48" i="4"/>
  <c r="CA27" i="4"/>
  <c r="CA47" i="4"/>
  <c r="AE18" i="4"/>
  <c r="AE38" i="4"/>
  <c r="AE58" i="4"/>
  <c r="AQ33" i="4"/>
  <c r="AQ53" i="4"/>
  <c r="BC22" i="4"/>
  <c r="BC42" i="4"/>
  <c r="BC62" i="4"/>
  <c r="BO29" i="4"/>
  <c r="BO49" i="4"/>
  <c r="CA28" i="4"/>
  <c r="CA48" i="4"/>
  <c r="AE59" i="4"/>
  <c r="AQ34" i="4"/>
  <c r="AQ54" i="4"/>
  <c r="BC23" i="4"/>
  <c r="BC43" i="4"/>
  <c r="BC63" i="4"/>
  <c r="BO30" i="4"/>
  <c r="BO50" i="4"/>
  <c r="CA29" i="4"/>
  <c r="CA49" i="4"/>
  <c r="S26" i="4"/>
  <c r="AE20" i="4"/>
  <c r="AE40" i="4"/>
  <c r="AE60" i="4"/>
  <c r="AQ35" i="4"/>
  <c r="AQ55" i="4"/>
  <c r="BC24" i="4"/>
  <c r="BC44" i="4"/>
  <c r="BC64" i="4"/>
  <c r="BO31" i="4"/>
  <c r="BO51" i="4"/>
  <c r="CA30" i="4"/>
  <c r="CA50" i="4"/>
  <c r="AE19" i="4"/>
  <c r="S27" i="4"/>
  <c r="AE21" i="4"/>
  <c r="AE41" i="4"/>
  <c r="AE61" i="4"/>
  <c r="AQ16" i="4"/>
  <c r="AQ36" i="4"/>
  <c r="AQ56" i="4"/>
  <c r="BC25" i="4"/>
  <c r="BC45" i="4"/>
  <c r="BC65" i="4"/>
  <c r="BO32" i="4"/>
  <c r="BO52" i="4"/>
  <c r="CA31" i="4"/>
  <c r="CA51" i="4"/>
  <c r="S28" i="4"/>
  <c r="AE22" i="4"/>
  <c r="AE42" i="4"/>
  <c r="AE62" i="4"/>
  <c r="AQ17" i="4"/>
  <c r="AQ37" i="4"/>
  <c r="AQ57" i="4"/>
  <c r="BC26" i="4"/>
  <c r="BC46" i="4"/>
  <c r="BC66" i="4"/>
  <c r="BO33" i="4"/>
  <c r="BO53" i="4"/>
  <c r="CA32" i="4"/>
  <c r="CA52" i="4"/>
  <c r="S29" i="4"/>
  <c r="AE23" i="4"/>
  <c r="AE43" i="4"/>
  <c r="AE63" i="4"/>
  <c r="AQ18" i="4"/>
  <c r="AQ38" i="4"/>
  <c r="AQ58" i="4"/>
  <c r="BC27" i="4"/>
  <c r="BC47" i="4"/>
  <c r="BO34" i="4"/>
  <c r="BO54" i="4"/>
  <c r="CA33" i="4"/>
  <c r="CA53" i="4"/>
  <c r="AE35" i="4"/>
  <c r="S30" i="4"/>
  <c r="AE24" i="4"/>
  <c r="AE44" i="4"/>
  <c r="AE64" i="4"/>
  <c r="AQ19" i="4"/>
  <c r="AQ39" i="4"/>
  <c r="AQ59" i="4"/>
  <c r="BC28" i="4"/>
  <c r="BC48" i="4"/>
  <c r="BO35" i="4"/>
  <c r="BO55" i="4"/>
  <c r="CA34" i="4"/>
  <c r="CA54" i="4"/>
  <c r="AE39" i="4"/>
  <c r="S31" i="4"/>
  <c r="AE25" i="4"/>
  <c r="AE45" i="4"/>
  <c r="AE65" i="4"/>
  <c r="AQ20" i="4"/>
  <c r="AQ40" i="4"/>
  <c r="AQ60" i="4"/>
  <c r="BC29" i="4"/>
  <c r="BC49" i="4"/>
  <c r="BO16" i="4"/>
  <c r="BO36" i="4"/>
  <c r="BO56" i="4"/>
  <c r="CA35" i="4"/>
  <c r="CA55" i="4"/>
  <c r="S32" i="4"/>
  <c r="AE26" i="4"/>
  <c r="AE46" i="4"/>
  <c r="AE66" i="4"/>
  <c r="AQ21" i="4"/>
  <c r="AQ41" i="4"/>
  <c r="AQ61" i="4"/>
  <c r="BC30" i="4"/>
  <c r="BC50" i="4"/>
  <c r="BO17" i="4"/>
  <c r="BO37" i="4"/>
  <c r="BO57" i="4"/>
  <c r="CA16" i="4"/>
  <c r="CA36" i="4"/>
  <c r="CA56" i="4"/>
  <c r="AE27" i="4"/>
  <c r="AQ22" i="4"/>
  <c r="AQ42" i="4"/>
  <c r="BC31" i="4"/>
  <c r="BO18" i="4"/>
  <c r="BO38" i="4"/>
  <c r="CA17" i="4"/>
  <c r="CA37" i="4"/>
  <c r="BM18" i="4"/>
  <c r="BX19" i="4"/>
  <c r="BX22" i="4"/>
  <c r="BX32" i="4"/>
  <c r="BL19" i="4"/>
  <c r="BL22" i="4"/>
  <c r="BL32" i="4"/>
  <c r="AZ22" i="4"/>
  <c r="AZ32" i="4"/>
  <c r="AZ20" i="4"/>
  <c r="AN19" i="4"/>
  <c r="AN22" i="4"/>
  <c r="AN32" i="4"/>
  <c r="AC18" i="4"/>
  <c r="AC19" i="4" s="1"/>
  <c r="AB19" i="4"/>
  <c r="AB22" i="4"/>
  <c r="AB32" i="4"/>
  <c r="S52" i="4"/>
  <c r="S33" i="4"/>
  <c r="S53" i="4"/>
  <c r="S55" i="4"/>
  <c r="S56" i="4"/>
  <c r="S54" i="4"/>
  <c r="S37" i="4"/>
  <c r="S57" i="4"/>
  <c r="S18" i="4"/>
  <c r="S38" i="4"/>
  <c r="S58" i="4"/>
  <c r="S19" i="4"/>
  <c r="S39" i="4"/>
  <c r="S59" i="4"/>
  <c r="S20" i="4"/>
  <c r="S40" i="4"/>
  <c r="S60" i="4"/>
  <c r="S16" i="4"/>
  <c r="S17" i="4"/>
  <c r="S21" i="4"/>
  <c r="S41" i="4"/>
  <c r="S61" i="4"/>
  <c r="S22" i="4"/>
  <c r="S42" i="4"/>
  <c r="S62" i="4"/>
  <c r="S34" i="4"/>
  <c r="S35" i="4"/>
  <c r="S36" i="4"/>
  <c r="S23" i="4"/>
  <c r="S43" i="4"/>
  <c r="S63" i="4"/>
  <c r="S24" i="4"/>
  <c r="S44" i="4"/>
  <c r="S64" i="4"/>
  <c r="S25" i="4"/>
  <c r="S45" i="4"/>
  <c r="Q17" i="4"/>
  <c r="Q18" i="4" s="1"/>
  <c r="P20" i="4"/>
  <c r="P22" i="4"/>
  <c r="P32" i="4"/>
  <c r="BM19" i="4" l="1"/>
  <c r="BY19" i="4"/>
  <c r="BX33" i="4"/>
  <c r="BX20" i="4"/>
  <c r="BX23" i="4"/>
  <c r="BL33" i="4"/>
  <c r="BL23" i="4"/>
  <c r="BL20" i="4"/>
  <c r="BA19" i="4"/>
  <c r="AZ33" i="4"/>
  <c r="AZ23" i="4"/>
  <c r="AN23" i="4"/>
  <c r="AN33" i="4"/>
  <c r="AN20" i="4"/>
  <c r="AO19" i="4"/>
  <c r="AB33" i="4"/>
  <c r="AC20" i="4"/>
  <c r="AB20" i="4"/>
  <c r="AB23" i="4"/>
  <c r="P23" i="4"/>
  <c r="Q19" i="4"/>
  <c r="P33" i="4"/>
  <c r="BM20" i="4" l="1"/>
  <c r="AC21" i="4"/>
  <c r="BY20" i="4"/>
  <c r="BX24" i="4"/>
  <c r="BX34" i="4"/>
  <c r="BL24" i="4"/>
  <c r="BL34" i="4"/>
  <c r="AZ24" i="4"/>
  <c r="AZ34" i="4"/>
  <c r="BA20" i="4"/>
  <c r="AO20" i="4"/>
  <c r="AN34" i="4"/>
  <c r="AN24" i="4"/>
  <c r="AB24" i="4"/>
  <c r="AB34" i="4"/>
  <c r="Q20" i="4"/>
  <c r="P34" i="4"/>
  <c r="P24" i="4"/>
  <c r="BY21" i="4" l="1"/>
  <c r="BY22" i="4" s="1"/>
  <c r="BM21" i="4"/>
  <c r="AC22" i="4"/>
  <c r="BX35" i="4"/>
  <c r="BX25" i="4"/>
  <c r="BL35" i="4"/>
  <c r="BL25" i="4"/>
  <c r="BA21" i="4"/>
  <c r="AZ35" i="4"/>
  <c r="AZ25" i="4"/>
  <c r="AO21" i="4"/>
  <c r="AO22" i="4" s="1"/>
  <c r="AN25" i="4"/>
  <c r="AN35" i="4"/>
  <c r="AB35" i="4"/>
  <c r="AB25" i="4"/>
  <c r="AC23" i="4"/>
  <c r="P25" i="4"/>
  <c r="P35" i="4"/>
  <c r="Q21" i="4"/>
  <c r="BM22" i="4" l="1"/>
  <c r="BY23" i="4"/>
  <c r="BX26" i="4"/>
  <c r="BX36" i="4"/>
  <c r="BL36" i="4"/>
  <c r="BL26" i="4"/>
  <c r="AZ26" i="4"/>
  <c r="AZ36" i="4"/>
  <c r="BA22" i="4"/>
  <c r="AO23" i="4"/>
  <c r="AN36" i="4"/>
  <c r="AN26" i="4"/>
  <c r="AB36" i="4"/>
  <c r="AC24" i="4"/>
  <c r="AB26" i="4"/>
  <c r="Q22" i="4"/>
  <c r="P36" i="4"/>
  <c r="P26" i="4"/>
  <c r="BM23" i="4" l="1"/>
  <c r="BX37" i="4"/>
  <c r="BX27" i="4"/>
  <c r="BY24" i="4"/>
  <c r="BL27" i="4"/>
  <c r="BL37" i="4"/>
  <c r="BA23" i="4"/>
  <c r="AZ37" i="4"/>
  <c r="AZ27" i="4"/>
  <c r="AN27" i="4"/>
  <c r="AN37" i="4"/>
  <c r="AO24" i="4"/>
  <c r="AB27" i="4"/>
  <c r="AC25" i="4"/>
  <c r="AB37" i="4"/>
  <c r="P27" i="4"/>
  <c r="P37" i="4"/>
  <c r="Q23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A17" i="4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D5" i="4"/>
  <c r="D17" i="4" s="1"/>
  <c r="D6" i="4"/>
  <c r="D18" i="4" s="1"/>
  <c r="D19" i="4" s="1"/>
  <c r="D20" i="4" s="1"/>
  <c r="D7" i="4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8" i="4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4" i="4"/>
  <c r="D16" i="4" s="1"/>
  <c r="E17" i="4" s="1"/>
  <c r="BM24" i="4" l="1"/>
  <c r="BY25" i="4"/>
  <c r="BX28" i="4"/>
  <c r="BX38" i="4"/>
  <c r="BL38" i="4"/>
  <c r="BL28" i="4"/>
  <c r="AZ28" i="4"/>
  <c r="AZ38" i="4"/>
  <c r="BA24" i="4"/>
  <c r="AO25" i="4"/>
  <c r="AN38" i="4"/>
  <c r="AN28" i="4"/>
  <c r="AB38" i="4"/>
  <c r="AC26" i="4"/>
  <c r="AB28" i="4"/>
  <c r="Q24" i="4"/>
  <c r="P38" i="4"/>
  <c r="P28" i="4"/>
  <c r="E18" i="4"/>
  <c r="BM25" i="4" l="1"/>
  <c r="BX29" i="4"/>
  <c r="BX39" i="4"/>
  <c r="BY26" i="4"/>
  <c r="BL29" i="4"/>
  <c r="BL39" i="4"/>
  <c r="BA25" i="4"/>
  <c r="AZ39" i="4"/>
  <c r="AZ29" i="4"/>
  <c r="AN29" i="4"/>
  <c r="AN39" i="4"/>
  <c r="AO26" i="4"/>
  <c r="AB29" i="4"/>
  <c r="AC27" i="4"/>
  <c r="AB39" i="4"/>
  <c r="P39" i="4"/>
  <c r="P29" i="4"/>
  <c r="Q25" i="4"/>
  <c r="E19" i="4"/>
  <c r="BM26" i="4" l="1"/>
  <c r="BY27" i="4"/>
  <c r="BX30" i="4"/>
  <c r="BX40" i="4"/>
  <c r="BL40" i="4"/>
  <c r="BL30" i="4"/>
  <c r="AZ30" i="4"/>
  <c r="AZ40" i="4"/>
  <c r="BA26" i="4"/>
  <c r="AO27" i="4"/>
  <c r="AN40" i="4"/>
  <c r="AN30" i="4"/>
  <c r="AB40" i="4"/>
  <c r="AC28" i="4"/>
  <c r="AB30" i="4"/>
  <c r="Q26" i="4"/>
  <c r="P30" i="4"/>
  <c r="P40" i="4"/>
  <c r="E20" i="4"/>
  <c r="BM27" i="4" l="1"/>
  <c r="BX41" i="4"/>
  <c r="BY28" i="4"/>
  <c r="BL41" i="4"/>
  <c r="AZ41" i="4"/>
  <c r="BA27" i="4"/>
  <c r="AN41" i="4"/>
  <c r="AO28" i="4"/>
  <c r="AC29" i="4"/>
  <c r="AB41" i="4"/>
  <c r="P41" i="4"/>
  <c r="Q27" i="4"/>
  <c r="E21" i="4"/>
  <c r="BM28" i="4" l="1"/>
  <c r="BY29" i="4"/>
  <c r="BX42" i="4"/>
  <c r="BL42" i="4"/>
  <c r="BA28" i="4"/>
  <c r="AZ42" i="4"/>
  <c r="AO29" i="4"/>
  <c r="AN42" i="4"/>
  <c r="AB42" i="4"/>
  <c r="AC30" i="4"/>
  <c r="Q28" i="4"/>
  <c r="P42" i="4"/>
  <c r="E22" i="4"/>
  <c r="BM29" i="4" l="1"/>
  <c r="BX43" i="4"/>
  <c r="BY30" i="4"/>
  <c r="BL43" i="4"/>
  <c r="AZ43" i="4"/>
  <c r="BA29" i="4"/>
  <c r="AN43" i="4"/>
  <c r="AO30" i="4"/>
  <c r="AC31" i="4"/>
  <c r="AB43" i="4"/>
  <c r="P43" i="4"/>
  <c r="Q29" i="4"/>
  <c r="E23" i="4"/>
  <c r="BM30" i="4" l="1"/>
  <c r="BY31" i="4"/>
  <c r="BX44" i="4"/>
  <c r="BL44" i="4"/>
  <c r="BA30" i="4"/>
  <c r="AZ44" i="4"/>
  <c r="AO31" i="4"/>
  <c r="AN44" i="4"/>
  <c r="AB44" i="4"/>
  <c r="AC32" i="4"/>
  <c r="Q30" i="4"/>
  <c r="P44" i="4"/>
  <c r="E24" i="4"/>
  <c r="BM31" i="4" l="1"/>
  <c r="BX45" i="4"/>
  <c r="BY32" i="4"/>
  <c r="BL45" i="4"/>
  <c r="AZ45" i="4"/>
  <c r="BA31" i="4"/>
  <c r="AN45" i="4"/>
  <c r="AO32" i="4"/>
  <c r="AC33" i="4"/>
  <c r="AB45" i="4"/>
  <c r="P45" i="4"/>
  <c r="Q31" i="4"/>
  <c r="E25" i="4"/>
  <c r="BM32" i="4" l="1"/>
  <c r="BY33" i="4"/>
  <c r="BX46" i="4"/>
  <c r="BL46" i="4"/>
  <c r="BA32" i="4"/>
  <c r="AZ46" i="4"/>
  <c r="AO33" i="4"/>
  <c r="AN46" i="4"/>
  <c r="AB46" i="4"/>
  <c r="AC34" i="4"/>
  <c r="Q32" i="4"/>
  <c r="P46" i="4"/>
  <c r="E26" i="4"/>
  <c r="BM33" i="4" l="1"/>
  <c r="BX47" i="4"/>
  <c r="BY34" i="4"/>
  <c r="BL47" i="4"/>
  <c r="AZ47" i="4"/>
  <c r="BA33" i="4"/>
  <c r="AN47" i="4"/>
  <c r="AO34" i="4"/>
  <c r="AC35" i="4"/>
  <c r="AB47" i="4"/>
  <c r="Q33" i="4"/>
  <c r="P47" i="4"/>
  <c r="E27" i="4"/>
  <c r="BM34" i="4" l="1"/>
  <c r="BY35" i="4"/>
  <c r="BX48" i="4"/>
  <c r="BL48" i="4"/>
  <c r="BA34" i="4"/>
  <c r="AZ48" i="4"/>
  <c r="AO35" i="4"/>
  <c r="AN48" i="4"/>
  <c r="AB48" i="4"/>
  <c r="AC36" i="4"/>
  <c r="P48" i="4"/>
  <c r="Q34" i="4"/>
  <c r="E28" i="4"/>
  <c r="BM35" i="4" l="1"/>
  <c r="BY36" i="4"/>
  <c r="BX49" i="4"/>
  <c r="BL49" i="4"/>
  <c r="AZ49" i="4"/>
  <c r="BA35" i="4"/>
  <c r="AN49" i="4"/>
  <c r="AO36" i="4"/>
  <c r="AC37" i="4"/>
  <c r="AB49" i="4"/>
  <c r="P49" i="4"/>
  <c r="Q35" i="4"/>
  <c r="E29" i="4"/>
  <c r="BM36" i="4" l="1"/>
  <c r="BY37" i="4"/>
  <c r="BX50" i="4"/>
  <c r="BL50" i="4"/>
  <c r="BA36" i="4"/>
  <c r="AZ50" i="4"/>
  <c r="AO37" i="4"/>
  <c r="AN50" i="4"/>
  <c r="AC38" i="4"/>
  <c r="AB50" i="4"/>
  <c r="Q36" i="4"/>
  <c r="P50" i="4"/>
  <c r="E30" i="4"/>
  <c r="BM37" i="4" l="1"/>
  <c r="BY38" i="4"/>
  <c r="BX51" i="4"/>
  <c r="BL51" i="4"/>
  <c r="AZ51" i="4"/>
  <c r="BA37" i="4"/>
  <c r="AN51" i="4"/>
  <c r="AO38" i="4"/>
  <c r="AB51" i="4"/>
  <c r="AC39" i="4"/>
  <c r="Q37" i="4"/>
  <c r="P51" i="4"/>
  <c r="E31" i="4"/>
  <c r="BM38" i="4" l="1"/>
  <c r="BX52" i="4"/>
  <c r="BY39" i="4"/>
  <c r="BL52" i="4"/>
  <c r="BA38" i="4"/>
  <c r="AZ52" i="4"/>
  <c r="AO39" i="4"/>
  <c r="AN52" i="4"/>
  <c r="AC40" i="4"/>
  <c r="AB52" i="4"/>
  <c r="P52" i="4"/>
  <c r="Q38" i="4"/>
  <c r="E32" i="4"/>
  <c r="BM39" i="4" l="1"/>
  <c r="BY40" i="4"/>
  <c r="BX53" i="4"/>
  <c r="BL53" i="4"/>
  <c r="AZ53" i="4"/>
  <c r="BA39" i="4"/>
  <c r="AN53" i="4"/>
  <c r="AO40" i="4"/>
  <c r="AB53" i="4"/>
  <c r="AC41" i="4"/>
  <c r="Q39" i="4"/>
  <c r="P53" i="4"/>
  <c r="E33" i="4"/>
  <c r="BM40" i="4" l="1"/>
  <c r="BX54" i="4"/>
  <c r="BY41" i="4"/>
  <c r="BL54" i="4"/>
  <c r="BA40" i="4"/>
  <c r="AZ54" i="4"/>
  <c r="AO41" i="4"/>
  <c r="AN54" i="4"/>
  <c r="AC42" i="4"/>
  <c r="AB54" i="4"/>
  <c r="P54" i="4"/>
  <c r="Q40" i="4"/>
  <c r="E34" i="4"/>
  <c r="BM41" i="4" l="1"/>
  <c r="BY42" i="4"/>
  <c r="BX55" i="4"/>
  <c r="BL55" i="4"/>
  <c r="AZ55" i="4"/>
  <c r="BA41" i="4"/>
  <c r="AN55" i="4"/>
  <c r="AO42" i="4"/>
  <c r="AB55" i="4"/>
  <c r="AC43" i="4"/>
  <c r="Q41" i="4"/>
  <c r="P55" i="4"/>
  <c r="E35" i="4"/>
  <c r="BM42" i="4" l="1"/>
  <c r="BX56" i="4"/>
  <c r="BY43" i="4"/>
  <c r="BL56" i="4"/>
  <c r="BA42" i="4"/>
  <c r="AZ56" i="4"/>
  <c r="AO43" i="4"/>
  <c r="AN56" i="4"/>
  <c r="AC44" i="4"/>
  <c r="AB56" i="4"/>
  <c r="P56" i="4"/>
  <c r="Q42" i="4"/>
  <c r="E36" i="4"/>
  <c r="BM43" i="4" l="1"/>
  <c r="BY44" i="4"/>
  <c r="BX57" i="4"/>
  <c r="BL57" i="4"/>
  <c r="AZ57" i="4"/>
  <c r="BA43" i="4"/>
  <c r="AN57" i="4"/>
  <c r="AO44" i="4"/>
  <c r="AB57" i="4"/>
  <c r="AC45" i="4"/>
  <c r="Q43" i="4"/>
  <c r="P57" i="4"/>
  <c r="E37" i="4"/>
  <c r="BM44" i="4" l="1"/>
  <c r="BX58" i="4"/>
  <c r="BY45" i="4"/>
  <c r="BL58" i="4"/>
  <c r="BA44" i="4"/>
  <c r="AZ58" i="4"/>
  <c r="AO45" i="4"/>
  <c r="AN58" i="4"/>
  <c r="AC46" i="4"/>
  <c r="AB58" i="4"/>
  <c r="P58" i="4"/>
  <c r="Q44" i="4"/>
  <c r="E38" i="4"/>
  <c r="BM45" i="4" l="1"/>
  <c r="BY46" i="4"/>
  <c r="BX59" i="4"/>
  <c r="BL59" i="4"/>
  <c r="AZ59" i="4"/>
  <c r="BA45" i="4"/>
  <c r="AN59" i="4"/>
  <c r="AO46" i="4"/>
  <c r="AB59" i="4"/>
  <c r="AC47" i="4"/>
  <c r="Q45" i="4"/>
  <c r="P59" i="4"/>
  <c r="E39" i="4"/>
  <c r="BM46" i="4" l="1"/>
  <c r="BX60" i="4"/>
  <c r="BY47" i="4"/>
  <c r="BL60" i="4"/>
  <c r="BA46" i="4"/>
  <c r="AZ60" i="4"/>
  <c r="AO47" i="4"/>
  <c r="AN60" i="4"/>
  <c r="AC48" i="4"/>
  <c r="AB60" i="4"/>
  <c r="P60" i="4"/>
  <c r="Q46" i="4"/>
  <c r="E40" i="4"/>
  <c r="BM47" i="4" l="1"/>
  <c r="BY48" i="4"/>
  <c r="BX61" i="4"/>
  <c r="BL61" i="4"/>
  <c r="AZ61" i="4"/>
  <c r="BA47" i="4"/>
  <c r="AN61" i="4"/>
  <c r="AO48" i="4"/>
  <c r="AC49" i="4"/>
  <c r="AB61" i="4"/>
  <c r="Q47" i="4"/>
  <c r="P61" i="4"/>
  <c r="E41" i="4"/>
  <c r="BM48" i="4" l="1"/>
  <c r="BY49" i="4"/>
  <c r="BX62" i="4"/>
  <c r="BL62" i="4"/>
  <c r="BA48" i="4"/>
  <c r="AZ62" i="4"/>
  <c r="AO49" i="4"/>
  <c r="AN62" i="4"/>
  <c r="AC50" i="4"/>
  <c r="AB62" i="4"/>
  <c r="P62" i="4"/>
  <c r="Q48" i="4"/>
  <c r="E42" i="4"/>
  <c r="BM49" i="4" l="1"/>
  <c r="BY50" i="4"/>
  <c r="BX63" i="4"/>
  <c r="BL63" i="4"/>
  <c r="AZ63" i="4"/>
  <c r="BA49" i="4"/>
  <c r="AN63" i="4"/>
  <c r="AO50" i="4"/>
  <c r="AB63" i="4"/>
  <c r="AC51" i="4"/>
  <c r="Q49" i="4"/>
  <c r="P63" i="4"/>
  <c r="E43" i="4"/>
  <c r="BM50" i="4" l="1"/>
  <c r="BY51" i="4"/>
  <c r="BX64" i="4"/>
  <c r="BL64" i="4"/>
  <c r="BA50" i="4"/>
  <c r="AZ64" i="4"/>
  <c r="AN64" i="4"/>
  <c r="AO51" i="4"/>
  <c r="AC52" i="4"/>
  <c r="AB64" i="4"/>
  <c r="P64" i="4"/>
  <c r="Q50" i="4"/>
  <c r="E44" i="4"/>
  <c r="BM51" i="4" l="1"/>
  <c r="BY52" i="4"/>
  <c r="BX65" i="4"/>
  <c r="BL65" i="4"/>
  <c r="AZ65" i="4"/>
  <c r="BA51" i="4"/>
  <c r="AO52" i="4"/>
  <c r="AN65" i="4"/>
  <c r="AB65" i="4"/>
  <c r="AC53" i="4"/>
  <c r="Q51" i="4"/>
  <c r="P65" i="4"/>
  <c r="E45" i="4"/>
  <c r="BM52" i="4" l="1"/>
  <c r="BX66" i="4"/>
  <c r="BY53" i="4"/>
  <c r="BL66" i="4"/>
  <c r="BA52" i="4"/>
  <c r="AZ66" i="4"/>
  <c r="AO53" i="4"/>
  <c r="AN66" i="4"/>
  <c r="AC54" i="4"/>
  <c r="AB66" i="4"/>
  <c r="P66" i="4"/>
  <c r="Q52" i="4"/>
  <c r="E46" i="4"/>
  <c r="BM53" i="4" l="1"/>
  <c r="BY54" i="4"/>
  <c r="BA53" i="4"/>
  <c r="AO54" i="4"/>
  <c r="AC55" i="4"/>
  <c r="Q53" i="4"/>
  <c r="E47" i="4"/>
  <c r="BM54" i="4" l="1"/>
  <c r="BY55" i="4"/>
  <c r="BA54" i="4"/>
  <c r="AO55" i="4"/>
  <c r="AC56" i="4"/>
  <c r="Q54" i="4"/>
  <c r="E48" i="4"/>
  <c r="BM55" i="4" l="1"/>
  <c r="BY56" i="4"/>
  <c r="BA55" i="4"/>
  <c r="AO56" i="4"/>
  <c r="AC57" i="4"/>
  <c r="Q55" i="4"/>
  <c r="E49" i="4"/>
  <c r="BM56" i="4" l="1"/>
  <c r="BY57" i="4"/>
  <c r="BA56" i="4"/>
  <c r="AO57" i="4"/>
  <c r="AC58" i="4"/>
  <c r="Q56" i="4"/>
  <c r="E50" i="4"/>
  <c r="BM57" i="4" l="1"/>
  <c r="BY58" i="4"/>
  <c r="BA57" i="4"/>
  <c r="AO58" i="4"/>
  <c r="AC59" i="4"/>
  <c r="Q57" i="4"/>
  <c r="E51" i="4"/>
  <c r="BM58" i="4" l="1"/>
  <c r="BY59" i="4"/>
  <c r="BA58" i="4"/>
  <c r="AO59" i="4"/>
  <c r="AC60" i="4"/>
  <c r="Q58" i="4"/>
  <c r="E52" i="4"/>
  <c r="BM59" i="4" l="1"/>
  <c r="BY60" i="4"/>
  <c r="BA59" i="4"/>
  <c r="AO60" i="4"/>
  <c r="AC61" i="4"/>
  <c r="Q59" i="4"/>
  <c r="E53" i="4"/>
  <c r="BM60" i="4" l="1"/>
  <c r="BY61" i="4"/>
  <c r="BA60" i="4"/>
  <c r="AO61" i="4"/>
  <c r="AC62" i="4"/>
  <c r="Q60" i="4"/>
  <c r="E54" i="4"/>
  <c r="BM61" i="4" l="1"/>
  <c r="BY62" i="4"/>
  <c r="BA61" i="4"/>
  <c r="AO62" i="4"/>
  <c r="AC63" i="4"/>
  <c r="Q61" i="4"/>
  <c r="E55" i="4"/>
  <c r="BM62" i="4" l="1"/>
  <c r="BY63" i="4"/>
  <c r="BA62" i="4"/>
  <c r="AO63" i="4"/>
  <c r="AC64" i="4"/>
  <c r="Q62" i="4"/>
  <c r="E56" i="4"/>
  <c r="BM63" i="4" l="1"/>
  <c r="BY64" i="4"/>
  <c r="BA63" i="4"/>
  <c r="AO64" i="4"/>
  <c r="AC65" i="4"/>
  <c r="Q63" i="4"/>
  <c r="E57" i="4"/>
  <c r="BM64" i="4" l="1"/>
  <c r="BY65" i="4"/>
  <c r="BA64" i="4"/>
  <c r="AO65" i="4"/>
  <c r="AC66" i="4"/>
  <c r="Q64" i="4"/>
  <c r="E58" i="4"/>
  <c r="BM65" i="4" l="1"/>
  <c r="BY66" i="4"/>
  <c r="BA65" i="4"/>
  <c r="AO66" i="4"/>
  <c r="Q65" i="4"/>
  <c r="E59" i="4"/>
  <c r="BM66" i="4" l="1"/>
  <c r="BA66" i="4"/>
  <c r="Q66" i="4"/>
  <c r="E60" i="4"/>
  <c r="E61" i="4" l="1"/>
  <c r="E62" i="4" l="1"/>
  <c r="E63" i="4" l="1"/>
  <c r="E64" i="4" l="1"/>
  <c r="E65" i="4" l="1"/>
  <c r="E66" i="4" l="1"/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" i="1"/>
  <c r="CB54" i="4" l="1"/>
  <c r="CC54" i="4"/>
  <c r="CB41" i="4" l="1"/>
  <c r="CC41" i="4"/>
  <c r="CC27" i="4"/>
  <c r="CB27" i="4"/>
  <c r="CB61" i="4"/>
  <c r="CC61" i="4"/>
  <c r="CC58" i="4"/>
  <c r="CB58" i="4"/>
  <c r="CB39" i="4"/>
  <c r="CC39" i="4"/>
  <c r="CB20" i="4"/>
  <c r="CC20" i="4"/>
  <c r="CB64" i="4"/>
  <c r="CC64" i="4"/>
  <c r="CC55" i="4"/>
  <c r="CB55" i="4"/>
  <c r="CB38" i="4"/>
  <c r="CC38" i="4"/>
  <c r="CB40" i="4"/>
  <c r="CC40" i="4"/>
  <c r="CB34" i="4"/>
  <c r="CC34" i="4"/>
  <c r="CB33" i="4"/>
  <c r="CC33" i="4"/>
  <c r="CB36" i="4"/>
  <c r="CC36" i="4"/>
  <c r="CB63" i="4"/>
  <c r="CC63" i="4"/>
  <c r="CC47" i="4"/>
  <c r="CB47" i="4"/>
  <c r="CB45" i="4"/>
  <c r="CC45" i="4"/>
  <c r="CB23" i="4"/>
  <c r="CC23" i="4"/>
  <c r="CB50" i="4"/>
  <c r="CC50" i="4"/>
  <c r="CB28" i="4"/>
  <c r="CC28" i="4"/>
  <c r="CB42" i="4"/>
  <c r="CC42" i="4"/>
  <c r="CC56" i="4"/>
  <c r="CB56" i="4"/>
  <c r="CC66" i="4"/>
  <c r="CB66" i="4"/>
  <c r="CB60" i="4"/>
  <c r="CC60" i="4"/>
  <c r="CC22" i="4"/>
  <c r="CB22" i="4"/>
  <c r="CB17" i="4"/>
  <c r="CC17" i="4"/>
  <c r="CB59" i="4"/>
  <c r="CC59" i="4"/>
  <c r="CB62" i="4"/>
  <c r="CC62" i="4"/>
  <c r="CB25" i="4"/>
  <c r="CC25" i="4"/>
  <c r="CC53" i="4"/>
  <c r="CB53" i="4"/>
  <c r="CC65" i="4"/>
  <c r="CB65" i="4"/>
  <c r="CC35" i="4"/>
  <c r="CB35" i="4"/>
  <c r="CB18" i="4"/>
  <c r="CC18" i="4"/>
  <c r="CB19" i="4"/>
  <c r="CC19" i="4"/>
  <c r="CB48" i="4"/>
  <c r="CC48" i="4"/>
  <c r="CB37" i="4"/>
  <c r="CC37" i="4"/>
  <c r="CB24" i="4"/>
  <c r="CC24" i="4"/>
  <c r="CB30" i="4"/>
  <c r="CC30" i="4"/>
  <c r="CC49" i="4"/>
  <c r="CB49" i="4"/>
  <c r="CC57" i="4"/>
  <c r="CB57" i="4"/>
  <c r="CB43" i="4"/>
  <c r="CC43" i="4"/>
  <c r="CB44" i="4"/>
  <c r="CC44" i="4"/>
  <c r="CB29" i="4"/>
  <c r="CC29" i="4"/>
  <c r="CB51" i="4"/>
  <c r="CC51" i="4"/>
  <c r="CB46" i="4"/>
  <c r="CC46" i="4"/>
  <c r="CB21" i="4"/>
  <c r="CC21" i="4"/>
  <c r="CB52" i="4"/>
  <c r="CC52" i="4"/>
  <c r="CC32" i="4"/>
  <c r="CB32" i="4"/>
  <c r="CB31" i="4"/>
  <c r="CC31" i="4"/>
  <c r="CC26" i="4"/>
  <c r="CB26" i="4"/>
  <c r="CB16" i="4" l="1"/>
  <c r="CC16" i="4"/>
  <c r="CD59" i="4" s="1"/>
  <c r="CE59" i="4" s="1"/>
  <c r="CD18" i="4" l="1"/>
  <c r="CE18" i="4" s="1"/>
  <c r="CD45" i="4"/>
  <c r="CE45" i="4" s="1"/>
  <c r="AR57" i="4"/>
  <c r="AR40" i="4"/>
  <c r="AR28" i="4"/>
  <c r="AR26" i="4"/>
  <c r="AR31" i="4"/>
  <c r="AR48" i="4"/>
  <c r="AR38" i="4"/>
  <c r="AR37" i="4"/>
  <c r="AR61" i="4"/>
  <c r="AR51" i="4"/>
  <c r="AR41" i="4"/>
  <c r="AS21" i="4"/>
  <c r="AR65" i="4"/>
  <c r="AR45" i="4"/>
  <c r="I22" i="4"/>
  <c r="CD16" i="4"/>
  <c r="CE16" i="4" s="1"/>
  <c r="CD54" i="4"/>
  <c r="CE54" i="4" s="1"/>
  <c r="CD55" i="4"/>
  <c r="CE55" i="4" s="1"/>
  <c r="CD21" i="4"/>
  <c r="CE21" i="4" s="1"/>
  <c r="CD63" i="4"/>
  <c r="CE63" i="4" s="1"/>
  <c r="CD49" i="4"/>
  <c r="CE49" i="4" s="1"/>
  <c r="CD24" i="4"/>
  <c r="CE24" i="4" s="1"/>
  <c r="CD48" i="4"/>
  <c r="CE48" i="4" s="1"/>
  <c r="CD52" i="4"/>
  <c r="CE52" i="4" s="1"/>
  <c r="T19" i="4"/>
  <c r="U19" i="4"/>
  <c r="CD36" i="4"/>
  <c r="CE36" i="4" s="1"/>
  <c r="CD60" i="4"/>
  <c r="CE60" i="4" s="1"/>
  <c r="CD19" i="4"/>
  <c r="CE19" i="4" s="1"/>
  <c r="CD29" i="4"/>
  <c r="CE29" i="4" s="1"/>
  <c r="CD56" i="4"/>
  <c r="CE56" i="4" s="1"/>
  <c r="CD22" i="4"/>
  <c r="CE22" i="4" s="1"/>
  <c r="CD41" i="4"/>
  <c r="CE41" i="4" s="1"/>
  <c r="CD34" i="4"/>
  <c r="CE34" i="4" s="1"/>
  <c r="CD50" i="4"/>
  <c r="CE50" i="4" s="1"/>
  <c r="CD64" i="4"/>
  <c r="CE64" i="4" s="1"/>
  <c r="CD62" i="4"/>
  <c r="CE62" i="4" s="1"/>
  <c r="CD58" i="4"/>
  <c r="CE58" i="4" s="1"/>
  <c r="CD47" i="4"/>
  <c r="CE47" i="4" s="1"/>
  <c r="CD25" i="4"/>
  <c r="CE25" i="4" s="1"/>
  <c r="CD44" i="4"/>
  <c r="CE44" i="4" s="1"/>
  <c r="BD56" i="4"/>
  <c r="BE56" i="4"/>
  <c r="CD42" i="4"/>
  <c r="CE42" i="4" s="1"/>
  <c r="CD32" i="4"/>
  <c r="CE32" i="4" s="1"/>
  <c r="BQ30" i="4"/>
  <c r="BP30" i="4"/>
  <c r="CD65" i="4"/>
  <c r="CE65" i="4" s="1"/>
  <c r="CD23" i="4"/>
  <c r="CE23" i="4" s="1"/>
  <c r="I55" i="4"/>
  <c r="H55" i="4"/>
  <c r="CD17" i="4"/>
  <c r="CE17" i="4" s="1"/>
  <c r="CD53" i="4"/>
  <c r="CE53" i="4" s="1"/>
  <c r="CD30" i="4"/>
  <c r="CE30" i="4" s="1"/>
  <c r="CD35" i="4"/>
  <c r="CE35" i="4" s="1"/>
  <c r="AS60" i="4"/>
  <c r="AR60" i="4"/>
  <c r="AS19" i="4"/>
  <c r="AR19" i="4"/>
  <c r="CD66" i="4"/>
  <c r="CE66" i="4" s="1"/>
  <c r="CD39" i="4"/>
  <c r="CE39" i="4" s="1"/>
  <c r="CD57" i="4"/>
  <c r="CE57" i="4" s="1"/>
  <c r="AS57" i="4"/>
  <c r="CD61" i="4"/>
  <c r="CE61" i="4" s="1"/>
  <c r="AF54" i="4"/>
  <c r="AG54" i="4"/>
  <c r="CD31" i="4"/>
  <c r="CE31" i="4" s="1"/>
  <c r="CD46" i="4"/>
  <c r="CE46" i="4" s="1"/>
  <c r="CD38" i="4"/>
  <c r="CE38" i="4" s="1"/>
  <c r="CD40" i="4"/>
  <c r="CE40" i="4" s="1"/>
  <c r="CD26" i="4"/>
  <c r="CE26" i="4" s="1"/>
  <c r="AR50" i="4"/>
  <c r="AS50" i="4"/>
  <c r="CD37" i="4"/>
  <c r="CE37" i="4" s="1"/>
  <c r="CD43" i="4"/>
  <c r="CE43" i="4" s="1"/>
  <c r="CD51" i="4"/>
  <c r="CE51" i="4" s="1"/>
  <c r="CD27" i="4"/>
  <c r="CE27" i="4" s="1"/>
  <c r="CD33" i="4"/>
  <c r="CE33" i="4" s="1"/>
  <c r="CD20" i="4"/>
  <c r="CE20" i="4" s="1"/>
  <c r="CD28" i="4"/>
  <c r="CE28" i="4" s="1"/>
  <c r="BY6" i="4" l="1"/>
  <c r="CF18" i="4" s="1"/>
  <c r="CF19" i="4" s="1"/>
  <c r="CF20" i="4" s="1"/>
  <c r="AS40" i="4"/>
  <c r="AS48" i="4"/>
  <c r="AS28" i="4"/>
  <c r="AS31" i="4"/>
  <c r="BY8" i="4"/>
  <c r="CF31" i="4" s="1"/>
  <c r="CF32" i="4" s="1"/>
  <c r="CF33" i="4" s="1"/>
  <c r="CF34" i="4" s="1"/>
  <c r="CF35" i="4" s="1"/>
  <c r="CF36" i="4" s="1"/>
  <c r="CF37" i="4" s="1"/>
  <c r="CF38" i="4" s="1"/>
  <c r="CF39" i="4" s="1"/>
  <c r="CF40" i="4" s="1"/>
  <c r="CF41" i="4" s="1"/>
  <c r="CF42" i="4" s="1"/>
  <c r="CF43" i="4" s="1"/>
  <c r="CF44" i="4" s="1"/>
  <c r="CF45" i="4" s="1"/>
  <c r="CF46" i="4" s="1"/>
  <c r="CF47" i="4" s="1"/>
  <c r="CF48" i="4" s="1"/>
  <c r="CF49" i="4" s="1"/>
  <c r="CF50" i="4" s="1"/>
  <c r="CF51" i="4" s="1"/>
  <c r="CF52" i="4" s="1"/>
  <c r="CF53" i="4" s="1"/>
  <c r="CF54" i="4" s="1"/>
  <c r="CF55" i="4" s="1"/>
  <c r="CF56" i="4" s="1"/>
  <c r="CF57" i="4" s="1"/>
  <c r="CF58" i="4" s="1"/>
  <c r="CF59" i="4" s="1"/>
  <c r="CF60" i="4" s="1"/>
  <c r="CF61" i="4" s="1"/>
  <c r="CF62" i="4" s="1"/>
  <c r="CF63" i="4" s="1"/>
  <c r="CF64" i="4" s="1"/>
  <c r="CF65" i="4" s="1"/>
  <c r="CF66" i="4" s="1"/>
  <c r="AS51" i="4"/>
  <c r="AS61" i="4"/>
  <c r="BY4" i="4"/>
  <c r="CF16" i="4" s="1"/>
  <c r="CG17" i="4" s="1"/>
  <c r="BY7" i="4"/>
  <c r="CF21" i="4" s="1"/>
  <c r="CF22" i="4" s="1"/>
  <c r="CF23" i="4" s="1"/>
  <c r="CF24" i="4" s="1"/>
  <c r="CF25" i="4" s="1"/>
  <c r="CF26" i="4" s="1"/>
  <c r="CF27" i="4" s="1"/>
  <c r="CF28" i="4" s="1"/>
  <c r="CF29" i="4" s="1"/>
  <c r="CF30" i="4" s="1"/>
  <c r="BY5" i="4"/>
  <c r="CF17" i="4" s="1"/>
  <c r="AS41" i="4"/>
  <c r="AS26" i="4"/>
  <c r="AS38" i="4"/>
  <c r="AS37" i="4"/>
  <c r="H22" i="4"/>
  <c r="AS45" i="4"/>
  <c r="AR21" i="4"/>
  <c r="AS65" i="4"/>
  <c r="BP32" i="4"/>
  <c r="BQ32" i="4"/>
  <c r="AF29" i="4"/>
  <c r="AG29" i="4"/>
  <c r="BE35" i="4"/>
  <c r="BD35" i="4"/>
  <c r="BE45" i="4"/>
  <c r="BD45" i="4"/>
  <c r="H40" i="4"/>
  <c r="I40" i="4"/>
  <c r="U63" i="4"/>
  <c r="T63" i="4"/>
  <c r="AF35" i="4"/>
  <c r="AG35" i="4"/>
  <c r="AG19" i="4"/>
  <c r="AF19" i="4"/>
  <c r="BP64" i="4"/>
  <c r="BQ64" i="4"/>
  <c r="H23" i="4"/>
  <c r="I23" i="4"/>
  <c r="BE22" i="4"/>
  <c r="BD22" i="4"/>
  <c r="BD52" i="4"/>
  <c r="BE52" i="4"/>
  <c r="I17" i="4"/>
  <c r="H17" i="4"/>
  <c r="AS36" i="4"/>
  <c r="AR36" i="4"/>
  <c r="AF51" i="4"/>
  <c r="AG51" i="4"/>
  <c r="AF30" i="4"/>
  <c r="AG30" i="4"/>
  <c r="BP49" i="4"/>
  <c r="BQ49" i="4"/>
  <c r="I29" i="4"/>
  <c r="H29" i="4"/>
  <c r="BD28" i="4"/>
  <c r="BE28" i="4"/>
  <c r="BD48" i="4"/>
  <c r="BE48" i="4"/>
  <c r="BE30" i="4"/>
  <c r="BD30" i="4"/>
  <c r="T26" i="4"/>
  <c r="U26" i="4"/>
  <c r="BD43" i="4"/>
  <c r="BE43" i="4"/>
  <c r="I66" i="4"/>
  <c r="H66" i="4"/>
  <c r="AF40" i="4"/>
  <c r="AG40" i="4"/>
  <c r="AR63" i="4"/>
  <c r="AS63" i="4"/>
  <c r="T34" i="4"/>
  <c r="U34" i="4"/>
  <c r="AR58" i="4"/>
  <c r="AS58" i="4"/>
  <c r="H30" i="4"/>
  <c r="I30" i="4"/>
  <c r="I52" i="4"/>
  <c r="H52" i="4"/>
  <c r="U53" i="4"/>
  <c r="T53" i="4"/>
  <c r="AG23" i="4"/>
  <c r="AF23" i="4"/>
  <c r="BP63" i="4"/>
  <c r="BQ63" i="4"/>
  <c r="U62" i="4"/>
  <c r="T62" i="4"/>
  <c r="I28" i="4"/>
  <c r="H28" i="4"/>
  <c r="T27" i="4"/>
  <c r="U27" i="4"/>
  <c r="BQ25" i="4"/>
  <c r="BP25" i="4"/>
  <c r="BE24" i="4"/>
  <c r="BD24" i="4"/>
  <c r="H16" i="4"/>
  <c r="I16" i="4"/>
  <c r="J16" i="4" s="1"/>
  <c r="K16" i="4" s="1"/>
  <c r="AR32" i="4"/>
  <c r="AS32" i="4"/>
  <c r="AG62" i="4"/>
  <c r="AF62" i="4"/>
  <c r="T48" i="4"/>
  <c r="U48" i="4"/>
  <c r="T55" i="4"/>
  <c r="U55" i="4"/>
  <c r="T46" i="4"/>
  <c r="U46" i="4"/>
  <c r="BP34" i="4"/>
  <c r="BQ34" i="4"/>
  <c r="H42" i="4"/>
  <c r="I42" i="4"/>
  <c r="H33" i="4"/>
  <c r="I33" i="4"/>
  <c r="U41" i="4"/>
  <c r="T41" i="4"/>
  <c r="H54" i="4"/>
  <c r="I54" i="4"/>
  <c r="I18" i="4"/>
  <c r="H18" i="4"/>
  <c r="AG49" i="4"/>
  <c r="AF49" i="4"/>
  <c r="AS24" i="4"/>
  <c r="AR24" i="4"/>
  <c r="AF63" i="4"/>
  <c r="AG63" i="4"/>
  <c r="AG47" i="4"/>
  <c r="AF47" i="4"/>
  <c r="BP36" i="4"/>
  <c r="BQ36" i="4"/>
  <c r="BP56" i="4"/>
  <c r="BQ56" i="4"/>
  <c r="BQ58" i="4"/>
  <c r="BP58" i="4"/>
  <c r="AS18" i="4"/>
  <c r="AR18" i="4"/>
  <c r="H59" i="4"/>
  <c r="I59" i="4"/>
  <c r="U64" i="4"/>
  <c r="T64" i="4"/>
  <c r="H41" i="4"/>
  <c r="I41" i="4"/>
  <c r="AF48" i="4"/>
  <c r="AG48" i="4"/>
  <c r="I63" i="4"/>
  <c r="H63" i="4"/>
  <c r="BE41" i="4"/>
  <c r="BD41" i="4"/>
  <c r="BE46" i="4"/>
  <c r="BD46" i="4"/>
  <c r="BP57" i="4"/>
  <c r="BQ57" i="4"/>
  <c r="BQ55" i="4"/>
  <c r="BP55" i="4"/>
  <c r="I57" i="4"/>
  <c r="H57" i="4"/>
  <c r="AF25" i="4"/>
  <c r="AG25" i="4"/>
  <c r="AR27" i="4"/>
  <c r="AS27" i="4"/>
  <c r="AR54" i="4"/>
  <c r="AS54" i="4"/>
  <c r="AR20" i="4"/>
  <c r="AS20" i="4"/>
  <c r="BP27" i="4"/>
  <c r="BQ27" i="4"/>
  <c r="I31" i="4"/>
  <c r="H31" i="4"/>
  <c r="AS16" i="4"/>
  <c r="AR16" i="4"/>
  <c r="BE49" i="4"/>
  <c r="BD49" i="4"/>
  <c r="BQ60" i="4"/>
  <c r="BP60" i="4"/>
  <c r="BD60" i="4"/>
  <c r="BE60" i="4"/>
  <c r="T60" i="4"/>
  <c r="U60" i="4"/>
  <c r="I24" i="4"/>
  <c r="H24" i="4"/>
  <c r="BD50" i="4"/>
  <c r="BE50" i="4"/>
  <c r="T21" i="4"/>
  <c r="U21" i="4"/>
  <c r="BE21" i="4"/>
  <c r="BD21" i="4"/>
  <c r="BD47" i="4"/>
  <c r="BE47" i="4"/>
  <c r="BP31" i="4"/>
  <c r="BQ31" i="4"/>
  <c r="AR33" i="4"/>
  <c r="AS33" i="4"/>
  <c r="AR59" i="4"/>
  <c r="AS59" i="4"/>
  <c r="AR64" i="4"/>
  <c r="AS64" i="4"/>
  <c r="AG33" i="4"/>
  <c r="AF33" i="4"/>
  <c r="BP23" i="4"/>
  <c r="BQ23" i="4"/>
  <c r="BP39" i="4"/>
  <c r="BQ39" i="4"/>
  <c r="AS66" i="4"/>
  <c r="AR66" i="4"/>
  <c r="T43" i="4"/>
  <c r="U43" i="4"/>
  <c r="AF34" i="4"/>
  <c r="AG34" i="4"/>
  <c r="AG66" i="4"/>
  <c r="AF66" i="4"/>
  <c r="AG64" i="4"/>
  <c r="AF64" i="4"/>
  <c r="H51" i="4"/>
  <c r="I51" i="4"/>
  <c r="BP37" i="4"/>
  <c r="BQ37" i="4"/>
  <c r="BD32" i="4"/>
  <c r="BE32" i="4"/>
  <c r="H58" i="4"/>
  <c r="I58" i="4"/>
  <c r="BQ22" i="4"/>
  <c r="BP22" i="4"/>
  <c r="AR46" i="4"/>
  <c r="AS46" i="4"/>
  <c r="AG27" i="4"/>
  <c r="AF27" i="4"/>
  <c r="AR49" i="4"/>
  <c r="AS49" i="4"/>
  <c r="I60" i="4"/>
  <c r="H60" i="4"/>
  <c r="AS29" i="4"/>
  <c r="AR29" i="4"/>
  <c r="T39" i="4"/>
  <c r="U39" i="4"/>
  <c r="AR17" i="4"/>
  <c r="AS17" i="4"/>
  <c r="AF18" i="4"/>
  <c r="AG18" i="4"/>
  <c r="AF55" i="4"/>
  <c r="AG55" i="4"/>
  <c r="U36" i="4"/>
  <c r="T36" i="4"/>
  <c r="H20" i="4"/>
  <c r="I20" i="4"/>
  <c r="BE23" i="4"/>
  <c r="BD23" i="4"/>
  <c r="BD62" i="4"/>
  <c r="BE62" i="4"/>
  <c r="BD54" i="4"/>
  <c r="BE54" i="4"/>
  <c r="AF50" i="4"/>
  <c r="AG50" i="4"/>
  <c r="AG53" i="4"/>
  <c r="AF53" i="4"/>
  <c r="AR22" i="4"/>
  <c r="AS22" i="4"/>
  <c r="H36" i="4"/>
  <c r="I36" i="4"/>
  <c r="BD20" i="4"/>
  <c r="BE20" i="4"/>
  <c r="AR47" i="4"/>
  <c r="AS47" i="4"/>
  <c r="BE61" i="4"/>
  <c r="BD61" i="4"/>
  <c r="AF16" i="4"/>
  <c r="AG16" i="4"/>
  <c r="T65" i="4"/>
  <c r="U65" i="4"/>
  <c r="BD26" i="4"/>
  <c r="BE26" i="4"/>
  <c r="I43" i="4"/>
  <c r="H43" i="4"/>
  <c r="U28" i="4"/>
  <c r="T28" i="4"/>
  <c r="BD53" i="4"/>
  <c r="BE53" i="4"/>
  <c r="BD25" i="4"/>
  <c r="BE25" i="4"/>
  <c r="AF32" i="4"/>
  <c r="AG32" i="4"/>
  <c r="AR34" i="4"/>
  <c r="AS34" i="4"/>
  <c r="AR25" i="4"/>
  <c r="AS25" i="4"/>
  <c r="AF43" i="4"/>
  <c r="AG43" i="4"/>
  <c r="AG44" i="4"/>
  <c r="AF44" i="4"/>
  <c r="H47" i="4"/>
  <c r="I47" i="4"/>
  <c r="T56" i="4"/>
  <c r="U56" i="4"/>
  <c r="H39" i="4"/>
  <c r="I39" i="4"/>
  <c r="BP50" i="4"/>
  <c r="BQ50" i="4"/>
  <c r="H26" i="4"/>
  <c r="I26" i="4"/>
  <c r="BP53" i="4"/>
  <c r="BQ53" i="4"/>
  <c r="AF17" i="4"/>
  <c r="AG17" i="4"/>
  <c r="AG36" i="4"/>
  <c r="AF36" i="4"/>
  <c r="T38" i="4"/>
  <c r="U38" i="4"/>
  <c r="BE17" i="4"/>
  <c r="BD17" i="4"/>
  <c r="BP35" i="4"/>
  <c r="BQ35" i="4"/>
  <c r="BD34" i="4"/>
  <c r="BE34" i="4"/>
  <c r="T29" i="4"/>
  <c r="U29" i="4"/>
  <c r="AR42" i="4"/>
  <c r="AS42" i="4"/>
  <c r="AF24" i="4"/>
  <c r="AG24" i="4"/>
  <c r="T51" i="4"/>
  <c r="U51" i="4"/>
  <c r="T57" i="4"/>
  <c r="U57" i="4"/>
  <c r="AS44" i="4"/>
  <c r="AR44" i="4"/>
  <c r="BQ29" i="4"/>
  <c r="BP29" i="4"/>
  <c r="T54" i="4"/>
  <c r="U54" i="4"/>
  <c r="BD39" i="4"/>
  <c r="BE39" i="4"/>
  <c r="T42" i="4"/>
  <c r="U42" i="4"/>
  <c r="H27" i="4"/>
  <c r="I27" i="4"/>
  <c r="BP24" i="4"/>
  <c r="BQ24" i="4"/>
  <c r="AF58" i="4"/>
  <c r="AG58" i="4"/>
  <c r="BQ54" i="4"/>
  <c r="BP54" i="4"/>
  <c r="BE58" i="4"/>
  <c r="BD58" i="4"/>
  <c r="BE16" i="4"/>
  <c r="BF56" i="4" s="1"/>
  <c r="BG56" i="4" s="1"/>
  <c r="BD16" i="4"/>
  <c r="BD27" i="4"/>
  <c r="BE27" i="4"/>
  <c r="T17" i="4"/>
  <c r="U17" i="4"/>
  <c r="BP46" i="4"/>
  <c r="BQ46" i="4"/>
  <c r="AS43" i="4"/>
  <c r="AR43" i="4"/>
  <c r="AG21" i="4"/>
  <c r="AF21" i="4"/>
  <c r="AR62" i="4"/>
  <c r="AS62" i="4"/>
  <c r="BQ42" i="4"/>
  <c r="BP42" i="4"/>
  <c r="BP65" i="4"/>
  <c r="BQ65" i="4"/>
  <c r="AF52" i="4"/>
  <c r="AG52" i="4"/>
  <c r="I37" i="4"/>
  <c r="H37" i="4"/>
  <c r="I19" i="4"/>
  <c r="H19" i="4"/>
  <c r="BP19" i="4"/>
  <c r="BQ19" i="4"/>
  <c r="BP61" i="4"/>
  <c r="BQ61" i="4"/>
  <c r="BP43" i="4"/>
  <c r="BQ43" i="4"/>
  <c r="T50" i="4"/>
  <c r="U50" i="4"/>
  <c r="BP48" i="4"/>
  <c r="BQ48" i="4"/>
  <c r="BE38" i="4"/>
  <c r="BD38" i="4"/>
  <c r="T33" i="4"/>
  <c r="U33" i="4"/>
  <c r="BE66" i="4"/>
  <c r="BD66" i="4"/>
  <c r="I48" i="4"/>
  <c r="H48" i="4"/>
  <c r="U16" i="4"/>
  <c r="V16" i="4" s="1"/>
  <c r="W16" i="4" s="1"/>
  <c r="T16" i="4"/>
  <c r="BD29" i="4"/>
  <c r="BE29" i="4"/>
  <c r="AF60" i="4"/>
  <c r="AG60" i="4"/>
  <c r="AF37" i="4"/>
  <c r="AG37" i="4"/>
  <c r="AR55" i="4"/>
  <c r="AS55" i="4"/>
  <c r="BP44" i="4"/>
  <c r="BQ44" i="4"/>
  <c r="BD64" i="4"/>
  <c r="BE64" i="4"/>
  <c r="T49" i="4"/>
  <c r="U49" i="4"/>
  <c r="AF38" i="4"/>
  <c r="AG38" i="4"/>
  <c r="AS56" i="4"/>
  <c r="AR56" i="4"/>
  <c r="T44" i="4"/>
  <c r="U44" i="4"/>
  <c r="BP52" i="4"/>
  <c r="BQ52" i="4"/>
  <c r="BD65" i="4"/>
  <c r="BE65" i="4"/>
  <c r="U40" i="4"/>
  <c r="T40" i="4"/>
  <c r="I44" i="4"/>
  <c r="H44" i="4"/>
  <c r="T45" i="4"/>
  <c r="U45" i="4"/>
  <c r="BE40" i="4"/>
  <c r="BD40" i="4"/>
  <c r="BD57" i="4"/>
  <c r="BE57" i="4"/>
  <c r="H61" i="4"/>
  <c r="I61" i="4"/>
  <c r="T66" i="4"/>
  <c r="U66" i="4"/>
  <c r="I62" i="4"/>
  <c r="H62" i="4"/>
  <c r="AF42" i="4"/>
  <c r="AG42" i="4"/>
  <c r="AF39" i="4"/>
  <c r="AG39" i="4"/>
  <c r="AR30" i="4"/>
  <c r="AS30" i="4"/>
  <c r="T24" i="4"/>
  <c r="U24" i="4"/>
  <c r="I50" i="4"/>
  <c r="H50" i="4"/>
  <c r="H35" i="4"/>
  <c r="I35" i="4"/>
  <c r="AS23" i="4"/>
  <c r="AR23" i="4"/>
  <c r="I65" i="4"/>
  <c r="H65" i="4"/>
  <c r="T61" i="4"/>
  <c r="U61" i="4"/>
  <c r="BQ40" i="4"/>
  <c r="BP40" i="4"/>
  <c r="BP33" i="4"/>
  <c r="BQ33" i="4"/>
  <c r="AF28" i="4"/>
  <c r="AG28" i="4"/>
  <c r="T32" i="4"/>
  <c r="U32" i="4"/>
  <c r="BP20" i="4"/>
  <c r="BQ20" i="4"/>
  <c r="U20" i="4"/>
  <c r="T20" i="4"/>
  <c r="BE19" i="4"/>
  <c r="BD19" i="4"/>
  <c r="T58" i="4"/>
  <c r="U58" i="4"/>
  <c r="BD42" i="4"/>
  <c r="BE42" i="4"/>
  <c r="BQ26" i="4"/>
  <c r="BP26" i="4"/>
  <c r="BQ16" i="4"/>
  <c r="BR30" i="4" s="1"/>
  <c r="BS30" i="4" s="1"/>
  <c r="BP16" i="4"/>
  <c r="AR52" i="4"/>
  <c r="AS52" i="4"/>
  <c r="AF59" i="4"/>
  <c r="AG59" i="4"/>
  <c r="AF20" i="4"/>
  <c r="AG20" i="4"/>
  <c r="T22" i="4"/>
  <c r="U22" i="4"/>
  <c r="BQ62" i="4"/>
  <c r="BP62" i="4"/>
  <c r="T18" i="4"/>
  <c r="U18" i="4"/>
  <c r="H21" i="4"/>
  <c r="I21" i="4"/>
  <c r="BE55" i="4"/>
  <c r="BD55" i="4"/>
  <c r="T30" i="4"/>
  <c r="U30" i="4"/>
  <c r="BP38" i="4"/>
  <c r="BQ38" i="4"/>
  <c r="AG45" i="4"/>
  <c r="AF45" i="4"/>
  <c r="BE31" i="4"/>
  <c r="BD31" i="4"/>
  <c r="U25" i="4"/>
  <c r="T25" i="4"/>
  <c r="I53" i="4"/>
  <c r="H53" i="4"/>
  <c r="BD33" i="4"/>
  <c r="BE33" i="4"/>
  <c r="BP21" i="4"/>
  <c r="BQ21" i="4"/>
  <c r="BP66" i="4"/>
  <c r="BQ66" i="4"/>
  <c r="AG41" i="4"/>
  <c r="AF41" i="4"/>
  <c r="AG46" i="4"/>
  <c r="AF46" i="4"/>
  <c r="AF57" i="4"/>
  <c r="AG57" i="4"/>
  <c r="I64" i="4"/>
  <c r="H64" i="4"/>
  <c r="T47" i="4"/>
  <c r="U47" i="4"/>
  <c r="AF31" i="4"/>
  <c r="AG31" i="4"/>
  <c r="I25" i="4"/>
  <c r="H25" i="4"/>
  <c r="H45" i="4"/>
  <c r="I45" i="4"/>
  <c r="U59" i="4"/>
  <c r="T59" i="4"/>
  <c r="I32" i="4"/>
  <c r="H32" i="4"/>
  <c r="AG22" i="4"/>
  <c r="AF22" i="4"/>
  <c r="I49" i="4"/>
  <c r="H49" i="4"/>
  <c r="BD51" i="4"/>
  <c r="BE51" i="4"/>
  <c r="BE36" i="4"/>
  <c r="BD36" i="4"/>
  <c r="T31" i="4"/>
  <c r="U31" i="4"/>
  <c r="I34" i="4"/>
  <c r="H34" i="4"/>
  <c r="BD63" i="4"/>
  <c r="BE63" i="4"/>
  <c r="BQ17" i="4"/>
  <c r="BP17" i="4"/>
  <c r="AF61" i="4"/>
  <c r="AG61" i="4"/>
  <c r="AF26" i="4"/>
  <c r="AG26" i="4"/>
  <c r="T35" i="4"/>
  <c r="U35" i="4"/>
  <c r="BE37" i="4"/>
  <c r="BD37" i="4"/>
  <c r="BP28" i="4"/>
  <c r="BQ28" i="4"/>
  <c r="BE59" i="4"/>
  <c r="BD59" i="4"/>
  <c r="T23" i="4"/>
  <c r="U23" i="4"/>
  <c r="U52" i="4"/>
  <c r="T52" i="4"/>
  <c r="BE18" i="4"/>
  <c r="BD18" i="4"/>
  <c r="AR35" i="4"/>
  <c r="AS35" i="4"/>
  <c r="BP41" i="4"/>
  <c r="BQ41" i="4"/>
  <c r="BP51" i="4"/>
  <c r="BQ51" i="4"/>
  <c r="I56" i="4"/>
  <c r="H56" i="4"/>
  <c r="AR39" i="4"/>
  <c r="AS39" i="4"/>
  <c r="BP59" i="4"/>
  <c r="BQ59" i="4"/>
  <c r="I46" i="4"/>
  <c r="H46" i="4"/>
  <c r="AF65" i="4"/>
  <c r="AG65" i="4"/>
  <c r="H38" i="4"/>
  <c r="I38" i="4"/>
  <c r="BP47" i="4"/>
  <c r="BQ47" i="4"/>
  <c r="BP45" i="4"/>
  <c r="BQ45" i="4"/>
  <c r="BD44" i="4"/>
  <c r="BE44" i="4"/>
  <c r="BP18" i="4"/>
  <c r="BQ18" i="4"/>
  <c r="AR53" i="4"/>
  <c r="AS53" i="4"/>
  <c r="AF56" i="4"/>
  <c r="AG56" i="4"/>
  <c r="U37" i="4"/>
  <c r="T37" i="4"/>
  <c r="J41" i="4" l="1"/>
  <c r="K41" i="4" s="1"/>
  <c r="J58" i="4"/>
  <c r="K58" i="4" s="1"/>
  <c r="J61" i="4"/>
  <c r="K61" i="4" s="1"/>
  <c r="AT37" i="4"/>
  <c r="AU37" i="4" s="1"/>
  <c r="J34" i="4"/>
  <c r="K34" i="4" s="1"/>
  <c r="AH61" i="4"/>
  <c r="AI61" i="4" s="1"/>
  <c r="AH43" i="4"/>
  <c r="AI43" i="4" s="1"/>
  <c r="J65" i="4"/>
  <c r="K65" i="4" s="1"/>
  <c r="J21" i="4"/>
  <c r="K21" i="4" s="1"/>
  <c r="J32" i="4"/>
  <c r="K32" i="4" s="1"/>
  <c r="J35" i="4"/>
  <c r="K35" i="4" s="1"/>
  <c r="J24" i="4"/>
  <c r="K24" i="4" s="1"/>
  <c r="J36" i="4"/>
  <c r="K36" i="4" s="1"/>
  <c r="J54" i="4"/>
  <c r="K54" i="4" s="1"/>
  <c r="J46" i="4"/>
  <c r="K46" i="4" s="1"/>
  <c r="J26" i="4"/>
  <c r="K26" i="4" s="1"/>
  <c r="J64" i="4"/>
  <c r="K64" i="4" s="1"/>
  <c r="AT51" i="4"/>
  <c r="AU51" i="4" s="1"/>
  <c r="J45" i="4"/>
  <c r="K45" i="4" s="1"/>
  <c r="J50" i="4"/>
  <c r="K50" i="4" s="1"/>
  <c r="AT53" i="4"/>
  <c r="AU53" i="4" s="1"/>
  <c r="J38" i="4"/>
  <c r="K38" i="4" s="1"/>
  <c r="J63" i="4"/>
  <c r="K63" i="4" s="1"/>
  <c r="J56" i="4"/>
  <c r="K56" i="4" s="1"/>
  <c r="J49" i="4"/>
  <c r="K49" i="4" s="1"/>
  <c r="J25" i="4"/>
  <c r="K25" i="4" s="1"/>
  <c r="J53" i="4"/>
  <c r="K53" i="4" s="1"/>
  <c r="J44" i="4"/>
  <c r="K44" i="4" s="1"/>
  <c r="J48" i="4"/>
  <c r="K48" i="4" s="1"/>
  <c r="J37" i="4"/>
  <c r="K37" i="4" s="1"/>
  <c r="J20" i="4"/>
  <c r="K20" i="4" s="1"/>
  <c r="AT41" i="4"/>
  <c r="AU41" i="4" s="1"/>
  <c r="J27" i="4"/>
  <c r="K27" i="4" s="1"/>
  <c r="J60" i="4"/>
  <c r="K60" i="4" s="1"/>
  <c r="J62" i="4"/>
  <c r="K62" i="4" s="1"/>
  <c r="J19" i="4"/>
  <c r="K19" i="4" s="1"/>
  <c r="J22" i="4"/>
  <c r="K22" i="4" s="1"/>
  <c r="J66" i="4"/>
  <c r="K66" i="4" s="1"/>
  <c r="J47" i="4"/>
  <c r="K47" i="4" s="1"/>
  <c r="J31" i="4"/>
  <c r="K31" i="4" s="1"/>
  <c r="CG18" i="4"/>
  <c r="CG19" i="4" s="1"/>
  <c r="CG20" i="4" s="1"/>
  <c r="CG21" i="4" s="1"/>
  <c r="CG22" i="4" s="1"/>
  <c r="CG23" i="4" s="1"/>
  <c r="CG24" i="4" s="1"/>
  <c r="CG25" i="4" s="1"/>
  <c r="CG26" i="4" s="1"/>
  <c r="CG27" i="4" s="1"/>
  <c r="CG28" i="4" s="1"/>
  <c r="CG29" i="4" s="1"/>
  <c r="CG30" i="4" s="1"/>
  <c r="CG31" i="4" s="1"/>
  <c r="CG32" i="4" s="1"/>
  <c r="CG33" i="4" s="1"/>
  <c r="CG34" i="4" s="1"/>
  <c r="CG35" i="4" s="1"/>
  <c r="CG36" i="4" s="1"/>
  <c r="CG37" i="4" s="1"/>
  <c r="CG38" i="4" s="1"/>
  <c r="CG39" i="4" s="1"/>
  <c r="CG40" i="4" s="1"/>
  <c r="CG41" i="4" s="1"/>
  <c r="CG42" i="4" s="1"/>
  <c r="CG43" i="4" s="1"/>
  <c r="CG44" i="4" s="1"/>
  <c r="CG45" i="4" s="1"/>
  <c r="CG46" i="4" s="1"/>
  <c r="CG47" i="4" s="1"/>
  <c r="CG48" i="4" s="1"/>
  <c r="CG49" i="4" s="1"/>
  <c r="CG50" i="4" s="1"/>
  <c r="CG51" i="4" s="1"/>
  <c r="CG52" i="4" s="1"/>
  <c r="CG53" i="4" s="1"/>
  <c r="CG54" i="4" s="1"/>
  <c r="CG55" i="4" s="1"/>
  <c r="CG56" i="4" s="1"/>
  <c r="CG57" i="4" s="1"/>
  <c r="CG58" i="4" s="1"/>
  <c r="CG59" i="4" s="1"/>
  <c r="CG60" i="4" s="1"/>
  <c r="CG61" i="4" s="1"/>
  <c r="CG62" i="4" s="1"/>
  <c r="CG63" i="4" s="1"/>
  <c r="CG64" i="4" s="1"/>
  <c r="CG65" i="4" s="1"/>
  <c r="CG66" i="4" s="1"/>
  <c r="J42" i="4"/>
  <c r="K42" i="4" s="1"/>
  <c r="J40" i="4"/>
  <c r="K40" i="4" s="1"/>
  <c r="J28" i="4"/>
  <c r="K28" i="4" s="1"/>
  <c r="V37" i="4"/>
  <c r="W37" i="4" s="1"/>
  <c r="BF17" i="4"/>
  <c r="BG17" i="4" s="1"/>
  <c r="V35" i="4"/>
  <c r="W35" i="4" s="1"/>
  <c r="V52" i="4"/>
  <c r="W52" i="4" s="1"/>
  <c r="AT49" i="4"/>
  <c r="AU49" i="4" s="1"/>
  <c r="AT56" i="4"/>
  <c r="AU56" i="4" s="1"/>
  <c r="BR45" i="4"/>
  <c r="BS45" i="4" s="1"/>
  <c r="AT35" i="4"/>
  <c r="AU35" i="4" s="1"/>
  <c r="AT23" i="4"/>
  <c r="AU23" i="4" s="1"/>
  <c r="BF18" i="4"/>
  <c r="BG18" i="4" s="1"/>
  <c r="AT62" i="4"/>
  <c r="AU62" i="4" s="1"/>
  <c r="AT65" i="4"/>
  <c r="AU65" i="4" s="1"/>
  <c r="J59" i="4"/>
  <c r="K59" i="4" s="1"/>
  <c r="J18" i="4"/>
  <c r="K18" i="4" s="1"/>
  <c r="AT60" i="4"/>
  <c r="AU60" i="4" s="1"/>
  <c r="AT55" i="4"/>
  <c r="AU55" i="4" s="1"/>
  <c r="AT40" i="4"/>
  <c r="AU40" i="4" s="1"/>
  <c r="AT28" i="4"/>
  <c r="AU28" i="4" s="1"/>
  <c r="J39" i="4"/>
  <c r="K39" i="4" s="1"/>
  <c r="AT30" i="4"/>
  <c r="AU30" i="4" s="1"/>
  <c r="J51" i="4"/>
  <c r="K51" i="4" s="1"/>
  <c r="J29" i="4"/>
  <c r="K29" i="4" s="1"/>
  <c r="AT38" i="4"/>
  <c r="AU38" i="4" s="1"/>
  <c r="AT31" i="4"/>
  <c r="AU31" i="4" s="1"/>
  <c r="AT52" i="4"/>
  <c r="AU52" i="4" s="1"/>
  <c r="J43" i="4"/>
  <c r="K43" i="4" s="1"/>
  <c r="J33" i="4"/>
  <c r="K33" i="4" s="1"/>
  <c r="AT39" i="4"/>
  <c r="AU39" i="4" s="1"/>
  <c r="AT33" i="4"/>
  <c r="AU33" i="4" s="1"/>
  <c r="AH64" i="4"/>
  <c r="AI64" i="4" s="1"/>
  <c r="V30" i="4"/>
  <c r="W30" i="4" s="1"/>
  <c r="V61" i="4"/>
  <c r="W61" i="4" s="1"/>
  <c r="V44" i="4"/>
  <c r="W44" i="4" s="1"/>
  <c r="AH44" i="4"/>
  <c r="AI44" i="4" s="1"/>
  <c r="AT44" i="4"/>
  <c r="AU44" i="4" s="1"/>
  <c r="AT25" i="4"/>
  <c r="AU25" i="4" s="1"/>
  <c r="V58" i="4"/>
  <c r="W58" i="4" s="1"/>
  <c r="AH38" i="4"/>
  <c r="AI38" i="4" s="1"/>
  <c r="V57" i="4"/>
  <c r="W57" i="4" s="1"/>
  <c r="J17" i="4"/>
  <c r="K17" i="4" s="1"/>
  <c r="V20" i="4"/>
  <c r="W20" i="4" s="1"/>
  <c r="V23" i="4"/>
  <c r="W23" i="4" s="1"/>
  <c r="BR59" i="4"/>
  <c r="BS59" i="4" s="1"/>
  <c r="BR28" i="4"/>
  <c r="BS28" i="4" s="1"/>
  <c r="J57" i="4"/>
  <c r="K57" i="4" s="1"/>
  <c r="BR55" i="4"/>
  <c r="BS55" i="4" s="1"/>
  <c r="BR58" i="4"/>
  <c r="BS58" i="4" s="1"/>
  <c r="BR57" i="4"/>
  <c r="BS57" i="4" s="1"/>
  <c r="BR56" i="4"/>
  <c r="BS56" i="4" s="1"/>
  <c r="BR25" i="4"/>
  <c r="BS25" i="4" s="1"/>
  <c r="BF49" i="4"/>
  <c r="BG49" i="4" s="1"/>
  <c r="BR18" i="4"/>
  <c r="BS18" i="4" s="1"/>
  <c r="BR51" i="4"/>
  <c r="BS51" i="4" s="1"/>
  <c r="BF62" i="4"/>
  <c r="BG62" i="4" s="1"/>
  <c r="BR31" i="4"/>
  <c r="BS31" i="4" s="1"/>
  <c r="BR29" i="4"/>
  <c r="BS29" i="4" s="1"/>
  <c r="V38" i="4"/>
  <c r="W38" i="4" s="1"/>
  <c r="BR41" i="4"/>
  <c r="BS41" i="4" s="1"/>
  <c r="V66" i="4"/>
  <c r="W66" i="4" s="1"/>
  <c r="BR66" i="4"/>
  <c r="BS66" i="4" s="1"/>
  <c r="V43" i="4"/>
  <c r="W43" i="4" s="1"/>
  <c r="V59" i="4"/>
  <c r="W59" i="4" s="1"/>
  <c r="BR21" i="4"/>
  <c r="BS21" i="4" s="1"/>
  <c r="V18" i="4"/>
  <c r="W18" i="4" s="1"/>
  <c r="AT47" i="4"/>
  <c r="AU47" i="4" s="1"/>
  <c r="BR47" i="4"/>
  <c r="BS47" i="4" s="1"/>
  <c r="BF19" i="4"/>
  <c r="BG19" i="4" s="1"/>
  <c r="BF57" i="4"/>
  <c r="BG57" i="4" s="1"/>
  <c r="V49" i="4"/>
  <c r="W49" i="4" s="1"/>
  <c r="V33" i="4"/>
  <c r="W33" i="4" s="1"/>
  <c r="BR65" i="4"/>
  <c r="BS65" i="4" s="1"/>
  <c r="BR17" i="4"/>
  <c r="BS17" i="4" s="1"/>
  <c r="BR54" i="4"/>
  <c r="BS54" i="4" s="1"/>
  <c r="V51" i="4"/>
  <c r="W51" i="4" s="1"/>
  <c r="BR53" i="4"/>
  <c r="BS53" i="4" s="1"/>
  <c r="V36" i="4"/>
  <c r="W36" i="4" s="1"/>
  <c r="BR62" i="4"/>
  <c r="BS62" i="4" s="1"/>
  <c r="V22" i="4"/>
  <c r="W22" i="4" s="1"/>
  <c r="BR20" i="4"/>
  <c r="BS20" i="4" s="1"/>
  <c r="V24" i="4"/>
  <c r="W24" i="4" s="1"/>
  <c r="BR42" i="4"/>
  <c r="BS42" i="4" s="1"/>
  <c r="V45" i="4"/>
  <c r="W45" i="4" s="1"/>
  <c r="BR44" i="4"/>
  <c r="BS44" i="4" s="1"/>
  <c r="BR48" i="4"/>
  <c r="BS48" i="4" s="1"/>
  <c r="BR24" i="4"/>
  <c r="BS24" i="4" s="1"/>
  <c r="V32" i="4"/>
  <c r="W32" i="4" s="1"/>
  <c r="V19" i="4"/>
  <c r="W19" i="4" s="1"/>
  <c r="AT42" i="4"/>
  <c r="AU42" i="4" s="1"/>
  <c r="BR50" i="4"/>
  <c r="BS50" i="4" s="1"/>
  <c r="V31" i="4"/>
  <c r="W31" i="4" s="1"/>
  <c r="V25" i="4"/>
  <c r="W25" i="4" s="1"/>
  <c r="V50" i="4"/>
  <c r="W50" i="4" s="1"/>
  <c r="V47" i="4"/>
  <c r="W47" i="4" s="1"/>
  <c r="J23" i="4"/>
  <c r="K23" i="4" s="1"/>
  <c r="BR33" i="4"/>
  <c r="BS33" i="4" s="1"/>
  <c r="V40" i="4"/>
  <c r="W40" i="4" s="1"/>
  <c r="J55" i="4"/>
  <c r="K55" i="4" s="1"/>
  <c r="BR64" i="4"/>
  <c r="BS64" i="4" s="1"/>
  <c r="V41" i="4"/>
  <c r="W41" i="4" s="1"/>
  <c r="BF28" i="4"/>
  <c r="BG28" i="4" s="1"/>
  <c r="BF33" i="4"/>
  <c r="BG33" i="4" s="1"/>
  <c r="BF66" i="4"/>
  <c r="BG66" i="4" s="1"/>
  <c r="AH52" i="4"/>
  <c r="AI52" i="4" s="1"/>
  <c r="AH34" i="4"/>
  <c r="AI34" i="4" s="1"/>
  <c r="AT34" i="4"/>
  <c r="AU34" i="4" s="1"/>
  <c r="AT16" i="4"/>
  <c r="AU16" i="4" s="1"/>
  <c r="BR36" i="4"/>
  <c r="BS36" i="4" s="1"/>
  <c r="AT58" i="4"/>
  <c r="AU58" i="4" s="1"/>
  <c r="AH66" i="4"/>
  <c r="AI66" i="4" s="1"/>
  <c r="AH16" i="4"/>
  <c r="AI16" i="4" s="1"/>
  <c r="BF63" i="4"/>
  <c r="BG63" i="4" s="1"/>
  <c r="BF40" i="4"/>
  <c r="BG40" i="4" s="1"/>
  <c r="BF64" i="4"/>
  <c r="BG64" i="4" s="1"/>
  <c r="AH17" i="4"/>
  <c r="AI17" i="4" s="1"/>
  <c r="BR34" i="4"/>
  <c r="BS34" i="4" s="1"/>
  <c r="V27" i="4"/>
  <c r="W27" i="4" s="1"/>
  <c r="V34" i="4"/>
  <c r="W34" i="4" s="1"/>
  <c r="BR49" i="4"/>
  <c r="BS49" i="4" s="1"/>
  <c r="AH19" i="4"/>
  <c r="AI19" i="4" s="1"/>
  <c r="AH27" i="4"/>
  <c r="AI27" i="4" s="1"/>
  <c r="BR27" i="4"/>
  <c r="BS27" i="4" s="1"/>
  <c r="BF41" i="4"/>
  <c r="BG41" i="4" s="1"/>
  <c r="AH47" i="4"/>
  <c r="AI47" i="4" s="1"/>
  <c r="AH35" i="4"/>
  <c r="AI35" i="4" s="1"/>
  <c r="AH31" i="4"/>
  <c r="AI31" i="4" s="1"/>
  <c r="AH20" i="4"/>
  <c r="AI20" i="4" s="1"/>
  <c r="AH58" i="4"/>
  <c r="AI58" i="4" s="1"/>
  <c r="AH32" i="4"/>
  <c r="AI32" i="4" s="1"/>
  <c r="BF20" i="4"/>
  <c r="BG20" i="4" s="1"/>
  <c r="AT46" i="4"/>
  <c r="AU46" i="4" s="1"/>
  <c r="BF21" i="4"/>
  <c r="BG21" i="4" s="1"/>
  <c r="V46" i="4"/>
  <c r="W46" i="4" s="1"/>
  <c r="AT63" i="4"/>
  <c r="AU63" i="4" s="1"/>
  <c r="AT48" i="4"/>
  <c r="AU48" i="4" s="1"/>
  <c r="AH65" i="4"/>
  <c r="AI65" i="4" s="1"/>
  <c r="BF59" i="4"/>
  <c r="BG59" i="4" s="1"/>
  <c r="AT66" i="4"/>
  <c r="AU66" i="4" s="1"/>
  <c r="V21" i="4"/>
  <c r="W21" i="4" s="1"/>
  <c r="AT45" i="4"/>
  <c r="AU45" i="4" s="1"/>
  <c r="AT57" i="4"/>
  <c r="AU57" i="4" s="1"/>
  <c r="AH30" i="4"/>
  <c r="AI30" i="4" s="1"/>
  <c r="BF61" i="4"/>
  <c r="BG61" i="4" s="1"/>
  <c r="AH28" i="4"/>
  <c r="AI28" i="4" s="1"/>
  <c r="AH24" i="4"/>
  <c r="AI24" i="4" s="1"/>
  <c r="BF25" i="4"/>
  <c r="BG25" i="4" s="1"/>
  <c r="AH55" i="4"/>
  <c r="AI55" i="4" s="1"/>
  <c r="BR39" i="4"/>
  <c r="BS39" i="4" s="1"/>
  <c r="AT20" i="4"/>
  <c r="AU20" i="4" s="1"/>
  <c r="AH48" i="4"/>
  <c r="AI48" i="4" s="1"/>
  <c r="AH63" i="4"/>
  <c r="AI63" i="4" s="1"/>
  <c r="V55" i="4"/>
  <c r="W55" i="4" s="1"/>
  <c r="AH40" i="4"/>
  <c r="AI40" i="4" s="1"/>
  <c r="V63" i="4"/>
  <c r="W63" i="4" s="1"/>
  <c r="BF31" i="4"/>
  <c r="BG31" i="4" s="1"/>
  <c r="BR22" i="4"/>
  <c r="BS22" i="4" s="1"/>
  <c r="BF50" i="4"/>
  <c r="BG50" i="4" s="1"/>
  <c r="V62" i="4"/>
  <c r="W62" i="4" s="1"/>
  <c r="AH51" i="4"/>
  <c r="AI51" i="4" s="1"/>
  <c r="BF58" i="4"/>
  <c r="BG58" i="4" s="1"/>
  <c r="BF47" i="4"/>
  <c r="BG47" i="4" s="1"/>
  <c r="BF53" i="4"/>
  <c r="BG53" i="4" s="1"/>
  <c r="AH18" i="4"/>
  <c r="AI18" i="4" s="1"/>
  <c r="BR23" i="4"/>
  <c r="BS23" i="4" s="1"/>
  <c r="AT54" i="4"/>
  <c r="AU54" i="4" s="1"/>
  <c r="V48" i="4"/>
  <c r="W48" i="4" s="1"/>
  <c r="BR63" i="4"/>
  <c r="BS63" i="4" s="1"/>
  <c r="BF38" i="4"/>
  <c r="BG38" i="4" s="1"/>
  <c r="BF16" i="4"/>
  <c r="BG16" i="4" s="1"/>
  <c r="AH36" i="4"/>
  <c r="AI36" i="4" s="1"/>
  <c r="BF23" i="4"/>
  <c r="BG23" i="4" s="1"/>
  <c r="AH59" i="4"/>
  <c r="AI59" i="4" s="1"/>
  <c r="BF37" i="4"/>
  <c r="BG37" i="4" s="1"/>
  <c r="BF51" i="4"/>
  <c r="BG51" i="4" s="1"/>
  <c r="AH45" i="4"/>
  <c r="AI45" i="4" s="1"/>
  <c r="AH39" i="4"/>
  <c r="AI39" i="4" s="1"/>
  <c r="BF65" i="4"/>
  <c r="BG65" i="4" s="1"/>
  <c r="AH37" i="4"/>
  <c r="AI37" i="4" s="1"/>
  <c r="BR43" i="4"/>
  <c r="BS43" i="4" s="1"/>
  <c r="AH21" i="4"/>
  <c r="AI21" i="4" s="1"/>
  <c r="AT50" i="4"/>
  <c r="AU50" i="4" s="1"/>
  <c r="AT24" i="4"/>
  <c r="AU24" i="4" s="1"/>
  <c r="AH57" i="4"/>
  <c r="AI57" i="4" s="1"/>
  <c r="BR38" i="4"/>
  <c r="BS38" i="4" s="1"/>
  <c r="V42" i="4"/>
  <c r="W42" i="4" s="1"/>
  <c r="V29" i="4"/>
  <c r="W29" i="4" s="1"/>
  <c r="AT22" i="4"/>
  <c r="AU22" i="4" s="1"/>
  <c r="AT17" i="4"/>
  <c r="AU17" i="4" s="1"/>
  <c r="BF32" i="4"/>
  <c r="BG32" i="4" s="1"/>
  <c r="AT27" i="4"/>
  <c r="AU27" i="4" s="1"/>
  <c r="AH54" i="4"/>
  <c r="AI54" i="4" s="1"/>
  <c r="BF43" i="4"/>
  <c r="BG43" i="4" s="1"/>
  <c r="AT36" i="4"/>
  <c r="AU36" i="4" s="1"/>
  <c r="BF45" i="4"/>
  <c r="BG45" i="4" s="1"/>
  <c r="BR19" i="4"/>
  <c r="BS19" i="4" s="1"/>
  <c r="BR16" i="4"/>
  <c r="BS16" i="4" s="1"/>
  <c r="BR40" i="4"/>
  <c r="BS40" i="4" s="1"/>
  <c r="AH42" i="4"/>
  <c r="AI42" i="4" s="1"/>
  <c r="BR52" i="4"/>
  <c r="BS52" i="4" s="1"/>
  <c r="AH60" i="4"/>
  <c r="AI60" i="4" s="1"/>
  <c r="BR61" i="4"/>
  <c r="BS61" i="4" s="1"/>
  <c r="AT43" i="4"/>
  <c r="AU43" i="4" s="1"/>
  <c r="V28" i="4"/>
  <c r="W28" i="4" s="1"/>
  <c r="AH33" i="4"/>
  <c r="AI33" i="4" s="1"/>
  <c r="V60" i="4"/>
  <c r="W60" i="4" s="1"/>
  <c r="V64" i="4"/>
  <c r="W64" i="4" s="1"/>
  <c r="AH49" i="4"/>
  <c r="AI49" i="4" s="1"/>
  <c r="AT61" i="4"/>
  <c r="AU61" i="4" s="1"/>
  <c r="AH23" i="4"/>
  <c r="AI23" i="4" s="1"/>
  <c r="BR46" i="4"/>
  <c r="BS46" i="4" s="1"/>
  <c r="BF39" i="4"/>
  <c r="BG39" i="4" s="1"/>
  <c r="BF34" i="4"/>
  <c r="BG34" i="4" s="1"/>
  <c r="V56" i="4"/>
  <c r="W56" i="4" s="1"/>
  <c r="V39" i="4"/>
  <c r="W39" i="4" s="1"/>
  <c r="BR37" i="4"/>
  <c r="BS37" i="4" s="1"/>
  <c r="AT21" i="4"/>
  <c r="AU21" i="4" s="1"/>
  <c r="AH25" i="4"/>
  <c r="AI25" i="4" s="1"/>
  <c r="V26" i="4"/>
  <c r="W26" i="4" s="1"/>
  <c r="BF35" i="4"/>
  <c r="BG35" i="4" s="1"/>
  <c r="BF46" i="4"/>
  <c r="BG46" i="4" s="1"/>
  <c r="AH56" i="4"/>
  <c r="AI56" i="4" s="1"/>
  <c r="AH46" i="4"/>
  <c r="AI46" i="4" s="1"/>
  <c r="BR26" i="4"/>
  <c r="BS26" i="4" s="1"/>
  <c r="BF29" i="4"/>
  <c r="BG29" i="4" s="1"/>
  <c r="AH53" i="4"/>
  <c r="AI53" i="4" s="1"/>
  <c r="AT64" i="4"/>
  <c r="AU64" i="4" s="1"/>
  <c r="BF60" i="4"/>
  <c r="BG60" i="4" s="1"/>
  <c r="AH62" i="4"/>
  <c r="AI62" i="4" s="1"/>
  <c r="V53" i="4"/>
  <c r="W53" i="4" s="1"/>
  <c r="BF52" i="4"/>
  <c r="BG52" i="4" s="1"/>
  <c r="AH29" i="4"/>
  <c r="AI29" i="4" s="1"/>
  <c r="BF24" i="4"/>
  <c r="BG24" i="4" s="1"/>
  <c r="BF36" i="4"/>
  <c r="BG36" i="4" s="1"/>
  <c r="BF44" i="4"/>
  <c r="BG44" i="4" s="1"/>
  <c r="AH22" i="4"/>
  <c r="AI22" i="4" s="1"/>
  <c r="BF42" i="4"/>
  <c r="BG42" i="4" s="1"/>
  <c r="V17" i="4"/>
  <c r="W17" i="4" s="1"/>
  <c r="V54" i="4"/>
  <c r="W54" i="4" s="1"/>
  <c r="BR35" i="4"/>
  <c r="BS35" i="4" s="1"/>
  <c r="BF26" i="4"/>
  <c r="BG26" i="4" s="1"/>
  <c r="AH50" i="4"/>
  <c r="AI50" i="4" s="1"/>
  <c r="AT32" i="4"/>
  <c r="AU32" i="4" s="1"/>
  <c r="AH26" i="4"/>
  <c r="AI26" i="4" s="1"/>
  <c r="AH41" i="4"/>
  <c r="AI41" i="4" s="1"/>
  <c r="BF55" i="4"/>
  <c r="BG55" i="4" s="1"/>
  <c r="AT26" i="4"/>
  <c r="AU26" i="4" s="1"/>
  <c r="AT19" i="4"/>
  <c r="AU19" i="4" s="1"/>
  <c r="AT29" i="4"/>
  <c r="AU29" i="4" s="1"/>
  <c r="AT59" i="4"/>
  <c r="AU59" i="4" s="1"/>
  <c r="AT18" i="4"/>
  <c r="AU18" i="4" s="1"/>
  <c r="J52" i="4"/>
  <c r="K52" i="4" s="1"/>
  <c r="BF30" i="4"/>
  <c r="BG30" i="4" s="1"/>
  <c r="BR32" i="4"/>
  <c r="BS32" i="4" s="1"/>
  <c r="BF27" i="4"/>
  <c r="BG27" i="4" s="1"/>
  <c r="V65" i="4"/>
  <c r="W65" i="4" s="1"/>
  <c r="BF54" i="4"/>
  <c r="BG54" i="4" s="1"/>
  <c r="BR60" i="4"/>
  <c r="BS60" i="4" s="1"/>
  <c r="J30" i="4"/>
  <c r="K30" i="4" s="1"/>
  <c r="BF48" i="4"/>
  <c r="BG48" i="4" s="1"/>
  <c r="BF22" i="4"/>
  <c r="BG22" i="4" s="1"/>
  <c r="BA6" i="4" l="1"/>
  <c r="BH18" i="4" s="1"/>
  <c r="BH19" i="4" s="1"/>
  <c r="BH20" i="4" s="1"/>
  <c r="E8" i="4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Q8" i="4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AO5" i="4"/>
  <c r="AV17" i="4" s="1"/>
  <c r="AO8" i="4"/>
  <c r="AV31" i="4" s="1"/>
  <c r="AV32" i="4" s="1"/>
  <c r="AV33" i="4" s="1"/>
  <c r="AV34" i="4" s="1"/>
  <c r="AV35" i="4" s="1"/>
  <c r="AV36" i="4" s="1"/>
  <c r="AV37" i="4" s="1"/>
  <c r="AV38" i="4" s="1"/>
  <c r="AV39" i="4" s="1"/>
  <c r="AV40" i="4" s="1"/>
  <c r="AV41" i="4" s="1"/>
  <c r="AV42" i="4" s="1"/>
  <c r="AV43" i="4" s="1"/>
  <c r="AV44" i="4" s="1"/>
  <c r="AV45" i="4" s="1"/>
  <c r="AV46" i="4" s="1"/>
  <c r="AV47" i="4" s="1"/>
  <c r="AV48" i="4" s="1"/>
  <c r="AV49" i="4" s="1"/>
  <c r="AV50" i="4" s="1"/>
  <c r="AV51" i="4" s="1"/>
  <c r="AV52" i="4" s="1"/>
  <c r="AV53" i="4" s="1"/>
  <c r="AV54" i="4" s="1"/>
  <c r="AV55" i="4" s="1"/>
  <c r="AV56" i="4" s="1"/>
  <c r="AV57" i="4" s="1"/>
  <c r="AV58" i="4" s="1"/>
  <c r="AV59" i="4" s="1"/>
  <c r="AV60" i="4" s="1"/>
  <c r="AV61" i="4" s="1"/>
  <c r="AV62" i="4" s="1"/>
  <c r="AV63" i="4" s="1"/>
  <c r="AV64" i="4" s="1"/>
  <c r="AV65" i="4" s="1"/>
  <c r="AV66" i="4" s="1"/>
  <c r="E7" i="4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Q6" i="4"/>
  <c r="X18" i="4" s="1"/>
  <c r="X19" i="4" s="1"/>
  <c r="X20" i="4" s="1"/>
  <c r="BM7" i="4"/>
  <c r="BT21" i="4" s="1"/>
  <c r="BT22" i="4" s="1"/>
  <c r="BT23" i="4" s="1"/>
  <c r="BT24" i="4" s="1"/>
  <c r="BT25" i="4" s="1"/>
  <c r="BT26" i="4" s="1"/>
  <c r="BT27" i="4" s="1"/>
  <c r="BT28" i="4" s="1"/>
  <c r="BT29" i="4" s="1"/>
  <c r="BT30" i="4" s="1"/>
  <c r="BA7" i="4"/>
  <c r="BH21" i="4" s="1"/>
  <c r="BH22" i="4" s="1"/>
  <c r="BH23" i="4" s="1"/>
  <c r="BH24" i="4" s="1"/>
  <c r="BH25" i="4" s="1"/>
  <c r="BH26" i="4" s="1"/>
  <c r="BH27" i="4" s="1"/>
  <c r="BH28" i="4" s="1"/>
  <c r="BH29" i="4" s="1"/>
  <c r="BH30" i="4" s="1"/>
  <c r="AO6" i="4"/>
  <c r="AV18" i="4" s="1"/>
  <c r="AV19" i="4" s="1"/>
  <c r="AV20" i="4" s="1"/>
  <c r="AC6" i="4"/>
  <c r="AJ18" i="4" s="1"/>
  <c r="AJ19" i="4" s="1"/>
  <c r="AJ20" i="4" s="1"/>
  <c r="BM5" i="4"/>
  <c r="BT17" i="4" s="1"/>
  <c r="AC8" i="4"/>
  <c r="AJ31" i="4" s="1"/>
  <c r="AJ32" i="4" s="1"/>
  <c r="AJ33" i="4" s="1"/>
  <c r="AJ34" i="4" s="1"/>
  <c r="AJ35" i="4" s="1"/>
  <c r="AJ36" i="4" s="1"/>
  <c r="AJ37" i="4" s="1"/>
  <c r="AJ38" i="4" s="1"/>
  <c r="AJ39" i="4" s="1"/>
  <c r="AJ40" i="4" s="1"/>
  <c r="AJ41" i="4" s="1"/>
  <c r="AJ42" i="4" s="1"/>
  <c r="AJ43" i="4" s="1"/>
  <c r="AJ44" i="4" s="1"/>
  <c r="AJ45" i="4" s="1"/>
  <c r="AJ46" i="4" s="1"/>
  <c r="AJ47" i="4" s="1"/>
  <c r="AJ48" i="4" s="1"/>
  <c r="AJ49" i="4" s="1"/>
  <c r="AJ50" i="4" s="1"/>
  <c r="AJ51" i="4" s="1"/>
  <c r="AJ52" i="4" s="1"/>
  <c r="AJ53" i="4" s="1"/>
  <c r="AJ54" i="4" s="1"/>
  <c r="AJ55" i="4" s="1"/>
  <c r="AJ56" i="4" s="1"/>
  <c r="AJ57" i="4" s="1"/>
  <c r="AJ58" i="4" s="1"/>
  <c r="AJ59" i="4" s="1"/>
  <c r="AJ60" i="4" s="1"/>
  <c r="AJ61" i="4" s="1"/>
  <c r="AJ62" i="4" s="1"/>
  <c r="AJ63" i="4" s="1"/>
  <c r="AJ64" i="4" s="1"/>
  <c r="AJ65" i="4" s="1"/>
  <c r="AJ66" i="4" s="1"/>
  <c r="BM4" i="4"/>
  <c r="BT16" i="4" s="1"/>
  <c r="BU17" i="4" s="1"/>
  <c r="BM6" i="4"/>
  <c r="BT18" i="4" s="1"/>
  <c r="BT19" i="4" s="1"/>
  <c r="BT20" i="4" s="1"/>
  <c r="BM8" i="4"/>
  <c r="BT31" i="4" s="1"/>
  <c r="BT32" i="4" s="1"/>
  <c r="BT33" i="4" s="1"/>
  <c r="BT34" i="4" s="1"/>
  <c r="BT35" i="4" s="1"/>
  <c r="BT36" i="4" s="1"/>
  <c r="BT37" i="4" s="1"/>
  <c r="BT38" i="4" s="1"/>
  <c r="BT39" i="4" s="1"/>
  <c r="BT40" i="4" s="1"/>
  <c r="BT41" i="4" s="1"/>
  <c r="BT42" i="4" s="1"/>
  <c r="BT43" i="4" s="1"/>
  <c r="BT44" i="4" s="1"/>
  <c r="BT45" i="4" s="1"/>
  <c r="BT46" i="4" s="1"/>
  <c r="BT47" i="4" s="1"/>
  <c r="BT48" i="4" s="1"/>
  <c r="BT49" i="4" s="1"/>
  <c r="BT50" i="4" s="1"/>
  <c r="BT51" i="4" s="1"/>
  <c r="BT52" i="4" s="1"/>
  <c r="BT53" i="4" s="1"/>
  <c r="BT54" i="4" s="1"/>
  <c r="BT55" i="4" s="1"/>
  <c r="BT56" i="4" s="1"/>
  <c r="BT57" i="4" s="1"/>
  <c r="BT58" i="4" s="1"/>
  <c r="BT59" i="4" s="1"/>
  <c r="BT60" i="4" s="1"/>
  <c r="BT61" i="4" s="1"/>
  <c r="BT62" i="4" s="1"/>
  <c r="BT63" i="4" s="1"/>
  <c r="BT64" i="4" s="1"/>
  <c r="BT65" i="4" s="1"/>
  <c r="BT66" i="4" s="1"/>
  <c r="BA5" i="4"/>
  <c r="BH17" i="4" s="1"/>
  <c r="BA4" i="4"/>
  <c r="BH16" i="4" s="1"/>
  <c r="BI17" i="4" s="1"/>
  <c r="BA8" i="4"/>
  <c r="BH31" i="4" s="1"/>
  <c r="BH32" i="4" s="1"/>
  <c r="BH33" i="4" s="1"/>
  <c r="BH34" i="4" s="1"/>
  <c r="BH35" i="4" s="1"/>
  <c r="BH36" i="4" s="1"/>
  <c r="BH37" i="4" s="1"/>
  <c r="BH38" i="4" s="1"/>
  <c r="BH39" i="4" s="1"/>
  <c r="BH40" i="4" s="1"/>
  <c r="BH41" i="4" s="1"/>
  <c r="BH42" i="4" s="1"/>
  <c r="BH43" i="4" s="1"/>
  <c r="BH44" i="4" s="1"/>
  <c r="BH45" i="4" s="1"/>
  <c r="BH46" i="4" s="1"/>
  <c r="BH47" i="4" s="1"/>
  <c r="BH48" i="4" s="1"/>
  <c r="BH49" i="4" s="1"/>
  <c r="BH50" i="4" s="1"/>
  <c r="BH51" i="4" s="1"/>
  <c r="BH52" i="4" s="1"/>
  <c r="BH53" i="4" s="1"/>
  <c r="BH54" i="4" s="1"/>
  <c r="BH55" i="4" s="1"/>
  <c r="BH56" i="4" s="1"/>
  <c r="BH57" i="4" s="1"/>
  <c r="BH58" i="4" s="1"/>
  <c r="BH59" i="4" s="1"/>
  <c r="BH60" i="4" s="1"/>
  <c r="BH61" i="4" s="1"/>
  <c r="BH62" i="4" s="1"/>
  <c r="BH63" i="4" s="1"/>
  <c r="BH64" i="4" s="1"/>
  <c r="BH65" i="4" s="1"/>
  <c r="BH66" i="4" s="1"/>
  <c r="AO7" i="4"/>
  <c r="AV21" i="4" s="1"/>
  <c r="AV22" i="4" s="1"/>
  <c r="AV23" i="4" s="1"/>
  <c r="AV24" i="4" s="1"/>
  <c r="AV25" i="4" s="1"/>
  <c r="AV26" i="4" s="1"/>
  <c r="AV27" i="4" s="1"/>
  <c r="AV28" i="4" s="1"/>
  <c r="AV29" i="4" s="1"/>
  <c r="AV30" i="4" s="1"/>
  <c r="AO4" i="4"/>
  <c r="AV16" i="4" s="1"/>
  <c r="AW17" i="4" s="1"/>
  <c r="AC4" i="4"/>
  <c r="AJ16" i="4" s="1"/>
  <c r="AK17" i="4" s="1"/>
  <c r="AC7" i="4"/>
  <c r="AJ21" i="4" s="1"/>
  <c r="AJ22" i="4" s="1"/>
  <c r="AJ23" i="4" s="1"/>
  <c r="AJ24" i="4" s="1"/>
  <c r="AJ25" i="4" s="1"/>
  <c r="AJ26" i="4" s="1"/>
  <c r="AJ27" i="4" s="1"/>
  <c r="AJ28" i="4" s="1"/>
  <c r="AJ29" i="4" s="1"/>
  <c r="AJ30" i="4" s="1"/>
  <c r="AC5" i="4"/>
  <c r="AJ17" i="4" s="1"/>
  <c r="Q7" i="4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Q5" i="4"/>
  <c r="X17" i="4" s="1"/>
  <c r="Q4" i="4"/>
  <c r="X16" i="4" s="1"/>
  <c r="Y17" i="4" s="1"/>
  <c r="E5" i="4"/>
  <c r="L17" i="4" s="1"/>
  <c r="E4" i="4"/>
  <c r="L16" i="4" s="1"/>
  <c r="M17" i="4" s="1"/>
  <c r="E6" i="4"/>
  <c r="L18" i="4" s="1"/>
  <c r="L19" i="4" s="1"/>
  <c r="L20" i="4" s="1"/>
  <c r="AW18" i="4" l="1"/>
  <c r="AW19" i="4"/>
  <c r="AW20" i="4" s="1"/>
  <c r="AW21" i="4" s="1"/>
  <c r="AW22" i="4" s="1"/>
  <c r="AW23" i="4" s="1"/>
  <c r="AW24" i="4" s="1"/>
  <c r="AW25" i="4" s="1"/>
  <c r="AW26" i="4" s="1"/>
  <c r="AW27" i="4" s="1"/>
  <c r="AW28" i="4" s="1"/>
  <c r="AW29" i="4" s="1"/>
  <c r="AW30" i="4" s="1"/>
  <c r="AW31" i="4" s="1"/>
  <c r="AW32" i="4" s="1"/>
  <c r="AW33" i="4" s="1"/>
  <c r="AW34" i="4" s="1"/>
  <c r="AW35" i="4" s="1"/>
  <c r="AW36" i="4" s="1"/>
  <c r="AW37" i="4" s="1"/>
  <c r="AW38" i="4" s="1"/>
  <c r="AW39" i="4" s="1"/>
  <c r="AW40" i="4" s="1"/>
  <c r="AW41" i="4" s="1"/>
  <c r="AW42" i="4" s="1"/>
  <c r="AW43" i="4" s="1"/>
  <c r="AW44" i="4" s="1"/>
  <c r="AW45" i="4" s="1"/>
  <c r="AW46" i="4" s="1"/>
  <c r="AW47" i="4" s="1"/>
  <c r="AW48" i="4" s="1"/>
  <c r="AW49" i="4" s="1"/>
  <c r="AW50" i="4" s="1"/>
  <c r="AW51" i="4" s="1"/>
  <c r="AW52" i="4" s="1"/>
  <c r="AW53" i="4" s="1"/>
  <c r="AW54" i="4" s="1"/>
  <c r="AW55" i="4" s="1"/>
  <c r="AW56" i="4" s="1"/>
  <c r="AW57" i="4" s="1"/>
  <c r="AW58" i="4" s="1"/>
  <c r="AW59" i="4" s="1"/>
  <c r="AW60" i="4" s="1"/>
  <c r="AW61" i="4" s="1"/>
  <c r="AW62" i="4" s="1"/>
  <c r="AW63" i="4" s="1"/>
  <c r="AW64" i="4" s="1"/>
  <c r="AW65" i="4" s="1"/>
  <c r="AW66" i="4" s="1"/>
  <c r="BI18" i="4"/>
  <c r="BI19" i="4" s="1"/>
  <c r="BI20" i="4" s="1"/>
  <c r="BI21" i="4" s="1"/>
  <c r="BI22" i="4" s="1"/>
  <c r="BI23" i="4" s="1"/>
  <c r="BI24" i="4" s="1"/>
  <c r="BI25" i="4" s="1"/>
  <c r="BI26" i="4" s="1"/>
  <c r="BI27" i="4" s="1"/>
  <c r="BI28" i="4" s="1"/>
  <c r="BI29" i="4" s="1"/>
  <c r="BI30" i="4" s="1"/>
  <c r="BI31" i="4" s="1"/>
  <c r="BI32" i="4" s="1"/>
  <c r="BI33" i="4" s="1"/>
  <c r="BI34" i="4" s="1"/>
  <c r="BI35" i="4" s="1"/>
  <c r="BI36" i="4" s="1"/>
  <c r="BI37" i="4" s="1"/>
  <c r="BI38" i="4" s="1"/>
  <c r="BI39" i="4" s="1"/>
  <c r="BI40" i="4" s="1"/>
  <c r="BI41" i="4" s="1"/>
  <c r="BI42" i="4" s="1"/>
  <c r="BI43" i="4" s="1"/>
  <c r="BI44" i="4" s="1"/>
  <c r="BI45" i="4" s="1"/>
  <c r="BI46" i="4" s="1"/>
  <c r="BI47" i="4" s="1"/>
  <c r="BI48" i="4" s="1"/>
  <c r="BI49" i="4" s="1"/>
  <c r="BI50" i="4" s="1"/>
  <c r="BI51" i="4" s="1"/>
  <c r="BI52" i="4" s="1"/>
  <c r="BI53" i="4" s="1"/>
  <c r="BI54" i="4" s="1"/>
  <c r="BI55" i="4" s="1"/>
  <c r="BI56" i="4" s="1"/>
  <c r="BI57" i="4" s="1"/>
  <c r="BI58" i="4" s="1"/>
  <c r="BI59" i="4" s="1"/>
  <c r="BI60" i="4" s="1"/>
  <c r="BI61" i="4" s="1"/>
  <c r="BI62" i="4" s="1"/>
  <c r="BI63" i="4" s="1"/>
  <c r="BI64" i="4" s="1"/>
  <c r="BI65" i="4" s="1"/>
  <c r="BI66" i="4" s="1"/>
  <c r="AK18" i="4"/>
  <c r="AK19" i="4" s="1"/>
  <c r="AK20" i="4" s="1"/>
  <c r="AK21" i="4" s="1"/>
  <c r="AK22" i="4" s="1"/>
  <c r="AK23" i="4" s="1"/>
  <c r="AK24" i="4" s="1"/>
  <c r="AK25" i="4" s="1"/>
  <c r="AK26" i="4" s="1"/>
  <c r="AK27" i="4" s="1"/>
  <c r="AK28" i="4" s="1"/>
  <c r="AK29" i="4" s="1"/>
  <c r="AK30" i="4" s="1"/>
  <c r="AK31" i="4" s="1"/>
  <c r="AK32" i="4" s="1"/>
  <c r="AK33" i="4" s="1"/>
  <c r="AK34" i="4" s="1"/>
  <c r="AK35" i="4" s="1"/>
  <c r="AK36" i="4" s="1"/>
  <c r="AK37" i="4" s="1"/>
  <c r="AK38" i="4" s="1"/>
  <c r="AK39" i="4" s="1"/>
  <c r="AK40" i="4" s="1"/>
  <c r="AK41" i="4" s="1"/>
  <c r="AK42" i="4" s="1"/>
  <c r="AK43" i="4" s="1"/>
  <c r="AK44" i="4" s="1"/>
  <c r="AK45" i="4" s="1"/>
  <c r="AK46" i="4" s="1"/>
  <c r="AK47" i="4" s="1"/>
  <c r="AK48" i="4" s="1"/>
  <c r="AK49" i="4" s="1"/>
  <c r="AK50" i="4" s="1"/>
  <c r="AK51" i="4" s="1"/>
  <c r="AK52" i="4" s="1"/>
  <c r="AK53" i="4" s="1"/>
  <c r="AK54" i="4" s="1"/>
  <c r="AK55" i="4" s="1"/>
  <c r="AK56" i="4" s="1"/>
  <c r="AK57" i="4" s="1"/>
  <c r="AK58" i="4" s="1"/>
  <c r="AK59" i="4" s="1"/>
  <c r="AK60" i="4" s="1"/>
  <c r="AK61" i="4" s="1"/>
  <c r="AK62" i="4" s="1"/>
  <c r="AK63" i="4" s="1"/>
  <c r="AK64" i="4" s="1"/>
  <c r="AK65" i="4" s="1"/>
  <c r="AK66" i="4" s="1"/>
  <c r="Y18" i="4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BU18" i="4"/>
  <c r="BU19" i="4" s="1"/>
  <c r="BU20" i="4" s="1"/>
  <c r="BU21" i="4" s="1"/>
  <c r="BU22" i="4" s="1"/>
  <c r="BU23" i="4" s="1"/>
  <c r="BU24" i="4" s="1"/>
  <c r="BU25" i="4" s="1"/>
  <c r="BU26" i="4" s="1"/>
  <c r="BU27" i="4" s="1"/>
  <c r="BU28" i="4" s="1"/>
  <c r="BU29" i="4" s="1"/>
  <c r="BU30" i="4" s="1"/>
  <c r="BU31" i="4" s="1"/>
  <c r="BU32" i="4" s="1"/>
  <c r="BU33" i="4" s="1"/>
  <c r="BU34" i="4" s="1"/>
  <c r="BU35" i="4" s="1"/>
  <c r="BU36" i="4" s="1"/>
  <c r="BU37" i="4" s="1"/>
  <c r="BU38" i="4" s="1"/>
  <c r="BU39" i="4" s="1"/>
  <c r="BU40" i="4" s="1"/>
  <c r="BU41" i="4" s="1"/>
  <c r="BU42" i="4" s="1"/>
  <c r="BU43" i="4" s="1"/>
  <c r="BU44" i="4" s="1"/>
  <c r="BU45" i="4" s="1"/>
  <c r="BU46" i="4" s="1"/>
  <c r="BU47" i="4" s="1"/>
  <c r="BU48" i="4" s="1"/>
  <c r="BU49" i="4" s="1"/>
  <c r="BU50" i="4" s="1"/>
  <c r="BU51" i="4" s="1"/>
  <c r="BU52" i="4" s="1"/>
  <c r="BU53" i="4" s="1"/>
  <c r="BU54" i="4" s="1"/>
  <c r="BU55" i="4" s="1"/>
  <c r="BU56" i="4" s="1"/>
  <c r="BU57" i="4" s="1"/>
  <c r="BU58" i="4" s="1"/>
  <c r="BU59" i="4" s="1"/>
  <c r="BU60" i="4" s="1"/>
  <c r="BU61" i="4" s="1"/>
  <c r="BU62" i="4" s="1"/>
  <c r="BU63" i="4" s="1"/>
  <c r="BU64" i="4" s="1"/>
  <c r="BU65" i="4" s="1"/>
  <c r="BU66" i="4" s="1"/>
  <c r="M18" i="4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</calcChain>
</file>

<file path=xl/sharedStrings.xml><?xml version="1.0" encoding="utf-8"?>
<sst xmlns="http://schemas.openxmlformats.org/spreadsheetml/2006/main" count="648" uniqueCount="111">
  <si>
    <t>Distance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</si>
  <si>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</si>
  <si>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</si>
  <si>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</si>
  <si>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</si>
  <si>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</si>
  <si>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</si>
  <si>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</si>
  <si>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</si>
  <si>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</si>
  <si>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</si>
  <si>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</si>
  <si>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</si>
  <si>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</si>
  <si>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</si>
  <si>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</si>
  <si>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</si>
  <si>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</si>
  <si>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</si>
  <si>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</si>
  <si>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</si>
  <si>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</si>
  <si>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</si>
  <si>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</si>
  <si>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</si>
  <si>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</si>
  <si>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</si>
  <si>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</si>
  <si>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</si>
  <si>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</si>
  <si>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</si>
  <si>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</si>
  <si>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</si>
  <si>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</si>
  <si>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</si>
  <si>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</si>
  <si>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</si>
  <si>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</si>
  <si>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</si>
  <si>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</si>
  <si>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</si>
  <si>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</si>
  <si>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</si>
  <si>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</si>
  <si>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</si>
  <si>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</si>
  <si>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</si>
  <si>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</si>
  <si>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</si>
  <si>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</si>
  <si>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</si>
  <si>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50+</t>
  </si>
  <si>
    <t>Individual and Joint Tour Length Frequency Distribution, by Primary Tour Purpose</t>
  </si>
  <si>
    <t>Total</t>
  </si>
  <si>
    <t>atwork</t>
  </si>
  <si>
    <t>Escort</t>
  </si>
  <si>
    <t>Discretionary</t>
  </si>
  <si>
    <t>Maintenance</t>
  </si>
  <si>
    <t>Eating Out</t>
  </si>
  <si>
    <t>Source:</t>
  </si>
  <si>
    <t>distbin</t>
  </si>
  <si>
    <t>escort</t>
  </si>
  <si>
    <t>shop</t>
  </si>
  <si>
    <t>maintenance</t>
  </si>
  <si>
    <t>eatout</t>
  </si>
  <si>
    <t>visit</t>
  </si>
  <si>
    <t>discretionary</t>
  </si>
  <si>
    <t>trip_type</t>
  </si>
  <si>
    <t>mean_trip_length</t>
  </si>
  <si>
    <t>ThisIter</t>
  </si>
  <si>
    <t>NextIter</t>
  </si>
  <si>
    <t>Dist15PlsMiles</t>
  </si>
  <si>
    <t>Dampening (Escort)</t>
  </si>
  <si>
    <t>Existing</t>
  </si>
  <si>
    <t>Coefficient</t>
  </si>
  <si>
    <t>Total Value</t>
  </si>
  <si>
    <t>Percent of Trips</t>
  </si>
  <si>
    <t>Observed</t>
  </si>
  <si>
    <t>Modeled</t>
  </si>
  <si>
    <t>% Difference</t>
  </si>
  <si>
    <t>Coefficient Change</t>
  </si>
  <si>
    <t>Raw</t>
  </si>
  <si>
    <t>Normalized</t>
  </si>
  <si>
    <t>Ideal</t>
  </si>
  <si>
    <t>Proposed</t>
  </si>
  <si>
    <t>Dampening (Shop)</t>
  </si>
  <si>
    <t>Shopping</t>
  </si>
  <si>
    <t>Dampening (Maintenance)</t>
  </si>
  <si>
    <t>Dist5to15Miles</t>
  </si>
  <si>
    <t>Dist2to5Miles</t>
  </si>
  <si>
    <t>Dist1to2Miles</t>
  </si>
  <si>
    <t>Dist0to1Miles</t>
  </si>
  <si>
    <t>Dampening (Eating Out)</t>
  </si>
  <si>
    <t>Dampening (Social)</t>
  </si>
  <si>
    <t>Dampening (Discretionary)</t>
  </si>
  <si>
    <t>Dampening (At Work)</t>
  </si>
  <si>
    <t>Work Based</t>
  </si>
  <si>
    <t>Social</t>
  </si>
  <si>
    <t>Average Tour Length</t>
  </si>
  <si>
    <t>avg</t>
  </si>
  <si>
    <t>min</t>
  </si>
  <si>
    <t>tour_type</t>
  </si>
  <si>
    <t>mean_tour_length</t>
  </si>
  <si>
    <t>BATS2023 - Solano/Napa</t>
  </si>
  <si>
    <t>BATS2023 - North Bay</t>
  </si>
  <si>
    <t>Source: M:/Development/Travel Model One/Calibration/Version 1.7/2023_BATS_Summaries/pipeline_mt_20261027/ctramp_2023/BATS_Summaries/BATS2023_TLFD.csv</t>
  </si>
  <si>
    <t>Source: M:/Development/Travel Model One/Calibration/Version 1.7/2023_BATS_Summaries/pipeline_mt_20261027/ctramp_2023/BATS_Summaries/BATS2023_avgtourlen.csv</t>
  </si>
  <si>
    <t>Source: M:/Development/Travel Model One/Calibration/Version 1.7/2023_BATS_Summaries/pipeline_mt_20261027/ctramp_2023/BATS_Summaries/BATS2023_tour_tlfd_solano_napa.csv</t>
  </si>
  <si>
    <t>Source: M:/Development/Travel Model One/Calibration/Version 1.7/2023_BATS_Summaries/pipeline_mt_20261027/ctramp_2023/BATS_Summaries/BATS2023_avg_tour_lengths_solano_napa.csv</t>
  </si>
  <si>
    <t>Source: M:/Development/Travel Model One/Calibration/Version 1.7/2023_BATS_Summaries/pipeline_mt_20261027/ctramp_2023/BATS_Summaries/BATS2023_tour_tlfd_north_bay.csv</t>
  </si>
  <si>
    <t>Source: M:/Development/Travel Model One/Calibration/Version 1.7/2023_BATS_Summaries/pipeline_mt_20261027/ctramp_2023/BATS_Summaries/BATS2023_avg_tour_lengths_north_bay.csv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</si>
</sst>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0;[Red]\-0.0000"/>
    <numFmt numFmtId="165" formatCode="#,##0.000"/>
    <numFmt numFmtId="166" formatCode="_(* #,##0%_);[Red]_(* \-#,##0%_);_(* &quot;-&quot;??_);_(@_)"/>
    <numFmt numFmtId="167" formatCode="_(* #,##0.000_);[Red]_(* \-#,##0.000_);_(* &quot;-&quot;??_);_(@_)"/>
    <numFmt numFmtId="168" formatCode="0.000"/>
    <numFmt numFmtId="169" formatCode="0.0"/>
    <numFmt numFmtId="170" formatCode="0.0%"/>
  </numFmts>
  <fonts count="11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/>
    </xf>
    <xf numFmtId="0" fontId="6" fillId="0" borderId="0" xfId="0" applyFont="1"/>
    <xf numFmtId="0" fontId="3" fillId="0" borderId="0" xfId="2" applyFont="1" applyAlignment="1">
      <alignment horizontal="center" vertical="center" wrapText="1"/>
    </xf>
    <xf numFmtId="0" fontId="5" fillId="0" borderId="0" xfId="0" applyFont="1"/>
    <xf numFmtId="3" fontId="6" fillId="0" borderId="6" xfId="0" applyNumberFormat="1" applyFont="1" applyBorder="1"/>
    <xf numFmtId="3" fontId="6" fillId="0" borderId="7" xfId="0" applyNumberFormat="1" applyFont="1" applyBorder="1"/>
    <xf numFmtId="3" fontId="6" fillId="0" borderId="1" xfId="0" applyNumberFormat="1" applyFont="1" applyBorder="1"/>
    <xf numFmtId="9" fontId="6" fillId="0" borderId="0" xfId="0" applyNumberFormat="1" applyFont="1"/>
    <xf numFmtId="0" fontId="6" fillId="0" borderId="6" xfId="0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5" xfId="0" applyFont="1" applyBorder="1"/>
    <xf numFmtId="4" fontId="6" fillId="0" borderId="9" xfId="0" applyNumberFormat="1" applyFont="1" applyBorder="1"/>
    <xf numFmtId="4" fontId="6" fillId="0" borderId="10" xfId="0" applyNumberFormat="1" applyFont="1" applyBorder="1"/>
    <xf numFmtId="4" fontId="6" fillId="0" borderId="11" xfId="0" applyNumberFormat="1" applyFont="1" applyBorder="1"/>
    <xf numFmtId="2" fontId="6" fillId="2" borderId="0" xfId="0" applyNumberFormat="1" applyFont="1" applyFill="1"/>
    <xf numFmtId="164" fontId="6" fillId="0" borderId="0" xfId="0" applyNumberFormat="1" applyFont="1"/>
    <xf numFmtId="164" fontId="3" fillId="0" borderId="0" xfId="2" applyNumberFormat="1" applyFont="1" applyAlignment="1">
      <alignment horizontal="right"/>
    </xf>
    <xf numFmtId="164" fontId="3" fillId="3" borderId="0" xfId="2" applyNumberFormat="1" applyFont="1" applyFill="1" applyAlignment="1">
      <alignment horizontal="right"/>
    </xf>
    <xf numFmtId="165" fontId="3" fillId="0" borderId="0" xfId="2" applyNumberFormat="1" applyFont="1"/>
    <xf numFmtId="165" fontId="3" fillId="3" borderId="0" xfId="2" applyNumberFormat="1" applyFont="1" applyFill="1"/>
    <xf numFmtId="0" fontId="7" fillId="0" borderId="0" xfId="1" applyFont="1"/>
    <xf numFmtId="0" fontId="7" fillId="0" borderId="4" xfId="1" applyFont="1" applyBorder="1"/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3" fillId="0" borderId="3" xfId="2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0" fontId="3" fillId="0" borderId="6" xfId="2" applyNumberFormat="1" applyFont="1" applyBorder="1"/>
    <xf numFmtId="10" fontId="3" fillId="3" borderId="1" xfId="2" applyNumberFormat="1" applyFont="1" applyFill="1" applyBorder="1"/>
    <xf numFmtId="10" fontId="3" fillId="0" borderId="1" xfId="2" applyNumberFormat="1" applyFont="1" applyBorder="1"/>
    <xf numFmtId="49" fontId="3" fillId="0" borderId="9" xfId="2" applyNumberFormat="1" applyFont="1" applyBorder="1" applyAlignment="1">
      <alignment horizontal="right"/>
    </xf>
    <xf numFmtId="49" fontId="3" fillId="3" borderId="10" xfId="2" applyNumberFormat="1" applyFont="1" applyFill="1" applyBorder="1" applyAlignment="1">
      <alignment horizontal="right"/>
    </xf>
    <xf numFmtId="49" fontId="3" fillId="0" borderId="10" xfId="2" applyNumberFormat="1" applyFont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0" fontId="3" fillId="0" borderId="5" xfId="2" applyFont="1" applyBorder="1" applyAlignment="1">
      <alignment horizontal="center" vertical="center" wrapText="1"/>
    </xf>
    <xf numFmtId="10" fontId="6" fillId="0" borderId="7" xfId="0" applyNumberFormat="1" applyFont="1" applyBorder="1"/>
    <xf numFmtId="10" fontId="6" fillId="3" borderId="0" xfId="0" applyNumberFormat="1" applyFont="1" applyFill="1"/>
    <xf numFmtId="10" fontId="6" fillId="0" borderId="0" xfId="0" applyNumberFormat="1" applyFont="1"/>
    <xf numFmtId="166" fontId="3" fillId="0" borderId="8" xfId="3" applyNumberFormat="1" applyFont="1" applyBorder="1"/>
    <xf numFmtId="166" fontId="6" fillId="3" borderId="2" xfId="0" applyNumberFormat="1" applyFont="1" applyFill="1" applyBorder="1"/>
    <xf numFmtId="166" fontId="6" fillId="0" borderId="2" xfId="0" applyNumberFormat="1" applyFont="1" applyBorder="1"/>
    <xf numFmtId="167" fontId="6" fillId="0" borderId="1" xfId="0" applyNumberFormat="1" applyFont="1" applyBorder="1"/>
    <xf numFmtId="167" fontId="6" fillId="0" borderId="2" xfId="0" applyNumberFormat="1" applyFont="1" applyBorder="1"/>
    <xf numFmtId="167" fontId="6" fillId="0" borderId="10" xfId="0" applyNumberFormat="1" applyFont="1" applyBorder="1"/>
    <xf numFmtId="168" fontId="6" fillId="0" borderId="1" xfId="0" applyNumberFormat="1" applyFont="1" applyBorder="1"/>
    <xf numFmtId="167" fontId="6" fillId="3" borderId="1" xfId="0" applyNumberFormat="1" applyFont="1" applyFill="1" applyBorder="1"/>
    <xf numFmtId="167" fontId="6" fillId="3" borderId="2" xfId="0" applyNumberFormat="1" applyFont="1" applyFill="1" applyBorder="1"/>
    <xf numFmtId="167" fontId="6" fillId="3" borderId="10" xfId="0" applyNumberFormat="1" applyFont="1" applyFill="1" applyBorder="1"/>
    <xf numFmtId="168" fontId="6" fillId="3" borderId="1" xfId="0" applyNumberFormat="1" applyFont="1" applyFill="1" applyBorder="1"/>
    <xf numFmtId="168" fontId="6" fillId="3" borderId="2" xfId="0" applyNumberFormat="1" applyFont="1" applyFill="1" applyBorder="1"/>
    <xf numFmtId="168" fontId="6" fillId="0" borderId="2" xfId="0" applyNumberFormat="1" applyFont="1" applyBorder="1"/>
    <xf numFmtId="0" fontId="7" fillId="4" borderId="0" xfId="1" applyFont="1" applyFill="1"/>
    <xf numFmtId="164" fontId="6" fillId="4" borderId="0" xfId="0" applyNumberFormat="1" applyFont="1" applyFill="1"/>
    <xf numFmtId="0" fontId="0" fillId="4" borderId="0" xfId="0" applyFill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2" fontId="0" fillId="0" borderId="0" xfId="0" applyNumberFormat="1"/>
    <xf numFmtId="2" fontId="6" fillId="0" borderId="0" xfId="0" applyNumberFormat="1" applyFont="1"/>
    <xf numFmtId="169" fontId="6" fillId="0" borderId="0" xfId="0" applyNumberFormat="1" applyFont="1"/>
    <xf numFmtId="49" fontId="3" fillId="0" borderId="7" xfId="2" applyNumberFormat="1" applyFont="1" applyBorder="1" applyAlignment="1">
      <alignment horizontal="right"/>
    </xf>
    <xf numFmtId="49" fontId="3" fillId="0" borderId="7" xfId="2" applyNumberFormat="1" applyFont="1" applyBorder="1"/>
    <xf numFmtId="49" fontId="3" fillId="0" borderId="11" xfId="2" applyNumberFormat="1" applyFont="1" applyBorder="1" applyAlignment="1">
      <alignment horizontal="right"/>
    </xf>
    <xf numFmtId="164" fontId="3" fillId="0" borderId="4" xfId="2" applyNumberFormat="1" applyFont="1" applyBorder="1" applyAlignment="1">
      <alignment horizontal="right"/>
    </xf>
    <xf numFmtId="165" fontId="3" fillId="0" borderId="4" xfId="2" applyNumberFormat="1" applyFont="1" applyBorder="1"/>
    <xf numFmtId="10" fontId="3" fillId="0" borderId="3" xfId="2" applyNumberFormat="1" applyFont="1" applyBorder="1"/>
    <xf numFmtId="10" fontId="6" fillId="0" borderId="4" xfId="0" applyNumberFormat="1" applyFont="1" applyBorder="1"/>
    <xf numFmtId="166" fontId="6" fillId="0" borderId="5" xfId="0" applyNumberFormat="1" applyFont="1" applyBorder="1"/>
    <xf numFmtId="167" fontId="6" fillId="0" borderId="3" xfId="0" applyNumberFormat="1" applyFont="1" applyBorder="1"/>
    <xf numFmtId="167" fontId="6" fillId="0" borderId="5" xfId="0" applyNumberFormat="1" applyFont="1" applyBorder="1"/>
    <xf numFmtId="167" fontId="6" fillId="0" borderId="11" xfId="0" applyNumberFormat="1" applyFont="1" applyBorder="1"/>
    <xf numFmtId="168" fontId="6" fillId="0" borderId="3" xfId="0" applyNumberFormat="1" applyFont="1" applyBorder="1"/>
    <xf numFmtId="168" fontId="6" fillId="0" borderId="5" xfId="0" applyNumberFormat="1" applyFont="1" applyBorder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9" fontId="6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165" fontId="3" fillId="0" borderId="8" xfId="2" applyNumberFormat="1" applyFont="1" applyBorder="1"/>
    <xf numFmtId="3" fontId="6" fillId="0" borderId="0" xfId="0" applyNumberFormat="1" applyFont="1"/>
    <xf numFmtId="0" fontId="6" fillId="0" borderId="8" xfId="0" applyFont="1" applyBorder="1"/>
    <xf numFmtId="2" fontId="6" fillId="0" borderId="4" xfId="0" applyNumberFormat="1" applyFont="1" applyBorder="1"/>
    <xf numFmtId="0" fontId="6" fillId="0" borderId="4" xfId="0" applyFont="1" applyBorder="1"/>
    <xf numFmtId="0" fontId="3" fillId="0" borderId="1" xfId="0" applyFont="1" applyBorder="1"/>
    <xf numFmtId="170" fontId="6" fillId="0" borderId="6" xfId="0" applyNumberFormat="1" applyFont="1" applyBorder="1"/>
    <xf numFmtId="170" fontId="6" fillId="0" borderId="7" xfId="0" applyNumberFormat="1" applyFont="1" applyBorder="1"/>
    <xf numFmtId="170" fontId="6" fillId="0" borderId="8" xfId="0" applyNumberFormat="1" applyFont="1" applyBorder="1"/>
    <xf numFmtId="170" fontId="6" fillId="0" borderId="1" xfId="0" applyNumberFormat="1" applyFont="1" applyBorder="1"/>
    <xf numFmtId="170" fontId="6" fillId="0" borderId="0" xfId="0" applyNumberFormat="1" applyFont="1"/>
    <xf numFmtId="170" fontId="6" fillId="0" borderId="2" xfId="0" applyNumberFormat="1" applyFont="1" applyBorder="1"/>
    <xf numFmtId="170" fontId="6" fillId="0" borderId="3" xfId="0" applyNumberFormat="1" applyFont="1" applyBorder="1"/>
    <xf numFmtId="170" fontId="6" fillId="0" borderId="4" xfId="0" applyNumberFormat="1" applyFont="1" applyBorder="1"/>
    <xf numFmtId="170" fontId="6" fillId="0" borderId="5" xfId="0" applyNumberFormat="1" applyFont="1" applyBorder="1"/>
    <xf numFmtId="0" fontId="10" fillId="0" borderId="0" xfId="0" applyFont="1"/>
    <xf numFmtId="0" fontId="6" fillId="0" borderId="7" xfId="0" applyFont="1" applyBorder="1"/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Border="1"/>
    <xf numFmtId="0" fontId="3" fillId="0" borderId="0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0" xfId="0" applyFont="1"/>
  </cellXfs>
  <cellStyles count="4">
    <cellStyle name="Comma" xfId="3" builtinId="3"/>
    <cellStyle name="Normal" xfId="0" builtinId="0"/>
    <cellStyle name="Normal 2" xfId="2" xr:uid="{473D8C0C-53E8-4C07-B0A3-5F26932D4840}"/>
    <cellStyle name="Normal_BATS2000_IndividualTours_CountySD" xfId="1" xr:uid="{163F048F-6748-43E3-99AC-8ECAAE09C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</a:t>
            </a:r>
            <a:r>
              <a:rPr lang="en-US" sz="1200" baseline="0"/>
              <a:t> Escort</a:t>
            </a:r>
            <a:r>
              <a:rPr lang="en-US" sz="1200"/>
              <a:t> </a:t>
            </a:r>
            <a:r>
              <a:rPr lang="en-US" sz="1200" baseline="0"/>
              <a:t>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calibration!$D$14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calibration!$E$16:$E$66</c:f>
              <c:numCache>
                <c:formatCode>#,##0.000</c:formatCode>
                <c:ptCount val="51"/>
                <c:pt idx="0">
                  <c:v>0</c:v>
                </c:pt>
                <c:pt idx="1">
                  <c:v>-0.14986892900823967</c:v>
                </c:pt>
                <c:pt idx="2">
                  <c:v>-0.29973785801647934</c:v>
                </c:pt>
                <c:pt idx="3">
                  <c:v>-1.1668687870577168</c:v>
                </c:pt>
                <c:pt idx="4">
                  <c:v>-2.0339997160989545</c:v>
                </c:pt>
                <c:pt idx="5">
                  <c:v>-2.9011306451401921</c:v>
                </c:pt>
                <c:pt idx="6">
                  <c:v>-3.1148389057606432</c:v>
                </c:pt>
                <c:pt idx="7">
                  <c:v>-3.3285471663810942</c:v>
                </c:pt>
                <c:pt idx="8">
                  <c:v>-3.5422554270015452</c:v>
                </c:pt>
                <c:pt idx="9">
                  <c:v>-3.7559636876219962</c:v>
                </c:pt>
                <c:pt idx="10">
                  <c:v>-3.9696719482424472</c:v>
                </c:pt>
                <c:pt idx="11">
                  <c:v>-4.1833802088628982</c:v>
                </c:pt>
                <c:pt idx="12">
                  <c:v>-4.3970884694833492</c:v>
                </c:pt>
                <c:pt idx="13">
                  <c:v>-4.6107967301038002</c:v>
                </c:pt>
                <c:pt idx="14">
                  <c:v>-4.8245049907242512</c:v>
                </c:pt>
                <c:pt idx="15">
                  <c:v>-5.0382132513447022</c:v>
                </c:pt>
                <c:pt idx="16">
                  <c:v>-5.2519215119651532</c:v>
                </c:pt>
                <c:pt idx="17">
                  <c:v>-5.4656297725856042</c:v>
                </c:pt>
                <c:pt idx="18">
                  <c:v>-5.6793380332060552</c:v>
                </c:pt>
                <c:pt idx="19">
                  <c:v>-5.8930462938265062</c:v>
                </c:pt>
                <c:pt idx="20">
                  <c:v>-6.1067545544469573</c:v>
                </c:pt>
                <c:pt idx="21">
                  <c:v>-6.3204628150674083</c:v>
                </c:pt>
                <c:pt idx="22">
                  <c:v>-6.5341710756878593</c:v>
                </c:pt>
                <c:pt idx="23">
                  <c:v>-6.7478793363083103</c:v>
                </c:pt>
                <c:pt idx="24">
                  <c:v>-6.9615875969287613</c:v>
                </c:pt>
                <c:pt idx="25">
                  <c:v>-7.1752958575492123</c:v>
                </c:pt>
                <c:pt idx="26">
                  <c:v>-7.3890041181696633</c:v>
                </c:pt>
                <c:pt idx="27">
                  <c:v>-7.6027123787901143</c:v>
                </c:pt>
                <c:pt idx="28">
                  <c:v>-7.8164206394105653</c:v>
                </c:pt>
                <c:pt idx="29">
                  <c:v>-8.0301289000310163</c:v>
                </c:pt>
                <c:pt idx="30">
                  <c:v>-8.2438371606514664</c:v>
                </c:pt>
                <c:pt idx="31">
                  <c:v>-8.4575454212719166</c:v>
                </c:pt>
                <c:pt idx="32">
                  <c:v>-8.6712536818923667</c:v>
                </c:pt>
                <c:pt idx="33">
                  <c:v>-8.8849619425128168</c:v>
                </c:pt>
                <c:pt idx="34">
                  <c:v>-9.0986702031332669</c:v>
                </c:pt>
                <c:pt idx="35">
                  <c:v>-9.312378463753717</c:v>
                </c:pt>
                <c:pt idx="36">
                  <c:v>-9.5260867243741671</c:v>
                </c:pt>
                <c:pt idx="37">
                  <c:v>-9.7397949849946173</c:v>
                </c:pt>
                <c:pt idx="38">
                  <c:v>-9.9535032456150674</c:v>
                </c:pt>
                <c:pt idx="39">
                  <c:v>-10.167211506235518</c:v>
                </c:pt>
                <c:pt idx="40">
                  <c:v>-10.380919766855968</c:v>
                </c:pt>
                <c:pt idx="41">
                  <c:v>-10.594628027476418</c:v>
                </c:pt>
                <c:pt idx="42">
                  <c:v>-10.808336288096868</c:v>
                </c:pt>
                <c:pt idx="43">
                  <c:v>-11.022044548717318</c:v>
                </c:pt>
                <c:pt idx="44">
                  <c:v>-11.235752809337768</c:v>
                </c:pt>
                <c:pt idx="45">
                  <c:v>-11.449461069958218</c:v>
                </c:pt>
                <c:pt idx="46">
                  <c:v>-11.663169330578668</c:v>
                </c:pt>
                <c:pt idx="47">
                  <c:v>-11.876877591199118</c:v>
                </c:pt>
                <c:pt idx="48">
                  <c:v>-12.090585851819569</c:v>
                </c:pt>
                <c:pt idx="49">
                  <c:v>-12.304294112440019</c:v>
                </c:pt>
                <c:pt idx="50">
                  <c:v>-12.518002373060469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7B-4D2B-94FE-7FA683C08FA3}"/>
            </c:ext>
          </c:extLst>
        </c:ser>
        <c:ser>
          <c:idx val="0"/>
          <c:order val="1"/>
          <c:tx>
            <c:strRef>
              <c:f>calibration!$L$14</c:f>
              <c:strCache>
                <c:ptCount val="1"/>
                <c:pt idx="0">
                  <c:v>Proposed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calibration!$M$16:$M$66</c:f>
              <c:numCache>
                <c:formatCode>0.000</c:formatCode>
                <c:ptCount val="51"/>
                <c:pt idx="0" formatCode="#,##0.000">
                  <c:v>0</c:v>
                </c:pt>
                <c:pt idx="1">
                  <c:v>-0.14986892900823967</c:v>
                </c:pt>
                <c:pt idx="2">
                  <c:v>-0.29973785801647934</c:v>
                </c:pt>
                <c:pt idx="3">
                  <c:v>-1.1668687870577168</c:v>
                </c:pt>
                <c:pt idx="4">
                  <c:v>-2.0339997160989545</c:v>
                </c:pt>
                <c:pt idx="5">
                  <c:v>-2.9011306451401921</c:v>
                </c:pt>
                <c:pt idx="6">
                  <c:v>-3.1148389057606432</c:v>
                </c:pt>
                <c:pt idx="7">
                  <c:v>-3.3285471663810942</c:v>
                </c:pt>
                <c:pt idx="8">
                  <c:v>-3.5422554270015452</c:v>
                </c:pt>
                <c:pt idx="9">
                  <c:v>-3.7559636876219962</c:v>
                </c:pt>
                <c:pt idx="10">
                  <c:v>-3.9696719482424472</c:v>
                </c:pt>
                <c:pt idx="11">
                  <c:v>-4.1833802088628982</c:v>
                </c:pt>
                <c:pt idx="12">
                  <c:v>-4.3970884694833492</c:v>
                </c:pt>
                <c:pt idx="13">
                  <c:v>-4.6107967301038002</c:v>
                </c:pt>
                <c:pt idx="14">
                  <c:v>-4.8245049907242512</c:v>
                </c:pt>
                <c:pt idx="15">
                  <c:v>-5.0382132513447022</c:v>
                </c:pt>
                <c:pt idx="16">
                  <c:v>-5.2519215119651532</c:v>
                </c:pt>
                <c:pt idx="17">
                  <c:v>-5.4656297725856042</c:v>
                </c:pt>
                <c:pt idx="18">
                  <c:v>-5.6793380332060552</c:v>
                </c:pt>
                <c:pt idx="19">
                  <c:v>-5.8930462938265062</c:v>
                </c:pt>
                <c:pt idx="20">
                  <c:v>-6.1067545544469573</c:v>
                </c:pt>
                <c:pt idx="21">
                  <c:v>-6.3204628150674083</c:v>
                </c:pt>
                <c:pt idx="22">
                  <c:v>-6.5341710756878593</c:v>
                </c:pt>
                <c:pt idx="23">
                  <c:v>-6.7478793363083103</c:v>
                </c:pt>
                <c:pt idx="24">
                  <c:v>-6.9615875969287613</c:v>
                </c:pt>
                <c:pt idx="25">
                  <c:v>-7.1752958575492123</c:v>
                </c:pt>
                <c:pt idx="26">
                  <c:v>-7.3890041181696633</c:v>
                </c:pt>
                <c:pt idx="27">
                  <c:v>-7.6027123787901143</c:v>
                </c:pt>
                <c:pt idx="28">
                  <c:v>-7.8164206394105653</c:v>
                </c:pt>
                <c:pt idx="29">
                  <c:v>-8.0301289000310163</c:v>
                </c:pt>
                <c:pt idx="30">
                  <c:v>-8.2438371606514664</c:v>
                </c:pt>
                <c:pt idx="31">
                  <c:v>-8.4575454212719166</c:v>
                </c:pt>
                <c:pt idx="32">
                  <c:v>-8.6712536818923667</c:v>
                </c:pt>
                <c:pt idx="33">
                  <c:v>-8.8849619425128168</c:v>
                </c:pt>
                <c:pt idx="34">
                  <c:v>-9.0986702031332669</c:v>
                </c:pt>
                <c:pt idx="35">
                  <c:v>-9.312378463753717</c:v>
                </c:pt>
                <c:pt idx="36">
                  <c:v>-9.5260867243741671</c:v>
                </c:pt>
                <c:pt idx="37">
                  <c:v>-9.7397949849946173</c:v>
                </c:pt>
                <c:pt idx="38">
                  <c:v>-9.9535032456150674</c:v>
                </c:pt>
                <c:pt idx="39">
                  <c:v>-10.167211506235518</c:v>
                </c:pt>
                <c:pt idx="40">
                  <c:v>-10.380919766855968</c:v>
                </c:pt>
                <c:pt idx="41">
                  <c:v>-10.594628027476418</c:v>
                </c:pt>
                <c:pt idx="42">
                  <c:v>-10.808336288096868</c:v>
                </c:pt>
                <c:pt idx="43">
                  <c:v>-11.022044548717318</c:v>
                </c:pt>
                <c:pt idx="44">
                  <c:v>-11.235752809337768</c:v>
                </c:pt>
                <c:pt idx="45">
                  <c:v>-11.449461069958218</c:v>
                </c:pt>
                <c:pt idx="46">
                  <c:v>-11.663169330578668</c:v>
                </c:pt>
                <c:pt idx="47">
                  <c:v>-11.876877591199118</c:v>
                </c:pt>
                <c:pt idx="48">
                  <c:v>-12.090585851819569</c:v>
                </c:pt>
                <c:pt idx="49">
                  <c:v>-12.304294112440019</c:v>
                </c:pt>
                <c:pt idx="50">
                  <c:v>-12.518002373060469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1-4D7B-A3D9-EAB89F1A0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550304"/>
        <c:axId val="1964897952"/>
      </c:scatterChart>
      <c:valAx>
        <c:axId val="2011550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97952"/>
        <c:crosses val="autoZero"/>
        <c:crossBetween val="midCat"/>
      </c:valAx>
      <c:valAx>
        <c:axId val="19648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5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4937759336099585"/>
          <c:y val="0.52653834937299504"/>
          <c:w val="0.17908735474455734"/>
          <c:h val="0.1768184898971293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Escort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6450665259060732"/>
          <c:w val="0.88389129483814521"/>
          <c:h val="0.69229374636068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calibration!$F$15</c:f>
              <c:strCache>
                <c:ptCount val="1"/>
                <c:pt idx="0">
                  <c:v>Observed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calibration!$F$15:$F$66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0.1685390026260277</c:v>
                </c:pt>
                <c:pt idx="2">
                  <c:v>0.17681499508641788</c:v>
                </c:pt>
                <c:pt idx="3">
                  <c:v>0.19991849634407893</c:v>
                </c:pt>
                <c:pt idx="4">
                  <c:v>0.14162320008808005</c:v>
                </c:pt>
                <c:pt idx="5">
                  <c:v>7.7295581972892657E-2</c:v>
                </c:pt>
                <c:pt idx="6">
                  <c:v>6.8568067890726184E-2</c:v>
                </c:pt>
                <c:pt idx="7">
                  <c:v>3.5629593407094248E-2</c:v>
                </c:pt>
                <c:pt idx="8">
                  <c:v>6.6129373654792489E-2</c:v>
                </c:pt>
                <c:pt idx="9">
                  <c:v>2.6569929975852061E-2</c:v>
                </c:pt>
                <c:pt idx="10">
                  <c:v>1.6437915887842155E-3</c:v>
                </c:pt>
                <c:pt idx="11">
                  <c:v>7.4337646616278027E-3</c:v>
                </c:pt>
                <c:pt idx="12">
                  <c:v>1.9117327540440663E-3</c:v>
                </c:pt>
                <c:pt idx="13">
                  <c:v>3.2445068811646949E-3</c:v>
                </c:pt>
                <c:pt idx="14">
                  <c:v>1.0640023759963704E-3</c:v>
                </c:pt>
                <c:pt idx="15">
                  <c:v>8.9072053915684873E-3</c:v>
                </c:pt>
                <c:pt idx="16">
                  <c:v>2.313205248551583E-3</c:v>
                </c:pt>
                <c:pt idx="17">
                  <c:v>1.2335125817964153E-3</c:v>
                </c:pt>
                <c:pt idx="18">
                  <c:v>1E-4</c:v>
                </c:pt>
                <c:pt idx="19">
                  <c:v>1.424700625663404E-3</c:v>
                </c:pt>
                <c:pt idx="20">
                  <c:v>1.7288445133349824E-4</c:v>
                </c:pt>
                <c:pt idx="21">
                  <c:v>9.5520861777945425E-4</c:v>
                </c:pt>
                <c:pt idx="22">
                  <c:v>1.675376067094626E-3</c:v>
                </c:pt>
                <c:pt idx="23">
                  <c:v>1E-4</c:v>
                </c:pt>
                <c:pt idx="24">
                  <c:v>1.8585060436856048E-4</c:v>
                </c:pt>
                <c:pt idx="25">
                  <c:v>2.5339706814096132E-3</c:v>
                </c:pt>
                <c:pt idx="26">
                  <c:v>1E-4</c:v>
                </c:pt>
                <c:pt idx="27">
                  <c:v>1.2834792323979907E-4</c:v>
                </c:pt>
                <c:pt idx="28">
                  <c:v>1.3076003070774605E-4</c:v>
                </c:pt>
                <c:pt idx="29">
                  <c:v>1.2804431019784132E-3</c:v>
                </c:pt>
                <c:pt idx="30">
                  <c:v>1E-4</c:v>
                </c:pt>
                <c:pt idx="31">
                  <c:v>1E-4</c:v>
                </c:pt>
                <c:pt idx="32">
                  <c:v>1.6857349515582735E-4</c:v>
                </c:pt>
                <c:pt idx="33">
                  <c:v>1E-4</c:v>
                </c:pt>
                <c:pt idx="34">
                  <c:v>2.6983891691046845E-4</c:v>
                </c:pt>
                <c:pt idx="35">
                  <c:v>1E-4</c:v>
                </c:pt>
                <c:pt idx="36">
                  <c:v>1E-4</c:v>
                </c:pt>
                <c:pt idx="37">
                  <c:v>1E-4</c:v>
                </c:pt>
                <c:pt idx="38">
                  <c:v>1E-4</c:v>
                </c:pt>
                <c:pt idx="39">
                  <c:v>1E-4</c:v>
                </c:pt>
                <c:pt idx="40">
                  <c:v>1E-4</c:v>
                </c:pt>
                <c:pt idx="41">
                  <c:v>1E-4</c:v>
                </c:pt>
                <c:pt idx="42">
                  <c:v>1E-4</c:v>
                </c:pt>
                <c:pt idx="43">
                  <c:v>1E-4</c:v>
                </c:pt>
                <c:pt idx="44">
                  <c:v>1E-4</c:v>
                </c:pt>
                <c:pt idx="45">
                  <c:v>1E-4</c:v>
                </c:pt>
                <c:pt idx="46">
                  <c:v>1.1734900540112433E-3</c:v>
                </c:pt>
                <c:pt idx="47">
                  <c:v>1E-4</c:v>
                </c:pt>
                <c:pt idx="48">
                  <c:v>1E-4</c:v>
                </c:pt>
                <c:pt idx="49">
                  <c:v>4.7324066855096843E-4</c:v>
                </c:pt>
                <c:pt idx="50">
                  <c:v>1.0402847245408305E-4</c:v>
                </c:pt>
                <c:pt idx="51">
                  <c:v>1.8265416157452213E-4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13-4FF5-90CF-6E429E508226}"/>
            </c:ext>
          </c:extLst>
        </c:ser>
        <c:ser>
          <c:idx val="1"/>
          <c:order val="1"/>
          <c:tx>
            <c:strRef>
              <c:f>calibration!$G$15</c:f>
              <c:strCache>
                <c:ptCount val="1"/>
                <c:pt idx="0">
                  <c:v>Modeled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calibration!$G$15:$G$66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6.6666666666666671E-3</c:v>
                </c:pt>
                <c:pt idx="51">
                  <c:v>0.66666666666666663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3-4FF5-90CF-6E429E508226}"/>
            </c:ext>
          </c:extLst>
        </c:ser>
        <c:ser>
          <c:idx val="2"/>
          <c:order val="2"/>
          <c:tx>
            <c:v>Observed Mean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(calibration!$F$67,calibration!$F$67)</c:f>
              <c:numCache>
                <c:formatCode>0.00</c:formatCode>
                <c:ptCount val="2"/>
                <c:pt idx="0">
                  <c:v>3.6495854620056569</c:v>
                </c:pt>
                <c:pt idx="1">
                  <c:v>3.6495854620056569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426-4772-9AFA-F3262867884B}"/>
            </c:ext>
          </c:extLst>
        </c:ser>
        <c:ser>
          <c:idx val="3"/>
          <c:order val="3"/>
          <c:tx>
            <c:v>Modeled Mean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(calibration!$G$67,calibration!$G$67)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426-4772-9AFA-F32628678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74240"/>
        <c:axId val="1167028672"/>
      </c:scatterChart>
      <c:valAx>
        <c:axId val="172837424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28672"/>
        <c:crosses val="autoZero"/>
        <c:crossBetween val="midCat"/>
      </c:valAx>
      <c:valAx>
        <c:axId val="1167028672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7424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37489063867028"/>
          <c:y val="0.21066261493909286"/>
          <c:w val="0.26626421697287839"/>
          <c:h val="0.4166707981067311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Shopping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6450665259060732"/>
          <c:w val="0.88389129483814521"/>
          <c:h val="0.69229374636068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calibration!$R$15</c:f>
              <c:strCache>
                <c:ptCount val="1"/>
                <c:pt idx="0">
                  <c:v>Observed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calibration!$R$15:$R$66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0.13055947675143242</c:v>
                </c:pt>
                <c:pt idx="2">
                  <c:v>0.24022260997423073</c:v>
                </c:pt>
                <c:pt idx="3">
                  <c:v>0.17440990701825837</c:v>
                </c:pt>
                <c:pt idx="4">
                  <c:v>9.9816438682948788E-2</c:v>
                </c:pt>
                <c:pt idx="5">
                  <c:v>8.2381529459591984E-2</c:v>
                </c:pt>
                <c:pt idx="6">
                  <c:v>4.639039251024913E-2</c:v>
                </c:pt>
                <c:pt idx="7">
                  <c:v>6.0757631671577779E-2</c:v>
                </c:pt>
                <c:pt idx="8">
                  <c:v>2.8219887773152895E-2</c:v>
                </c:pt>
                <c:pt idx="9">
                  <c:v>2.5743322848157339E-2</c:v>
                </c:pt>
                <c:pt idx="10">
                  <c:v>1.2063310376892194E-2</c:v>
                </c:pt>
                <c:pt idx="11">
                  <c:v>1.4428634760285478E-2</c:v>
                </c:pt>
                <c:pt idx="12">
                  <c:v>5.0530418326840878E-3</c:v>
                </c:pt>
                <c:pt idx="13">
                  <c:v>6.9922163544764455E-3</c:v>
                </c:pt>
                <c:pt idx="14">
                  <c:v>9.4696746996526908E-3</c:v>
                </c:pt>
                <c:pt idx="15">
                  <c:v>3.8707186336944294E-3</c:v>
                </c:pt>
                <c:pt idx="16">
                  <c:v>5.6096647173340597E-3</c:v>
                </c:pt>
                <c:pt idx="17">
                  <c:v>6.9807002863718623E-4</c:v>
                </c:pt>
                <c:pt idx="18">
                  <c:v>5.1983718255589001E-3</c:v>
                </c:pt>
                <c:pt idx="19">
                  <c:v>5.674246845019128E-4</c:v>
                </c:pt>
                <c:pt idx="20">
                  <c:v>3.9416606719899636E-4</c:v>
                </c:pt>
                <c:pt idx="21">
                  <c:v>4.3219629042894094E-3</c:v>
                </c:pt>
                <c:pt idx="22">
                  <c:v>4.7611651395773032E-3</c:v>
                </c:pt>
                <c:pt idx="23">
                  <c:v>1.1265102631790623E-4</c:v>
                </c:pt>
                <c:pt idx="24">
                  <c:v>1.7558654473917703E-4</c:v>
                </c:pt>
                <c:pt idx="25">
                  <c:v>1.5734153385497647E-3</c:v>
                </c:pt>
                <c:pt idx="26">
                  <c:v>1.7498449955945165E-3</c:v>
                </c:pt>
                <c:pt idx="27">
                  <c:v>1E-4</c:v>
                </c:pt>
                <c:pt idx="28">
                  <c:v>1.5159842972822734E-2</c:v>
                </c:pt>
                <c:pt idx="29">
                  <c:v>1.9690747627846396E-3</c:v>
                </c:pt>
                <c:pt idx="30">
                  <c:v>5.2738098668707149E-4</c:v>
                </c:pt>
                <c:pt idx="31">
                  <c:v>1E-4</c:v>
                </c:pt>
                <c:pt idx="32">
                  <c:v>1E-4</c:v>
                </c:pt>
                <c:pt idx="33">
                  <c:v>9.9783971443328026E-4</c:v>
                </c:pt>
                <c:pt idx="34">
                  <c:v>2.9477778341375723E-4</c:v>
                </c:pt>
                <c:pt idx="35">
                  <c:v>1.2312059967681355E-4</c:v>
                </c:pt>
                <c:pt idx="36">
                  <c:v>1E-4</c:v>
                </c:pt>
                <c:pt idx="37">
                  <c:v>1.2730833893254679E-3</c:v>
                </c:pt>
                <c:pt idx="38">
                  <c:v>4.5667223812661702E-3</c:v>
                </c:pt>
                <c:pt idx="39">
                  <c:v>1E-4</c:v>
                </c:pt>
                <c:pt idx="40">
                  <c:v>1E-4</c:v>
                </c:pt>
                <c:pt idx="41">
                  <c:v>8.8068276169830893E-3</c:v>
                </c:pt>
                <c:pt idx="42">
                  <c:v>1E-4</c:v>
                </c:pt>
                <c:pt idx="43">
                  <c:v>1E-4</c:v>
                </c:pt>
                <c:pt idx="44">
                  <c:v>1E-4</c:v>
                </c:pt>
                <c:pt idx="45">
                  <c:v>1E-4</c:v>
                </c:pt>
                <c:pt idx="46">
                  <c:v>4.3854487068296444E-4</c:v>
                </c:pt>
                <c:pt idx="47">
                  <c:v>1E-4</c:v>
                </c:pt>
                <c:pt idx="48">
                  <c:v>1E-4</c:v>
                </c:pt>
                <c:pt idx="49">
                  <c:v>1E-4</c:v>
                </c:pt>
                <c:pt idx="50">
                  <c:v>1E-4</c:v>
                </c:pt>
                <c:pt idx="51">
                  <c:v>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EB-42A6-8D6A-7083B6FC5BDF}"/>
            </c:ext>
          </c:extLst>
        </c:ser>
        <c:ser>
          <c:idx val="1"/>
          <c:order val="1"/>
          <c:tx>
            <c:strRef>
              <c:f>calibration!$S$15</c:f>
              <c:strCache>
                <c:ptCount val="1"/>
                <c:pt idx="0">
                  <c:v>Modeled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calibration!$S$15:$S$66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6.6666666666666671E-3</c:v>
                </c:pt>
                <c:pt idx="5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EB-42A6-8D6A-7083B6FC5BDF}"/>
            </c:ext>
          </c:extLst>
        </c:ser>
        <c:ser>
          <c:idx val="2"/>
          <c:order val="2"/>
          <c:tx>
            <c:v>Observed Mean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(calibration!$R$67,calibration!$R$67)</c:f>
              <c:numCache>
                <c:formatCode>0.00</c:formatCode>
                <c:ptCount val="2"/>
                <c:pt idx="0">
                  <c:v>4.9827682316493505</c:v>
                </c:pt>
                <c:pt idx="1">
                  <c:v>4.9827682316493505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CEB-42A6-8D6A-7083B6FC5BDF}"/>
            </c:ext>
          </c:extLst>
        </c:ser>
        <c:ser>
          <c:idx val="3"/>
          <c:order val="3"/>
          <c:tx>
            <c:v>Modeled Mean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(calibration!$S$67,calibration!$S$67)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8CEB-42A6-8D6A-7083B6FC5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74240"/>
        <c:axId val="1167028672"/>
      </c:scatterChart>
      <c:valAx>
        <c:axId val="172837424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28672"/>
        <c:crosses val="autoZero"/>
        <c:crossBetween val="midCat"/>
      </c:valAx>
      <c:valAx>
        <c:axId val="1167028672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7424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3748906386703"/>
          <c:y val="0.23535404497145421"/>
          <c:w val="0.26626421697287839"/>
          <c:h val="0.4166707981067311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Maintenance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6450665259060732"/>
          <c:w val="0.88389129483814521"/>
          <c:h val="0.69229374636068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calibration!$AD$15</c:f>
              <c:strCache>
                <c:ptCount val="1"/>
                <c:pt idx="0">
                  <c:v>Observed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calibration!$AD$15:$AD$66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0.10740872532779798</c:v>
                </c:pt>
                <c:pt idx="2">
                  <c:v>0.32310662320096883</c:v>
                </c:pt>
                <c:pt idx="3">
                  <c:v>9.3288231934015239E-2</c:v>
                </c:pt>
                <c:pt idx="4">
                  <c:v>8.1459848851663588E-2</c:v>
                </c:pt>
                <c:pt idx="5">
                  <c:v>7.556235903365123E-2</c:v>
                </c:pt>
                <c:pt idx="6">
                  <c:v>8.4378211704202663E-2</c:v>
                </c:pt>
                <c:pt idx="7">
                  <c:v>4.7119552890519806E-2</c:v>
                </c:pt>
                <c:pt idx="8">
                  <c:v>5.079570606456138E-2</c:v>
                </c:pt>
                <c:pt idx="9">
                  <c:v>1.5553856463061773E-2</c:v>
                </c:pt>
                <c:pt idx="10">
                  <c:v>2.5114411506170175E-2</c:v>
                </c:pt>
                <c:pt idx="11">
                  <c:v>6.107573195274228E-3</c:v>
                </c:pt>
                <c:pt idx="12">
                  <c:v>6.3601401821705913E-3</c:v>
                </c:pt>
                <c:pt idx="13">
                  <c:v>8.214118547524809E-4</c:v>
                </c:pt>
                <c:pt idx="14">
                  <c:v>3.658158508874982E-3</c:v>
                </c:pt>
                <c:pt idx="15">
                  <c:v>5.978770774915463E-3</c:v>
                </c:pt>
                <c:pt idx="16">
                  <c:v>1.1536381441014775E-2</c:v>
                </c:pt>
                <c:pt idx="17">
                  <c:v>2.7382707984947362E-3</c:v>
                </c:pt>
                <c:pt idx="18">
                  <c:v>1.9387262152280157E-3</c:v>
                </c:pt>
                <c:pt idx="19">
                  <c:v>6.2633288097439345E-3</c:v>
                </c:pt>
                <c:pt idx="20">
                  <c:v>2.2444145349968139E-3</c:v>
                </c:pt>
                <c:pt idx="21">
                  <c:v>4.9938858430458102E-3</c:v>
                </c:pt>
                <c:pt idx="22">
                  <c:v>9.0772165095994919E-3</c:v>
                </c:pt>
                <c:pt idx="23">
                  <c:v>8.1161688341770393E-4</c:v>
                </c:pt>
                <c:pt idx="24">
                  <c:v>9.2297148624787559E-4</c:v>
                </c:pt>
                <c:pt idx="25">
                  <c:v>1.0873803708820321E-3</c:v>
                </c:pt>
                <c:pt idx="26">
                  <c:v>6.0543481834800942E-3</c:v>
                </c:pt>
                <c:pt idx="27">
                  <c:v>6.341763302286349E-3</c:v>
                </c:pt>
                <c:pt idx="28">
                  <c:v>2.3036288476835709E-4</c:v>
                </c:pt>
                <c:pt idx="29">
                  <c:v>1.1070761661690215E-3</c:v>
                </c:pt>
                <c:pt idx="30">
                  <c:v>3.8475756323792299E-4</c:v>
                </c:pt>
                <c:pt idx="31">
                  <c:v>1.2809869973451217E-2</c:v>
                </c:pt>
                <c:pt idx="32">
                  <c:v>3.270158661131892E-4</c:v>
                </c:pt>
                <c:pt idx="33">
                  <c:v>5.2866879367320565E-4</c:v>
                </c:pt>
                <c:pt idx="34">
                  <c:v>1.4864090985845302E-4</c:v>
                </c:pt>
                <c:pt idx="35">
                  <c:v>2.6657987615394646E-4</c:v>
                </c:pt>
                <c:pt idx="36">
                  <c:v>1E-4</c:v>
                </c:pt>
                <c:pt idx="37">
                  <c:v>1.4833686638274489E-4</c:v>
                </c:pt>
                <c:pt idx="38">
                  <c:v>1E-4</c:v>
                </c:pt>
                <c:pt idx="39">
                  <c:v>8.7301001645538254E-4</c:v>
                </c:pt>
                <c:pt idx="40">
                  <c:v>1E-4</c:v>
                </c:pt>
                <c:pt idx="41">
                  <c:v>6.1484220743498119E-4</c:v>
                </c:pt>
                <c:pt idx="42">
                  <c:v>1E-4</c:v>
                </c:pt>
                <c:pt idx="43">
                  <c:v>7.1962328068313924E-4</c:v>
                </c:pt>
                <c:pt idx="44">
                  <c:v>1E-4</c:v>
                </c:pt>
                <c:pt idx="45">
                  <c:v>1E-4</c:v>
                </c:pt>
                <c:pt idx="46">
                  <c:v>1E-4</c:v>
                </c:pt>
                <c:pt idx="47">
                  <c:v>1E-4</c:v>
                </c:pt>
                <c:pt idx="48">
                  <c:v>1E-4</c:v>
                </c:pt>
                <c:pt idx="49">
                  <c:v>1.1092825593032021E-4</c:v>
                </c:pt>
                <c:pt idx="50">
                  <c:v>1E-4</c:v>
                </c:pt>
                <c:pt idx="51">
                  <c:v>8.2808518785322895E-4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C8-459B-AA42-F55968B77F99}"/>
            </c:ext>
          </c:extLst>
        </c:ser>
        <c:ser>
          <c:idx val="1"/>
          <c:order val="1"/>
          <c:tx>
            <c:strRef>
              <c:f>calibration!$AE$15</c:f>
              <c:strCache>
                <c:ptCount val="1"/>
                <c:pt idx="0">
                  <c:v>Modeled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calibration!$AE$15:$AE$66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6.6666666666666671E-3</c:v>
                </c:pt>
                <c:pt idx="51">
                  <c:v>3.3333333333333335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C8-459B-AA42-F55968B77F99}"/>
            </c:ext>
          </c:extLst>
        </c:ser>
        <c:ser>
          <c:idx val="2"/>
          <c:order val="2"/>
          <c:tx>
            <c:v>Observed Mean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(calibration!$AD$67,calibration!$AD$67)</c:f>
              <c:numCache>
                <c:formatCode>0.00</c:formatCode>
                <c:ptCount val="2"/>
                <c:pt idx="0">
                  <c:v>5.2550902498402809</c:v>
                </c:pt>
                <c:pt idx="1">
                  <c:v>5.2550902498402809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A6C8-459B-AA42-F55968B77F99}"/>
            </c:ext>
          </c:extLst>
        </c:ser>
        <c:ser>
          <c:idx val="3"/>
          <c:order val="3"/>
          <c:tx>
            <c:v>Modeled Mean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(calibration!$AE$67,calibration!$AE$67)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A6C8-459B-AA42-F55968B7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74240"/>
        <c:axId val="1167028672"/>
      </c:scatterChart>
      <c:valAx>
        <c:axId val="172837424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28672"/>
        <c:crosses val="autoZero"/>
        <c:crossBetween val="midCat"/>
      </c:valAx>
      <c:valAx>
        <c:axId val="1167028672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7424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026377952755901"/>
          <c:y val="0.2230083299552735"/>
          <c:w val="0.26626421697287839"/>
          <c:h val="0.4166707981067311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Eating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6450665259060732"/>
          <c:w val="0.88389129483814521"/>
          <c:h val="0.69229374636068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calibration!$AP$15</c:f>
              <c:strCache>
                <c:ptCount val="1"/>
                <c:pt idx="0">
                  <c:v>Observed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calibration!$AP$15:$AP$66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0.28524207294816828</c:v>
                </c:pt>
                <c:pt idx="2">
                  <c:v>0.17701301026418248</c:v>
                </c:pt>
                <c:pt idx="3">
                  <c:v>0.1727287934937288</c:v>
                </c:pt>
                <c:pt idx="4">
                  <c:v>9.1931182978707102E-2</c:v>
                </c:pt>
                <c:pt idx="5">
                  <c:v>4.4246477751409122E-2</c:v>
                </c:pt>
                <c:pt idx="6">
                  <c:v>3.9196726356603505E-2</c:v>
                </c:pt>
                <c:pt idx="7">
                  <c:v>4.1506162311527754E-2</c:v>
                </c:pt>
                <c:pt idx="8">
                  <c:v>1.8547993337017024E-2</c:v>
                </c:pt>
                <c:pt idx="9">
                  <c:v>2.603691545438986E-2</c:v>
                </c:pt>
                <c:pt idx="10">
                  <c:v>1.5023082959876356E-2</c:v>
                </c:pt>
                <c:pt idx="11">
                  <c:v>4.5616169193878767E-3</c:v>
                </c:pt>
                <c:pt idx="12">
                  <c:v>8.6006682990515861E-3</c:v>
                </c:pt>
                <c:pt idx="13">
                  <c:v>1.0658938439249768E-2</c:v>
                </c:pt>
                <c:pt idx="14">
                  <c:v>7.3179996759910344E-3</c:v>
                </c:pt>
                <c:pt idx="15">
                  <c:v>1.9002367313802409E-3</c:v>
                </c:pt>
                <c:pt idx="16">
                  <c:v>1.0199093799942686E-2</c:v>
                </c:pt>
                <c:pt idx="17">
                  <c:v>3.0902044130277197E-3</c:v>
                </c:pt>
                <c:pt idx="18">
                  <c:v>1.0850702778158583E-3</c:v>
                </c:pt>
                <c:pt idx="19">
                  <c:v>1.5275875551560474E-3</c:v>
                </c:pt>
                <c:pt idx="20">
                  <c:v>1.9673444134398533E-3</c:v>
                </c:pt>
                <c:pt idx="21">
                  <c:v>4.9704099182631457E-4</c:v>
                </c:pt>
                <c:pt idx="22">
                  <c:v>2.1793313590199111E-3</c:v>
                </c:pt>
                <c:pt idx="23">
                  <c:v>4.5121540494606012E-4</c:v>
                </c:pt>
                <c:pt idx="24">
                  <c:v>1.2811747509449373E-3</c:v>
                </c:pt>
                <c:pt idx="25">
                  <c:v>4.5325873142093333E-3</c:v>
                </c:pt>
                <c:pt idx="26">
                  <c:v>1.3437559920810563E-3</c:v>
                </c:pt>
                <c:pt idx="27">
                  <c:v>3.621527501558525E-3</c:v>
                </c:pt>
                <c:pt idx="28">
                  <c:v>4.271641911900215E-4</c:v>
                </c:pt>
                <c:pt idx="29">
                  <c:v>3.8043284005664364E-3</c:v>
                </c:pt>
                <c:pt idx="30">
                  <c:v>1.3855786628545251E-3</c:v>
                </c:pt>
                <c:pt idx="31">
                  <c:v>3.2744229062313082E-3</c:v>
                </c:pt>
                <c:pt idx="32">
                  <c:v>1.5488944166524414E-3</c:v>
                </c:pt>
                <c:pt idx="33">
                  <c:v>5.7992016134970556E-4</c:v>
                </c:pt>
                <c:pt idx="34">
                  <c:v>3.9676203401032705E-4</c:v>
                </c:pt>
                <c:pt idx="35">
                  <c:v>2.097139529490531E-4</c:v>
                </c:pt>
                <c:pt idx="36">
                  <c:v>1.5933689233255956E-3</c:v>
                </c:pt>
                <c:pt idx="37">
                  <c:v>3.0623562363483428E-3</c:v>
                </c:pt>
                <c:pt idx="38">
                  <c:v>2.2813155403858691E-4</c:v>
                </c:pt>
                <c:pt idx="39">
                  <c:v>1.182511718318655E-3</c:v>
                </c:pt>
                <c:pt idx="40">
                  <c:v>3.3875389300610002E-4</c:v>
                </c:pt>
                <c:pt idx="41">
                  <c:v>3.9854419800728425E-3</c:v>
                </c:pt>
                <c:pt idx="42">
                  <c:v>1E-4</c:v>
                </c:pt>
                <c:pt idx="43">
                  <c:v>2.3870412323615591E-4</c:v>
                </c:pt>
                <c:pt idx="44">
                  <c:v>5.740530883108501E-4</c:v>
                </c:pt>
                <c:pt idx="45">
                  <c:v>2.4467385609873524E-4</c:v>
                </c:pt>
                <c:pt idx="46">
                  <c:v>1E-4</c:v>
                </c:pt>
                <c:pt idx="47">
                  <c:v>4.9945662283385655E-4</c:v>
                </c:pt>
                <c:pt idx="48">
                  <c:v>1E-4</c:v>
                </c:pt>
                <c:pt idx="49">
                  <c:v>1E-4</c:v>
                </c:pt>
                <c:pt idx="50">
                  <c:v>1E-4</c:v>
                </c:pt>
                <c:pt idx="51">
                  <c:v>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ED-4812-B355-F1B6B7DCBB24}"/>
            </c:ext>
          </c:extLst>
        </c:ser>
        <c:ser>
          <c:idx val="1"/>
          <c:order val="1"/>
          <c:tx>
            <c:strRef>
              <c:f>calibration!$AQ$15</c:f>
              <c:strCache>
                <c:ptCount val="1"/>
                <c:pt idx="0">
                  <c:v>Modeled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calibration!$AQ$15:$AQ$66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6.6666666666666671E-3</c:v>
                </c:pt>
                <c:pt idx="51">
                  <c:v>2.6666666666666665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ED-4812-B355-F1B6B7DCBB24}"/>
            </c:ext>
          </c:extLst>
        </c:ser>
        <c:ser>
          <c:idx val="2"/>
          <c:order val="2"/>
          <c:tx>
            <c:v>Observed Mean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(calibration!$AP$67,calibration!$AP$67)</c:f>
              <c:numCache>
                <c:formatCode>0.00</c:formatCode>
                <c:ptCount val="2"/>
                <c:pt idx="0">
                  <c:v>4.2330956232107599</c:v>
                </c:pt>
                <c:pt idx="1">
                  <c:v>4.2330956232107599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2ED-4812-B355-F1B6B7DCBB24}"/>
            </c:ext>
          </c:extLst>
        </c:ser>
        <c:ser>
          <c:idx val="3"/>
          <c:order val="3"/>
          <c:tx>
            <c:v>Modeled Mean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(calibration!$AQ$67,calibration!$AQ$67)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62ED-4812-B355-F1B6B7DCB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74240"/>
        <c:axId val="1167028672"/>
      </c:scatterChart>
      <c:valAx>
        <c:axId val="172837424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28672"/>
        <c:crosses val="autoZero"/>
        <c:crossBetween val="midCat"/>
      </c:valAx>
      <c:valAx>
        <c:axId val="1167028672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7424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026377952755901"/>
          <c:y val="0.2230083299552735"/>
          <c:w val="0.26626421697287839"/>
          <c:h val="0.4166707981067311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6450665259060732"/>
          <c:w val="0.88389129483814521"/>
          <c:h val="0.69229374636068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calibration!$BB$15</c:f>
              <c:strCache>
                <c:ptCount val="1"/>
                <c:pt idx="0">
                  <c:v>Observed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calibration!$BB$15:$BB$66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0.33176409487459135</c:v>
                </c:pt>
                <c:pt idx="2">
                  <c:v>0.22994102358988056</c:v>
                </c:pt>
                <c:pt idx="3">
                  <c:v>0.10066613509795701</c:v>
                </c:pt>
                <c:pt idx="4">
                  <c:v>7.4203382177949723E-2</c:v>
                </c:pt>
                <c:pt idx="5">
                  <c:v>5.1433561465890974E-2</c:v>
                </c:pt>
                <c:pt idx="6">
                  <c:v>4.876088410938708E-2</c:v>
                </c:pt>
                <c:pt idx="7">
                  <c:v>2.4047995328300265E-2</c:v>
                </c:pt>
                <c:pt idx="8">
                  <c:v>2.2366431264314507E-2</c:v>
                </c:pt>
                <c:pt idx="9">
                  <c:v>3.0550924113742838E-2</c:v>
                </c:pt>
                <c:pt idx="10">
                  <c:v>6.8844824606414719E-3</c:v>
                </c:pt>
                <c:pt idx="11">
                  <c:v>7.3966956717126777E-3</c:v>
                </c:pt>
                <c:pt idx="12">
                  <c:v>3.1725354466774634E-3</c:v>
                </c:pt>
                <c:pt idx="13">
                  <c:v>3.2622227589488915E-3</c:v>
                </c:pt>
                <c:pt idx="14">
                  <c:v>5.9832264511699013E-3</c:v>
                </c:pt>
                <c:pt idx="15">
                  <c:v>5.5699249437773397E-3</c:v>
                </c:pt>
                <c:pt idx="16">
                  <c:v>1.2935192374517727E-2</c:v>
                </c:pt>
                <c:pt idx="17">
                  <c:v>1.7314951953477813E-3</c:v>
                </c:pt>
                <c:pt idx="18">
                  <c:v>9.4155432312151791E-3</c:v>
                </c:pt>
                <c:pt idx="19">
                  <c:v>1.9344268617048986E-3</c:v>
                </c:pt>
                <c:pt idx="20">
                  <c:v>9.9424197172175784E-4</c:v>
                </c:pt>
                <c:pt idx="21">
                  <c:v>2.4104998764139531E-3</c:v>
                </c:pt>
                <c:pt idx="22">
                  <c:v>7.6256289998629951E-3</c:v>
                </c:pt>
                <c:pt idx="23">
                  <c:v>1.3144729673101465E-4</c:v>
                </c:pt>
                <c:pt idx="24">
                  <c:v>1.8485656754317181E-4</c:v>
                </c:pt>
                <c:pt idx="25">
                  <c:v>4.4591639148665226E-4</c:v>
                </c:pt>
                <c:pt idx="26">
                  <c:v>2.5803730884773441E-4</c:v>
                </c:pt>
                <c:pt idx="27">
                  <c:v>1E-4</c:v>
                </c:pt>
                <c:pt idx="28">
                  <c:v>9.7703783097065691E-4</c:v>
                </c:pt>
                <c:pt idx="29">
                  <c:v>2.7053786500492592E-3</c:v>
                </c:pt>
                <c:pt idx="30">
                  <c:v>1.596194935969749E-3</c:v>
                </c:pt>
                <c:pt idx="31">
                  <c:v>5.8091409099015191E-4</c:v>
                </c:pt>
                <c:pt idx="32">
                  <c:v>4.3837449840048495E-4</c:v>
                </c:pt>
                <c:pt idx="33">
                  <c:v>6.7246159534954035E-4</c:v>
                </c:pt>
                <c:pt idx="34">
                  <c:v>2.0058861211698495E-3</c:v>
                </c:pt>
                <c:pt idx="35">
                  <c:v>2.2537378712114125E-4</c:v>
                </c:pt>
                <c:pt idx="36">
                  <c:v>1E-4</c:v>
                </c:pt>
                <c:pt idx="37">
                  <c:v>5.2566548358641747E-4</c:v>
                </c:pt>
                <c:pt idx="38">
                  <c:v>1E-4</c:v>
                </c:pt>
                <c:pt idx="39">
                  <c:v>1E-4</c:v>
                </c:pt>
                <c:pt idx="40">
                  <c:v>1.0194343851253955E-4</c:v>
                </c:pt>
                <c:pt idx="41">
                  <c:v>1.6986291808634166E-4</c:v>
                </c:pt>
                <c:pt idx="42">
                  <c:v>1E-4</c:v>
                </c:pt>
                <c:pt idx="43">
                  <c:v>2.1046686200258631E-4</c:v>
                </c:pt>
                <c:pt idx="44">
                  <c:v>1E-4</c:v>
                </c:pt>
                <c:pt idx="45">
                  <c:v>4.7756354654775998E-4</c:v>
                </c:pt>
                <c:pt idx="46">
                  <c:v>1.451511654668272E-3</c:v>
                </c:pt>
                <c:pt idx="47">
                  <c:v>1E-4</c:v>
                </c:pt>
                <c:pt idx="48">
                  <c:v>1E-4</c:v>
                </c:pt>
                <c:pt idx="49">
                  <c:v>7.8432785779147655E-4</c:v>
                </c:pt>
                <c:pt idx="50">
                  <c:v>1E-4</c:v>
                </c:pt>
                <c:pt idx="51">
                  <c:v>2.6538835295945641E-3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B4-4F11-964F-D430D9BB1594}"/>
            </c:ext>
          </c:extLst>
        </c:ser>
        <c:ser>
          <c:idx val="1"/>
          <c:order val="1"/>
          <c:tx>
            <c:strRef>
              <c:f>calibration!$BC$15</c:f>
              <c:strCache>
                <c:ptCount val="1"/>
                <c:pt idx="0">
                  <c:v>Modeled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calibration!$BC$15:$BC$66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6.6666666666666671E-3</c:v>
                </c:pt>
                <c:pt idx="5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B4-4F11-964F-D430D9BB1594}"/>
            </c:ext>
          </c:extLst>
        </c:ser>
        <c:ser>
          <c:idx val="2"/>
          <c:order val="2"/>
          <c:tx>
            <c:v>Observed Mean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(calibration!$BB$67,calibration!$BB$67)</c:f>
              <c:numCache>
                <c:formatCode>0.00</c:formatCode>
                <c:ptCount val="2"/>
                <c:pt idx="0">
                  <c:v>4.126983545156957</c:v>
                </c:pt>
                <c:pt idx="1">
                  <c:v>4.126983545156957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95B4-4F11-964F-D430D9BB1594}"/>
            </c:ext>
          </c:extLst>
        </c:ser>
        <c:ser>
          <c:idx val="3"/>
          <c:order val="3"/>
          <c:tx>
            <c:v>Modeled Mean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(calibration!$BC$67,calibration!$BC$67)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95B4-4F11-964F-D430D9BB1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74240"/>
        <c:axId val="1167028672"/>
      </c:scatterChart>
      <c:valAx>
        <c:axId val="172837424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28672"/>
        <c:crosses val="autoZero"/>
        <c:crossBetween val="midCat"/>
      </c:valAx>
      <c:valAx>
        <c:axId val="1167028672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7424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026377952755901"/>
          <c:y val="0.2230083299552735"/>
          <c:w val="0.26626421697287839"/>
          <c:h val="0.4166707981067311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Social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6450665259060732"/>
          <c:w val="0.88389129483814521"/>
          <c:h val="0.69229374636068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calibration!$BN$15</c:f>
              <c:strCache>
                <c:ptCount val="1"/>
                <c:pt idx="0">
                  <c:v>Observed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calibration!$BN$15:$BN$66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0.18636619543268851</c:v>
                </c:pt>
                <c:pt idx="2">
                  <c:v>0.21973212524880231</c:v>
                </c:pt>
                <c:pt idx="3">
                  <c:v>0.19196498929085906</c:v>
                </c:pt>
                <c:pt idx="4">
                  <c:v>6.5994226947974688E-2</c:v>
                </c:pt>
                <c:pt idx="5">
                  <c:v>2.1117359653465142E-2</c:v>
                </c:pt>
                <c:pt idx="6">
                  <c:v>7.356481271664661E-2</c:v>
                </c:pt>
                <c:pt idx="7">
                  <c:v>3.4766895156420237E-2</c:v>
                </c:pt>
                <c:pt idx="8">
                  <c:v>1.6818863474103708E-2</c:v>
                </c:pt>
                <c:pt idx="9">
                  <c:v>2.0821531905845753E-2</c:v>
                </c:pt>
                <c:pt idx="10">
                  <c:v>1.5168305137769449E-2</c:v>
                </c:pt>
                <c:pt idx="11">
                  <c:v>2.270558951798239E-3</c:v>
                </c:pt>
                <c:pt idx="12">
                  <c:v>1.6735412372023958E-2</c:v>
                </c:pt>
                <c:pt idx="13">
                  <c:v>2.4918597655022041E-3</c:v>
                </c:pt>
                <c:pt idx="14">
                  <c:v>4.6550588001981544E-2</c:v>
                </c:pt>
                <c:pt idx="15">
                  <c:v>8.2946091891458122E-4</c:v>
                </c:pt>
                <c:pt idx="16">
                  <c:v>8.8368963187492773E-3</c:v>
                </c:pt>
                <c:pt idx="17">
                  <c:v>5.503717723263914E-3</c:v>
                </c:pt>
                <c:pt idx="18">
                  <c:v>3.9736805582898001E-3</c:v>
                </c:pt>
                <c:pt idx="19">
                  <c:v>6.7534580115815007E-4</c:v>
                </c:pt>
                <c:pt idx="20">
                  <c:v>2.4434878705906452E-2</c:v>
                </c:pt>
                <c:pt idx="21">
                  <c:v>2.8339922470239161E-3</c:v>
                </c:pt>
                <c:pt idx="22">
                  <c:v>4.804876193282152E-3</c:v>
                </c:pt>
                <c:pt idx="23">
                  <c:v>5.6049335407490895E-4</c:v>
                </c:pt>
                <c:pt idx="24">
                  <c:v>1E-4</c:v>
                </c:pt>
                <c:pt idx="25">
                  <c:v>1.7050820727601688E-2</c:v>
                </c:pt>
                <c:pt idx="26">
                  <c:v>1E-4</c:v>
                </c:pt>
                <c:pt idx="27">
                  <c:v>3.5409901976957446E-4</c:v>
                </c:pt>
                <c:pt idx="28">
                  <c:v>6.4960742477322491E-4</c:v>
                </c:pt>
                <c:pt idx="29">
                  <c:v>2.176173017707485E-4</c:v>
                </c:pt>
                <c:pt idx="30">
                  <c:v>4.529671385422749E-4</c:v>
                </c:pt>
                <c:pt idx="31">
                  <c:v>1.5770571626233258E-4</c:v>
                </c:pt>
                <c:pt idx="32">
                  <c:v>2.6418587348209107E-3</c:v>
                </c:pt>
                <c:pt idx="33">
                  <c:v>3.534815575949206E-3</c:v>
                </c:pt>
                <c:pt idx="34">
                  <c:v>1.0254658921650109E-4</c:v>
                </c:pt>
                <c:pt idx="35">
                  <c:v>2.349970106033385E-3</c:v>
                </c:pt>
                <c:pt idx="36">
                  <c:v>1.9566604999700319E-4</c:v>
                </c:pt>
                <c:pt idx="37">
                  <c:v>1E-4</c:v>
                </c:pt>
                <c:pt idx="38">
                  <c:v>1.3408681838541559E-4</c:v>
                </c:pt>
                <c:pt idx="39">
                  <c:v>1E-4</c:v>
                </c:pt>
                <c:pt idx="40">
                  <c:v>1E-4</c:v>
                </c:pt>
                <c:pt idx="41">
                  <c:v>1E-4</c:v>
                </c:pt>
                <c:pt idx="42">
                  <c:v>1E-4</c:v>
                </c:pt>
                <c:pt idx="43">
                  <c:v>1E-4</c:v>
                </c:pt>
                <c:pt idx="44">
                  <c:v>1.0840913840688578E-3</c:v>
                </c:pt>
                <c:pt idx="45">
                  <c:v>1.967178922358775E-4</c:v>
                </c:pt>
                <c:pt idx="46">
                  <c:v>1.8613081486677789E-3</c:v>
                </c:pt>
                <c:pt idx="47">
                  <c:v>1E-4</c:v>
                </c:pt>
                <c:pt idx="48">
                  <c:v>1E-4</c:v>
                </c:pt>
                <c:pt idx="49">
                  <c:v>1E-4</c:v>
                </c:pt>
                <c:pt idx="50">
                  <c:v>1E-4</c:v>
                </c:pt>
                <c:pt idx="51">
                  <c:v>2.1023670955123775E-3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95-4B33-BA07-1510F748E5AB}"/>
            </c:ext>
          </c:extLst>
        </c:ser>
        <c:ser>
          <c:idx val="1"/>
          <c:order val="1"/>
          <c:tx>
            <c:strRef>
              <c:f>calibration!$BO$15</c:f>
              <c:strCache>
                <c:ptCount val="1"/>
                <c:pt idx="0">
                  <c:v>Modeled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calibration!$BO$15:$BO$66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6.6666666666666671E-3</c:v>
                </c:pt>
                <c:pt idx="51">
                  <c:v>1.3333333333333333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95-4B33-BA07-1510F748E5AB}"/>
            </c:ext>
          </c:extLst>
        </c:ser>
        <c:ser>
          <c:idx val="2"/>
          <c:order val="2"/>
          <c:tx>
            <c:v>Observed Mean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(calibration!$BN$67,calibration!$BN$67)</c:f>
              <c:numCache>
                <c:formatCode>0.00</c:formatCode>
                <c:ptCount val="2"/>
                <c:pt idx="0">
                  <c:v>5.2370744286338677</c:v>
                </c:pt>
                <c:pt idx="1">
                  <c:v>5.2370744286338677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895-4B33-BA07-1510F748E5AB}"/>
            </c:ext>
          </c:extLst>
        </c:ser>
        <c:ser>
          <c:idx val="3"/>
          <c:order val="3"/>
          <c:tx>
            <c:v>Modeled Mean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(calibration!$BO$67,calibration!$BO$67)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0895-4B33-BA07-1510F748E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74240"/>
        <c:axId val="1167028672"/>
      </c:scatterChart>
      <c:valAx>
        <c:axId val="172837424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28672"/>
        <c:crosses val="autoZero"/>
        <c:crossBetween val="midCat"/>
      </c:valAx>
      <c:valAx>
        <c:axId val="1167028672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7424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026377952755901"/>
          <c:y val="0.2230083299552735"/>
          <c:w val="0.26626421697287839"/>
          <c:h val="0.4166707981067311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Work Based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6450665259060732"/>
          <c:w val="0.88389129483814521"/>
          <c:h val="0.69229374636068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calibration!$BZ$15</c:f>
              <c:strCache>
                <c:ptCount val="1"/>
                <c:pt idx="0">
                  <c:v>Observed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calibration!$BZ$15:$BZ$66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0.37435809334206882</c:v>
                </c:pt>
                <c:pt idx="2">
                  <c:v>0.2880688775864822</c:v>
                </c:pt>
                <c:pt idx="3">
                  <c:v>0.10686467357250577</c:v>
                </c:pt>
                <c:pt idx="4">
                  <c:v>7.4296384731418086E-2</c:v>
                </c:pt>
                <c:pt idx="5">
                  <c:v>4.2011628294834742E-2</c:v>
                </c:pt>
                <c:pt idx="6">
                  <c:v>4.1424274521117882E-2</c:v>
                </c:pt>
                <c:pt idx="7">
                  <c:v>9.2109620002666162E-3</c:v>
                </c:pt>
                <c:pt idx="8">
                  <c:v>1.5051253726069814E-2</c:v>
                </c:pt>
                <c:pt idx="9">
                  <c:v>3.2547592578332381E-3</c:v>
                </c:pt>
                <c:pt idx="10">
                  <c:v>1.2906973802967283E-2</c:v>
                </c:pt>
                <c:pt idx="11">
                  <c:v>1.6934566711981713E-3</c:v>
                </c:pt>
                <c:pt idx="12">
                  <c:v>9.0061073999442884E-4</c:v>
                </c:pt>
                <c:pt idx="13">
                  <c:v>1E-4</c:v>
                </c:pt>
                <c:pt idx="14">
                  <c:v>1.5423641740523011E-3</c:v>
                </c:pt>
                <c:pt idx="15">
                  <c:v>3.7785111256011042E-3</c:v>
                </c:pt>
                <c:pt idx="16">
                  <c:v>5.0514648816231194E-4</c:v>
                </c:pt>
                <c:pt idx="17">
                  <c:v>1.0861616520863798E-4</c:v>
                </c:pt>
                <c:pt idx="18">
                  <c:v>2.2146407790246236E-4</c:v>
                </c:pt>
                <c:pt idx="19">
                  <c:v>6.5234995461955752E-3</c:v>
                </c:pt>
                <c:pt idx="20">
                  <c:v>1E-4</c:v>
                </c:pt>
                <c:pt idx="21">
                  <c:v>1.3506602659562343E-3</c:v>
                </c:pt>
                <c:pt idx="22">
                  <c:v>1.6335638225582633E-4</c:v>
                </c:pt>
                <c:pt idx="23">
                  <c:v>1.336610593671399E-4</c:v>
                </c:pt>
                <c:pt idx="24">
                  <c:v>3.0871290389745411E-3</c:v>
                </c:pt>
                <c:pt idx="25">
                  <c:v>1E-4</c:v>
                </c:pt>
                <c:pt idx="26">
                  <c:v>1E-4</c:v>
                </c:pt>
                <c:pt idx="27">
                  <c:v>1E-4</c:v>
                </c:pt>
                <c:pt idx="28">
                  <c:v>1E-4</c:v>
                </c:pt>
                <c:pt idx="29">
                  <c:v>1E-4</c:v>
                </c:pt>
                <c:pt idx="30">
                  <c:v>1.22883836188666E-2</c:v>
                </c:pt>
                <c:pt idx="31">
                  <c:v>1E-4</c:v>
                </c:pt>
                <c:pt idx="32">
                  <c:v>1E-4</c:v>
                </c:pt>
                <c:pt idx="33">
                  <c:v>1E-4</c:v>
                </c:pt>
                <c:pt idx="34">
                  <c:v>1E-4</c:v>
                </c:pt>
                <c:pt idx="35">
                  <c:v>1E-4</c:v>
                </c:pt>
                <c:pt idx="36">
                  <c:v>1E-4</c:v>
                </c:pt>
                <c:pt idx="37">
                  <c:v>1E-4</c:v>
                </c:pt>
                <c:pt idx="38">
                  <c:v>1E-4</c:v>
                </c:pt>
                <c:pt idx="39">
                  <c:v>1E-4</c:v>
                </c:pt>
                <c:pt idx="40">
                  <c:v>1E-4</c:v>
                </c:pt>
                <c:pt idx="41">
                  <c:v>1E-4</c:v>
                </c:pt>
                <c:pt idx="42">
                  <c:v>1E-4</c:v>
                </c:pt>
                <c:pt idx="43">
                  <c:v>1E-4</c:v>
                </c:pt>
                <c:pt idx="44">
                  <c:v>1E-4</c:v>
                </c:pt>
                <c:pt idx="45">
                  <c:v>1E-4</c:v>
                </c:pt>
                <c:pt idx="46">
                  <c:v>1E-4</c:v>
                </c:pt>
                <c:pt idx="47">
                  <c:v>1E-4</c:v>
                </c:pt>
                <c:pt idx="48">
                  <c:v>1E-4</c:v>
                </c:pt>
                <c:pt idx="49">
                  <c:v>1E-4</c:v>
                </c:pt>
                <c:pt idx="50">
                  <c:v>1E-4</c:v>
                </c:pt>
                <c:pt idx="51">
                  <c:v>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5D-48D4-99FE-99295E65AF80}"/>
            </c:ext>
          </c:extLst>
        </c:ser>
        <c:ser>
          <c:idx val="1"/>
          <c:order val="1"/>
          <c:tx>
            <c:strRef>
              <c:f>calibration!$CA$15</c:f>
              <c:strCache>
                <c:ptCount val="1"/>
                <c:pt idx="0">
                  <c:v>Modeled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calibration!$A$16:$A$66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calibration!$CA$15:$CA$66</c:f>
              <c:numCache>
                <c:formatCode>0.00%</c:formatCode>
                <c:ptCount val="52"/>
                <c:pt idx="0" formatCode="General">
                  <c:v>0</c:v>
                </c:pt>
                <c:pt idx="1">
                  <c:v>6.6666666666666671E-3</c:v>
                </c:pt>
                <c:pt idx="2">
                  <c:v>6.6666666666666671E-3</c:v>
                </c:pt>
                <c:pt idx="3">
                  <c:v>6.6666666666666671E-3</c:v>
                </c:pt>
                <c:pt idx="4">
                  <c:v>6.6666666666666671E-3</c:v>
                </c:pt>
                <c:pt idx="5">
                  <c:v>6.6666666666666671E-3</c:v>
                </c:pt>
                <c:pt idx="6">
                  <c:v>6.6666666666666671E-3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6.6666666666666671E-3</c:v>
                </c:pt>
                <c:pt idx="10">
                  <c:v>6.6666666666666671E-3</c:v>
                </c:pt>
                <c:pt idx="11">
                  <c:v>6.6666666666666671E-3</c:v>
                </c:pt>
                <c:pt idx="12">
                  <c:v>6.6666666666666671E-3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6.6666666666666671E-3</c:v>
                </c:pt>
                <c:pt idx="16">
                  <c:v>6.6666666666666671E-3</c:v>
                </c:pt>
                <c:pt idx="17">
                  <c:v>6.6666666666666671E-3</c:v>
                </c:pt>
                <c:pt idx="18">
                  <c:v>6.6666666666666671E-3</c:v>
                </c:pt>
                <c:pt idx="19">
                  <c:v>6.6666666666666671E-3</c:v>
                </c:pt>
                <c:pt idx="20">
                  <c:v>6.6666666666666671E-3</c:v>
                </c:pt>
                <c:pt idx="21">
                  <c:v>6.6666666666666671E-3</c:v>
                </c:pt>
                <c:pt idx="22">
                  <c:v>6.6666666666666671E-3</c:v>
                </c:pt>
                <c:pt idx="23">
                  <c:v>6.6666666666666671E-3</c:v>
                </c:pt>
                <c:pt idx="24">
                  <c:v>6.6666666666666671E-3</c:v>
                </c:pt>
                <c:pt idx="25">
                  <c:v>6.6666666666666671E-3</c:v>
                </c:pt>
                <c:pt idx="26">
                  <c:v>6.6666666666666671E-3</c:v>
                </c:pt>
                <c:pt idx="27">
                  <c:v>6.6666666666666671E-3</c:v>
                </c:pt>
                <c:pt idx="28">
                  <c:v>6.6666666666666671E-3</c:v>
                </c:pt>
                <c:pt idx="29">
                  <c:v>6.6666666666666671E-3</c:v>
                </c:pt>
                <c:pt idx="30">
                  <c:v>6.6666666666666671E-3</c:v>
                </c:pt>
                <c:pt idx="31">
                  <c:v>6.6666666666666671E-3</c:v>
                </c:pt>
                <c:pt idx="32">
                  <c:v>6.6666666666666671E-3</c:v>
                </c:pt>
                <c:pt idx="33">
                  <c:v>6.6666666666666671E-3</c:v>
                </c:pt>
                <c:pt idx="34">
                  <c:v>6.6666666666666671E-3</c:v>
                </c:pt>
                <c:pt idx="35">
                  <c:v>6.6666666666666671E-3</c:v>
                </c:pt>
                <c:pt idx="36">
                  <c:v>6.6666666666666671E-3</c:v>
                </c:pt>
                <c:pt idx="37">
                  <c:v>6.6666666666666671E-3</c:v>
                </c:pt>
                <c:pt idx="38">
                  <c:v>6.6666666666666671E-3</c:v>
                </c:pt>
                <c:pt idx="39">
                  <c:v>6.6666666666666671E-3</c:v>
                </c:pt>
                <c:pt idx="40">
                  <c:v>6.6666666666666671E-3</c:v>
                </c:pt>
                <c:pt idx="41">
                  <c:v>6.6666666666666671E-3</c:v>
                </c:pt>
                <c:pt idx="42">
                  <c:v>6.6666666666666671E-3</c:v>
                </c:pt>
                <c:pt idx="43">
                  <c:v>6.6666666666666671E-3</c:v>
                </c:pt>
                <c:pt idx="44">
                  <c:v>6.6666666666666671E-3</c:v>
                </c:pt>
                <c:pt idx="45">
                  <c:v>6.6666666666666671E-3</c:v>
                </c:pt>
                <c:pt idx="46">
                  <c:v>6.6666666666666671E-3</c:v>
                </c:pt>
                <c:pt idx="47">
                  <c:v>6.6666666666666671E-3</c:v>
                </c:pt>
                <c:pt idx="48">
                  <c:v>6.6666666666666671E-3</c:v>
                </c:pt>
                <c:pt idx="49">
                  <c:v>6.6666666666666671E-3</c:v>
                </c:pt>
                <c:pt idx="50">
                  <c:v>6.6666666666666671E-3</c:v>
                </c:pt>
                <c:pt idx="51">
                  <c:v>0.66666666666666663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5D-48D4-99FE-99295E65AF80}"/>
            </c:ext>
          </c:extLst>
        </c:ser>
        <c:ser>
          <c:idx val="2"/>
          <c:order val="2"/>
          <c:tx>
            <c:v>Observed Mean</c:v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(calibration!$BZ$67,calibration!$BZ$67)</c:f>
              <c:numCache>
                <c:formatCode>0.00</c:formatCode>
                <c:ptCount val="2"/>
                <c:pt idx="0">
                  <c:v>2.5112564378997373</c:v>
                </c:pt>
                <c:pt idx="1">
                  <c:v>2.5112564378997373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15D-48D4-99FE-99295E65AF80}"/>
            </c:ext>
          </c:extLst>
        </c:ser>
        <c:ser>
          <c:idx val="3"/>
          <c:order val="3"/>
          <c:tx>
            <c:v>Modeled Mean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(calibration!$CA$67,calibration!$CA$67)</c:f>
              <c:numCache>
                <c:formatCode>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15D-48D4-99FE-99295E65A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74240"/>
        <c:axId val="1167028672"/>
      </c:scatterChart>
      <c:valAx>
        <c:axId val="172837424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28672"/>
        <c:crosses val="autoZero"/>
        <c:crossBetween val="midCat"/>
      </c:valAx>
      <c:valAx>
        <c:axId val="1167028672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7424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026377952755901"/>
          <c:y val="0.2230083299552735"/>
          <c:w val="0.26626421697287839"/>
          <c:h val="0.4166707981067311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</a:t>
            </a:r>
            <a:r>
              <a:rPr lang="en-US" sz="1200" baseline="0"/>
              <a:t> Shopping</a:t>
            </a:r>
            <a:r>
              <a:rPr lang="en-US" sz="1200"/>
              <a:t> </a:t>
            </a:r>
            <a:r>
              <a:rPr lang="en-US" sz="1200" baseline="0"/>
              <a:t>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calibration!$P$14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calibration!$Q$16:$Q$66</c:f>
              <c:numCache>
                <c:formatCode>#,##0.000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-0.56554370538783028</c:v>
                </c:pt>
                <c:pt idx="4">
                  <c:v>-1.1310874107756606</c:v>
                </c:pt>
                <c:pt idx="5">
                  <c:v>-1.6966311161634908</c:v>
                </c:pt>
                <c:pt idx="6">
                  <c:v>-1.8798798290013168</c:v>
                </c:pt>
                <c:pt idx="7">
                  <c:v>-2.0631285418391427</c:v>
                </c:pt>
                <c:pt idx="8">
                  <c:v>-2.2463772546769687</c:v>
                </c:pt>
                <c:pt idx="9">
                  <c:v>-2.4296259675147946</c:v>
                </c:pt>
                <c:pt idx="10">
                  <c:v>-2.6128746803526206</c:v>
                </c:pt>
                <c:pt idx="11">
                  <c:v>-2.7961233931904466</c:v>
                </c:pt>
                <c:pt idx="12">
                  <c:v>-2.9793721060282725</c:v>
                </c:pt>
                <c:pt idx="13">
                  <c:v>-3.1626208188660985</c:v>
                </c:pt>
                <c:pt idx="14">
                  <c:v>-3.3458695317039244</c:v>
                </c:pt>
                <c:pt idx="15">
                  <c:v>-3.5291182445417504</c:v>
                </c:pt>
                <c:pt idx="16">
                  <c:v>-3.7123669573795763</c:v>
                </c:pt>
                <c:pt idx="17">
                  <c:v>-3.8956156702174023</c:v>
                </c:pt>
                <c:pt idx="18">
                  <c:v>-4.0788643830552287</c:v>
                </c:pt>
                <c:pt idx="19">
                  <c:v>-4.2621130958930546</c:v>
                </c:pt>
                <c:pt idx="20">
                  <c:v>-4.4453618087308806</c:v>
                </c:pt>
                <c:pt idx="21">
                  <c:v>-4.6286105215687066</c:v>
                </c:pt>
                <c:pt idx="22">
                  <c:v>-4.8118592344065325</c:v>
                </c:pt>
                <c:pt idx="23">
                  <c:v>-4.9951079472443585</c:v>
                </c:pt>
                <c:pt idx="24">
                  <c:v>-5.1783566600821844</c:v>
                </c:pt>
                <c:pt idx="25">
                  <c:v>-5.3616053729200104</c:v>
                </c:pt>
                <c:pt idx="26">
                  <c:v>-5.5448540857578363</c:v>
                </c:pt>
                <c:pt idx="27">
                  <c:v>-5.7281027985956623</c:v>
                </c:pt>
                <c:pt idx="28">
                  <c:v>-5.9113515114334882</c:v>
                </c:pt>
                <c:pt idx="29">
                  <c:v>-6.0946002242713142</c:v>
                </c:pt>
                <c:pt idx="30">
                  <c:v>-6.2778489371091402</c:v>
                </c:pt>
                <c:pt idx="31">
                  <c:v>-6.4610976499469661</c:v>
                </c:pt>
                <c:pt idx="32">
                  <c:v>-6.6443463627847921</c:v>
                </c:pt>
                <c:pt idx="33">
                  <c:v>-6.827595075622618</c:v>
                </c:pt>
                <c:pt idx="34">
                  <c:v>-7.010843788460444</c:v>
                </c:pt>
                <c:pt idx="35">
                  <c:v>-7.1940925012982699</c:v>
                </c:pt>
                <c:pt idx="36">
                  <c:v>-7.3773412141360959</c:v>
                </c:pt>
                <c:pt idx="37">
                  <c:v>-7.5605899269739218</c:v>
                </c:pt>
                <c:pt idx="38">
                  <c:v>-7.7438386398117478</c:v>
                </c:pt>
                <c:pt idx="39">
                  <c:v>-7.9270873526495738</c:v>
                </c:pt>
                <c:pt idx="40">
                  <c:v>-8.1103360654874006</c:v>
                </c:pt>
                <c:pt idx="41">
                  <c:v>-8.2935847783252274</c:v>
                </c:pt>
                <c:pt idx="42">
                  <c:v>-8.4768334911630543</c:v>
                </c:pt>
                <c:pt idx="43">
                  <c:v>-8.6600822040008811</c:v>
                </c:pt>
                <c:pt idx="44">
                  <c:v>-8.843330916838708</c:v>
                </c:pt>
                <c:pt idx="45">
                  <c:v>-9.0265796296765348</c:v>
                </c:pt>
                <c:pt idx="46">
                  <c:v>-9.2098283425143617</c:v>
                </c:pt>
                <c:pt idx="47">
                  <c:v>-9.3930770553521885</c:v>
                </c:pt>
                <c:pt idx="48">
                  <c:v>-9.5763257681900154</c:v>
                </c:pt>
                <c:pt idx="49">
                  <c:v>-9.7595744810278422</c:v>
                </c:pt>
                <c:pt idx="50">
                  <c:v>-9.942823193865669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85-44E7-9DA2-276150C87CC6}"/>
            </c:ext>
          </c:extLst>
        </c:ser>
        <c:ser>
          <c:idx val="0"/>
          <c:order val="1"/>
          <c:tx>
            <c:strRef>
              <c:f>calibration!$X$14</c:f>
              <c:strCache>
                <c:ptCount val="1"/>
                <c:pt idx="0">
                  <c:v>Proposed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calibration!$Y$16:$Y$66</c:f>
              <c:numCache>
                <c:formatCode>0.000</c:formatCode>
                <c:ptCount val="51"/>
                <c:pt idx="0" formatCode="#,##0.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-0.56554370538783028</c:v>
                </c:pt>
                <c:pt idx="4">
                  <c:v>-1.1310874107756606</c:v>
                </c:pt>
                <c:pt idx="5">
                  <c:v>-1.6966311161634908</c:v>
                </c:pt>
                <c:pt idx="6">
                  <c:v>-1.8798798290013168</c:v>
                </c:pt>
                <c:pt idx="7">
                  <c:v>-2.0631285418391427</c:v>
                </c:pt>
                <c:pt idx="8">
                  <c:v>-2.2463772546769687</c:v>
                </c:pt>
                <c:pt idx="9">
                  <c:v>-2.4296259675147946</c:v>
                </c:pt>
                <c:pt idx="10">
                  <c:v>-2.6128746803526206</c:v>
                </c:pt>
                <c:pt idx="11">
                  <c:v>-2.7961233931904466</c:v>
                </c:pt>
                <c:pt idx="12">
                  <c:v>-2.9793721060282725</c:v>
                </c:pt>
                <c:pt idx="13">
                  <c:v>-3.1626208188660985</c:v>
                </c:pt>
                <c:pt idx="14">
                  <c:v>-3.3458695317039244</c:v>
                </c:pt>
                <c:pt idx="15">
                  <c:v>-3.5291182445417504</c:v>
                </c:pt>
                <c:pt idx="16">
                  <c:v>-3.7123669573795763</c:v>
                </c:pt>
                <c:pt idx="17">
                  <c:v>-3.8956156702174023</c:v>
                </c:pt>
                <c:pt idx="18">
                  <c:v>-4.0788643830552287</c:v>
                </c:pt>
                <c:pt idx="19">
                  <c:v>-4.2621130958930546</c:v>
                </c:pt>
                <c:pt idx="20">
                  <c:v>-4.4453618087308806</c:v>
                </c:pt>
                <c:pt idx="21">
                  <c:v>-4.6286105215687066</c:v>
                </c:pt>
                <c:pt idx="22">
                  <c:v>-4.8118592344065325</c:v>
                </c:pt>
                <c:pt idx="23">
                  <c:v>-4.9951079472443585</c:v>
                </c:pt>
                <c:pt idx="24">
                  <c:v>-5.1783566600821844</c:v>
                </c:pt>
                <c:pt idx="25">
                  <c:v>-5.3616053729200104</c:v>
                </c:pt>
                <c:pt idx="26">
                  <c:v>-5.5448540857578363</c:v>
                </c:pt>
                <c:pt idx="27">
                  <c:v>-5.7281027985956623</c:v>
                </c:pt>
                <c:pt idx="28">
                  <c:v>-5.9113515114334882</c:v>
                </c:pt>
                <c:pt idx="29">
                  <c:v>-6.0946002242713142</c:v>
                </c:pt>
                <c:pt idx="30">
                  <c:v>-6.2778489371091402</c:v>
                </c:pt>
                <c:pt idx="31">
                  <c:v>-6.4610976499469661</c:v>
                </c:pt>
                <c:pt idx="32">
                  <c:v>-6.6443463627847921</c:v>
                </c:pt>
                <c:pt idx="33">
                  <c:v>-6.827595075622618</c:v>
                </c:pt>
                <c:pt idx="34">
                  <c:v>-7.010843788460444</c:v>
                </c:pt>
                <c:pt idx="35">
                  <c:v>-7.1940925012982699</c:v>
                </c:pt>
                <c:pt idx="36">
                  <c:v>-7.3773412141360959</c:v>
                </c:pt>
                <c:pt idx="37">
                  <c:v>-7.5605899269739218</c:v>
                </c:pt>
                <c:pt idx="38">
                  <c:v>-7.7438386398117478</c:v>
                </c:pt>
                <c:pt idx="39">
                  <c:v>-7.9270873526495738</c:v>
                </c:pt>
                <c:pt idx="40">
                  <c:v>-8.1103360654874006</c:v>
                </c:pt>
                <c:pt idx="41">
                  <c:v>-8.2935847783252274</c:v>
                </c:pt>
                <c:pt idx="42">
                  <c:v>-8.4768334911630543</c:v>
                </c:pt>
                <c:pt idx="43">
                  <c:v>-8.6600822040008811</c:v>
                </c:pt>
                <c:pt idx="44">
                  <c:v>-8.843330916838708</c:v>
                </c:pt>
                <c:pt idx="45">
                  <c:v>-9.0265796296765348</c:v>
                </c:pt>
                <c:pt idx="46">
                  <c:v>-9.2098283425143617</c:v>
                </c:pt>
                <c:pt idx="47">
                  <c:v>-9.3930770553521885</c:v>
                </c:pt>
                <c:pt idx="48">
                  <c:v>-9.5763257681900154</c:v>
                </c:pt>
                <c:pt idx="49">
                  <c:v>-9.7595744810278422</c:v>
                </c:pt>
                <c:pt idx="50">
                  <c:v>-9.942823193865669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85-44E7-9DA2-276150C87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550304"/>
        <c:axId val="1964897952"/>
      </c:scatterChart>
      <c:valAx>
        <c:axId val="2011550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97952"/>
        <c:crosses val="autoZero"/>
        <c:crossBetween val="midCat"/>
      </c:valAx>
      <c:valAx>
        <c:axId val="19648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5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4937759336099585"/>
          <c:y val="0.52653834937299504"/>
          <c:w val="0.17908735474455734"/>
          <c:h val="0.1768184898971293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</a:t>
            </a:r>
            <a:r>
              <a:rPr lang="en-US" sz="1200" baseline="0"/>
              <a:t> Maintenance</a:t>
            </a:r>
            <a:r>
              <a:rPr lang="en-US" sz="1200"/>
              <a:t> </a:t>
            </a:r>
            <a:r>
              <a:rPr lang="en-US" sz="1200" baseline="0"/>
              <a:t>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calibration!$AB$14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calibration!$AC$16:$AC$66</c:f>
              <c:numCache>
                <c:formatCode>#,##0.000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-0.60549817274913609</c:v>
                </c:pt>
                <c:pt idx="4">
                  <c:v>-1.2109963454982722</c:v>
                </c:pt>
                <c:pt idx="5">
                  <c:v>-1.8164945182474082</c:v>
                </c:pt>
                <c:pt idx="6">
                  <c:v>-1.9257709066744952</c:v>
                </c:pt>
                <c:pt idx="7">
                  <c:v>-2.0350472951015823</c:v>
                </c:pt>
                <c:pt idx="8">
                  <c:v>-2.1443236835286692</c:v>
                </c:pt>
                <c:pt idx="9">
                  <c:v>-2.2536000719557561</c:v>
                </c:pt>
                <c:pt idx="10">
                  <c:v>-2.3628764603828429</c:v>
                </c:pt>
                <c:pt idx="11">
                  <c:v>-2.4721528488099298</c:v>
                </c:pt>
                <c:pt idx="12">
                  <c:v>-2.5814292372370167</c:v>
                </c:pt>
                <c:pt idx="13">
                  <c:v>-2.6907056256641035</c:v>
                </c:pt>
                <c:pt idx="14">
                  <c:v>-2.7999820140911904</c:v>
                </c:pt>
                <c:pt idx="15">
                  <c:v>-2.9092584025182773</c:v>
                </c:pt>
                <c:pt idx="16">
                  <c:v>-3.0185347909453641</c:v>
                </c:pt>
                <c:pt idx="17">
                  <c:v>-3.127811179372451</c:v>
                </c:pt>
                <c:pt idx="18">
                  <c:v>-3.2370875677995379</c:v>
                </c:pt>
                <c:pt idx="19">
                  <c:v>-3.3463639562266247</c:v>
                </c:pt>
                <c:pt idx="20">
                  <c:v>-3.4556403446537116</c:v>
                </c:pt>
                <c:pt idx="21">
                  <c:v>-3.5649167330807985</c:v>
                </c:pt>
                <c:pt idx="22">
                  <c:v>-3.6741931215078854</c:v>
                </c:pt>
                <c:pt idx="23">
                  <c:v>-3.7834695099349722</c:v>
                </c:pt>
                <c:pt idx="24">
                  <c:v>-3.8927458983620591</c:v>
                </c:pt>
                <c:pt idx="25">
                  <c:v>-4.0020222867891464</c:v>
                </c:pt>
                <c:pt idx="26">
                  <c:v>-4.1112986752162337</c:v>
                </c:pt>
                <c:pt idx="27">
                  <c:v>-4.220575063643321</c:v>
                </c:pt>
                <c:pt idx="28">
                  <c:v>-4.3298514520704083</c:v>
                </c:pt>
                <c:pt idx="29">
                  <c:v>-4.4391278404974956</c:v>
                </c:pt>
                <c:pt idx="30">
                  <c:v>-4.548404228924583</c:v>
                </c:pt>
                <c:pt idx="31">
                  <c:v>-4.6576806173516703</c:v>
                </c:pt>
                <c:pt idx="32">
                  <c:v>-4.7669570057787576</c:v>
                </c:pt>
                <c:pt idx="33">
                  <c:v>-4.8762333942058449</c:v>
                </c:pt>
                <c:pt idx="34">
                  <c:v>-4.9855097826329322</c:v>
                </c:pt>
                <c:pt idx="35">
                  <c:v>-5.0947861710600195</c:v>
                </c:pt>
                <c:pt idx="36">
                  <c:v>-5.2040625594871068</c:v>
                </c:pt>
                <c:pt idx="37">
                  <c:v>-5.3133389479141941</c:v>
                </c:pt>
                <c:pt idx="38">
                  <c:v>-5.4226153363412815</c:v>
                </c:pt>
                <c:pt idx="39">
                  <c:v>-5.5318917247683688</c:v>
                </c:pt>
                <c:pt idx="40">
                  <c:v>-5.6411681131954561</c:v>
                </c:pt>
                <c:pt idx="41">
                  <c:v>-5.7504445016225434</c:v>
                </c:pt>
                <c:pt idx="42">
                  <c:v>-5.8597208900496307</c:v>
                </c:pt>
                <c:pt idx="43">
                  <c:v>-5.968997278476718</c:v>
                </c:pt>
                <c:pt idx="44">
                  <c:v>-6.0782736669038053</c:v>
                </c:pt>
                <c:pt idx="45">
                  <c:v>-6.1875500553308926</c:v>
                </c:pt>
                <c:pt idx="46">
                  <c:v>-6.29682644375798</c:v>
                </c:pt>
                <c:pt idx="47">
                  <c:v>-6.4061028321850673</c:v>
                </c:pt>
                <c:pt idx="48">
                  <c:v>-6.5153792206121546</c:v>
                </c:pt>
                <c:pt idx="49">
                  <c:v>-6.6246556090392419</c:v>
                </c:pt>
                <c:pt idx="50">
                  <c:v>-6.7339319974663292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F-4F48-8992-2B4F23695D30}"/>
            </c:ext>
          </c:extLst>
        </c:ser>
        <c:ser>
          <c:idx val="0"/>
          <c:order val="1"/>
          <c:tx>
            <c:strRef>
              <c:f>calibration!$AJ$14</c:f>
              <c:strCache>
                <c:ptCount val="1"/>
                <c:pt idx="0">
                  <c:v>Proposed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calibration!$AK$16:$AK$66</c:f>
              <c:numCache>
                <c:formatCode>0.000</c:formatCode>
                <c:ptCount val="51"/>
                <c:pt idx="0" formatCode="#,##0.0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-0.60549817274913609</c:v>
                </c:pt>
                <c:pt idx="4">
                  <c:v>-1.2109963454982722</c:v>
                </c:pt>
                <c:pt idx="5">
                  <c:v>-1.8164945182474082</c:v>
                </c:pt>
                <c:pt idx="6">
                  <c:v>-1.925770906674495</c:v>
                </c:pt>
                <c:pt idx="7">
                  <c:v>-2.0350472951015819</c:v>
                </c:pt>
                <c:pt idx="8">
                  <c:v>-2.1443236835286688</c:v>
                </c:pt>
                <c:pt idx="9">
                  <c:v>-2.2536000719557556</c:v>
                </c:pt>
                <c:pt idx="10">
                  <c:v>-2.3628764603828425</c:v>
                </c:pt>
                <c:pt idx="11">
                  <c:v>-2.4721528488099294</c:v>
                </c:pt>
                <c:pt idx="12">
                  <c:v>-2.5814292372370162</c:v>
                </c:pt>
                <c:pt idx="13">
                  <c:v>-2.6907056256641031</c:v>
                </c:pt>
                <c:pt idx="14">
                  <c:v>-2.79998201409119</c:v>
                </c:pt>
                <c:pt idx="15">
                  <c:v>-2.9092584025182768</c:v>
                </c:pt>
                <c:pt idx="16">
                  <c:v>-3.0185347909453637</c:v>
                </c:pt>
                <c:pt idx="17">
                  <c:v>-3.1278111793724506</c:v>
                </c:pt>
                <c:pt idx="18">
                  <c:v>-3.2370875677995374</c:v>
                </c:pt>
                <c:pt idx="19">
                  <c:v>-3.3463639562266243</c:v>
                </c:pt>
                <c:pt idx="20">
                  <c:v>-3.4556403446537112</c:v>
                </c:pt>
                <c:pt idx="21">
                  <c:v>-3.564916733080798</c:v>
                </c:pt>
                <c:pt idx="22">
                  <c:v>-3.6741931215078849</c:v>
                </c:pt>
                <c:pt idx="23">
                  <c:v>-3.7834695099349718</c:v>
                </c:pt>
                <c:pt idx="24">
                  <c:v>-3.8927458983620586</c:v>
                </c:pt>
                <c:pt idx="25">
                  <c:v>-4.0020222867891455</c:v>
                </c:pt>
                <c:pt idx="26">
                  <c:v>-4.1112986752162328</c:v>
                </c:pt>
                <c:pt idx="27">
                  <c:v>-4.2205750636433201</c:v>
                </c:pt>
                <c:pt idx="28">
                  <c:v>-4.3298514520704074</c:v>
                </c:pt>
                <c:pt idx="29">
                  <c:v>-4.4391278404974948</c:v>
                </c:pt>
                <c:pt idx="30">
                  <c:v>-4.5484042289245821</c:v>
                </c:pt>
                <c:pt idx="31">
                  <c:v>-4.6576806173516694</c:v>
                </c:pt>
                <c:pt idx="32">
                  <c:v>-4.7669570057787567</c:v>
                </c:pt>
                <c:pt idx="33">
                  <c:v>-4.876233394205844</c:v>
                </c:pt>
                <c:pt idx="34">
                  <c:v>-4.9855097826329313</c:v>
                </c:pt>
                <c:pt idx="35">
                  <c:v>-5.0947861710600186</c:v>
                </c:pt>
                <c:pt idx="36">
                  <c:v>-5.2040625594871059</c:v>
                </c:pt>
                <c:pt idx="37">
                  <c:v>-5.3133389479141933</c:v>
                </c:pt>
                <c:pt idx="38">
                  <c:v>-5.4226153363412806</c:v>
                </c:pt>
                <c:pt idx="39">
                  <c:v>-5.5318917247683679</c:v>
                </c:pt>
                <c:pt idx="40">
                  <c:v>-5.6411681131954552</c:v>
                </c:pt>
                <c:pt idx="41">
                  <c:v>-5.7504445016225425</c:v>
                </c:pt>
                <c:pt idx="42">
                  <c:v>-5.8597208900496298</c:v>
                </c:pt>
                <c:pt idx="43">
                  <c:v>-5.9689972784767171</c:v>
                </c:pt>
                <c:pt idx="44">
                  <c:v>-6.0782736669038044</c:v>
                </c:pt>
                <c:pt idx="45">
                  <c:v>-6.1875500553308918</c:v>
                </c:pt>
                <c:pt idx="46">
                  <c:v>-6.2968264437579791</c:v>
                </c:pt>
                <c:pt idx="47">
                  <c:v>-6.4061028321850664</c:v>
                </c:pt>
                <c:pt idx="48">
                  <c:v>-6.5153792206121537</c:v>
                </c:pt>
                <c:pt idx="49">
                  <c:v>-6.624655609039241</c:v>
                </c:pt>
                <c:pt idx="50">
                  <c:v>-6.7339319974663283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DF-4F48-8992-2B4F23695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550304"/>
        <c:axId val="1964897952"/>
      </c:scatterChart>
      <c:valAx>
        <c:axId val="2011550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97952"/>
        <c:crosses val="autoZero"/>
        <c:crossBetween val="midCat"/>
      </c:valAx>
      <c:valAx>
        <c:axId val="19648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5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4937759336099585"/>
          <c:y val="0.52653834937299504"/>
          <c:w val="0.17908735474455734"/>
          <c:h val="0.1768184898971293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</a:t>
            </a:r>
            <a:r>
              <a:rPr lang="en-US" sz="1200" baseline="0"/>
              <a:t> Eating Out</a:t>
            </a:r>
            <a:r>
              <a:rPr lang="en-US" sz="1200"/>
              <a:t> </a:t>
            </a:r>
            <a:r>
              <a:rPr lang="en-US" sz="1200" baseline="0"/>
              <a:t>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calibration!$AN$14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calibration!$AO$16:$AO$66</c:f>
              <c:numCache>
                <c:formatCode>#,##0.000</c:formatCode>
                <c:ptCount val="51"/>
                <c:pt idx="0">
                  <c:v>0</c:v>
                </c:pt>
                <c:pt idx="1">
                  <c:v>-0.56088406404174651</c:v>
                </c:pt>
                <c:pt idx="2">
                  <c:v>-1.121768128083493</c:v>
                </c:pt>
                <c:pt idx="3">
                  <c:v>-1.4409386314684314</c:v>
                </c:pt>
                <c:pt idx="4">
                  <c:v>-1.7601091348533697</c:v>
                </c:pt>
                <c:pt idx="5">
                  <c:v>-2.0792796382383081</c:v>
                </c:pt>
                <c:pt idx="6">
                  <c:v>-2.2030463169147589</c:v>
                </c:pt>
                <c:pt idx="7">
                  <c:v>-2.3268129955912098</c:v>
                </c:pt>
                <c:pt idx="8">
                  <c:v>-2.4505796742676607</c:v>
                </c:pt>
                <c:pt idx="9">
                  <c:v>-2.5743463529441115</c:v>
                </c:pt>
                <c:pt idx="10">
                  <c:v>-2.6981130316205624</c:v>
                </c:pt>
                <c:pt idx="11">
                  <c:v>-2.8218797102970132</c:v>
                </c:pt>
                <c:pt idx="12">
                  <c:v>-2.9456463889734641</c:v>
                </c:pt>
                <c:pt idx="13">
                  <c:v>-3.069413067649915</c:v>
                </c:pt>
                <c:pt idx="14">
                  <c:v>-3.1931797463263658</c:v>
                </c:pt>
                <c:pt idx="15">
                  <c:v>-3.3169464250028167</c:v>
                </c:pt>
                <c:pt idx="16">
                  <c:v>-3.4407131036792675</c:v>
                </c:pt>
                <c:pt idx="17">
                  <c:v>-3.5644797823557184</c:v>
                </c:pt>
                <c:pt idx="18">
                  <c:v>-3.6882464610321692</c:v>
                </c:pt>
                <c:pt idx="19">
                  <c:v>-3.8120131397086201</c:v>
                </c:pt>
                <c:pt idx="20">
                  <c:v>-3.935779818385071</c:v>
                </c:pt>
                <c:pt idx="21">
                  <c:v>-4.0595464970615218</c:v>
                </c:pt>
                <c:pt idx="22">
                  <c:v>-4.1833131757379727</c:v>
                </c:pt>
                <c:pt idx="23">
                  <c:v>-4.3070798544144235</c:v>
                </c:pt>
                <c:pt idx="24">
                  <c:v>-4.4308465330908744</c:v>
                </c:pt>
                <c:pt idx="25">
                  <c:v>-4.5546132117673253</c:v>
                </c:pt>
                <c:pt idx="26">
                  <c:v>-4.6783798904437761</c:v>
                </c:pt>
                <c:pt idx="27">
                  <c:v>-4.802146569120227</c:v>
                </c:pt>
                <c:pt idx="28">
                  <c:v>-4.9259132477966778</c:v>
                </c:pt>
                <c:pt idx="29">
                  <c:v>-5.0496799264731287</c:v>
                </c:pt>
                <c:pt idx="30">
                  <c:v>-5.1734466051495795</c:v>
                </c:pt>
                <c:pt idx="31">
                  <c:v>-5.2972132838260304</c:v>
                </c:pt>
                <c:pt idx="32">
                  <c:v>-5.4209799625024813</c:v>
                </c:pt>
                <c:pt idx="33">
                  <c:v>-5.5447466411789321</c:v>
                </c:pt>
                <c:pt idx="34">
                  <c:v>-5.668513319855383</c:v>
                </c:pt>
                <c:pt idx="35">
                  <c:v>-5.7922799985318338</c:v>
                </c:pt>
                <c:pt idx="36">
                  <c:v>-5.9160466772082847</c:v>
                </c:pt>
                <c:pt idx="37">
                  <c:v>-6.0398133558847356</c:v>
                </c:pt>
                <c:pt idx="38">
                  <c:v>-6.1635800345611864</c:v>
                </c:pt>
                <c:pt idx="39">
                  <c:v>-6.2873467132376373</c:v>
                </c:pt>
                <c:pt idx="40">
                  <c:v>-6.4111133919140881</c:v>
                </c:pt>
                <c:pt idx="41">
                  <c:v>-6.534880070590539</c:v>
                </c:pt>
                <c:pt idx="42">
                  <c:v>-6.6586467492669899</c:v>
                </c:pt>
                <c:pt idx="43">
                  <c:v>-6.7824134279434407</c:v>
                </c:pt>
                <c:pt idx="44">
                  <c:v>-6.9061801066198916</c:v>
                </c:pt>
                <c:pt idx="45">
                  <c:v>-7.0299467852963424</c:v>
                </c:pt>
                <c:pt idx="46">
                  <c:v>-7.1537134639727933</c:v>
                </c:pt>
                <c:pt idx="47">
                  <c:v>-7.2774801426492441</c:v>
                </c:pt>
                <c:pt idx="48">
                  <c:v>-7.401246821325695</c:v>
                </c:pt>
                <c:pt idx="49">
                  <c:v>-7.5250135000021459</c:v>
                </c:pt>
                <c:pt idx="50">
                  <c:v>-7.6487801786785967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10-4B61-A212-EB1A789708EB}"/>
            </c:ext>
          </c:extLst>
        </c:ser>
        <c:ser>
          <c:idx val="0"/>
          <c:order val="1"/>
          <c:tx>
            <c:strRef>
              <c:f>calibration!$AV$14</c:f>
              <c:strCache>
                <c:ptCount val="1"/>
                <c:pt idx="0">
                  <c:v>Proposed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calibration!$AW$16:$AW$66</c:f>
              <c:numCache>
                <c:formatCode>0.000</c:formatCode>
                <c:ptCount val="51"/>
                <c:pt idx="0" formatCode="#,##0.000">
                  <c:v>0</c:v>
                </c:pt>
                <c:pt idx="1">
                  <c:v>-0.56088406404174651</c:v>
                </c:pt>
                <c:pt idx="2">
                  <c:v>-1.121768128083493</c:v>
                </c:pt>
                <c:pt idx="3">
                  <c:v>-1.4409386314684314</c:v>
                </c:pt>
                <c:pt idx="4">
                  <c:v>-1.7601091348533697</c:v>
                </c:pt>
                <c:pt idx="5">
                  <c:v>-2.0792796382383081</c:v>
                </c:pt>
                <c:pt idx="6">
                  <c:v>-2.2030463169147589</c:v>
                </c:pt>
                <c:pt idx="7">
                  <c:v>-2.3268129955912098</c:v>
                </c:pt>
                <c:pt idx="8">
                  <c:v>-2.4505796742676607</c:v>
                </c:pt>
                <c:pt idx="9">
                  <c:v>-2.5743463529441115</c:v>
                </c:pt>
                <c:pt idx="10">
                  <c:v>-2.6981130316205624</c:v>
                </c:pt>
                <c:pt idx="11">
                  <c:v>-2.8218797102970132</c:v>
                </c:pt>
                <c:pt idx="12">
                  <c:v>-2.9456463889734641</c:v>
                </c:pt>
                <c:pt idx="13">
                  <c:v>-3.069413067649915</c:v>
                </c:pt>
                <c:pt idx="14">
                  <c:v>-3.1931797463263658</c:v>
                </c:pt>
                <c:pt idx="15">
                  <c:v>-3.3169464250028167</c:v>
                </c:pt>
                <c:pt idx="16">
                  <c:v>-3.4407131036792675</c:v>
                </c:pt>
                <c:pt idx="17">
                  <c:v>-3.5644797823557184</c:v>
                </c:pt>
                <c:pt idx="18">
                  <c:v>-3.6882464610321692</c:v>
                </c:pt>
                <c:pt idx="19">
                  <c:v>-3.8120131397086201</c:v>
                </c:pt>
                <c:pt idx="20">
                  <c:v>-3.935779818385071</c:v>
                </c:pt>
                <c:pt idx="21">
                  <c:v>-4.0595464970615218</c:v>
                </c:pt>
                <c:pt idx="22">
                  <c:v>-4.1833131757379727</c:v>
                </c:pt>
                <c:pt idx="23">
                  <c:v>-4.3070798544144235</c:v>
                </c:pt>
                <c:pt idx="24">
                  <c:v>-4.4308465330908744</c:v>
                </c:pt>
                <c:pt idx="25">
                  <c:v>-4.5546132117673253</c:v>
                </c:pt>
                <c:pt idx="26">
                  <c:v>-4.6783798904437761</c:v>
                </c:pt>
                <c:pt idx="27">
                  <c:v>-4.802146569120227</c:v>
                </c:pt>
                <c:pt idx="28">
                  <c:v>-4.9259132477966778</c:v>
                </c:pt>
                <c:pt idx="29">
                  <c:v>-5.0496799264731287</c:v>
                </c:pt>
                <c:pt idx="30">
                  <c:v>-5.1734466051495795</c:v>
                </c:pt>
                <c:pt idx="31">
                  <c:v>-5.2972132838260304</c:v>
                </c:pt>
                <c:pt idx="32">
                  <c:v>-5.4209799625024813</c:v>
                </c:pt>
                <c:pt idx="33">
                  <c:v>-5.5447466411789321</c:v>
                </c:pt>
                <c:pt idx="34">
                  <c:v>-5.668513319855383</c:v>
                </c:pt>
                <c:pt idx="35">
                  <c:v>-5.7922799985318338</c:v>
                </c:pt>
                <c:pt idx="36">
                  <c:v>-5.9160466772082847</c:v>
                </c:pt>
                <c:pt idx="37">
                  <c:v>-6.0398133558847356</c:v>
                </c:pt>
                <c:pt idx="38">
                  <c:v>-6.1635800345611864</c:v>
                </c:pt>
                <c:pt idx="39">
                  <c:v>-6.2873467132376373</c:v>
                </c:pt>
                <c:pt idx="40">
                  <c:v>-6.4111133919140881</c:v>
                </c:pt>
                <c:pt idx="41">
                  <c:v>-6.534880070590539</c:v>
                </c:pt>
                <c:pt idx="42">
                  <c:v>-6.6586467492669899</c:v>
                </c:pt>
                <c:pt idx="43">
                  <c:v>-6.7824134279434407</c:v>
                </c:pt>
                <c:pt idx="44">
                  <c:v>-6.9061801066198916</c:v>
                </c:pt>
                <c:pt idx="45">
                  <c:v>-7.0299467852963424</c:v>
                </c:pt>
                <c:pt idx="46">
                  <c:v>-7.1537134639727933</c:v>
                </c:pt>
                <c:pt idx="47">
                  <c:v>-7.2774801426492441</c:v>
                </c:pt>
                <c:pt idx="48">
                  <c:v>-7.401246821325695</c:v>
                </c:pt>
                <c:pt idx="49">
                  <c:v>-7.5250135000021459</c:v>
                </c:pt>
                <c:pt idx="50">
                  <c:v>-7.6487801786785967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10-4B61-A212-EB1A78970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550304"/>
        <c:axId val="1964897952"/>
      </c:scatterChart>
      <c:valAx>
        <c:axId val="2011550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97952"/>
        <c:crosses val="autoZero"/>
        <c:crossBetween val="midCat"/>
      </c:valAx>
      <c:valAx>
        <c:axId val="19648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5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4937759336099585"/>
          <c:y val="0.52653834937299504"/>
          <c:w val="0.17908735474455734"/>
          <c:h val="0.1768184898971293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</a:t>
            </a:r>
            <a:r>
              <a:rPr lang="en-US" sz="1200" baseline="0"/>
              <a:t> Social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calibration!$AZ$14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calibration!$BA$16:$BA$66</c:f>
              <c:numCache>
                <c:formatCode>#,##0.000</c:formatCode>
                <c:ptCount val="51"/>
                <c:pt idx="0">
                  <c:v>0</c:v>
                </c:pt>
                <c:pt idx="1">
                  <c:v>-0.78413579510767972</c:v>
                </c:pt>
                <c:pt idx="2">
                  <c:v>-1.5682715902153594</c:v>
                </c:pt>
                <c:pt idx="3">
                  <c:v>-1.9167356324073319</c:v>
                </c:pt>
                <c:pt idx="4">
                  <c:v>-2.2651996745993044</c:v>
                </c:pt>
                <c:pt idx="5">
                  <c:v>-2.6136637167912768</c:v>
                </c:pt>
                <c:pt idx="6">
                  <c:v>-2.7442643960693567</c:v>
                </c:pt>
                <c:pt idx="7">
                  <c:v>-2.8748650753474365</c:v>
                </c:pt>
                <c:pt idx="8">
                  <c:v>-3.0054657546255164</c:v>
                </c:pt>
                <c:pt idx="9">
                  <c:v>-3.1360664339035962</c:v>
                </c:pt>
                <c:pt idx="10">
                  <c:v>-3.266667113181676</c:v>
                </c:pt>
                <c:pt idx="11">
                  <c:v>-3.3972677924597559</c:v>
                </c:pt>
                <c:pt idx="12">
                  <c:v>-3.5278684717378357</c:v>
                </c:pt>
                <c:pt idx="13">
                  <c:v>-3.6584691510159155</c:v>
                </c:pt>
                <c:pt idx="14">
                  <c:v>-3.7890698302939954</c:v>
                </c:pt>
                <c:pt idx="15">
                  <c:v>-3.9196705095720752</c:v>
                </c:pt>
                <c:pt idx="16">
                  <c:v>-4.0502711888501555</c:v>
                </c:pt>
                <c:pt idx="17">
                  <c:v>-4.1808718681282357</c:v>
                </c:pt>
                <c:pt idx="18">
                  <c:v>-4.311472547406316</c:v>
                </c:pt>
                <c:pt idx="19">
                  <c:v>-4.4420732266843963</c:v>
                </c:pt>
                <c:pt idx="20">
                  <c:v>-4.5726739059624766</c:v>
                </c:pt>
                <c:pt idx="21">
                  <c:v>-4.7032745852405569</c:v>
                </c:pt>
                <c:pt idx="22">
                  <c:v>-4.8338752645186371</c:v>
                </c:pt>
                <c:pt idx="23">
                  <c:v>-4.9644759437967174</c:v>
                </c:pt>
                <c:pt idx="24">
                  <c:v>-5.0950766230747977</c:v>
                </c:pt>
                <c:pt idx="25">
                  <c:v>-5.225677302352878</c:v>
                </c:pt>
                <c:pt idx="26">
                  <c:v>-5.3562779816309583</c:v>
                </c:pt>
                <c:pt idx="27">
                  <c:v>-5.4868786609090385</c:v>
                </c:pt>
                <c:pt idx="28">
                  <c:v>-5.6174793401871188</c:v>
                </c:pt>
                <c:pt idx="29">
                  <c:v>-5.7480800194651991</c:v>
                </c:pt>
                <c:pt idx="30">
                  <c:v>-5.8786806987432794</c:v>
                </c:pt>
                <c:pt idx="31">
                  <c:v>-6.0092813780213596</c:v>
                </c:pt>
                <c:pt idx="32">
                  <c:v>-6.1398820572994399</c:v>
                </c:pt>
                <c:pt idx="33">
                  <c:v>-6.2704827365775202</c:v>
                </c:pt>
                <c:pt idx="34">
                  <c:v>-6.4010834158556005</c:v>
                </c:pt>
                <c:pt idx="35">
                  <c:v>-6.5316840951336808</c:v>
                </c:pt>
                <c:pt idx="36">
                  <c:v>-6.662284774411761</c:v>
                </c:pt>
                <c:pt idx="37">
                  <c:v>-6.7928854536898413</c:v>
                </c:pt>
                <c:pt idx="38">
                  <c:v>-6.9234861329679216</c:v>
                </c:pt>
                <c:pt idx="39">
                  <c:v>-7.0540868122460019</c:v>
                </c:pt>
                <c:pt idx="40">
                  <c:v>-7.1846874915240821</c:v>
                </c:pt>
                <c:pt idx="41">
                  <c:v>-7.3152881708021624</c:v>
                </c:pt>
                <c:pt idx="42">
                  <c:v>-7.4458888500802427</c:v>
                </c:pt>
                <c:pt idx="43">
                  <c:v>-7.576489529358323</c:v>
                </c:pt>
                <c:pt idx="44">
                  <c:v>-7.7070902086364033</c:v>
                </c:pt>
                <c:pt idx="45">
                  <c:v>-7.8376908879144835</c:v>
                </c:pt>
                <c:pt idx="46">
                  <c:v>-7.9682915671925638</c:v>
                </c:pt>
                <c:pt idx="47">
                  <c:v>-8.0988922464706441</c:v>
                </c:pt>
                <c:pt idx="48">
                  <c:v>-8.2294929257487244</c:v>
                </c:pt>
                <c:pt idx="49">
                  <c:v>-8.3600936050268047</c:v>
                </c:pt>
                <c:pt idx="50">
                  <c:v>-8.4906942843048849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6-48D0-8818-88FF811A654E}"/>
            </c:ext>
          </c:extLst>
        </c:ser>
        <c:ser>
          <c:idx val="0"/>
          <c:order val="1"/>
          <c:tx>
            <c:strRef>
              <c:f>calibration!$BH$14</c:f>
              <c:strCache>
                <c:ptCount val="1"/>
                <c:pt idx="0">
                  <c:v>Proposed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calibration!$BI$16:$BI$66</c:f>
              <c:numCache>
                <c:formatCode>0.000</c:formatCode>
                <c:ptCount val="51"/>
                <c:pt idx="0" formatCode="#,##0.000">
                  <c:v>0</c:v>
                </c:pt>
                <c:pt idx="1">
                  <c:v>-0.78413579510767972</c:v>
                </c:pt>
                <c:pt idx="2">
                  <c:v>-1.5682715902153594</c:v>
                </c:pt>
                <c:pt idx="3">
                  <c:v>-1.9167356324073319</c:v>
                </c:pt>
                <c:pt idx="4">
                  <c:v>-2.2651996745993044</c:v>
                </c:pt>
                <c:pt idx="5">
                  <c:v>-2.6136637167912768</c:v>
                </c:pt>
                <c:pt idx="6">
                  <c:v>-2.7442643960693567</c:v>
                </c:pt>
                <c:pt idx="7">
                  <c:v>-2.8748650753474365</c:v>
                </c:pt>
                <c:pt idx="8">
                  <c:v>-3.0054657546255164</c:v>
                </c:pt>
                <c:pt idx="9">
                  <c:v>-3.1360664339035962</c:v>
                </c:pt>
                <c:pt idx="10">
                  <c:v>-3.266667113181676</c:v>
                </c:pt>
                <c:pt idx="11">
                  <c:v>-3.3972677924597559</c:v>
                </c:pt>
                <c:pt idx="12">
                  <c:v>-3.5278684717378357</c:v>
                </c:pt>
                <c:pt idx="13">
                  <c:v>-3.6584691510159155</c:v>
                </c:pt>
                <c:pt idx="14">
                  <c:v>-3.7890698302939954</c:v>
                </c:pt>
                <c:pt idx="15">
                  <c:v>-3.9196705095720752</c:v>
                </c:pt>
                <c:pt idx="16">
                  <c:v>-4.0502711888501555</c:v>
                </c:pt>
                <c:pt idx="17">
                  <c:v>-4.1808718681282357</c:v>
                </c:pt>
                <c:pt idx="18">
                  <c:v>-4.311472547406316</c:v>
                </c:pt>
                <c:pt idx="19">
                  <c:v>-4.4420732266843963</c:v>
                </c:pt>
                <c:pt idx="20">
                  <c:v>-4.5726739059624766</c:v>
                </c:pt>
                <c:pt idx="21">
                  <c:v>-4.7032745852405569</c:v>
                </c:pt>
                <c:pt idx="22">
                  <c:v>-4.8338752645186371</c:v>
                </c:pt>
                <c:pt idx="23">
                  <c:v>-4.9644759437967174</c:v>
                </c:pt>
                <c:pt idx="24">
                  <c:v>-5.0950766230747977</c:v>
                </c:pt>
                <c:pt idx="25">
                  <c:v>-5.225677302352878</c:v>
                </c:pt>
                <c:pt idx="26">
                  <c:v>-5.3562779816309583</c:v>
                </c:pt>
                <c:pt idx="27">
                  <c:v>-5.4868786609090385</c:v>
                </c:pt>
                <c:pt idx="28">
                  <c:v>-5.6174793401871188</c:v>
                </c:pt>
                <c:pt idx="29">
                  <c:v>-5.7480800194651991</c:v>
                </c:pt>
                <c:pt idx="30">
                  <c:v>-5.8786806987432794</c:v>
                </c:pt>
                <c:pt idx="31">
                  <c:v>-6.0092813780213596</c:v>
                </c:pt>
                <c:pt idx="32">
                  <c:v>-6.1398820572994399</c:v>
                </c:pt>
                <c:pt idx="33">
                  <c:v>-6.2704827365775202</c:v>
                </c:pt>
                <c:pt idx="34">
                  <c:v>-6.4010834158556005</c:v>
                </c:pt>
                <c:pt idx="35">
                  <c:v>-6.5316840951336808</c:v>
                </c:pt>
                <c:pt idx="36">
                  <c:v>-6.662284774411761</c:v>
                </c:pt>
                <c:pt idx="37">
                  <c:v>-6.7928854536898413</c:v>
                </c:pt>
                <c:pt idx="38">
                  <c:v>-6.9234861329679216</c:v>
                </c:pt>
                <c:pt idx="39">
                  <c:v>-7.0540868122460019</c:v>
                </c:pt>
                <c:pt idx="40">
                  <c:v>-7.1846874915240821</c:v>
                </c:pt>
                <c:pt idx="41">
                  <c:v>-7.3152881708021624</c:v>
                </c:pt>
                <c:pt idx="42">
                  <c:v>-7.4458888500802427</c:v>
                </c:pt>
                <c:pt idx="43">
                  <c:v>-7.576489529358323</c:v>
                </c:pt>
                <c:pt idx="44">
                  <c:v>-7.7070902086364033</c:v>
                </c:pt>
                <c:pt idx="45">
                  <c:v>-7.8376908879144835</c:v>
                </c:pt>
                <c:pt idx="46">
                  <c:v>-7.9682915671925638</c:v>
                </c:pt>
                <c:pt idx="47">
                  <c:v>-8.0988922464706441</c:v>
                </c:pt>
                <c:pt idx="48">
                  <c:v>-8.2294929257487244</c:v>
                </c:pt>
                <c:pt idx="49">
                  <c:v>-8.3600936050268047</c:v>
                </c:pt>
                <c:pt idx="50">
                  <c:v>-8.4906942843048849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E6-48D0-8818-88FF811A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550304"/>
        <c:axId val="1964897952"/>
      </c:scatterChart>
      <c:valAx>
        <c:axId val="2011550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97952"/>
        <c:crosses val="autoZero"/>
        <c:crossBetween val="midCat"/>
      </c:valAx>
      <c:valAx>
        <c:axId val="19648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5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4937759336099585"/>
          <c:y val="0.52653834937299504"/>
          <c:w val="0.17908735474455734"/>
          <c:h val="0.1768184898971293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</a:t>
            </a:r>
            <a:r>
              <a:rPr lang="en-US" sz="1200" baseline="0"/>
              <a:t> Discretionary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calibration!$BL$14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calibration!$BM$16:$BM$66</c:f>
              <c:numCache>
                <c:formatCode>#,##0.000</c:formatCode>
                <c:ptCount val="51"/>
                <c:pt idx="0">
                  <c:v>0</c:v>
                </c:pt>
                <c:pt idx="1">
                  <c:v>-0.16770688910210765</c:v>
                </c:pt>
                <c:pt idx="2">
                  <c:v>-0.33541377820421531</c:v>
                </c:pt>
                <c:pt idx="3">
                  <c:v>-0.83090697826024584</c:v>
                </c:pt>
                <c:pt idx="4">
                  <c:v>-1.3264001783162764</c:v>
                </c:pt>
                <c:pt idx="5">
                  <c:v>-1.821893378372307</c:v>
                </c:pt>
                <c:pt idx="6">
                  <c:v>-1.941189267093496</c:v>
                </c:pt>
                <c:pt idx="7">
                  <c:v>-2.0604851558146851</c:v>
                </c:pt>
                <c:pt idx="8">
                  <c:v>-2.1797810445358738</c:v>
                </c:pt>
                <c:pt idx="9">
                  <c:v>-2.2990769332570626</c:v>
                </c:pt>
                <c:pt idx="10">
                  <c:v>-2.4183728219782514</c:v>
                </c:pt>
                <c:pt idx="11">
                  <c:v>-2.5376687106994402</c:v>
                </c:pt>
                <c:pt idx="12">
                  <c:v>-2.656964599420629</c:v>
                </c:pt>
                <c:pt idx="13">
                  <c:v>-2.7762604881418178</c:v>
                </c:pt>
                <c:pt idx="14">
                  <c:v>-2.8955563768630066</c:v>
                </c:pt>
                <c:pt idx="15">
                  <c:v>-3.0148522655841954</c:v>
                </c:pt>
                <c:pt idx="16">
                  <c:v>-3.1341481543053842</c:v>
                </c:pt>
                <c:pt idx="17">
                  <c:v>-3.253444043026573</c:v>
                </c:pt>
                <c:pt idx="18">
                  <c:v>-3.3727399317477618</c:v>
                </c:pt>
                <c:pt idx="19">
                  <c:v>-3.4920358204689506</c:v>
                </c:pt>
                <c:pt idx="20">
                  <c:v>-3.6113317091901393</c:v>
                </c:pt>
                <c:pt idx="21">
                  <c:v>-3.7306275979113281</c:v>
                </c:pt>
                <c:pt idx="22">
                  <c:v>-3.8499234866325169</c:v>
                </c:pt>
                <c:pt idx="23">
                  <c:v>-3.9692193753537057</c:v>
                </c:pt>
                <c:pt idx="24">
                  <c:v>-4.0885152640748945</c:v>
                </c:pt>
                <c:pt idx="25">
                  <c:v>-4.2078111527960838</c:v>
                </c:pt>
                <c:pt idx="26">
                  <c:v>-4.327107041517273</c:v>
                </c:pt>
                <c:pt idx="27">
                  <c:v>-4.4464029302384622</c:v>
                </c:pt>
                <c:pt idx="28">
                  <c:v>-4.5656988189596515</c:v>
                </c:pt>
                <c:pt idx="29">
                  <c:v>-4.6849947076808407</c:v>
                </c:pt>
                <c:pt idx="30">
                  <c:v>-4.8042905964020299</c:v>
                </c:pt>
                <c:pt idx="31">
                  <c:v>-4.9235864851232192</c:v>
                </c:pt>
                <c:pt idx="32">
                  <c:v>-5.0428823738444084</c:v>
                </c:pt>
                <c:pt idx="33">
                  <c:v>-5.1621782625655976</c:v>
                </c:pt>
                <c:pt idx="34">
                  <c:v>-5.2814741512867869</c:v>
                </c:pt>
                <c:pt idx="35">
                  <c:v>-5.4007700400079761</c:v>
                </c:pt>
                <c:pt idx="36">
                  <c:v>-5.5200659287291653</c:v>
                </c:pt>
                <c:pt idx="37">
                  <c:v>-5.6393618174503546</c:v>
                </c:pt>
                <c:pt idx="38">
                  <c:v>-5.7586577061715438</c:v>
                </c:pt>
                <c:pt idx="39">
                  <c:v>-5.8779535948927331</c:v>
                </c:pt>
                <c:pt idx="40">
                  <c:v>-5.9972494836139223</c:v>
                </c:pt>
                <c:pt idx="41">
                  <c:v>-6.1165453723351115</c:v>
                </c:pt>
                <c:pt idx="42">
                  <c:v>-6.2358412610563008</c:v>
                </c:pt>
                <c:pt idx="43">
                  <c:v>-6.35513714977749</c:v>
                </c:pt>
                <c:pt idx="44">
                  <c:v>-6.4744330384986792</c:v>
                </c:pt>
                <c:pt idx="45">
                  <c:v>-6.5937289272198685</c:v>
                </c:pt>
                <c:pt idx="46">
                  <c:v>-6.7130248159410577</c:v>
                </c:pt>
                <c:pt idx="47">
                  <c:v>-6.8323207046622469</c:v>
                </c:pt>
                <c:pt idx="48">
                  <c:v>-6.9516165933834362</c:v>
                </c:pt>
                <c:pt idx="49">
                  <c:v>-7.0709124821046254</c:v>
                </c:pt>
                <c:pt idx="50">
                  <c:v>-7.1902083708258147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E-4090-9D89-3C682D7B8AA0}"/>
            </c:ext>
          </c:extLst>
        </c:ser>
        <c:ser>
          <c:idx val="0"/>
          <c:order val="1"/>
          <c:tx>
            <c:strRef>
              <c:f>calibration!$BT$14</c:f>
              <c:strCache>
                <c:ptCount val="1"/>
                <c:pt idx="0">
                  <c:v>Proposed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calibration!$BU$16:$BU$66</c:f>
              <c:numCache>
                <c:formatCode>0.000</c:formatCode>
                <c:ptCount val="51"/>
                <c:pt idx="0" formatCode="#,##0.000">
                  <c:v>0</c:v>
                </c:pt>
                <c:pt idx="1">
                  <c:v>-0.16770688910210765</c:v>
                </c:pt>
                <c:pt idx="2">
                  <c:v>-0.33541377820421531</c:v>
                </c:pt>
                <c:pt idx="3">
                  <c:v>-0.83090697826024584</c:v>
                </c:pt>
                <c:pt idx="4">
                  <c:v>-1.3264001783162764</c:v>
                </c:pt>
                <c:pt idx="5">
                  <c:v>-1.821893378372307</c:v>
                </c:pt>
                <c:pt idx="6">
                  <c:v>-1.9411892670934958</c:v>
                </c:pt>
                <c:pt idx="7">
                  <c:v>-2.0604851558146846</c:v>
                </c:pt>
                <c:pt idx="8">
                  <c:v>-2.1797810445358734</c:v>
                </c:pt>
                <c:pt idx="9">
                  <c:v>-2.2990769332570622</c:v>
                </c:pt>
                <c:pt idx="10">
                  <c:v>-2.418372821978251</c:v>
                </c:pt>
                <c:pt idx="11">
                  <c:v>-2.5376687106994398</c:v>
                </c:pt>
                <c:pt idx="12">
                  <c:v>-2.6569645994206286</c:v>
                </c:pt>
                <c:pt idx="13">
                  <c:v>-2.7762604881418174</c:v>
                </c:pt>
                <c:pt idx="14">
                  <c:v>-2.8955563768630062</c:v>
                </c:pt>
                <c:pt idx="15">
                  <c:v>-3.0148522655841949</c:v>
                </c:pt>
                <c:pt idx="16">
                  <c:v>-3.1341481543053837</c:v>
                </c:pt>
                <c:pt idx="17">
                  <c:v>-3.2534440430265725</c:v>
                </c:pt>
                <c:pt idx="18">
                  <c:v>-3.3727399317477613</c:v>
                </c:pt>
                <c:pt idx="19">
                  <c:v>-3.4920358204689501</c:v>
                </c:pt>
                <c:pt idx="20">
                  <c:v>-3.6113317091901389</c:v>
                </c:pt>
                <c:pt idx="21">
                  <c:v>-3.7306275979113277</c:v>
                </c:pt>
                <c:pt idx="22">
                  <c:v>-3.8499234866325165</c:v>
                </c:pt>
                <c:pt idx="23">
                  <c:v>-3.9692193753537053</c:v>
                </c:pt>
                <c:pt idx="24">
                  <c:v>-4.0885152640748945</c:v>
                </c:pt>
                <c:pt idx="25">
                  <c:v>-4.2078111527960838</c:v>
                </c:pt>
                <c:pt idx="26">
                  <c:v>-4.327107041517273</c:v>
                </c:pt>
                <c:pt idx="27">
                  <c:v>-4.4464029302384622</c:v>
                </c:pt>
                <c:pt idx="28">
                  <c:v>-4.5656988189596515</c:v>
                </c:pt>
                <c:pt idx="29">
                  <c:v>-4.6849947076808407</c:v>
                </c:pt>
                <c:pt idx="30">
                  <c:v>-4.8042905964020299</c:v>
                </c:pt>
                <c:pt idx="31">
                  <c:v>-4.9235864851232192</c:v>
                </c:pt>
                <c:pt idx="32">
                  <c:v>-5.0428823738444084</c:v>
                </c:pt>
                <c:pt idx="33">
                  <c:v>-5.1621782625655976</c:v>
                </c:pt>
                <c:pt idx="34">
                  <c:v>-5.2814741512867869</c:v>
                </c:pt>
                <c:pt idx="35">
                  <c:v>-5.4007700400079761</c:v>
                </c:pt>
                <c:pt idx="36">
                  <c:v>-5.5200659287291653</c:v>
                </c:pt>
                <c:pt idx="37">
                  <c:v>-5.6393618174503546</c:v>
                </c:pt>
                <c:pt idx="38">
                  <c:v>-5.7586577061715438</c:v>
                </c:pt>
                <c:pt idx="39">
                  <c:v>-5.8779535948927331</c:v>
                </c:pt>
                <c:pt idx="40">
                  <c:v>-5.9972494836139223</c:v>
                </c:pt>
                <c:pt idx="41">
                  <c:v>-6.1165453723351115</c:v>
                </c:pt>
                <c:pt idx="42">
                  <c:v>-6.2358412610563008</c:v>
                </c:pt>
                <c:pt idx="43">
                  <c:v>-6.35513714977749</c:v>
                </c:pt>
                <c:pt idx="44">
                  <c:v>-6.4744330384986792</c:v>
                </c:pt>
                <c:pt idx="45">
                  <c:v>-6.5937289272198685</c:v>
                </c:pt>
                <c:pt idx="46">
                  <c:v>-6.7130248159410577</c:v>
                </c:pt>
                <c:pt idx="47">
                  <c:v>-6.8323207046622469</c:v>
                </c:pt>
                <c:pt idx="48">
                  <c:v>-6.9516165933834362</c:v>
                </c:pt>
                <c:pt idx="49">
                  <c:v>-7.0709124821046254</c:v>
                </c:pt>
                <c:pt idx="50">
                  <c:v>-7.1902083708258147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4E-4090-9D89-3C682D7B8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550304"/>
        <c:axId val="1964897952"/>
      </c:scatterChart>
      <c:valAx>
        <c:axId val="2011550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97952"/>
        <c:crosses val="autoZero"/>
        <c:crossBetween val="midCat"/>
      </c:valAx>
      <c:valAx>
        <c:axId val="19648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5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4937759336099585"/>
          <c:y val="0.52653834937299504"/>
          <c:w val="0.17908735474455734"/>
          <c:h val="0.1768184898971293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Piecewise Linear Distance Disutility -</a:t>
            </a:r>
            <a:r>
              <a:rPr lang="en-US" sz="1200" baseline="0"/>
              <a:t> Work Based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calibration!$BX$14</c:f>
              <c:strCache>
                <c:ptCount val="1"/>
                <c:pt idx="0">
                  <c:v>Existing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calibration!$BY$16:$BY$66</c:f>
              <c:numCache>
                <c:formatCode>#,##0.000</c:formatCode>
                <c:ptCount val="51"/>
                <c:pt idx="0">
                  <c:v>0</c:v>
                </c:pt>
                <c:pt idx="1">
                  <c:v>-0.7925675882562816</c:v>
                </c:pt>
                <c:pt idx="2">
                  <c:v>-1.5851351765125632</c:v>
                </c:pt>
                <c:pt idx="3">
                  <c:v>-2.1048442010384392</c:v>
                </c:pt>
                <c:pt idx="4">
                  <c:v>-2.6245532255643154</c:v>
                </c:pt>
                <c:pt idx="5">
                  <c:v>-3.1442622500901916</c:v>
                </c:pt>
                <c:pt idx="6">
                  <c:v>-3.3487357026135793</c:v>
                </c:pt>
                <c:pt idx="7">
                  <c:v>-3.5532091551369671</c:v>
                </c:pt>
                <c:pt idx="8">
                  <c:v>-3.7576826076603549</c:v>
                </c:pt>
                <c:pt idx="9">
                  <c:v>-3.9621560601837427</c:v>
                </c:pt>
                <c:pt idx="10">
                  <c:v>-4.1666295127071304</c:v>
                </c:pt>
                <c:pt idx="11">
                  <c:v>-4.3711029652305182</c:v>
                </c:pt>
                <c:pt idx="12">
                  <c:v>-4.575576417753906</c:v>
                </c:pt>
                <c:pt idx="13">
                  <c:v>-4.7800498702772938</c:v>
                </c:pt>
                <c:pt idx="14">
                  <c:v>-4.9845233228006816</c:v>
                </c:pt>
                <c:pt idx="15">
                  <c:v>-5.1889967753240693</c:v>
                </c:pt>
                <c:pt idx="16">
                  <c:v>-5.3934702278474571</c:v>
                </c:pt>
                <c:pt idx="17">
                  <c:v>-5.5979436803708449</c:v>
                </c:pt>
                <c:pt idx="18">
                  <c:v>-5.8024171328942327</c:v>
                </c:pt>
                <c:pt idx="19">
                  <c:v>-6.0068905854176204</c:v>
                </c:pt>
                <c:pt idx="20">
                  <c:v>-6.2113640379410082</c:v>
                </c:pt>
                <c:pt idx="21">
                  <c:v>-6.415837490464396</c:v>
                </c:pt>
                <c:pt idx="22">
                  <c:v>-6.6203109429877838</c:v>
                </c:pt>
                <c:pt idx="23">
                  <c:v>-6.8247843955111716</c:v>
                </c:pt>
                <c:pt idx="24">
                  <c:v>-7.0292578480345593</c:v>
                </c:pt>
                <c:pt idx="25">
                  <c:v>-7.2337313005579471</c:v>
                </c:pt>
                <c:pt idx="26">
                  <c:v>-7.4382047530813349</c:v>
                </c:pt>
                <c:pt idx="27">
                  <c:v>-7.6426782056047227</c:v>
                </c:pt>
                <c:pt idx="28">
                  <c:v>-7.8471516581281104</c:v>
                </c:pt>
                <c:pt idx="29">
                  <c:v>-8.0516251106514982</c:v>
                </c:pt>
                <c:pt idx="30">
                  <c:v>-8.256098563174886</c:v>
                </c:pt>
                <c:pt idx="31">
                  <c:v>-8.4605720156982738</c:v>
                </c:pt>
                <c:pt idx="32">
                  <c:v>-8.6650454682216616</c:v>
                </c:pt>
                <c:pt idx="33">
                  <c:v>-8.8695189207450493</c:v>
                </c:pt>
                <c:pt idx="34">
                  <c:v>-9.0739923732684371</c:v>
                </c:pt>
                <c:pt idx="35">
                  <c:v>-9.2784658257918249</c:v>
                </c:pt>
                <c:pt idx="36">
                  <c:v>-9.4829392783152127</c:v>
                </c:pt>
                <c:pt idx="37">
                  <c:v>-9.6874127308386004</c:v>
                </c:pt>
                <c:pt idx="38">
                  <c:v>-9.8918861833619882</c:v>
                </c:pt>
                <c:pt idx="39">
                  <c:v>-10.096359635885376</c:v>
                </c:pt>
                <c:pt idx="40">
                  <c:v>-10.300833088408764</c:v>
                </c:pt>
                <c:pt idx="41">
                  <c:v>-10.505306540932152</c:v>
                </c:pt>
                <c:pt idx="42">
                  <c:v>-10.709779993455539</c:v>
                </c:pt>
                <c:pt idx="43">
                  <c:v>-10.914253445978927</c:v>
                </c:pt>
                <c:pt idx="44">
                  <c:v>-11.118726898502315</c:v>
                </c:pt>
                <c:pt idx="45">
                  <c:v>-11.323200351025703</c:v>
                </c:pt>
                <c:pt idx="46">
                  <c:v>-11.52767380354909</c:v>
                </c:pt>
                <c:pt idx="47">
                  <c:v>-11.732147256072478</c:v>
                </c:pt>
                <c:pt idx="48">
                  <c:v>-11.936620708595866</c:v>
                </c:pt>
                <c:pt idx="49">
                  <c:v>-12.141094161119254</c:v>
                </c:pt>
                <c:pt idx="50">
                  <c:v>-12.345567613642642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4-4E14-90C8-C6BF53BDB7E4}"/>
            </c:ext>
          </c:extLst>
        </c:ser>
        <c:ser>
          <c:idx val="0"/>
          <c:order val="1"/>
          <c:tx>
            <c:strRef>
              <c:f>calibration!$CF$14</c:f>
              <c:strCache>
                <c:ptCount val="1"/>
                <c:pt idx="0">
                  <c:v>Proposed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calibration!$B$16:$B$66</c:f>
              <c:numCache>
                <c:formatCode>0.0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calibration!$CG$16:$CG$66</c:f>
              <c:numCache>
                <c:formatCode>0.000</c:formatCode>
                <c:ptCount val="51"/>
                <c:pt idx="0" formatCode="#,##0.000">
                  <c:v>0</c:v>
                </c:pt>
                <c:pt idx="1">
                  <c:v>-0.7925675882562816</c:v>
                </c:pt>
                <c:pt idx="2">
                  <c:v>-1.5851351765125632</c:v>
                </c:pt>
                <c:pt idx="3">
                  <c:v>-2.1048442010384392</c:v>
                </c:pt>
                <c:pt idx="4">
                  <c:v>-2.6245532255643154</c:v>
                </c:pt>
                <c:pt idx="5">
                  <c:v>-3.1442622500901916</c:v>
                </c:pt>
                <c:pt idx="6">
                  <c:v>-3.3487357026135793</c:v>
                </c:pt>
                <c:pt idx="7">
                  <c:v>-3.5532091551369671</c:v>
                </c:pt>
                <c:pt idx="8">
                  <c:v>-3.7576826076603549</c:v>
                </c:pt>
                <c:pt idx="9">
                  <c:v>-3.9621560601837427</c:v>
                </c:pt>
                <c:pt idx="10">
                  <c:v>-4.1666295127071304</c:v>
                </c:pt>
                <c:pt idx="11">
                  <c:v>-4.3711029652305182</c:v>
                </c:pt>
                <c:pt idx="12">
                  <c:v>-4.575576417753906</c:v>
                </c:pt>
                <c:pt idx="13">
                  <c:v>-4.7800498702772938</c:v>
                </c:pt>
                <c:pt idx="14">
                  <c:v>-4.9845233228006816</c:v>
                </c:pt>
                <c:pt idx="15">
                  <c:v>-5.1889967753240693</c:v>
                </c:pt>
                <c:pt idx="16">
                  <c:v>-5.3934702278474571</c:v>
                </c:pt>
                <c:pt idx="17">
                  <c:v>-5.5979436803708449</c:v>
                </c:pt>
                <c:pt idx="18">
                  <c:v>-5.8024171328942327</c:v>
                </c:pt>
                <c:pt idx="19">
                  <c:v>-6.0068905854176204</c:v>
                </c:pt>
                <c:pt idx="20">
                  <c:v>-6.2113640379410082</c:v>
                </c:pt>
                <c:pt idx="21">
                  <c:v>-6.415837490464396</c:v>
                </c:pt>
                <c:pt idx="22">
                  <c:v>-6.6203109429877838</c:v>
                </c:pt>
                <c:pt idx="23">
                  <c:v>-6.8247843955111716</c:v>
                </c:pt>
                <c:pt idx="24">
                  <c:v>-7.0292578480345593</c:v>
                </c:pt>
                <c:pt idx="25">
                  <c:v>-7.2337313005579471</c:v>
                </c:pt>
                <c:pt idx="26">
                  <c:v>-7.4382047530813349</c:v>
                </c:pt>
                <c:pt idx="27">
                  <c:v>-7.6426782056047227</c:v>
                </c:pt>
                <c:pt idx="28">
                  <c:v>-7.8471516581281104</c:v>
                </c:pt>
                <c:pt idx="29">
                  <c:v>-8.0516251106514982</c:v>
                </c:pt>
                <c:pt idx="30">
                  <c:v>-8.256098563174886</c:v>
                </c:pt>
                <c:pt idx="31">
                  <c:v>-8.4605720156982738</c:v>
                </c:pt>
                <c:pt idx="32">
                  <c:v>-8.6650454682216616</c:v>
                </c:pt>
                <c:pt idx="33">
                  <c:v>-8.8695189207450493</c:v>
                </c:pt>
                <c:pt idx="34">
                  <c:v>-9.0739923732684371</c:v>
                </c:pt>
                <c:pt idx="35">
                  <c:v>-9.2784658257918249</c:v>
                </c:pt>
                <c:pt idx="36">
                  <c:v>-9.4829392783152127</c:v>
                </c:pt>
                <c:pt idx="37">
                  <c:v>-9.6874127308386004</c:v>
                </c:pt>
                <c:pt idx="38">
                  <c:v>-9.8918861833619882</c:v>
                </c:pt>
                <c:pt idx="39">
                  <c:v>-10.096359635885376</c:v>
                </c:pt>
                <c:pt idx="40">
                  <c:v>-10.300833088408764</c:v>
                </c:pt>
                <c:pt idx="41">
                  <c:v>-10.505306540932152</c:v>
                </c:pt>
                <c:pt idx="42">
                  <c:v>-10.709779993455539</c:v>
                </c:pt>
                <c:pt idx="43">
                  <c:v>-10.914253445978927</c:v>
                </c:pt>
                <c:pt idx="44">
                  <c:v>-11.118726898502315</c:v>
                </c:pt>
                <c:pt idx="45">
                  <c:v>-11.323200351025703</c:v>
                </c:pt>
                <c:pt idx="46">
                  <c:v>-11.52767380354909</c:v>
                </c:pt>
                <c:pt idx="47">
                  <c:v>-11.732147256072478</c:v>
                </c:pt>
                <c:pt idx="48">
                  <c:v>-11.936620708595866</c:v>
                </c:pt>
                <c:pt idx="49">
                  <c:v>-12.141094161119254</c:v>
                </c:pt>
                <c:pt idx="50">
                  <c:v>-12.345567613642642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D4-4E14-90C8-C6BF53BDB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550304"/>
        <c:axId val="1964897952"/>
      </c:scatterChart>
      <c:valAx>
        <c:axId val="2011550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97952"/>
        <c:crosses val="autoZero"/>
        <c:crossBetween val="midCat"/>
      </c:valAx>
      <c:valAx>
        <c:axId val="19648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550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4937759336099585"/>
          <c:y val="0.52653834937299504"/>
          <c:w val="0.17908735474455734"/>
          <c:h val="0.17681848989712939"/>
        </c:manualLayout>
      </c:layout>
      <c:overlay val="1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BATS 2023 Observed TLFD</a:t>
            </a:r>
            <a:r>
              <a:rPr lang="en-US" sz="1200" baseline="0"/>
              <a:t> Summary</a:t>
            </a:r>
            <a:r>
              <a:rPr lang="en-US" sz="12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'BATS 2023 TLFD'!$M$3</c:f>
              <c:strCache>
                <c:ptCount val="1"/>
                <c:pt idx="0">
                  <c:v>escort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'BATS 2023 TLFD'!$L$4:$L$54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'BATS 2023 TLFD'!$M$4:$M$54</c:f>
              <c:numCache>
                <c:formatCode>0.0%</c:formatCode>
                <c:ptCount val="51"/>
                <c:pt idx="0">
                  <c:v>0.1685390026260277</c:v>
                </c:pt>
                <c:pt idx="1">
                  <c:v>0.17681499508641788</c:v>
                </c:pt>
                <c:pt idx="2">
                  <c:v>0.19991849634407893</c:v>
                </c:pt>
                <c:pt idx="3">
                  <c:v>0.14162320008808005</c:v>
                </c:pt>
                <c:pt idx="4">
                  <c:v>7.7295581972892657E-2</c:v>
                </c:pt>
                <c:pt idx="5">
                  <c:v>6.8568067890726184E-2</c:v>
                </c:pt>
                <c:pt idx="6">
                  <c:v>3.5629593407094248E-2</c:v>
                </c:pt>
                <c:pt idx="7">
                  <c:v>6.6129373654792489E-2</c:v>
                </c:pt>
                <c:pt idx="8">
                  <c:v>2.6569929975852061E-2</c:v>
                </c:pt>
                <c:pt idx="9">
                  <c:v>1.6437915887842155E-3</c:v>
                </c:pt>
                <c:pt idx="10">
                  <c:v>7.4337646616278027E-3</c:v>
                </c:pt>
                <c:pt idx="11">
                  <c:v>1.9117327540440663E-3</c:v>
                </c:pt>
                <c:pt idx="12">
                  <c:v>3.2445068811646949E-3</c:v>
                </c:pt>
                <c:pt idx="13">
                  <c:v>1.0640023759963704E-3</c:v>
                </c:pt>
                <c:pt idx="14">
                  <c:v>8.9072053915684873E-3</c:v>
                </c:pt>
                <c:pt idx="15">
                  <c:v>2.313205248551583E-3</c:v>
                </c:pt>
                <c:pt idx="16">
                  <c:v>1.2335125817964153E-3</c:v>
                </c:pt>
                <c:pt idx="17">
                  <c:v>2.3282546210132427E-5</c:v>
                </c:pt>
                <c:pt idx="18">
                  <c:v>1.424700625663404E-3</c:v>
                </c:pt>
                <c:pt idx="19">
                  <c:v>1.7288445133349824E-4</c:v>
                </c:pt>
                <c:pt idx="20">
                  <c:v>9.5520861777945425E-4</c:v>
                </c:pt>
                <c:pt idx="21">
                  <c:v>1.675376067094626E-3</c:v>
                </c:pt>
                <c:pt idx="22">
                  <c:v>7.3605511438130532E-5</c:v>
                </c:pt>
                <c:pt idx="23">
                  <c:v>1.8585060436856048E-4</c:v>
                </c:pt>
                <c:pt idx="24">
                  <c:v>2.5339706814096132E-3</c:v>
                </c:pt>
                <c:pt idx="25">
                  <c:v>4.6500341205699713E-5</c:v>
                </c:pt>
                <c:pt idx="26">
                  <c:v>1.2834792323979907E-4</c:v>
                </c:pt>
                <c:pt idx="27">
                  <c:v>1.3076003070774605E-4</c:v>
                </c:pt>
                <c:pt idx="28">
                  <c:v>1.2804431019784132E-3</c:v>
                </c:pt>
                <c:pt idx="29">
                  <c:v>0</c:v>
                </c:pt>
                <c:pt idx="30">
                  <c:v>0</c:v>
                </c:pt>
                <c:pt idx="31">
                  <c:v>1.6857349515582735E-4</c:v>
                </c:pt>
                <c:pt idx="32">
                  <c:v>0</c:v>
                </c:pt>
                <c:pt idx="33">
                  <c:v>2.6983891691046845E-4</c:v>
                </c:pt>
                <c:pt idx="34">
                  <c:v>9.2914691122246358E-5</c:v>
                </c:pt>
                <c:pt idx="35">
                  <c:v>3.7822165241868757E-5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2.6544343053873694E-5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1.1734900540112433E-3</c:v>
                </c:pt>
                <c:pt idx="46">
                  <c:v>0</c:v>
                </c:pt>
                <c:pt idx="47">
                  <c:v>0</c:v>
                </c:pt>
                <c:pt idx="48">
                  <c:v>4.7324066855096843E-4</c:v>
                </c:pt>
                <c:pt idx="49">
                  <c:v>1.0402847245408305E-4</c:v>
                </c:pt>
                <c:pt idx="50">
                  <c:v>1.8265416157452213E-4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07-4B16-8633-F55630E6B067}"/>
            </c:ext>
          </c:extLst>
        </c:ser>
        <c:ser>
          <c:idx val="1"/>
          <c:order val="1"/>
          <c:tx>
            <c:strRef>
              <c:f>'BATS 2023 TLFD'!$N$3</c:f>
              <c:strCache>
                <c:ptCount val="1"/>
                <c:pt idx="0">
                  <c:v>shop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'BATS 2023 TLFD'!$L$4:$L$54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'BATS 2023 TLFD'!$N$4:$N$54</c:f>
              <c:numCache>
                <c:formatCode>0.0%</c:formatCode>
                <c:ptCount val="51"/>
                <c:pt idx="0">
                  <c:v>0.13055947675143242</c:v>
                </c:pt>
                <c:pt idx="1">
                  <c:v>0.24022260997423073</c:v>
                </c:pt>
                <c:pt idx="2">
                  <c:v>0.17440990701825837</c:v>
                </c:pt>
                <c:pt idx="3">
                  <c:v>9.9816438682948788E-2</c:v>
                </c:pt>
                <c:pt idx="4">
                  <c:v>8.2381529459591984E-2</c:v>
                </c:pt>
                <c:pt idx="5">
                  <c:v>4.639039251024913E-2</c:v>
                </c:pt>
                <c:pt idx="6">
                  <c:v>6.0757631671577779E-2</c:v>
                </c:pt>
                <c:pt idx="7">
                  <c:v>2.8219887773152895E-2</c:v>
                </c:pt>
                <c:pt idx="8">
                  <c:v>2.5743322848157339E-2</c:v>
                </c:pt>
                <c:pt idx="9">
                  <c:v>1.2063310376892194E-2</c:v>
                </c:pt>
                <c:pt idx="10">
                  <c:v>1.4428634760285478E-2</c:v>
                </c:pt>
                <c:pt idx="11">
                  <c:v>5.0530418326840878E-3</c:v>
                </c:pt>
                <c:pt idx="12">
                  <c:v>6.9922163544764455E-3</c:v>
                </c:pt>
                <c:pt idx="13">
                  <c:v>9.4696746996526908E-3</c:v>
                </c:pt>
                <c:pt idx="14">
                  <c:v>3.8707186336944294E-3</c:v>
                </c:pt>
                <c:pt idx="15">
                  <c:v>5.6096647173340597E-3</c:v>
                </c:pt>
                <c:pt idx="16">
                  <c:v>6.9807002863718623E-4</c:v>
                </c:pt>
                <c:pt idx="17">
                  <c:v>5.1983718255589001E-3</c:v>
                </c:pt>
                <c:pt idx="18">
                  <c:v>5.674246845019128E-4</c:v>
                </c:pt>
                <c:pt idx="19">
                  <c:v>3.9416606719899636E-4</c:v>
                </c:pt>
                <c:pt idx="20">
                  <c:v>4.3219629042894094E-3</c:v>
                </c:pt>
                <c:pt idx="21">
                  <c:v>4.7611651395773032E-3</c:v>
                </c:pt>
                <c:pt idx="22">
                  <c:v>1.1265102631790623E-4</c:v>
                </c:pt>
                <c:pt idx="23">
                  <c:v>1.7558654473917703E-4</c:v>
                </c:pt>
                <c:pt idx="24">
                  <c:v>1.5734153385497647E-3</c:v>
                </c:pt>
                <c:pt idx="25">
                  <c:v>1.7498449955945165E-3</c:v>
                </c:pt>
                <c:pt idx="26">
                  <c:v>7.2038239649118669E-5</c:v>
                </c:pt>
                <c:pt idx="27">
                  <c:v>1.5159842972822734E-2</c:v>
                </c:pt>
                <c:pt idx="28">
                  <c:v>1.9690747627846396E-3</c:v>
                </c:pt>
                <c:pt idx="29">
                  <c:v>5.2738098668707149E-4</c:v>
                </c:pt>
                <c:pt idx="30">
                  <c:v>2.2599183226825702E-5</c:v>
                </c:pt>
                <c:pt idx="31">
                  <c:v>3.4712988702265609E-5</c:v>
                </c:pt>
                <c:pt idx="32">
                  <c:v>9.9783971443328026E-4</c:v>
                </c:pt>
                <c:pt idx="33">
                  <c:v>2.9477778341375723E-4</c:v>
                </c:pt>
                <c:pt idx="34">
                  <c:v>1.2312059967681355E-4</c:v>
                </c:pt>
                <c:pt idx="35">
                  <c:v>4.92976189379205E-5</c:v>
                </c:pt>
                <c:pt idx="36">
                  <c:v>1.2730833893254679E-3</c:v>
                </c:pt>
                <c:pt idx="37">
                  <c:v>4.5667223812661702E-3</c:v>
                </c:pt>
                <c:pt idx="38">
                  <c:v>0</c:v>
                </c:pt>
                <c:pt idx="39">
                  <c:v>3.1154760833709227E-5</c:v>
                </c:pt>
                <c:pt idx="40">
                  <c:v>8.8068276169830893E-3</c:v>
                </c:pt>
                <c:pt idx="41">
                  <c:v>9.1865510990318474E-5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4.3854487068296444E-4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07-4B16-8633-F55630E6B067}"/>
            </c:ext>
          </c:extLst>
        </c:ser>
        <c:ser>
          <c:idx val="2"/>
          <c:order val="2"/>
          <c:tx>
            <c:strRef>
              <c:f>'BATS 2023 TLFD'!$O$3</c:f>
              <c:strCache>
                <c:ptCount val="1"/>
                <c:pt idx="0">
                  <c:v>maintenance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'BATS 2023 TLFD'!$L$4:$L$54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'BATS 2023 TLFD'!$O$4:$O$54</c:f>
              <c:numCache>
                <c:formatCode>0.0%</c:formatCode>
                <c:ptCount val="51"/>
                <c:pt idx="0">
                  <c:v>0.10740872532779798</c:v>
                </c:pt>
                <c:pt idx="1">
                  <c:v>0.32310662320096883</c:v>
                </c:pt>
                <c:pt idx="2">
                  <c:v>9.3288231934015239E-2</c:v>
                </c:pt>
                <c:pt idx="3">
                  <c:v>8.1459848851663588E-2</c:v>
                </c:pt>
                <c:pt idx="4">
                  <c:v>7.556235903365123E-2</c:v>
                </c:pt>
                <c:pt idx="5">
                  <c:v>8.4378211704202663E-2</c:v>
                </c:pt>
                <c:pt idx="6">
                  <c:v>4.7119552890519806E-2</c:v>
                </c:pt>
                <c:pt idx="7">
                  <c:v>5.079570606456138E-2</c:v>
                </c:pt>
                <c:pt idx="8">
                  <c:v>1.5553856463061773E-2</c:v>
                </c:pt>
                <c:pt idx="9">
                  <c:v>2.5114411506170175E-2</c:v>
                </c:pt>
                <c:pt idx="10">
                  <c:v>6.107573195274228E-3</c:v>
                </c:pt>
                <c:pt idx="11">
                  <c:v>6.3601401821705913E-3</c:v>
                </c:pt>
                <c:pt idx="12">
                  <c:v>8.214118547524809E-4</c:v>
                </c:pt>
                <c:pt idx="13">
                  <c:v>3.658158508874982E-3</c:v>
                </c:pt>
                <c:pt idx="14">
                  <c:v>5.978770774915463E-3</c:v>
                </c:pt>
                <c:pt idx="15">
                  <c:v>1.1536381441014775E-2</c:v>
                </c:pt>
                <c:pt idx="16">
                  <c:v>2.7382707984947362E-3</c:v>
                </c:pt>
                <c:pt idx="17">
                  <c:v>1.9387262152280157E-3</c:v>
                </c:pt>
                <c:pt idx="18">
                  <c:v>6.2633288097439345E-3</c:v>
                </c:pt>
                <c:pt idx="19">
                  <c:v>2.2444145349968139E-3</c:v>
                </c:pt>
                <c:pt idx="20">
                  <c:v>4.9938858430458102E-3</c:v>
                </c:pt>
                <c:pt idx="21">
                  <c:v>9.0772165095994919E-3</c:v>
                </c:pt>
                <c:pt idx="22">
                  <c:v>8.1161688341770393E-4</c:v>
                </c:pt>
                <c:pt idx="23">
                  <c:v>9.2297148624787559E-4</c:v>
                </c:pt>
                <c:pt idx="24">
                  <c:v>1.0873803708820321E-3</c:v>
                </c:pt>
                <c:pt idx="25">
                  <c:v>6.0543481834800942E-3</c:v>
                </c:pt>
                <c:pt idx="26">
                  <c:v>6.341763302286349E-3</c:v>
                </c:pt>
                <c:pt idx="27">
                  <c:v>2.3036288476835709E-4</c:v>
                </c:pt>
                <c:pt idx="28">
                  <c:v>1.1070761661690215E-3</c:v>
                </c:pt>
                <c:pt idx="29">
                  <c:v>3.8475756323792299E-4</c:v>
                </c:pt>
                <c:pt idx="30">
                  <c:v>1.2809869973451217E-2</c:v>
                </c:pt>
                <c:pt idx="31">
                  <c:v>3.270158661131892E-4</c:v>
                </c:pt>
                <c:pt idx="32">
                  <c:v>5.2866879367320565E-4</c:v>
                </c:pt>
                <c:pt idx="33">
                  <c:v>1.4864090985845302E-4</c:v>
                </c:pt>
                <c:pt idx="34">
                  <c:v>2.6657987615394646E-4</c:v>
                </c:pt>
                <c:pt idx="35">
                  <c:v>4.9562909346516948E-5</c:v>
                </c:pt>
                <c:pt idx="36">
                  <c:v>1.4833686638274489E-4</c:v>
                </c:pt>
                <c:pt idx="37">
                  <c:v>0</c:v>
                </c:pt>
                <c:pt idx="38">
                  <c:v>8.7301001645538254E-4</c:v>
                </c:pt>
                <c:pt idx="39">
                  <c:v>3.2798820212896341E-5</c:v>
                </c:pt>
                <c:pt idx="40">
                  <c:v>6.1484220743498119E-4</c:v>
                </c:pt>
                <c:pt idx="41">
                  <c:v>4.215137189813445E-5</c:v>
                </c:pt>
                <c:pt idx="42">
                  <c:v>7.1962328068313924E-4</c:v>
                </c:pt>
                <c:pt idx="43">
                  <c:v>0</c:v>
                </c:pt>
                <c:pt idx="44">
                  <c:v>2.1472948168514823E-5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1.1092825593032021E-4</c:v>
                </c:pt>
                <c:pt idx="49">
                  <c:v>3.2330231170774537E-5</c:v>
                </c:pt>
                <c:pt idx="50">
                  <c:v>8.2808518785322895E-4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07-4B16-8633-F55630E6B067}"/>
            </c:ext>
          </c:extLst>
        </c:ser>
        <c:ser>
          <c:idx val="5"/>
          <c:order val="3"/>
          <c:tx>
            <c:strRef>
              <c:f>'BATS 2023 TLFD'!$P$3</c:f>
              <c:strCache>
                <c:ptCount val="1"/>
                <c:pt idx="0">
                  <c:v>eatout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'BATS 2023 TLFD'!$L$4:$L$54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'BATS 2023 TLFD'!$P$4:$P$54</c:f>
              <c:numCache>
                <c:formatCode>0.0%</c:formatCode>
                <c:ptCount val="51"/>
                <c:pt idx="0">
                  <c:v>0.28524207294816828</c:v>
                </c:pt>
                <c:pt idx="1">
                  <c:v>0.17701301026418248</c:v>
                </c:pt>
                <c:pt idx="2">
                  <c:v>0.1727287934937288</c:v>
                </c:pt>
                <c:pt idx="3">
                  <c:v>9.1931182978707102E-2</c:v>
                </c:pt>
                <c:pt idx="4">
                  <c:v>4.4246477751409122E-2</c:v>
                </c:pt>
                <c:pt idx="5">
                  <c:v>3.9196726356603505E-2</c:v>
                </c:pt>
                <c:pt idx="6">
                  <c:v>4.1506162311527754E-2</c:v>
                </c:pt>
                <c:pt idx="7">
                  <c:v>1.8547993337017024E-2</c:v>
                </c:pt>
                <c:pt idx="8">
                  <c:v>2.603691545438986E-2</c:v>
                </c:pt>
                <c:pt idx="9">
                  <c:v>1.5023082959876356E-2</c:v>
                </c:pt>
                <c:pt idx="10">
                  <c:v>4.5616169193878767E-3</c:v>
                </c:pt>
                <c:pt idx="11">
                  <c:v>8.6006682990515861E-3</c:v>
                </c:pt>
                <c:pt idx="12">
                  <c:v>1.0658938439249768E-2</c:v>
                </c:pt>
                <c:pt idx="13">
                  <c:v>7.3179996759910344E-3</c:v>
                </c:pt>
                <c:pt idx="14">
                  <c:v>1.9002367313802409E-3</c:v>
                </c:pt>
                <c:pt idx="15">
                  <c:v>1.0199093799942686E-2</c:v>
                </c:pt>
                <c:pt idx="16">
                  <c:v>3.0902044130277197E-3</c:v>
                </c:pt>
                <c:pt idx="17">
                  <c:v>1.0850702778158583E-3</c:v>
                </c:pt>
                <c:pt idx="18">
                  <c:v>1.5275875551560474E-3</c:v>
                </c:pt>
                <c:pt idx="19">
                  <c:v>1.9673444134398533E-3</c:v>
                </c:pt>
                <c:pt idx="20">
                  <c:v>4.9704099182631457E-4</c:v>
                </c:pt>
                <c:pt idx="21">
                  <c:v>2.1793313590199111E-3</c:v>
                </c:pt>
                <c:pt idx="22">
                  <c:v>4.5121540494606012E-4</c:v>
                </c:pt>
                <c:pt idx="23">
                  <c:v>1.2811747509449373E-3</c:v>
                </c:pt>
                <c:pt idx="24">
                  <c:v>4.5325873142093333E-3</c:v>
                </c:pt>
                <c:pt idx="25">
                  <c:v>1.3437559920810563E-3</c:v>
                </c:pt>
                <c:pt idx="26">
                  <c:v>3.621527501558525E-3</c:v>
                </c:pt>
                <c:pt idx="27">
                  <c:v>4.271641911900215E-4</c:v>
                </c:pt>
                <c:pt idx="28">
                  <c:v>3.8043284005664364E-3</c:v>
                </c:pt>
                <c:pt idx="29">
                  <c:v>1.3855786628545251E-3</c:v>
                </c:pt>
                <c:pt idx="30">
                  <c:v>3.2744229062313082E-3</c:v>
                </c:pt>
                <c:pt idx="31">
                  <c:v>1.5488944166524414E-3</c:v>
                </c:pt>
                <c:pt idx="32">
                  <c:v>5.7992016134970556E-4</c:v>
                </c:pt>
                <c:pt idx="33">
                  <c:v>3.9676203401032705E-4</c:v>
                </c:pt>
                <c:pt idx="34">
                  <c:v>2.097139529490531E-4</c:v>
                </c:pt>
                <c:pt idx="35">
                  <c:v>1.5933689233255956E-3</c:v>
                </c:pt>
                <c:pt idx="36">
                  <c:v>3.0623562363483428E-3</c:v>
                </c:pt>
                <c:pt idx="37">
                  <c:v>2.2813155403858691E-4</c:v>
                </c:pt>
                <c:pt idx="38">
                  <c:v>1.182511718318655E-3</c:v>
                </c:pt>
                <c:pt idx="39">
                  <c:v>3.3875389300610002E-4</c:v>
                </c:pt>
                <c:pt idx="40">
                  <c:v>3.9854419800728425E-3</c:v>
                </c:pt>
                <c:pt idx="41">
                  <c:v>6.27533689069435E-5</c:v>
                </c:pt>
                <c:pt idx="42">
                  <c:v>2.3870412323615591E-4</c:v>
                </c:pt>
                <c:pt idx="43">
                  <c:v>5.740530883108501E-4</c:v>
                </c:pt>
                <c:pt idx="44">
                  <c:v>2.4467385609873524E-4</c:v>
                </c:pt>
                <c:pt idx="45">
                  <c:v>6.4992301650825606E-5</c:v>
                </c:pt>
                <c:pt idx="46">
                  <c:v>4.9945662283385655E-4</c:v>
                </c:pt>
                <c:pt idx="47">
                  <c:v>1.0205913409577644E-5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407-4B16-8633-F55630E6B067}"/>
            </c:ext>
          </c:extLst>
        </c:ser>
        <c:ser>
          <c:idx val="3"/>
          <c:order val="4"/>
          <c:tx>
            <c:strRef>
              <c:f>'BATS 2023 TLFD'!$Q$3</c:f>
              <c:strCache>
                <c:ptCount val="1"/>
                <c:pt idx="0">
                  <c:v>visit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'BATS 2023 TLFD'!$L$4:$L$54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'BATS 2023 TLFD'!$Q$4:$Q$54</c:f>
              <c:numCache>
                <c:formatCode>0.0%</c:formatCode>
                <c:ptCount val="51"/>
                <c:pt idx="0">
                  <c:v>0.33176409487459135</c:v>
                </c:pt>
                <c:pt idx="1">
                  <c:v>0.22994102358988056</c:v>
                </c:pt>
                <c:pt idx="2">
                  <c:v>0.10066613509795701</c:v>
                </c:pt>
                <c:pt idx="3">
                  <c:v>7.4203382177949723E-2</c:v>
                </c:pt>
                <c:pt idx="4">
                  <c:v>5.1433561465890974E-2</c:v>
                </c:pt>
                <c:pt idx="5">
                  <c:v>4.876088410938708E-2</c:v>
                </c:pt>
                <c:pt idx="6">
                  <c:v>2.4047995328300265E-2</c:v>
                </c:pt>
                <c:pt idx="7">
                  <c:v>2.2366431264314507E-2</c:v>
                </c:pt>
                <c:pt idx="8">
                  <c:v>3.0550924113742838E-2</c:v>
                </c:pt>
                <c:pt idx="9">
                  <c:v>6.8844824606414719E-3</c:v>
                </c:pt>
                <c:pt idx="10">
                  <c:v>7.3966956717126777E-3</c:v>
                </c:pt>
                <c:pt idx="11">
                  <c:v>3.1725354466774634E-3</c:v>
                </c:pt>
                <c:pt idx="12">
                  <c:v>3.2622227589488915E-3</c:v>
                </c:pt>
                <c:pt idx="13">
                  <c:v>5.9832264511699013E-3</c:v>
                </c:pt>
                <c:pt idx="14">
                  <c:v>5.5699249437773397E-3</c:v>
                </c:pt>
                <c:pt idx="15">
                  <c:v>1.2935192374517727E-2</c:v>
                </c:pt>
                <c:pt idx="16">
                  <c:v>1.7314951953477813E-3</c:v>
                </c:pt>
                <c:pt idx="17">
                  <c:v>9.4155432312151791E-3</c:v>
                </c:pt>
                <c:pt idx="18">
                  <c:v>1.9344268617048986E-3</c:v>
                </c:pt>
                <c:pt idx="19">
                  <c:v>9.9424197172175784E-4</c:v>
                </c:pt>
                <c:pt idx="20">
                  <c:v>2.4104998764139531E-3</c:v>
                </c:pt>
                <c:pt idx="21">
                  <c:v>7.6256289998629951E-3</c:v>
                </c:pt>
                <c:pt idx="22">
                  <c:v>1.3144729673101465E-4</c:v>
                </c:pt>
                <c:pt idx="23">
                  <c:v>1.8485656754317181E-4</c:v>
                </c:pt>
                <c:pt idx="24">
                  <c:v>4.4591639148665226E-4</c:v>
                </c:pt>
                <c:pt idx="25">
                  <c:v>2.5803730884773441E-4</c:v>
                </c:pt>
                <c:pt idx="26">
                  <c:v>1.3327977543006823E-5</c:v>
                </c:pt>
                <c:pt idx="27">
                  <c:v>9.7703783097065691E-4</c:v>
                </c:pt>
                <c:pt idx="28">
                  <c:v>2.7053786500492592E-3</c:v>
                </c:pt>
                <c:pt idx="29">
                  <c:v>1.596194935969749E-3</c:v>
                </c:pt>
                <c:pt idx="30">
                  <c:v>5.8091409099015191E-4</c:v>
                </c:pt>
                <c:pt idx="31">
                  <c:v>4.3837449840048495E-4</c:v>
                </c:pt>
                <c:pt idx="32">
                  <c:v>6.7246159534954035E-4</c:v>
                </c:pt>
                <c:pt idx="33">
                  <c:v>2.0058861211698495E-3</c:v>
                </c:pt>
                <c:pt idx="34">
                  <c:v>2.2537378712114125E-4</c:v>
                </c:pt>
                <c:pt idx="35">
                  <c:v>8.9585462858215775E-5</c:v>
                </c:pt>
                <c:pt idx="36">
                  <c:v>5.2566548358641747E-4</c:v>
                </c:pt>
                <c:pt idx="37">
                  <c:v>6.3981081867138783E-5</c:v>
                </c:pt>
                <c:pt idx="38">
                  <c:v>3.9909411755935087E-5</c:v>
                </c:pt>
                <c:pt idx="39">
                  <c:v>1.0194343851253955E-4</c:v>
                </c:pt>
                <c:pt idx="40">
                  <c:v>1.6986291808634166E-4</c:v>
                </c:pt>
                <c:pt idx="41">
                  <c:v>2.4253039510895765E-5</c:v>
                </c:pt>
                <c:pt idx="42">
                  <c:v>2.1046686200258631E-4</c:v>
                </c:pt>
                <c:pt idx="43">
                  <c:v>1.6903206889737886E-5</c:v>
                </c:pt>
                <c:pt idx="44">
                  <c:v>4.7756354654775998E-4</c:v>
                </c:pt>
                <c:pt idx="45">
                  <c:v>1.451511654668272E-3</c:v>
                </c:pt>
                <c:pt idx="46">
                  <c:v>4.6803453868682301E-5</c:v>
                </c:pt>
                <c:pt idx="47">
                  <c:v>5.7583734560676961E-5</c:v>
                </c:pt>
                <c:pt idx="48">
                  <c:v>7.8432785779147655E-4</c:v>
                </c:pt>
                <c:pt idx="49">
                  <c:v>0</c:v>
                </c:pt>
                <c:pt idx="50">
                  <c:v>2.6538835295945641E-3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04-4154-847D-EAD728101557}"/>
            </c:ext>
          </c:extLst>
        </c:ser>
        <c:ser>
          <c:idx val="4"/>
          <c:order val="5"/>
          <c:tx>
            <c:strRef>
              <c:f>'BATS 2023 TLFD'!$R$3</c:f>
              <c:strCache>
                <c:ptCount val="1"/>
                <c:pt idx="0">
                  <c:v>discretionary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'BATS 2023 TLFD'!$L$4:$L$54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'BATS 2023 TLFD'!$R$4:$R$54</c:f>
              <c:numCache>
                <c:formatCode>0.0%</c:formatCode>
                <c:ptCount val="51"/>
                <c:pt idx="0">
                  <c:v>0.18636619543268851</c:v>
                </c:pt>
                <c:pt idx="1">
                  <c:v>0.21973212524880231</c:v>
                </c:pt>
                <c:pt idx="2">
                  <c:v>0.19196498929085906</c:v>
                </c:pt>
                <c:pt idx="3">
                  <c:v>6.5994226947974688E-2</c:v>
                </c:pt>
                <c:pt idx="4">
                  <c:v>2.1117359653465142E-2</c:v>
                </c:pt>
                <c:pt idx="5">
                  <c:v>7.356481271664661E-2</c:v>
                </c:pt>
                <c:pt idx="6">
                  <c:v>3.4766895156420237E-2</c:v>
                </c:pt>
                <c:pt idx="7">
                  <c:v>1.6818863474103708E-2</c:v>
                </c:pt>
                <c:pt idx="8">
                  <c:v>2.0821531905845753E-2</c:v>
                </c:pt>
                <c:pt idx="9">
                  <c:v>1.5168305137769449E-2</c:v>
                </c:pt>
                <c:pt idx="10">
                  <c:v>2.270558951798239E-3</c:v>
                </c:pt>
                <c:pt idx="11">
                  <c:v>1.6735412372023958E-2</c:v>
                </c:pt>
                <c:pt idx="12">
                  <c:v>2.4918597655022041E-3</c:v>
                </c:pt>
                <c:pt idx="13">
                  <c:v>4.6550588001981544E-2</c:v>
                </c:pt>
                <c:pt idx="14">
                  <c:v>8.2946091891458122E-4</c:v>
                </c:pt>
                <c:pt idx="15">
                  <c:v>8.8368963187492773E-3</c:v>
                </c:pt>
                <c:pt idx="16">
                  <c:v>5.503717723263914E-3</c:v>
                </c:pt>
                <c:pt idx="17">
                  <c:v>3.9736805582898001E-3</c:v>
                </c:pt>
                <c:pt idx="18">
                  <c:v>6.7534580115815007E-4</c:v>
                </c:pt>
                <c:pt idx="19">
                  <c:v>2.4434878705906452E-2</c:v>
                </c:pt>
                <c:pt idx="20">
                  <c:v>2.8339922470239161E-3</c:v>
                </c:pt>
                <c:pt idx="21">
                  <c:v>4.804876193282152E-3</c:v>
                </c:pt>
                <c:pt idx="22">
                  <c:v>5.6049335407490895E-4</c:v>
                </c:pt>
                <c:pt idx="23">
                  <c:v>0</c:v>
                </c:pt>
                <c:pt idx="24">
                  <c:v>1.7050820727601688E-2</c:v>
                </c:pt>
                <c:pt idx="25">
                  <c:v>0</c:v>
                </c:pt>
                <c:pt idx="26">
                  <c:v>3.5409901976957446E-4</c:v>
                </c:pt>
                <c:pt idx="27">
                  <c:v>6.4960742477322491E-4</c:v>
                </c:pt>
                <c:pt idx="28">
                  <c:v>2.176173017707485E-4</c:v>
                </c:pt>
                <c:pt idx="29">
                  <c:v>4.529671385422749E-4</c:v>
                </c:pt>
                <c:pt idx="30">
                  <c:v>1.5770571626233258E-4</c:v>
                </c:pt>
                <c:pt idx="31">
                  <c:v>2.6418587348209107E-3</c:v>
                </c:pt>
                <c:pt idx="32">
                  <c:v>3.534815575949206E-3</c:v>
                </c:pt>
                <c:pt idx="33">
                  <c:v>1.0254658921650109E-4</c:v>
                </c:pt>
                <c:pt idx="34">
                  <c:v>2.349970106033385E-3</c:v>
                </c:pt>
                <c:pt idx="35">
                  <c:v>1.9566604999700319E-4</c:v>
                </c:pt>
                <c:pt idx="36">
                  <c:v>0</c:v>
                </c:pt>
                <c:pt idx="37">
                  <c:v>1.3408681838541559E-4</c:v>
                </c:pt>
                <c:pt idx="38">
                  <c:v>0</c:v>
                </c:pt>
                <c:pt idx="39">
                  <c:v>3.5499578850240459E-5</c:v>
                </c:pt>
                <c:pt idx="40">
                  <c:v>0</c:v>
                </c:pt>
                <c:pt idx="41">
                  <c:v>6.1188820998016422E-5</c:v>
                </c:pt>
                <c:pt idx="42">
                  <c:v>0</c:v>
                </c:pt>
                <c:pt idx="43">
                  <c:v>1.0840913840688578E-3</c:v>
                </c:pt>
                <c:pt idx="44">
                  <c:v>1.967178922358775E-4</c:v>
                </c:pt>
                <c:pt idx="45">
                  <c:v>1.8613081486677789E-3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2.1023670955123775E-3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04-4154-847D-EAD728101557}"/>
            </c:ext>
          </c:extLst>
        </c:ser>
        <c:ser>
          <c:idx val="6"/>
          <c:order val="6"/>
          <c:tx>
            <c:strRef>
              <c:f>'BATS 2023 TLFD'!$S$3</c:f>
              <c:strCache>
                <c:ptCount val="1"/>
                <c:pt idx="0">
                  <c:v>atwork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'BATS 2023 TLFD'!$L$4:$L$54</c:f>
              <c:numCache>
                <c:formatCode>General</c:formatCode>
                <c:ptCount val="51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  <c:pt idx="36">
                  <c:v>36.5</c:v>
                </c:pt>
                <c:pt idx="37">
                  <c:v>37.5</c:v>
                </c:pt>
                <c:pt idx="38">
                  <c:v>38.5</c:v>
                </c:pt>
                <c:pt idx="39">
                  <c:v>39.5</c:v>
                </c:pt>
                <c:pt idx="40">
                  <c:v>40.5</c:v>
                </c:pt>
                <c:pt idx="41">
                  <c:v>41.5</c:v>
                </c:pt>
                <c:pt idx="42">
                  <c:v>42.5</c:v>
                </c:pt>
                <c:pt idx="43">
                  <c:v>43.5</c:v>
                </c:pt>
                <c:pt idx="44">
                  <c:v>44.5</c:v>
                </c:pt>
                <c:pt idx="45">
                  <c:v>45.5</c:v>
                </c:pt>
                <c:pt idx="46">
                  <c:v>46.5</c:v>
                </c:pt>
                <c:pt idx="47">
                  <c:v>47.5</c:v>
                </c:pt>
                <c:pt idx="48">
                  <c:v>48.5</c:v>
                </c:pt>
                <c:pt idx="49">
                  <c:v>49.5</c:v>
                </c:pt>
                <c:pt idx="50">
                  <c:v>50.5</c:v>
                </c:pt>
              </c:numCache>
            </c:numRef>
          </c:xVal>
          <c:yVal>
            <c:numRef>
              <c:f>'BATS 2023 TLFD'!$S$4:$S$54</c:f>
              <c:numCache>
                <c:formatCode>0.0%</c:formatCode>
                <c:ptCount val="51"/>
                <c:pt idx="0">
                  <c:v>0.37435809334206882</c:v>
                </c:pt>
                <c:pt idx="1">
                  <c:v>0.2880688775864822</c:v>
                </c:pt>
                <c:pt idx="2">
                  <c:v>0.10686467357250577</c:v>
                </c:pt>
                <c:pt idx="3">
                  <c:v>7.4296384731418086E-2</c:v>
                </c:pt>
                <c:pt idx="4">
                  <c:v>4.2011628294834742E-2</c:v>
                </c:pt>
                <c:pt idx="5">
                  <c:v>4.1424274521117882E-2</c:v>
                </c:pt>
                <c:pt idx="6">
                  <c:v>9.2109620002666162E-3</c:v>
                </c:pt>
                <c:pt idx="7">
                  <c:v>1.5051253726069814E-2</c:v>
                </c:pt>
                <c:pt idx="8">
                  <c:v>3.2547592578332381E-3</c:v>
                </c:pt>
                <c:pt idx="9">
                  <c:v>1.2906973802967283E-2</c:v>
                </c:pt>
                <c:pt idx="10">
                  <c:v>1.6934566711981713E-3</c:v>
                </c:pt>
                <c:pt idx="11">
                  <c:v>9.0061073999442884E-4</c:v>
                </c:pt>
                <c:pt idx="12">
                  <c:v>8.7880393576631334E-5</c:v>
                </c:pt>
                <c:pt idx="13">
                  <c:v>1.5423641740523011E-3</c:v>
                </c:pt>
                <c:pt idx="14">
                  <c:v>3.7785111256011042E-3</c:v>
                </c:pt>
                <c:pt idx="15">
                  <c:v>5.0514648816231194E-4</c:v>
                </c:pt>
                <c:pt idx="16">
                  <c:v>1.0861616520863798E-4</c:v>
                </c:pt>
                <c:pt idx="17">
                  <c:v>2.2146407790246236E-4</c:v>
                </c:pt>
                <c:pt idx="18">
                  <c:v>6.5234995461955752E-3</c:v>
                </c:pt>
                <c:pt idx="19">
                  <c:v>0</c:v>
                </c:pt>
                <c:pt idx="20">
                  <c:v>1.3506602659562343E-3</c:v>
                </c:pt>
                <c:pt idx="21">
                  <c:v>1.6335638225582633E-4</c:v>
                </c:pt>
                <c:pt idx="22">
                  <c:v>1.336610593671399E-4</c:v>
                </c:pt>
                <c:pt idx="23">
                  <c:v>3.0871290389745411E-3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7.8393359853642063E-5</c:v>
                </c:pt>
                <c:pt idx="28">
                  <c:v>0</c:v>
                </c:pt>
                <c:pt idx="29">
                  <c:v>1.22883836188666E-2</c:v>
                </c:pt>
                <c:pt idx="30">
                  <c:v>0</c:v>
                </c:pt>
                <c:pt idx="31">
                  <c:v>0</c:v>
                </c:pt>
                <c:pt idx="32">
                  <c:v>8.8986057269912667E-5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04-4154-847D-EAD728101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863104"/>
        <c:axId val="1619244288"/>
      </c:scatterChart>
      <c:valAx>
        <c:axId val="2020863104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244288"/>
        <c:crosses val="autoZero"/>
        <c:crossBetween val="midCat"/>
      </c:valAx>
      <c:valAx>
        <c:axId val="1619244288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863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47464432114526"/>
          <c:y val="0.3404946850605815"/>
          <c:w val="0.15726286486916408"/>
          <c:h val="0.48837543170759418"/>
        </c:manualLayout>
      </c:layout>
      <c:overlay val="1"/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67</xdr:row>
      <xdr:rowOff>166687</xdr:rowOff>
    </xdr:from>
    <xdr:to>
      <xdr:col>10</xdr:col>
      <xdr:colOff>200025</xdr:colOff>
      <xdr:row>80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5636D-2182-46B8-98B8-C0BD66ABB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242887</xdr:colOff>
      <xdr:row>0</xdr:row>
      <xdr:rowOff>38106</xdr:rowOff>
    </xdr:from>
    <xdr:to>
      <xdr:col>12</xdr:col>
      <xdr:colOff>423862</xdr:colOff>
      <xdr:row>11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8B4B5-0D9E-4E42-A005-FD813BEB2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76200</xdr:colOff>
      <xdr:row>0</xdr:row>
      <xdr:rowOff>28575</xdr:rowOff>
    </xdr:from>
    <xdr:to>
      <xdr:col>24</xdr:col>
      <xdr:colOff>314325</xdr:colOff>
      <xdr:row>10</xdr:row>
      <xdr:rowOff>180969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A4CCE0-12A5-40CE-8A30-D6C3C55C1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57150</xdr:colOff>
      <xdr:row>0</xdr:row>
      <xdr:rowOff>85725</xdr:rowOff>
    </xdr:from>
    <xdr:to>
      <xdr:col>36</xdr:col>
      <xdr:colOff>304800</xdr:colOff>
      <xdr:row>11</xdr:row>
      <xdr:rowOff>47619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3D2E1A-F547-4948-BEE4-E028A6B7E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47625</xdr:colOff>
      <xdr:row>0</xdr:row>
      <xdr:rowOff>47625</xdr:rowOff>
    </xdr:from>
    <xdr:to>
      <xdr:col>48</xdr:col>
      <xdr:colOff>304800</xdr:colOff>
      <xdr:row>11</xdr:row>
      <xdr:rowOff>9519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1D4F6E-F627-4C11-B728-9AB466BBC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66675</xdr:colOff>
      <xdr:row>0</xdr:row>
      <xdr:rowOff>76200</xdr:rowOff>
    </xdr:from>
    <xdr:to>
      <xdr:col>60</xdr:col>
      <xdr:colOff>333375</xdr:colOff>
      <xdr:row>11</xdr:row>
      <xdr:rowOff>38094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5CFDD1-20BD-40BF-A1B0-34BA0ECC5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65</xdr:col>
      <xdr:colOff>66675</xdr:colOff>
      <xdr:row>0</xdr:row>
      <xdr:rowOff>47625</xdr:rowOff>
    </xdr:from>
    <xdr:to>
      <xdr:col>72</xdr:col>
      <xdr:colOff>371475</xdr:colOff>
      <xdr:row>11</xdr:row>
      <xdr:rowOff>9519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EDEE78-3466-4024-A915-1F7940513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77</xdr:col>
      <xdr:colOff>95250</xdr:colOff>
      <xdr:row>0</xdr:row>
      <xdr:rowOff>66675</xdr:rowOff>
    </xdr:from>
    <xdr:to>
      <xdr:col>84</xdr:col>
      <xdr:colOff>400050</xdr:colOff>
      <xdr:row>11</xdr:row>
      <xdr:rowOff>28569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A16149-8654-4B4D-B4C3-F4B5940F5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68</xdr:row>
      <xdr:rowOff>0</xdr:rowOff>
    </xdr:from>
    <xdr:to>
      <xdr:col>22</xdr:col>
      <xdr:colOff>257175</xdr:colOff>
      <xdr:row>80</xdr:row>
      <xdr:rowOff>138113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33E947-74C7-48A8-BAA8-910EF2B29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68</xdr:row>
      <xdr:rowOff>0</xdr:rowOff>
    </xdr:from>
    <xdr:to>
      <xdr:col>34</xdr:col>
      <xdr:colOff>266700</xdr:colOff>
      <xdr:row>80</xdr:row>
      <xdr:rowOff>138113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9D81DCF-ABA3-4A44-A6A0-D542A688B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0</xdr:colOff>
      <xdr:row>68</xdr:row>
      <xdr:rowOff>0</xdr:rowOff>
    </xdr:from>
    <xdr:to>
      <xdr:col>46</xdr:col>
      <xdr:colOff>276225</xdr:colOff>
      <xdr:row>80</xdr:row>
      <xdr:rowOff>138113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0BF6B4-607D-49B5-AF58-740352756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0</xdr:colOff>
      <xdr:row>68</xdr:row>
      <xdr:rowOff>0</xdr:rowOff>
    </xdr:from>
    <xdr:to>
      <xdr:col>58</xdr:col>
      <xdr:colOff>285750</xdr:colOff>
      <xdr:row>80</xdr:row>
      <xdr:rowOff>138113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046CA6B-7FFC-4081-8B48-E191080B1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63</xdr:col>
      <xdr:colOff>0</xdr:colOff>
      <xdr:row>68</xdr:row>
      <xdr:rowOff>0</xdr:rowOff>
    </xdr:from>
    <xdr:to>
      <xdr:col>70</xdr:col>
      <xdr:colOff>276225</xdr:colOff>
      <xdr:row>80</xdr:row>
      <xdr:rowOff>138113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33CB8B1-8333-4267-A69E-A4040CA6E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75</xdr:col>
      <xdr:colOff>0</xdr:colOff>
      <xdr:row>68</xdr:row>
      <xdr:rowOff>0</xdr:rowOff>
    </xdr:from>
    <xdr:to>
      <xdr:col>82</xdr:col>
      <xdr:colOff>266700</xdr:colOff>
      <xdr:row>80</xdr:row>
      <xdr:rowOff>138113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542132-61A6-44F4-9C03-1E75338BF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58</xdr:row>
      <xdr:rowOff>4762</xdr:rowOff>
    </xdr:from>
    <xdr:to>
      <xdr:col>18</xdr:col>
      <xdr:colOff>771525</xdr:colOff>
      <xdr:row>77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387F10-5827-472F-81E3-7AD53BF02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vel-model-one-calib1.5.2\model-files\model\DestinationChoi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Work"/>
      <sheetName val="University"/>
      <sheetName val="HighSchool"/>
      <sheetName val="GradeSchool"/>
      <sheetName val="EscortKids"/>
      <sheetName val="EscortNoKids"/>
      <sheetName val="Shopping"/>
      <sheetName val="EatOut"/>
      <sheetName val="OthMaint"/>
      <sheetName val="Social"/>
      <sheetName val="OthDiscr"/>
      <sheetName val="WorkBased"/>
    </sheetNames>
    <sheetDataSet>
      <sheetData sheetId="0"/>
      <sheetData sheetId="1"/>
      <sheetData sheetId="2"/>
      <sheetData sheetId="3"/>
      <sheetData sheetId="4"/>
      <sheetData sheetId="5">
        <row r="12">
          <cell r="G12">
            <v>-0.14986892900823967</v>
          </cell>
        </row>
        <row r="13">
          <cell r="G13">
            <v>-0.14986892900823967</v>
          </cell>
        </row>
        <row r="14">
          <cell r="G14">
            <v>-0.86713092904123756</v>
          </cell>
        </row>
        <row r="15">
          <cell r="G15">
            <v>-0.21370826062045101</v>
          </cell>
        </row>
        <row r="16">
          <cell r="G16">
            <v>-0.21370826062045101</v>
          </cell>
        </row>
      </sheetData>
      <sheetData sheetId="6"/>
      <sheetData sheetId="7">
        <row r="12">
          <cell r="G12">
            <v>0</v>
          </cell>
        </row>
        <row r="13">
          <cell r="G13">
            <v>0</v>
          </cell>
        </row>
        <row r="14">
          <cell r="G14">
            <v>-0.56554370538783028</v>
          </cell>
        </row>
        <row r="15">
          <cell r="G15">
            <v>-0.18324871283782601</v>
          </cell>
        </row>
        <row r="16">
          <cell r="G16">
            <v>-0.18324871283782601</v>
          </cell>
        </row>
      </sheetData>
      <sheetData sheetId="8">
        <row r="12">
          <cell r="G12">
            <v>-0.56088406404174651</v>
          </cell>
        </row>
        <row r="13">
          <cell r="G13">
            <v>-0.56088406404174651</v>
          </cell>
        </row>
        <row r="14">
          <cell r="G14">
            <v>-0.31917050338493835</v>
          </cell>
        </row>
        <row r="15">
          <cell r="G15">
            <v>-0.123766678676451</v>
          </cell>
        </row>
        <row r="16">
          <cell r="G16">
            <v>-0.123766678676451</v>
          </cell>
        </row>
      </sheetData>
      <sheetData sheetId="9">
        <row r="12">
          <cell r="G12">
            <v>0</v>
          </cell>
        </row>
        <row r="13">
          <cell r="G13">
            <v>0</v>
          </cell>
        </row>
        <row r="14">
          <cell r="G14">
            <v>-0.60549817274913609</v>
          </cell>
        </row>
        <row r="15">
          <cell r="G15">
            <v>-0.10927638842708701</v>
          </cell>
        </row>
        <row r="16">
          <cell r="G16">
            <v>-0.10927638842708701</v>
          </cell>
        </row>
      </sheetData>
      <sheetData sheetId="10">
        <row r="12">
          <cell r="G12">
            <v>-0.78413579510767972</v>
          </cell>
        </row>
        <row r="13">
          <cell r="G13">
            <v>-0.78413579510767972</v>
          </cell>
        </row>
        <row r="14">
          <cell r="G14">
            <v>-0.34846404219197241</v>
          </cell>
        </row>
        <row r="15">
          <cell r="G15">
            <v>-0.13060067927808</v>
          </cell>
        </row>
        <row r="16">
          <cell r="G16">
            <v>-0.13060067927808</v>
          </cell>
        </row>
      </sheetData>
      <sheetData sheetId="11">
        <row r="12">
          <cell r="G12">
            <v>-0.16770688910210765</v>
          </cell>
        </row>
        <row r="13">
          <cell r="G13">
            <v>-0.16770688910210765</v>
          </cell>
        </row>
        <row r="14">
          <cell r="G14">
            <v>-0.49549320005603059</v>
          </cell>
        </row>
        <row r="15">
          <cell r="G15">
            <v>-0.119295888721189</v>
          </cell>
        </row>
        <row r="16">
          <cell r="G16">
            <v>-0.119295888721189</v>
          </cell>
        </row>
      </sheetData>
      <sheetData sheetId="12">
        <row r="12">
          <cell r="G12">
            <v>-0.7925675882562816</v>
          </cell>
        </row>
        <row r="13">
          <cell r="G13">
            <v>-0.7925675882562816</v>
          </cell>
        </row>
        <row r="14">
          <cell r="G14">
            <v>-0.51970902452587597</v>
          </cell>
        </row>
        <row r="15">
          <cell r="G15">
            <v>-0.204473452523388</v>
          </cell>
        </row>
        <row r="16">
          <cell r="G16">
            <v>-0.204473452523388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F0C0-2A7C-4C85-9CE9-8A6E74B5B9EF}">
  <sheetPr>
    <tabColor theme="1"/>
  </sheetPr>
  <dimension ref="A1:CG68"/>
  <sheetViews>
    <sheetView topLeftCell="B1" workbookViewId="0">
      <pane ySplit="18" topLeftCell="A64" activePane="bottomLeft" state="frozen"/>
      <selection pane="bottomLeft" activeCell="G61" sqref="G61"/>
    </sheetView>
  </sheetViews>
  <sheetFormatPr defaultRowHeight="15" x14ac:dyDescent="0.25"/>
  <cols>
    <col min="1" max="1" width="5" style="4" customWidth="1"/>
    <col min="2" max="2" width="5.140625" style="66" customWidth="1"/>
    <col min="3" max="3" width="16.42578125" customWidth="1"/>
    <col min="6" max="6" width="8.42578125" bestFit="1" customWidth="1"/>
    <col min="8" max="8" width="10.140625" bestFit="1" customWidth="1"/>
    <col min="10" max="10" width="10" customWidth="1"/>
    <col min="14" max="14" width="5.7109375" customWidth="1"/>
    <col min="15" max="15" width="14.5703125" customWidth="1"/>
    <col min="22" max="22" width="10.140625" customWidth="1"/>
    <col min="26" max="26" width="5.5703125" customWidth="1"/>
    <col min="27" max="27" width="11.7109375" customWidth="1"/>
    <col min="34" max="34" width="10" customWidth="1"/>
    <col min="46" max="46" width="9.85546875" customWidth="1"/>
    <col min="58" max="58" width="9.7109375" customWidth="1"/>
    <col min="70" max="70" width="9.85546875" customWidth="1"/>
    <col min="82" max="82" width="10" customWidth="1"/>
  </cols>
  <sheetData>
    <row r="1" spans="1:85" x14ac:dyDescent="0.25">
      <c r="C1" s="63" t="s">
        <v>72</v>
      </c>
      <c r="D1" s="19">
        <v>0</v>
      </c>
      <c r="E1" s="4"/>
      <c r="O1" s="62" t="s">
        <v>85</v>
      </c>
      <c r="P1" s="19">
        <v>0</v>
      </c>
      <c r="Q1" s="4"/>
      <c r="AA1" s="62" t="s">
        <v>87</v>
      </c>
      <c r="AB1" s="19">
        <v>0</v>
      </c>
      <c r="AC1" s="4"/>
      <c r="AM1" s="62" t="s">
        <v>92</v>
      </c>
      <c r="AN1" s="19">
        <v>0</v>
      </c>
      <c r="AO1" s="4"/>
      <c r="AY1" s="62" t="s">
        <v>93</v>
      </c>
      <c r="AZ1" s="19">
        <v>0</v>
      </c>
      <c r="BA1" s="4"/>
      <c r="BK1" s="62" t="s">
        <v>94</v>
      </c>
      <c r="BL1" s="19">
        <v>0</v>
      </c>
      <c r="BM1" s="4"/>
      <c r="BW1" s="62" t="s">
        <v>95</v>
      </c>
      <c r="BX1" s="19">
        <v>0</v>
      </c>
      <c r="BY1" s="4"/>
    </row>
    <row r="2" spans="1:85" x14ac:dyDescent="0.25">
      <c r="C2" s="4"/>
      <c r="D2" s="4"/>
      <c r="E2" s="4"/>
      <c r="O2" s="62"/>
      <c r="P2" s="4"/>
      <c r="Q2" s="4"/>
      <c r="AA2" s="4"/>
      <c r="AB2" s="4"/>
      <c r="AC2" s="4"/>
      <c r="AM2" s="4"/>
      <c r="AN2" s="4"/>
      <c r="AO2" s="4"/>
      <c r="AY2" s="4"/>
      <c r="AZ2" s="4"/>
      <c r="BA2" s="4"/>
      <c r="BK2" s="4"/>
      <c r="BL2" s="4"/>
      <c r="BM2" s="4"/>
      <c r="BW2" s="4"/>
      <c r="BX2" s="4"/>
      <c r="BY2" s="4"/>
    </row>
    <row r="3" spans="1:85" x14ac:dyDescent="0.25">
      <c r="C3" s="4"/>
      <c r="D3" s="4" t="s">
        <v>69</v>
      </c>
      <c r="E3" s="4" t="s">
        <v>70</v>
      </c>
      <c r="O3" s="62"/>
      <c r="P3" s="4" t="s">
        <v>69</v>
      </c>
      <c r="Q3" s="4" t="s">
        <v>70</v>
      </c>
      <c r="AA3" s="4"/>
      <c r="AB3" s="4" t="s">
        <v>69</v>
      </c>
      <c r="AC3" s="4" t="s">
        <v>70</v>
      </c>
      <c r="AM3" s="4"/>
      <c r="AN3" s="4" t="s">
        <v>69</v>
      </c>
      <c r="AO3" s="4" t="s">
        <v>70</v>
      </c>
      <c r="AY3" s="4"/>
      <c r="AZ3" s="4" t="s">
        <v>69</v>
      </c>
      <c r="BA3" s="4" t="s">
        <v>70</v>
      </c>
      <c r="BK3" s="4"/>
      <c r="BL3" s="4" t="s">
        <v>69</v>
      </c>
      <c r="BM3" s="4" t="s">
        <v>70</v>
      </c>
      <c r="BW3" s="4"/>
      <c r="BX3" s="4" t="s">
        <v>69</v>
      </c>
      <c r="BY3" s="4" t="s">
        <v>70</v>
      </c>
    </row>
    <row r="4" spans="1:85" x14ac:dyDescent="0.25">
      <c r="C4" s="62" t="s">
        <v>91</v>
      </c>
      <c r="D4" s="20">
        <f>[1]EscortKids!$G12</f>
        <v>-0.14986892900823967</v>
      </c>
      <c r="E4" s="20">
        <f>MIN(K17,0)</f>
        <v>-0.14986892900823967</v>
      </c>
      <c r="O4" s="62" t="s">
        <v>91</v>
      </c>
      <c r="P4" s="20">
        <f>[1]Shopping!$G12</f>
        <v>0</v>
      </c>
      <c r="Q4" s="20">
        <f>MIN(W17,0)</f>
        <v>0</v>
      </c>
      <c r="AA4" s="62" t="s">
        <v>91</v>
      </c>
      <c r="AB4" s="20">
        <f>[1]OthMaint!$G12</f>
        <v>0</v>
      </c>
      <c r="AC4" s="20">
        <f>MIN(AI17,0)</f>
        <v>0</v>
      </c>
      <c r="AM4" s="62" t="s">
        <v>91</v>
      </c>
      <c r="AN4" s="20">
        <f>[1]EatOut!$G12</f>
        <v>-0.56088406404174651</v>
      </c>
      <c r="AO4" s="20">
        <f>MIN(AU17,0)</f>
        <v>-0.56088406404174651</v>
      </c>
      <c r="AY4" s="62" t="s">
        <v>91</v>
      </c>
      <c r="AZ4" s="20">
        <f>[1]Social!$G12</f>
        <v>-0.78413579510767972</v>
      </c>
      <c r="BA4" s="20">
        <f>MIN(BG17,0)</f>
        <v>-0.78413579510767972</v>
      </c>
      <c r="BK4" s="62" t="s">
        <v>91</v>
      </c>
      <c r="BL4" s="20">
        <f>[1]OthDiscr!$G12</f>
        <v>-0.16770688910210765</v>
      </c>
      <c r="BM4" s="20">
        <f>MIN(BS17,0)</f>
        <v>-0.16770688910210765</v>
      </c>
      <c r="BW4" s="62" t="s">
        <v>91</v>
      </c>
      <c r="BX4" s="20">
        <f>[1]WorkBased!$G12</f>
        <v>-0.7925675882562816</v>
      </c>
      <c r="BY4" s="20">
        <f>MIN(CE17,0)</f>
        <v>-0.7925675882562816</v>
      </c>
    </row>
    <row r="5" spans="1:85" x14ac:dyDescent="0.25">
      <c r="C5" s="62" t="s">
        <v>90</v>
      </c>
      <c r="D5" s="20">
        <f>[1]EscortKids!$G13</f>
        <v>-0.14986892900823967</v>
      </c>
      <c r="E5" s="20">
        <f>MIN(K18-K17,0)</f>
        <v>-0.14986892900823967</v>
      </c>
      <c r="O5" s="62" t="s">
        <v>90</v>
      </c>
      <c r="P5" s="20">
        <f>[1]Shopping!$G13</f>
        <v>0</v>
      </c>
      <c r="Q5" s="20">
        <f>MIN(W18-W17,0)</f>
        <v>0</v>
      </c>
      <c r="AA5" s="62" t="s">
        <v>90</v>
      </c>
      <c r="AB5" s="20">
        <f>[1]OthMaint!$G13</f>
        <v>0</v>
      </c>
      <c r="AC5" s="20">
        <f>MIN(AI18-AI17,0)</f>
        <v>0</v>
      </c>
      <c r="AM5" s="62" t="s">
        <v>90</v>
      </c>
      <c r="AN5" s="20">
        <f>[1]EatOut!$G13</f>
        <v>-0.56088406404174651</v>
      </c>
      <c r="AO5" s="20">
        <f>MIN(AU18-AU17,0)</f>
        <v>-0.56088406404174651</v>
      </c>
      <c r="AY5" s="62" t="s">
        <v>90</v>
      </c>
      <c r="AZ5" s="20">
        <f>[1]Social!$G13</f>
        <v>-0.78413579510767972</v>
      </c>
      <c r="BA5" s="20">
        <f>MIN(BG18-BG17,0)</f>
        <v>-0.78413579510767972</v>
      </c>
      <c r="BK5" s="62" t="s">
        <v>90</v>
      </c>
      <c r="BL5" s="20">
        <f>[1]OthDiscr!$G13</f>
        <v>-0.16770688910210765</v>
      </c>
      <c r="BM5" s="20">
        <f>MIN(BS18-BS17,0)</f>
        <v>-0.16770688910210765</v>
      </c>
      <c r="BW5" s="62" t="s">
        <v>90</v>
      </c>
      <c r="BX5" s="20">
        <f>[1]WorkBased!$G13</f>
        <v>-0.7925675882562816</v>
      </c>
      <c r="BY5" s="20">
        <f>MIN(CE18-CE17,0)</f>
        <v>-0.7925675882562816</v>
      </c>
    </row>
    <row r="6" spans="1:85" x14ac:dyDescent="0.25">
      <c r="C6" s="62" t="s">
        <v>89</v>
      </c>
      <c r="D6" s="20">
        <f>[1]EscortKids!$G14</f>
        <v>-0.86713092904123756</v>
      </c>
      <c r="E6" s="20">
        <f>MIN((K21-K18)/3,0)</f>
        <v>-0.86713092904123756</v>
      </c>
      <c r="O6" s="62" t="s">
        <v>89</v>
      </c>
      <c r="P6" s="20">
        <f>[1]Shopping!$G14</f>
        <v>-0.56554370538783028</v>
      </c>
      <c r="Q6" s="20">
        <f>MIN((W21-W18)/3,0)</f>
        <v>-0.56554370538783028</v>
      </c>
      <c r="AA6" s="62" t="s">
        <v>89</v>
      </c>
      <c r="AB6" s="20">
        <f>[1]OthMaint!$G14</f>
        <v>-0.60549817274913609</v>
      </c>
      <c r="AC6" s="20">
        <f>MIN((AI21-AI18)/3,0)</f>
        <v>-0.60549817274913609</v>
      </c>
      <c r="AM6" s="62" t="s">
        <v>89</v>
      </c>
      <c r="AN6" s="20">
        <f>[1]EatOut!$G14</f>
        <v>-0.31917050338493835</v>
      </c>
      <c r="AO6" s="20">
        <f>MIN((AU21-AU18)/3,0)</f>
        <v>-0.31917050338493835</v>
      </c>
      <c r="AY6" s="62" t="s">
        <v>89</v>
      </c>
      <c r="AZ6" s="20">
        <f>[1]Social!$G14</f>
        <v>-0.34846404219197241</v>
      </c>
      <c r="BA6" s="20">
        <f>MIN((BG21-BG18)/3,0)</f>
        <v>-0.34846404219197247</v>
      </c>
      <c r="BK6" s="62" t="s">
        <v>89</v>
      </c>
      <c r="BL6" s="20">
        <f>[1]OthDiscr!$G14</f>
        <v>-0.49549320005603059</v>
      </c>
      <c r="BM6" s="20">
        <f>MIN((BS21-BS18)/3,0)</f>
        <v>-0.49549320005603059</v>
      </c>
      <c r="BW6" s="62" t="s">
        <v>89</v>
      </c>
      <c r="BX6" s="20">
        <f>[1]WorkBased!$G14</f>
        <v>-0.51970902452587597</v>
      </c>
      <c r="BY6" s="20">
        <f>MIN((CE21-CE18)/3,0)</f>
        <v>-0.51970902452587608</v>
      </c>
    </row>
    <row r="7" spans="1:85" x14ac:dyDescent="0.25">
      <c r="C7" s="62" t="s">
        <v>88</v>
      </c>
      <c r="D7" s="20">
        <f>[1]EscortKids!$G15</f>
        <v>-0.21370826062045101</v>
      </c>
      <c r="E7" s="20">
        <f>MIN((K31-K21)/10,0)</f>
        <v>-0.21370826062045101</v>
      </c>
      <c r="O7" s="62" t="s">
        <v>88</v>
      </c>
      <c r="P7" s="20">
        <f>[1]Shopping!$G15</f>
        <v>-0.18324871283782601</v>
      </c>
      <c r="Q7" s="20">
        <f>MIN((W31-W21)/10,0)</f>
        <v>-0.18324871283782596</v>
      </c>
      <c r="AA7" s="62" t="s">
        <v>88</v>
      </c>
      <c r="AB7" s="20">
        <f>[1]OthMaint!$G15</f>
        <v>-0.10927638842708701</v>
      </c>
      <c r="AC7" s="20">
        <f>MIN((AI31-AI21)/10,0)</f>
        <v>-0.10927638842708691</v>
      </c>
      <c r="AM7" s="62" t="s">
        <v>88</v>
      </c>
      <c r="AN7" s="20">
        <f>[1]EatOut!$G15</f>
        <v>-0.123766678676451</v>
      </c>
      <c r="AO7" s="20">
        <f>MIN((AU31-AU21)/10,0)</f>
        <v>-0.12376667867645086</v>
      </c>
      <c r="AY7" s="62" t="s">
        <v>88</v>
      </c>
      <c r="AZ7" s="20">
        <f>[1]Social!$G15</f>
        <v>-0.13060067927808</v>
      </c>
      <c r="BA7" s="20">
        <f>MIN((BG31-BG21)/10,0)</f>
        <v>-0.13060067927807983</v>
      </c>
      <c r="BK7" s="62" t="s">
        <v>88</v>
      </c>
      <c r="BL7" s="20">
        <f>[1]OthDiscr!$G15</f>
        <v>-0.119295888721189</v>
      </c>
      <c r="BM7" s="20">
        <f>MIN((BS31-BS21)/10,0)</f>
        <v>-0.11929588872118883</v>
      </c>
      <c r="BW7" s="62" t="s">
        <v>88</v>
      </c>
      <c r="BX7" s="20">
        <f>[1]WorkBased!$G15</f>
        <v>-0.204473452523388</v>
      </c>
      <c r="BY7" s="20">
        <f>MIN((CE31-CE21)/10,0)</f>
        <v>-0.20447345252338778</v>
      </c>
    </row>
    <row r="8" spans="1:85" x14ac:dyDescent="0.25">
      <c r="C8" s="62" t="s">
        <v>71</v>
      </c>
      <c r="D8" s="20">
        <f>[1]EscortKids!$G16</f>
        <v>-0.21370826062045101</v>
      </c>
      <c r="E8" s="20">
        <f>MIN((K46-K31)/15,0)</f>
        <v>-0.21370826062045095</v>
      </c>
      <c r="O8" s="62" t="s">
        <v>71</v>
      </c>
      <c r="P8" s="20">
        <f>[1]Shopping!$G16</f>
        <v>-0.18324871283782601</v>
      </c>
      <c r="Q8" s="20">
        <f>MIN((W46-W31)/15,0)</f>
        <v>-0.18324871283782598</v>
      </c>
      <c r="AA8" s="62" t="s">
        <v>71</v>
      </c>
      <c r="AB8" s="20">
        <f>[1]OthMaint!$G16</f>
        <v>-0.10927638842708701</v>
      </c>
      <c r="AC8" s="20">
        <f>MIN((AI46-AI31)/15,0)</f>
        <v>-0.10927638842708705</v>
      </c>
      <c r="AM8" s="62" t="s">
        <v>71</v>
      </c>
      <c r="AN8" s="20">
        <f>[1]EatOut!$G16</f>
        <v>-0.123766678676451</v>
      </c>
      <c r="AO8" s="20">
        <f>MIN((AU46-AU31)/15,0)</f>
        <v>-0.12376667867645086</v>
      </c>
      <c r="AY8" s="62" t="s">
        <v>71</v>
      </c>
      <c r="AZ8" s="20">
        <f>[1]Social!$G16</f>
        <v>-0.13060067927808</v>
      </c>
      <c r="BA8" s="20">
        <f>MIN((BG46-BG31)/15,0)</f>
        <v>-0.13060067927808028</v>
      </c>
      <c r="BK8" s="62" t="s">
        <v>71</v>
      </c>
      <c r="BL8" s="20">
        <f>[1]OthDiscr!$G16</f>
        <v>-0.119295888721189</v>
      </c>
      <c r="BM8" s="20">
        <f>MIN((BS46-BS31)/15,0)</f>
        <v>-0.11929588872118897</v>
      </c>
      <c r="BW8" s="62" t="s">
        <v>71</v>
      </c>
      <c r="BX8" s="20">
        <f>[1]WorkBased!$G16</f>
        <v>-0.204473452523388</v>
      </c>
      <c r="BY8" s="20">
        <f>MIN((CE46-CE31)/15,0)</f>
        <v>-0.20447345252338778</v>
      </c>
    </row>
    <row r="9" spans="1:85" x14ac:dyDescent="0.25">
      <c r="C9" s="62"/>
      <c r="D9" s="20"/>
      <c r="E9" s="20"/>
      <c r="O9" s="62"/>
      <c r="P9" s="20"/>
      <c r="Q9" s="20"/>
      <c r="AA9" s="62"/>
      <c r="AB9" s="20"/>
      <c r="AC9" s="20"/>
      <c r="AM9" s="62"/>
      <c r="AN9" s="20"/>
      <c r="AO9" s="20"/>
      <c r="AY9" s="62"/>
      <c r="AZ9" s="20"/>
      <c r="BA9" s="20"/>
      <c r="BK9" s="62"/>
      <c r="BL9" s="20"/>
      <c r="BM9" s="20"/>
      <c r="BW9" s="62"/>
      <c r="BX9" s="20"/>
      <c r="BY9" s="20"/>
    </row>
    <row r="10" spans="1:85" x14ac:dyDescent="0.25">
      <c r="C10" s="4"/>
      <c r="D10" s="20"/>
      <c r="E10" s="20"/>
    </row>
    <row r="11" spans="1:85" x14ac:dyDescent="0.25">
      <c r="C11" s="59" t="s">
        <v>55</v>
      </c>
      <c r="D11" s="60"/>
      <c r="E11" s="60"/>
      <c r="F11" s="61"/>
      <c r="G11" s="61"/>
      <c r="H11" s="61"/>
      <c r="I11" s="61"/>
      <c r="J11" s="61"/>
      <c r="K11" s="61"/>
      <c r="L11" s="61"/>
      <c r="M11" s="61"/>
      <c r="O11" s="59" t="s">
        <v>86</v>
      </c>
      <c r="P11" s="60"/>
      <c r="Q11" s="60"/>
      <c r="R11" s="61"/>
      <c r="S11" s="61"/>
      <c r="T11" s="61"/>
      <c r="U11" s="61"/>
      <c r="V11" s="61"/>
      <c r="W11" s="61"/>
      <c r="X11" s="61"/>
      <c r="Y11" s="61"/>
      <c r="AA11" s="59" t="s">
        <v>57</v>
      </c>
      <c r="AB11" s="60"/>
      <c r="AC11" s="60"/>
      <c r="AD11" s="61"/>
      <c r="AE11" s="61"/>
      <c r="AF11" s="61"/>
      <c r="AG11" s="61"/>
      <c r="AH11" s="61"/>
      <c r="AI11" s="61"/>
      <c r="AJ11" s="61"/>
      <c r="AK11" s="61"/>
      <c r="AM11" s="59" t="s">
        <v>58</v>
      </c>
      <c r="AN11" s="60"/>
      <c r="AO11" s="60"/>
      <c r="AP11" s="61"/>
      <c r="AQ11" s="61"/>
      <c r="AR11" s="61"/>
      <c r="AS11" s="61"/>
      <c r="AT11" s="61"/>
      <c r="AU11" s="61"/>
      <c r="AV11" s="61"/>
      <c r="AW11" s="61"/>
      <c r="AY11" s="59" t="s">
        <v>97</v>
      </c>
      <c r="AZ11" s="60"/>
      <c r="BA11" s="60"/>
      <c r="BB11" s="61"/>
      <c r="BC11" s="61"/>
      <c r="BD11" s="61"/>
      <c r="BE11" s="61"/>
      <c r="BF11" s="61"/>
      <c r="BG11" s="61"/>
      <c r="BH11" s="61"/>
      <c r="BI11" s="61"/>
      <c r="BK11" s="59" t="s">
        <v>56</v>
      </c>
      <c r="BL11" s="60"/>
      <c r="BM11" s="60"/>
      <c r="BN11" s="61"/>
      <c r="BO11" s="61"/>
      <c r="BP11" s="61"/>
      <c r="BQ11" s="61"/>
      <c r="BR11" s="61"/>
      <c r="BS11" s="61"/>
      <c r="BT11" s="61"/>
      <c r="BU11" s="61"/>
      <c r="BW11" s="59" t="s">
        <v>96</v>
      </c>
      <c r="BX11" s="60"/>
      <c r="BY11" s="60"/>
      <c r="BZ11" s="61"/>
      <c r="CA11" s="61"/>
      <c r="CB11" s="61"/>
      <c r="CC11" s="61"/>
      <c r="CD11" s="61"/>
      <c r="CE11" s="61"/>
      <c r="CF11" s="61"/>
      <c r="CG11" s="61"/>
    </row>
    <row r="12" spans="1:85" x14ac:dyDescent="0.25">
      <c r="C12" s="2" t="s">
        <v>52</v>
      </c>
      <c r="D12" s="1"/>
      <c r="E12" s="1"/>
      <c r="F12" s="1"/>
      <c r="O12" s="2" t="s">
        <v>52</v>
      </c>
      <c r="P12" s="1"/>
      <c r="Q12" s="1"/>
      <c r="R12" s="1"/>
      <c r="AA12" s="2" t="s">
        <v>52</v>
      </c>
      <c r="AB12" s="1"/>
      <c r="AC12" s="1"/>
      <c r="AD12" s="1"/>
      <c r="AM12" s="2" t="s">
        <v>52</v>
      </c>
      <c r="AN12" s="1"/>
      <c r="AO12" s="1"/>
      <c r="AP12" s="1"/>
      <c r="AY12" s="2" t="s">
        <v>52</v>
      </c>
      <c r="AZ12" s="1"/>
      <c r="BA12" s="1"/>
      <c r="BB12" s="1"/>
      <c r="BK12" s="2" t="s">
        <v>52</v>
      </c>
      <c r="BL12" s="1"/>
      <c r="BM12" s="1"/>
      <c r="BN12" s="1"/>
      <c r="BW12" s="2" t="s">
        <v>52</v>
      </c>
      <c r="BX12" s="1"/>
      <c r="BY12" s="1"/>
      <c r="BZ12" s="1"/>
    </row>
    <row r="13" spans="1:85" x14ac:dyDescent="0.25">
      <c r="D13" s="25"/>
      <c r="E13" s="25"/>
      <c r="F13" s="26"/>
      <c r="O13" s="25"/>
      <c r="P13" s="25"/>
      <c r="Q13" s="25"/>
      <c r="R13" s="26"/>
      <c r="AA13" s="25"/>
      <c r="AB13" s="25"/>
      <c r="AC13" s="25"/>
      <c r="AD13" s="26"/>
      <c r="AM13" s="25"/>
      <c r="AN13" s="25"/>
      <c r="AO13" s="25"/>
      <c r="AP13" s="26"/>
      <c r="AY13" s="25"/>
      <c r="AZ13" s="25"/>
      <c r="BA13" s="25"/>
      <c r="BB13" s="26"/>
      <c r="BK13" s="25"/>
      <c r="BL13" s="25"/>
      <c r="BM13" s="25"/>
      <c r="BN13" s="26"/>
      <c r="BW13" s="25"/>
      <c r="BX13" s="25"/>
      <c r="BY13" s="25"/>
      <c r="BZ13" s="26"/>
    </row>
    <row r="14" spans="1:85" x14ac:dyDescent="0.25">
      <c r="C14" s="3"/>
      <c r="D14" s="103" t="s">
        <v>73</v>
      </c>
      <c r="E14" s="104"/>
      <c r="F14" s="105" t="s">
        <v>76</v>
      </c>
      <c r="G14" s="105"/>
      <c r="H14" s="102"/>
      <c r="I14" s="101" t="s">
        <v>80</v>
      </c>
      <c r="J14" s="102"/>
      <c r="K14" s="27" t="s">
        <v>83</v>
      </c>
      <c r="L14" s="101" t="s">
        <v>84</v>
      </c>
      <c r="M14" s="102"/>
      <c r="O14" s="3"/>
      <c r="P14" s="103" t="s">
        <v>73</v>
      </c>
      <c r="Q14" s="104"/>
      <c r="R14" s="105" t="s">
        <v>76</v>
      </c>
      <c r="S14" s="105"/>
      <c r="T14" s="102"/>
      <c r="U14" s="101" t="s">
        <v>80</v>
      </c>
      <c r="V14" s="102"/>
      <c r="W14" s="27" t="s">
        <v>83</v>
      </c>
      <c r="X14" s="101" t="s">
        <v>84</v>
      </c>
      <c r="Y14" s="102"/>
      <c r="AA14" s="3"/>
      <c r="AB14" s="103" t="s">
        <v>73</v>
      </c>
      <c r="AC14" s="104"/>
      <c r="AD14" s="105" t="s">
        <v>76</v>
      </c>
      <c r="AE14" s="105"/>
      <c r="AF14" s="102"/>
      <c r="AG14" s="101" t="s">
        <v>80</v>
      </c>
      <c r="AH14" s="102"/>
      <c r="AI14" s="27" t="s">
        <v>83</v>
      </c>
      <c r="AJ14" s="101" t="s">
        <v>84</v>
      </c>
      <c r="AK14" s="102"/>
      <c r="AM14" s="3"/>
      <c r="AN14" s="103" t="s">
        <v>73</v>
      </c>
      <c r="AO14" s="104"/>
      <c r="AP14" s="105" t="s">
        <v>76</v>
      </c>
      <c r="AQ14" s="105"/>
      <c r="AR14" s="102"/>
      <c r="AS14" s="101" t="s">
        <v>80</v>
      </c>
      <c r="AT14" s="102"/>
      <c r="AU14" s="27" t="s">
        <v>83</v>
      </c>
      <c r="AV14" s="101" t="s">
        <v>84</v>
      </c>
      <c r="AW14" s="102"/>
      <c r="AY14" s="3"/>
      <c r="AZ14" s="103" t="s">
        <v>73</v>
      </c>
      <c r="BA14" s="104"/>
      <c r="BB14" s="105" t="s">
        <v>76</v>
      </c>
      <c r="BC14" s="105"/>
      <c r="BD14" s="102"/>
      <c r="BE14" s="101" t="s">
        <v>80</v>
      </c>
      <c r="BF14" s="102"/>
      <c r="BG14" s="27" t="s">
        <v>83</v>
      </c>
      <c r="BH14" s="101" t="s">
        <v>84</v>
      </c>
      <c r="BI14" s="102"/>
      <c r="BK14" s="3"/>
      <c r="BL14" s="103" t="s">
        <v>73</v>
      </c>
      <c r="BM14" s="104"/>
      <c r="BN14" s="105" t="s">
        <v>76</v>
      </c>
      <c r="BO14" s="105"/>
      <c r="BP14" s="102"/>
      <c r="BQ14" s="101" t="s">
        <v>80</v>
      </c>
      <c r="BR14" s="102"/>
      <c r="BS14" s="27" t="s">
        <v>83</v>
      </c>
      <c r="BT14" s="101" t="s">
        <v>84</v>
      </c>
      <c r="BU14" s="102"/>
      <c r="BW14" s="3"/>
      <c r="BX14" s="103" t="s">
        <v>73</v>
      </c>
      <c r="BY14" s="104"/>
      <c r="BZ14" s="105" t="s">
        <v>76</v>
      </c>
      <c r="CA14" s="105"/>
      <c r="CB14" s="102"/>
      <c r="CC14" s="101" t="s">
        <v>80</v>
      </c>
      <c r="CD14" s="102"/>
      <c r="CE14" s="27" t="s">
        <v>83</v>
      </c>
      <c r="CF14" s="101" t="s">
        <v>84</v>
      </c>
      <c r="CG14" s="102"/>
    </row>
    <row r="15" spans="1:85" ht="26.25" x14ac:dyDescent="0.25">
      <c r="A15" s="80" t="s">
        <v>99</v>
      </c>
      <c r="B15" s="82" t="s">
        <v>100</v>
      </c>
      <c r="C15" s="5" t="s">
        <v>0</v>
      </c>
      <c r="D15" s="31" t="s">
        <v>74</v>
      </c>
      <c r="E15" s="42" t="s">
        <v>75</v>
      </c>
      <c r="F15" s="32" t="s">
        <v>77</v>
      </c>
      <c r="G15" s="32" t="s">
        <v>78</v>
      </c>
      <c r="H15" s="33" t="s">
        <v>79</v>
      </c>
      <c r="I15" s="28" t="s">
        <v>81</v>
      </c>
      <c r="J15" s="29" t="s">
        <v>82</v>
      </c>
      <c r="K15" s="30" t="s">
        <v>75</v>
      </c>
      <c r="L15" s="28" t="s">
        <v>74</v>
      </c>
      <c r="M15" s="29" t="s">
        <v>75</v>
      </c>
      <c r="O15" s="5" t="s">
        <v>0</v>
      </c>
      <c r="P15" s="31" t="s">
        <v>74</v>
      </c>
      <c r="Q15" s="42" t="s">
        <v>75</v>
      </c>
      <c r="R15" s="32" t="s">
        <v>77</v>
      </c>
      <c r="S15" s="32" t="s">
        <v>78</v>
      </c>
      <c r="T15" s="33" t="s">
        <v>79</v>
      </c>
      <c r="U15" s="28" t="s">
        <v>81</v>
      </c>
      <c r="V15" s="29" t="s">
        <v>82</v>
      </c>
      <c r="W15" s="30" t="s">
        <v>75</v>
      </c>
      <c r="X15" s="28" t="s">
        <v>74</v>
      </c>
      <c r="Y15" s="29" t="s">
        <v>75</v>
      </c>
      <c r="AA15" s="5" t="s">
        <v>0</v>
      </c>
      <c r="AB15" s="31" t="s">
        <v>74</v>
      </c>
      <c r="AC15" s="42" t="s">
        <v>75</v>
      </c>
      <c r="AD15" s="32" t="s">
        <v>77</v>
      </c>
      <c r="AE15" s="32" t="s">
        <v>78</v>
      </c>
      <c r="AF15" s="33" t="s">
        <v>79</v>
      </c>
      <c r="AG15" s="28" t="s">
        <v>81</v>
      </c>
      <c r="AH15" s="29" t="s">
        <v>82</v>
      </c>
      <c r="AI15" s="30" t="s">
        <v>75</v>
      </c>
      <c r="AJ15" s="28" t="s">
        <v>74</v>
      </c>
      <c r="AK15" s="29" t="s">
        <v>75</v>
      </c>
      <c r="AM15" s="5" t="s">
        <v>0</v>
      </c>
      <c r="AN15" s="31" t="s">
        <v>74</v>
      </c>
      <c r="AO15" s="42" t="s">
        <v>75</v>
      </c>
      <c r="AP15" s="32" t="s">
        <v>77</v>
      </c>
      <c r="AQ15" s="32" t="s">
        <v>78</v>
      </c>
      <c r="AR15" s="33" t="s">
        <v>79</v>
      </c>
      <c r="AS15" s="28" t="s">
        <v>81</v>
      </c>
      <c r="AT15" s="29" t="s">
        <v>82</v>
      </c>
      <c r="AU15" s="30" t="s">
        <v>75</v>
      </c>
      <c r="AV15" s="28" t="s">
        <v>74</v>
      </c>
      <c r="AW15" s="29" t="s">
        <v>75</v>
      </c>
      <c r="AY15" s="5" t="s">
        <v>0</v>
      </c>
      <c r="AZ15" s="31" t="s">
        <v>74</v>
      </c>
      <c r="BA15" s="42" t="s">
        <v>75</v>
      </c>
      <c r="BB15" s="32" t="s">
        <v>77</v>
      </c>
      <c r="BC15" s="32" t="s">
        <v>78</v>
      </c>
      <c r="BD15" s="33" t="s">
        <v>79</v>
      </c>
      <c r="BE15" s="28" t="s">
        <v>81</v>
      </c>
      <c r="BF15" s="29" t="s">
        <v>82</v>
      </c>
      <c r="BG15" s="30" t="s">
        <v>75</v>
      </c>
      <c r="BH15" s="28" t="s">
        <v>74</v>
      </c>
      <c r="BI15" s="29" t="s">
        <v>75</v>
      </c>
      <c r="BK15" s="5" t="s">
        <v>0</v>
      </c>
      <c r="BL15" s="31" t="s">
        <v>74</v>
      </c>
      <c r="BM15" s="42" t="s">
        <v>75</v>
      </c>
      <c r="BN15" s="32" t="s">
        <v>77</v>
      </c>
      <c r="BO15" s="32" t="s">
        <v>78</v>
      </c>
      <c r="BP15" s="33" t="s">
        <v>79</v>
      </c>
      <c r="BQ15" s="28" t="s">
        <v>81</v>
      </c>
      <c r="BR15" s="29" t="s">
        <v>82</v>
      </c>
      <c r="BS15" s="30" t="s">
        <v>75</v>
      </c>
      <c r="BT15" s="28" t="s">
        <v>74</v>
      </c>
      <c r="BU15" s="29" t="s">
        <v>75</v>
      </c>
      <c r="BW15" s="5" t="s">
        <v>0</v>
      </c>
      <c r="BX15" s="31" t="s">
        <v>74</v>
      </c>
      <c r="BY15" s="42" t="s">
        <v>75</v>
      </c>
      <c r="BZ15" s="32" t="s">
        <v>77</v>
      </c>
      <c r="CA15" s="32" t="s">
        <v>78</v>
      </c>
      <c r="CB15" s="33" t="s">
        <v>79</v>
      </c>
      <c r="CC15" s="28" t="s">
        <v>81</v>
      </c>
      <c r="CD15" s="29" t="s">
        <v>82</v>
      </c>
      <c r="CE15" s="30" t="s">
        <v>75</v>
      </c>
      <c r="CF15" s="28" t="s">
        <v>74</v>
      </c>
      <c r="CG15" s="29" t="s">
        <v>75</v>
      </c>
    </row>
    <row r="16" spans="1:85" x14ac:dyDescent="0.25">
      <c r="A16" s="81">
        <v>0.5</v>
      </c>
      <c r="B16" s="83">
        <v>0</v>
      </c>
      <c r="C16" s="37" t="s">
        <v>1</v>
      </c>
      <c r="D16" s="21">
        <f>D4</f>
        <v>-0.14986892900823967</v>
      </c>
      <c r="E16" s="23">
        <v>0</v>
      </c>
      <c r="F16" s="34">
        <f>MAX('BATS 2023 TLFD'!M4,0.0001)</f>
        <v>0.1685390026260277</v>
      </c>
      <c r="G16" s="43">
        <f>modeldata!B4/modeldata!B$156</f>
        <v>6.6666666666666671E-3</v>
      </c>
      <c r="H16" s="46">
        <f>IF(F16&gt;0,(G16-F16)/F16,"")</f>
        <v>-0.96044436858654392</v>
      </c>
      <c r="I16" s="49">
        <f t="shared" ref="I16:I47" si="0">damp_escort*LN(F16/G16)</f>
        <v>0</v>
      </c>
      <c r="J16" s="50">
        <f t="shared" ref="J16:J66" si="1">I16-I$16</f>
        <v>0</v>
      </c>
      <c r="K16" s="51">
        <f t="shared" ref="K16:K66" si="2">SUM(E16,J16)</f>
        <v>0</v>
      </c>
      <c r="L16" s="52">
        <f>E4</f>
        <v>-0.14986892900823967</v>
      </c>
      <c r="M16" s="84">
        <v>0</v>
      </c>
      <c r="O16" s="37" t="s">
        <v>1</v>
      </c>
      <c r="P16" s="21">
        <f>P4</f>
        <v>0</v>
      </c>
      <c r="Q16" s="23">
        <v>0</v>
      </c>
      <c r="R16" s="34">
        <f>MAX('BATS 2023 TLFD'!N4,0.0001)</f>
        <v>0.13055947675143242</v>
      </c>
      <c r="S16" s="43">
        <f>modeldata!C4/modeldata!C$156</f>
        <v>6.6666666666666671E-3</v>
      </c>
      <c r="T16" s="46">
        <f>IF(R16&gt;0,(S16-R16)/R16,"")</f>
        <v>-0.94893770385309451</v>
      </c>
      <c r="U16" s="49">
        <f t="shared" ref="U16:U47" si="3">damp_shopping*LN(R16/S16)</f>
        <v>0</v>
      </c>
      <c r="V16" s="50">
        <f t="shared" ref="V16:V66" si="4">U16-U$16</f>
        <v>0</v>
      </c>
      <c r="W16" s="51">
        <f t="shared" ref="W16:W66" si="5">SUM(Q16,V16)</f>
        <v>0</v>
      </c>
      <c r="X16" s="52">
        <f>Q4</f>
        <v>0</v>
      </c>
      <c r="Y16" s="84">
        <v>0</v>
      </c>
      <c r="AA16" s="37" t="s">
        <v>1</v>
      </c>
      <c r="AB16" s="21">
        <f>AB4</f>
        <v>0</v>
      </c>
      <c r="AC16" s="23">
        <v>0</v>
      </c>
      <c r="AD16" s="34">
        <f>MAX('BATS 2023 TLFD'!O4,0.0001)</f>
        <v>0.10740872532779798</v>
      </c>
      <c r="AE16" s="43">
        <f>modeldata!D4/modeldata!D$156</f>
        <v>6.6666666666666671E-3</v>
      </c>
      <c r="AF16" s="46">
        <f>IF(AD16&gt;0,(AE16-AD16)/AD16,"")</f>
        <v>-0.93793179607782484</v>
      </c>
      <c r="AG16" s="49">
        <f t="shared" ref="AG16:AG47" si="6">damp_maint*LN(AD16/AE16)</f>
        <v>0</v>
      </c>
      <c r="AH16" s="50">
        <f t="shared" ref="AH16:AH66" si="7">AG16-AG$16</f>
        <v>0</v>
      </c>
      <c r="AI16" s="51">
        <f t="shared" ref="AI16:AI66" si="8">SUM(AC16,AH16)</f>
        <v>0</v>
      </c>
      <c r="AJ16" s="52">
        <f>AC4</f>
        <v>0</v>
      </c>
      <c r="AK16" s="84">
        <v>0</v>
      </c>
      <c r="AM16" s="37" t="s">
        <v>1</v>
      </c>
      <c r="AN16" s="21">
        <f>AN4</f>
        <v>-0.56088406404174651</v>
      </c>
      <c r="AO16" s="23">
        <v>0</v>
      </c>
      <c r="AP16" s="34">
        <f>MAX('BATS 2023 TLFD'!P4,0.0001)</f>
        <v>0.28524207294816828</v>
      </c>
      <c r="AQ16" s="43">
        <f>modeldata!E4/modeldata!E$156</f>
        <v>6.6666666666666671E-3</v>
      </c>
      <c r="AR16" s="46">
        <f>IF(AP16&gt;0,(AQ16-AP16)/AP16,"")</f>
        <v>-0.97662803878206961</v>
      </c>
      <c r="AS16" s="49">
        <f t="shared" ref="AS16:AS47" si="9">damp_eatout*LN(AP16/AQ16)</f>
        <v>0</v>
      </c>
      <c r="AT16" s="50">
        <f t="shared" ref="AT16:AT66" si="10">AS16-AS$16</f>
        <v>0</v>
      </c>
      <c r="AU16" s="51">
        <f t="shared" ref="AU16:AU66" si="11">SUM(AO16,AT16)</f>
        <v>0</v>
      </c>
      <c r="AV16" s="52">
        <f>AO4</f>
        <v>-0.56088406404174651</v>
      </c>
      <c r="AW16" s="84">
        <v>0</v>
      </c>
      <c r="AY16" s="37" t="s">
        <v>1</v>
      </c>
      <c r="AZ16" s="21">
        <f>AZ4</f>
        <v>-0.78413579510767972</v>
      </c>
      <c r="BA16" s="23">
        <v>0</v>
      </c>
      <c r="BB16" s="34">
        <f>MAX('BATS 2023 TLFD'!Q4,0.0001)</f>
        <v>0.33176409487459135</v>
      </c>
      <c r="BC16" s="43">
        <f>modeldata!F4/modeldata!F$156</f>
        <v>6.6666666666666671E-3</v>
      </c>
      <c r="BD16" s="46">
        <f>IF(BB16&gt;0,(BC16-BB16)/BB16,"")</f>
        <v>-0.97990540034422147</v>
      </c>
      <c r="BE16" s="49">
        <f t="shared" ref="BE16:BE47" si="12">damp_social*LN(BB16/BC16)</f>
        <v>0</v>
      </c>
      <c r="BF16" s="50">
        <f t="shared" ref="BF16:BF66" si="13">BE16-BE$16</f>
        <v>0</v>
      </c>
      <c r="BG16" s="51">
        <f t="shared" ref="BG16:BG66" si="14">SUM(BA16,BF16)</f>
        <v>0</v>
      </c>
      <c r="BH16" s="52">
        <f>BA4</f>
        <v>-0.78413579510767972</v>
      </c>
      <c r="BI16" s="84">
        <v>0</v>
      </c>
      <c r="BK16" s="37" t="s">
        <v>1</v>
      </c>
      <c r="BL16" s="21">
        <f>BL4</f>
        <v>-0.16770688910210765</v>
      </c>
      <c r="BM16" s="23">
        <v>0</v>
      </c>
      <c r="BN16" s="34">
        <f>MAX('BATS 2023 TLFD'!R4,0.0001)</f>
        <v>0.18636619543268851</v>
      </c>
      <c r="BO16" s="43">
        <f>modeldata!G4/modeldata!G$156</f>
        <v>6.6666666666666671E-3</v>
      </c>
      <c r="BP16" s="46">
        <f>IF(BN16&gt;0,(BO16-BN16)/BN16,"")</f>
        <v>-0.96422813348102865</v>
      </c>
      <c r="BQ16" s="49">
        <f t="shared" ref="BQ16:BQ47" si="15">damp_discr*LN(BN16/BO16)</f>
        <v>0</v>
      </c>
      <c r="BR16" s="50">
        <f t="shared" ref="BR16:BR66" si="16">BQ16-BQ$16</f>
        <v>0</v>
      </c>
      <c r="BS16" s="51">
        <f t="shared" ref="BS16:BS66" si="17">SUM(BM16,BR16)</f>
        <v>0</v>
      </c>
      <c r="BT16" s="52">
        <f>BM4</f>
        <v>-0.16770688910210765</v>
      </c>
      <c r="BU16" s="84">
        <v>0</v>
      </c>
      <c r="BW16" s="37" t="s">
        <v>1</v>
      </c>
      <c r="BX16" s="21">
        <f>BX4</f>
        <v>-0.7925675882562816</v>
      </c>
      <c r="BY16" s="23">
        <v>0</v>
      </c>
      <c r="BZ16" s="34">
        <f>MAX('BATS 2023 TLFD'!S4,0.0001)</f>
        <v>0.37435809334206882</v>
      </c>
      <c r="CA16" s="43">
        <f>modeldata!H4/modeldata!H$156</f>
        <v>6.6666666666666671E-3</v>
      </c>
      <c r="CB16" s="46">
        <f>IF(BZ16&gt;0,(CA16-BZ16)/BZ16,"")</f>
        <v>-0.98219173891193268</v>
      </c>
      <c r="CC16" s="49">
        <f t="shared" ref="CC16:CC47" si="18">damp_atwork*LN(BZ16/CA16)</f>
        <v>0</v>
      </c>
      <c r="CD16" s="50">
        <f t="shared" ref="CD16:CD66" si="19">CC16-CC$16</f>
        <v>0</v>
      </c>
      <c r="CE16" s="51">
        <f t="shared" ref="CE16:CE66" si="20">SUM(BY16,CD16)</f>
        <v>0</v>
      </c>
      <c r="CF16" s="52">
        <f>BY4</f>
        <v>-0.7925675882562816</v>
      </c>
      <c r="CG16" s="84">
        <v>0</v>
      </c>
    </row>
    <row r="17" spans="1:85" x14ac:dyDescent="0.25">
      <c r="A17" s="81">
        <f>A16+1</f>
        <v>1.5</v>
      </c>
      <c r="B17" s="83">
        <f>B16+1</f>
        <v>1</v>
      </c>
      <c r="C17" s="38" t="s">
        <v>2</v>
      </c>
      <c r="D17" s="22">
        <f>D5</f>
        <v>-0.14986892900823967</v>
      </c>
      <c r="E17" s="24">
        <f>D16+E16</f>
        <v>-0.14986892900823967</v>
      </c>
      <c r="F17" s="35">
        <f>MAX('BATS 2023 TLFD'!M5,0.0001)</f>
        <v>0.17681499508641788</v>
      </c>
      <c r="G17" s="44">
        <f>modeldata!B5/modeldata!B$156</f>
        <v>6.6666666666666671E-3</v>
      </c>
      <c r="H17" s="47">
        <f t="shared" ref="H17:H66" si="21">IF(F17&gt;0,(G17-F17)/F17,"")</f>
        <v>-0.962295807188704</v>
      </c>
      <c r="I17" s="53">
        <f t="shared" si="0"/>
        <v>0</v>
      </c>
      <c r="J17" s="54">
        <f t="shared" si="1"/>
        <v>0</v>
      </c>
      <c r="K17" s="55">
        <f t="shared" si="2"/>
        <v>-0.14986892900823967</v>
      </c>
      <c r="L17" s="56">
        <f>E5</f>
        <v>-0.14986892900823967</v>
      </c>
      <c r="M17" s="57">
        <f>M16+L16</f>
        <v>-0.14986892900823967</v>
      </c>
      <c r="O17" s="38" t="s">
        <v>2</v>
      </c>
      <c r="P17" s="22">
        <f>P5</f>
        <v>0</v>
      </c>
      <c r="Q17" s="24">
        <f>P16+Q16</f>
        <v>0</v>
      </c>
      <c r="R17" s="35">
        <f>MAX('BATS 2023 TLFD'!N5,0.0001)</f>
        <v>0.24022260997423073</v>
      </c>
      <c r="S17" s="44">
        <f>modeldata!C5/modeldata!C$156</f>
        <v>6.6666666666666671E-3</v>
      </c>
      <c r="T17" s="47">
        <f t="shared" ref="T17:T66" si="22">IF(R17&gt;0,(S17-R17)/R17,"")</f>
        <v>-0.97224796338953356</v>
      </c>
      <c r="U17" s="53">
        <f t="shared" si="3"/>
        <v>0</v>
      </c>
      <c r="V17" s="54">
        <f t="shared" si="4"/>
        <v>0</v>
      </c>
      <c r="W17" s="55">
        <f t="shared" si="5"/>
        <v>0</v>
      </c>
      <c r="X17" s="56">
        <f>Q5</f>
        <v>0</v>
      </c>
      <c r="Y17" s="57">
        <f>Y16+X16</f>
        <v>0</v>
      </c>
      <c r="AA17" s="38" t="s">
        <v>2</v>
      </c>
      <c r="AB17" s="22">
        <f>AB5</f>
        <v>0</v>
      </c>
      <c r="AC17" s="24">
        <f>AB16+AC16</f>
        <v>0</v>
      </c>
      <c r="AD17" s="35">
        <f>MAX('BATS 2023 TLFD'!O5,0.0001)</f>
        <v>0.32310662320096883</v>
      </c>
      <c r="AE17" s="44">
        <f>modeldata!D5/modeldata!D$156</f>
        <v>6.6666666666666671E-3</v>
      </c>
      <c r="AF17" s="47">
        <f t="shared" ref="AF17:AF66" si="23">IF(AD17&gt;0,(AE17-AD17)/AD17,"")</f>
        <v>-0.97936697613740942</v>
      </c>
      <c r="AG17" s="53">
        <f t="shared" si="6"/>
        <v>0</v>
      </c>
      <c r="AH17" s="54">
        <f t="shared" si="7"/>
        <v>0</v>
      </c>
      <c r="AI17" s="55">
        <f t="shared" si="8"/>
        <v>0</v>
      </c>
      <c r="AJ17" s="56">
        <f>AC5</f>
        <v>0</v>
      </c>
      <c r="AK17" s="57">
        <f>AK16+AJ16</f>
        <v>0</v>
      </c>
      <c r="AM17" s="38" t="s">
        <v>2</v>
      </c>
      <c r="AN17" s="22">
        <f>AN5</f>
        <v>-0.56088406404174651</v>
      </c>
      <c r="AO17" s="24">
        <f>AN16+AO16</f>
        <v>-0.56088406404174651</v>
      </c>
      <c r="AP17" s="35">
        <f>MAX('BATS 2023 TLFD'!P5,0.0001)</f>
        <v>0.17701301026418248</v>
      </c>
      <c r="AQ17" s="44">
        <f>modeldata!E5/modeldata!E$156</f>
        <v>6.6666666666666671E-3</v>
      </c>
      <c r="AR17" s="47">
        <f t="shared" ref="AR17:AR66" si="24">IF(AP17&gt;0,(AQ17-AP17)/AP17,"")</f>
        <v>-0.96233798489321765</v>
      </c>
      <c r="AS17" s="53">
        <f t="shared" si="9"/>
        <v>0</v>
      </c>
      <c r="AT17" s="54">
        <f t="shared" si="10"/>
        <v>0</v>
      </c>
      <c r="AU17" s="55">
        <f t="shared" si="11"/>
        <v>-0.56088406404174651</v>
      </c>
      <c r="AV17" s="56">
        <f>AO5</f>
        <v>-0.56088406404174651</v>
      </c>
      <c r="AW17" s="57">
        <f>AW16+AV16</f>
        <v>-0.56088406404174651</v>
      </c>
      <c r="AY17" s="38" t="s">
        <v>2</v>
      </c>
      <c r="AZ17" s="22">
        <f>AZ5</f>
        <v>-0.78413579510767972</v>
      </c>
      <c r="BA17" s="24">
        <f>AZ16+BA16</f>
        <v>-0.78413579510767972</v>
      </c>
      <c r="BB17" s="35">
        <f>MAX('BATS 2023 TLFD'!Q5,0.0001)</f>
        <v>0.22994102358988056</v>
      </c>
      <c r="BC17" s="44">
        <f>modeldata!F5/modeldata!F$156</f>
        <v>6.6666666666666671E-3</v>
      </c>
      <c r="BD17" s="47">
        <f t="shared" ref="BD17:BD66" si="25">IF(BB17&gt;0,(BC17-BB17)/BB17,"")</f>
        <v>-0.9710070584074757</v>
      </c>
      <c r="BE17" s="53">
        <f t="shared" si="12"/>
        <v>0</v>
      </c>
      <c r="BF17" s="54">
        <f t="shared" si="13"/>
        <v>0</v>
      </c>
      <c r="BG17" s="55">
        <f t="shared" si="14"/>
        <v>-0.78413579510767972</v>
      </c>
      <c r="BH17" s="56">
        <f>BA5</f>
        <v>-0.78413579510767972</v>
      </c>
      <c r="BI17" s="57">
        <f>BI16+BH16</f>
        <v>-0.78413579510767972</v>
      </c>
      <c r="BK17" s="38" t="s">
        <v>2</v>
      </c>
      <c r="BL17" s="22">
        <f>BL5</f>
        <v>-0.16770688910210765</v>
      </c>
      <c r="BM17" s="24">
        <f>BL16+BM16</f>
        <v>-0.16770688910210765</v>
      </c>
      <c r="BN17" s="35">
        <f>MAX('BATS 2023 TLFD'!R5,0.0001)</f>
        <v>0.21973212524880231</v>
      </c>
      <c r="BO17" s="44">
        <f>modeldata!G5/modeldata!G$156</f>
        <v>6.6666666666666671E-3</v>
      </c>
      <c r="BP17" s="47">
        <f t="shared" ref="BP17:BP66" si="26">IF(BN17&gt;0,(BO17-BN17)/BN17,"")</f>
        <v>-0.96966002736687684</v>
      </c>
      <c r="BQ17" s="53">
        <f t="shared" si="15"/>
        <v>0</v>
      </c>
      <c r="BR17" s="54">
        <f t="shared" si="16"/>
        <v>0</v>
      </c>
      <c r="BS17" s="55">
        <f t="shared" si="17"/>
        <v>-0.16770688910210765</v>
      </c>
      <c r="BT17" s="56">
        <f>BM5</f>
        <v>-0.16770688910210765</v>
      </c>
      <c r="BU17" s="57">
        <f>BU16+BT16</f>
        <v>-0.16770688910210765</v>
      </c>
      <c r="BW17" s="38" t="s">
        <v>2</v>
      </c>
      <c r="BX17" s="22">
        <f>BX5</f>
        <v>-0.7925675882562816</v>
      </c>
      <c r="BY17" s="24">
        <f>BX16+BY16</f>
        <v>-0.7925675882562816</v>
      </c>
      <c r="BZ17" s="35">
        <f>MAX('BATS 2023 TLFD'!S5,0.0001)</f>
        <v>0.2880688775864822</v>
      </c>
      <c r="CA17" s="44">
        <f>modeldata!H5/modeldata!H$156</f>
        <v>6.6666666666666671E-3</v>
      </c>
      <c r="CB17" s="47">
        <f t="shared" ref="CB17:CB66" si="27">IF(BZ17&gt;0,(CA17-BZ17)/BZ17,"")</f>
        <v>-0.97685738659961552</v>
      </c>
      <c r="CC17" s="53">
        <f t="shared" si="18"/>
        <v>0</v>
      </c>
      <c r="CD17" s="54">
        <f t="shared" si="19"/>
        <v>0</v>
      </c>
      <c r="CE17" s="55">
        <f t="shared" si="20"/>
        <v>-0.7925675882562816</v>
      </c>
      <c r="CF17" s="56">
        <f>BY5</f>
        <v>-0.7925675882562816</v>
      </c>
      <c r="CG17" s="57">
        <f>CG16+CF16</f>
        <v>-0.7925675882562816</v>
      </c>
    </row>
    <row r="18" spans="1:85" x14ac:dyDescent="0.25">
      <c r="A18" s="81">
        <f t="shared" ref="A18:B66" si="28">A17+1</f>
        <v>2.5</v>
      </c>
      <c r="B18" s="83">
        <f t="shared" si="28"/>
        <v>2</v>
      </c>
      <c r="C18" s="39" t="s">
        <v>3</v>
      </c>
      <c r="D18" s="21">
        <f>D6</f>
        <v>-0.86713092904123756</v>
      </c>
      <c r="E18" s="23">
        <f t="shared" ref="E18:E66" si="29">D17+E17</f>
        <v>-0.29973785801647934</v>
      </c>
      <c r="F18" s="36">
        <f>MAX('BATS 2023 TLFD'!M6,0.0001)</f>
        <v>0.19991849634407893</v>
      </c>
      <c r="G18" s="45">
        <f>modeldata!B6/modeldata!B$156</f>
        <v>6.6666666666666671E-3</v>
      </c>
      <c r="H18" s="48">
        <f t="shared" si="21"/>
        <v>-0.96665307718605142</v>
      </c>
      <c r="I18" s="49">
        <f t="shared" si="0"/>
        <v>0</v>
      </c>
      <c r="J18" s="50">
        <f t="shared" si="1"/>
        <v>0</v>
      </c>
      <c r="K18" s="51">
        <f t="shared" si="2"/>
        <v>-0.29973785801647934</v>
      </c>
      <c r="L18" s="52">
        <f>E6</f>
        <v>-0.86713092904123756</v>
      </c>
      <c r="M18" s="58">
        <f t="shared" ref="M18:M66" si="30">M17+L17</f>
        <v>-0.29973785801647934</v>
      </c>
      <c r="O18" s="39" t="s">
        <v>3</v>
      </c>
      <c r="P18" s="21">
        <f>P6</f>
        <v>-0.56554370538783028</v>
      </c>
      <c r="Q18" s="23">
        <f t="shared" ref="Q18:Q66" si="31">P17+Q17</f>
        <v>0</v>
      </c>
      <c r="R18" s="36">
        <f>MAX('BATS 2023 TLFD'!N6,0.0001)</f>
        <v>0.17440990701825837</v>
      </c>
      <c r="S18" s="45">
        <f>modeldata!C6/modeldata!C$156</f>
        <v>6.6666666666666671E-3</v>
      </c>
      <c r="T18" s="48">
        <f t="shared" si="22"/>
        <v>-0.96177587167701006</v>
      </c>
      <c r="U18" s="49">
        <f t="shared" si="3"/>
        <v>0</v>
      </c>
      <c r="V18" s="50">
        <f t="shared" si="4"/>
        <v>0</v>
      </c>
      <c r="W18" s="51">
        <f t="shared" si="5"/>
        <v>0</v>
      </c>
      <c r="X18" s="52">
        <f>Q6</f>
        <v>-0.56554370538783028</v>
      </c>
      <c r="Y18" s="58">
        <f t="shared" ref="Y18:Y66" si="32">Y17+X17</f>
        <v>0</v>
      </c>
      <c r="AA18" s="39" t="s">
        <v>3</v>
      </c>
      <c r="AB18" s="21">
        <f>AB6</f>
        <v>-0.60549817274913609</v>
      </c>
      <c r="AC18" s="23">
        <f t="shared" ref="AC18:AC66" si="33">AB17+AC17</f>
        <v>0</v>
      </c>
      <c r="AD18" s="36">
        <f>MAX('BATS 2023 TLFD'!O6,0.0001)</f>
        <v>9.3288231934015239E-2</v>
      </c>
      <c r="AE18" s="45">
        <f>modeldata!D6/modeldata!D$156</f>
        <v>6.6666666666666671E-3</v>
      </c>
      <c r="AF18" s="48">
        <f t="shared" si="23"/>
        <v>-0.92853689550701157</v>
      </c>
      <c r="AG18" s="49">
        <f t="shared" si="6"/>
        <v>0</v>
      </c>
      <c r="AH18" s="50">
        <f t="shared" si="7"/>
        <v>0</v>
      </c>
      <c r="AI18" s="51">
        <f t="shared" si="8"/>
        <v>0</v>
      </c>
      <c r="AJ18" s="52">
        <f>AC6</f>
        <v>-0.60549817274913609</v>
      </c>
      <c r="AK18" s="58">
        <f t="shared" ref="AK18:AK66" si="34">AK17+AJ17</f>
        <v>0</v>
      </c>
      <c r="AM18" s="39" t="s">
        <v>3</v>
      </c>
      <c r="AN18" s="21">
        <f>AN6</f>
        <v>-0.31917050338493835</v>
      </c>
      <c r="AO18" s="23">
        <f t="shared" ref="AO18:AO66" si="35">AN17+AO17</f>
        <v>-1.121768128083493</v>
      </c>
      <c r="AP18" s="36">
        <f>MAX('BATS 2023 TLFD'!P6,0.0001)</f>
        <v>0.1727287934937288</v>
      </c>
      <c r="AQ18" s="45">
        <f>modeldata!E6/modeldata!E$156</f>
        <v>6.6666666666666671E-3</v>
      </c>
      <c r="AR18" s="48">
        <f t="shared" si="24"/>
        <v>-0.96140384858932804</v>
      </c>
      <c r="AS18" s="49">
        <f t="shared" si="9"/>
        <v>0</v>
      </c>
      <c r="AT18" s="50">
        <f t="shared" si="10"/>
        <v>0</v>
      </c>
      <c r="AU18" s="51">
        <f t="shared" si="11"/>
        <v>-1.121768128083493</v>
      </c>
      <c r="AV18" s="52">
        <f>AO6</f>
        <v>-0.31917050338493835</v>
      </c>
      <c r="AW18" s="58">
        <f t="shared" ref="AW18:AW66" si="36">AW17+AV17</f>
        <v>-1.121768128083493</v>
      </c>
      <c r="AY18" s="39" t="s">
        <v>3</v>
      </c>
      <c r="AZ18" s="21">
        <f>AZ6</f>
        <v>-0.34846404219197241</v>
      </c>
      <c r="BA18" s="23">
        <f t="shared" ref="BA18:BA66" si="37">AZ17+BA17</f>
        <v>-1.5682715902153594</v>
      </c>
      <c r="BB18" s="36">
        <f>MAX('BATS 2023 TLFD'!Q6,0.0001)</f>
        <v>0.10066613509795701</v>
      </c>
      <c r="BC18" s="45">
        <f>modeldata!F6/modeldata!F$156</f>
        <v>6.6666666666666671E-3</v>
      </c>
      <c r="BD18" s="48">
        <f t="shared" si="25"/>
        <v>-0.9337744847343209</v>
      </c>
      <c r="BE18" s="49">
        <f t="shared" si="12"/>
        <v>0</v>
      </c>
      <c r="BF18" s="50">
        <f t="shared" si="13"/>
        <v>0</v>
      </c>
      <c r="BG18" s="51">
        <f t="shared" si="14"/>
        <v>-1.5682715902153594</v>
      </c>
      <c r="BH18" s="52">
        <f>BA6</f>
        <v>-0.34846404219197247</v>
      </c>
      <c r="BI18" s="58">
        <f t="shared" ref="BI18:BI66" si="38">BI17+BH17</f>
        <v>-1.5682715902153594</v>
      </c>
      <c r="BK18" s="39" t="s">
        <v>3</v>
      </c>
      <c r="BL18" s="21">
        <f>BL6</f>
        <v>-0.49549320005603059</v>
      </c>
      <c r="BM18" s="23">
        <f t="shared" ref="BM18:BM66" si="39">BL17+BM17</f>
        <v>-0.33541377820421531</v>
      </c>
      <c r="BN18" s="36">
        <f>MAX('BATS 2023 TLFD'!R6,0.0001)</f>
        <v>0.19196498929085906</v>
      </c>
      <c r="BO18" s="45">
        <f>modeldata!G6/modeldata!G$156</f>
        <v>6.6666666666666671E-3</v>
      </c>
      <c r="BP18" s="48">
        <f t="shared" si="26"/>
        <v>-0.96527144511458007</v>
      </c>
      <c r="BQ18" s="49">
        <f t="shared" si="15"/>
        <v>0</v>
      </c>
      <c r="BR18" s="50">
        <f t="shared" si="16"/>
        <v>0</v>
      </c>
      <c r="BS18" s="51">
        <f t="shared" si="17"/>
        <v>-0.33541377820421531</v>
      </c>
      <c r="BT18" s="52">
        <f>BM6</f>
        <v>-0.49549320005603059</v>
      </c>
      <c r="BU18" s="58">
        <f t="shared" ref="BU18:BU66" si="40">BU17+BT17</f>
        <v>-0.33541377820421531</v>
      </c>
      <c r="BW18" s="39" t="s">
        <v>3</v>
      </c>
      <c r="BX18" s="21">
        <f>BX6</f>
        <v>-0.51970902452587597</v>
      </c>
      <c r="BY18" s="23">
        <f t="shared" ref="BY18:BY66" si="41">BX17+BY17</f>
        <v>-1.5851351765125632</v>
      </c>
      <c r="BZ18" s="36">
        <f>MAX('BATS 2023 TLFD'!S6,0.0001)</f>
        <v>0.10686467357250577</v>
      </c>
      <c r="CA18" s="45">
        <f>modeldata!H6/modeldata!H$156</f>
        <v>6.6666666666666671E-3</v>
      </c>
      <c r="CB18" s="48">
        <f t="shared" si="27"/>
        <v>-0.93761580470141559</v>
      </c>
      <c r="CC18" s="49">
        <f t="shared" si="18"/>
        <v>0</v>
      </c>
      <c r="CD18" s="50">
        <f t="shared" si="19"/>
        <v>0</v>
      </c>
      <c r="CE18" s="51">
        <f t="shared" si="20"/>
        <v>-1.5851351765125632</v>
      </c>
      <c r="CF18" s="52">
        <f>BY6</f>
        <v>-0.51970902452587608</v>
      </c>
      <c r="CG18" s="58">
        <f t="shared" ref="CG18:CG66" si="42">CG17+CF17</f>
        <v>-1.5851351765125632</v>
      </c>
    </row>
    <row r="19" spans="1:85" x14ac:dyDescent="0.25">
      <c r="A19" s="81">
        <f t="shared" si="28"/>
        <v>3.5</v>
      </c>
      <c r="B19" s="83">
        <f t="shared" si="28"/>
        <v>3</v>
      </c>
      <c r="C19" s="39" t="s">
        <v>4</v>
      </c>
      <c r="D19" s="21">
        <f>D18</f>
        <v>-0.86713092904123756</v>
      </c>
      <c r="E19" s="23">
        <f t="shared" si="29"/>
        <v>-1.1668687870577168</v>
      </c>
      <c r="F19" s="36">
        <f>MAX('BATS 2023 TLFD'!M7,0.0001)</f>
        <v>0.14162320008808005</v>
      </c>
      <c r="G19" s="45">
        <f>modeldata!B7/modeldata!B$156</f>
        <v>6.6666666666666671E-3</v>
      </c>
      <c r="H19" s="48">
        <f t="shared" si="21"/>
        <v>-0.95292673331403022</v>
      </c>
      <c r="I19" s="49">
        <f t="shared" si="0"/>
        <v>0</v>
      </c>
      <c r="J19" s="50">
        <f t="shared" si="1"/>
        <v>0</v>
      </c>
      <c r="K19" s="51">
        <f t="shared" si="2"/>
        <v>-1.1668687870577168</v>
      </c>
      <c r="L19" s="52">
        <f>L18</f>
        <v>-0.86713092904123756</v>
      </c>
      <c r="M19" s="58">
        <f t="shared" si="30"/>
        <v>-1.1668687870577168</v>
      </c>
      <c r="O19" s="39" t="s">
        <v>4</v>
      </c>
      <c r="P19" s="21">
        <f>P18</f>
        <v>-0.56554370538783028</v>
      </c>
      <c r="Q19" s="23">
        <f t="shared" si="31"/>
        <v>-0.56554370538783028</v>
      </c>
      <c r="R19" s="36">
        <f>MAX('BATS 2023 TLFD'!N7,0.0001)</f>
        <v>9.9816438682948788E-2</v>
      </c>
      <c r="S19" s="45">
        <f>modeldata!C7/modeldata!C$156</f>
        <v>6.6666666666666671E-3</v>
      </c>
      <c r="T19" s="48">
        <f t="shared" si="22"/>
        <v>-0.93321073407715649</v>
      </c>
      <c r="U19" s="49">
        <f t="shared" si="3"/>
        <v>0</v>
      </c>
      <c r="V19" s="50">
        <f t="shared" si="4"/>
        <v>0</v>
      </c>
      <c r="W19" s="51">
        <f t="shared" si="5"/>
        <v>-0.56554370538783028</v>
      </c>
      <c r="X19" s="52">
        <f>X18</f>
        <v>-0.56554370538783028</v>
      </c>
      <c r="Y19" s="58">
        <f t="shared" si="32"/>
        <v>-0.56554370538783028</v>
      </c>
      <c r="AA19" s="39" t="s">
        <v>4</v>
      </c>
      <c r="AB19" s="21">
        <f>AB18</f>
        <v>-0.60549817274913609</v>
      </c>
      <c r="AC19" s="23">
        <f t="shared" si="33"/>
        <v>-0.60549817274913609</v>
      </c>
      <c r="AD19" s="36">
        <f>MAX('BATS 2023 TLFD'!O7,0.0001)</f>
        <v>8.1459848851663588E-2</v>
      </c>
      <c r="AE19" s="45">
        <f>modeldata!D7/modeldata!D$156</f>
        <v>6.6666666666666671E-3</v>
      </c>
      <c r="AF19" s="48">
        <f t="shared" si="23"/>
        <v>-0.91816009039242752</v>
      </c>
      <c r="AG19" s="49">
        <f t="shared" si="6"/>
        <v>0</v>
      </c>
      <c r="AH19" s="50">
        <f t="shared" si="7"/>
        <v>0</v>
      </c>
      <c r="AI19" s="51">
        <f t="shared" si="8"/>
        <v>-0.60549817274913609</v>
      </c>
      <c r="AJ19" s="52">
        <f>AJ18</f>
        <v>-0.60549817274913609</v>
      </c>
      <c r="AK19" s="58">
        <f t="shared" si="34"/>
        <v>-0.60549817274913609</v>
      </c>
      <c r="AM19" s="39" t="s">
        <v>4</v>
      </c>
      <c r="AN19" s="21">
        <f>AN18</f>
        <v>-0.31917050338493835</v>
      </c>
      <c r="AO19" s="23">
        <f t="shared" si="35"/>
        <v>-1.4409386314684314</v>
      </c>
      <c r="AP19" s="36">
        <f>MAX('BATS 2023 TLFD'!P7,0.0001)</f>
        <v>9.1931182978707102E-2</v>
      </c>
      <c r="AQ19" s="45">
        <f>modeldata!E7/modeldata!E$156</f>
        <v>6.6666666666666671E-3</v>
      </c>
      <c r="AR19" s="48">
        <f t="shared" si="24"/>
        <v>-0.92748198760576395</v>
      </c>
      <c r="AS19" s="49">
        <f t="shared" si="9"/>
        <v>0</v>
      </c>
      <c r="AT19" s="50">
        <f t="shared" si="10"/>
        <v>0</v>
      </c>
      <c r="AU19" s="51">
        <f t="shared" si="11"/>
        <v>-1.4409386314684314</v>
      </c>
      <c r="AV19" s="52">
        <f>AV18</f>
        <v>-0.31917050338493835</v>
      </c>
      <c r="AW19" s="58">
        <f t="shared" si="36"/>
        <v>-1.4409386314684314</v>
      </c>
      <c r="AY19" s="39" t="s">
        <v>4</v>
      </c>
      <c r="AZ19" s="21">
        <f>AZ18</f>
        <v>-0.34846404219197241</v>
      </c>
      <c r="BA19" s="23">
        <f t="shared" si="37"/>
        <v>-1.9167356324073319</v>
      </c>
      <c r="BB19" s="36">
        <f>MAX('BATS 2023 TLFD'!Q7,0.0001)</f>
        <v>7.4203382177949723E-2</v>
      </c>
      <c r="BC19" s="45">
        <f>modeldata!F7/modeldata!F$156</f>
        <v>6.6666666666666671E-3</v>
      </c>
      <c r="BD19" s="48">
        <f t="shared" si="25"/>
        <v>-0.9101568355647307</v>
      </c>
      <c r="BE19" s="49">
        <f t="shared" si="12"/>
        <v>0</v>
      </c>
      <c r="BF19" s="50">
        <f t="shared" si="13"/>
        <v>0</v>
      </c>
      <c r="BG19" s="51">
        <f t="shared" si="14"/>
        <v>-1.9167356324073319</v>
      </c>
      <c r="BH19" s="52">
        <f>BH18</f>
        <v>-0.34846404219197247</v>
      </c>
      <c r="BI19" s="58">
        <f t="shared" si="38"/>
        <v>-1.9167356324073319</v>
      </c>
      <c r="BK19" s="39" t="s">
        <v>4</v>
      </c>
      <c r="BL19" s="21">
        <f>BL18</f>
        <v>-0.49549320005603059</v>
      </c>
      <c r="BM19" s="23">
        <f t="shared" si="39"/>
        <v>-0.83090697826024584</v>
      </c>
      <c r="BN19" s="36">
        <f>MAX('BATS 2023 TLFD'!R7,0.0001)</f>
        <v>6.5994226947974688E-2</v>
      </c>
      <c r="BO19" s="45">
        <f>modeldata!G7/modeldata!G$156</f>
        <v>6.6666666666666671E-3</v>
      </c>
      <c r="BP19" s="48">
        <f t="shared" si="26"/>
        <v>-0.89898106281444568</v>
      </c>
      <c r="BQ19" s="49">
        <f t="shared" si="15"/>
        <v>0</v>
      </c>
      <c r="BR19" s="50">
        <f t="shared" si="16"/>
        <v>0</v>
      </c>
      <c r="BS19" s="51">
        <f t="shared" si="17"/>
        <v>-0.83090697826024584</v>
      </c>
      <c r="BT19" s="52">
        <f>BT18</f>
        <v>-0.49549320005603059</v>
      </c>
      <c r="BU19" s="58">
        <f t="shared" si="40"/>
        <v>-0.83090697826024584</v>
      </c>
      <c r="BW19" s="39" t="s">
        <v>4</v>
      </c>
      <c r="BX19" s="21">
        <f>BX18</f>
        <v>-0.51970902452587597</v>
      </c>
      <c r="BY19" s="23">
        <f t="shared" si="41"/>
        <v>-2.1048442010384392</v>
      </c>
      <c r="BZ19" s="36">
        <f>MAX('BATS 2023 TLFD'!S7,0.0001)</f>
        <v>7.4296384731418086E-2</v>
      </c>
      <c r="CA19" s="45">
        <f>modeldata!H7/modeldata!H$156</f>
        <v>6.6666666666666671E-3</v>
      </c>
      <c r="CB19" s="48">
        <f t="shared" si="27"/>
        <v>-0.91026929922947519</v>
      </c>
      <c r="CC19" s="49">
        <f t="shared" si="18"/>
        <v>0</v>
      </c>
      <c r="CD19" s="50">
        <f t="shared" si="19"/>
        <v>0</v>
      </c>
      <c r="CE19" s="51">
        <f t="shared" si="20"/>
        <v>-2.1048442010384392</v>
      </c>
      <c r="CF19" s="52">
        <f>CF18</f>
        <v>-0.51970902452587608</v>
      </c>
      <c r="CG19" s="58">
        <f t="shared" si="42"/>
        <v>-2.1048442010384392</v>
      </c>
    </row>
    <row r="20" spans="1:85" x14ac:dyDescent="0.25">
      <c r="A20" s="81">
        <f t="shared" si="28"/>
        <v>4.5</v>
      </c>
      <c r="B20" s="83">
        <f t="shared" si="28"/>
        <v>4</v>
      </c>
      <c r="C20" s="39" t="s">
        <v>5</v>
      </c>
      <c r="D20" s="21">
        <f>D19</f>
        <v>-0.86713092904123756</v>
      </c>
      <c r="E20" s="23">
        <f t="shared" si="29"/>
        <v>-2.0339997160989545</v>
      </c>
      <c r="F20" s="36">
        <f>MAX('BATS 2023 TLFD'!M8,0.0001)</f>
        <v>7.7295581972892657E-2</v>
      </c>
      <c r="G20" s="45">
        <f>modeldata!B8/modeldata!B$156</f>
        <v>6.6666666666666671E-3</v>
      </c>
      <c r="H20" s="48">
        <f t="shared" si="21"/>
        <v>-0.91375099977894403</v>
      </c>
      <c r="I20" s="49">
        <f t="shared" si="0"/>
        <v>0</v>
      </c>
      <c r="J20" s="50">
        <f t="shared" si="1"/>
        <v>0</v>
      </c>
      <c r="K20" s="51">
        <f t="shared" si="2"/>
        <v>-2.0339997160989545</v>
      </c>
      <c r="L20" s="52">
        <f>L19</f>
        <v>-0.86713092904123756</v>
      </c>
      <c r="M20" s="58">
        <f t="shared" si="30"/>
        <v>-2.0339997160989545</v>
      </c>
      <c r="O20" s="39" t="s">
        <v>5</v>
      </c>
      <c r="P20" s="21">
        <f>P19</f>
        <v>-0.56554370538783028</v>
      </c>
      <c r="Q20" s="23">
        <f t="shared" si="31"/>
        <v>-1.1310874107756606</v>
      </c>
      <c r="R20" s="36">
        <f>MAX('BATS 2023 TLFD'!N8,0.0001)</f>
        <v>8.2381529459591984E-2</v>
      </c>
      <c r="S20" s="45">
        <f>modeldata!C8/modeldata!C$156</f>
        <v>6.6666666666666671E-3</v>
      </c>
      <c r="T20" s="48">
        <f t="shared" si="22"/>
        <v>-0.91907571138337918</v>
      </c>
      <c r="U20" s="49">
        <f t="shared" si="3"/>
        <v>0</v>
      </c>
      <c r="V20" s="50">
        <f t="shared" si="4"/>
        <v>0</v>
      </c>
      <c r="W20" s="51">
        <f t="shared" si="5"/>
        <v>-1.1310874107756606</v>
      </c>
      <c r="X20" s="52">
        <f>X19</f>
        <v>-0.56554370538783028</v>
      </c>
      <c r="Y20" s="58">
        <f t="shared" si="32"/>
        <v>-1.1310874107756606</v>
      </c>
      <c r="AA20" s="39" t="s">
        <v>5</v>
      </c>
      <c r="AB20" s="21">
        <f>AB19</f>
        <v>-0.60549817274913609</v>
      </c>
      <c r="AC20" s="23">
        <f t="shared" si="33"/>
        <v>-1.2109963454982722</v>
      </c>
      <c r="AD20" s="36">
        <f>MAX('BATS 2023 TLFD'!O8,0.0001)</f>
        <v>7.556235903365123E-2</v>
      </c>
      <c r="AE20" s="45">
        <f>modeldata!D8/modeldata!D$156</f>
        <v>6.6666666666666671E-3</v>
      </c>
      <c r="AF20" s="48">
        <f t="shared" si="23"/>
        <v>-0.91177265040524069</v>
      </c>
      <c r="AG20" s="49">
        <f t="shared" si="6"/>
        <v>0</v>
      </c>
      <c r="AH20" s="50">
        <f t="shared" si="7"/>
        <v>0</v>
      </c>
      <c r="AI20" s="51">
        <f t="shared" si="8"/>
        <v>-1.2109963454982722</v>
      </c>
      <c r="AJ20" s="52">
        <f>AJ19</f>
        <v>-0.60549817274913609</v>
      </c>
      <c r="AK20" s="58">
        <f t="shared" si="34"/>
        <v>-1.2109963454982722</v>
      </c>
      <c r="AM20" s="39" t="s">
        <v>5</v>
      </c>
      <c r="AN20" s="21">
        <f>AN19</f>
        <v>-0.31917050338493835</v>
      </c>
      <c r="AO20" s="23">
        <f t="shared" si="35"/>
        <v>-1.7601091348533697</v>
      </c>
      <c r="AP20" s="36">
        <f>MAX('BATS 2023 TLFD'!P8,0.0001)</f>
        <v>4.4246477751409122E-2</v>
      </c>
      <c r="AQ20" s="45">
        <f>modeldata!E8/modeldata!E$156</f>
        <v>6.6666666666666671E-3</v>
      </c>
      <c r="AR20" s="48">
        <f t="shared" si="24"/>
        <v>-0.84932887304336102</v>
      </c>
      <c r="AS20" s="49">
        <f t="shared" si="9"/>
        <v>0</v>
      </c>
      <c r="AT20" s="50">
        <f t="shared" si="10"/>
        <v>0</v>
      </c>
      <c r="AU20" s="51">
        <f t="shared" si="11"/>
        <v>-1.7601091348533697</v>
      </c>
      <c r="AV20" s="52">
        <f>AV19</f>
        <v>-0.31917050338493835</v>
      </c>
      <c r="AW20" s="58">
        <f t="shared" si="36"/>
        <v>-1.7601091348533697</v>
      </c>
      <c r="AY20" s="39" t="s">
        <v>5</v>
      </c>
      <c r="AZ20" s="21">
        <f>AZ19</f>
        <v>-0.34846404219197241</v>
      </c>
      <c r="BA20" s="23">
        <f t="shared" si="37"/>
        <v>-2.2651996745993044</v>
      </c>
      <c r="BB20" s="36">
        <f>MAX('BATS 2023 TLFD'!Q8,0.0001)</f>
        <v>5.1433561465890974E-2</v>
      </c>
      <c r="BC20" s="45">
        <f>modeldata!F8/modeldata!F$156</f>
        <v>6.6666666666666671E-3</v>
      </c>
      <c r="BD20" s="48">
        <f t="shared" si="25"/>
        <v>-0.87038294691905049</v>
      </c>
      <c r="BE20" s="49">
        <f t="shared" si="12"/>
        <v>0</v>
      </c>
      <c r="BF20" s="50">
        <f t="shared" si="13"/>
        <v>0</v>
      </c>
      <c r="BG20" s="51">
        <f t="shared" si="14"/>
        <v>-2.2651996745993044</v>
      </c>
      <c r="BH20" s="52">
        <f>BH19</f>
        <v>-0.34846404219197247</v>
      </c>
      <c r="BI20" s="58">
        <f t="shared" si="38"/>
        <v>-2.2651996745993044</v>
      </c>
      <c r="BK20" s="39" t="s">
        <v>5</v>
      </c>
      <c r="BL20" s="21">
        <f>BL19</f>
        <v>-0.49549320005603059</v>
      </c>
      <c r="BM20" s="23">
        <f t="shared" si="39"/>
        <v>-1.3264001783162764</v>
      </c>
      <c r="BN20" s="36">
        <f>MAX('BATS 2023 TLFD'!R8,0.0001)</f>
        <v>2.1117359653465142E-2</v>
      </c>
      <c r="BO20" s="45">
        <f>modeldata!G8/modeldata!G$156</f>
        <v>6.6666666666666671E-3</v>
      </c>
      <c r="BP20" s="48">
        <f t="shared" si="26"/>
        <v>-0.6843039671594201</v>
      </c>
      <c r="BQ20" s="49">
        <f t="shared" si="15"/>
        <v>0</v>
      </c>
      <c r="BR20" s="50">
        <f t="shared" si="16"/>
        <v>0</v>
      </c>
      <c r="BS20" s="51">
        <f t="shared" si="17"/>
        <v>-1.3264001783162764</v>
      </c>
      <c r="BT20" s="52">
        <f>BT19</f>
        <v>-0.49549320005603059</v>
      </c>
      <c r="BU20" s="58">
        <f t="shared" si="40"/>
        <v>-1.3264001783162764</v>
      </c>
      <c r="BW20" s="39" t="s">
        <v>5</v>
      </c>
      <c r="BX20" s="21">
        <f>BX19</f>
        <v>-0.51970902452587597</v>
      </c>
      <c r="BY20" s="23">
        <f t="shared" si="41"/>
        <v>-2.6245532255643154</v>
      </c>
      <c r="BZ20" s="36">
        <f>MAX('BATS 2023 TLFD'!S8,0.0001)</f>
        <v>4.2011628294834742E-2</v>
      </c>
      <c r="CA20" s="45">
        <f>modeldata!H8/modeldata!H$156</f>
        <v>6.6666666666666671E-3</v>
      </c>
      <c r="CB20" s="48">
        <f t="shared" si="27"/>
        <v>-0.84131377579844191</v>
      </c>
      <c r="CC20" s="49">
        <f t="shared" si="18"/>
        <v>0</v>
      </c>
      <c r="CD20" s="50">
        <f t="shared" si="19"/>
        <v>0</v>
      </c>
      <c r="CE20" s="51">
        <f t="shared" si="20"/>
        <v>-2.6245532255643154</v>
      </c>
      <c r="CF20" s="52">
        <f>CF19</f>
        <v>-0.51970902452587608</v>
      </c>
      <c r="CG20" s="58">
        <f t="shared" si="42"/>
        <v>-2.6245532255643154</v>
      </c>
    </row>
    <row r="21" spans="1:85" x14ac:dyDescent="0.25">
      <c r="A21" s="81">
        <f t="shared" si="28"/>
        <v>5.5</v>
      </c>
      <c r="B21" s="83">
        <f t="shared" si="28"/>
        <v>5</v>
      </c>
      <c r="C21" s="38" t="s">
        <v>6</v>
      </c>
      <c r="D21" s="22">
        <f>D7</f>
        <v>-0.21370826062045101</v>
      </c>
      <c r="E21" s="24">
        <f t="shared" si="29"/>
        <v>-2.9011306451401921</v>
      </c>
      <c r="F21" s="35">
        <f>MAX('BATS 2023 TLFD'!M9,0.0001)</f>
        <v>6.8568067890726184E-2</v>
      </c>
      <c r="G21" s="44">
        <f>modeldata!B9/modeldata!B$156</f>
        <v>6.6666666666666671E-3</v>
      </c>
      <c r="H21" s="47">
        <f t="shared" si="21"/>
        <v>-0.90277301269023602</v>
      </c>
      <c r="I21" s="53">
        <f t="shared" si="0"/>
        <v>0</v>
      </c>
      <c r="J21" s="54">
        <f t="shared" si="1"/>
        <v>0</v>
      </c>
      <c r="K21" s="55">
        <f t="shared" si="2"/>
        <v>-2.9011306451401921</v>
      </c>
      <c r="L21" s="56">
        <f>E7</f>
        <v>-0.21370826062045101</v>
      </c>
      <c r="M21" s="57">
        <f t="shared" si="30"/>
        <v>-2.9011306451401921</v>
      </c>
      <c r="O21" s="38" t="s">
        <v>6</v>
      </c>
      <c r="P21" s="22">
        <f>P7</f>
        <v>-0.18324871283782601</v>
      </c>
      <c r="Q21" s="24">
        <f t="shared" si="31"/>
        <v>-1.6966311161634908</v>
      </c>
      <c r="R21" s="35">
        <f>MAX('BATS 2023 TLFD'!N9,0.0001)</f>
        <v>4.639039251024913E-2</v>
      </c>
      <c r="S21" s="44">
        <f>modeldata!C9/modeldata!C$156</f>
        <v>6.6666666666666671E-3</v>
      </c>
      <c r="T21" s="47">
        <f t="shared" si="22"/>
        <v>-0.8562920832111135</v>
      </c>
      <c r="U21" s="53">
        <f t="shared" si="3"/>
        <v>0</v>
      </c>
      <c r="V21" s="54">
        <f t="shared" si="4"/>
        <v>0</v>
      </c>
      <c r="W21" s="55">
        <f t="shared" si="5"/>
        <v>-1.6966311161634908</v>
      </c>
      <c r="X21" s="56">
        <f>Q7</f>
        <v>-0.18324871283782596</v>
      </c>
      <c r="Y21" s="57">
        <f t="shared" si="32"/>
        <v>-1.6966311161634908</v>
      </c>
      <c r="AA21" s="38" t="s">
        <v>6</v>
      </c>
      <c r="AB21" s="22">
        <f>AB7</f>
        <v>-0.10927638842708701</v>
      </c>
      <c r="AC21" s="24">
        <f t="shared" si="33"/>
        <v>-1.8164945182474082</v>
      </c>
      <c r="AD21" s="35">
        <f>MAX('BATS 2023 TLFD'!O9,0.0001)</f>
        <v>8.4378211704202663E-2</v>
      </c>
      <c r="AE21" s="44">
        <f>modeldata!D9/modeldata!D$156</f>
        <v>6.6666666666666671E-3</v>
      </c>
      <c r="AF21" s="47">
        <f t="shared" si="23"/>
        <v>-0.92099066178319322</v>
      </c>
      <c r="AG21" s="53">
        <f t="shared" si="6"/>
        <v>0</v>
      </c>
      <c r="AH21" s="54">
        <f t="shared" si="7"/>
        <v>0</v>
      </c>
      <c r="AI21" s="55">
        <f t="shared" si="8"/>
        <v>-1.8164945182474082</v>
      </c>
      <c r="AJ21" s="56">
        <f>AC7</f>
        <v>-0.10927638842708691</v>
      </c>
      <c r="AK21" s="57">
        <f t="shared" si="34"/>
        <v>-1.8164945182474082</v>
      </c>
      <c r="AM21" s="38" t="s">
        <v>6</v>
      </c>
      <c r="AN21" s="22">
        <f>AN7</f>
        <v>-0.123766678676451</v>
      </c>
      <c r="AO21" s="24">
        <f t="shared" si="35"/>
        <v>-2.0792796382383081</v>
      </c>
      <c r="AP21" s="35">
        <f>MAX('BATS 2023 TLFD'!P9,0.0001)</f>
        <v>3.9196726356603505E-2</v>
      </c>
      <c r="AQ21" s="44">
        <f>modeldata!E9/modeldata!E$156</f>
        <v>6.6666666666666671E-3</v>
      </c>
      <c r="AR21" s="47">
        <f t="shared" si="24"/>
        <v>-0.82991776899900394</v>
      </c>
      <c r="AS21" s="53">
        <f t="shared" si="9"/>
        <v>0</v>
      </c>
      <c r="AT21" s="54">
        <f t="shared" si="10"/>
        <v>0</v>
      </c>
      <c r="AU21" s="55">
        <f t="shared" si="11"/>
        <v>-2.0792796382383081</v>
      </c>
      <c r="AV21" s="56">
        <f>AO7</f>
        <v>-0.12376667867645086</v>
      </c>
      <c r="AW21" s="57">
        <f t="shared" si="36"/>
        <v>-2.0792796382383081</v>
      </c>
      <c r="AY21" s="38" t="s">
        <v>6</v>
      </c>
      <c r="AZ21" s="22">
        <f>AZ7</f>
        <v>-0.13060067927808</v>
      </c>
      <c r="BA21" s="24">
        <f t="shared" si="37"/>
        <v>-2.6136637167912768</v>
      </c>
      <c r="BB21" s="35">
        <f>MAX('BATS 2023 TLFD'!Q9,0.0001)</f>
        <v>4.876088410938708E-2</v>
      </c>
      <c r="BC21" s="44">
        <f>modeldata!F9/modeldata!F$156</f>
        <v>6.6666666666666671E-3</v>
      </c>
      <c r="BD21" s="47">
        <f t="shared" si="25"/>
        <v>-0.86327838823202852</v>
      </c>
      <c r="BE21" s="53">
        <f t="shared" si="12"/>
        <v>0</v>
      </c>
      <c r="BF21" s="54">
        <f t="shared" si="13"/>
        <v>0</v>
      </c>
      <c r="BG21" s="55">
        <f t="shared" si="14"/>
        <v>-2.6136637167912768</v>
      </c>
      <c r="BH21" s="56">
        <f>BA7</f>
        <v>-0.13060067927807983</v>
      </c>
      <c r="BI21" s="57">
        <f t="shared" si="38"/>
        <v>-2.6136637167912768</v>
      </c>
      <c r="BK21" s="38" t="s">
        <v>6</v>
      </c>
      <c r="BL21" s="22">
        <f>BL7</f>
        <v>-0.119295888721189</v>
      </c>
      <c r="BM21" s="24">
        <f t="shared" si="39"/>
        <v>-1.821893378372307</v>
      </c>
      <c r="BN21" s="35">
        <f>MAX('BATS 2023 TLFD'!R9,0.0001)</f>
        <v>7.356481271664661E-2</v>
      </c>
      <c r="BO21" s="44">
        <f>modeldata!G9/modeldata!G$156</f>
        <v>6.6666666666666671E-3</v>
      </c>
      <c r="BP21" s="47">
        <f t="shared" si="26"/>
        <v>-0.90937696406099733</v>
      </c>
      <c r="BQ21" s="53">
        <f t="shared" si="15"/>
        <v>0</v>
      </c>
      <c r="BR21" s="54">
        <f t="shared" si="16"/>
        <v>0</v>
      </c>
      <c r="BS21" s="55">
        <f t="shared" si="17"/>
        <v>-1.821893378372307</v>
      </c>
      <c r="BT21" s="56">
        <f>BM7</f>
        <v>-0.11929588872118883</v>
      </c>
      <c r="BU21" s="57">
        <f t="shared" si="40"/>
        <v>-1.821893378372307</v>
      </c>
      <c r="BW21" s="38" t="s">
        <v>6</v>
      </c>
      <c r="BX21" s="22">
        <f>BX7</f>
        <v>-0.204473452523388</v>
      </c>
      <c r="BY21" s="24">
        <f t="shared" si="41"/>
        <v>-3.1442622500901916</v>
      </c>
      <c r="BZ21" s="35">
        <f>MAX('BATS 2023 TLFD'!S9,0.0001)</f>
        <v>4.1424274521117882E-2</v>
      </c>
      <c r="CA21" s="44">
        <f>modeldata!H9/modeldata!H$156</f>
        <v>6.6666666666666671E-3</v>
      </c>
      <c r="CB21" s="47">
        <f t="shared" si="27"/>
        <v>-0.83906376771262381</v>
      </c>
      <c r="CC21" s="53">
        <f t="shared" si="18"/>
        <v>0</v>
      </c>
      <c r="CD21" s="54">
        <f t="shared" si="19"/>
        <v>0</v>
      </c>
      <c r="CE21" s="55">
        <f t="shared" si="20"/>
        <v>-3.1442622500901916</v>
      </c>
      <c r="CF21" s="56">
        <f>BY7</f>
        <v>-0.20447345252338778</v>
      </c>
      <c r="CG21" s="57">
        <f t="shared" si="42"/>
        <v>-3.1442622500901916</v>
      </c>
    </row>
    <row r="22" spans="1:85" x14ac:dyDescent="0.25">
      <c r="A22" s="81">
        <f t="shared" si="28"/>
        <v>6.5</v>
      </c>
      <c r="B22" s="83">
        <f t="shared" si="28"/>
        <v>6</v>
      </c>
      <c r="C22" s="38" t="s">
        <v>7</v>
      </c>
      <c r="D22" s="22">
        <f>D21</f>
        <v>-0.21370826062045101</v>
      </c>
      <c r="E22" s="24">
        <f t="shared" si="29"/>
        <v>-3.1148389057606432</v>
      </c>
      <c r="F22" s="35">
        <f>MAX('BATS 2023 TLFD'!M10,0.0001)</f>
        <v>3.5629593407094248E-2</v>
      </c>
      <c r="G22" s="44">
        <f>modeldata!B10/modeldata!B$156</f>
        <v>6.6666666666666671E-3</v>
      </c>
      <c r="H22" s="47">
        <f t="shared" si="21"/>
        <v>-0.81288962266576803</v>
      </c>
      <c r="I22" s="53">
        <f t="shared" si="0"/>
        <v>0</v>
      </c>
      <c r="J22" s="54">
        <f t="shared" si="1"/>
        <v>0</v>
      </c>
      <c r="K22" s="55">
        <f t="shared" si="2"/>
        <v>-3.1148389057606432</v>
      </c>
      <c r="L22" s="56">
        <f>L21</f>
        <v>-0.21370826062045101</v>
      </c>
      <c r="M22" s="57">
        <f t="shared" si="30"/>
        <v>-3.1148389057606432</v>
      </c>
      <c r="O22" s="38" t="s">
        <v>7</v>
      </c>
      <c r="P22" s="22">
        <f>P21</f>
        <v>-0.18324871283782601</v>
      </c>
      <c r="Q22" s="24">
        <f t="shared" si="31"/>
        <v>-1.8798798290013168</v>
      </c>
      <c r="R22" s="35">
        <f>MAX('BATS 2023 TLFD'!N10,0.0001)</f>
        <v>6.0757631671577779E-2</v>
      </c>
      <c r="S22" s="44">
        <f>modeldata!C10/modeldata!C$156</f>
        <v>6.6666666666666671E-3</v>
      </c>
      <c r="T22" s="47">
        <f t="shared" si="22"/>
        <v>-0.89027441519276151</v>
      </c>
      <c r="U22" s="53">
        <f t="shared" si="3"/>
        <v>0</v>
      </c>
      <c r="V22" s="54">
        <f t="shared" si="4"/>
        <v>0</v>
      </c>
      <c r="W22" s="55">
        <f t="shared" si="5"/>
        <v>-1.8798798290013168</v>
      </c>
      <c r="X22" s="56">
        <f>X21</f>
        <v>-0.18324871283782596</v>
      </c>
      <c r="Y22" s="57">
        <f t="shared" si="32"/>
        <v>-1.8798798290013168</v>
      </c>
      <c r="AA22" s="38" t="s">
        <v>7</v>
      </c>
      <c r="AB22" s="22">
        <f>AB21</f>
        <v>-0.10927638842708701</v>
      </c>
      <c r="AC22" s="24">
        <f t="shared" si="33"/>
        <v>-1.9257709066744952</v>
      </c>
      <c r="AD22" s="35">
        <f>MAX('BATS 2023 TLFD'!O10,0.0001)</f>
        <v>4.7119552890519806E-2</v>
      </c>
      <c r="AE22" s="44">
        <f>modeldata!D10/modeldata!D$156</f>
        <v>6.6666666666666671E-3</v>
      </c>
      <c r="AF22" s="47">
        <f t="shared" si="23"/>
        <v>-0.85851591838835206</v>
      </c>
      <c r="AG22" s="53">
        <f t="shared" si="6"/>
        <v>0</v>
      </c>
      <c r="AH22" s="54">
        <f t="shared" si="7"/>
        <v>0</v>
      </c>
      <c r="AI22" s="55">
        <f t="shared" si="8"/>
        <v>-1.9257709066744952</v>
      </c>
      <c r="AJ22" s="56">
        <f>AJ21</f>
        <v>-0.10927638842708691</v>
      </c>
      <c r="AK22" s="57">
        <f t="shared" si="34"/>
        <v>-1.925770906674495</v>
      </c>
      <c r="AM22" s="38" t="s">
        <v>7</v>
      </c>
      <c r="AN22" s="22">
        <f>AN21</f>
        <v>-0.123766678676451</v>
      </c>
      <c r="AO22" s="24">
        <f t="shared" si="35"/>
        <v>-2.2030463169147589</v>
      </c>
      <c r="AP22" s="35">
        <f>MAX('BATS 2023 TLFD'!P10,0.0001)</f>
        <v>4.1506162311527754E-2</v>
      </c>
      <c r="AQ22" s="44">
        <f>modeldata!E10/modeldata!E$156</f>
        <v>6.6666666666666671E-3</v>
      </c>
      <c r="AR22" s="47">
        <f t="shared" si="24"/>
        <v>-0.83938127990177747</v>
      </c>
      <c r="AS22" s="53">
        <f t="shared" si="9"/>
        <v>0</v>
      </c>
      <c r="AT22" s="54">
        <f t="shared" si="10"/>
        <v>0</v>
      </c>
      <c r="AU22" s="55">
        <f t="shared" si="11"/>
        <v>-2.2030463169147589</v>
      </c>
      <c r="AV22" s="56">
        <f>AV21</f>
        <v>-0.12376667867645086</v>
      </c>
      <c r="AW22" s="57">
        <f t="shared" si="36"/>
        <v>-2.2030463169147589</v>
      </c>
      <c r="AY22" s="38" t="s">
        <v>7</v>
      </c>
      <c r="AZ22" s="22">
        <f>AZ21</f>
        <v>-0.13060067927808</v>
      </c>
      <c r="BA22" s="24">
        <f t="shared" si="37"/>
        <v>-2.7442643960693567</v>
      </c>
      <c r="BB22" s="35">
        <f>MAX('BATS 2023 TLFD'!Q10,0.0001)</f>
        <v>2.4047995328300265E-2</v>
      </c>
      <c r="BC22" s="44">
        <f>modeldata!F10/modeldata!F$156</f>
        <v>6.6666666666666671E-3</v>
      </c>
      <c r="BD22" s="47">
        <f t="shared" si="25"/>
        <v>-0.72277661502947932</v>
      </c>
      <c r="BE22" s="53">
        <f t="shared" si="12"/>
        <v>0</v>
      </c>
      <c r="BF22" s="54">
        <f t="shared" si="13"/>
        <v>0</v>
      </c>
      <c r="BG22" s="55">
        <f t="shared" si="14"/>
        <v>-2.7442643960693567</v>
      </c>
      <c r="BH22" s="56">
        <f>BH21</f>
        <v>-0.13060067927807983</v>
      </c>
      <c r="BI22" s="57">
        <f t="shared" si="38"/>
        <v>-2.7442643960693567</v>
      </c>
      <c r="BK22" s="38" t="s">
        <v>7</v>
      </c>
      <c r="BL22" s="22">
        <f>BL21</f>
        <v>-0.119295888721189</v>
      </c>
      <c r="BM22" s="24">
        <f t="shared" si="39"/>
        <v>-1.941189267093496</v>
      </c>
      <c r="BN22" s="35">
        <f>MAX('BATS 2023 TLFD'!R10,0.0001)</f>
        <v>3.4766895156420237E-2</v>
      </c>
      <c r="BO22" s="44">
        <f>modeldata!G10/modeldata!G$156</f>
        <v>6.6666666666666671E-3</v>
      </c>
      <c r="BP22" s="47">
        <f t="shared" si="26"/>
        <v>-0.80824670604974724</v>
      </c>
      <c r="BQ22" s="53">
        <f t="shared" si="15"/>
        <v>0</v>
      </c>
      <c r="BR22" s="54">
        <f t="shared" si="16"/>
        <v>0</v>
      </c>
      <c r="BS22" s="55">
        <f t="shared" si="17"/>
        <v>-1.941189267093496</v>
      </c>
      <c r="BT22" s="56">
        <f>BT21</f>
        <v>-0.11929588872118883</v>
      </c>
      <c r="BU22" s="57">
        <f t="shared" si="40"/>
        <v>-1.9411892670934958</v>
      </c>
      <c r="BW22" s="38" t="s">
        <v>7</v>
      </c>
      <c r="BX22" s="22">
        <f>BX21</f>
        <v>-0.204473452523388</v>
      </c>
      <c r="BY22" s="24">
        <f t="shared" si="41"/>
        <v>-3.3487357026135793</v>
      </c>
      <c r="BZ22" s="35">
        <f>MAX('BATS 2023 TLFD'!S10,0.0001)</f>
        <v>9.2109620002666162E-3</v>
      </c>
      <c r="CA22" s="44">
        <f>modeldata!H10/modeldata!H$156</f>
        <v>6.6666666666666671E-3</v>
      </c>
      <c r="CB22" s="47">
        <f t="shared" si="27"/>
        <v>-0.27622471285043876</v>
      </c>
      <c r="CC22" s="53">
        <f t="shared" si="18"/>
        <v>0</v>
      </c>
      <c r="CD22" s="54">
        <f t="shared" si="19"/>
        <v>0</v>
      </c>
      <c r="CE22" s="55">
        <f t="shared" si="20"/>
        <v>-3.3487357026135793</v>
      </c>
      <c r="CF22" s="56">
        <f>CF21</f>
        <v>-0.20447345252338778</v>
      </c>
      <c r="CG22" s="57">
        <f t="shared" si="42"/>
        <v>-3.3487357026135793</v>
      </c>
    </row>
    <row r="23" spans="1:85" x14ac:dyDescent="0.25">
      <c r="A23" s="81">
        <f t="shared" si="28"/>
        <v>7.5</v>
      </c>
      <c r="B23" s="83">
        <f t="shared" si="28"/>
        <v>7</v>
      </c>
      <c r="C23" s="38" t="s">
        <v>8</v>
      </c>
      <c r="D23" s="22">
        <f t="shared" ref="D23:D30" si="43">D22</f>
        <v>-0.21370826062045101</v>
      </c>
      <c r="E23" s="24">
        <f t="shared" si="29"/>
        <v>-3.3285471663810942</v>
      </c>
      <c r="F23" s="35">
        <f>MAX('BATS 2023 TLFD'!M11,0.0001)</f>
        <v>6.6129373654792489E-2</v>
      </c>
      <c r="G23" s="44">
        <f>modeldata!B11/modeldata!B$156</f>
        <v>6.6666666666666671E-3</v>
      </c>
      <c r="H23" s="47">
        <f t="shared" si="21"/>
        <v>-0.89918751232292182</v>
      </c>
      <c r="I23" s="53">
        <f t="shared" si="0"/>
        <v>0</v>
      </c>
      <c r="J23" s="54">
        <f t="shared" si="1"/>
        <v>0</v>
      </c>
      <c r="K23" s="55">
        <f t="shared" si="2"/>
        <v>-3.3285471663810942</v>
      </c>
      <c r="L23" s="56">
        <f t="shared" ref="L23:L30" si="44">L22</f>
        <v>-0.21370826062045101</v>
      </c>
      <c r="M23" s="57">
        <f t="shared" si="30"/>
        <v>-3.3285471663810942</v>
      </c>
      <c r="O23" s="38" t="s">
        <v>8</v>
      </c>
      <c r="P23" s="22">
        <f t="shared" ref="P23:P30" si="45">P22</f>
        <v>-0.18324871283782601</v>
      </c>
      <c r="Q23" s="24">
        <f t="shared" si="31"/>
        <v>-2.0631285418391427</v>
      </c>
      <c r="R23" s="35">
        <f>MAX('BATS 2023 TLFD'!N11,0.0001)</f>
        <v>2.8219887773152895E-2</v>
      </c>
      <c r="S23" s="44">
        <f>modeldata!C11/modeldata!C$156</f>
        <v>6.6666666666666671E-3</v>
      </c>
      <c r="T23" s="47">
        <f t="shared" si="22"/>
        <v>-0.76375998656489952</v>
      </c>
      <c r="U23" s="53">
        <f t="shared" si="3"/>
        <v>0</v>
      </c>
      <c r="V23" s="54">
        <f t="shared" si="4"/>
        <v>0</v>
      </c>
      <c r="W23" s="55">
        <f t="shared" si="5"/>
        <v>-2.0631285418391427</v>
      </c>
      <c r="X23" s="56">
        <f t="shared" ref="X23:X30" si="46">X22</f>
        <v>-0.18324871283782596</v>
      </c>
      <c r="Y23" s="57">
        <f t="shared" si="32"/>
        <v>-2.0631285418391427</v>
      </c>
      <c r="AA23" s="38" t="s">
        <v>8</v>
      </c>
      <c r="AB23" s="22">
        <f t="shared" ref="AB23:AB30" si="47">AB22</f>
        <v>-0.10927638842708701</v>
      </c>
      <c r="AC23" s="24">
        <f t="shared" si="33"/>
        <v>-2.0350472951015823</v>
      </c>
      <c r="AD23" s="35">
        <f>MAX('BATS 2023 TLFD'!O11,0.0001)</f>
        <v>5.079570606456138E-2</v>
      </c>
      <c r="AE23" s="44">
        <f>modeldata!D11/modeldata!D$156</f>
        <v>6.6666666666666671E-3</v>
      </c>
      <c r="AF23" s="47">
        <f t="shared" si="23"/>
        <v>-0.86875531057303679</v>
      </c>
      <c r="AG23" s="53">
        <f t="shared" si="6"/>
        <v>0</v>
      </c>
      <c r="AH23" s="54">
        <f t="shared" si="7"/>
        <v>0</v>
      </c>
      <c r="AI23" s="55">
        <f t="shared" si="8"/>
        <v>-2.0350472951015823</v>
      </c>
      <c r="AJ23" s="56">
        <f t="shared" ref="AJ23:AJ30" si="48">AJ22</f>
        <v>-0.10927638842708691</v>
      </c>
      <c r="AK23" s="57">
        <f t="shared" si="34"/>
        <v>-2.0350472951015819</v>
      </c>
      <c r="AM23" s="38" t="s">
        <v>8</v>
      </c>
      <c r="AN23" s="22">
        <f t="shared" ref="AN23:AN30" si="49">AN22</f>
        <v>-0.123766678676451</v>
      </c>
      <c r="AO23" s="24">
        <f t="shared" si="35"/>
        <v>-2.3268129955912098</v>
      </c>
      <c r="AP23" s="35">
        <f>MAX('BATS 2023 TLFD'!P11,0.0001)</f>
        <v>1.8547993337017024E-2</v>
      </c>
      <c r="AQ23" s="44">
        <f>modeldata!E11/modeldata!E$156</f>
        <v>6.6666666666666671E-3</v>
      </c>
      <c r="AR23" s="47">
        <f t="shared" si="24"/>
        <v>-0.64057207992620335</v>
      </c>
      <c r="AS23" s="53">
        <f t="shared" si="9"/>
        <v>0</v>
      </c>
      <c r="AT23" s="54">
        <f t="shared" si="10"/>
        <v>0</v>
      </c>
      <c r="AU23" s="55">
        <f t="shared" si="11"/>
        <v>-2.3268129955912098</v>
      </c>
      <c r="AV23" s="56">
        <f t="shared" ref="AV23:AV30" si="50">AV22</f>
        <v>-0.12376667867645086</v>
      </c>
      <c r="AW23" s="57">
        <f t="shared" si="36"/>
        <v>-2.3268129955912098</v>
      </c>
      <c r="AY23" s="38" t="s">
        <v>8</v>
      </c>
      <c r="AZ23" s="22">
        <f t="shared" ref="AZ23:AZ30" si="51">AZ22</f>
        <v>-0.13060067927808</v>
      </c>
      <c r="BA23" s="24">
        <f t="shared" si="37"/>
        <v>-2.8748650753474365</v>
      </c>
      <c r="BB23" s="35">
        <f>MAX('BATS 2023 TLFD'!Q11,0.0001)</f>
        <v>2.2366431264314507E-2</v>
      </c>
      <c r="BC23" s="44">
        <f>modeldata!F11/modeldata!F$156</f>
        <v>6.6666666666666671E-3</v>
      </c>
      <c r="BD23" s="47">
        <f t="shared" si="25"/>
        <v>-0.70193426980444174</v>
      </c>
      <c r="BE23" s="53">
        <f t="shared" si="12"/>
        <v>0</v>
      </c>
      <c r="BF23" s="54">
        <f t="shared" si="13"/>
        <v>0</v>
      </c>
      <c r="BG23" s="55">
        <f t="shared" si="14"/>
        <v>-2.8748650753474365</v>
      </c>
      <c r="BH23" s="56">
        <f t="shared" ref="BH23:BH30" si="52">BH22</f>
        <v>-0.13060067927807983</v>
      </c>
      <c r="BI23" s="57">
        <f t="shared" si="38"/>
        <v>-2.8748650753474365</v>
      </c>
      <c r="BK23" s="38" t="s">
        <v>8</v>
      </c>
      <c r="BL23" s="22">
        <f t="shared" ref="BL23:BL30" si="53">BL22</f>
        <v>-0.119295888721189</v>
      </c>
      <c r="BM23" s="24">
        <f t="shared" si="39"/>
        <v>-2.0604851558146851</v>
      </c>
      <c r="BN23" s="35">
        <f>MAX('BATS 2023 TLFD'!R11,0.0001)</f>
        <v>1.6818863474103708E-2</v>
      </c>
      <c r="BO23" s="44">
        <f>modeldata!G11/modeldata!G$156</f>
        <v>6.6666666666666671E-3</v>
      </c>
      <c r="BP23" s="47">
        <f t="shared" si="26"/>
        <v>-0.60361966925223876</v>
      </c>
      <c r="BQ23" s="53">
        <f t="shared" si="15"/>
        <v>0</v>
      </c>
      <c r="BR23" s="54">
        <f t="shared" si="16"/>
        <v>0</v>
      </c>
      <c r="BS23" s="55">
        <f t="shared" si="17"/>
        <v>-2.0604851558146851</v>
      </c>
      <c r="BT23" s="56">
        <f t="shared" ref="BT23:BT30" si="54">BT22</f>
        <v>-0.11929588872118883</v>
      </c>
      <c r="BU23" s="57">
        <f t="shared" si="40"/>
        <v>-2.0604851558146846</v>
      </c>
      <c r="BW23" s="38" t="s">
        <v>8</v>
      </c>
      <c r="BX23" s="22">
        <f t="shared" ref="BX23:BX30" si="55">BX22</f>
        <v>-0.204473452523388</v>
      </c>
      <c r="BY23" s="24">
        <f t="shared" si="41"/>
        <v>-3.5532091551369671</v>
      </c>
      <c r="BZ23" s="35">
        <f>MAX('BATS 2023 TLFD'!S11,0.0001)</f>
        <v>1.5051253726069814E-2</v>
      </c>
      <c r="CA23" s="44">
        <f>modeldata!H11/modeldata!H$156</f>
        <v>6.6666666666666671E-3</v>
      </c>
      <c r="CB23" s="47">
        <f t="shared" si="27"/>
        <v>-0.55706901312018031</v>
      </c>
      <c r="CC23" s="53">
        <f t="shared" si="18"/>
        <v>0</v>
      </c>
      <c r="CD23" s="54">
        <f t="shared" si="19"/>
        <v>0</v>
      </c>
      <c r="CE23" s="55">
        <f t="shared" si="20"/>
        <v>-3.5532091551369671</v>
      </c>
      <c r="CF23" s="56">
        <f t="shared" ref="CF23:CF30" si="56">CF22</f>
        <v>-0.20447345252338778</v>
      </c>
      <c r="CG23" s="57">
        <f t="shared" si="42"/>
        <v>-3.5532091551369671</v>
      </c>
    </row>
    <row r="24" spans="1:85" x14ac:dyDescent="0.25">
      <c r="A24" s="81">
        <f t="shared" si="28"/>
        <v>8.5</v>
      </c>
      <c r="B24" s="83">
        <f t="shared" si="28"/>
        <v>8</v>
      </c>
      <c r="C24" s="38" t="s">
        <v>9</v>
      </c>
      <c r="D24" s="22">
        <f t="shared" si="43"/>
        <v>-0.21370826062045101</v>
      </c>
      <c r="E24" s="24">
        <f t="shared" si="29"/>
        <v>-3.5422554270015452</v>
      </c>
      <c r="F24" s="35">
        <f>MAX('BATS 2023 TLFD'!M12,0.0001)</f>
        <v>2.6569929975852061E-2</v>
      </c>
      <c r="G24" s="44">
        <f>modeldata!B12/modeldata!B$156</f>
        <v>6.6666666666666671E-3</v>
      </c>
      <c r="H24" s="47">
        <f t="shared" si="21"/>
        <v>-0.74908979162814382</v>
      </c>
      <c r="I24" s="53">
        <f t="shared" si="0"/>
        <v>0</v>
      </c>
      <c r="J24" s="54">
        <f t="shared" si="1"/>
        <v>0</v>
      </c>
      <c r="K24" s="55">
        <f t="shared" si="2"/>
        <v>-3.5422554270015452</v>
      </c>
      <c r="L24" s="56">
        <f t="shared" si="44"/>
        <v>-0.21370826062045101</v>
      </c>
      <c r="M24" s="57">
        <f t="shared" si="30"/>
        <v>-3.5422554270015452</v>
      </c>
      <c r="O24" s="38" t="s">
        <v>9</v>
      </c>
      <c r="P24" s="22">
        <f t="shared" si="45"/>
        <v>-0.18324871283782601</v>
      </c>
      <c r="Q24" s="24">
        <f t="shared" si="31"/>
        <v>-2.2463772546769687</v>
      </c>
      <c r="R24" s="35">
        <f>MAX('BATS 2023 TLFD'!N12,0.0001)</f>
        <v>2.5743322848157339E-2</v>
      </c>
      <c r="S24" s="44">
        <f>modeldata!C12/modeldata!C$156</f>
        <v>6.6666666666666671E-3</v>
      </c>
      <c r="T24" s="47">
        <f t="shared" si="22"/>
        <v>-0.74103317174752925</v>
      </c>
      <c r="U24" s="53">
        <f t="shared" si="3"/>
        <v>0</v>
      </c>
      <c r="V24" s="54">
        <f t="shared" si="4"/>
        <v>0</v>
      </c>
      <c r="W24" s="55">
        <f t="shared" si="5"/>
        <v>-2.2463772546769687</v>
      </c>
      <c r="X24" s="56">
        <f t="shared" si="46"/>
        <v>-0.18324871283782596</v>
      </c>
      <c r="Y24" s="57">
        <f t="shared" si="32"/>
        <v>-2.2463772546769687</v>
      </c>
      <c r="AA24" s="38" t="s">
        <v>9</v>
      </c>
      <c r="AB24" s="22">
        <f t="shared" si="47"/>
        <v>-0.10927638842708701</v>
      </c>
      <c r="AC24" s="24">
        <f t="shared" si="33"/>
        <v>-2.1443236835286692</v>
      </c>
      <c r="AD24" s="35">
        <f>MAX('BATS 2023 TLFD'!O12,0.0001)</f>
        <v>1.5553856463061773E-2</v>
      </c>
      <c r="AE24" s="44">
        <f>modeldata!D12/modeldata!D$156</f>
        <v>6.6666666666666671E-3</v>
      </c>
      <c r="AF24" s="47">
        <f t="shared" si="23"/>
        <v>-0.57138175458291873</v>
      </c>
      <c r="AG24" s="53">
        <f t="shared" si="6"/>
        <v>0</v>
      </c>
      <c r="AH24" s="54">
        <f t="shared" si="7"/>
        <v>0</v>
      </c>
      <c r="AI24" s="55">
        <f t="shared" si="8"/>
        <v>-2.1443236835286692</v>
      </c>
      <c r="AJ24" s="56">
        <f t="shared" si="48"/>
        <v>-0.10927638842708691</v>
      </c>
      <c r="AK24" s="57">
        <f t="shared" si="34"/>
        <v>-2.1443236835286688</v>
      </c>
      <c r="AM24" s="38" t="s">
        <v>9</v>
      </c>
      <c r="AN24" s="22">
        <f t="shared" si="49"/>
        <v>-0.123766678676451</v>
      </c>
      <c r="AO24" s="24">
        <f t="shared" si="35"/>
        <v>-2.4505796742676607</v>
      </c>
      <c r="AP24" s="35">
        <f>MAX('BATS 2023 TLFD'!P12,0.0001)</f>
        <v>2.603691545438986E-2</v>
      </c>
      <c r="AQ24" s="44">
        <f>modeldata!E12/modeldata!E$156</f>
        <v>6.6666666666666671E-3</v>
      </c>
      <c r="AR24" s="47">
        <f t="shared" si="24"/>
        <v>-0.74395328515987258</v>
      </c>
      <c r="AS24" s="53">
        <f t="shared" si="9"/>
        <v>0</v>
      </c>
      <c r="AT24" s="54">
        <f t="shared" si="10"/>
        <v>0</v>
      </c>
      <c r="AU24" s="55">
        <f t="shared" si="11"/>
        <v>-2.4505796742676607</v>
      </c>
      <c r="AV24" s="56">
        <f t="shared" si="50"/>
        <v>-0.12376667867645086</v>
      </c>
      <c r="AW24" s="57">
        <f t="shared" si="36"/>
        <v>-2.4505796742676607</v>
      </c>
      <c r="AY24" s="38" t="s">
        <v>9</v>
      </c>
      <c r="AZ24" s="22">
        <f t="shared" si="51"/>
        <v>-0.13060067927808</v>
      </c>
      <c r="BA24" s="24">
        <f t="shared" si="37"/>
        <v>-3.0054657546255164</v>
      </c>
      <c r="BB24" s="35">
        <f>MAX('BATS 2023 TLFD'!Q12,0.0001)</f>
        <v>3.0550924113742838E-2</v>
      </c>
      <c r="BC24" s="44">
        <f>modeldata!F12/modeldata!F$156</f>
        <v>6.6666666666666671E-3</v>
      </c>
      <c r="BD24" s="47">
        <f t="shared" si="25"/>
        <v>-0.78178510601360907</v>
      </c>
      <c r="BE24" s="53">
        <f t="shared" si="12"/>
        <v>0</v>
      </c>
      <c r="BF24" s="54">
        <f t="shared" si="13"/>
        <v>0</v>
      </c>
      <c r="BG24" s="55">
        <f t="shared" si="14"/>
        <v>-3.0054657546255164</v>
      </c>
      <c r="BH24" s="56">
        <f t="shared" si="52"/>
        <v>-0.13060067927807983</v>
      </c>
      <c r="BI24" s="57">
        <f t="shared" si="38"/>
        <v>-3.0054657546255164</v>
      </c>
      <c r="BK24" s="38" t="s">
        <v>9</v>
      </c>
      <c r="BL24" s="22">
        <f t="shared" si="53"/>
        <v>-0.119295888721189</v>
      </c>
      <c r="BM24" s="24">
        <f t="shared" si="39"/>
        <v>-2.1797810445358738</v>
      </c>
      <c r="BN24" s="35">
        <f>MAX('BATS 2023 TLFD'!R12,0.0001)</f>
        <v>2.0821531905845753E-2</v>
      </c>
      <c r="BO24" s="44">
        <f>modeldata!G12/modeldata!G$156</f>
        <v>6.6666666666666671E-3</v>
      </c>
      <c r="BP24" s="47">
        <f t="shared" si="26"/>
        <v>-0.67981862733188392</v>
      </c>
      <c r="BQ24" s="53">
        <f t="shared" si="15"/>
        <v>0</v>
      </c>
      <c r="BR24" s="54">
        <f t="shared" si="16"/>
        <v>0</v>
      </c>
      <c r="BS24" s="55">
        <f t="shared" si="17"/>
        <v>-2.1797810445358738</v>
      </c>
      <c r="BT24" s="56">
        <f t="shared" si="54"/>
        <v>-0.11929588872118883</v>
      </c>
      <c r="BU24" s="57">
        <f t="shared" si="40"/>
        <v>-2.1797810445358734</v>
      </c>
      <c r="BW24" s="38" t="s">
        <v>9</v>
      </c>
      <c r="BX24" s="22">
        <f t="shared" si="55"/>
        <v>-0.204473452523388</v>
      </c>
      <c r="BY24" s="24">
        <f t="shared" si="41"/>
        <v>-3.7576826076603549</v>
      </c>
      <c r="BZ24" s="35">
        <f>MAX('BATS 2023 TLFD'!S12,0.0001)</f>
        <v>3.2547592578332381E-3</v>
      </c>
      <c r="CA24" s="44">
        <f>modeldata!H12/modeldata!H$156</f>
        <v>6.6666666666666671E-3</v>
      </c>
      <c r="CB24" s="47">
        <f t="shared" si="27"/>
        <v>1.0482825728575722</v>
      </c>
      <c r="CC24" s="53">
        <f t="shared" si="18"/>
        <v>0</v>
      </c>
      <c r="CD24" s="54">
        <f t="shared" si="19"/>
        <v>0</v>
      </c>
      <c r="CE24" s="55">
        <f t="shared" si="20"/>
        <v>-3.7576826076603549</v>
      </c>
      <c r="CF24" s="56">
        <f t="shared" si="56"/>
        <v>-0.20447345252338778</v>
      </c>
      <c r="CG24" s="57">
        <f t="shared" si="42"/>
        <v>-3.7576826076603549</v>
      </c>
    </row>
    <row r="25" spans="1:85" x14ac:dyDescent="0.25">
      <c r="A25" s="81">
        <f t="shared" si="28"/>
        <v>9.5</v>
      </c>
      <c r="B25" s="83">
        <f t="shared" si="28"/>
        <v>9</v>
      </c>
      <c r="C25" s="38" t="s">
        <v>10</v>
      </c>
      <c r="D25" s="22">
        <f t="shared" si="43"/>
        <v>-0.21370826062045101</v>
      </c>
      <c r="E25" s="24">
        <f t="shared" si="29"/>
        <v>-3.7559636876219962</v>
      </c>
      <c r="F25" s="35">
        <f>MAX('BATS 2023 TLFD'!M13,0.0001)</f>
        <v>1.6437915887842155E-3</v>
      </c>
      <c r="G25" s="44">
        <f>modeldata!B13/modeldata!B$156</f>
        <v>6.6666666666666671E-3</v>
      </c>
      <c r="H25" s="47">
        <f t="shared" si="21"/>
        <v>3.0556641803949618</v>
      </c>
      <c r="I25" s="53">
        <f t="shared" si="0"/>
        <v>0</v>
      </c>
      <c r="J25" s="54">
        <f t="shared" si="1"/>
        <v>0</v>
      </c>
      <c r="K25" s="55">
        <f t="shared" si="2"/>
        <v>-3.7559636876219962</v>
      </c>
      <c r="L25" s="56">
        <f t="shared" si="44"/>
        <v>-0.21370826062045101</v>
      </c>
      <c r="M25" s="57">
        <f t="shared" si="30"/>
        <v>-3.7559636876219962</v>
      </c>
      <c r="O25" s="38" t="s">
        <v>10</v>
      </c>
      <c r="P25" s="22">
        <f t="shared" si="45"/>
        <v>-0.18324871283782601</v>
      </c>
      <c r="Q25" s="24">
        <f t="shared" si="31"/>
        <v>-2.4296259675147946</v>
      </c>
      <c r="R25" s="35">
        <f>MAX('BATS 2023 TLFD'!N13,0.0001)</f>
        <v>1.2063310376892194E-2</v>
      </c>
      <c r="S25" s="44">
        <f>modeldata!C13/modeldata!C$156</f>
        <v>6.6666666666666671E-3</v>
      </c>
      <c r="T25" s="47">
        <f t="shared" si="22"/>
        <v>-0.44736009781884056</v>
      </c>
      <c r="U25" s="53">
        <f t="shared" si="3"/>
        <v>0</v>
      </c>
      <c r="V25" s="54">
        <f t="shared" si="4"/>
        <v>0</v>
      </c>
      <c r="W25" s="55">
        <f t="shared" si="5"/>
        <v>-2.4296259675147946</v>
      </c>
      <c r="X25" s="56">
        <f t="shared" si="46"/>
        <v>-0.18324871283782596</v>
      </c>
      <c r="Y25" s="57">
        <f t="shared" si="32"/>
        <v>-2.4296259675147946</v>
      </c>
      <c r="AA25" s="38" t="s">
        <v>10</v>
      </c>
      <c r="AB25" s="22">
        <f t="shared" si="47"/>
        <v>-0.10927638842708701</v>
      </c>
      <c r="AC25" s="24">
        <f t="shared" si="33"/>
        <v>-2.2536000719557561</v>
      </c>
      <c r="AD25" s="35">
        <f>MAX('BATS 2023 TLFD'!O13,0.0001)</f>
        <v>2.5114411506170175E-2</v>
      </c>
      <c r="AE25" s="44">
        <f>modeldata!D13/modeldata!D$156</f>
        <v>6.6666666666666671E-3</v>
      </c>
      <c r="AF25" s="47">
        <f t="shared" si="23"/>
        <v>-0.73454816311229176</v>
      </c>
      <c r="AG25" s="53">
        <f t="shared" si="6"/>
        <v>0</v>
      </c>
      <c r="AH25" s="54">
        <f t="shared" si="7"/>
        <v>0</v>
      </c>
      <c r="AI25" s="55">
        <f t="shared" si="8"/>
        <v>-2.2536000719557561</v>
      </c>
      <c r="AJ25" s="56">
        <f t="shared" si="48"/>
        <v>-0.10927638842708691</v>
      </c>
      <c r="AK25" s="57">
        <f t="shared" si="34"/>
        <v>-2.2536000719557556</v>
      </c>
      <c r="AM25" s="38" t="s">
        <v>10</v>
      </c>
      <c r="AN25" s="22">
        <f t="shared" si="49"/>
        <v>-0.123766678676451</v>
      </c>
      <c r="AO25" s="24">
        <f t="shared" si="35"/>
        <v>-2.5743463529441115</v>
      </c>
      <c r="AP25" s="35">
        <f>MAX('BATS 2023 TLFD'!P13,0.0001)</f>
        <v>1.5023082959876356E-2</v>
      </c>
      <c r="AQ25" s="44">
        <f>modeldata!E13/modeldata!E$156</f>
        <v>6.6666666666666671E-3</v>
      </c>
      <c r="AR25" s="47">
        <f t="shared" si="24"/>
        <v>-0.55623844423464885</v>
      </c>
      <c r="AS25" s="53">
        <f t="shared" si="9"/>
        <v>0</v>
      </c>
      <c r="AT25" s="54">
        <f t="shared" si="10"/>
        <v>0</v>
      </c>
      <c r="AU25" s="55">
        <f t="shared" si="11"/>
        <v>-2.5743463529441115</v>
      </c>
      <c r="AV25" s="56">
        <f t="shared" si="50"/>
        <v>-0.12376667867645086</v>
      </c>
      <c r="AW25" s="57">
        <f t="shared" si="36"/>
        <v>-2.5743463529441115</v>
      </c>
      <c r="AY25" s="38" t="s">
        <v>10</v>
      </c>
      <c r="AZ25" s="22">
        <f t="shared" si="51"/>
        <v>-0.13060067927808</v>
      </c>
      <c r="BA25" s="24">
        <f t="shared" si="37"/>
        <v>-3.1360664339035962</v>
      </c>
      <c r="BB25" s="35">
        <f>MAX('BATS 2023 TLFD'!Q13,0.0001)</f>
        <v>6.8844824606414719E-3</v>
      </c>
      <c r="BC25" s="44">
        <f>modeldata!F13/modeldata!F$156</f>
        <v>6.6666666666666671E-3</v>
      </c>
      <c r="BD25" s="47">
        <f t="shared" si="25"/>
        <v>-3.1638659146864839E-2</v>
      </c>
      <c r="BE25" s="53">
        <f t="shared" si="12"/>
        <v>0</v>
      </c>
      <c r="BF25" s="54">
        <f t="shared" si="13"/>
        <v>0</v>
      </c>
      <c r="BG25" s="55">
        <f t="shared" si="14"/>
        <v>-3.1360664339035962</v>
      </c>
      <c r="BH25" s="56">
        <f t="shared" si="52"/>
        <v>-0.13060067927807983</v>
      </c>
      <c r="BI25" s="57">
        <f t="shared" si="38"/>
        <v>-3.1360664339035962</v>
      </c>
      <c r="BK25" s="38" t="s">
        <v>10</v>
      </c>
      <c r="BL25" s="22">
        <f t="shared" si="53"/>
        <v>-0.119295888721189</v>
      </c>
      <c r="BM25" s="24">
        <f t="shared" si="39"/>
        <v>-2.2990769332570626</v>
      </c>
      <c r="BN25" s="35">
        <f>MAX('BATS 2023 TLFD'!R13,0.0001)</f>
        <v>1.5168305137769449E-2</v>
      </c>
      <c r="BO25" s="44">
        <f>modeldata!G13/modeldata!G$156</f>
        <v>6.6666666666666671E-3</v>
      </c>
      <c r="BP25" s="47">
        <f t="shared" si="26"/>
        <v>-0.56048704149110862</v>
      </c>
      <c r="BQ25" s="53">
        <f t="shared" si="15"/>
        <v>0</v>
      </c>
      <c r="BR25" s="54">
        <f t="shared" si="16"/>
        <v>0</v>
      </c>
      <c r="BS25" s="55">
        <f t="shared" si="17"/>
        <v>-2.2990769332570626</v>
      </c>
      <c r="BT25" s="56">
        <f t="shared" si="54"/>
        <v>-0.11929588872118883</v>
      </c>
      <c r="BU25" s="57">
        <f t="shared" si="40"/>
        <v>-2.2990769332570622</v>
      </c>
      <c r="BW25" s="38" t="s">
        <v>10</v>
      </c>
      <c r="BX25" s="22">
        <f t="shared" si="55"/>
        <v>-0.204473452523388</v>
      </c>
      <c r="BY25" s="24">
        <f t="shared" si="41"/>
        <v>-3.9621560601837427</v>
      </c>
      <c r="BZ25" s="35">
        <f>MAX('BATS 2023 TLFD'!S13,0.0001)</f>
        <v>1.2906973802967283E-2</v>
      </c>
      <c r="CA25" s="44">
        <f>modeldata!H13/modeldata!H$156</f>
        <v>6.6666666666666671E-3</v>
      </c>
      <c r="CB25" s="47">
        <f t="shared" si="27"/>
        <v>-0.48348336578059714</v>
      </c>
      <c r="CC25" s="53">
        <f t="shared" si="18"/>
        <v>0</v>
      </c>
      <c r="CD25" s="54">
        <f t="shared" si="19"/>
        <v>0</v>
      </c>
      <c r="CE25" s="55">
        <f t="shared" si="20"/>
        <v>-3.9621560601837427</v>
      </c>
      <c r="CF25" s="56">
        <f t="shared" si="56"/>
        <v>-0.20447345252338778</v>
      </c>
      <c r="CG25" s="57">
        <f t="shared" si="42"/>
        <v>-3.9621560601837427</v>
      </c>
    </row>
    <row r="26" spans="1:85" x14ac:dyDescent="0.25">
      <c r="A26" s="81">
        <f t="shared" si="28"/>
        <v>10.5</v>
      </c>
      <c r="B26" s="83">
        <f t="shared" si="28"/>
        <v>10</v>
      </c>
      <c r="C26" s="38" t="s">
        <v>11</v>
      </c>
      <c r="D26" s="22">
        <f t="shared" si="43"/>
        <v>-0.21370826062045101</v>
      </c>
      <c r="E26" s="24">
        <f t="shared" si="29"/>
        <v>-3.9696719482424472</v>
      </c>
      <c r="F26" s="35">
        <f>MAX('BATS 2023 TLFD'!M14,0.0001)</f>
        <v>7.4337646616278027E-3</v>
      </c>
      <c r="G26" s="44">
        <f>modeldata!B14/modeldata!B$156</f>
        <v>6.6666666666666671E-3</v>
      </c>
      <c r="H26" s="47">
        <f t="shared" si="21"/>
        <v>-0.10319105189337013</v>
      </c>
      <c r="I26" s="53">
        <f t="shared" si="0"/>
        <v>0</v>
      </c>
      <c r="J26" s="54">
        <f t="shared" si="1"/>
        <v>0</v>
      </c>
      <c r="K26" s="55">
        <f t="shared" si="2"/>
        <v>-3.9696719482424472</v>
      </c>
      <c r="L26" s="56">
        <f t="shared" si="44"/>
        <v>-0.21370826062045101</v>
      </c>
      <c r="M26" s="57">
        <f t="shared" si="30"/>
        <v>-3.9696719482424472</v>
      </c>
      <c r="O26" s="38" t="s">
        <v>11</v>
      </c>
      <c r="P26" s="22">
        <f t="shared" si="45"/>
        <v>-0.18324871283782601</v>
      </c>
      <c r="Q26" s="24">
        <f t="shared" si="31"/>
        <v>-2.6128746803526206</v>
      </c>
      <c r="R26" s="35">
        <f>MAX('BATS 2023 TLFD'!N14,0.0001)</f>
        <v>1.4428634760285478E-2</v>
      </c>
      <c r="S26" s="44">
        <f>modeldata!C14/modeldata!C$156</f>
        <v>6.6666666666666671E-3</v>
      </c>
      <c r="T26" s="47">
        <f t="shared" si="22"/>
        <v>-0.53795582344238624</v>
      </c>
      <c r="U26" s="53">
        <f t="shared" si="3"/>
        <v>0</v>
      </c>
      <c r="V26" s="54">
        <f t="shared" si="4"/>
        <v>0</v>
      </c>
      <c r="W26" s="55">
        <f t="shared" si="5"/>
        <v>-2.6128746803526206</v>
      </c>
      <c r="X26" s="56">
        <f t="shared" si="46"/>
        <v>-0.18324871283782596</v>
      </c>
      <c r="Y26" s="57">
        <f t="shared" si="32"/>
        <v>-2.6128746803526206</v>
      </c>
      <c r="AA26" s="38" t="s">
        <v>11</v>
      </c>
      <c r="AB26" s="22">
        <f t="shared" si="47"/>
        <v>-0.10927638842708701</v>
      </c>
      <c r="AC26" s="24">
        <f t="shared" si="33"/>
        <v>-2.3628764603828429</v>
      </c>
      <c r="AD26" s="35">
        <f>MAX('BATS 2023 TLFD'!O14,0.0001)</f>
        <v>6.107573195274228E-3</v>
      </c>
      <c r="AE26" s="44">
        <f>modeldata!D14/modeldata!D$156</f>
        <v>6.6666666666666671E-3</v>
      </c>
      <c r="AF26" s="47">
        <f t="shared" si="23"/>
        <v>9.1541018587389347E-2</v>
      </c>
      <c r="AG26" s="53">
        <f t="shared" si="6"/>
        <v>0</v>
      </c>
      <c r="AH26" s="54">
        <f t="shared" si="7"/>
        <v>0</v>
      </c>
      <c r="AI26" s="55">
        <f t="shared" si="8"/>
        <v>-2.3628764603828429</v>
      </c>
      <c r="AJ26" s="56">
        <f t="shared" si="48"/>
        <v>-0.10927638842708691</v>
      </c>
      <c r="AK26" s="57">
        <f t="shared" si="34"/>
        <v>-2.3628764603828425</v>
      </c>
      <c r="AM26" s="38" t="s">
        <v>11</v>
      </c>
      <c r="AN26" s="22">
        <f t="shared" si="49"/>
        <v>-0.123766678676451</v>
      </c>
      <c r="AO26" s="24">
        <f t="shared" si="35"/>
        <v>-2.6981130316205624</v>
      </c>
      <c r="AP26" s="35">
        <f>MAX('BATS 2023 TLFD'!P14,0.0001)</f>
        <v>4.5616169193878767E-3</v>
      </c>
      <c r="AQ26" s="44">
        <f>modeldata!E14/modeldata!E$156</f>
        <v>6.6666666666666671E-3</v>
      </c>
      <c r="AR26" s="47">
        <f t="shared" si="24"/>
        <v>0.46147008494550806</v>
      </c>
      <c r="AS26" s="53">
        <f t="shared" si="9"/>
        <v>0</v>
      </c>
      <c r="AT26" s="54">
        <f t="shared" si="10"/>
        <v>0</v>
      </c>
      <c r="AU26" s="55">
        <f t="shared" si="11"/>
        <v>-2.6981130316205624</v>
      </c>
      <c r="AV26" s="56">
        <f t="shared" si="50"/>
        <v>-0.12376667867645086</v>
      </c>
      <c r="AW26" s="57">
        <f t="shared" si="36"/>
        <v>-2.6981130316205624</v>
      </c>
      <c r="AY26" s="38" t="s">
        <v>11</v>
      </c>
      <c r="AZ26" s="22">
        <f t="shared" si="51"/>
        <v>-0.13060067927808</v>
      </c>
      <c r="BA26" s="24">
        <f t="shared" si="37"/>
        <v>-3.266667113181676</v>
      </c>
      <c r="BB26" s="35">
        <f>MAX('BATS 2023 TLFD'!Q14,0.0001)</f>
        <v>7.3966956717126777E-3</v>
      </c>
      <c r="BC26" s="44">
        <f>modeldata!F14/modeldata!F$156</f>
        <v>6.6666666666666671E-3</v>
      </c>
      <c r="BD26" s="47">
        <f t="shared" si="25"/>
        <v>-9.8696639343683459E-2</v>
      </c>
      <c r="BE26" s="53">
        <f t="shared" si="12"/>
        <v>0</v>
      </c>
      <c r="BF26" s="54">
        <f t="shared" si="13"/>
        <v>0</v>
      </c>
      <c r="BG26" s="55">
        <f t="shared" si="14"/>
        <v>-3.266667113181676</v>
      </c>
      <c r="BH26" s="56">
        <f t="shared" si="52"/>
        <v>-0.13060067927807983</v>
      </c>
      <c r="BI26" s="57">
        <f t="shared" si="38"/>
        <v>-3.266667113181676</v>
      </c>
      <c r="BK26" s="38" t="s">
        <v>11</v>
      </c>
      <c r="BL26" s="22">
        <f t="shared" si="53"/>
        <v>-0.119295888721189</v>
      </c>
      <c r="BM26" s="24">
        <f t="shared" si="39"/>
        <v>-2.4183728219782514</v>
      </c>
      <c r="BN26" s="35">
        <f>MAX('BATS 2023 TLFD'!R14,0.0001)</f>
        <v>2.270558951798239E-3</v>
      </c>
      <c r="BO26" s="44">
        <f>modeldata!G14/modeldata!G$156</f>
        <v>6.6666666666666671E-3</v>
      </c>
      <c r="BP26" s="47">
        <f t="shared" si="26"/>
        <v>1.9361345854450489</v>
      </c>
      <c r="BQ26" s="53">
        <f t="shared" si="15"/>
        <v>0</v>
      </c>
      <c r="BR26" s="54">
        <f t="shared" si="16"/>
        <v>0</v>
      </c>
      <c r="BS26" s="55">
        <f t="shared" si="17"/>
        <v>-2.4183728219782514</v>
      </c>
      <c r="BT26" s="56">
        <f t="shared" si="54"/>
        <v>-0.11929588872118883</v>
      </c>
      <c r="BU26" s="57">
        <f t="shared" si="40"/>
        <v>-2.418372821978251</v>
      </c>
      <c r="BW26" s="38" t="s">
        <v>11</v>
      </c>
      <c r="BX26" s="22">
        <f t="shared" si="55"/>
        <v>-0.204473452523388</v>
      </c>
      <c r="BY26" s="24">
        <f t="shared" si="41"/>
        <v>-4.1666295127071304</v>
      </c>
      <c r="BZ26" s="35">
        <f>MAX('BATS 2023 TLFD'!S14,0.0001)</f>
        <v>1.6934566711981713E-3</v>
      </c>
      <c r="CA26" s="44">
        <f>modeldata!H14/modeldata!H$156</f>
        <v>6.6666666666666671E-3</v>
      </c>
      <c r="CB26" s="47">
        <f t="shared" si="27"/>
        <v>2.9367211337918677</v>
      </c>
      <c r="CC26" s="53">
        <f t="shared" si="18"/>
        <v>0</v>
      </c>
      <c r="CD26" s="54">
        <f t="shared" si="19"/>
        <v>0</v>
      </c>
      <c r="CE26" s="55">
        <f t="shared" si="20"/>
        <v>-4.1666295127071304</v>
      </c>
      <c r="CF26" s="56">
        <f t="shared" si="56"/>
        <v>-0.20447345252338778</v>
      </c>
      <c r="CG26" s="57">
        <f t="shared" si="42"/>
        <v>-4.1666295127071304</v>
      </c>
    </row>
    <row r="27" spans="1:85" x14ac:dyDescent="0.25">
      <c r="A27" s="81">
        <f t="shared" si="28"/>
        <v>11.5</v>
      </c>
      <c r="B27" s="83">
        <f t="shared" si="28"/>
        <v>11</v>
      </c>
      <c r="C27" s="38" t="s">
        <v>12</v>
      </c>
      <c r="D27" s="22">
        <f t="shared" si="43"/>
        <v>-0.21370826062045101</v>
      </c>
      <c r="E27" s="24">
        <f t="shared" si="29"/>
        <v>-4.1833802088628982</v>
      </c>
      <c r="F27" s="35">
        <f>MAX('BATS 2023 TLFD'!M15,0.0001)</f>
        <v>1.9117327540440663E-3</v>
      </c>
      <c r="G27" s="44">
        <f>modeldata!B15/modeldata!B$156</f>
        <v>6.6666666666666671E-3</v>
      </c>
      <c r="H27" s="47">
        <f t="shared" si="21"/>
        <v>2.4872377703233082</v>
      </c>
      <c r="I27" s="53">
        <f t="shared" si="0"/>
        <v>0</v>
      </c>
      <c r="J27" s="54">
        <f t="shared" si="1"/>
        <v>0</v>
      </c>
      <c r="K27" s="55">
        <f t="shared" si="2"/>
        <v>-4.1833802088628982</v>
      </c>
      <c r="L27" s="56">
        <f t="shared" si="44"/>
        <v>-0.21370826062045101</v>
      </c>
      <c r="M27" s="57">
        <f t="shared" si="30"/>
        <v>-4.1833802088628982</v>
      </c>
      <c r="O27" s="38" t="s">
        <v>12</v>
      </c>
      <c r="P27" s="22">
        <f t="shared" si="45"/>
        <v>-0.18324871283782601</v>
      </c>
      <c r="Q27" s="24">
        <f t="shared" si="31"/>
        <v>-2.7961233931904466</v>
      </c>
      <c r="R27" s="35">
        <f>MAX('BATS 2023 TLFD'!N15,0.0001)</f>
        <v>5.0530418326840878E-3</v>
      </c>
      <c r="S27" s="44">
        <f>modeldata!C15/modeldata!C$156</f>
        <v>6.6666666666666671E-3</v>
      </c>
      <c r="T27" s="47">
        <f t="shared" si="22"/>
        <v>0.31933731946277</v>
      </c>
      <c r="U27" s="53">
        <f t="shared" si="3"/>
        <v>0</v>
      </c>
      <c r="V27" s="54">
        <f t="shared" si="4"/>
        <v>0</v>
      </c>
      <c r="W27" s="55">
        <f t="shared" si="5"/>
        <v>-2.7961233931904466</v>
      </c>
      <c r="X27" s="56">
        <f t="shared" si="46"/>
        <v>-0.18324871283782596</v>
      </c>
      <c r="Y27" s="57">
        <f t="shared" si="32"/>
        <v>-2.7961233931904466</v>
      </c>
      <c r="AA27" s="38" t="s">
        <v>12</v>
      </c>
      <c r="AB27" s="22">
        <f t="shared" si="47"/>
        <v>-0.10927638842708701</v>
      </c>
      <c r="AC27" s="24">
        <f t="shared" si="33"/>
        <v>-2.4721528488099298</v>
      </c>
      <c r="AD27" s="35">
        <f>MAX('BATS 2023 TLFD'!O15,0.0001)</f>
        <v>6.3601401821705913E-3</v>
      </c>
      <c r="AE27" s="44">
        <f>modeldata!D15/modeldata!D$156</f>
        <v>6.6666666666666671E-3</v>
      </c>
      <c r="AF27" s="47">
        <f t="shared" si="23"/>
        <v>4.8194925853263862E-2</v>
      </c>
      <c r="AG27" s="53">
        <f t="shared" si="6"/>
        <v>0</v>
      </c>
      <c r="AH27" s="54">
        <f t="shared" si="7"/>
        <v>0</v>
      </c>
      <c r="AI27" s="55">
        <f t="shared" si="8"/>
        <v>-2.4721528488099298</v>
      </c>
      <c r="AJ27" s="56">
        <f t="shared" si="48"/>
        <v>-0.10927638842708691</v>
      </c>
      <c r="AK27" s="57">
        <f t="shared" si="34"/>
        <v>-2.4721528488099294</v>
      </c>
      <c r="AM27" s="38" t="s">
        <v>12</v>
      </c>
      <c r="AN27" s="22">
        <f t="shared" si="49"/>
        <v>-0.123766678676451</v>
      </c>
      <c r="AO27" s="24">
        <f t="shared" si="35"/>
        <v>-2.8218797102970132</v>
      </c>
      <c r="AP27" s="35">
        <f>MAX('BATS 2023 TLFD'!P15,0.0001)</f>
        <v>8.6006682990515861E-3</v>
      </c>
      <c r="AQ27" s="44">
        <f>modeldata!E15/modeldata!E$156</f>
        <v>6.6666666666666671E-3</v>
      </c>
      <c r="AR27" s="47">
        <f t="shared" si="24"/>
        <v>-0.22486643655332988</v>
      </c>
      <c r="AS27" s="53">
        <f t="shared" si="9"/>
        <v>0</v>
      </c>
      <c r="AT27" s="54">
        <f t="shared" si="10"/>
        <v>0</v>
      </c>
      <c r="AU27" s="55">
        <f t="shared" si="11"/>
        <v>-2.8218797102970132</v>
      </c>
      <c r="AV27" s="56">
        <f t="shared" si="50"/>
        <v>-0.12376667867645086</v>
      </c>
      <c r="AW27" s="57">
        <f t="shared" si="36"/>
        <v>-2.8218797102970132</v>
      </c>
      <c r="AY27" s="38" t="s">
        <v>12</v>
      </c>
      <c r="AZ27" s="22">
        <f t="shared" si="51"/>
        <v>-0.13060067927808</v>
      </c>
      <c r="BA27" s="24">
        <f t="shared" si="37"/>
        <v>-3.3972677924597559</v>
      </c>
      <c r="BB27" s="35">
        <f>MAX('BATS 2023 TLFD'!Q15,0.0001)</f>
        <v>3.1725354466774634E-3</v>
      </c>
      <c r="BC27" s="44">
        <f>modeldata!F15/modeldata!F$156</f>
        <v>6.6666666666666671E-3</v>
      </c>
      <c r="BD27" s="47">
        <f t="shared" si="25"/>
        <v>1.1013686934998761</v>
      </c>
      <c r="BE27" s="53">
        <f t="shared" si="12"/>
        <v>0</v>
      </c>
      <c r="BF27" s="54">
        <f t="shared" si="13"/>
        <v>0</v>
      </c>
      <c r="BG27" s="55">
        <f t="shared" si="14"/>
        <v>-3.3972677924597559</v>
      </c>
      <c r="BH27" s="56">
        <f t="shared" si="52"/>
        <v>-0.13060067927807983</v>
      </c>
      <c r="BI27" s="57">
        <f t="shared" si="38"/>
        <v>-3.3972677924597559</v>
      </c>
      <c r="BK27" s="38" t="s">
        <v>12</v>
      </c>
      <c r="BL27" s="22">
        <f t="shared" si="53"/>
        <v>-0.119295888721189</v>
      </c>
      <c r="BM27" s="24">
        <f t="shared" si="39"/>
        <v>-2.5376687106994402</v>
      </c>
      <c r="BN27" s="35">
        <f>MAX('BATS 2023 TLFD'!R15,0.0001)</f>
        <v>1.6735412372023958E-2</v>
      </c>
      <c r="BO27" s="44">
        <f>modeldata!G15/modeldata!G$156</f>
        <v>6.6666666666666671E-3</v>
      </c>
      <c r="BP27" s="47">
        <f t="shared" si="26"/>
        <v>-0.60164311948409965</v>
      </c>
      <c r="BQ27" s="53">
        <f t="shared" si="15"/>
        <v>0</v>
      </c>
      <c r="BR27" s="54">
        <f t="shared" si="16"/>
        <v>0</v>
      </c>
      <c r="BS27" s="55">
        <f t="shared" si="17"/>
        <v>-2.5376687106994402</v>
      </c>
      <c r="BT27" s="56">
        <f t="shared" si="54"/>
        <v>-0.11929588872118883</v>
      </c>
      <c r="BU27" s="57">
        <f t="shared" si="40"/>
        <v>-2.5376687106994398</v>
      </c>
      <c r="BW27" s="38" t="s">
        <v>12</v>
      </c>
      <c r="BX27" s="22">
        <f t="shared" si="55"/>
        <v>-0.204473452523388</v>
      </c>
      <c r="BY27" s="24">
        <f t="shared" si="41"/>
        <v>-4.3711029652305182</v>
      </c>
      <c r="BZ27" s="35">
        <f>MAX('BATS 2023 TLFD'!S15,0.0001)</f>
        <v>9.0061073999442884E-4</v>
      </c>
      <c r="CA27" s="44">
        <f>modeldata!H15/modeldata!H$156</f>
        <v>6.6666666666666671E-3</v>
      </c>
      <c r="CB27" s="47">
        <f t="shared" si="27"/>
        <v>6.4023841495693317</v>
      </c>
      <c r="CC27" s="53">
        <f t="shared" si="18"/>
        <v>0</v>
      </c>
      <c r="CD27" s="54">
        <f t="shared" si="19"/>
        <v>0</v>
      </c>
      <c r="CE27" s="55">
        <f t="shared" si="20"/>
        <v>-4.3711029652305182</v>
      </c>
      <c r="CF27" s="56">
        <f t="shared" si="56"/>
        <v>-0.20447345252338778</v>
      </c>
      <c r="CG27" s="57">
        <f t="shared" si="42"/>
        <v>-4.3711029652305182</v>
      </c>
    </row>
    <row r="28" spans="1:85" x14ac:dyDescent="0.25">
      <c r="A28" s="81">
        <f t="shared" si="28"/>
        <v>12.5</v>
      </c>
      <c r="B28" s="83">
        <f t="shared" si="28"/>
        <v>12</v>
      </c>
      <c r="C28" s="38" t="s">
        <v>13</v>
      </c>
      <c r="D28" s="22">
        <f t="shared" si="43"/>
        <v>-0.21370826062045101</v>
      </c>
      <c r="E28" s="24">
        <f t="shared" si="29"/>
        <v>-4.3970884694833492</v>
      </c>
      <c r="F28" s="35">
        <f>MAX('BATS 2023 TLFD'!M16,0.0001)</f>
        <v>3.2445068811646949E-3</v>
      </c>
      <c r="G28" s="44">
        <f>modeldata!B16/modeldata!B$156</f>
        <v>6.6666666666666671E-3</v>
      </c>
      <c r="H28" s="47">
        <f t="shared" si="21"/>
        <v>1.0547549784432895</v>
      </c>
      <c r="I28" s="53">
        <f t="shared" si="0"/>
        <v>0</v>
      </c>
      <c r="J28" s="54">
        <f t="shared" si="1"/>
        <v>0</v>
      </c>
      <c r="K28" s="55">
        <f t="shared" si="2"/>
        <v>-4.3970884694833492</v>
      </c>
      <c r="L28" s="56">
        <f t="shared" si="44"/>
        <v>-0.21370826062045101</v>
      </c>
      <c r="M28" s="57">
        <f t="shared" si="30"/>
        <v>-4.3970884694833492</v>
      </c>
      <c r="O28" s="38" t="s">
        <v>13</v>
      </c>
      <c r="P28" s="22">
        <f t="shared" si="45"/>
        <v>-0.18324871283782601</v>
      </c>
      <c r="Q28" s="24">
        <f t="shared" si="31"/>
        <v>-2.9793721060282725</v>
      </c>
      <c r="R28" s="35">
        <f>MAX('BATS 2023 TLFD'!N16,0.0001)</f>
        <v>6.9922163544764455E-3</v>
      </c>
      <c r="S28" s="44">
        <f>modeldata!C16/modeldata!C$156</f>
        <v>6.6666666666666671E-3</v>
      </c>
      <c r="T28" s="47">
        <f t="shared" si="22"/>
        <v>-4.6558869363554536E-2</v>
      </c>
      <c r="U28" s="53">
        <f t="shared" si="3"/>
        <v>0</v>
      </c>
      <c r="V28" s="54">
        <f t="shared" si="4"/>
        <v>0</v>
      </c>
      <c r="W28" s="55">
        <f t="shared" si="5"/>
        <v>-2.9793721060282725</v>
      </c>
      <c r="X28" s="56">
        <f t="shared" si="46"/>
        <v>-0.18324871283782596</v>
      </c>
      <c r="Y28" s="57">
        <f t="shared" si="32"/>
        <v>-2.9793721060282725</v>
      </c>
      <c r="AA28" s="38" t="s">
        <v>13</v>
      </c>
      <c r="AB28" s="22">
        <f t="shared" si="47"/>
        <v>-0.10927638842708701</v>
      </c>
      <c r="AC28" s="24">
        <f t="shared" si="33"/>
        <v>-2.5814292372370167</v>
      </c>
      <c r="AD28" s="35">
        <f>MAX('BATS 2023 TLFD'!O16,0.0001)</f>
        <v>8.214118547524809E-4</v>
      </c>
      <c r="AE28" s="44">
        <f>modeldata!D16/modeldata!D$156</f>
        <v>6.6666666666666671E-3</v>
      </c>
      <c r="AF28" s="47">
        <f t="shared" si="23"/>
        <v>7.1161071977413313</v>
      </c>
      <c r="AG28" s="53">
        <f t="shared" si="6"/>
        <v>0</v>
      </c>
      <c r="AH28" s="54">
        <f t="shared" si="7"/>
        <v>0</v>
      </c>
      <c r="AI28" s="55">
        <f t="shared" si="8"/>
        <v>-2.5814292372370167</v>
      </c>
      <c r="AJ28" s="56">
        <f t="shared" si="48"/>
        <v>-0.10927638842708691</v>
      </c>
      <c r="AK28" s="57">
        <f t="shared" si="34"/>
        <v>-2.5814292372370162</v>
      </c>
      <c r="AM28" s="38" t="s">
        <v>13</v>
      </c>
      <c r="AN28" s="22">
        <f t="shared" si="49"/>
        <v>-0.123766678676451</v>
      </c>
      <c r="AO28" s="24">
        <f t="shared" si="35"/>
        <v>-2.9456463889734641</v>
      </c>
      <c r="AP28" s="35">
        <f>MAX('BATS 2023 TLFD'!P16,0.0001)</f>
        <v>1.0658938439249768E-2</v>
      </c>
      <c r="AQ28" s="44">
        <f>modeldata!E16/modeldata!E$156</f>
        <v>6.6666666666666671E-3</v>
      </c>
      <c r="AR28" s="47">
        <f t="shared" si="24"/>
        <v>-0.37454684585495157</v>
      </c>
      <c r="AS28" s="53">
        <f t="shared" si="9"/>
        <v>0</v>
      </c>
      <c r="AT28" s="54">
        <f t="shared" si="10"/>
        <v>0</v>
      </c>
      <c r="AU28" s="55">
        <f t="shared" si="11"/>
        <v>-2.9456463889734641</v>
      </c>
      <c r="AV28" s="56">
        <f t="shared" si="50"/>
        <v>-0.12376667867645086</v>
      </c>
      <c r="AW28" s="57">
        <f t="shared" si="36"/>
        <v>-2.9456463889734641</v>
      </c>
      <c r="AY28" s="38" t="s">
        <v>13</v>
      </c>
      <c r="AZ28" s="22">
        <f t="shared" si="51"/>
        <v>-0.13060067927808</v>
      </c>
      <c r="BA28" s="24">
        <f t="shared" si="37"/>
        <v>-3.5278684717378357</v>
      </c>
      <c r="BB28" s="35">
        <f>MAX('BATS 2023 TLFD'!Q16,0.0001)</f>
        <v>3.2622227589488915E-3</v>
      </c>
      <c r="BC28" s="44">
        <f>modeldata!F16/modeldata!F$156</f>
        <v>6.6666666666666671E-3</v>
      </c>
      <c r="BD28" s="47">
        <f t="shared" si="25"/>
        <v>1.0435963940165474</v>
      </c>
      <c r="BE28" s="53">
        <f t="shared" si="12"/>
        <v>0</v>
      </c>
      <c r="BF28" s="54">
        <f t="shared" si="13"/>
        <v>0</v>
      </c>
      <c r="BG28" s="55">
        <f t="shared" si="14"/>
        <v>-3.5278684717378357</v>
      </c>
      <c r="BH28" s="56">
        <f t="shared" si="52"/>
        <v>-0.13060067927807983</v>
      </c>
      <c r="BI28" s="57">
        <f t="shared" si="38"/>
        <v>-3.5278684717378357</v>
      </c>
      <c r="BK28" s="38" t="s">
        <v>13</v>
      </c>
      <c r="BL28" s="22">
        <f t="shared" si="53"/>
        <v>-0.119295888721189</v>
      </c>
      <c r="BM28" s="24">
        <f t="shared" si="39"/>
        <v>-2.656964599420629</v>
      </c>
      <c r="BN28" s="35">
        <f>MAX('BATS 2023 TLFD'!R16,0.0001)</f>
        <v>2.4918597655022041E-3</v>
      </c>
      <c r="BO28" s="44">
        <f>modeldata!G16/modeldata!G$156</f>
        <v>6.6666666666666671E-3</v>
      </c>
      <c r="BP28" s="47">
        <f t="shared" si="26"/>
        <v>1.6753779482141449</v>
      </c>
      <c r="BQ28" s="53">
        <f t="shared" si="15"/>
        <v>0</v>
      </c>
      <c r="BR28" s="54">
        <f t="shared" si="16"/>
        <v>0</v>
      </c>
      <c r="BS28" s="55">
        <f t="shared" si="17"/>
        <v>-2.656964599420629</v>
      </c>
      <c r="BT28" s="56">
        <f t="shared" si="54"/>
        <v>-0.11929588872118883</v>
      </c>
      <c r="BU28" s="57">
        <f t="shared" si="40"/>
        <v>-2.6569645994206286</v>
      </c>
      <c r="BW28" s="38" t="s">
        <v>13</v>
      </c>
      <c r="BX28" s="22">
        <f t="shared" si="55"/>
        <v>-0.204473452523388</v>
      </c>
      <c r="BY28" s="24">
        <f t="shared" si="41"/>
        <v>-4.575576417753906</v>
      </c>
      <c r="BZ28" s="35">
        <f>MAX('BATS 2023 TLFD'!S16,0.0001)</f>
        <v>1E-4</v>
      </c>
      <c r="CA28" s="44">
        <f>modeldata!H16/modeldata!H$156</f>
        <v>6.6666666666666671E-3</v>
      </c>
      <c r="CB28" s="47">
        <f t="shared" si="27"/>
        <v>65.666666666666671</v>
      </c>
      <c r="CC28" s="53">
        <f t="shared" si="18"/>
        <v>0</v>
      </c>
      <c r="CD28" s="54">
        <f t="shared" si="19"/>
        <v>0</v>
      </c>
      <c r="CE28" s="55">
        <f t="shared" si="20"/>
        <v>-4.575576417753906</v>
      </c>
      <c r="CF28" s="56">
        <f t="shared" si="56"/>
        <v>-0.20447345252338778</v>
      </c>
      <c r="CG28" s="57">
        <f t="shared" si="42"/>
        <v>-4.575576417753906</v>
      </c>
    </row>
    <row r="29" spans="1:85" x14ac:dyDescent="0.25">
      <c r="A29" s="81">
        <f t="shared" si="28"/>
        <v>13.5</v>
      </c>
      <c r="B29" s="83">
        <f t="shared" si="28"/>
        <v>13</v>
      </c>
      <c r="C29" s="38" t="s">
        <v>14</v>
      </c>
      <c r="D29" s="22">
        <f t="shared" si="43"/>
        <v>-0.21370826062045101</v>
      </c>
      <c r="E29" s="24">
        <f t="shared" si="29"/>
        <v>-4.6107967301038002</v>
      </c>
      <c r="F29" s="35">
        <f>MAX('BATS 2023 TLFD'!M17,0.0001)</f>
        <v>1.0640023759963704E-3</v>
      </c>
      <c r="G29" s="44">
        <f>modeldata!B17/modeldata!B$156</f>
        <v>6.6666666666666671E-3</v>
      </c>
      <c r="H29" s="47">
        <f t="shared" si="21"/>
        <v>5.2656501687073387</v>
      </c>
      <c r="I29" s="53">
        <f t="shared" si="0"/>
        <v>0</v>
      </c>
      <c r="J29" s="54">
        <f t="shared" si="1"/>
        <v>0</v>
      </c>
      <c r="K29" s="55">
        <f t="shared" si="2"/>
        <v>-4.6107967301038002</v>
      </c>
      <c r="L29" s="56">
        <f t="shared" si="44"/>
        <v>-0.21370826062045101</v>
      </c>
      <c r="M29" s="57">
        <f t="shared" si="30"/>
        <v>-4.6107967301038002</v>
      </c>
      <c r="O29" s="38" t="s">
        <v>14</v>
      </c>
      <c r="P29" s="22">
        <f t="shared" si="45"/>
        <v>-0.18324871283782601</v>
      </c>
      <c r="Q29" s="24">
        <f t="shared" si="31"/>
        <v>-3.1626208188660985</v>
      </c>
      <c r="R29" s="35">
        <f>MAX('BATS 2023 TLFD'!N17,0.0001)</f>
        <v>9.4696746996526908E-3</v>
      </c>
      <c r="S29" s="44">
        <f>modeldata!C17/modeldata!C$156</f>
        <v>6.6666666666666671E-3</v>
      </c>
      <c r="T29" s="47">
        <f t="shared" si="22"/>
        <v>-0.29599834438756661</v>
      </c>
      <c r="U29" s="53">
        <f t="shared" si="3"/>
        <v>0</v>
      </c>
      <c r="V29" s="54">
        <f t="shared" si="4"/>
        <v>0</v>
      </c>
      <c r="W29" s="55">
        <f t="shared" si="5"/>
        <v>-3.1626208188660985</v>
      </c>
      <c r="X29" s="56">
        <f t="shared" si="46"/>
        <v>-0.18324871283782596</v>
      </c>
      <c r="Y29" s="57">
        <f t="shared" si="32"/>
        <v>-3.1626208188660985</v>
      </c>
      <c r="AA29" s="38" t="s">
        <v>14</v>
      </c>
      <c r="AB29" s="22">
        <f t="shared" si="47"/>
        <v>-0.10927638842708701</v>
      </c>
      <c r="AC29" s="24">
        <f t="shared" si="33"/>
        <v>-2.6907056256641035</v>
      </c>
      <c r="AD29" s="35">
        <f>MAX('BATS 2023 TLFD'!O17,0.0001)</f>
        <v>3.658158508874982E-3</v>
      </c>
      <c r="AE29" s="44">
        <f>modeldata!D17/modeldata!D$156</f>
        <v>6.6666666666666671E-3</v>
      </c>
      <c r="AF29" s="47">
        <f t="shared" si="23"/>
        <v>0.82241055178249012</v>
      </c>
      <c r="AG29" s="53">
        <f t="shared" si="6"/>
        <v>0</v>
      </c>
      <c r="AH29" s="54">
        <f t="shared" si="7"/>
        <v>0</v>
      </c>
      <c r="AI29" s="55">
        <f t="shared" si="8"/>
        <v>-2.6907056256641035</v>
      </c>
      <c r="AJ29" s="56">
        <f t="shared" si="48"/>
        <v>-0.10927638842708691</v>
      </c>
      <c r="AK29" s="57">
        <f t="shared" si="34"/>
        <v>-2.6907056256641031</v>
      </c>
      <c r="AM29" s="38" t="s">
        <v>14</v>
      </c>
      <c r="AN29" s="22">
        <f t="shared" si="49"/>
        <v>-0.123766678676451</v>
      </c>
      <c r="AO29" s="24">
        <f t="shared" si="35"/>
        <v>-3.069413067649915</v>
      </c>
      <c r="AP29" s="35">
        <f>MAX('BATS 2023 TLFD'!P17,0.0001)</f>
        <v>7.3179996759910344E-3</v>
      </c>
      <c r="AQ29" s="44">
        <f>modeldata!E17/modeldata!E$156</f>
        <v>6.6666666666666671E-3</v>
      </c>
      <c r="AR29" s="47">
        <f t="shared" si="24"/>
        <v>-8.9004241344976698E-2</v>
      </c>
      <c r="AS29" s="53">
        <f t="shared" si="9"/>
        <v>0</v>
      </c>
      <c r="AT29" s="54">
        <f t="shared" si="10"/>
        <v>0</v>
      </c>
      <c r="AU29" s="55">
        <f t="shared" si="11"/>
        <v>-3.069413067649915</v>
      </c>
      <c r="AV29" s="56">
        <f t="shared" si="50"/>
        <v>-0.12376667867645086</v>
      </c>
      <c r="AW29" s="57">
        <f t="shared" si="36"/>
        <v>-3.069413067649915</v>
      </c>
      <c r="AY29" s="38" t="s">
        <v>14</v>
      </c>
      <c r="AZ29" s="22">
        <f t="shared" si="51"/>
        <v>-0.13060067927808</v>
      </c>
      <c r="BA29" s="24">
        <f t="shared" si="37"/>
        <v>-3.6584691510159155</v>
      </c>
      <c r="BB29" s="35">
        <f>MAX('BATS 2023 TLFD'!Q17,0.0001)</f>
        <v>5.9832264511699013E-3</v>
      </c>
      <c r="BC29" s="44">
        <f>modeldata!F17/modeldata!F$156</f>
        <v>6.6666666666666671E-3</v>
      </c>
      <c r="BD29" s="47">
        <f t="shared" si="25"/>
        <v>0.11422603190342773</v>
      </c>
      <c r="BE29" s="53">
        <f t="shared" si="12"/>
        <v>0</v>
      </c>
      <c r="BF29" s="54">
        <f t="shared" si="13"/>
        <v>0</v>
      </c>
      <c r="BG29" s="55">
        <f t="shared" si="14"/>
        <v>-3.6584691510159155</v>
      </c>
      <c r="BH29" s="56">
        <f t="shared" si="52"/>
        <v>-0.13060067927807983</v>
      </c>
      <c r="BI29" s="57">
        <f t="shared" si="38"/>
        <v>-3.6584691510159155</v>
      </c>
      <c r="BK29" s="38" t="s">
        <v>14</v>
      </c>
      <c r="BL29" s="22">
        <f t="shared" si="53"/>
        <v>-0.119295888721189</v>
      </c>
      <c r="BM29" s="24">
        <f t="shared" si="39"/>
        <v>-2.7762604881418178</v>
      </c>
      <c r="BN29" s="35">
        <f>MAX('BATS 2023 TLFD'!R17,0.0001)</f>
        <v>4.6550588001981544E-2</v>
      </c>
      <c r="BO29" s="44">
        <f>modeldata!G17/modeldata!G$156</f>
        <v>6.6666666666666671E-3</v>
      </c>
      <c r="BP29" s="47">
        <f t="shared" si="26"/>
        <v>-0.8567866282079426</v>
      </c>
      <c r="BQ29" s="53">
        <f t="shared" si="15"/>
        <v>0</v>
      </c>
      <c r="BR29" s="54">
        <f t="shared" si="16"/>
        <v>0</v>
      </c>
      <c r="BS29" s="55">
        <f t="shared" si="17"/>
        <v>-2.7762604881418178</v>
      </c>
      <c r="BT29" s="56">
        <f t="shared" si="54"/>
        <v>-0.11929588872118883</v>
      </c>
      <c r="BU29" s="57">
        <f t="shared" si="40"/>
        <v>-2.7762604881418174</v>
      </c>
      <c r="BW29" s="38" t="s">
        <v>14</v>
      </c>
      <c r="BX29" s="22">
        <f t="shared" si="55"/>
        <v>-0.204473452523388</v>
      </c>
      <c r="BY29" s="24">
        <f t="shared" si="41"/>
        <v>-4.7800498702772938</v>
      </c>
      <c r="BZ29" s="35">
        <f>MAX('BATS 2023 TLFD'!S17,0.0001)</f>
        <v>1.5423641740523011E-3</v>
      </c>
      <c r="CA29" s="44">
        <f>modeldata!H17/modeldata!H$156</f>
        <v>6.6666666666666671E-3</v>
      </c>
      <c r="CB29" s="47">
        <f t="shared" si="27"/>
        <v>3.3223687238216431</v>
      </c>
      <c r="CC29" s="53">
        <f t="shared" si="18"/>
        <v>0</v>
      </c>
      <c r="CD29" s="54">
        <f t="shared" si="19"/>
        <v>0</v>
      </c>
      <c r="CE29" s="55">
        <f t="shared" si="20"/>
        <v>-4.7800498702772938</v>
      </c>
      <c r="CF29" s="56">
        <f t="shared" si="56"/>
        <v>-0.20447345252338778</v>
      </c>
      <c r="CG29" s="57">
        <f t="shared" si="42"/>
        <v>-4.7800498702772938</v>
      </c>
    </row>
    <row r="30" spans="1:85" x14ac:dyDescent="0.25">
      <c r="A30" s="81">
        <f t="shared" si="28"/>
        <v>14.5</v>
      </c>
      <c r="B30" s="83">
        <f t="shared" si="28"/>
        <v>14</v>
      </c>
      <c r="C30" s="38" t="s">
        <v>15</v>
      </c>
      <c r="D30" s="22">
        <f t="shared" si="43"/>
        <v>-0.21370826062045101</v>
      </c>
      <c r="E30" s="24">
        <f t="shared" si="29"/>
        <v>-4.8245049907242512</v>
      </c>
      <c r="F30" s="35">
        <f>MAX('BATS 2023 TLFD'!M18,0.0001)</f>
        <v>8.9072053915684873E-3</v>
      </c>
      <c r="G30" s="44">
        <f>modeldata!B18/modeldata!B$156</f>
        <v>6.6666666666666671E-3</v>
      </c>
      <c r="H30" s="47">
        <f t="shared" si="21"/>
        <v>-0.25154227688773206</v>
      </c>
      <c r="I30" s="53">
        <f t="shared" si="0"/>
        <v>0</v>
      </c>
      <c r="J30" s="54">
        <f t="shared" si="1"/>
        <v>0</v>
      </c>
      <c r="K30" s="55">
        <f t="shared" si="2"/>
        <v>-4.8245049907242512</v>
      </c>
      <c r="L30" s="56">
        <f t="shared" si="44"/>
        <v>-0.21370826062045101</v>
      </c>
      <c r="M30" s="57">
        <f t="shared" si="30"/>
        <v>-4.8245049907242512</v>
      </c>
      <c r="O30" s="38" t="s">
        <v>15</v>
      </c>
      <c r="P30" s="22">
        <f t="shared" si="45"/>
        <v>-0.18324871283782601</v>
      </c>
      <c r="Q30" s="24">
        <f t="shared" si="31"/>
        <v>-3.3458695317039244</v>
      </c>
      <c r="R30" s="35">
        <f>MAX('BATS 2023 TLFD'!N18,0.0001)</f>
        <v>3.8707186336944294E-3</v>
      </c>
      <c r="S30" s="44">
        <f>modeldata!C18/modeldata!C$156</f>
        <v>6.6666666666666671E-3</v>
      </c>
      <c r="T30" s="47">
        <f t="shared" si="22"/>
        <v>0.72233305945661808</v>
      </c>
      <c r="U30" s="53">
        <f t="shared" si="3"/>
        <v>0</v>
      </c>
      <c r="V30" s="54">
        <f t="shared" si="4"/>
        <v>0</v>
      </c>
      <c r="W30" s="55">
        <f t="shared" si="5"/>
        <v>-3.3458695317039244</v>
      </c>
      <c r="X30" s="56">
        <f t="shared" si="46"/>
        <v>-0.18324871283782596</v>
      </c>
      <c r="Y30" s="57">
        <f t="shared" si="32"/>
        <v>-3.3458695317039244</v>
      </c>
      <c r="AA30" s="38" t="s">
        <v>15</v>
      </c>
      <c r="AB30" s="22">
        <f t="shared" si="47"/>
        <v>-0.10927638842708701</v>
      </c>
      <c r="AC30" s="24">
        <f t="shared" si="33"/>
        <v>-2.7999820140911904</v>
      </c>
      <c r="AD30" s="35">
        <f>MAX('BATS 2023 TLFD'!O18,0.0001)</f>
        <v>5.978770774915463E-3</v>
      </c>
      <c r="AE30" s="44">
        <f>modeldata!D18/modeldata!D$156</f>
        <v>6.6666666666666671E-3</v>
      </c>
      <c r="AF30" s="47">
        <f t="shared" si="23"/>
        <v>0.11505640835693866</v>
      </c>
      <c r="AG30" s="53">
        <f t="shared" si="6"/>
        <v>0</v>
      </c>
      <c r="AH30" s="54">
        <f t="shared" si="7"/>
        <v>0</v>
      </c>
      <c r="AI30" s="55">
        <f t="shared" si="8"/>
        <v>-2.7999820140911904</v>
      </c>
      <c r="AJ30" s="56">
        <f t="shared" si="48"/>
        <v>-0.10927638842708691</v>
      </c>
      <c r="AK30" s="57">
        <f t="shared" si="34"/>
        <v>-2.79998201409119</v>
      </c>
      <c r="AM30" s="38" t="s">
        <v>15</v>
      </c>
      <c r="AN30" s="22">
        <f t="shared" si="49"/>
        <v>-0.123766678676451</v>
      </c>
      <c r="AO30" s="24">
        <f t="shared" si="35"/>
        <v>-3.1931797463263658</v>
      </c>
      <c r="AP30" s="35">
        <f>MAX('BATS 2023 TLFD'!P18,0.0001)</f>
        <v>1.9002367313802409E-3</v>
      </c>
      <c r="AQ30" s="44">
        <f>modeldata!E18/modeldata!E$156</f>
        <v>6.6666666666666671E-3</v>
      </c>
      <c r="AR30" s="47">
        <f t="shared" si="24"/>
        <v>2.508334807223898</v>
      </c>
      <c r="AS30" s="53">
        <f t="shared" si="9"/>
        <v>0</v>
      </c>
      <c r="AT30" s="54">
        <f t="shared" si="10"/>
        <v>0</v>
      </c>
      <c r="AU30" s="55">
        <f t="shared" si="11"/>
        <v>-3.1931797463263658</v>
      </c>
      <c r="AV30" s="56">
        <f t="shared" si="50"/>
        <v>-0.12376667867645086</v>
      </c>
      <c r="AW30" s="57">
        <f t="shared" si="36"/>
        <v>-3.1931797463263658</v>
      </c>
      <c r="AY30" s="38" t="s">
        <v>15</v>
      </c>
      <c r="AZ30" s="22">
        <f t="shared" si="51"/>
        <v>-0.13060067927808</v>
      </c>
      <c r="BA30" s="24">
        <f t="shared" si="37"/>
        <v>-3.7890698302939954</v>
      </c>
      <c r="BB30" s="35">
        <f>MAX('BATS 2023 TLFD'!Q18,0.0001)</f>
        <v>5.5699249437773397E-3</v>
      </c>
      <c r="BC30" s="44">
        <f>modeldata!F18/modeldata!F$156</f>
        <v>6.6666666666666671E-3</v>
      </c>
      <c r="BD30" s="47">
        <f t="shared" si="25"/>
        <v>0.1969042193494179</v>
      </c>
      <c r="BE30" s="53">
        <f t="shared" si="12"/>
        <v>0</v>
      </c>
      <c r="BF30" s="54">
        <f t="shared" si="13"/>
        <v>0</v>
      </c>
      <c r="BG30" s="55">
        <f t="shared" si="14"/>
        <v>-3.7890698302939954</v>
      </c>
      <c r="BH30" s="56">
        <f t="shared" si="52"/>
        <v>-0.13060067927807983</v>
      </c>
      <c r="BI30" s="57">
        <f t="shared" si="38"/>
        <v>-3.7890698302939954</v>
      </c>
      <c r="BK30" s="38" t="s">
        <v>15</v>
      </c>
      <c r="BL30" s="22">
        <f t="shared" si="53"/>
        <v>-0.119295888721189</v>
      </c>
      <c r="BM30" s="24">
        <f t="shared" si="39"/>
        <v>-2.8955563768630066</v>
      </c>
      <c r="BN30" s="35">
        <f>MAX('BATS 2023 TLFD'!R18,0.0001)</f>
        <v>8.2946091891458122E-4</v>
      </c>
      <c r="BO30" s="44">
        <f>modeldata!G18/modeldata!G$156</f>
        <v>6.6666666666666671E-3</v>
      </c>
      <c r="BP30" s="47">
        <f t="shared" si="26"/>
        <v>7.0373487341520038</v>
      </c>
      <c r="BQ30" s="53">
        <f t="shared" si="15"/>
        <v>0</v>
      </c>
      <c r="BR30" s="54">
        <f t="shared" si="16"/>
        <v>0</v>
      </c>
      <c r="BS30" s="55">
        <f t="shared" si="17"/>
        <v>-2.8955563768630066</v>
      </c>
      <c r="BT30" s="56">
        <f t="shared" si="54"/>
        <v>-0.11929588872118883</v>
      </c>
      <c r="BU30" s="57">
        <f t="shared" si="40"/>
        <v>-2.8955563768630062</v>
      </c>
      <c r="BW30" s="38" t="s">
        <v>15</v>
      </c>
      <c r="BX30" s="22">
        <f t="shared" si="55"/>
        <v>-0.204473452523388</v>
      </c>
      <c r="BY30" s="24">
        <f t="shared" si="41"/>
        <v>-4.9845233228006816</v>
      </c>
      <c r="BZ30" s="35">
        <f>MAX('BATS 2023 TLFD'!S18,0.0001)</f>
        <v>3.7785111256011042E-3</v>
      </c>
      <c r="CA30" s="44">
        <f>modeldata!H18/modeldata!H$156</f>
        <v>6.6666666666666671E-3</v>
      </c>
      <c r="CB30" s="47">
        <f t="shared" si="27"/>
        <v>0.76436338151739613</v>
      </c>
      <c r="CC30" s="53">
        <f t="shared" si="18"/>
        <v>0</v>
      </c>
      <c r="CD30" s="54">
        <f t="shared" si="19"/>
        <v>0</v>
      </c>
      <c r="CE30" s="55">
        <f t="shared" si="20"/>
        <v>-4.9845233228006816</v>
      </c>
      <c r="CF30" s="56">
        <f t="shared" si="56"/>
        <v>-0.20447345252338778</v>
      </c>
      <c r="CG30" s="57">
        <f t="shared" si="42"/>
        <v>-4.9845233228006816</v>
      </c>
    </row>
    <row r="31" spans="1:85" x14ac:dyDescent="0.25">
      <c r="A31" s="81">
        <f t="shared" si="28"/>
        <v>15.5</v>
      </c>
      <c r="B31" s="83">
        <f t="shared" si="28"/>
        <v>15</v>
      </c>
      <c r="C31" s="39" t="s">
        <v>16</v>
      </c>
      <c r="D31" s="21">
        <f>D8</f>
        <v>-0.21370826062045101</v>
      </c>
      <c r="E31" s="23">
        <f t="shared" si="29"/>
        <v>-5.0382132513447022</v>
      </c>
      <c r="F31" s="36">
        <f>MAX('BATS 2023 TLFD'!M19,0.0001)</f>
        <v>2.313205248551583E-3</v>
      </c>
      <c r="G31" s="45">
        <f>modeldata!B19/modeldata!B$156</f>
        <v>6.6666666666666671E-3</v>
      </c>
      <c r="H31" s="48">
        <f t="shared" si="21"/>
        <v>1.8820039513748337</v>
      </c>
      <c r="I31" s="49">
        <f t="shared" si="0"/>
        <v>0</v>
      </c>
      <c r="J31" s="50">
        <f t="shared" si="1"/>
        <v>0</v>
      </c>
      <c r="K31" s="51">
        <f t="shared" si="2"/>
        <v>-5.0382132513447022</v>
      </c>
      <c r="L31" s="52">
        <f>E8</f>
        <v>-0.21370826062045095</v>
      </c>
      <c r="M31" s="58">
        <f t="shared" si="30"/>
        <v>-5.0382132513447022</v>
      </c>
      <c r="O31" s="39" t="s">
        <v>16</v>
      </c>
      <c r="P31" s="21">
        <f>P8</f>
        <v>-0.18324871283782601</v>
      </c>
      <c r="Q31" s="23">
        <f t="shared" si="31"/>
        <v>-3.5291182445417504</v>
      </c>
      <c r="R31" s="36">
        <f>MAX('BATS 2023 TLFD'!N19,0.0001)</f>
        <v>5.6096647173340597E-3</v>
      </c>
      <c r="S31" s="45">
        <f>modeldata!C19/modeldata!C$156</f>
        <v>6.6666666666666671E-3</v>
      </c>
      <c r="T31" s="48">
        <f t="shared" si="22"/>
        <v>0.18842515597526435</v>
      </c>
      <c r="U31" s="49">
        <f t="shared" si="3"/>
        <v>0</v>
      </c>
      <c r="V31" s="50">
        <f t="shared" si="4"/>
        <v>0</v>
      </c>
      <c r="W31" s="51">
        <f t="shared" si="5"/>
        <v>-3.5291182445417504</v>
      </c>
      <c r="X31" s="52">
        <f>Q8</f>
        <v>-0.18324871283782598</v>
      </c>
      <c r="Y31" s="58">
        <f t="shared" si="32"/>
        <v>-3.5291182445417504</v>
      </c>
      <c r="AA31" s="39" t="s">
        <v>16</v>
      </c>
      <c r="AB31" s="21">
        <f>AB8</f>
        <v>-0.10927638842708701</v>
      </c>
      <c r="AC31" s="23">
        <f t="shared" si="33"/>
        <v>-2.9092584025182773</v>
      </c>
      <c r="AD31" s="36">
        <f>MAX('BATS 2023 TLFD'!O19,0.0001)</f>
        <v>1.1536381441014775E-2</v>
      </c>
      <c r="AE31" s="45">
        <f>modeldata!D19/modeldata!D$156</f>
        <v>6.6666666666666671E-3</v>
      </c>
      <c r="AF31" s="48">
        <f t="shared" si="23"/>
        <v>-0.42211804448793894</v>
      </c>
      <c r="AG31" s="49">
        <f t="shared" si="6"/>
        <v>0</v>
      </c>
      <c r="AH31" s="50">
        <f t="shared" si="7"/>
        <v>0</v>
      </c>
      <c r="AI31" s="51">
        <f t="shared" si="8"/>
        <v>-2.9092584025182773</v>
      </c>
      <c r="AJ31" s="52">
        <f>AC8</f>
        <v>-0.10927638842708705</v>
      </c>
      <c r="AK31" s="58">
        <f t="shared" si="34"/>
        <v>-2.9092584025182768</v>
      </c>
      <c r="AM31" s="39" t="s">
        <v>16</v>
      </c>
      <c r="AN31" s="21">
        <f>AN8</f>
        <v>-0.123766678676451</v>
      </c>
      <c r="AO31" s="23">
        <f t="shared" si="35"/>
        <v>-3.3169464250028167</v>
      </c>
      <c r="AP31" s="36">
        <f>MAX('BATS 2023 TLFD'!P19,0.0001)</f>
        <v>1.0199093799942686E-2</v>
      </c>
      <c r="AQ31" s="45">
        <f>modeldata!E19/modeldata!E$156</f>
        <v>6.6666666666666671E-3</v>
      </c>
      <c r="AR31" s="48">
        <f t="shared" si="24"/>
        <v>-0.34634715618517692</v>
      </c>
      <c r="AS31" s="49">
        <f t="shared" si="9"/>
        <v>0</v>
      </c>
      <c r="AT31" s="50">
        <f t="shared" si="10"/>
        <v>0</v>
      </c>
      <c r="AU31" s="51">
        <f t="shared" si="11"/>
        <v>-3.3169464250028167</v>
      </c>
      <c r="AV31" s="52">
        <f>AO8</f>
        <v>-0.12376667867645086</v>
      </c>
      <c r="AW31" s="58">
        <f t="shared" si="36"/>
        <v>-3.3169464250028167</v>
      </c>
      <c r="AY31" s="39" t="s">
        <v>16</v>
      </c>
      <c r="AZ31" s="21">
        <f>AZ8</f>
        <v>-0.13060067927808</v>
      </c>
      <c r="BA31" s="23">
        <f t="shared" si="37"/>
        <v>-3.9196705095720752</v>
      </c>
      <c r="BB31" s="36">
        <f>MAX('BATS 2023 TLFD'!Q19,0.0001)</f>
        <v>1.2935192374517727E-2</v>
      </c>
      <c r="BC31" s="45">
        <f>modeldata!F19/modeldata!F$156</f>
        <v>6.6666666666666671E-3</v>
      </c>
      <c r="BD31" s="48">
        <f t="shared" si="25"/>
        <v>-0.48461016476260754</v>
      </c>
      <c r="BE31" s="49">
        <f t="shared" si="12"/>
        <v>0</v>
      </c>
      <c r="BF31" s="50">
        <f t="shared" si="13"/>
        <v>0</v>
      </c>
      <c r="BG31" s="51">
        <f t="shared" si="14"/>
        <v>-3.9196705095720752</v>
      </c>
      <c r="BH31" s="52">
        <f>BA8</f>
        <v>-0.13060067927808028</v>
      </c>
      <c r="BI31" s="58">
        <f t="shared" si="38"/>
        <v>-3.9196705095720752</v>
      </c>
      <c r="BK31" s="39" t="s">
        <v>16</v>
      </c>
      <c r="BL31" s="21">
        <f>BL8</f>
        <v>-0.119295888721189</v>
      </c>
      <c r="BM31" s="23">
        <f t="shared" si="39"/>
        <v>-3.0148522655841954</v>
      </c>
      <c r="BN31" s="36">
        <f>MAX('BATS 2023 TLFD'!R19,0.0001)</f>
        <v>8.8368963187492773E-3</v>
      </c>
      <c r="BO31" s="45">
        <f>modeldata!G19/modeldata!G$156</f>
        <v>6.6666666666666671E-3</v>
      </c>
      <c r="BP31" s="48">
        <f t="shared" si="26"/>
        <v>-0.24558731638369746</v>
      </c>
      <c r="BQ31" s="49">
        <f t="shared" si="15"/>
        <v>0</v>
      </c>
      <c r="BR31" s="50">
        <f t="shared" si="16"/>
        <v>0</v>
      </c>
      <c r="BS31" s="51">
        <f t="shared" si="17"/>
        <v>-3.0148522655841954</v>
      </c>
      <c r="BT31" s="52">
        <f>BM8</f>
        <v>-0.11929588872118897</v>
      </c>
      <c r="BU31" s="58">
        <f t="shared" si="40"/>
        <v>-3.0148522655841949</v>
      </c>
      <c r="BW31" s="39" t="s">
        <v>16</v>
      </c>
      <c r="BX31" s="21">
        <f>BX8</f>
        <v>-0.204473452523388</v>
      </c>
      <c r="BY31" s="23">
        <f t="shared" si="41"/>
        <v>-5.1889967753240693</v>
      </c>
      <c r="BZ31" s="36">
        <f>MAX('BATS 2023 TLFD'!S19,0.0001)</f>
        <v>5.0514648816231194E-4</v>
      </c>
      <c r="CA31" s="45">
        <f>modeldata!H19/modeldata!H$156</f>
        <v>6.6666666666666671E-3</v>
      </c>
      <c r="CB31" s="48">
        <f t="shared" si="27"/>
        <v>12.197491862052809</v>
      </c>
      <c r="CC31" s="49">
        <f t="shared" si="18"/>
        <v>0</v>
      </c>
      <c r="CD31" s="50">
        <f t="shared" si="19"/>
        <v>0</v>
      </c>
      <c r="CE31" s="51">
        <f t="shared" si="20"/>
        <v>-5.1889967753240693</v>
      </c>
      <c r="CF31" s="52">
        <f>BY8</f>
        <v>-0.20447345252338778</v>
      </c>
      <c r="CG31" s="58">
        <f t="shared" si="42"/>
        <v>-5.1889967753240693</v>
      </c>
    </row>
    <row r="32" spans="1:85" x14ac:dyDescent="0.25">
      <c r="A32" s="81">
        <f t="shared" si="28"/>
        <v>16.5</v>
      </c>
      <c r="B32" s="83">
        <f t="shared" si="28"/>
        <v>16</v>
      </c>
      <c r="C32" s="39" t="s">
        <v>17</v>
      </c>
      <c r="D32" s="21">
        <f>D31</f>
        <v>-0.21370826062045101</v>
      </c>
      <c r="E32" s="23">
        <f t="shared" si="29"/>
        <v>-5.2519215119651532</v>
      </c>
      <c r="F32" s="36">
        <f>MAX('BATS 2023 TLFD'!M20,0.0001)</f>
        <v>1.2335125817964153E-3</v>
      </c>
      <c r="G32" s="45">
        <f>modeldata!B20/modeldata!B$156</f>
        <v>6.6666666666666671E-3</v>
      </c>
      <c r="H32" s="48">
        <f t="shared" si="21"/>
        <v>4.404619916367392</v>
      </c>
      <c r="I32" s="49">
        <f t="shared" si="0"/>
        <v>0</v>
      </c>
      <c r="J32" s="50">
        <f t="shared" si="1"/>
        <v>0</v>
      </c>
      <c r="K32" s="51">
        <f t="shared" si="2"/>
        <v>-5.2519215119651532</v>
      </c>
      <c r="L32" s="52">
        <f>L31</f>
        <v>-0.21370826062045095</v>
      </c>
      <c r="M32" s="58">
        <f t="shared" si="30"/>
        <v>-5.2519215119651532</v>
      </c>
      <c r="O32" s="39" t="s">
        <v>17</v>
      </c>
      <c r="P32" s="21">
        <f>P31</f>
        <v>-0.18324871283782601</v>
      </c>
      <c r="Q32" s="23">
        <f t="shared" si="31"/>
        <v>-3.7123669573795763</v>
      </c>
      <c r="R32" s="36">
        <f>MAX('BATS 2023 TLFD'!N20,0.0001)</f>
        <v>6.9807002863718623E-4</v>
      </c>
      <c r="S32" s="45">
        <f>modeldata!C20/modeldata!C$156</f>
        <v>6.6666666666666671E-3</v>
      </c>
      <c r="T32" s="48">
        <f t="shared" si="22"/>
        <v>8.5501402340417485</v>
      </c>
      <c r="U32" s="49">
        <f t="shared" si="3"/>
        <v>0</v>
      </c>
      <c r="V32" s="50">
        <f t="shared" si="4"/>
        <v>0</v>
      </c>
      <c r="W32" s="51">
        <f t="shared" si="5"/>
        <v>-3.7123669573795763</v>
      </c>
      <c r="X32" s="52">
        <f>X31</f>
        <v>-0.18324871283782598</v>
      </c>
      <c r="Y32" s="58">
        <f t="shared" si="32"/>
        <v>-3.7123669573795763</v>
      </c>
      <c r="AA32" s="39" t="s">
        <v>17</v>
      </c>
      <c r="AB32" s="21">
        <f>AB31</f>
        <v>-0.10927638842708701</v>
      </c>
      <c r="AC32" s="23">
        <f t="shared" si="33"/>
        <v>-3.0185347909453641</v>
      </c>
      <c r="AD32" s="36">
        <f>MAX('BATS 2023 TLFD'!O20,0.0001)</f>
        <v>2.7382707984947362E-3</v>
      </c>
      <c r="AE32" s="45">
        <f>modeldata!D20/modeldata!D$156</f>
        <v>6.6666666666666671E-3</v>
      </c>
      <c r="AF32" s="48">
        <f t="shared" si="23"/>
        <v>1.4346265060166521</v>
      </c>
      <c r="AG32" s="49">
        <f t="shared" si="6"/>
        <v>0</v>
      </c>
      <c r="AH32" s="50">
        <f t="shared" si="7"/>
        <v>0</v>
      </c>
      <c r="AI32" s="51">
        <f t="shared" si="8"/>
        <v>-3.0185347909453641</v>
      </c>
      <c r="AJ32" s="52">
        <f>AJ31</f>
        <v>-0.10927638842708705</v>
      </c>
      <c r="AK32" s="58">
        <f t="shared" si="34"/>
        <v>-3.0185347909453637</v>
      </c>
      <c r="AM32" s="39" t="s">
        <v>17</v>
      </c>
      <c r="AN32" s="21">
        <f>AN31</f>
        <v>-0.123766678676451</v>
      </c>
      <c r="AO32" s="23">
        <f t="shared" si="35"/>
        <v>-3.4407131036792675</v>
      </c>
      <c r="AP32" s="36">
        <f>MAX('BATS 2023 TLFD'!P20,0.0001)</f>
        <v>3.0902044130277197E-3</v>
      </c>
      <c r="AQ32" s="45">
        <f>modeldata!E20/modeldata!E$156</f>
        <v>6.6666666666666671E-3</v>
      </c>
      <c r="AR32" s="48">
        <f t="shared" si="24"/>
        <v>1.1573545874704134</v>
      </c>
      <c r="AS32" s="49">
        <f t="shared" si="9"/>
        <v>0</v>
      </c>
      <c r="AT32" s="50">
        <f t="shared" si="10"/>
        <v>0</v>
      </c>
      <c r="AU32" s="51">
        <f t="shared" si="11"/>
        <v>-3.4407131036792675</v>
      </c>
      <c r="AV32" s="52">
        <f>AV31</f>
        <v>-0.12376667867645086</v>
      </c>
      <c r="AW32" s="58">
        <f t="shared" si="36"/>
        <v>-3.4407131036792675</v>
      </c>
      <c r="AY32" s="39" t="s">
        <v>17</v>
      </c>
      <c r="AZ32" s="21">
        <f>AZ31</f>
        <v>-0.13060067927808</v>
      </c>
      <c r="BA32" s="23">
        <f t="shared" si="37"/>
        <v>-4.0502711888501555</v>
      </c>
      <c r="BB32" s="36">
        <f>MAX('BATS 2023 TLFD'!Q20,0.0001)</f>
        <v>1.7314951953477813E-3</v>
      </c>
      <c r="BC32" s="45">
        <f>modeldata!F20/modeldata!F$156</f>
        <v>6.6666666666666671E-3</v>
      </c>
      <c r="BD32" s="48">
        <f t="shared" si="25"/>
        <v>2.8502368846178787</v>
      </c>
      <c r="BE32" s="49">
        <f t="shared" si="12"/>
        <v>0</v>
      </c>
      <c r="BF32" s="50">
        <f t="shared" si="13"/>
        <v>0</v>
      </c>
      <c r="BG32" s="51">
        <f t="shared" si="14"/>
        <v>-4.0502711888501555</v>
      </c>
      <c r="BH32" s="52">
        <f>BH31</f>
        <v>-0.13060067927808028</v>
      </c>
      <c r="BI32" s="58">
        <f t="shared" si="38"/>
        <v>-4.0502711888501555</v>
      </c>
      <c r="BK32" s="39" t="s">
        <v>17</v>
      </c>
      <c r="BL32" s="21">
        <f>BL31</f>
        <v>-0.119295888721189</v>
      </c>
      <c r="BM32" s="23">
        <f t="shared" si="39"/>
        <v>-3.1341481543053842</v>
      </c>
      <c r="BN32" s="36">
        <f>MAX('BATS 2023 TLFD'!R20,0.0001)</f>
        <v>5.503717723263914E-3</v>
      </c>
      <c r="BO32" s="45">
        <f>modeldata!G20/modeldata!G$156</f>
        <v>6.6666666666666671E-3</v>
      </c>
      <c r="BP32" s="48">
        <f t="shared" si="26"/>
        <v>0.21130243262422987</v>
      </c>
      <c r="BQ32" s="49">
        <f t="shared" si="15"/>
        <v>0</v>
      </c>
      <c r="BR32" s="50">
        <f t="shared" si="16"/>
        <v>0</v>
      </c>
      <c r="BS32" s="51">
        <f t="shared" si="17"/>
        <v>-3.1341481543053842</v>
      </c>
      <c r="BT32" s="52">
        <f>BT31</f>
        <v>-0.11929588872118897</v>
      </c>
      <c r="BU32" s="58">
        <f t="shared" si="40"/>
        <v>-3.1341481543053837</v>
      </c>
      <c r="BW32" s="39" t="s">
        <v>17</v>
      </c>
      <c r="BX32" s="21">
        <f>BX31</f>
        <v>-0.204473452523388</v>
      </c>
      <c r="BY32" s="23">
        <f t="shared" si="41"/>
        <v>-5.3934702278474571</v>
      </c>
      <c r="BZ32" s="36">
        <f>MAX('BATS 2023 TLFD'!S20,0.0001)</f>
        <v>1.0861616520863798E-4</v>
      </c>
      <c r="CA32" s="45">
        <f>modeldata!H20/modeldata!H$156</f>
        <v>6.6666666666666671E-3</v>
      </c>
      <c r="CB32" s="48">
        <f t="shared" si="27"/>
        <v>60.378218001536325</v>
      </c>
      <c r="CC32" s="49">
        <f t="shared" si="18"/>
        <v>0</v>
      </c>
      <c r="CD32" s="50">
        <f t="shared" si="19"/>
        <v>0</v>
      </c>
      <c r="CE32" s="51">
        <f t="shared" si="20"/>
        <v>-5.3934702278474571</v>
      </c>
      <c r="CF32" s="52">
        <f>CF31</f>
        <v>-0.20447345252338778</v>
      </c>
      <c r="CG32" s="58">
        <f t="shared" si="42"/>
        <v>-5.3934702278474571</v>
      </c>
    </row>
    <row r="33" spans="1:85" x14ac:dyDescent="0.25">
      <c r="A33" s="81">
        <f t="shared" si="28"/>
        <v>17.5</v>
      </c>
      <c r="B33" s="83">
        <f t="shared" si="28"/>
        <v>17</v>
      </c>
      <c r="C33" s="39" t="s">
        <v>18</v>
      </c>
      <c r="D33" s="21">
        <f t="shared" ref="D33:D66" si="57">D32</f>
        <v>-0.21370826062045101</v>
      </c>
      <c r="E33" s="23">
        <f t="shared" si="29"/>
        <v>-5.4656297725856042</v>
      </c>
      <c r="F33" s="36">
        <f>MAX('BATS 2023 TLFD'!M21,0.0001)</f>
        <v>1E-4</v>
      </c>
      <c r="G33" s="45">
        <f>modeldata!B21/modeldata!B$156</f>
        <v>6.6666666666666671E-3</v>
      </c>
      <c r="H33" s="48">
        <f t="shared" si="21"/>
        <v>65.666666666666671</v>
      </c>
      <c r="I33" s="49">
        <f t="shared" si="0"/>
        <v>0</v>
      </c>
      <c r="J33" s="50">
        <f t="shared" si="1"/>
        <v>0</v>
      </c>
      <c r="K33" s="51">
        <f t="shared" si="2"/>
        <v>-5.4656297725856042</v>
      </c>
      <c r="L33" s="52">
        <f t="shared" ref="L33:L66" si="58">L32</f>
        <v>-0.21370826062045095</v>
      </c>
      <c r="M33" s="58">
        <f t="shared" si="30"/>
        <v>-5.4656297725856042</v>
      </c>
      <c r="O33" s="39" t="s">
        <v>18</v>
      </c>
      <c r="P33" s="21">
        <f t="shared" ref="P33:P66" si="59">P32</f>
        <v>-0.18324871283782601</v>
      </c>
      <c r="Q33" s="23">
        <f t="shared" si="31"/>
        <v>-3.8956156702174023</v>
      </c>
      <c r="R33" s="36">
        <f>MAX('BATS 2023 TLFD'!N21,0.0001)</f>
        <v>5.1983718255589001E-3</v>
      </c>
      <c r="S33" s="45">
        <f>modeldata!C21/modeldata!C$156</f>
        <v>6.6666666666666671E-3</v>
      </c>
      <c r="T33" s="48">
        <f t="shared" si="22"/>
        <v>0.28245283145937794</v>
      </c>
      <c r="U33" s="49">
        <f t="shared" si="3"/>
        <v>0</v>
      </c>
      <c r="V33" s="50">
        <f t="shared" si="4"/>
        <v>0</v>
      </c>
      <c r="W33" s="51">
        <f t="shared" si="5"/>
        <v>-3.8956156702174023</v>
      </c>
      <c r="X33" s="52">
        <f t="shared" ref="X33:X66" si="60">X32</f>
        <v>-0.18324871283782598</v>
      </c>
      <c r="Y33" s="58">
        <f t="shared" si="32"/>
        <v>-3.8956156702174023</v>
      </c>
      <c r="AA33" s="39" t="s">
        <v>18</v>
      </c>
      <c r="AB33" s="21">
        <f t="shared" ref="AB33:AB66" si="61">AB32</f>
        <v>-0.10927638842708701</v>
      </c>
      <c r="AC33" s="23">
        <f t="shared" si="33"/>
        <v>-3.127811179372451</v>
      </c>
      <c r="AD33" s="36">
        <f>MAX('BATS 2023 TLFD'!O21,0.0001)</f>
        <v>1.9387262152280157E-3</v>
      </c>
      <c r="AE33" s="45">
        <f>modeldata!D21/modeldata!D$156</f>
        <v>6.6666666666666671E-3</v>
      </c>
      <c r="AF33" s="48">
        <f t="shared" si="23"/>
        <v>2.4386839226200863</v>
      </c>
      <c r="AG33" s="49">
        <f t="shared" si="6"/>
        <v>0</v>
      </c>
      <c r="AH33" s="50">
        <f t="shared" si="7"/>
        <v>0</v>
      </c>
      <c r="AI33" s="51">
        <f t="shared" si="8"/>
        <v>-3.127811179372451</v>
      </c>
      <c r="AJ33" s="52">
        <f t="shared" ref="AJ33:AJ66" si="62">AJ32</f>
        <v>-0.10927638842708705</v>
      </c>
      <c r="AK33" s="58">
        <f t="shared" si="34"/>
        <v>-3.1278111793724506</v>
      </c>
      <c r="AM33" s="39" t="s">
        <v>18</v>
      </c>
      <c r="AN33" s="21">
        <f t="shared" ref="AN33:AN66" si="63">AN32</f>
        <v>-0.123766678676451</v>
      </c>
      <c r="AO33" s="23">
        <f t="shared" si="35"/>
        <v>-3.5644797823557184</v>
      </c>
      <c r="AP33" s="36">
        <f>MAX('BATS 2023 TLFD'!P21,0.0001)</f>
        <v>1.0850702778158583E-3</v>
      </c>
      <c r="AQ33" s="45">
        <f>modeldata!E21/modeldata!E$156</f>
        <v>6.6666666666666671E-3</v>
      </c>
      <c r="AR33" s="48">
        <f t="shared" si="24"/>
        <v>5.143995281196001</v>
      </c>
      <c r="AS33" s="49">
        <f t="shared" si="9"/>
        <v>0</v>
      </c>
      <c r="AT33" s="50">
        <f t="shared" si="10"/>
        <v>0</v>
      </c>
      <c r="AU33" s="51">
        <f t="shared" si="11"/>
        <v>-3.5644797823557184</v>
      </c>
      <c r="AV33" s="52">
        <f t="shared" ref="AV33:AV66" si="64">AV32</f>
        <v>-0.12376667867645086</v>
      </c>
      <c r="AW33" s="58">
        <f t="shared" si="36"/>
        <v>-3.5644797823557184</v>
      </c>
      <c r="AY33" s="39" t="s">
        <v>18</v>
      </c>
      <c r="AZ33" s="21">
        <f t="shared" ref="AZ33:AZ66" si="65">AZ32</f>
        <v>-0.13060067927808</v>
      </c>
      <c r="BA33" s="23">
        <f t="shared" si="37"/>
        <v>-4.1808718681282357</v>
      </c>
      <c r="BB33" s="36">
        <f>MAX('BATS 2023 TLFD'!Q21,0.0001)</f>
        <v>9.4155432312151791E-3</v>
      </c>
      <c r="BC33" s="45">
        <f>modeldata!F21/modeldata!F$156</f>
        <v>6.6666666666666671E-3</v>
      </c>
      <c r="BD33" s="48">
        <f t="shared" si="25"/>
        <v>-0.29195092593651012</v>
      </c>
      <c r="BE33" s="49">
        <f t="shared" si="12"/>
        <v>0</v>
      </c>
      <c r="BF33" s="50">
        <f t="shared" si="13"/>
        <v>0</v>
      </c>
      <c r="BG33" s="51">
        <f t="shared" si="14"/>
        <v>-4.1808718681282357</v>
      </c>
      <c r="BH33" s="52">
        <f t="shared" ref="BH33:BH66" si="66">BH32</f>
        <v>-0.13060067927808028</v>
      </c>
      <c r="BI33" s="58">
        <f t="shared" si="38"/>
        <v>-4.1808718681282357</v>
      </c>
      <c r="BK33" s="39" t="s">
        <v>18</v>
      </c>
      <c r="BL33" s="21">
        <f t="shared" ref="BL33:BL66" si="67">BL32</f>
        <v>-0.119295888721189</v>
      </c>
      <c r="BM33" s="23">
        <f t="shared" si="39"/>
        <v>-3.253444043026573</v>
      </c>
      <c r="BN33" s="36">
        <f>MAX('BATS 2023 TLFD'!R21,0.0001)</f>
        <v>3.9736805582898001E-3</v>
      </c>
      <c r="BO33" s="45">
        <f>modeldata!G21/modeldata!G$156</f>
        <v>6.6666666666666671E-3</v>
      </c>
      <c r="BP33" s="48">
        <f t="shared" si="26"/>
        <v>0.67770573624968966</v>
      </c>
      <c r="BQ33" s="49">
        <f t="shared" si="15"/>
        <v>0</v>
      </c>
      <c r="BR33" s="50">
        <f t="shared" si="16"/>
        <v>0</v>
      </c>
      <c r="BS33" s="51">
        <f t="shared" si="17"/>
        <v>-3.253444043026573</v>
      </c>
      <c r="BT33" s="52">
        <f t="shared" ref="BT33:BT66" si="68">BT32</f>
        <v>-0.11929588872118897</v>
      </c>
      <c r="BU33" s="58">
        <f t="shared" si="40"/>
        <v>-3.2534440430265725</v>
      </c>
      <c r="BW33" s="39" t="s">
        <v>18</v>
      </c>
      <c r="BX33" s="21">
        <f t="shared" ref="BX33:BX66" si="69">BX32</f>
        <v>-0.204473452523388</v>
      </c>
      <c r="BY33" s="23">
        <f t="shared" si="41"/>
        <v>-5.5979436803708449</v>
      </c>
      <c r="BZ33" s="36">
        <f>MAX('BATS 2023 TLFD'!S21,0.0001)</f>
        <v>2.2146407790246236E-4</v>
      </c>
      <c r="CA33" s="45">
        <f>modeldata!H21/modeldata!H$156</f>
        <v>6.6666666666666671E-3</v>
      </c>
      <c r="CB33" s="48">
        <f t="shared" si="27"/>
        <v>29.102699859084204</v>
      </c>
      <c r="CC33" s="49">
        <f t="shared" si="18"/>
        <v>0</v>
      </c>
      <c r="CD33" s="50">
        <f t="shared" si="19"/>
        <v>0</v>
      </c>
      <c r="CE33" s="51">
        <f t="shared" si="20"/>
        <v>-5.5979436803708449</v>
      </c>
      <c r="CF33" s="52">
        <f t="shared" ref="CF33:CF66" si="70">CF32</f>
        <v>-0.20447345252338778</v>
      </c>
      <c r="CG33" s="58">
        <f t="shared" si="42"/>
        <v>-5.5979436803708449</v>
      </c>
    </row>
    <row r="34" spans="1:85" x14ac:dyDescent="0.25">
      <c r="A34" s="81">
        <f t="shared" si="28"/>
        <v>18.5</v>
      </c>
      <c r="B34" s="83">
        <f t="shared" si="28"/>
        <v>18</v>
      </c>
      <c r="C34" s="39" t="s">
        <v>19</v>
      </c>
      <c r="D34" s="21">
        <f t="shared" si="57"/>
        <v>-0.21370826062045101</v>
      </c>
      <c r="E34" s="23">
        <f t="shared" si="29"/>
        <v>-5.6793380332060552</v>
      </c>
      <c r="F34" s="36">
        <f>MAX('BATS 2023 TLFD'!M22,0.0001)</f>
        <v>1.424700625663404E-3</v>
      </c>
      <c r="G34" s="45">
        <f>modeldata!B22/modeldata!B$156</f>
        <v>6.6666666666666671E-3</v>
      </c>
      <c r="H34" s="48">
        <f t="shared" si="21"/>
        <v>3.6793456439751129</v>
      </c>
      <c r="I34" s="49">
        <f t="shared" si="0"/>
        <v>0</v>
      </c>
      <c r="J34" s="50">
        <f t="shared" si="1"/>
        <v>0</v>
      </c>
      <c r="K34" s="51">
        <f t="shared" si="2"/>
        <v>-5.6793380332060552</v>
      </c>
      <c r="L34" s="52">
        <f t="shared" si="58"/>
        <v>-0.21370826062045095</v>
      </c>
      <c r="M34" s="58">
        <f t="shared" si="30"/>
        <v>-5.6793380332060552</v>
      </c>
      <c r="O34" s="39" t="s">
        <v>19</v>
      </c>
      <c r="P34" s="21">
        <f t="shared" si="59"/>
        <v>-0.18324871283782601</v>
      </c>
      <c r="Q34" s="23">
        <f t="shared" si="31"/>
        <v>-4.0788643830552287</v>
      </c>
      <c r="R34" s="36">
        <f>MAX('BATS 2023 TLFD'!N22,0.0001)</f>
        <v>5.674246845019128E-4</v>
      </c>
      <c r="S34" s="45">
        <f>modeldata!C22/modeldata!C$156</f>
        <v>6.6666666666666671E-3</v>
      </c>
      <c r="T34" s="48">
        <f t="shared" si="22"/>
        <v>10.74898951130173</v>
      </c>
      <c r="U34" s="49">
        <f t="shared" si="3"/>
        <v>0</v>
      </c>
      <c r="V34" s="50">
        <f t="shared" si="4"/>
        <v>0</v>
      </c>
      <c r="W34" s="51">
        <f t="shared" si="5"/>
        <v>-4.0788643830552287</v>
      </c>
      <c r="X34" s="52">
        <f t="shared" si="60"/>
        <v>-0.18324871283782598</v>
      </c>
      <c r="Y34" s="58">
        <f t="shared" si="32"/>
        <v>-4.0788643830552287</v>
      </c>
      <c r="AA34" s="39" t="s">
        <v>19</v>
      </c>
      <c r="AB34" s="21">
        <f t="shared" si="61"/>
        <v>-0.10927638842708701</v>
      </c>
      <c r="AC34" s="23">
        <f t="shared" si="33"/>
        <v>-3.2370875677995379</v>
      </c>
      <c r="AD34" s="36">
        <f>MAX('BATS 2023 TLFD'!O22,0.0001)</f>
        <v>6.2633288097439345E-3</v>
      </c>
      <c r="AE34" s="45">
        <f>modeldata!D22/modeldata!D$156</f>
        <v>6.6666666666666671E-3</v>
      </c>
      <c r="AF34" s="48">
        <f t="shared" si="23"/>
        <v>6.4396724038382772E-2</v>
      </c>
      <c r="AG34" s="49">
        <f t="shared" si="6"/>
        <v>0</v>
      </c>
      <c r="AH34" s="50">
        <f t="shared" si="7"/>
        <v>0</v>
      </c>
      <c r="AI34" s="51">
        <f t="shared" si="8"/>
        <v>-3.2370875677995379</v>
      </c>
      <c r="AJ34" s="52">
        <f t="shared" si="62"/>
        <v>-0.10927638842708705</v>
      </c>
      <c r="AK34" s="58">
        <f t="shared" si="34"/>
        <v>-3.2370875677995374</v>
      </c>
      <c r="AM34" s="39" t="s">
        <v>19</v>
      </c>
      <c r="AN34" s="21">
        <f t="shared" si="63"/>
        <v>-0.123766678676451</v>
      </c>
      <c r="AO34" s="23">
        <f t="shared" si="35"/>
        <v>-3.6882464610321692</v>
      </c>
      <c r="AP34" s="36">
        <f>MAX('BATS 2023 TLFD'!P22,0.0001)</f>
        <v>1.5275875551560474E-3</v>
      </c>
      <c r="AQ34" s="45">
        <f>modeldata!E22/modeldata!E$156</f>
        <v>6.6666666666666671E-3</v>
      </c>
      <c r="AR34" s="48">
        <f t="shared" si="24"/>
        <v>3.3641797448301731</v>
      </c>
      <c r="AS34" s="49">
        <f t="shared" si="9"/>
        <v>0</v>
      </c>
      <c r="AT34" s="50">
        <f t="shared" si="10"/>
        <v>0</v>
      </c>
      <c r="AU34" s="51">
        <f t="shared" si="11"/>
        <v>-3.6882464610321692</v>
      </c>
      <c r="AV34" s="52">
        <f t="shared" si="64"/>
        <v>-0.12376667867645086</v>
      </c>
      <c r="AW34" s="58">
        <f t="shared" si="36"/>
        <v>-3.6882464610321692</v>
      </c>
      <c r="AY34" s="39" t="s">
        <v>19</v>
      </c>
      <c r="AZ34" s="21">
        <f t="shared" si="65"/>
        <v>-0.13060067927808</v>
      </c>
      <c r="BA34" s="23">
        <f t="shared" si="37"/>
        <v>-4.311472547406316</v>
      </c>
      <c r="BB34" s="36">
        <f>MAX('BATS 2023 TLFD'!Q22,0.0001)</f>
        <v>1.9344268617048986E-3</v>
      </c>
      <c r="BC34" s="45">
        <f>modeldata!F22/modeldata!F$156</f>
        <v>6.6666666666666671E-3</v>
      </c>
      <c r="BD34" s="48">
        <f t="shared" si="25"/>
        <v>2.4463265573096051</v>
      </c>
      <c r="BE34" s="49">
        <f t="shared" si="12"/>
        <v>0</v>
      </c>
      <c r="BF34" s="50">
        <f t="shared" si="13"/>
        <v>0</v>
      </c>
      <c r="BG34" s="51">
        <f t="shared" si="14"/>
        <v>-4.311472547406316</v>
      </c>
      <c r="BH34" s="52">
        <f t="shared" si="66"/>
        <v>-0.13060067927808028</v>
      </c>
      <c r="BI34" s="58">
        <f t="shared" si="38"/>
        <v>-4.311472547406316</v>
      </c>
      <c r="BK34" s="39" t="s">
        <v>19</v>
      </c>
      <c r="BL34" s="21">
        <f t="shared" si="67"/>
        <v>-0.119295888721189</v>
      </c>
      <c r="BM34" s="23">
        <f t="shared" si="39"/>
        <v>-3.3727399317477618</v>
      </c>
      <c r="BN34" s="36">
        <f>MAX('BATS 2023 TLFD'!R22,0.0001)</f>
        <v>6.7534580115815007E-4</v>
      </c>
      <c r="BO34" s="45">
        <f>modeldata!G22/modeldata!G$156</f>
        <v>6.6666666666666671E-3</v>
      </c>
      <c r="BP34" s="48">
        <f t="shared" si="26"/>
        <v>8.8714860671881048</v>
      </c>
      <c r="BQ34" s="49">
        <f t="shared" si="15"/>
        <v>0</v>
      </c>
      <c r="BR34" s="50">
        <f t="shared" si="16"/>
        <v>0</v>
      </c>
      <c r="BS34" s="51">
        <f t="shared" si="17"/>
        <v>-3.3727399317477618</v>
      </c>
      <c r="BT34" s="52">
        <f t="shared" si="68"/>
        <v>-0.11929588872118897</v>
      </c>
      <c r="BU34" s="58">
        <f t="shared" si="40"/>
        <v>-3.3727399317477613</v>
      </c>
      <c r="BW34" s="39" t="s">
        <v>19</v>
      </c>
      <c r="BX34" s="21">
        <f t="shared" si="69"/>
        <v>-0.204473452523388</v>
      </c>
      <c r="BY34" s="23">
        <f t="shared" si="41"/>
        <v>-5.8024171328942327</v>
      </c>
      <c r="BZ34" s="36">
        <f>MAX('BATS 2023 TLFD'!S22,0.0001)</f>
        <v>6.5234995461955752E-3</v>
      </c>
      <c r="CA34" s="45">
        <f>modeldata!H22/modeldata!H$156</f>
        <v>6.6666666666666671E-3</v>
      </c>
      <c r="CB34" s="48">
        <f t="shared" si="27"/>
        <v>2.1946367813359503E-2</v>
      </c>
      <c r="CC34" s="49">
        <f t="shared" si="18"/>
        <v>0</v>
      </c>
      <c r="CD34" s="50">
        <f t="shared" si="19"/>
        <v>0</v>
      </c>
      <c r="CE34" s="51">
        <f t="shared" si="20"/>
        <v>-5.8024171328942327</v>
      </c>
      <c r="CF34" s="52">
        <f t="shared" si="70"/>
        <v>-0.20447345252338778</v>
      </c>
      <c r="CG34" s="58">
        <f t="shared" si="42"/>
        <v>-5.8024171328942327</v>
      </c>
    </row>
    <row r="35" spans="1:85" x14ac:dyDescent="0.25">
      <c r="A35" s="81">
        <f t="shared" si="28"/>
        <v>19.5</v>
      </c>
      <c r="B35" s="83">
        <f t="shared" si="28"/>
        <v>19</v>
      </c>
      <c r="C35" s="39" t="s">
        <v>20</v>
      </c>
      <c r="D35" s="21">
        <f t="shared" si="57"/>
        <v>-0.21370826062045101</v>
      </c>
      <c r="E35" s="23">
        <f t="shared" si="29"/>
        <v>-5.8930462938265062</v>
      </c>
      <c r="F35" s="36">
        <f>MAX('BATS 2023 TLFD'!M23,0.0001)</f>
        <v>1.7288445133349824E-4</v>
      </c>
      <c r="G35" s="45">
        <f>modeldata!B23/modeldata!B$156</f>
        <v>6.6666666666666671E-3</v>
      </c>
      <c r="H35" s="48">
        <f t="shared" si="21"/>
        <v>37.561401070166269</v>
      </c>
      <c r="I35" s="49">
        <f t="shared" si="0"/>
        <v>0</v>
      </c>
      <c r="J35" s="50">
        <f t="shared" si="1"/>
        <v>0</v>
      </c>
      <c r="K35" s="51">
        <f t="shared" si="2"/>
        <v>-5.8930462938265062</v>
      </c>
      <c r="L35" s="52">
        <f t="shared" si="58"/>
        <v>-0.21370826062045095</v>
      </c>
      <c r="M35" s="58">
        <f t="shared" si="30"/>
        <v>-5.8930462938265062</v>
      </c>
      <c r="O35" s="39" t="s">
        <v>20</v>
      </c>
      <c r="P35" s="21">
        <f t="shared" si="59"/>
        <v>-0.18324871283782601</v>
      </c>
      <c r="Q35" s="23">
        <f t="shared" si="31"/>
        <v>-4.2621130958930546</v>
      </c>
      <c r="R35" s="36">
        <f>MAX('BATS 2023 TLFD'!N23,0.0001)</f>
        <v>3.9416606719899636E-4</v>
      </c>
      <c r="S35" s="45">
        <f>modeldata!C23/modeldata!C$156</f>
        <v>6.6666666666666671E-3</v>
      </c>
      <c r="T35" s="48">
        <f t="shared" si="22"/>
        <v>15.913344961531083</v>
      </c>
      <c r="U35" s="49">
        <f t="shared" si="3"/>
        <v>0</v>
      </c>
      <c r="V35" s="50">
        <f t="shared" si="4"/>
        <v>0</v>
      </c>
      <c r="W35" s="51">
        <f t="shared" si="5"/>
        <v>-4.2621130958930546</v>
      </c>
      <c r="X35" s="52">
        <f t="shared" si="60"/>
        <v>-0.18324871283782598</v>
      </c>
      <c r="Y35" s="58">
        <f t="shared" si="32"/>
        <v>-4.2621130958930546</v>
      </c>
      <c r="AA35" s="39" t="s">
        <v>20</v>
      </c>
      <c r="AB35" s="21">
        <f t="shared" si="61"/>
        <v>-0.10927638842708701</v>
      </c>
      <c r="AC35" s="23">
        <f t="shared" si="33"/>
        <v>-3.3463639562266247</v>
      </c>
      <c r="AD35" s="36">
        <f>MAX('BATS 2023 TLFD'!O23,0.0001)</f>
        <v>2.2444145349968139E-3</v>
      </c>
      <c r="AE35" s="45">
        <f>modeldata!D23/modeldata!D$156</f>
        <v>6.6666666666666671E-3</v>
      </c>
      <c r="AF35" s="48">
        <f t="shared" si="23"/>
        <v>1.9703366123834745</v>
      </c>
      <c r="AG35" s="49">
        <f t="shared" si="6"/>
        <v>0</v>
      </c>
      <c r="AH35" s="50">
        <f t="shared" si="7"/>
        <v>0</v>
      </c>
      <c r="AI35" s="51">
        <f t="shared" si="8"/>
        <v>-3.3463639562266247</v>
      </c>
      <c r="AJ35" s="52">
        <f t="shared" si="62"/>
        <v>-0.10927638842708705</v>
      </c>
      <c r="AK35" s="58">
        <f t="shared" si="34"/>
        <v>-3.3463639562266243</v>
      </c>
      <c r="AM35" s="39" t="s">
        <v>20</v>
      </c>
      <c r="AN35" s="21">
        <f t="shared" si="63"/>
        <v>-0.123766678676451</v>
      </c>
      <c r="AO35" s="23">
        <f t="shared" si="35"/>
        <v>-3.8120131397086201</v>
      </c>
      <c r="AP35" s="36">
        <f>MAX('BATS 2023 TLFD'!P23,0.0001)</f>
        <v>1.9673444134398533E-3</v>
      </c>
      <c r="AQ35" s="45">
        <f>modeldata!E23/modeldata!E$156</f>
        <v>6.6666666666666671E-3</v>
      </c>
      <c r="AR35" s="48">
        <f t="shared" si="24"/>
        <v>2.388662717683562</v>
      </c>
      <c r="AS35" s="49">
        <f t="shared" si="9"/>
        <v>0</v>
      </c>
      <c r="AT35" s="50">
        <f t="shared" si="10"/>
        <v>0</v>
      </c>
      <c r="AU35" s="51">
        <f t="shared" si="11"/>
        <v>-3.8120131397086201</v>
      </c>
      <c r="AV35" s="52">
        <f t="shared" si="64"/>
        <v>-0.12376667867645086</v>
      </c>
      <c r="AW35" s="58">
        <f t="shared" si="36"/>
        <v>-3.8120131397086201</v>
      </c>
      <c r="AY35" s="39" t="s">
        <v>20</v>
      </c>
      <c r="AZ35" s="21">
        <f t="shared" si="65"/>
        <v>-0.13060067927808</v>
      </c>
      <c r="BA35" s="23">
        <f t="shared" si="37"/>
        <v>-4.4420732266843963</v>
      </c>
      <c r="BB35" s="36">
        <f>MAX('BATS 2023 TLFD'!Q23,0.0001)</f>
        <v>9.9424197172175784E-4</v>
      </c>
      <c r="BC35" s="45">
        <f>modeldata!F23/modeldata!F$156</f>
        <v>6.6666666666666671E-3</v>
      </c>
      <c r="BD35" s="48">
        <f t="shared" si="25"/>
        <v>5.7052758345353354</v>
      </c>
      <c r="BE35" s="49">
        <f t="shared" si="12"/>
        <v>0</v>
      </c>
      <c r="BF35" s="50">
        <f t="shared" si="13"/>
        <v>0</v>
      </c>
      <c r="BG35" s="51">
        <f t="shared" si="14"/>
        <v>-4.4420732266843963</v>
      </c>
      <c r="BH35" s="52">
        <f t="shared" si="66"/>
        <v>-0.13060067927808028</v>
      </c>
      <c r="BI35" s="58">
        <f t="shared" si="38"/>
        <v>-4.4420732266843963</v>
      </c>
      <c r="BK35" s="39" t="s">
        <v>20</v>
      </c>
      <c r="BL35" s="21">
        <f t="shared" si="67"/>
        <v>-0.119295888721189</v>
      </c>
      <c r="BM35" s="23">
        <f t="shared" si="39"/>
        <v>-3.4920358204689506</v>
      </c>
      <c r="BN35" s="36">
        <f>MAX('BATS 2023 TLFD'!R23,0.0001)</f>
        <v>2.4434878705906452E-2</v>
      </c>
      <c r="BO35" s="45">
        <f>modeldata!G23/modeldata!G$156</f>
        <v>6.6666666666666671E-3</v>
      </c>
      <c r="BP35" s="48">
        <f t="shared" si="26"/>
        <v>-0.72716596031003877</v>
      </c>
      <c r="BQ35" s="49">
        <f t="shared" si="15"/>
        <v>0</v>
      </c>
      <c r="BR35" s="50">
        <f t="shared" si="16"/>
        <v>0</v>
      </c>
      <c r="BS35" s="51">
        <f t="shared" si="17"/>
        <v>-3.4920358204689506</v>
      </c>
      <c r="BT35" s="52">
        <f t="shared" si="68"/>
        <v>-0.11929588872118897</v>
      </c>
      <c r="BU35" s="58">
        <f t="shared" si="40"/>
        <v>-3.4920358204689501</v>
      </c>
      <c r="BW35" s="39" t="s">
        <v>20</v>
      </c>
      <c r="BX35" s="21">
        <f t="shared" si="69"/>
        <v>-0.204473452523388</v>
      </c>
      <c r="BY35" s="23">
        <f t="shared" si="41"/>
        <v>-6.0068905854176204</v>
      </c>
      <c r="BZ35" s="36">
        <f>MAX('BATS 2023 TLFD'!S23,0.0001)</f>
        <v>1E-4</v>
      </c>
      <c r="CA35" s="45">
        <f>modeldata!H23/modeldata!H$156</f>
        <v>6.6666666666666671E-3</v>
      </c>
      <c r="CB35" s="48">
        <f t="shared" si="27"/>
        <v>65.666666666666671</v>
      </c>
      <c r="CC35" s="49">
        <f t="shared" si="18"/>
        <v>0</v>
      </c>
      <c r="CD35" s="50">
        <f t="shared" si="19"/>
        <v>0</v>
      </c>
      <c r="CE35" s="51">
        <f t="shared" si="20"/>
        <v>-6.0068905854176204</v>
      </c>
      <c r="CF35" s="52">
        <f t="shared" si="70"/>
        <v>-0.20447345252338778</v>
      </c>
      <c r="CG35" s="58">
        <f t="shared" si="42"/>
        <v>-6.0068905854176204</v>
      </c>
    </row>
    <row r="36" spans="1:85" x14ac:dyDescent="0.25">
      <c r="A36" s="81">
        <f t="shared" si="28"/>
        <v>20.5</v>
      </c>
      <c r="B36" s="83">
        <f t="shared" si="28"/>
        <v>20</v>
      </c>
      <c r="C36" s="39" t="s">
        <v>21</v>
      </c>
      <c r="D36" s="21">
        <f t="shared" si="57"/>
        <v>-0.21370826062045101</v>
      </c>
      <c r="E36" s="23">
        <f t="shared" si="29"/>
        <v>-6.1067545544469573</v>
      </c>
      <c r="F36" s="36">
        <f>MAX('BATS 2023 TLFD'!M24,0.0001)</f>
        <v>9.5520861777945425E-4</v>
      </c>
      <c r="G36" s="45">
        <f>modeldata!B24/modeldata!B$156</f>
        <v>6.6666666666666671E-3</v>
      </c>
      <c r="H36" s="48">
        <f t="shared" si="21"/>
        <v>5.979278183402986</v>
      </c>
      <c r="I36" s="49">
        <f t="shared" si="0"/>
        <v>0</v>
      </c>
      <c r="J36" s="50">
        <f t="shared" si="1"/>
        <v>0</v>
      </c>
      <c r="K36" s="51">
        <f t="shared" si="2"/>
        <v>-6.1067545544469573</v>
      </c>
      <c r="L36" s="52">
        <f t="shared" si="58"/>
        <v>-0.21370826062045095</v>
      </c>
      <c r="M36" s="58">
        <f t="shared" si="30"/>
        <v>-6.1067545544469573</v>
      </c>
      <c r="O36" s="39" t="s">
        <v>21</v>
      </c>
      <c r="P36" s="21">
        <f t="shared" si="59"/>
        <v>-0.18324871283782601</v>
      </c>
      <c r="Q36" s="23">
        <f t="shared" si="31"/>
        <v>-4.4453618087308806</v>
      </c>
      <c r="R36" s="36">
        <f>MAX('BATS 2023 TLFD'!N24,0.0001)</f>
        <v>4.3219629042894094E-3</v>
      </c>
      <c r="S36" s="45">
        <f>modeldata!C24/modeldata!C$156</f>
        <v>6.6666666666666671E-3</v>
      </c>
      <c r="T36" s="48">
        <f t="shared" si="22"/>
        <v>0.5425089974858911</v>
      </c>
      <c r="U36" s="49">
        <f t="shared" si="3"/>
        <v>0</v>
      </c>
      <c r="V36" s="50">
        <f t="shared" si="4"/>
        <v>0</v>
      </c>
      <c r="W36" s="51">
        <f t="shared" si="5"/>
        <v>-4.4453618087308806</v>
      </c>
      <c r="X36" s="52">
        <f t="shared" si="60"/>
        <v>-0.18324871283782598</v>
      </c>
      <c r="Y36" s="58">
        <f t="shared" si="32"/>
        <v>-4.4453618087308806</v>
      </c>
      <c r="AA36" s="39" t="s">
        <v>21</v>
      </c>
      <c r="AB36" s="21">
        <f t="shared" si="61"/>
        <v>-0.10927638842708701</v>
      </c>
      <c r="AC36" s="23">
        <f t="shared" si="33"/>
        <v>-3.4556403446537116</v>
      </c>
      <c r="AD36" s="36">
        <f>MAX('BATS 2023 TLFD'!O24,0.0001)</f>
        <v>4.9938858430458102E-3</v>
      </c>
      <c r="AE36" s="45">
        <f>modeldata!D24/modeldata!D$156</f>
        <v>6.6666666666666671E-3</v>
      </c>
      <c r="AF36" s="48">
        <f t="shared" si="23"/>
        <v>0.3349657713842763</v>
      </c>
      <c r="AG36" s="49">
        <f t="shared" si="6"/>
        <v>0</v>
      </c>
      <c r="AH36" s="50">
        <f t="shared" si="7"/>
        <v>0</v>
      </c>
      <c r="AI36" s="51">
        <f t="shared" si="8"/>
        <v>-3.4556403446537116</v>
      </c>
      <c r="AJ36" s="52">
        <f t="shared" si="62"/>
        <v>-0.10927638842708705</v>
      </c>
      <c r="AK36" s="58">
        <f t="shared" si="34"/>
        <v>-3.4556403446537112</v>
      </c>
      <c r="AM36" s="39" t="s">
        <v>21</v>
      </c>
      <c r="AN36" s="21">
        <f t="shared" si="63"/>
        <v>-0.123766678676451</v>
      </c>
      <c r="AO36" s="23">
        <f t="shared" si="35"/>
        <v>-3.935779818385071</v>
      </c>
      <c r="AP36" s="36">
        <f>MAX('BATS 2023 TLFD'!P24,0.0001)</f>
        <v>4.9704099182631457E-4</v>
      </c>
      <c r="AQ36" s="45">
        <f>modeldata!E24/modeldata!E$156</f>
        <v>6.6666666666666671E-3</v>
      </c>
      <c r="AR36" s="48">
        <f t="shared" si="24"/>
        <v>12.412709970199518</v>
      </c>
      <c r="AS36" s="49">
        <f t="shared" si="9"/>
        <v>0</v>
      </c>
      <c r="AT36" s="50">
        <f t="shared" si="10"/>
        <v>0</v>
      </c>
      <c r="AU36" s="51">
        <f t="shared" si="11"/>
        <v>-3.935779818385071</v>
      </c>
      <c r="AV36" s="52">
        <f t="shared" si="64"/>
        <v>-0.12376667867645086</v>
      </c>
      <c r="AW36" s="58">
        <f t="shared" si="36"/>
        <v>-3.935779818385071</v>
      </c>
      <c r="AY36" s="39" t="s">
        <v>21</v>
      </c>
      <c r="AZ36" s="21">
        <f t="shared" si="65"/>
        <v>-0.13060067927808</v>
      </c>
      <c r="BA36" s="23">
        <f t="shared" si="37"/>
        <v>-4.5726739059624766</v>
      </c>
      <c r="BB36" s="36">
        <f>MAX('BATS 2023 TLFD'!Q24,0.0001)</f>
        <v>2.4104998764139531E-3</v>
      </c>
      <c r="BC36" s="45">
        <f>modeldata!F24/modeldata!F$156</f>
        <v>6.6666666666666671E-3</v>
      </c>
      <c r="BD36" s="48">
        <f t="shared" si="25"/>
        <v>1.7656780786002439</v>
      </c>
      <c r="BE36" s="49">
        <f t="shared" si="12"/>
        <v>0</v>
      </c>
      <c r="BF36" s="50">
        <f t="shared" si="13"/>
        <v>0</v>
      </c>
      <c r="BG36" s="51">
        <f t="shared" si="14"/>
        <v>-4.5726739059624766</v>
      </c>
      <c r="BH36" s="52">
        <f t="shared" si="66"/>
        <v>-0.13060067927808028</v>
      </c>
      <c r="BI36" s="58">
        <f t="shared" si="38"/>
        <v>-4.5726739059624766</v>
      </c>
      <c r="BK36" s="39" t="s">
        <v>21</v>
      </c>
      <c r="BL36" s="21">
        <f t="shared" si="67"/>
        <v>-0.119295888721189</v>
      </c>
      <c r="BM36" s="23">
        <f t="shared" si="39"/>
        <v>-3.6113317091901393</v>
      </c>
      <c r="BN36" s="36">
        <f>MAX('BATS 2023 TLFD'!R24,0.0001)</f>
        <v>2.8339922470239161E-3</v>
      </c>
      <c r="BO36" s="45">
        <f>modeldata!G24/modeldata!G$156</f>
        <v>6.6666666666666671E-3</v>
      </c>
      <c r="BP36" s="48">
        <f t="shared" si="26"/>
        <v>1.3523941089350506</v>
      </c>
      <c r="BQ36" s="49">
        <f t="shared" si="15"/>
        <v>0</v>
      </c>
      <c r="BR36" s="50">
        <f t="shared" si="16"/>
        <v>0</v>
      </c>
      <c r="BS36" s="51">
        <f t="shared" si="17"/>
        <v>-3.6113317091901393</v>
      </c>
      <c r="BT36" s="52">
        <f t="shared" si="68"/>
        <v>-0.11929588872118897</v>
      </c>
      <c r="BU36" s="58">
        <f t="shared" si="40"/>
        <v>-3.6113317091901389</v>
      </c>
      <c r="BW36" s="39" t="s">
        <v>21</v>
      </c>
      <c r="BX36" s="21">
        <f t="shared" si="69"/>
        <v>-0.204473452523388</v>
      </c>
      <c r="BY36" s="23">
        <f t="shared" si="41"/>
        <v>-6.2113640379410082</v>
      </c>
      <c r="BZ36" s="36">
        <f>MAX('BATS 2023 TLFD'!S24,0.0001)</f>
        <v>1.3506602659562343E-3</v>
      </c>
      <c r="CA36" s="45">
        <f>modeldata!H24/modeldata!H$156</f>
        <v>6.6666666666666671E-3</v>
      </c>
      <c r="CB36" s="48">
        <f t="shared" si="27"/>
        <v>3.9358575466398507</v>
      </c>
      <c r="CC36" s="49">
        <f t="shared" si="18"/>
        <v>0</v>
      </c>
      <c r="CD36" s="50">
        <f t="shared" si="19"/>
        <v>0</v>
      </c>
      <c r="CE36" s="51">
        <f t="shared" si="20"/>
        <v>-6.2113640379410082</v>
      </c>
      <c r="CF36" s="52">
        <f t="shared" si="70"/>
        <v>-0.20447345252338778</v>
      </c>
      <c r="CG36" s="58">
        <f t="shared" si="42"/>
        <v>-6.2113640379410082</v>
      </c>
    </row>
    <row r="37" spans="1:85" x14ac:dyDescent="0.25">
      <c r="A37" s="81">
        <f t="shared" si="28"/>
        <v>21.5</v>
      </c>
      <c r="B37" s="83">
        <f t="shared" si="28"/>
        <v>21</v>
      </c>
      <c r="C37" s="39" t="s">
        <v>22</v>
      </c>
      <c r="D37" s="21">
        <f t="shared" si="57"/>
        <v>-0.21370826062045101</v>
      </c>
      <c r="E37" s="23">
        <f t="shared" si="29"/>
        <v>-6.3204628150674083</v>
      </c>
      <c r="F37" s="36">
        <f>MAX('BATS 2023 TLFD'!M25,0.0001)</f>
        <v>1.675376067094626E-3</v>
      </c>
      <c r="G37" s="45">
        <f>modeldata!B25/modeldata!B$156</f>
        <v>6.6666666666666671E-3</v>
      </c>
      <c r="H37" s="48">
        <f t="shared" si="21"/>
        <v>2.9792061004116821</v>
      </c>
      <c r="I37" s="49">
        <f t="shared" si="0"/>
        <v>0</v>
      </c>
      <c r="J37" s="50">
        <f t="shared" si="1"/>
        <v>0</v>
      </c>
      <c r="K37" s="51">
        <f t="shared" si="2"/>
        <v>-6.3204628150674083</v>
      </c>
      <c r="L37" s="52">
        <f t="shared" si="58"/>
        <v>-0.21370826062045095</v>
      </c>
      <c r="M37" s="58">
        <f t="shared" si="30"/>
        <v>-6.3204628150674083</v>
      </c>
      <c r="O37" s="39" t="s">
        <v>22</v>
      </c>
      <c r="P37" s="21">
        <f t="shared" si="59"/>
        <v>-0.18324871283782601</v>
      </c>
      <c r="Q37" s="23">
        <f t="shared" si="31"/>
        <v>-4.6286105215687066</v>
      </c>
      <c r="R37" s="36">
        <f>MAX('BATS 2023 TLFD'!N25,0.0001)</f>
        <v>4.7611651395773032E-3</v>
      </c>
      <c r="S37" s="45">
        <f>modeldata!C25/modeldata!C$156</f>
        <v>6.6666666666666671E-3</v>
      </c>
      <c r="T37" s="48">
        <f t="shared" si="22"/>
        <v>0.4002174827438425</v>
      </c>
      <c r="U37" s="49">
        <f t="shared" si="3"/>
        <v>0</v>
      </c>
      <c r="V37" s="50">
        <f t="shared" si="4"/>
        <v>0</v>
      </c>
      <c r="W37" s="51">
        <f t="shared" si="5"/>
        <v>-4.6286105215687066</v>
      </c>
      <c r="X37" s="52">
        <f t="shared" si="60"/>
        <v>-0.18324871283782598</v>
      </c>
      <c r="Y37" s="58">
        <f t="shared" si="32"/>
        <v>-4.6286105215687066</v>
      </c>
      <c r="AA37" s="39" t="s">
        <v>22</v>
      </c>
      <c r="AB37" s="21">
        <f t="shared" si="61"/>
        <v>-0.10927638842708701</v>
      </c>
      <c r="AC37" s="23">
        <f t="shared" si="33"/>
        <v>-3.5649167330807985</v>
      </c>
      <c r="AD37" s="36">
        <f>MAX('BATS 2023 TLFD'!O25,0.0001)</f>
        <v>9.0772165095994919E-3</v>
      </c>
      <c r="AE37" s="45">
        <f>modeldata!D25/modeldata!D$156</f>
        <v>6.6666666666666671E-3</v>
      </c>
      <c r="AF37" s="48">
        <f t="shared" si="23"/>
        <v>-0.26556046563212182</v>
      </c>
      <c r="AG37" s="49">
        <f t="shared" si="6"/>
        <v>0</v>
      </c>
      <c r="AH37" s="50">
        <f t="shared" si="7"/>
        <v>0</v>
      </c>
      <c r="AI37" s="51">
        <f t="shared" si="8"/>
        <v>-3.5649167330807985</v>
      </c>
      <c r="AJ37" s="52">
        <f t="shared" si="62"/>
        <v>-0.10927638842708705</v>
      </c>
      <c r="AK37" s="58">
        <f t="shared" si="34"/>
        <v>-3.564916733080798</v>
      </c>
      <c r="AM37" s="39" t="s">
        <v>22</v>
      </c>
      <c r="AN37" s="21">
        <f t="shared" si="63"/>
        <v>-0.123766678676451</v>
      </c>
      <c r="AO37" s="23">
        <f t="shared" si="35"/>
        <v>-4.0595464970615218</v>
      </c>
      <c r="AP37" s="36">
        <f>MAX('BATS 2023 TLFD'!P25,0.0001)</f>
        <v>2.1793313590199111E-3</v>
      </c>
      <c r="AQ37" s="45">
        <f>modeldata!E25/modeldata!E$156</f>
        <v>6.6666666666666671E-3</v>
      </c>
      <c r="AR37" s="48">
        <f t="shared" si="24"/>
        <v>2.0590422328731139</v>
      </c>
      <c r="AS37" s="49">
        <f t="shared" si="9"/>
        <v>0</v>
      </c>
      <c r="AT37" s="50">
        <f t="shared" si="10"/>
        <v>0</v>
      </c>
      <c r="AU37" s="51">
        <f t="shared" si="11"/>
        <v>-4.0595464970615218</v>
      </c>
      <c r="AV37" s="52">
        <f t="shared" si="64"/>
        <v>-0.12376667867645086</v>
      </c>
      <c r="AW37" s="58">
        <f t="shared" si="36"/>
        <v>-4.0595464970615218</v>
      </c>
      <c r="AY37" s="39" t="s">
        <v>22</v>
      </c>
      <c r="AZ37" s="21">
        <f t="shared" si="65"/>
        <v>-0.13060067927808</v>
      </c>
      <c r="BA37" s="23">
        <f t="shared" si="37"/>
        <v>-4.7032745852405569</v>
      </c>
      <c r="BB37" s="36">
        <f>MAX('BATS 2023 TLFD'!Q25,0.0001)</f>
        <v>7.6256289998629951E-3</v>
      </c>
      <c r="BC37" s="45">
        <f>modeldata!F25/modeldata!F$156</f>
        <v>6.6666666666666671E-3</v>
      </c>
      <c r="BD37" s="48">
        <f t="shared" si="25"/>
        <v>-0.12575517812544473</v>
      </c>
      <c r="BE37" s="49">
        <f t="shared" si="12"/>
        <v>0</v>
      </c>
      <c r="BF37" s="50">
        <f t="shared" si="13"/>
        <v>0</v>
      </c>
      <c r="BG37" s="51">
        <f t="shared" si="14"/>
        <v>-4.7032745852405569</v>
      </c>
      <c r="BH37" s="52">
        <f t="shared" si="66"/>
        <v>-0.13060067927808028</v>
      </c>
      <c r="BI37" s="58">
        <f t="shared" si="38"/>
        <v>-4.7032745852405569</v>
      </c>
      <c r="BK37" s="39" t="s">
        <v>22</v>
      </c>
      <c r="BL37" s="21">
        <f t="shared" si="67"/>
        <v>-0.119295888721189</v>
      </c>
      <c r="BM37" s="23">
        <f t="shared" si="39"/>
        <v>-3.7306275979113281</v>
      </c>
      <c r="BN37" s="36">
        <f>MAX('BATS 2023 TLFD'!R25,0.0001)</f>
        <v>4.804876193282152E-3</v>
      </c>
      <c r="BO37" s="45">
        <f>modeldata!G25/modeldata!G$156</f>
        <v>6.6666666666666671E-3</v>
      </c>
      <c r="BP37" s="48">
        <f t="shared" si="26"/>
        <v>0.38747938521028757</v>
      </c>
      <c r="BQ37" s="49">
        <f t="shared" si="15"/>
        <v>0</v>
      </c>
      <c r="BR37" s="50">
        <f t="shared" si="16"/>
        <v>0</v>
      </c>
      <c r="BS37" s="51">
        <f t="shared" si="17"/>
        <v>-3.7306275979113281</v>
      </c>
      <c r="BT37" s="52">
        <f t="shared" si="68"/>
        <v>-0.11929588872118897</v>
      </c>
      <c r="BU37" s="58">
        <f t="shared" si="40"/>
        <v>-3.7306275979113277</v>
      </c>
      <c r="BW37" s="39" t="s">
        <v>22</v>
      </c>
      <c r="BX37" s="21">
        <f t="shared" si="69"/>
        <v>-0.204473452523388</v>
      </c>
      <c r="BY37" s="23">
        <f t="shared" si="41"/>
        <v>-6.415837490464396</v>
      </c>
      <c r="BZ37" s="36">
        <f>MAX('BATS 2023 TLFD'!S25,0.0001)</f>
        <v>1.6335638225582633E-4</v>
      </c>
      <c r="CA37" s="45">
        <f>modeldata!H25/modeldata!H$156</f>
        <v>6.6666666666666671E-3</v>
      </c>
      <c r="CB37" s="48">
        <f t="shared" si="27"/>
        <v>39.810567512607186</v>
      </c>
      <c r="CC37" s="49">
        <f t="shared" si="18"/>
        <v>0</v>
      </c>
      <c r="CD37" s="50">
        <f t="shared" si="19"/>
        <v>0</v>
      </c>
      <c r="CE37" s="51">
        <f t="shared" si="20"/>
        <v>-6.415837490464396</v>
      </c>
      <c r="CF37" s="52">
        <f t="shared" si="70"/>
        <v>-0.20447345252338778</v>
      </c>
      <c r="CG37" s="58">
        <f t="shared" si="42"/>
        <v>-6.415837490464396</v>
      </c>
    </row>
    <row r="38" spans="1:85" x14ac:dyDescent="0.25">
      <c r="A38" s="81">
        <f t="shared" si="28"/>
        <v>22.5</v>
      </c>
      <c r="B38" s="83">
        <f t="shared" si="28"/>
        <v>22</v>
      </c>
      <c r="C38" s="39" t="s">
        <v>23</v>
      </c>
      <c r="D38" s="21">
        <f t="shared" si="57"/>
        <v>-0.21370826062045101</v>
      </c>
      <c r="E38" s="23">
        <f t="shared" si="29"/>
        <v>-6.5341710756878593</v>
      </c>
      <c r="F38" s="36">
        <f>MAX('BATS 2023 TLFD'!M26,0.0001)</f>
        <v>1E-4</v>
      </c>
      <c r="G38" s="45">
        <f>modeldata!B26/modeldata!B$156</f>
        <v>6.6666666666666671E-3</v>
      </c>
      <c r="H38" s="48">
        <f t="shared" si="21"/>
        <v>65.666666666666671</v>
      </c>
      <c r="I38" s="49">
        <f t="shared" si="0"/>
        <v>0</v>
      </c>
      <c r="J38" s="50">
        <f t="shared" si="1"/>
        <v>0</v>
      </c>
      <c r="K38" s="51">
        <f t="shared" si="2"/>
        <v>-6.5341710756878593</v>
      </c>
      <c r="L38" s="52">
        <f t="shared" si="58"/>
        <v>-0.21370826062045095</v>
      </c>
      <c r="M38" s="58">
        <f t="shared" si="30"/>
        <v>-6.5341710756878593</v>
      </c>
      <c r="O38" s="39" t="s">
        <v>23</v>
      </c>
      <c r="P38" s="21">
        <f t="shared" si="59"/>
        <v>-0.18324871283782601</v>
      </c>
      <c r="Q38" s="23">
        <f t="shared" si="31"/>
        <v>-4.8118592344065325</v>
      </c>
      <c r="R38" s="36">
        <f>MAX('BATS 2023 TLFD'!N26,0.0001)</f>
        <v>1.1265102631790623E-4</v>
      </c>
      <c r="S38" s="45">
        <f>modeldata!C26/modeldata!C$156</f>
        <v>6.6666666666666671E-3</v>
      </c>
      <c r="T38" s="48">
        <f t="shared" si="22"/>
        <v>58.179812954859692</v>
      </c>
      <c r="U38" s="49">
        <f t="shared" si="3"/>
        <v>0</v>
      </c>
      <c r="V38" s="50">
        <f t="shared" si="4"/>
        <v>0</v>
      </c>
      <c r="W38" s="51">
        <f t="shared" si="5"/>
        <v>-4.8118592344065325</v>
      </c>
      <c r="X38" s="52">
        <f t="shared" si="60"/>
        <v>-0.18324871283782598</v>
      </c>
      <c r="Y38" s="58">
        <f t="shared" si="32"/>
        <v>-4.8118592344065325</v>
      </c>
      <c r="AA38" s="39" t="s">
        <v>23</v>
      </c>
      <c r="AB38" s="21">
        <f t="shared" si="61"/>
        <v>-0.10927638842708701</v>
      </c>
      <c r="AC38" s="23">
        <f t="shared" si="33"/>
        <v>-3.6741931215078854</v>
      </c>
      <c r="AD38" s="36">
        <f>MAX('BATS 2023 TLFD'!O26,0.0001)</f>
        <v>8.1161688341770393E-4</v>
      </c>
      <c r="AE38" s="45">
        <f>modeldata!D26/modeldata!D$156</f>
        <v>6.6666666666666671E-3</v>
      </c>
      <c r="AF38" s="48">
        <f t="shared" si="23"/>
        <v>7.2140561672318286</v>
      </c>
      <c r="AG38" s="49">
        <f t="shared" si="6"/>
        <v>0</v>
      </c>
      <c r="AH38" s="50">
        <f t="shared" si="7"/>
        <v>0</v>
      </c>
      <c r="AI38" s="51">
        <f t="shared" si="8"/>
        <v>-3.6741931215078854</v>
      </c>
      <c r="AJ38" s="52">
        <f t="shared" si="62"/>
        <v>-0.10927638842708705</v>
      </c>
      <c r="AK38" s="58">
        <f t="shared" si="34"/>
        <v>-3.6741931215078849</v>
      </c>
      <c r="AM38" s="39" t="s">
        <v>23</v>
      </c>
      <c r="AN38" s="21">
        <f t="shared" si="63"/>
        <v>-0.123766678676451</v>
      </c>
      <c r="AO38" s="23">
        <f t="shared" si="35"/>
        <v>-4.1833131757379727</v>
      </c>
      <c r="AP38" s="36">
        <f>MAX('BATS 2023 TLFD'!P26,0.0001)</f>
        <v>4.5121540494606012E-4</v>
      </c>
      <c r="AQ38" s="45">
        <f>modeldata!E26/modeldata!E$156</f>
        <v>6.6666666666666671E-3</v>
      </c>
      <c r="AR38" s="48">
        <f t="shared" si="24"/>
        <v>13.774909264154278</v>
      </c>
      <c r="AS38" s="49">
        <f t="shared" si="9"/>
        <v>0</v>
      </c>
      <c r="AT38" s="50">
        <f t="shared" si="10"/>
        <v>0</v>
      </c>
      <c r="AU38" s="51">
        <f t="shared" si="11"/>
        <v>-4.1833131757379727</v>
      </c>
      <c r="AV38" s="52">
        <f t="shared" si="64"/>
        <v>-0.12376667867645086</v>
      </c>
      <c r="AW38" s="58">
        <f t="shared" si="36"/>
        <v>-4.1833131757379727</v>
      </c>
      <c r="AY38" s="39" t="s">
        <v>23</v>
      </c>
      <c r="AZ38" s="21">
        <f t="shared" si="65"/>
        <v>-0.13060067927808</v>
      </c>
      <c r="BA38" s="23">
        <f t="shared" si="37"/>
        <v>-4.8338752645186371</v>
      </c>
      <c r="BB38" s="36">
        <f>MAX('BATS 2023 TLFD'!Q26,0.0001)</f>
        <v>1.3144729673101465E-4</v>
      </c>
      <c r="BC38" s="45">
        <f>modeldata!F26/modeldata!F$156</f>
        <v>6.6666666666666671E-3</v>
      </c>
      <c r="BD38" s="48">
        <f t="shared" si="25"/>
        <v>49.717411711470248</v>
      </c>
      <c r="BE38" s="49">
        <f t="shared" si="12"/>
        <v>0</v>
      </c>
      <c r="BF38" s="50">
        <f t="shared" si="13"/>
        <v>0</v>
      </c>
      <c r="BG38" s="51">
        <f t="shared" si="14"/>
        <v>-4.8338752645186371</v>
      </c>
      <c r="BH38" s="52">
        <f t="shared" si="66"/>
        <v>-0.13060067927808028</v>
      </c>
      <c r="BI38" s="58">
        <f t="shared" si="38"/>
        <v>-4.8338752645186371</v>
      </c>
      <c r="BK38" s="39" t="s">
        <v>23</v>
      </c>
      <c r="BL38" s="21">
        <f t="shared" si="67"/>
        <v>-0.119295888721189</v>
      </c>
      <c r="BM38" s="23">
        <f t="shared" si="39"/>
        <v>-3.8499234866325169</v>
      </c>
      <c r="BN38" s="36">
        <f>MAX('BATS 2023 TLFD'!R26,0.0001)</f>
        <v>5.6049335407490895E-4</v>
      </c>
      <c r="BO38" s="45">
        <f>modeldata!G26/modeldata!G$156</f>
        <v>6.6666666666666671E-3</v>
      </c>
      <c r="BP38" s="48">
        <f t="shared" si="26"/>
        <v>10.894283167139355</v>
      </c>
      <c r="BQ38" s="49">
        <f t="shared" si="15"/>
        <v>0</v>
      </c>
      <c r="BR38" s="50">
        <f t="shared" si="16"/>
        <v>0</v>
      </c>
      <c r="BS38" s="51">
        <f t="shared" si="17"/>
        <v>-3.8499234866325169</v>
      </c>
      <c r="BT38" s="52">
        <f t="shared" si="68"/>
        <v>-0.11929588872118897</v>
      </c>
      <c r="BU38" s="58">
        <f t="shared" si="40"/>
        <v>-3.8499234866325165</v>
      </c>
      <c r="BW38" s="39" t="s">
        <v>23</v>
      </c>
      <c r="BX38" s="21">
        <f t="shared" si="69"/>
        <v>-0.204473452523388</v>
      </c>
      <c r="BY38" s="23">
        <f t="shared" si="41"/>
        <v>-6.6203109429877838</v>
      </c>
      <c r="BZ38" s="36">
        <f>MAX('BATS 2023 TLFD'!S26,0.0001)</f>
        <v>1.336610593671399E-4</v>
      </c>
      <c r="CA38" s="45">
        <f>modeldata!H26/modeldata!H$156</f>
        <v>6.6666666666666671E-3</v>
      </c>
      <c r="CB38" s="48">
        <f t="shared" si="27"/>
        <v>48.87740407140334</v>
      </c>
      <c r="CC38" s="49">
        <f t="shared" si="18"/>
        <v>0</v>
      </c>
      <c r="CD38" s="50">
        <f t="shared" si="19"/>
        <v>0</v>
      </c>
      <c r="CE38" s="51">
        <f t="shared" si="20"/>
        <v>-6.6203109429877838</v>
      </c>
      <c r="CF38" s="52">
        <f t="shared" si="70"/>
        <v>-0.20447345252338778</v>
      </c>
      <c r="CG38" s="58">
        <f t="shared" si="42"/>
        <v>-6.6203109429877838</v>
      </c>
    </row>
    <row r="39" spans="1:85" x14ac:dyDescent="0.25">
      <c r="A39" s="81">
        <f t="shared" si="28"/>
        <v>23.5</v>
      </c>
      <c r="B39" s="83">
        <f t="shared" si="28"/>
        <v>23</v>
      </c>
      <c r="C39" s="39" t="s">
        <v>24</v>
      </c>
      <c r="D39" s="21">
        <f t="shared" si="57"/>
        <v>-0.21370826062045101</v>
      </c>
      <c r="E39" s="23">
        <f t="shared" si="29"/>
        <v>-6.7478793363083103</v>
      </c>
      <c r="F39" s="36">
        <f>MAX('BATS 2023 TLFD'!M27,0.0001)</f>
        <v>1.8585060436856048E-4</v>
      </c>
      <c r="G39" s="45">
        <f>modeldata!B27/modeldata!B$156</f>
        <v>6.6666666666666671E-3</v>
      </c>
      <c r="H39" s="48">
        <f t="shared" si="21"/>
        <v>34.871105662083266</v>
      </c>
      <c r="I39" s="49">
        <f t="shared" si="0"/>
        <v>0</v>
      </c>
      <c r="J39" s="50">
        <f t="shared" si="1"/>
        <v>0</v>
      </c>
      <c r="K39" s="51">
        <f t="shared" si="2"/>
        <v>-6.7478793363083103</v>
      </c>
      <c r="L39" s="52">
        <f t="shared" si="58"/>
        <v>-0.21370826062045095</v>
      </c>
      <c r="M39" s="58">
        <f t="shared" si="30"/>
        <v>-6.7478793363083103</v>
      </c>
      <c r="O39" s="39" t="s">
        <v>24</v>
      </c>
      <c r="P39" s="21">
        <f t="shared" si="59"/>
        <v>-0.18324871283782601</v>
      </c>
      <c r="Q39" s="23">
        <f t="shared" si="31"/>
        <v>-4.9951079472443585</v>
      </c>
      <c r="R39" s="36">
        <f>MAX('BATS 2023 TLFD'!N27,0.0001)</f>
        <v>1.7558654473917703E-4</v>
      </c>
      <c r="S39" s="45">
        <f>modeldata!C27/modeldata!C$156</f>
        <v>6.6666666666666671E-3</v>
      </c>
      <c r="T39" s="48">
        <f t="shared" si="22"/>
        <v>36.967981410930939</v>
      </c>
      <c r="U39" s="49">
        <f t="shared" si="3"/>
        <v>0</v>
      </c>
      <c r="V39" s="50">
        <f t="shared" si="4"/>
        <v>0</v>
      </c>
      <c r="W39" s="51">
        <f t="shared" si="5"/>
        <v>-4.9951079472443585</v>
      </c>
      <c r="X39" s="52">
        <f t="shared" si="60"/>
        <v>-0.18324871283782598</v>
      </c>
      <c r="Y39" s="58">
        <f t="shared" si="32"/>
        <v>-4.9951079472443585</v>
      </c>
      <c r="AA39" s="39" t="s">
        <v>24</v>
      </c>
      <c r="AB39" s="21">
        <f t="shared" si="61"/>
        <v>-0.10927638842708701</v>
      </c>
      <c r="AC39" s="23">
        <f t="shared" si="33"/>
        <v>-3.7834695099349722</v>
      </c>
      <c r="AD39" s="36">
        <f>MAX('BATS 2023 TLFD'!O27,0.0001)</f>
        <v>9.2297148624787559E-4</v>
      </c>
      <c r="AE39" s="45">
        <f>modeldata!D27/modeldata!D$156</f>
        <v>6.6666666666666671E-3</v>
      </c>
      <c r="AF39" s="48">
        <f t="shared" si="23"/>
        <v>6.2230472620215371</v>
      </c>
      <c r="AG39" s="49">
        <f t="shared" si="6"/>
        <v>0</v>
      </c>
      <c r="AH39" s="50">
        <f t="shared" si="7"/>
        <v>0</v>
      </c>
      <c r="AI39" s="51">
        <f t="shared" si="8"/>
        <v>-3.7834695099349722</v>
      </c>
      <c r="AJ39" s="52">
        <f t="shared" si="62"/>
        <v>-0.10927638842708705</v>
      </c>
      <c r="AK39" s="58">
        <f t="shared" si="34"/>
        <v>-3.7834695099349718</v>
      </c>
      <c r="AM39" s="39" t="s">
        <v>24</v>
      </c>
      <c r="AN39" s="21">
        <f t="shared" si="63"/>
        <v>-0.123766678676451</v>
      </c>
      <c r="AO39" s="23">
        <f t="shared" si="35"/>
        <v>-4.3070798544144235</v>
      </c>
      <c r="AP39" s="36">
        <f>MAX('BATS 2023 TLFD'!P27,0.0001)</f>
        <v>1.2811747509449373E-3</v>
      </c>
      <c r="AQ39" s="45">
        <f>modeldata!E27/modeldata!E$156</f>
        <v>6.6666666666666671E-3</v>
      </c>
      <c r="AR39" s="48">
        <f t="shared" si="24"/>
        <v>4.2035576425071071</v>
      </c>
      <c r="AS39" s="49">
        <f t="shared" si="9"/>
        <v>0</v>
      </c>
      <c r="AT39" s="50">
        <f t="shared" si="10"/>
        <v>0</v>
      </c>
      <c r="AU39" s="51">
        <f t="shared" si="11"/>
        <v>-4.3070798544144235</v>
      </c>
      <c r="AV39" s="52">
        <f t="shared" si="64"/>
        <v>-0.12376667867645086</v>
      </c>
      <c r="AW39" s="58">
        <f t="shared" si="36"/>
        <v>-4.3070798544144235</v>
      </c>
      <c r="AY39" s="39" t="s">
        <v>24</v>
      </c>
      <c r="AZ39" s="21">
        <f t="shared" si="65"/>
        <v>-0.13060067927808</v>
      </c>
      <c r="BA39" s="23">
        <f t="shared" si="37"/>
        <v>-4.9644759437967174</v>
      </c>
      <c r="BB39" s="36">
        <f>MAX('BATS 2023 TLFD'!Q27,0.0001)</f>
        <v>1.8485656754317181E-4</v>
      </c>
      <c r="BC39" s="45">
        <f>modeldata!F27/modeldata!F$156</f>
        <v>6.6666666666666671E-3</v>
      </c>
      <c r="BD39" s="48">
        <f t="shared" si="25"/>
        <v>35.063996834246744</v>
      </c>
      <c r="BE39" s="49">
        <f t="shared" si="12"/>
        <v>0</v>
      </c>
      <c r="BF39" s="50">
        <f t="shared" si="13"/>
        <v>0</v>
      </c>
      <c r="BG39" s="51">
        <f t="shared" si="14"/>
        <v>-4.9644759437967174</v>
      </c>
      <c r="BH39" s="52">
        <f t="shared" si="66"/>
        <v>-0.13060067927808028</v>
      </c>
      <c r="BI39" s="58">
        <f t="shared" si="38"/>
        <v>-4.9644759437967174</v>
      </c>
      <c r="BK39" s="39" t="s">
        <v>24</v>
      </c>
      <c r="BL39" s="21">
        <f t="shared" si="67"/>
        <v>-0.119295888721189</v>
      </c>
      <c r="BM39" s="23">
        <f t="shared" si="39"/>
        <v>-3.9692193753537057</v>
      </c>
      <c r="BN39" s="36">
        <f>MAX('BATS 2023 TLFD'!R27,0.0001)</f>
        <v>1E-4</v>
      </c>
      <c r="BO39" s="45">
        <f>modeldata!G27/modeldata!G$156</f>
        <v>6.6666666666666671E-3</v>
      </c>
      <c r="BP39" s="48">
        <f t="shared" si="26"/>
        <v>65.666666666666671</v>
      </c>
      <c r="BQ39" s="49">
        <f t="shared" si="15"/>
        <v>0</v>
      </c>
      <c r="BR39" s="50">
        <f t="shared" si="16"/>
        <v>0</v>
      </c>
      <c r="BS39" s="51">
        <f t="shared" si="17"/>
        <v>-3.9692193753537057</v>
      </c>
      <c r="BT39" s="52">
        <f t="shared" si="68"/>
        <v>-0.11929588872118897</v>
      </c>
      <c r="BU39" s="58">
        <f t="shared" si="40"/>
        <v>-3.9692193753537053</v>
      </c>
      <c r="BW39" s="39" t="s">
        <v>24</v>
      </c>
      <c r="BX39" s="21">
        <f t="shared" si="69"/>
        <v>-0.204473452523388</v>
      </c>
      <c r="BY39" s="23">
        <f t="shared" si="41"/>
        <v>-6.8247843955111716</v>
      </c>
      <c r="BZ39" s="36">
        <f>MAX('BATS 2023 TLFD'!S27,0.0001)</f>
        <v>3.0871290389745411E-3</v>
      </c>
      <c r="CA39" s="45">
        <f>modeldata!H27/modeldata!H$156</f>
        <v>6.6666666666666671E-3</v>
      </c>
      <c r="CB39" s="48">
        <f t="shared" si="27"/>
        <v>1.1595037274117799</v>
      </c>
      <c r="CC39" s="49">
        <f t="shared" si="18"/>
        <v>0</v>
      </c>
      <c r="CD39" s="50">
        <f t="shared" si="19"/>
        <v>0</v>
      </c>
      <c r="CE39" s="51">
        <f t="shared" si="20"/>
        <v>-6.8247843955111716</v>
      </c>
      <c r="CF39" s="52">
        <f t="shared" si="70"/>
        <v>-0.20447345252338778</v>
      </c>
      <c r="CG39" s="58">
        <f t="shared" si="42"/>
        <v>-6.8247843955111716</v>
      </c>
    </row>
    <row r="40" spans="1:85" x14ac:dyDescent="0.25">
      <c r="A40" s="81">
        <f t="shared" si="28"/>
        <v>24.5</v>
      </c>
      <c r="B40" s="83">
        <f t="shared" si="28"/>
        <v>24</v>
      </c>
      <c r="C40" s="39" t="s">
        <v>25</v>
      </c>
      <c r="D40" s="21">
        <f t="shared" si="57"/>
        <v>-0.21370826062045101</v>
      </c>
      <c r="E40" s="23">
        <f t="shared" si="29"/>
        <v>-6.9615875969287613</v>
      </c>
      <c r="F40" s="36">
        <f>MAX('BATS 2023 TLFD'!M28,0.0001)</f>
        <v>2.5339706814096132E-3</v>
      </c>
      <c r="G40" s="45">
        <f>modeldata!B28/modeldata!B$156</f>
        <v>6.6666666666666671E-3</v>
      </c>
      <c r="H40" s="48">
        <f t="shared" si="21"/>
        <v>1.6309170487158484</v>
      </c>
      <c r="I40" s="49">
        <f t="shared" si="0"/>
        <v>0</v>
      </c>
      <c r="J40" s="50">
        <f t="shared" si="1"/>
        <v>0</v>
      </c>
      <c r="K40" s="51">
        <f t="shared" si="2"/>
        <v>-6.9615875969287613</v>
      </c>
      <c r="L40" s="52">
        <f t="shared" si="58"/>
        <v>-0.21370826062045095</v>
      </c>
      <c r="M40" s="58">
        <f t="shared" si="30"/>
        <v>-6.9615875969287613</v>
      </c>
      <c r="O40" s="39" t="s">
        <v>25</v>
      </c>
      <c r="P40" s="21">
        <f t="shared" si="59"/>
        <v>-0.18324871283782601</v>
      </c>
      <c r="Q40" s="23">
        <f t="shared" si="31"/>
        <v>-5.1783566600821844</v>
      </c>
      <c r="R40" s="36">
        <f>MAX('BATS 2023 TLFD'!N28,0.0001)</f>
        <v>1.5734153385497647E-3</v>
      </c>
      <c r="S40" s="45">
        <f>modeldata!C28/modeldata!C$156</f>
        <v>6.6666666666666671E-3</v>
      </c>
      <c r="T40" s="48">
        <f t="shared" si="22"/>
        <v>3.2370672913430547</v>
      </c>
      <c r="U40" s="49">
        <f t="shared" si="3"/>
        <v>0</v>
      </c>
      <c r="V40" s="50">
        <f t="shared" si="4"/>
        <v>0</v>
      </c>
      <c r="W40" s="51">
        <f t="shared" si="5"/>
        <v>-5.1783566600821844</v>
      </c>
      <c r="X40" s="52">
        <f t="shared" si="60"/>
        <v>-0.18324871283782598</v>
      </c>
      <c r="Y40" s="58">
        <f t="shared" si="32"/>
        <v>-5.1783566600821844</v>
      </c>
      <c r="AA40" s="39" t="s">
        <v>25</v>
      </c>
      <c r="AB40" s="21">
        <f t="shared" si="61"/>
        <v>-0.10927638842708701</v>
      </c>
      <c r="AC40" s="23">
        <f t="shared" si="33"/>
        <v>-3.8927458983620591</v>
      </c>
      <c r="AD40" s="36">
        <f>MAX('BATS 2023 TLFD'!O28,0.0001)</f>
        <v>1.0873803708820321E-3</v>
      </c>
      <c r="AE40" s="45">
        <f>modeldata!D28/modeldata!D$156</f>
        <v>6.6666666666666671E-3</v>
      </c>
      <c r="AF40" s="48">
        <f t="shared" si="23"/>
        <v>5.1309426261382471</v>
      </c>
      <c r="AG40" s="49">
        <f t="shared" si="6"/>
        <v>0</v>
      </c>
      <c r="AH40" s="50">
        <f t="shared" si="7"/>
        <v>0</v>
      </c>
      <c r="AI40" s="51">
        <f t="shared" si="8"/>
        <v>-3.8927458983620591</v>
      </c>
      <c r="AJ40" s="52">
        <f t="shared" si="62"/>
        <v>-0.10927638842708705</v>
      </c>
      <c r="AK40" s="58">
        <f t="shared" si="34"/>
        <v>-3.8927458983620586</v>
      </c>
      <c r="AM40" s="39" t="s">
        <v>25</v>
      </c>
      <c r="AN40" s="21">
        <f t="shared" si="63"/>
        <v>-0.123766678676451</v>
      </c>
      <c r="AO40" s="23">
        <f t="shared" si="35"/>
        <v>-4.4308465330908744</v>
      </c>
      <c r="AP40" s="36">
        <f>MAX('BATS 2023 TLFD'!P28,0.0001)</f>
        <v>4.5325873142093333E-3</v>
      </c>
      <c r="AQ40" s="45">
        <f>modeldata!E28/modeldata!E$156</f>
        <v>6.6666666666666671E-3</v>
      </c>
      <c r="AR40" s="48">
        <f t="shared" si="24"/>
        <v>0.47083027959928087</v>
      </c>
      <c r="AS40" s="49">
        <f t="shared" si="9"/>
        <v>0</v>
      </c>
      <c r="AT40" s="50">
        <f t="shared" si="10"/>
        <v>0</v>
      </c>
      <c r="AU40" s="51">
        <f t="shared" si="11"/>
        <v>-4.4308465330908744</v>
      </c>
      <c r="AV40" s="52">
        <f t="shared" si="64"/>
        <v>-0.12376667867645086</v>
      </c>
      <c r="AW40" s="58">
        <f t="shared" si="36"/>
        <v>-4.4308465330908744</v>
      </c>
      <c r="AY40" s="39" t="s">
        <v>25</v>
      </c>
      <c r="AZ40" s="21">
        <f t="shared" si="65"/>
        <v>-0.13060067927808</v>
      </c>
      <c r="BA40" s="23">
        <f t="shared" si="37"/>
        <v>-5.0950766230747977</v>
      </c>
      <c r="BB40" s="36">
        <f>MAX('BATS 2023 TLFD'!Q28,0.0001)</f>
        <v>4.4591639148665226E-4</v>
      </c>
      <c r="BC40" s="45">
        <f>modeldata!F28/modeldata!F$156</f>
        <v>6.6666666666666671E-3</v>
      </c>
      <c r="BD40" s="48">
        <f t="shared" si="25"/>
        <v>13.950485772546942</v>
      </c>
      <c r="BE40" s="49">
        <f t="shared" si="12"/>
        <v>0</v>
      </c>
      <c r="BF40" s="50">
        <f t="shared" si="13"/>
        <v>0</v>
      </c>
      <c r="BG40" s="51">
        <f t="shared" si="14"/>
        <v>-5.0950766230747977</v>
      </c>
      <c r="BH40" s="52">
        <f t="shared" si="66"/>
        <v>-0.13060067927808028</v>
      </c>
      <c r="BI40" s="58">
        <f t="shared" si="38"/>
        <v>-5.0950766230747977</v>
      </c>
      <c r="BK40" s="39" t="s">
        <v>25</v>
      </c>
      <c r="BL40" s="21">
        <f t="shared" si="67"/>
        <v>-0.119295888721189</v>
      </c>
      <c r="BM40" s="23">
        <f t="shared" si="39"/>
        <v>-4.0885152640748945</v>
      </c>
      <c r="BN40" s="36">
        <f>MAX('BATS 2023 TLFD'!R28,0.0001)</f>
        <v>1.7050820727601688E-2</v>
      </c>
      <c r="BO40" s="45">
        <f>modeldata!G28/modeldata!G$156</f>
        <v>6.6666666666666671E-3</v>
      </c>
      <c r="BP40" s="48">
        <f t="shared" si="26"/>
        <v>-0.60901197818151132</v>
      </c>
      <c r="BQ40" s="49">
        <f t="shared" si="15"/>
        <v>0</v>
      </c>
      <c r="BR40" s="50">
        <f t="shared" si="16"/>
        <v>0</v>
      </c>
      <c r="BS40" s="51">
        <f t="shared" si="17"/>
        <v>-4.0885152640748945</v>
      </c>
      <c r="BT40" s="52">
        <f t="shared" si="68"/>
        <v>-0.11929588872118897</v>
      </c>
      <c r="BU40" s="58">
        <f t="shared" si="40"/>
        <v>-4.0885152640748945</v>
      </c>
      <c r="BW40" s="39" t="s">
        <v>25</v>
      </c>
      <c r="BX40" s="21">
        <f t="shared" si="69"/>
        <v>-0.204473452523388</v>
      </c>
      <c r="BY40" s="23">
        <f t="shared" si="41"/>
        <v>-7.0292578480345593</v>
      </c>
      <c r="BZ40" s="36">
        <f>MAX('BATS 2023 TLFD'!S28,0.0001)</f>
        <v>1E-4</v>
      </c>
      <c r="CA40" s="45">
        <f>modeldata!H28/modeldata!H$156</f>
        <v>6.6666666666666671E-3</v>
      </c>
      <c r="CB40" s="48">
        <f t="shared" si="27"/>
        <v>65.666666666666671</v>
      </c>
      <c r="CC40" s="49">
        <f t="shared" si="18"/>
        <v>0</v>
      </c>
      <c r="CD40" s="50">
        <f t="shared" si="19"/>
        <v>0</v>
      </c>
      <c r="CE40" s="51">
        <f t="shared" si="20"/>
        <v>-7.0292578480345593</v>
      </c>
      <c r="CF40" s="52">
        <f t="shared" si="70"/>
        <v>-0.20447345252338778</v>
      </c>
      <c r="CG40" s="58">
        <f t="shared" si="42"/>
        <v>-7.0292578480345593</v>
      </c>
    </row>
    <row r="41" spans="1:85" x14ac:dyDescent="0.25">
      <c r="A41" s="81">
        <f t="shared" si="28"/>
        <v>25.5</v>
      </c>
      <c r="B41" s="83">
        <f t="shared" si="28"/>
        <v>25</v>
      </c>
      <c r="C41" s="39" t="s">
        <v>26</v>
      </c>
      <c r="D41" s="21">
        <f t="shared" si="57"/>
        <v>-0.21370826062045101</v>
      </c>
      <c r="E41" s="23">
        <f t="shared" si="29"/>
        <v>-7.1752958575492123</v>
      </c>
      <c r="F41" s="36">
        <f>MAX('BATS 2023 TLFD'!M29,0.0001)</f>
        <v>1E-4</v>
      </c>
      <c r="G41" s="45">
        <f>modeldata!B29/modeldata!B$156</f>
        <v>6.6666666666666671E-3</v>
      </c>
      <c r="H41" s="48">
        <f t="shared" si="21"/>
        <v>65.666666666666671</v>
      </c>
      <c r="I41" s="49">
        <f t="shared" si="0"/>
        <v>0</v>
      </c>
      <c r="J41" s="50">
        <f t="shared" si="1"/>
        <v>0</v>
      </c>
      <c r="K41" s="51">
        <f t="shared" si="2"/>
        <v>-7.1752958575492123</v>
      </c>
      <c r="L41" s="52">
        <f t="shared" si="58"/>
        <v>-0.21370826062045095</v>
      </c>
      <c r="M41" s="58">
        <f t="shared" si="30"/>
        <v>-7.1752958575492123</v>
      </c>
      <c r="O41" s="39" t="s">
        <v>26</v>
      </c>
      <c r="P41" s="21">
        <f t="shared" si="59"/>
        <v>-0.18324871283782601</v>
      </c>
      <c r="Q41" s="23">
        <f t="shared" si="31"/>
        <v>-5.3616053729200104</v>
      </c>
      <c r="R41" s="36">
        <f>MAX('BATS 2023 TLFD'!N29,0.0001)</f>
        <v>1.7498449955945165E-3</v>
      </c>
      <c r="S41" s="45">
        <f>modeldata!C29/modeldata!C$156</f>
        <v>6.6666666666666671E-3</v>
      </c>
      <c r="T41" s="48">
        <f t="shared" si="22"/>
        <v>2.8098612639696365</v>
      </c>
      <c r="U41" s="49">
        <f t="shared" si="3"/>
        <v>0</v>
      </c>
      <c r="V41" s="50">
        <f t="shared" si="4"/>
        <v>0</v>
      </c>
      <c r="W41" s="51">
        <f t="shared" si="5"/>
        <v>-5.3616053729200104</v>
      </c>
      <c r="X41" s="52">
        <f t="shared" si="60"/>
        <v>-0.18324871283782598</v>
      </c>
      <c r="Y41" s="58">
        <f t="shared" si="32"/>
        <v>-5.3616053729200104</v>
      </c>
      <c r="AA41" s="39" t="s">
        <v>26</v>
      </c>
      <c r="AB41" s="21">
        <f t="shared" si="61"/>
        <v>-0.10927638842708701</v>
      </c>
      <c r="AC41" s="23">
        <f t="shared" si="33"/>
        <v>-4.0020222867891464</v>
      </c>
      <c r="AD41" s="36">
        <f>MAX('BATS 2023 TLFD'!O29,0.0001)</f>
        <v>6.0543481834800942E-3</v>
      </c>
      <c r="AE41" s="45">
        <f>modeldata!D29/modeldata!D$156</f>
        <v>6.6666666666666671E-3</v>
      </c>
      <c r="AF41" s="48">
        <f t="shared" si="23"/>
        <v>0.1011369786853928</v>
      </c>
      <c r="AG41" s="49">
        <f t="shared" si="6"/>
        <v>0</v>
      </c>
      <c r="AH41" s="50">
        <f t="shared" si="7"/>
        <v>0</v>
      </c>
      <c r="AI41" s="51">
        <f t="shared" si="8"/>
        <v>-4.0020222867891464</v>
      </c>
      <c r="AJ41" s="52">
        <f t="shared" si="62"/>
        <v>-0.10927638842708705</v>
      </c>
      <c r="AK41" s="58">
        <f t="shared" si="34"/>
        <v>-4.0020222867891455</v>
      </c>
      <c r="AM41" s="39" t="s">
        <v>26</v>
      </c>
      <c r="AN41" s="21">
        <f t="shared" si="63"/>
        <v>-0.123766678676451</v>
      </c>
      <c r="AO41" s="23">
        <f t="shared" si="35"/>
        <v>-4.5546132117673253</v>
      </c>
      <c r="AP41" s="36">
        <f>MAX('BATS 2023 TLFD'!P29,0.0001)</f>
        <v>1.3437559920810563E-3</v>
      </c>
      <c r="AQ41" s="45">
        <f>modeldata!E29/modeldata!E$156</f>
        <v>6.6666666666666671E-3</v>
      </c>
      <c r="AR41" s="48">
        <f t="shared" si="24"/>
        <v>3.9612181868987184</v>
      </c>
      <c r="AS41" s="49">
        <f t="shared" si="9"/>
        <v>0</v>
      </c>
      <c r="AT41" s="50">
        <f t="shared" si="10"/>
        <v>0</v>
      </c>
      <c r="AU41" s="51">
        <f t="shared" si="11"/>
        <v>-4.5546132117673253</v>
      </c>
      <c r="AV41" s="52">
        <f t="shared" si="64"/>
        <v>-0.12376667867645086</v>
      </c>
      <c r="AW41" s="58">
        <f t="shared" si="36"/>
        <v>-4.5546132117673253</v>
      </c>
      <c r="AY41" s="39" t="s">
        <v>26</v>
      </c>
      <c r="AZ41" s="21">
        <f t="shared" si="65"/>
        <v>-0.13060067927808</v>
      </c>
      <c r="BA41" s="23">
        <f t="shared" si="37"/>
        <v>-5.225677302352878</v>
      </c>
      <c r="BB41" s="36">
        <f>MAX('BATS 2023 TLFD'!Q29,0.0001)</f>
        <v>2.5803730884773441E-4</v>
      </c>
      <c r="BC41" s="45">
        <f>modeldata!F29/modeldata!F$156</f>
        <v>6.6666666666666671E-3</v>
      </c>
      <c r="BD41" s="48">
        <f t="shared" si="25"/>
        <v>24.836057182725501</v>
      </c>
      <c r="BE41" s="49">
        <f t="shared" si="12"/>
        <v>0</v>
      </c>
      <c r="BF41" s="50">
        <f t="shared" si="13"/>
        <v>0</v>
      </c>
      <c r="BG41" s="51">
        <f t="shared" si="14"/>
        <v>-5.225677302352878</v>
      </c>
      <c r="BH41" s="52">
        <f t="shared" si="66"/>
        <v>-0.13060067927808028</v>
      </c>
      <c r="BI41" s="58">
        <f t="shared" si="38"/>
        <v>-5.225677302352878</v>
      </c>
      <c r="BK41" s="39" t="s">
        <v>26</v>
      </c>
      <c r="BL41" s="21">
        <f t="shared" si="67"/>
        <v>-0.119295888721189</v>
      </c>
      <c r="BM41" s="23">
        <f t="shared" si="39"/>
        <v>-4.2078111527960838</v>
      </c>
      <c r="BN41" s="36">
        <f>MAX('BATS 2023 TLFD'!R29,0.0001)</f>
        <v>1E-4</v>
      </c>
      <c r="BO41" s="45">
        <f>modeldata!G29/modeldata!G$156</f>
        <v>6.6666666666666671E-3</v>
      </c>
      <c r="BP41" s="48">
        <f t="shared" si="26"/>
        <v>65.666666666666671</v>
      </c>
      <c r="BQ41" s="49">
        <f t="shared" si="15"/>
        <v>0</v>
      </c>
      <c r="BR41" s="50">
        <f t="shared" si="16"/>
        <v>0</v>
      </c>
      <c r="BS41" s="51">
        <f t="shared" si="17"/>
        <v>-4.2078111527960838</v>
      </c>
      <c r="BT41" s="52">
        <f t="shared" si="68"/>
        <v>-0.11929588872118897</v>
      </c>
      <c r="BU41" s="58">
        <f t="shared" si="40"/>
        <v>-4.2078111527960838</v>
      </c>
      <c r="BW41" s="39" t="s">
        <v>26</v>
      </c>
      <c r="BX41" s="21">
        <f t="shared" si="69"/>
        <v>-0.204473452523388</v>
      </c>
      <c r="BY41" s="23">
        <f t="shared" si="41"/>
        <v>-7.2337313005579471</v>
      </c>
      <c r="BZ41" s="36">
        <f>MAX('BATS 2023 TLFD'!S29,0.0001)</f>
        <v>1E-4</v>
      </c>
      <c r="CA41" s="45">
        <f>modeldata!H29/modeldata!H$156</f>
        <v>6.6666666666666671E-3</v>
      </c>
      <c r="CB41" s="48">
        <f t="shared" si="27"/>
        <v>65.666666666666671</v>
      </c>
      <c r="CC41" s="49">
        <f t="shared" si="18"/>
        <v>0</v>
      </c>
      <c r="CD41" s="50">
        <f t="shared" si="19"/>
        <v>0</v>
      </c>
      <c r="CE41" s="51">
        <f t="shared" si="20"/>
        <v>-7.2337313005579471</v>
      </c>
      <c r="CF41" s="52">
        <f t="shared" si="70"/>
        <v>-0.20447345252338778</v>
      </c>
      <c r="CG41" s="58">
        <f t="shared" si="42"/>
        <v>-7.2337313005579471</v>
      </c>
    </row>
    <row r="42" spans="1:85" x14ac:dyDescent="0.25">
      <c r="A42" s="81">
        <f t="shared" si="28"/>
        <v>26.5</v>
      </c>
      <c r="B42" s="83">
        <f t="shared" si="28"/>
        <v>26</v>
      </c>
      <c r="C42" s="39" t="s">
        <v>27</v>
      </c>
      <c r="D42" s="21">
        <f t="shared" si="57"/>
        <v>-0.21370826062045101</v>
      </c>
      <c r="E42" s="23">
        <f t="shared" si="29"/>
        <v>-7.3890041181696633</v>
      </c>
      <c r="F42" s="36">
        <f>MAX('BATS 2023 TLFD'!M30,0.0001)</f>
        <v>1.2834792323979907E-4</v>
      </c>
      <c r="G42" s="45">
        <f>modeldata!B30/modeldata!B$156</f>
        <v>6.6666666666666671E-3</v>
      </c>
      <c r="H42" s="48">
        <f t="shared" si="21"/>
        <v>50.942146770937526</v>
      </c>
      <c r="I42" s="49">
        <f t="shared" si="0"/>
        <v>0</v>
      </c>
      <c r="J42" s="50">
        <f t="shared" si="1"/>
        <v>0</v>
      </c>
      <c r="K42" s="51">
        <f t="shared" si="2"/>
        <v>-7.3890041181696633</v>
      </c>
      <c r="L42" s="52">
        <f t="shared" si="58"/>
        <v>-0.21370826062045095</v>
      </c>
      <c r="M42" s="58">
        <f t="shared" si="30"/>
        <v>-7.3890041181696633</v>
      </c>
      <c r="O42" s="39" t="s">
        <v>27</v>
      </c>
      <c r="P42" s="21">
        <f t="shared" si="59"/>
        <v>-0.18324871283782601</v>
      </c>
      <c r="Q42" s="23">
        <f t="shared" si="31"/>
        <v>-5.5448540857578363</v>
      </c>
      <c r="R42" s="36">
        <f>MAX('BATS 2023 TLFD'!N30,0.0001)</f>
        <v>1E-4</v>
      </c>
      <c r="S42" s="45">
        <f>modeldata!C30/modeldata!C$156</f>
        <v>6.6666666666666671E-3</v>
      </c>
      <c r="T42" s="48">
        <f t="shared" si="22"/>
        <v>65.666666666666671</v>
      </c>
      <c r="U42" s="49">
        <f t="shared" si="3"/>
        <v>0</v>
      </c>
      <c r="V42" s="50">
        <f t="shared" si="4"/>
        <v>0</v>
      </c>
      <c r="W42" s="51">
        <f t="shared" si="5"/>
        <v>-5.5448540857578363</v>
      </c>
      <c r="X42" s="52">
        <f t="shared" si="60"/>
        <v>-0.18324871283782598</v>
      </c>
      <c r="Y42" s="58">
        <f t="shared" si="32"/>
        <v>-5.5448540857578363</v>
      </c>
      <c r="AA42" s="39" t="s">
        <v>27</v>
      </c>
      <c r="AB42" s="21">
        <f t="shared" si="61"/>
        <v>-0.10927638842708701</v>
      </c>
      <c r="AC42" s="23">
        <f t="shared" si="33"/>
        <v>-4.1112986752162337</v>
      </c>
      <c r="AD42" s="36">
        <f>MAX('BATS 2023 TLFD'!O30,0.0001)</f>
        <v>6.341763302286349E-3</v>
      </c>
      <c r="AE42" s="45">
        <f>modeldata!D30/modeldata!D$156</f>
        <v>6.6666666666666671E-3</v>
      </c>
      <c r="AF42" s="48">
        <f t="shared" si="23"/>
        <v>5.1232338530071454E-2</v>
      </c>
      <c r="AG42" s="49">
        <f t="shared" si="6"/>
        <v>0</v>
      </c>
      <c r="AH42" s="50">
        <f t="shared" si="7"/>
        <v>0</v>
      </c>
      <c r="AI42" s="51">
        <f t="shared" si="8"/>
        <v>-4.1112986752162337</v>
      </c>
      <c r="AJ42" s="52">
        <f t="shared" si="62"/>
        <v>-0.10927638842708705</v>
      </c>
      <c r="AK42" s="58">
        <f t="shared" si="34"/>
        <v>-4.1112986752162328</v>
      </c>
      <c r="AM42" s="39" t="s">
        <v>27</v>
      </c>
      <c r="AN42" s="21">
        <f t="shared" si="63"/>
        <v>-0.123766678676451</v>
      </c>
      <c r="AO42" s="23">
        <f t="shared" si="35"/>
        <v>-4.6783798904437761</v>
      </c>
      <c r="AP42" s="36">
        <f>MAX('BATS 2023 TLFD'!P30,0.0001)</f>
        <v>3.621527501558525E-3</v>
      </c>
      <c r="AQ42" s="45">
        <f>modeldata!E30/modeldata!E$156</f>
        <v>6.6666666666666671E-3</v>
      </c>
      <c r="AR42" s="48">
        <f t="shared" si="24"/>
        <v>0.84084386044222115</v>
      </c>
      <c r="AS42" s="49">
        <f t="shared" si="9"/>
        <v>0</v>
      </c>
      <c r="AT42" s="50">
        <f t="shared" si="10"/>
        <v>0</v>
      </c>
      <c r="AU42" s="51">
        <f t="shared" si="11"/>
        <v>-4.6783798904437761</v>
      </c>
      <c r="AV42" s="52">
        <f t="shared" si="64"/>
        <v>-0.12376667867645086</v>
      </c>
      <c r="AW42" s="58">
        <f t="shared" si="36"/>
        <v>-4.6783798904437761</v>
      </c>
      <c r="AY42" s="39" t="s">
        <v>27</v>
      </c>
      <c r="AZ42" s="21">
        <f t="shared" si="65"/>
        <v>-0.13060067927808</v>
      </c>
      <c r="BA42" s="23">
        <f t="shared" si="37"/>
        <v>-5.3562779816309583</v>
      </c>
      <c r="BB42" s="36">
        <f>MAX('BATS 2023 TLFD'!Q30,0.0001)</f>
        <v>1E-4</v>
      </c>
      <c r="BC42" s="45">
        <f>modeldata!F30/modeldata!F$156</f>
        <v>6.6666666666666671E-3</v>
      </c>
      <c r="BD42" s="48">
        <f t="shared" si="25"/>
        <v>65.666666666666671</v>
      </c>
      <c r="BE42" s="49">
        <f t="shared" si="12"/>
        <v>0</v>
      </c>
      <c r="BF42" s="50">
        <f t="shared" si="13"/>
        <v>0</v>
      </c>
      <c r="BG42" s="51">
        <f t="shared" si="14"/>
        <v>-5.3562779816309583</v>
      </c>
      <c r="BH42" s="52">
        <f t="shared" si="66"/>
        <v>-0.13060067927808028</v>
      </c>
      <c r="BI42" s="58">
        <f t="shared" si="38"/>
        <v>-5.3562779816309583</v>
      </c>
      <c r="BK42" s="39" t="s">
        <v>27</v>
      </c>
      <c r="BL42" s="21">
        <f t="shared" si="67"/>
        <v>-0.119295888721189</v>
      </c>
      <c r="BM42" s="23">
        <f t="shared" si="39"/>
        <v>-4.327107041517273</v>
      </c>
      <c r="BN42" s="36">
        <f>MAX('BATS 2023 TLFD'!R30,0.0001)</f>
        <v>3.5409901976957446E-4</v>
      </c>
      <c r="BO42" s="45">
        <f>modeldata!G30/modeldata!G$156</f>
        <v>6.6666666666666671E-3</v>
      </c>
      <c r="BP42" s="48">
        <f t="shared" si="26"/>
        <v>17.827125449273815</v>
      </c>
      <c r="BQ42" s="49">
        <f t="shared" si="15"/>
        <v>0</v>
      </c>
      <c r="BR42" s="50">
        <f t="shared" si="16"/>
        <v>0</v>
      </c>
      <c r="BS42" s="51">
        <f t="shared" si="17"/>
        <v>-4.327107041517273</v>
      </c>
      <c r="BT42" s="52">
        <f t="shared" si="68"/>
        <v>-0.11929588872118897</v>
      </c>
      <c r="BU42" s="58">
        <f t="shared" si="40"/>
        <v>-4.327107041517273</v>
      </c>
      <c r="BW42" s="39" t="s">
        <v>27</v>
      </c>
      <c r="BX42" s="21">
        <f t="shared" si="69"/>
        <v>-0.204473452523388</v>
      </c>
      <c r="BY42" s="23">
        <f t="shared" si="41"/>
        <v>-7.4382047530813349</v>
      </c>
      <c r="BZ42" s="36">
        <f>MAX('BATS 2023 TLFD'!S30,0.0001)</f>
        <v>1E-4</v>
      </c>
      <c r="CA42" s="45">
        <f>modeldata!H30/modeldata!H$156</f>
        <v>6.6666666666666671E-3</v>
      </c>
      <c r="CB42" s="48">
        <f t="shared" si="27"/>
        <v>65.666666666666671</v>
      </c>
      <c r="CC42" s="49">
        <f t="shared" si="18"/>
        <v>0</v>
      </c>
      <c r="CD42" s="50">
        <f t="shared" si="19"/>
        <v>0</v>
      </c>
      <c r="CE42" s="51">
        <f t="shared" si="20"/>
        <v>-7.4382047530813349</v>
      </c>
      <c r="CF42" s="52">
        <f t="shared" si="70"/>
        <v>-0.20447345252338778</v>
      </c>
      <c r="CG42" s="58">
        <f t="shared" si="42"/>
        <v>-7.4382047530813349</v>
      </c>
    </row>
    <row r="43" spans="1:85" x14ac:dyDescent="0.25">
      <c r="A43" s="81">
        <f t="shared" si="28"/>
        <v>27.5</v>
      </c>
      <c r="B43" s="83">
        <f t="shared" si="28"/>
        <v>27</v>
      </c>
      <c r="C43" s="39" t="s">
        <v>28</v>
      </c>
      <c r="D43" s="21">
        <f t="shared" si="57"/>
        <v>-0.21370826062045101</v>
      </c>
      <c r="E43" s="23">
        <f t="shared" si="29"/>
        <v>-7.6027123787901143</v>
      </c>
      <c r="F43" s="36">
        <f>MAX('BATS 2023 TLFD'!M31,0.0001)</f>
        <v>1.3076003070774605E-4</v>
      </c>
      <c r="G43" s="45">
        <f>modeldata!B31/modeldata!B$156</f>
        <v>6.6666666666666671E-3</v>
      </c>
      <c r="H43" s="48">
        <f t="shared" si="21"/>
        <v>49.983979053713561</v>
      </c>
      <c r="I43" s="49">
        <f t="shared" si="0"/>
        <v>0</v>
      </c>
      <c r="J43" s="50">
        <f t="shared" si="1"/>
        <v>0</v>
      </c>
      <c r="K43" s="51">
        <f t="shared" si="2"/>
        <v>-7.6027123787901143</v>
      </c>
      <c r="L43" s="52">
        <f t="shared" si="58"/>
        <v>-0.21370826062045095</v>
      </c>
      <c r="M43" s="58">
        <f t="shared" si="30"/>
        <v>-7.6027123787901143</v>
      </c>
      <c r="O43" s="39" t="s">
        <v>28</v>
      </c>
      <c r="P43" s="21">
        <f t="shared" si="59"/>
        <v>-0.18324871283782601</v>
      </c>
      <c r="Q43" s="23">
        <f t="shared" si="31"/>
        <v>-5.7281027985956623</v>
      </c>
      <c r="R43" s="36">
        <f>MAX('BATS 2023 TLFD'!N31,0.0001)</f>
        <v>1.5159842972822734E-2</v>
      </c>
      <c r="S43" s="45">
        <f>modeldata!C31/modeldata!C$156</f>
        <v>6.6666666666666671E-3</v>
      </c>
      <c r="T43" s="48">
        <f t="shared" si="22"/>
        <v>-0.5602417070798098</v>
      </c>
      <c r="U43" s="49">
        <f t="shared" si="3"/>
        <v>0</v>
      </c>
      <c r="V43" s="50">
        <f t="shared" si="4"/>
        <v>0</v>
      </c>
      <c r="W43" s="51">
        <f t="shared" si="5"/>
        <v>-5.7281027985956623</v>
      </c>
      <c r="X43" s="52">
        <f t="shared" si="60"/>
        <v>-0.18324871283782598</v>
      </c>
      <c r="Y43" s="58">
        <f t="shared" si="32"/>
        <v>-5.7281027985956623</v>
      </c>
      <c r="AA43" s="39" t="s">
        <v>28</v>
      </c>
      <c r="AB43" s="21">
        <f t="shared" si="61"/>
        <v>-0.10927638842708701</v>
      </c>
      <c r="AC43" s="23">
        <f t="shared" si="33"/>
        <v>-4.220575063643321</v>
      </c>
      <c r="AD43" s="36">
        <f>MAX('BATS 2023 TLFD'!O31,0.0001)</f>
        <v>2.3036288476835709E-4</v>
      </c>
      <c r="AE43" s="45">
        <f>modeldata!D31/modeldata!D$156</f>
        <v>6.6666666666666671E-3</v>
      </c>
      <c r="AF43" s="48">
        <f t="shared" si="23"/>
        <v>27.939847117170707</v>
      </c>
      <c r="AG43" s="49">
        <f t="shared" si="6"/>
        <v>0</v>
      </c>
      <c r="AH43" s="50">
        <f t="shared" si="7"/>
        <v>0</v>
      </c>
      <c r="AI43" s="51">
        <f t="shared" si="8"/>
        <v>-4.220575063643321</v>
      </c>
      <c r="AJ43" s="52">
        <f t="shared" si="62"/>
        <v>-0.10927638842708705</v>
      </c>
      <c r="AK43" s="58">
        <f t="shared" si="34"/>
        <v>-4.2205750636433201</v>
      </c>
      <c r="AM43" s="39" t="s">
        <v>28</v>
      </c>
      <c r="AN43" s="21">
        <f t="shared" si="63"/>
        <v>-0.123766678676451</v>
      </c>
      <c r="AO43" s="23">
        <f t="shared" si="35"/>
        <v>-4.802146569120227</v>
      </c>
      <c r="AP43" s="36">
        <f>MAX('BATS 2023 TLFD'!P31,0.0001)</f>
        <v>4.271641911900215E-4</v>
      </c>
      <c r="AQ43" s="45">
        <f>modeldata!E31/modeldata!E$156</f>
        <v>6.6666666666666671E-3</v>
      </c>
      <c r="AR43" s="48">
        <f t="shared" si="24"/>
        <v>14.606801328768309</v>
      </c>
      <c r="AS43" s="49">
        <f t="shared" si="9"/>
        <v>0</v>
      </c>
      <c r="AT43" s="50">
        <f t="shared" si="10"/>
        <v>0</v>
      </c>
      <c r="AU43" s="51">
        <f t="shared" si="11"/>
        <v>-4.802146569120227</v>
      </c>
      <c r="AV43" s="52">
        <f t="shared" si="64"/>
        <v>-0.12376667867645086</v>
      </c>
      <c r="AW43" s="58">
        <f t="shared" si="36"/>
        <v>-4.802146569120227</v>
      </c>
      <c r="AY43" s="39" t="s">
        <v>28</v>
      </c>
      <c r="AZ43" s="21">
        <f t="shared" si="65"/>
        <v>-0.13060067927808</v>
      </c>
      <c r="BA43" s="23">
        <f t="shared" si="37"/>
        <v>-5.4868786609090385</v>
      </c>
      <c r="BB43" s="36">
        <f>MAX('BATS 2023 TLFD'!Q31,0.0001)</f>
        <v>9.7703783097065691E-4</v>
      </c>
      <c r="BC43" s="45">
        <f>modeldata!F31/modeldata!F$156</f>
        <v>6.6666666666666671E-3</v>
      </c>
      <c r="BD43" s="48">
        <f t="shared" si="25"/>
        <v>5.8233454788987444</v>
      </c>
      <c r="BE43" s="49">
        <f t="shared" si="12"/>
        <v>0</v>
      </c>
      <c r="BF43" s="50">
        <f t="shared" si="13"/>
        <v>0</v>
      </c>
      <c r="BG43" s="51">
        <f t="shared" si="14"/>
        <v>-5.4868786609090385</v>
      </c>
      <c r="BH43" s="52">
        <f t="shared" si="66"/>
        <v>-0.13060067927808028</v>
      </c>
      <c r="BI43" s="58">
        <f t="shared" si="38"/>
        <v>-5.4868786609090385</v>
      </c>
      <c r="BK43" s="39" t="s">
        <v>28</v>
      </c>
      <c r="BL43" s="21">
        <f t="shared" si="67"/>
        <v>-0.119295888721189</v>
      </c>
      <c r="BM43" s="23">
        <f t="shared" si="39"/>
        <v>-4.4464029302384622</v>
      </c>
      <c r="BN43" s="36">
        <f>MAX('BATS 2023 TLFD'!R31,0.0001)</f>
        <v>6.4960742477322491E-4</v>
      </c>
      <c r="BO43" s="45">
        <f>modeldata!G31/modeldata!G$156</f>
        <v>6.6666666666666671E-3</v>
      </c>
      <c r="BP43" s="48">
        <f t="shared" si="26"/>
        <v>9.2626084807974145</v>
      </c>
      <c r="BQ43" s="49">
        <f t="shared" si="15"/>
        <v>0</v>
      </c>
      <c r="BR43" s="50">
        <f t="shared" si="16"/>
        <v>0</v>
      </c>
      <c r="BS43" s="51">
        <f t="shared" si="17"/>
        <v>-4.4464029302384622</v>
      </c>
      <c r="BT43" s="52">
        <f t="shared" si="68"/>
        <v>-0.11929588872118897</v>
      </c>
      <c r="BU43" s="58">
        <f t="shared" si="40"/>
        <v>-4.4464029302384622</v>
      </c>
      <c r="BW43" s="39" t="s">
        <v>28</v>
      </c>
      <c r="BX43" s="21">
        <f t="shared" si="69"/>
        <v>-0.204473452523388</v>
      </c>
      <c r="BY43" s="23">
        <f t="shared" si="41"/>
        <v>-7.6426782056047227</v>
      </c>
      <c r="BZ43" s="36">
        <f>MAX('BATS 2023 TLFD'!S31,0.0001)</f>
        <v>1E-4</v>
      </c>
      <c r="CA43" s="45">
        <f>modeldata!H31/modeldata!H$156</f>
        <v>6.6666666666666671E-3</v>
      </c>
      <c r="CB43" s="48">
        <f t="shared" si="27"/>
        <v>65.666666666666671</v>
      </c>
      <c r="CC43" s="49">
        <f t="shared" si="18"/>
        <v>0</v>
      </c>
      <c r="CD43" s="50">
        <f t="shared" si="19"/>
        <v>0</v>
      </c>
      <c r="CE43" s="51">
        <f t="shared" si="20"/>
        <v>-7.6426782056047227</v>
      </c>
      <c r="CF43" s="52">
        <f t="shared" si="70"/>
        <v>-0.20447345252338778</v>
      </c>
      <c r="CG43" s="58">
        <f t="shared" si="42"/>
        <v>-7.6426782056047227</v>
      </c>
    </row>
    <row r="44" spans="1:85" x14ac:dyDescent="0.25">
      <c r="A44" s="81">
        <f t="shared" si="28"/>
        <v>28.5</v>
      </c>
      <c r="B44" s="83">
        <f t="shared" si="28"/>
        <v>28</v>
      </c>
      <c r="C44" s="39" t="s">
        <v>29</v>
      </c>
      <c r="D44" s="21">
        <f t="shared" si="57"/>
        <v>-0.21370826062045101</v>
      </c>
      <c r="E44" s="23">
        <f t="shared" si="29"/>
        <v>-7.8164206394105653</v>
      </c>
      <c r="F44" s="36">
        <f>MAX('BATS 2023 TLFD'!M32,0.0001)</f>
        <v>1.2804431019784132E-3</v>
      </c>
      <c r="G44" s="45">
        <f>modeldata!B32/modeldata!B$156</f>
        <v>6.6666666666666671E-3</v>
      </c>
      <c r="H44" s="48">
        <f t="shared" si="21"/>
        <v>4.2065309706975631</v>
      </c>
      <c r="I44" s="49">
        <f t="shared" si="0"/>
        <v>0</v>
      </c>
      <c r="J44" s="50">
        <f t="shared" si="1"/>
        <v>0</v>
      </c>
      <c r="K44" s="51">
        <f t="shared" si="2"/>
        <v>-7.8164206394105653</v>
      </c>
      <c r="L44" s="52">
        <f t="shared" si="58"/>
        <v>-0.21370826062045095</v>
      </c>
      <c r="M44" s="58">
        <f t="shared" si="30"/>
        <v>-7.8164206394105653</v>
      </c>
      <c r="O44" s="39" t="s">
        <v>29</v>
      </c>
      <c r="P44" s="21">
        <f t="shared" si="59"/>
        <v>-0.18324871283782601</v>
      </c>
      <c r="Q44" s="23">
        <f t="shared" si="31"/>
        <v>-5.9113515114334882</v>
      </c>
      <c r="R44" s="36">
        <f>MAX('BATS 2023 TLFD'!N32,0.0001)</f>
        <v>1.9690747627846396E-3</v>
      </c>
      <c r="S44" s="45">
        <f>modeldata!C32/modeldata!C$156</f>
        <v>6.6666666666666671E-3</v>
      </c>
      <c r="T44" s="48">
        <f t="shared" si="22"/>
        <v>2.3856848874741328</v>
      </c>
      <c r="U44" s="49">
        <f t="shared" si="3"/>
        <v>0</v>
      </c>
      <c r="V44" s="50">
        <f t="shared" si="4"/>
        <v>0</v>
      </c>
      <c r="W44" s="51">
        <f t="shared" si="5"/>
        <v>-5.9113515114334882</v>
      </c>
      <c r="X44" s="52">
        <f t="shared" si="60"/>
        <v>-0.18324871283782598</v>
      </c>
      <c r="Y44" s="58">
        <f t="shared" si="32"/>
        <v>-5.9113515114334882</v>
      </c>
      <c r="AA44" s="39" t="s">
        <v>29</v>
      </c>
      <c r="AB44" s="21">
        <f t="shared" si="61"/>
        <v>-0.10927638842708701</v>
      </c>
      <c r="AC44" s="23">
        <f t="shared" si="33"/>
        <v>-4.3298514520704083</v>
      </c>
      <c r="AD44" s="36">
        <f>MAX('BATS 2023 TLFD'!O32,0.0001)</f>
        <v>1.1070761661690215E-3</v>
      </c>
      <c r="AE44" s="45">
        <f>modeldata!D32/modeldata!D$156</f>
        <v>6.6666666666666671E-3</v>
      </c>
      <c r="AF44" s="48">
        <f t="shared" si="23"/>
        <v>5.021868115665713</v>
      </c>
      <c r="AG44" s="49">
        <f t="shared" si="6"/>
        <v>0</v>
      </c>
      <c r="AH44" s="50">
        <f t="shared" si="7"/>
        <v>0</v>
      </c>
      <c r="AI44" s="51">
        <f t="shared" si="8"/>
        <v>-4.3298514520704083</v>
      </c>
      <c r="AJ44" s="52">
        <f t="shared" si="62"/>
        <v>-0.10927638842708705</v>
      </c>
      <c r="AK44" s="58">
        <f t="shared" si="34"/>
        <v>-4.3298514520704074</v>
      </c>
      <c r="AM44" s="39" t="s">
        <v>29</v>
      </c>
      <c r="AN44" s="21">
        <f t="shared" si="63"/>
        <v>-0.123766678676451</v>
      </c>
      <c r="AO44" s="23">
        <f t="shared" si="35"/>
        <v>-4.9259132477966778</v>
      </c>
      <c r="AP44" s="36">
        <f>MAX('BATS 2023 TLFD'!P32,0.0001)</f>
        <v>3.8043284005664364E-3</v>
      </c>
      <c r="AQ44" s="45">
        <f>modeldata!E32/modeldata!E$156</f>
        <v>6.6666666666666671E-3</v>
      </c>
      <c r="AR44" s="48">
        <f t="shared" si="24"/>
        <v>0.7523899003235498</v>
      </c>
      <c r="AS44" s="49">
        <f t="shared" si="9"/>
        <v>0</v>
      </c>
      <c r="AT44" s="50">
        <f t="shared" si="10"/>
        <v>0</v>
      </c>
      <c r="AU44" s="51">
        <f t="shared" si="11"/>
        <v>-4.9259132477966778</v>
      </c>
      <c r="AV44" s="52">
        <f t="shared" si="64"/>
        <v>-0.12376667867645086</v>
      </c>
      <c r="AW44" s="58">
        <f t="shared" si="36"/>
        <v>-4.9259132477966778</v>
      </c>
      <c r="AY44" s="39" t="s">
        <v>29</v>
      </c>
      <c r="AZ44" s="21">
        <f t="shared" si="65"/>
        <v>-0.13060067927808</v>
      </c>
      <c r="BA44" s="23">
        <f t="shared" si="37"/>
        <v>-5.6174793401871188</v>
      </c>
      <c r="BB44" s="36">
        <f>MAX('BATS 2023 TLFD'!Q32,0.0001)</f>
        <v>2.7053786500492592E-3</v>
      </c>
      <c r="BC44" s="45">
        <f>modeldata!F32/modeldata!F$156</f>
        <v>6.6666666666666671E-3</v>
      </c>
      <c r="BD44" s="48">
        <f t="shared" si="25"/>
        <v>1.4642268344009002</v>
      </c>
      <c r="BE44" s="49">
        <f t="shared" si="12"/>
        <v>0</v>
      </c>
      <c r="BF44" s="50">
        <f t="shared" si="13"/>
        <v>0</v>
      </c>
      <c r="BG44" s="51">
        <f t="shared" si="14"/>
        <v>-5.6174793401871188</v>
      </c>
      <c r="BH44" s="52">
        <f t="shared" si="66"/>
        <v>-0.13060067927808028</v>
      </c>
      <c r="BI44" s="58">
        <f t="shared" si="38"/>
        <v>-5.6174793401871188</v>
      </c>
      <c r="BK44" s="39" t="s">
        <v>29</v>
      </c>
      <c r="BL44" s="21">
        <f t="shared" si="67"/>
        <v>-0.119295888721189</v>
      </c>
      <c r="BM44" s="23">
        <f t="shared" si="39"/>
        <v>-4.5656988189596515</v>
      </c>
      <c r="BN44" s="36">
        <f>MAX('BATS 2023 TLFD'!R32,0.0001)</f>
        <v>2.176173017707485E-4</v>
      </c>
      <c r="BO44" s="45">
        <f>modeldata!G32/modeldata!G$156</f>
        <v>6.6666666666666671E-3</v>
      </c>
      <c r="BP44" s="48">
        <f t="shared" si="26"/>
        <v>29.634819071921704</v>
      </c>
      <c r="BQ44" s="49">
        <f t="shared" si="15"/>
        <v>0</v>
      </c>
      <c r="BR44" s="50">
        <f t="shared" si="16"/>
        <v>0</v>
      </c>
      <c r="BS44" s="51">
        <f t="shared" si="17"/>
        <v>-4.5656988189596515</v>
      </c>
      <c r="BT44" s="52">
        <f t="shared" si="68"/>
        <v>-0.11929588872118897</v>
      </c>
      <c r="BU44" s="58">
        <f t="shared" si="40"/>
        <v>-4.5656988189596515</v>
      </c>
      <c r="BW44" s="39" t="s">
        <v>29</v>
      </c>
      <c r="BX44" s="21">
        <f t="shared" si="69"/>
        <v>-0.204473452523388</v>
      </c>
      <c r="BY44" s="23">
        <f t="shared" si="41"/>
        <v>-7.8471516581281104</v>
      </c>
      <c r="BZ44" s="36">
        <f>MAX('BATS 2023 TLFD'!S32,0.0001)</f>
        <v>1E-4</v>
      </c>
      <c r="CA44" s="45">
        <f>modeldata!H32/modeldata!H$156</f>
        <v>6.6666666666666671E-3</v>
      </c>
      <c r="CB44" s="48">
        <f t="shared" si="27"/>
        <v>65.666666666666671</v>
      </c>
      <c r="CC44" s="49">
        <f t="shared" si="18"/>
        <v>0</v>
      </c>
      <c r="CD44" s="50">
        <f t="shared" si="19"/>
        <v>0</v>
      </c>
      <c r="CE44" s="51">
        <f t="shared" si="20"/>
        <v>-7.8471516581281104</v>
      </c>
      <c r="CF44" s="52">
        <f t="shared" si="70"/>
        <v>-0.20447345252338778</v>
      </c>
      <c r="CG44" s="58">
        <f t="shared" si="42"/>
        <v>-7.8471516581281104</v>
      </c>
    </row>
    <row r="45" spans="1:85" x14ac:dyDescent="0.25">
      <c r="A45" s="81">
        <f t="shared" si="28"/>
        <v>29.5</v>
      </c>
      <c r="B45" s="83">
        <f t="shared" si="28"/>
        <v>29</v>
      </c>
      <c r="C45" s="39" t="s">
        <v>30</v>
      </c>
      <c r="D45" s="21">
        <f t="shared" si="57"/>
        <v>-0.21370826062045101</v>
      </c>
      <c r="E45" s="23">
        <f t="shared" si="29"/>
        <v>-8.0301289000310163</v>
      </c>
      <c r="F45" s="36">
        <f>MAX('BATS 2023 TLFD'!M33,0.0001)</f>
        <v>1E-4</v>
      </c>
      <c r="G45" s="45">
        <f>modeldata!B33/modeldata!B$156</f>
        <v>6.6666666666666671E-3</v>
      </c>
      <c r="H45" s="48">
        <f t="shared" si="21"/>
        <v>65.666666666666671</v>
      </c>
      <c r="I45" s="49">
        <f t="shared" si="0"/>
        <v>0</v>
      </c>
      <c r="J45" s="50">
        <f t="shared" si="1"/>
        <v>0</v>
      </c>
      <c r="K45" s="51">
        <f t="shared" si="2"/>
        <v>-8.0301289000310163</v>
      </c>
      <c r="L45" s="52">
        <f t="shared" si="58"/>
        <v>-0.21370826062045095</v>
      </c>
      <c r="M45" s="58">
        <f t="shared" si="30"/>
        <v>-8.0301289000310163</v>
      </c>
      <c r="O45" s="39" t="s">
        <v>30</v>
      </c>
      <c r="P45" s="21">
        <f t="shared" si="59"/>
        <v>-0.18324871283782601</v>
      </c>
      <c r="Q45" s="23">
        <f t="shared" si="31"/>
        <v>-6.0946002242713142</v>
      </c>
      <c r="R45" s="36">
        <f>MAX('BATS 2023 TLFD'!N33,0.0001)</f>
        <v>5.2738098668707149E-4</v>
      </c>
      <c r="S45" s="45">
        <f>modeldata!C33/modeldata!C$156</f>
        <v>6.6666666666666671E-3</v>
      </c>
      <c r="T45" s="48">
        <f t="shared" si="22"/>
        <v>11.641082699142551</v>
      </c>
      <c r="U45" s="49">
        <f t="shared" si="3"/>
        <v>0</v>
      </c>
      <c r="V45" s="50">
        <f t="shared" si="4"/>
        <v>0</v>
      </c>
      <c r="W45" s="51">
        <f t="shared" si="5"/>
        <v>-6.0946002242713142</v>
      </c>
      <c r="X45" s="52">
        <f t="shared" si="60"/>
        <v>-0.18324871283782598</v>
      </c>
      <c r="Y45" s="58">
        <f t="shared" si="32"/>
        <v>-6.0946002242713142</v>
      </c>
      <c r="AA45" s="39" t="s">
        <v>30</v>
      </c>
      <c r="AB45" s="21">
        <f t="shared" si="61"/>
        <v>-0.10927638842708701</v>
      </c>
      <c r="AC45" s="23">
        <f t="shared" si="33"/>
        <v>-4.4391278404974956</v>
      </c>
      <c r="AD45" s="36">
        <f>MAX('BATS 2023 TLFD'!O33,0.0001)</f>
        <v>3.8475756323792299E-4</v>
      </c>
      <c r="AE45" s="45">
        <f>modeldata!D33/modeldata!D$156</f>
        <v>6.6666666666666671E-3</v>
      </c>
      <c r="AF45" s="48">
        <f t="shared" si="23"/>
        <v>16.326928184499891</v>
      </c>
      <c r="AG45" s="49">
        <f t="shared" si="6"/>
        <v>0</v>
      </c>
      <c r="AH45" s="50">
        <f t="shared" si="7"/>
        <v>0</v>
      </c>
      <c r="AI45" s="51">
        <f t="shared" si="8"/>
        <v>-4.4391278404974956</v>
      </c>
      <c r="AJ45" s="52">
        <f t="shared" si="62"/>
        <v>-0.10927638842708705</v>
      </c>
      <c r="AK45" s="58">
        <f t="shared" si="34"/>
        <v>-4.4391278404974948</v>
      </c>
      <c r="AM45" s="39" t="s">
        <v>30</v>
      </c>
      <c r="AN45" s="21">
        <f t="shared" si="63"/>
        <v>-0.123766678676451</v>
      </c>
      <c r="AO45" s="23">
        <f t="shared" si="35"/>
        <v>-5.0496799264731287</v>
      </c>
      <c r="AP45" s="36">
        <f>MAX('BATS 2023 TLFD'!P33,0.0001)</f>
        <v>1.3855786628545251E-3</v>
      </c>
      <c r="AQ45" s="45">
        <f>modeldata!E33/modeldata!E$156</f>
        <v>6.6666666666666671E-3</v>
      </c>
      <c r="AR45" s="48">
        <f t="shared" si="24"/>
        <v>3.811467472321068</v>
      </c>
      <c r="AS45" s="49">
        <f t="shared" si="9"/>
        <v>0</v>
      </c>
      <c r="AT45" s="50">
        <f t="shared" si="10"/>
        <v>0</v>
      </c>
      <c r="AU45" s="51">
        <f t="shared" si="11"/>
        <v>-5.0496799264731287</v>
      </c>
      <c r="AV45" s="52">
        <f t="shared" si="64"/>
        <v>-0.12376667867645086</v>
      </c>
      <c r="AW45" s="58">
        <f t="shared" si="36"/>
        <v>-5.0496799264731287</v>
      </c>
      <c r="AY45" s="39" t="s">
        <v>30</v>
      </c>
      <c r="AZ45" s="21">
        <f t="shared" si="65"/>
        <v>-0.13060067927808</v>
      </c>
      <c r="BA45" s="23">
        <f t="shared" si="37"/>
        <v>-5.7480800194651991</v>
      </c>
      <c r="BB45" s="36">
        <f>MAX('BATS 2023 TLFD'!Q33,0.0001)</f>
        <v>1.596194935969749E-3</v>
      </c>
      <c r="BC45" s="45">
        <f>modeldata!F33/modeldata!F$156</f>
        <v>6.6666666666666671E-3</v>
      </c>
      <c r="BD45" s="48">
        <f t="shared" si="25"/>
        <v>3.17659930904142</v>
      </c>
      <c r="BE45" s="49">
        <f t="shared" si="12"/>
        <v>0</v>
      </c>
      <c r="BF45" s="50">
        <f t="shared" si="13"/>
        <v>0</v>
      </c>
      <c r="BG45" s="51">
        <f t="shared" si="14"/>
        <v>-5.7480800194651991</v>
      </c>
      <c r="BH45" s="52">
        <f t="shared" si="66"/>
        <v>-0.13060067927808028</v>
      </c>
      <c r="BI45" s="58">
        <f t="shared" si="38"/>
        <v>-5.7480800194651991</v>
      </c>
      <c r="BK45" s="39" t="s">
        <v>30</v>
      </c>
      <c r="BL45" s="21">
        <f t="shared" si="67"/>
        <v>-0.119295888721189</v>
      </c>
      <c r="BM45" s="23">
        <f t="shared" si="39"/>
        <v>-4.6849947076808407</v>
      </c>
      <c r="BN45" s="36">
        <f>MAX('BATS 2023 TLFD'!R33,0.0001)</f>
        <v>4.529671385422749E-4</v>
      </c>
      <c r="BO45" s="45">
        <f>modeldata!G33/modeldata!G$156</f>
        <v>6.6666666666666671E-3</v>
      </c>
      <c r="BP45" s="48">
        <f t="shared" si="26"/>
        <v>13.717771112759154</v>
      </c>
      <c r="BQ45" s="49">
        <f t="shared" si="15"/>
        <v>0</v>
      </c>
      <c r="BR45" s="50">
        <f t="shared" si="16"/>
        <v>0</v>
      </c>
      <c r="BS45" s="51">
        <f t="shared" si="17"/>
        <v>-4.6849947076808407</v>
      </c>
      <c r="BT45" s="52">
        <f t="shared" si="68"/>
        <v>-0.11929588872118897</v>
      </c>
      <c r="BU45" s="58">
        <f t="shared" si="40"/>
        <v>-4.6849947076808407</v>
      </c>
      <c r="BW45" s="39" t="s">
        <v>30</v>
      </c>
      <c r="BX45" s="21">
        <f t="shared" si="69"/>
        <v>-0.204473452523388</v>
      </c>
      <c r="BY45" s="23">
        <f t="shared" si="41"/>
        <v>-8.0516251106514982</v>
      </c>
      <c r="BZ45" s="36">
        <f>MAX('BATS 2023 TLFD'!S33,0.0001)</f>
        <v>1.22883836188666E-2</v>
      </c>
      <c r="CA45" s="45">
        <f>modeldata!H33/modeldata!H$156</f>
        <v>6.6666666666666671E-3</v>
      </c>
      <c r="CB45" s="48">
        <f t="shared" si="27"/>
        <v>-0.45748221463145072</v>
      </c>
      <c r="CC45" s="49">
        <f t="shared" si="18"/>
        <v>0</v>
      </c>
      <c r="CD45" s="50">
        <f t="shared" si="19"/>
        <v>0</v>
      </c>
      <c r="CE45" s="51">
        <f t="shared" si="20"/>
        <v>-8.0516251106514982</v>
      </c>
      <c r="CF45" s="52">
        <f t="shared" si="70"/>
        <v>-0.20447345252338778</v>
      </c>
      <c r="CG45" s="58">
        <f t="shared" si="42"/>
        <v>-8.0516251106514982</v>
      </c>
    </row>
    <row r="46" spans="1:85" x14ac:dyDescent="0.25">
      <c r="A46" s="81">
        <f t="shared" si="28"/>
        <v>30.5</v>
      </c>
      <c r="B46" s="83">
        <f t="shared" si="28"/>
        <v>30</v>
      </c>
      <c r="C46" s="39" t="s">
        <v>31</v>
      </c>
      <c r="D46" s="21">
        <f t="shared" si="57"/>
        <v>-0.21370826062045101</v>
      </c>
      <c r="E46" s="23">
        <f t="shared" si="29"/>
        <v>-8.2438371606514664</v>
      </c>
      <c r="F46" s="36">
        <f>MAX('BATS 2023 TLFD'!M34,0.0001)</f>
        <v>1E-4</v>
      </c>
      <c r="G46" s="45">
        <f>modeldata!B34/modeldata!B$156</f>
        <v>6.6666666666666671E-3</v>
      </c>
      <c r="H46" s="48">
        <f t="shared" si="21"/>
        <v>65.666666666666671</v>
      </c>
      <c r="I46" s="49">
        <f t="shared" si="0"/>
        <v>0</v>
      </c>
      <c r="J46" s="50">
        <f t="shared" si="1"/>
        <v>0</v>
      </c>
      <c r="K46" s="51">
        <f t="shared" si="2"/>
        <v>-8.2438371606514664</v>
      </c>
      <c r="L46" s="52">
        <f t="shared" si="58"/>
        <v>-0.21370826062045095</v>
      </c>
      <c r="M46" s="58">
        <f t="shared" si="30"/>
        <v>-8.2438371606514664</v>
      </c>
      <c r="O46" s="39" t="s">
        <v>31</v>
      </c>
      <c r="P46" s="21">
        <f t="shared" si="59"/>
        <v>-0.18324871283782601</v>
      </c>
      <c r="Q46" s="23">
        <f t="shared" si="31"/>
        <v>-6.2778489371091402</v>
      </c>
      <c r="R46" s="36">
        <f>MAX('BATS 2023 TLFD'!N34,0.0001)</f>
        <v>1E-4</v>
      </c>
      <c r="S46" s="45">
        <f>modeldata!C34/modeldata!C$156</f>
        <v>6.6666666666666671E-3</v>
      </c>
      <c r="T46" s="48">
        <f t="shared" si="22"/>
        <v>65.666666666666671</v>
      </c>
      <c r="U46" s="49">
        <f t="shared" si="3"/>
        <v>0</v>
      </c>
      <c r="V46" s="50">
        <f t="shared" si="4"/>
        <v>0</v>
      </c>
      <c r="W46" s="51">
        <f t="shared" si="5"/>
        <v>-6.2778489371091402</v>
      </c>
      <c r="X46" s="52">
        <f t="shared" si="60"/>
        <v>-0.18324871283782598</v>
      </c>
      <c r="Y46" s="58">
        <f t="shared" si="32"/>
        <v>-6.2778489371091402</v>
      </c>
      <c r="AA46" s="39" t="s">
        <v>31</v>
      </c>
      <c r="AB46" s="21">
        <f t="shared" si="61"/>
        <v>-0.10927638842708701</v>
      </c>
      <c r="AC46" s="23">
        <f t="shared" si="33"/>
        <v>-4.548404228924583</v>
      </c>
      <c r="AD46" s="36">
        <f>MAX('BATS 2023 TLFD'!O34,0.0001)</f>
        <v>1.2809869973451217E-2</v>
      </c>
      <c r="AE46" s="45">
        <f>modeldata!D34/modeldata!D$156</f>
        <v>6.6666666666666671E-3</v>
      </c>
      <c r="AF46" s="48">
        <f t="shared" si="23"/>
        <v>-0.47956796747480623</v>
      </c>
      <c r="AG46" s="49">
        <f t="shared" si="6"/>
        <v>0</v>
      </c>
      <c r="AH46" s="50">
        <f t="shared" si="7"/>
        <v>0</v>
      </c>
      <c r="AI46" s="51">
        <f t="shared" si="8"/>
        <v>-4.548404228924583</v>
      </c>
      <c r="AJ46" s="52">
        <f t="shared" si="62"/>
        <v>-0.10927638842708705</v>
      </c>
      <c r="AK46" s="58">
        <f t="shared" si="34"/>
        <v>-4.5484042289245821</v>
      </c>
      <c r="AM46" s="39" t="s">
        <v>31</v>
      </c>
      <c r="AN46" s="21">
        <f t="shared" si="63"/>
        <v>-0.123766678676451</v>
      </c>
      <c r="AO46" s="23">
        <f t="shared" si="35"/>
        <v>-5.1734466051495795</v>
      </c>
      <c r="AP46" s="36">
        <f>MAX('BATS 2023 TLFD'!P34,0.0001)</f>
        <v>3.2744229062313082E-3</v>
      </c>
      <c r="AQ46" s="45">
        <f>modeldata!E34/modeldata!E$156</f>
        <v>6.6666666666666671E-3</v>
      </c>
      <c r="AR46" s="48">
        <f t="shared" si="24"/>
        <v>1.0359821738297257</v>
      </c>
      <c r="AS46" s="49">
        <f t="shared" si="9"/>
        <v>0</v>
      </c>
      <c r="AT46" s="50">
        <f t="shared" si="10"/>
        <v>0</v>
      </c>
      <c r="AU46" s="51">
        <f t="shared" si="11"/>
        <v>-5.1734466051495795</v>
      </c>
      <c r="AV46" s="52">
        <f t="shared" si="64"/>
        <v>-0.12376667867645086</v>
      </c>
      <c r="AW46" s="58">
        <f t="shared" si="36"/>
        <v>-5.1734466051495795</v>
      </c>
      <c r="AY46" s="39" t="s">
        <v>31</v>
      </c>
      <c r="AZ46" s="21">
        <f t="shared" si="65"/>
        <v>-0.13060067927808</v>
      </c>
      <c r="BA46" s="23">
        <f t="shared" si="37"/>
        <v>-5.8786806987432794</v>
      </c>
      <c r="BB46" s="36">
        <f>MAX('BATS 2023 TLFD'!Q34,0.0001)</f>
        <v>5.8091409099015191E-4</v>
      </c>
      <c r="BC46" s="45">
        <f>modeldata!F34/modeldata!F$156</f>
        <v>6.6666666666666671E-3</v>
      </c>
      <c r="BD46" s="48">
        <f t="shared" si="25"/>
        <v>10.476166218146851</v>
      </c>
      <c r="BE46" s="49">
        <f t="shared" si="12"/>
        <v>0</v>
      </c>
      <c r="BF46" s="50">
        <f t="shared" si="13"/>
        <v>0</v>
      </c>
      <c r="BG46" s="51">
        <f t="shared" si="14"/>
        <v>-5.8786806987432794</v>
      </c>
      <c r="BH46" s="52">
        <f t="shared" si="66"/>
        <v>-0.13060067927808028</v>
      </c>
      <c r="BI46" s="58">
        <f t="shared" si="38"/>
        <v>-5.8786806987432794</v>
      </c>
      <c r="BK46" s="39" t="s">
        <v>31</v>
      </c>
      <c r="BL46" s="21">
        <f t="shared" si="67"/>
        <v>-0.119295888721189</v>
      </c>
      <c r="BM46" s="23">
        <f t="shared" si="39"/>
        <v>-4.8042905964020299</v>
      </c>
      <c r="BN46" s="36">
        <f>MAX('BATS 2023 TLFD'!R34,0.0001)</f>
        <v>1.5770571626233258E-4</v>
      </c>
      <c r="BO46" s="45">
        <f>modeldata!G34/modeldata!G$156</f>
        <v>6.6666666666666671E-3</v>
      </c>
      <c r="BP46" s="48">
        <f t="shared" si="26"/>
        <v>41.272828307485867</v>
      </c>
      <c r="BQ46" s="49">
        <f t="shared" si="15"/>
        <v>0</v>
      </c>
      <c r="BR46" s="50">
        <f t="shared" si="16"/>
        <v>0</v>
      </c>
      <c r="BS46" s="51">
        <f t="shared" si="17"/>
        <v>-4.8042905964020299</v>
      </c>
      <c r="BT46" s="52">
        <f t="shared" si="68"/>
        <v>-0.11929588872118897</v>
      </c>
      <c r="BU46" s="58">
        <f t="shared" si="40"/>
        <v>-4.8042905964020299</v>
      </c>
      <c r="BW46" s="39" t="s">
        <v>31</v>
      </c>
      <c r="BX46" s="21">
        <f t="shared" si="69"/>
        <v>-0.204473452523388</v>
      </c>
      <c r="BY46" s="23">
        <f t="shared" si="41"/>
        <v>-8.256098563174886</v>
      </c>
      <c r="BZ46" s="36">
        <f>MAX('BATS 2023 TLFD'!S34,0.0001)</f>
        <v>1E-4</v>
      </c>
      <c r="CA46" s="45">
        <f>modeldata!H34/modeldata!H$156</f>
        <v>6.6666666666666671E-3</v>
      </c>
      <c r="CB46" s="48">
        <f t="shared" si="27"/>
        <v>65.666666666666671</v>
      </c>
      <c r="CC46" s="49">
        <f t="shared" si="18"/>
        <v>0</v>
      </c>
      <c r="CD46" s="50">
        <f t="shared" si="19"/>
        <v>0</v>
      </c>
      <c r="CE46" s="51">
        <f t="shared" si="20"/>
        <v>-8.256098563174886</v>
      </c>
      <c r="CF46" s="52">
        <f t="shared" si="70"/>
        <v>-0.20447345252338778</v>
      </c>
      <c r="CG46" s="58">
        <f t="shared" si="42"/>
        <v>-8.256098563174886</v>
      </c>
    </row>
    <row r="47" spans="1:85" x14ac:dyDescent="0.25">
      <c r="A47" s="81">
        <f t="shared" si="28"/>
        <v>31.5</v>
      </c>
      <c r="B47" s="83">
        <f t="shared" si="28"/>
        <v>31</v>
      </c>
      <c r="C47" s="39" t="s">
        <v>32</v>
      </c>
      <c r="D47" s="21">
        <f t="shared" si="57"/>
        <v>-0.21370826062045101</v>
      </c>
      <c r="E47" s="23">
        <f t="shared" si="29"/>
        <v>-8.4575454212719166</v>
      </c>
      <c r="F47" s="36">
        <f>MAX('BATS 2023 TLFD'!M35,0.0001)</f>
        <v>1.6857349515582735E-4</v>
      </c>
      <c r="G47" s="45">
        <f>modeldata!B35/modeldata!B$156</f>
        <v>6.6666666666666671E-3</v>
      </c>
      <c r="H47" s="48">
        <f t="shared" si="21"/>
        <v>38.547537769826029</v>
      </c>
      <c r="I47" s="49">
        <f t="shared" si="0"/>
        <v>0</v>
      </c>
      <c r="J47" s="50">
        <f t="shared" si="1"/>
        <v>0</v>
      </c>
      <c r="K47" s="51">
        <f t="shared" si="2"/>
        <v>-8.4575454212719166</v>
      </c>
      <c r="L47" s="52">
        <f t="shared" si="58"/>
        <v>-0.21370826062045095</v>
      </c>
      <c r="M47" s="58">
        <f t="shared" si="30"/>
        <v>-8.4575454212719166</v>
      </c>
      <c r="O47" s="39" t="s">
        <v>32</v>
      </c>
      <c r="P47" s="21">
        <f t="shared" si="59"/>
        <v>-0.18324871283782601</v>
      </c>
      <c r="Q47" s="23">
        <f t="shared" si="31"/>
        <v>-6.4610976499469661</v>
      </c>
      <c r="R47" s="36">
        <f>MAX('BATS 2023 TLFD'!N35,0.0001)</f>
        <v>1E-4</v>
      </c>
      <c r="S47" s="45">
        <f>modeldata!C35/modeldata!C$156</f>
        <v>6.6666666666666671E-3</v>
      </c>
      <c r="T47" s="48">
        <f t="shared" si="22"/>
        <v>65.666666666666671</v>
      </c>
      <c r="U47" s="49">
        <f t="shared" si="3"/>
        <v>0</v>
      </c>
      <c r="V47" s="50">
        <f t="shared" si="4"/>
        <v>0</v>
      </c>
      <c r="W47" s="51">
        <f t="shared" si="5"/>
        <v>-6.4610976499469661</v>
      </c>
      <c r="X47" s="52">
        <f t="shared" si="60"/>
        <v>-0.18324871283782598</v>
      </c>
      <c r="Y47" s="58">
        <f t="shared" si="32"/>
        <v>-6.4610976499469661</v>
      </c>
      <c r="AA47" s="39" t="s">
        <v>32</v>
      </c>
      <c r="AB47" s="21">
        <f t="shared" si="61"/>
        <v>-0.10927638842708701</v>
      </c>
      <c r="AC47" s="23">
        <f t="shared" si="33"/>
        <v>-4.6576806173516703</v>
      </c>
      <c r="AD47" s="36">
        <f>MAX('BATS 2023 TLFD'!O35,0.0001)</f>
        <v>3.270158661131892E-4</v>
      </c>
      <c r="AE47" s="45">
        <f>modeldata!D35/modeldata!D$156</f>
        <v>6.6666666666666671E-3</v>
      </c>
      <c r="AF47" s="48">
        <f t="shared" si="23"/>
        <v>19.386370685632574</v>
      </c>
      <c r="AG47" s="49">
        <f t="shared" si="6"/>
        <v>0</v>
      </c>
      <c r="AH47" s="50">
        <f t="shared" si="7"/>
        <v>0</v>
      </c>
      <c r="AI47" s="51">
        <f t="shared" si="8"/>
        <v>-4.6576806173516703</v>
      </c>
      <c r="AJ47" s="52">
        <f t="shared" si="62"/>
        <v>-0.10927638842708705</v>
      </c>
      <c r="AK47" s="58">
        <f t="shared" si="34"/>
        <v>-4.6576806173516694</v>
      </c>
      <c r="AM47" s="39" t="s">
        <v>32</v>
      </c>
      <c r="AN47" s="21">
        <f t="shared" si="63"/>
        <v>-0.123766678676451</v>
      </c>
      <c r="AO47" s="23">
        <f t="shared" si="35"/>
        <v>-5.2972132838260304</v>
      </c>
      <c r="AP47" s="36">
        <f>MAX('BATS 2023 TLFD'!P35,0.0001)</f>
        <v>1.5488944166524414E-3</v>
      </c>
      <c r="AQ47" s="45">
        <f>modeldata!E35/modeldata!E$156</f>
        <v>6.6666666666666671E-3</v>
      </c>
      <c r="AR47" s="48">
        <f t="shared" si="24"/>
        <v>3.3041453277848634</v>
      </c>
      <c r="AS47" s="49">
        <f t="shared" si="9"/>
        <v>0</v>
      </c>
      <c r="AT47" s="50">
        <f t="shared" si="10"/>
        <v>0</v>
      </c>
      <c r="AU47" s="51">
        <f t="shared" si="11"/>
        <v>-5.2972132838260304</v>
      </c>
      <c r="AV47" s="52">
        <f t="shared" si="64"/>
        <v>-0.12376667867645086</v>
      </c>
      <c r="AW47" s="58">
        <f t="shared" si="36"/>
        <v>-5.2972132838260304</v>
      </c>
      <c r="AY47" s="39" t="s">
        <v>32</v>
      </c>
      <c r="AZ47" s="21">
        <f t="shared" si="65"/>
        <v>-0.13060067927808</v>
      </c>
      <c r="BA47" s="23">
        <f t="shared" si="37"/>
        <v>-6.0092813780213596</v>
      </c>
      <c r="BB47" s="36">
        <f>MAX('BATS 2023 TLFD'!Q35,0.0001)</f>
        <v>4.3837449840048495E-4</v>
      </c>
      <c r="BC47" s="45">
        <f>modeldata!F35/modeldata!F$156</f>
        <v>6.6666666666666671E-3</v>
      </c>
      <c r="BD47" s="48">
        <f t="shared" si="25"/>
        <v>14.207697279361842</v>
      </c>
      <c r="BE47" s="49">
        <f t="shared" si="12"/>
        <v>0</v>
      </c>
      <c r="BF47" s="50">
        <f t="shared" si="13"/>
        <v>0</v>
      </c>
      <c r="BG47" s="51">
        <f t="shared" si="14"/>
        <v>-6.0092813780213596</v>
      </c>
      <c r="BH47" s="52">
        <f t="shared" si="66"/>
        <v>-0.13060067927808028</v>
      </c>
      <c r="BI47" s="58">
        <f t="shared" si="38"/>
        <v>-6.0092813780213596</v>
      </c>
      <c r="BK47" s="39" t="s">
        <v>32</v>
      </c>
      <c r="BL47" s="21">
        <f t="shared" si="67"/>
        <v>-0.119295888721189</v>
      </c>
      <c r="BM47" s="23">
        <f t="shared" si="39"/>
        <v>-4.9235864851232192</v>
      </c>
      <c r="BN47" s="36">
        <f>MAX('BATS 2023 TLFD'!R35,0.0001)</f>
        <v>2.6418587348209107E-3</v>
      </c>
      <c r="BO47" s="45">
        <f>modeldata!G35/modeldata!G$156</f>
        <v>6.6666666666666671E-3</v>
      </c>
      <c r="BP47" s="48">
        <f t="shared" si="26"/>
        <v>1.5234758311627117</v>
      </c>
      <c r="BQ47" s="49">
        <f t="shared" si="15"/>
        <v>0</v>
      </c>
      <c r="BR47" s="50">
        <f t="shared" si="16"/>
        <v>0</v>
      </c>
      <c r="BS47" s="51">
        <f t="shared" si="17"/>
        <v>-4.9235864851232192</v>
      </c>
      <c r="BT47" s="52">
        <f t="shared" si="68"/>
        <v>-0.11929588872118897</v>
      </c>
      <c r="BU47" s="58">
        <f t="shared" si="40"/>
        <v>-4.9235864851232192</v>
      </c>
      <c r="BW47" s="39" t="s">
        <v>32</v>
      </c>
      <c r="BX47" s="21">
        <f t="shared" si="69"/>
        <v>-0.204473452523388</v>
      </c>
      <c r="BY47" s="23">
        <f t="shared" si="41"/>
        <v>-8.4605720156982738</v>
      </c>
      <c r="BZ47" s="36">
        <f>MAX('BATS 2023 TLFD'!S35,0.0001)</f>
        <v>1E-4</v>
      </c>
      <c r="CA47" s="45">
        <f>modeldata!H35/modeldata!H$156</f>
        <v>6.6666666666666671E-3</v>
      </c>
      <c r="CB47" s="48">
        <f t="shared" si="27"/>
        <v>65.666666666666671</v>
      </c>
      <c r="CC47" s="49">
        <f t="shared" si="18"/>
        <v>0</v>
      </c>
      <c r="CD47" s="50">
        <f t="shared" si="19"/>
        <v>0</v>
      </c>
      <c r="CE47" s="51">
        <f t="shared" si="20"/>
        <v>-8.4605720156982738</v>
      </c>
      <c r="CF47" s="52">
        <f t="shared" si="70"/>
        <v>-0.20447345252338778</v>
      </c>
      <c r="CG47" s="58">
        <f t="shared" si="42"/>
        <v>-8.4605720156982738</v>
      </c>
    </row>
    <row r="48" spans="1:85" x14ac:dyDescent="0.25">
      <c r="A48" s="81">
        <f t="shared" si="28"/>
        <v>32.5</v>
      </c>
      <c r="B48" s="83">
        <f t="shared" si="28"/>
        <v>32</v>
      </c>
      <c r="C48" s="39" t="s">
        <v>33</v>
      </c>
      <c r="D48" s="21">
        <f t="shared" si="57"/>
        <v>-0.21370826062045101</v>
      </c>
      <c r="E48" s="23">
        <f t="shared" si="29"/>
        <v>-8.6712536818923667</v>
      </c>
      <c r="F48" s="36">
        <f>MAX('BATS 2023 TLFD'!M36,0.0001)</f>
        <v>1E-4</v>
      </c>
      <c r="G48" s="45">
        <f>modeldata!B36/modeldata!B$156</f>
        <v>6.6666666666666671E-3</v>
      </c>
      <c r="H48" s="48">
        <f t="shared" si="21"/>
        <v>65.666666666666671</v>
      </c>
      <c r="I48" s="49">
        <f t="shared" ref="I48:I66" si="71">damp_escort*LN(F48/G48)</f>
        <v>0</v>
      </c>
      <c r="J48" s="50">
        <f t="shared" si="1"/>
        <v>0</v>
      </c>
      <c r="K48" s="51">
        <f t="shared" si="2"/>
        <v>-8.6712536818923667</v>
      </c>
      <c r="L48" s="52">
        <f t="shared" si="58"/>
        <v>-0.21370826062045095</v>
      </c>
      <c r="M48" s="58">
        <f t="shared" si="30"/>
        <v>-8.6712536818923667</v>
      </c>
      <c r="O48" s="39" t="s">
        <v>33</v>
      </c>
      <c r="P48" s="21">
        <f t="shared" si="59"/>
        <v>-0.18324871283782601</v>
      </c>
      <c r="Q48" s="23">
        <f t="shared" si="31"/>
        <v>-6.6443463627847921</v>
      </c>
      <c r="R48" s="36">
        <f>MAX('BATS 2023 TLFD'!N36,0.0001)</f>
        <v>9.9783971443328026E-4</v>
      </c>
      <c r="S48" s="45">
        <f>modeldata!C36/modeldata!C$156</f>
        <v>6.6666666666666671E-3</v>
      </c>
      <c r="T48" s="48">
        <f t="shared" si="22"/>
        <v>5.6810997500264637</v>
      </c>
      <c r="U48" s="49">
        <f t="shared" ref="U48:U66" si="72">damp_shopping*LN(R48/S48)</f>
        <v>0</v>
      </c>
      <c r="V48" s="50">
        <f t="shared" si="4"/>
        <v>0</v>
      </c>
      <c r="W48" s="51">
        <f t="shared" si="5"/>
        <v>-6.6443463627847921</v>
      </c>
      <c r="X48" s="52">
        <f t="shared" si="60"/>
        <v>-0.18324871283782598</v>
      </c>
      <c r="Y48" s="58">
        <f t="shared" si="32"/>
        <v>-6.6443463627847921</v>
      </c>
      <c r="AA48" s="39" t="s">
        <v>33</v>
      </c>
      <c r="AB48" s="21">
        <f t="shared" si="61"/>
        <v>-0.10927638842708701</v>
      </c>
      <c r="AC48" s="23">
        <f t="shared" si="33"/>
        <v>-4.7669570057787576</v>
      </c>
      <c r="AD48" s="36">
        <f>MAX('BATS 2023 TLFD'!O36,0.0001)</f>
        <v>5.2866879367320565E-4</v>
      </c>
      <c r="AE48" s="45">
        <f>modeldata!D36/modeldata!D$156</f>
        <v>6.6666666666666671E-3</v>
      </c>
      <c r="AF48" s="48">
        <f t="shared" si="23"/>
        <v>11.610289743690902</v>
      </c>
      <c r="AG48" s="49">
        <f t="shared" ref="AG48:AG66" si="73">damp_maint*LN(AD48/AE48)</f>
        <v>0</v>
      </c>
      <c r="AH48" s="50">
        <f t="shared" si="7"/>
        <v>0</v>
      </c>
      <c r="AI48" s="51">
        <f t="shared" si="8"/>
        <v>-4.7669570057787576</v>
      </c>
      <c r="AJ48" s="52">
        <f t="shared" si="62"/>
        <v>-0.10927638842708705</v>
      </c>
      <c r="AK48" s="58">
        <f t="shared" si="34"/>
        <v>-4.7669570057787567</v>
      </c>
      <c r="AM48" s="39" t="s">
        <v>33</v>
      </c>
      <c r="AN48" s="21">
        <f t="shared" si="63"/>
        <v>-0.123766678676451</v>
      </c>
      <c r="AO48" s="23">
        <f t="shared" si="35"/>
        <v>-5.4209799625024813</v>
      </c>
      <c r="AP48" s="36">
        <f>MAX('BATS 2023 TLFD'!P36,0.0001)</f>
        <v>5.7992016134970556E-4</v>
      </c>
      <c r="AQ48" s="45">
        <f>modeldata!E36/modeldata!E$156</f>
        <v>6.6666666666666671E-3</v>
      </c>
      <c r="AR48" s="48">
        <f t="shared" si="24"/>
        <v>10.495835308002871</v>
      </c>
      <c r="AS48" s="49">
        <f t="shared" ref="AS48:AS66" si="74">damp_eatout*LN(AP48/AQ48)</f>
        <v>0</v>
      </c>
      <c r="AT48" s="50">
        <f t="shared" si="10"/>
        <v>0</v>
      </c>
      <c r="AU48" s="51">
        <f t="shared" si="11"/>
        <v>-5.4209799625024813</v>
      </c>
      <c r="AV48" s="52">
        <f t="shared" si="64"/>
        <v>-0.12376667867645086</v>
      </c>
      <c r="AW48" s="58">
        <f t="shared" si="36"/>
        <v>-5.4209799625024813</v>
      </c>
      <c r="AY48" s="39" t="s">
        <v>33</v>
      </c>
      <c r="AZ48" s="21">
        <f t="shared" si="65"/>
        <v>-0.13060067927808</v>
      </c>
      <c r="BA48" s="23">
        <f t="shared" si="37"/>
        <v>-6.1398820572994399</v>
      </c>
      <c r="BB48" s="36">
        <f>MAX('BATS 2023 TLFD'!Q36,0.0001)</f>
        <v>6.7246159534954035E-4</v>
      </c>
      <c r="BC48" s="45">
        <f>modeldata!F36/modeldata!F$156</f>
        <v>6.6666666666666671E-3</v>
      </c>
      <c r="BD48" s="48">
        <f t="shared" si="25"/>
        <v>8.9138251355475333</v>
      </c>
      <c r="BE48" s="49">
        <f t="shared" ref="BE48:BE66" si="75">damp_social*LN(BB48/BC48)</f>
        <v>0</v>
      </c>
      <c r="BF48" s="50">
        <f t="shared" si="13"/>
        <v>0</v>
      </c>
      <c r="BG48" s="51">
        <f t="shared" si="14"/>
        <v>-6.1398820572994399</v>
      </c>
      <c r="BH48" s="52">
        <f t="shared" si="66"/>
        <v>-0.13060067927808028</v>
      </c>
      <c r="BI48" s="58">
        <f t="shared" si="38"/>
        <v>-6.1398820572994399</v>
      </c>
      <c r="BK48" s="39" t="s">
        <v>33</v>
      </c>
      <c r="BL48" s="21">
        <f t="shared" si="67"/>
        <v>-0.119295888721189</v>
      </c>
      <c r="BM48" s="23">
        <f t="shared" si="39"/>
        <v>-5.0428823738444084</v>
      </c>
      <c r="BN48" s="36">
        <f>MAX('BATS 2023 TLFD'!R36,0.0001)</f>
        <v>3.534815575949206E-3</v>
      </c>
      <c r="BO48" s="45">
        <f>modeldata!G36/modeldata!G$156</f>
        <v>6.6666666666666671E-3</v>
      </c>
      <c r="BP48" s="48">
        <f t="shared" si="26"/>
        <v>0.88600127034250242</v>
      </c>
      <c r="BQ48" s="49">
        <f t="shared" ref="BQ48:BQ66" si="76">damp_discr*LN(BN48/BO48)</f>
        <v>0</v>
      </c>
      <c r="BR48" s="50">
        <f t="shared" si="16"/>
        <v>0</v>
      </c>
      <c r="BS48" s="51">
        <f t="shared" si="17"/>
        <v>-5.0428823738444084</v>
      </c>
      <c r="BT48" s="52">
        <f t="shared" si="68"/>
        <v>-0.11929588872118897</v>
      </c>
      <c r="BU48" s="58">
        <f t="shared" si="40"/>
        <v>-5.0428823738444084</v>
      </c>
      <c r="BW48" s="39" t="s">
        <v>33</v>
      </c>
      <c r="BX48" s="21">
        <f t="shared" si="69"/>
        <v>-0.204473452523388</v>
      </c>
      <c r="BY48" s="23">
        <f t="shared" si="41"/>
        <v>-8.6650454682216616</v>
      </c>
      <c r="BZ48" s="36">
        <f>MAX('BATS 2023 TLFD'!S36,0.0001)</f>
        <v>1E-4</v>
      </c>
      <c r="CA48" s="45">
        <f>modeldata!H36/modeldata!H$156</f>
        <v>6.6666666666666671E-3</v>
      </c>
      <c r="CB48" s="48">
        <f t="shared" si="27"/>
        <v>65.666666666666671</v>
      </c>
      <c r="CC48" s="49">
        <f t="shared" ref="CC48:CC66" si="77">damp_atwork*LN(BZ48/CA48)</f>
        <v>0</v>
      </c>
      <c r="CD48" s="50">
        <f t="shared" si="19"/>
        <v>0</v>
      </c>
      <c r="CE48" s="51">
        <f t="shared" si="20"/>
        <v>-8.6650454682216616</v>
      </c>
      <c r="CF48" s="52">
        <f t="shared" si="70"/>
        <v>-0.20447345252338778</v>
      </c>
      <c r="CG48" s="58">
        <f t="shared" si="42"/>
        <v>-8.6650454682216616</v>
      </c>
    </row>
    <row r="49" spans="1:85" x14ac:dyDescent="0.25">
      <c r="A49" s="81">
        <f t="shared" si="28"/>
        <v>33.5</v>
      </c>
      <c r="B49" s="83">
        <f t="shared" si="28"/>
        <v>33</v>
      </c>
      <c r="C49" s="39" t="s">
        <v>34</v>
      </c>
      <c r="D49" s="21">
        <f t="shared" si="57"/>
        <v>-0.21370826062045101</v>
      </c>
      <c r="E49" s="23">
        <f t="shared" si="29"/>
        <v>-8.8849619425128168</v>
      </c>
      <c r="F49" s="36">
        <f>MAX('BATS 2023 TLFD'!M37,0.0001)</f>
        <v>2.6983891691046845E-4</v>
      </c>
      <c r="G49" s="45">
        <f>modeldata!B37/modeldata!B$156</f>
        <v>6.6666666666666671E-3</v>
      </c>
      <c r="H49" s="48">
        <f t="shared" si="21"/>
        <v>23.706097782324861</v>
      </c>
      <c r="I49" s="49">
        <f t="shared" si="71"/>
        <v>0</v>
      </c>
      <c r="J49" s="50">
        <f t="shared" si="1"/>
        <v>0</v>
      </c>
      <c r="K49" s="51">
        <f t="shared" si="2"/>
        <v>-8.8849619425128168</v>
      </c>
      <c r="L49" s="52">
        <f t="shared" si="58"/>
        <v>-0.21370826062045095</v>
      </c>
      <c r="M49" s="58">
        <f t="shared" si="30"/>
        <v>-8.8849619425128168</v>
      </c>
      <c r="O49" s="39" t="s">
        <v>34</v>
      </c>
      <c r="P49" s="21">
        <f t="shared" si="59"/>
        <v>-0.18324871283782601</v>
      </c>
      <c r="Q49" s="23">
        <f t="shared" si="31"/>
        <v>-6.827595075622618</v>
      </c>
      <c r="R49" s="36">
        <f>MAX('BATS 2023 TLFD'!N37,0.0001)</f>
        <v>2.9477778341375723E-4</v>
      </c>
      <c r="S49" s="45">
        <f>modeldata!C37/modeldata!C$156</f>
        <v>6.6666666666666671E-3</v>
      </c>
      <c r="T49" s="48">
        <f t="shared" si="22"/>
        <v>21.615906088516763</v>
      </c>
      <c r="U49" s="49">
        <f t="shared" si="72"/>
        <v>0</v>
      </c>
      <c r="V49" s="50">
        <f t="shared" si="4"/>
        <v>0</v>
      </c>
      <c r="W49" s="51">
        <f t="shared" si="5"/>
        <v>-6.827595075622618</v>
      </c>
      <c r="X49" s="52">
        <f t="shared" si="60"/>
        <v>-0.18324871283782598</v>
      </c>
      <c r="Y49" s="58">
        <f t="shared" si="32"/>
        <v>-6.827595075622618</v>
      </c>
      <c r="AA49" s="39" t="s">
        <v>34</v>
      </c>
      <c r="AB49" s="21">
        <f t="shared" si="61"/>
        <v>-0.10927638842708701</v>
      </c>
      <c r="AC49" s="23">
        <f t="shared" si="33"/>
        <v>-4.8762333942058449</v>
      </c>
      <c r="AD49" s="36">
        <f>MAX('BATS 2023 TLFD'!O37,0.0001)</f>
        <v>1.4864090985845302E-4</v>
      </c>
      <c r="AE49" s="45">
        <f>modeldata!D37/modeldata!D$156</f>
        <v>6.6666666666666671E-3</v>
      </c>
      <c r="AF49" s="48">
        <f t="shared" si="23"/>
        <v>43.850819824873014</v>
      </c>
      <c r="AG49" s="49">
        <f t="shared" si="73"/>
        <v>0</v>
      </c>
      <c r="AH49" s="50">
        <f t="shared" si="7"/>
        <v>0</v>
      </c>
      <c r="AI49" s="51">
        <f t="shared" si="8"/>
        <v>-4.8762333942058449</v>
      </c>
      <c r="AJ49" s="52">
        <f t="shared" si="62"/>
        <v>-0.10927638842708705</v>
      </c>
      <c r="AK49" s="58">
        <f t="shared" si="34"/>
        <v>-4.876233394205844</v>
      </c>
      <c r="AM49" s="39" t="s">
        <v>34</v>
      </c>
      <c r="AN49" s="21">
        <f t="shared" si="63"/>
        <v>-0.123766678676451</v>
      </c>
      <c r="AO49" s="23">
        <f t="shared" si="35"/>
        <v>-5.5447466411789321</v>
      </c>
      <c r="AP49" s="36">
        <f>MAX('BATS 2023 TLFD'!P37,0.0001)</f>
        <v>3.9676203401032705E-4</v>
      </c>
      <c r="AQ49" s="45">
        <f>modeldata!E37/modeldata!E$156</f>
        <v>6.6666666666666671E-3</v>
      </c>
      <c r="AR49" s="48">
        <f t="shared" si="24"/>
        <v>15.802682956537987</v>
      </c>
      <c r="AS49" s="49">
        <f t="shared" si="74"/>
        <v>0</v>
      </c>
      <c r="AT49" s="50">
        <f t="shared" si="10"/>
        <v>0</v>
      </c>
      <c r="AU49" s="51">
        <f t="shared" si="11"/>
        <v>-5.5447466411789321</v>
      </c>
      <c r="AV49" s="52">
        <f t="shared" si="64"/>
        <v>-0.12376667867645086</v>
      </c>
      <c r="AW49" s="58">
        <f t="shared" si="36"/>
        <v>-5.5447466411789321</v>
      </c>
      <c r="AY49" s="39" t="s">
        <v>34</v>
      </c>
      <c r="AZ49" s="21">
        <f t="shared" si="65"/>
        <v>-0.13060067927808</v>
      </c>
      <c r="BA49" s="23">
        <f t="shared" si="37"/>
        <v>-6.2704827365775202</v>
      </c>
      <c r="BB49" s="36">
        <f>MAX('BATS 2023 TLFD'!Q37,0.0001)</f>
        <v>2.0058861211698495E-3</v>
      </c>
      <c r="BC49" s="45">
        <f>modeldata!F37/modeldata!F$156</f>
        <v>6.6666666666666671E-3</v>
      </c>
      <c r="BD49" s="48">
        <f t="shared" si="25"/>
        <v>2.323551918679517</v>
      </c>
      <c r="BE49" s="49">
        <f t="shared" si="75"/>
        <v>0</v>
      </c>
      <c r="BF49" s="50">
        <f t="shared" si="13"/>
        <v>0</v>
      </c>
      <c r="BG49" s="51">
        <f t="shared" si="14"/>
        <v>-6.2704827365775202</v>
      </c>
      <c r="BH49" s="52">
        <f t="shared" si="66"/>
        <v>-0.13060067927808028</v>
      </c>
      <c r="BI49" s="58">
        <f t="shared" si="38"/>
        <v>-6.2704827365775202</v>
      </c>
      <c r="BK49" s="39" t="s">
        <v>34</v>
      </c>
      <c r="BL49" s="21">
        <f t="shared" si="67"/>
        <v>-0.119295888721189</v>
      </c>
      <c r="BM49" s="23">
        <f t="shared" si="39"/>
        <v>-5.1621782625655976</v>
      </c>
      <c r="BN49" s="36">
        <f>MAX('BATS 2023 TLFD'!R37,0.0001)</f>
        <v>1.0254658921650109E-4</v>
      </c>
      <c r="BO49" s="45">
        <f>modeldata!G37/modeldata!G$156</f>
        <v>6.6666666666666671E-3</v>
      </c>
      <c r="BP49" s="48">
        <f t="shared" si="26"/>
        <v>64.011100979591745</v>
      </c>
      <c r="BQ49" s="49">
        <f t="shared" si="76"/>
        <v>0</v>
      </c>
      <c r="BR49" s="50">
        <f t="shared" si="16"/>
        <v>0</v>
      </c>
      <c r="BS49" s="51">
        <f t="shared" si="17"/>
        <v>-5.1621782625655976</v>
      </c>
      <c r="BT49" s="52">
        <f t="shared" si="68"/>
        <v>-0.11929588872118897</v>
      </c>
      <c r="BU49" s="58">
        <f t="shared" si="40"/>
        <v>-5.1621782625655976</v>
      </c>
      <c r="BW49" s="39" t="s">
        <v>34</v>
      </c>
      <c r="BX49" s="21">
        <f t="shared" si="69"/>
        <v>-0.204473452523388</v>
      </c>
      <c r="BY49" s="23">
        <f t="shared" si="41"/>
        <v>-8.8695189207450493</v>
      </c>
      <c r="BZ49" s="36">
        <f>MAX('BATS 2023 TLFD'!S37,0.0001)</f>
        <v>1E-4</v>
      </c>
      <c r="CA49" s="45">
        <f>modeldata!H37/modeldata!H$156</f>
        <v>6.6666666666666671E-3</v>
      </c>
      <c r="CB49" s="48">
        <f t="shared" si="27"/>
        <v>65.666666666666671</v>
      </c>
      <c r="CC49" s="49">
        <f t="shared" si="77"/>
        <v>0</v>
      </c>
      <c r="CD49" s="50">
        <f t="shared" si="19"/>
        <v>0</v>
      </c>
      <c r="CE49" s="51">
        <f t="shared" si="20"/>
        <v>-8.8695189207450493</v>
      </c>
      <c r="CF49" s="52">
        <f t="shared" si="70"/>
        <v>-0.20447345252338778</v>
      </c>
      <c r="CG49" s="58">
        <f t="shared" si="42"/>
        <v>-8.8695189207450493</v>
      </c>
    </row>
    <row r="50" spans="1:85" x14ac:dyDescent="0.25">
      <c r="A50" s="81">
        <f t="shared" si="28"/>
        <v>34.5</v>
      </c>
      <c r="B50" s="83">
        <f t="shared" si="28"/>
        <v>34</v>
      </c>
      <c r="C50" s="39" t="s">
        <v>35</v>
      </c>
      <c r="D50" s="21">
        <f t="shared" si="57"/>
        <v>-0.21370826062045101</v>
      </c>
      <c r="E50" s="23">
        <f t="shared" si="29"/>
        <v>-9.0986702031332669</v>
      </c>
      <c r="F50" s="36">
        <f>MAX('BATS 2023 TLFD'!M38,0.0001)</f>
        <v>1E-4</v>
      </c>
      <c r="G50" s="45">
        <f>modeldata!B38/modeldata!B$156</f>
        <v>6.6666666666666671E-3</v>
      </c>
      <c r="H50" s="48">
        <f t="shared" si="21"/>
        <v>65.666666666666671</v>
      </c>
      <c r="I50" s="49">
        <f t="shared" si="71"/>
        <v>0</v>
      </c>
      <c r="J50" s="50">
        <f t="shared" si="1"/>
        <v>0</v>
      </c>
      <c r="K50" s="51">
        <f t="shared" si="2"/>
        <v>-9.0986702031332669</v>
      </c>
      <c r="L50" s="52">
        <f t="shared" si="58"/>
        <v>-0.21370826062045095</v>
      </c>
      <c r="M50" s="58">
        <f t="shared" si="30"/>
        <v>-9.0986702031332669</v>
      </c>
      <c r="O50" s="39" t="s">
        <v>35</v>
      </c>
      <c r="P50" s="21">
        <f t="shared" si="59"/>
        <v>-0.18324871283782601</v>
      </c>
      <c r="Q50" s="23">
        <f t="shared" si="31"/>
        <v>-7.010843788460444</v>
      </c>
      <c r="R50" s="36">
        <f>MAX('BATS 2023 TLFD'!N38,0.0001)</f>
        <v>1.2312059967681355E-4</v>
      </c>
      <c r="S50" s="45">
        <f>modeldata!C38/modeldata!C$156</f>
        <v>6.6666666666666671E-3</v>
      </c>
      <c r="T50" s="48">
        <f t="shared" si="22"/>
        <v>53.147451232095925</v>
      </c>
      <c r="U50" s="49">
        <f t="shared" si="72"/>
        <v>0</v>
      </c>
      <c r="V50" s="50">
        <f t="shared" si="4"/>
        <v>0</v>
      </c>
      <c r="W50" s="51">
        <f t="shared" si="5"/>
        <v>-7.010843788460444</v>
      </c>
      <c r="X50" s="52">
        <f t="shared" si="60"/>
        <v>-0.18324871283782598</v>
      </c>
      <c r="Y50" s="58">
        <f t="shared" si="32"/>
        <v>-7.010843788460444</v>
      </c>
      <c r="AA50" s="39" t="s">
        <v>35</v>
      </c>
      <c r="AB50" s="21">
        <f t="shared" si="61"/>
        <v>-0.10927638842708701</v>
      </c>
      <c r="AC50" s="23">
        <f t="shared" si="33"/>
        <v>-4.9855097826329322</v>
      </c>
      <c r="AD50" s="36">
        <f>MAX('BATS 2023 TLFD'!O38,0.0001)</f>
        <v>2.6657987615394646E-4</v>
      </c>
      <c r="AE50" s="45">
        <f>modeldata!D38/modeldata!D$156</f>
        <v>6.6666666666666671E-3</v>
      </c>
      <c r="AF50" s="48">
        <f t="shared" si="23"/>
        <v>24.008139259606949</v>
      </c>
      <c r="AG50" s="49">
        <f t="shared" si="73"/>
        <v>0</v>
      </c>
      <c r="AH50" s="50">
        <f t="shared" si="7"/>
        <v>0</v>
      </c>
      <c r="AI50" s="51">
        <f t="shared" si="8"/>
        <v>-4.9855097826329322</v>
      </c>
      <c r="AJ50" s="52">
        <f t="shared" si="62"/>
        <v>-0.10927638842708705</v>
      </c>
      <c r="AK50" s="58">
        <f t="shared" si="34"/>
        <v>-4.9855097826329313</v>
      </c>
      <c r="AM50" s="39" t="s">
        <v>35</v>
      </c>
      <c r="AN50" s="21">
        <f t="shared" si="63"/>
        <v>-0.123766678676451</v>
      </c>
      <c r="AO50" s="23">
        <f t="shared" si="35"/>
        <v>-5.668513319855383</v>
      </c>
      <c r="AP50" s="36">
        <f>MAX('BATS 2023 TLFD'!P38,0.0001)</f>
        <v>2.097139529490531E-4</v>
      </c>
      <c r="AQ50" s="45">
        <f>modeldata!E38/modeldata!E$156</f>
        <v>6.6666666666666671E-3</v>
      </c>
      <c r="AR50" s="48">
        <f t="shared" si="24"/>
        <v>30.789332912370572</v>
      </c>
      <c r="AS50" s="49">
        <f t="shared" si="74"/>
        <v>0</v>
      </c>
      <c r="AT50" s="50">
        <f t="shared" si="10"/>
        <v>0</v>
      </c>
      <c r="AU50" s="51">
        <f t="shared" si="11"/>
        <v>-5.668513319855383</v>
      </c>
      <c r="AV50" s="52">
        <f t="shared" si="64"/>
        <v>-0.12376667867645086</v>
      </c>
      <c r="AW50" s="58">
        <f t="shared" si="36"/>
        <v>-5.668513319855383</v>
      </c>
      <c r="AY50" s="39" t="s">
        <v>35</v>
      </c>
      <c r="AZ50" s="21">
        <f t="shared" si="65"/>
        <v>-0.13060067927808</v>
      </c>
      <c r="BA50" s="23">
        <f t="shared" si="37"/>
        <v>-6.4010834158556005</v>
      </c>
      <c r="BB50" s="36">
        <f>MAX('BATS 2023 TLFD'!Q38,0.0001)</f>
        <v>2.2537378712114125E-4</v>
      </c>
      <c r="BC50" s="45">
        <f>modeldata!F38/modeldata!F$156</f>
        <v>6.6666666666666671E-3</v>
      </c>
      <c r="BD50" s="48">
        <f t="shared" si="25"/>
        <v>28.5804882716163</v>
      </c>
      <c r="BE50" s="49">
        <f t="shared" si="75"/>
        <v>0</v>
      </c>
      <c r="BF50" s="50">
        <f t="shared" si="13"/>
        <v>0</v>
      </c>
      <c r="BG50" s="51">
        <f t="shared" si="14"/>
        <v>-6.4010834158556005</v>
      </c>
      <c r="BH50" s="52">
        <f t="shared" si="66"/>
        <v>-0.13060067927808028</v>
      </c>
      <c r="BI50" s="58">
        <f t="shared" si="38"/>
        <v>-6.4010834158556005</v>
      </c>
      <c r="BK50" s="39" t="s">
        <v>35</v>
      </c>
      <c r="BL50" s="21">
        <f t="shared" si="67"/>
        <v>-0.119295888721189</v>
      </c>
      <c r="BM50" s="23">
        <f t="shared" si="39"/>
        <v>-5.2814741512867869</v>
      </c>
      <c r="BN50" s="36">
        <f>MAX('BATS 2023 TLFD'!R38,0.0001)</f>
        <v>2.349970106033385E-3</v>
      </c>
      <c r="BO50" s="45">
        <f>modeldata!G38/modeldata!G$156</f>
        <v>6.6666666666666671E-3</v>
      </c>
      <c r="BP50" s="48">
        <f t="shared" si="26"/>
        <v>1.8369155205636292</v>
      </c>
      <c r="BQ50" s="49">
        <f t="shared" si="76"/>
        <v>0</v>
      </c>
      <c r="BR50" s="50">
        <f t="shared" si="16"/>
        <v>0</v>
      </c>
      <c r="BS50" s="51">
        <f t="shared" si="17"/>
        <v>-5.2814741512867869</v>
      </c>
      <c r="BT50" s="52">
        <f t="shared" si="68"/>
        <v>-0.11929588872118897</v>
      </c>
      <c r="BU50" s="58">
        <f t="shared" si="40"/>
        <v>-5.2814741512867869</v>
      </c>
      <c r="BW50" s="39" t="s">
        <v>35</v>
      </c>
      <c r="BX50" s="21">
        <f t="shared" si="69"/>
        <v>-0.204473452523388</v>
      </c>
      <c r="BY50" s="23">
        <f t="shared" si="41"/>
        <v>-9.0739923732684371</v>
      </c>
      <c r="BZ50" s="36">
        <f>MAX('BATS 2023 TLFD'!S38,0.0001)</f>
        <v>1E-4</v>
      </c>
      <c r="CA50" s="45">
        <f>modeldata!H38/modeldata!H$156</f>
        <v>6.6666666666666671E-3</v>
      </c>
      <c r="CB50" s="48">
        <f t="shared" si="27"/>
        <v>65.666666666666671</v>
      </c>
      <c r="CC50" s="49">
        <f t="shared" si="77"/>
        <v>0</v>
      </c>
      <c r="CD50" s="50">
        <f t="shared" si="19"/>
        <v>0</v>
      </c>
      <c r="CE50" s="51">
        <f t="shared" si="20"/>
        <v>-9.0739923732684371</v>
      </c>
      <c r="CF50" s="52">
        <f t="shared" si="70"/>
        <v>-0.20447345252338778</v>
      </c>
      <c r="CG50" s="58">
        <f t="shared" si="42"/>
        <v>-9.0739923732684371</v>
      </c>
    </row>
    <row r="51" spans="1:85" x14ac:dyDescent="0.25">
      <c r="A51" s="81">
        <f t="shared" si="28"/>
        <v>35.5</v>
      </c>
      <c r="B51" s="83">
        <f t="shared" si="28"/>
        <v>35</v>
      </c>
      <c r="C51" s="39" t="s">
        <v>36</v>
      </c>
      <c r="D51" s="21">
        <f t="shared" si="57"/>
        <v>-0.21370826062045101</v>
      </c>
      <c r="E51" s="23">
        <f t="shared" si="29"/>
        <v>-9.312378463753717</v>
      </c>
      <c r="F51" s="36">
        <f>MAX('BATS 2023 TLFD'!M39,0.0001)</f>
        <v>1E-4</v>
      </c>
      <c r="G51" s="45">
        <f>modeldata!B39/modeldata!B$156</f>
        <v>6.6666666666666671E-3</v>
      </c>
      <c r="H51" s="48">
        <f t="shared" si="21"/>
        <v>65.666666666666671</v>
      </c>
      <c r="I51" s="49">
        <f t="shared" si="71"/>
        <v>0</v>
      </c>
      <c r="J51" s="50">
        <f t="shared" si="1"/>
        <v>0</v>
      </c>
      <c r="K51" s="51">
        <f t="shared" si="2"/>
        <v>-9.312378463753717</v>
      </c>
      <c r="L51" s="52">
        <f t="shared" si="58"/>
        <v>-0.21370826062045095</v>
      </c>
      <c r="M51" s="58">
        <f t="shared" si="30"/>
        <v>-9.312378463753717</v>
      </c>
      <c r="O51" s="39" t="s">
        <v>36</v>
      </c>
      <c r="P51" s="21">
        <f t="shared" si="59"/>
        <v>-0.18324871283782601</v>
      </c>
      <c r="Q51" s="23">
        <f t="shared" si="31"/>
        <v>-7.1940925012982699</v>
      </c>
      <c r="R51" s="36">
        <f>MAX('BATS 2023 TLFD'!N39,0.0001)</f>
        <v>1E-4</v>
      </c>
      <c r="S51" s="45">
        <f>modeldata!C39/modeldata!C$156</f>
        <v>6.6666666666666671E-3</v>
      </c>
      <c r="T51" s="48">
        <f t="shared" si="22"/>
        <v>65.666666666666671</v>
      </c>
      <c r="U51" s="49">
        <f t="shared" si="72"/>
        <v>0</v>
      </c>
      <c r="V51" s="50">
        <f t="shared" si="4"/>
        <v>0</v>
      </c>
      <c r="W51" s="51">
        <f t="shared" si="5"/>
        <v>-7.1940925012982699</v>
      </c>
      <c r="X51" s="52">
        <f t="shared" si="60"/>
        <v>-0.18324871283782598</v>
      </c>
      <c r="Y51" s="58">
        <f t="shared" si="32"/>
        <v>-7.1940925012982699</v>
      </c>
      <c r="AA51" s="39" t="s">
        <v>36</v>
      </c>
      <c r="AB51" s="21">
        <f t="shared" si="61"/>
        <v>-0.10927638842708701</v>
      </c>
      <c r="AC51" s="23">
        <f t="shared" si="33"/>
        <v>-5.0947861710600195</v>
      </c>
      <c r="AD51" s="36">
        <f>MAX('BATS 2023 TLFD'!O39,0.0001)</f>
        <v>1E-4</v>
      </c>
      <c r="AE51" s="45">
        <f>modeldata!D39/modeldata!D$156</f>
        <v>6.6666666666666671E-3</v>
      </c>
      <c r="AF51" s="48">
        <f t="shared" si="23"/>
        <v>65.666666666666671</v>
      </c>
      <c r="AG51" s="49">
        <f t="shared" si="73"/>
        <v>0</v>
      </c>
      <c r="AH51" s="50">
        <f t="shared" si="7"/>
        <v>0</v>
      </c>
      <c r="AI51" s="51">
        <f t="shared" si="8"/>
        <v>-5.0947861710600195</v>
      </c>
      <c r="AJ51" s="52">
        <f t="shared" si="62"/>
        <v>-0.10927638842708705</v>
      </c>
      <c r="AK51" s="58">
        <f t="shared" si="34"/>
        <v>-5.0947861710600186</v>
      </c>
      <c r="AM51" s="39" t="s">
        <v>36</v>
      </c>
      <c r="AN51" s="21">
        <f t="shared" si="63"/>
        <v>-0.123766678676451</v>
      </c>
      <c r="AO51" s="23">
        <f t="shared" si="35"/>
        <v>-5.7922799985318338</v>
      </c>
      <c r="AP51" s="36">
        <f>MAX('BATS 2023 TLFD'!P39,0.0001)</f>
        <v>1.5933689233255956E-3</v>
      </c>
      <c r="AQ51" s="45">
        <f>modeldata!E39/modeldata!E$156</f>
        <v>6.6666666666666671E-3</v>
      </c>
      <c r="AR51" s="48">
        <f t="shared" si="24"/>
        <v>3.184006961019644</v>
      </c>
      <c r="AS51" s="49">
        <f t="shared" si="74"/>
        <v>0</v>
      </c>
      <c r="AT51" s="50">
        <f t="shared" si="10"/>
        <v>0</v>
      </c>
      <c r="AU51" s="51">
        <f t="shared" si="11"/>
        <v>-5.7922799985318338</v>
      </c>
      <c r="AV51" s="52">
        <f t="shared" si="64"/>
        <v>-0.12376667867645086</v>
      </c>
      <c r="AW51" s="58">
        <f t="shared" si="36"/>
        <v>-5.7922799985318338</v>
      </c>
      <c r="AY51" s="39" t="s">
        <v>36</v>
      </c>
      <c r="AZ51" s="21">
        <f t="shared" si="65"/>
        <v>-0.13060067927808</v>
      </c>
      <c r="BA51" s="23">
        <f t="shared" si="37"/>
        <v>-6.5316840951336808</v>
      </c>
      <c r="BB51" s="36">
        <f>MAX('BATS 2023 TLFD'!Q39,0.0001)</f>
        <v>1E-4</v>
      </c>
      <c r="BC51" s="45">
        <f>modeldata!F39/modeldata!F$156</f>
        <v>6.6666666666666671E-3</v>
      </c>
      <c r="BD51" s="48">
        <f t="shared" si="25"/>
        <v>65.666666666666671</v>
      </c>
      <c r="BE51" s="49">
        <f t="shared" si="75"/>
        <v>0</v>
      </c>
      <c r="BF51" s="50">
        <f t="shared" si="13"/>
        <v>0</v>
      </c>
      <c r="BG51" s="51">
        <f t="shared" si="14"/>
        <v>-6.5316840951336808</v>
      </c>
      <c r="BH51" s="52">
        <f t="shared" si="66"/>
        <v>-0.13060067927808028</v>
      </c>
      <c r="BI51" s="58">
        <f t="shared" si="38"/>
        <v>-6.5316840951336808</v>
      </c>
      <c r="BK51" s="39" t="s">
        <v>36</v>
      </c>
      <c r="BL51" s="21">
        <f t="shared" si="67"/>
        <v>-0.119295888721189</v>
      </c>
      <c r="BM51" s="23">
        <f t="shared" si="39"/>
        <v>-5.4007700400079761</v>
      </c>
      <c r="BN51" s="36">
        <f>MAX('BATS 2023 TLFD'!R39,0.0001)</f>
        <v>1.9566604999700319E-4</v>
      </c>
      <c r="BO51" s="45">
        <f>modeldata!G39/modeldata!G$156</f>
        <v>6.6666666666666671E-3</v>
      </c>
      <c r="BP51" s="48">
        <f t="shared" si="26"/>
        <v>33.07165763692155</v>
      </c>
      <c r="BQ51" s="49">
        <f t="shared" si="76"/>
        <v>0</v>
      </c>
      <c r="BR51" s="50">
        <f t="shared" si="16"/>
        <v>0</v>
      </c>
      <c r="BS51" s="51">
        <f t="shared" si="17"/>
        <v>-5.4007700400079761</v>
      </c>
      <c r="BT51" s="52">
        <f t="shared" si="68"/>
        <v>-0.11929588872118897</v>
      </c>
      <c r="BU51" s="58">
        <f t="shared" si="40"/>
        <v>-5.4007700400079761</v>
      </c>
      <c r="BW51" s="39" t="s">
        <v>36</v>
      </c>
      <c r="BX51" s="21">
        <f t="shared" si="69"/>
        <v>-0.204473452523388</v>
      </c>
      <c r="BY51" s="23">
        <f t="shared" si="41"/>
        <v>-9.2784658257918249</v>
      </c>
      <c r="BZ51" s="36">
        <f>MAX('BATS 2023 TLFD'!S39,0.0001)</f>
        <v>1E-4</v>
      </c>
      <c r="CA51" s="45">
        <f>modeldata!H39/modeldata!H$156</f>
        <v>6.6666666666666671E-3</v>
      </c>
      <c r="CB51" s="48">
        <f t="shared" si="27"/>
        <v>65.666666666666671</v>
      </c>
      <c r="CC51" s="49">
        <f t="shared" si="77"/>
        <v>0</v>
      </c>
      <c r="CD51" s="50">
        <f t="shared" si="19"/>
        <v>0</v>
      </c>
      <c r="CE51" s="51">
        <f t="shared" si="20"/>
        <v>-9.2784658257918249</v>
      </c>
      <c r="CF51" s="52">
        <f t="shared" si="70"/>
        <v>-0.20447345252338778</v>
      </c>
      <c r="CG51" s="58">
        <f t="shared" si="42"/>
        <v>-9.2784658257918249</v>
      </c>
    </row>
    <row r="52" spans="1:85" x14ac:dyDescent="0.25">
      <c r="A52" s="81">
        <f t="shared" si="28"/>
        <v>36.5</v>
      </c>
      <c r="B52" s="83">
        <f t="shared" si="28"/>
        <v>36</v>
      </c>
      <c r="C52" s="39" t="s">
        <v>37</v>
      </c>
      <c r="D52" s="21">
        <f t="shared" si="57"/>
        <v>-0.21370826062045101</v>
      </c>
      <c r="E52" s="23">
        <f t="shared" si="29"/>
        <v>-9.5260867243741671</v>
      </c>
      <c r="F52" s="36">
        <f>MAX('BATS 2023 TLFD'!M40,0.0001)</f>
        <v>1E-4</v>
      </c>
      <c r="G52" s="45">
        <f>modeldata!B40/modeldata!B$156</f>
        <v>6.6666666666666671E-3</v>
      </c>
      <c r="H52" s="48">
        <f t="shared" si="21"/>
        <v>65.666666666666671</v>
      </c>
      <c r="I52" s="49">
        <f t="shared" si="71"/>
        <v>0</v>
      </c>
      <c r="J52" s="50">
        <f t="shared" si="1"/>
        <v>0</v>
      </c>
      <c r="K52" s="51">
        <f t="shared" si="2"/>
        <v>-9.5260867243741671</v>
      </c>
      <c r="L52" s="52">
        <f t="shared" si="58"/>
        <v>-0.21370826062045095</v>
      </c>
      <c r="M52" s="58">
        <f t="shared" si="30"/>
        <v>-9.5260867243741671</v>
      </c>
      <c r="O52" s="39" t="s">
        <v>37</v>
      </c>
      <c r="P52" s="21">
        <f t="shared" si="59"/>
        <v>-0.18324871283782601</v>
      </c>
      <c r="Q52" s="23">
        <f t="shared" si="31"/>
        <v>-7.3773412141360959</v>
      </c>
      <c r="R52" s="36">
        <f>MAX('BATS 2023 TLFD'!N40,0.0001)</f>
        <v>1.2730833893254679E-3</v>
      </c>
      <c r="S52" s="45">
        <f>modeldata!C40/modeldata!C$156</f>
        <v>6.6666666666666671E-3</v>
      </c>
      <c r="T52" s="48">
        <f t="shared" si="22"/>
        <v>4.2366299981330702</v>
      </c>
      <c r="U52" s="49">
        <f t="shared" si="72"/>
        <v>0</v>
      </c>
      <c r="V52" s="50">
        <f t="shared" si="4"/>
        <v>0</v>
      </c>
      <c r="W52" s="51">
        <f t="shared" si="5"/>
        <v>-7.3773412141360959</v>
      </c>
      <c r="X52" s="52">
        <f t="shared" si="60"/>
        <v>-0.18324871283782598</v>
      </c>
      <c r="Y52" s="58">
        <f t="shared" si="32"/>
        <v>-7.3773412141360959</v>
      </c>
      <c r="AA52" s="39" t="s">
        <v>37</v>
      </c>
      <c r="AB52" s="21">
        <f t="shared" si="61"/>
        <v>-0.10927638842708701</v>
      </c>
      <c r="AC52" s="23">
        <f t="shared" si="33"/>
        <v>-5.2040625594871068</v>
      </c>
      <c r="AD52" s="36">
        <f>MAX('BATS 2023 TLFD'!O40,0.0001)</f>
        <v>1.4833686638274489E-4</v>
      </c>
      <c r="AE52" s="45">
        <f>modeldata!D40/modeldata!D$156</f>
        <v>6.6666666666666671E-3</v>
      </c>
      <c r="AF52" s="48">
        <f t="shared" si="23"/>
        <v>43.942749764344214</v>
      </c>
      <c r="AG52" s="49">
        <f t="shared" si="73"/>
        <v>0</v>
      </c>
      <c r="AH52" s="50">
        <f t="shared" si="7"/>
        <v>0</v>
      </c>
      <c r="AI52" s="51">
        <f t="shared" si="8"/>
        <v>-5.2040625594871068</v>
      </c>
      <c r="AJ52" s="52">
        <f t="shared" si="62"/>
        <v>-0.10927638842708705</v>
      </c>
      <c r="AK52" s="58">
        <f t="shared" si="34"/>
        <v>-5.2040625594871059</v>
      </c>
      <c r="AM52" s="39" t="s">
        <v>37</v>
      </c>
      <c r="AN52" s="21">
        <f t="shared" si="63"/>
        <v>-0.123766678676451</v>
      </c>
      <c r="AO52" s="23">
        <f t="shared" si="35"/>
        <v>-5.9160466772082847</v>
      </c>
      <c r="AP52" s="36">
        <f>MAX('BATS 2023 TLFD'!P40,0.0001)</f>
        <v>3.0623562363483428E-3</v>
      </c>
      <c r="AQ52" s="45">
        <f>modeldata!E40/modeldata!E$156</f>
        <v>6.6666666666666671E-3</v>
      </c>
      <c r="AR52" s="48">
        <f t="shared" si="24"/>
        <v>1.1769729424478146</v>
      </c>
      <c r="AS52" s="49">
        <f t="shared" si="74"/>
        <v>0</v>
      </c>
      <c r="AT52" s="50">
        <f t="shared" si="10"/>
        <v>0</v>
      </c>
      <c r="AU52" s="51">
        <f t="shared" si="11"/>
        <v>-5.9160466772082847</v>
      </c>
      <c r="AV52" s="52">
        <f t="shared" si="64"/>
        <v>-0.12376667867645086</v>
      </c>
      <c r="AW52" s="58">
        <f t="shared" si="36"/>
        <v>-5.9160466772082847</v>
      </c>
      <c r="AY52" s="39" t="s">
        <v>37</v>
      </c>
      <c r="AZ52" s="21">
        <f t="shared" si="65"/>
        <v>-0.13060067927808</v>
      </c>
      <c r="BA52" s="23">
        <f t="shared" si="37"/>
        <v>-6.662284774411761</v>
      </c>
      <c r="BB52" s="36">
        <f>MAX('BATS 2023 TLFD'!Q40,0.0001)</f>
        <v>5.2566548358641747E-4</v>
      </c>
      <c r="BC52" s="45">
        <f>modeldata!F40/modeldata!F$156</f>
        <v>6.6666666666666671E-3</v>
      </c>
      <c r="BD52" s="48">
        <f t="shared" si="25"/>
        <v>11.682336723314062</v>
      </c>
      <c r="BE52" s="49">
        <f t="shared" si="75"/>
        <v>0</v>
      </c>
      <c r="BF52" s="50">
        <f t="shared" si="13"/>
        <v>0</v>
      </c>
      <c r="BG52" s="51">
        <f t="shared" si="14"/>
        <v>-6.662284774411761</v>
      </c>
      <c r="BH52" s="52">
        <f t="shared" si="66"/>
        <v>-0.13060067927808028</v>
      </c>
      <c r="BI52" s="58">
        <f t="shared" si="38"/>
        <v>-6.662284774411761</v>
      </c>
      <c r="BK52" s="39" t="s">
        <v>37</v>
      </c>
      <c r="BL52" s="21">
        <f t="shared" si="67"/>
        <v>-0.119295888721189</v>
      </c>
      <c r="BM52" s="23">
        <f t="shared" si="39"/>
        <v>-5.5200659287291653</v>
      </c>
      <c r="BN52" s="36">
        <f>MAX('BATS 2023 TLFD'!R40,0.0001)</f>
        <v>1E-4</v>
      </c>
      <c r="BO52" s="45">
        <f>modeldata!G40/modeldata!G$156</f>
        <v>6.6666666666666671E-3</v>
      </c>
      <c r="BP52" s="48">
        <f t="shared" si="26"/>
        <v>65.666666666666671</v>
      </c>
      <c r="BQ52" s="49">
        <f t="shared" si="76"/>
        <v>0</v>
      </c>
      <c r="BR52" s="50">
        <f t="shared" si="16"/>
        <v>0</v>
      </c>
      <c r="BS52" s="51">
        <f t="shared" si="17"/>
        <v>-5.5200659287291653</v>
      </c>
      <c r="BT52" s="52">
        <f t="shared" si="68"/>
        <v>-0.11929588872118897</v>
      </c>
      <c r="BU52" s="58">
        <f t="shared" si="40"/>
        <v>-5.5200659287291653</v>
      </c>
      <c r="BW52" s="39" t="s">
        <v>37</v>
      </c>
      <c r="BX52" s="21">
        <f t="shared" si="69"/>
        <v>-0.204473452523388</v>
      </c>
      <c r="BY52" s="23">
        <f t="shared" si="41"/>
        <v>-9.4829392783152127</v>
      </c>
      <c r="BZ52" s="36">
        <f>MAX('BATS 2023 TLFD'!S40,0.0001)</f>
        <v>1E-4</v>
      </c>
      <c r="CA52" s="45">
        <f>modeldata!H40/modeldata!H$156</f>
        <v>6.6666666666666671E-3</v>
      </c>
      <c r="CB52" s="48">
        <f t="shared" si="27"/>
        <v>65.666666666666671</v>
      </c>
      <c r="CC52" s="49">
        <f t="shared" si="77"/>
        <v>0</v>
      </c>
      <c r="CD52" s="50">
        <f t="shared" si="19"/>
        <v>0</v>
      </c>
      <c r="CE52" s="51">
        <f t="shared" si="20"/>
        <v>-9.4829392783152127</v>
      </c>
      <c r="CF52" s="52">
        <f t="shared" si="70"/>
        <v>-0.20447345252338778</v>
      </c>
      <c r="CG52" s="58">
        <f t="shared" si="42"/>
        <v>-9.4829392783152127</v>
      </c>
    </row>
    <row r="53" spans="1:85" x14ac:dyDescent="0.25">
      <c r="A53" s="81">
        <f t="shared" si="28"/>
        <v>37.5</v>
      </c>
      <c r="B53" s="83">
        <f t="shared" si="28"/>
        <v>37</v>
      </c>
      <c r="C53" s="39" t="s">
        <v>38</v>
      </c>
      <c r="D53" s="21">
        <f t="shared" si="57"/>
        <v>-0.21370826062045101</v>
      </c>
      <c r="E53" s="23">
        <f t="shared" si="29"/>
        <v>-9.7397949849946173</v>
      </c>
      <c r="F53" s="36">
        <f>MAX('BATS 2023 TLFD'!M41,0.0001)</f>
        <v>1E-4</v>
      </c>
      <c r="G53" s="45">
        <f>modeldata!B41/modeldata!B$156</f>
        <v>6.6666666666666671E-3</v>
      </c>
      <c r="H53" s="48">
        <f t="shared" si="21"/>
        <v>65.666666666666671</v>
      </c>
      <c r="I53" s="49">
        <f t="shared" si="71"/>
        <v>0</v>
      </c>
      <c r="J53" s="50">
        <f t="shared" si="1"/>
        <v>0</v>
      </c>
      <c r="K53" s="51">
        <f t="shared" si="2"/>
        <v>-9.7397949849946173</v>
      </c>
      <c r="L53" s="52">
        <f t="shared" si="58"/>
        <v>-0.21370826062045095</v>
      </c>
      <c r="M53" s="58">
        <f t="shared" si="30"/>
        <v>-9.7397949849946173</v>
      </c>
      <c r="O53" s="39" t="s">
        <v>38</v>
      </c>
      <c r="P53" s="21">
        <f t="shared" si="59"/>
        <v>-0.18324871283782601</v>
      </c>
      <c r="Q53" s="23">
        <f t="shared" si="31"/>
        <v>-7.5605899269739218</v>
      </c>
      <c r="R53" s="36">
        <f>MAX('BATS 2023 TLFD'!N41,0.0001)</f>
        <v>4.5667223812661702E-3</v>
      </c>
      <c r="S53" s="45">
        <f>modeldata!C41/modeldata!C$156</f>
        <v>6.6666666666666671E-3</v>
      </c>
      <c r="T53" s="48">
        <f t="shared" si="22"/>
        <v>0.45983620419208976</v>
      </c>
      <c r="U53" s="49">
        <f t="shared" si="72"/>
        <v>0</v>
      </c>
      <c r="V53" s="50">
        <f t="shared" si="4"/>
        <v>0</v>
      </c>
      <c r="W53" s="51">
        <f t="shared" si="5"/>
        <v>-7.5605899269739218</v>
      </c>
      <c r="X53" s="52">
        <f t="shared" si="60"/>
        <v>-0.18324871283782598</v>
      </c>
      <c r="Y53" s="58">
        <f t="shared" si="32"/>
        <v>-7.5605899269739218</v>
      </c>
      <c r="AA53" s="39" t="s">
        <v>38</v>
      </c>
      <c r="AB53" s="21">
        <f t="shared" si="61"/>
        <v>-0.10927638842708701</v>
      </c>
      <c r="AC53" s="23">
        <f t="shared" si="33"/>
        <v>-5.3133389479141941</v>
      </c>
      <c r="AD53" s="36">
        <f>MAX('BATS 2023 TLFD'!O41,0.0001)</f>
        <v>1E-4</v>
      </c>
      <c r="AE53" s="45">
        <f>modeldata!D41/modeldata!D$156</f>
        <v>6.6666666666666671E-3</v>
      </c>
      <c r="AF53" s="48">
        <f t="shared" si="23"/>
        <v>65.666666666666671</v>
      </c>
      <c r="AG53" s="49">
        <f t="shared" si="73"/>
        <v>0</v>
      </c>
      <c r="AH53" s="50">
        <f t="shared" si="7"/>
        <v>0</v>
      </c>
      <c r="AI53" s="51">
        <f t="shared" si="8"/>
        <v>-5.3133389479141941</v>
      </c>
      <c r="AJ53" s="52">
        <f t="shared" si="62"/>
        <v>-0.10927638842708705</v>
      </c>
      <c r="AK53" s="58">
        <f t="shared" si="34"/>
        <v>-5.3133389479141933</v>
      </c>
      <c r="AM53" s="39" t="s">
        <v>38</v>
      </c>
      <c r="AN53" s="21">
        <f t="shared" si="63"/>
        <v>-0.123766678676451</v>
      </c>
      <c r="AO53" s="23">
        <f t="shared" si="35"/>
        <v>-6.0398133558847356</v>
      </c>
      <c r="AP53" s="36">
        <f>MAX('BATS 2023 TLFD'!P41,0.0001)</f>
        <v>2.2813155403858691E-4</v>
      </c>
      <c r="AQ53" s="45">
        <f>modeldata!E41/modeldata!E$156</f>
        <v>6.6666666666666671E-3</v>
      </c>
      <c r="AR53" s="48">
        <f t="shared" si="24"/>
        <v>28.222904717245054</v>
      </c>
      <c r="AS53" s="49">
        <f t="shared" si="74"/>
        <v>0</v>
      </c>
      <c r="AT53" s="50">
        <f t="shared" si="10"/>
        <v>0</v>
      </c>
      <c r="AU53" s="51">
        <f t="shared" si="11"/>
        <v>-6.0398133558847356</v>
      </c>
      <c r="AV53" s="52">
        <f t="shared" si="64"/>
        <v>-0.12376667867645086</v>
      </c>
      <c r="AW53" s="58">
        <f t="shared" si="36"/>
        <v>-6.0398133558847356</v>
      </c>
      <c r="AY53" s="39" t="s">
        <v>38</v>
      </c>
      <c r="AZ53" s="21">
        <f t="shared" si="65"/>
        <v>-0.13060067927808</v>
      </c>
      <c r="BA53" s="23">
        <f t="shared" si="37"/>
        <v>-6.7928854536898413</v>
      </c>
      <c r="BB53" s="36">
        <f>MAX('BATS 2023 TLFD'!Q41,0.0001)</f>
        <v>1E-4</v>
      </c>
      <c r="BC53" s="45">
        <f>modeldata!F41/modeldata!F$156</f>
        <v>6.6666666666666671E-3</v>
      </c>
      <c r="BD53" s="48">
        <f t="shared" si="25"/>
        <v>65.666666666666671</v>
      </c>
      <c r="BE53" s="49">
        <f t="shared" si="75"/>
        <v>0</v>
      </c>
      <c r="BF53" s="50">
        <f t="shared" si="13"/>
        <v>0</v>
      </c>
      <c r="BG53" s="51">
        <f t="shared" si="14"/>
        <v>-6.7928854536898413</v>
      </c>
      <c r="BH53" s="52">
        <f t="shared" si="66"/>
        <v>-0.13060067927808028</v>
      </c>
      <c r="BI53" s="58">
        <f t="shared" si="38"/>
        <v>-6.7928854536898413</v>
      </c>
      <c r="BK53" s="39" t="s">
        <v>38</v>
      </c>
      <c r="BL53" s="21">
        <f t="shared" si="67"/>
        <v>-0.119295888721189</v>
      </c>
      <c r="BM53" s="23">
        <f t="shared" si="39"/>
        <v>-5.6393618174503546</v>
      </c>
      <c r="BN53" s="36">
        <f>MAX('BATS 2023 TLFD'!R41,0.0001)</f>
        <v>1.3408681838541559E-4</v>
      </c>
      <c r="BO53" s="45">
        <f>modeldata!G41/modeldata!G$156</f>
        <v>6.6666666666666671E-3</v>
      </c>
      <c r="BP53" s="48">
        <f t="shared" si="26"/>
        <v>48.719030900592912</v>
      </c>
      <c r="BQ53" s="49">
        <f t="shared" si="76"/>
        <v>0</v>
      </c>
      <c r="BR53" s="50">
        <f t="shared" si="16"/>
        <v>0</v>
      </c>
      <c r="BS53" s="51">
        <f t="shared" si="17"/>
        <v>-5.6393618174503546</v>
      </c>
      <c r="BT53" s="52">
        <f t="shared" si="68"/>
        <v>-0.11929588872118897</v>
      </c>
      <c r="BU53" s="58">
        <f t="shared" si="40"/>
        <v>-5.6393618174503546</v>
      </c>
      <c r="BW53" s="39" t="s">
        <v>38</v>
      </c>
      <c r="BX53" s="21">
        <f t="shared" si="69"/>
        <v>-0.204473452523388</v>
      </c>
      <c r="BY53" s="23">
        <f t="shared" si="41"/>
        <v>-9.6874127308386004</v>
      </c>
      <c r="BZ53" s="36">
        <f>MAX('BATS 2023 TLFD'!S41,0.0001)</f>
        <v>1E-4</v>
      </c>
      <c r="CA53" s="45">
        <f>modeldata!H41/modeldata!H$156</f>
        <v>6.6666666666666671E-3</v>
      </c>
      <c r="CB53" s="48">
        <f t="shared" si="27"/>
        <v>65.666666666666671</v>
      </c>
      <c r="CC53" s="49">
        <f t="shared" si="77"/>
        <v>0</v>
      </c>
      <c r="CD53" s="50">
        <f t="shared" si="19"/>
        <v>0</v>
      </c>
      <c r="CE53" s="51">
        <f t="shared" si="20"/>
        <v>-9.6874127308386004</v>
      </c>
      <c r="CF53" s="52">
        <f t="shared" si="70"/>
        <v>-0.20447345252338778</v>
      </c>
      <c r="CG53" s="58">
        <f t="shared" si="42"/>
        <v>-9.6874127308386004</v>
      </c>
    </row>
    <row r="54" spans="1:85" x14ac:dyDescent="0.25">
      <c r="A54" s="81">
        <f t="shared" si="28"/>
        <v>38.5</v>
      </c>
      <c r="B54" s="83">
        <f t="shared" si="28"/>
        <v>38</v>
      </c>
      <c r="C54" s="39" t="s">
        <v>39</v>
      </c>
      <c r="D54" s="21">
        <f t="shared" si="57"/>
        <v>-0.21370826062045101</v>
      </c>
      <c r="E54" s="23">
        <f t="shared" si="29"/>
        <v>-9.9535032456150674</v>
      </c>
      <c r="F54" s="36">
        <f>MAX('BATS 2023 TLFD'!M42,0.0001)</f>
        <v>1E-4</v>
      </c>
      <c r="G54" s="45">
        <f>modeldata!B42/modeldata!B$156</f>
        <v>6.6666666666666671E-3</v>
      </c>
      <c r="H54" s="48">
        <f t="shared" si="21"/>
        <v>65.666666666666671</v>
      </c>
      <c r="I54" s="49">
        <f t="shared" si="71"/>
        <v>0</v>
      </c>
      <c r="J54" s="50">
        <f t="shared" si="1"/>
        <v>0</v>
      </c>
      <c r="K54" s="51">
        <f t="shared" si="2"/>
        <v>-9.9535032456150674</v>
      </c>
      <c r="L54" s="52">
        <f t="shared" si="58"/>
        <v>-0.21370826062045095</v>
      </c>
      <c r="M54" s="58">
        <f t="shared" si="30"/>
        <v>-9.9535032456150674</v>
      </c>
      <c r="O54" s="39" t="s">
        <v>39</v>
      </c>
      <c r="P54" s="21">
        <f t="shared" si="59"/>
        <v>-0.18324871283782601</v>
      </c>
      <c r="Q54" s="23">
        <f t="shared" si="31"/>
        <v>-7.7438386398117478</v>
      </c>
      <c r="R54" s="36">
        <f>MAX('BATS 2023 TLFD'!N42,0.0001)</f>
        <v>1E-4</v>
      </c>
      <c r="S54" s="45">
        <f>modeldata!C42/modeldata!C$156</f>
        <v>6.6666666666666671E-3</v>
      </c>
      <c r="T54" s="48">
        <f t="shared" si="22"/>
        <v>65.666666666666671</v>
      </c>
      <c r="U54" s="49">
        <f t="shared" si="72"/>
        <v>0</v>
      </c>
      <c r="V54" s="50">
        <f t="shared" si="4"/>
        <v>0</v>
      </c>
      <c r="W54" s="51">
        <f t="shared" si="5"/>
        <v>-7.7438386398117478</v>
      </c>
      <c r="X54" s="52">
        <f t="shared" si="60"/>
        <v>-0.18324871283782598</v>
      </c>
      <c r="Y54" s="58">
        <f t="shared" si="32"/>
        <v>-7.7438386398117478</v>
      </c>
      <c r="AA54" s="39" t="s">
        <v>39</v>
      </c>
      <c r="AB54" s="21">
        <f t="shared" si="61"/>
        <v>-0.10927638842708701</v>
      </c>
      <c r="AC54" s="23">
        <f t="shared" si="33"/>
        <v>-5.4226153363412815</v>
      </c>
      <c r="AD54" s="36">
        <f>MAX('BATS 2023 TLFD'!O42,0.0001)</f>
        <v>8.7301001645538254E-4</v>
      </c>
      <c r="AE54" s="45">
        <f>modeldata!D42/modeldata!D$156</f>
        <v>6.6666666666666671E-3</v>
      </c>
      <c r="AF54" s="48">
        <f t="shared" si="23"/>
        <v>6.6364148646711252</v>
      </c>
      <c r="AG54" s="49">
        <f t="shared" si="73"/>
        <v>0</v>
      </c>
      <c r="AH54" s="50">
        <f t="shared" si="7"/>
        <v>0</v>
      </c>
      <c r="AI54" s="51">
        <f t="shared" si="8"/>
        <v>-5.4226153363412815</v>
      </c>
      <c r="AJ54" s="52">
        <f t="shared" si="62"/>
        <v>-0.10927638842708705</v>
      </c>
      <c r="AK54" s="58">
        <f t="shared" si="34"/>
        <v>-5.4226153363412806</v>
      </c>
      <c r="AM54" s="39" t="s">
        <v>39</v>
      </c>
      <c r="AN54" s="21">
        <f t="shared" si="63"/>
        <v>-0.123766678676451</v>
      </c>
      <c r="AO54" s="23">
        <f t="shared" si="35"/>
        <v>-6.1635800345611864</v>
      </c>
      <c r="AP54" s="36">
        <f>MAX('BATS 2023 TLFD'!P42,0.0001)</f>
        <v>1.182511718318655E-3</v>
      </c>
      <c r="AQ54" s="45">
        <f>modeldata!E42/modeldata!E$156</f>
        <v>6.6666666666666671E-3</v>
      </c>
      <c r="AR54" s="48">
        <f t="shared" si="24"/>
        <v>4.6377172110781402</v>
      </c>
      <c r="AS54" s="49">
        <f t="shared" si="74"/>
        <v>0</v>
      </c>
      <c r="AT54" s="50">
        <f t="shared" si="10"/>
        <v>0</v>
      </c>
      <c r="AU54" s="51">
        <f t="shared" si="11"/>
        <v>-6.1635800345611864</v>
      </c>
      <c r="AV54" s="52">
        <f t="shared" si="64"/>
        <v>-0.12376667867645086</v>
      </c>
      <c r="AW54" s="58">
        <f t="shared" si="36"/>
        <v>-6.1635800345611864</v>
      </c>
      <c r="AY54" s="39" t="s">
        <v>39</v>
      </c>
      <c r="AZ54" s="21">
        <f t="shared" si="65"/>
        <v>-0.13060067927808</v>
      </c>
      <c r="BA54" s="23">
        <f t="shared" si="37"/>
        <v>-6.9234861329679216</v>
      </c>
      <c r="BB54" s="36">
        <f>MAX('BATS 2023 TLFD'!Q42,0.0001)</f>
        <v>1E-4</v>
      </c>
      <c r="BC54" s="45">
        <f>modeldata!F42/modeldata!F$156</f>
        <v>6.6666666666666671E-3</v>
      </c>
      <c r="BD54" s="48">
        <f t="shared" si="25"/>
        <v>65.666666666666671</v>
      </c>
      <c r="BE54" s="49">
        <f t="shared" si="75"/>
        <v>0</v>
      </c>
      <c r="BF54" s="50">
        <f t="shared" si="13"/>
        <v>0</v>
      </c>
      <c r="BG54" s="51">
        <f t="shared" si="14"/>
        <v>-6.9234861329679216</v>
      </c>
      <c r="BH54" s="52">
        <f t="shared" si="66"/>
        <v>-0.13060067927808028</v>
      </c>
      <c r="BI54" s="58">
        <f t="shared" si="38"/>
        <v>-6.9234861329679216</v>
      </c>
      <c r="BK54" s="39" t="s">
        <v>39</v>
      </c>
      <c r="BL54" s="21">
        <f t="shared" si="67"/>
        <v>-0.119295888721189</v>
      </c>
      <c r="BM54" s="23">
        <f t="shared" si="39"/>
        <v>-5.7586577061715438</v>
      </c>
      <c r="BN54" s="36">
        <f>MAX('BATS 2023 TLFD'!R42,0.0001)</f>
        <v>1E-4</v>
      </c>
      <c r="BO54" s="45">
        <f>modeldata!G42/modeldata!G$156</f>
        <v>6.6666666666666671E-3</v>
      </c>
      <c r="BP54" s="48">
        <f t="shared" si="26"/>
        <v>65.666666666666671</v>
      </c>
      <c r="BQ54" s="49">
        <f t="shared" si="76"/>
        <v>0</v>
      </c>
      <c r="BR54" s="50">
        <f t="shared" si="16"/>
        <v>0</v>
      </c>
      <c r="BS54" s="51">
        <f t="shared" si="17"/>
        <v>-5.7586577061715438</v>
      </c>
      <c r="BT54" s="52">
        <f t="shared" si="68"/>
        <v>-0.11929588872118897</v>
      </c>
      <c r="BU54" s="58">
        <f t="shared" si="40"/>
        <v>-5.7586577061715438</v>
      </c>
      <c r="BW54" s="39" t="s">
        <v>39</v>
      </c>
      <c r="BX54" s="21">
        <f t="shared" si="69"/>
        <v>-0.204473452523388</v>
      </c>
      <c r="BY54" s="23">
        <f t="shared" si="41"/>
        <v>-9.8918861833619882</v>
      </c>
      <c r="BZ54" s="36">
        <f>MAX('BATS 2023 TLFD'!S42,0.0001)</f>
        <v>1E-4</v>
      </c>
      <c r="CA54" s="45">
        <f>modeldata!H42/modeldata!H$156</f>
        <v>6.6666666666666671E-3</v>
      </c>
      <c r="CB54" s="48">
        <f t="shared" si="27"/>
        <v>65.666666666666671</v>
      </c>
      <c r="CC54" s="49">
        <f t="shared" si="77"/>
        <v>0</v>
      </c>
      <c r="CD54" s="50">
        <f t="shared" si="19"/>
        <v>0</v>
      </c>
      <c r="CE54" s="51">
        <f t="shared" si="20"/>
        <v>-9.8918861833619882</v>
      </c>
      <c r="CF54" s="52">
        <f t="shared" si="70"/>
        <v>-0.20447345252338778</v>
      </c>
      <c r="CG54" s="58">
        <f t="shared" si="42"/>
        <v>-9.8918861833619882</v>
      </c>
    </row>
    <row r="55" spans="1:85" x14ac:dyDescent="0.25">
      <c r="A55" s="81">
        <f t="shared" si="28"/>
        <v>39.5</v>
      </c>
      <c r="B55" s="83">
        <f t="shared" si="28"/>
        <v>39</v>
      </c>
      <c r="C55" s="39" t="s">
        <v>40</v>
      </c>
      <c r="D55" s="21">
        <f t="shared" si="57"/>
        <v>-0.21370826062045101</v>
      </c>
      <c r="E55" s="23">
        <f t="shared" si="29"/>
        <v>-10.167211506235518</v>
      </c>
      <c r="F55" s="36">
        <f>MAX('BATS 2023 TLFD'!M43,0.0001)</f>
        <v>1E-4</v>
      </c>
      <c r="G55" s="45">
        <f>modeldata!B43/modeldata!B$156</f>
        <v>6.6666666666666671E-3</v>
      </c>
      <c r="H55" s="48">
        <f t="shared" si="21"/>
        <v>65.666666666666671</v>
      </c>
      <c r="I55" s="49">
        <f t="shared" si="71"/>
        <v>0</v>
      </c>
      <c r="J55" s="50">
        <f t="shared" si="1"/>
        <v>0</v>
      </c>
      <c r="K55" s="51">
        <f t="shared" si="2"/>
        <v>-10.167211506235518</v>
      </c>
      <c r="L55" s="52">
        <f t="shared" si="58"/>
        <v>-0.21370826062045095</v>
      </c>
      <c r="M55" s="58">
        <f t="shared" si="30"/>
        <v>-10.167211506235518</v>
      </c>
      <c r="O55" s="39" t="s">
        <v>40</v>
      </c>
      <c r="P55" s="21">
        <f t="shared" si="59"/>
        <v>-0.18324871283782601</v>
      </c>
      <c r="Q55" s="23">
        <f t="shared" si="31"/>
        <v>-7.9270873526495738</v>
      </c>
      <c r="R55" s="36">
        <f>MAX('BATS 2023 TLFD'!N43,0.0001)</f>
        <v>1E-4</v>
      </c>
      <c r="S55" s="45">
        <f>modeldata!C43/modeldata!C$156</f>
        <v>6.6666666666666671E-3</v>
      </c>
      <c r="T55" s="48">
        <f t="shared" si="22"/>
        <v>65.666666666666671</v>
      </c>
      <c r="U55" s="49">
        <f t="shared" si="72"/>
        <v>0</v>
      </c>
      <c r="V55" s="50">
        <f t="shared" si="4"/>
        <v>0</v>
      </c>
      <c r="W55" s="51">
        <f t="shared" si="5"/>
        <v>-7.9270873526495738</v>
      </c>
      <c r="X55" s="52">
        <f t="shared" si="60"/>
        <v>-0.18324871283782598</v>
      </c>
      <c r="Y55" s="58">
        <f t="shared" si="32"/>
        <v>-7.9270873526495738</v>
      </c>
      <c r="AA55" s="39" t="s">
        <v>40</v>
      </c>
      <c r="AB55" s="21">
        <f t="shared" si="61"/>
        <v>-0.10927638842708701</v>
      </c>
      <c r="AC55" s="23">
        <f t="shared" si="33"/>
        <v>-5.5318917247683688</v>
      </c>
      <c r="AD55" s="36">
        <f>MAX('BATS 2023 TLFD'!O43,0.0001)</f>
        <v>1E-4</v>
      </c>
      <c r="AE55" s="45">
        <f>modeldata!D43/modeldata!D$156</f>
        <v>6.6666666666666671E-3</v>
      </c>
      <c r="AF55" s="48">
        <f t="shared" si="23"/>
        <v>65.666666666666671</v>
      </c>
      <c r="AG55" s="49">
        <f t="shared" si="73"/>
        <v>0</v>
      </c>
      <c r="AH55" s="50">
        <f t="shared" si="7"/>
        <v>0</v>
      </c>
      <c r="AI55" s="51">
        <f t="shared" si="8"/>
        <v>-5.5318917247683688</v>
      </c>
      <c r="AJ55" s="52">
        <f t="shared" si="62"/>
        <v>-0.10927638842708705</v>
      </c>
      <c r="AK55" s="58">
        <f t="shared" si="34"/>
        <v>-5.5318917247683679</v>
      </c>
      <c r="AM55" s="39" t="s">
        <v>40</v>
      </c>
      <c r="AN55" s="21">
        <f t="shared" si="63"/>
        <v>-0.123766678676451</v>
      </c>
      <c r="AO55" s="23">
        <f t="shared" si="35"/>
        <v>-6.2873467132376373</v>
      </c>
      <c r="AP55" s="36">
        <f>MAX('BATS 2023 TLFD'!P43,0.0001)</f>
        <v>3.3875389300610002E-4</v>
      </c>
      <c r="AQ55" s="45">
        <f>modeldata!E43/modeldata!E$156</f>
        <v>6.6666666666666671E-3</v>
      </c>
      <c r="AR55" s="48">
        <f t="shared" si="24"/>
        <v>18.679970634452957</v>
      </c>
      <c r="AS55" s="49">
        <f t="shared" si="74"/>
        <v>0</v>
      </c>
      <c r="AT55" s="50">
        <f t="shared" si="10"/>
        <v>0</v>
      </c>
      <c r="AU55" s="51">
        <f t="shared" si="11"/>
        <v>-6.2873467132376373</v>
      </c>
      <c r="AV55" s="52">
        <f t="shared" si="64"/>
        <v>-0.12376667867645086</v>
      </c>
      <c r="AW55" s="58">
        <f t="shared" si="36"/>
        <v>-6.2873467132376373</v>
      </c>
      <c r="AY55" s="39" t="s">
        <v>40</v>
      </c>
      <c r="AZ55" s="21">
        <f t="shared" si="65"/>
        <v>-0.13060067927808</v>
      </c>
      <c r="BA55" s="23">
        <f t="shared" si="37"/>
        <v>-7.0540868122460019</v>
      </c>
      <c r="BB55" s="36">
        <f>MAX('BATS 2023 TLFD'!Q43,0.0001)</f>
        <v>1.0194343851253955E-4</v>
      </c>
      <c r="BC55" s="45">
        <f>modeldata!F43/modeldata!F$156</f>
        <v>6.6666666666666671E-3</v>
      </c>
      <c r="BD55" s="48">
        <f t="shared" si="25"/>
        <v>64.395740657174656</v>
      </c>
      <c r="BE55" s="49">
        <f t="shared" si="75"/>
        <v>0</v>
      </c>
      <c r="BF55" s="50">
        <f t="shared" si="13"/>
        <v>0</v>
      </c>
      <c r="BG55" s="51">
        <f t="shared" si="14"/>
        <v>-7.0540868122460019</v>
      </c>
      <c r="BH55" s="52">
        <f t="shared" si="66"/>
        <v>-0.13060067927808028</v>
      </c>
      <c r="BI55" s="58">
        <f t="shared" si="38"/>
        <v>-7.0540868122460019</v>
      </c>
      <c r="BK55" s="39" t="s">
        <v>40</v>
      </c>
      <c r="BL55" s="21">
        <f t="shared" si="67"/>
        <v>-0.119295888721189</v>
      </c>
      <c r="BM55" s="23">
        <f t="shared" si="39"/>
        <v>-5.8779535948927331</v>
      </c>
      <c r="BN55" s="36">
        <f>MAX('BATS 2023 TLFD'!R43,0.0001)</f>
        <v>1E-4</v>
      </c>
      <c r="BO55" s="45">
        <f>modeldata!G43/modeldata!G$156</f>
        <v>6.6666666666666671E-3</v>
      </c>
      <c r="BP55" s="48">
        <f t="shared" si="26"/>
        <v>65.666666666666671</v>
      </c>
      <c r="BQ55" s="49">
        <f t="shared" si="76"/>
        <v>0</v>
      </c>
      <c r="BR55" s="50">
        <f t="shared" si="16"/>
        <v>0</v>
      </c>
      <c r="BS55" s="51">
        <f t="shared" si="17"/>
        <v>-5.8779535948927331</v>
      </c>
      <c r="BT55" s="52">
        <f t="shared" si="68"/>
        <v>-0.11929588872118897</v>
      </c>
      <c r="BU55" s="58">
        <f t="shared" si="40"/>
        <v>-5.8779535948927331</v>
      </c>
      <c r="BW55" s="39" t="s">
        <v>40</v>
      </c>
      <c r="BX55" s="21">
        <f t="shared" si="69"/>
        <v>-0.204473452523388</v>
      </c>
      <c r="BY55" s="23">
        <f t="shared" si="41"/>
        <v>-10.096359635885376</v>
      </c>
      <c r="BZ55" s="36">
        <f>MAX('BATS 2023 TLFD'!S43,0.0001)</f>
        <v>1E-4</v>
      </c>
      <c r="CA55" s="45">
        <f>modeldata!H43/modeldata!H$156</f>
        <v>6.6666666666666671E-3</v>
      </c>
      <c r="CB55" s="48">
        <f t="shared" si="27"/>
        <v>65.666666666666671</v>
      </c>
      <c r="CC55" s="49">
        <f t="shared" si="77"/>
        <v>0</v>
      </c>
      <c r="CD55" s="50">
        <f t="shared" si="19"/>
        <v>0</v>
      </c>
      <c r="CE55" s="51">
        <f t="shared" si="20"/>
        <v>-10.096359635885376</v>
      </c>
      <c r="CF55" s="52">
        <f t="shared" si="70"/>
        <v>-0.20447345252338778</v>
      </c>
      <c r="CG55" s="58">
        <f t="shared" si="42"/>
        <v>-10.096359635885376</v>
      </c>
    </row>
    <row r="56" spans="1:85" x14ac:dyDescent="0.25">
      <c r="A56" s="81">
        <f t="shared" si="28"/>
        <v>40.5</v>
      </c>
      <c r="B56" s="83">
        <f t="shared" si="28"/>
        <v>40</v>
      </c>
      <c r="C56" s="39" t="s">
        <v>41</v>
      </c>
      <c r="D56" s="21">
        <f t="shared" si="57"/>
        <v>-0.21370826062045101</v>
      </c>
      <c r="E56" s="23">
        <f t="shared" si="29"/>
        <v>-10.380919766855968</v>
      </c>
      <c r="F56" s="36">
        <f>MAX('BATS 2023 TLFD'!M44,0.0001)</f>
        <v>1E-4</v>
      </c>
      <c r="G56" s="45">
        <f>modeldata!B44/modeldata!B$156</f>
        <v>6.6666666666666671E-3</v>
      </c>
      <c r="H56" s="48">
        <f t="shared" si="21"/>
        <v>65.666666666666671</v>
      </c>
      <c r="I56" s="49">
        <f t="shared" si="71"/>
        <v>0</v>
      </c>
      <c r="J56" s="50">
        <f t="shared" si="1"/>
        <v>0</v>
      </c>
      <c r="K56" s="51">
        <f t="shared" si="2"/>
        <v>-10.380919766855968</v>
      </c>
      <c r="L56" s="52">
        <f t="shared" si="58"/>
        <v>-0.21370826062045095</v>
      </c>
      <c r="M56" s="58">
        <f t="shared" si="30"/>
        <v>-10.380919766855968</v>
      </c>
      <c r="O56" s="39" t="s">
        <v>41</v>
      </c>
      <c r="P56" s="21">
        <f t="shared" si="59"/>
        <v>-0.18324871283782601</v>
      </c>
      <c r="Q56" s="23">
        <f t="shared" si="31"/>
        <v>-8.1103360654874006</v>
      </c>
      <c r="R56" s="36">
        <f>MAX('BATS 2023 TLFD'!N44,0.0001)</f>
        <v>8.8068276169830893E-3</v>
      </c>
      <c r="S56" s="45">
        <f>modeldata!C44/modeldata!C$156</f>
        <v>6.6666666666666671E-3</v>
      </c>
      <c r="T56" s="48">
        <f t="shared" si="22"/>
        <v>-0.24301156368603549</v>
      </c>
      <c r="U56" s="49">
        <f t="shared" si="72"/>
        <v>0</v>
      </c>
      <c r="V56" s="50">
        <f t="shared" si="4"/>
        <v>0</v>
      </c>
      <c r="W56" s="51">
        <f t="shared" si="5"/>
        <v>-8.1103360654874006</v>
      </c>
      <c r="X56" s="52">
        <f t="shared" si="60"/>
        <v>-0.18324871283782598</v>
      </c>
      <c r="Y56" s="58">
        <f t="shared" si="32"/>
        <v>-8.1103360654874006</v>
      </c>
      <c r="AA56" s="39" t="s">
        <v>41</v>
      </c>
      <c r="AB56" s="21">
        <f t="shared" si="61"/>
        <v>-0.10927638842708701</v>
      </c>
      <c r="AC56" s="23">
        <f t="shared" si="33"/>
        <v>-5.6411681131954561</v>
      </c>
      <c r="AD56" s="36">
        <f>MAX('BATS 2023 TLFD'!O44,0.0001)</f>
        <v>6.1484220743498119E-4</v>
      </c>
      <c r="AE56" s="45">
        <f>modeldata!D44/modeldata!D$156</f>
        <v>6.6666666666666671E-3</v>
      </c>
      <c r="AF56" s="48">
        <f t="shared" si="23"/>
        <v>9.8428903969993939</v>
      </c>
      <c r="AG56" s="49">
        <f t="shared" si="73"/>
        <v>0</v>
      </c>
      <c r="AH56" s="50">
        <f t="shared" si="7"/>
        <v>0</v>
      </c>
      <c r="AI56" s="51">
        <f t="shared" si="8"/>
        <v>-5.6411681131954561</v>
      </c>
      <c r="AJ56" s="52">
        <f t="shared" si="62"/>
        <v>-0.10927638842708705</v>
      </c>
      <c r="AK56" s="58">
        <f t="shared" si="34"/>
        <v>-5.6411681131954552</v>
      </c>
      <c r="AM56" s="39" t="s">
        <v>41</v>
      </c>
      <c r="AN56" s="21">
        <f t="shared" si="63"/>
        <v>-0.123766678676451</v>
      </c>
      <c r="AO56" s="23">
        <f t="shared" si="35"/>
        <v>-6.4111133919140881</v>
      </c>
      <c r="AP56" s="36">
        <f>MAX('BATS 2023 TLFD'!P44,0.0001)</f>
        <v>3.9854419800728425E-3</v>
      </c>
      <c r="AQ56" s="45">
        <f>modeldata!E44/modeldata!E$156</f>
        <v>6.6666666666666671E-3</v>
      </c>
      <c r="AR56" s="48">
        <f t="shared" si="24"/>
        <v>0.67275466560544928</v>
      </c>
      <c r="AS56" s="49">
        <f t="shared" si="74"/>
        <v>0</v>
      </c>
      <c r="AT56" s="50">
        <f t="shared" si="10"/>
        <v>0</v>
      </c>
      <c r="AU56" s="51">
        <f t="shared" si="11"/>
        <v>-6.4111133919140881</v>
      </c>
      <c r="AV56" s="52">
        <f t="shared" si="64"/>
        <v>-0.12376667867645086</v>
      </c>
      <c r="AW56" s="58">
        <f t="shared" si="36"/>
        <v>-6.4111133919140881</v>
      </c>
      <c r="AY56" s="39" t="s">
        <v>41</v>
      </c>
      <c r="AZ56" s="21">
        <f t="shared" si="65"/>
        <v>-0.13060067927808</v>
      </c>
      <c r="BA56" s="23">
        <f t="shared" si="37"/>
        <v>-7.1846874915240821</v>
      </c>
      <c r="BB56" s="36">
        <f>MAX('BATS 2023 TLFD'!Q44,0.0001)</f>
        <v>1.6986291808634166E-4</v>
      </c>
      <c r="BC56" s="45">
        <f>modeldata!F44/modeldata!F$156</f>
        <v>6.6666666666666671E-3</v>
      </c>
      <c r="BD56" s="48">
        <f t="shared" si="25"/>
        <v>38.247333919449019</v>
      </c>
      <c r="BE56" s="49">
        <f t="shared" si="75"/>
        <v>0</v>
      </c>
      <c r="BF56" s="50">
        <f t="shared" si="13"/>
        <v>0</v>
      </c>
      <c r="BG56" s="51">
        <f t="shared" si="14"/>
        <v>-7.1846874915240821</v>
      </c>
      <c r="BH56" s="52">
        <f t="shared" si="66"/>
        <v>-0.13060067927808028</v>
      </c>
      <c r="BI56" s="58">
        <f t="shared" si="38"/>
        <v>-7.1846874915240821</v>
      </c>
      <c r="BK56" s="39" t="s">
        <v>41</v>
      </c>
      <c r="BL56" s="21">
        <f t="shared" si="67"/>
        <v>-0.119295888721189</v>
      </c>
      <c r="BM56" s="23">
        <f t="shared" si="39"/>
        <v>-5.9972494836139223</v>
      </c>
      <c r="BN56" s="36">
        <f>MAX('BATS 2023 TLFD'!R44,0.0001)</f>
        <v>1E-4</v>
      </c>
      <c r="BO56" s="45">
        <f>modeldata!G44/modeldata!G$156</f>
        <v>6.6666666666666671E-3</v>
      </c>
      <c r="BP56" s="48">
        <f t="shared" si="26"/>
        <v>65.666666666666671</v>
      </c>
      <c r="BQ56" s="49">
        <f t="shared" si="76"/>
        <v>0</v>
      </c>
      <c r="BR56" s="50">
        <f t="shared" si="16"/>
        <v>0</v>
      </c>
      <c r="BS56" s="51">
        <f t="shared" si="17"/>
        <v>-5.9972494836139223</v>
      </c>
      <c r="BT56" s="52">
        <f t="shared" si="68"/>
        <v>-0.11929588872118897</v>
      </c>
      <c r="BU56" s="58">
        <f t="shared" si="40"/>
        <v>-5.9972494836139223</v>
      </c>
      <c r="BW56" s="39" t="s">
        <v>41</v>
      </c>
      <c r="BX56" s="21">
        <f t="shared" si="69"/>
        <v>-0.204473452523388</v>
      </c>
      <c r="BY56" s="23">
        <f t="shared" si="41"/>
        <v>-10.300833088408764</v>
      </c>
      <c r="BZ56" s="36">
        <f>MAX('BATS 2023 TLFD'!S44,0.0001)</f>
        <v>1E-4</v>
      </c>
      <c r="CA56" s="45">
        <f>modeldata!H44/modeldata!H$156</f>
        <v>6.6666666666666671E-3</v>
      </c>
      <c r="CB56" s="48">
        <f t="shared" si="27"/>
        <v>65.666666666666671</v>
      </c>
      <c r="CC56" s="49">
        <f t="shared" si="77"/>
        <v>0</v>
      </c>
      <c r="CD56" s="50">
        <f t="shared" si="19"/>
        <v>0</v>
      </c>
      <c r="CE56" s="51">
        <f t="shared" si="20"/>
        <v>-10.300833088408764</v>
      </c>
      <c r="CF56" s="52">
        <f t="shared" si="70"/>
        <v>-0.20447345252338778</v>
      </c>
      <c r="CG56" s="58">
        <f t="shared" si="42"/>
        <v>-10.300833088408764</v>
      </c>
    </row>
    <row r="57" spans="1:85" x14ac:dyDescent="0.25">
      <c r="A57" s="81">
        <f t="shared" si="28"/>
        <v>41.5</v>
      </c>
      <c r="B57" s="83">
        <f t="shared" si="28"/>
        <v>41</v>
      </c>
      <c r="C57" s="39" t="s">
        <v>42</v>
      </c>
      <c r="D57" s="21">
        <f t="shared" si="57"/>
        <v>-0.21370826062045101</v>
      </c>
      <c r="E57" s="23">
        <f t="shared" si="29"/>
        <v>-10.594628027476418</v>
      </c>
      <c r="F57" s="36">
        <f>MAX('BATS 2023 TLFD'!M45,0.0001)</f>
        <v>1E-4</v>
      </c>
      <c r="G57" s="45">
        <f>modeldata!B45/modeldata!B$156</f>
        <v>6.6666666666666671E-3</v>
      </c>
      <c r="H57" s="48">
        <f t="shared" si="21"/>
        <v>65.666666666666671</v>
      </c>
      <c r="I57" s="49">
        <f t="shared" si="71"/>
        <v>0</v>
      </c>
      <c r="J57" s="50">
        <f t="shared" si="1"/>
        <v>0</v>
      </c>
      <c r="K57" s="51">
        <f t="shared" si="2"/>
        <v>-10.594628027476418</v>
      </c>
      <c r="L57" s="52">
        <f t="shared" si="58"/>
        <v>-0.21370826062045095</v>
      </c>
      <c r="M57" s="58">
        <f t="shared" si="30"/>
        <v>-10.594628027476418</v>
      </c>
      <c r="O57" s="39" t="s">
        <v>42</v>
      </c>
      <c r="P57" s="21">
        <f t="shared" si="59"/>
        <v>-0.18324871283782601</v>
      </c>
      <c r="Q57" s="23">
        <f t="shared" si="31"/>
        <v>-8.2935847783252274</v>
      </c>
      <c r="R57" s="36">
        <f>MAX('BATS 2023 TLFD'!N45,0.0001)</f>
        <v>1E-4</v>
      </c>
      <c r="S57" s="45">
        <f>modeldata!C45/modeldata!C$156</f>
        <v>6.6666666666666671E-3</v>
      </c>
      <c r="T57" s="48">
        <f t="shared" si="22"/>
        <v>65.666666666666671</v>
      </c>
      <c r="U57" s="49">
        <f t="shared" si="72"/>
        <v>0</v>
      </c>
      <c r="V57" s="50">
        <f t="shared" si="4"/>
        <v>0</v>
      </c>
      <c r="W57" s="51">
        <f t="shared" si="5"/>
        <v>-8.2935847783252274</v>
      </c>
      <c r="X57" s="52">
        <f t="shared" si="60"/>
        <v>-0.18324871283782598</v>
      </c>
      <c r="Y57" s="58">
        <f t="shared" si="32"/>
        <v>-8.2935847783252274</v>
      </c>
      <c r="AA57" s="39" t="s">
        <v>42</v>
      </c>
      <c r="AB57" s="21">
        <f t="shared" si="61"/>
        <v>-0.10927638842708701</v>
      </c>
      <c r="AC57" s="23">
        <f t="shared" si="33"/>
        <v>-5.7504445016225434</v>
      </c>
      <c r="AD57" s="36">
        <f>MAX('BATS 2023 TLFD'!O45,0.0001)</f>
        <v>1E-4</v>
      </c>
      <c r="AE57" s="45">
        <f>modeldata!D45/modeldata!D$156</f>
        <v>6.6666666666666671E-3</v>
      </c>
      <c r="AF57" s="48">
        <f t="shared" si="23"/>
        <v>65.666666666666671</v>
      </c>
      <c r="AG57" s="49">
        <f t="shared" si="73"/>
        <v>0</v>
      </c>
      <c r="AH57" s="50">
        <f t="shared" si="7"/>
        <v>0</v>
      </c>
      <c r="AI57" s="51">
        <f t="shared" si="8"/>
        <v>-5.7504445016225434</v>
      </c>
      <c r="AJ57" s="52">
        <f t="shared" si="62"/>
        <v>-0.10927638842708705</v>
      </c>
      <c r="AK57" s="58">
        <f t="shared" si="34"/>
        <v>-5.7504445016225425</v>
      </c>
      <c r="AM57" s="39" t="s">
        <v>42</v>
      </c>
      <c r="AN57" s="21">
        <f t="shared" si="63"/>
        <v>-0.123766678676451</v>
      </c>
      <c r="AO57" s="23">
        <f t="shared" si="35"/>
        <v>-6.534880070590539</v>
      </c>
      <c r="AP57" s="36">
        <f>MAX('BATS 2023 TLFD'!P45,0.0001)</f>
        <v>1E-4</v>
      </c>
      <c r="AQ57" s="45">
        <f>modeldata!E45/modeldata!E$156</f>
        <v>6.6666666666666671E-3</v>
      </c>
      <c r="AR57" s="48">
        <f t="shared" si="24"/>
        <v>65.666666666666671</v>
      </c>
      <c r="AS57" s="49">
        <f t="shared" si="74"/>
        <v>0</v>
      </c>
      <c r="AT57" s="50">
        <f t="shared" si="10"/>
        <v>0</v>
      </c>
      <c r="AU57" s="51">
        <f t="shared" si="11"/>
        <v>-6.534880070590539</v>
      </c>
      <c r="AV57" s="52">
        <f t="shared" si="64"/>
        <v>-0.12376667867645086</v>
      </c>
      <c r="AW57" s="58">
        <f t="shared" si="36"/>
        <v>-6.534880070590539</v>
      </c>
      <c r="AY57" s="39" t="s">
        <v>42</v>
      </c>
      <c r="AZ57" s="21">
        <f t="shared" si="65"/>
        <v>-0.13060067927808</v>
      </c>
      <c r="BA57" s="23">
        <f t="shared" si="37"/>
        <v>-7.3152881708021624</v>
      </c>
      <c r="BB57" s="36">
        <f>MAX('BATS 2023 TLFD'!Q45,0.0001)</f>
        <v>1E-4</v>
      </c>
      <c r="BC57" s="45">
        <f>modeldata!F45/modeldata!F$156</f>
        <v>6.6666666666666671E-3</v>
      </c>
      <c r="BD57" s="48">
        <f t="shared" si="25"/>
        <v>65.666666666666671</v>
      </c>
      <c r="BE57" s="49">
        <f t="shared" si="75"/>
        <v>0</v>
      </c>
      <c r="BF57" s="50">
        <f t="shared" si="13"/>
        <v>0</v>
      </c>
      <c r="BG57" s="51">
        <f t="shared" si="14"/>
        <v>-7.3152881708021624</v>
      </c>
      <c r="BH57" s="52">
        <f t="shared" si="66"/>
        <v>-0.13060067927808028</v>
      </c>
      <c r="BI57" s="58">
        <f t="shared" si="38"/>
        <v>-7.3152881708021624</v>
      </c>
      <c r="BK57" s="39" t="s">
        <v>42</v>
      </c>
      <c r="BL57" s="21">
        <f t="shared" si="67"/>
        <v>-0.119295888721189</v>
      </c>
      <c r="BM57" s="23">
        <f t="shared" si="39"/>
        <v>-6.1165453723351115</v>
      </c>
      <c r="BN57" s="36">
        <f>MAX('BATS 2023 TLFD'!R45,0.0001)</f>
        <v>1E-4</v>
      </c>
      <c r="BO57" s="45">
        <f>modeldata!G45/modeldata!G$156</f>
        <v>6.6666666666666671E-3</v>
      </c>
      <c r="BP57" s="48">
        <f t="shared" si="26"/>
        <v>65.666666666666671</v>
      </c>
      <c r="BQ57" s="49">
        <f t="shared" si="76"/>
        <v>0</v>
      </c>
      <c r="BR57" s="50">
        <f t="shared" si="16"/>
        <v>0</v>
      </c>
      <c r="BS57" s="51">
        <f t="shared" si="17"/>
        <v>-6.1165453723351115</v>
      </c>
      <c r="BT57" s="52">
        <f t="shared" si="68"/>
        <v>-0.11929588872118897</v>
      </c>
      <c r="BU57" s="58">
        <f t="shared" si="40"/>
        <v>-6.1165453723351115</v>
      </c>
      <c r="BW57" s="39" t="s">
        <v>42</v>
      </c>
      <c r="BX57" s="21">
        <f t="shared" si="69"/>
        <v>-0.204473452523388</v>
      </c>
      <c r="BY57" s="23">
        <f t="shared" si="41"/>
        <v>-10.505306540932152</v>
      </c>
      <c r="BZ57" s="36">
        <f>MAX('BATS 2023 TLFD'!S45,0.0001)</f>
        <v>1E-4</v>
      </c>
      <c r="CA57" s="45">
        <f>modeldata!H45/modeldata!H$156</f>
        <v>6.6666666666666671E-3</v>
      </c>
      <c r="CB57" s="48">
        <f t="shared" si="27"/>
        <v>65.666666666666671</v>
      </c>
      <c r="CC57" s="49">
        <f t="shared" si="77"/>
        <v>0</v>
      </c>
      <c r="CD57" s="50">
        <f t="shared" si="19"/>
        <v>0</v>
      </c>
      <c r="CE57" s="51">
        <f t="shared" si="20"/>
        <v>-10.505306540932152</v>
      </c>
      <c r="CF57" s="52">
        <f t="shared" si="70"/>
        <v>-0.20447345252338778</v>
      </c>
      <c r="CG57" s="58">
        <f t="shared" si="42"/>
        <v>-10.505306540932152</v>
      </c>
    </row>
    <row r="58" spans="1:85" x14ac:dyDescent="0.25">
      <c r="A58" s="81">
        <f t="shared" si="28"/>
        <v>42.5</v>
      </c>
      <c r="B58" s="83">
        <f t="shared" si="28"/>
        <v>42</v>
      </c>
      <c r="C58" s="39" t="s">
        <v>43</v>
      </c>
      <c r="D58" s="21">
        <f t="shared" si="57"/>
        <v>-0.21370826062045101</v>
      </c>
      <c r="E58" s="23">
        <f t="shared" si="29"/>
        <v>-10.808336288096868</v>
      </c>
      <c r="F58" s="36">
        <f>MAX('BATS 2023 TLFD'!M46,0.0001)</f>
        <v>1E-4</v>
      </c>
      <c r="G58" s="45">
        <f>modeldata!B46/modeldata!B$156</f>
        <v>6.6666666666666671E-3</v>
      </c>
      <c r="H58" s="48">
        <f t="shared" si="21"/>
        <v>65.666666666666671</v>
      </c>
      <c r="I58" s="49">
        <f t="shared" si="71"/>
        <v>0</v>
      </c>
      <c r="J58" s="50">
        <f t="shared" si="1"/>
        <v>0</v>
      </c>
      <c r="K58" s="51">
        <f t="shared" si="2"/>
        <v>-10.808336288096868</v>
      </c>
      <c r="L58" s="52">
        <f t="shared" si="58"/>
        <v>-0.21370826062045095</v>
      </c>
      <c r="M58" s="58">
        <f t="shared" si="30"/>
        <v>-10.808336288096868</v>
      </c>
      <c r="O58" s="39" t="s">
        <v>43</v>
      </c>
      <c r="P58" s="21">
        <f t="shared" si="59"/>
        <v>-0.18324871283782601</v>
      </c>
      <c r="Q58" s="23">
        <f t="shared" si="31"/>
        <v>-8.4768334911630543</v>
      </c>
      <c r="R58" s="36">
        <f>MAX('BATS 2023 TLFD'!N46,0.0001)</f>
        <v>1E-4</v>
      </c>
      <c r="S58" s="45">
        <f>modeldata!C46/modeldata!C$156</f>
        <v>6.6666666666666671E-3</v>
      </c>
      <c r="T58" s="48">
        <f t="shared" si="22"/>
        <v>65.666666666666671</v>
      </c>
      <c r="U58" s="49">
        <f t="shared" si="72"/>
        <v>0</v>
      </c>
      <c r="V58" s="50">
        <f t="shared" si="4"/>
        <v>0</v>
      </c>
      <c r="W58" s="51">
        <f t="shared" si="5"/>
        <v>-8.4768334911630543</v>
      </c>
      <c r="X58" s="52">
        <f t="shared" si="60"/>
        <v>-0.18324871283782598</v>
      </c>
      <c r="Y58" s="58">
        <f t="shared" si="32"/>
        <v>-8.4768334911630543</v>
      </c>
      <c r="AA58" s="39" t="s">
        <v>43</v>
      </c>
      <c r="AB58" s="21">
        <f t="shared" si="61"/>
        <v>-0.10927638842708701</v>
      </c>
      <c r="AC58" s="23">
        <f t="shared" si="33"/>
        <v>-5.8597208900496307</v>
      </c>
      <c r="AD58" s="36">
        <f>MAX('BATS 2023 TLFD'!O46,0.0001)</f>
        <v>7.1962328068313924E-4</v>
      </c>
      <c r="AE58" s="45">
        <f>modeldata!D46/modeldata!D$156</f>
        <v>6.6666666666666671E-3</v>
      </c>
      <c r="AF58" s="48">
        <f t="shared" si="23"/>
        <v>8.2641064368262143</v>
      </c>
      <c r="AG58" s="49">
        <f t="shared" si="73"/>
        <v>0</v>
      </c>
      <c r="AH58" s="50">
        <f t="shared" si="7"/>
        <v>0</v>
      </c>
      <c r="AI58" s="51">
        <f t="shared" si="8"/>
        <v>-5.8597208900496307</v>
      </c>
      <c r="AJ58" s="52">
        <f t="shared" si="62"/>
        <v>-0.10927638842708705</v>
      </c>
      <c r="AK58" s="58">
        <f t="shared" si="34"/>
        <v>-5.8597208900496298</v>
      </c>
      <c r="AM58" s="39" t="s">
        <v>43</v>
      </c>
      <c r="AN58" s="21">
        <f t="shared" si="63"/>
        <v>-0.123766678676451</v>
      </c>
      <c r="AO58" s="23">
        <f t="shared" si="35"/>
        <v>-6.6586467492669899</v>
      </c>
      <c r="AP58" s="36">
        <f>MAX('BATS 2023 TLFD'!P46,0.0001)</f>
        <v>2.3870412323615591E-4</v>
      </c>
      <c r="AQ58" s="45">
        <f>modeldata!E46/modeldata!E$156</f>
        <v>6.6666666666666671E-3</v>
      </c>
      <c r="AR58" s="48">
        <f t="shared" si="24"/>
        <v>26.928577756787085</v>
      </c>
      <c r="AS58" s="49">
        <f t="shared" si="74"/>
        <v>0</v>
      </c>
      <c r="AT58" s="50">
        <f t="shared" si="10"/>
        <v>0</v>
      </c>
      <c r="AU58" s="51">
        <f t="shared" si="11"/>
        <v>-6.6586467492669899</v>
      </c>
      <c r="AV58" s="52">
        <f t="shared" si="64"/>
        <v>-0.12376667867645086</v>
      </c>
      <c r="AW58" s="58">
        <f t="shared" si="36"/>
        <v>-6.6586467492669899</v>
      </c>
      <c r="AY58" s="39" t="s">
        <v>43</v>
      </c>
      <c r="AZ58" s="21">
        <f t="shared" si="65"/>
        <v>-0.13060067927808</v>
      </c>
      <c r="BA58" s="23">
        <f t="shared" si="37"/>
        <v>-7.4458888500802427</v>
      </c>
      <c r="BB58" s="36">
        <f>MAX('BATS 2023 TLFD'!Q46,0.0001)</f>
        <v>2.1046686200258631E-4</v>
      </c>
      <c r="BC58" s="45">
        <f>modeldata!F46/modeldata!F$156</f>
        <v>6.6666666666666671E-3</v>
      </c>
      <c r="BD58" s="48">
        <f t="shared" si="25"/>
        <v>30.675612033331614</v>
      </c>
      <c r="BE58" s="49">
        <f t="shared" si="75"/>
        <v>0</v>
      </c>
      <c r="BF58" s="50">
        <f t="shared" si="13"/>
        <v>0</v>
      </c>
      <c r="BG58" s="51">
        <f t="shared" si="14"/>
        <v>-7.4458888500802427</v>
      </c>
      <c r="BH58" s="52">
        <f t="shared" si="66"/>
        <v>-0.13060067927808028</v>
      </c>
      <c r="BI58" s="58">
        <f t="shared" si="38"/>
        <v>-7.4458888500802427</v>
      </c>
      <c r="BK58" s="39" t="s">
        <v>43</v>
      </c>
      <c r="BL58" s="21">
        <f t="shared" si="67"/>
        <v>-0.119295888721189</v>
      </c>
      <c r="BM58" s="23">
        <f t="shared" si="39"/>
        <v>-6.2358412610563008</v>
      </c>
      <c r="BN58" s="36">
        <f>MAX('BATS 2023 TLFD'!R46,0.0001)</f>
        <v>1E-4</v>
      </c>
      <c r="BO58" s="45">
        <f>modeldata!G46/modeldata!G$156</f>
        <v>6.6666666666666671E-3</v>
      </c>
      <c r="BP58" s="48">
        <f t="shared" si="26"/>
        <v>65.666666666666671</v>
      </c>
      <c r="BQ58" s="49">
        <f t="shared" si="76"/>
        <v>0</v>
      </c>
      <c r="BR58" s="50">
        <f t="shared" si="16"/>
        <v>0</v>
      </c>
      <c r="BS58" s="51">
        <f t="shared" si="17"/>
        <v>-6.2358412610563008</v>
      </c>
      <c r="BT58" s="52">
        <f t="shared" si="68"/>
        <v>-0.11929588872118897</v>
      </c>
      <c r="BU58" s="58">
        <f t="shared" si="40"/>
        <v>-6.2358412610563008</v>
      </c>
      <c r="BW58" s="39" t="s">
        <v>43</v>
      </c>
      <c r="BX58" s="21">
        <f t="shared" si="69"/>
        <v>-0.204473452523388</v>
      </c>
      <c r="BY58" s="23">
        <f t="shared" si="41"/>
        <v>-10.709779993455539</v>
      </c>
      <c r="BZ58" s="36">
        <f>MAX('BATS 2023 TLFD'!S46,0.0001)</f>
        <v>1E-4</v>
      </c>
      <c r="CA58" s="45">
        <f>modeldata!H46/modeldata!H$156</f>
        <v>6.6666666666666671E-3</v>
      </c>
      <c r="CB58" s="48">
        <f t="shared" si="27"/>
        <v>65.666666666666671</v>
      </c>
      <c r="CC58" s="49">
        <f t="shared" si="77"/>
        <v>0</v>
      </c>
      <c r="CD58" s="50">
        <f t="shared" si="19"/>
        <v>0</v>
      </c>
      <c r="CE58" s="51">
        <f t="shared" si="20"/>
        <v>-10.709779993455539</v>
      </c>
      <c r="CF58" s="52">
        <f t="shared" si="70"/>
        <v>-0.20447345252338778</v>
      </c>
      <c r="CG58" s="58">
        <f t="shared" si="42"/>
        <v>-10.709779993455539</v>
      </c>
    </row>
    <row r="59" spans="1:85" x14ac:dyDescent="0.25">
      <c r="A59" s="81">
        <f t="shared" si="28"/>
        <v>43.5</v>
      </c>
      <c r="B59" s="83">
        <f t="shared" si="28"/>
        <v>43</v>
      </c>
      <c r="C59" s="39" t="s">
        <v>44</v>
      </c>
      <c r="D59" s="21">
        <f t="shared" si="57"/>
        <v>-0.21370826062045101</v>
      </c>
      <c r="E59" s="23">
        <f t="shared" si="29"/>
        <v>-11.022044548717318</v>
      </c>
      <c r="F59" s="36">
        <f>MAX('BATS 2023 TLFD'!M47,0.0001)</f>
        <v>1E-4</v>
      </c>
      <c r="G59" s="45">
        <f>modeldata!B47/modeldata!B$156</f>
        <v>6.6666666666666671E-3</v>
      </c>
      <c r="H59" s="48">
        <f t="shared" si="21"/>
        <v>65.666666666666671</v>
      </c>
      <c r="I59" s="49">
        <f t="shared" si="71"/>
        <v>0</v>
      </c>
      <c r="J59" s="50">
        <f t="shared" si="1"/>
        <v>0</v>
      </c>
      <c r="K59" s="51">
        <f t="shared" si="2"/>
        <v>-11.022044548717318</v>
      </c>
      <c r="L59" s="52">
        <f t="shared" si="58"/>
        <v>-0.21370826062045095</v>
      </c>
      <c r="M59" s="58">
        <f t="shared" si="30"/>
        <v>-11.022044548717318</v>
      </c>
      <c r="O59" s="39" t="s">
        <v>44</v>
      </c>
      <c r="P59" s="21">
        <f t="shared" si="59"/>
        <v>-0.18324871283782601</v>
      </c>
      <c r="Q59" s="23">
        <f t="shared" si="31"/>
        <v>-8.6600822040008811</v>
      </c>
      <c r="R59" s="36">
        <f>MAX('BATS 2023 TLFD'!N47,0.0001)</f>
        <v>1E-4</v>
      </c>
      <c r="S59" s="45">
        <f>modeldata!C47/modeldata!C$156</f>
        <v>6.6666666666666671E-3</v>
      </c>
      <c r="T59" s="48">
        <f t="shared" si="22"/>
        <v>65.666666666666671</v>
      </c>
      <c r="U59" s="49">
        <f t="shared" si="72"/>
        <v>0</v>
      </c>
      <c r="V59" s="50">
        <f t="shared" si="4"/>
        <v>0</v>
      </c>
      <c r="W59" s="51">
        <f t="shared" si="5"/>
        <v>-8.6600822040008811</v>
      </c>
      <c r="X59" s="52">
        <f t="shared" si="60"/>
        <v>-0.18324871283782598</v>
      </c>
      <c r="Y59" s="58">
        <f t="shared" si="32"/>
        <v>-8.6600822040008811</v>
      </c>
      <c r="AA59" s="39" t="s">
        <v>44</v>
      </c>
      <c r="AB59" s="21">
        <f t="shared" si="61"/>
        <v>-0.10927638842708701</v>
      </c>
      <c r="AC59" s="23">
        <f t="shared" si="33"/>
        <v>-5.968997278476718</v>
      </c>
      <c r="AD59" s="36">
        <f>MAX('BATS 2023 TLFD'!O47,0.0001)</f>
        <v>1E-4</v>
      </c>
      <c r="AE59" s="45">
        <f>modeldata!D47/modeldata!D$156</f>
        <v>6.6666666666666671E-3</v>
      </c>
      <c r="AF59" s="48">
        <f t="shared" si="23"/>
        <v>65.666666666666671</v>
      </c>
      <c r="AG59" s="49">
        <f t="shared" si="73"/>
        <v>0</v>
      </c>
      <c r="AH59" s="50">
        <f t="shared" si="7"/>
        <v>0</v>
      </c>
      <c r="AI59" s="51">
        <f t="shared" si="8"/>
        <v>-5.968997278476718</v>
      </c>
      <c r="AJ59" s="52">
        <f t="shared" si="62"/>
        <v>-0.10927638842708705</v>
      </c>
      <c r="AK59" s="58">
        <f t="shared" si="34"/>
        <v>-5.9689972784767171</v>
      </c>
      <c r="AM59" s="39" t="s">
        <v>44</v>
      </c>
      <c r="AN59" s="21">
        <f t="shared" si="63"/>
        <v>-0.123766678676451</v>
      </c>
      <c r="AO59" s="23">
        <f t="shared" si="35"/>
        <v>-6.7824134279434407</v>
      </c>
      <c r="AP59" s="36">
        <f>MAX('BATS 2023 TLFD'!P47,0.0001)</f>
        <v>5.740530883108501E-4</v>
      </c>
      <c r="AQ59" s="45">
        <f>modeldata!E47/modeldata!E$156</f>
        <v>6.6666666666666671E-3</v>
      </c>
      <c r="AR59" s="48">
        <f t="shared" si="24"/>
        <v>10.613327760823164</v>
      </c>
      <c r="AS59" s="49">
        <f t="shared" si="74"/>
        <v>0</v>
      </c>
      <c r="AT59" s="50">
        <f t="shared" si="10"/>
        <v>0</v>
      </c>
      <c r="AU59" s="51">
        <f t="shared" si="11"/>
        <v>-6.7824134279434407</v>
      </c>
      <c r="AV59" s="52">
        <f t="shared" si="64"/>
        <v>-0.12376667867645086</v>
      </c>
      <c r="AW59" s="58">
        <f t="shared" si="36"/>
        <v>-6.7824134279434407</v>
      </c>
      <c r="AY59" s="39" t="s">
        <v>44</v>
      </c>
      <c r="AZ59" s="21">
        <f t="shared" si="65"/>
        <v>-0.13060067927808</v>
      </c>
      <c r="BA59" s="23">
        <f t="shared" si="37"/>
        <v>-7.576489529358323</v>
      </c>
      <c r="BB59" s="36">
        <f>MAX('BATS 2023 TLFD'!Q47,0.0001)</f>
        <v>1E-4</v>
      </c>
      <c r="BC59" s="45">
        <f>modeldata!F47/modeldata!F$156</f>
        <v>6.6666666666666671E-3</v>
      </c>
      <c r="BD59" s="48">
        <f t="shared" si="25"/>
        <v>65.666666666666671</v>
      </c>
      <c r="BE59" s="49">
        <f t="shared" si="75"/>
        <v>0</v>
      </c>
      <c r="BF59" s="50">
        <f t="shared" si="13"/>
        <v>0</v>
      </c>
      <c r="BG59" s="51">
        <f t="shared" si="14"/>
        <v>-7.576489529358323</v>
      </c>
      <c r="BH59" s="52">
        <f t="shared" si="66"/>
        <v>-0.13060067927808028</v>
      </c>
      <c r="BI59" s="58">
        <f t="shared" si="38"/>
        <v>-7.576489529358323</v>
      </c>
      <c r="BK59" s="39" t="s">
        <v>44</v>
      </c>
      <c r="BL59" s="21">
        <f t="shared" si="67"/>
        <v>-0.119295888721189</v>
      </c>
      <c r="BM59" s="23">
        <f t="shared" si="39"/>
        <v>-6.35513714977749</v>
      </c>
      <c r="BN59" s="36">
        <f>MAX('BATS 2023 TLFD'!R47,0.0001)</f>
        <v>1.0840913840688578E-3</v>
      </c>
      <c r="BO59" s="45">
        <f>modeldata!G47/modeldata!G$156</f>
        <v>6.6666666666666671E-3</v>
      </c>
      <c r="BP59" s="48">
        <f t="shared" si="26"/>
        <v>5.1495430778584836</v>
      </c>
      <c r="BQ59" s="49">
        <f t="shared" si="76"/>
        <v>0</v>
      </c>
      <c r="BR59" s="50">
        <f t="shared" si="16"/>
        <v>0</v>
      </c>
      <c r="BS59" s="51">
        <f t="shared" si="17"/>
        <v>-6.35513714977749</v>
      </c>
      <c r="BT59" s="52">
        <f t="shared" si="68"/>
        <v>-0.11929588872118897</v>
      </c>
      <c r="BU59" s="58">
        <f t="shared" si="40"/>
        <v>-6.35513714977749</v>
      </c>
      <c r="BW59" s="39" t="s">
        <v>44</v>
      </c>
      <c r="BX59" s="21">
        <f t="shared" si="69"/>
        <v>-0.204473452523388</v>
      </c>
      <c r="BY59" s="23">
        <f t="shared" si="41"/>
        <v>-10.914253445978927</v>
      </c>
      <c r="BZ59" s="36">
        <f>MAX('BATS 2023 TLFD'!S47,0.0001)</f>
        <v>1E-4</v>
      </c>
      <c r="CA59" s="45">
        <f>modeldata!H47/modeldata!H$156</f>
        <v>6.6666666666666671E-3</v>
      </c>
      <c r="CB59" s="48">
        <f t="shared" si="27"/>
        <v>65.666666666666671</v>
      </c>
      <c r="CC59" s="49">
        <f t="shared" si="77"/>
        <v>0</v>
      </c>
      <c r="CD59" s="50">
        <f t="shared" si="19"/>
        <v>0</v>
      </c>
      <c r="CE59" s="51">
        <f t="shared" si="20"/>
        <v>-10.914253445978927</v>
      </c>
      <c r="CF59" s="52">
        <f t="shared" si="70"/>
        <v>-0.20447345252338778</v>
      </c>
      <c r="CG59" s="58">
        <f t="shared" si="42"/>
        <v>-10.914253445978927</v>
      </c>
    </row>
    <row r="60" spans="1:85" x14ac:dyDescent="0.25">
      <c r="A60" s="81">
        <f t="shared" si="28"/>
        <v>44.5</v>
      </c>
      <c r="B60" s="83">
        <f t="shared" si="28"/>
        <v>44</v>
      </c>
      <c r="C60" s="39" t="s">
        <v>45</v>
      </c>
      <c r="D60" s="21">
        <f t="shared" si="57"/>
        <v>-0.21370826062045101</v>
      </c>
      <c r="E60" s="23">
        <f t="shared" si="29"/>
        <v>-11.235752809337768</v>
      </c>
      <c r="F60" s="36">
        <f>MAX('BATS 2023 TLFD'!M48,0.0001)</f>
        <v>1E-4</v>
      </c>
      <c r="G60" s="45">
        <f>modeldata!B48/modeldata!B$156</f>
        <v>6.6666666666666671E-3</v>
      </c>
      <c r="H60" s="48">
        <f t="shared" si="21"/>
        <v>65.666666666666671</v>
      </c>
      <c r="I60" s="49">
        <f t="shared" si="71"/>
        <v>0</v>
      </c>
      <c r="J60" s="50">
        <f t="shared" si="1"/>
        <v>0</v>
      </c>
      <c r="K60" s="51">
        <f t="shared" si="2"/>
        <v>-11.235752809337768</v>
      </c>
      <c r="L60" s="52">
        <f t="shared" si="58"/>
        <v>-0.21370826062045095</v>
      </c>
      <c r="M60" s="58">
        <f t="shared" si="30"/>
        <v>-11.235752809337768</v>
      </c>
      <c r="O60" s="39" t="s">
        <v>45</v>
      </c>
      <c r="P60" s="21">
        <f t="shared" si="59"/>
        <v>-0.18324871283782601</v>
      </c>
      <c r="Q60" s="23">
        <f t="shared" si="31"/>
        <v>-8.843330916838708</v>
      </c>
      <c r="R60" s="36">
        <f>MAX('BATS 2023 TLFD'!N48,0.0001)</f>
        <v>1E-4</v>
      </c>
      <c r="S60" s="45">
        <f>modeldata!C48/modeldata!C$156</f>
        <v>6.6666666666666671E-3</v>
      </c>
      <c r="T60" s="48">
        <f t="shared" si="22"/>
        <v>65.666666666666671</v>
      </c>
      <c r="U60" s="49">
        <f t="shared" si="72"/>
        <v>0</v>
      </c>
      <c r="V60" s="50">
        <f t="shared" si="4"/>
        <v>0</v>
      </c>
      <c r="W60" s="51">
        <f t="shared" si="5"/>
        <v>-8.843330916838708</v>
      </c>
      <c r="X60" s="52">
        <f t="shared" si="60"/>
        <v>-0.18324871283782598</v>
      </c>
      <c r="Y60" s="58">
        <f t="shared" si="32"/>
        <v>-8.843330916838708</v>
      </c>
      <c r="AA60" s="39" t="s">
        <v>45</v>
      </c>
      <c r="AB60" s="21">
        <f t="shared" si="61"/>
        <v>-0.10927638842708701</v>
      </c>
      <c r="AC60" s="23">
        <f t="shared" si="33"/>
        <v>-6.0782736669038053</v>
      </c>
      <c r="AD60" s="36">
        <f>MAX('BATS 2023 TLFD'!O48,0.0001)</f>
        <v>1E-4</v>
      </c>
      <c r="AE60" s="45">
        <f>modeldata!D48/modeldata!D$156</f>
        <v>6.6666666666666671E-3</v>
      </c>
      <c r="AF60" s="48">
        <f t="shared" si="23"/>
        <v>65.666666666666671</v>
      </c>
      <c r="AG60" s="49">
        <f t="shared" si="73"/>
        <v>0</v>
      </c>
      <c r="AH60" s="50">
        <f t="shared" si="7"/>
        <v>0</v>
      </c>
      <c r="AI60" s="51">
        <f t="shared" si="8"/>
        <v>-6.0782736669038053</v>
      </c>
      <c r="AJ60" s="52">
        <f t="shared" si="62"/>
        <v>-0.10927638842708705</v>
      </c>
      <c r="AK60" s="58">
        <f t="shared" si="34"/>
        <v>-6.0782736669038044</v>
      </c>
      <c r="AM60" s="39" t="s">
        <v>45</v>
      </c>
      <c r="AN60" s="21">
        <f t="shared" si="63"/>
        <v>-0.123766678676451</v>
      </c>
      <c r="AO60" s="23">
        <f t="shared" si="35"/>
        <v>-6.9061801066198916</v>
      </c>
      <c r="AP60" s="36">
        <f>MAX('BATS 2023 TLFD'!P48,0.0001)</f>
        <v>2.4467385609873524E-4</v>
      </c>
      <c r="AQ60" s="45">
        <f>modeldata!E48/modeldata!E$156</f>
        <v>6.6666666666666671E-3</v>
      </c>
      <c r="AR60" s="48">
        <f t="shared" si="24"/>
        <v>26.247155756503926</v>
      </c>
      <c r="AS60" s="49">
        <f t="shared" si="74"/>
        <v>0</v>
      </c>
      <c r="AT60" s="50">
        <f t="shared" si="10"/>
        <v>0</v>
      </c>
      <c r="AU60" s="51">
        <f t="shared" si="11"/>
        <v>-6.9061801066198916</v>
      </c>
      <c r="AV60" s="52">
        <f t="shared" si="64"/>
        <v>-0.12376667867645086</v>
      </c>
      <c r="AW60" s="58">
        <f t="shared" si="36"/>
        <v>-6.9061801066198916</v>
      </c>
      <c r="AY60" s="39" t="s">
        <v>45</v>
      </c>
      <c r="AZ60" s="21">
        <f t="shared" si="65"/>
        <v>-0.13060067927808</v>
      </c>
      <c r="BA60" s="23">
        <f t="shared" si="37"/>
        <v>-7.7070902086364033</v>
      </c>
      <c r="BB60" s="36">
        <f>MAX('BATS 2023 TLFD'!Q48,0.0001)</f>
        <v>4.7756354654775998E-4</v>
      </c>
      <c r="BC60" s="45">
        <f>modeldata!F48/modeldata!F$156</f>
        <v>6.6666666666666671E-3</v>
      </c>
      <c r="BD60" s="48">
        <f t="shared" si="25"/>
        <v>12.959747796621135</v>
      </c>
      <c r="BE60" s="49">
        <f t="shared" si="75"/>
        <v>0</v>
      </c>
      <c r="BF60" s="50">
        <f t="shared" si="13"/>
        <v>0</v>
      </c>
      <c r="BG60" s="51">
        <f t="shared" si="14"/>
        <v>-7.7070902086364033</v>
      </c>
      <c r="BH60" s="52">
        <f t="shared" si="66"/>
        <v>-0.13060067927808028</v>
      </c>
      <c r="BI60" s="58">
        <f t="shared" si="38"/>
        <v>-7.7070902086364033</v>
      </c>
      <c r="BK60" s="39" t="s">
        <v>45</v>
      </c>
      <c r="BL60" s="21">
        <f t="shared" si="67"/>
        <v>-0.119295888721189</v>
      </c>
      <c r="BM60" s="23">
        <f t="shared" si="39"/>
        <v>-6.4744330384986792</v>
      </c>
      <c r="BN60" s="36">
        <f>MAX('BATS 2023 TLFD'!R48,0.0001)</f>
        <v>1.967178922358775E-4</v>
      </c>
      <c r="BO60" s="45">
        <f>modeldata!G48/modeldata!G$156</f>
        <v>6.6666666666666671E-3</v>
      </c>
      <c r="BP60" s="48">
        <f t="shared" si="26"/>
        <v>32.889477926455733</v>
      </c>
      <c r="BQ60" s="49">
        <f t="shared" si="76"/>
        <v>0</v>
      </c>
      <c r="BR60" s="50">
        <f t="shared" si="16"/>
        <v>0</v>
      </c>
      <c r="BS60" s="51">
        <f t="shared" si="17"/>
        <v>-6.4744330384986792</v>
      </c>
      <c r="BT60" s="52">
        <f t="shared" si="68"/>
        <v>-0.11929588872118897</v>
      </c>
      <c r="BU60" s="58">
        <f t="shared" si="40"/>
        <v>-6.4744330384986792</v>
      </c>
      <c r="BW60" s="39" t="s">
        <v>45</v>
      </c>
      <c r="BX60" s="21">
        <f t="shared" si="69"/>
        <v>-0.204473452523388</v>
      </c>
      <c r="BY60" s="23">
        <f t="shared" si="41"/>
        <v>-11.118726898502315</v>
      </c>
      <c r="BZ60" s="36">
        <f>MAX('BATS 2023 TLFD'!S48,0.0001)</f>
        <v>1E-4</v>
      </c>
      <c r="CA60" s="45">
        <f>modeldata!H48/modeldata!H$156</f>
        <v>6.6666666666666671E-3</v>
      </c>
      <c r="CB60" s="48">
        <f t="shared" si="27"/>
        <v>65.666666666666671</v>
      </c>
      <c r="CC60" s="49">
        <f t="shared" si="77"/>
        <v>0</v>
      </c>
      <c r="CD60" s="50">
        <f t="shared" si="19"/>
        <v>0</v>
      </c>
      <c r="CE60" s="51">
        <f t="shared" si="20"/>
        <v>-11.118726898502315</v>
      </c>
      <c r="CF60" s="52">
        <f t="shared" si="70"/>
        <v>-0.20447345252338778</v>
      </c>
      <c r="CG60" s="58">
        <f t="shared" si="42"/>
        <v>-11.118726898502315</v>
      </c>
    </row>
    <row r="61" spans="1:85" x14ac:dyDescent="0.25">
      <c r="A61" s="81">
        <f t="shared" si="28"/>
        <v>45.5</v>
      </c>
      <c r="B61" s="83">
        <f t="shared" si="28"/>
        <v>45</v>
      </c>
      <c r="C61" s="39" t="s">
        <v>46</v>
      </c>
      <c r="D61" s="21">
        <f t="shared" si="57"/>
        <v>-0.21370826062045101</v>
      </c>
      <c r="E61" s="23">
        <f t="shared" si="29"/>
        <v>-11.449461069958218</v>
      </c>
      <c r="F61" s="36">
        <f>MAX('BATS 2023 TLFD'!M49,0.0001)</f>
        <v>1.1734900540112433E-3</v>
      </c>
      <c r="G61" s="45">
        <f>modeldata!B49/modeldata!B$156</f>
        <v>6.6666666666666671E-3</v>
      </c>
      <c r="H61" s="48">
        <f t="shared" si="21"/>
        <v>4.6810593697650491</v>
      </c>
      <c r="I61" s="49">
        <f t="shared" si="71"/>
        <v>0</v>
      </c>
      <c r="J61" s="50">
        <f t="shared" si="1"/>
        <v>0</v>
      </c>
      <c r="K61" s="51">
        <f t="shared" si="2"/>
        <v>-11.449461069958218</v>
      </c>
      <c r="L61" s="52">
        <f t="shared" si="58"/>
        <v>-0.21370826062045095</v>
      </c>
      <c r="M61" s="58">
        <f t="shared" si="30"/>
        <v>-11.449461069958218</v>
      </c>
      <c r="O61" s="39" t="s">
        <v>46</v>
      </c>
      <c r="P61" s="21">
        <f t="shared" si="59"/>
        <v>-0.18324871283782601</v>
      </c>
      <c r="Q61" s="23">
        <f t="shared" si="31"/>
        <v>-9.0265796296765348</v>
      </c>
      <c r="R61" s="36">
        <f>MAX('BATS 2023 TLFD'!N49,0.0001)</f>
        <v>4.3854487068296444E-4</v>
      </c>
      <c r="S61" s="45">
        <f>modeldata!C49/modeldata!C$156</f>
        <v>6.6666666666666671E-3</v>
      </c>
      <c r="T61" s="48">
        <f t="shared" si="22"/>
        <v>14.201789172187524</v>
      </c>
      <c r="U61" s="49">
        <f t="shared" si="72"/>
        <v>0</v>
      </c>
      <c r="V61" s="50">
        <f t="shared" si="4"/>
        <v>0</v>
      </c>
      <c r="W61" s="51">
        <f t="shared" si="5"/>
        <v>-9.0265796296765348</v>
      </c>
      <c r="X61" s="52">
        <f t="shared" si="60"/>
        <v>-0.18324871283782598</v>
      </c>
      <c r="Y61" s="58">
        <f t="shared" si="32"/>
        <v>-9.0265796296765348</v>
      </c>
      <c r="AA61" s="39" t="s">
        <v>46</v>
      </c>
      <c r="AB61" s="21">
        <f t="shared" si="61"/>
        <v>-0.10927638842708701</v>
      </c>
      <c r="AC61" s="23">
        <f t="shared" si="33"/>
        <v>-6.1875500553308926</v>
      </c>
      <c r="AD61" s="36">
        <f>MAX('BATS 2023 TLFD'!O49,0.0001)</f>
        <v>1E-4</v>
      </c>
      <c r="AE61" s="45">
        <f>modeldata!D49/modeldata!D$156</f>
        <v>6.6666666666666671E-3</v>
      </c>
      <c r="AF61" s="48">
        <f t="shared" si="23"/>
        <v>65.666666666666671</v>
      </c>
      <c r="AG61" s="49">
        <f t="shared" si="73"/>
        <v>0</v>
      </c>
      <c r="AH61" s="50">
        <f t="shared" si="7"/>
        <v>0</v>
      </c>
      <c r="AI61" s="51">
        <f t="shared" si="8"/>
        <v>-6.1875500553308926</v>
      </c>
      <c r="AJ61" s="52">
        <f t="shared" si="62"/>
        <v>-0.10927638842708705</v>
      </c>
      <c r="AK61" s="58">
        <f t="shared" si="34"/>
        <v>-6.1875500553308918</v>
      </c>
      <c r="AM61" s="39" t="s">
        <v>46</v>
      </c>
      <c r="AN61" s="21">
        <f t="shared" si="63"/>
        <v>-0.123766678676451</v>
      </c>
      <c r="AO61" s="23">
        <f t="shared" si="35"/>
        <v>-7.0299467852963424</v>
      </c>
      <c r="AP61" s="36">
        <f>MAX('BATS 2023 TLFD'!P49,0.0001)</f>
        <v>1E-4</v>
      </c>
      <c r="AQ61" s="45">
        <f>modeldata!E49/modeldata!E$156</f>
        <v>6.6666666666666671E-3</v>
      </c>
      <c r="AR61" s="48">
        <f t="shared" si="24"/>
        <v>65.666666666666671</v>
      </c>
      <c r="AS61" s="49">
        <f t="shared" si="74"/>
        <v>0</v>
      </c>
      <c r="AT61" s="50">
        <f t="shared" si="10"/>
        <v>0</v>
      </c>
      <c r="AU61" s="51">
        <f t="shared" si="11"/>
        <v>-7.0299467852963424</v>
      </c>
      <c r="AV61" s="52">
        <f t="shared" si="64"/>
        <v>-0.12376667867645086</v>
      </c>
      <c r="AW61" s="58">
        <f t="shared" si="36"/>
        <v>-7.0299467852963424</v>
      </c>
      <c r="AY61" s="39" t="s">
        <v>46</v>
      </c>
      <c r="AZ61" s="21">
        <f t="shared" si="65"/>
        <v>-0.13060067927808</v>
      </c>
      <c r="BA61" s="23">
        <f t="shared" si="37"/>
        <v>-7.8376908879144835</v>
      </c>
      <c r="BB61" s="36">
        <f>MAX('BATS 2023 TLFD'!Q49,0.0001)</f>
        <v>1.451511654668272E-3</v>
      </c>
      <c r="BC61" s="45">
        <f>modeldata!F49/modeldata!F$156</f>
        <v>6.6666666666666671E-3</v>
      </c>
      <c r="BD61" s="48">
        <f t="shared" si="25"/>
        <v>3.592912943706446</v>
      </c>
      <c r="BE61" s="49">
        <f t="shared" si="75"/>
        <v>0</v>
      </c>
      <c r="BF61" s="50">
        <f t="shared" si="13"/>
        <v>0</v>
      </c>
      <c r="BG61" s="51">
        <f t="shared" si="14"/>
        <v>-7.8376908879144835</v>
      </c>
      <c r="BH61" s="52">
        <f t="shared" si="66"/>
        <v>-0.13060067927808028</v>
      </c>
      <c r="BI61" s="58">
        <f t="shared" si="38"/>
        <v>-7.8376908879144835</v>
      </c>
      <c r="BK61" s="39" t="s">
        <v>46</v>
      </c>
      <c r="BL61" s="21">
        <f t="shared" si="67"/>
        <v>-0.119295888721189</v>
      </c>
      <c r="BM61" s="23">
        <f t="shared" si="39"/>
        <v>-6.5937289272198685</v>
      </c>
      <c r="BN61" s="36">
        <f>MAX('BATS 2023 TLFD'!R49,0.0001)</f>
        <v>1.8613081486677789E-3</v>
      </c>
      <c r="BO61" s="45">
        <f>modeldata!G49/modeldata!G$156</f>
        <v>6.6666666666666671E-3</v>
      </c>
      <c r="BP61" s="48">
        <f t="shared" si="26"/>
        <v>2.5817103532471486</v>
      </c>
      <c r="BQ61" s="49">
        <f t="shared" si="76"/>
        <v>0</v>
      </c>
      <c r="BR61" s="50">
        <f t="shared" si="16"/>
        <v>0</v>
      </c>
      <c r="BS61" s="51">
        <f t="shared" si="17"/>
        <v>-6.5937289272198685</v>
      </c>
      <c r="BT61" s="52">
        <f t="shared" si="68"/>
        <v>-0.11929588872118897</v>
      </c>
      <c r="BU61" s="58">
        <f t="shared" si="40"/>
        <v>-6.5937289272198685</v>
      </c>
      <c r="BW61" s="39" t="s">
        <v>46</v>
      </c>
      <c r="BX61" s="21">
        <f t="shared" si="69"/>
        <v>-0.204473452523388</v>
      </c>
      <c r="BY61" s="23">
        <f t="shared" si="41"/>
        <v>-11.323200351025703</v>
      </c>
      <c r="BZ61" s="36">
        <f>MAX('BATS 2023 TLFD'!S49,0.0001)</f>
        <v>1E-4</v>
      </c>
      <c r="CA61" s="45">
        <f>modeldata!H49/modeldata!H$156</f>
        <v>6.6666666666666671E-3</v>
      </c>
      <c r="CB61" s="48">
        <f t="shared" si="27"/>
        <v>65.666666666666671</v>
      </c>
      <c r="CC61" s="49">
        <f t="shared" si="77"/>
        <v>0</v>
      </c>
      <c r="CD61" s="50">
        <f t="shared" si="19"/>
        <v>0</v>
      </c>
      <c r="CE61" s="51">
        <f t="shared" si="20"/>
        <v>-11.323200351025703</v>
      </c>
      <c r="CF61" s="52">
        <f t="shared" si="70"/>
        <v>-0.20447345252338778</v>
      </c>
      <c r="CG61" s="58">
        <f t="shared" si="42"/>
        <v>-11.323200351025703</v>
      </c>
    </row>
    <row r="62" spans="1:85" x14ac:dyDescent="0.25">
      <c r="A62" s="81">
        <f t="shared" si="28"/>
        <v>46.5</v>
      </c>
      <c r="B62" s="83">
        <f t="shared" si="28"/>
        <v>46</v>
      </c>
      <c r="C62" s="39" t="s">
        <v>47</v>
      </c>
      <c r="D62" s="21">
        <f t="shared" si="57"/>
        <v>-0.21370826062045101</v>
      </c>
      <c r="E62" s="23">
        <f t="shared" si="29"/>
        <v>-11.663169330578668</v>
      </c>
      <c r="F62" s="36">
        <f>MAX('BATS 2023 TLFD'!M50,0.0001)</f>
        <v>1E-4</v>
      </c>
      <c r="G62" s="45">
        <f>modeldata!B50/modeldata!B$156</f>
        <v>6.6666666666666671E-3</v>
      </c>
      <c r="H62" s="48">
        <f t="shared" si="21"/>
        <v>65.666666666666671</v>
      </c>
      <c r="I62" s="49">
        <f t="shared" si="71"/>
        <v>0</v>
      </c>
      <c r="J62" s="50">
        <f t="shared" si="1"/>
        <v>0</v>
      </c>
      <c r="K62" s="51">
        <f t="shared" si="2"/>
        <v>-11.663169330578668</v>
      </c>
      <c r="L62" s="52">
        <f t="shared" si="58"/>
        <v>-0.21370826062045095</v>
      </c>
      <c r="M62" s="58">
        <f t="shared" si="30"/>
        <v>-11.663169330578668</v>
      </c>
      <c r="O62" s="39" t="s">
        <v>47</v>
      </c>
      <c r="P62" s="21">
        <f t="shared" si="59"/>
        <v>-0.18324871283782601</v>
      </c>
      <c r="Q62" s="23">
        <f t="shared" si="31"/>
        <v>-9.2098283425143617</v>
      </c>
      <c r="R62" s="36">
        <f>MAX('BATS 2023 TLFD'!N50,0.0001)</f>
        <v>1E-4</v>
      </c>
      <c r="S62" s="45">
        <f>modeldata!C50/modeldata!C$156</f>
        <v>6.6666666666666671E-3</v>
      </c>
      <c r="T62" s="48">
        <f t="shared" si="22"/>
        <v>65.666666666666671</v>
      </c>
      <c r="U62" s="49">
        <f t="shared" si="72"/>
        <v>0</v>
      </c>
      <c r="V62" s="50">
        <f t="shared" si="4"/>
        <v>0</v>
      </c>
      <c r="W62" s="51">
        <f t="shared" si="5"/>
        <v>-9.2098283425143617</v>
      </c>
      <c r="X62" s="52">
        <f t="shared" si="60"/>
        <v>-0.18324871283782598</v>
      </c>
      <c r="Y62" s="58">
        <f t="shared" si="32"/>
        <v>-9.2098283425143617</v>
      </c>
      <c r="AA62" s="39" t="s">
        <v>47</v>
      </c>
      <c r="AB62" s="21">
        <f t="shared" si="61"/>
        <v>-0.10927638842708701</v>
      </c>
      <c r="AC62" s="23">
        <f t="shared" si="33"/>
        <v>-6.29682644375798</v>
      </c>
      <c r="AD62" s="36">
        <f>MAX('BATS 2023 TLFD'!O50,0.0001)</f>
        <v>1E-4</v>
      </c>
      <c r="AE62" s="45">
        <f>modeldata!D50/modeldata!D$156</f>
        <v>6.6666666666666671E-3</v>
      </c>
      <c r="AF62" s="48">
        <f t="shared" si="23"/>
        <v>65.666666666666671</v>
      </c>
      <c r="AG62" s="49">
        <f t="shared" si="73"/>
        <v>0</v>
      </c>
      <c r="AH62" s="50">
        <f t="shared" si="7"/>
        <v>0</v>
      </c>
      <c r="AI62" s="51">
        <f t="shared" si="8"/>
        <v>-6.29682644375798</v>
      </c>
      <c r="AJ62" s="52">
        <f t="shared" si="62"/>
        <v>-0.10927638842708705</v>
      </c>
      <c r="AK62" s="58">
        <f t="shared" si="34"/>
        <v>-6.2968264437579791</v>
      </c>
      <c r="AM62" s="39" t="s">
        <v>47</v>
      </c>
      <c r="AN62" s="21">
        <f t="shared" si="63"/>
        <v>-0.123766678676451</v>
      </c>
      <c r="AO62" s="23">
        <f t="shared" si="35"/>
        <v>-7.1537134639727933</v>
      </c>
      <c r="AP62" s="36">
        <f>MAX('BATS 2023 TLFD'!P50,0.0001)</f>
        <v>4.9945662283385655E-4</v>
      </c>
      <c r="AQ62" s="45">
        <f>modeldata!E50/modeldata!E$156</f>
        <v>6.6666666666666671E-3</v>
      </c>
      <c r="AR62" s="48">
        <f t="shared" si="24"/>
        <v>12.347839155362093</v>
      </c>
      <c r="AS62" s="49">
        <f t="shared" si="74"/>
        <v>0</v>
      </c>
      <c r="AT62" s="50">
        <f t="shared" si="10"/>
        <v>0</v>
      </c>
      <c r="AU62" s="51">
        <f t="shared" si="11"/>
        <v>-7.1537134639727933</v>
      </c>
      <c r="AV62" s="52">
        <f t="shared" si="64"/>
        <v>-0.12376667867645086</v>
      </c>
      <c r="AW62" s="58">
        <f t="shared" si="36"/>
        <v>-7.1537134639727933</v>
      </c>
      <c r="AY62" s="39" t="s">
        <v>47</v>
      </c>
      <c r="AZ62" s="21">
        <f t="shared" si="65"/>
        <v>-0.13060067927808</v>
      </c>
      <c r="BA62" s="23">
        <f t="shared" si="37"/>
        <v>-7.9682915671925638</v>
      </c>
      <c r="BB62" s="36">
        <f>MAX('BATS 2023 TLFD'!Q50,0.0001)</f>
        <v>1E-4</v>
      </c>
      <c r="BC62" s="45">
        <f>modeldata!F50/modeldata!F$156</f>
        <v>6.6666666666666671E-3</v>
      </c>
      <c r="BD62" s="48">
        <f t="shared" si="25"/>
        <v>65.666666666666671</v>
      </c>
      <c r="BE62" s="49">
        <f t="shared" si="75"/>
        <v>0</v>
      </c>
      <c r="BF62" s="50">
        <f t="shared" si="13"/>
        <v>0</v>
      </c>
      <c r="BG62" s="51">
        <f t="shared" si="14"/>
        <v>-7.9682915671925638</v>
      </c>
      <c r="BH62" s="52">
        <f t="shared" si="66"/>
        <v>-0.13060067927808028</v>
      </c>
      <c r="BI62" s="58">
        <f t="shared" si="38"/>
        <v>-7.9682915671925638</v>
      </c>
      <c r="BK62" s="39" t="s">
        <v>47</v>
      </c>
      <c r="BL62" s="21">
        <f t="shared" si="67"/>
        <v>-0.119295888721189</v>
      </c>
      <c r="BM62" s="23">
        <f t="shared" si="39"/>
        <v>-6.7130248159410577</v>
      </c>
      <c r="BN62" s="36">
        <f>MAX('BATS 2023 TLFD'!R50,0.0001)</f>
        <v>1E-4</v>
      </c>
      <c r="BO62" s="45">
        <f>modeldata!G50/modeldata!G$156</f>
        <v>6.6666666666666671E-3</v>
      </c>
      <c r="BP62" s="48">
        <f t="shared" si="26"/>
        <v>65.666666666666671</v>
      </c>
      <c r="BQ62" s="49">
        <f t="shared" si="76"/>
        <v>0</v>
      </c>
      <c r="BR62" s="50">
        <f t="shared" si="16"/>
        <v>0</v>
      </c>
      <c r="BS62" s="51">
        <f t="shared" si="17"/>
        <v>-6.7130248159410577</v>
      </c>
      <c r="BT62" s="52">
        <f t="shared" si="68"/>
        <v>-0.11929588872118897</v>
      </c>
      <c r="BU62" s="58">
        <f t="shared" si="40"/>
        <v>-6.7130248159410577</v>
      </c>
      <c r="BW62" s="39" t="s">
        <v>47</v>
      </c>
      <c r="BX62" s="21">
        <f t="shared" si="69"/>
        <v>-0.204473452523388</v>
      </c>
      <c r="BY62" s="23">
        <f t="shared" si="41"/>
        <v>-11.52767380354909</v>
      </c>
      <c r="BZ62" s="36">
        <f>MAX('BATS 2023 TLFD'!S50,0.0001)</f>
        <v>1E-4</v>
      </c>
      <c r="CA62" s="45">
        <f>modeldata!H50/modeldata!H$156</f>
        <v>6.6666666666666671E-3</v>
      </c>
      <c r="CB62" s="48">
        <f t="shared" si="27"/>
        <v>65.666666666666671</v>
      </c>
      <c r="CC62" s="49">
        <f t="shared" si="77"/>
        <v>0</v>
      </c>
      <c r="CD62" s="50">
        <f t="shared" si="19"/>
        <v>0</v>
      </c>
      <c r="CE62" s="51">
        <f t="shared" si="20"/>
        <v>-11.52767380354909</v>
      </c>
      <c r="CF62" s="52">
        <f t="shared" si="70"/>
        <v>-0.20447345252338778</v>
      </c>
      <c r="CG62" s="58">
        <f t="shared" si="42"/>
        <v>-11.52767380354909</v>
      </c>
    </row>
    <row r="63" spans="1:85" x14ac:dyDescent="0.25">
      <c r="A63" s="81">
        <f t="shared" si="28"/>
        <v>47.5</v>
      </c>
      <c r="B63" s="83">
        <f t="shared" si="28"/>
        <v>47</v>
      </c>
      <c r="C63" s="39" t="s">
        <v>48</v>
      </c>
      <c r="D63" s="21">
        <f t="shared" si="57"/>
        <v>-0.21370826062045101</v>
      </c>
      <c r="E63" s="23">
        <f t="shared" si="29"/>
        <v>-11.876877591199118</v>
      </c>
      <c r="F63" s="36">
        <f>MAX('BATS 2023 TLFD'!M51,0.0001)</f>
        <v>1E-4</v>
      </c>
      <c r="G63" s="45">
        <f>modeldata!B51/modeldata!B$156</f>
        <v>6.6666666666666671E-3</v>
      </c>
      <c r="H63" s="48">
        <f t="shared" si="21"/>
        <v>65.666666666666671</v>
      </c>
      <c r="I63" s="49">
        <f t="shared" si="71"/>
        <v>0</v>
      </c>
      <c r="J63" s="50">
        <f t="shared" si="1"/>
        <v>0</v>
      </c>
      <c r="K63" s="51">
        <f t="shared" si="2"/>
        <v>-11.876877591199118</v>
      </c>
      <c r="L63" s="52">
        <f t="shared" si="58"/>
        <v>-0.21370826062045095</v>
      </c>
      <c r="M63" s="58">
        <f t="shared" si="30"/>
        <v>-11.876877591199118</v>
      </c>
      <c r="O63" s="39" t="s">
        <v>48</v>
      </c>
      <c r="P63" s="21">
        <f t="shared" si="59"/>
        <v>-0.18324871283782601</v>
      </c>
      <c r="Q63" s="23">
        <f t="shared" si="31"/>
        <v>-9.3930770553521885</v>
      </c>
      <c r="R63" s="36">
        <f>MAX('BATS 2023 TLFD'!N51,0.0001)</f>
        <v>1E-4</v>
      </c>
      <c r="S63" s="45">
        <f>modeldata!C51/modeldata!C$156</f>
        <v>6.6666666666666671E-3</v>
      </c>
      <c r="T63" s="48">
        <f t="shared" si="22"/>
        <v>65.666666666666671</v>
      </c>
      <c r="U63" s="49">
        <f t="shared" si="72"/>
        <v>0</v>
      </c>
      <c r="V63" s="50">
        <f t="shared" si="4"/>
        <v>0</v>
      </c>
      <c r="W63" s="51">
        <f t="shared" si="5"/>
        <v>-9.3930770553521885</v>
      </c>
      <c r="X63" s="52">
        <f t="shared" si="60"/>
        <v>-0.18324871283782598</v>
      </c>
      <c r="Y63" s="58">
        <f t="shared" si="32"/>
        <v>-9.3930770553521885</v>
      </c>
      <c r="AA63" s="39" t="s">
        <v>48</v>
      </c>
      <c r="AB63" s="21">
        <f t="shared" si="61"/>
        <v>-0.10927638842708701</v>
      </c>
      <c r="AC63" s="23">
        <f t="shared" si="33"/>
        <v>-6.4061028321850673</v>
      </c>
      <c r="AD63" s="36">
        <f>MAX('BATS 2023 TLFD'!O51,0.0001)</f>
        <v>1E-4</v>
      </c>
      <c r="AE63" s="45">
        <f>modeldata!D51/modeldata!D$156</f>
        <v>6.6666666666666671E-3</v>
      </c>
      <c r="AF63" s="48">
        <f t="shared" si="23"/>
        <v>65.666666666666671</v>
      </c>
      <c r="AG63" s="49">
        <f t="shared" si="73"/>
        <v>0</v>
      </c>
      <c r="AH63" s="50">
        <f t="shared" si="7"/>
        <v>0</v>
      </c>
      <c r="AI63" s="51">
        <f t="shared" si="8"/>
        <v>-6.4061028321850673</v>
      </c>
      <c r="AJ63" s="52">
        <f t="shared" si="62"/>
        <v>-0.10927638842708705</v>
      </c>
      <c r="AK63" s="58">
        <f t="shared" si="34"/>
        <v>-6.4061028321850664</v>
      </c>
      <c r="AM63" s="39" t="s">
        <v>48</v>
      </c>
      <c r="AN63" s="21">
        <f t="shared" si="63"/>
        <v>-0.123766678676451</v>
      </c>
      <c r="AO63" s="23">
        <f t="shared" si="35"/>
        <v>-7.2774801426492441</v>
      </c>
      <c r="AP63" s="36">
        <f>MAX('BATS 2023 TLFD'!P51,0.0001)</f>
        <v>1E-4</v>
      </c>
      <c r="AQ63" s="45">
        <f>modeldata!E51/modeldata!E$156</f>
        <v>6.6666666666666671E-3</v>
      </c>
      <c r="AR63" s="48">
        <f t="shared" si="24"/>
        <v>65.666666666666671</v>
      </c>
      <c r="AS63" s="49">
        <f t="shared" si="74"/>
        <v>0</v>
      </c>
      <c r="AT63" s="50">
        <f t="shared" si="10"/>
        <v>0</v>
      </c>
      <c r="AU63" s="51">
        <f t="shared" si="11"/>
        <v>-7.2774801426492441</v>
      </c>
      <c r="AV63" s="52">
        <f t="shared" si="64"/>
        <v>-0.12376667867645086</v>
      </c>
      <c r="AW63" s="58">
        <f t="shared" si="36"/>
        <v>-7.2774801426492441</v>
      </c>
      <c r="AY63" s="39" t="s">
        <v>48</v>
      </c>
      <c r="AZ63" s="21">
        <f t="shared" si="65"/>
        <v>-0.13060067927808</v>
      </c>
      <c r="BA63" s="23">
        <f t="shared" si="37"/>
        <v>-8.0988922464706441</v>
      </c>
      <c r="BB63" s="36">
        <f>MAX('BATS 2023 TLFD'!Q51,0.0001)</f>
        <v>1E-4</v>
      </c>
      <c r="BC63" s="45">
        <f>modeldata!F51/modeldata!F$156</f>
        <v>6.6666666666666671E-3</v>
      </c>
      <c r="BD63" s="48">
        <f t="shared" si="25"/>
        <v>65.666666666666671</v>
      </c>
      <c r="BE63" s="49">
        <f t="shared" si="75"/>
        <v>0</v>
      </c>
      <c r="BF63" s="50">
        <f t="shared" si="13"/>
        <v>0</v>
      </c>
      <c r="BG63" s="51">
        <f t="shared" si="14"/>
        <v>-8.0988922464706441</v>
      </c>
      <c r="BH63" s="52">
        <f t="shared" si="66"/>
        <v>-0.13060067927808028</v>
      </c>
      <c r="BI63" s="58">
        <f t="shared" si="38"/>
        <v>-8.0988922464706441</v>
      </c>
      <c r="BK63" s="39" t="s">
        <v>48</v>
      </c>
      <c r="BL63" s="21">
        <f t="shared" si="67"/>
        <v>-0.119295888721189</v>
      </c>
      <c r="BM63" s="23">
        <f t="shared" si="39"/>
        <v>-6.8323207046622469</v>
      </c>
      <c r="BN63" s="36">
        <f>MAX('BATS 2023 TLFD'!R51,0.0001)</f>
        <v>1E-4</v>
      </c>
      <c r="BO63" s="45">
        <f>modeldata!G51/modeldata!G$156</f>
        <v>6.6666666666666671E-3</v>
      </c>
      <c r="BP63" s="48">
        <f t="shared" si="26"/>
        <v>65.666666666666671</v>
      </c>
      <c r="BQ63" s="49">
        <f t="shared" si="76"/>
        <v>0</v>
      </c>
      <c r="BR63" s="50">
        <f t="shared" si="16"/>
        <v>0</v>
      </c>
      <c r="BS63" s="51">
        <f t="shared" si="17"/>
        <v>-6.8323207046622469</v>
      </c>
      <c r="BT63" s="52">
        <f t="shared" si="68"/>
        <v>-0.11929588872118897</v>
      </c>
      <c r="BU63" s="58">
        <f t="shared" si="40"/>
        <v>-6.8323207046622469</v>
      </c>
      <c r="BW63" s="39" t="s">
        <v>48</v>
      </c>
      <c r="BX63" s="21">
        <f t="shared" si="69"/>
        <v>-0.204473452523388</v>
      </c>
      <c r="BY63" s="23">
        <f t="shared" si="41"/>
        <v>-11.732147256072478</v>
      </c>
      <c r="BZ63" s="36">
        <f>MAX('BATS 2023 TLFD'!S51,0.0001)</f>
        <v>1E-4</v>
      </c>
      <c r="CA63" s="45">
        <f>modeldata!H51/modeldata!H$156</f>
        <v>6.6666666666666671E-3</v>
      </c>
      <c r="CB63" s="48">
        <f t="shared" si="27"/>
        <v>65.666666666666671</v>
      </c>
      <c r="CC63" s="49">
        <f t="shared" si="77"/>
        <v>0</v>
      </c>
      <c r="CD63" s="50">
        <f t="shared" si="19"/>
        <v>0</v>
      </c>
      <c r="CE63" s="51">
        <f t="shared" si="20"/>
        <v>-11.732147256072478</v>
      </c>
      <c r="CF63" s="52">
        <f t="shared" si="70"/>
        <v>-0.20447345252338778</v>
      </c>
      <c r="CG63" s="58">
        <f t="shared" si="42"/>
        <v>-11.732147256072478</v>
      </c>
    </row>
    <row r="64" spans="1:85" x14ac:dyDescent="0.25">
      <c r="A64" s="81">
        <f t="shared" si="28"/>
        <v>48.5</v>
      </c>
      <c r="B64" s="83">
        <f t="shared" si="28"/>
        <v>48</v>
      </c>
      <c r="C64" s="39" t="s">
        <v>49</v>
      </c>
      <c r="D64" s="21">
        <f t="shared" si="57"/>
        <v>-0.21370826062045101</v>
      </c>
      <c r="E64" s="23">
        <f t="shared" si="29"/>
        <v>-12.090585851819569</v>
      </c>
      <c r="F64" s="36">
        <f>MAX('BATS 2023 TLFD'!M52,0.0001)</f>
        <v>4.7324066855096843E-4</v>
      </c>
      <c r="G64" s="45">
        <f>modeldata!B52/modeldata!B$156</f>
        <v>6.6666666666666671E-3</v>
      </c>
      <c r="H64" s="48">
        <f t="shared" si="21"/>
        <v>13.087264915501786</v>
      </c>
      <c r="I64" s="49">
        <f t="shared" si="71"/>
        <v>0</v>
      </c>
      <c r="J64" s="50">
        <f t="shared" si="1"/>
        <v>0</v>
      </c>
      <c r="K64" s="51">
        <f t="shared" si="2"/>
        <v>-12.090585851819569</v>
      </c>
      <c r="L64" s="52">
        <f t="shared" si="58"/>
        <v>-0.21370826062045095</v>
      </c>
      <c r="M64" s="58">
        <f t="shared" si="30"/>
        <v>-12.090585851819569</v>
      </c>
      <c r="O64" s="39" t="s">
        <v>49</v>
      </c>
      <c r="P64" s="21">
        <f t="shared" si="59"/>
        <v>-0.18324871283782601</v>
      </c>
      <c r="Q64" s="23">
        <f t="shared" si="31"/>
        <v>-9.5763257681900154</v>
      </c>
      <c r="R64" s="36">
        <f>MAX('BATS 2023 TLFD'!N52,0.0001)</f>
        <v>1E-4</v>
      </c>
      <c r="S64" s="45">
        <f>modeldata!C52/modeldata!C$156</f>
        <v>6.6666666666666671E-3</v>
      </c>
      <c r="T64" s="48">
        <f t="shared" si="22"/>
        <v>65.666666666666671</v>
      </c>
      <c r="U64" s="49">
        <f t="shared" si="72"/>
        <v>0</v>
      </c>
      <c r="V64" s="50">
        <f t="shared" si="4"/>
        <v>0</v>
      </c>
      <c r="W64" s="51">
        <f t="shared" si="5"/>
        <v>-9.5763257681900154</v>
      </c>
      <c r="X64" s="52">
        <f t="shared" si="60"/>
        <v>-0.18324871283782598</v>
      </c>
      <c r="Y64" s="58">
        <f t="shared" si="32"/>
        <v>-9.5763257681900154</v>
      </c>
      <c r="AA64" s="39" t="s">
        <v>49</v>
      </c>
      <c r="AB64" s="21">
        <f t="shared" si="61"/>
        <v>-0.10927638842708701</v>
      </c>
      <c r="AC64" s="23">
        <f t="shared" si="33"/>
        <v>-6.5153792206121546</v>
      </c>
      <c r="AD64" s="36">
        <f>MAX('BATS 2023 TLFD'!O52,0.0001)</f>
        <v>1.1092825593032021E-4</v>
      </c>
      <c r="AE64" s="45">
        <f>modeldata!D52/modeldata!D$156</f>
        <v>6.6666666666666671E-3</v>
      </c>
      <c r="AF64" s="48">
        <f t="shared" si="23"/>
        <v>59.098904564535353</v>
      </c>
      <c r="AG64" s="49">
        <f t="shared" si="73"/>
        <v>0</v>
      </c>
      <c r="AH64" s="50">
        <f t="shared" si="7"/>
        <v>0</v>
      </c>
      <c r="AI64" s="51">
        <f t="shared" si="8"/>
        <v>-6.5153792206121546</v>
      </c>
      <c r="AJ64" s="52">
        <f t="shared" si="62"/>
        <v>-0.10927638842708705</v>
      </c>
      <c r="AK64" s="58">
        <f t="shared" si="34"/>
        <v>-6.5153792206121537</v>
      </c>
      <c r="AM64" s="39" t="s">
        <v>49</v>
      </c>
      <c r="AN64" s="21">
        <f t="shared" si="63"/>
        <v>-0.123766678676451</v>
      </c>
      <c r="AO64" s="23">
        <f t="shared" si="35"/>
        <v>-7.401246821325695</v>
      </c>
      <c r="AP64" s="36">
        <f>MAX('BATS 2023 TLFD'!P52,0.0001)</f>
        <v>1E-4</v>
      </c>
      <c r="AQ64" s="45">
        <f>modeldata!E52/modeldata!E$156</f>
        <v>6.6666666666666671E-3</v>
      </c>
      <c r="AR64" s="48">
        <f t="shared" si="24"/>
        <v>65.666666666666671</v>
      </c>
      <c r="AS64" s="49">
        <f t="shared" si="74"/>
        <v>0</v>
      </c>
      <c r="AT64" s="50">
        <f t="shared" si="10"/>
        <v>0</v>
      </c>
      <c r="AU64" s="51">
        <f t="shared" si="11"/>
        <v>-7.401246821325695</v>
      </c>
      <c r="AV64" s="52">
        <f t="shared" si="64"/>
        <v>-0.12376667867645086</v>
      </c>
      <c r="AW64" s="58">
        <f t="shared" si="36"/>
        <v>-7.401246821325695</v>
      </c>
      <c r="AY64" s="39" t="s">
        <v>49</v>
      </c>
      <c r="AZ64" s="21">
        <f t="shared" si="65"/>
        <v>-0.13060067927808</v>
      </c>
      <c r="BA64" s="23">
        <f t="shared" si="37"/>
        <v>-8.2294929257487244</v>
      </c>
      <c r="BB64" s="36">
        <f>MAX('BATS 2023 TLFD'!Q52,0.0001)</f>
        <v>7.8432785779147655E-4</v>
      </c>
      <c r="BC64" s="45">
        <f>modeldata!F52/modeldata!F$156</f>
        <v>6.6666666666666671E-3</v>
      </c>
      <c r="BD64" s="48">
        <f t="shared" si="25"/>
        <v>7.4998468439445443</v>
      </c>
      <c r="BE64" s="49">
        <f t="shared" si="75"/>
        <v>0</v>
      </c>
      <c r="BF64" s="50">
        <f t="shared" si="13"/>
        <v>0</v>
      </c>
      <c r="BG64" s="51">
        <f t="shared" si="14"/>
        <v>-8.2294929257487244</v>
      </c>
      <c r="BH64" s="52">
        <f t="shared" si="66"/>
        <v>-0.13060067927808028</v>
      </c>
      <c r="BI64" s="58">
        <f t="shared" si="38"/>
        <v>-8.2294929257487244</v>
      </c>
      <c r="BK64" s="39" t="s">
        <v>49</v>
      </c>
      <c r="BL64" s="21">
        <f t="shared" si="67"/>
        <v>-0.119295888721189</v>
      </c>
      <c r="BM64" s="23">
        <f t="shared" si="39"/>
        <v>-6.9516165933834362</v>
      </c>
      <c r="BN64" s="36">
        <f>MAX('BATS 2023 TLFD'!R52,0.0001)</f>
        <v>1E-4</v>
      </c>
      <c r="BO64" s="45">
        <f>modeldata!G52/modeldata!G$156</f>
        <v>6.6666666666666671E-3</v>
      </c>
      <c r="BP64" s="48">
        <f t="shared" si="26"/>
        <v>65.666666666666671</v>
      </c>
      <c r="BQ64" s="49">
        <f t="shared" si="76"/>
        <v>0</v>
      </c>
      <c r="BR64" s="50">
        <f t="shared" si="16"/>
        <v>0</v>
      </c>
      <c r="BS64" s="51">
        <f t="shared" si="17"/>
        <v>-6.9516165933834362</v>
      </c>
      <c r="BT64" s="52">
        <f t="shared" si="68"/>
        <v>-0.11929588872118897</v>
      </c>
      <c r="BU64" s="58">
        <f t="shared" si="40"/>
        <v>-6.9516165933834362</v>
      </c>
      <c r="BW64" s="39" t="s">
        <v>49</v>
      </c>
      <c r="BX64" s="21">
        <f t="shared" si="69"/>
        <v>-0.204473452523388</v>
      </c>
      <c r="BY64" s="23">
        <f t="shared" si="41"/>
        <v>-11.936620708595866</v>
      </c>
      <c r="BZ64" s="36">
        <f>MAX('BATS 2023 TLFD'!S52,0.0001)</f>
        <v>1E-4</v>
      </c>
      <c r="CA64" s="45">
        <f>modeldata!H52/modeldata!H$156</f>
        <v>6.6666666666666671E-3</v>
      </c>
      <c r="CB64" s="48">
        <f t="shared" si="27"/>
        <v>65.666666666666671</v>
      </c>
      <c r="CC64" s="49">
        <f t="shared" si="77"/>
        <v>0</v>
      </c>
      <c r="CD64" s="50">
        <f t="shared" si="19"/>
        <v>0</v>
      </c>
      <c r="CE64" s="51">
        <f t="shared" si="20"/>
        <v>-11.936620708595866</v>
      </c>
      <c r="CF64" s="52">
        <f t="shared" si="70"/>
        <v>-0.20447345252338778</v>
      </c>
      <c r="CG64" s="58">
        <f t="shared" si="42"/>
        <v>-11.936620708595866</v>
      </c>
    </row>
    <row r="65" spans="1:85" x14ac:dyDescent="0.25">
      <c r="A65" s="81">
        <f t="shared" si="28"/>
        <v>49.5</v>
      </c>
      <c r="B65" s="83">
        <f t="shared" si="28"/>
        <v>49</v>
      </c>
      <c r="C65" s="39" t="s">
        <v>50</v>
      </c>
      <c r="D65" s="21">
        <f t="shared" si="57"/>
        <v>-0.21370826062045101</v>
      </c>
      <c r="E65" s="23">
        <f t="shared" si="29"/>
        <v>-12.304294112440019</v>
      </c>
      <c r="F65" s="36">
        <f>MAX('BATS 2023 TLFD'!M53,0.0001)</f>
        <v>1.0402847245408305E-4</v>
      </c>
      <c r="G65" s="45">
        <f>modeldata!B53/modeldata!B$156</f>
        <v>6.6666666666666671E-3</v>
      </c>
      <c r="H65" s="48">
        <f t="shared" si="21"/>
        <v>63.085019316315119</v>
      </c>
      <c r="I65" s="49">
        <f t="shared" si="71"/>
        <v>0</v>
      </c>
      <c r="J65" s="50">
        <f t="shared" si="1"/>
        <v>0</v>
      </c>
      <c r="K65" s="51">
        <f t="shared" si="2"/>
        <v>-12.304294112440019</v>
      </c>
      <c r="L65" s="52">
        <f t="shared" si="58"/>
        <v>-0.21370826062045095</v>
      </c>
      <c r="M65" s="58">
        <f t="shared" si="30"/>
        <v>-12.304294112440019</v>
      </c>
      <c r="O65" s="39" t="s">
        <v>50</v>
      </c>
      <c r="P65" s="21">
        <f t="shared" si="59"/>
        <v>-0.18324871283782601</v>
      </c>
      <c r="Q65" s="23">
        <f t="shared" si="31"/>
        <v>-9.7595744810278422</v>
      </c>
      <c r="R65" s="36">
        <f>MAX('BATS 2023 TLFD'!N53,0.0001)</f>
        <v>1E-4</v>
      </c>
      <c r="S65" s="45">
        <f>modeldata!C53/modeldata!C$156</f>
        <v>6.6666666666666671E-3</v>
      </c>
      <c r="T65" s="48">
        <f t="shared" si="22"/>
        <v>65.666666666666671</v>
      </c>
      <c r="U65" s="49">
        <f t="shared" si="72"/>
        <v>0</v>
      </c>
      <c r="V65" s="50">
        <f t="shared" si="4"/>
        <v>0</v>
      </c>
      <c r="W65" s="51">
        <f t="shared" si="5"/>
        <v>-9.7595744810278422</v>
      </c>
      <c r="X65" s="52">
        <f t="shared" si="60"/>
        <v>-0.18324871283782598</v>
      </c>
      <c r="Y65" s="58">
        <f t="shared" si="32"/>
        <v>-9.7595744810278422</v>
      </c>
      <c r="AA65" s="39" t="s">
        <v>50</v>
      </c>
      <c r="AB65" s="21">
        <f t="shared" si="61"/>
        <v>-0.10927638842708701</v>
      </c>
      <c r="AC65" s="23">
        <f t="shared" si="33"/>
        <v>-6.6246556090392419</v>
      </c>
      <c r="AD65" s="36">
        <f>MAX('BATS 2023 TLFD'!O53,0.0001)</f>
        <v>1E-4</v>
      </c>
      <c r="AE65" s="45">
        <f>modeldata!D53/modeldata!D$156</f>
        <v>6.6666666666666671E-3</v>
      </c>
      <c r="AF65" s="48">
        <f t="shared" si="23"/>
        <v>65.666666666666671</v>
      </c>
      <c r="AG65" s="49">
        <f t="shared" si="73"/>
        <v>0</v>
      </c>
      <c r="AH65" s="50">
        <f t="shared" si="7"/>
        <v>0</v>
      </c>
      <c r="AI65" s="51">
        <f t="shared" si="8"/>
        <v>-6.6246556090392419</v>
      </c>
      <c r="AJ65" s="52">
        <f t="shared" si="62"/>
        <v>-0.10927638842708705</v>
      </c>
      <c r="AK65" s="58">
        <f t="shared" si="34"/>
        <v>-6.624655609039241</v>
      </c>
      <c r="AM65" s="39" t="s">
        <v>50</v>
      </c>
      <c r="AN65" s="21">
        <f t="shared" si="63"/>
        <v>-0.123766678676451</v>
      </c>
      <c r="AO65" s="23">
        <f t="shared" si="35"/>
        <v>-7.5250135000021459</v>
      </c>
      <c r="AP65" s="36">
        <f>MAX('BATS 2023 TLFD'!P53,0.0001)</f>
        <v>1E-4</v>
      </c>
      <c r="AQ65" s="45">
        <f>modeldata!E53/modeldata!E$156</f>
        <v>6.6666666666666671E-3</v>
      </c>
      <c r="AR65" s="48">
        <f t="shared" si="24"/>
        <v>65.666666666666671</v>
      </c>
      <c r="AS65" s="49">
        <f t="shared" si="74"/>
        <v>0</v>
      </c>
      <c r="AT65" s="50">
        <f t="shared" si="10"/>
        <v>0</v>
      </c>
      <c r="AU65" s="51">
        <f t="shared" si="11"/>
        <v>-7.5250135000021459</v>
      </c>
      <c r="AV65" s="52">
        <f t="shared" si="64"/>
        <v>-0.12376667867645086</v>
      </c>
      <c r="AW65" s="58">
        <f t="shared" si="36"/>
        <v>-7.5250135000021459</v>
      </c>
      <c r="AY65" s="39" t="s">
        <v>50</v>
      </c>
      <c r="AZ65" s="21">
        <f t="shared" si="65"/>
        <v>-0.13060067927808</v>
      </c>
      <c r="BA65" s="23">
        <f t="shared" si="37"/>
        <v>-8.3600936050268047</v>
      </c>
      <c r="BB65" s="36">
        <f>MAX('BATS 2023 TLFD'!Q53,0.0001)</f>
        <v>1E-4</v>
      </c>
      <c r="BC65" s="45">
        <f>modeldata!F53/modeldata!F$156</f>
        <v>6.6666666666666671E-3</v>
      </c>
      <c r="BD65" s="48">
        <f t="shared" si="25"/>
        <v>65.666666666666671</v>
      </c>
      <c r="BE65" s="49">
        <f t="shared" si="75"/>
        <v>0</v>
      </c>
      <c r="BF65" s="50">
        <f t="shared" si="13"/>
        <v>0</v>
      </c>
      <c r="BG65" s="51">
        <f t="shared" si="14"/>
        <v>-8.3600936050268047</v>
      </c>
      <c r="BH65" s="52">
        <f t="shared" si="66"/>
        <v>-0.13060067927808028</v>
      </c>
      <c r="BI65" s="58">
        <f t="shared" si="38"/>
        <v>-8.3600936050268047</v>
      </c>
      <c r="BK65" s="39" t="s">
        <v>50</v>
      </c>
      <c r="BL65" s="21">
        <f t="shared" si="67"/>
        <v>-0.119295888721189</v>
      </c>
      <c r="BM65" s="23">
        <f t="shared" si="39"/>
        <v>-7.0709124821046254</v>
      </c>
      <c r="BN65" s="36">
        <f>MAX('BATS 2023 TLFD'!R53,0.0001)</f>
        <v>1E-4</v>
      </c>
      <c r="BO65" s="45">
        <f>modeldata!G53/modeldata!G$156</f>
        <v>6.6666666666666671E-3</v>
      </c>
      <c r="BP65" s="48">
        <f t="shared" si="26"/>
        <v>65.666666666666671</v>
      </c>
      <c r="BQ65" s="49">
        <f t="shared" si="76"/>
        <v>0</v>
      </c>
      <c r="BR65" s="50">
        <f t="shared" si="16"/>
        <v>0</v>
      </c>
      <c r="BS65" s="51">
        <f t="shared" si="17"/>
        <v>-7.0709124821046254</v>
      </c>
      <c r="BT65" s="52">
        <f t="shared" si="68"/>
        <v>-0.11929588872118897</v>
      </c>
      <c r="BU65" s="58">
        <f t="shared" si="40"/>
        <v>-7.0709124821046254</v>
      </c>
      <c r="BW65" s="39" t="s">
        <v>50</v>
      </c>
      <c r="BX65" s="21">
        <f t="shared" si="69"/>
        <v>-0.204473452523388</v>
      </c>
      <c r="BY65" s="23">
        <f t="shared" si="41"/>
        <v>-12.141094161119254</v>
      </c>
      <c r="BZ65" s="36">
        <f>MAX('BATS 2023 TLFD'!S53,0.0001)</f>
        <v>1E-4</v>
      </c>
      <c r="CA65" s="45">
        <f>modeldata!H53/modeldata!H$156</f>
        <v>6.6666666666666671E-3</v>
      </c>
      <c r="CB65" s="48">
        <f t="shared" si="27"/>
        <v>65.666666666666671</v>
      </c>
      <c r="CC65" s="49">
        <f t="shared" si="77"/>
        <v>0</v>
      </c>
      <c r="CD65" s="50">
        <f t="shared" si="19"/>
        <v>0</v>
      </c>
      <c r="CE65" s="51">
        <f t="shared" si="20"/>
        <v>-12.141094161119254</v>
      </c>
      <c r="CF65" s="52">
        <f t="shared" si="70"/>
        <v>-0.20447345252338778</v>
      </c>
      <c r="CG65" s="58">
        <f t="shared" si="42"/>
        <v>-12.141094161119254</v>
      </c>
    </row>
    <row r="66" spans="1:85" x14ac:dyDescent="0.25">
      <c r="A66" s="81">
        <f t="shared" si="28"/>
        <v>50.5</v>
      </c>
      <c r="B66" s="83">
        <f t="shared" si="28"/>
        <v>50</v>
      </c>
      <c r="C66" s="69" t="s">
        <v>51</v>
      </c>
      <c r="D66" s="70">
        <f t="shared" si="57"/>
        <v>-0.21370826062045101</v>
      </c>
      <c r="E66" s="71">
        <f t="shared" si="29"/>
        <v>-12.518002373060469</v>
      </c>
      <c r="F66" s="72">
        <f>MAX('BATS 2023 TLFD'!M54,0.0001)</f>
        <v>1.8265416157452213E-4</v>
      </c>
      <c r="G66" s="73">
        <f>SUM(modeldata!B54:B153)/modeldata!B156</f>
        <v>0.66666666666666663</v>
      </c>
      <c r="H66" s="74">
        <f t="shared" si="21"/>
        <v>3648.8849022647069</v>
      </c>
      <c r="I66" s="75">
        <f t="shared" si="71"/>
        <v>0</v>
      </c>
      <c r="J66" s="76">
        <f t="shared" si="1"/>
        <v>0</v>
      </c>
      <c r="K66" s="77">
        <f t="shared" si="2"/>
        <v>-12.518002373060469</v>
      </c>
      <c r="L66" s="78">
        <f t="shared" si="58"/>
        <v>-0.21370826062045095</v>
      </c>
      <c r="M66" s="79">
        <f t="shared" si="30"/>
        <v>-12.518002373060469</v>
      </c>
      <c r="O66" s="69" t="s">
        <v>51</v>
      </c>
      <c r="P66" s="70">
        <f t="shared" si="59"/>
        <v>-0.18324871283782601</v>
      </c>
      <c r="Q66" s="71">
        <f t="shared" si="31"/>
        <v>-9.942823193865669</v>
      </c>
      <c r="R66" s="72">
        <f>MAX('BATS 2023 TLFD'!N54,0.0001)</f>
        <v>1E-4</v>
      </c>
      <c r="S66" s="73">
        <f>SUM(modeldata!C54:N153)/modeldata!C156</f>
        <v>4</v>
      </c>
      <c r="T66" s="74">
        <f t="shared" si="22"/>
        <v>39998.999999999993</v>
      </c>
      <c r="U66" s="75">
        <f t="shared" si="72"/>
        <v>0</v>
      </c>
      <c r="V66" s="76">
        <f t="shared" si="4"/>
        <v>0</v>
      </c>
      <c r="W66" s="77">
        <f t="shared" si="5"/>
        <v>-9.942823193865669</v>
      </c>
      <c r="X66" s="78">
        <f t="shared" si="60"/>
        <v>-0.18324871283782598</v>
      </c>
      <c r="Y66" s="79">
        <f t="shared" si="32"/>
        <v>-9.942823193865669</v>
      </c>
      <c r="AA66" s="69" t="s">
        <v>51</v>
      </c>
      <c r="AB66" s="70">
        <f t="shared" si="61"/>
        <v>-0.10927638842708701</v>
      </c>
      <c r="AC66" s="71">
        <f t="shared" si="33"/>
        <v>-6.7339319974663292</v>
      </c>
      <c r="AD66" s="72">
        <f>MAX('BATS 2023 TLFD'!O54,0.0001)</f>
        <v>8.2808518785322895E-4</v>
      </c>
      <c r="AE66" s="73">
        <f>SUM(modeldata!D54:Z153)/modeldata!D156</f>
        <v>3.3333333333333335</v>
      </c>
      <c r="AF66" s="74">
        <f t="shared" si="23"/>
        <v>4024.3507516235618</v>
      </c>
      <c r="AG66" s="75">
        <f t="shared" si="73"/>
        <v>0</v>
      </c>
      <c r="AH66" s="76">
        <f t="shared" si="7"/>
        <v>0</v>
      </c>
      <c r="AI66" s="77">
        <f t="shared" si="8"/>
        <v>-6.7339319974663292</v>
      </c>
      <c r="AJ66" s="78">
        <f t="shared" si="62"/>
        <v>-0.10927638842708705</v>
      </c>
      <c r="AK66" s="79">
        <f t="shared" si="34"/>
        <v>-6.7339319974663283</v>
      </c>
      <c r="AM66" s="69" t="s">
        <v>51</v>
      </c>
      <c r="AN66" s="70">
        <f t="shared" si="63"/>
        <v>-0.123766678676451</v>
      </c>
      <c r="AO66" s="71">
        <f t="shared" si="35"/>
        <v>-7.6487801786785967</v>
      </c>
      <c r="AP66" s="72">
        <f>MAX('BATS 2023 TLFD'!P54,0.0001)</f>
        <v>1E-4</v>
      </c>
      <c r="AQ66" s="73">
        <f>SUM(modeldata!E54:AL153)/modeldata!E156</f>
        <v>2.6666666666666665</v>
      </c>
      <c r="AR66" s="74">
        <f t="shared" si="24"/>
        <v>26665.666666666661</v>
      </c>
      <c r="AS66" s="75">
        <f t="shared" si="74"/>
        <v>0</v>
      </c>
      <c r="AT66" s="76">
        <f t="shared" si="10"/>
        <v>0</v>
      </c>
      <c r="AU66" s="77">
        <f t="shared" si="11"/>
        <v>-7.6487801786785967</v>
      </c>
      <c r="AV66" s="78">
        <f t="shared" si="64"/>
        <v>-0.12376667867645086</v>
      </c>
      <c r="AW66" s="79">
        <f t="shared" si="36"/>
        <v>-7.6487801786785967</v>
      </c>
      <c r="AY66" s="69" t="s">
        <v>51</v>
      </c>
      <c r="AZ66" s="70">
        <f t="shared" si="65"/>
        <v>-0.13060067927808</v>
      </c>
      <c r="BA66" s="71">
        <f t="shared" si="37"/>
        <v>-8.4906942843048849</v>
      </c>
      <c r="BB66" s="72">
        <f>MAX('BATS 2023 TLFD'!Q54,0.0001)</f>
        <v>2.6538835295945641E-3</v>
      </c>
      <c r="BC66" s="73">
        <f>SUM(modeldata!F54:AX153)/modeldata!F156</f>
        <v>2</v>
      </c>
      <c r="BD66" s="74">
        <f t="shared" si="25"/>
        <v>752.61257481617577</v>
      </c>
      <c r="BE66" s="75">
        <f t="shared" si="75"/>
        <v>0</v>
      </c>
      <c r="BF66" s="76">
        <f t="shared" si="13"/>
        <v>0</v>
      </c>
      <c r="BG66" s="77">
        <f t="shared" si="14"/>
        <v>-8.4906942843048849</v>
      </c>
      <c r="BH66" s="78">
        <f t="shared" si="66"/>
        <v>-0.13060067927808028</v>
      </c>
      <c r="BI66" s="79">
        <f t="shared" si="38"/>
        <v>-8.4906942843048849</v>
      </c>
      <c r="BK66" s="69" t="s">
        <v>51</v>
      </c>
      <c r="BL66" s="70">
        <f t="shared" si="67"/>
        <v>-0.119295888721189</v>
      </c>
      <c r="BM66" s="71">
        <f t="shared" si="39"/>
        <v>-7.1902083708258147</v>
      </c>
      <c r="BN66" s="72">
        <f>MAX('BATS 2023 TLFD'!R54,0.0001)</f>
        <v>2.1023670955123775E-3</v>
      </c>
      <c r="BO66" s="73">
        <f>SUM(modeldata!G54:BJ153)/modeldata!G156</f>
        <v>1.3333333333333333</v>
      </c>
      <c r="BP66" s="74">
        <f t="shared" si="26"/>
        <v>633.20576557700565</v>
      </c>
      <c r="BQ66" s="75">
        <f t="shared" si="76"/>
        <v>0</v>
      </c>
      <c r="BR66" s="76">
        <f t="shared" si="16"/>
        <v>0</v>
      </c>
      <c r="BS66" s="77">
        <f t="shared" si="17"/>
        <v>-7.1902083708258147</v>
      </c>
      <c r="BT66" s="78">
        <f t="shared" si="68"/>
        <v>-0.11929588872118897</v>
      </c>
      <c r="BU66" s="79">
        <f t="shared" si="40"/>
        <v>-7.1902083708258147</v>
      </c>
      <c r="BW66" s="69" t="s">
        <v>51</v>
      </c>
      <c r="BX66" s="70">
        <f t="shared" si="69"/>
        <v>-0.204473452523388</v>
      </c>
      <c r="BY66" s="71">
        <f t="shared" si="41"/>
        <v>-12.345567613642642</v>
      </c>
      <c r="BZ66" s="72">
        <f>MAX('BATS 2023 TLFD'!S54,0.0001)</f>
        <v>1E-4</v>
      </c>
      <c r="CA66" s="73">
        <f>SUM(modeldata!H54:BV153)/modeldata!H156</f>
        <v>0.66666666666666663</v>
      </c>
      <c r="CB66" s="74">
        <f t="shared" si="27"/>
        <v>6665.6666666666661</v>
      </c>
      <c r="CC66" s="75">
        <f t="shared" si="77"/>
        <v>0</v>
      </c>
      <c r="CD66" s="76">
        <f t="shared" si="19"/>
        <v>0</v>
      </c>
      <c r="CE66" s="77">
        <f t="shared" si="20"/>
        <v>-12.345567613642642</v>
      </c>
      <c r="CF66" s="78">
        <f t="shared" si="70"/>
        <v>-0.20447345252338778</v>
      </c>
      <c r="CG66" s="79">
        <f t="shared" si="42"/>
        <v>-12.345567613642642</v>
      </c>
    </row>
    <row r="67" spans="1:85" x14ac:dyDescent="0.25">
      <c r="D67" s="68"/>
      <c r="E67" s="67" t="s">
        <v>98</v>
      </c>
      <c r="F67" s="65">
        <f>'BATS 2023 TLFD'!D59</f>
        <v>3.6495854620056569</v>
      </c>
      <c r="G67" s="65">
        <f>modeldata!$K$4</f>
        <v>1</v>
      </c>
      <c r="O67" s="68"/>
      <c r="P67" s="68"/>
      <c r="Q67" s="67" t="s">
        <v>98</v>
      </c>
      <c r="R67" s="65">
        <f>'BATS 2023 TLFD'!D60</f>
        <v>4.9827682316493505</v>
      </c>
      <c r="S67" s="65">
        <f>modeldata!$K$5</f>
        <v>1</v>
      </c>
      <c r="AC67" s="67" t="s">
        <v>98</v>
      </c>
      <c r="AD67" s="65">
        <f>'BATS 2023 TLFD'!D61</f>
        <v>5.2550902498402809</v>
      </c>
      <c r="AE67" s="65">
        <f>modeldata!$K$6</f>
        <v>1</v>
      </c>
      <c r="AO67" s="67" t="s">
        <v>98</v>
      </c>
      <c r="AP67" s="65">
        <f>'BATS 2023 TLFD'!D62</f>
        <v>4.2330956232107599</v>
      </c>
      <c r="AQ67" s="65">
        <f>modeldata!$K$7</f>
        <v>1</v>
      </c>
      <c r="BA67" s="67" t="s">
        <v>98</v>
      </c>
      <c r="BB67" s="65">
        <f>'BATS 2023 TLFD'!D63</f>
        <v>4.126983545156957</v>
      </c>
      <c r="BC67" s="65">
        <f>modeldata!$K$8</f>
        <v>1</v>
      </c>
      <c r="BM67" s="67" t="s">
        <v>98</v>
      </c>
      <c r="BN67" s="65">
        <f>'BATS 2023 TLFD'!D64</f>
        <v>5.2370744286338677</v>
      </c>
      <c r="BO67" s="65">
        <f>modeldata!$K$9</f>
        <v>1</v>
      </c>
      <c r="BY67" s="67" t="s">
        <v>98</v>
      </c>
      <c r="BZ67" s="65">
        <f>'BATS 2023 TLFD'!D65</f>
        <v>2.5112564378997373</v>
      </c>
      <c r="CA67" s="65">
        <f>modeldata!$K$10</f>
        <v>1</v>
      </c>
    </row>
    <row r="68" spans="1:85" x14ac:dyDescent="0.25">
      <c r="F68" s="64"/>
      <c r="G68" s="64"/>
    </row>
  </sheetData>
  <mergeCells count="28">
    <mergeCell ref="AG14:AH14"/>
    <mergeCell ref="F14:H14"/>
    <mergeCell ref="I14:J14"/>
    <mergeCell ref="L14:M14"/>
    <mergeCell ref="D14:E14"/>
    <mergeCell ref="P14:Q14"/>
    <mergeCell ref="R14:T14"/>
    <mergeCell ref="U14:V14"/>
    <mergeCell ref="X14:Y14"/>
    <mergeCell ref="AB14:AC14"/>
    <mergeCell ref="AD14:AF14"/>
    <mergeCell ref="BQ14:BR14"/>
    <mergeCell ref="AJ14:AK14"/>
    <mergeCell ref="AN14:AO14"/>
    <mergeCell ref="AP14:AR14"/>
    <mergeCell ref="AS14:AT14"/>
    <mergeCell ref="AV14:AW14"/>
    <mergeCell ref="AZ14:BA14"/>
    <mergeCell ref="BB14:BD14"/>
    <mergeCell ref="BE14:BF14"/>
    <mergeCell ref="BH14:BI14"/>
    <mergeCell ref="BL14:BM14"/>
    <mergeCell ref="BN14:BP14"/>
    <mergeCell ref="BT14:BU14"/>
    <mergeCell ref="BX14:BY14"/>
    <mergeCell ref="BZ14:CB14"/>
    <mergeCell ref="CC14:CD14"/>
    <mergeCell ref="CF14:CG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CD01-D468-42E6-92EA-4C7A1985A38F}">
  <sheetPr>
    <tabColor theme="9"/>
  </sheetPr>
  <dimension ref="A2:K156"/>
  <sheetViews>
    <sheetView workbookViewId="0">
      <pane ySplit="16" topLeftCell="A17" activePane="bottomLeft" state="frozen"/>
      <selection pane="bottomLeft" activeCell="F56" sqref="F56"/>
    </sheetView>
  </sheetViews>
  <sheetFormatPr defaultRowHeight="15" x14ac:dyDescent="0.25"/>
  <cols>
    <col min="2" max="8" width="12.7109375" customWidth="1"/>
    <col min="10" max="10" width="14.7109375" customWidth="1"/>
    <col min="11" max="11" width="11.85546875" customWidth="1"/>
  </cols>
  <sheetData>
    <row r="2" spans="1:11" s="4" customFormat="1" ht="12.75" x14ac:dyDescent="0.2">
      <c r="A2" s="6" t="s">
        <v>59</v>
      </c>
      <c r="J2" s="6" t="s">
        <v>59</v>
      </c>
    </row>
    <row r="3" spans="1:11" s="4" customFormat="1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54</v>
      </c>
      <c r="J3" s="4" t="s">
        <v>67</v>
      </c>
      <c r="K3" s="4" t="s">
        <v>68</v>
      </c>
    </row>
    <row r="4" spans="1:11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J4" s="4" t="s">
        <v>61</v>
      </c>
      <c r="K4" s="16">
        <v>1</v>
      </c>
    </row>
    <row r="5" spans="1:11" x14ac:dyDescent="0.25">
      <c r="A5">
        <v>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J5" s="4" t="s">
        <v>62</v>
      </c>
      <c r="K5" s="17">
        <v>1</v>
      </c>
    </row>
    <row r="6" spans="1:11" x14ac:dyDescent="0.25">
      <c r="A6">
        <v>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J6" s="4" t="s">
        <v>63</v>
      </c>
      <c r="K6" s="17">
        <v>1</v>
      </c>
    </row>
    <row r="7" spans="1:11" x14ac:dyDescent="0.25">
      <c r="A7">
        <v>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J7" s="4" t="s">
        <v>64</v>
      </c>
      <c r="K7" s="17">
        <v>1</v>
      </c>
    </row>
    <row r="8" spans="1:11" x14ac:dyDescent="0.25">
      <c r="A8">
        <v>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J8" s="4" t="s">
        <v>65</v>
      </c>
      <c r="K8" s="17">
        <v>1</v>
      </c>
    </row>
    <row r="9" spans="1:11" x14ac:dyDescent="0.25">
      <c r="A9">
        <v>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J9" s="4" t="s">
        <v>66</v>
      </c>
      <c r="K9" s="17">
        <v>1</v>
      </c>
    </row>
    <row r="10" spans="1:11" x14ac:dyDescent="0.25">
      <c r="A10">
        <v>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J10" s="4" t="s">
        <v>54</v>
      </c>
      <c r="K10" s="18">
        <v>1</v>
      </c>
    </row>
    <row r="11" spans="1:11" x14ac:dyDescent="0.25">
      <c r="A11">
        <v>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11" x14ac:dyDescent="0.25">
      <c r="A12">
        <v>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11" x14ac:dyDescent="0.25">
      <c r="A13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11" x14ac:dyDescent="0.25">
      <c r="A14">
        <v>11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11" x14ac:dyDescent="0.25">
      <c r="A15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11" x14ac:dyDescent="0.25">
      <c r="A16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 x14ac:dyDescent="0.25">
      <c r="A17">
        <v>14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</row>
    <row r="18" spans="1:8" x14ac:dyDescent="0.25">
      <c r="A18">
        <v>15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x14ac:dyDescent="0.25">
      <c r="A19">
        <v>16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</row>
    <row r="20" spans="1:8" x14ac:dyDescent="0.25">
      <c r="A20">
        <v>17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</row>
    <row r="21" spans="1:8" x14ac:dyDescent="0.25">
      <c r="A21">
        <v>18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</row>
    <row r="22" spans="1:8" x14ac:dyDescent="0.25">
      <c r="A22">
        <v>19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</row>
    <row r="23" spans="1:8" x14ac:dyDescent="0.25">
      <c r="A23">
        <v>20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</row>
    <row r="24" spans="1:8" x14ac:dyDescent="0.25">
      <c r="A24">
        <v>21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</row>
    <row r="25" spans="1:8" x14ac:dyDescent="0.25">
      <c r="A25">
        <v>22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</row>
    <row r="26" spans="1:8" x14ac:dyDescent="0.25">
      <c r="A26">
        <v>23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</row>
    <row r="27" spans="1:8" x14ac:dyDescent="0.25">
      <c r="A27">
        <v>24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</row>
    <row r="28" spans="1:8" x14ac:dyDescent="0.25">
      <c r="A28">
        <v>25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</row>
    <row r="29" spans="1:8" x14ac:dyDescent="0.25">
      <c r="A29">
        <v>26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</row>
    <row r="30" spans="1:8" x14ac:dyDescent="0.25">
      <c r="A30">
        <v>27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</row>
    <row r="31" spans="1:8" x14ac:dyDescent="0.25">
      <c r="A31">
        <v>28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</row>
    <row r="32" spans="1:8" x14ac:dyDescent="0.25">
      <c r="A32">
        <v>29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</row>
    <row r="33" spans="1:8" x14ac:dyDescent="0.25">
      <c r="A33">
        <v>30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</row>
    <row r="34" spans="1:8" x14ac:dyDescent="0.25">
      <c r="A34">
        <v>31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</row>
    <row r="35" spans="1:8" x14ac:dyDescent="0.25">
      <c r="A35">
        <v>32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</row>
    <row r="36" spans="1:8" x14ac:dyDescent="0.25">
      <c r="A36">
        <v>33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</row>
    <row r="37" spans="1:8" x14ac:dyDescent="0.25">
      <c r="A37">
        <v>34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</row>
    <row r="38" spans="1:8" x14ac:dyDescent="0.25">
      <c r="A38">
        <v>35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</row>
    <row r="39" spans="1:8" x14ac:dyDescent="0.25">
      <c r="A39">
        <v>36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1:8" x14ac:dyDescent="0.25">
      <c r="A40">
        <v>37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1:8" x14ac:dyDescent="0.25">
      <c r="A41">
        <v>38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1:8" x14ac:dyDescent="0.25">
      <c r="A42">
        <v>39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1:8" x14ac:dyDescent="0.25">
      <c r="A43">
        <v>40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</row>
    <row r="44" spans="1:8" x14ac:dyDescent="0.25">
      <c r="A44">
        <v>41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</row>
    <row r="45" spans="1:8" x14ac:dyDescent="0.25">
      <c r="A45">
        <v>42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</row>
    <row r="46" spans="1:8" x14ac:dyDescent="0.25">
      <c r="A46">
        <v>43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</row>
    <row r="47" spans="1:8" x14ac:dyDescent="0.25">
      <c r="A47">
        <v>44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</row>
    <row r="48" spans="1:8" x14ac:dyDescent="0.25">
      <c r="A48">
        <v>45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</row>
    <row r="49" spans="1:8" x14ac:dyDescent="0.25">
      <c r="A49">
        <v>46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</row>
    <row r="50" spans="1:8" x14ac:dyDescent="0.25">
      <c r="A50">
        <v>47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</row>
    <row r="51" spans="1:8" x14ac:dyDescent="0.25">
      <c r="A51">
        <v>48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</row>
    <row r="52" spans="1:8" x14ac:dyDescent="0.25">
      <c r="A52">
        <v>49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</row>
    <row r="53" spans="1:8" x14ac:dyDescent="0.25">
      <c r="A53">
        <v>50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</row>
    <row r="54" spans="1:8" x14ac:dyDescent="0.25">
      <c r="A54">
        <v>51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</row>
    <row r="55" spans="1:8" x14ac:dyDescent="0.25">
      <c r="A55">
        <v>52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</row>
    <row r="56" spans="1:8" x14ac:dyDescent="0.25">
      <c r="A56">
        <v>53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</row>
    <row r="57" spans="1:8" x14ac:dyDescent="0.25">
      <c r="A57">
        <v>54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</row>
    <row r="58" spans="1:8" x14ac:dyDescent="0.25">
      <c r="A58">
        <v>55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</row>
    <row r="59" spans="1:8" x14ac:dyDescent="0.25">
      <c r="A59">
        <v>56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</row>
    <row r="60" spans="1:8" x14ac:dyDescent="0.25">
      <c r="A60">
        <v>57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</row>
    <row r="61" spans="1:8" x14ac:dyDescent="0.25">
      <c r="A61">
        <v>58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</row>
    <row r="62" spans="1:8" x14ac:dyDescent="0.25">
      <c r="A62">
        <v>59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</row>
    <row r="63" spans="1:8" x14ac:dyDescent="0.25">
      <c r="A63">
        <v>60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</row>
    <row r="64" spans="1:8" x14ac:dyDescent="0.25">
      <c r="A64">
        <v>61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</row>
    <row r="65" spans="1:8" x14ac:dyDescent="0.25">
      <c r="A65">
        <v>62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</row>
    <row r="66" spans="1:8" x14ac:dyDescent="0.25">
      <c r="A66">
        <v>63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</row>
    <row r="67" spans="1:8" x14ac:dyDescent="0.25">
      <c r="A67">
        <v>64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</row>
    <row r="68" spans="1:8" x14ac:dyDescent="0.25">
      <c r="A68">
        <v>65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</row>
    <row r="69" spans="1:8" x14ac:dyDescent="0.25">
      <c r="A69">
        <v>66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</row>
    <row r="70" spans="1:8" x14ac:dyDescent="0.25">
      <c r="A70">
        <v>67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</row>
    <row r="71" spans="1:8" x14ac:dyDescent="0.25">
      <c r="A71">
        <v>68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</row>
    <row r="72" spans="1:8" x14ac:dyDescent="0.25">
      <c r="A72">
        <v>69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</row>
    <row r="73" spans="1:8" x14ac:dyDescent="0.25">
      <c r="A73">
        <v>70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</row>
    <row r="74" spans="1:8" x14ac:dyDescent="0.25">
      <c r="A74">
        <v>71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</row>
    <row r="75" spans="1:8" x14ac:dyDescent="0.25">
      <c r="A75">
        <v>72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</row>
    <row r="76" spans="1:8" x14ac:dyDescent="0.25">
      <c r="A76">
        <v>73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</row>
    <row r="77" spans="1:8" x14ac:dyDescent="0.25">
      <c r="A77">
        <v>74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</row>
    <row r="78" spans="1:8" x14ac:dyDescent="0.25">
      <c r="A78">
        <v>75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</row>
    <row r="79" spans="1:8" x14ac:dyDescent="0.25">
      <c r="A79">
        <v>76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</row>
    <row r="80" spans="1:8" x14ac:dyDescent="0.25">
      <c r="A80">
        <v>77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</row>
    <row r="81" spans="1:8" x14ac:dyDescent="0.25">
      <c r="A81">
        <v>78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</row>
    <row r="82" spans="1:8" x14ac:dyDescent="0.25">
      <c r="A82">
        <v>79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</row>
    <row r="83" spans="1:8" x14ac:dyDescent="0.25">
      <c r="A83">
        <v>80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</row>
    <row r="84" spans="1:8" x14ac:dyDescent="0.25">
      <c r="A84">
        <v>81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</row>
    <row r="85" spans="1:8" x14ac:dyDescent="0.25">
      <c r="A85">
        <v>82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</row>
    <row r="86" spans="1:8" x14ac:dyDescent="0.25">
      <c r="A86">
        <v>83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</row>
    <row r="87" spans="1:8" x14ac:dyDescent="0.25">
      <c r="A87">
        <v>84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</row>
    <row r="88" spans="1:8" x14ac:dyDescent="0.25">
      <c r="A88">
        <v>85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</row>
    <row r="89" spans="1:8" x14ac:dyDescent="0.25">
      <c r="A89">
        <v>86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</row>
    <row r="90" spans="1:8" x14ac:dyDescent="0.25">
      <c r="A90">
        <v>87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</row>
    <row r="91" spans="1:8" x14ac:dyDescent="0.25">
      <c r="A91">
        <v>88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</row>
    <row r="92" spans="1:8" x14ac:dyDescent="0.25">
      <c r="A92">
        <v>89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</row>
    <row r="93" spans="1:8" x14ac:dyDescent="0.25">
      <c r="A93">
        <v>90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</row>
    <row r="94" spans="1:8" x14ac:dyDescent="0.25">
      <c r="A94">
        <v>91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</row>
    <row r="95" spans="1:8" x14ac:dyDescent="0.25">
      <c r="A95">
        <v>92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</row>
    <row r="96" spans="1:8" x14ac:dyDescent="0.25">
      <c r="A96">
        <v>93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</row>
    <row r="97" spans="1:8" x14ac:dyDescent="0.25">
      <c r="A97">
        <v>94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</row>
    <row r="98" spans="1:8" x14ac:dyDescent="0.25">
      <c r="A98">
        <v>95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</row>
    <row r="99" spans="1:8" x14ac:dyDescent="0.25">
      <c r="A99">
        <v>96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</row>
    <row r="100" spans="1:8" x14ac:dyDescent="0.25">
      <c r="A100">
        <v>97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</row>
    <row r="101" spans="1:8" x14ac:dyDescent="0.25">
      <c r="A101">
        <v>98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</row>
    <row r="102" spans="1:8" x14ac:dyDescent="0.25">
      <c r="A102">
        <v>99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</row>
    <row r="103" spans="1:8" x14ac:dyDescent="0.25">
      <c r="A103">
        <v>100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</row>
    <row r="104" spans="1:8" x14ac:dyDescent="0.25">
      <c r="A104">
        <v>101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</row>
    <row r="105" spans="1:8" x14ac:dyDescent="0.25">
      <c r="A105">
        <v>102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</row>
    <row r="106" spans="1:8" x14ac:dyDescent="0.25">
      <c r="A106">
        <v>103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</row>
    <row r="107" spans="1:8" x14ac:dyDescent="0.25">
      <c r="A107">
        <v>104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</row>
    <row r="108" spans="1:8" x14ac:dyDescent="0.25">
      <c r="A108">
        <v>105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</row>
    <row r="109" spans="1:8" x14ac:dyDescent="0.25">
      <c r="A109">
        <v>106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</row>
    <row r="110" spans="1:8" x14ac:dyDescent="0.25">
      <c r="A110">
        <v>107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</row>
    <row r="111" spans="1:8" x14ac:dyDescent="0.25">
      <c r="A111">
        <v>108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</row>
    <row r="112" spans="1:8" x14ac:dyDescent="0.25">
      <c r="A112">
        <v>109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</row>
    <row r="113" spans="1:8" x14ac:dyDescent="0.25">
      <c r="A113">
        <v>110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</row>
    <row r="114" spans="1:8" x14ac:dyDescent="0.25">
      <c r="A114">
        <v>111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</row>
    <row r="115" spans="1:8" x14ac:dyDescent="0.25">
      <c r="A115">
        <v>112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</row>
    <row r="116" spans="1:8" x14ac:dyDescent="0.25">
      <c r="A116">
        <v>113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</row>
    <row r="117" spans="1:8" x14ac:dyDescent="0.25">
      <c r="A117">
        <v>114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</row>
    <row r="118" spans="1:8" x14ac:dyDescent="0.25">
      <c r="A118">
        <v>115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</row>
    <row r="119" spans="1:8" x14ac:dyDescent="0.25">
      <c r="A119">
        <v>116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</row>
    <row r="120" spans="1:8" x14ac:dyDescent="0.25">
      <c r="A120">
        <v>117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</row>
    <row r="121" spans="1:8" x14ac:dyDescent="0.25">
      <c r="A121">
        <v>118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</row>
    <row r="122" spans="1:8" x14ac:dyDescent="0.25">
      <c r="A122">
        <v>119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</row>
    <row r="123" spans="1:8" x14ac:dyDescent="0.25">
      <c r="A123">
        <v>120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</row>
    <row r="124" spans="1:8" x14ac:dyDescent="0.25">
      <c r="A124">
        <v>121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</row>
    <row r="125" spans="1:8" x14ac:dyDescent="0.25">
      <c r="A125">
        <v>122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</row>
    <row r="126" spans="1:8" x14ac:dyDescent="0.25">
      <c r="A126">
        <v>123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</row>
    <row r="127" spans="1:8" x14ac:dyDescent="0.25">
      <c r="A127">
        <v>124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</row>
    <row r="128" spans="1:8" x14ac:dyDescent="0.25">
      <c r="A128">
        <v>125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</row>
    <row r="129" spans="1:8" x14ac:dyDescent="0.25">
      <c r="A129">
        <v>126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</row>
    <row r="130" spans="1:8" x14ac:dyDescent="0.25">
      <c r="A130">
        <v>127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</row>
    <row r="131" spans="1:8" x14ac:dyDescent="0.25">
      <c r="A131">
        <v>128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</row>
    <row r="132" spans="1:8" x14ac:dyDescent="0.25">
      <c r="A132">
        <v>129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</row>
    <row r="133" spans="1:8" x14ac:dyDescent="0.25">
      <c r="A133">
        <v>130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</row>
    <row r="134" spans="1:8" x14ac:dyDescent="0.25">
      <c r="A134">
        <v>131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</row>
    <row r="135" spans="1:8" x14ac:dyDescent="0.25">
      <c r="A135">
        <v>132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</row>
    <row r="136" spans="1:8" x14ac:dyDescent="0.25">
      <c r="A136">
        <v>133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</row>
    <row r="137" spans="1:8" x14ac:dyDescent="0.25">
      <c r="A137">
        <v>134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</row>
    <row r="138" spans="1:8" x14ac:dyDescent="0.25">
      <c r="A138">
        <v>135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</row>
    <row r="139" spans="1:8" x14ac:dyDescent="0.25">
      <c r="A139">
        <v>136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</row>
    <row r="140" spans="1:8" x14ac:dyDescent="0.25">
      <c r="A140">
        <v>137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</row>
    <row r="141" spans="1:8" x14ac:dyDescent="0.25">
      <c r="A141">
        <v>138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</row>
    <row r="142" spans="1:8" x14ac:dyDescent="0.25">
      <c r="A142">
        <v>139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</row>
    <row r="143" spans="1:8" x14ac:dyDescent="0.25">
      <c r="A143">
        <v>140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</row>
    <row r="144" spans="1:8" x14ac:dyDescent="0.25">
      <c r="A144">
        <v>141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</row>
    <row r="145" spans="1:8" x14ac:dyDescent="0.25">
      <c r="A145">
        <v>142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</row>
    <row r="146" spans="1:8" x14ac:dyDescent="0.25">
      <c r="A146">
        <v>143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</row>
    <row r="147" spans="1:8" x14ac:dyDescent="0.25">
      <c r="A147">
        <v>144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</row>
    <row r="148" spans="1:8" x14ac:dyDescent="0.25">
      <c r="A148">
        <v>145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</row>
    <row r="149" spans="1:8" x14ac:dyDescent="0.25">
      <c r="A149">
        <v>146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</row>
    <row r="150" spans="1:8" x14ac:dyDescent="0.25">
      <c r="A150">
        <v>147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</row>
    <row r="151" spans="1:8" x14ac:dyDescent="0.25">
      <c r="A151">
        <v>148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</row>
    <row r="152" spans="1:8" x14ac:dyDescent="0.25">
      <c r="A152">
        <v>149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</row>
    <row r="153" spans="1:8" x14ac:dyDescent="0.25">
      <c r="A153">
        <v>150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</row>
    <row r="156" spans="1:8" x14ac:dyDescent="0.25">
      <c r="A156" s="40" t="s">
        <v>53</v>
      </c>
      <c r="B156" s="41">
        <f>SUM(B4:B153)</f>
        <v>150</v>
      </c>
      <c r="C156" s="41">
        <f t="shared" ref="C156:H156" si="0">SUM(C4:C153)</f>
        <v>150</v>
      </c>
      <c r="D156" s="41">
        <f t="shared" si="0"/>
        <v>150</v>
      </c>
      <c r="E156" s="41">
        <f t="shared" si="0"/>
        <v>150</v>
      </c>
      <c r="F156" s="41">
        <f t="shared" si="0"/>
        <v>150</v>
      </c>
      <c r="G156" s="41">
        <f t="shared" si="0"/>
        <v>150</v>
      </c>
      <c r="H156" s="41">
        <f t="shared" si="0"/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C363-43EA-49C8-B93F-3FA53DC6D6BF}">
  <sheetPr>
    <tabColor theme="4"/>
  </sheetPr>
  <dimension ref="B1:BG66"/>
  <sheetViews>
    <sheetView tabSelected="1" topLeftCell="A46" workbookViewId="0">
      <selection activeCell="AP2" sqref="AP2"/>
    </sheetView>
  </sheetViews>
  <sheetFormatPr defaultRowHeight="12.75" x14ac:dyDescent="0.2"/>
  <cols>
    <col min="1" max="2" width="9.140625" style="4"/>
    <col min="3" max="5" width="9.42578125" style="4" bestFit="1" customWidth="1"/>
    <col min="6" max="7" width="9.28515625" style="4" bestFit="1" customWidth="1"/>
    <col min="8" max="8" width="9.42578125" style="4" bestFit="1" customWidth="1"/>
    <col min="9" max="16" width="9.140625" style="4"/>
    <col min="17" max="17" width="12.85546875" style="4" customWidth="1"/>
    <col min="18" max="18" width="7.5703125" style="4" customWidth="1"/>
    <col min="19" max="19" width="12.28515625" style="4" customWidth="1"/>
    <col min="20" max="16384" width="9.140625" style="4"/>
  </cols>
  <sheetData>
    <row r="1" spans="2:59" x14ac:dyDescent="0.2">
      <c r="B1" s="6" t="s">
        <v>105</v>
      </c>
      <c r="V1" s="6" t="s">
        <v>107</v>
      </c>
      <c r="AP1" s="6" t="s">
        <v>109</v>
      </c>
    </row>
    <row r="2" spans="2:59" x14ac:dyDescent="0.2">
      <c r="V2" s="99" t="s">
        <v>103</v>
      </c>
      <c r="AP2" s="99" t="s">
        <v>104</v>
      </c>
    </row>
    <row r="3" spans="2:59" x14ac:dyDescent="0.2">
      <c r="B3" s="4" t="s">
        <v>60</v>
      </c>
      <c r="C3" s="4" t="s">
        <v>61</v>
      </c>
      <c r="D3" s="4" t="s">
        <v>62</v>
      </c>
      <c r="E3" s="4" t="s">
        <v>63</v>
      </c>
      <c r="F3" s="4" t="s">
        <v>64</v>
      </c>
      <c r="G3" s="4" t="s">
        <v>65</v>
      </c>
      <c r="H3" s="4" t="s">
        <v>66</v>
      </c>
      <c r="I3" s="4" t="s">
        <v>54</v>
      </c>
      <c r="M3" s="4" t="s">
        <v>61</v>
      </c>
      <c r="N3" s="4" t="s">
        <v>62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54</v>
      </c>
      <c r="V3" s="4" t="s">
        <v>60</v>
      </c>
      <c r="W3" s="4" t="s">
        <v>61</v>
      </c>
      <c r="X3" s="4" t="s">
        <v>62</v>
      </c>
      <c r="Y3" s="4" t="s">
        <v>63</v>
      </c>
      <c r="Z3" s="4" t="s">
        <v>64</v>
      </c>
      <c r="AA3" s="4" t="s">
        <v>65</v>
      </c>
      <c r="AB3" s="4" t="s">
        <v>66</v>
      </c>
      <c r="AC3" s="4" t="s">
        <v>54</v>
      </c>
      <c r="AG3" s="4" t="s">
        <v>61</v>
      </c>
      <c r="AH3" s="4" t="s">
        <v>62</v>
      </c>
      <c r="AI3" s="4" t="s">
        <v>63</v>
      </c>
      <c r="AJ3" s="4" t="s">
        <v>64</v>
      </c>
      <c r="AK3" s="4" t="s">
        <v>65</v>
      </c>
      <c r="AL3" s="4" t="s">
        <v>66</v>
      </c>
      <c r="AM3" s="4" t="s">
        <v>54</v>
      </c>
      <c r="AP3" s="4" t="s">
        <v>60</v>
      </c>
      <c r="AQ3" s="4" t="s">
        <v>61</v>
      </c>
      <c r="AR3" s="4" t="s">
        <v>62</v>
      </c>
      <c r="AS3" s="4" t="s">
        <v>63</v>
      </c>
      <c r="AT3" s="4" t="s">
        <v>64</v>
      </c>
      <c r="AU3" s="4" t="s">
        <v>65</v>
      </c>
      <c r="AV3" s="4" t="s">
        <v>66</v>
      </c>
      <c r="AW3" s="4" t="s">
        <v>54</v>
      </c>
      <c r="BA3" s="4" t="s">
        <v>61</v>
      </c>
      <c r="BB3" s="4" t="s">
        <v>62</v>
      </c>
      <c r="BC3" s="4" t="s">
        <v>63</v>
      </c>
      <c r="BD3" s="4" t="s">
        <v>64</v>
      </c>
      <c r="BE3" s="4" t="s">
        <v>65</v>
      </c>
      <c r="BF3" s="4" t="s">
        <v>66</v>
      </c>
      <c r="BG3" s="4" t="s">
        <v>54</v>
      </c>
    </row>
    <row r="4" spans="2:59" x14ac:dyDescent="0.2">
      <c r="B4" s="4">
        <v>1</v>
      </c>
      <c r="C4" s="7">
        <v>259374.69449537114</v>
      </c>
      <c r="D4" s="8">
        <v>172665.89889346107</v>
      </c>
      <c r="E4" s="8">
        <v>95271.332128552516</v>
      </c>
      <c r="F4" s="8">
        <v>313120.10865961888</v>
      </c>
      <c r="G4" s="8">
        <v>716311.79987671564</v>
      </c>
      <c r="H4" s="8">
        <v>69626.666095362467</v>
      </c>
      <c r="I4" s="86">
        <v>127102.58474763307</v>
      </c>
      <c r="L4" s="4">
        <f t="shared" ref="L4:L35" si="0">B4-0.5</f>
        <v>0.5</v>
      </c>
      <c r="M4" s="90">
        <f>C4/C$55</f>
        <v>0.1685390026260277</v>
      </c>
      <c r="N4" s="91">
        <f t="shared" ref="N4:S4" si="1">D4/D$55</f>
        <v>0.13055947675143242</v>
      </c>
      <c r="O4" s="91">
        <f t="shared" si="1"/>
        <v>0.10740872532779798</v>
      </c>
      <c r="P4" s="91">
        <f t="shared" si="1"/>
        <v>0.28524207294816828</v>
      </c>
      <c r="Q4" s="91">
        <f t="shared" si="1"/>
        <v>0.33176409487459135</v>
      </c>
      <c r="R4" s="91">
        <f t="shared" si="1"/>
        <v>0.18636619543268851</v>
      </c>
      <c r="S4" s="92">
        <f t="shared" si="1"/>
        <v>0.37435809334206882</v>
      </c>
      <c r="V4" s="4">
        <v>1</v>
      </c>
      <c r="W4" s="11">
        <v>16835.112431780319</v>
      </c>
      <c r="X4" s="100">
        <v>16443.476020850951</v>
      </c>
      <c r="Y4" s="100">
        <v>3649.8947423453824</v>
      </c>
      <c r="Z4" s="100">
        <v>22282.348938942283</v>
      </c>
      <c r="AA4" s="100">
        <v>59096.458205581788</v>
      </c>
      <c r="AB4" s="100">
        <v>18850.806551574795</v>
      </c>
      <c r="AC4" s="86">
        <v>527.1969484208131</v>
      </c>
      <c r="AF4" s="4">
        <f t="shared" ref="AF4:AF54" si="2">V4-0.5</f>
        <v>0.5</v>
      </c>
      <c r="AG4" s="90">
        <f>W4/W$55</f>
        <v>7.8833829158943894E-2</v>
      </c>
      <c r="AH4" s="91">
        <f t="shared" ref="AH4:AH54" si="3">X4/X$55</f>
        <v>0.14761167733497241</v>
      </c>
      <c r="AI4" s="91">
        <f t="shared" ref="AI4:AI54" si="4">Y4/Y$55</f>
        <v>4.8884319598130437E-2</v>
      </c>
      <c r="AJ4" s="91">
        <f t="shared" ref="AJ4:AJ54" si="5">Z4/Z$55</f>
        <v>0.18585046043408748</v>
      </c>
      <c r="AK4" s="91">
        <f t="shared" ref="AK4:AK54" si="6">AA4/AA$55</f>
        <v>0.27769324336523371</v>
      </c>
      <c r="AL4" s="91">
        <f t="shared" ref="AL4:AL54" si="7">AB4/AB$55</f>
        <v>0.43506067566738493</v>
      </c>
      <c r="AM4" s="92">
        <f t="shared" ref="AM4:AM54" si="8">AC4/AC$55</f>
        <v>2.1843455954918753E-2</v>
      </c>
      <c r="AP4" s="4">
        <v>1</v>
      </c>
      <c r="AQ4" s="11">
        <v>17701.570077498433</v>
      </c>
      <c r="AR4" s="100">
        <v>35969.545863060455</v>
      </c>
      <c r="AS4" s="100">
        <v>12330.119097364368</v>
      </c>
      <c r="AT4" s="100">
        <v>23743.10824969794</v>
      </c>
      <c r="AU4" s="100">
        <v>99579.517681290425</v>
      </c>
      <c r="AV4" s="100">
        <v>25764.058046817307</v>
      </c>
      <c r="AW4" s="86">
        <v>7278.1823697876034</v>
      </c>
      <c r="AZ4" s="4">
        <f t="shared" ref="AZ4:AZ54" si="9">AP4-0.5</f>
        <v>0.5</v>
      </c>
      <c r="BA4" s="90">
        <f>AQ4/AQ$55</f>
        <v>5.0682616814255954E-2</v>
      </c>
      <c r="BB4" s="91">
        <f t="shared" ref="BB4:BB54" si="10">AR4/AR$55</f>
        <v>0.13540643432899896</v>
      </c>
      <c r="BC4" s="91">
        <f t="shared" ref="BC4:BC54" si="11">AS4/AS$55</f>
        <v>7.6683007996289965E-2</v>
      </c>
      <c r="BD4" s="91">
        <f t="shared" ref="BD4:BD54" si="12">AT4/AT$55</f>
        <v>0.11950897950132527</v>
      </c>
      <c r="BE4" s="91">
        <f t="shared" ref="BE4:BE54" si="13">AU4/AU$55</f>
        <v>0.2483287817967943</v>
      </c>
      <c r="BF4" s="91">
        <f t="shared" ref="BF4:BF54" si="14">AV4/AV$55</f>
        <v>0.25111249241857325</v>
      </c>
      <c r="BG4" s="92">
        <f t="shared" ref="BG4:BG54" si="15">AW4/AW$55</f>
        <v>0.13409755557570552</v>
      </c>
    </row>
    <row r="5" spans="2:59" x14ac:dyDescent="0.2">
      <c r="B5" s="4">
        <v>2</v>
      </c>
      <c r="C5" s="9">
        <v>272111.1114826175</v>
      </c>
      <c r="D5" s="85">
        <v>317696.22487613698</v>
      </c>
      <c r="E5" s="85">
        <v>286594.95136888861</v>
      </c>
      <c r="F5" s="85">
        <v>194313.31582756602</v>
      </c>
      <c r="G5" s="85">
        <v>496465.62427264091</v>
      </c>
      <c r="H5" s="85">
        <v>82092.223214635902</v>
      </c>
      <c r="I5" s="13">
        <v>97805.549226192801</v>
      </c>
      <c r="L5" s="4">
        <f t="shared" si="0"/>
        <v>1.5</v>
      </c>
      <c r="M5" s="93">
        <f t="shared" ref="M5:M36" si="16">C5/C$55</f>
        <v>0.17681499508641788</v>
      </c>
      <c r="N5" s="94">
        <f t="shared" ref="N5:N37" si="17">D5/D$55</f>
        <v>0.24022260997423073</v>
      </c>
      <c r="O5" s="94">
        <f t="shared" ref="O5:O37" si="18">E5/E$55</f>
        <v>0.32310662320096883</v>
      </c>
      <c r="P5" s="94">
        <f t="shared" ref="P5:P37" si="19">F5/F$55</f>
        <v>0.17701301026418248</v>
      </c>
      <c r="Q5" s="94">
        <f t="shared" ref="Q5:Q37" si="20">G5/G$55</f>
        <v>0.22994102358988056</v>
      </c>
      <c r="R5" s="94">
        <f t="shared" ref="R5:R37" si="21">H5/H$55</f>
        <v>0.21973212524880231</v>
      </c>
      <c r="S5" s="95">
        <f t="shared" ref="S5:S37" si="22">I5/I$55</f>
        <v>0.2880688775864822</v>
      </c>
      <c r="V5" s="4">
        <v>2</v>
      </c>
      <c r="W5" s="12">
        <v>36465.163425144659</v>
      </c>
      <c r="X5" s="4">
        <v>28506.341598539486</v>
      </c>
      <c r="Y5" s="4">
        <v>12887.881308553831</v>
      </c>
      <c r="Z5" s="4">
        <v>40923.957991012503</v>
      </c>
      <c r="AA5" s="4">
        <v>56382.260819409872</v>
      </c>
      <c r="AB5" s="4">
        <v>435.04082376002771</v>
      </c>
      <c r="AC5" s="13">
        <v>11488.20569241715</v>
      </c>
      <c r="AF5" s="4">
        <f t="shared" si="2"/>
        <v>1.5</v>
      </c>
      <c r="AG5" s="93">
        <f t="shared" ref="AG5:AG36" si="23">W5/W$55</f>
        <v>0.17075552511809533</v>
      </c>
      <c r="AH5" s="94">
        <f t="shared" si="3"/>
        <v>0.25589898952681145</v>
      </c>
      <c r="AI5" s="94">
        <f t="shared" si="4"/>
        <v>0.17261191165893075</v>
      </c>
      <c r="AJ5" s="94">
        <f t="shared" si="5"/>
        <v>0.34133458982515885</v>
      </c>
      <c r="AK5" s="94">
        <f t="shared" si="6"/>
        <v>0.26493927640705267</v>
      </c>
      <c r="AL5" s="94">
        <f t="shared" si="7"/>
        <v>1.0040374357993815E-2</v>
      </c>
      <c r="AM5" s="95">
        <f t="shared" si="8"/>
        <v>0.47599310996591121</v>
      </c>
      <c r="AP5" s="4">
        <v>2</v>
      </c>
      <c r="AQ5" s="12">
        <v>59422.893925994169</v>
      </c>
      <c r="AR5" s="4">
        <v>57718.013097016636</v>
      </c>
      <c r="AS5" s="4">
        <v>27924.948586825471</v>
      </c>
      <c r="AT5" s="4">
        <v>58448.79824885221</v>
      </c>
      <c r="AU5" s="4">
        <v>109874.3111943597</v>
      </c>
      <c r="AV5" s="4">
        <v>6043.0565292108549</v>
      </c>
      <c r="AW5" s="13">
        <v>19129.145504544587</v>
      </c>
      <c r="AZ5" s="4">
        <f t="shared" si="9"/>
        <v>1.5</v>
      </c>
      <c r="BA5" s="93">
        <f t="shared" ref="BA5:BA36" si="24">AQ5/AQ$55</f>
        <v>0.17013788887990841</v>
      </c>
      <c r="BB5" s="94">
        <f t="shared" si="10"/>
        <v>0.21727798231802625</v>
      </c>
      <c r="BC5" s="94">
        <f t="shared" si="11"/>
        <v>0.17366977876452575</v>
      </c>
      <c r="BD5" s="94">
        <f t="shared" si="12"/>
        <v>0.2941972111797132</v>
      </c>
      <c r="BE5" s="94">
        <f t="shared" si="13"/>
        <v>0.27400166705952705</v>
      </c>
      <c r="BF5" s="94">
        <f t="shared" si="14"/>
        <v>5.8899377734631712E-2</v>
      </c>
      <c r="BG5" s="95">
        <f t="shared" si="15"/>
        <v>0.35244674041965285</v>
      </c>
    </row>
    <row r="6" spans="2:59" x14ac:dyDescent="0.2">
      <c r="B6" s="4">
        <v>3</v>
      </c>
      <c r="C6" s="9">
        <v>307666.46357981709</v>
      </c>
      <c r="D6" s="85">
        <v>230658.42572704813</v>
      </c>
      <c r="E6" s="85">
        <v>82746.481732716551</v>
      </c>
      <c r="F6" s="85">
        <v>189610.38260729884</v>
      </c>
      <c r="G6" s="85">
        <v>217348.23488330632</v>
      </c>
      <c r="H6" s="85">
        <v>71718.383155929943</v>
      </c>
      <c r="I6" s="13">
        <v>36282.843808765552</v>
      </c>
      <c r="L6" s="4">
        <f t="shared" si="0"/>
        <v>2.5</v>
      </c>
      <c r="M6" s="93">
        <f t="shared" si="16"/>
        <v>0.19991849634407893</v>
      </c>
      <c r="N6" s="94">
        <f t="shared" si="17"/>
        <v>0.17440990701825837</v>
      </c>
      <c r="O6" s="94">
        <f t="shared" si="18"/>
        <v>9.3288231934015239E-2</v>
      </c>
      <c r="P6" s="94">
        <f t="shared" si="19"/>
        <v>0.1727287934937288</v>
      </c>
      <c r="Q6" s="94">
        <f t="shared" si="20"/>
        <v>0.10066613509795701</v>
      </c>
      <c r="R6" s="94">
        <f t="shared" si="21"/>
        <v>0.19196498929085906</v>
      </c>
      <c r="S6" s="95">
        <f t="shared" si="22"/>
        <v>0.10686467357250577</v>
      </c>
      <c r="V6" s="4">
        <v>3</v>
      </c>
      <c r="W6" s="12">
        <v>21595.079482611538</v>
      </c>
      <c r="X6" s="4">
        <v>19420.370081405075</v>
      </c>
      <c r="Y6" s="4">
        <v>14650.976606736294</v>
      </c>
      <c r="Z6" s="4">
        <v>19808.615445556447</v>
      </c>
      <c r="AA6" s="4">
        <v>31009.990144941796</v>
      </c>
      <c r="AB6" s="4">
        <v>315.97780579980463</v>
      </c>
      <c r="AC6" s="13">
        <v>2605.6301646887205</v>
      </c>
      <c r="AF6" s="4">
        <f t="shared" si="2"/>
        <v>2.5</v>
      </c>
      <c r="AG6" s="93">
        <f t="shared" si="23"/>
        <v>0.10112334048879176</v>
      </c>
      <c r="AH6" s="94">
        <f t="shared" si="3"/>
        <v>0.17433500061343887</v>
      </c>
      <c r="AI6" s="94">
        <f t="shared" si="4"/>
        <v>0.19622566496484919</v>
      </c>
      <c r="AJ6" s="94">
        <f t="shared" si="5"/>
        <v>0.16521778342158913</v>
      </c>
      <c r="AK6" s="94">
        <f t="shared" si="6"/>
        <v>0.14571541174458183</v>
      </c>
      <c r="AL6" s="94">
        <f t="shared" si="7"/>
        <v>7.2925005787445501E-3</v>
      </c>
      <c r="AM6" s="95">
        <f t="shared" si="8"/>
        <v>0.10795959253496086</v>
      </c>
      <c r="AP6" s="4">
        <v>3</v>
      </c>
      <c r="AQ6" s="12">
        <v>42473.560367792234</v>
      </c>
      <c r="AR6" s="4">
        <v>42046.230750225077</v>
      </c>
      <c r="AS6" s="4">
        <v>19237.173459869395</v>
      </c>
      <c r="AT6" s="4">
        <v>22107.303125952283</v>
      </c>
      <c r="AU6" s="4">
        <v>41355.015448182414</v>
      </c>
      <c r="AV6" s="4">
        <v>21607.009499397467</v>
      </c>
      <c r="AW6" s="13">
        <v>9081.7053314525001</v>
      </c>
      <c r="AZ6" s="4">
        <f t="shared" si="9"/>
        <v>2.5</v>
      </c>
      <c r="BA6" s="93">
        <f t="shared" si="24"/>
        <v>0.12160905362820761</v>
      </c>
      <c r="BB6" s="94">
        <f t="shared" si="10"/>
        <v>0.15828195898100431</v>
      </c>
      <c r="BC6" s="94">
        <f t="shared" si="11"/>
        <v>0.11963909793576175</v>
      </c>
      <c r="BD6" s="94">
        <f t="shared" si="12"/>
        <v>0.11127528916280906</v>
      </c>
      <c r="BE6" s="94">
        <f t="shared" si="13"/>
        <v>0.10313004969860652</v>
      </c>
      <c r="BF6" s="94">
        <f t="shared" si="14"/>
        <v>0.21059531845666474</v>
      </c>
      <c r="BG6" s="95">
        <f t="shared" si="15"/>
        <v>0.16732673400188133</v>
      </c>
    </row>
    <row r="7" spans="2:59" x14ac:dyDescent="0.2">
      <c r="B7" s="4">
        <v>4</v>
      </c>
      <c r="C7" s="9">
        <v>217952.36523269769</v>
      </c>
      <c r="D7" s="85">
        <v>132007.99772159243</v>
      </c>
      <c r="E7" s="85">
        <v>72254.728760662372</v>
      </c>
      <c r="F7" s="85">
        <v>100916.04546966928</v>
      </c>
      <c r="G7" s="85">
        <v>160212.50962952757</v>
      </c>
      <c r="H7" s="85">
        <v>24655.533656519838</v>
      </c>
      <c r="I7" s="13">
        <v>25225.212716689042</v>
      </c>
      <c r="L7" s="4">
        <f t="shared" si="0"/>
        <v>3.5</v>
      </c>
      <c r="M7" s="93">
        <f t="shared" si="16"/>
        <v>0.14162320008808005</v>
      </c>
      <c r="N7" s="94">
        <f t="shared" si="17"/>
        <v>9.9816438682948788E-2</v>
      </c>
      <c r="O7" s="94">
        <f t="shared" si="18"/>
        <v>8.1459848851663588E-2</v>
      </c>
      <c r="P7" s="94">
        <f t="shared" si="19"/>
        <v>9.1931182978707102E-2</v>
      </c>
      <c r="Q7" s="94">
        <f t="shared" si="20"/>
        <v>7.4203382177949723E-2</v>
      </c>
      <c r="R7" s="94">
        <f t="shared" si="21"/>
        <v>6.5994226947974688E-2</v>
      </c>
      <c r="S7" s="95">
        <f t="shared" si="22"/>
        <v>7.4296384731418086E-2</v>
      </c>
      <c r="V7" s="4">
        <v>4</v>
      </c>
      <c r="W7" s="12">
        <v>88354.946400672503</v>
      </c>
      <c r="X7" s="4">
        <v>14874.623504989249</v>
      </c>
      <c r="Y7" s="4">
        <v>7752.892112984744</v>
      </c>
      <c r="Z7" s="4">
        <v>10889.698512120507</v>
      </c>
      <c r="AA7" s="4">
        <v>27093.563081658591</v>
      </c>
      <c r="AB7" s="4">
        <v>4172.2041352842862</v>
      </c>
      <c r="AC7" s="13">
        <v>3725.0237078657592</v>
      </c>
      <c r="AF7" s="4">
        <f t="shared" si="2"/>
        <v>3.5</v>
      </c>
      <c r="AG7" s="93">
        <f t="shared" si="23"/>
        <v>0.41373996034320937</v>
      </c>
      <c r="AH7" s="94">
        <f t="shared" si="3"/>
        <v>0.13352822253114116</v>
      </c>
      <c r="AI7" s="94">
        <f t="shared" si="4"/>
        <v>0.10383720151267514</v>
      </c>
      <c r="AJ7" s="94">
        <f t="shared" si="5"/>
        <v>9.0827743879773548E-2</v>
      </c>
      <c r="AK7" s="94">
        <f t="shared" si="6"/>
        <v>0.12731218815674644</v>
      </c>
      <c r="AL7" s="94">
        <f t="shared" si="7"/>
        <v>9.6290943581265526E-2</v>
      </c>
      <c r="AM7" s="95">
        <f t="shared" si="8"/>
        <v>0.15433964771140082</v>
      </c>
      <c r="AP7" s="4">
        <v>4</v>
      </c>
      <c r="AQ7" s="12">
        <v>123011.24566009057</v>
      </c>
      <c r="AR7" s="4">
        <v>30852.433572419162</v>
      </c>
      <c r="AS7" s="4">
        <v>13822.803049138944</v>
      </c>
      <c r="AT7" s="4">
        <v>14472.462985777558</v>
      </c>
      <c r="AU7" s="4">
        <v>45939.779264920275</v>
      </c>
      <c r="AV7" s="4">
        <v>8444.7129322715627</v>
      </c>
      <c r="AW7" s="13">
        <v>6712.4567119784551</v>
      </c>
      <c r="AZ7" s="4">
        <f t="shared" si="9"/>
        <v>3.5</v>
      </c>
      <c r="BA7" s="93">
        <f t="shared" si="24"/>
        <v>0.35220219451379497</v>
      </c>
      <c r="BB7" s="94">
        <f t="shared" si="10"/>
        <v>0.11614319614482134</v>
      </c>
      <c r="BC7" s="94">
        <f t="shared" si="11"/>
        <v>8.5966251289076215E-2</v>
      </c>
      <c r="BD7" s="94">
        <f t="shared" si="12"/>
        <v>7.2845950248446631E-2</v>
      </c>
      <c r="BE7" s="94">
        <f t="shared" si="13"/>
        <v>0.11456341310452757</v>
      </c>
      <c r="BF7" s="94">
        <f t="shared" si="14"/>
        <v>8.2307410902764583E-2</v>
      </c>
      <c r="BG7" s="95">
        <f t="shared" si="15"/>
        <v>0.12367428998764102</v>
      </c>
    </row>
    <row r="8" spans="2:59" x14ac:dyDescent="0.2">
      <c r="B8" s="4">
        <v>5</v>
      </c>
      <c r="C8" s="9">
        <v>118954.76802213397</v>
      </c>
      <c r="D8" s="85">
        <v>108950.19795031869</v>
      </c>
      <c r="E8" s="85">
        <v>67023.666670856532</v>
      </c>
      <c r="F8" s="85">
        <v>48570.892008080962</v>
      </c>
      <c r="G8" s="85">
        <v>111050.19366736687</v>
      </c>
      <c r="H8" s="85">
        <v>7889.474515449605</v>
      </c>
      <c r="I8" s="13">
        <v>14263.846944137185</v>
      </c>
      <c r="L8" s="4">
        <f t="shared" si="0"/>
        <v>4.5</v>
      </c>
      <c r="M8" s="93">
        <f t="shared" si="16"/>
        <v>7.7295581972892657E-2</v>
      </c>
      <c r="N8" s="94">
        <f t="shared" si="17"/>
        <v>8.2381529459591984E-2</v>
      </c>
      <c r="O8" s="94">
        <f t="shared" si="18"/>
        <v>7.556235903365123E-2</v>
      </c>
      <c r="P8" s="94">
        <f t="shared" si="19"/>
        <v>4.4246477751409122E-2</v>
      </c>
      <c r="Q8" s="94">
        <f t="shared" si="20"/>
        <v>5.1433561465890974E-2</v>
      </c>
      <c r="R8" s="94">
        <f t="shared" si="21"/>
        <v>2.1117359653465142E-2</v>
      </c>
      <c r="S8" s="95">
        <f t="shared" si="22"/>
        <v>4.2011628294834742E-2</v>
      </c>
      <c r="V8" s="4">
        <v>5</v>
      </c>
      <c r="W8" s="12">
        <v>8461.5629017393221</v>
      </c>
      <c r="X8" s="4">
        <v>8549.5843942822248</v>
      </c>
      <c r="Y8" s="4">
        <v>2989.3857233408271</v>
      </c>
      <c r="Z8" s="4">
        <v>3984.9642732889624</v>
      </c>
      <c r="AA8" s="4">
        <v>6664.509921231831</v>
      </c>
      <c r="AB8" s="4">
        <v>236.2077810987721</v>
      </c>
      <c r="AC8" s="13">
        <v>27.540105649819452</v>
      </c>
      <c r="AF8" s="4">
        <f t="shared" si="2"/>
        <v>4.5</v>
      </c>
      <c r="AG8" s="93">
        <f t="shared" si="23"/>
        <v>3.9622984813225494E-2</v>
      </c>
      <c r="AH8" s="94">
        <f t="shared" si="3"/>
        <v>7.6748887604823707E-2</v>
      </c>
      <c r="AI8" s="94">
        <f t="shared" si="4"/>
        <v>4.0037890793523857E-2</v>
      </c>
      <c r="AJ8" s="94">
        <f t="shared" si="5"/>
        <v>3.3237404504953341E-2</v>
      </c>
      <c r="AK8" s="94">
        <f t="shared" si="6"/>
        <v>3.1316417796622607E-2</v>
      </c>
      <c r="AL8" s="94">
        <f t="shared" si="7"/>
        <v>5.4514758592194342E-3</v>
      </c>
      <c r="AM8" s="95">
        <f t="shared" si="8"/>
        <v>1.141074671538996E-3</v>
      </c>
      <c r="AP8" s="4">
        <v>5</v>
      </c>
      <c r="AQ8" s="12">
        <v>14230.592293889669</v>
      </c>
      <c r="AR8" s="4">
        <v>18261.110719831602</v>
      </c>
      <c r="AS8" s="4">
        <v>3531.2980347798002</v>
      </c>
      <c r="AT8" s="4">
        <v>10649.247385813011</v>
      </c>
      <c r="AU8" s="4">
        <v>16526.625014137069</v>
      </c>
      <c r="AV8" s="4">
        <v>2232.533917756904</v>
      </c>
      <c r="AW8" s="13">
        <v>2479.3698001804223</v>
      </c>
      <c r="AZ8" s="4">
        <f t="shared" si="9"/>
        <v>4.5</v>
      </c>
      <c r="BA8" s="93">
        <f t="shared" si="24"/>
        <v>4.0744614919098698E-2</v>
      </c>
      <c r="BB8" s="94">
        <f t="shared" si="10"/>
        <v>6.8743483692375706E-2</v>
      </c>
      <c r="BC8" s="94">
        <f t="shared" si="11"/>
        <v>2.1961714505757325E-2</v>
      </c>
      <c r="BD8" s="94">
        <f t="shared" si="12"/>
        <v>5.3602109469043924E-2</v>
      </c>
      <c r="BE8" s="94">
        <f t="shared" si="13"/>
        <v>4.1213662734421709E-2</v>
      </c>
      <c r="BF8" s="94">
        <f t="shared" si="14"/>
        <v>2.1759660511485011E-2</v>
      </c>
      <c r="BG8" s="95">
        <f t="shared" si="15"/>
        <v>4.5681382064918306E-2</v>
      </c>
    </row>
    <row r="9" spans="2:59" x14ac:dyDescent="0.2">
      <c r="B9" s="4">
        <v>6</v>
      </c>
      <c r="C9" s="9">
        <v>105523.47755823517</v>
      </c>
      <c r="D9" s="85">
        <v>61351.646177723887</v>
      </c>
      <c r="E9" s="85">
        <v>74843.310980098904</v>
      </c>
      <c r="F9" s="85">
        <v>43027.604900737177</v>
      </c>
      <c r="G9" s="85">
        <v>105279.61644908553</v>
      </c>
      <c r="H9" s="85">
        <v>27483.914877898613</v>
      </c>
      <c r="I9" s="13">
        <v>14064.427767342539</v>
      </c>
      <c r="L9" s="4">
        <f t="shared" si="0"/>
        <v>5.5</v>
      </c>
      <c r="M9" s="93">
        <f t="shared" si="16"/>
        <v>6.8568067890726184E-2</v>
      </c>
      <c r="N9" s="94">
        <f t="shared" si="17"/>
        <v>4.639039251024913E-2</v>
      </c>
      <c r="O9" s="94">
        <f t="shared" si="18"/>
        <v>8.4378211704202663E-2</v>
      </c>
      <c r="P9" s="94">
        <f t="shared" si="19"/>
        <v>3.9196726356603505E-2</v>
      </c>
      <c r="Q9" s="94">
        <f t="shared" si="20"/>
        <v>4.876088410938708E-2</v>
      </c>
      <c r="R9" s="94">
        <f t="shared" si="21"/>
        <v>7.356481271664661E-2</v>
      </c>
      <c r="S9" s="95">
        <f t="shared" si="22"/>
        <v>4.1424274521117882E-2</v>
      </c>
      <c r="V9" s="4">
        <v>6</v>
      </c>
      <c r="W9" s="12">
        <v>15512.218045293237</v>
      </c>
      <c r="X9" s="4">
        <v>8039.3681679215224</v>
      </c>
      <c r="Y9" s="4">
        <v>396.45711423475586</v>
      </c>
      <c r="Z9" s="4">
        <v>4355.1811861322349</v>
      </c>
      <c r="AA9" s="4">
        <v>6366.4865823846485</v>
      </c>
      <c r="AB9" s="4">
        <v>6270.5300104960734</v>
      </c>
      <c r="AC9" s="13">
        <v>236.92786643584259</v>
      </c>
      <c r="AF9" s="4">
        <f t="shared" si="2"/>
        <v>5.5</v>
      </c>
      <c r="AG9" s="93">
        <f t="shared" si="23"/>
        <v>7.2639107829802166E-2</v>
      </c>
      <c r="AH9" s="94">
        <f t="shared" si="3"/>
        <v>7.2168720194896369E-2</v>
      </c>
      <c r="AI9" s="94">
        <f t="shared" si="4"/>
        <v>5.3098890919661404E-3</v>
      </c>
      <c r="AJ9" s="94">
        <f t="shared" si="5"/>
        <v>3.6325273916788997E-2</v>
      </c>
      <c r="AK9" s="94">
        <f t="shared" si="6"/>
        <v>2.9916011239682898E-2</v>
      </c>
      <c r="AL9" s="94">
        <f t="shared" si="7"/>
        <v>0.14471853051460729</v>
      </c>
      <c r="AM9" s="95">
        <f t="shared" si="8"/>
        <v>9.8166793842160358E-3</v>
      </c>
      <c r="AP9" s="4">
        <v>6</v>
      </c>
      <c r="AQ9" s="12">
        <v>19192.520349256112</v>
      </c>
      <c r="AR9" s="4">
        <v>18178.343783937395</v>
      </c>
      <c r="AS9" s="4">
        <v>16945.306546491804</v>
      </c>
      <c r="AT9" s="4">
        <v>14525.069753009215</v>
      </c>
      <c r="AU9" s="4">
        <v>19939.596795083082</v>
      </c>
      <c r="AV9" s="4">
        <v>6365.3920835467652</v>
      </c>
      <c r="AW9" s="13">
        <v>2605.3507498117615</v>
      </c>
      <c r="AZ9" s="4">
        <f t="shared" si="9"/>
        <v>5.5</v>
      </c>
      <c r="BA9" s="93">
        <f t="shared" si="24"/>
        <v>5.4951461949561832E-2</v>
      </c>
      <c r="BB9" s="94">
        <f t="shared" si="10"/>
        <v>6.8431909681615652E-2</v>
      </c>
      <c r="BC9" s="94">
        <f t="shared" si="11"/>
        <v>0.1053856063468173</v>
      </c>
      <c r="BD9" s="94">
        <f t="shared" si="12"/>
        <v>7.3110742077747204E-2</v>
      </c>
      <c r="BE9" s="94">
        <f t="shared" si="13"/>
        <v>4.9724841984975551E-2</v>
      </c>
      <c r="BF9" s="94">
        <f t="shared" si="14"/>
        <v>6.2041060007561225E-2</v>
      </c>
      <c r="BG9" s="95">
        <f t="shared" si="15"/>
        <v>4.8002529919744824E-2</v>
      </c>
    </row>
    <row r="10" spans="2:59" x14ac:dyDescent="0.2">
      <c r="B10" s="4">
        <v>7</v>
      </c>
      <c r="C10" s="9">
        <v>54832.500257908832</v>
      </c>
      <c r="D10" s="85">
        <v>80352.429009682732</v>
      </c>
      <c r="E10" s="85">
        <v>41794.952500193147</v>
      </c>
      <c r="F10" s="85">
        <v>45562.75278293516</v>
      </c>
      <c r="G10" s="85">
        <v>51922.022555072093</v>
      </c>
      <c r="H10" s="85">
        <v>12988.959690937365</v>
      </c>
      <c r="I10" s="13">
        <v>3127.3187332332018</v>
      </c>
      <c r="L10" s="4">
        <f t="shared" si="0"/>
        <v>6.5</v>
      </c>
      <c r="M10" s="93">
        <f t="shared" si="16"/>
        <v>3.5629593407094248E-2</v>
      </c>
      <c r="N10" s="94">
        <f t="shared" si="17"/>
        <v>6.0757631671577779E-2</v>
      </c>
      <c r="O10" s="94">
        <f t="shared" si="18"/>
        <v>4.7119552890519806E-2</v>
      </c>
      <c r="P10" s="94">
        <f t="shared" si="19"/>
        <v>4.1506162311527754E-2</v>
      </c>
      <c r="Q10" s="94">
        <f t="shared" si="20"/>
        <v>2.4047995328300265E-2</v>
      </c>
      <c r="R10" s="94">
        <f t="shared" si="21"/>
        <v>3.4766895156420237E-2</v>
      </c>
      <c r="S10" s="95">
        <f t="shared" si="22"/>
        <v>9.2109620002666162E-3</v>
      </c>
      <c r="V10" s="4">
        <v>7</v>
      </c>
      <c r="W10" s="12">
        <v>0</v>
      </c>
      <c r="X10" s="4">
        <v>1166.6322381570062</v>
      </c>
      <c r="Y10" s="4">
        <v>545.48477279685903</v>
      </c>
      <c r="Z10" s="4">
        <v>2220.2843129180692</v>
      </c>
      <c r="AA10" s="4">
        <v>598.71562736583292</v>
      </c>
      <c r="AB10" s="4">
        <v>0</v>
      </c>
      <c r="AC10" s="13">
        <v>51.118938565577992</v>
      </c>
      <c r="AF10" s="4">
        <f t="shared" si="2"/>
        <v>6.5</v>
      </c>
      <c r="AG10" s="93">
        <f t="shared" si="23"/>
        <v>0</v>
      </c>
      <c r="AH10" s="94">
        <f t="shared" si="3"/>
        <v>1.0472757784852895E-2</v>
      </c>
      <c r="AI10" s="94">
        <f t="shared" si="4"/>
        <v>7.3058687583357996E-3</v>
      </c>
      <c r="AJ10" s="94">
        <f t="shared" si="5"/>
        <v>1.8518732606742506E-2</v>
      </c>
      <c r="AK10" s="94">
        <f t="shared" si="6"/>
        <v>2.8133544626023845E-3</v>
      </c>
      <c r="AL10" s="94">
        <f t="shared" si="7"/>
        <v>0</v>
      </c>
      <c r="AM10" s="95">
        <f t="shared" si="8"/>
        <v>2.1180211425050007E-3</v>
      </c>
      <c r="AP10" s="4">
        <v>7</v>
      </c>
      <c r="AQ10" s="12">
        <v>0</v>
      </c>
      <c r="AR10" s="4">
        <v>2220.4291606272163</v>
      </c>
      <c r="AS10" s="4">
        <v>3887.0411137790652</v>
      </c>
      <c r="AT10" s="4">
        <v>12472.384418701025</v>
      </c>
      <c r="AU10" s="4">
        <v>6486.0555670975009</v>
      </c>
      <c r="AV10" s="4">
        <v>81.983596538571874</v>
      </c>
      <c r="AW10" s="13">
        <v>78.49401590157504</v>
      </c>
      <c r="AZ10" s="4">
        <f t="shared" si="9"/>
        <v>6.5</v>
      </c>
      <c r="BA10" s="93">
        <f t="shared" si="24"/>
        <v>0</v>
      </c>
      <c r="BB10" s="94">
        <f t="shared" si="10"/>
        <v>8.3587487166311928E-3</v>
      </c>
      <c r="BC10" s="94">
        <f t="shared" si="11"/>
        <v>2.4174138340118875E-2</v>
      </c>
      <c r="BD10" s="94">
        <f t="shared" si="12"/>
        <v>6.2778719540486139E-2</v>
      </c>
      <c r="BE10" s="94">
        <f t="shared" si="13"/>
        <v>1.6174754760298071E-2</v>
      </c>
      <c r="BF10" s="94">
        <f t="shared" si="14"/>
        <v>7.9906299026455852E-4</v>
      </c>
      <c r="BG10" s="95">
        <f t="shared" si="15"/>
        <v>1.4462203782383298E-3</v>
      </c>
    </row>
    <row r="11" spans="2:59" x14ac:dyDescent="0.2">
      <c r="B11" s="4">
        <v>8</v>
      </c>
      <c r="C11" s="9">
        <v>101770.4259644954</v>
      </c>
      <c r="D11" s="85">
        <v>37321.015756679466</v>
      </c>
      <c r="E11" s="85">
        <v>45055.69327270193</v>
      </c>
      <c r="F11" s="85">
        <v>20360.775074580219</v>
      </c>
      <c r="G11" s="85">
        <v>48291.357875288231</v>
      </c>
      <c r="H11" s="85">
        <v>6283.5504502095282</v>
      </c>
      <c r="I11" s="13">
        <v>5110.2227687858976</v>
      </c>
      <c r="L11" s="4">
        <f t="shared" si="0"/>
        <v>7.5</v>
      </c>
      <c r="M11" s="93">
        <f t="shared" si="16"/>
        <v>6.6129373654792489E-2</v>
      </c>
      <c r="N11" s="94">
        <f t="shared" si="17"/>
        <v>2.8219887773152895E-2</v>
      </c>
      <c r="O11" s="94">
        <f t="shared" si="18"/>
        <v>5.079570606456138E-2</v>
      </c>
      <c r="P11" s="94">
        <f t="shared" si="19"/>
        <v>1.8547993337017024E-2</v>
      </c>
      <c r="Q11" s="94">
        <f t="shared" si="20"/>
        <v>2.2366431264314507E-2</v>
      </c>
      <c r="R11" s="94">
        <f t="shared" si="21"/>
        <v>1.6818863474103708E-2</v>
      </c>
      <c r="S11" s="95">
        <f t="shared" si="22"/>
        <v>1.5051253726069814E-2</v>
      </c>
      <c r="V11" s="4">
        <v>8</v>
      </c>
      <c r="W11" s="12">
        <v>13966.541001741105</v>
      </c>
      <c r="X11" s="4">
        <v>350.91029151469411</v>
      </c>
      <c r="Y11" s="4">
        <v>9172.0880389391095</v>
      </c>
      <c r="Z11" s="4">
        <v>440.22733358746336</v>
      </c>
      <c r="AA11" s="4">
        <v>933.1170593657298</v>
      </c>
      <c r="AB11" s="4">
        <v>126.50853418991392</v>
      </c>
      <c r="AC11" s="13">
        <v>54.223910350105143</v>
      </c>
      <c r="AF11" s="4">
        <f t="shared" si="2"/>
        <v>7.5</v>
      </c>
      <c r="AG11" s="93">
        <f t="shared" si="23"/>
        <v>6.5401161514916498E-2</v>
      </c>
      <c r="AH11" s="94">
        <f t="shared" si="3"/>
        <v>3.1500916630343686E-3</v>
      </c>
      <c r="AI11" s="94">
        <f t="shared" si="4"/>
        <v>0.12284498998718259</v>
      </c>
      <c r="AJ11" s="94">
        <f t="shared" si="5"/>
        <v>3.6718055563662857E-3</v>
      </c>
      <c r="AK11" s="94">
        <f t="shared" si="6"/>
        <v>4.3847010552355639E-3</v>
      </c>
      <c r="AL11" s="94">
        <f t="shared" si="7"/>
        <v>2.9197099981781134E-3</v>
      </c>
      <c r="AM11" s="95">
        <f t="shared" si="8"/>
        <v>2.2466700556289195E-3</v>
      </c>
      <c r="AP11" s="4">
        <v>8</v>
      </c>
      <c r="AQ11" s="12">
        <v>43789.709966865252</v>
      </c>
      <c r="AR11" s="4">
        <v>2127.9241074583842</v>
      </c>
      <c r="AS11" s="4">
        <v>12030.880451585195</v>
      </c>
      <c r="AT11" s="4">
        <v>7099.0976809702697</v>
      </c>
      <c r="AU11" s="4">
        <v>9383.5892722888966</v>
      </c>
      <c r="AV11" s="4">
        <v>282.79932463352452</v>
      </c>
      <c r="AW11" s="13">
        <v>136.99851212387875</v>
      </c>
      <c r="AZ11" s="4">
        <f t="shared" si="9"/>
        <v>7.5</v>
      </c>
      <c r="BA11" s="93">
        <f t="shared" si="24"/>
        <v>0.12537741459890187</v>
      </c>
      <c r="BB11" s="94">
        <f t="shared" si="10"/>
        <v>8.0105158127548731E-3</v>
      </c>
      <c r="BC11" s="94">
        <f t="shared" si="11"/>
        <v>7.4821994385157187E-2</v>
      </c>
      <c r="BD11" s="94">
        <f t="shared" si="12"/>
        <v>3.5732723378531332E-2</v>
      </c>
      <c r="BE11" s="94">
        <f t="shared" si="13"/>
        <v>2.3400548095914141E-2</v>
      </c>
      <c r="BF11" s="94">
        <f t="shared" si="14"/>
        <v>2.7563376520099922E-3</v>
      </c>
      <c r="BG11" s="95">
        <f t="shared" si="15"/>
        <v>2.5241419711576857E-3</v>
      </c>
    </row>
    <row r="12" spans="2:59" x14ac:dyDescent="0.2">
      <c r="B12" s="4">
        <v>9</v>
      </c>
      <c r="C12" s="9">
        <v>40890.045407126192</v>
      </c>
      <c r="D12" s="85">
        <v>34045.739847321296</v>
      </c>
      <c r="E12" s="85">
        <v>13796.240672718268</v>
      </c>
      <c r="F12" s="85">
        <v>28581.6244145768</v>
      </c>
      <c r="G12" s="85">
        <v>65962.494971266715</v>
      </c>
      <c r="H12" s="85">
        <v>7778.9528634009766</v>
      </c>
      <c r="I12" s="13">
        <v>1105.060426792712</v>
      </c>
      <c r="L12" s="4">
        <f t="shared" si="0"/>
        <v>8.5</v>
      </c>
      <c r="M12" s="93">
        <f t="shared" si="16"/>
        <v>2.6569929975852061E-2</v>
      </c>
      <c r="N12" s="94">
        <f t="shared" si="17"/>
        <v>2.5743322848157339E-2</v>
      </c>
      <c r="O12" s="94">
        <f t="shared" si="18"/>
        <v>1.5553856463061773E-2</v>
      </c>
      <c r="P12" s="94">
        <f t="shared" si="19"/>
        <v>2.603691545438986E-2</v>
      </c>
      <c r="Q12" s="94">
        <f t="shared" si="20"/>
        <v>3.0550924113742838E-2</v>
      </c>
      <c r="R12" s="94">
        <f t="shared" si="21"/>
        <v>2.0821531905845753E-2</v>
      </c>
      <c r="S12" s="95">
        <f t="shared" si="22"/>
        <v>3.2547592578332381E-3</v>
      </c>
      <c r="V12" s="4">
        <v>9</v>
      </c>
      <c r="W12" s="12">
        <v>4166.6689106321428</v>
      </c>
      <c r="X12" s="4">
        <v>112.13870736773242</v>
      </c>
      <c r="Y12" s="4">
        <v>2108.7522508297479</v>
      </c>
      <c r="Z12" s="4">
        <v>7072.4102368858585</v>
      </c>
      <c r="AA12" s="4">
        <v>17145.46393933185</v>
      </c>
      <c r="AB12" s="4">
        <v>143.82524470342105</v>
      </c>
      <c r="AC12" s="13">
        <v>91.212770171267039</v>
      </c>
      <c r="AF12" s="4">
        <f t="shared" si="2"/>
        <v>8.5</v>
      </c>
      <c r="AG12" s="93">
        <f t="shared" si="23"/>
        <v>1.9511272430980782E-2</v>
      </c>
      <c r="AH12" s="94">
        <f t="shared" si="3"/>
        <v>1.0066595814496159E-3</v>
      </c>
      <c r="AI12" s="94">
        <f t="shared" si="4"/>
        <v>2.8243258027927969E-2</v>
      </c>
      <c r="AJ12" s="94">
        <f t="shared" si="5"/>
        <v>5.8988875118404997E-2</v>
      </c>
      <c r="AK12" s="94">
        <f t="shared" si="6"/>
        <v>8.0566240937007871E-2</v>
      </c>
      <c r="AL12" s="94">
        <f t="shared" si="7"/>
        <v>3.3193650344616166E-3</v>
      </c>
      <c r="AM12" s="95">
        <f t="shared" si="8"/>
        <v>3.7792368368791207E-3</v>
      </c>
      <c r="AP12" s="4">
        <v>9</v>
      </c>
      <c r="AQ12" s="12">
        <v>17065.715330491366</v>
      </c>
      <c r="AR12" s="4">
        <v>22823.014234917151</v>
      </c>
      <c r="AS12" s="4">
        <v>2749.1167010966892</v>
      </c>
      <c r="AT12" s="4">
        <v>12550.229501999478</v>
      </c>
      <c r="AU12" s="4">
        <v>25739.926969656837</v>
      </c>
      <c r="AV12" s="4">
        <v>4475.022709009645</v>
      </c>
      <c r="AW12" s="13">
        <v>138.78995752921037</v>
      </c>
      <c r="AZ12" s="4">
        <f t="shared" si="9"/>
        <v>8.5</v>
      </c>
      <c r="BA12" s="93">
        <f t="shared" si="24"/>
        <v>4.886205613229417E-2</v>
      </c>
      <c r="BB12" s="94">
        <f t="shared" si="10"/>
        <v>8.5916652658209941E-2</v>
      </c>
      <c r="BC12" s="94">
        <f t="shared" si="11"/>
        <v>1.709720208769059E-2</v>
      </c>
      <c r="BD12" s="94">
        <f t="shared" si="12"/>
        <v>6.3170546354665444E-2</v>
      </c>
      <c r="BE12" s="94">
        <f t="shared" si="13"/>
        <v>6.4189552799112357E-2</v>
      </c>
      <c r="BF12" s="94">
        <f t="shared" si="14"/>
        <v>4.3616347395551106E-2</v>
      </c>
      <c r="BG12" s="95">
        <f t="shared" si="15"/>
        <v>2.5571486255113207E-3</v>
      </c>
    </row>
    <row r="13" spans="2:59" x14ac:dyDescent="0.2">
      <c r="B13" s="4">
        <v>10</v>
      </c>
      <c r="C13" s="9">
        <v>2529.7286355788819</v>
      </c>
      <c r="D13" s="85">
        <v>15953.819528723368</v>
      </c>
      <c r="E13" s="85">
        <v>22276.434549570433</v>
      </c>
      <c r="F13" s="85">
        <v>16491.358796336222</v>
      </c>
      <c r="G13" s="85">
        <v>14864.284890340175</v>
      </c>
      <c r="H13" s="85">
        <v>5666.8995930728852</v>
      </c>
      <c r="I13" s="13">
        <v>4382.1938427496934</v>
      </c>
      <c r="L13" s="4">
        <f t="shared" si="0"/>
        <v>9.5</v>
      </c>
      <c r="M13" s="93">
        <f t="shared" si="16"/>
        <v>1.6437915887842155E-3</v>
      </c>
      <c r="N13" s="94">
        <f t="shared" si="17"/>
        <v>1.2063310376892194E-2</v>
      </c>
      <c r="O13" s="94">
        <f t="shared" si="18"/>
        <v>2.5114411506170175E-2</v>
      </c>
      <c r="P13" s="94">
        <f t="shared" si="19"/>
        <v>1.5023082959876356E-2</v>
      </c>
      <c r="Q13" s="94">
        <f t="shared" si="20"/>
        <v>6.8844824606414719E-3</v>
      </c>
      <c r="R13" s="94">
        <f t="shared" si="21"/>
        <v>1.5168305137769449E-2</v>
      </c>
      <c r="S13" s="95">
        <f t="shared" si="22"/>
        <v>1.2906973802967283E-2</v>
      </c>
      <c r="V13" s="4">
        <v>10</v>
      </c>
      <c r="W13" s="12">
        <v>1136.8807178906864</v>
      </c>
      <c r="X13" s="4">
        <v>26.962259629755863</v>
      </c>
      <c r="Y13" s="4">
        <v>10601.446795773569</v>
      </c>
      <c r="Z13" s="4">
        <v>0</v>
      </c>
      <c r="AA13" s="4">
        <v>212.60336732698488</v>
      </c>
      <c r="AB13" s="4">
        <v>0</v>
      </c>
      <c r="AC13" s="13">
        <v>0</v>
      </c>
      <c r="AF13" s="4">
        <f t="shared" si="2"/>
        <v>9.5</v>
      </c>
      <c r="AG13" s="93">
        <f t="shared" si="23"/>
        <v>5.3236745909165288E-3</v>
      </c>
      <c r="AH13" s="94">
        <f t="shared" si="3"/>
        <v>2.4203789780473148E-4</v>
      </c>
      <c r="AI13" s="94">
        <f t="shared" si="4"/>
        <v>0.14198889281781116</v>
      </c>
      <c r="AJ13" s="94">
        <f t="shared" si="5"/>
        <v>0</v>
      </c>
      <c r="AK13" s="94">
        <f t="shared" si="6"/>
        <v>9.9901957606360033E-4</v>
      </c>
      <c r="AL13" s="94">
        <f t="shared" si="7"/>
        <v>0</v>
      </c>
      <c r="AM13" s="95">
        <f t="shared" si="8"/>
        <v>0</v>
      </c>
      <c r="AP13" s="4">
        <v>10</v>
      </c>
      <c r="AQ13" s="12">
        <v>1136.8807178906864</v>
      </c>
      <c r="AR13" s="4">
        <v>1911.2087200889073</v>
      </c>
      <c r="AS13" s="4">
        <v>13650.103649780067</v>
      </c>
      <c r="AT13" s="4">
        <v>379.01185389122111</v>
      </c>
      <c r="AU13" s="4">
        <v>2080.9872740581632</v>
      </c>
      <c r="AV13" s="4">
        <v>71.994960897427518</v>
      </c>
      <c r="AW13" s="13">
        <v>65.208047435189656</v>
      </c>
      <c r="AZ13" s="4">
        <f t="shared" si="9"/>
        <v>9.5</v>
      </c>
      <c r="BA13" s="93">
        <f t="shared" si="24"/>
        <v>3.2550835624244631E-3</v>
      </c>
      <c r="BB13" s="94">
        <f t="shared" si="10"/>
        <v>7.1946962864353967E-3</v>
      </c>
      <c r="BC13" s="94">
        <f t="shared" si="11"/>
        <v>8.4892205749254782E-2</v>
      </c>
      <c r="BD13" s="94">
        <f t="shared" si="12"/>
        <v>1.9077249449014949E-3</v>
      </c>
      <c r="BE13" s="94">
        <f t="shared" si="13"/>
        <v>5.1895113245621688E-3</v>
      </c>
      <c r="BF13" s="94">
        <f t="shared" si="14"/>
        <v>7.0170755087101133E-4</v>
      </c>
      <c r="BG13" s="95">
        <f t="shared" si="15"/>
        <v>1.2014318027014164E-3</v>
      </c>
    </row>
    <row r="14" spans="2:59" x14ac:dyDescent="0.2">
      <c r="B14" s="4">
        <v>11</v>
      </c>
      <c r="C14" s="9">
        <v>11440.262538746232</v>
      </c>
      <c r="D14" s="85">
        <v>19081.978977545165</v>
      </c>
      <c r="E14" s="85">
        <v>5417.4056400967529</v>
      </c>
      <c r="F14" s="85">
        <v>5007.4449771714862</v>
      </c>
      <c r="G14" s="85">
        <v>15970.204345794627</v>
      </c>
      <c r="H14" s="85">
        <v>848.2839370071888</v>
      </c>
      <c r="I14" s="13">
        <v>574.96478343993658</v>
      </c>
      <c r="L14" s="4">
        <f t="shared" si="0"/>
        <v>10.5</v>
      </c>
      <c r="M14" s="93">
        <f t="shared" si="16"/>
        <v>7.4337646616278027E-3</v>
      </c>
      <c r="N14" s="94">
        <f t="shared" si="17"/>
        <v>1.4428634760285478E-2</v>
      </c>
      <c r="O14" s="94">
        <f t="shared" si="18"/>
        <v>6.107573195274228E-3</v>
      </c>
      <c r="P14" s="94">
        <f t="shared" si="19"/>
        <v>4.5616169193878767E-3</v>
      </c>
      <c r="Q14" s="94">
        <f t="shared" si="20"/>
        <v>7.3966956717126777E-3</v>
      </c>
      <c r="R14" s="94">
        <f t="shared" si="21"/>
        <v>2.270558951798239E-3</v>
      </c>
      <c r="S14" s="95">
        <f t="shared" si="22"/>
        <v>1.6934566711981713E-3</v>
      </c>
      <c r="V14" s="4">
        <v>11</v>
      </c>
      <c r="W14" s="12">
        <v>163.47176953873714</v>
      </c>
      <c r="X14" s="4">
        <v>1466.3343660192331</v>
      </c>
      <c r="Y14" s="4">
        <v>352.72083327413566</v>
      </c>
      <c r="Z14" s="4">
        <v>0</v>
      </c>
      <c r="AA14" s="4">
        <v>821.63861440910841</v>
      </c>
      <c r="AB14" s="4">
        <v>0</v>
      </c>
      <c r="AC14" s="13">
        <v>0</v>
      </c>
      <c r="AF14" s="4">
        <f t="shared" si="2"/>
        <v>10.5</v>
      </c>
      <c r="AG14" s="93">
        <f t="shared" si="23"/>
        <v>7.6548972300295086E-4</v>
      </c>
      <c r="AH14" s="94">
        <f t="shared" si="3"/>
        <v>1.3163158144150788E-2</v>
      </c>
      <c r="AI14" s="94">
        <f t="shared" si="4"/>
        <v>4.7241137511850198E-3</v>
      </c>
      <c r="AJ14" s="94">
        <f t="shared" si="5"/>
        <v>0</v>
      </c>
      <c r="AK14" s="94">
        <f t="shared" si="6"/>
        <v>3.8608657546897024E-3</v>
      </c>
      <c r="AL14" s="94">
        <f t="shared" si="7"/>
        <v>0</v>
      </c>
      <c r="AM14" s="95">
        <f t="shared" si="8"/>
        <v>0</v>
      </c>
      <c r="AP14" s="4">
        <v>11</v>
      </c>
      <c r="AQ14" s="12">
        <v>163.47176953870803</v>
      </c>
      <c r="AR14" s="4">
        <v>5106.8535441800486</v>
      </c>
      <c r="AS14" s="4">
        <v>459.4863256734825</v>
      </c>
      <c r="AT14" s="4">
        <v>1733.4669521944888</v>
      </c>
      <c r="AU14" s="4">
        <v>2910.3788190472405</v>
      </c>
      <c r="AV14" s="4">
        <v>0</v>
      </c>
      <c r="AW14" s="13">
        <v>0</v>
      </c>
      <c r="AZ14" s="4">
        <f t="shared" si="9"/>
        <v>10.5</v>
      </c>
      <c r="BA14" s="93">
        <f t="shared" si="24"/>
        <v>4.6804758104539564E-4</v>
      </c>
      <c r="BB14" s="94">
        <f t="shared" si="10"/>
        <v>1.9224619395820063E-2</v>
      </c>
      <c r="BC14" s="94">
        <f t="shared" si="11"/>
        <v>2.857619890576498E-3</v>
      </c>
      <c r="BD14" s="94">
        <f t="shared" si="12"/>
        <v>8.7252631069763796E-3</v>
      </c>
      <c r="BE14" s="94">
        <f t="shared" si="13"/>
        <v>7.2578261426645262E-3</v>
      </c>
      <c r="BF14" s="94">
        <f t="shared" si="14"/>
        <v>0</v>
      </c>
      <c r="BG14" s="95">
        <f t="shared" si="15"/>
        <v>0</v>
      </c>
    </row>
    <row r="15" spans="2:59" x14ac:dyDescent="0.2">
      <c r="B15" s="4">
        <v>12</v>
      </c>
      <c r="C15" s="9">
        <v>2942.0792297984008</v>
      </c>
      <c r="D15" s="85">
        <v>6682.6861741163302</v>
      </c>
      <c r="E15" s="85">
        <v>5641.4320701644756</v>
      </c>
      <c r="F15" s="85">
        <v>9441.2516516584437</v>
      </c>
      <c r="G15" s="85">
        <v>6849.8207343420945</v>
      </c>
      <c r="H15" s="85">
        <v>6252.3730040728697</v>
      </c>
      <c r="I15" s="13">
        <v>305.77662121003959</v>
      </c>
      <c r="L15" s="4">
        <f t="shared" si="0"/>
        <v>11.5</v>
      </c>
      <c r="M15" s="93">
        <f t="shared" si="16"/>
        <v>1.9117327540440663E-3</v>
      </c>
      <c r="N15" s="94">
        <f t="shared" si="17"/>
        <v>5.0530418326840878E-3</v>
      </c>
      <c r="O15" s="94">
        <f t="shared" si="18"/>
        <v>6.3601401821705913E-3</v>
      </c>
      <c r="P15" s="94">
        <f t="shared" si="19"/>
        <v>8.6006682990515861E-3</v>
      </c>
      <c r="Q15" s="94">
        <f t="shared" si="20"/>
        <v>3.1725354466774634E-3</v>
      </c>
      <c r="R15" s="94">
        <f t="shared" si="21"/>
        <v>1.6735412372023958E-2</v>
      </c>
      <c r="S15" s="95">
        <f t="shared" si="22"/>
        <v>9.0061073999442884E-4</v>
      </c>
      <c r="V15" s="4">
        <v>12</v>
      </c>
      <c r="W15" s="12">
        <v>0</v>
      </c>
      <c r="X15" s="4">
        <v>27.625817763939267</v>
      </c>
      <c r="Y15" s="4">
        <v>152.56664957517933</v>
      </c>
      <c r="Z15" s="4">
        <v>25.613647325983038</v>
      </c>
      <c r="AA15" s="4">
        <v>102.3586471430317</v>
      </c>
      <c r="AB15" s="4">
        <v>2168.0839800012436</v>
      </c>
      <c r="AC15" s="13">
        <v>0</v>
      </c>
      <c r="AF15" s="4">
        <f t="shared" si="2"/>
        <v>11.5</v>
      </c>
      <c r="AG15" s="93">
        <f t="shared" si="23"/>
        <v>0</v>
      </c>
      <c r="AH15" s="94">
        <f t="shared" si="3"/>
        <v>2.4799460240124588E-4</v>
      </c>
      <c r="AI15" s="94">
        <f t="shared" si="4"/>
        <v>2.0433786134491463E-3</v>
      </c>
      <c r="AJ15" s="94">
        <f t="shared" si="5"/>
        <v>2.1363583175070084E-4</v>
      </c>
      <c r="AK15" s="94">
        <f t="shared" si="6"/>
        <v>4.8098152706114718E-4</v>
      </c>
      <c r="AL15" s="94">
        <f t="shared" si="7"/>
        <v>5.0037545007015904E-2</v>
      </c>
      <c r="AM15" s="95">
        <f t="shared" si="8"/>
        <v>0</v>
      </c>
      <c r="AP15" s="4">
        <v>12</v>
      </c>
      <c r="AQ15" s="12">
        <v>0</v>
      </c>
      <c r="AR15" s="4">
        <v>281.9317514062277</v>
      </c>
      <c r="AS15" s="4">
        <v>284.37726432319323</v>
      </c>
      <c r="AT15" s="4">
        <v>1857.3329742521746</v>
      </c>
      <c r="AU15" s="4">
        <v>534.84056390740443</v>
      </c>
      <c r="AV15" s="4">
        <v>2925.091626060399</v>
      </c>
      <c r="AW15" s="13">
        <v>27.375077336000686</v>
      </c>
      <c r="AZ15" s="4">
        <f t="shared" si="9"/>
        <v>11.5</v>
      </c>
      <c r="BA15" s="93">
        <f t="shared" si="24"/>
        <v>0</v>
      </c>
      <c r="BB15" s="94">
        <f t="shared" si="10"/>
        <v>1.0613248587397898E-3</v>
      </c>
      <c r="BC15" s="94">
        <f t="shared" si="11"/>
        <v>1.7685882724944512E-3</v>
      </c>
      <c r="BD15" s="94">
        <f t="shared" si="12"/>
        <v>9.3487325253576482E-3</v>
      </c>
      <c r="BE15" s="94">
        <f t="shared" si="13"/>
        <v>1.3337713295190077E-3</v>
      </c>
      <c r="BF15" s="94">
        <f t="shared" si="14"/>
        <v>2.8509757563733709E-2</v>
      </c>
      <c r="BG15" s="95">
        <f t="shared" si="15"/>
        <v>5.0437468696744347E-4</v>
      </c>
    </row>
    <row r="16" spans="2:59" x14ac:dyDescent="0.2">
      <c r="B16" s="4">
        <v>13</v>
      </c>
      <c r="C16" s="9">
        <v>4993.1645967878867</v>
      </c>
      <c r="D16" s="85">
        <v>9247.2591966786422</v>
      </c>
      <c r="E16" s="85">
        <v>728.59073031193111</v>
      </c>
      <c r="F16" s="85">
        <v>11700.686114774318</v>
      </c>
      <c r="G16" s="85">
        <v>7043.464594759047</v>
      </c>
      <c r="H16" s="85">
        <v>930.96222437912365</v>
      </c>
      <c r="I16" s="13">
        <v>29.837274446268566</v>
      </c>
      <c r="L16" s="4">
        <f t="shared" si="0"/>
        <v>12.5</v>
      </c>
      <c r="M16" s="93">
        <f t="shared" si="16"/>
        <v>3.2445068811646949E-3</v>
      </c>
      <c r="N16" s="94">
        <f t="shared" si="17"/>
        <v>6.9922163544764455E-3</v>
      </c>
      <c r="O16" s="94">
        <f t="shared" si="18"/>
        <v>8.214118547524809E-4</v>
      </c>
      <c r="P16" s="94">
        <f t="shared" si="19"/>
        <v>1.0658938439249768E-2</v>
      </c>
      <c r="Q16" s="94">
        <f t="shared" si="20"/>
        <v>3.2622227589488915E-3</v>
      </c>
      <c r="R16" s="94">
        <f t="shared" si="21"/>
        <v>2.4918597655022041E-3</v>
      </c>
      <c r="S16" s="95">
        <f t="shared" si="22"/>
        <v>8.7880393576631334E-5</v>
      </c>
      <c r="V16" s="4">
        <v>13</v>
      </c>
      <c r="W16" s="12">
        <v>0</v>
      </c>
      <c r="X16" s="4">
        <v>0</v>
      </c>
      <c r="Y16" s="4">
        <v>27.552549165789969</v>
      </c>
      <c r="Z16" s="4">
        <v>40.557818209694233</v>
      </c>
      <c r="AA16" s="4">
        <v>41.041475540987449</v>
      </c>
      <c r="AB16" s="4">
        <v>0</v>
      </c>
      <c r="AC16" s="13">
        <v>0</v>
      </c>
      <c r="AF16" s="4">
        <f t="shared" si="2"/>
        <v>12.5</v>
      </c>
      <c r="AG16" s="93">
        <f t="shared" si="23"/>
        <v>0</v>
      </c>
      <c r="AH16" s="94">
        <f t="shared" si="3"/>
        <v>0</v>
      </c>
      <c r="AI16" s="94">
        <f t="shared" si="4"/>
        <v>3.6902094834060441E-4</v>
      </c>
      <c r="AJ16" s="94">
        <f t="shared" si="5"/>
        <v>3.3828072655752497E-4</v>
      </c>
      <c r="AK16" s="94">
        <f t="shared" si="6"/>
        <v>1.9285318954013475E-4</v>
      </c>
      <c r="AL16" s="94">
        <f t="shared" si="7"/>
        <v>0</v>
      </c>
      <c r="AM16" s="95">
        <f t="shared" si="8"/>
        <v>0</v>
      </c>
      <c r="AP16" s="4">
        <v>13</v>
      </c>
      <c r="AQ16" s="12">
        <v>0</v>
      </c>
      <c r="AR16" s="4">
        <v>819.38968999052304</v>
      </c>
      <c r="AS16" s="4">
        <v>104.50865416885063</v>
      </c>
      <c r="AT16" s="4">
        <v>3174.7276468829368</v>
      </c>
      <c r="AU16" s="4">
        <v>110.76582032762235</v>
      </c>
      <c r="AV16" s="4">
        <v>119.61469111729821</v>
      </c>
      <c r="AW16" s="13">
        <v>29.837274446290394</v>
      </c>
      <c r="AZ16" s="4">
        <f t="shared" si="9"/>
        <v>12.5</v>
      </c>
      <c r="BA16" s="93">
        <f t="shared" si="24"/>
        <v>0</v>
      </c>
      <c r="BB16" s="94">
        <f t="shared" si="10"/>
        <v>3.0845715058499873E-3</v>
      </c>
      <c r="BC16" s="94">
        <f t="shared" si="11"/>
        <v>6.4995624941080422E-4</v>
      </c>
      <c r="BD16" s="94">
        <f t="shared" si="12"/>
        <v>1.5979730087717154E-2</v>
      </c>
      <c r="BE16" s="94">
        <f t="shared" si="13"/>
        <v>2.7622488908528932E-4</v>
      </c>
      <c r="BF16" s="94">
        <f t="shared" si="14"/>
        <v>1.1658389824212119E-3</v>
      </c>
      <c r="BG16" s="95">
        <f t="shared" si="15"/>
        <v>5.497396691924013E-4</v>
      </c>
    </row>
    <row r="17" spans="2:59" x14ac:dyDescent="0.2">
      <c r="B17" s="4">
        <v>14</v>
      </c>
      <c r="C17" s="9">
        <v>1637.4565347866155</v>
      </c>
      <c r="D17" s="85">
        <v>12523.716661006445</v>
      </c>
      <c r="E17" s="85">
        <v>3244.7795392253902</v>
      </c>
      <c r="F17" s="85">
        <v>8033.2218527024379</v>
      </c>
      <c r="G17" s="85">
        <v>12918.383196130861</v>
      </c>
      <c r="H17" s="85">
        <v>17391.363491816272</v>
      </c>
      <c r="I17" s="13">
        <v>523.66564695868874</v>
      </c>
      <c r="L17" s="4">
        <f t="shared" si="0"/>
        <v>13.5</v>
      </c>
      <c r="M17" s="93">
        <f t="shared" si="16"/>
        <v>1.0640023759963704E-3</v>
      </c>
      <c r="N17" s="94">
        <f t="shared" si="17"/>
        <v>9.4696746996526908E-3</v>
      </c>
      <c r="O17" s="94">
        <f t="shared" si="18"/>
        <v>3.658158508874982E-3</v>
      </c>
      <c r="P17" s="94">
        <f t="shared" si="19"/>
        <v>7.3179996759910344E-3</v>
      </c>
      <c r="Q17" s="94">
        <f t="shared" si="20"/>
        <v>5.9832264511699013E-3</v>
      </c>
      <c r="R17" s="94">
        <f t="shared" si="21"/>
        <v>4.6550588001981544E-2</v>
      </c>
      <c r="S17" s="95">
        <f t="shared" si="22"/>
        <v>1.5423641740523011E-3</v>
      </c>
      <c r="V17" s="4">
        <v>14</v>
      </c>
      <c r="W17" s="12">
        <v>0</v>
      </c>
      <c r="X17" s="4">
        <v>55.178492835053476</v>
      </c>
      <c r="Y17" s="4">
        <v>109.60245964054047</v>
      </c>
      <c r="Z17" s="4">
        <v>26.962259629755863</v>
      </c>
      <c r="AA17" s="4">
        <v>82.14586653150036</v>
      </c>
      <c r="AB17" s="4">
        <v>0</v>
      </c>
      <c r="AC17" s="13">
        <v>0</v>
      </c>
      <c r="AF17" s="4">
        <f t="shared" si="2"/>
        <v>13.5</v>
      </c>
      <c r="AG17" s="93">
        <f t="shared" si="23"/>
        <v>0</v>
      </c>
      <c r="AH17" s="94">
        <f t="shared" si="3"/>
        <v>4.9533260910709183E-4</v>
      </c>
      <c r="AI17" s="94">
        <f t="shared" si="4"/>
        <v>1.4679441584023549E-3</v>
      </c>
      <c r="AJ17" s="94">
        <f t="shared" si="5"/>
        <v>2.2488420678916986E-4</v>
      </c>
      <c r="AK17" s="94">
        <f t="shared" si="6"/>
        <v>3.8600201769833573E-4</v>
      </c>
      <c r="AL17" s="94">
        <f t="shared" si="7"/>
        <v>0</v>
      </c>
      <c r="AM17" s="95">
        <f t="shared" si="8"/>
        <v>0</v>
      </c>
      <c r="AP17" s="4">
        <v>14</v>
      </c>
      <c r="AQ17" s="12">
        <v>5.2223472555633634</v>
      </c>
      <c r="AR17" s="4">
        <v>8761.9001197431644</v>
      </c>
      <c r="AS17" s="4">
        <v>2163.7861047988554</v>
      </c>
      <c r="AT17" s="4">
        <v>169.04545826255344</v>
      </c>
      <c r="AU17" s="4">
        <v>673.42037910863291</v>
      </c>
      <c r="AV17" s="4">
        <v>11298.010048370779</v>
      </c>
      <c r="AW17" s="13">
        <v>0</v>
      </c>
      <c r="AZ17" s="4">
        <f t="shared" si="9"/>
        <v>13.5</v>
      </c>
      <c r="BA17" s="93">
        <f t="shared" si="24"/>
        <v>1.4952471654542847E-5</v>
      </c>
      <c r="BB17" s="94">
        <f t="shared" si="10"/>
        <v>3.2983948634716091E-2</v>
      </c>
      <c r="BC17" s="94">
        <f t="shared" si="11"/>
        <v>1.3456936292855376E-2</v>
      </c>
      <c r="BD17" s="94">
        <f t="shared" si="12"/>
        <v>8.508763887958373E-4</v>
      </c>
      <c r="BE17" s="94">
        <f t="shared" si="13"/>
        <v>1.6793580273848051E-3</v>
      </c>
      <c r="BF17" s="94">
        <f t="shared" si="14"/>
        <v>0.11011741463480135</v>
      </c>
      <c r="BG17" s="95">
        <f t="shared" si="15"/>
        <v>0</v>
      </c>
    </row>
    <row r="18" spans="2:59" x14ac:dyDescent="0.2">
      <c r="B18" s="4">
        <v>15</v>
      </c>
      <c r="C18" s="9">
        <v>13707.828106541885</v>
      </c>
      <c r="D18" s="85">
        <v>5119.0547701332252</v>
      </c>
      <c r="E18" s="85">
        <v>5303.1581417532871</v>
      </c>
      <c r="F18" s="85">
        <v>2085.9557135419454</v>
      </c>
      <c r="G18" s="85">
        <v>12026.023982985644</v>
      </c>
      <c r="H18" s="85">
        <v>309.88773638015846</v>
      </c>
      <c r="I18" s="13">
        <v>1282.8853953018552</v>
      </c>
      <c r="L18" s="4">
        <f t="shared" si="0"/>
        <v>14.5</v>
      </c>
      <c r="M18" s="93">
        <f t="shared" si="16"/>
        <v>8.9072053915684873E-3</v>
      </c>
      <c r="N18" s="94">
        <f t="shared" si="17"/>
        <v>3.8707186336944294E-3</v>
      </c>
      <c r="O18" s="94">
        <f t="shared" si="18"/>
        <v>5.978770774915463E-3</v>
      </c>
      <c r="P18" s="94">
        <f t="shared" si="19"/>
        <v>1.9002367313802409E-3</v>
      </c>
      <c r="Q18" s="94">
        <f t="shared" si="20"/>
        <v>5.5699249437773397E-3</v>
      </c>
      <c r="R18" s="94">
        <f t="shared" si="21"/>
        <v>8.2946091891458122E-4</v>
      </c>
      <c r="S18" s="95">
        <f t="shared" si="22"/>
        <v>3.7785111256011042E-3</v>
      </c>
      <c r="V18" s="4">
        <v>15</v>
      </c>
      <c r="W18" s="12">
        <v>0</v>
      </c>
      <c r="X18" s="4">
        <v>80.766832062523463</v>
      </c>
      <c r="Y18" s="4">
        <v>191.61674877132464</v>
      </c>
      <c r="Z18" s="4">
        <v>0</v>
      </c>
      <c r="AA18" s="4">
        <v>0</v>
      </c>
      <c r="AB18" s="4">
        <v>0</v>
      </c>
      <c r="AC18" s="13">
        <v>0</v>
      </c>
      <c r="AF18" s="4">
        <f t="shared" si="2"/>
        <v>14.5</v>
      </c>
      <c r="AG18" s="93">
        <f t="shared" si="23"/>
        <v>0</v>
      </c>
      <c r="AH18" s="94">
        <f t="shared" si="3"/>
        <v>7.250369410131658E-4</v>
      </c>
      <c r="AI18" s="94">
        <f t="shared" si="4"/>
        <v>2.5663902793188315E-3</v>
      </c>
      <c r="AJ18" s="94">
        <f t="shared" si="5"/>
        <v>0</v>
      </c>
      <c r="AK18" s="94">
        <f t="shared" si="6"/>
        <v>0</v>
      </c>
      <c r="AL18" s="94">
        <f t="shared" si="7"/>
        <v>0</v>
      </c>
      <c r="AM18" s="95">
        <f t="shared" si="8"/>
        <v>0</v>
      </c>
      <c r="AP18" s="4">
        <v>15</v>
      </c>
      <c r="AQ18" s="12">
        <v>0</v>
      </c>
      <c r="AR18" s="4">
        <v>291.27907274113386</v>
      </c>
      <c r="AS18" s="4">
        <v>1087.4510671131284</v>
      </c>
      <c r="AT18" s="4">
        <v>77.343025072506862</v>
      </c>
      <c r="AU18" s="4">
        <v>252.4075400326401</v>
      </c>
      <c r="AV18" s="4">
        <v>0</v>
      </c>
      <c r="AW18" s="13">
        <v>1184.2114416879558</v>
      </c>
      <c r="AZ18" s="4">
        <f t="shared" si="9"/>
        <v>14.5</v>
      </c>
      <c r="BA18" s="93">
        <f t="shared" si="24"/>
        <v>0</v>
      </c>
      <c r="BB18" s="94">
        <f t="shared" si="10"/>
        <v>1.0965126105481006E-3</v>
      </c>
      <c r="BC18" s="94">
        <f t="shared" si="11"/>
        <v>6.7630343402631807E-3</v>
      </c>
      <c r="BD18" s="94">
        <f t="shared" si="12"/>
        <v>3.892997454568022E-4</v>
      </c>
      <c r="BE18" s="94">
        <f t="shared" si="13"/>
        <v>6.2944728386054227E-4</v>
      </c>
      <c r="BF18" s="94">
        <f t="shared" si="14"/>
        <v>0</v>
      </c>
      <c r="BG18" s="95">
        <f t="shared" si="15"/>
        <v>2.181861508092043E-2</v>
      </c>
    </row>
    <row r="19" spans="2:59" x14ac:dyDescent="0.2">
      <c r="B19" s="4">
        <v>16</v>
      </c>
      <c r="C19" s="9">
        <v>3559.9291279744357</v>
      </c>
      <c r="D19" s="85">
        <v>7418.824163591722</v>
      </c>
      <c r="E19" s="85">
        <v>10232.74807958398</v>
      </c>
      <c r="F19" s="85">
        <v>11195.898718096898</v>
      </c>
      <c r="G19" s="85">
        <v>27928.371619131416</v>
      </c>
      <c r="H19" s="85">
        <v>3301.4765788204386</v>
      </c>
      <c r="I19" s="13">
        <v>171.50804393843282</v>
      </c>
      <c r="L19" s="4">
        <f t="shared" si="0"/>
        <v>15.5</v>
      </c>
      <c r="M19" s="93">
        <f t="shared" si="16"/>
        <v>2.313205248551583E-3</v>
      </c>
      <c r="N19" s="94">
        <f t="shared" si="17"/>
        <v>5.6096647173340597E-3</v>
      </c>
      <c r="O19" s="94">
        <f t="shared" si="18"/>
        <v>1.1536381441014775E-2</v>
      </c>
      <c r="P19" s="94">
        <f t="shared" si="19"/>
        <v>1.0199093799942686E-2</v>
      </c>
      <c r="Q19" s="94">
        <f t="shared" si="20"/>
        <v>1.2935192374517727E-2</v>
      </c>
      <c r="R19" s="94">
        <f t="shared" si="21"/>
        <v>8.8368963187492773E-3</v>
      </c>
      <c r="S19" s="95">
        <f t="shared" si="22"/>
        <v>5.0514648816231194E-4</v>
      </c>
      <c r="V19" s="4">
        <v>16</v>
      </c>
      <c r="W19" s="12">
        <v>0</v>
      </c>
      <c r="X19" s="4">
        <v>183.32934905814182</v>
      </c>
      <c r="Y19" s="4">
        <v>2189.2403537599603</v>
      </c>
      <c r="Z19" s="4">
        <v>130.20702890922257</v>
      </c>
      <c r="AA19" s="4">
        <v>240.60497941428912</v>
      </c>
      <c r="AB19" s="4">
        <v>0</v>
      </c>
      <c r="AC19" s="13">
        <v>26.669592151687539</v>
      </c>
      <c r="AF19" s="4">
        <f t="shared" si="2"/>
        <v>15.5</v>
      </c>
      <c r="AG19" s="93">
        <f t="shared" si="23"/>
        <v>0</v>
      </c>
      <c r="AH19" s="94">
        <f t="shared" si="3"/>
        <v>1.6457318808313938E-3</v>
      </c>
      <c r="AI19" s="94">
        <f t="shared" si="4"/>
        <v>2.9321263402121139E-2</v>
      </c>
      <c r="AJ19" s="94">
        <f t="shared" si="5"/>
        <v>1.0860181904898511E-3</v>
      </c>
      <c r="AK19" s="94">
        <f t="shared" si="6"/>
        <v>1.13059867092117E-3</v>
      </c>
      <c r="AL19" s="94">
        <f t="shared" si="7"/>
        <v>0</v>
      </c>
      <c r="AM19" s="95">
        <f t="shared" si="8"/>
        <v>1.1050065127388264E-3</v>
      </c>
      <c r="AP19" s="4">
        <v>16</v>
      </c>
      <c r="AQ19" s="12">
        <v>1408.7961583973374</v>
      </c>
      <c r="AR19" s="4">
        <v>491.71164594151196</v>
      </c>
      <c r="AS19" s="4">
        <v>6629.7016441749729</v>
      </c>
      <c r="AT19" s="4">
        <v>169.49386490182951</v>
      </c>
      <c r="AU19" s="4">
        <v>3638.4028100543655</v>
      </c>
      <c r="AV19" s="4">
        <v>0</v>
      </c>
      <c r="AW19" s="13">
        <v>26.669592151687539</v>
      </c>
      <c r="AZ19" s="4">
        <f t="shared" si="9"/>
        <v>15.5</v>
      </c>
      <c r="BA19" s="93">
        <f t="shared" si="24"/>
        <v>4.0336238849349839E-3</v>
      </c>
      <c r="BB19" s="94">
        <f t="shared" si="10"/>
        <v>1.8510358998821762E-3</v>
      </c>
      <c r="BC19" s="94">
        <f t="shared" si="11"/>
        <v>4.1231188456399941E-2</v>
      </c>
      <c r="BD19" s="94">
        <f t="shared" si="12"/>
        <v>8.5313340667647576E-4</v>
      </c>
      <c r="BE19" s="94">
        <f t="shared" si="13"/>
        <v>9.0733532210770327E-3</v>
      </c>
      <c r="BF19" s="94">
        <f t="shared" si="14"/>
        <v>0</v>
      </c>
      <c r="BG19" s="95">
        <f t="shared" si="15"/>
        <v>4.9137640883910501E-4</v>
      </c>
    </row>
    <row r="20" spans="2:59" x14ac:dyDescent="0.2">
      <c r="B20" s="4">
        <v>17</v>
      </c>
      <c r="C20" s="9">
        <v>1898.3258716058917</v>
      </c>
      <c r="D20" s="85">
        <v>923.20291092083789</v>
      </c>
      <c r="E20" s="85">
        <v>2428.8409149735235</v>
      </c>
      <c r="F20" s="85">
        <v>3392.2244765185751</v>
      </c>
      <c r="G20" s="85">
        <v>3738.4709768737666</v>
      </c>
      <c r="H20" s="85">
        <v>2056.1964862304158</v>
      </c>
      <c r="I20" s="13">
        <v>36.877512704872061</v>
      </c>
      <c r="L20" s="4">
        <f t="shared" si="0"/>
        <v>16.5</v>
      </c>
      <c r="M20" s="93">
        <f t="shared" si="16"/>
        <v>1.2335125817964153E-3</v>
      </c>
      <c r="N20" s="94">
        <f t="shared" si="17"/>
        <v>6.9807002863718623E-4</v>
      </c>
      <c r="O20" s="94">
        <f t="shared" si="18"/>
        <v>2.7382707984947362E-3</v>
      </c>
      <c r="P20" s="94">
        <f t="shared" si="19"/>
        <v>3.0902044130277197E-3</v>
      </c>
      <c r="Q20" s="94">
        <f t="shared" si="20"/>
        <v>1.7314951953477813E-3</v>
      </c>
      <c r="R20" s="94">
        <f t="shared" si="21"/>
        <v>5.503717723263914E-3</v>
      </c>
      <c r="S20" s="95">
        <f t="shared" si="22"/>
        <v>1.0861616520863798E-4</v>
      </c>
      <c r="V20" s="4">
        <v>17</v>
      </c>
      <c r="W20" s="12">
        <v>669.17723141703755</v>
      </c>
      <c r="X20" s="4">
        <v>129.00418582891871</v>
      </c>
      <c r="Y20" s="4">
        <v>221.0481640665239</v>
      </c>
      <c r="Z20" s="4">
        <v>26.722681623985409</v>
      </c>
      <c r="AA20" s="4">
        <v>264.77436440024758</v>
      </c>
      <c r="AB20" s="4">
        <v>38.034990756525076</v>
      </c>
      <c r="AC20" s="13">
        <v>0</v>
      </c>
      <c r="AF20" s="4">
        <f t="shared" si="2"/>
        <v>16.5</v>
      </c>
      <c r="AG20" s="93">
        <f t="shared" si="23"/>
        <v>3.133558136445844E-3</v>
      </c>
      <c r="AH20" s="94">
        <f t="shared" si="3"/>
        <v>1.1580595385849396E-3</v>
      </c>
      <c r="AI20" s="94">
        <f t="shared" si="4"/>
        <v>2.9605755402864697E-3</v>
      </c>
      <c r="AJ20" s="94">
        <f t="shared" si="5"/>
        <v>2.2288595773543106E-4</v>
      </c>
      <c r="AK20" s="94">
        <f t="shared" si="6"/>
        <v>1.244170196367679E-3</v>
      </c>
      <c r="AL20" s="94">
        <f t="shared" si="7"/>
        <v>8.7781542568289529E-4</v>
      </c>
      <c r="AM20" s="95">
        <f t="shared" si="8"/>
        <v>0</v>
      </c>
      <c r="AP20" s="4">
        <v>17</v>
      </c>
      <c r="AQ20" s="12">
        <v>669.17723141703755</v>
      </c>
      <c r="AR20" s="4">
        <v>717.38648122613085</v>
      </c>
      <c r="AS20" s="4">
        <v>221.04816406656755</v>
      </c>
      <c r="AT20" s="4">
        <v>232.85965955146821</v>
      </c>
      <c r="AU20" s="4">
        <v>435.71649995504413</v>
      </c>
      <c r="AV20" s="4">
        <v>1988.7925484403095</v>
      </c>
      <c r="AW20" s="13">
        <v>0</v>
      </c>
      <c r="AZ20" s="4">
        <f t="shared" si="9"/>
        <v>16.5</v>
      </c>
      <c r="BA20" s="93">
        <f t="shared" si="24"/>
        <v>1.9159686430214849E-3</v>
      </c>
      <c r="BB20" s="94">
        <f t="shared" si="10"/>
        <v>2.7005830384535389E-3</v>
      </c>
      <c r="BC20" s="94">
        <f t="shared" si="11"/>
        <v>1.374734339452172E-3</v>
      </c>
      <c r="BD20" s="94">
        <f t="shared" si="12"/>
        <v>1.1720799141947235E-3</v>
      </c>
      <c r="BE20" s="94">
        <f t="shared" si="13"/>
        <v>1.0865783462509029E-3</v>
      </c>
      <c r="BF20" s="94">
        <f t="shared" si="14"/>
        <v>1.9384005921537096E-2</v>
      </c>
      <c r="BG20" s="95">
        <f t="shared" si="15"/>
        <v>0</v>
      </c>
    </row>
    <row r="21" spans="2:59" x14ac:dyDescent="0.2">
      <c r="B21" s="4">
        <v>18</v>
      </c>
      <c r="C21" s="9">
        <v>35.830895022721961</v>
      </c>
      <c r="D21" s="85">
        <v>6874.8861926847603</v>
      </c>
      <c r="E21" s="85">
        <v>1719.6464122781763</v>
      </c>
      <c r="F21" s="85">
        <v>1191.1192475268617</v>
      </c>
      <c r="G21" s="85">
        <v>20329.097762427293</v>
      </c>
      <c r="H21" s="85">
        <v>1484.5725039314129</v>
      </c>
      <c r="I21" s="13">
        <v>75.191794249345548</v>
      </c>
      <c r="L21" s="4">
        <f t="shared" si="0"/>
        <v>17.5</v>
      </c>
      <c r="M21" s="93">
        <f t="shared" si="16"/>
        <v>2.3282546210132427E-5</v>
      </c>
      <c r="N21" s="94">
        <f t="shared" si="17"/>
        <v>5.1983718255589001E-3</v>
      </c>
      <c r="O21" s="94">
        <f t="shared" si="18"/>
        <v>1.9387262152280157E-3</v>
      </c>
      <c r="P21" s="94">
        <f t="shared" si="19"/>
        <v>1.0850702778158583E-3</v>
      </c>
      <c r="Q21" s="94">
        <f t="shared" si="20"/>
        <v>9.4155432312151791E-3</v>
      </c>
      <c r="R21" s="94">
        <f t="shared" si="21"/>
        <v>3.9736805582898001E-3</v>
      </c>
      <c r="S21" s="95">
        <f t="shared" si="22"/>
        <v>2.2146407790246236E-4</v>
      </c>
      <c r="V21" s="4">
        <v>18</v>
      </c>
      <c r="W21" s="12">
        <v>35.83089502263465</v>
      </c>
      <c r="X21" s="4">
        <v>134.06055228938931</v>
      </c>
      <c r="Y21" s="4">
        <v>116.5471642552875</v>
      </c>
      <c r="Z21" s="4">
        <v>55.299418478432926</v>
      </c>
      <c r="AA21" s="4">
        <v>127.05939054110786</v>
      </c>
      <c r="AB21" s="4">
        <v>68.371985735746421</v>
      </c>
      <c r="AC21" s="13">
        <v>0</v>
      </c>
      <c r="AF21" s="4">
        <f t="shared" si="2"/>
        <v>17.5</v>
      </c>
      <c r="AG21" s="93">
        <f t="shared" si="23"/>
        <v>1.6778543465466607E-4</v>
      </c>
      <c r="AH21" s="94">
        <f t="shared" si="3"/>
        <v>1.2034501076777471E-3</v>
      </c>
      <c r="AI21" s="94">
        <f t="shared" si="4"/>
        <v>1.5609570214757031E-3</v>
      </c>
      <c r="AJ21" s="94">
        <f t="shared" si="5"/>
        <v>4.6123603997568049E-4</v>
      </c>
      <c r="AK21" s="94">
        <f t="shared" si="6"/>
        <v>5.9704989657125571E-4</v>
      </c>
      <c r="AL21" s="94">
        <f t="shared" si="7"/>
        <v>1.5779676179653792E-3</v>
      </c>
      <c r="AM21" s="95">
        <f t="shared" si="8"/>
        <v>0</v>
      </c>
      <c r="AP21" s="4">
        <v>18</v>
      </c>
      <c r="AQ21" s="12">
        <v>35.830895022605546</v>
      </c>
      <c r="AR21" s="4">
        <v>1805.5962459545117</v>
      </c>
      <c r="AS21" s="4">
        <v>356.93221078443457</v>
      </c>
      <c r="AT21" s="4">
        <v>687.27063032225124</v>
      </c>
      <c r="AU21" s="4">
        <v>238.31309344212059</v>
      </c>
      <c r="AV21" s="4">
        <v>68.371985735750059</v>
      </c>
      <c r="AW21" s="13">
        <v>0</v>
      </c>
      <c r="AZ21" s="4">
        <f t="shared" si="9"/>
        <v>17.5</v>
      </c>
      <c r="BA21" s="93">
        <f t="shared" si="24"/>
        <v>1.0258996883282025E-4</v>
      </c>
      <c r="BB21" s="94">
        <f t="shared" si="10"/>
        <v>6.7971208319760621E-3</v>
      </c>
      <c r="BC21" s="94">
        <f t="shared" si="11"/>
        <v>2.2198192375584495E-3</v>
      </c>
      <c r="BD21" s="94">
        <f t="shared" si="12"/>
        <v>3.4593201027961341E-3</v>
      </c>
      <c r="BE21" s="94">
        <f t="shared" si="13"/>
        <v>5.9429892370152038E-4</v>
      </c>
      <c r="BF21" s="94">
        <f t="shared" si="14"/>
        <v>6.6639578743816206E-4</v>
      </c>
      <c r="BG21" s="95">
        <f t="shared" si="15"/>
        <v>0</v>
      </c>
    </row>
    <row r="22" spans="2:59" x14ac:dyDescent="0.2">
      <c r="B22" s="4">
        <v>19</v>
      </c>
      <c r="C22" s="9">
        <v>2192.5565226511098</v>
      </c>
      <c r="D22" s="85">
        <v>750.42345176055096</v>
      </c>
      <c r="E22" s="85">
        <v>5555.5605696124258</v>
      </c>
      <c r="F22" s="85">
        <v>1676.8857984861825</v>
      </c>
      <c r="G22" s="85">
        <v>4176.6207026154734</v>
      </c>
      <c r="H22" s="85">
        <v>252.31011711631436</v>
      </c>
      <c r="I22" s="13">
        <v>2214.8677126737894</v>
      </c>
      <c r="L22" s="4">
        <f t="shared" si="0"/>
        <v>18.5</v>
      </c>
      <c r="M22" s="93">
        <f t="shared" si="16"/>
        <v>1.424700625663404E-3</v>
      </c>
      <c r="N22" s="94">
        <f t="shared" si="17"/>
        <v>5.674246845019128E-4</v>
      </c>
      <c r="O22" s="94">
        <f t="shared" si="18"/>
        <v>6.2633288097439345E-3</v>
      </c>
      <c r="P22" s="94">
        <f t="shared" si="19"/>
        <v>1.5275875551560474E-3</v>
      </c>
      <c r="Q22" s="94">
        <f t="shared" si="20"/>
        <v>1.9344268617048986E-3</v>
      </c>
      <c r="R22" s="94">
        <f t="shared" si="21"/>
        <v>6.7534580115815007E-4</v>
      </c>
      <c r="S22" s="95">
        <f t="shared" si="22"/>
        <v>6.5234995461955752E-3</v>
      </c>
      <c r="V22" s="4">
        <v>19</v>
      </c>
      <c r="W22" s="12">
        <v>73.165016533457674</v>
      </c>
      <c r="X22" s="4">
        <v>60.924649429318379</v>
      </c>
      <c r="Y22" s="4">
        <v>101.91756171663292</v>
      </c>
      <c r="Z22" s="4">
        <v>98.654155691488995</v>
      </c>
      <c r="AA22" s="4">
        <v>107.30741396950907</v>
      </c>
      <c r="AB22" s="4">
        <v>0</v>
      </c>
      <c r="AC22" s="13">
        <v>0</v>
      </c>
      <c r="AF22" s="4">
        <f t="shared" si="2"/>
        <v>18.5</v>
      </c>
      <c r="AG22" s="93">
        <f t="shared" si="23"/>
        <v>3.426100322871412E-4</v>
      </c>
      <c r="AH22" s="94">
        <f t="shared" si="3"/>
        <v>5.4691536521251044E-4</v>
      </c>
      <c r="AI22" s="94">
        <f t="shared" si="4"/>
        <v>1.3650176268964343E-3</v>
      </c>
      <c r="AJ22" s="94">
        <f t="shared" si="5"/>
        <v>8.2284503798232497E-4</v>
      </c>
      <c r="AK22" s="94">
        <f t="shared" si="6"/>
        <v>5.0423569748743804E-4</v>
      </c>
      <c r="AL22" s="94">
        <f t="shared" si="7"/>
        <v>0</v>
      </c>
      <c r="AM22" s="95">
        <f t="shared" si="8"/>
        <v>0</v>
      </c>
      <c r="AP22" s="4">
        <v>19</v>
      </c>
      <c r="AQ22" s="12">
        <v>102.73454240284627</v>
      </c>
      <c r="AR22" s="4">
        <v>60.924649429332931</v>
      </c>
      <c r="AS22" s="4">
        <v>101.91756171663292</v>
      </c>
      <c r="AT22" s="4">
        <v>1082.3228597941925</v>
      </c>
      <c r="AU22" s="4">
        <v>1967.1889200840378</v>
      </c>
      <c r="AV22" s="4">
        <v>98.089001121406909</v>
      </c>
      <c r="AW22" s="13">
        <v>0</v>
      </c>
      <c r="AZ22" s="4">
        <f t="shared" si="9"/>
        <v>18.5</v>
      </c>
      <c r="BA22" s="93">
        <f t="shared" si="24"/>
        <v>2.9414653182714825E-4</v>
      </c>
      <c r="BB22" s="94">
        <f t="shared" si="10"/>
        <v>2.2934928267866485E-4</v>
      </c>
      <c r="BC22" s="94">
        <f t="shared" si="11"/>
        <v>6.3384182572490415E-4</v>
      </c>
      <c r="BD22" s="94">
        <f t="shared" si="12"/>
        <v>5.4477829568336088E-3</v>
      </c>
      <c r="BE22" s="94">
        <f t="shared" si="13"/>
        <v>4.9057239828387365E-3</v>
      </c>
      <c r="BF22" s="94">
        <f t="shared" si="14"/>
        <v>9.5603625429214881E-4</v>
      </c>
      <c r="BG22" s="95">
        <f t="shared" si="15"/>
        <v>0</v>
      </c>
    </row>
    <row r="23" spans="2:59" x14ac:dyDescent="0.2">
      <c r="B23" s="4">
        <v>20</v>
      </c>
      <c r="C23" s="9">
        <v>266.06216394389048</v>
      </c>
      <c r="D23" s="85">
        <v>521.28761541983113</v>
      </c>
      <c r="E23" s="85">
        <v>1990.7913621100597</v>
      </c>
      <c r="F23" s="85">
        <v>2159.6221417838242</v>
      </c>
      <c r="G23" s="85">
        <v>2146.6676692250185</v>
      </c>
      <c r="H23" s="85">
        <v>9128.9041812913492</v>
      </c>
      <c r="I23" s="13">
        <v>0</v>
      </c>
      <c r="L23" s="4">
        <f t="shared" si="0"/>
        <v>19.5</v>
      </c>
      <c r="M23" s="93">
        <f t="shared" si="16"/>
        <v>1.7288445133349824E-4</v>
      </c>
      <c r="N23" s="94">
        <f t="shared" si="17"/>
        <v>3.9416606719899636E-4</v>
      </c>
      <c r="O23" s="94">
        <f t="shared" si="18"/>
        <v>2.2444145349968139E-3</v>
      </c>
      <c r="P23" s="94">
        <f t="shared" si="19"/>
        <v>1.9673444134398533E-3</v>
      </c>
      <c r="Q23" s="94">
        <f t="shared" si="20"/>
        <v>9.9424197172175784E-4</v>
      </c>
      <c r="R23" s="94">
        <f t="shared" si="21"/>
        <v>2.4434878705906452E-2</v>
      </c>
      <c r="S23" s="95">
        <f t="shared" si="22"/>
        <v>0</v>
      </c>
      <c r="V23" s="4">
        <v>20</v>
      </c>
      <c r="W23" s="12">
        <v>55.825915073015494</v>
      </c>
      <c r="X23" s="4">
        <v>183.99057499153423</v>
      </c>
      <c r="Y23" s="4">
        <v>174.22029669923359</v>
      </c>
      <c r="Z23" s="4">
        <v>43.416715865096194</v>
      </c>
      <c r="AA23" s="4">
        <v>89.491687913076021</v>
      </c>
      <c r="AB23" s="4">
        <v>1881.7650541444746</v>
      </c>
      <c r="AC23" s="13">
        <v>0</v>
      </c>
      <c r="AF23" s="4">
        <f t="shared" si="2"/>
        <v>19.5</v>
      </c>
      <c r="AG23" s="93">
        <f t="shared" si="23"/>
        <v>2.614161722614887E-4</v>
      </c>
      <c r="AH23" s="94">
        <f t="shared" si="3"/>
        <v>1.6516676494609506E-3</v>
      </c>
      <c r="AI23" s="94">
        <f t="shared" si="4"/>
        <v>2.333393499137935E-3</v>
      </c>
      <c r="AJ23" s="94">
        <f t="shared" si="5"/>
        <v>3.6212594355176204E-4</v>
      </c>
      <c r="AK23" s="94">
        <f t="shared" si="6"/>
        <v>4.2051990635987236E-4</v>
      </c>
      <c r="AL23" s="94">
        <f t="shared" si="7"/>
        <v>4.3429546298907599E-2</v>
      </c>
      <c r="AM23" s="95">
        <f t="shared" si="8"/>
        <v>0</v>
      </c>
      <c r="AP23" s="4">
        <v>20</v>
      </c>
      <c r="AQ23" s="12">
        <v>55.825915073044598</v>
      </c>
      <c r="AR23" s="4">
        <v>373.76776697669993</v>
      </c>
      <c r="AS23" s="4">
        <v>174.22029669923359</v>
      </c>
      <c r="AT23" s="4">
        <v>1899.2489137125667</v>
      </c>
      <c r="AU23" s="4">
        <v>89.491687913076021</v>
      </c>
      <c r="AV23" s="4">
        <v>1943.2461207369779</v>
      </c>
      <c r="AW23" s="13">
        <v>0</v>
      </c>
      <c r="AZ23" s="4">
        <f t="shared" si="9"/>
        <v>19.5</v>
      </c>
      <c r="BA23" s="93">
        <f t="shared" si="24"/>
        <v>1.5983912441467244E-4</v>
      </c>
      <c r="BB23" s="94">
        <f t="shared" si="10"/>
        <v>1.4070391877091361E-3</v>
      </c>
      <c r="BC23" s="94">
        <f t="shared" si="11"/>
        <v>1.0835042467480349E-3</v>
      </c>
      <c r="BD23" s="94">
        <f t="shared" si="12"/>
        <v>9.5597129537442534E-3</v>
      </c>
      <c r="BE23" s="94">
        <f t="shared" si="13"/>
        <v>2.2317201727688749E-4</v>
      </c>
      <c r="BF23" s="94">
        <f t="shared" si="14"/>
        <v>1.8940082182483154E-2</v>
      </c>
      <c r="BG23" s="95">
        <f t="shared" si="15"/>
        <v>0</v>
      </c>
    </row>
    <row r="24" spans="2:59" x14ac:dyDescent="0.2">
      <c r="B24" s="4">
        <v>21</v>
      </c>
      <c r="C24" s="9">
        <v>1470.0273500825278</v>
      </c>
      <c r="D24" s="85">
        <v>5715.8287427430041</v>
      </c>
      <c r="E24" s="85">
        <v>4429.5671074476559</v>
      </c>
      <c r="F24" s="85">
        <v>545.61912189307623</v>
      </c>
      <c r="G24" s="85">
        <v>5204.50986635359</v>
      </c>
      <c r="H24" s="85">
        <v>1058.7833884909051</v>
      </c>
      <c r="I24" s="13">
        <v>458.57806728943251</v>
      </c>
      <c r="L24" s="4">
        <f t="shared" si="0"/>
        <v>20.5</v>
      </c>
      <c r="M24" s="93">
        <f t="shared" si="16"/>
        <v>9.5520861777945425E-4</v>
      </c>
      <c r="N24" s="94">
        <f t="shared" si="17"/>
        <v>4.3219629042894094E-3</v>
      </c>
      <c r="O24" s="94">
        <f t="shared" si="18"/>
        <v>4.9938858430458102E-3</v>
      </c>
      <c r="P24" s="94">
        <f t="shared" si="19"/>
        <v>4.9704099182631457E-4</v>
      </c>
      <c r="Q24" s="94">
        <f t="shared" si="20"/>
        <v>2.4104998764139531E-3</v>
      </c>
      <c r="R24" s="94">
        <f t="shared" si="21"/>
        <v>2.8339922470239161E-3</v>
      </c>
      <c r="S24" s="95">
        <f t="shared" si="22"/>
        <v>1.3506602659562343E-3</v>
      </c>
      <c r="V24" s="4">
        <v>21</v>
      </c>
      <c r="W24" s="12">
        <v>0</v>
      </c>
      <c r="X24" s="4">
        <v>109.7360918654158</v>
      </c>
      <c r="Y24" s="4">
        <v>129.09207303872972</v>
      </c>
      <c r="Z24" s="4">
        <v>84.867782907735091</v>
      </c>
      <c r="AA24" s="4">
        <v>207.09371259741602</v>
      </c>
      <c r="AB24" s="4">
        <v>0</v>
      </c>
      <c r="AC24" s="13">
        <v>25.706962009931885</v>
      </c>
      <c r="AF24" s="4">
        <f t="shared" si="2"/>
        <v>20.5</v>
      </c>
      <c r="AG24" s="93">
        <f t="shared" si="23"/>
        <v>0</v>
      </c>
      <c r="AH24" s="94">
        <f t="shared" si="3"/>
        <v>9.8509150765315997E-4</v>
      </c>
      <c r="AI24" s="94">
        <f t="shared" si="4"/>
        <v>1.7289753818915206E-3</v>
      </c>
      <c r="AJ24" s="94">
        <f t="shared" si="5"/>
        <v>7.078569935621634E-4</v>
      </c>
      <c r="AK24" s="94">
        <f t="shared" si="6"/>
        <v>9.7312980300217407E-4</v>
      </c>
      <c r="AL24" s="94">
        <f t="shared" si="7"/>
        <v>0</v>
      </c>
      <c r="AM24" s="95">
        <f t="shared" si="8"/>
        <v>1.0651216667333584E-3</v>
      </c>
      <c r="AP24" s="4">
        <v>21</v>
      </c>
      <c r="AQ24" s="12">
        <v>918.69235793338157</v>
      </c>
      <c r="AR24" s="4">
        <v>1173.2152429708512</v>
      </c>
      <c r="AS24" s="4">
        <v>4372.9943840924825</v>
      </c>
      <c r="AT24" s="4">
        <v>162.2018435591599</v>
      </c>
      <c r="AU24" s="4">
        <v>3729.0841085907305</v>
      </c>
      <c r="AV24" s="4">
        <v>0</v>
      </c>
      <c r="AW24" s="13">
        <v>25.706962009928247</v>
      </c>
      <c r="AZ24" s="4">
        <f t="shared" si="9"/>
        <v>20.5</v>
      </c>
      <c r="BA24" s="93">
        <f t="shared" si="24"/>
        <v>2.6303730428133246E-3</v>
      </c>
      <c r="BB24" s="94">
        <f t="shared" si="10"/>
        <v>4.4165387396302392E-3</v>
      </c>
      <c r="BC24" s="94">
        <f t="shared" si="11"/>
        <v>2.7196360446735224E-2</v>
      </c>
      <c r="BD24" s="94">
        <f t="shared" si="12"/>
        <v>8.164296179391517E-4</v>
      </c>
      <c r="BE24" s="94">
        <f t="shared" si="13"/>
        <v>9.2994918580340761E-3</v>
      </c>
      <c r="BF24" s="94">
        <f t="shared" si="14"/>
        <v>0</v>
      </c>
      <c r="BG24" s="95">
        <f t="shared" si="15"/>
        <v>4.7364033925815233E-4</v>
      </c>
    </row>
    <row r="25" spans="2:59" x14ac:dyDescent="0.2">
      <c r="B25" s="4">
        <v>22</v>
      </c>
      <c r="C25" s="9">
        <v>2578.3358676433563</v>
      </c>
      <c r="D25" s="85">
        <v>6296.6770322653465</v>
      </c>
      <c r="E25" s="85">
        <v>8051.4735301957699</v>
      </c>
      <c r="F25" s="85">
        <v>2392.3275584441144</v>
      </c>
      <c r="G25" s="85">
        <v>16464.494255017955</v>
      </c>
      <c r="H25" s="85">
        <v>1795.108332616277</v>
      </c>
      <c r="I25" s="13">
        <v>55.462987949256785</v>
      </c>
      <c r="L25" s="4">
        <f t="shared" si="0"/>
        <v>21.5</v>
      </c>
      <c r="M25" s="93">
        <f t="shared" si="16"/>
        <v>1.675376067094626E-3</v>
      </c>
      <c r="N25" s="94">
        <f t="shared" si="17"/>
        <v>4.7611651395773032E-3</v>
      </c>
      <c r="O25" s="94">
        <f t="shared" si="18"/>
        <v>9.0772165095994919E-3</v>
      </c>
      <c r="P25" s="94">
        <f t="shared" si="19"/>
        <v>2.1793313590199111E-3</v>
      </c>
      <c r="Q25" s="94">
        <f t="shared" si="20"/>
        <v>7.6256289998629951E-3</v>
      </c>
      <c r="R25" s="94">
        <f t="shared" si="21"/>
        <v>4.804876193282152E-3</v>
      </c>
      <c r="S25" s="95">
        <f t="shared" si="22"/>
        <v>1.6335638225582633E-4</v>
      </c>
      <c r="V25" s="4">
        <v>22</v>
      </c>
      <c r="W25" s="12">
        <v>0</v>
      </c>
      <c r="X25" s="4">
        <v>2248.7038577534549</v>
      </c>
      <c r="Y25" s="4">
        <v>50.198018229973968</v>
      </c>
      <c r="Z25" s="4">
        <v>0</v>
      </c>
      <c r="AA25" s="4">
        <v>78.637615782499779</v>
      </c>
      <c r="AB25" s="4">
        <v>0</v>
      </c>
      <c r="AC25" s="13">
        <v>55.462987949267699</v>
      </c>
      <c r="AF25" s="4">
        <f t="shared" si="2"/>
        <v>21.5</v>
      </c>
      <c r="AG25" s="93">
        <f t="shared" si="23"/>
        <v>0</v>
      </c>
      <c r="AH25" s="94">
        <f t="shared" si="3"/>
        <v>2.0186422131896236E-2</v>
      </c>
      <c r="AI25" s="94">
        <f t="shared" si="4"/>
        <v>6.7231965291414907E-4</v>
      </c>
      <c r="AJ25" s="94">
        <f t="shared" si="5"/>
        <v>0</v>
      </c>
      <c r="AK25" s="94">
        <f t="shared" si="6"/>
        <v>3.6951680760944304E-4</v>
      </c>
      <c r="AL25" s="94">
        <f t="shared" si="7"/>
        <v>0</v>
      </c>
      <c r="AM25" s="95">
        <f t="shared" si="8"/>
        <v>2.2980090040866214E-3</v>
      </c>
      <c r="AP25" s="4">
        <v>22</v>
      </c>
      <c r="AQ25" s="12">
        <v>0</v>
      </c>
      <c r="AR25" s="4">
        <v>2286.6822978113196</v>
      </c>
      <c r="AS25" s="4">
        <v>91.341598700062605</v>
      </c>
      <c r="AT25" s="4">
        <v>44.642670396628091</v>
      </c>
      <c r="AU25" s="4">
        <v>115.3024848192581</v>
      </c>
      <c r="AV25" s="4">
        <v>0</v>
      </c>
      <c r="AW25" s="13">
        <v>55.462987949264061</v>
      </c>
      <c r="AZ25" s="4">
        <f t="shared" si="9"/>
        <v>21.5</v>
      </c>
      <c r="BA25" s="93">
        <f t="shared" si="24"/>
        <v>0</v>
      </c>
      <c r="BB25" s="94">
        <f t="shared" si="10"/>
        <v>8.6081569550160563E-3</v>
      </c>
      <c r="BC25" s="94">
        <f t="shared" si="11"/>
        <v>5.6806819854708689E-4</v>
      </c>
      <c r="BD25" s="94">
        <f t="shared" si="12"/>
        <v>2.2470520393566928E-4</v>
      </c>
      <c r="BE25" s="94">
        <f t="shared" si="13"/>
        <v>2.8753830365950298E-4</v>
      </c>
      <c r="BF25" s="94">
        <f t="shared" si="14"/>
        <v>0</v>
      </c>
      <c r="BG25" s="95">
        <f t="shared" si="15"/>
        <v>1.0218830376928529E-3</v>
      </c>
    </row>
    <row r="26" spans="2:59" x14ac:dyDescent="0.2">
      <c r="B26" s="4">
        <v>23</v>
      </c>
      <c r="C26" s="9">
        <v>113.27589902025647</v>
      </c>
      <c r="D26" s="85">
        <v>148.98183727776632</v>
      </c>
      <c r="E26" s="85">
        <v>719.90260963665787</v>
      </c>
      <c r="F26" s="85">
        <v>495.31478706956841</v>
      </c>
      <c r="G26" s="85">
        <v>283.80783564271405</v>
      </c>
      <c r="H26" s="85">
        <v>209.40108543954557</v>
      </c>
      <c r="I26" s="13">
        <v>45.380790285591502</v>
      </c>
      <c r="L26" s="4">
        <f t="shared" si="0"/>
        <v>22.5</v>
      </c>
      <c r="M26" s="93">
        <f t="shared" si="16"/>
        <v>7.3605511438130532E-5</v>
      </c>
      <c r="N26" s="94">
        <f t="shared" si="17"/>
        <v>1.1265102631790623E-4</v>
      </c>
      <c r="O26" s="94">
        <f t="shared" si="18"/>
        <v>8.1161688341770393E-4</v>
      </c>
      <c r="P26" s="94">
        <f t="shared" si="19"/>
        <v>4.5121540494606012E-4</v>
      </c>
      <c r="Q26" s="94">
        <f t="shared" si="20"/>
        <v>1.3144729673101465E-4</v>
      </c>
      <c r="R26" s="94">
        <f t="shared" si="21"/>
        <v>5.6049335407490895E-4</v>
      </c>
      <c r="S26" s="95">
        <f t="shared" si="22"/>
        <v>1.336610593671399E-4</v>
      </c>
      <c r="V26" s="4">
        <v>23</v>
      </c>
      <c r="W26" s="12">
        <v>0</v>
      </c>
      <c r="X26" s="4">
        <v>0</v>
      </c>
      <c r="Y26" s="4">
        <v>78.713485711399699</v>
      </c>
      <c r="Z26" s="4">
        <v>0</v>
      </c>
      <c r="AA26" s="4">
        <v>74.565098280232633</v>
      </c>
      <c r="AB26" s="4">
        <v>0</v>
      </c>
      <c r="AC26" s="13">
        <v>0</v>
      </c>
      <c r="AF26" s="4">
        <f t="shared" si="2"/>
        <v>22.5</v>
      </c>
      <c r="AG26" s="93">
        <f t="shared" si="23"/>
        <v>0</v>
      </c>
      <c r="AH26" s="94">
        <f t="shared" si="3"/>
        <v>0</v>
      </c>
      <c r="AI26" s="94">
        <f t="shared" si="4"/>
        <v>1.0542373037657371E-3</v>
      </c>
      <c r="AJ26" s="94">
        <f t="shared" si="5"/>
        <v>0</v>
      </c>
      <c r="AK26" s="94">
        <f t="shared" si="6"/>
        <v>3.5038011772640319E-4</v>
      </c>
      <c r="AL26" s="94">
        <f t="shared" si="7"/>
        <v>0</v>
      </c>
      <c r="AM26" s="95">
        <f t="shared" si="8"/>
        <v>0</v>
      </c>
      <c r="AP26" s="4">
        <v>23</v>
      </c>
      <c r="AQ26" s="12">
        <v>0</v>
      </c>
      <c r="AR26" s="4">
        <v>49.860528521443484</v>
      </c>
      <c r="AS26" s="4">
        <v>146.1462563459354</v>
      </c>
      <c r="AT26" s="4">
        <v>85.483508503442863</v>
      </c>
      <c r="AU26" s="4">
        <v>115.70867875032127</v>
      </c>
      <c r="AV26" s="4">
        <v>0</v>
      </c>
      <c r="AW26" s="13">
        <v>0</v>
      </c>
      <c r="AZ26" s="4">
        <f t="shared" si="9"/>
        <v>22.5</v>
      </c>
      <c r="BA26" s="93">
        <f t="shared" si="24"/>
        <v>0</v>
      </c>
      <c r="BB26" s="94">
        <f t="shared" si="10"/>
        <v>1.8769868283996101E-4</v>
      </c>
      <c r="BC26" s="94">
        <f t="shared" si="11"/>
        <v>9.0890724213675696E-4</v>
      </c>
      <c r="BD26" s="94">
        <f t="shared" si="12"/>
        <v>4.3027419822210038E-4</v>
      </c>
      <c r="BE26" s="94">
        <f t="shared" si="13"/>
        <v>2.8855125940002995E-4</v>
      </c>
      <c r="BF26" s="94">
        <f t="shared" si="14"/>
        <v>0</v>
      </c>
      <c r="BG26" s="95">
        <f t="shared" si="15"/>
        <v>0</v>
      </c>
    </row>
    <row r="27" spans="2:59" x14ac:dyDescent="0.2">
      <c r="B27" s="4">
        <v>24</v>
      </c>
      <c r="C27" s="9">
        <v>286.01654797280207</v>
      </c>
      <c r="D27" s="85">
        <v>232.21453804313205</v>
      </c>
      <c r="E27" s="85">
        <v>818.67392749653663</v>
      </c>
      <c r="F27" s="85">
        <v>1406.3899237639271</v>
      </c>
      <c r="G27" s="85">
        <v>399.12378301797435</v>
      </c>
      <c r="H27" s="85">
        <v>0</v>
      </c>
      <c r="I27" s="13">
        <v>1048.1463798476034</v>
      </c>
      <c r="L27" s="4">
        <f t="shared" si="0"/>
        <v>23.5</v>
      </c>
      <c r="M27" s="93">
        <f t="shared" si="16"/>
        <v>1.8585060436856048E-4</v>
      </c>
      <c r="N27" s="94">
        <f t="shared" si="17"/>
        <v>1.7558654473917703E-4</v>
      </c>
      <c r="O27" s="94">
        <f t="shared" si="18"/>
        <v>9.2297148624787559E-4</v>
      </c>
      <c r="P27" s="94">
        <f t="shared" si="19"/>
        <v>1.2811747509449373E-3</v>
      </c>
      <c r="Q27" s="94">
        <f t="shared" si="20"/>
        <v>1.8485656754317181E-4</v>
      </c>
      <c r="R27" s="94">
        <f t="shared" si="21"/>
        <v>0</v>
      </c>
      <c r="S27" s="95">
        <f t="shared" si="22"/>
        <v>3.0871290389745411E-3</v>
      </c>
      <c r="V27" s="4">
        <v>24</v>
      </c>
      <c r="W27" s="12">
        <v>0</v>
      </c>
      <c r="X27" s="4">
        <v>82.160475105833029</v>
      </c>
      <c r="Y27" s="4">
        <v>687.89832469310204</v>
      </c>
      <c r="Z27" s="4">
        <v>27.230979311803821</v>
      </c>
      <c r="AA27" s="4">
        <v>0</v>
      </c>
      <c r="AB27" s="4">
        <v>0</v>
      </c>
      <c r="AC27" s="13">
        <v>1048.1463798476252</v>
      </c>
      <c r="AF27" s="4">
        <f t="shared" si="2"/>
        <v>23.5</v>
      </c>
      <c r="AG27" s="93">
        <f t="shared" si="23"/>
        <v>0</v>
      </c>
      <c r="AH27" s="94">
        <f t="shared" si="3"/>
        <v>7.3754755537282332E-4</v>
      </c>
      <c r="AI27" s="94">
        <f t="shared" si="4"/>
        <v>9.2132633758384708E-3</v>
      </c>
      <c r="AJ27" s="94">
        <f t="shared" si="5"/>
        <v>2.2712551791723647E-4</v>
      </c>
      <c r="AK27" s="94">
        <f t="shared" si="6"/>
        <v>0</v>
      </c>
      <c r="AL27" s="94">
        <f t="shared" si="7"/>
        <v>0</v>
      </c>
      <c r="AM27" s="95">
        <f t="shared" si="8"/>
        <v>4.3428057296405378E-2</v>
      </c>
      <c r="AP27" s="4">
        <v>24</v>
      </c>
      <c r="AQ27" s="12">
        <v>0</v>
      </c>
      <c r="AR27" s="4">
        <v>111.48984601750271</v>
      </c>
      <c r="AS27" s="4">
        <v>687.89832469308749</v>
      </c>
      <c r="AT27" s="4">
        <v>27.230979311803821</v>
      </c>
      <c r="AU27" s="4">
        <v>100.88087215024279</v>
      </c>
      <c r="AV27" s="4">
        <v>0</v>
      </c>
      <c r="AW27" s="13">
        <v>1048.1463798476252</v>
      </c>
      <c r="AZ27" s="4">
        <f t="shared" si="9"/>
        <v>23.5</v>
      </c>
      <c r="BA27" s="93">
        <f t="shared" si="24"/>
        <v>0</v>
      </c>
      <c r="BB27" s="94">
        <f t="shared" si="10"/>
        <v>4.1970067041137535E-4</v>
      </c>
      <c r="BC27" s="94">
        <f t="shared" si="11"/>
        <v>4.2781511124535794E-3</v>
      </c>
      <c r="BD27" s="94">
        <f t="shared" si="12"/>
        <v>1.3706489117391683E-4</v>
      </c>
      <c r="BE27" s="94">
        <f t="shared" si="13"/>
        <v>2.5157406533989258E-4</v>
      </c>
      <c r="BF27" s="94">
        <f t="shared" si="14"/>
        <v>0</v>
      </c>
      <c r="BG27" s="95">
        <f t="shared" si="15"/>
        <v>1.9311671552301759E-2</v>
      </c>
    </row>
    <row r="28" spans="2:59" x14ac:dyDescent="0.2">
      <c r="B28" s="4">
        <v>25</v>
      </c>
      <c r="C28" s="9">
        <v>3899.6781819649041</v>
      </c>
      <c r="D28" s="85">
        <v>2080.8537267707288</v>
      </c>
      <c r="E28" s="85">
        <v>964.5042909522308</v>
      </c>
      <c r="F28" s="85">
        <v>4975.5781735337805</v>
      </c>
      <c r="G28" s="85">
        <v>962.77800375316292</v>
      </c>
      <c r="H28" s="85">
        <v>6370.2099980969797</v>
      </c>
      <c r="I28" s="13">
        <v>0</v>
      </c>
      <c r="L28" s="4">
        <f t="shared" si="0"/>
        <v>24.5</v>
      </c>
      <c r="M28" s="93">
        <f t="shared" si="16"/>
        <v>2.5339706814096132E-3</v>
      </c>
      <c r="N28" s="94">
        <f t="shared" si="17"/>
        <v>1.5734153385497647E-3</v>
      </c>
      <c r="O28" s="94">
        <f t="shared" si="18"/>
        <v>1.0873803708820321E-3</v>
      </c>
      <c r="P28" s="94">
        <f t="shared" si="19"/>
        <v>4.5325873142093333E-3</v>
      </c>
      <c r="Q28" s="94">
        <f t="shared" si="20"/>
        <v>4.4591639148665226E-4</v>
      </c>
      <c r="R28" s="94">
        <f t="shared" si="21"/>
        <v>1.7050820727601688E-2</v>
      </c>
      <c r="S28" s="95">
        <f t="shared" si="22"/>
        <v>0</v>
      </c>
      <c r="V28" s="4">
        <v>25</v>
      </c>
      <c r="W28" s="12">
        <v>3899.6781819649332</v>
      </c>
      <c r="X28" s="4">
        <v>1445.3893200008315</v>
      </c>
      <c r="Y28" s="4">
        <v>94.486353530766792</v>
      </c>
      <c r="Z28" s="4">
        <v>82.503632358289906</v>
      </c>
      <c r="AA28" s="4">
        <v>27.790666643850273</v>
      </c>
      <c r="AB28" s="4">
        <v>6185.873877416816</v>
      </c>
      <c r="AC28" s="13">
        <v>0</v>
      </c>
      <c r="AF28" s="4">
        <f t="shared" si="2"/>
        <v>24.5</v>
      </c>
      <c r="AG28" s="93">
        <f t="shared" si="23"/>
        <v>1.8261034181841457E-2</v>
      </c>
      <c r="AH28" s="94">
        <f t="shared" si="3"/>
        <v>1.2975136258102241E-2</v>
      </c>
      <c r="AI28" s="94">
        <f t="shared" si="4"/>
        <v>1.2654888509721484E-3</v>
      </c>
      <c r="AJ28" s="94">
        <f t="shared" si="5"/>
        <v>6.8813831536742426E-4</v>
      </c>
      <c r="AK28" s="94">
        <f t="shared" si="6"/>
        <v>1.3058786583734528E-4</v>
      </c>
      <c r="AL28" s="94">
        <f t="shared" si="7"/>
        <v>0.14276473854522478</v>
      </c>
      <c r="AM28" s="95">
        <f t="shared" si="8"/>
        <v>0</v>
      </c>
      <c r="AP28" s="4">
        <v>25</v>
      </c>
      <c r="AQ28" s="12">
        <v>3899.6781819649041</v>
      </c>
      <c r="AR28" s="4">
        <v>1487.0351066017174</v>
      </c>
      <c r="AS28" s="4">
        <v>94.486353530781344</v>
      </c>
      <c r="AT28" s="4">
        <v>82.503632358304458</v>
      </c>
      <c r="AU28" s="4">
        <v>27.790666643821169</v>
      </c>
      <c r="AV28" s="4">
        <v>6185.873877416816</v>
      </c>
      <c r="AW28" s="13">
        <v>0</v>
      </c>
      <c r="AZ28" s="4">
        <f t="shared" si="9"/>
        <v>24.5</v>
      </c>
      <c r="BA28" s="93">
        <f t="shared" si="24"/>
        <v>1.1165444315398978E-2</v>
      </c>
      <c r="BB28" s="94">
        <f t="shared" si="10"/>
        <v>5.5979055802804975E-3</v>
      </c>
      <c r="BC28" s="94">
        <f t="shared" si="11"/>
        <v>5.8762593825147655E-4</v>
      </c>
      <c r="BD28" s="94">
        <f t="shared" si="12"/>
        <v>4.152752371172347E-4</v>
      </c>
      <c r="BE28" s="94">
        <f t="shared" si="13"/>
        <v>6.9303633454709514E-5</v>
      </c>
      <c r="BF28" s="94">
        <f t="shared" si="14"/>
        <v>6.0291364206772134E-2</v>
      </c>
      <c r="BG28" s="95">
        <f t="shared" si="15"/>
        <v>0</v>
      </c>
    </row>
    <row r="29" spans="2:59" x14ac:dyDescent="0.2">
      <c r="B29" s="4">
        <v>26</v>
      </c>
      <c r="C29" s="9">
        <v>71.562140550464392</v>
      </c>
      <c r="D29" s="85">
        <v>2314.1832872368395</v>
      </c>
      <c r="E29" s="85">
        <v>5370.1951573290862</v>
      </c>
      <c r="F29" s="85">
        <v>1475.0875209383667</v>
      </c>
      <c r="G29" s="85">
        <v>557.1283089146018</v>
      </c>
      <c r="H29" s="85">
        <v>0</v>
      </c>
      <c r="I29" s="13">
        <v>0</v>
      </c>
      <c r="L29" s="4">
        <f t="shared" si="0"/>
        <v>25.5</v>
      </c>
      <c r="M29" s="93">
        <f t="shared" si="16"/>
        <v>4.6500341205699713E-5</v>
      </c>
      <c r="N29" s="94">
        <f t="shared" si="17"/>
        <v>1.7498449955945165E-3</v>
      </c>
      <c r="O29" s="94">
        <f t="shared" si="18"/>
        <v>6.0543481834800942E-3</v>
      </c>
      <c r="P29" s="94">
        <f t="shared" si="19"/>
        <v>1.3437559920810563E-3</v>
      </c>
      <c r="Q29" s="94">
        <f t="shared" si="20"/>
        <v>2.5803730884773441E-4</v>
      </c>
      <c r="R29" s="94">
        <f t="shared" si="21"/>
        <v>0</v>
      </c>
      <c r="S29" s="95">
        <f t="shared" si="22"/>
        <v>0</v>
      </c>
      <c r="V29" s="4">
        <v>26</v>
      </c>
      <c r="W29" s="12">
        <v>0</v>
      </c>
      <c r="X29" s="4">
        <v>1406.9500947748747</v>
      </c>
      <c r="Y29" s="4">
        <v>4204.9133011930971</v>
      </c>
      <c r="Z29" s="4">
        <v>1387.9036311798263</v>
      </c>
      <c r="AA29" s="4">
        <v>0</v>
      </c>
      <c r="AB29" s="4">
        <v>0</v>
      </c>
      <c r="AC29" s="13">
        <v>0</v>
      </c>
      <c r="AF29" s="4">
        <f t="shared" si="2"/>
        <v>25.5</v>
      </c>
      <c r="AG29" s="93">
        <f t="shared" si="23"/>
        <v>0</v>
      </c>
      <c r="AH29" s="94">
        <f t="shared" si="3"/>
        <v>1.2630070622109869E-2</v>
      </c>
      <c r="AI29" s="94">
        <f t="shared" si="4"/>
        <v>5.6317877694704727E-2</v>
      </c>
      <c r="AJ29" s="94">
        <f t="shared" si="5"/>
        <v>1.1576092341059841E-2</v>
      </c>
      <c r="AK29" s="94">
        <f t="shared" si="6"/>
        <v>0</v>
      </c>
      <c r="AL29" s="94">
        <f t="shared" si="7"/>
        <v>0</v>
      </c>
      <c r="AM29" s="95">
        <f t="shared" si="8"/>
        <v>0</v>
      </c>
      <c r="AP29" s="4">
        <v>26</v>
      </c>
      <c r="AQ29" s="12">
        <v>0</v>
      </c>
      <c r="AR29" s="4">
        <v>1406.9500947748602</v>
      </c>
      <c r="AS29" s="4">
        <v>4248.2201626059832</v>
      </c>
      <c r="AT29" s="4">
        <v>1387.9036311798263</v>
      </c>
      <c r="AU29" s="4">
        <v>29.72326562483795</v>
      </c>
      <c r="AV29" s="4">
        <v>0</v>
      </c>
      <c r="AW29" s="13">
        <v>0</v>
      </c>
      <c r="AZ29" s="4">
        <f t="shared" si="9"/>
        <v>25.5</v>
      </c>
      <c r="BA29" s="93">
        <f t="shared" si="24"/>
        <v>0</v>
      </c>
      <c r="BB29" s="94">
        <f t="shared" si="10"/>
        <v>5.2964276039959282E-3</v>
      </c>
      <c r="BC29" s="94">
        <f t="shared" si="11"/>
        <v>2.6420369351399794E-2</v>
      </c>
      <c r="BD29" s="94">
        <f t="shared" si="12"/>
        <v>6.9858985969368575E-3</v>
      </c>
      <c r="BE29" s="94">
        <f t="shared" si="13"/>
        <v>7.4123097957375943E-5</v>
      </c>
      <c r="BF29" s="94">
        <f t="shared" si="14"/>
        <v>0</v>
      </c>
      <c r="BG29" s="95">
        <f t="shared" si="15"/>
        <v>0</v>
      </c>
    </row>
    <row r="30" spans="2:59" x14ac:dyDescent="0.2">
      <c r="B30" s="4">
        <v>27</v>
      </c>
      <c r="C30" s="9">
        <v>197.52225218340755</v>
      </c>
      <c r="D30" s="85">
        <v>95.271118674892932</v>
      </c>
      <c r="E30" s="85">
        <v>5625.1318131639855</v>
      </c>
      <c r="F30" s="85">
        <v>3975.4762440246996</v>
      </c>
      <c r="G30" s="85">
        <v>28.776434008497745</v>
      </c>
      <c r="H30" s="85">
        <v>132.29187920561526</v>
      </c>
      <c r="I30" s="13">
        <v>0</v>
      </c>
      <c r="L30" s="4">
        <f t="shared" si="0"/>
        <v>26.5</v>
      </c>
      <c r="M30" s="93">
        <f t="shared" si="16"/>
        <v>1.2834792323979907E-4</v>
      </c>
      <c r="N30" s="94">
        <f t="shared" si="17"/>
        <v>7.2038239649118669E-5</v>
      </c>
      <c r="O30" s="94">
        <f t="shared" si="18"/>
        <v>6.341763302286349E-3</v>
      </c>
      <c r="P30" s="94">
        <f t="shared" si="19"/>
        <v>3.621527501558525E-3</v>
      </c>
      <c r="Q30" s="94">
        <f t="shared" si="20"/>
        <v>1.3327977543006823E-5</v>
      </c>
      <c r="R30" s="94">
        <f t="shared" si="21"/>
        <v>3.5409901976957446E-4</v>
      </c>
      <c r="S30" s="95">
        <f t="shared" si="22"/>
        <v>0</v>
      </c>
      <c r="V30" s="4">
        <v>27</v>
      </c>
      <c r="W30" s="12">
        <v>71.238588449748931</v>
      </c>
      <c r="X30" s="4">
        <v>0</v>
      </c>
      <c r="Y30" s="4">
        <v>72.336269322753651</v>
      </c>
      <c r="Z30" s="4">
        <v>424.29873298345774</v>
      </c>
      <c r="AA30" s="4">
        <v>0</v>
      </c>
      <c r="AB30" s="4">
        <v>0</v>
      </c>
      <c r="AC30" s="13">
        <v>0</v>
      </c>
      <c r="AF30" s="4">
        <f t="shared" si="2"/>
        <v>26.5</v>
      </c>
      <c r="AG30" s="93">
        <f t="shared" si="23"/>
        <v>3.3358914198697309E-4</v>
      </c>
      <c r="AH30" s="94">
        <f t="shared" si="3"/>
        <v>0</v>
      </c>
      <c r="AI30" s="94">
        <f t="shared" si="4"/>
        <v>9.6882500941319265E-4</v>
      </c>
      <c r="AJ30" s="94">
        <f t="shared" si="5"/>
        <v>3.5389498253822231E-3</v>
      </c>
      <c r="AK30" s="94">
        <f t="shared" si="6"/>
        <v>0</v>
      </c>
      <c r="AL30" s="94">
        <f t="shared" si="7"/>
        <v>0</v>
      </c>
      <c r="AM30" s="95">
        <f t="shared" si="8"/>
        <v>0</v>
      </c>
      <c r="AP30" s="4">
        <v>27</v>
      </c>
      <c r="AQ30" s="12">
        <v>71.238588449778035</v>
      </c>
      <c r="AR30" s="4">
        <v>62.468679901328869</v>
      </c>
      <c r="AS30" s="4">
        <v>72.336269322724547</v>
      </c>
      <c r="AT30" s="4">
        <v>490.24562816301477</v>
      </c>
      <c r="AU30" s="4">
        <v>0</v>
      </c>
      <c r="AV30" s="4">
        <v>0</v>
      </c>
      <c r="AW30" s="13">
        <v>0</v>
      </c>
      <c r="AZ30" s="4">
        <f t="shared" si="9"/>
        <v>26.5</v>
      </c>
      <c r="BA30" s="93">
        <f t="shared" si="24"/>
        <v>2.039682392568208E-4</v>
      </c>
      <c r="BB30" s="94">
        <f t="shared" si="10"/>
        <v>2.3516174585249105E-4</v>
      </c>
      <c r="BC30" s="94">
        <f t="shared" si="11"/>
        <v>4.4987097651651761E-4</v>
      </c>
      <c r="BD30" s="94">
        <f t="shared" si="12"/>
        <v>2.4676109846525013E-3</v>
      </c>
      <c r="BE30" s="94">
        <f t="shared" si="13"/>
        <v>0</v>
      </c>
      <c r="BF30" s="94">
        <f t="shared" si="14"/>
        <v>0</v>
      </c>
      <c r="BG30" s="95">
        <f t="shared" si="15"/>
        <v>0</v>
      </c>
    </row>
    <row r="31" spans="2:59" x14ac:dyDescent="0.2">
      <c r="B31" s="4">
        <v>28</v>
      </c>
      <c r="C31" s="9">
        <v>201.23438781872392</v>
      </c>
      <c r="D31" s="85">
        <v>20049.007388178259</v>
      </c>
      <c r="E31" s="85">
        <v>204.33143432135694</v>
      </c>
      <c r="F31" s="85">
        <v>468.91293622460216</v>
      </c>
      <c r="G31" s="85">
        <v>2109.5222119041719</v>
      </c>
      <c r="H31" s="85">
        <v>242.69422441523056</v>
      </c>
      <c r="I31" s="13">
        <v>26.616223454650026</v>
      </c>
      <c r="L31" s="4">
        <f t="shared" si="0"/>
        <v>27.5</v>
      </c>
      <c r="M31" s="93">
        <f t="shared" si="16"/>
        <v>1.3076003070774605E-4</v>
      </c>
      <c r="N31" s="94">
        <f t="shared" si="17"/>
        <v>1.5159842972822734E-2</v>
      </c>
      <c r="O31" s="94">
        <f t="shared" si="18"/>
        <v>2.3036288476835709E-4</v>
      </c>
      <c r="P31" s="94">
        <f t="shared" si="19"/>
        <v>4.271641911900215E-4</v>
      </c>
      <c r="Q31" s="94">
        <f t="shared" si="20"/>
        <v>9.7703783097065691E-4</v>
      </c>
      <c r="R31" s="94">
        <f t="shared" si="21"/>
        <v>6.4960742477322491E-4</v>
      </c>
      <c r="S31" s="95">
        <f t="shared" si="22"/>
        <v>7.8393359853642063E-5</v>
      </c>
      <c r="V31" s="4">
        <v>28</v>
      </c>
      <c r="W31" s="12">
        <v>0</v>
      </c>
      <c r="X31" s="4">
        <v>60.080651574462536</v>
      </c>
      <c r="Y31" s="4">
        <v>0</v>
      </c>
      <c r="Z31" s="4">
        <v>91.482020313502289</v>
      </c>
      <c r="AA31" s="4">
        <v>0</v>
      </c>
      <c r="AB31" s="4">
        <v>0</v>
      </c>
      <c r="AC31" s="13">
        <v>0</v>
      </c>
      <c r="AF31" s="4">
        <f t="shared" si="2"/>
        <v>27.5</v>
      </c>
      <c r="AG31" s="93">
        <f t="shared" si="23"/>
        <v>0</v>
      </c>
      <c r="AH31" s="94">
        <f t="shared" si="3"/>
        <v>5.3933886868194646E-4</v>
      </c>
      <c r="AI31" s="94">
        <f t="shared" si="4"/>
        <v>0</v>
      </c>
      <c r="AJ31" s="94">
        <f t="shared" si="5"/>
        <v>7.6302438505444249E-4</v>
      </c>
      <c r="AK31" s="94">
        <f t="shared" si="6"/>
        <v>0</v>
      </c>
      <c r="AL31" s="94">
        <f t="shared" si="7"/>
        <v>0</v>
      </c>
      <c r="AM31" s="95">
        <f t="shared" si="8"/>
        <v>0</v>
      </c>
      <c r="AP31" s="4">
        <v>28</v>
      </c>
      <c r="AQ31" s="12">
        <v>0</v>
      </c>
      <c r="AR31" s="4">
        <v>60.080651574477088</v>
      </c>
      <c r="AS31" s="4">
        <v>0</v>
      </c>
      <c r="AT31" s="4">
        <v>91.482020313502289</v>
      </c>
      <c r="AU31" s="4">
        <v>28.467494556913152</v>
      </c>
      <c r="AV31" s="4">
        <v>71.032572596392129</v>
      </c>
      <c r="AW31" s="13">
        <v>0</v>
      </c>
      <c r="AZ31" s="4">
        <f t="shared" si="9"/>
        <v>27.5</v>
      </c>
      <c r="BA31" s="93">
        <f t="shared" si="24"/>
        <v>0</v>
      </c>
      <c r="BB31" s="94">
        <f t="shared" si="10"/>
        <v>2.2617207436632087E-4</v>
      </c>
      <c r="BC31" s="94">
        <f t="shared" si="11"/>
        <v>0</v>
      </c>
      <c r="BD31" s="94">
        <f t="shared" si="12"/>
        <v>4.6046721328178486E-4</v>
      </c>
      <c r="BE31" s="94">
        <f t="shared" si="13"/>
        <v>7.099148910070827E-5</v>
      </c>
      <c r="BF31" s="94">
        <f t="shared" si="14"/>
        <v>6.9232751747299909E-4</v>
      </c>
      <c r="BG31" s="95">
        <f t="shared" si="15"/>
        <v>0</v>
      </c>
    </row>
    <row r="32" spans="2:59" x14ac:dyDescent="0.2">
      <c r="B32" s="4">
        <v>29</v>
      </c>
      <c r="C32" s="9">
        <v>1970.5500401665922</v>
      </c>
      <c r="D32" s="85">
        <v>2604.1163182044402</v>
      </c>
      <c r="E32" s="85">
        <v>981.97442337020766</v>
      </c>
      <c r="F32" s="85">
        <v>4176.1431259079836</v>
      </c>
      <c r="G32" s="85">
        <v>5841.1825755205937</v>
      </c>
      <c r="H32" s="85">
        <v>81.302122264110949</v>
      </c>
      <c r="I32" s="13">
        <v>0</v>
      </c>
      <c r="L32" s="4">
        <f t="shared" si="0"/>
        <v>28.5</v>
      </c>
      <c r="M32" s="93">
        <f t="shared" si="16"/>
        <v>1.2804431019784132E-3</v>
      </c>
      <c r="N32" s="94">
        <f t="shared" si="17"/>
        <v>1.9690747627846396E-3</v>
      </c>
      <c r="O32" s="94">
        <f t="shared" si="18"/>
        <v>1.1070761661690215E-3</v>
      </c>
      <c r="P32" s="94">
        <f t="shared" si="19"/>
        <v>3.8043284005664364E-3</v>
      </c>
      <c r="Q32" s="94">
        <f t="shared" si="20"/>
        <v>2.7053786500492592E-3</v>
      </c>
      <c r="R32" s="94">
        <f t="shared" si="21"/>
        <v>2.176173017707485E-4</v>
      </c>
      <c r="S32" s="95">
        <f t="shared" si="22"/>
        <v>0</v>
      </c>
      <c r="V32" s="4">
        <v>29</v>
      </c>
      <c r="W32" s="12">
        <v>1881.76505414446</v>
      </c>
      <c r="X32" s="4">
        <v>35.555043363259756</v>
      </c>
      <c r="Y32" s="4">
        <v>0</v>
      </c>
      <c r="Z32" s="4">
        <v>0</v>
      </c>
      <c r="AA32" s="4">
        <v>1989.8207529572246</v>
      </c>
      <c r="AB32" s="4">
        <v>0</v>
      </c>
      <c r="AC32" s="13">
        <v>0</v>
      </c>
      <c r="AF32" s="4">
        <f t="shared" si="2"/>
        <v>28.5</v>
      </c>
      <c r="AG32" s="93">
        <f t="shared" si="23"/>
        <v>8.8117466038216078E-3</v>
      </c>
      <c r="AH32" s="94">
        <f t="shared" si="3"/>
        <v>3.191745821816116E-4</v>
      </c>
      <c r="AI32" s="94">
        <f t="shared" si="4"/>
        <v>0</v>
      </c>
      <c r="AJ32" s="94">
        <f t="shared" si="5"/>
        <v>0</v>
      </c>
      <c r="AK32" s="94">
        <f t="shared" si="6"/>
        <v>9.3501335846883759E-3</v>
      </c>
      <c r="AL32" s="94">
        <f t="shared" si="7"/>
        <v>0</v>
      </c>
      <c r="AM32" s="95">
        <f t="shared" si="8"/>
        <v>0</v>
      </c>
      <c r="AP32" s="4">
        <v>29</v>
      </c>
      <c r="AQ32" s="12">
        <v>1894.2792267432087</v>
      </c>
      <c r="AR32" s="4">
        <v>235.62493747466942</v>
      </c>
      <c r="AS32" s="4">
        <v>0</v>
      </c>
      <c r="AT32" s="4">
        <v>112.41737677122001</v>
      </c>
      <c r="AU32" s="4">
        <v>1989.8207529571955</v>
      </c>
      <c r="AV32" s="4">
        <v>0</v>
      </c>
      <c r="AW32" s="13">
        <v>0</v>
      </c>
      <c r="AZ32" s="4">
        <f t="shared" si="9"/>
        <v>28.5</v>
      </c>
      <c r="BA32" s="93">
        <f t="shared" si="24"/>
        <v>5.4236447822372334E-3</v>
      </c>
      <c r="BB32" s="94">
        <f t="shared" si="10"/>
        <v>8.8700404347344939E-4</v>
      </c>
      <c r="BC32" s="94">
        <f t="shared" si="11"/>
        <v>0</v>
      </c>
      <c r="BD32" s="94">
        <f t="shared" si="12"/>
        <v>5.6584360543086897E-4</v>
      </c>
      <c r="BE32" s="94">
        <f t="shared" si="13"/>
        <v>4.9621626523370915E-3</v>
      </c>
      <c r="BF32" s="94">
        <f t="shared" si="14"/>
        <v>0</v>
      </c>
      <c r="BG32" s="95">
        <f t="shared" si="15"/>
        <v>0</v>
      </c>
    </row>
    <row r="33" spans="2:59" x14ac:dyDescent="0.2">
      <c r="B33" s="4">
        <v>30</v>
      </c>
      <c r="C33" s="9">
        <v>0</v>
      </c>
      <c r="D33" s="85">
        <v>697.46535748615861</v>
      </c>
      <c r="E33" s="85">
        <v>341.27921623073053</v>
      </c>
      <c r="F33" s="85">
        <v>1520.997716028709</v>
      </c>
      <c r="G33" s="85">
        <v>3446.3442102461122</v>
      </c>
      <c r="H33" s="85">
        <v>169.22914391331142</v>
      </c>
      <c r="I33" s="13">
        <v>4172.1692361042369</v>
      </c>
      <c r="L33" s="4">
        <f t="shared" si="0"/>
        <v>29.5</v>
      </c>
      <c r="M33" s="93">
        <f t="shared" si="16"/>
        <v>0</v>
      </c>
      <c r="N33" s="94">
        <f t="shared" si="17"/>
        <v>5.2738098668707149E-4</v>
      </c>
      <c r="O33" s="94">
        <f t="shared" si="18"/>
        <v>3.8475756323792299E-4</v>
      </c>
      <c r="P33" s="94">
        <f t="shared" si="19"/>
        <v>1.3855786628545251E-3</v>
      </c>
      <c r="Q33" s="94">
        <f t="shared" si="20"/>
        <v>1.596194935969749E-3</v>
      </c>
      <c r="R33" s="94">
        <f t="shared" si="21"/>
        <v>4.529671385422749E-4</v>
      </c>
      <c r="S33" s="95">
        <f t="shared" si="22"/>
        <v>1.22883836188666E-2</v>
      </c>
      <c r="V33" s="4">
        <v>30</v>
      </c>
      <c r="W33" s="12">
        <v>0</v>
      </c>
      <c r="X33" s="4">
        <v>36.168134661376826</v>
      </c>
      <c r="Y33" s="4">
        <v>36.168134661376826</v>
      </c>
      <c r="Z33" s="4">
        <v>0</v>
      </c>
      <c r="AA33" s="4">
        <v>62.191420572897187</v>
      </c>
      <c r="AB33" s="4">
        <v>11.957653425582976</v>
      </c>
      <c r="AC33" s="13">
        <v>4172.1692361042697</v>
      </c>
      <c r="AF33" s="4">
        <f t="shared" si="2"/>
        <v>29.5</v>
      </c>
      <c r="AG33" s="93">
        <f t="shared" si="23"/>
        <v>0</v>
      </c>
      <c r="AH33" s="94">
        <f t="shared" si="3"/>
        <v>3.2467825030870222E-4</v>
      </c>
      <c r="AI33" s="94">
        <f t="shared" si="4"/>
        <v>4.8441250470659632E-4</v>
      </c>
      <c r="AJ33" s="94">
        <f t="shared" si="5"/>
        <v>0</v>
      </c>
      <c r="AK33" s="94">
        <f t="shared" si="6"/>
        <v>2.9223641843815167E-4</v>
      </c>
      <c r="AL33" s="94">
        <f t="shared" si="7"/>
        <v>2.7597253011415307E-4</v>
      </c>
      <c r="AM33" s="95">
        <f t="shared" si="8"/>
        <v>0.17286631726207607</v>
      </c>
      <c r="AP33" s="4">
        <v>30</v>
      </c>
      <c r="AQ33" s="12">
        <v>0</v>
      </c>
      <c r="AR33" s="4">
        <v>36.168134661362274</v>
      </c>
      <c r="AS33" s="4">
        <v>36.168134661362274</v>
      </c>
      <c r="AT33" s="4">
        <v>0</v>
      </c>
      <c r="AU33" s="4">
        <v>62.191420572868083</v>
      </c>
      <c r="AV33" s="4">
        <v>11.957653425590252</v>
      </c>
      <c r="AW33" s="13">
        <v>4172.1692361042806</v>
      </c>
      <c r="AZ33" s="4">
        <f t="shared" si="9"/>
        <v>29.5</v>
      </c>
      <c r="BA33" s="93">
        <f t="shared" si="24"/>
        <v>0</v>
      </c>
      <c r="BB33" s="94">
        <f t="shared" si="10"/>
        <v>1.3615401677494096E-4</v>
      </c>
      <c r="BC33" s="94">
        <f t="shared" si="11"/>
        <v>2.249354882582588E-4</v>
      </c>
      <c r="BD33" s="94">
        <f t="shared" si="12"/>
        <v>0</v>
      </c>
      <c r="BE33" s="94">
        <f t="shared" si="13"/>
        <v>1.5509132870578378E-4</v>
      </c>
      <c r="BF33" s="94">
        <f t="shared" si="14"/>
        <v>1.1654670819794985E-4</v>
      </c>
      <c r="BG33" s="95">
        <f t="shared" si="15"/>
        <v>7.687052447767527E-2</v>
      </c>
    </row>
    <row r="34" spans="2:59" x14ac:dyDescent="0.2">
      <c r="B34" s="4">
        <v>31</v>
      </c>
      <c r="C34" s="9">
        <v>0</v>
      </c>
      <c r="D34" s="85">
        <v>29.887591335456818</v>
      </c>
      <c r="E34" s="85">
        <v>11362.329950753017</v>
      </c>
      <c r="F34" s="85">
        <v>3594.4475006777793</v>
      </c>
      <c r="G34" s="85">
        <v>1254.2515134080313</v>
      </c>
      <c r="H34" s="85">
        <v>58.919071787851863</v>
      </c>
      <c r="I34" s="13">
        <v>0</v>
      </c>
      <c r="L34" s="4">
        <f t="shared" si="0"/>
        <v>30.5</v>
      </c>
      <c r="M34" s="93">
        <f t="shared" si="16"/>
        <v>0</v>
      </c>
      <c r="N34" s="94">
        <f t="shared" si="17"/>
        <v>2.2599183226825702E-5</v>
      </c>
      <c r="O34" s="94">
        <f t="shared" si="18"/>
        <v>1.2809869973451217E-2</v>
      </c>
      <c r="P34" s="94">
        <f t="shared" si="19"/>
        <v>3.2744229062313082E-3</v>
      </c>
      <c r="Q34" s="94">
        <f t="shared" si="20"/>
        <v>5.8091409099015191E-4</v>
      </c>
      <c r="R34" s="94">
        <f t="shared" si="21"/>
        <v>1.5770571626233258E-4</v>
      </c>
      <c r="S34" s="95">
        <f t="shared" si="22"/>
        <v>0</v>
      </c>
      <c r="V34" s="4">
        <v>31</v>
      </c>
      <c r="W34" s="12">
        <v>0</v>
      </c>
      <c r="X34" s="4">
        <v>0</v>
      </c>
      <c r="Y34" s="4">
        <v>0</v>
      </c>
      <c r="Z34" s="4">
        <v>2885.8852961419034</v>
      </c>
      <c r="AA34" s="4">
        <v>0</v>
      </c>
      <c r="AB34" s="4">
        <v>0</v>
      </c>
      <c r="AC34" s="13">
        <v>0</v>
      </c>
      <c r="AF34" s="4">
        <f t="shared" si="2"/>
        <v>30.5</v>
      </c>
      <c r="AG34" s="93">
        <f t="shared" si="23"/>
        <v>0</v>
      </c>
      <c r="AH34" s="94">
        <f t="shared" si="3"/>
        <v>0</v>
      </c>
      <c r="AI34" s="94">
        <f t="shared" si="4"/>
        <v>0</v>
      </c>
      <c r="AJ34" s="94">
        <f t="shared" si="5"/>
        <v>2.4070312897334745E-2</v>
      </c>
      <c r="AK34" s="94">
        <f t="shared" si="6"/>
        <v>0</v>
      </c>
      <c r="AL34" s="94">
        <f t="shared" si="7"/>
        <v>0</v>
      </c>
      <c r="AM34" s="95">
        <f t="shared" si="8"/>
        <v>0</v>
      </c>
      <c r="AP34" s="4">
        <v>31</v>
      </c>
      <c r="AQ34" s="12">
        <v>0</v>
      </c>
      <c r="AR34" s="4">
        <v>29.887591335456818</v>
      </c>
      <c r="AS34" s="4">
        <v>11320.192033461819</v>
      </c>
      <c r="AT34" s="4">
        <v>2885.8852961419034</v>
      </c>
      <c r="AU34" s="4">
        <v>40.915886368602514</v>
      </c>
      <c r="AV34" s="4">
        <v>58.919071787880966</v>
      </c>
      <c r="AW34" s="13">
        <v>0</v>
      </c>
      <c r="AZ34" s="4">
        <f t="shared" si="9"/>
        <v>30.5</v>
      </c>
      <c r="BA34" s="93">
        <f t="shared" si="24"/>
        <v>0</v>
      </c>
      <c r="BB34" s="94">
        <f t="shared" si="10"/>
        <v>1.1251107225050065E-4</v>
      </c>
      <c r="BC34" s="94">
        <f t="shared" si="11"/>
        <v>7.0402107989941856E-2</v>
      </c>
      <c r="BD34" s="94">
        <f t="shared" si="12"/>
        <v>1.4525865909076435E-2</v>
      </c>
      <c r="BE34" s="94">
        <f t="shared" si="13"/>
        <v>1.0203496115105361E-4</v>
      </c>
      <c r="BF34" s="94">
        <f t="shared" si="14"/>
        <v>5.7426182400141469E-4</v>
      </c>
      <c r="BG34" s="95">
        <f t="shared" si="15"/>
        <v>0</v>
      </c>
    </row>
    <row r="35" spans="2:59" x14ac:dyDescent="0.2">
      <c r="B35" s="4">
        <v>32</v>
      </c>
      <c r="C35" s="9">
        <v>259.42777710082009</v>
      </c>
      <c r="D35" s="85">
        <v>45.908191015245393</v>
      </c>
      <c r="E35" s="85">
        <v>290.06244228943251</v>
      </c>
      <c r="F35" s="85">
        <v>1700.2750787490513</v>
      </c>
      <c r="G35" s="85">
        <v>946.4943036949262</v>
      </c>
      <c r="H35" s="85">
        <v>987.00204494397622</v>
      </c>
      <c r="I35" s="13">
        <v>0</v>
      </c>
      <c r="L35" s="4">
        <f t="shared" si="0"/>
        <v>31.5</v>
      </c>
      <c r="M35" s="93">
        <f t="shared" si="16"/>
        <v>1.6857349515582735E-4</v>
      </c>
      <c r="N35" s="94">
        <f t="shared" si="17"/>
        <v>3.4712988702265609E-5</v>
      </c>
      <c r="O35" s="94">
        <f t="shared" si="18"/>
        <v>3.270158661131892E-4</v>
      </c>
      <c r="P35" s="94">
        <f t="shared" si="19"/>
        <v>1.5488944166524414E-3</v>
      </c>
      <c r="Q35" s="94">
        <f t="shared" si="20"/>
        <v>4.3837449840048495E-4</v>
      </c>
      <c r="R35" s="94">
        <f t="shared" si="21"/>
        <v>2.6418587348209107E-3</v>
      </c>
      <c r="S35" s="95">
        <f t="shared" si="22"/>
        <v>0</v>
      </c>
      <c r="V35" s="4">
        <v>32</v>
      </c>
      <c r="W35" s="12">
        <v>0</v>
      </c>
      <c r="X35" s="4">
        <v>0</v>
      </c>
      <c r="Y35" s="4">
        <v>0</v>
      </c>
      <c r="Z35" s="4">
        <v>864.60597805670113</v>
      </c>
      <c r="AA35" s="4">
        <v>26.927421154425247</v>
      </c>
      <c r="AB35" s="4">
        <v>0</v>
      </c>
      <c r="AC35" s="13">
        <v>0</v>
      </c>
      <c r="AF35" s="4">
        <f t="shared" si="2"/>
        <v>31.5</v>
      </c>
      <c r="AG35" s="93">
        <f t="shared" si="23"/>
        <v>0</v>
      </c>
      <c r="AH35" s="94">
        <f t="shared" si="3"/>
        <v>0</v>
      </c>
      <c r="AI35" s="94">
        <f t="shared" si="4"/>
        <v>0</v>
      </c>
      <c r="AJ35" s="94">
        <f t="shared" si="5"/>
        <v>7.2114218997384608E-3</v>
      </c>
      <c r="AK35" s="94">
        <f t="shared" si="6"/>
        <v>1.2653149009068162E-4</v>
      </c>
      <c r="AL35" s="94">
        <f t="shared" si="7"/>
        <v>0</v>
      </c>
      <c r="AM35" s="95">
        <f t="shared" si="8"/>
        <v>0</v>
      </c>
      <c r="AP35" s="4">
        <v>32</v>
      </c>
      <c r="AQ35" s="12">
        <v>0</v>
      </c>
      <c r="AR35" s="4">
        <v>0</v>
      </c>
      <c r="AS35" s="4">
        <v>0</v>
      </c>
      <c r="AT35" s="4">
        <v>883.69423542986624</v>
      </c>
      <c r="AU35" s="4">
        <v>67.843307523056865</v>
      </c>
      <c r="AV35" s="4">
        <v>0</v>
      </c>
      <c r="AW35" s="13">
        <v>0</v>
      </c>
      <c r="AZ35" s="4">
        <f t="shared" si="9"/>
        <v>31.5</v>
      </c>
      <c r="BA35" s="93">
        <f t="shared" si="24"/>
        <v>0</v>
      </c>
      <c r="BB35" s="94">
        <f t="shared" si="10"/>
        <v>0</v>
      </c>
      <c r="BC35" s="94">
        <f t="shared" si="11"/>
        <v>0</v>
      </c>
      <c r="BD35" s="94">
        <f t="shared" si="12"/>
        <v>4.4480021384213989E-3</v>
      </c>
      <c r="BE35" s="94">
        <f t="shared" si="13"/>
        <v>1.6918585571168516E-4</v>
      </c>
      <c r="BF35" s="94">
        <f t="shared" si="14"/>
        <v>0</v>
      </c>
      <c r="BG35" s="95">
        <f t="shared" si="15"/>
        <v>0</v>
      </c>
    </row>
    <row r="36" spans="2:59" x14ac:dyDescent="0.2">
      <c r="B36" s="4">
        <v>33</v>
      </c>
      <c r="C36" s="9">
        <v>0</v>
      </c>
      <c r="D36" s="85">
        <v>1319.6505955078173</v>
      </c>
      <c r="E36" s="85">
        <v>468.92819996073376</v>
      </c>
      <c r="F36" s="85">
        <v>636.5984584914986</v>
      </c>
      <c r="G36" s="85">
        <v>1451.911714240443</v>
      </c>
      <c r="H36" s="85">
        <v>1320.611944907112</v>
      </c>
      <c r="I36" s="13">
        <v>30.212670933688059</v>
      </c>
      <c r="L36" s="4">
        <f t="shared" ref="L36:L54" si="25">B36-0.5</f>
        <v>32.5</v>
      </c>
      <c r="M36" s="93">
        <f t="shared" si="16"/>
        <v>0</v>
      </c>
      <c r="N36" s="94">
        <f t="shared" si="17"/>
        <v>9.9783971443328026E-4</v>
      </c>
      <c r="O36" s="94">
        <f t="shared" si="18"/>
        <v>5.2866879367320565E-4</v>
      </c>
      <c r="P36" s="94">
        <f t="shared" si="19"/>
        <v>5.7992016134970556E-4</v>
      </c>
      <c r="Q36" s="94">
        <f t="shared" si="20"/>
        <v>6.7246159534954035E-4</v>
      </c>
      <c r="R36" s="94">
        <f t="shared" si="21"/>
        <v>3.534815575949206E-3</v>
      </c>
      <c r="S36" s="95">
        <f t="shared" si="22"/>
        <v>8.8986057269912667E-5</v>
      </c>
      <c r="V36" s="4">
        <v>33</v>
      </c>
      <c r="W36" s="12">
        <v>0</v>
      </c>
      <c r="X36" s="4">
        <v>0</v>
      </c>
      <c r="Y36" s="4">
        <v>119.63101831644599</v>
      </c>
      <c r="Z36" s="4">
        <v>73.719476452053641</v>
      </c>
      <c r="AA36" s="4">
        <v>0</v>
      </c>
      <c r="AB36" s="4">
        <v>1183.5317830388813</v>
      </c>
      <c r="AC36" s="13">
        <v>0</v>
      </c>
      <c r="AF36" s="4">
        <f t="shared" si="2"/>
        <v>32.5</v>
      </c>
      <c r="AG36" s="93">
        <f t="shared" si="23"/>
        <v>0</v>
      </c>
      <c r="AH36" s="94">
        <f t="shared" si="3"/>
        <v>0</v>
      </c>
      <c r="AI36" s="94">
        <f t="shared" si="4"/>
        <v>1.6022601598294391E-3</v>
      </c>
      <c r="AJ36" s="94">
        <f t="shared" si="5"/>
        <v>6.1487227756448553E-4</v>
      </c>
      <c r="AK36" s="94">
        <f t="shared" si="6"/>
        <v>0</v>
      </c>
      <c r="AL36" s="94">
        <f t="shared" si="7"/>
        <v>2.7314912801951443E-2</v>
      </c>
      <c r="AM36" s="95">
        <f t="shared" si="8"/>
        <v>0</v>
      </c>
      <c r="AP36" s="4">
        <v>33</v>
      </c>
      <c r="AQ36" s="12">
        <v>0</v>
      </c>
      <c r="AR36" s="4">
        <v>0</v>
      </c>
      <c r="AS36" s="4">
        <v>119.63101831643144</v>
      </c>
      <c r="AT36" s="4">
        <v>109.99915092080482</v>
      </c>
      <c r="AU36" s="4">
        <v>1059.8107044828357</v>
      </c>
      <c r="AV36" s="4">
        <v>1183.5317830388813</v>
      </c>
      <c r="AW36" s="13">
        <v>0</v>
      </c>
      <c r="AZ36" s="4">
        <f t="shared" si="9"/>
        <v>32.5</v>
      </c>
      <c r="BA36" s="93">
        <f t="shared" si="24"/>
        <v>0</v>
      </c>
      <c r="BB36" s="94">
        <f t="shared" si="10"/>
        <v>0</v>
      </c>
      <c r="BC36" s="94">
        <f t="shared" si="11"/>
        <v>7.4400468168423005E-4</v>
      </c>
      <c r="BD36" s="94">
        <f t="shared" si="12"/>
        <v>5.5367166481772197E-4</v>
      </c>
      <c r="BE36" s="94">
        <f t="shared" si="13"/>
        <v>2.642928056970023E-3</v>
      </c>
      <c r="BF36" s="94">
        <f t="shared" si="14"/>
        <v>1.1535434959641589E-2</v>
      </c>
      <c r="BG36" s="95">
        <f t="shared" si="15"/>
        <v>0</v>
      </c>
    </row>
    <row r="37" spans="2:59" x14ac:dyDescent="0.2">
      <c r="B37" s="4">
        <v>34</v>
      </c>
      <c r="C37" s="9">
        <v>415.2711570977699</v>
      </c>
      <c r="D37" s="85">
        <v>389.84585579996929</v>
      </c>
      <c r="E37" s="85">
        <v>131.84420025278814</v>
      </c>
      <c r="F37" s="85">
        <v>435.53943468886428</v>
      </c>
      <c r="G37" s="85">
        <v>4330.9083773698658</v>
      </c>
      <c r="H37" s="85">
        <v>38.311546308163088</v>
      </c>
      <c r="I37" s="13">
        <v>0</v>
      </c>
      <c r="L37" s="4">
        <f t="shared" si="25"/>
        <v>33.5</v>
      </c>
      <c r="M37" s="93">
        <f>C37/C$55</f>
        <v>2.6983891691046845E-4</v>
      </c>
      <c r="N37" s="94">
        <f t="shared" si="17"/>
        <v>2.9477778341375723E-4</v>
      </c>
      <c r="O37" s="94">
        <f t="shared" si="18"/>
        <v>1.4864090985845302E-4</v>
      </c>
      <c r="P37" s="94">
        <f t="shared" si="19"/>
        <v>3.9676203401032705E-4</v>
      </c>
      <c r="Q37" s="94">
        <f t="shared" si="20"/>
        <v>2.0058861211698495E-3</v>
      </c>
      <c r="R37" s="94">
        <f t="shared" si="21"/>
        <v>1.0254658921650109E-4</v>
      </c>
      <c r="S37" s="95">
        <f t="shared" si="22"/>
        <v>0</v>
      </c>
      <c r="V37" s="4">
        <v>34</v>
      </c>
      <c r="W37" s="12">
        <v>0</v>
      </c>
      <c r="X37" s="4">
        <v>0</v>
      </c>
      <c r="Y37" s="4">
        <v>0</v>
      </c>
      <c r="Z37" s="4">
        <v>72.888215213883086</v>
      </c>
      <c r="AA37" s="4">
        <v>807.46491789916763</v>
      </c>
      <c r="AB37" s="4">
        <v>0</v>
      </c>
      <c r="AC37" s="13">
        <v>0</v>
      </c>
      <c r="AF37" s="4">
        <f t="shared" si="2"/>
        <v>33.5</v>
      </c>
      <c r="AG37" s="93">
        <f>W37/W$55</f>
        <v>0</v>
      </c>
      <c r="AH37" s="94">
        <f t="shared" si="3"/>
        <v>0</v>
      </c>
      <c r="AI37" s="94">
        <f t="shared" si="4"/>
        <v>0</v>
      </c>
      <c r="AJ37" s="94">
        <f t="shared" si="5"/>
        <v>6.0793897424541712E-4</v>
      </c>
      <c r="AK37" s="94">
        <f t="shared" si="6"/>
        <v>3.7942637979255962E-3</v>
      </c>
      <c r="AL37" s="94">
        <f t="shared" si="7"/>
        <v>0</v>
      </c>
      <c r="AM37" s="95">
        <f t="shared" si="8"/>
        <v>0</v>
      </c>
      <c r="AP37" s="4">
        <v>34</v>
      </c>
      <c r="AQ37" s="12">
        <v>0</v>
      </c>
      <c r="AR37" s="4">
        <v>0</v>
      </c>
      <c r="AS37" s="4">
        <v>9.1676060252066236</v>
      </c>
      <c r="AT37" s="4">
        <v>72.888215213897638</v>
      </c>
      <c r="AU37" s="4">
        <v>807.46491789910942</v>
      </c>
      <c r="AV37" s="4">
        <v>0</v>
      </c>
      <c r="AW37" s="13">
        <v>0</v>
      </c>
      <c r="AZ37" s="4">
        <f t="shared" si="9"/>
        <v>33.5</v>
      </c>
      <c r="BA37" s="93">
        <f>AQ37/AQ$55</f>
        <v>0</v>
      </c>
      <c r="BB37" s="94">
        <f t="shared" si="10"/>
        <v>0</v>
      </c>
      <c r="BC37" s="94">
        <f t="shared" si="11"/>
        <v>5.7014826911771329E-5</v>
      </c>
      <c r="BD37" s="94">
        <f t="shared" si="12"/>
        <v>3.6687682700501929E-4</v>
      </c>
      <c r="BE37" s="94">
        <f t="shared" si="13"/>
        <v>2.0136347722359837E-3</v>
      </c>
      <c r="BF37" s="94">
        <f t="shared" si="14"/>
        <v>0</v>
      </c>
      <c r="BG37" s="95">
        <f t="shared" si="15"/>
        <v>0</v>
      </c>
    </row>
    <row r="38" spans="2:59" x14ac:dyDescent="0.2">
      <c r="B38" s="4">
        <v>35</v>
      </c>
      <c r="C38" s="9">
        <v>142.99194399197586</v>
      </c>
      <c r="D38" s="85">
        <v>162.82792750443332</v>
      </c>
      <c r="E38" s="85">
        <v>236.45583580236416</v>
      </c>
      <c r="F38" s="85">
        <v>230.21027387771755</v>
      </c>
      <c r="G38" s="85">
        <v>486.60450480272993</v>
      </c>
      <c r="H38" s="85">
        <v>877.9520530909067</v>
      </c>
      <c r="I38" s="13">
        <v>0</v>
      </c>
      <c r="L38" s="4">
        <f t="shared" si="25"/>
        <v>34.5</v>
      </c>
      <c r="M38" s="93">
        <f t="shared" ref="M38:M54" si="26">C38/C$55</f>
        <v>9.2914691122246358E-5</v>
      </c>
      <c r="N38" s="94">
        <f t="shared" ref="N38:N54" si="27">D38/D$55</f>
        <v>1.2312059967681355E-4</v>
      </c>
      <c r="O38" s="94">
        <f t="shared" ref="O38:O54" si="28">E38/E$55</f>
        <v>2.6657987615394646E-4</v>
      </c>
      <c r="P38" s="94">
        <f t="shared" ref="P38:P54" si="29">F38/F$55</f>
        <v>2.097139529490531E-4</v>
      </c>
      <c r="Q38" s="94">
        <f t="shared" ref="Q38:Q54" si="30">G38/G$55</f>
        <v>2.2537378712114125E-4</v>
      </c>
      <c r="R38" s="94">
        <f t="shared" ref="R38:R54" si="31">H38/H$55</f>
        <v>2.349970106033385E-3</v>
      </c>
      <c r="S38" s="95">
        <f t="shared" ref="S38:S54" si="32">I38/I$55</f>
        <v>0</v>
      </c>
      <c r="V38" s="4">
        <v>35</v>
      </c>
      <c r="W38" s="12">
        <v>27.613070416584378</v>
      </c>
      <c r="X38" s="4">
        <v>79.762015478001558</v>
      </c>
      <c r="Y38" s="4">
        <v>0</v>
      </c>
      <c r="Z38" s="4">
        <v>0</v>
      </c>
      <c r="AA38" s="4">
        <v>306.48391827591695</v>
      </c>
      <c r="AB38" s="4">
        <v>800.06010013459309</v>
      </c>
      <c r="AC38" s="13">
        <v>0</v>
      </c>
      <c r="AF38" s="4">
        <f t="shared" si="2"/>
        <v>34.5</v>
      </c>
      <c r="AG38" s="93">
        <f t="shared" ref="AG38:AG47" si="33">W38/W$55</f>
        <v>1.2930380385613489E-4</v>
      </c>
      <c r="AH38" s="94">
        <f t="shared" si="3"/>
        <v>7.1601678850604397E-4</v>
      </c>
      <c r="AI38" s="94">
        <f t="shared" si="4"/>
        <v>0</v>
      </c>
      <c r="AJ38" s="94">
        <f t="shared" si="5"/>
        <v>0</v>
      </c>
      <c r="AK38" s="94">
        <f t="shared" si="6"/>
        <v>1.4401626745422439E-3</v>
      </c>
      <c r="AL38" s="94">
        <f t="shared" si="7"/>
        <v>1.8464710609954967E-2</v>
      </c>
      <c r="AM38" s="95">
        <f t="shared" si="8"/>
        <v>0</v>
      </c>
      <c r="AP38" s="4">
        <v>35</v>
      </c>
      <c r="AQ38" s="12">
        <v>27.613070416613482</v>
      </c>
      <c r="AR38" s="4">
        <v>118.49038677546196</v>
      </c>
      <c r="AS38" s="4">
        <v>0</v>
      </c>
      <c r="AT38" s="4">
        <v>19.364185648737475</v>
      </c>
      <c r="AU38" s="4">
        <v>306.48391827591695</v>
      </c>
      <c r="AV38" s="4">
        <v>800.06010013459309</v>
      </c>
      <c r="AW38" s="13">
        <v>0</v>
      </c>
      <c r="AZ38" s="4">
        <f t="shared" si="9"/>
        <v>34.5</v>
      </c>
      <c r="BA38" s="93">
        <f t="shared" ref="BA38:BA47" si="34">AQ38/AQ$55</f>
        <v>7.9060934191893119E-5</v>
      </c>
      <c r="BB38" s="94">
        <f t="shared" si="10"/>
        <v>4.4605402683180125E-4</v>
      </c>
      <c r="BC38" s="94">
        <f t="shared" si="11"/>
        <v>0</v>
      </c>
      <c r="BD38" s="94">
        <f t="shared" si="12"/>
        <v>9.7468033309592697E-5</v>
      </c>
      <c r="BE38" s="94">
        <f t="shared" si="13"/>
        <v>7.6430153346752428E-4</v>
      </c>
      <c r="BF38" s="94">
        <f t="shared" si="14"/>
        <v>7.797882051980131E-3</v>
      </c>
      <c r="BG38" s="95">
        <f t="shared" si="15"/>
        <v>0</v>
      </c>
    </row>
    <row r="39" spans="2:59" x14ac:dyDescent="0.2">
      <c r="B39" s="4">
        <v>36</v>
      </c>
      <c r="C39" s="9">
        <v>58.206779451109469</v>
      </c>
      <c r="D39" s="85">
        <v>65.196475192904472</v>
      </c>
      <c r="E39" s="85">
        <v>43.96220496238675</v>
      </c>
      <c r="F39" s="85">
        <v>1749.0962860069703</v>
      </c>
      <c r="G39" s="85">
        <v>193.42395736649632</v>
      </c>
      <c r="H39" s="85">
        <v>73.101104509376455</v>
      </c>
      <c r="I39" s="13">
        <v>0</v>
      </c>
      <c r="L39" s="4">
        <f t="shared" si="25"/>
        <v>35.5</v>
      </c>
      <c r="M39" s="93">
        <f t="shared" si="26"/>
        <v>3.7822165241868757E-5</v>
      </c>
      <c r="N39" s="94">
        <f t="shared" si="27"/>
        <v>4.92976189379205E-5</v>
      </c>
      <c r="O39" s="94">
        <f t="shared" si="28"/>
        <v>4.9562909346516948E-5</v>
      </c>
      <c r="P39" s="94">
        <f t="shared" si="29"/>
        <v>1.5933689233255956E-3</v>
      </c>
      <c r="Q39" s="94">
        <f t="shared" si="30"/>
        <v>8.9585462858215775E-5</v>
      </c>
      <c r="R39" s="94">
        <f t="shared" si="31"/>
        <v>1.9566604999700319E-4</v>
      </c>
      <c r="S39" s="95">
        <f t="shared" si="32"/>
        <v>0</v>
      </c>
      <c r="V39" s="4">
        <v>36</v>
      </c>
      <c r="W39" s="12">
        <v>0</v>
      </c>
      <c r="X39" s="4">
        <v>28.686759345146129</v>
      </c>
      <c r="Y39" s="4">
        <v>0</v>
      </c>
      <c r="Z39" s="4">
        <v>12.489137493190356</v>
      </c>
      <c r="AA39" s="4">
        <v>0</v>
      </c>
      <c r="AB39" s="4">
        <v>0</v>
      </c>
      <c r="AC39" s="13">
        <v>0</v>
      </c>
      <c r="AF39" s="4">
        <f t="shared" si="2"/>
        <v>35.5</v>
      </c>
      <c r="AG39" s="93">
        <f t="shared" si="33"/>
        <v>0</v>
      </c>
      <c r="AH39" s="94">
        <f t="shared" si="3"/>
        <v>2.5751858420155251E-4</v>
      </c>
      <c r="AI39" s="94">
        <f t="shared" si="4"/>
        <v>0</v>
      </c>
      <c r="AJ39" s="94">
        <f t="shared" si="5"/>
        <v>1.0416818980325299E-4</v>
      </c>
      <c r="AK39" s="94">
        <f t="shared" si="6"/>
        <v>0</v>
      </c>
      <c r="AL39" s="94">
        <f t="shared" si="7"/>
        <v>0</v>
      </c>
      <c r="AM39" s="95">
        <f t="shared" si="8"/>
        <v>0</v>
      </c>
      <c r="AP39" s="4">
        <v>36</v>
      </c>
      <c r="AQ39" s="12">
        <v>0</v>
      </c>
      <c r="AR39" s="4">
        <v>28.686759345146129</v>
      </c>
      <c r="AS39" s="4">
        <v>0</v>
      </c>
      <c r="AT39" s="4">
        <v>1749.0962860070576</v>
      </c>
      <c r="AU39" s="4">
        <v>0</v>
      </c>
      <c r="AV39" s="4">
        <v>0</v>
      </c>
      <c r="AW39" s="13">
        <v>0</v>
      </c>
      <c r="AZ39" s="4">
        <f t="shared" si="9"/>
        <v>35.5</v>
      </c>
      <c r="BA39" s="93">
        <f t="shared" si="34"/>
        <v>0</v>
      </c>
      <c r="BB39" s="94">
        <f t="shared" si="10"/>
        <v>1.0799057097269188E-4</v>
      </c>
      <c r="BC39" s="94">
        <f t="shared" si="11"/>
        <v>0</v>
      </c>
      <c r="BD39" s="94">
        <f t="shared" si="12"/>
        <v>8.8039320712325411E-3</v>
      </c>
      <c r="BE39" s="94">
        <f t="shared" si="13"/>
        <v>0</v>
      </c>
      <c r="BF39" s="94">
        <f t="shared" si="14"/>
        <v>0</v>
      </c>
      <c r="BG39" s="95">
        <f t="shared" si="15"/>
        <v>0</v>
      </c>
    </row>
    <row r="40" spans="2:59" x14ac:dyDescent="0.2">
      <c r="B40" s="4">
        <v>37</v>
      </c>
      <c r="C40" s="9">
        <v>0</v>
      </c>
      <c r="D40" s="85">
        <v>1683.6624445326161</v>
      </c>
      <c r="E40" s="85">
        <v>131.57451427646447</v>
      </c>
      <c r="F40" s="85">
        <v>3361.6545678873081</v>
      </c>
      <c r="G40" s="85">
        <v>1134.9642547159456</v>
      </c>
      <c r="H40" s="85">
        <v>0</v>
      </c>
      <c r="I40" s="13">
        <v>0</v>
      </c>
      <c r="L40" s="4">
        <f t="shared" si="25"/>
        <v>36.5</v>
      </c>
      <c r="M40" s="93">
        <f t="shared" si="26"/>
        <v>0</v>
      </c>
      <c r="N40" s="94">
        <f t="shared" si="27"/>
        <v>1.2730833893254679E-3</v>
      </c>
      <c r="O40" s="94">
        <f t="shared" si="28"/>
        <v>1.4833686638274489E-4</v>
      </c>
      <c r="P40" s="94">
        <f t="shared" si="29"/>
        <v>3.0623562363483428E-3</v>
      </c>
      <c r="Q40" s="94">
        <f t="shared" si="30"/>
        <v>5.2566548358641747E-4</v>
      </c>
      <c r="R40" s="94">
        <f t="shared" si="31"/>
        <v>0</v>
      </c>
      <c r="S40" s="95">
        <f t="shared" si="32"/>
        <v>0</v>
      </c>
      <c r="V40" s="4">
        <v>37</v>
      </c>
      <c r="W40" s="12">
        <v>0</v>
      </c>
      <c r="X40" s="4">
        <v>0</v>
      </c>
      <c r="Y40" s="4">
        <v>104.45479289129435</v>
      </c>
      <c r="Z40" s="4">
        <v>122.66202389189857</v>
      </c>
      <c r="AA40" s="4">
        <v>131.88675878266804</v>
      </c>
      <c r="AB40" s="4">
        <v>0</v>
      </c>
      <c r="AC40" s="13">
        <v>0</v>
      </c>
      <c r="AF40" s="4">
        <f t="shared" si="2"/>
        <v>36.5</v>
      </c>
      <c r="AG40" s="93">
        <f t="shared" si="33"/>
        <v>0</v>
      </c>
      <c r="AH40" s="94">
        <f t="shared" si="3"/>
        <v>0</v>
      </c>
      <c r="AI40" s="94">
        <f t="shared" si="4"/>
        <v>1.3989996533361306E-3</v>
      </c>
      <c r="AJ40" s="94">
        <f t="shared" si="5"/>
        <v>1.0230875425456165E-3</v>
      </c>
      <c r="AK40" s="94">
        <f t="shared" si="6"/>
        <v>6.197336171294964E-4</v>
      </c>
      <c r="AL40" s="94">
        <f t="shared" si="7"/>
        <v>0</v>
      </c>
      <c r="AM40" s="95">
        <f t="shared" si="8"/>
        <v>0</v>
      </c>
      <c r="AP40" s="4">
        <v>37</v>
      </c>
      <c r="AQ40" s="12">
        <v>0</v>
      </c>
      <c r="AR40" s="4">
        <v>1683.6624445326743</v>
      </c>
      <c r="AS40" s="4">
        <v>104.45479289127979</v>
      </c>
      <c r="AT40" s="4">
        <v>122.66202389189857</v>
      </c>
      <c r="AU40" s="4">
        <v>888.31350618886063</v>
      </c>
      <c r="AV40" s="4">
        <v>0</v>
      </c>
      <c r="AW40" s="13">
        <v>0</v>
      </c>
      <c r="AZ40" s="4">
        <f t="shared" si="9"/>
        <v>36.5</v>
      </c>
      <c r="BA40" s="93">
        <f t="shared" si="34"/>
        <v>0</v>
      </c>
      <c r="BB40" s="94">
        <f t="shared" si="10"/>
        <v>6.3381041588835311E-3</v>
      </c>
      <c r="BC40" s="94">
        <f t="shared" si="11"/>
        <v>6.4962127740071727E-4</v>
      </c>
      <c r="BD40" s="94">
        <f t="shared" si="12"/>
        <v>6.1740919279490176E-4</v>
      </c>
      <c r="BE40" s="94">
        <f t="shared" si="13"/>
        <v>2.2152528550252789E-3</v>
      </c>
      <c r="BF40" s="94">
        <f t="shared" si="14"/>
        <v>0</v>
      </c>
      <c r="BG40" s="95">
        <f t="shared" si="15"/>
        <v>0</v>
      </c>
    </row>
    <row r="41" spans="2:59" x14ac:dyDescent="0.2">
      <c r="B41" s="4">
        <v>38</v>
      </c>
      <c r="C41" s="9">
        <v>0</v>
      </c>
      <c r="D41" s="85">
        <v>6039.5250086628366</v>
      </c>
      <c r="E41" s="85">
        <v>0</v>
      </c>
      <c r="F41" s="85">
        <v>250.42791286343709</v>
      </c>
      <c r="G41" s="85">
        <v>138.14154279604554</v>
      </c>
      <c r="H41" s="85">
        <v>50.095019162865356</v>
      </c>
      <c r="I41" s="13">
        <v>0</v>
      </c>
      <c r="L41" s="4">
        <f t="shared" si="25"/>
        <v>37.5</v>
      </c>
      <c r="M41" s="93">
        <f t="shared" si="26"/>
        <v>0</v>
      </c>
      <c r="N41" s="94">
        <f t="shared" si="27"/>
        <v>4.5667223812661702E-3</v>
      </c>
      <c r="O41" s="94">
        <f t="shared" si="28"/>
        <v>0</v>
      </c>
      <c r="P41" s="94">
        <f t="shared" si="29"/>
        <v>2.2813155403858691E-4</v>
      </c>
      <c r="Q41" s="94">
        <f t="shared" si="30"/>
        <v>6.3981081867138783E-5</v>
      </c>
      <c r="R41" s="94">
        <f t="shared" si="31"/>
        <v>1.3408681838541559E-4</v>
      </c>
      <c r="S41" s="95">
        <f t="shared" si="32"/>
        <v>0</v>
      </c>
      <c r="V41" s="4">
        <v>38</v>
      </c>
      <c r="W41" s="12">
        <v>0</v>
      </c>
      <c r="X41" s="4">
        <v>6010.8340289849584</v>
      </c>
      <c r="Y41" s="4">
        <v>0</v>
      </c>
      <c r="Z41" s="4">
        <v>0</v>
      </c>
      <c r="AA41" s="4">
        <v>72.336269322724547</v>
      </c>
      <c r="AB41" s="4">
        <v>0</v>
      </c>
      <c r="AC41" s="13">
        <v>0</v>
      </c>
      <c r="AF41" s="4">
        <f t="shared" si="2"/>
        <v>37.5</v>
      </c>
      <c r="AG41" s="93">
        <f t="shared" si="33"/>
        <v>0</v>
      </c>
      <c r="AH41" s="94">
        <f t="shared" si="3"/>
        <v>5.3958742791092883E-2</v>
      </c>
      <c r="AI41" s="94">
        <f t="shared" si="4"/>
        <v>0</v>
      </c>
      <c r="AJ41" s="94">
        <f t="shared" si="5"/>
        <v>0</v>
      </c>
      <c r="AK41" s="94">
        <f t="shared" si="6"/>
        <v>3.3990688868848576E-4</v>
      </c>
      <c r="AL41" s="94">
        <f t="shared" si="7"/>
        <v>0</v>
      </c>
      <c r="AM41" s="95">
        <f t="shared" si="8"/>
        <v>0</v>
      </c>
      <c r="AP41" s="4">
        <v>38</v>
      </c>
      <c r="AQ41" s="12">
        <v>0</v>
      </c>
      <c r="AR41" s="4">
        <v>6010.8340289849148</v>
      </c>
      <c r="AS41" s="4">
        <v>0</v>
      </c>
      <c r="AT41" s="4">
        <v>0</v>
      </c>
      <c r="AU41" s="4">
        <v>72.336269322782755</v>
      </c>
      <c r="AV41" s="4">
        <v>0</v>
      </c>
      <c r="AW41" s="13">
        <v>0</v>
      </c>
      <c r="AZ41" s="4">
        <f t="shared" si="9"/>
        <v>37.5</v>
      </c>
      <c r="BA41" s="93">
        <f t="shared" si="34"/>
        <v>0</v>
      </c>
      <c r="BB41" s="94">
        <f t="shared" si="10"/>
        <v>2.2627630782631383E-2</v>
      </c>
      <c r="BC41" s="94">
        <f t="shared" si="11"/>
        <v>0</v>
      </c>
      <c r="BD41" s="94">
        <f t="shared" si="12"/>
        <v>0</v>
      </c>
      <c r="BE41" s="94">
        <f t="shared" si="13"/>
        <v>1.803902856623947E-4</v>
      </c>
      <c r="BF41" s="94">
        <f t="shared" si="14"/>
        <v>0</v>
      </c>
      <c r="BG41" s="95">
        <f t="shared" si="15"/>
        <v>0</v>
      </c>
    </row>
    <row r="42" spans="2:59" x14ac:dyDescent="0.2">
      <c r="B42" s="4">
        <v>39</v>
      </c>
      <c r="C42" s="9">
        <v>0</v>
      </c>
      <c r="D42" s="85">
        <v>0</v>
      </c>
      <c r="E42" s="85">
        <v>774.35820018756203</v>
      </c>
      <c r="F42" s="85">
        <v>1298.0840936410241</v>
      </c>
      <c r="G42" s="85">
        <v>86.168404021300375</v>
      </c>
      <c r="H42" s="85">
        <v>0</v>
      </c>
      <c r="I42" s="13">
        <v>0</v>
      </c>
      <c r="L42" s="4">
        <f t="shared" si="25"/>
        <v>38.5</v>
      </c>
      <c r="M42" s="93">
        <f t="shared" si="26"/>
        <v>0</v>
      </c>
      <c r="N42" s="94">
        <f t="shared" si="27"/>
        <v>0</v>
      </c>
      <c r="O42" s="94">
        <f t="shared" si="28"/>
        <v>8.7301001645538254E-4</v>
      </c>
      <c r="P42" s="94">
        <f t="shared" si="29"/>
        <v>1.182511718318655E-3</v>
      </c>
      <c r="Q42" s="94">
        <f t="shared" si="30"/>
        <v>3.9909411755935087E-5</v>
      </c>
      <c r="R42" s="94">
        <f t="shared" si="31"/>
        <v>0</v>
      </c>
      <c r="S42" s="95">
        <f t="shared" si="32"/>
        <v>0</v>
      </c>
      <c r="V42" s="4">
        <v>39</v>
      </c>
      <c r="W42" s="12">
        <v>0</v>
      </c>
      <c r="X42" s="4">
        <v>0</v>
      </c>
      <c r="Y42" s="4">
        <v>27.26518843928352</v>
      </c>
      <c r="Z42" s="4">
        <v>1138.98600304102</v>
      </c>
      <c r="AA42" s="4">
        <v>28.648939404025441</v>
      </c>
      <c r="AB42" s="4">
        <v>0</v>
      </c>
      <c r="AC42" s="13">
        <v>0</v>
      </c>
      <c r="AF42" s="4">
        <f t="shared" si="2"/>
        <v>38.5</v>
      </c>
      <c r="AG42" s="93">
        <f t="shared" si="33"/>
        <v>0</v>
      </c>
      <c r="AH42" s="94">
        <f t="shared" si="3"/>
        <v>0</v>
      </c>
      <c r="AI42" s="94">
        <f t="shared" si="4"/>
        <v>3.6517222540853828E-4</v>
      </c>
      <c r="AJ42" s="94">
        <f t="shared" si="5"/>
        <v>9.4999442685867377E-3</v>
      </c>
      <c r="AK42" s="94">
        <f t="shared" si="6"/>
        <v>1.3462087481456623E-4</v>
      </c>
      <c r="AL42" s="94">
        <f t="shared" si="7"/>
        <v>0</v>
      </c>
      <c r="AM42" s="95">
        <f t="shared" si="8"/>
        <v>0</v>
      </c>
      <c r="AP42" s="4">
        <v>39</v>
      </c>
      <c r="AQ42" s="12">
        <v>0</v>
      </c>
      <c r="AR42" s="4">
        <v>0</v>
      </c>
      <c r="AS42" s="4">
        <v>445.83136191862286</v>
      </c>
      <c r="AT42" s="4">
        <v>1244.4634190431971</v>
      </c>
      <c r="AU42" s="4">
        <v>28.648939404054545</v>
      </c>
      <c r="AV42" s="4">
        <v>0</v>
      </c>
      <c r="AW42" s="13">
        <v>0</v>
      </c>
      <c r="AZ42" s="4">
        <f t="shared" si="9"/>
        <v>38.5</v>
      </c>
      <c r="BA42" s="93">
        <f t="shared" si="34"/>
        <v>0</v>
      </c>
      <c r="BB42" s="94">
        <f t="shared" si="10"/>
        <v>0</v>
      </c>
      <c r="BC42" s="94">
        <f t="shared" si="11"/>
        <v>2.7726974590464751E-3</v>
      </c>
      <c r="BD42" s="94">
        <f t="shared" si="12"/>
        <v>6.2639041052459793E-3</v>
      </c>
      <c r="BE42" s="94">
        <f t="shared" si="13"/>
        <v>7.1443971487680042E-5</v>
      </c>
      <c r="BF42" s="94">
        <f t="shared" si="14"/>
        <v>0</v>
      </c>
      <c r="BG42" s="95">
        <f t="shared" si="15"/>
        <v>0</v>
      </c>
    </row>
    <row r="43" spans="2:59" x14ac:dyDescent="0.2">
      <c r="B43" s="4">
        <v>40</v>
      </c>
      <c r="C43" s="9">
        <v>0</v>
      </c>
      <c r="D43" s="85">
        <v>41.202407653676346</v>
      </c>
      <c r="E43" s="85">
        <v>29.09249024593737</v>
      </c>
      <c r="F43" s="85">
        <v>371.86188801191747</v>
      </c>
      <c r="G43" s="85">
        <v>220.10606046486646</v>
      </c>
      <c r="H43" s="85">
        <v>13.262691323354375</v>
      </c>
      <c r="I43" s="13">
        <v>0</v>
      </c>
      <c r="L43" s="4">
        <f t="shared" si="25"/>
        <v>39.5</v>
      </c>
      <c r="M43" s="93">
        <f t="shared" si="26"/>
        <v>0</v>
      </c>
      <c r="N43" s="94">
        <f t="shared" si="27"/>
        <v>3.1154760833709227E-5</v>
      </c>
      <c r="O43" s="94">
        <f t="shared" si="28"/>
        <v>3.2798820212896341E-5</v>
      </c>
      <c r="P43" s="94">
        <f t="shared" si="29"/>
        <v>3.3875389300610002E-4</v>
      </c>
      <c r="Q43" s="94">
        <f t="shared" si="30"/>
        <v>1.0194343851253955E-4</v>
      </c>
      <c r="R43" s="94">
        <f t="shared" si="31"/>
        <v>3.5499578850240459E-5</v>
      </c>
      <c r="S43" s="95">
        <f t="shared" si="32"/>
        <v>0</v>
      </c>
      <c r="V43" s="4">
        <v>40</v>
      </c>
      <c r="W43" s="12">
        <v>0</v>
      </c>
      <c r="X43" s="4">
        <v>41.202407653618138</v>
      </c>
      <c r="Y43" s="4">
        <v>0</v>
      </c>
      <c r="Z43" s="4">
        <v>0</v>
      </c>
      <c r="AA43" s="4">
        <v>0</v>
      </c>
      <c r="AB43" s="4">
        <v>0</v>
      </c>
      <c r="AC43" s="13">
        <v>0</v>
      </c>
      <c r="AF43" s="4">
        <f t="shared" si="2"/>
        <v>39.5</v>
      </c>
      <c r="AG43" s="93">
        <f t="shared" si="33"/>
        <v>0</v>
      </c>
      <c r="AH43" s="94">
        <f t="shared" si="3"/>
        <v>3.6987048822753333E-4</v>
      </c>
      <c r="AI43" s="94">
        <f t="shared" si="4"/>
        <v>0</v>
      </c>
      <c r="AJ43" s="94">
        <f t="shared" si="5"/>
        <v>0</v>
      </c>
      <c r="AK43" s="94">
        <f t="shared" si="6"/>
        <v>0</v>
      </c>
      <c r="AL43" s="94">
        <f t="shared" si="7"/>
        <v>0</v>
      </c>
      <c r="AM43" s="95">
        <f t="shared" si="8"/>
        <v>0</v>
      </c>
      <c r="AP43" s="4">
        <v>40</v>
      </c>
      <c r="AQ43" s="12">
        <v>0</v>
      </c>
      <c r="AR43" s="4">
        <v>41.202407653618138</v>
      </c>
      <c r="AS43" s="4">
        <v>29.092490245966474</v>
      </c>
      <c r="AT43" s="4">
        <v>46.508690778282471</v>
      </c>
      <c r="AU43" s="4">
        <v>170.77748395258095</v>
      </c>
      <c r="AV43" s="4">
        <v>0</v>
      </c>
      <c r="AW43" s="13">
        <v>0</v>
      </c>
      <c r="AZ43" s="4">
        <f t="shared" si="9"/>
        <v>39.5</v>
      </c>
      <c r="BA43" s="93">
        <f t="shared" si="34"/>
        <v>0</v>
      </c>
      <c r="BB43" s="94">
        <f t="shared" si="10"/>
        <v>1.551054085416133E-4</v>
      </c>
      <c r="BC43" s="94">
        <f t="shared" si="11"/>
        <v>1.8093090947031502E-4</v>
      </c>
      <c r="BD43" s="94">
        <f t="shared" si="12"/>
        <v>2.3409766381054793E-4</v>
      </c>
      <c r="BE43" s="94">
        <f t="shared" si="13"/>
        <v>4.258803972519547E-4</v>
      </c>
      <c r="BF43" s="94">
        <f t="shared" si="14"/>
        <v>0</v>
      </c>
      <c r="BG43" s="95">
        <f t="shared" si="15"/>
        <v>0</v>
      </c>
    </row>
    <row r="44" spans="2:59" x14ac:dyDescent="0.2">
      <c r="B44" s="4">
        <v>41</v>
      </c>
      <c r="C44" s="9">
        <v>40.850668171187863</v>
      </c>
      <c r="D44" s="85">
        <v>11647.096363454591</v>
      </c>
      <c r="E44" s="85">
        <v>545.36385170219</v>
      </c>
      <c r="F44" s="85">
        <v>4374.9577786996961</v>
      </c>
      <c r="G44" s="85">
        <v>366.75099706836045</v>
      </c>
      <c r="H44" s="85">
        <v>0</v>
      </c>
      <c r="I44" s="13">
        <v>0</v>
      </c>
      <c r="L44" s="4">
        <f t="shared" si="25"/>
        <v>40.5</v>
      </c>
      <c r="M44" s="93">
        <f t="shared" si="26"/>
        <v>2.6544343053873694E-5</v>
      </c>
      <c r="N44" s="94">
        <f t="shared" si="27"/>
        <v>8.8068276169830893E-3</v>
      </c>
      <c r="O44" s="94">
        <f t="shared" si="28"/>
        <v>6.1484220743498119E-4</v>
      </c>
      <c r="P44" s="94">
        <f t="shared" si="29"/>
        <v>3.9854419800728425E-3</v>
      </c>
      <c r="Q44" s="94">
        <f t="shared" si="30"/>
        <v>1.6986291808634166E-4</v>
      </c>
      <c r="R44" s="94">
        <f t="shared" si="31"/>
        <v>0</v>
      </c>
      <c r="S44" s="95">
        <f t="shared" si="32"/>
        <v>0</v>
      </c>
      <c r="V44" s="4">
        <v>41</v>
      </c>
      <c r="W44" s="12">
        <v>0</v>
      </c>
      <c r="X44" s="4">
        <v>0</v>
      </c>
      <c r="Y44" s="4">
        <v>497.82620918937027</v>
      </c>
      <c r="Z44" s="4">
        <v>0</v>
      </c>
      <c r="AA44" s="4">
        <v>146.85226492758375</v>
      </c>
      <c r="AB44" s="4">
        <v>0</v>
      </c>
      <c r="AC44" s="13">
        <v>0</v>
      </c>
      <c r="AF44" s="4">
        <f t="shared" si="2"/>
        <v>40.5</v>
      </c>
      <c r="AG44" s="93">
        <f t="shared" si="33"/>
        <v>0</v>
      </c>
      <c r="AH44" s="94">
        <f t="shared" si="3"/>
        <v>0</v>
      </c>
      <c r="AI44" s="94">
        <f t="shared" si="4"/>
        <v>6.6675609112773846E-3</v>
      </c>
      <c r="AJ44" s="94">
        <f t="shared" si="5"/>
        <v>0</v>
      </c>
      <c r="AK44" s="94">
        <f t="shared" si="6"/>
        <v>6.9005627378561818E-4</v>
      </c>
      <c r="AL44" s="94">
        <f t="shared" si="7"/>
        <v>0</v>
      </c>
      <c r="AM44" s="95">
        <f t="shared" si="8"/>
        <v>0</v>
      </c>
      <c r="AP44" s="4">
        <v>41</v>
      </c>
      <c r="AQ44" s="12">
        <v>0</v>
      </c>
      <c r="AR44" s="4">
        <v>0</v>
      </c>
      <c r="AS44" s="4">
        <v>497.82620918937027</v>
      </c>
      <c r="AT44" s="4">
        <v>784.45621005969588</v>
      </c>
      <c r="AU44" s="4">
        <v>211.51894036424346</v>
      </c>
      <c r="AV44" s="4">
        <v>0</v>
      </c>
      <c r="AW44" s="13">
        <v>0</v>
      </c>
      <c r="AZ44" s="4">
        <f t="shared" si="9"/>
        <v>40.5</v>
      </c>
      <c r="BA44" s="93">
        <f t="shared" si="34"/>
        <v>0</v>
      </c>
      <c r="BB44" s="94">
        <f t="shared" si="10"/>
        <v>0</v>
      </c>
      <c r="BC44" s="94">
        <f t="shared" si="11"/>
        <v>3.0960618367580311E-3</v>
      </c>
      <c r="BD44" s="94">
        <f t="shared" si="12"/>
        <v>3.9484957125992207E-3</v>
      </c>
      <c r="BE44" s="94">
        <f t="shared" si="13"/>
        <v>5.2748036956469708E-4</v>
      </c>
      <c r="BF44" s="94">
        <f t="shared" si="14"/>
        <v>0</v>
      </c>
      <c r="BG44" s="95">
        <f t="shared" si="15"/>
        <v>0</v>
      </c>
    </row>
    <row r="45" spans="2:59" x14ac:dyDescent="0.2">
      <c r="B45" s="4">
        <v>42</v>
      </c>
      <c r="C45" s="9">
        <v>0</v>
      </c>
      <c r="D45" s="85">
        <v>121.49283550400287</v>
      </c>
      <c r="E45" s="85">
        <v>37.388185545685701</v>
      </c>
      <c r="F45" s="85">
        <v>68.886547793634236</v>
      </c>
      <c r="G45" s="85">
        <v>52.364733414258808</v>
      </c>
      <c r="H45" s="85">
        <v>22.860227406083141</v>
      </c>
      <c r="I45" s="13">
        <v>0</v>
      </c>
      <c r="L45" s="4">
        <f t="shared" si="25"/>
        <v>41.5</v>
      </c>
      <c r="M45" s="93">
        <f t="shared" si="26"/>
        <v>0</v>
      </c>
      <c r="N45" s="94">
        <f t="shared" si="27"/>
        <v>9.1865510990318474E-5</v>
      </c>
      <c r="O45" s="94">
        <f t="shared" si="28"/>
        <v>4.215137189813445E-5</v>
      </c>
      <c r="P45" s="94">
        <f t="shared" si="29"/>
        <v>6.27533689069435E-5</v>
      </c>
      <c r="Q45" s="94">
        <f t="shared" si="30"/>
        <v>2.4253039510895765E-5</v>
      </c>
      <c r="R45" s="94">
        <f t="shared" si="31"/>
        <v>6.1188820998016422E-5</v>
      </c>
      <c r="S45" s="95">
        <f t="shared" si="32"/>
        <v>0</v>
      </c>
      <c r="V45" s="4">
        <v>42</v>
      </c>
      <c r="W45" s="12">
        <v>0</v>
      </c>
      <c r="X45" s="4">
        <v>0</v>
      </c>
      <c r="Y45" s="4">
        <v>37.388185545627493</v>
      </c>
      <c r="Z45" s="4">
        <v>0</v>
      </c>
      <c r="AA45" s="4">
        <v>52.364733414433431</v>
      </c>
      <c r="AB45" s="4">
        <v>0</v>
      </c>
      <c r="AC45" s="13">
        <v>0</v>
      </c>
      <c r="AF45" s="4">
        <f t="shared" si="2"/>
        <v>41.5</v>
      </c>
      <c r="AG45" s="93">
        <f t="shared" si="33"/>
        <v>0</v>
      </c>
      <c r="AH45" s="94">
        <f t="shared" si="3"/>
        <v>0</v>
      </c>
      <c r="AI45" s="94">
        <f t="shared" si="4"/>
        <v>5.0075307383582184E-4</v>
      </c>
      <c r="AJ45" s="94">
        <f t="shared" si="5"/>
        <v>0</v>
      </c>
      <c r="AK45" s="94">
        <f t="shared" si="6"/>
        <v>2.4606098404787968E-4</v>
      </c>
      <c r="AL45" s="94">
        <f t="shared" si="7"/>
        <v>0</v>
      </c>
      <c r="AM45" s="95">
        <f t="shared" si="8"/>
        <v>0</v>
      </c>
      <c r="AP45" s="4">
        <v>42</v>
      </c>
      <c r="AQ45" s="12">
        <v>0</v>
      </c>
      <c r="AR45" s="4">
        <v>0</v>
      </c>
      <c r="AS45" s="4">
        <v>37.388185545627493</v>
      </c>
      <c r="AT45" s="4">
        <v>0</v>
      </c>
      <c r="AU45" s="4">
        <v>52.364733414433431</v>
      </c>
      <c r="AV45" s="4">
        <v>0</v>
      </c>
      <c r="AW45" s="13">
        <v>0</v>
      </c>
      <c r="AZ45" s="4">
        <f t="shared" si="9"/>
        <v>41.5</v>
      </c>
      <c r="BA45" s="93">
        <f t="shared" si="34"/>
        <v>0</v>
      </c>
      <c r="BB45" s="94">
        <f t="shared" si="10"/>
        <v>0</v>
      </c>
      <c r="BC45" s="94">
        <f t="shared" si="11"/>
        <v>2.3252318234095334E-4</v>
      </c>
      <c r="BD45" s="94">
        <f t="shared" si="12"/>
        <v>0</v>
      </c>
      <c r="BE45" s="94">
        <f t="shared" si="13"/>
        <v>1.3058579475690057E-4</v>
      </c>
      <c r="BF45" s="94">
        <f t="shared" si="14"/>
        <v>0</v>
      </c>
      <c r="BG45" s="95">
        <f t="shared" si="15"/>
        <v>0</v>
      </c>
    </row>
    <row r="46" spans="2:59" x14ac:dyDescent="0.2">
      <c r="B46" s="4">
        <v>43</v>
      </c>
      <c r="C46" s="12">
        <v>0</v>
      </c>
      <c r="D46" s="4">
        <v>0</v>
      </c>
      <c r="E46" s="4">
        <v>638.30446150596254</v>
      </c>
      <c r="F46" s="4">
        <v>262.0337884684559</v>
      </c>
      <c r="G46" s="4">
        <v>454.41896535689011</v>
      </c>
      <c r="H46" s="4">
        <v>0</v>
      </c>
      <c r="I46" s="13">
        <v>0</v>
      </c>
      <c r="L46" s="4">
        <f t="shared" si="25"/>
        <v>42.5</v>
      </c>
      <c r="M46" s="93">
        <f t="shared" si="26"/>
        <v>0</v>
      </c>
      <c r="N46" s="94">
        <f t="shared" si="27"/>
        <v>0</v>
      </c>
      <c r="O46" s="94">
        <f t="shared" si="28"/>
        <v>7.1962328068313924E-4</v>
      </c>
      <c r="P46" s="94">
        <f t="shared" si="29"/>
        <v>2.3870412323615591E-4</v>
      </c>
      <c r="Q46" s="94">
        <f t="shared" si="30"/>
        <v>2.1046686200258631E-4</v>
      </c>
      <c r="R46" s="94">
        <f t="shared" si="31"/>
        <v>0</v>
      </c>
      <c r="S46" s="95">
        <f t="shared" si="32"/>
        <v>0</v>
      </c>
      <c r="V46" s="4">
        <v>43</v>
      </c>
      <c r="W46" s="12">
        <v>0</v>
      </c>
      <c r="X46" s="4">
        <v>0</v>
      </c>
      <c r="Y46" s="4">
        <v>0</v>
      </c>
      <c r="Z46" s="4">
        <v>199.32196618549642</v>
      </c>
      <c r="AA46" s="4">
        <v>0</v>
      </c>
      <c r="AB46" s="4">
        <v>0</v>
      </c>
      <c r="AC46" s="13">
        <v>0</v>
      </c>
      <c r="AF46" s="4">
        <f t="shared" si="2"/>
        <v>42.5</v>
      </c>
      <c r="AG46" s="93">
        <f t="shared" si="33"/>
        <v>0</v>
      </c>
      <c r="AH46" s="94">
        <f t="shared" si="3"/>
        <v>0</v>
      </c>
      <c r="AI46" s="94">
        <f t="shared" si="4"/>
        <v>0</v>
      </c>
      <c r="AJ46" s="94">
        <f t="shared" si="5"/>
        <v>1.6624853731404029E-3</v>
      </c>
      <c r="AK46" s="94">
        <f t="shared" si="6"/>
        <v>0</v>
      </c>
      <c r="AL46" s="94">
        <f t="shared" si="7"/>
        <v>0</v>
      </c>
      <c r="AM46" s="95">
        <f t="shared" si="8"/>
        <v>0</v>
      </c>
      <c r="AP46" s="4">
        <v>43</v>
      </c>
      <c r="AQ46" s="12">
        <v>0</v>
      </c>
      <c r="AR46" s="4">
        <v>0</v>
      </c>
      <c r="AS46" s="4">
        <v>638.30446150593343</v>
      </c>
      <c r="AT46" s="4">
        <v>199.32196618549642</v>
      </c>
      <c r="AU46" s="4">
        <v>0</v>
      </c>
      <c r="AV46" s="4">
        <v>0</v>
      </c>
      <c r="AW46" s="13">
        <v>0</v>
      </c>
      <c r="AZ46" s="4">
        <f t="shared" si="9"/>
        <v>42.5</v>
      </c>
      <c r="BA46" s="93">
        <f t="shared" si="34"/>
        <v>0</v>
      </c>
      <c r="BB46" s="94">
        <f t="shared" si="10"/>
        <v>0</v>
      </c>
      <c r="BC46" s="94">
        <f t="shared" si="11"/>
        <v>3.969718843688198E-3</v>
      </c>
      <c r="BD46" s="94">
        <f t="shared" si="12"/>
        <v>1.003270697354016E-3</v>
      </c>
      <c r="BE46" s="94">
        <f t="shared" si="13"/>
        <v>0</v>
      </c>
      <c r="BF46" s="94">
        <f t="shared" si="14"/>
        <v>0</v>
      </c>
      <c r="BG46" s="95">
        <f t="shared" si="15"/>
        <v>0</v>
      </c>
    </row>
    <row r="47" spans="2:59" x14ac:dyDescent="0.2">
      <c r="B47" s="4">
        <v>44</v>
      </c>
      <c r="C47" s="89">
        <v>0</v>
      </c>
      <c r="D47" s="4">
        <v>0</v>
      </c>
      <c r="E47" s="4">
        <v>0</v>
      </c>
      <c r="F47" s="4">
        <v>630.15796909085475</v>
      </c>
      <c r="G47" s="4">
        <v>36.49571107281372</v>
      </c>
      <c r="H47" s="4">
        <v>405.01802722417051</v>
      </c>
      <c r="I47" s="13">
        <v>0</v>
      </c>
      <c r="L47" s="4">
        <f t="shared" si="25"/>
        <v>43.5</v>
      </c>
      <c r="M47" s="93">
        <f t="shared" si="26"/>
        <v>0</v>
      </c>
      <c r="N47" s="94">
        <f t="shared" si="27"/>
        <v>0</v>
      </c>
      <c r="O47" s="94">
        <f t="shared" si="28"/>
        <v>0</v>
      </c>
      <c r="P47" s="94">
        <f t="shared" si="29"/>
        <v>5.740530883108501E-4</v>
      </c>
      <c r="Q47" s="94">
        <f t="shared" si="30"/>
        <v>1.6903206889737886E-5</v>
      </c>
      <c r="R47" s="94">
        <f t="shared" si="31"/>
        <v>1.0840913840688578E-3</v>
      </c>
      <c r="S47" s="95">
        <f t="shared" si="32"/>
        <v>0</v>
      </c>
      <c r="V47" s="4">
        <v>44</v>
      </c>
      <c r="W47" s="12">
        <v>0</v>
      </c>
      <c r="X47" s="4">
        <v>0</v>
      </c>
      <c r="Y47" s="4">
        <v>0</v>
      </c>
      <c r="Z47" s="4">
        <v>0</v>
      </c>
      <c r="AA47" s="4">
        <v>36.495711072697304</v>
      </c>
      <c r="AB47" s="4">
        <v>385.1410722151486</v>
      </c>
      <c r="AC47" s="13">
        <v>0</v>
      </c>
      <c r="AF47" s="4">
        <f t="shared" si="2"/>
        <v>43.5</v>
      </c>
      <c r="AG47" s="93">
        <f t="shared" si="33"/>
        <v>0</v>
      </c>
      <c r="AH47" s="94">
        <f t="shared" si="3"/>
        <v>0</v>
      </c>
      <c r="AI47" s="94">
        <f t="shared" si="4"/>
        <v>0</v>
      </c>
      <c r="AJ47" s="94">
        <f t="shared" si="5"/>
        <v>0</v>
      </c>
      <c r="AK47" s="94">
        <f t="shared" si="6"/>
        <v>1.7149272028184849E-4</v>
      </c>
      <c r="AL47" s="94">
        <f t="shared" si="7"/>
        <v>8.888730285717442E-3</v>
      </c>
      <c r="AM47" s="95">
        <f t="shared" si="8"/>
        <v>0</v>
      </c>
      <c r="AP47" s="4">
        <v>44</v>
      </c>
      <c r="AQ47" s="12">
        <v>0</v>
      </c>
      <c r="AR47" s="4">
        <v>0</v>
      </c>
      <c r="AS47" s="4">
        <v>0</v>
      </c>
      <c r="AT47" s="4">
        <v>18.271718077157857</v>
      </c>
      <c r="AU47" s="4">
        <v>36.495711072697304</v>
      </c>
      <c r="AV47" s="4">
        <v>405.01802722412685</v>
      </c>
      <c r="AW47" s="13">
        <v>0</v>
      </c>
      <c r="AZ47" s="4">
        <f t="shared" si="9"/>
        <v>43.5</v>
      </c>
      <c r="BA47" s="93">
        <f t="shared" si="34"/>
        <v>0</v>
      </c>
      <c r="BB47" s="94">
        <f t="shared" si="10"/>
        <v>0</v>
      </c>
      <c r="BC47" s="94">
        <f t="shared" si="11"/>
        <v>0</v>
      </c>
      <c r="BD47" s="94">
        <f t="shared" si="12"/>
        <v>9.1969187781672725E-5</v>
      </c>
      <c r="BE47" s="94">
        <f t="shared" si="13"/>
        <v>9.1012044268954064E-5</v>
      </c>
      <c r="BF47" s="94">
        <f t="shared" si="14"/>
        <v>3.94755694564459E-3</v>
      </c>
      <c r="BG47" s="95">
        <f t="shared" si="15"/>
        <v>0</v>
      </c>
    </row>
    <row r="48" spans="2:59" x14ac:dyDescent="0.2">
      <c r="B48" s="4">
        <v>45</v>
      </c>
      <c r="C48" s="12">
        <v>0</v>
      </c>
      <c r="D48" s="4">
        <v>0</v>
      </c>
      <c r="E48" s="4">
        <v>19.046463595004752</v>
      </c>
      <c r="F48" s="4">
        <v>268.58697111532092</v>
      </c>
      <c r="G48" s="4">
        <v>1031.1073707733303</v>
      </c>
      <c r="H48" s="4">
        <v>73.49407421174692</v>
      </c>
      <c r="I48" s="13">
        <v>0</v>
      </c>
      <c r="L48" s="4">
        <f t="shared" si="25"/>
        <v>44.5</v>
      </c>
      <c r="M48" s="93">
        <f>C48/C$55</f>
        <v>0</v>
      </c>
      <c r="N48" s="94">
        <f t="shared" si="27"/>
        <v>0</v>
      </c>
      <c r="O48" s="94">
        <f t="shared" si="28"/>
        <v>2.1472948168514823E-5</v>
      </c>
      <c r="P48" s="94">
        <f t="shared" si="29"/>
        <v>2.4467385609873524E-4</v>
      </c>
      <c r="Q48" s="94">
        <f t="shared" si="30"/>
        <v>4.7756354654775998E-4</v>
      </c>
      <c r="R48" s="94">
        <f t="shared" si="31"/>
        <v>1.967178922358775E-4</v>
      </c>
      <c r="S48" s="95">
        <f t="shared" si="32"/>
        <v>0</v>
      </c>
      <c r="V48" s="4">
        <v>45</v>
      </c>
      <c r="W48" s="12">
        <v>0</v>
      </c>
      <c r="X48" s="4">
        <v>0</v>
      </c>
      <c r="Y48" s="4">
        <v>19.046463595048408</v>
      </c>
      <c r="Z48" s="4">
        <v>0</v>
      </c>
      <c r="AA48" s="4">
        <v>54.301545077643823</v>
      </c>
      <c r="AB48" s="4">
        <v>55.222356134603615</v>
      </c>
      <c r="AC48" s="13">
        <v>0</v>
      </c>
      <c r="AF48" s="4">
        <f t="shared" si="2"/>
        <v>44.5</v>
      </c>
      <c r="AG48" s="93">
        <f>W48/W$55</f>
        <v>0</v>
      </c>
      <c r="AH48" s="94">
        <f t="shared" si="3"/>
        <v>0</v>
      </c>
      <c r="AI48" s="94">
        <f t="shared" si="4"/>
        <v>2.5509596284856292E-4</v>
      </c>
      <c r="AJ48" s="94">
        <f t="shared" si="5"/>
        <v>0</v>
      </c>
      <c r="AK48" s="94">
        <f t="shared" si="6"/>
        <v>2.5516202882916754E-4</v>
      </c>
      <c r="AL48" s="94">
        <f t="shared" si="7"/>
        <v>1.2744852856101563E-3</v>
      </c>
      <c r="AM48" s="95">
        <f t="shared" si="8"/>
        <v>0</v>
      </c>
      <c r="AP48" s="4">
        <v>45</v>
      </c>
      <c r="AQ48" s="12">
        <v>0</v>
      </c>
      <c r="AR48" s="4">
        <v>0</v>
      </c>
      <c r="AS48" s="4">
        <v>19.046463595033856</v>
      </c>
      <c r="AT48" s="4">
        <v>0</v>
      </c>
      <c r="AU48" s="4">
        <v>54.301545077643823</v>
      </c>
      <c r="AV48" s="4">
        <v>73.494074211761472</v>
      </c>
      <c r="AW48" s="13">
        <v>0</v>
      </c>
      <c r="AZ48" s="4">
        <f t="shared" si="9"/>
        <v>44.5</v>
      </c>
      <c r="BA48" s="93">
        <f>AQ48/AQ$55</f>
        <v>0</v>
      </c>
      <c r="BB48" s="94">
        <f t="shared" si="10"/>
        <v>0</v>
      </c>
      <c r="BC48" s="94">
        <f t="shared" si="11"/>
        <v>1.1845304239366394E-4</v>
      </c>
      <c r="BD48" s="94">
        <f t="shared" si="12"/>
        <v>0</v>
      </c>
      <c r="BE48" s="94">
        <f t="shared" si="13"/>
        <v>1.3541576473560861E-4</v>
      </c>
      <c r="BF48" s="94">
        <f t="shared" si="14"/>
        <v>7.1631883920517852E-4</v>
      </c>
      <c r="BG48" s="95">
        <f t="shared" si="15"/>
        <v>0</v>
      </c>
    </row>
    <row r="49" spans="2:59" x14ac:dyDescent="0.2">
      <c r="B49" s="4">
        <v>46</v>
      </c>
      <c r="C49" s="12">
        <v>1805.9536339365877</v>
      </c>
      <c r="D49" s="65">
        <v>579.97891984321177</v>
      </c>
      <c r="E49" s="4">
        <v>0</v>
      </c>
      <c r="F49" s="4">
        <v>71.344301857752725</v>
      </c>
      <c r="G49" s="4">
        <v>3133.9585626060143</v>
      </c>
      <c r="H49" s="4">
        <v>695.38727593264775</v>
      </c>
      <c r="I49" s="13">
        <v>0</v>
      </c>
      <c r="L49" s="4">
        <f t="shared" si="25"/>
        <v>45.5</v>
      </c>
      <c r="M49" s="93">
        <f t="shared" si="26"/>
        <v>1.1734900540112433E-3</v>
      </c>
      <c r="N49" s="94">
        <f t="shared" si="27"/>
        <v>4.3854487068296444E-4</v>
      </c>
      <c r="O49" s="94">
        <f t="shared" si="28"/>
        <v>0</v>
      </c>
      <c r="P49" s="94">
        <f t="shared" si="29"/>
        <v>6.4992301650825606E-5</v>
      </c>
      <c r="Q49" s="94">
        <f t="shared" si="30"/>
        <v>1.451511654668272E-3</v>
      </c>
      <c r="R49" s="94">
        <f t="shared" si="31"/>
        <v>1.8613081486677789E-3</v>
      </c>
      <c r="S49" s="95">
        <f t="shared" si="32"/>
        <v>0</v>
      </c>
      <c r="V49" s="4">
        <v>46</v>
      </c>
      <c r="W49" s="12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13">
        <v>0</v>
      </c>
      <c r="AF49" s="4">
        <f t="shared" si="2"/>
        <v>45.5</v>
      </c>
      <c r="AG49" s="93">
        <f t="shared" ref="AG49:AG54" si="35">W49/W$55</f>
        <v>0</v>
      </c>
      <c r="AH49" s="94">
        <f t="shared" si="3"/>
        <v>0</v>
      </c>
      <c r="AI49" s="94">
        <f t="shared" si="4"/>
        <v>0</v>
      </c>
      <c r="AJ49" s="94">
        <f t="shared" si="5"/>
        <v>0</v>
      </c>
      <c r="AK49" s="94">
        <f t="shared" si="6"/>
        <v>0</v>
      </c>
      <c r="AL49" s="94">
        <f t="shared" si="7"/>
        <v>0</v>
      </c>
      <c r="AM49" s="95">
        <f t="shared" si="8"/>
        <v>0</v>
      </c>
      <c r="AP49" s="4">
        <v>46</v>
      </c>
      <c r="AQ49" s="12">
        <v>1805.9536339366459</v>
      </c>
      <c r="AR49" s="4">
        <v>0</v>
      </c>
      <c r="AS49" s="4">
        <v>0</v>
      </c>
      <c r="AT49" s="4">
        <v>0</v>
      </c>
      <c r="AU49" s="4">
        <v>1800.2907277478371</v>
      </c>
      <c r="AV49" s="4">
        <v>0</v>
      </c>
      <c r="AW49" s="13">
        <v>0</v>
      </c>
      <c r="AZ49" s="4">
        <f t="shared" si="9"/>
        <v>45.5</v>
      </c>
      <c r="BA49" s="93">
        <f t="shared" ref="BA49:BA54" si="36">AQ49/AQ$55</f>
        <v>5.1707535327317746E-3</v>
      </c>
      <c r="BB49" s="94">
        <f t="shared" si="10"/>
        <v>0</v>
      </c>
      <c r="BC49" s="94">
        <f t="shared" si="11"/>
        <v>0</v>
      </c>
      <c r="BD49" s="94">
        <f t="shared" si="12"/>
        <v>0</v>
      </c>
      <c r="BE49" s="94">
        <f t="shared" si="13"/>
        <v>4.4895176609765965E-3</v>
      </c>
      <c r="BF49" s="94">
        <f t="shared" si="14"/>
        <v>0</v>
      </c>
      <c r="BG49" s="95">
        <f t="shared" si="15"/>
        <v>0</v>
      </c>
    </row>
    <row r="50" spans="2:59" x14ac:dyDescent="0.2">
      <c r="B50" s="4">
        <v>47</v>
      </c>
      <c r="C50" s="12">
        <v>0</v>
      </c>
      <c r="D50" s="65">
        <v>0</v>
      </c>
      <c r="E50" s="4">
        <v>0</v>
      </c>
      <c r="F50" s="4">
        <v>548.27084376476705</v>
      </c>
      <c r="G50" s="4">
        <v>101.05332915484905</v>
      </c>
      <c r="H50" s="4">
        <v>0</v>
      </c>
      <c r="I50" s="13">
        <v>0</v>
      </c>
      <c r="L50" s="4">
        <f t="shared" si="25"/>
        <v>46.5</v>
      </c>
      <c r="M50" s="93">
        <f t="shared" si="26"/>
        <v>0</v>
      </c>
      <c r="N50" s="94">
        <f t="shared" si="27"/>
        <v>0</v>
      </c>
      <c r="O50" s="94">
        <f t="shared" si="28"/>
        <v>0</v>
      </c>
      <c r="P50" s="94">
        <f t="shared" si="29"/>
        <v>4.9945662283385655E-4</v>
      </c>
      <c r="Q50" s="94">
        <f t="shared" si="30"/>
        <v>4.6803453868682301E-5</v>
      </c>
      <c r="R50" s="94">
        <f t="shared" si="31"/>
        <v>0</v>
      </c>
      <c r="S50" s="95">
        <f t="shared" si="32"/>
        <v>0</v>
      </c>
      <c r="V50" s="4">
        <v>47</v>
      </c>
      <c r="W50" s="12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13">
        <v>0</v>
      </c>
      <c r="AF50" s="4">
        <f t="shared" si="2"/>
        <v>46.5</v>
      </c>
      <c r="AG50" s="93">
        <f t="shared" si="35"/>
        <v>0</v>
      </c>
      <c r="AH50" s="94">
        <f t="shared" si="3"/>
        <v>0</v>
      </c>
      <c r="AI50" s="94">
        <f t="shared" si="4"/>
        <v>0</v>
      </c>
      <c r="AJ50" s="94">
        <f t="shared" si="5"/>
        <v>0</v>
      </c>
      <c r="AK50" s="94">
        <f t="shared" si="6"/>
        <v>0</v>
      </c>
      <c r="AL50" s="94">
        <f t="shared" si="7"/>
        <v>0</v>
      </c>
      <c r="AM50" s="95">
        <f t="shared" si="8"/>
        <v>0</v>
      </c>
      <c r="AP50" s="4">
        <v>47</v>
      </c>
      <c r="AQ50" s="12">
        <v>0</v>
      </c>
      <c r="AR50" s="4">
        <v>0</v>
      </c>
      <c r="AS50" s="4">
        <v>0</v>
      </c>
      <c r="AT50" s="4">
        <v>521.62176835283753</v>
      </c>
      <c r="AU50" s="4">
        <v>88.096523993532173</v>
      </c>
      <c r="AV50" s="4">
        <v>0</v>
      </c>
      <c r="AW50" s="13">
        <v>0</v>
      </c>
      <c r="AZ50" s="4">
        <f t="shared" si="9"/>
        <v>46.5</v>
      </c>
      <c r="BA50" s="93">
        <f t="shared" si="36"/>
        <v>0</v>
      </c>
      <c r="BB50" s="94">
        <f t="shared" si="10"/>
        <v>0</v>
      </c>
      <c r="BC50" s="94">
        <f t="shared" si="11"/>
        <v>0</v>
      </c>
      <c r="BD50" s="94">
        <f t="shared" si="12"/>
        <v>2.6255402016421912E-3</v>
      </c>
      <c r="BE50" s="94">
        <f t="shared" si="13"/>
        <v>2.1969279419352183E-4</v>
      </c>
      <c r="BF50" s="94">
        <f t="shared" si="14"/>
        <v>0</v>
      </c>
      <c r="BG50" s="95">
        <f t="shared" si="15"/>
        <v>0</v>
      </c>
    </row>
    <row r="51" spans="2:59" x14ac:dyDescent="0.2">
      <c r="B51" s="4">
        <v>48</v>
      </c>
      <c r="C51" s="12">
        <v>0</v>
      </c>
      <c r="D51" s="65">
        <v>0</v>
      </c>
      <c r="E51" s="4">
        <v>0</v>
      </c>
      <c r="F51" s="4">
        <v>11.20338483992964</v>
      </c>
      <c r="G51" s="4">
        <v>124.32903133286163</v>
      </c>
      <c r="H51" s="4">
        <v>0</v>
      </c>
      <c r="I51" s="13">
        <v>0</v>
      </c>
      <c r="L51" s="4">
        <f t="shared" si="25"/>
        <v>47.5</v>
      </c>
      <c r="M51" s="93">
        <f t="shared" si="26"/>
        <v>0</v>
      </c>
      <c r="N51" s="94">
        <f t="shared" si="27"/>
        <v>0</v>
      </c>
      <c r="O51" s="94">
        <f t="shared" si="28"/>
        <v>0</v>
      </c>
      <c r="P51" s="94">
        <f t="shared" si="29"/>
        <v>1.0205913409577644E-5</v>
      </c>
      <c r="Q51" s="94">
        <f t="shared" si="30"/>
        <v>5.7583734560676961E-5</v>
      </c>
      <c r="R51" s="94">
        <f t="shared" si="31"/>
        <v>0</v>
      </c>
      <c r="S51" s="95">
        <f t="shared" si="32"/>
        <v>0</v>
      </c>
      <c r="V51" s="4">
        <v>48</v>
      </c>
      <c r="W51" s="12">
        <v>0</v>
      </c>
      <c r="X51" s="4">
        <v>0</v>
      </c>
      <c r="Y51" s="4">
        <v>0</v>
      </c>
      <c r="Z51" s="4">
        <v>0</v>
      </c>
      <c r="AA51" s="4">
        <v>56.276592596026603</v>
      </c>
      <c r="AB51" s="4">
        <v>0</v>
      </c>
      <c r="AC51" s="13">
        <v>0</v>
      </c>
      <c r="AF51" s="4">
        <f t="shared" si="2"/>
        <v>47.5</v>
      </c>
      <c r="AG51" s="93">
        <f t="shared" si="35"/>
        <v>0</v>
      </c>
      <c r="AH51" s="94">
        <f t="shared" si="3"/>
        <v>0</v>
      </c>
      <c r="AI51" s="94">
        <f t="shared" si="4"/>
        <v>0</v>
      </c>
      <c r="AJ51" s="94">
        <f t="shared" si="5"/>
        <v>0</v>
      </c>
      <c r="AK51" s="94">
        <f t="shared" si="6"/>
        <v>2.6444274323801122E-4</v>
      </c>
      <c r="AL51" s="94">
        <f t="shared" si="7"/>
        <v>0</v>
      </c>
      <c r="AM51" s="95">
        <f t="shared" si="8"/>
        <v>0</v>
      </c>
      <c r="AP51" s="4">
        <v>48</v>
      </c>
      <c r="AQ51" s="12">
        <v>0</v>
      </c>
      <c r="AR51" s="4">
        <v>0</v>
      </c>
      <c r="AS51" s="4">
        <v>0</v>
      </c>
      <c r="AT51" s="4">
        <v>0</v>
      </c>
      <c r="AU51" s="4">
        <v>85.448739796294831</v>
      </c>
      <c r="AV51" s="4">
        <v>0</v>
      </c>
      <c r="AW51" s="13">
        <v>0</v>
      </c>
      <c r="AZ51" s="4">
        <f t="shared" si="9"/>
        <v>47.5</v>
      </c>
      <c r="BA51" s="93">
        <f t="shared" si="36"/>
        <v>0</v>
      </c>
      <c r="BB51" s="94">
        <f t="shared" si="10"/>
        <v>0</v>
      </c>
      <c r="BC51" s="94">
        <f t="shared" si="11"/>
        <v>0</v>
      </c>
      <c r="BD51" s="94">
        <f t="shared" si="12"/>
        <v>0</v>
      </c>
      <c r="BE51" s="94">
        <f t="shared" si="13"/>
        <v>2.1308981961128712E-4</v>
      </c>
      <c r="BF51" s="94">
        <f t="shared" si="14"/>
        <v>0</v>
      </c>
      <c r="BG51" s="95">
        <f t="shared" si="15"/>
        <v>0</v>
      </c>
    </row>
    <row r="52" spans="2:59" x14ac:dyDescent="0.2">
      <c r="B52" s="4">
        <v>49</v>
      </c>
      <c r="C52" s="12">
        <v>728.29820940946229</v>
      </c>
      <c r="D52" s="65">
        <v>0</v>
      </c>
      <c r="E52" s="4">
        <v>98.393148982315324</v>
      </c>
      <c r="F52" s="4">
        <v>0</v>
      </c>
      <c r="G52" s="4">
        <v>1693.4421421354637</v>
      </c>
      <c r="H52" s="4">
        <v>0</v>
      </c>
      <c r="I52" s="13">
        <v>0</v>
      </c>
      <c r="L52" s="4">
        <f t="shared" si="25"/>
        <v>48.5</v>
      </c>
      <c r="M52" s="93">
        <f t="shared" si="26"/>
        <v>4.7324066855096843E-4</v>
      </c>
      <c r="N52" s="94">
        <f t="shared" si="27"/>
        <v>0</v>
      </c>
      <c r="O52" s="94">
        <f t="shared" si="28"/>
        <v>1.1092825593032021E-4</v>
      </c>
      <c r="P52" s="94">
        <f t="shared" si="29"/>
        <v>0</v>
      </c>
      <c r="Q52" s="94">
        <f t="shared" si="30"/>
        <v>7.8432785779147655E-4</v>
      </c>
      <c r="R52" s="94">
        <f t="shared" si="31"/>
        <v>0</v>
      </c>
      <c r="S52" s="95">
        <f t="shared" si="32"/>
        <v>0</v>
      </c>
      <c r="V52" s="4">
        <v>49</v>
      </c>
      <c r="W52" s="12">
        <v>151.26419972488657</v>
      </c>
      <c r="X52" s="4">
        <v>0</v>
      </c>
      <c r="Y52" s="4">
        <v>0</v>
      </c>
      <c r="Z52" s="4">
        <v>0</v>
      </c>
      <c r="AA52" s="4">
        <v>1272.283791572816</v>
      </c>
      <c r="AB52" s="4">
        <v>0</v>
      </c>
      <c r="AC52" s="13">
        <v>0</v>
      </c>
      <c r="AF52" s="4">
        <f t="shared" si="2"/>
        <v>48.5</v>
      </c>
      <c r="AG52" s="93">
        <f t="shared" si="35"/>
        <v>7.0832530090296703E-4</v>
      </c>
      <c r="AH52" s="94">
        <f t="shared" si="3"/>
        <v>0</v>
      </c>
      <c r="AI52" s="94">
        <f t="shared" si="4"/>
        <v>0</v>
      </c>
      <c r="AJ52" s="94">
        <f t="shared" si="5"/>
        <v>0</v>
      </c>
      <c r="AK52" s="94">
        <f t="shared" si="6"/>
        <v>5.9784397117981919E-3</v>
      </c>
      <c r="AL52" s="94">
        <f t="shared" si="7"/>
        <v>0</v>
      </c>
      <c r="AM52" s="95">
        <f t="shared" si="8"/>
        <v>0</v>
      </c>
      <c r="AP52" s="4">
        <v>49</v>
      </c>
      <c r="AQ52" s="12">
        <v>151.26419972488657</v>
      </c>
      <c r="AR52" s="4">
        <v>0</v>
      </c>
      <c r="AS52" s="4">
        <v>18.415418658929411</v>
      </c>
      <c r="AT52" s="4">
        <v>0</v>
      </c>
      <c r="AU52" s="4">
        <v>1272.2837915728451</v>
      </c>
      <c r="AV52" s="4">
        <v>0</v>
      </c>
      <c r="AW52" s="13">
        <v>0</v>
      </c>
      <c r="AZ52" s="4">
        <f t="shared" si="9"/>
        <v>48.5</v>
      </c>
      <c r="BA52" s="93">
        <f t="shared" si="36"/>
        <v>4.3309522481945416E-4</v>
      </c>
      <c r="BB52" s="94">
        <f t="shared" si="10"/>
        <v>0</v>
      </c>
      <c r="BC52" s="94">
        <f t="shared" si="11"/>
        <v>1.1452847171440269E-4</v>
      </c>
      <c r="BD52" s="94">
        <f t="shared" si="12"/>
        <v>0</v>
      </c>
      <c r="BE52" s="94">
        <f t="shared" si="13"/>
        <v>3.172787852541012E-3</v>
      </c>
      <c r="BF52" s="94">
        <f t="shared" si="14"/>
        <v>0</v>
      </c>
      <c r="BG52" s="95">
        <f t="shared" si="15"/>
        <v>0</v>
      </c>
    </row>
    <row r="53" spans="2:59" x14ac:dyDescent="0.2">
      <c r="B53" s="4">
        <v>50</v>
      </c>
      <c r="C53" s="12">
        <v>160.09560304251499</v>
      </c>
      <c r="D53" s="65">
        <v>0</v>
      </c>
      <c r="E53" s="4">
        <v>28.676852669683285</v>
      </c>
      <c r="F53" s="4">
        <v>0</v>
      </c>
      <c r="G53" s="4">
        <v>0</v>
      </c>
      <c r="H53" s="4">
        <v>0</v>
      </c>
      <c r="I53" s="13">
        <v>0</v>
      </c>
      <c r="L53" s="4">
        <f t="shared" si="25"/>
        <v>49.5</v>
      </c>
      <c r="M53" s="93">
        <f t="shared" si="26"/>
        <v>1.0402847245408305E-4</v>
      </c>
      <c r="N53" s="94">
        <f t="shared" si="27"/>
        <v>0</v>
      </c>
      <c r="O53" s="94">
        <f t="shared" si="28"/>
        <v>3.2330231170774537E-5</v>
      </c>
      <c r="P53" s="94">
        <f t="shared" si="29"/>
        <v>0</v>
      </c>
      <c r="Q53" s="94">
        <f t="shared" si="30"/>
        <v>0</v>
      </c>
      <c r="R53" s="94">
        <f t="shared" si="31"/>
        <v>0</v>
      </c>
      <c r="S53" s="95">
        <f t="shared" si="32"/>
        <v>0</v>
      </c>
      <c r="V53" s="4">
        <v>50</v>
      </c>
      <c r="W53" s="12">
        <v>28.676852669712389</v>
      </c>
      <c r="X53" s="4">
        <v>0</v>
      </c>
      <c r="Y53" s="4">
        <v>28.676852669697837</v>
      </c>
      <c r="Z53" s="4">
        <v>0</v>
      </c>
      <c r="AA53" s="4">
        <v>0</v>
      </c>
      <c r="AB53" s="4">
        <v>0</v>
      </c>
      <c r="AC53" s="13">
        <v>0</v>
      </c>
      <c r="AF53" s="4">
        <f t="shared" si="2"/>
        <v>49.5</v>
      </c>
      <c r="AG53" s="93">
        <f t="shared" si="35"/>
        <v>1.3428518005693176E-4</v>
      </c>
      <c r="AH53" s="94">
        <f t="shared" si="3"/>
        <v>0</v>
      </c>
      <c r="AI53" s="94">
        <f t="shared" si="4"/>
        <v>3.8407913924476536E-4</v>
      </c>
      <c r="AJ53" s="94">
        <f t="shared" si="5"/>
        <v>0</v>
      </c>
      <c r="AK53" s="94">
        <f t="shared" si="6"/>
        <v>0</v>
      </c>
      <c r="AL53" s="94">
        <f t="shared" si="7"/>
        <v>0</v>
      </c>
      <c r="AM53" s="95">
        <f t="shared" si="8"/>
        <v>0</v>
      </c>
      <c r="AP53" s="4">
        <v>50</v>
      </c>
      <c r="AQ53" s="12">
        <v>28.676852669683285</v>
      </c>
      <c r="AR53" s="4">
        <v>0</v>
      </c>
      <c r="AS53" s="4">
        <v>28.676852669712389</v>
      </c>
      <c r="AT53" s="4">
        <v>0</v>
      </c>
      <c r="AU53" s="4">
        <v>0</v>
      </c>
      <c r="AV53" s="4">
        <v>0</v>
      </c>
      <c r="AW53" s="13">
        <v>0</v>
      </c>
      <c r="AZ53" s="4">
        <f t="shared" si="9"/>
        <v>49.5</v>
      </c>
      <c r="BA53" s="93">
        <f t="shared" si="36"/>
        <v>8.2106724371526835E-5</v>
      </c>
      <c r="BB53" s="94">
        <f t="shared" si="10"/>
        <v>0</v>
      </c>
      <c r="BC53" s="94">
        <f t="shared" si="11"/>
        <v>1.7834599205534345E-4</v>
      </c>
      <c r="BD53" s="94">
        <f t="shared" si="12"/>
        <v>0</v>
      </c>
      <c r="BE53" s="94">
        <f t="shared" si="13"/>
        <v>0</v>
      </c>
      <c r="BF53" s="94">
        <f t="shared" si="14"/>
        <v>0</v>
      </c>
      <c r="BG53" s="95">
        <f t="shared" si="15"/>
        <v>0</v>
      </c>
    </row>
    <row r="54" spans="2:59" x14ac:dyDescent="0.2">
      <c r="B54" s="4">
        <v>51</v>
      </c>
      <c r="C54" s="14">
        <v>281.09735205816105</v>
      </c>
      <c r="D54" s="87">
        <v>0</v>
      </c>
      <c r="E54" s="88">
        <v>734.50996389659122</v>
      </c>
      <c r="F54" s="88">
        <v>0</v>
      </c>
      <c r="G54" s="88">
        <v>5729.9994698511437</v>
      </c>
      <c r="H54" s="88">
        <v>785.44722893153084</v>
      </c>
      <c r="I54" s="15">
        <v>0</v>
      </c>
      <c r="L54" s="4">
        <f t="shared" si="25"/>
        <v>50.5</v>
      </c>
      <c r="M54" s="96">
        <f t="shared" si="26"/>
        <v>1.8265416157452213E-4</v>
      </c>
      <c r="N54" s="97">
        <f t="shared" si="27"/>
        <v>0</v>
      </c>
      <c r="O54" s="97">
        <f t="shared" si="28"/>
        <v>8.2808518785322895E-4</v>
      </c>
      <c r="P54" s="97">
        <f t="shared" si="29"/>
        <v>0</v>
      </c>
      <c r="Q54" s="97">
        <f t="shared" si="30"/>
        <v>2.6538835295945641E-3</v>
      </c>
      <c r="R54" s="97">
        <f t="shared" si="31"/>
        <v>2.1023670955123775E-3</v>
      </c>
      <c r="S54" s="98">
        <f t="shared" si="32"/>
        <v>0</v>
      </c>
      <c r="V54" s="4">
        <v>51</v>
      </c>
      <c r="W54" s="14">
        <v>0</v>
      </c>
      <c r="X54" s="88">
        <v>0</v>
      </c>
      <c r="Y54" s="88">
        <v>83.529289215264725</v>
      </c>
      <c r="Z54" s="88">
        <v>0</v>
      </c>
      <c r="AA54" s="88">
        <v>0</v>
      </c>
      <c r="AB54" s="88">
        <v>0</v>
      </c>
      <c r="AC54" s="15">
        <v>0</v>
      </c>
      <c r="AF54" s="4">
        <f t="shared" si="2"/>
        <v>50.5</v>
      </c>
      <c r="AG54" s="96">
        <f t="shared" si="35"/>
        <v>0</v>
      </c>
      <c r="AH54" s="97">
        <f t="shared" si="3"/>
        <v>0</v>
      </c>
      <c r="AI54" s="97">
        <f t="shared" si="4"/>
        <v>1.1187370480661598E-3</v>
      </c>
      <c r="AJ54" s="97">
        <f t="shared" si="5"/>
        <v>0</v>
      </c>
      <c r="AK54" s="97">
        <f t="shared" si="6"/>
        <v>0</v>
      </c>
      <c r="AL54" s="97">
        <f t="shared" si="7"/>
        <v>0</v>
      </c>
      <c r="AM54" s="98">
        <f t="shared" si="8"/>
        <v>0</v>
      </c>
      <c r="AP54" s="4">
        <v>51</v>
      </c>
      <c r="AQ54" s="14">
        <v>0</v>
      </c>
      <c r="AR54" s="88">
        <v>0</v>
      </c>
      <c r="AS54" s="88">
        <v>83.529289215279277</v>
      </c>
      <c r="AT54" s="88">
        <v>0</v>
      </c>
      <c r="AU54" s="88">
        <v>0</v>
      </c>
      <c r="AV54" s="88">
        <v>0</v>
      </c>
      <c r="AW54" s="15">
        <v>0</v>
      </c>
      <c r="AZ54" s="4">
        <f t="shared" si="9"/>
        <v>50.5</v>
      </c>
      <c r="BA54" s="96">
        <f t="shared" si="36"/>
        <v>0</v>
      </c>
      <c r="BB54" s="97">
        <f t="shared" si="10"/>
        <v>0</v>
      </c>
      <c r="BC54" s="97">
        <f t="shared" si="11"/>
        <v>5.1948218036181352E-4</v>
      </c>
      <c r="BD54" s="97">
        <f t="shared" si="12"/>
        <v>0</v>
      </c>
      <c r="BE54" s="97">
        <f t="shared" si="13"/>
        <v>0</v>
      </c>
      <c r="BF54" s="97">
        <f t="shared" si="14"/>
        <v>0</v>
      </c>
      <c r="BG54" s="98">
        <f t="shared" si="15"/>
        <v>0</v>
      </c>
    </row>
    <row r="55" spans="2:59" x14ac:dyDescent="0.2">
      <c r="C55" s="85">
        <f>SUM(C4:C54)</f>
        <v>1538959.4720155036</v>
      </c>
      <c r="D55" s="85">
        <f t="shared" ref="D55:I55" si="37">SUM(D4:D54)</f>
        <v>1322507.5895654329</v>
      </c>
      <c r="E55" s="85">
        <f t="shared" si="37"/>
        <v>886998.07057384157</v>
      </c>
      <c r="F55" s="85">
        <f t="shared" si="37"/>
        <v>1097734.6554220153</v>
      </c>
      <c r="G55" s="85">
        <f t="shared" si="37"/>
        <v>2159099.8270849213</v>
      </c>
      <c r="H55" s="85">
        <f t="shared" si="37"/>
        <v>373601.37085864443</v>
      </c>
      <c r="I55" s="85">
        <f t="shared" si="37"/>
        <v>339521.40212310938</v>
      </c>
      <c r="M55" s="10">
        <f>SUM(M4:M54)</f>
        <v>1</v>
      </c>
      <c r="N55" s="10">
        <f t="shared" ref="N55:S55" si="38">SUM(N4:N54)</f>
        <v>0.99999999999999956</v>
      </c>
      <c r="O55" s="10">
        <f t="shared" si="38"/>
        <v>1</v>
      </c>
      <c r="P55" s="10">
        <f t="shared" si="38"/>
        <v>0.99999999999999978</v>
      </c>
      <c r="Q55" s="10">
        <f t="shared" si="38"/>
        <v>0.99999999999999967</v>
      </c>
      <c r="R55" s="10">
        <f t="shared" si="38"/>
        <v>1.0000000000000004</v>
      </c>
      <c r="S55" s="10">
        <f t="shared" si="38"/>
        <v>1</v>
      </c>
      <c r="W55" s="4">
        <f>SUM(W4:W54)</f>
        <v>213551.88009246072</v>
      </c>
      <c r="X55" s="4">
        <f t="shared" ref="X55:AC55" si="39">SUM(X4:X54)</f>
        <v>111396.85096549698</v>
      </c>
      <c r="Y55" s="4">
        <f t="shared" si="39"/>
        <v>74663.916207702961</v>
      </c>
      <c r="Z55" s="4">
        <f t="shared" si="39"/>
        <v>119893.96683170875</v>
      </c>
      <c r="AA55" s="4">
        <f t="shared" si="39"/>
        <v>212812.01331879603</v>
      </c>
      <c r="AB55" s="4">
        <f t="shared" si="39"/>
        <v>43329.143739910709</v>
      </c>
      <c r="AC55" s="4">
        <f t="shared" si="39"/>
        <v>24135.235262627837</v>
      </c>
      <c r="AG55" s="4">
        <f>SUM(AG4:AG54)</f>
        <v>1</v>
      </c>
      <c r="AH55" s="4">
        <f t="shared" ref="AH55:AM55" si="40">SUM(AH4:AH54)</f>
        <v>0.99999999999999989</v>
      </c>
      <c r="AI55" s="4">
        <f t="shared" si="40"/>
        <v>1</v>
      </c>
      <c r="AJ55" s="4">
        <f t="shared" si="40"/>
        <v>1.0000000000000002</v>
      </c>
      <c r="AK55" s="4">
        <f t="shared" si="40"/>
        <v>0.99999999999999967</v>
      </c>
      <c r="AL55" s="4">
        <f t="shared" si="40"/>
        <v>0.99999999999999978</v>
      </c>
      <c r="AM55" s="4">
        <f t="shared" si="40"/>
        <v>1</v>
      </c>
      <c r="AQ55" s="4">
        <f>SUM(AQ4:AQ54)</f>
        <v>349263.14366071473</v>
      </c>
      <c r="AR55" s="4">
        <f t="shared" ref="AR55:AW55" si="41">SUM(AR4:AR54)</f>
        <v>265641.33411610808</v>
      </c>
      <c r="AS55" s="4">
        <f t="shared" si="41"/>
        <v>160793.36765142178</v>
      </c>
      <c r="AT55" s="4">
        <f t="shared" si="41"/>
        <v>198672.16964591891</v>
      </c>
      <c r="AU55" s="4">
        <f t="shared" si="41"/>
        <v>400998.69600607007</v>
      </c>
      <c r="AV55" s="4">
        <f t="shared" si="41"/>
        <v>102599.66678149899</v>
      </c>
      <c r="AW55" s="4">
        <f t="shared" si="41"/>
        <v>54275.279952278215</v>
      </c>
    </row>
    <row r="57" spans="2:59" x14ac:dyDescent="0.2">
      <c r="C57" s="6" t="s">
        <v>106</v>
      </c>
      <c r="W57" s="6" t="s">
        <v>108</v>
      </c>
      <c r="AQ57" s="6" t="s">
        <v>110</v>
      </c>
    </row>
    <row r="58" spans="2:59" x14ac:dyDescent="0.2">
      <c r="C58" s="4" t="s">
        <v>101</v>
      </c>
      <c r="D58" s="4" t="s">
        <v>102</v>
      </c>
      <c r="W58" s="107" t="s">
        <v>101</v>
      </c>
      <c r="X58" s="107" t="s">
        <v>102</v>
      </c>
      <c r="Y58" s="107"/>
      <c r="AQ58" s="113" t="s">
        <v>101</v>
      </c>
      <c r="AR58" s="4" t="s">
        <v>102</v>
      </c>
    </row>
    <row r="59" spans="2:59" x14ac:dyDescent="0.2">
      <c r="C59" s="11" t="s">
        <v>61</v>
      </c>
      <c r="D59" s="86">
        <v>3.6495854620056569</v>
      </c>
      <c r="W59" s="108" t="s">
        <v>61</v>
      </c>
      <c r="X59" s="109">
        <v>4.0041311332927307</v>
      </c>
      <c r="Y59" s="107"/>
      <c r="AQ59" s="11" t="s">
        <v>61</v>
      </c>
      <c r="AR59" s="86">
        <v>4.433392534838962</v>
      </c>
    </row>
    <row r="60" spans="2:59" x14ac:dyDescent="0.2">
      <c r="C60" s="12" t="s">
        <v>62</v>
      </c>
      <c r="D60" s="13">
        <v>4.9827682316493505</v>
      </c>
      <c r="W60" s="89" t="s">
        <v>62</v>
      </c>
      <c r="X60" s="110">
        <v>5.6428006160552142</v>
      </c>
      <c r="Y60" s="107"/>
      <c r="AQ60" s="12" t="s">
        <v>62</v>
      </c>
      <c r="AR60" s="13">
        <v>5.9622003471785021</v>
      </c>
    </row>
    <row r="61" spans="2:59" x14ac:dyDescent="0.2">
      <c r="C61" s="12" t="s">
        <v>63</v>
      </c>
      <c r="D61" s="13">
        <v>5.2550902498402809</v>
      </c>
      <c r="W61" s="89" t="s">
        <v>63</v>
      </c>
      <c r="X61" s="110">
        <v>10.148935159758878</v>
      </c>
      <c r="Y61" s="107"/>
      <c r="AQ61" s="12" t="s">
        <v>63</v>
      </c>
      <c r="AR61" s="13">
        <v>9.8953680448263377</v>
      </c>
    </row>
    <row r="62" spans="2:59" x14ac:dyDescent="0.2">
      <c r="C62" s="12" t="s">
        <v>64</v>
      </c>
      <c r="D62" s="13">
        <v>4.2330956232107599</v>
      </c>
      <c r="W62" s="89" t="s">
        <v>64</v>
      </c>
      <c r="X62" s="110">
        <v>4.6293755591728774</v>
      </c>
      <c r="Y62" s="107"/>
      <c r="AQ62" s="12" t="s">
        <v>64</v>
      </c>
      <c r="AR62" s="13">
        <v>5.9080556563787656</v>
      </c>
    </row>
    <row r="63" spans="2:59" x14ac:dyDescent="0.2">
      <c r="C63" s="12" t="s">
        <v>65</v>
      </c>
      <c r="D63" s="13">
        <v>4.126983545156957</v>
      </c>
      <c r="W63" s="89" t="s">
        <v>65</v>
      </c>
      <c r="X63" s="110">
        <v>3.5368540728573898</v>
      </c>
      <c r="Y63" s="107"/>
      <c r="AQ63" s="12" t="s">
        <v>65</v>
      </c>
      <c r="AR63" s="13">
        <v>4.9457257431926207</v>
      </c>
    </row>
    <row r="64" spans="2:59" x14ac:dyDescent="0.2">
      <c r="C64" s="12" t="s">
        <v>66</v>
      </c>
      <c r="D64" s="13">
        <v>5.2370744286338677</v>
      </c>
      <c r="W64" s="89" t="s">
        <v>66</v>
      </c>
      <c r="X64" s="110">
        <v>8.6487198418025812</v>
      </c>
      <c r="Y64" s="107"/>
      <c r="AQ64" s="12" t="s">
        <v>66</v>
      </c>
      <c r="AR64" s="13">
        <v>6.8882008699636019</v>
      </c>
    </row>
    <row r="65" spans="3:45" x14ac:dyDescent="0.2">
      <c r="C65" s="14" t="s">
        <v>54</v>
      </c>
      <c r="D65" s="15">
        <v>2.5112564378997373</v>
      </c>
      <c r="W65" s="111" t="s">
        <v>54</v>
      </c>
      <c r="X65" s="112">
        <v>7.6351748955546412</v>
      </c>
      <c r="Y65" s="107"/>
      <c r="AQ65" s="14" t="s">
        <v>54</v>
      </c>
      <c r="AR65" s="15">
        <v>4.9405304781332156</v>
      </c>
    </row>
    <row r="66" spans="3:45" x14ac:dyDescent="0.2">
      <c r="W66" s="107"/>
      <c r="X66" s="107"/>
      <c r="Y66" s="107"/>
      <c r="AQ66" s="106"/>
      <c r="AR66" s="106"/>
      <c r="AS66" s="10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calibration</vt:lpstr>
      <vt:lpstr>modeldata</vt:lpstr>
      <vt:lpstr>BATS 2023 TLFD</vt:lpstr>
      <vt:lpstr>damp_atwork</vt:lpstr>
      <vt:lpstr>damp_disc</vt:lpstr>
      <vt:lpstr>damp_discr</vt:lpstr>
      <vt:lpstr>damp_eatout</vt:lpstr>
      <vt:lpstr>damp_escort</vt:lpstr>
      <vt:lpstr>damp_maint</vt:lpstr>
      <vt:lpstr>damp_shopping</vt:lpstr>
      <vt:lpstr>damp_social</vt:lpstr>
      <vt:lpstr>damp_work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Zorn</dc:creator>
  <cp:lastModifiedBy>Melody Tsao</cp:lastModifiedBy>
  <dcterms:created xsi:type="dcterms:W3CDTF">2020-01-24T00:50:18Z</dcterms:created>
  <dcterms:modified xsi:type="dcterms:W3CDTF">2026-10-28T21:25:28Z</dcterms:modified>
</cp:coreProperties>
</file>