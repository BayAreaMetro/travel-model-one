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8D98C216-63F8-429E-A504-7C491D81ABF7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libration" sheetId="1" r:id="rId1"/>
    <sheet name="modeldata" sheetId="2" r:id="rId2"/>
    <sheet name="BATS 2023" sheetId="3" r:id="rId3"/>
    <sheet name="BATS 2023 - WFH" sheetId="7" r:id="rId4"/>
    <sheet name="TM1 v03 Targets" sheetId="6" state="hidden" r:id="rId5"/>
    <sheet name="PersonType Chart" sheetId="5" r:id="rId6"/>
  </sheets>
  <externalReferences>
    <externalReference r:id="rId7"/>
  </externalReferences>
  <definedNames>
    <definedName name="damp" localSheetId="4">'TM1 v03 Targets'!$L$50</definedName>
    <definedName name="damp">calibration!#REF!</definedName>
    <definedName name="damp_cdap">calibration!$C$27</definedName>
    <definedName name="damp_cdap_v2">calibration!#REF!</definedName>
    <definedName name="klaus">'TM1 v03 Targets'!#REF!</definedName>
  </definedNames>
  <calcPr calcId="191029"/>
  <pivotCaches>
    <pivotCache cacheId="18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5" i="3" l="1"/>
  <c r="Q33" i="3"/>
  <c r="Q34" i="3"/>
  <c r="Q32" i="3"/>
  <c r="Q30" i="3"/>
  <c r="Q31" i="3"/>
  <c r="Q29" i="3"/>
  <c r="Q28" i="3"/>
  <c r="Q26" i="3"/>
  <c r="Q27" i="3"/>
  <c r="L61" i="1"/>
  <c r="Q48" i="1"/>
  <c r="K61" i="1" s="1"/>
  <c r="O54" i="1"/>
  <c r="W54" i="1" s="1"/>
  <c r="P54" i="1"/>
  <c r="O47" i="1"/>
  <c r="P47" i="1"/>
  <c r="O48" i="1"/>
  <c r="O61" i="1" s="1"/>
  <c r="P48" i="1"/>
  <c r="P61" i="1" s="1"/>
  <c r="O49" i="1"/>
  <c r="P49" i="1"/>
  <c r="O50" i="1"/>
  <c r="P50" i="1"/>
  <c r="O51" i="1"/>
  <c r="P51" i="1"/>
  <c r="O52" i="1"/>
  <c r="P52" i="1"/>
  <c r="O53" i="1"/>
  <c r="P53" i="1"/>
  <c r="P46" i="1"/>
  <c r="O46" i="1"/>
  <c r="M46" i="1"/>
  <c r="M59" i="1" s="1"/>
  <c r="N46" i="1"/>
  <c r="N59" i="1" s="1"/>
  <c r="M47" i="1"/>
  <c r="N47" i="1"/>
  <c r="M48" i="1"/>
  <c r="M61" i="1" s="1"/>
  <c r="N48" i="1"/>
  <c r="M49" i="1"/>
  <c r="N49" i="1"/>
  <c r="N62" i="1" s="1"/>
  <c r="M50" i="1"/>
  <c r="N50" i="1"/>
  <c r="N63" i="1" s="1"/>
  <c r="M51" i="1"/>
  <c r="N51" i="1"/>
  <c r="M52" i="1"/>
  <c r="N52" i="1"/>
  <c r="M53" i="1"/>
  <c r="N53" i="1"/>
  <c r="K47" i="1"/>
  <c r="L47" i="1"/>
  <c r="K48" i="1"/>
  <c r="L48" i="1"/>
  <c r="K49" i="1"/>
  <c r="Q49" i="1" s="1"/>
  <c r="L49" i="1"/>
  <c r="L62" i="1" s="1"/>
  <c r="K50" i="1"/>
  <c r="Q50" i="1" s="1"/>
  <c r="L50" i="1"/>
  <c r="K51" i="1"/>
  <c r="L51" i="1"/>
  <c r="K52" i="1"/>
  <c r="L52" i="1"/>
  <c r="K53" i="1"/>
  <c r="Q53" i="1" s="1"/>
  <c r="L53" i="1"/>
  <c r="L46" i="1"/>
  <c r="K46" i="1"/>
  <c r="Q46" i="1" s="1"/>
  <c r="P59" i="1" s="1"/>
  <c r="C47" i="1"/>
  <c r="D47" i="1"/>
  <c r="T47" i="1" s="1"/>
  <c r="E47" i="1"/>
  <c r="U47" i="1" s="1"/>
  <c r="F47" i="1"/>
  <c r="G47" i="1"/>
  <c r="W47" i="1" s="1"/>
  <c r="H47" i="1"/>
  <c r="C48" i="1"/>
  <c r="S48" i="1" s="1"/>
  <c r="D48" i="1"/>
  <c r="T48" i="1" s="1"/>
  <c r="E48" i="1"/>
  <c r="U48" i="1" s="1"/>
  <c r="F48" i="1"/>
  <c r="G48" i="1"/>
  <c r="W48" i="1" s="1"/>
  <c r="H48" i="1"/>
  <c r="X48" i="1" s="1"/>
  <c r="C49" i="1"/>
  <c r="S49" i="1" s="1"/>
  <c r="D49" i="1"/>
  <c r="T49" i="1" s="1"/>
  <c r="E49" i="1"/>
  <c r="F49" i="1"/>
  <c r="G49" i="1"/>
  <c r="W49" i="1" s="1"/>
  <c r="H49" i="1"/>
  <c r="X49" i="1" s="1"/>
  <c r="C50" i="1"/>
  <c r="S50" i="1" s="1"/>
  <c r="D50" i="1"/>
  <c r="E50" i="1"/>
  <c r="F50" i="1"/>
  <c r="G50" i="1"/>
  <c r="W50" i="1" s="1"/>
  <c r="H50" i="1"/>
  <c r="X50" i="1" s="1"/>
  <c r="C51" i="1"/>
  <c r="D51" i="1"/>
  <c r="E51" i="1"/>
  <c r="U51" i="1" s="1"/>
  <c r="F51" i="1"/>
  <c r="G51" i="1"/>
  <c r="H51" i="1"/>
  <c r="C52" i="1"/>
  <c r="D52" i="1"/>
  <c r="T52" i="1" s="1"/>
  <c r="E52" i="1"/>
  <c r="U52" i="1" s="1"/>
  <c r="F52" i="1"/>
  <c r="G52" i="1"/>
  <c r="W52" i="1" s="1"/>
  <c r="H52" i="1"/>
  <c r="X52" i="1" s="1"/>
  <c r="C53" i="1"/>
  <c r="S53" i="1" s="1"/>
  <c r="D53" i="1"/>
  <c r="T53" i="1" s="1"/>
  <c r="E53" i="1"/>
  <c r="U53" i="1" s="1"/>
  <c r="F53" i="1"/>
  <c r="G53" i="1"/>
  <c r="W53" i="1" s="1"/>
  <c r="H53" i="1"/>
  <c r="X53" i="1" s="1"/>
  <c r="D46" i="1"/>
  <c r="E46" i="1"/>
  <c r="U46" i="1" s="1"/>
  <c r="F46" i="1"/>
  <c r="G46" i="1"/>
  <c r="H46" i="1"/>
  <c r="C46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C6" i="1"/>
  <c r="C7" i="1"/>
  <c r="C8" i="1"/>
  <c r="C9" i="1"/>
  <c r="C10" i="1"/>
  <c r="C11" i="1"/>
  <c r="C12" i="1"/>
  <c r="C5" i="1"/>
  <c r="X47" i="1" l="1"/>
  <c r="W51" i="1"/>
  <c r="X51" i="1"/>
  <c r="X46" i="1"/>
  <c r="W46" i="1"/>
  <c r="U49" i="1"/>
  <c r="U50" i="1"/>
  <c r="S47" i="1"/>
  <c r="T50" i="1"/>
  <c r="T51" i="1"/>
  <c r="S52" i="1"/>
  <c r="T46" i="1"/>
  <c r="S51" i="1"/>
  <c r="L66" i="1"/>
  <c r="K66" i="1"/>
  <c r="N66" i="1"/>
  <c r="P66" i="1"/>
  <c r="P65" i="1"/>
  <c r="N65" i="1"/>
  <c r="N60" i="1"/>
  <c r="M65" i="1"/>
  <c r="O66" i="1"/>
  <c r="P63" i="1"/>
  <c r="Q61" i="1"/>
  <c r="O62" i="1"/>
  <c r="P62" i="1"/>
  <c r="M66" i="1"/>
  <c r="O63" i="1"/>
  <c r="L63" i="1"/>
  <c r="N61" i="1"/>
  <c r="Q47" i="1"/>
  <c r="K60" i="1" s="1"/>
  <c r="K63" i="1"/>
  <c r="K59" i="1"/>
  <c r="Q59" i="1" s="1"/>
  <c r="O59" i="1"/>
  <c r="M62" i="1"/>
  <c r="Q52" i="1"/>
  <c r="L65" i="1" s="1"/>
  <c r="Q51" i="1"/>
  <c r="L59" i="1"/>
  <c r="K62" i="1"/>
  <c r="K65" i="1"/>
  <c r="M63" i="1"/>
  <c r="I48" i="1"/>
  <c r="G54" i="1"/>
  <c r="H54" i="1"/>
  <c r="F54" i="1"/>
  <c r="F8" i="1"/>
  <c r="I49" i="1"/>
  <c r="C62" i="1" s="1"/>
  <c r="I51" i="1"/>
  <c r="I47" i="1"/>
  <c r="D60" i="1" s="1"/>
  <c r="I50" i="1"/>
  <c r="I52" i="1"/>
  <c r="F12" i="1"/>
  <c r="I46" i="1"/>
  <c r="I53" i="1"/>
  <c r="E63" i="1"/>
  <c r="F10" i="1"/>
  <c r="F9" i="1"/>
  <c r="F5" i="1"/>
  <c r="F11" i="1"/>
  <c r="F7" i="1"/>
  <c r="D13" i="1"/>
  <c r="F6" i="1"/>
  <c r="E13" i="1"/>
  <c r="L54" i="1"/>
  <c r="V50" i="1"/>
  <c r="D54" i="1"/>
  <c r="M54" i="1"/>
  <c r="E54" i="1"/>
  <c r="V47" i="1"/>
  <c r="V52" i="1"/>
  <c r="C54" i="1"/>
  <c r="S46" i="1"/>
  <c r="K54" i="1"/>
  <c r="X54" i="1" s="1"/>
  <c r="C13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F61" i="1" l="1"/>
  <c r="V61" i="1" s="1"/>
  <c r="G61" i="1"/>
  <c r="W61" i="1" s="1"/>
  <c r="D61" i="1"/>
  <c r="H61" i="1"/>
  <c r="X61" i="1" s="1"/>
  <c r="C63" i="1"/>
  <c r="S63" i="1" s="1"/>
  <c r="D63" i="1"/>
  <c r="T63" i="1" s="1"/>
  <c r="Q62" i="1"/>
  <c r="Q63" i="1"/>
  <c r="M64" i="1"/>
  <c r="N64" i="1"/>
  <c r="O64" i="1"/>
  <c r="L60" i="1"/>
  <c r="Q60" i="1" s="1"/>
  <c r="O60" i="1"/>
  <c r="M60" i="1"/>
  <c r="K64" i="1"/>
  <c r="O65" i="1"/>
  <c r="P60" i="1"/>
  <c r="P64" i="1"/>
  <c r="Q66" i="1"/>
  <c r="L64" i="1"/>
  <c r="V48" i="1"/>
  <c r="V53" i="1"/>
  <c r="V46" i="1"/>
  <c r="V49" i="1"/>
  <c r="V51" i="1"/>
  <c r="E62" i="1"/>
  <c r="U62" i="1" s="1"/>
  <c r="D62" i="1"/>
  <c r="F60" i="1"/>
  <c r="V60" i="1" s="1"/>
  <c r="G60" i="1"/>
  <c r="H60" i="1"/>
  <c r="G65" i="1"/>
  <c r="H65" i="1"/>
  <c r="X65" i="1" s="1"/>
  <c r="F65" i="1"/>
  <c r="V65" i="1" s="1"/>
  <c r="D64" i="1"/>
  <c r="G64" i="1"/>
  <c r="H64" i="1"/>
  <c r="F64" i="1"/>
  <c r="D66" i="1"/>
  <c r="F66" i="1"/>
  <c r="V66" i="1" s="1"/>
  <c r="G66" i="1"/>
  <c r="W66" i="1" s="1"/>
  <c r="H66" i="1"/>
  <c r="X66" i="1" s="1"/>
  <c r="F59" i="1"/>
  <c r="V59" i="1" s="1"/>
  <c r="G59" i="1"/>
  <c r="W59" i="1" s="1"/>
  <c r="H59" i="1"/>
  <c r="X59" i="1" s="1"/>
  <c r="C59" i="1"/>
  <c r="D59" i="1"/>
  <c r="F63" i="1"/>
  <c r="V63" i="1" s="1"/>
  <c r="G63" i="1"/>
  <c r="W63" i="1" s="1"/>
  <c r="H63" i="1"/>
  <c r="X63" i="1" s="1"/>
  <c r="C65" i="1"/>
  <c r="H62" i="1"/>
  <c r="X62" i="1" s="1"/>
  <c r="F62" i="1"/>
  <c r="V62" i="1" s="1"/>
  <c r="G62" i="1"/>
  <c r="W62" i="1" s="1"/>
  <c r="I54" i="1"/>
  <c r="E59" i="1"/>
  <c r="E66" i="1"/>
  <c r="C66" i="1"/>
  <c r="U66" i="1"/>
  <c r="C61" i="1"/>
  <c r="E61" i="1"/>
  <c r="F13" i="1"/>
  <c r="U54" i="1"/>
  <c r="U63" i="1"/>
  <c r="E60" i="1"/>
  <c r="C64" i="1"/>
  <c r="S54" i="1"/>
  <c r="T54" i="1"/>
  <c r="E65" i="1"/>
  <c r="N54" i="1"/>
  <c r="S62" i="1"/>
  <c r="D65" i="1"/>
  <c r="C60" i="1"/>
  <c r="E64" i="1"/>
  <c r="F17" i="1"/>
  <c r="F4" i="6"/>
  <c r="C41" i="6" s="1"/>
  <c r="F5" i="6"/>
  <c r="C42" i="6" s="1"/>
  <c r="F6" i="6"/>
  <c r="C7" i="6"/>
  <c r="F7" i="6"/>
  <c r="D44" i="6" s="1"/>
  <c r="C8" i="6"/>
  <c r="C20" i="6" s="1"/>
  <c r="F8" i="6"/>
  <c r="F9" i="6"/>
  <c r="F10" i="6"/>
  <c r="F11" i="6"/>
  <c r="C48" i="6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I60" i="1" l="1"/>
  <c r="Y60" i="1" s="1"/>
  <c r="V64" i="1"/>
  <c r="W64" i="1"/>
  <c r="W60" i="1"/>
  <c r="W65" i="1"/>
  <c r="X60" i="1"/>
  <c r="X64" i="1"/>
  <c r="P67" i="1"/>
  <c r="O67" i="1"/>
  <c r="T60" i="1"/>
  <c r="Q65" i="1"/>
  <c r="Q64" i="1"/>
  <c r="T64" i="1"/>
  <c r="T62" i="1"/>
  <c r="U60" i="1"/>
  <c r="I63" i="1"/>
  <c r="Y63" i="1" s="1"/>
  <c r="I66" i="1"/>
  <c r="Y66" i="1" s="1"/>
  <c r="I62" i="1"/>
  <c r="Y62" i="1" s="1"/>
  <c r="I61" i="1"/>
  <c r="Y61" i="1" s="1"/>
  <c r="G67" i="1"/>
  <c r="H67" i="1"/>
  <c r="F67" i="1"/>
  <c r="I59" i="1"/>
  <c r="Y59" i="1" s="1"/>
  <c r="U59" i="1"/>
  <c r="I65" i="1"/>
  <c r="I64" i="1"/>
  <c r="T59" i="1"/>
  <c r="S65" i="1"/>
  <c r="U61" i="1"/>
  <c r="U64" i="1"/>
  <c r="S61" i="1"/>
  <c r="T61" i="1"/>
  <c r="S66" i="1"/>
  <c r="T66" i="1"/>
  <c r="E67" i="1"/>
  <c r="T65" i="1"/>
  <c r="N67" i="1"/>
  <c r="V54" i="1"/>
  <c r="L67" i="1"/>
  <c r="K67" i="1"/>
  <c r="M67" i="1"/>
  <c r="S60" i="1"/>
  <c r="C67" i="1"/>
  <c r="U65" i="1"/>
  <c r="S59" i="1"/>
  <c r="D67" i="1"/>
  <c r="S64" i="1"/>
  <c r="D65" i="6"/>
  <c r="C44" i="6"/>
  <c r="C55" i="6"/>
  <c r="B55" i="6"/>
  <c r="E37" i="6"/>
  <c r="B46" i="6"/>
  <c r="D48" i="6"/>
  <c r="B42" i="6"/>
  <c r="C65" i="6"/>
  <c r="B48" i="6"/>
  <c r="D41" i="6"/>
  <c r="E43" i="6"/>
  <c r="E44" i="6"/>
  <c r="C56" i="6" s="1"/>
  <c r="D47" i="6"/>
  <c r="C47" i="6"/>
  <c r="B65" i="6"/>
  <c r="E65" i="6" s="1"/>
  <c r="E55" i="6"/>
  <c r="D46" i="6"/>
  <c r="D55" i="6"/>
  <c r="C46" i="6"/>
  <c r="B47" i="6"/>
  <c r="D45" i="6"/>
  <c r="C45" i="6"/>
  <c r="E48" i="6"/>
  <c r="C60" i="6" s="1"/>
  <c r="C19" i="6"/>
  <c r="V67" i="1" l="1"/>
  <c r="X67" i="1"/>
  <c r="W67" i="1"/>
  <c r="Y65" i="1"/>
  <c r="Y64" i="1"/>
  <c r="I67" i="1"/>
  <c r="U67" i="1"/>
  <c r="S67" i="1"/>
  <c r="T67" i="1"/>
  <c r="B60" i="6"/>
  <c r="D60" i="6"/>
  <c r="E41" i="6"/>
  <c r="D64" i="6"/>
  <c r="B49" i="6"/>
  <c r="B54" i="6"/>
  <c r="E42" i="6"/>
  <c r="E46" i="6"/>
  <c r="E58" i="6" s="1"/>
  <c r="E45" i="6"/>
  <c r="C49" i="6"/>
  <c r="D58" i="6"/>
  <c r="C59" i="6"/>
  <c r="E60" i="6"/>
  <c r="D49" i="6"/>
  <c r="E56" i="6"/>
  <c r="B56" i="6"/>
  <c r="D56" i="6"/>
  <c r="E47" i="6"/>
  <c r="B59" i="6" s="1"/>
  <c r="E53" i="6" l="1"/>
  <c r="C53" i="6"/>
  <c r="C64" i="6"/>
  <c r="B64" i="6"/>
  <c r="E64" i="6" s="1"/>
  <c r="B53" i="6"/>
  <c r="C58" i="6"/>
  <c r="D53" i="6"/>
  <c r="B58" i="6"/>
  <c r="E54" i="6"/>
  <c r="D54" i="6"/>
  <c r="C54" i="6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6" i="6" l="1"/>
  <c r="E67" i="6"/>
  <c r="F47" i="6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J13" i="1" l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K10" i="1"/>
  <c r="I22" i="1" s="1"/>
  <c r="I13" i="1"/>
  <c r="H13" i="1"/>
  <c r="I17" i="1" l="1"/>
  <c r="K17" i="1"/>
  <c r="H18" i="1"/>
  <c r="K18" i="1"/>
  <c r="I23" i="1"/>
  <c r="I18" i="1"/>
  <c r="I21" i="1"/>
  <c r="I24" i="1"/>
  <c r="C17" i="1"/>
  <c r="M5" i="1"/>
  <c r="E19" i="1"/>
  <c r="O7" i="1"/>
  <c r="D18" i="1"/>
  <c r="N18" i="1" s="1"/>
  <c r="N6" i="1"/>
  <c r="E18" i="1"/>
  <c r="O18" i="1" s="1"/>
  <c r="O6" i="1"/>
  <c r="D19" i="1"/>
  <c r="N19" i="1" s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K19" i="1"/>
  <c r="H19" i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M19" i="1" l="1"/>
  <c r="P19" i="1"/>
  <c r="P18" i="1"/>
  <c r="M17" i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<sst xmlns="http://schemas.openxmlformats.org/spreadsheetml/2006/main" count="439" uniqueCount="86">
  <si>
    <t>H</t>
  </si>
  <si>
    <t>M</t>
  </si>
  <si>
    <t>N</t>
  </si>
  <si>
    <t>Row Labels</t>
  </si>
  <si>
    <t>Grand Total</t>
  </si>
  <si>
    <t>Column Labels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</si>
  <si>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</si>
  <si>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</si>
  <si>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</si>
  <si>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</si>
  <si>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</si>
  <si>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</si>
  <si>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</si>
  <si>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</si>
  <si>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</si>
  <si>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</si>
  <si>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</si>
  <si>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</si>
  <si>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</si>
  <si>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</si>
  <si>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</si>
  <si>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</si>
  <si>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</si>
  <si>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</si>
  <si>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</si>
  <si>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</si>
  <si>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</si>
  <si>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</si>
  <si>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</si>
  <si>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</si>
  <si>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</si>
  <si>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</si>
  <si>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</si>
  <si>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</si>
  <si>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</si>
  <si>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</si>
  <si>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 xml:space="preserve">Source: </t>
  </si>
  <si>
    <t>Bay Area Travel Study 2023</t>
  </si>
  <si>
    <t>person_type</t>
  </si>
  <si>
    <t>activity_pattern</t>
  </si>
  <si>
    <t>num_pers</t>
  </si>
  <si>
    <t>North Bay</t>
  </si>
  <si>
    <t>wfh_choice</t>
  </si>
  <si>
    <t>Solano/Napa</t>
  </si>
  <si>
    <t>Sum of num_pers</t>
  </si>
  <si>
    <t>H Total</t>
  </si>
  <si>
    <t>M Total</t>
  </si>
  <si>
    <t>N Total</t>
  </si>
  <si>
    <t>Home County Name</t>
  </si>
  <si>
    <t>Unweighted WFH Workers</t>
  </si>
  <si>
    <t>Weighted WFH Workers</t>
  </si>
  <si>
    <t>Unweighted Workers</t>
  </si>
  <si>
    <t>Weighted Workers</t>
  </si>
  <si>
    <t>Alameda</t>
  </si>
  <si>
    <t>Contra Costa</t>
  </si>
  <si>
    <t>Marin</t>
  </si>
  <si>
    <t>Napa</t>
  </si>
  <si>
    <t>San Francisco</t>
  </si>
  <si>
    <t>San Mateo</t>
  </si>
  <si>
    <t>Santa Clara</t>
  </si>
  <si>
    <t>Solano</t>
  </si>
  <si>
    <t>Sonoma</t>
  </si>
  <si>
    <t>**Workers are defined as people with a work location</t>
  </si>
  <si>
    <t>**WFH Workers are defined as workers who make a WFH Choice (WFH Choice = 1)</t>
  </si>
  <si>
    <t>***WFH Choice is defined via the survey processing as: wfh = 1, telecommute &gt; 0, and no work tours that day</t>
  </si>
  <si>
    <t>WFH Rate is calculated as: WFH Workers/Workers</t>
  </si>
  <si>
    <t>BATS 2023 Values</t>
  </si>
  <si>
    <t>**Since BATS2023 was under-reporting children under 18 due to proxy targets, CDAP targets for children under 18 are based on the previous CHTS targets</t>
  </si>
  <si>
    <t>Bay Area Travel Study 2023 - WFH</t>
  </si>
  <si>
    <t>Did not WFH</t>
  </si>
  <si>
    <t>WFH</t>
  </si>
  <si>
    <t>Modeled</t>
  </si>
  <si>
    <t>H_WFH_0</t>
  </si>
  <si>
    <t>H_WFH_1</t>
  </si>
  <si>
    <t>M_WFH_0</t>
  </si>
  <si>
    <t>M_WFH_1</t>
  </si>
  <si>
    <t>N_WFH_0</t>
  </si>
  <si>
    <t>N_WFH_1</t>
  </si>
  <si>
    <t>Source: M:/Development/Travel Model One/Calibration/Version 1.7/2023_BATS_Summaries/pipeline_mt_20261008_NoMon_rmo/ctramp_2023/BATS_Summaries/dap_summaries.csv</t>
  </si>
  <si>
    <t>Type</t>
  </si>
  <si>
    <t>CDAP</t>
  </si>
  <si>
    <t>CHTS Values</t>
  </si>
  <si>
    <t>Source: M:/Development/Travel Model One/Calibration/Version 1.7/2023_BATS_Summaries/pipeline_mt_20261008_NoMon_rmo/ctramp_2023/BATS_Summaries/BATS2023_person_type_summary_north_bay</t>
  </si>
  <si>
    <t>Source: M:/Development/Travel Model One/Calibration/Version 1.7/2023_BATS_Summaries/pipeline_mt_20261008_NoMon_rmo/ctramp_2023/BATS_Summaries/BATS2023_person_type_summary_solano_napa</t>
  </si>
  <si>
    <t>WFH Share</t>
  </si>
  <si>
    <t>Source: M:\Development\Travel Model One\Calibration\Version 1.7\2023_BATS_Summaries\pipeline_mt_20261008_NoMon_rmo\2023 BATS WFH Rates.xlsx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</si>
</sst>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0"/>
    <numFmt numFmtId="166" formatCode="0.0000;[Red]\-0.0000"/>
    <numFmt numFmtId="167" formatCode="0.0"/>
  </numFmts>
  <fonts count="2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9" fontId="10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19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1" fillId="0" borderId="0" xfId="0" quotePrefix="1" applyFont="1" applyAlignment="1">
      <alignment horizontal="left"/>
    </xf>
    <xf numFmtId="0" fontId="21" fillId="0" borderId="0" xfId="0" quotePrefix="1" applyFont="1" applyAlignment="1">
      <alignment horizontal="center"/>
    </xf>
    <xf numFmtId="0" fontId="21" fillId="0" borderId="0" xfId="0" quotePrefix="1" applyFont="1" applyAlignment="1">
      <alignment horizontal="left" vertical="top"/>
    </xf>
    <xf numFmtId="3" fontId="21" fillId="0" borderId="0" xfId="0" applyNumberFormat="1" applyFont="1" applyAlignment="1">
      <alignment vertical="center"/>
    </xf>
    <xf numFmtId="10" fontId="21" fillId="0" borderId="0" xfId="0" applyNumberFormat="1" applyFont="1" applyAlignment="1">
      <alignment vertical="center"/>
    </xf>
    <xf numFmtId="0" fontId="22" fillId="0" borderId="0" xfId="0" quotePrefix="1" applyFont="1" applyAlignment="1">
      <alignment horizontal="left" vertical="top"/>
    </xf>
    <xf numFmtId="3" fontId="22" fillId="0" borderId="0" xfId="0" applyNumberFormat="1" applyFont="1" applyAlignment="1">
      <alignment vertical="center"/>
    </xf>
    <xf numFmtId="10" fontId="22" fillId="0" borderId="0" xfId="0" applyNumberFormat="1" applyFont="1" applyAlignment="1">
      <alignment vertical="center"/>
    </xf>
    <xf numFmtId="0" fontId="22" fillId="0" borderId="0" xfId="0" applyFont="1" applyAlignment="1">
      <alignment horizontal="left" vertical="top"/>
    </xf>
    <xf numFmtId="43" fontId="1" fillId="0" borderId="0" xfId="0" applyNumberFormat="1" applyFont="1"/>
    <xf numFmtId="0" fontId="1" fillId="0" borderId="7" xfId="0" applyFont="1" applyBorder="1"/>
    <xf numFmtId="164" fontId="1" fillId="0" borderId="2" xfId="3" applyNumberFormat="1" applyFont="1" applyBorder="1"/>
    <xf numFmtId="164" fontId="1" fillId="0" borderId="3" xfId="3" applyNumberFormat="1" applyFont="1" applyBorder="1"/>
    <xf numFmtId="164" fontId="1" fillId="0" borderId="0" xfId="3" applyNumberFormat="1" applyFont="1" applyBorder="1"/>
    <xf numFmtId="164" fontId="1" fillId="0" borderId="5" xfId="3" applyNumberFormat="1" applyFont="1" applyBorder="1"/>
    <xf numFmtId="164" fontId="1" fillId="0" borderId="7" xfId="3" applyNumberFormat="1" applyFont="1" applyBorder="1"/>
    <xf numFmtId="164" fontId="1" fillId="0" borderId="8" xfId="3" applyNumberFormat="1" applyFont="1" applyBorder="1"/>
    <xf numFmtId="9" fontId="1" fillId="0" borderId="0" xfId="3" applyFont="1"/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  <xf numFmtId="3" fontId="5" fillId="0" borderId="0" xfId="1" applyNumberFormat="1" applyFont="1" applyAlignment="1">
      <alignment horizontal="center"/>
    </xf>
    <xf numFmtId="0" fontId="0" fillId="0" borderId="0" xfId="0" applyNumberFormat="1"/>
    <xf numFmtId="0" fontId="0" fillId="0" borderId="0" xfId="0" quotePrefix="1" applyNumberFormat="1"/>
  </cellXfs>
  <cellStyles count="4">
    <cellStyle name="Normal" xfId="0" builtinId="0"/>
    <cellStyle name="Normal 2" xfId="1" xr:uid="{83A0AB90-23CF-41D1-8C82-7D6057588797}"/>
    <cellStyle name="Percent" xfId="3" builtinId="5"/>
    <cellStyle name="Percent 2" xfId="2" xr:uid="{CB21E4C0-D945-46EE-9A00-BE0A2B1C7632}"/>
  </cellStyles>
  <dxfs count="3">
    <dxf>
      <font>
        <sz val="10"/>
      </font>
    </dxf>
    <dxf>
      <numFmt numFmtId="35" formatCode="_(* #,##0.00_);_(* \(#,##0.00\);_(* &quot;-&quot;??_);_(@_)"/>
    </dxf>
    <dxf>
      <numFmt numFmtId="35" formatCode="_(* #,##0.00_);_(* \(#,##0.0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1230105.2348854889</c:v>
                </c:pt>
                <c:pt idx="1">
                  <c:v>286903.59631397587</c:v>
                </c:pt>
                <c:pt idx="2">
                  <c:v>90646.683137778877</c:v>
                </c:pt>
                <c:pt idx="3">
                  <c:v>0</c:v>
                </c:pt>
                <c:pt idx="4">
                  <c:v>0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1343636.9371095512</c:v>
                </c:pt>
                <c:pt idx="1">
                  <c:v>303270.18710574182</c:v>
                </c:pt>
                <c:pt idx="2">
                  <c:v>198575.94101364535</c:v>
                </c:pt>
                <c:pt idx="3">
                  <c:v>485574.30636942881</c:v>
                </c:pt>
                <c:pt idx="4">
                  <c:v>580519.78521612787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667739.48886334617</c:v>
                </c:pt>
                <c:pt idx="1">
                  <c:v>114592.55289354955</c:v>
                </c:pt>
                <c:pt idx="2">
                  <c:v>68345.75347247794</c:v>
                </c:pt>
                <c:pt idx="3">
                  <c:v>255989.88428071633</c:v>
                </c:pt>
                <c:pt idx="4">
                  <c:v>365408.67686414684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4223" cy="629759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317.604928472225" createdVersion="8" refreshedVersion="8" minRefreshableVersion="3" recordCount="32" xr:uid="{84CD7BB2-9CA5-4AA6-9C9F-5CF4C2983D11}">
  <cacheSource type="worksheet">
    <worksheetSource ref="B2:E34" sheet="BATS 2023"/>
  </cacheSource>
  <cacheFields count="4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wfh_choice" numFmtId="0">
      <sharedItems containsSemiMixedTypes="0" containsString="0" containsNumber="1" containsInteger="1" minValue="0" maxValue="1" count="2">
        <n v="0"/>
        <n v="1"/>
      </sharedItems>
    </cacheField>
    <cacheField name="num_pers" numFmtId="0">
      <sharedItems containsSemiMixedTypes="0" containsString="0" containsNumber="1" minValue="0" maxValue="1229608.94931266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x v="0"/>
    <n v="311650.04052777553"/>
  </r>
  <r>
    <x v="0"/>
    <x v="0"/>
    <x v="1"/>
    <n v="356089.44833557063"/>
  </r>
  <r>
    <x v="0"/>
    <x v="1"/>
    <x v="0"/>
    <n v="1229608.9493126601"/>
  </r>
  <r>
    <x v="0"/>
    <x v="1"/>
    <x v="1"/>
    <n v="496.28557282869974"/>
  </r>
  <r>
    <x v="0"/>
    <x v="2"/>
    <x v="0"/>
    <n v="663899.41953010834"/>
  </r>
  <r>
    <x v="0"/>
    <x v="2"/>
    <x v="1"/>
    <n v="679737.51757944282"/>
  </r>
  <r>
    <x v="1"/>
    <x v="0"/>
    <x v="0"/>
    <n v="83561.221108939819"/>
  </r>
  <r>
    <x v="1"/>
    <x v="0"/>
    <x v="1"/>
    <n v="31031.331784609742"/>
  </r>
  <r>
    <x v="1"/>
    <x v="1"/>
    <x v="0"/>
    <n v="286903.59631397587"/>
  </r>
  <r>
    <x v="1"/>
    <x v="2"/>
    <x v="0"/>
    <n v="230858.03226023554"/>
  </r>
  <r>
    <x v="1"/>
    <x v="2"/>
    <x v="1"/>
    <n v="72412.154845506258"/>
  </r>
  <r>
    <x v="2"/>
    <x v="0"/>
    <x v="0"/>
    <n v="61904.494709690123"/>
  </r>
  <r>
    <x v="2"/>
    <x v="0"/>
    <x v="1"/>
    <n v="6441.2587627878174"/>
  </r>
  <r>
    <x v="2"/>
    <x v="1"/>
    <x v="0"/>
    <n v="86787.19392694821"/>
  </r>
  <r>
    <x v="2"/>
    <x v="1"/>
    <x v="1"/>
    <n v="3859.4892108306631"/>
  </r>
  <r>
    <x v="2"/>
    <x v="2"/>
    <x v="0"/>
    <n v="171454.29096303752"/>
  </r>
  <r>
    <x v="2"/>
    <x v="2"/>
    <x v="1"/>
    <n v="27121.650050607841"/>
  </r>
  <r>
    <x v="3"/>
    <x v="0"/>
    <x v="0"/>
    <n v="255989.88428071633"/>
  </r>
  <r>
    <x v="3"/>
    <x v="1"/>
    <x v="0"/>
    <n v="0"/>
  </r>
  <r>
    <x v="3"/>
    <x v="2"/>
    <x v="0"/>
    <n v="485574.30636942881"/>
  </r>
  <r>
    <x v="4"/>
    <x v="0"/>
    <x v="0"/>
    <n v="365408.67686414684"/>
  </r>
  <r>
    <x v="4"/>
    <x v="1"/>
    <x v="0"/>
    <n v="0"/>
  </r>
  <r>
    <x v="4"/>
    <x v="2"/>
    <x v="0"/>
    <n v="580519.78521612787"/>
  </r>
  <r>
    <x v="5"/>
    <x v="0"/>
    <x v="0"/>
    <n v="74995.978217831318"/>
  </r>
  <r>
    <x v="5"/>
    <x v="1"/>
    <x v="0"/>
    <n v="27888.048166248853"/>
  </r>
  <r>
    <x v="5"/>
    <x v="2"/>
    <x v="0"/>
    <n v="59294.409690902619"/>
  </r>
  <r>
    <x v="5"/>
    <x v="2"/>
    <x v="1"/>
    <n v="4891.8330184189444"/>
  </r>
  <r>
    <x v="6"/>
    <x v="0"/>
    <x v="0"/>
    <n v="387248.05504112464"/>
  </r>
  <r>
    <x v="6"/>
    <x v="1"/>
    <x v="0"/>
    <n v="156147.04247572814"/>
  </r>
  <r>
    <x v="6"/>
    <x v="2"/>
    <x v="0"/>
    <n v="169505.952664399"/>
  </r>
  <r>
    <x v="7"/>
    <x v="0"/>
    <x v="0"/>
    <n v="251728.81883796302"/>
  </r>
  <r>
    <x v="7"/>
    <x v="1"/>
    <x v="0"/>
    <n v="60599.9002612883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5B2BF-B5A3-41FF-B478-F9EFC1F3C73E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4:Z15" firstHeaderRow="1" firstDataRow="3" firstDataCol="1"/>
  <pivotFields count="4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axis="axisCol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1"/>
    <field x="2"/>
  </colFields>
  <colItems count="10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 t="grand">
      <x/>
    </i>
  </colItems>
  <dataFields count="1">
    <dataField name="Sum of num_per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A1326-2495-4C73-860A-CEF4C23C2B41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4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num_pers" fld="3" baseField="0" baseItem="0"/>
  </dataFields>
  <formats count="3">
    <format dxfId="0">
      <pivotArea type="all" dataOnly="0" outline="0" fieldPosition="0"/>
    </format>
    <format dxfId="1">
      <pivotArea collapsedLevelsAreSubtotals="1" fieldPosition="0">
        <references count="1">
          <reference field="0" count="0"/>
        </references>
      </pivotArea>
    </format>
    <format dxfId="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Y67"/>
  <sheetViews>
    <sheetView topLeftCell="A53" zoomScaleNormal="100" workbookViewId="0">
      <selection activeCell="C24" sqref="C24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10.85546875" style="1" bestFit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13.5703125" style="1" bestFit="1" customWidth="1"/>
    <col min="13" max="14" width="13.5703125" style="1" customWidth="1"/>
    <col min="15" max="15" width="10.7109375" style="1" customWidth="1"/>
    <col min="16" max="18" width="9.140625" style="1"/>
    <col min="19" max="19" width="10.85546875" style="1" bestFit="1" customWidth="1"/>
    <col min="20" max="22" width="13.5703125" style="1" bestFit="1" customWidth="1"/>
    <col min="23" max="23" width="10.85546875" style="1" bestFit="1" customWidth="1"/>
    <col min="24" max="24" width="8" style="1" bestFit="1" customWidth="1"/>
    <col min="25" max="16384" width="9.140625" style="1"/>
  </cols>
  <sheetData>
    <row r="2" spans="1:16" s="68" customFormat="1" x14ac:dyDescent="0.2">
      <c r="B2" s="69" t="s">
        <v>37</v>
      </c>
      <c r="H2" s="69" t="s">
        <v>19</v>
      </c>
      <c r="M2" s="69" t="s">
        <v>21</v>
      </c>
    </row>
    <row r="3" spans="1:16" x14ac:dyDescent="0.2">
      <c r="C3" s="8" t="s">
        <v>1</v>
      </c>
      <c r="D3" s="8" t="s">
        <v>2</v>
      </c>
      <c r="E3" s="8" t="s">
        <v>0</v>
      </c>
    </row>
    <row r="4" spans="1:16" x14ac:dyDescent="0.2">
      <c r="B4" s="1" t="s">
        <v>14</v>
      </c>
      <c r="C4" s="7" t="s">
        <v>15</v>
      </c>
      <c r="D4" s="7" t="s">
        <v>16</v>
      </c>
      <c r="E4" s="7" t="s">
        <v>17</v>
      </c>
      <c r="F4" s="1" t="s">
        <v>18</v>
      </c>
      <c r="H4" s="7" t="s">
        <v>15</v>
      </c>
      <c r="I4" s="7" t="s">
        <v>16</v>
      </c>
      <c r="J4" s="7" t="s">
        <v>17</v>
      </c>
      <c r="K4" s="1" t="s">
        <v>18</v>
      </c>
      <c r="M4" s="7" t="s">
        <v>15</v>
      </c>
      <c r="N4" s="7" t="s">
        <v>16</v>
      </c>
      <c r="O4" s="7" t="s">
        <v>17</v>
      </c>
      <c r="P4" s="1" t="s">
        <v>18</v>
      </c>
    </row>
    <row r="5" spans="1:16" x14ac:dyDescent="0.2">
      <c r="A5" s="8">
        <v>1</v>
      </c>
      <c r="B5" s="1" t="s">
        <v>6</v>
      </c>
      <c r="C5" s="9">
        <f>SUMIFS('BATS 2023'!$E$3:$E$34,'BATS 2023'!$B$3:$B$34,calibration!$A5,'BATS 2023'!$C$3:$C$34,calibration!C$3)</f>
        <v>1230105.2348854889</v>
      </c>
      <c r="D5" s="10">
        <f>SUMIFS('BATS 2023'!$E$3:$E$34,'BATS 2023'!$B$3:$B$34,calibration!$A5,'BATS 2023'!$C$3:$C$34,calibration!D$3)</f>
        <v>1343636.9371095512</v>
      </c>
      <c r="E5" s="11">
        <f>SUMIFS('BATS 2023'!$E$3:$E$34,'BATS 2023'!$B$3:$B$34,calibration!$A5,'BATS 2023'!$C$3:$C$34,calibration!E$3)</f>
        <v>667739.48886334617</v>
      </c>
      <c r="F5" s="5">
        <f t="shared" ref="F5:F13" si="0">SUM(C5:E5)</f>
        <v>3241481.6608583862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-1230104.2348854889</v>
      </c>
      <c r="N5" s="10">
        <f t="shared" ref="N5:N13" si="1">IFERROR(I5-D5,0)</f>
        <v>-1343635.9371095512</v>
      </c>
      <c r="O5" s="11">
        <f t="shared" ref="O5:O13" si="2">IFERROR(J5-E5,0)</f>
        <v>-667738.48886334617</v>
      </c>
      <c r="P5" s="5">
        <f t="shared" ref="P5:P13" si="3">IFERROR(K5-F5,0)</f>
        <v>-3241478.6608583862</v>
      </c>
    </row>
    <row r="6" spans="1:16" x14ac:dyDescent="0.2">
      <c r="A6" s="8">
        <v>2</v>
      </c>
      <c r="B6" s="1" t="s">
        <v>7</v>
      </c>
      <c r="C6" s="12">
        <f>SUMIFS('BATS 2023'!$E$3:$E$34,'BATS 2023'!$B$3:$B$34,calibration!$A6,'BATS 2023'!$C$3:$C$34,calibration!C$3)</f>
        <v>286903.59631397587</v>
      </c>
      <c r="D6" s="5">
        <f>SUMIFS('BATS 2023'!$E$3:$E$34,'BATS 2023'!$B$3:$B$34,calibration!$A6,'BATS 2023'!$C$3:$C$34,calibration!D$3)</f>
        <v>303270.18710574182</v>
      </c>
      <c r="E6" s="13">
        <f>SUMIFS('BATS 2023'!$E$3:$E$34,'BATS 2023'!$B$3:$B$34,calibration!$A6,'BATS 2023'!$C$3:$C$34,calibration!E$3)</f>
        <v>114592.55289354955</v>
      </c>
      <c r="F6" s="5">
        <f t="shared" si="0"/>
        <v>704766.33631326724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4">SUM(H6:J6)</f>
        <v>3</v>
      </c>
      <c r="M6" s="12">
        <f t="shared" ref="M6:M13" si="5">IFERROR(H6-C6,0)</f>
        <v>-286902.59631397587</v>
      </c>
      <c r="N6" s="5">
        <f t="shared" si="1"/>
        <v>-303269.18710574182</v>
      </c>
      <c r="O6" s="13">
        <f t="shared" si="2"/>
        <v>-114591.55289354955</v>
      </c>
      <c r="P6" s="5">
        <f t="shared" si="3"/>
        <v>-704763.33631326724</v>
      </c>
    </row>
    <row r="7" spans="1:16" x14ac:dyDescent="0.2">
      <c r="A7" s="8">
        <v>3</v>
      </c>
      <c r="B7" s="1" t="s">
        <v>8</v>
      </c>
      <c r="C7" s="12">
        <f>SUMIFS('BATS 2023'!$E$3:$E$34,'BATS 2023'!$B$3:$B$34,calibration!$A7,'BATS 2023'!$C$3:$C$34,calibration!C$3)</f>
        <v>90646.683137778877</v>
      </c>
      <c r="D7" s="5">
        <f>SUMIFS('BATS 2023'!$E$3:$E$34,'BATS 2023'!$B$3:$B$34,calibration!$A7,'BATS 2023'!$C$3:$C$34,calibration!D$3)</f>
        <v>198575.94101364535</v>
      </c>
      <c r="E7" s="13">
        <f>SUMIFS('BATS 2023'!$E$3:$E$34,'BATS 2023'!$B$3:$B$34,calibration!$A7,'BATS 2023'!$C$3:$C$34,calibration!E$3)</f>
        <v>68345.75347247794</v>
      </c>
      <c r="F7" s="5">
        <f t="shared" si="0"/>
        <v>357568.37762390217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4"/>
        <v>3</v>
      </c>
      <c r="M7" s="12">
        <f t="shared" si="5"/>
        <v>-90645.683137778877</v>
      </c>
      <c r="N7" s="5">
        <f t="shared" si="1"/>
        <v>-198574.94101364535</v>
      </c>
      <c r="O7" s="13">
        <f t="shared" si="2"/>
        <v>-68344.75347247794</v>
      </c>
      <c r="P7" s="5">
        <f t="shared" si="3"/>
        <v>-357565.37762390217</v>
      </c>
    </row>
    <row r="8" spans="1:16" x14ac:dyDescent="0.2">
      <c r="A8" s="8">
        <v>4</v>
      </c>
      <c r="B8" s="1" t="s">
        <v>9</v>
      </c>
      <c r="C8" s="12">
        <f>SUMIFS('BATS 2023'!$E$3:$E$34,'BATS 2023'!$B$3:$B$34,calibration!$A8,'BATS 2023'!$C$3:$C$34,calibration!C$3)</f>
        <v>0</v>
      </c>
      <c r="D8" s="5">
        <f>SUMIFS('BATS 2023'!$E$3:$E$34,'BATS 2023'!$B$3:$B$34,calibration!$A8,'BATS 2023'!$C$3:$C$34,calibration!D$3)</f>
        <v>485574.30636942881</v>
      </c>
      <c r="E8" s="13">
        <f>SUMIFS('BATS 2023'!$E$3:$E$34,'BATS 2023'!$B$3:$B$34,calibration!$A8,'BATS 2023'!$C$3:$C$34,calibration!E$3)</f>
        <v>255989.88428071633</v>
      </c>
      <c r="F8" s="5">
        <f t="shared" si="0"/>
        <v>741564.19065014517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4"/>
        <v>3</v>
      </c>
      <c r="M8" s="12">
        <f t="shared" si="5"/>
        <v>1</v>
      </c>
      <c r="N8" s="5">
        <f t="shared" si="1"/>
        <v>-485573.30636942881</v>
      </c>
      <c r="O8" s="13">
        <f t="shared" si="2"/>
        <v>-255988.88428071633</v>
      </c>
      <c r="P8" s="5">
        <f t="shared" si="3"/>
        <v>-741561.19065014517</v>
      </c>
    </row>
    <row r="9" spans="1:16" x14ac:dyDescent="0.2">
      <c r="A9" s="8">
        <v>5</v>
      </c>
      <c r="B9" s="1" t="s">
        <v>10</v>
      </c>
      <c r="C9" s="12">
        <f>SUMIFS('BATS 2023'!$E$3:$E$34,'BATS 2023'!$B$3:$B$34,calibration!$A9,'BATS 2023'!$C$3:$C$34,calibration!C$3)</f>
        <v>0</v>
      </c>
      <c r="D9" s="5">
        <f>SUMIFS('BATS 2023'!$E$3:$E$34,'BATS 2023'!$B$3:$B$34,calibration!$A9,'BATS 2023'!$C$3:$C$34,calibration!D$3)</f>
        <v>580519.78521612787</v>
      </c>
      <c r="E9" s="13">
        <f>SUMIFS('BATS 2023'!$E$3:$E$34,'BATS 2023'!$B$3:$B$34,calibration!$A9,'BATS 2023'!$C$3:$C$34,calibration!E$3)</f>
        <v>365408.67686414684</v>
      </c>
      <c r="F9" s="5">
        <f t="shared" si="0"/>
        <v>945928.46208027471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4"/>
        <v>3</v>
      </c>
      <c r="M9" s="12">
        <f t="shared" si="5"/>
        <v>1</v>
      </c>
      <c r="N9" s="5">
        <f t="shared" si="1"/>
        <v>-580518.78521612787</v>
      </c>
      <c r="O9" s="13">
        <f t="shared" si="2"/>
        <v>-365407.67686414684</v>
      </c>
      <c r="P9" s="5">
        <f t="shared" si="3"/>
        <v>-945925.46208027471</v>
      </c>
    </row>
    <row r="10" spans="1:16" x14ac:dyDescent="0.2">
      <c r="A10" s="8">
        <v>6</v>
      </c>
      <c r="B10" s="1" t="s">
        <v>11</v>
      </c>
      <c r="C10" s="12">
        <f>SUMIFS('BATS 2023'!$E$3:$E$34,'BATS 2023'!$B$3:$B$34,calibration!$A10,'BATS 2023'!$C$3:$C$34,calibration!C$3)</f>
        <v>123094.58867</v>
      </c>
      <c r="D10" s="5">
        <f>SUMIFS('BATS 2023'!$E$3:$E$34,'BATS 2023'!$B$3:$B$34,calibration!$A10,'BATS 2023'!$C$3:$C$34,calibration!D$3)</f>
        <v>17712.811699999998</v>
      </c>
      <c r="E10" s="13">
        <f>SUMIFS('BATS 2023'!$E$3:$E$34,'BATS 2023'!$B$3:$B$34,calibration!$A10,'BATS 2023'!$C$3:$C$34,calibration!E$3)</f>
        <v>17630.20679</v>
      </c>
      <c r="F10" s="5">
        <f t="shared" si="0"/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4"/>
        <v>3</v>
      </c>
      <c r="M10" s="12">
        <f t="shared" si="5"/>
        <v>-123093.58867</v>
      </c>
      <c r="N10" s="5">
        <f t="shared" si="1"/>
        <v>-17711.811699999998</v>
      </c>
      <c r="O10" s="13">
        <f t="shared" si="2"/>
        <v>-17629.20679</v>
      </c>
      <c r="P10" s="5">
        <f t="shared" si="3"/>
        <v>-158434.60715999999</v>
      </c>
    </row>
    <row r="11" spans="1:16" x14ac:dyDescent="0.2">
      <c r="A11" s="8">
        <v>7</v>
      </c>
      <c r="B11" s="1" t="s">
        <v>12</v>
      </c>
      <c r="C11" s="12">
        <f>SUMIFS('BATS 2023'!$E$3:$E$34,'BATS 2023'!$B$3:$B$34,calibration!$A11,'BATS 2023'!$C$3:$C$34,calibration!C$3)</f>
        <v>665066.56470999995</v>
      </c>
      <c r="D11" s="5">
        <f>SUMIFS('BATS 2023'!$E$3:$E$34,'BATS 2023'!$B$3:$B$34,calibration!$A11,'BATS 2023'!$C$3:$C$34,calibration!D$3)</f>
        <v>64858.529419999999</v>
      </c>
      <c r="E11" s="13">
        <f>SUMIFS('BATS 2023'!$E$3:$E$34,'BATS 2023'!$B$3:$B$34,calibration!$A11,'BATS 2023'!$C$3:$C$34,calibration!E$3)</f>
        <v>85466.730259999997</v>
      </c>
      <c r="F11" s="5">
        <f t="shared" si="0"/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4"/>
        <v>3</v>
      </c>
      <c r="M11" s="12">
        <f t="shared" si="5"/>
        <v>-665065.56470999995</v>
      </c>
      <c r="N11" s="5">
        <f t="shared" si="1"/>
        <v>-64857.529419999999</v>
      </c>
      <c r="O11" s="13">
        <f t="shared" si="2"/>
        <v>-85465.730259999997</v>
      </c>
      <c r="P11" s="5">
        <f t="shared" si="3"/>
        <v>-815388.82438999997</v>
      </c>
    </row>
    <row r="12" spans="1:16" x14ac:dyDescent="0.2">
      <c r="A12" s="8">
        <v>8</v>
      </c>
      <c r="B12" s="1" t="s">
        <v>13</v>
      </c>
      <c r="C12" s="14">
        <f>SUMIFS('BATS 2023'!$E$3:$E$34,'BATS 2023'!$B$3:$B$34,calibration!$A12,'BATS 2023'!$C$3:$C$34,calibration!C$3)</f>
        <v>138048.92214000001</v>
      </c>
      <c r="D12" s="15">
        <f>SUMIFS('BATS 2023'!$E$3:$E$34,'BATS 2023'!$B$3:$B$34,calibration!$A12,'BATS 2023'!$C$3:$C$34,calibration!D$3)</f>
        <v>145623.69245999999</v>
      </c>
      <c r="E12" s="16">
        <f>SUMIFS('BATS 2023'!$E$3:$E$34,'BATS 2023'!$B$3:$B$34,calibration!$A12,'BATS 2023'!$C$3:$C$34,calibration!E$3)</f>
        <v>121625.49533999999</v>
      </c>
      <c r="F12" s="5">
        <f t="shared" si="0"/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4"/>
        <v>3</v>
      </c>
      <c r="M12" s="14">
        <f t="shared" si="5"/>
        <v>-138047.92214000001</v>
      </c>
      <c r="N12" s="15">
        <f t="shared" si="1"/>
        <v>-145622.69245999999</v>
      </c>
      <c r="O12" s="16">
        <f t="shared" si="2"/>
        <v>-121624.49533999999</v>
      </c>
      <c r="P12" s="5">
        <f t="shared" si="3"/>
        <v>-405295.10993999999</v>
      </c>
    </row>
    <row r="13" spans="1:16" x14ac:dyDescent="0.2">
      <c r="B13" s="1" t="s">
        <v>18</v>
      </c>
      <c r="C13" s="5">
        <f>SUM(C5:C12)</f>
        <v>2533865.5898572435</v>
      </c>
      <c r="D13" s="5">
        <f t="shared" ref="D13:E13" si="6">SUM(D5:D12)</f>
        <v>3139772.1903944951</v>
      </c>
      <c r="E13" s="5">
        <f t="shared" si="6"/>
        <v>1696798.7887642367</v>
      </c>
      <c r="F13" s="5">
        <f t="shared" si="0"/>
        <v>7370436.5690159751</v>
      </c>
      <c r="H13" s="5">
        <f>SUM(H5:H12)</f>
        <v>8</v>
      </c>
      <c r="I13" s="5">
        <f t="shared" ref="I13:K13" si="7">SUM(I5:I12)</f>
        <v>8</v>
      </c>
      <c r="J13" s="5">
        <f t="shared" si="7"/>
        <v>8</v>
      </c>
      <c r="K13" s="5">
        <f t="shared" si="7"/>
        <v>24</v>
      </c>
      <c r="M13" s="5">
        <f t="shared" si="5"/>
        <v>-2533857.5898572435</v>
      </c>
      <c r="N13" s="5">
        <f t="shared" si="1"/>
        <v>-3139764.1903944951</v>
      </c>
      <c r="O13" s="5">
        <f t="shared" si="2"/>
        <v>-1696790.7887642367</v>
      </c>
      <c r="P13" s="5">
        <f t="shared" si="3"/>
        <v>-7370412.5690159751</v>
      </c>
    </row>
    <row r="16" spans="1:16" x14ac:dyDescent="0.2">
      <c r="B16" s="1" t="s">
        <v>14</v>
      </c>
      <c r="C16" s="7" t="s">
        <v>15</v>
      </c>
      <c r="D16" s="7" t="s">
        <v>16</v>
      </c>
      <c r="E16" s="7" t="s">
        <v>17</v>
      </c>
      <c r="F16" s="1" t="s">
        <v>18</v>
      </c>
      <c r="H16" s="7" t="s">
        <v>15</v>
      </c>
      <c r="I16" s="7" t="s">
        <v>16</v>
      </c>
      <c r="J16" s="7" t="s">
        <v>17</v>
      </c>
      <c r="K16" s="1" t="s">
        <v>18</v>
      </c>
      <c r="M16" s="7" t="s">
        <v>15</v>
      </c>
      <c r="N16" s="7" t="s">
        <v>16</v>
      </c>
      <c r="O16" s="7" t="s">
        <v>17</v>
      </c>
      <c r="P16" s="1" t="s">
        <v>18</v>
      </c>
    </row>
    <row r="17" spans="2:16" x14ac:dyDescent="0.2">
      <c r="B17" s="1" t="s">
        <v>6</v>
      </c>
      <c r="C17" s="18">
        <f>C5/$F5</f>
        <v>0.37948856837269324</v>
      </c>
      <c r="D17" s="19">
        <f t="shared" ref="D17:E17" si="8">D5/$F5</f>
        <v>0.41451320034731859</v>
      </c>
      <c r="E17" s="20">
        <f t="shared" si="8"/>
        <v>0.2059982312799882</v>
      </c>
      <c r="F17" s="17">
        <f>F5/$F5</f>
        <v>1</v>
      </c>
      <c r="H17" s="18">
        <f>IFERROR(H5/$K5,0)</f>
        <v>0.33333333333333331</v>
      </c>
      <c r="I17" s="19">
        <f t="shared" ref="I17:J17" si="9">IFERROR(I5/$K5,0)</f>
        <v>0.33333333333333331</v>
      </c>
      <c r="J17" s="20">
        <f t="shared" si="9"/>
        <v>0.33333333333333331</v>
      </c>
      <c r="K17" s="17">
        <f>IFERROR(K5/$K5,0)</f>
        <v>1</v>
      </c>
      <c r="M17" s="18">
        <f>IFERROR(H17-C17,0)</f>
        <v>-4.6155235039359921E-2</v>
      </c>
      <c r="N17" s="19">
        <f t="shared" ref="N17:N25" si="10">IFERROR(I17-D17,0)</f>
        <v>-8.1179867013985274E-2</v>
      </c>
      <c r="O17" s="20">
        <f t="shared" ref="O17:O25" si="11">IFERROR(J17-E17,0)</f>
        <v>0.12733510205334511</v>
      </c>
      <c r="P17" s="17">
        <f t="shared" ref="P17:P25" si="12">IFERROR(K17-F17,0)</f>
        <v>0</v>
      </c>
    </row>
    <row r="18" spans="2:16" x14ac:dyDescent="0.2">
      <c r="B18" s="1" t="s">
        <v>7</v>
      </c>
      <c r="C18" s="21">
        <f t="shared" ref="C18:F18" si="13">C6/$F6</f>
        <v>0.40709038092654837</v>
      </c>
      <c r="D18" s="17">
        <f t="shared" si="13"/>
        <v>0.43031310021445013</v>
      </c>
      <c r="E18" s="22">
        <f t="shared" si="13"/>
        <v>0.1625965188590015</v>
      </c>
      <c r="F18" s="17">
        <f t="shared" si="13"/>
        <v>1</v>
      </c>
      <c r="H18" s="21">
        <f t="shared" ref="H18:K18" si="14">IFERROR(H6/$K6,0)</f>
        <v>0.33333333333333331</v>
      </c>
      <c r="I18" s="17">
        <f t="shared" si="14"/>
        <v>0.33333333333333331</v>
      </c>
      <c r="J18" s="22">
        <f t="shared" si="14"/>
        <v>0.33333333333333331</v>
      </c>
      <c r="K18" s="17">
        <f t="shared" si="14"/>
        <v>1</v>
      </c>
      <c r="M18" s="21">
        <f t="shared" ref="M18:M25" si="15">IFERROR(H18-C18,0)</f>
        <v>-7.3757047593215053E-2</v>
      </c>
      <c r="N18" s="17">
        <f t="shared" si="10"/>
        <v>-9.6979766881116813E-2</v>
      </c>
      <c r="O18" s="22">
        <f t="shared" si="11"/>
        <v>0.17073681447433181</v>
      </c>
      <c r="P18" s="17">
        <f t="shared" si="12"/>
        <v>0</v>
      </c>
    </row>
    <row r="19" spans="2:16" x14ac:dyDescent="0.2">
      <c r="B19" s="1" t="s">
        <v>8</v>
      </c>
      <c r="C19" s="21">
        <f t="shared" ref="C19:F19" si="16">C7/$F7</f>
        <v>0.25350866802075805</v>
      </c>
      <c r="D19" s="17">
        <f t="shared" si="16"/>
        <v>0.55535095785934308</v>
      </c>
      <c r="E19" s="22">
        <f t="shared" si="16"/>
        <v>0.19114037411989887</v>
      </c>
      <c r="F19" s="17">
        <f t="shared" si="16"/>
        <v>1</v>
      </c>
      <c r="H19" s="21">
        <f t="shared" ref="H19:K19" si="17">IFERROR(H7/$K7,0)</f>
        <v>0.33333333333333331</v>
      </c>
      <c r="I19" s="17">
        <f t="shared" si="17"/>
        <v>0.33333333333333331</v>
      </c>
      <c r="J19" s="22">
        <f t="shared" si="17"/>
        <v>0.33333333333333331</v>
      </c>
      <c r="K19" s="17">
        <f t="shared" si="17"/>
        <v>1</v>
      </c>
      <c r="M19" s="21">
        <f t="shared" si="15"/>
        <v>7.982466531257526E-2</v>
      </c>
      <c r="N19" s="17">
        <f t="shared" si="10"/>
        <v>-0.22201762452600976</v>
      </c>
      <c r="O19" s="22">
        <f t="shared" si="11"/>
        <v>0.14219295921343444</v>
      </c>
      <c r="P19" s="17">
        <f t="shared" si="12"/>
        <v>0</v>
      </c>
    </row>
    <row r="20" spans="2:16" x14ac:dyDescent="0.2">
      <c r="B20" s="1" t="s">
        <v>9</v>
      </c>
      <c r="C20" s="21">
        <f t="shared" ref="C20:F20" si="18">C8/$F8</f>
        <v>0</v>
      </c>
      <c r="D20" s="17">
        <f t="shared" si="18"/>
        <v>0.65479740323452706</v>
      </c>
      <c r="E20" s="22">
        <f t="shared" si="18"/>
        <v>0.34520259676547288</v>
      </c>
      <c r="F20" s="17">
        <f t="shared" si="18"/>
        <v>1</v>
      </c>
      <c r="H20" s="21">
        <f t="shared" ref="H20:K20" si="19">IFERROR(H8/$K8,0)</f>
        <v>0.33333333333333331</v>
      </c>
      <c r="I20" s="17">
        <f t="shared" si="19"/>
        <v>0.33333333333333331</v>
      </c>
      <c r="J20" s="22">
        <f t="shared" si="19"/>
        <v>0.33333333333333331</v>
      </c>
      <c r="K20" s="17">
        <f t="shared" si="19"/>
        <v>1</v>
      </c>
      <c r="M20" s="21">
        <f t="shared" si="15"/>
        <v>0.33333333333333331</v>
      </c>
      <c r="N20" s="17">
        <f t="shared" si="10"/>
        <v>-0.32146406990119375</v>
      </c>
      <c r="O20" s="22">
        <f t="shared" si="11"/>
        <v>-1.1869263432139565E-2</v>
      </c>
      <c r="P20" s="17">
        <f t="shared" si="12"/>
        <v>0</v>
      </c>
    </row>
    <row r="21" spans="2:16" x14ac:dyDescent="0.2">
      <c r="B21" s="1" t="s">
        <v>10</v>
      </c>
      <c r="C21" s="21">
        <f t="shared" ref="C21:F21" si="20">C9/$F9</f>
        <v>0</v>
      </c>
      <c r="D21" s="17">
        <f t="shared" si="20"/>
        <v>0.61370368742204418</v>
      </c>
      <c r="E21" s="22">
        <f t="shared" si="20"/>
        <v>0.38629631257795582</v>
      </c>
      <c r="F21" s="17">
        <f t="shared" si="20"/>
        <v>1</v>
      </c>
      <c r="H21" s="21">
        <f t="shared" ref="H21:K21" si="21">IFERROR(H9/$K9,0)</f>
        <v>0.33333333333333331</v>
      </c>
      <c r="I21" s="17">
        <f t="shared" si="21"/>
        <v>0.33333333333333331</v>
      </c>
      <c r="J21" s="22">
        <f t="shared" si="21"/>
        <v>0.33333333333333331</v>
      </c>
      <c r="K21" s="17">
        <f t="shared" si="21"/>
        <v>1</v>
      </c>
      <c r="M21" s="21">
        <f t="shared" si="15"/>
        <v>0.33333333333333331</v>
      </c>
      <c r="N21" s="17">
        <f t="shared" si="10"/>
        <v>-0.28037035408871086</v>
      </c>
      <c r="O21" s="22">
        <f t="shared" si="11"/>
        <v>-5.296297924462251E-2</v>
      </c>
      <c r="P21" s="17">
        <f t="shared" si="12"/>
        <v>0</v>
      </c>
    </row>
    <row r="22" spans="2:16" x14ac:dyDescent="0.2">
      <c r="B22" s="1" t="s">
        <v>11</v>
      </c>
      <c r="C22" s="21">
        <f t="shared" ref="C22:F22" si="22">C10/$F10</f>
        <v>0.77692784482469213</v>
      </c>
      <c r="D22" s="17">
        <f t="shared" si="22"/>
        <v>0.11179676351784661</v>
      </c>
      <c r="E22" s="22">
        <f t="shared" si="22"/>
        <v>0.11127539165746135</v>
      </c>
      <c r="F22" s="17">
        <f t="shared" si="22"/>
        <v>1</v>
      </c>
      <c r="H22" s="21">
        <f t="shared" ref="H22:K22" si="23">IFERROR(H10/$K10,0)</f>
        <v>0.33333333333333331</v>
      </c>
      <c r="I22" s="17">
        <f t="shared" si="23"/>
        <v>0.33333333333333331</v>
      </c>
      <c r="J22" s="22">
        <f t="shared" si="23"/>
        <v>0.33333333333333331</v>
      </c>
      <c r="K22" s="17">
        <f t="shared" si="23"/>
        <v>1</v>
      </c>
      <c r="M22" s="21">
        <f t="shared" si="15"/>
        <v>-0.44359451149135881</v>
      </c>
      <c r="N22" s="17">
        <f t="shared" si="10"/>
        <v>0.22153656981548669</v>
      </c>
      <c r="O22" s="22">
        <f t="shared" si="11"/>
        <v>0.22205794167587195</v>
      </c>
      <c r="P22" s="17">
        <f t="shared" si="12"/>
        <v>0</v>
      </c>
    </row>
    <row r="23" spans="2:16" x14ac:dyDescent="0.2">
      <c r="B23" s="1" t="s">
        <v>12</v>
      </c>
      <c r="C23" s="21">
        <f t="shared" ref="C23:F23" si="24">C11/$F11</f>
        <v>0.81564046243355537</v>
      </c>
      <c r="D23" s="17">
        <f t="shared" si="24"/>
        <v>7.954277622113895E-2</v>
      </c>
      <c r="E23" s="22">
        <f t="shared" si="24"/>
        <v>0.10481676134530564</v>
      </c>
      <c r="F23" s="17">
        <f t="shared" si="24"/>
        <v>1</v>
      </c>
      <c r="H23" s="21">
        <f t="shared" ref="H23:K23" si="25">IFERROR(H11/$K11,0)</f>
        <v>0.33333333333333331</v>
      </c>
      <c r="I23" s="17">
        <f t="shared" si="25"/>
        <v>0.33333333333333331</v>
      </c>
      <c r="J23" s="22">
        <f t="shared" si="25"/>
        <v>0.33333333333333331</v>
      </c>
      <c r="K23" s="17">
        <f t="shared" si="25"/>
        <v>1</v>
      </c>
      <c r="M23" s="21">
        <f t="shared" si="15"/>
        <v>-0.48230712910022205</v>
      </c>
      <c r="N23" s="17">
        <f t="shared" si="10"/>
        <v>0.25379055711219434</v>
      </c>
      <c r="O23" s="22">
        <f t="shared" si="11"/>
        <v>0.22851657198802766</v>
      </c>
      <c r="P23" s="17">
        <f t="shared" si="12"/>
        <v>0</v>
      </c>
    </row>
    <row r="24" spans="2:16" x14ac:dyDescent="0.2">
      <c r="B24" s="1" t="s">
        <v>13</v>
      </c>
      <c r="C24" s="23">
        <f t="shared" ref="C24:F24" si="26">C12/$F12</f>
        <v>0.34061082140362475</v>
      </c>
      <c r="D24" s="24">
        <f t="shared" si="26"/>
        <v>0.35930020123103462</v>
      </c>
      <c r="E24" s="25">
        <f t="shared" si="26"/>
        <v>0.30008897736534063</v>
      </c>
      <c r="F24" s="17">
        <f t="shared" si="26"/>
        <v>1</v>
      </c>
      <c r="H24" s="23">
        <f t="shared" ref="H24:K24" si="27">IFERROR(H12/$K12,0)</f>
        <v>0.33333333333333331</v>
      </c>
      <c r="I24" s="24">
        <f t="shared" si="27"/>
        <v>0.33333333333333331</v>
      </c>
      <c r="J24" s="25">
        <f t="shared" si="27"/>
        <v>0.33333333333333331</v>
      </c>
      <c r="K24" s="17">
        <f t="shared" si="27"/>
        <v>1</v>
      </c>
      <c r="M24" s="23">
        <f t="shared" si="15"/>
        <v>-7.277488070291438E-3</v>
      </c>
      <c r="N24" s="24">
        <f t="shared" si="10"/>
        <v>-2.5966867897701307E-2</v>
      </c>
      <c r="O24" s="25">
        <f t="shared" si="11"/>
        <v>3.3244355967992689E-2</v>
      </c>
      <c r="P24" s="17">
        <f t="shared" si="12"/>
        <v>0</v>
      </c>
    </row>
    <row r="25" spans="2:16" x14ac:dyDescent="0.2">
      <c r="B25" s="1" t="s">
        <v>18</v>
      </c>
      <c r="C25" s="17">
        <f t="shared" ref="C25:F25" si="28">C13/$F13</f>
        <v>0.34378772086706111</v>
      </c>
      <c r="D25" s="17">
        <f t="shared" si="28"/>
        <v>0.42599541573881089</v>
      </c>
      <c r="E25" s="17">
        <f t="shared" si="28"/>
        <v>0.23021686339412806</v>
      </c>
      <c r="F25" s="17">
        <f t="shared" si="28"/>
        <v>1</v>
      </c>
      <c r="H25" s="17">
        <f t="shared" ref="H25:K25" si="29">IFERROR(H13/$K13,0)</f>
        <v>0.33333333333333331</v>
      </c>
      <c r="I25" s="17">
        <f t="shared" si="29"/>
        <v>0.33333333333333331</v>
      </c>
      <c r="J25" s="17">
        <f t="shared" si="29"/>
        <v>0.33333333333333331</v>
      </c>
      <c r="K25" s="17">
        <f t="shared" si="29"/>
        <v>1</v>
      </c>
      <c r="M25" s="17">
        <f t="shared" si="15"/>
        <v>-1.0454387533727794E-2</v>
      </c>
      <c r="N25" s="17">
        <f t="shared" si="10"/>
        <v>-9.2662082405477575E-2</v>
      </c>
      <c r="O25" s="17">
        <f t="shared" si="11"/>
        <v>0.10311646993920526</v>
      </c>
      <c r="P25" s="17">
        <f t="shared" si="12"/>
        <v>0</v>
      </c>
    </row>
    <row r="27" spans="2:16" x14ac:dyDescent="0.2">
      <c r="B27" s="1" t="s">
        <v>25</v>
      </c>
      <c r="C27" s="32">
        <v>0</v>
      </c>
    </row>
    <row r="29" spans="2:16" x14ac:dyDescent="0.2">
      <c r="B29" s="6" t="s">
        <v>24</v>
      </c>
      <c r="C29" s="29"/>
      <c r="D29" s="29"/>
      <c r="E29" s="29"/>
      <c r="F29" s="28"/>
      <c r="H29" s="6" t="s">
        <v>22</v>
      </c>
      <c r="M29" s="6" t="s">
        <v>23</v>
      </c>
    </row>
    <row r="30" spans="2:16" ht="15" x14ac:dyDescent="0.25">
      <c r="B30" s="30" t="s">
        <v>14</v>
      </c>
      <c r="C30" s="44" t="s">
        <v>15</v>
      </c>
      <c r="D30" s="44" t="s">
        <v>16</v>
      </c>
      <c r="E30" s="44" t="s">
        <v>17</v>
      </c>
      <c r="F30" s="45"/>
      <c r="G30" s="7"/>
      <c r="H30" s="44" t="s">
        <v>15</v>
      </c>
      <c r="I30" s="44" t="s">
        <v>16</v>
      </c>
      <c r="J30" s="44" t="s">
        <v>17</v>
      </c>
      <c r="K30" s="7"/>
      <c r="L30" s="7"/>
      <c r="M30" s="44" t="s">
        <v>15</v>
      </c>
      <c r="N30" s="44" t="s">
        <v>16</v>
      </c>
      <c r="O30" s="44" t="s">
        <v>17</v>
      </c>
    </row>
    <row r="31" spans="2:16" ht="15" x14ac:dyDescent="0.25">
      <c r="B31" s="30" t="s">
        <v>6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30">damp_cdap*LN(C17/H17)-damp_cdap*LN(E17/J17)</f>
        <v>0</v>
      </c>
      <c r="I31" s="34">
        <f t="shared" si="30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7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30"/>
        <v>0</v>
      </c>
      <c r="I32" s="31">
        <f t="shared" si="30"/>
        <v>0</v>
      </c>
      <c r="J32" s="42"/>
      <c r="M32" s="36">
        <f t="shared" ref="M32:N38" si="31">C32+H32</f>
        <v>-0.71882373831278568</v>
      </c>
      <c r="N32" s="31">
        <f t="shared" si="31"/>
        <v>0.63603246691290372</v>
      </c>
      <c r="O32" s="42"/>
    </row>
    <row r="33" spans="1:24" ht="15" x14ac:dyDescent="0.25">
      <c r="B33" s="30" t="s">
        <v>8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30"/>
        <v>0</v>
      </c>
      <c r="I33" s="31">
        <f t="shared" si="30"/>
        <v>0</v>
      </c>
      <c r="J33" s="42"/>
      <c r="M33" s="36">
        <f t="shared" si="31"/>
        <v>2.3535951758919054</v>
      </c>
      <c r="N33" s="31">
        <f t="shared" si="31"/>
        <v>0.60970984562298092</v>
      </c>
      <c r="O33" s="42"/>
    </row>
    <row r="34" spans="1:24" ht="15" x14ac:dyDescent="0.25">
      <c r="B34" s="30" t="s">
        <v>9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31"/>
        <v>-999</v>
      </c>
      <c r="N34" s="31">
        <f t="shared" si="31"/>
        <v>0.59464538581303306</v>
      </c>
      <c r="O34" s="42"/>
    </row>
    <row r="35" spans="1:24" ht="15" x14ac:dyDescent="0.25">
      <c r="B35" s="30" t="s">
        <v>10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31"/>
        <v>-999</v>
      </c>
      <c r="N35" s="31">
        <f t="shared" si="31"/>
        <v>0.40820207084886062</v>
      </c>
      <c r="O35" s="42"/>
    </row>
    <row r="36" spans="1:24" ht="15" x14ac:dyDescent="0.25">
      <c r="B36" s="30" t="s">
        <v>11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31"/>
        <v>2.3309186846816501</v>
      </c>
      <c r="N36" s="31">
        <f t="shared" si="31"/>
        <v>-0.59911911193768941</v>
      </c>
      <c r="O36" s="42"/>
    </row>
    <row r="37" spans="1:24" ht="15" x14ac:dyDescent="0.25">
      <c r="B37" s="30" t="s">
        <v>12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31"/>
        <v>3.295863529134671</v>
      </c>
      <c r="N37" s="31">
        <f t="shared" si="31"/>
        <v>0.57142434001867992</v>
      </c>
      <c r="O37" s="42"/>
    </row>
    <row r="38" spans="1:24" x14ac:dyDescent="0.2">
      <c r="B38" s="30" t="s">
        <v>13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31"/>
        <v>1.052531188769779</v>
      </c>
      <c r="N38" s="39">
        <f t="shared" si="31"/>
        <v>-0.83756777620038314</v>
      </c>
      <c r="O38" s="43"/>
    </row>
    <row r="41" spans="1:24" s="68" customFormat="1" x14ac:dyDescent="0.2">
      <c r="B41" s="69" t="s">
        <v>68</v>
      </c>
      <c r="H41" s="69"/>
      <c r="K41" s="69" t="s">
        <v>71</v>
      </c>
      <c r="M41" s="69"/>
    </row>
    <row r="42" spans="1:24" x14ac:dyDescent="0.2">
      <c r="C42" s="8" t="s">
        <v>1</v>
      </c>
      <c r="D42" s="8" t="s">
        <v>1</v>
      </c>
      <c r="E42" s="8" t="s">
        <v>2</v>
      </c>
      <c r="F42" s="8" t="s">
        <v>2</v>
      </c>
      <c r="G42" s="8" t="s">
        <v>0</v>
      </c>
      <c r="H42" s="8" t="s">
        <v>0</v>
      </c>
    </row>
    <row r="43" spans="1:24" x14ac:dyDescent="0.2">
      <c r="C43" s="8">
        <v>0</v>
      </c>
      <c r="D43" s="8">
        <v>1</v>
      </c>
      <c r="E43" s="8">
        <v>0</v>
      </c>
      <c r="F43" s="8">
        <v>1</v>
      </c>
      <c r="G43" s="8">
        <v>0</v>
      </c>
      <c r="H43" s="8">
        <v>1</v>
      </c>
    </row>
    <row r="44" spans="1:24" x14ac:dyDescent="0.2">
      <c r="B44" s="1" t="s">
        <v>14</v>
      </c>
      <c r="C44" s="7" t="s">
        <v>15</v>
      </c>
      <c r="D44" s="7" t="s">
        <v>15</v>
      </c>
      <c r="E44" s="7" t="s">
        <v>16</v>
      </c>
      <c r="F44" s="7" t="s">
        <v>16</v>
      </c>
      <c r="G44" s="7" t="s">
        <v>17</v>
      </c>
      <c r="H44" s="7" t="s">
        <v>17</v>
      </c>
      <c r="I44" s="1" t="s">
        <v>18</v>
      </c>
      <c r="K44" s="7" t="s">
        <v>15</v>
      </c>
      <c r="L44" s="7" t="s">
        <v>15</v>
      </c>
      <c r="M44" s="7" t="s">
        <v>16</v>
      </c>
      <c r="N44" s="7" t="s">
        <v>16</v>
      </c>
      <c r="O44" s="7" t="s">
        <v>17</v>
      </c>
      <c r="P44" s="7" t="s">
        <v>17</v>
      </c>
      <c r="Q44" s="1" t="s">
        <v>18</v>
      </c>
      <c r="S44" s="7" t="s">
        <v>15</v>
      </c>
      <c r="T44" s="7" t="s">
        <v>15</v>
      </c>
      <c r="U44" s="7" t="s">
        <v>16</v>
      </c>
      <c r="V44" s="7" t="s">
        <v>16</v>
      </c>
      <c r="W44" s="7" t="s">
        <v>17</v>
      </c>
      <c r="X44" s="7" t="s">
        <v>17</v>
      </c>
    </row>
    <row r="45" spans="1:24" x14ac:dyDescent="0.2">
      <c r="C45" s="7" t="s">
        <v>69</v>
      </c>
      <c r="D45" s="7" t="s">
        <v>70</v>
      </c>
      <c r="E45" s="7" t="s">
        <v>69</v>
      </c>
      <c r="F45" s="7" t="s">
        <v>70</v>
      </c>
      <c r="G45" s="7" t="s">
        <v>69</v>
      </c>
      <c r="H45" s="7" t="s">
        <v>70</v>
      </c>
      <c r="K45" s="7" t="s">
        <v>69</v>
      </c>
      <c r="L45" s="7" t="s">
        <v>70</v>
      </c>
      <c r="M45" s="7" t="s">
        <v>69</v>
      </c>
      <c r="N45" s="7" t="s">
        <v>70</v>
      </c>
      <c r="O45" s="7" t="s">
        <v>69</v>
      </c>
      <c r="P45" s="7" t="s">
        <v>70</v>
      </c>
      <c r="S45" s="7" t="s">
        <v>69</v>
      </c>
      <c r="T45" s="7" t="s">
        <v>70</v>
      </c>
      <c r="U45" s="7" t="s">
        <v>69</v>
      </c>
      <c r="V45" s="7" t="s">
        <v>70</v>
      </c>
      <c r="W45" s="7" t="s">
        <v>69</v>
      </c>
      <c r="X45" s="7" t="s">
        <v>70</v>
      </c>
    </row>
    <row r="46" spans="1:24" x14ac:dyDescent="0.2">
      <c r="A46" s="8">
        <v>1</v>
      </c>
      <c r="B46" s="1" t="s">
        <v>6</v>
      </c>
      <c r="C46" s="9">
        <f>SUMIFS('BATS 2023'!$E$3:$E$34,'BATS 2023'!$B$3:$B$34,$A46,'BATS 2023'!$C$3:$C$34,C$42,'BATS 2023'!$D$3:$D$34,C$43)</f>
        <v>1229608.9493126601</v>
      </c>
      <c r="D46" s="10">
        <f>SUMIFS('BATS 2023'!$E$3:$E$34,'BATS 2023'!$B$3:$B$34,$A46,'BATS 2023'!$C$3:$C$34,D$42,'BATS 2023'!$D$3:$D$34,D$43)</f>
        <v>496.28557282869974</v>
      </c>
      <c r="E46" s="10">
        <f>SUMIFS('BATS 2023'!$E$3:$E$34,'BATS 2023'!$B$3:$B$34,$A46,'BATS 2023'!$C$3:$C$34,E$42,'BATS 2023'!$D$3:$D$34,E$43)</f>
        <v>663899.41953010834</v>
      </c>
      <c r="F46" s="10">
        <f>SUMIFS('BATS 2023'!$E$3:$E$34,'BATS 2023'!$B$3:$B$34,$A46,'BATS 2023'!$C$3:$C$34,F$42,'BATS 2023'!$D$3:$D$34,F$43)</f>
        <v>679737.51757944282</v>
      </c>
      <c r="G46" s="10">
        <f>SUMIFS('BATS 2023'!$E$3:$E$34,'BATS 2023'!$B$3:$B$34,$A46,'BATS 2023'!$C$3:$C$34,G$42,'BATS 2023'!$D$3:$D$34,G$43)</f>
        <v>311650.04052777553</v>
      </c>
      <c r="H46" s="11">
        <f>SUMIFS('BATS 2023'!$E$3:$E$34,'BATS 2023'!$B$3:$B$34,$A46,'BATS 2023'!$C$3:$C$34,H$42,'BATS 2023'!$D$3:$D$34,H$43)</f>
        <v>356089.44833557063</v>
      </c>
      <c r="I46" s="5">
        <f t="shared" ref="I46:I54" si="32">SUM(C46:H46)</f>
        <v>3241481.6608583862</v>
      </c>
      <c r="K46" s="9">
        <f>modeldata!D15</f>
        <v>1</v>
      </c>
      <c r="L46" s="10">
        <f>modeldata!E15</f>
        <v>1</v>
      </c>
      <c r="M46" s="10">
        <f>modeldata!F15</f>
        <v>1</v>
      </c>
      <c r="N46" s="10">
        <f>modeldata!G15</f>
        <v>1</v>
      </c>
      <c r="O46" s="10">
        <f>modeldata!B15</f>
        <v>1</v>
      </c>
      <c r="P46" s="41">
        <f>modeldata!C15</f>
        <v>1</v>
      </c>
      <c r="Q46" s="5">
        <f>SUM(K46:P46)</f>
        <v>6</v>
      </c>
      <c r="S46" s="9">
        <f>IFERROR(K46-C46,0)</f>
        <v>-1229607.9493126601</v>
      </c>
      <c r="T46" s="10">
        <f t="shared" ref="T46:X46" si="33">IFERROR(L46-D46,0)</f>
        <v>-495.28557282869974</v>
      </c>
      <c r="U46" s="10">
        <f t="shared" si="33"/>
        <v>-663898.41953010834</v>
      </c>
      <c r="V46" s="10">
        <f t="shared" si="33"/>
        <v>-679736.51757944282</v>
      </c>
      <c r="W46" s="10">
        <f t="shared" si="33"/>
        <v>-311649.04052777553</v>
      </c>
      <c r="X46" s="11">
        <f t="shared" si="33"/>
        <v>-356088.44833557063</v>
      </c>
    </row>
    <row r="47" spans="1:24" x14ac:dyDescent="0.2">
      <c r="A47" s="8">
        <v>2</v>
      </c>
      <c r="B47" s="1" t="s">
        <v>7</v>
      </c>
      <c r="C47" s="12">
        <f>SUMIFS('BATS 2023'!$E$3:$E$34,'BATS 2023'!$B$3:$B$34,$A47,'BATS 2023'!$C$3:$C$34,C$42,'BATS 2023'!$D$3:$D$34,C$43)</f>
        <v>286903.59631397587</v>
      </c>
      <c r="D47" s="5">
        <f>SUMIFS('BATS 2023'!$E$3:$E$34,'BATS 2023'!$B$3:$B$34,$A47,'BATS 2023'!$C$3:$C$34,D$42,'BATS 2023'!$D$3:$D$34,D$43)</f>
        <v>0</v>
      </c>
      <c r="E47" s="5">
        <f>SUMIFS('BATS 2023'!$E$3:$E$34,'BATS 2023'!$B$3:$B$34,$A47,'BATS 2023'!$C$3:$C$34,E$42,'BATS 2023'!$D$3:$D$34,E$43)</f>
        <v>230858.03226023554</v>
      </c>
      <c r="F47" s="5">
        <f>SUMIFS('BATS 2023'!$E$3:$E$34,'BATS 2023'!$B$3:$B$34,$A47,'BATS 2023'!$C$3:$C$34,F$42,'BATS 2023'!$D$3:$D$34,F$43)</f>
        <v>72412.154845506258</v>
      </c>
      <c r="G47" s="5">
        <f>SUMIFS('BATS 2023'!$E$3:$E$34,'BATS 2023'!$B$3:$B$34,$A47,'BATS 2023'!$C$3:$C$34,G$42,'BATS 2023'!$D$3:$D$34,G$43)</f>
        <v>83561.221108939819</v>
      </c>
      <c r="H47" s="13">
        <f>SUMIFS('BATS 2023'!$E$3:$E$34,'BATS 2023'!$B$3:$B$34,$A47,'BATS 2023'!$C$3:$C$34,H$42,'BATS 2023'!$D$3:$D$34,H$43)</f>
        <v>31031.331784609742</v>
      </c>
      <c r="I47" s="5">
        <f t="shared" si="32"/>
        <v>704766.33631326724</v>
      </c>
      <c r="K47" s="12">
        <f>modeldata!D16</f>
        <v>1</v>
      </c>
      <c r="L47" s="5">
        <f>modeldata!E16</f>
        <v>1</v>
      </c>
      <c r="M47" s="5">
        <f>modeldata!F16</f>
        <v>1</v>
      </c>
      <c r="N47" s="5">
        <f>modeldata!G16</f>
        <v>1</v>
      </c>
      <c r="O47" s="1">
        <f>modeldata!B16</f>
        <v>1</v>
      </c>
      <c r="P47" s="42">
        <f>modeldata!C16</f>
        <v>1</v>
      </c>
      <c r="Q47" s="5">
        <f t="shared" ref="Q47:Q53" si="34">SUM(K47:P47)</f>
        <v>6</v>
      </c>
      <c r="S47" s="12">
        <f t="shared" ref="S47:S53" si="35">IFERROR(K47-C47,0)</f>
        <v>-286902.59631397587</v>
      </c>
      <c r="T47" s="5">
        <f t="shared" ref="T47:T53" si="36">IFERROR(L47-D47,0)</f>
        <v>1</v>
      </c>
      <c r="U47" s="5">
        <f t="shared" ref="U47:U53" si="37">IFERROR(M47-E47,0)</f>
        <v>-230857.03226023554</v>
      </c>
      <c r="V47" s="5">
        <f t="shared" ref="V47:V53" si="38">IFERROR(N47-F47,0)</f>
        <v>-72411.154845506258</v>
      </c>
      <c r="W47" s="5">
        <f t="shared" ref="W47:W53" si="39">IFERROR(O47-G47,0)</f>
        <v>-83560.221108939819</v>
      </c>
      <c r="X47" s="13">
        <f t="shared" ref="X47:X53" si="40">IFERROR(P47-H47,0)</f>
        <v>-31030.331784609742</v>
      </c>
    </row>
    <row r="48" spans="1:24" x14ac:dyDescent="0.2">
      <c r="A48" s="8">
        <v>3</v>
      </c>
      <c r="B48" s="1" t="s">
        <v>8</v>
      </c>
      <c r="C48" s="12">
        <f>SUMIFS('BATS 2023'!$E$3:$E$34,'BATS 2023'!$B$3:$B$34,$A48,'BATS 2023'!$C$3:$C$34,C$42,'BATS 2023'!$D$3:$D$34,C$43)</f>
        <v>86787.19392694821</v>
      </c>
      <c r="D48" s="5">
        <f>SUMIFS('BATS 2023'!$E$3:$E$34,'BATS 2023'!$B$3:$B$34,$A48,'BATS 2023'!$C$3:$C$34,D$42,'BATS 2023'!$D$3:$D$34,D$43)</f>
        <v>3859.4892108306631</v>
      </c>
      <c r="E48" s="5">
        <f>SUMIFS('BATS 2023'!$E$3:$E$34,'BATS 2023'!$B$3:$B$34,$A48,'BATS 2023'!$C$3:$C$34,E$42,'BATS 2023'!$D$3:$D$34,E$43)</f>
        <v>171454.29096303752</v>
      </c>
      <c r="F48" s="5">
        <f>SUMIFS('BATS 2023'!$E$3:$E$34,'BATS 2023'!$B$3:$B$34,$A48,'BATS 2023'!$C$3:$C$34,F$42,'BATS 2023'!$D$3:$D$34,F$43)</f>
        <v>27121.650050607841</v>
      </c>
      <c r="G48" s="5">
        <f>SUMIFS('BATS 2023'!$E$3:$E$34,'BATS 2023'!$B$3:$B$34,$A48,'BATS 2023'!$C$3:$C$34,G$42,'BATS 2023'!$D$3:$D$34,G$43)</f>
        <v>61904.494709690123</v>
      </c>
      <c r="H48" s="13">
        <f>SUMIFS('BATS 2023'!$E$3:$E$34,'BATS 2023'!$B$3:$B$34,$A48,'BATS 2023'!$C$3:$C$34,H$42,'BATS 2023'!$D$3:$D$34,H$43)</f>
        <v>6441.2587627878174</v>
      </c>
      <c r="I48" s="5">
        <f t="shared" si="32"/>
        <v>357568.37762390217</v>
      </c>
      <c r="K48" s="12">
        <f>modeldata!D17</f>
        <v>1</v>
      </c>
      <c r="L48" s="5">
        <f>modeldata!E17</f>
        <v>1</v>
      </c>
      <c r="M48" s="5">
        <f>modeldata!F17</f>
        <v>1</v>
      </c>
      <c r="N48" s="5">
        <f>modeldata!G17</f>
        <v>1</v>
      </c>
      <c r="O48" s="1">
        <f>modeldata!B17</f>
        <v>1</v>
      </c>
      <c r="P48" s="42">
        <f>modeldata!C17</f>
        <v>1</v>
      </c>
      <c r="Q48" s="5">
        <f t="shared" si="34"/>
        <v>6</v>
      </c>
      <c r="S48" s="12">
        <f t="shared" si="35"/>
        <v>-86786.19392694821</v>
      </c>
      <c r="T48" s="5">
        <f t="shared" si="36"/>
        <v>-3858.4892108306631</v>
      </c>
      <c r="U48" s="5">
        <f t="shared" si="37"/>
        <v>-171453.29096303752</v>
      </c>
      <c r="V48" s="5">
        <f t="shared" si="38"/>
        <v>-27120.650050607841</v>
      </c>
      <c r="W48" s="5">
        <f t="shared" si="39"/>
        <v>-61903.494709690123</v>
      </c>
      <c r="X48" s="13">
        <f t="shared" si="40"/>
        <v>-6440.2587627878174</v>
      </c>
    </row>
    <row r="49" spans="1:25" x14ac:dyDescent="0.2">
      <c r="A49" s="8">
        <v>4</v>
      </c>
      <c r="B49" s="1" t="s">
        <v>9</v>
      </c>
      <c r="C49" s="12">
        <f>SUMIFS('BATS 2023'!$E$3:$E$34,'BATS 2023'!$B$3:$B$34,$A49,'BATS 2023'!$C$3:$C$34,C$42,'BATS 2023'!$D$3:$D$34,C$43)</f>
        <v>0</v>
      </c>
      <c r="D49" s="5">
        <f>SUMIFS('BATS 2023'!$E$3:$E$34,'BATS 2023'!$B$3:$B$34,$A49,'BATS 2023'!$C$3:$C$34,D$42,'BATS 2023'!$D$3:$D$34,D$43)</f>
        <v>0</v>
      </c>
      <c r="E49" s="5">
        <f>SUMIFS('BATS 2023'!$E$3:$E$34,'BATS 2023'!$B$3:$B$34,$A49,'BATS 2023'!$C$3:$C$34,E$42,'BATS 2023'!$D$3:$D$34,E$43)</f>
        <v>485574.30636942881</v>
      </c>
      <c r="F49" s="5">
        <f>SUMIFS('BATS 2023'!$E$3:$E$34,'BATS 2023'!$B$3:$B$34,$A49,'BATS 2023'!$C$3:$C$34,F$42,'BATS 2023'!$D$3:$D$34,F$43)</f>
        <v>0</v>
      </c>
      <c r="G49" s="5">
        <f>SUMIFS('BATS 2023'!$E$3:$E$34,'BATS 2023'!$B$3:$B$34,$A49,'BATS 2023'!$C$3:$C$34,G$42,'BATS 2023'!$D$3:$D$34,G$43)</f>
        <v>255989.88428071633</v>
      </c>
      <c r="H49" s="13">
        <f>SUMIFS('BATS 2023'!$E$3:$E$34,'BATS 2023'!$B$3:$B$34,$A49,'BATS 2023'!$C$3:$C$34,H$42,'BATS 2023'!$D$3:$D$34,H$43)</f>
        <v>0</v>
      </c>
      <c r="I49" s="5">
        <f t="shared" si="32"/>
        <v>741564.19065014517</v>
      </c>
      <c r="K49" s="12">
        <f>modeldata!D18</f>
        <v>1</v>
      </c>
      <c r="L49" s="5">
        <f>modeldata!E18</f>
        <v>1</v>
      </c>
      <c r="M49" s="5">
        <f>modeldata!F18</f>
        <v>1</v>
      </c>
      <c r="N49" s="5">
        <f>modeldata!G18</f>
        <v>1</v>
      </c>
      <c r="O49" s="1">
        <f>modeldata!B18</f>
        <v>1</v>
      </c>
      <c r="P49" s="42">
        <f>modeldata!C18</f>
        <v>1</v>
      </c>
      <c r="Q49" s="5">
        <f t="shared" si="34"/>
        <v>6</v>
      </c>
      <c r="S49" s="12">
        <f t="shared" si="35"/>
        <v>1</v>
      </c>
      <c r="T49" s="5">
        <f t="shared" si="36"/>
        <v>1</v>
      </c>
      <c r="U49" s="5">
        <f t="shared" si="37"/>
        <v>-485573.30636942881</v>
      </c>
      <c r="V49" s="5">
        <f t="shared" si="38"/>
        <v>1</v>
      </c>
      <c r="W49" s="5">
        <f t="shared" si="39"/>
        <v>-255988.88428071633</v>
      </c>
      <c r="X49" s="13">
        <f t="shared" si="40"/>
        <v>1</v>
      </c>
    </row>
    <row r="50" spans="1:25" x14ac:dyDescent="0.2">
      <c r="A50" s="8">
        <v>5</v>
      </c>
      <c r="B50" s="1" t="s">
        <v>10</v>
      </c>
      <c r="C50" s="12">
        <f>SUMIFS('BATS 2023'!$E$3:$E$34,'BATS 2023'!$B$3:$B$34,$A50,'BATS 2023'!$C$3:$C$34,C$42,'BATS 2023'!$D$3:$D$34,C$43)</f>
        <v>0</v>
      </c>
      <c r="D50" s="5">
        <f>SUMIFS('BATS 2023'!$E$3:$E$34,'BATS 2023'!$B$3:$B$34,$A50,'BATS 2023'!$C$3:$C$34,D$42,'BATS 2023'!$D$3:$D$34,D$43)</f>
        <v>0</v>
      </c>
      <c r="E50" s="5">
        <f>SUMIFS('BATS 2023'!$E$3:$E$34,'BATS 2023'!$B$3:$B$34,$A50,'BATS 2023'!$C$3:$C$34,E$42,'BATS 2023'!$D$3:$D$34,E$43)</f>
        <v>580519.78521612787</v>
      </c>
      <c r="F50" s="5">
        <f>SUMIFS('BATS 2023'!$E$3:$E$34,'BATS 2023'!$B$3:$B$34,$A50,'BATS 2023'!$C$3:$C$34,F$42,'BATS 2023'!$D$3:$D$34,F$43)</f>
        <v>0</v>
      </c>
      <c r="G50" s="5">
        <f>SUMIFS('BATS 2023'!$E$3:$E$34,'BATS 2023'!$B$3:$B$34,$A50,'BATS 2023'!$C$3:$C$34,G$42,'BATS 2023'!$D$3:$D$34,G$43)</f>
        <v>365408.67686414684</v>
      </c>
      <c r="H50" s="13">
        <f>SUMIFS('BATS 2023'!$E$3:$E$34,'BATS 2023'!$B$3:$B$34,$A50,'BATS 2023'!$C$3:$C$34,H$42,'BATS 2023'!$D$3:$D$34,H$43)</f>
        <v>0</v>
      </c>
      <c r="I50" s="5">
        <f t="shared" si="32"/>
        <v>945928.46208027471</v>
      </c>
      <c r="K50" s="12">
        <f>modeldata!D19</f>
        <v>1</v>
      </c>
      <c r="L50" s="5">
        <f>modeldata!E19</f>
        <v>1</v>
      </c>
      <c r="M50" s="5">
        <f>modeldata!F19</f>
        <v>1</v>
      </c>
      <c r="N50" s="5">
        <f>modeldata!G19</f>
        <v>1</v>
      </c>
      <c r="O50" s="1">
        <f>modeldata!B19</f>
        <v>1</v>
      </c>
      <c r="P50" s="42">
        <f>modeldata!C19</f>
        <v>1</v>
      </c>
      <c r="Q50" s="5">
        <f t="shared" si="34"/>
        <v>6</v>
      </c>
      <c r="S50" s="12">
        <f t="shared" si="35"/>
        <v>1</v>
      </c>
      <c r="T50" s="5">
        <f t="shared" si="36"/>
        <v>1</v>
      </c>
      <c r="U50" s="5">
        <f t="shared" si="37"/>
        <v>-580518.78521612787</v>
      </c>
      <c r="V50" s="5">
        <f t="shared" si="38"/>
        <v>1</v>
      </c>
      <c r="W50" s="5">
        <f t="shared" si="39"/>
        <v>-365407.67686414684</v>
      </c>
      <c r="X50" s="13">
        <f t="shared" si="40"/>
        <v>1</v>
      </c>
    </row>
    <row r="51" spans="1:25" x14ac:dyDescent="0.2">
      <c r="A51" s="8">
        <v>6</v>
      </c>
      <c r="B51" s="1" t="s">
        <v>11</v>
      </c>
      <c r="C51" s="12">
        <f>SUMIFS('BATS 2023'!$E$3:$E$34,'BATS 2023'!$B$3:$B$34,$A51,'BATS 2023'!$C$3:$C$34,C$42,'BATS 2023'!$D$3:$D$34,C$43)</f>
        <v>123094.58867</v>
      </c>
      <c r="D51" s="5">
        <f>SUMIFS('BATS 2023'!$E$3:$E$34,'BATS 2023'!$B$3:$B$34,$A51,'BATS 2023'!$C$3:$C$34,D$42,'BATS 2023'!$D$3:$D$34,D$43)</f>
        <v>0</v>
      </c>
      <c r="E51" s="5">
        <f>SUMIFS('BATS 2023'!$E$3:$E$34,'BATS 2023'!$B$3:$B$34,$A51,'BATS 2023'!$C$3:$C$34,E$42,'BATS 2023'!$D$3:$D$34,E$43)</f>
        <v>17712.811699999998</v>
      </c>
      <c r="F51" s="5">
        <f>SUMIFS('BATS 2023'!$E$3:$E$34,'BATS 2023'!$B$3:$B$34,$A51,'BATS 2023'!$C$3:$C$34,F$42,'BATS 2023'!$D$3:$D$34,F$43)</f>
        <v>0</v>
      </c>
      <c r="G51" s="5">
        <f>SUMIFS('BATS 2023'!$E$3:$E$34,'BATS 2023'!$B$3:$B$34,$A51,'BATS 2023'!$C$3:$C$34,G$42,'BATS 2023'!$D$3:$D$34,G$43)</f>
        <v>17630.20679</v>
      </c>
      <c r="H51" s="13">
        <f>SUMIFS('BATS 2023'!$E$3:$E$34,'BATS 2023'!$B$3:$B$34,$A51,'BATS 2023'!$C$3:$C$34,H$42,'BATS 2023'!$D$3:$D$34,H$43)</f>
        <v>0</v>
      </c>
      <c r="I51" s="5">
        <f t="shared" si="32"/>
        <v>158437.60715999999</v>
      </c>
      <c r="K51" s="12">
        <f>modeldata!D20</f>
        <v>1</v>
      </c>
      <c r="L51" s="5">
        <f>modeldata!E20</f>
        <v>1</v>
      </c>
      <c r="M51" s="5">
        <f>modeldata!F20</f>
        <v>1</v>
      </c>
      <c r="N51" s="5">
        <f>modeldata!G20</f>
        <v>1</v>
      </c>
      <c r="O51" s="1">
        <f>modeldata!B20</f>
        <v>1</v>
      </c>
      <c r="P51" s="42">
        <f>modeldata!C20</f>
        <v>1</v>
      </c>
      <c r="Q51" s="5">
        <f t="shared" si="34"/>
        <v>6</v>
      </c>
      <c r="S51" s="12">
        <f t="shared" si="35"/>
        <v>-123093.58867</v>
      </c>
      <c r="T51" s="5">
        <f t="shared" si="36"/>
        <v>1</v>
      </c>
      <c r="U51" s="5">
        <f t="shared" si="37"/>
        <v>-17711.811699999998</v>
      </c>
      <c r="V51" s="5">
        <f t="shared" si="38"/>
        <v>1</v>
      </c>
      <c r="W51" s="5">
        <f t="shared" si="39"/>
        <v>-17629.20679</v>
      </c>
      <c r="X51" s="13">
        <f t="shared" si="40"/>
        <v>1</v>
      </c>
    </row>
    <row r="52" spans="1:25" x14ac:dyDescent="0.2">
      <c r="A52" s="8">
        <v>7</v>
      </c>
      <c r="B52" s="1" t="s">
        <v>12</v>
      </c>
      <c r="C52" s="12">
        <f>SUMIFS('BATS 2023'!$E$3:$E$34,'BATS 2023'!$B$3:$B$34,$A52,'BATS 2023'!$C$3:$C$34,C$42,'BATS 2023'!$D$3:$D$34,C$43)</f>
        <v>665066.56470999995</v>
      </c>
      <c r="D52" s="5">
        <f>SUMIFS('BATS 2023'!$E$3:$E$34,'BATS 2023'!$B$3:$B$34,$A52,'BATS 2023'!$C$3:$C$34,D$42,'BATS 2023'!$D$3:$D$34,D$43)</f>
        <v>0</v>
      </c>
      <c r="E52" s="5">
        <f>SUMIFS('BATS 2023'!$E$3:$E$34,'BATS 2023'!$B$3:$B$34,$A52,'BATS 2023'!$C$3:$C$34,E$42,'BATS 2023'!$D$3:$D$34,E$43)</f>
        <v>64858.529419999999</v>
      </c>
      <c r="F52" s="5">
        <f>SUMIFS('BATS 2023'!$E$3:$E$34,'BATS 2023'!$B$3:$B$34,$A52,'BATS 2023'!$C$3:$C$34,F$42,'BATS 2023'!$D$3:$D$34,F$43)</f>
        <v>0</v>
      </c>
      <c r="G52" s="5">
        <f>SUMIFS('BATS 2023'!$E$3:$E$34,'BATS 2023'!$B$3:$B$34,$A52,'BATS 2023'!$C$3:$C$34,G$42,'BATS 2023'!$D$3:$D$34,G$43)</f>
        <v>85466.730259999997</v>
      </c>
      <c r="H52" s="13">
        <f>SUMIFS('BATS 2023'!$E$3:$E$34,'BATS 2023'!$B$3:$B$34,$A52,'BATS 2023'!$C$3:$C$34,H$42,'BATS 2023'!$D$3:$D$34,H$43)</f>
        <v>0</v>
      </c>
      <c r="I52" s="5">
        <f t="shared" si="32"/>
        <v>815391.82438999997</v>
      </c>
      <c r="K52" s="12">
        <f>modeldata!D21</f>
        <v>1</v>
      </c>
      <c r="L52" s="5">
        <f>modeldata!E21</f>
        <v>1</v>
      </c>
      <c r="M52" s="5">
        <f>modeldata!F21</f>
        <v>1</v>
      </c>
      <c r="N52" s="5">
        <f>modeldata!G21</f>
        <v>1</v>
      </c>
      <c r="O52" s="1">
        <f>modeldata!B21</f>
        <v>1</v>
      </c>
      <c r="P52" s="42">
        <f>modeldata!C21</f>
        <v>1</v>
      </c>
      <c r="Q52" s="5">
        <f t="shared" si="34"/>
        <v>6</v>
      </c>
      <c r="S52" s="12">
        <f t="shared" si="35"/>
        <v>-665065.56470999995</v>
      </c>
      <c r="T52" s="5">
        <f t="shared" si="36"/>
        <v>1</v>
      </c>
      <c r="U52" s="5">
        <f t="shared" si="37"/>
        <v>-64857.529419999999</v>
      </c>
      <c r="V52" s="5">
        <f t="shared" si="38"/>
        <v>1</v>
      </c>
      <c r="W52" s="5">
        <f t="shared" si="39"/>
        <v>-85465.730259999997</v>
      </c>
      <c r="X52" s="13">
        <f t="shared" si="40"/>
        <v>1</v>
      </c>
    </row>
    <row r="53" spans="1:25" x14ac:dyDescent="0.2">
      <c r="A53" s="8">
        <v>8</v>
      </c>
      <c r="B53" s="1" t="s">
        <v>13</v>
      </c>
      <c r="C53" s="14">
        <f>SUMIFS('BATS 2023'!$E$3:$E$34,'BATS 2023'!$B$3:$B$34,$A53,'BATS 2023'!$C$3:$C$34,C$42,'BATS 2023'!$D$3:$D$34,C$43)</f>
        <v>138048.92214000001</v>
      </c>
      <c r="D53" s="15">
        <f>SUMIFS('BATS 2023'!$E$3:$E$34,'BATS 2023'!$B$3:$B$34,$A53,'BATS 2023'!$C$3:$C$34,D$42,'BATS 2023'!$D$3:$D$34,D$43)</f>
        <v>0</v>
      </c>
      <c r="E53" s="15">
        <f>SUMIFS('BATS 2023'!$E$3:$E$34,'BATS 2023'!$B$3:$B$34,$A53,'BATS 2023'!$C$3:$C$34,E$42,'BATS 2023'!$D$3:$D$34,E$43)</f>
        <v>145623.69245999999</v>
      </c>
      <c r="F53" s="15">
        <f>SUMIFS('BATS 2023'!$E$3:$E$34,'BATS 2023'!$B$3:$B$34,$A53,'BATS 2023'!$C$3:$C$34,F$42,'BATS 2023'!$D$3:$D$34,F$43)</f>
        <v>0</v>
      </c>
      <c r="G53" s="15">
        <f>SUMIFS('BATS 2023'!$E$3:$E$34,'BATS 2023'!$B$3:$B$34,$A53,'BATS 2023'!$C$3:$C$34,G$42,'BATS 2023'!$D$3:$D$34,G$43)</f>
        <v>121625.49533999999</v>
      </c>
      <c r="H53" s="16">
        <f>SUMIFS('BATS 2023'!$E$3:$E$34,'BATS 2023'!$B$3:$B$34,$A53,'BATS 2023'!$C$3:$C$34,H$42,'BATS 2023'!$D$3:$D$34,H$43)</f>
        <v>0</v>
      </c>
      <c r="I53" s="5">
        <f t="shared" si="32"/>
        <v>405298.10993999999</v>
      </c>
      <c r="K53" s="14">
        <f>modeldata!D22</f>
        <v>1</v>
      </c>
      <c r="L53" s="15">
        <f>modeldata!E22</f>
        <v>1</v>
      </c>
      <c r="M53" s="15">
        <f>modeldata!F22</f>
        <v>1</v>
      </c>
      <c r="N53" s="15">
        <f>modeldata!G22</f>
        <v>1</v>
      </c>
      <c r="O53" s="86">
        <f>modeldata!B22</f>
        <v>1</v>
      </c>
      <c r="P53" s="43">
        <f>modeldata!C22</f>
        <v>1</v>
      </c>
      <c r="Q53" s="5">
        <f t="shared" si="34"/>
        <v>6</v>
      </c>
      <c r="S53" s="14">
        <f t="shared" si="35"/>
        <v>-138047.92214000001</v>
      </c>
      <c r="T53" s="15">
        <f t="shared" si="36"/>
        <v>1</v>
      </c>
      <c r="U53" s="15">
        <f t="shared" si="37"/>
        <v>-145622.69245999999</v>
      </c>
      <c r="V53" s="15">
        <f t="shared" si="38"/>
        <v>1</v>
      </c>
      <c r="W53" s="15">
        <f t="shared" si="39"/>
        <v>-121624.49533999999</v>
      </c>
      <c r="X53" s="16">
        <f t="shared" si="40"/>
        <v>1</v>
      </c>
    </row>
    <row r="54" spans="1:25" x14ac:dyDescent="0.2">
      <c r="B54" s="1" t="s">
        <v>18</v>
      </c>
      <c r="C54" s="5">
        <f>SUM(C46:C53)</f>
        <v>2529509.8150735842</v>
      </c>
      <c r="D54" s="5">
        <f t="shared" ref="D54" si="41">SUM(D46:D53)</f>
        <v>4355.7747836593626</v>
      </c>
      <c r="E54" s="5">
        <f t="shared" ref="E54" si="42">SUM(E46:E53)</f>
        <v>2360500.8679189379</v>
      </c>
      <c r="F54" s="5">
        <f t="shared" ref="F54" si="43">SUM(F46:F53)</f>
        <v>779271.32247555698</v>
      </c>
      <c r="G54" s="5">
        <f t="shared" ref="G54" si="44">SUM(G46:G53)</f>
        <v>1303236.7498812687</v>
      </c>
      <c r="H54" s="5">
        <f t="shared" ref="H54" si="45">SUM(H46:H53)</f>
        <v>393562.03888296819</v>
      </c>
      <c r="I54" s="5">
        <f t="shared" si="32"/>
        <v>7370436.5690159751</v>
      </c>
      <c r="K54" s="5">
        <f>SUM(K46:K53)</f>
        <v>8</v>
      </c>
      <c r="L54" s="5">
        <f t="shared" ref="L54:P54" si="46">SUM(L46:L53)</f>
        <v>8</v>
      </c>
      <c r="M54" s="5">
        <f t="shared" si="46"/>
        <v>8</v>
      </c>
      <c r="N54" s="5">
        <f t="shared" si="46"/>
        <v>8</v>
      </c>
      <c r="O54" s="5">
        <f t="shared" si="46"/>
        <v>8</v>
      </c>
      <c r="P54" s="5">
        <f t="shared" si="46"/>
        <v>8</v>
      </c>
      <c r="S54" s="5">
        <f>IFERROR(K54-C54,0)</f>
        <v>-2529501.8150735842</v>
      </c>
      <c r="T54" s="5">
        <f>IFERROR(L54-D54,0)</f>
        <v>-4347.7747836593626</v>
      </c>
      <c r="U54" s="5">
        <f>IFERROR(M54-E54,0)</f>
        <v>-2360492.8679189379</v>
      </c>
      <c r="V54" s="5">
        <f>IFERROR(N54-I54,0)</f>
        <v>-7370428.5690159751</v>
      </c>
      <c r="W54" s="5">
        <f t="shared" ref="W54:X54" si="47">IFERROR(O54-J54,0)</f>
        <v>8</v>
      </c>
      <c r="X54" s="5">
        <f t="shared" si="47"/>
        <v>0</v>
      </c>
    </row>
    <row r="57" spans="1:25" x14ac:dyDescent="0.2">
      <c r="B57" s="1" t="s">
        <v>14</v>
      </c>
      <c r="C57" s="7" t="s">
        <v>15</v>
      </c>
      <c r="D57" s="7" t="s">
        <v>15</v>
      </c>
      <c r="E57" s="7" t="s">
        <v>16</v>
      </c>
      <c r="F57" s="7" t="s">
        <v>16</v>
      </c>
      <c r="G57" s="7" t="s">
        <v>17</v>
      </c>
      <c r="H57" s="7" t="s">
        <v>17</v>
      </c>
      <c r="I57" s="1" t="s">
        <v>18</v>
      </c>
      <c r="K57" s="7" t="s">
        <v>15</v>
      </c>
      <c r="L57" s="7" t="s">
        <v>15</v>
      </c>
      <c r="M57" s="7" t="s">
        <v>16</v>
      </c>
      <c r="N57" s="7" t="s">
        <v>16</v>
      </c>
      <c r="O57" s="7" t="s">
        <v>17</v>
      </c>
      <c r="P57" s="7" t="s">
        <v>17</v>
      </c>
      <c r="Q57" s="1" t="s">
        <v>18</v>
      </c>
      <c r="S57" s="7" t="s">
        <v>15</v>
      </c>
      <c r="T57" s="7" t="s">
        <v>15</v>
      </c>
      <c r="U57" s="7" t="s">
        <v>16</v>
      </c>
      <c r="V57" s="7" t="s">
        <v>16</v>
      </c>
      <c r="W57" s="7" t="s">
        <v>17</v>
      </c>
      <c r="X57" s="7" t="s">
        <v>17</v>
      </c>
    </row>
    <row r="58" spans="1:25" x14ac:dyDescent="0.2">
      <c r="C58" s="7" t="s">
        <v>69</v>
      </c>
      <c r="D58" s="7" t="s">
        <v>70</v>
      </c>
      <c r="E58" s="7" t="s">
        <v>69</v>
      </c>
      <c r="F58" s="7" t="s">
        <v>70</v>
      </c>
      <c r="G58" s="7" t="s">
        <v>69</v>
      </c>
      <c r="H58" s="7" t="s">
        <v>70</v>
      </c>
      <c r="K58" s="7" t="s">
        <v>69</v>
      </c>
      <c r="L58" s="7" t="s">
        <v>70</v>
      </c>
      <c r="M58" s="7" t="s">
        <v>69</v>
      </c>
      <c r="N58" s="7" t="s">
        <v>70</v>
      </c>
      <c r="O58" s="7" t="s">
        <v>69</v>
      </c>
      <c r="P58" s="7" t="s">
        <v>70</v>
      </c>
      <c r="S58" s="7" t="s">
        <v>69</v>
      </c>
      <c r="T58" s="7" t="s">
        <v>70</v>
      </c>
      <c r="U58" s="7" t="s">
        <v>69</v>
      </c>
      <c r="V58" s="7" t="s">
        <v>70</v>
      </c>
      <c r="W58" s="7" t="s">
        <v>69</v>
      </c>
      <c r="X58" s="7" t="s">
        <v>70</v>
      </c>
    </row>
    <row r="59" spans="1:25" x14ac:dyDescent="0.2">
      <c r="B59" s="1" t="s">
        <v>6</v>
      </c>
      <c r="C59" s="18">
        <f t="shared" ref="C59:E67" si="48">C46/$I46</f>
        <v>0.37933546382830491</v>
      </c>
      <c r="D59" s="19">
        <f t="shared" si="48"/>
        <v>1.5310454438828352E-4</v>
      </c>
      <c r="E59" s="19">
        <f t="shared" si="48"/>
        <v>0.20481356644612303</v>
      </c>
      <c r="F59" s="19">
        <f t="shared" ref="F59:H59" si="49">F46/$I46</f>
        <v>0.20969963390119553</v>
      </c>
      <c r="G59" s="19">
        <f t="shared" si="49"/>
        <v>9.6144317054456696E-2</v>
      </c>
      <c r="H59" s="20">
        <f t="shared" si="49"/>
        <v>0.10985391422553152</v>
      </c>
      <c r="I59" s="17">
        <f>SUM(C59:H59)</f>
        <v>0.99999999999999989</v>
      </c>
      <c r="K59" s="18">
        <f>IFERROR(K46/$Q46,0)</f>
        <v>0.16666666666666666</v>
      </c>
      <c r="L59" s="19">
        <f t="shared" ref="L59:P59" si="50">IFERROR(L46/$Q46,0)</f>
        <v>0.16666666666666666</v>
      </c>
      <c r="M59" s="19">
        <f t="shared" si="50"/>
        <v>0.16666666666666666</v>
      </c>
      <c r="N59" s="19">
        <f t="shared" si="50"/>
        <v>0.16666666666666666</v>
      </c>
      <c r="O59" s="87">
        <f t="shared" si="50"/>
        <v>0.16666666666666666</v>
      </c>
      <c r="P59" s="88">
        <f t="shared" si="50"/>
        <v>0.16666666666666666</v>
      </c>
      <c r="Q59" s="17">
        <f>SUM(K59:P59)</f>
        <v>0.99999999999999989</v>
      </c>
      <c r="S59" s="18">
        <f t="shared" ref="S59:S67" si="51">IFERROR(K59-C59,0)</f>
        <v>-0.21266879716163825</v>
      </c>
      <c r="T59" s="19">
        <f t="shared" ref="T59:T67" si="52">IFERROR(L59-D59,0)</f>
        <v>0.16651356212227839</v>
      </c>
      <c r="U59" s="19">
        <f t="shared" ref="U59:U67" si="53">IFERROR(M59-E59,0)</f>
        <v>-3.8146899779456372E-2</v>
      </c>
      <c r="V59" s="19">
        <f t="shared" ref="V59:X67" si="54">IFERROR(N59-F59,0)</f>
        <v>-4.3032967234528874E-2</v>
      </c>
      <c r="W59" s="19">
        <f t="shared" si="54"/>
        <v>7.0522349612209961E-2</v>
      </c>
      <c r="X59" s="20">
        <f t="shared" si="54"/>
        <v>5.6812752441135136E-2</v>
      </c>
      <c r="Y59" s="93">
        <f>IFERROR(Q59-I59,0)</f>
        <v>0</v>
      </c>
    </row>
    <row r="60" spans="1:25" x14ac:dyDescent="0.2">
      <c r="B60" s="1" t="s">
        <v>7</v>
      </c>
      <c r="C60" s="21">
        <f t="shared" si="48"/>
        <v>0.40709038092654837</v>
      </c>
      <c r="D60" s="17">
        <f t="shared" si="48"/>
        <v>0</v>
      </c>
      <c r="E60" s="17">
        <f t="shared" si="48"/>
        <v>0.32756676981464056</v>
      </c>
      <c r="F60" s="17">
        <f t="shared" ref="F60:H60" si="55">F47/$I47</f>
        <v>0.10274633039980956</v>
      </c>
      <c r="G60" s="17">
        <f t="shared" si="55"/>
        <v>0.11856585197593351</v>
      </c>
      <c r="H60" s="22">
        <f t="shared" si="55"/>
        <v>4.4030666883068004E-2</v>
      </c>
      <c r="I60" s="17">
        <f t="shared" ref="I60:I66" si="56">SUM(C60:H60)</f>
        <v>1</v>
      </c>
      <c r="K60" s="21">
        <f t="shared" ref="K60:P60" si="57">IFERROR(K47/$Q47,0)</f>
        <v>0.16666666666666666</v>
      </c>
      <c r="L60" s="17">
        <f t="shared" si="57"/>
        <v>0.16666666666666666</v>
      </c>
      <c r="M60" s="17">
        <f t="shared" si="57"/>
        <v>0.16666666666666666</v>
      </c>
      <c r="N60" s="17">
        <f t="shared" si="57"/>
        <v>0.16666666666666666</v>
      </c>
      <c r="O60" s="89">
        <f t="shared" si="57"/>
        <v>0.16666666666666666</v>
      </c>
      <c r="P60" s="90">
        <f t="shared" si="57"/>
        <v>0.16666666666666666</v>
      </c>
      <c r="Q60" s="17">
        <f t="shared" ref="Q60:Q66" si="58">SUM(K60:P60)</f>
        <v>0.99999999999999989</v>
      </c>
      <c r="S60" s="21">
        <f t="shared" si="51"/>
        <v>-0.24042371425988171</v>
      </c>
      <c r="T60" s="17">
        <f t="shared" si="52"/>
        <v>0.16666666666666666</v>
      </c>
      <c r="U60" s="17">
        <f t="shared" si="53"/>
        <v>-0.1609001031479739</v>
      </c>
      <c r="V60" s="17">
        <f t="shared" si="54"/>
        <v>6.39203362668571E-2</v>
      </c>
      <c r="W60" s="17">
        <f t="shared" si="54"/>
        <v>4.8100814690733143E-2</v>
      </c>
      <c r="X60" s="22">
        <f t="shared" si="54"/>
        <v>0.12263599978359865</v>
      </c>
      <c r="Y60" s="93">
        <f t="shared" ref="Y60:Y66" si="59">IFERROR(Q60-I60,0)</f>
        <v>-1.1102230246251565E-16</v>
      </c>
    </row>
    <row r="61" spans="1:25" x14ac:dyDescent="0.2">
      <c r="B61" s="1" t="s">
        <v>8</v>
      </c>
      <c r="C61" s="21">
        <f t="shared" si="48"/>
        <v>0.24271495847497113</v>
      </c>
      <c r="D61" s="17">
        <f t="shared" si="48"/>
        <v>1.0793709545786942E-2</v>
      </c>
      <c r="E61" s="17">
        <f t="shared" si="48"/>
        <v>0.47950071005265654</v>
      </c>
      <c r="F61" s="17">
        <f t="shared" ref="F61:H61" si="60">F48/$I48</f>
        <v>7.5850247806686519E-2</v>
      </c>
      <c r="G61" s="17">
        <f t="shared" si="60"/>
        <v>0.17312631257007452</v>
      </c>
      <c r="H61" s="22">
        <f t="shared" si="60"/>
        <v>1.8014061549824371E-2</v>
      </c>
      <c r="I61" s="17">
        <f t="shared" si="56"/>
        <v>0.99999999999999989</v>
      </c>
      <c r="K61" s="21">
        <f t="shared" ref="K61:P61" si="61">IFERROR(K48/$Q48,0)</f>
        <v>0.16666666666666666</v>
      </c>
      <c r="L61" s="17">
        <f t="shared" si="61"/>
        <v>0.16666666666666666</v>
      </c>
      <c r="M61" s="17">
        <f t="shared" si="61"/>
        <v>0.16666666666666666</v>
      </c>
      <c r="N61" s="17">
        <f t="shared" si="61"/>
        <v>0.16666666666666666</v>
      </c>
      <c r="O61" s="89">
        <f t="shared" si="61"/>
        <v>0.16666666666666666</v>
      </c>
      <c r="P61" s="90">
        <f t="shared" si="61"/>
        <v>0.16666666666666666</v>
      </c>
      <c r="Q61" s="17">
        <f t="shared" si="58"/>
        <v>0.99999999999999989</v>
      </c>
      <c r="S61" s="21">
        <f t="shared" si="51"/>
        <v>-7.6048291808304469E-2</v>
      </c>
      <c r="T61" s="17">
        <f t="shared" si="52"/>
        <v>0.15587295712087973</v>
      </c>
      <c r="U61" s="17">
        <f t="shared" si="53"/>
        <v>-0.31283404338598986</v>
      </c>
      <c r="V61" s="17">
        <f t="shared" si="54"/>
        <v>9.0816418859980139E-2</v>
      </c>
      <c r="W61" s="17">
        <f t="shared" si="54"/>
        <v>-6.4596459034078624E-3</v>
      </c>
      <c r="X61" s="22">
        <f t="shared" si="54"/>
        <v>0.14865260511684228</v>
      </c>
      <c r="Y61" s="93">
        <f t="shared" si="59"/>
        <v>0</v>
      </c>
    </row>
    <row r="62" spans="1:25" x14ac:dyDescent="0.2">
      <c r="B62" s="1" t="s">
        <v>9</v>
      </c>
      <c r="C62" s="21">
        <f t="shared" si="48"/>
        <v>0</v>
      </c>
      <c r="D62" s="17">
        <f t="shared" si="48"/>
        <v>0</v>
      </c>
      <c r="E62" s="17">
        <f t="shared" si="48"/>
        <v>0.65479740323452706</v>
      </c>
      <c r="F62" s="17">
        <f t="shared" ref="F62:H62" si="62">F49/$I49</f>
        <v>0</v>
      </c>
      <c r="G62" s="17">
        <f t="shared" si="62"/>
        <v>0.34520259676547288</v>
      </c>
      <c r="H62" s="22">
        <f t="shared" si="62"/>
        <v>0</v>
      </c>
      <c r="I62" s="17">
        <f t="shared" si="56"/>
        <v>1</v>
      </c>
      <c r="K62" s="21">
        <f t="shared" ref="K62:P62" si="63">IFERROR(K49/$Q49,0)</f>
        <v>0.16666666666666666</v>
      </c>
      <c r="L62" s="17">
        <f t="shared" si="63"/>
        <v>0.16666666666666666</v>
      </c>
      <c r="M62" s="17">
        <f t="shared" si="63"/>
        <v>0.16666666666666666</v>
      </c>
      <c r="N62" s="17">
        <f t="shared" si="63"/>
        <v>0.16666666666666666</v>
      </c>
      <c r="O62" s="89">
        <f t="shared" si="63"/>
        <v>0.16666666666666666</v>
      </c>
      <c r="P62" s="90">
        <f t="shared" si="63"/>
        <v>0.16666666666666666</v>
      </c>
      <c r="Q62" s="17">
        <f t="shared" si="58"/>
        <v>0.99999999999999989</v>
      </c>
      <c r="S62" s="21">
        <f t="shared" si="51"/>
        <v>0.16666666666666666</v>
      </c>
      <c r="T62" s="17">
        <f t="shared" si="52"/>
        <v>0.16666666666666666</v>
      </c>
      <c r="U62" s="17">
        <f t="shared" si="53"/>
        <v>-0.48813073656786043</v>
      </c>
      <c r="V62" s="17">
        <f t="shared" si="54"/>
        <v>0.16666666666666666</v>
      </c>
      <c r="W62" s="17">
        <f t="shared" si="54"/>
        <v>-0.17853593009880622</v>
      </c>
      <c r="X62" s="22">
        <f t="shared" si="54"/>
        <v>0.16666666666666666</v>
      </c>
      <c r="Y62" s="93">
        <f t="shared" si="59"/>
        <v>-1.1102230246251565E-16</v>
      </c>
    </row>
    <row r="63" spans="1:25" x14ac:dyDescent="0.2">
      <c r="B63" s="1" t="s">
        <v>10</v>
      </c>
      <c r="C63" s="21">
        <f t="shared" si="48"/>
        <v>0</v>
      </c>
      <c r="D63" s="17">
        <f t="shared" si="48"/>
        <v>0</v>
      </c>
      <c r="E63" s="17">
        <f t="shared" si="48"/>
        <v>0.61370368742204418</v>
      </c>
      <c r="F63" s="17">
        <f t="shared" ref="F63:H63" si="64">F50/$I50</f>
        <v>0</v>
      </c>
      <c r="G63" s="17">
        <f t="shared" si="64"/>
        <v>0.38629631257795582</v>
      </c>
      <c r="H63" s="22">
        <f t="shared" si="64"/>
        <v>0</v>
      </c>
      <c r="I63" s="17">
        <f t="shared" si="56"/>
        <v>1</v>
      </c>
      <c r="K63" s="21">
        <f t="shared" ref="K63:P63" si="65">IFERROR(K50/$Q50,0)</f>
        <v>0.16666666666666666</v>
      </c>
      <c r="L63" s="17">
        <f t="shared" si="65"/>
        <v>0.16666666666666666</v>
      </c>
      <c r="M63" s="17">
        <f t="shared" si="65"/>
        <v>0.16666666666666666</v>
      </c>
      <c r="N63" s="17">
        <f t="shared" si="65"/>
        <v>0.16666666666666666</v>
      </c>
      <c r="O63" s="89">
        <f t="shared" si="65"/>
        <v>0.16666666666666666</v>
      </c>
      <c r="P63" s="90">
        <f t="shared" si="65"/>
        <v>0.16666666666666666</v>
      </c>
      <c r="Q63" s="17">
        <f t="shared" si="58"/>
        <v>0.99999999999999989</v>
      </c>
      <c r="S63" s="21">
        <f t="shared" si="51"/>
        <v>0.16666666666666666</v>
      </c>
      <c r="T63" s="17">
        <f t="shared" si="52"/>
        <v>0.16666666666666666</v>
      </c>
      <c r="U63" s="17">
        <f t="shared" si="53"/>
        <v>-0.44703702075537755</v>
      </c>
      <c r="V63" s="17">
        <f t="shared" si="54"/>
        <v>0.16666666666666666</v>
      </c>
      <c r="W63" s="17">
        <f t="shared" si="54"/>
        <v>-0.21962964591128917</v>
      </c>
      <c r="X63" s="22">
        <f t="shared" si="54"/>
        <v>0.16666666666666666</v>
      </c>
      <c r="Y63" s="93">
        <f t="shared" si="59"/>
        <v>-1.1102230246251565E-16</v>
      </c>
    </row>
    <row r="64" spans="1:25" x14ac:dyDescent="0.2">
      <c r="B64" s="1" t="s">
        <v>11</v>
      </c>
      <c r="C64" s="21">
        <f t="shared" si="48"/>
        <v>0.77692784482469213</v>
      </c>
      <c r="D64" s="17">
        <f t="shared" si="48"/>
        <v>0</v>
      </c>
      <c r="E64" s="17">
        <f t="shared" si="48"/>
        <v>0.11179676351784661</v>
      </c>
      <c r="F64" s="17">
        <f t="shared" ref="F64:H64" si="66">F51/$I51</f>
        <v>0</v>
      </c>
      <c r="G64" s="17">
        <f t="shared" si="66"/>
        <v>0.11127539165746135</v>
      </c>
      <c r="H64" s="22">
        <f t="shared" si="66"/>
        <v>0</v>
      </c>
      <c r="I64" s="17">
        <f t="shared" si="56"/>
        <v>1</v>
      </c>
      <c r="K64" s="21">
        <f t="shared" ref="K64:P64" si="67">IFERROR(K51/$Q51,0)</f>
        <v>0.16666666666666666</v>
      </c>
      <c r="L64" s="17">
        <f t="shared" si="67"/>
        <v>0.16666666666666666</v>
      </c>
      <c r="M64" s="17">
        <f t="shared" si="67"/>
        <v>0.16666666666666666</v>
      </c>
      <c r="N64" s="17">
        <f t="shared" si="67"/>
        <v>0.16666666666666666</v>
      </c>
      <c r="O64" s="89">
        <f t="shared" si="67"/>
        <v>0.16666666666666666</v>
      </c>
      <c r="P64" s="90">
        <f t="shared" si="67"/>
        <v>0.16666666666666666</v>
      </c>
      <c r="Q64" s="17">
        <f t="shared" si="58"/>
        <v>0.99999999999999989</v>
      </c>
      <c r="S64" s="21">
        <f t="shared" si="51"/>
        <v>-0.6102611781580255</v>
      </c>
      <c r="T64" s="17">
        <f t="shared" si="52"/>
        <v>0.16666666666666666</v>
      </c>
      <c r="U64" s="17">
        <f t="shared" si="53"/>
        <v>5.4869903148820051E-2</v>
      </c>
      <c r="V64" s="17">
        <f t="shared" si="54"/>
        <v>0.16666666666666666</v>
      </c>
      <c r="W64" s="17">
        <f t="shared" si="54"/>
        <v>5.5391275009205307E-2</v>
      </c>
      <c r="X64" s="22">
        <f t="shared" si="54"/>
        <v>0.16666666666666666</v>
      </c>
      <c r="Y64" s="93">
        <f t="shared" si="59"/>
        <v>-1.1102230246251565E-16</v>
      </c>
    </row>
    <row r="65" spans="2:25" x14ac:dyDescent="0.2">
      <c r="B65" s="1" t="s">
        <v>12</v>
      </c>
      <c r="C65" s="21">
        <f t="shared" si="48"/>
        <v>0.81564046243355537</v>
      </c>
      <c r="D65" s="17">
        <f t="shared" si="48"/>
        <v>0</v>
      </c>
      <c r="E65" s="17">
        <f t="shared" si="48"/>
        <v>7.954277622113895E-2</v>
      </c>
      <c r="F65" s="17">
        <f t="shared" ref="F65:H65" si="68">F52/$I52</f>
        <v>0</v>
      </c>
      <c r="G65" s="17">
        <f t="shared" si="68"/>
        <v>0.10481676134530564</v>
      </c>
      <c r="H65" s="22">
        <f t="shared" si="68"/>
        <v>0</v>
      </c>
      <c r="I65" s="17">
        <f t="shared" si="56"/>
        <v>0.99999999999999989</v>
      </c>
      <c r="K65" s="21">
        <f t="shared" ref="K65:P65" si="69">IFERROR(K52/$Q52,0)</f>
        <v>0.16666666666666666</v>
      </c>
      <c r="L65" s="17">
        <f t="shared" si="69"/>
        <v>0.16666666666666666</v>
      </c>
      <c r="M65" s="17">
        <f t="shared" si="69"/>
        <v>0.16666666666666666</v>
      </c>
      <c r="N65" s="17">
        <f t="shared" si="69"/>
        <v>0.16666666666666666</v>
      </c>
      <c r="O65" s="89">
        <f t="shared" si="69"/>
        <v>0.16666666666666666</v>
      </c>
      <c r="P65" s="90">
        <f t="shared" si="69"/>
        <v>0.16666666666666666</v>
      </c>
      <c r="Q65" s="17">
        <f t="shared" si="58"/>
        <v>0.99999999999999989</v>
      </c>
      <c r="S65" s="21">
        <f t="shared" si="51"/>
        <v>-0.64897379576688874</v>
      </c>
      <c r="T65" s="17">
        <f t="shared" si="52"/>
        <v>0.16666666666666666</v>
      </c>
      <c r="U65" s="17">
        <f t="shared" si="53"/>
        <v>8.7123890445527707E-2</v>
      </c>
      <c r="V65" s="17">
        <f t="shared" si="54"/>
        <v>0.16666666666666666</v>
      </c>
      <c r="W65" s="17">
        <f t="shared" si="54"/>
        <v>6.1849905321361018E-2</v>
      </c>
      <c r="X65" s="22">
        <f t="shared" si="54"/>
        <v>0.16666666666666666</v>
      </c>
      <c r="Y65" s="93">
        <f t="shared" si="59"/>
        <v>0</v>
      </c>
    </row>
    <row r="66" spans="2:25" x14ac:dyDescent="0.2">
      <c r="B66" s="1" t="s">
        <v>13</v>
      </c>
      <c r="C66" s="23">
        <f t="shared" si="48"/>
        <v>0.34061082140362475</v>
      </c>
      <c r="D66" s="24">
        <f t="shared" si="48"/>
        <v>0</v>
      </c>
      <c r="E66" s="24">
        <f t="shared" si="48"/>
        <v>0.35930020123103462</v>
      </c>
      <c r="F66" s="24">
        <f t="shared" ref="F66:H66" si="70">F53/$I53</f>
        <v>0</v>
      </c>
      <c r="G66" s="24">
        <f t="shared" si="70"/>
        <v>0.30008897736534063</v>
      </c>
      <c r="H66" s="25">
        <f t="shared" si="70"/>
        <v>0</v>
      </c>
      <c r="I66" s="17">
        <f t="shared" si="56"/>
        <v>1</v>
      </c>
      <c r="K66" s="23">
        <f t="shared" ref="K66:P66" si="71">IFERROR(K53/$Q53,0)</f>
        <v>0.16666666666666666</v>
      </c>
      <c r="L66" s="24">
        <f t="shared" si="71"/>
        <v>0.16666666666666666</v>
      </c>
      <c r="M66" s="24">
        <f t="shared" si="71"/>
        <v>0.16666666666666666</v>
      </c>
      <c r="N66" s="24">
        <f t="shared" si="71"/>
        <v>0.16666666666666666</v>
      </c>
      <c r="O66" s="91">
        <f t="shared" si="71"/>
        <v>0.16666666666666666</v>
      </c>
      <c r="P66" s="92">
        <f t="shared" si="71"/>
        <v>0.16666666666666666</v>
      </c>
      <c r="Q66" s="17">
        <f t="shared" si="58"/>
        <v>0.99999999999999989</v>
      </c>
      <c r="S66" s="23">
        <f t="shared" si="51"/>
        <v>-0.1739441547369581</v>
      </c>
      <c r="T66" s="24">
        <f t="shared" si="52"/>
        <v>0.16666666666666666</v>
      </c>
      <c r="U66" s="24">
        <f t="shared" si="53"/>
        <v>-0.19263353456436796</v>
      </c>
      <c r="V66" s="24">
        <f t="shared" si="54"/>
        <v>0.16666666666666666</v>
      </c>
      <c r="W66" s="24">
        <f t="shared" si="54"/>
        <v>-0.13342231069867397</v>
      </c>
      <c r="X66" s="25">
        <f t="shared" si="54"/>
        <v>0.16666666666666666</v>
      </c>
      <c r="Y66" s="93">
        <f t="shared" si="59"/>
        <v>-1.1102230246251565E-16</v>
      </c>
    </row>
    <row r="67" spans="2:25" x14ac:dyDescent="0.2">
      <c r="B67" s="1" t="s">
        <v>18</v>
      </c>
      <c r="C67" s="17">
        <f t="shared" si="48"/>
        <v>0.34319674165668834</v>
      </c>
      <c r="D67" s="17">
        <f t="shared" si="48"/>
        <v>5.9097921037273111E-4</v>
      </c>
      <c r="E67" s="17">
        <f t="shared" si="48"/>
        <v>0.32026608543679358</v>
      </c>
      <c r="F67" s="17">
        <f>F54/$I54</f>
        <v>0.10572933030201728</v>
      </c>
      <c r="G67" s="17">
        <f>G54/$I54</f>
        <v>0.17681947842273657</v>
      </c>
      <c r="H67" s="17">
        <f>H54/$I54</f>
        <v>5.3397384971391529E-2</v>
      </c>
      <c r="I67" s="17">
        <f>SUM(C67:H67)</f>
        <v>1</v>
      </c>
      <c r="K67" s="17">
        <f>IFERROR(K54/$N54,0)</f>
        <v>1</v>
      </c>
      <c r="L67" s="17">
        <f>IFERROR(L54/$N54,0)</f>
        <v>1</v>
      </c>
      <c r="M67" s="17">
        <f>IFERROR(M54/$N54,0)</f>
        <v>1</v>
      </c>
      <c r="N67" s="17">
        <f>IFERROR(N54/$N54,0)</f>
        <v>1</v>
      </c>
      <c r="O67" s="17">
        <f t="shared" ref="O67:P67" si="72">IFERROR(O54/$N54,0)</f>
        <v>1</v>
      </c>
      <c r="P67" s="17">
        <f t="shared" si="72"/>
        <v>1</v>
      </c>
      <c r="S67" s="17">
        <f t="shared" si="51"/>
        <v>0.65680325834331166</v>
      </c>
      <c r="T67" s="17">
        <f t="shared" si="52"/>
        <v>0.99940902078962723</v>
      </c>
      <c r="U67" s="17">
        <f t="shared" si="53"/>
        <v>0.67973391456320642</v>
      </c>
      <c r="V67" s="17">
        <f t="shared" si="54"/>
        <v>0.89427066969798275</v>
      </c>
      <c r="W67" s="17">
        <f t="shared" si="54"/>
        <v>0.8231805215772634</v>
      </c>
      <c r="X67" s="17">
        <f t="shared" si="54"/>
        <v>0.94660261502860843</v>
      </c>
    </row>
  </sheetData>
  <conditionalFormatting sqref="M17:O24">
    <cfRule type="colorScale" priority="3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S59:X66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G22"/>
  <sheetViews>
    <sheetView topLeftCell="A9" workbookViewId="0">
      <selection activeCell="G13" sqref="G13"/>
    </sheetView>
  </sheetViews>
  <sheetFormatPr defaultRowHeight="15" x14ac:dyDescent="0.25"/>
  <cols>
    <col min="1" max="1" width="13.7109375" customWidth="1"/>
  </cols>
  <sheetData>
    <row r="1" spans="1:7" x14ac:dyDescent="0.25">
      <c r="A1" s="2" t="s">
        <v>36</v>
      </c>
    </row>
    <row r="2" spans="1:7" x14ac:dyDescent="0.25">
      <c r="A2" s="1" t="s">
        <v>20</v>
      </c>
      <c r="B2" s="1" t="s">
        <v>0</v>
      </c>
      <c r="C2" s="1" t="s">
        <v>1</v>
      </c>
      <c r="D2" s="1" t="s">
        <v>2</v>
      </c>
    </row>
    <row r="3" spans="1:7" x14ac:dyDescent="0.25">
      <c r="A3" s="1">
        <v>1</v>
      </c>
      <c r="B3" s="9">
        <v>1</v>
      </c>
      <c r="C3" s="10">
        <v>1</v>
      </c>
      <c r="D3" s="11">
        <v>1</v>
      </c>
    </row>
    <row r="4" spans="1:7" x14ac:dyDescent="0.25">
      <c r="A4" s="1">
        <v>2</v>
      </c>
      <c r="B4" s="12">
        <v>1</v>
      </c>
      <c r="C4" s="5">
        <v>1</v>
      </c>
      <c r="D4" s="13">
        <v>1</v>
      </c>
    </row>
    <row r="5" spans="1:7" x14ac:dyDescent="0.25">
      <c r="A5" s="1">
        <v>3</v>
      </c>
      <c r="B5" s="12">
        <v>1</v>
      </c>
      <c r="C5" s="5">
        <v>1</v>
      </c>
      <c r="D5" s="13">
        <v>1</v>
      </c>
    </row>
    <row r="6" spans="1:7" x14ac:dyDescent="0.25">
      <c r="A6" s="1">
        <v>4</v>
      </c>
      <c r="B6" s="12">
        <v>1</v>
      </c>
      <c r="C6" s="5">
        <v>1</v>
      </c>
      <c r="D6" s="13">
        <v>1</v>
      </c>
    </row>
    <row r="7" spans="1:7" x14ac:dyDescent="0.25">
      <c r="A7" s="1">
        <v>5</v>
      </c>
      <c r="B7" s="12">
        <v>1</v>
      </c>
      <c r="C7" s="5">
        <v>1</v>
      </c>
      <c r="D7" s="13">
        <v>1</v>
      </c>
    </row>
    <row r="8" spans="1:7" x14ac:dyDescent="0.25">
      <c r="A8" s="1">
        <v>6</v>
      </c>
      <c r="B8" s="12">
        <v>1</v>
      </c>
      <c r="C8" s="5">
        <v>1</v>
      </c>
      <c r="D8" s="13">
        <v>1</v>
      </c>
    </row>
    <row r="9" spans="1:7" x14ac:dyDescent="0.25">
      <c r="A9" s="1">
        <v>7</v>
      </c>
      <c r="B9" s="12">
        <v>1</v>
      </c>
      <c r="C9" s="5">
        <v>1</v>
      </c>
      <c r="D9" s="13">
        <v>1</v>
      </c>
    </row>
    <row r="10" spans="1:7" x14ac:dyDescent="0.25">
      <c r="A10" s="1">
        <v>8</v>
      </c>
      <c r="B10" s="14">
        <v>1</v>
      </c>
      <c r="C10" s="15">
        <v>1</v>
      </c>
      <c r="D10" s="16">
        <v>1</v>
      </c>
    </row>
    <row r="13" spans="1:7" x14ac:dyDescent="0.25">
      <c r="A13" s="2" t="s">
        <v>36</v>
      </c>
    </row>
    <row r="14" spans="1:7" x14ac:dyDescent="0.25">
      <c r="A14" s="1" t="s">
        <v>20</v>
      </c>
      <c r="B14" s="1" t="s">
        <v>72</v>
      </c>
      <c r="C14" t="s">
        <v>73</v>
      </c>
      <c r="D14" s="1" t="s">
        <v>74</v>
      </c>
      <c r="E14" s="1" t="s">
        <v>75</v>
      </c>
      <c r="F14" s="1" t="s">
        <v>76</v>
      </c>
      <c r="G14" s="1" t="s">
        <v>77</v>
      </c>
    </row>
    <row r="15" spans="1:7" x14ac:dyDescent="0.25">
      <c r="A15" s="1">
        <v>1</v>
      </c>
      <c r="B15" s="9">
        <v>1</v>
      </c>
      <c r="C15" s="10">
        <v>1</v>
      </c>
      <c r="D15" s="10">
        <v>1</v>
      </c>
      <c r="E15" s="10">
        <v>1</v>
      </c>
      <c r="F15" s="10">
        <v>1</v>
      </c>
      <c r="G15" s="11">
        <v>1</v>
      </c>
    </row>
    <row r="16" spans="1:7" x14ac:dyDescent="0.25">
      <c r="A16" s="1">
        <v>2</v>
      </c>
      <c r="B16" s="12">
        <v>1</v>
      </c>
      <c r="C16" s="5">
        <v>1</v>
      </c>
      <c r="D16" s="5">
        <v>1</v>
      </c>
      <c r="E16" s="5">
        <v>1</v>
      </c>
      <c r="F16" s="5">
        <v>1</v>
      </c>
      <c r="G16" s="13">
        <v>1</v>
      </c>
    </row>
    <row r="17" spans="1:7" x14ac:dyDescent="0.25">
      <c r="A17" s="1">
        <v>3</v>
      </c>
      <c r="B17" s="12">
        <v>1</v>
      </c>
      <c r="C17" s="5">
        <v>1</v>
      </c>
      <c r="D17" s="5">
        <v>1</v>
      </c>
      <c r="E17" s="5">
        <v>1</v>
      </c>
      <c r="F17" s="5">
        <v>1</v>
      </c>
      <c r="G17" s="13">
        <v>1</v>
      </c>
    </row>
    <row r="18" spans="1:7" x14ac:dyDescent="0.25">
      <c r="A18" s="1">
        <v>4</v>
      </c>
      <c r="B18" s="12">
        <v>1</v>
      </c>
      <c r="C18" s="5">
        <v>1</v>
      </c>
      <c r="D18" s="5">
        <v>1</v>
      </c>
      <c r="E18" s="5">
        <v>1</v>
      </c>
      <c r="F18" s="5">
        <v>1</v>
      </c>
      <c r="G18" s="13">
        <v>1</v>
      </c>
    </row>
    <row r="19" spans="1:7" x14ac:dyDescent="0.25">
      <c r="A19" s="1">
        <v>5</v>
      </c>
      <c r="B19" s="12">
        <v>1</v>
      </c>
      <c r="C19" s="5">
        <v>1</v>
      </c>
      <c r="D19" s="5">
        <v>1</v>
      </c>
      <c r="E19" s="5">
        <v>1</v>
      </c>
      <c r="F19" s="5">
        <v>1</v>
      </c>
      <c r="G19" s="13">
        <v>1</v>
      </c>
    </row>
    <row r="20" spans="1:7" x14ac:dyDescent="0.25">
      <c r="A20" s="1">
        <v>6</v>
      </c>
      <c r="B20" s="12">
        <v>1</v>
      </c>
      <c r="C20" s="5">
        <v>1</v>
      </c>
      <c r="D20" s="5">
        <v>1</v>
      </c>
      <c r="E20" s="5">
        <v>1</v>
      </c>
      <c r="F20" s="5">
        <v>1</v>
      </c>
      <c r="G20" s="13">
        <v>1</v>
      </c>
    </row>
    <row r="21" spans="1:7" x14ac:dyDescent="0.25">
      <c r="A21" s="1">
        <v>7</v>
      </c>
      <c r="B21" s="12">
        <v>1</v>
      </c>
      <c r="C21" s="5">
        <v>1</v>
      </c>
      <c r="D21" s="5">
        <v>1</v>
      </c>
      <c r="E21" s="5">
        <v>1</v>
      </c>
      <c r="F21" s="5">
        <v>1</v>
      </c>
      <c r="G21" s="13">
        <v>1</v>
      </c>
    </row>
    <row r="22" spans="1:7" x14ac:dyDescent="0.25">
      <c r="A22" s="1">
        <v>8</v>
      </c>
      <c r="B22" s="14">
        <v>1</v>
      </c>
      <c r="C22" s="15">
        <v>1</v>
      </c>
      <c r="D22" s="15">
        <v>1</v>
      </c>
      <c r="E22" s="15">
        <v>1</v>
      </c>
      <c r="F22" s="15">
        <v>1</v>
      </c>
      <c r="G22" s="16">
        <v>1</v>
      </c>
    </row>
  </sheetData>
  <phoneticPr fontId="2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Z106"/>
  <sheetViews>
    <sheetView tabSelected="1" topLeftCell="A55" workbookViewId="0">
      <selection activeCell="I81" sqref="I81"/>
    </sheetView>
  </sheetViews>
  <sheetFormatPr defaultRowHeight="15" x14ac:dyDescent="0.25"/>
  <cols>
    <col min="1" max="1" width="5.5703125" customWidth="1"/>
    <col min="8" max="8" width="24.140625" customWidth="1"/>
    <col min="9" max="9" width="14.85546875" bestFit="1" customWidth="1"/>
    <col min="10" max="10" width="14.5703125" bestFit="1" customWidth="1"/>
    <col min="11" max="14" width="12.42578125" bestFit="1" customWidth="1"/>
    <col min="15" max="15" width="7.42578125" bestFit="1" customWidth="1"/>
    <col min="16" max="16" width="16.5703125" bestFit="1" customWidth="1"/>
    <col min="17" max="17" width="16.28515625" bestFit="1" customWidth="1"/>
    <col min="18" max="26" width="12" bestFit="1" customWidth="1"/>
    <col min="27" max="27" width="12.140625" bestFit="1" customWidth="1"/>
    <col min="28" max="28" width="12" bestFit="1" customWidth="1"/>
  </cols>
  <sheetData>
    <row r="1" spans="2:26" x14ac:dyDescent="0.25">
      <c r="B1" s="2" t="s">
        <v>78</v>
      </c>
    </row>
    <row r="2" spans="2:26" x14ac:dyDescent="0.25">
      <c r="B2" s="1" t="s">
        <v>38</v>
      </c>
      <c r="C2" s="1" t="s">
        <v>39</v>
      </c>
      <c r="D2" s="1" t="s">
        <v>42</v>
      </c>
      <c r="E2" s="1" t="s">
        <v>40</v>
      </c>
    </row>
    <row r="3" spans="2:26" x14ac:dyDescent="0.25">
      <c r="B3">
        <v>1</v>
      </c>
      <c r="C3" t="s">
        <v>0</v>
      </c>
      <c r="D3">
        <v>0</v>
      </c>
      <c r="E3">
        <v>311650.04052777553</v>
      </c>
    </row>
    <row r="4" spans="2:26" x14ac:dyDescent="0.25">
      <c r="B4">
        <v>1</v>
      </c>
      <c r="C4" t="s">
        <v>0</v>
      </c>
      <c r="D4">
        <v>1</v>
      </c>
      <c r="E4">
        <v>356089.44833557063</v>
      </c>
      <c r="P4" s="74" t="s">
        <v>44</v>
      </c>
      <c r="Q4" s="74" t="s">
        <v>5</v>
      </c>
    </row>
    <row r="5" spans="2:26" x14ac:dyDescent="0.25">
      <c r="B5">
        <v>1</v>
      </c>
      <c r="C5" t="s">
        <v>1</v>
      </c>
      <c r="D5">
        <v>0</v>
      </c>
      <c r="E5">
        <v>1229608.9493126601</v>
      </c>
      <c r="I5" s="3" t="s">
        <v>44</v>
      </c>
      <c r="J5" s="3" t="s">
        <v>5</v>
      </c>
      <c r="K5" s="1"/>
      <c r="L5" s="1"/>
      <c r="M5" s="1"/>
      <c r="Q5" t="s">
        <v>0</v>
      </c>
      <c r="S5" t="s">
        <v>45</v>
      </c>
      <c r="T5" t="s">
        <v>1</v>
      </c>
      <c r="V5" t="s">
        <v>46</v>
      </c>
      <c r="W5" t="s">
        <v>2</v>
      </c>
      <c r="Y5" t="s">
        <v>47</v>
      </c>
      <c r="Z5" t="s">
        <v>4</v>
      </c>
    </row>
    <row r="6" spans="2:26" x14ac:dyDescent="0.25">
      <c r="B6">
        <v>1</v>
      </c>
      <c r="C6" t="s">
        <v>1</v>
      </c>
      <c r="D6">
        <v>1</v>
      </c>
      <c r="E6">
        <v>496.28557282869974</v>
      </c>
      <c r="I6" s="3" t="s">
        <v>3</v>
      </c>
      <c r="J6" s="1" t="s">
        <v>0</v>
      </c>
      <c r="K6" s="1" t="s">
        <v>1</v>
      </c>
      <c r="L6" s="1" t="s">
        <v>2</v>
      </c>
      <c r="M6" s="1" t="s">
        <v>4</v>
      </c>
      <c r="P6" s="74" t="s">
        <v>3</v>
      </c>
      <c r="Q6">
        <v>0</v>
      </c>
      <c r="R6">
        <v>1</v>
      </c>
      <c r="T6">
        <v>0</v>
      </c>
      <c r="U6">
        <v>1</v>
      </c>
      <c r="W6">
        <v>0</v>
      </c>
      <c r="X6">
        <v>1</v>
      </c>
    </row>
    <row r="7" spans="2:26" x14ac:dyDescent="0.25">
      <c r="B7">
        <v>1</v>
      </c>
      <c r="C7" t="s">
        <v>2</v>
      </c>
      <c r="D7">
        <v>0</v>
      </c>
      <c r="E7">
        <v>663899.41953010834</v>
      </c>
      <c r="H7" s="1" t="s">
        <v>6</v>
      </c>
      <c r="I7" s="4">
        <v>1</v>
      </c>
      <c r="J7" s="85">
        <v>667739.48886334617</v>
      </c>
      <c r="K7" s="85">
        <v>1230105.2348854889</v>
      </c>
      <c r="L7" s="85">
        <v>1343636.9371095512</v>
      </c>
      <c r="M7" s="85">
        <v>3241481.6608583862</v>
      </c>
      <c r="P7" s="75">
        <v>1</v>
      </c>
      <c r="Q7" s="97">
        <v>311650.04052777553</v>
      </c>
      <c r="R7" s="97">
        <v>356089.44833557063</v>
      </c>
      <c r="S7" s="97">
        <v>667739.48886334617</v>
      </c>
      <c r="T7" s="97">
        <v>1229608.9493126601</v>
      </c>
      <c r="U7" s="97">
        <v>496.28557282869974</v>
      </c>
      <c r="V7" s="97">
        <v>1230105.2348854889</v>
      </c>
      <c r="W7" s="97">
        <v>663899.41953010834</v>
      </c>
      <c r="X7" s="97">
        <v>679737.51757944282</v>
      </c>
      <c r="Y7" s="97">
        <v>1343636.9371095512</v>
      </c>
      <c r="Z7" s="97">
        <v>3241481.6608583862</v>
      </c>
    </row>
    <row r="8" spans="2:26" x14ac:dyDescent="0.25">
      <c r="B8">
        <v>1</v>
      </c>
      <c r="C8" t="s">
        <v>2</v>
      </c>
      <c r="D8">
        <v>1</v>
      </c>
      <c r="E8">
        <v>679737.51757944282</v>
      </c>
      <c r="H8" s="1" t="s">
        <v>7</v>
      </c>
      <c r="I8" s="4">
        <v>2</v>
      </c>
      <c r="J8" s="85">
        <v>114592.55289354955</v>
      </c>
      <c r="K8" s="85">
        <v>286903.59631397587</v>
      </c>
      <c r="L8" s="85">
        <v>303270.18710574182</v>
      </c>
      <c r="M8" s="85">
        <v>704766.33631326724</v>
      </c>
      <c r="P8" s="75">
        <v>2</v>
      </c>
      <c r="Q8" s="97">
        <v>83561.221108939819</v>
      </c>
      <c r="R8" s="97">
        <v>31031.331784609742</v>
      </c>
      <c r="S8" s="97">
        <v>114592.55289354955</v>
      </c>
      <c r="T8" s="97">
        <v>286903.59631397587</v>
      </c>
      <c r="U8" s="97"/>
      <c r="V8" s="97">
        <v>286903.59631397587</v>
      </c>
      <c r="W8" s="97">
        <v>230858.03226023554</v>
      </c>
      <c r="X8" s="97">
        <v>72412.154845506258</v>
      </c>
      <c r="Y8" s="97">
        <v>303270.18710574182</v>
      </c>
      <c r="Z8" s="97">
        <v>704766.33631326724</v>
      </c>
    </row>
    <row r="9" spans="2:26" x14ac:dyDescent="0.25">
      <c r="B9">
        <v>2</v>
      </c>
      <c r="C9" t="s">
        <v>0</v>
      </c>
      <c r="D9">
        <v>0</v>
      </c>
      <c r="E9">
        <v>83561.221108939819</v>
      </c>
      <c r="H9" s="1" t="s">
        <v>8</v>
      </c>
      <c r="I9" s="4">
        <v>3</v>
      </c>
      <c r="J9" s="85">
        <v>68345.75347247794</v>
      </c>
      <c r="K9" s="85">
        <v>90646.683137778877</v>
      </c>
      <c r="L9" s="85">
        <v>198575.94101364535</v>
      </c>
      <c r="M9" s="85">
        <v>357568.37762390217</v>
      </c>
      <c r="P9" s="75">
        <v>3</v>
      </c>
      <c r="Q9" s="97">
        <v>61904.494709690123</v>
      </c>
      <c r="R9" s="97">
        <v>6441.2587627878174</v>
      </c>
      <c r="S9" s="97">
        <v>68345.75347247794</v>
      </c>
      <c r="T9" s="97">
        <v>86787.19392694821</v>
      </c>
      <c r="U9" s="97">
        <v>3859.4892108306631</v>
      </c>
      <c r="V9" s="97">
        <v>90646.683137778877</v>
      </c>
      <c r="W9" s="97">
        <v>171454.29096303752</v>
      </c>
      <c r="X9" s="97">
        <v>27121.650050607841</v>
      </c>
      <c r="Y9" s="97">
        <v>198575.94101364535</v>
      </c>
      <c r="Z9" s="97">
        <v>357568.37762390217</v>
      </c>
    </row>
    <row r="10" spans="2:26" x14ac:dyDescent="0.25">
      <c r="B10">
        <v>2</v>
      </c>
      <c r="C10" t="s">
        <v>0</v>
      </c>
      <c r="D10">
        <v>1</v>
      </c>
      <c r="E10">
        <v>31031.331784609742</v>
      </c>
      <c r="H10" s="1" t="s">
        <v>9</v>
      </c>
      <c r="I10" s="4">
        <v>4</v>
      </c>
      <c r="J10" s="85">
        <v>255989.88428071633</v>
      </c>
      <c r="K10" s="85">
        <v>0</v>
      </c>
      <c r="L10" s="85">
        <v>485574.30636942881</v>
      </c>
      <c r="M10" s="85">
        <v>741564.19065014517</v>
      </c>
      <c r="P10" s="75">
        <v>4</v>
      </c>
      <c r="Q10" s="97">
        <v>255989.88428071633</v>
      </c>
      <c r="R10" s="97"/>
      <c r="S10" s="97">
        <v>255989.88428071633</v>
      </c>
      <c r="T10" s="97">
        <v>0</v>
      </c>
      <c r="U10" s="97"/>
      <c r="V10" s="97">
        <v>0</v>
      </c>
      <c r="W10" s="97">
        <v>485574.30636942881</v>
      </c>
      <c r="X10" s="97"/>
      <c r="Y10" s="97">
        <v>485574.30636942881</v>
      </c>
      <c r="Z10" s="97">
        <v>741564.19065014517</v>
      </c>
    </row>
    <row r="11" spans="2:26" x14ac:dyDescent="0.25">
      <c r="B11">
        <v>2</v>
      </c>
      <c r="C11" t="s">
        <v>1</v>
      </c>
      <c r="D11">
        <v>0</v>
      </c>
      <c r="E11">
        <v>286903.59631397587</v>
      </c>
      <c r="H11" s="1" t="s">
        <v>10</v>
      </c>
      <c r="I11" s="4">
        <v>5</v>
      </c>
      <c r="J11" s="85">
        <v>365408.67686414684</v>
      </c>
      <c r="K11" s="85">
        <v>0</v>
      </c>
      <c r="L11" s="85">
        <v>580519.78521612787</v>
      </c>
      <c r="M11" s="85">
        <v>945928.46208027471</v>
      </c>
      <c r="P11" s="75">
        <v>5</v>
      </c>
      <c r="Q11" s="97">
        <v>365408.67686414684</v>
      </c>
      <c r="R11" s="97"/>
      <c r="S11" s="97">
        <v>365408.67686414684</v>
      </c>
      <c r="T11" s="97">
        <v>0</v>
      </c>
      <c r="U11" s="97"/>
      <c r="V11" s="97">
        <v>0</v>
      </c>
      <c r="W11" s="97">
        <v>580519.78521612787</v>
      </c>
      <c r="X11" s="97"/>
      <c r="Y11" s="97">
        <v>580519.78521612787</v>
      </c>
      <c r="Z11" s="97">
        <v>945928.46208027471</v>
      </c>
    </row>
    <row r="12" spans="2:26" x14ac:dyDescent="0.25">
      <c r="B12">
        <v>2</v>
      </c>
      <c r="C12" t="s">
        <v>2</v>
      </c>
      <c r="D12">
        <v>0</v>
      </c>
      <c r="E12">
        <v>230858.03226023554</v>
      </c>
      <c r="H12" s="1" t="s">
        <v>11</v>
      </c>
      <c r="I12" s="4">
        <v>6</v>
      </c>
      <c r="J12" s="85">
        <v>74995.978217831318</v>
      </c>
      <c r="K12" s="85">
        <v>27888.048166248853</v>
      </c>
      <c r="L12" s="85">
        <v>64186.242709321567</v>
      </c>
      <c r="M12" s="85">
        <v>167070.26909340173</v>
      </c>
      <c r="P12" s="75">
        <v>6</v>
      </c>
      <c r="Q12" s="97">
        <v>74995.978217831318</v>
      </c>
      <c r="R12" s="97"/>
      <c r="S12" s="97">
        <v>74995.978217831318</v>
      </c>
      <c r="T12" s="97">
        <v>27888.048166248853</v>
      </c>
      <c r="U12" s="97"/>
      <c r="V12" s="97">
        <v>27888.048166248853</v>
      </c>
      <c r="W12" s="97">
        <v>59294.409690902619</v>
      </c>
      <c r="X12" s="97">
        <v>4891.8330184189444</v>
      </c>
      <c r="Y12" s="97">
        <v>64186.242709321567</v>
      </c>
      <c r="Z12" s="97">
        <v>167070.26909340176</v>
      </c>
    </row>
    <row r="13" spans="2:26" x14ac:dyDescent="0.25">
      <c r="B13">
        <v>2</v>
      </c>
      <c r="C13" t="s">
        <v>2</v>
      </c>
      <c r="D13">
        <v>1</v>
      </c>
      <c r="E13">
        <v>72412.154845506258</v>
      </c>
      <c r="H13" s="1" t="s">
        <v>12</v>
      </c>
      <c r="I13" s="4">
        <v>7</v>
      </c>
      <c r="J13" s="85">
        <v>387248.05504112464</v>
      </c>
      <c r="K13" s="85">
        <v>156147.04247572814</v>
      </c>
      <c r="L13" s="85">
        <v>169505.952664399</v>
      </c>
      <c r="M13" s="85">
        <v>712901.05018125172</v>
      </c>
      <c r="P13" s="75">
        <v>7</v>
      </c>
      <c r="Q13" s="97">
        <v>387248.05504112464</v>
      </c>
      <c r="R13" s="97"/>
      <c r="S13" s="97">
        <v>387248.05504112464</v>
      </c>
      <c r="T13" s="97">
        <v>156147.04247572814</v>
      </c>
      <c r="U13" s="97"/>
      <c r="V13" s="97">
        <v>156147.04247572814</v>
      </c>
      <c r="W13" s="97">
        <v>169505.952664399</v>
      </c>
      <c r="X13" s="97"/>
      <c r="Y13" s="97">
        <v>169505.952664399</v>
      </c>
      <c r="Z13" s="97">
        <v>712901.05018125172</v>
      </c>
    </row>
    <row r="14" spans="2:26" x14ac:dyDescent="0.25">
      <c r="B14">
        <v>3</v>
      </c>
      <c r="C14" t="s">
        <v>0</v>
      </c>
      <c r="D14">
        <v>0</v>
      </c>
      <c r="E14">
        <v>61904.494709690123</v>
      </c>
      <c r="H14" s="1" t="s">
        <v>13</v>
      </c>
      <c r="I14" s="4">
        <v>8</v>
      </c>
      <c r="J14" s="85">
        <v>251728.81883796302</v>
      </c>
      <c r="K14" s="85">
        <v>60599.900261288341</v>
      </c>
      <c r="L14" s="85"/>
      <c r="M14" s="85">
        <v>312328.71909925138</v>
      </c>
      <c r="P14" s="75">
        <v>8</v>
      </c>
      <c r="Q14" s="97">
        <v>251728.81883796302</v>
      </c>
      <c r="R14" s="97"/>
      <c r="S14" s="97">
        <v>251728.81883796302</v>
      </c>
      <c r="T14" s="97">
        <v>60599.900261288341</v>
      </c>
      <c r="U14" s="97"/>
      <c r="V14" s="97">
        <v>60599.900261288341</v>
      </c>
      <c r="W14" s="97"/>
      <c r="X14" s="97"/>
      <c r="Y14" s="97"/>
      <c r="Z14" s="97">
        <v>312328.71909925138</v>
      </c>
    </row>
    <row r="15" spans="2:26" x14ac:dyDescent="0.25">
      <c r="B15">
        <v>3</v>
      </c>
      <c r="C15" t="s">
        <v>0</v>
      </c>
      <c r="D15">
        <v>1</v>
      </c>
      <c r="E15">
        <v>6441.2587627878174</v>
      </c>
      <c r="I15" s="4" t="s">
        <v>4</v>
      </c>
      <c r="J15" s="85">
        <v>2186049.2084711557</v>
      </c>
      <c r="K15" s="85">
        <v>1852290.5052405091</v>
      </c>
      <c r="L15" s="85">
        <v>3145269.3521882156</v>
      </c>
      <c r="M15" s="85">
        <v>7183609.0658998815</v>
      </c>
      <c r="P15" s="75" t="s">
        <v>4</v>
      </c>
      <c r="Q15" s="97">
        <v>1792487.1695881877</v>
      </c>
      <c r="R15" s="97">
        <v>393562.03888296819</v>
      </c>
      <c r="S15" s="97">
        <v>2186049.2084711557</v>
      </c>
      <c r="T15" s="97">
        <v>1847934.7304568496</v>
      </c>
      <c r="U15" s="97">
        <v>4355.7747836593626</v>
      </c>
      <c r="V15" s="97">
        <v>1852290.5052405091</v>
      </c>
      <c r="W15" s="97">
        <v>2361106.1966942395</v>
      </c>
      <c r="X15" s="97">
        <v>784163.15549397597</v>
      </c>
      <c r="Y15" s="97">
        <v>3145269.3521882156</v>
      </c>
      <c r="Z15" s="97">
        <v>7183609.0658998815</v>
      </c>
    </row>
    <row r="16" spans="2:26" x14ac:dyDescent="0.25">
      <c r="B16" s="72">
        <v>3</v>
      </c>
      <c r="C16" s="72" t="s">
        <v>1</v>
      </c>
      <c r="D16" s="71">
        <v>0</v>
      </c>
      <c r="E16" s="72">
        <v>86787.19392694821</v>
      </c>
    </row>
    <row r="17" spans="2:17" x14ac:dyDescent="0.25">
      <c r="B17" s="72">
        <v>3</v>
      </c>
      <c r="C17" s="72" t="s">
        <v>1</v>
      </c>
      <c r="D17" s="71">
        <v>1</v>
      </c>
      <c r="E17" s="71">
        <v>3859.4892108306631</v>
      </c>
    </row>
    <row r="18" spans="2:17" x14ac:dyDescent="0.25">
      <c r="B18" s="72">
        <v>3</v>
      </c>
      <c r="C18" s="72" t="s">
        <v>2</v>
      </c>
      <c r="D18" s="71">
        <v>0</v>
      </c>
      <c r="E18" s="71">
        <v>171454.29096303752</v>
      </c>
    </row>
    <row r="19" spans="2:17" x14ac:dyDescent="0.25">
      <c r="B19" s="72">
        <v>3</v>
      </c>
      <c r="C19" s="72" t="s">
        <v>2</v>
      </c>
      <c r="D19" s="71">
        <v>1</v>
      </c>
      <c r="E19" s="71">
        <v>27121.650050607841</v>
      </c>
    </row>
    <row r="20" spans="2:17" x14ac:dyDescent="0.25">
      <c r="B20" s="72">
        <v>4</v>
      </c>
      <c r="C20" s="72" t="s">
        <v>0</v>
      </c>
      <c r="D20" s="71">
        <v>0</v>
      </c>
      <c r="E20" s="71">
        <v>255989.88428071633</v>
      </c>
    </row>
    <row r="21" spans="2:17" x14ac:dyDescent="0.25">
      <c r="B21" s="72">
        <v>4</v>
      </c>
      <c r="C21" s="72" t="s">
        <v>1</v>
      </c>
      <c r="D21" s="71">
        <v>0</v>
      </c>
      <c r="E21" s="71">
        <v>0</v>
      </c>
    </row>
    <row r="22" spans="2:17" x14ac:dyDescent="0.25">
      <c r="B22" s="72">
        <v>4</v>
      </c>
      <c r="C22" s="72" t="s">
        <v>2</v>
      </c>
      <c r="D22" s="71">
        <v>0</v>
      </c>
      <c r="E22" s="71">
        <v>485574.30636942881</v>
      </c>
    </row>
    <row r="23" spans="2:17" x14ac:dyDescent="0.25">
      <c r="B23" s="72">
        <v>5</v>
      </c>
      <c r="C23" s="72" t="s">
        <v>0</v>
      </c>
      <c r="D23" s="71">
        <v>0</v>
      </c>
      <c r="E23" s="71">
        <v>365408.67686414684</v>
      </c>
    </row>
    <row r="24" spans="2:17" x14ac:dyDescent="0.25">
      <c r="B24" s="72">
        <v>5</v>
      </c>
      <c r="C24" s="72" t="s">
        <v>1</v>
      </c>
      <c r="D24" s="71">
        <v>0</v>
      </c>
      <c r="E24" s="71">
        <v>0</v>
      </c>
    </row>
    <row r="25" spans="2:17" x14ac:dyDescent="0.25">
      <c r="B25" s="72">
        <v>5</v>
      </c>
      <c r="C25" s="72" t="s">
        <v>2</v>
      </c>
      <c r="D25" s="71">
        <v>0</v>
      </c>
      <c r="E25" s="72">
        <v>580519.78521612787</v>
      </c>
      <c r="I25" t="s">
        <v>79</v>
      </c>
      <c r="J25" t="s">
        <v>80</v>
      </c>
      <c r="K25" t="s">
        <v>81</v>
      </c>
      <c r="P25" t="s">
        <v>66</v>
      </c>
    </row>
    <row r="26" spans="2:17" x14ac:dyDescent="0.25">
      <c r="B26" s="2">
        <v>6</v>
      </c>
      <c r="C26" s="2" t="s">
        <v>0</v>
      </c>
      <c r="D26" s="2">
        <v>0</v>
      </c>
      <c r="E26" s="2">
        <v>17630.20679</v>
      </c>
      <c r="I26" s="1">
        <v>6</v>
      </c>
      <c r="J26" s="1" t="s">
        <v>0</v>
      </c>
      <c r="K26" s="1">
        <v>17630.20679</v>
      </c>
      <c r="M26" s="2">
        <v>6</v>
      </c>
      <c r="N26" s="2" t="s">
        <v>0</v>
      </c>
      <c r="O26" s="2">
        <v>0</v>
      </c>
      <c r="P26" s="2">
        <v>74995.978217831318</v>
      </c>
      <c r="Q26">
        <f>P26/SUM($P$26:$P$29)</f>
        <v>0.44888883357160519</v>
      </c>
    </row>
    <row r="27" spans="2:17" x14ac:dyDescent="0.25">
      <c r="B27" s="2">
        <v>6</v>
      </c>
      <c r="C27" s="2" t="s">
        <v>1</v>
      </c>
      <c r="D27" s="2">
        <v>0</v>
      </c>
      <c r="E27" s="2">
        <v>123094.58867</v>
      </c>
      <c r="I27" s="1">
        <v>6</v>
      </c>
      <c r="J27" s="1" t="s">
        <v>1</v>
      </c>
      <c r="K27" s="1">
        <v>123094.58867</v>
      </c>
      <c r="M27" s="2">
        <v>6</v>
      </c>
      <c r="N27" s="2" t="s">
        <v>1</v>
      </c>
      <c r="O27" s="2">
        <v>0</v>
      </c>
      <c r="P27" s="2">
        <v>27888.048166248853</v>
      </c>
      <c r="Q27">
        <f>P27/SUM($P$26:$P$29)</f>
        <v>0.16692406325543088</v>
      </c>
    </row>
    <row r="28" spans="2:17" x14ac:dyDescent="0.25">
      <c r="B28" s="2">
        <v>6</v>
      </c>
      <c r="C28" s="2" t="s">
        <v>2</v>
      </c>
      <c r="D28" s="2">
        <v>0</v>
      </c>
      <c r="E28" s="2">
        <v>17712.811699999998</v>
      </c>
      <c r="I28" s="1">
        <v>6</v>
      </c>
      <c r="J28" s="1" t="s">
        <v>2</v>
      </c>
      <c r="K28" s="1">
        <v>17712.811699999998</v>
      </c>
      <c r="M28" s="2">
        <v>6</v>
      </c>
      <c r="N28" s="2" t="s">
        <v>2</v>
      </c>
      <c r="O28" s="2">
        <v>0</v>
      </c>
      <c r="P28" s="2">
        <v>59294.409690902619</v>
      </c>
      <c r="Q28">
        <f>P28/SUM($P$26:$P$29)</f>
        <v>0.35490701016201559</v>
      </c>
    </row>
    <row r="29" spans="2:17" x14ac:dyDescent="0.25">
      <c r="B29" s="2">
        <v>7</v>
      </c>
      <c r="C29" s="2" t="s">
        <v>0</v>
      </c>
      <c r="D29" s="2">
        <v>0</v>
      </c>
      <c r="E29" s="2">
        <v>85466.730259999997</v>
      </c>
      <c r="I29" s="1">
        <v>7</v>
      </c>
      <c r="J29" s="1" t="s">
        <v>0</v>
      </c>
      <c r="K29" s="1">
        <v>85466.730259999997</v>
      </c>
      <c r="M29" s="2">
        <v>6</v>
      </c>
      <c r="N29" s="2" t="s">
        <v>2</v>
      </c>
      <c r="O29" s="2">
        <v>1</v>
      </c>
      <c r="P29" s="2">
        <v>4891.8330184189444</v>
      </c>
      <c r="Q29">
        <f>P29/SUM($P$26:$P$29)</f>
        <v>2.928009301094818E-2</v>
      </c>
    </row>
    <row r="30" spans="2:17" x14ac:dyDescent="0.25">
      <c r="B30" s="2">
        <v>7</v>
      </c>
      <c r="C30" s="2" t="s">
        <v>1</v>
      </c>
      <c r="D30" s="2">
        <v>0</v>
      </c>
      <c r="E30" s="2">
        <v>665066.56470999995</v>
      </c>
      <c r="I30" s="1">
        <v>7</v>
      </c>
      <c r="J30" s="1" t="s">
        <v>1</v>
      </c>
      <c r="K30" s="1">
        <v>665066.56470999995</v>
      </c>
      <c r="M30" s="2">
        <v>7</v>
      </c>
      <c r="N30" s="2" t="s">
        <v>0</v>
      </c>
      <c r="O30" s="2">
        <v>0</v>
      </c>
      <c r="P30" s="2">
        <v>387248.05504112464</v>
      </c>
      <c r="Q30">
        <f>P30/SUM($P$30:$P$32)</f>
        <v>0.54320028697204004</v>
      </c>
    </row>
    <row r="31" spans="2:17" x14ac:dyDescent="0.25">
      <c r="B31" s="2">
        <v>7</v>
      </c>
      <c r="C31" s="2" t="s">
        <v>2</v>
      </c>
      <c r="D31" s="2">
        <v>0</v>
      </c>
      <c r="E31" s="2">
        <v>64858.529419999999</v>
      </c>
      <c r="I31" s="1">
        <v>7</v>
      </c>
      <c r="J31" s="1" t="s">
        <v>2</v>
      </c>
      <c r="K31" s="1">
        <v>64858.529419999999</v>
      </c>
      <c r="M31" s="2">
        <v>7</v>
      </c>
      <c r="N31" s="2" t="s">
        <v>1</v>
      </c>
      <c r="O31" s="2">
        <v>0</v>
      </c>
      <c r="P31" s="2">
        <v>156147.04247572814</v>
      </c>
      <c r="Q31">
        <f>P31/SUM($P$30:$P$32)</f>
        <v>0.21903045652132017</v>
      </c>
    </row>
    <row r="32" spans="2:17" x14ac:dyDescent="0.25">
      <c r="B32" s="2">
        <v>8</v>
      </c>
      <c r="C32" s="2" t="s">
        <v>0</v>
      </c>
      <c r="D32" s="2">
        <v>0</v>
      </c>
      <c r="E32" s="2">
        <v>121625.49533999999</v>
      </c>
      <c r="I32" s="1">
        <v>8</v>
      </c>
      <c r="J32" s="1" t="s">
        <v>0</v>
      </c>
      <c r="K32" s="1">
        <v>121625.49533999999</v>
      </c>
      <c r="M32" s="2">
        <v>7</v>
      </c>
      <c r="N32" s="2" t="s">
        <v>2</v>
      </c>
      <c r="O32" s="2">
        <v>0</v>
      </c>
      <c r="P32" s="2">
        <v>169505.952664399</v>
      </c>
      <c r="Q32">
        <f>P32/SUM($P$30:$P$32)</f>
        <v>0.23776925650663988</v>
      </c>
    </row>
    <row r="33" spans="2:17" x14ac:dyDescent="0.25">
      <c r="B33" s="2">
        <v>8</v>
      </c>
      <c r="C33" s="2" t="s">
        <v>1</v>
      </c>
      <c r="D33" s="2">
        <v>0</v>
      </c>
      <c r="E33" s="2">
        <v>138048.92214000001</v>
      </c>
      <c r="I33" s="1">
        <v>8</v>
      </c>
      <c r="J33" s="1" t="s">
        <v>1</v>
      </c>
      <c r="K33" s="1">
        <v>138048.92214000001</v>
      </c>
      <c r="M33" s="2">
        <v>8</v>
      </c>
      <c r="N33" s="2" t="s">
        <v>0</v>
      </c>
      <c r="O33" s="2">
        <v>0</v>
      </c>
      <c r="P33" s="2">
        <v>251728.81883796302</v>
      </c>
      <c r="Q33">
        <f>P33/SUM($P$33:$P$35)</f>
        <v>0.6702113949827051</v>
      </c>
    </row>
    <row r="34" spans="2:17" x14ac:dyDescent="0.25">
      <c r="B34" s="2">
        <v>8</v>
      </c>
      <c r="C34" s="2" t="s">
        <v>2</v>
      </c>
      <c r="D34" s="2">
        <v>0</v>
      </c>
      <c r="E34" s="2">
        <v>145623.69245999999</v>
      </c>
      <c r="I34" s="1">
        <v>8</v>
      </c>
      <c r="J34" s="1" t="s">
        <v>2</v>
      </c>
      <c r="K34" s="1">
        <v>145623.69245999999</v>
      </c>
      <c r="M34" s="2">
        <v>8</v>
      </c>
      <c r="N34" s="2" t="s">
        <v>1</v>
      </c>
      <c r="O34" s="2">
        <v>0</v>
      </c>
      <c r="P34" s="2">
        <v>60599.900261288341</v>
      </c>
      <c r="Q34">
        <f>P34/SUM($P$33:$P$35)</f>
        <v>0.16134324181640253</v>
      </c>
    </row>
    <row r="35" spans="2:17" x14ac:dyDescent="0.25">
      <c r="B35" s="70"/>
      <c r="C35" s="70"/>
      <c r="D35" s="70"/>
      <c r="E35" s="70"/>
      <c r="M35" s="70">
        <v>8</v>
      </c>
      <c r="N35" s="70" t="s">
        <v>2</v>
      </c>
      <c r="O35" s="70">
        <v>0</v>
      </c>
      <c r="P35" s="70">
        <v>63267.429701619018</v>
      </c>
      <c r="Q35">
        <f>P35/SUM($P$33:$P$35)</f>
        <v>0.16844536320089235</v>
      </c>
    </row>
    <row r="36" spans="2:17" x14ac:dyDescent="0.25">
      <c r="G36" s="70"/>
      <c r="H36" s="70"/>
      <c r="I36" s="70"/>
      <c r="J36" s="70"/>
    </row>
    <row r="37" spans="2:17" x14ac:dyDescent="0.25">
      <c r="B37" s="70" t="s">
        <v>67</v>
      </c>
      <c r="G37" s="70"/>
      <c r="H37" s="70"/>
      <c r="I37" s="70"/>
      <c r="J37" s="70"/>
    </row>
    <row r="39" spans="2:17" x14ac:dyDescent="0.25">
      <c r="B39" s="73" t="s">
        <v>41</v>
      </c>
    </row>
    <row r="40" spans="2:17" x14ac:dyDescent="0.25">
      <c r="B40" s="2" t="s">
        <v>82</v>
      </c>
    </row>
    <row r="41" spans="2:17" x14ac:dyDescent="0.25">
      <c r="B41" t="s">
        <v>38</v>
      </c>
      <c r="C41" t="s">
        <v>39</v>
      </c>
      <c r="D41" t="s">
        <v>42</v>
      </c>
      <c r="E41" t="s">
        <v>40</v>
      </c>
    </row>
    <row r="42" spans="2:17" x14ac:dyDescent="0.25">
      <c r="B42">
        <v>1</v>
      </c>
      <c r="C42" t="s">
        <v>0</v>
      </c>
      <c r="D42">
        <v>0</v>
      </c>
      <c r="E42">
        <v>42440.120223558901</v>
      </c>
    </row>
    <row r="43" spans="2:17" x14ac:dyDescent="0.25">
      <c r="B43">
        <v>1</v>
      </c>
      <c r="C43" t="s">
        <v>0</v>
      </c>
      <c r="D43">
        <v>1</v>
      </c>
      <c r="E43" s="98">
        <v>34949.717585521903</v>
      </c>
    </row>
    <row r="44" spans="2:17" x14ac:dyDescent="0.25">
      <c r="B44">
        <v>1</v>
      </c>
      <c r="C44" t="s">
        <v>1</v>
      </c>
      <c r="D44">
        <v>0</v>
      </c>
      <c r="E44" s="98">
        <v>189035.97553224201</v>
      </c>
    </row>
    <row r="45" spans="2:17" x14ac:dyDescent="0.25">
      <c r="B45">
        <v>1</v>
      </c>
      <c r="C45" t="s">
        <v>1</v>
      </c>
      <c r="D45">
        <v>1</v>
      </c>
      <c r="E45" s="98">
        <v>11.895122060386599</v>
      </c>
    </row>
    <row r="46" spans="2:17" x14ac:dyDescent="0.25">
      <c r="B46">
        <v>1</v>
      </c>
      <c r="C46" t="s">
        <v>2</v>
      </c>
      <c r="D46">
        <v>0</v>
      </c>
      <c r="E46" s="98">
        <v>127025.50700007399</v>
      </c>
    </row>
    <row r="47" spans="2:17" x14ac:dyDescent="0.25">
      <c r="B47">
        <v>1</v>
      </c>
      <c r="C47" t="s">
        <v>2</v>
      </c>
      <c r="D47">
        <v>1</v>
      </c>
      <c r="E47">
        <v>73855.196489790207</v>
      </c>
    </row>
    <row r="48" spans="2:17" x14ac:dyDescent="0.25">
      <c r="B48">
        <v>2</v>
      </c>
      <c r="C48" t="s">
        <v>0</v>
      </c>
      <c r="D48">
        <v>0</v>
      </c>
      <c r="E48" s="98">
        <v>18151.648592629001</v>
      </c>
    </row>
    <row r="49" spans="2:5" x14ac:dyDescent="0.25">
      <c r="B49">
        <v>2</v>
      </c>
      <c r="C49" t="s">
        <v>0</v>
      </c>
      <c r="D49">
        <v>1</v>
      </c>
      <c r="E49" s="98">
        <v>6812.8480415026997</v>
      </c>
    </row>
    <row r="50" spans="2:5" x14ac:dyDescent="0.25">
      <c r="B50">
        <v>2</v>
      </c>
      <c r="C50" t="s">
        <v>1</v>
      </c>
      <c r="D50">
        <v>0</v>
      </c>
      <c r="E50" s="98">
        <v>53435.401330074703</v>
      </c>
    </row>
    <row r="51" spans="2:5" x14ac:dyDescent="0.25">
      <c r="B51">
        <v>2</v>
      </c>
      <c r="C51" t="s">
        <v>2</v>
      </c>
      <c r="D51">
        <v>0</v>
      </c>
      <c r="E51" s="98">
        <v>58618.953143026301</v>
      </c>
    </row>
    <row r="52" spans="2:5" x14ac:dyDescent="0.25">
      <c r="B52">
        <v>2</v>
      </c>
      <c r="C52" t="s">
        <v>2</v>
      </c>
      <c r="D52">
        <v>1</v>
      </c>
      <c r="E52" s="98">
        <v>23297.767900950501</v>
      </c>
    </row>
    <row r="53" spans="2:5" x14ac:dyDescent="0.25">
      <c r="B53">
        <v>3</v>
      </c>
      <c r="C53" t="s">
        <v>0</v>
      </c>
      <c r="D53">
        <v>0</v>
      </c>
      <c r="E53" s="98">
        <v>8720.9887555641799</v>
      </c>
    </row>
    <row r="54" spans="2:5" x14ac:dyDescent="0.25">
      <c r="B54">
        <v>3</v>
      </c>
      <c r="C54" t="s">
        <v>0</v>
      </c>
      <c r="D54">
        <v>1</v>
      </c>
      <c r="E54" s="98">
        <v>806.16615826191799</v>
      </c>
    </row>
    <row r="55" spans="2:5" x14ac:dyDescent="0.25">
      <c r="B55">
        <v>3</v>
      </c>
      <c r="C55" t="s">
        <v>1</v>
      </c>
      <c r="D55">
        <v>0</v>
      </c>
      <c r="E55" s="98">
        <v>16156.818333618099</v>
      </c>
    </row>
    <row r="56" spans="2:5" x14ac:dyDescent="0.25">
      <c r="B56">
        <v>3</v>
      </c>
      <c r="C56" t="s">
        <v>2</v>
      </c>
      <c r="D56">
        <v>0</v>
      </c>
      <c r="E56" s="98">
        <v>37665.217608869498</v>
      </c>
    </row>
    <row r="57" spans="2:5" x14ac:dyDescent="0.25">
      <c r="B57">
        <v>3</v>
      </c>
      <c r="C57" t="s">
        <v>2</v>
      </c>
      <c r="D57">
        <v>1</v>
      </c>
      <c r="E57" s="98">
        <v>1273.4484078276701</v>
      </c>
    </row>
    <row r="58" spans="2:5" x14ac:dyDescent="0.25">
      <c r="B58">
        <v>4</v>
      </c>
      <c r="C58" t="s">
        <v>0</v>
      </c>
      <c r="D58">
        <v>0</v>
      </c>
      <c r="E58" s="98">
        <v>29363.848703914198</v>
      </c>
    </row>
    <row r="59" spans="2:5" x14ac:dyDescent="0.25">
      <c r="B59">
        <v>4</v>
      </c>
      <c r="C59" t="s">
        <v>2</v>
      </c>
      <c r="D59">
        <v>0</v>
      </c>
      <c r="E59" s="98">
        <v>97455.557694488802</v>
      </c>
    </row>
    <row r="60" spans="2:5" x14ac:dyDescent="0.25">
      <c r="B60">
        <v>5</v>
      </c>
      <c r="C60" t="s">
        <v>0</v>
      </c>
      <c r="D60">
        <v>0</v>
      </c>
      <c r="E60" s="98">
        <v>77753.579838162696</v>
      </c>
    </row>
    <row r="61" spans="2:5" x14ac:dyDescent="0.25">
      <c r="B61">
        <v>5</v>
      </c>
      <c r="C61" t="s">
        <v>1</v>
      </c>
      <c r="D61">
        <v>0</v>
      </c>
      <c r="E61">
        <v>0</v>
      </c>
    </row>
    <row r="62" spans="2:5" x14ac:dyDescent="0.25">
      <c r="B62">
        <v>5</v>
      </c>
      <c r="C62" t="s">
        <v>2</v>
      </c>
      <c r="D62">
        <v>0</v>
      </c>
      <c r="E62" s="98">
        <v>132899.43226001901</v>
      </c>
    </row>
    <row r="63" spans="2:5" x14ac:dyDescent="0.25">
      <c r="B63">
        <v>6</v>
      </c>
      <c r="C63" t="s">
        <v>0</v>
      </c>
      <c r="D63">
        <v>0</v>
      </c>
      <c r="E63" s="98">
        <v>15205.108031785499</v>
      </c>
    </row>
    <row r="64" spans="2:5" x14ac:dyDescent="0.25">
      <c r="B64">
        <v>6</v>
      </c>
      <c r="C64" t="s">
        <v>1</v>
      </c>
      <c r="D64">
        <v>0</v>
      </c>
      <c r="E64">
        <v>9016.6041538972895</v>
      </c>
    </row>
    <row r="65" spans="2:5" x14ac:dyDescent="0.25">
      <c r="B65">
        <v>6</v>
      </c>
      <c r="C65" t="s">
        <v>2</v>
      </c>
      <c r="D65">
        <v>0</v>
      </c>
      <c r="E65" s="98">
        <v>5139.4604852474304</v>
      </c>
    </row>
    <row r="66" spans="2:5" x14ac:dyDescent="0.25">
      <c r="B66">
        <v>7</v>
      </c>
      <c r="C66" t="s">
        <v>0</v>
      </c>
      <c r="D66">
        <v>0</v>
      </c>
      <c r="E66" s="98">
        <v>55865.187218413499</v>
      </c>
    </row>
    <row r="67" spans="2:5" x14ac:dyDescent="0.25">
      <c r="B67">
        <v>7</v>
      </c>
      <c r="C67" t="s">
        <v>1</v>
      </c>
      <c r="D67">
        <v>0</v>
      </c>
      <c r="E67" s="98">
        <v>30708.7356188136</v>
      </c>
    </row>
    <row r="68" spans="2:5" x14ac:dyDescent="0.25">
      <c r="B68">
        <v>7</v>
      </c>
      <c r="C68" t="s">
        <v>2</v>
      </c>
      <c r="D68">
        <v>0</v>
      </c>
      <c r="E68" s="98">
        <v>24740.067184628599</v>
      </c>
    </row>
    <row r="69" spans="2:5" x14ac:dyDescent="0.25">
      <c r="B69">
        <v>8</v>
      </c>
      <c r="C69" t="s">
        <v>0</v>
      </c>
      <c r="D69">
        <v>0</v>
      </c>
      <c r="E69" s="98">
        <v>51528.465690210003</v>
      </c>
    </row>
    <row r="70" spans="2:5" x14ac:dyDescent="0.25">
      <c r="B70">
        <v>8</v>
      </c>
      <c r="C70" t="s">
        <v>1</v>
      </c>
      <c r="D70">
        <v>0</v>
      </c>
      <c r="E70" s="98">
        <v>11456.9494060052</v>
      </c>
    </row>
    <row r="71" spans="2:5" x14ac:dyDescent="0.25">
      <c r="B71">
        <v>8</v>
      </c>
      <c r="C71" t="s">
        <v>2</v>
      </c>
      <c r="D71">
        <v>0</v>
      </c>
      <c r="E71" s="98">
        <v>13515.481201254101</v>
      </c>
    </row>
    <row r="72" spans="2:5" x14ac:dyDescent="0.25">
      <c r="B72">
        <v>8</v>
      </c>
      <c r="C72" t="s">
        <v>2</v>
      </c>
      <c r="D72">
        <v>0</v>
      </c>
      <c r="E72">
        <v>15265.0597842961</v>
      </c>
    </row>
    <row r="74" spans="2:5" x14ac:dyDescent="0.25">
      <c r="B74" s="73" t="s">
        <v>43</v>
      </c>
    </row>
    <row r="75" spans="2:5" x14ac:dyDescent="0.25">
      <c r="B75" s="2" t="s">
        <v>83</v>
      </c>
    </row>
    <row r="76" spans="2:5" x14ac:dyDescent="0.25">
      <c r="B76" t="s">
        <v>38</v>
      </c>
      <c r="C76" t="s">
        <v>39</v>
      </c>
      <c r="D76" t="s">
        <v>42</v>
      </c>
      <c r="E76" t="s">
        <v>40</v>
      </c>
    </row>
    <row r="77" spans="2:5" x14ac:dyDescent="0.25">
      <c r="B77">
        <v>1</v>
      </c>
      <c r="C77" t="s">
        <v>0</v>
      </c>
      <c r="D77">
        <v>0</v>
      </c>
      <c r="E77">
        <v>18423.688229470201</v>
      </c>
    </row>
    <row r="78" spans="2:5" x14ac:dyDescent="0.25">
      <c r="B78">
        <v>1</v>
      </c>
      <c r="C78" t="s">
        <v>0</v>
      </c>
      <c r="D78">
        <v>1</v>
      </c>
      <c r="E78">
        <v>12826.636511644099</v>
      </c>
    </row>
    <row r="79" spans="2:5" x14ac:dyDescent="0.25">
      <c r="B79">
        <v>1</v>
      </c>
      <c r="C79" t="s">
        <v>1</v>
      </c>
      <c r="D79">
        <v>0</v>
      </c>
      <c r="E79">
        <v>86859.504460985801</v>
      </c>
    </row>
    <row r="80" spans="2:5" x14ac:dyDescent="0.25">
      <c r="B80">
        <v>1</v>
      </c>
      <c r="C80" t="s">
        <v>2</v>
      </c>
      <c r="D80">
        <v>0</v>
      </c>
      <c r="E80">
        <v>47374.704114529297</v>
      </c>
    </row>
    <row r="81" spans="2:5" x14ac:dyDescent="0.25">
      <c r="B81">
        <v>1</v>
      </c>
      <c r="C81" t="s">
        <v>2</v>
      </c>
      <c r="D81">
        <v>1</v>
      </c>
      <c r="E81">
        <v>26449.019526849301</v>
      </c>
    </row>
    <row r="82" spans="2:5" x14ac:dyDescent="0.25">
      <c r="B82">
        <v>2</v>
      </c>
      <c r="C82" t="s">
        <v>0</v>
      </c>
      <c r="D82">
        <v>0</v>
      </c>
      <c r="E82">
        <v>8252.02858894991</v>
      </c>
    </row>
    <row r="83" spans="2:5" x14ac:dyDescent="0.25">
      <c r="B83">
        <v>2</v>
      </c>
      <c r="C83" t="s">
        <v>0</v>
      </c>
      <c r="D83">
        <v>1</v>
      </c>
      <c r="E83">
        <v>3211.1715946837398</v>
      </c>
    </row>
    <row r="84" spans="2:5" x14ac:dyDescent="0.25">
      <c r="B84">
        <v>2</v>
      </c>
      <c r="C84" t="s">
        <v>1</v>
      </c>
      <c r="D84">
        <v>0</v>
      </c>
      <c r="E84">
        <v>25319.377984163901</v>
      </c>
    </row>
    <row r="85" spans="2:5" x14ac:dyDescent="0.25">
      <c r="B85">
        <v>2</v>
      </c>
      <c r="C85" t="s">
        <v>2</v>
      </c>
      <c r="D85">
        <v>0</v>
      </c>
      <c r="E85">
        <v>31036.9645680748</v>
      </c>
    </row>
    <row r="86" spans="2:5" x14ac:dyDescent="0.25">
      <c r="B86">
        <v>2</v>
      </c>
      <c r="C86" t="s">
        <v>2</v>
      </c>
      <c r="D86">
        <v>1</v>
      </c>
      <c r="E86">
        <v>14512.6994471867</v>
      </c>
    </row>
    <row r="87" spans="2:5" x14ac:dyDescent="0.25">
      <c r="B87">
        <v>3</v>
      </c>
      <c r="C87" t="s">
        <v>0</v>
      </c>
      <c r="D87">
        <v>0</v>
      </c>
      <c r="E87">
        <v>5823.3363642717104</v>
      </c>
    </row>
    <row r="88" spans="2:5" x14ac:dyDescent="0.25">
      <c r="B88">
        <v>3</v>
      </c>
      <c r="C88" t="s">
        <v>0</v>
      </c>
      <c r="D88">
        <v>1</v>
      </c>
      <c r="E88">
        <v>806.16615826191799</v>
      </c>
    </row>
    <row r="89" spans="2:5" x14ac:dyDescent="0.25">
      <c r="B89">
        <v>3</v>
      </c>
      <c r="C89" t="s">
        <v>1</v>
      </c>
      <c r="D89">
        <v>0</v>
      </c>
      <c r="E89">
        <v>5758.0807288944297</v>
      </c>
    </row>
    <row r="90" spans="2:5" x14ac:dyDescent="0.25">
      <c r="B90">
        <v>3</v>
      </c>
      <c r="C90" t="s">
        <v>2</v>
      </c>
      <c r="D90">
        <v>0</v>
      </c>
      <c r="E90">
        <v>24490.3952203263</v>
      </c>
    </row>
    <row r="91" spans="2:5" x14ac:dyDescent="0.25">
      <c r="B91">
        <v>3</v>
      </c>
      <c r="C91" t="s">
        <v>2</v>
      </c>
      <c r="D91">
        <v>1</v>
      </c>
      <c r="E91">
        <v>835.26353516384199</v>
      </c>
    </row>
    <row r="92" spans="2:5" x14ac:dyDescent="0.25">
      <c r="B92">
        <v>4</v>
      </c>
      <c r="C92" t="s">
        <v>0</v>
      </c>
      <c r="D92">
        <v>0</v>
      </c>
      <c r="E92">
        <v>13636.966861654601</v>
      </c>
    </row>
    <row r="93" spans="2:5" x14ac:dyDescent="0.25">
      <c r="B93">
        <v>4</v>
      </c>
      <c r="C93" t="s">
        <v>2</v>
      </c>
      <c r="D93">
        <v>0</v>
      </c>
      <c r="E93">
        <v>55224.916452867503</v>
      </c>
    </row>
    <row r="94" spans="2:5" x14ac:dyDescent="0.25">
      <c r="B94">
        <v>5</v>
      </c>
      <c r="C94" t="s">
        <v>0</v>
      </c>
      <c r="D94">
        <v>0</v>
      </c>
      <c r="E94">
        <v>37793.863417332002</v>
      </c>
    </row>
    <row r="95" spans="2:5" x14ac:dyDescent="0.25">
      <c r="B95">
        <v>5</v>
      </c>
      <c r="C95" t="s">
        <v>1</v>
      </c>
      <c r="D95">
        <v>0</v>
      </c>
      <c r="E95">
        <v>0</v>
      </c>
    </row>
    <row r="96" spans="2:5" x14ac:dyDescent="0.25">
      <c r="B96">
        <v>5</v>
      </c>
      <c r="C96" t="s">
        <v>2</v>
      </c>
      <c r="D96">
        <v>0</v>
      </c>
      <c r="E96">
        <v>47731.338847174498</v>
      </c>
    </row>
    <row r="97" spans="2:5" x14ac:dyDescent="0.25">
      <c r="B97">
        <v>6</v>
      </c>
      <c r="C97" t="s">
        <v>0</v>
      </c>
      <c r="D97">
        <v>0</v>
      </c>
      <c r="E97">
        <v>5380.9214008935496</v>
      </c>
    </row>
    <row r="98" spans="2:5" x14ac:dyDescent="0.25">
      <c r="B98">
        <v>6</v>
      </c>
      <c r="C98" t="s">
        <v>1</v>
      </c>
      <c r="D98">
        <v>0</v>
      </c>
      <c r="E98">
        <v>9016.6041538972895</v>
      </c>
    </row>
    <row r="99" spans="2:5" x14ac:dyDescent="0.25">
      <c r="B99">
        <v>6</v>
      </c>
      <c r="C99" t="s">
        <v>2</v>
      </c>
      <c r="D99">
        <v>0</v>
      </c>
      <c r="E99">
        <v>4811.0820825373603</v>
      </c>
    </row>
    <row r="100" spans="2:5" x14ac:dyDescent="0.25">
      <c r="B100">
        <v>7</v>
      </c>
      <c r="C100" t="s">
        <v>0</v>
      </c>
      <c r="D100">
        <v>0</v>
      </c>
      <c r="E100">
        <v>30415.8082419948</v>
      </c>
    </row>
    <row r="101" spans="2:5" x14ac:dyDescent="0.25">
      <c r="B101">
        <v>7</v>
      </c>
      <c r="C101" t="s">
        <v>1</v>
      </c>
      <c r="D101">
        <v>0</v>
      </c>
      <c r="E101">
        <v>18855.781344738702</v>
      </c>
    </row>
    <row r="102" spans="2:5" x14ac:dyDescent="0.25">
      <c r="B102">
        <v>7</v>
      </c>
      <c r="C102" t="s">
        <v>2</v>
      </c>
      <c r="D102">
        <v>0</v>
      </c>
      <c r="E102">
        <v>12297.3767443243</v>
      </c>
    </row>
    <row r="103" spans="2:5" x14ac:dyDescent="0.25">
      <c r="B103">
        <v>8</v>
      </c>
      <c r="C103" t="s">
        <v>0</v>
      </c>
      <c r="D103">
        <v>0</v>
      </c>
      <c r="E103">
        <v>37590.145706201001</v>
      </c>
    </row>
    <row r="104" spans="2:5" x14ac:dyDescent="0.25">
      <c r="B104">
        <v>8</v>
      </c>
      <c r="C104" t="s">
        <v>1</v>
      </c>
      <c r="D104">
        <v>0</v>
      </c>
      <c r="E104">
        <v>7775.3051060549496</v>
      </c>
    </row>
    <row r="105" spans="2:5" x14ac:dyDescent="0.25">
      <c r="B105">
        <v>8</v>
      </c>
      <c r="C105" t="s">
        <v>2</v>
      </c>
      <c r="D105">
        <v>0</v>
      </c>
      <c r="E105">
        <v>6310.7216117747303</v>
      </c>
    </row>
    <row r="106" spans="2:5" x14ac:dyDescent="0.25">
      <c r="B106">
        <v>8</v>
      </c>
      <c r="C106" t="s">
        <v>2</v>
      </c>
      <c r="D106">
        <v>0</v>
      </c>
      <c r="E106">
        <v>3369.9224068047401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20C08-DE7D-4601-8262-4A49474DE038}">
  <dimension ref="A1:F17"/>
  <sheetViews>
    <sheetView workbookViewId="0">
      <selection activeCell="N13" sqref="N13"/>
    </sheetView>
  </sheetViews>
  <sheetFormatPr defaultRowHeight="15" x14ac:dyDescent="0.25"/>
  <cols>
    <col min="1" max="1" width="12.42578125" customWidth="1"/>
    <col min="2" max="2" width="22.140625" bestFit="1" customWidth="1"/>
    <col min="3" max="3" width="20" bestFit="1" customWidth="1"/>
    <col min="4" max="4" width="17.7109375" bestFit="1" customWidth="1"/>
    <col min="5" max="5" width="15.5703125" bestFit="1" customWidth="1"/>
    <col min="6" max="6" width="9" bestFit="1" customWidth="1"/>
  </cols>
  <sheetData>
    <row r="1" spans="1:6" x14ac:dyDescent="0.25">
      <c r="A1" s="70" t="s">
        <v>85</v>
      </c>
    </row>
    <row r="2" spans="1:6" x14ac:dyDescent="0.25">
      <c r="A2" s="76" t="s">
        <v>48</v>
      </c>
      <c r="B2" s="77" t="s">
        <v>49</v>
      </c>
      <c r="C2" s="77" t="s">
        <v>50</v>
      </c>
      <c r="D2" s="77" t="s">
        <v>51</v>
      </c>
      <c r="E2" s="77" t="s">
        <v>52</v>
      </c>
      <c r="F2" s="77" t="s">
        <v>84</v>
      </c>
    </row>
    <row r="3" spans="1:6" x14ac:dyDescent="0.25">
      <c r="A3" s="78" t="s">
        <v>53</v>
      </c>
      <c r="B3" s="79">
        <v>1851</v>
      </c>
      <c r="C3" s="79">
        <v>175088.79114945314</v>
      </c>
      <c r="D3" s="79">
        <v>6747</v>
      </c>
      <c r="E3" s="79">
        <v>618796.47005168837</v>
      </c>
      <c r="F3" s="80">
        <v>0.2829505332097772</v>
      </c>
    </row>
    <row r="4" spans="1:6" x14ac:dyDescent="0.25">
      <c r="A4" s="78" t="s">
        <v>54</v>
      </c>
      <c r="B4" s="79">
        <v>722</v>
      </c>
      <c r="C4" s="79">
        <v>102336.28714474203</v>
      </c>
      <c r="D4" s="79">
        <v>2737</v>
      </c>
      <c r="E4" s="79">
        <v>485405.39103678789</v>
      </c>
      <c r="F4" s="80">
        <v>0.21082643298658002</v>
      </c>
    </row>
    <row r="5" spans="1:6" x14ac:dyDescent="0.25">
      <c r="A5" s="78" t="s">
        <v>55</v>
      </c>
      <c r="B5" s="79">
        <v>85</v>
      </c>
      <c r="C5" s="79">
        <v>16790.042504921126</v>
      </c>
      <c r="D5" s="79">
        <v>351</v>
      </c>
      <c r="E5" s="79">
        <v>85116.492319974481</v>
      </c>
      <c r="F5" s="80">
        <v>0.19725956800243952</v>
      </c>
    </row>
    <row r="6" spans="1:6" x14ac:dyDescent="0.25">
      <c r="A6" s="78" t="s">
        <v>56</v>
      </c>
      <c r="B6" s="79">
        <v>101</v>
      </c>
      <c r="C6" s="79">
        <v>15931.332811289754</v>
      </c>
      <c r="D6" s="79">
        <v>538</v>
      </c>
      <c r="E6" s="79">
        <v>67434.573368253274</v>
      </c>
      <c r="F6" s="80">
        <v>0.23624873733967861</v>
      </c>
    </row>
    <row r="7" spans="1:6" x14ac:dyDescent="0.25">
      <c r="A7" s="78" t="s">
        <v>57</v>
      </c>
      <c r="B7" s="79">
        <v>2554</v>
      </c>
      <c r="C7" s="79">
        <v>115512.35358695468</v>
      </c>
      <c r="D7" s="79">
        <v>9156</v>
      </c>
      <c r="E7" s="79">
        <v>415924.20833286521</v>
      </c>
      <c r="F7" s="80">
        <v>0.27772452594177888</v>
      </c>
    </row>
    <row r="8" spans="1:6" x14ac:dyDescent="0.25">
      <c r="A8" s="78" t="s">
        <v>58</v>
      </c>
      <c r="B8" s="79">
        <v>377</v>
      </c>
      <c r="C8" s="79">
        <v>83868.719042961209</v>
      </c>
      <c r="D8" s="79">
        <v>1534</v>
      </c>
      <c r="E8" s="79">
        <v>328653.86091417278</v>
      </c>
      <c r="F8" s="80">
        <v>0.25518860119176673</v>
      </c>
    </row>
    <row r="9" spans="1:6" x14ac:dyDescent="0.25">
      <c r="A9" s="78" t="s">
        <v>59</v>
      </c>
      <c r="B9" s="79">
        <v>1318</v>
      </c>
      <c r="C9" s="79">
        <v>212000.62695556699</v>
      </c>
      <c r="D9" s="79">
        <v>4994</v>
      </c>
      <c r="E9" s="79">
        <v>900685.42328621738</v>
      </c>
      <c r="F9" s="80">
        <v>0.23537699342581456</v>
      </c>
    </row>
    <row r="10" spans="1:6" x14ac:dyDescent="0.25">
      <c r="A10" s="78" t="s">
        <v>60</v>
      </c>
      <c r="B10" s="79">
        <v>283</v>
      </c>
      <c r="C10" s="79">
        <v>26498.32226727761</v>
      </c>
      <c r="D10" s="79">
        <v>1417</v>
      </c>
      <c r="E10" s="79">
        <v>183680.79294843943</v>
      </c>
      <c r="F10" s="80">
        <v>0.14426289130141054</v>
      </c>
    </row>
    <row r="11" spans="1:6" x14ac:dyDescent="0.25">
      <c r="A11" s="78" t="s">
        <v>61</v>
      </c>
      <c r="B11" s="79">
        <v>126</v>
      </c>
      <c r="C11" s="79">
        <v>30862.8913651404</v>
      </c>
      <c r="D11" s="79">
        <v>864</v>
      </c>
      <c r="E11" s="79">
        <v>217278.70849825043</v>
      </c>
      <c r="F11" s="80">
        <v>0.14204287009276342</v>
      </c>
    </row>
    <row r="12" spans="1:6" x14ac:dyDescent="0.25">
      <c r="A12" s="81" t="s">
        <v>4</v>
      </c>
      <c r="B12" s="82">
        <v>7417</v>
      </c>
      <c r="C12" s="82">
        <v>778889.3668283131</v>
      </c>
      <c r="D12" s="82">
        <v>28338</v>
      </c>
      <c r="E12" s="82">
        <v>3302975.9207566227</v>
      </c>
      <c r="F12" s="83">
        <v>0.23581442478390535</v>
      </c>
    </row>
    <row r="14" spans="1:6" x14ac:dyDescent="0.25">
      <c r="A14" s="84" t="s">
        <v>62</v>
      </c>
    </row>
    <row r="15" spans="1:6" x14ac:dyDescent="0.25">
      <c r="A15" s="84" t="s">
        <v>63</v>
      </c>
    </row>
    <row r="16" spans="1:6" x14ac:dyDescent="0.25">
      <c r="A16" t="s">
        <v>64</v>
      </c>
    </row>
    <row r="17" spans="1:1" x14ac:dyDescent="0.25">
      <c r="A17" s="73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35</v>
      </c>
    </row>
    <row r="2" spans="1:13" x14ac:dyDescent="0.2">
      <c r="A2" s="95" t="s">
        <v>34</v>
      </c>
      <c r="B2" s="95"/>
      <c r="C2" s="95"/>
      <c r="D2" s="95"/>
      <c r="E2" s="95"/>
      <c r="F2" s="60"/>
      <c r="H2" s="96"/>
      <c r="I2" s="96"/>
      <c r="J2" s="96"/>
      <c r="K2" s="96"/>
      <c r="L2" s="96"/>
    </row>
    <row r="3" spans="1:13" x14ac:dyDescent="0.2">
      <c r="A3" s="50" t="s">
        <v>14</v>
      </c>
      <c r="B3" s="59" t="s">
        <v>15</v>
      </c>
      <c r="C3" s="59" t="s">
        <v>16</v>
      </c>
      <c r="D3" s="59" t="s">
        <v>17</v>
      </c>
      <c r="E3" s="59" t="s">
        <v>18</v>
      </c>
      <c r="F3" s="59"/>
      <c r="I3" s="54"/>
      <c r="J3" s="54"/>
      <c r="K3" s="54"/>
      <c r="L3" s="54"/>
    </row>
    <row r="4" spans="1:13" x14ac:dyDescent="0.2">
      <c r="A4" s="50" t="s">
        <v>6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7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8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9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10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11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12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13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18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95" t="s">
        <v>33</v>
      </c>
      <c r="B14" s="95"/>
      <c r="C14" s="95"/>
      <c r="D14" s="95"/>
      <c r="E14" s="95"/>
      <c r="F14" s="60"/>
      <c r="H14" s="96"/>
      <c r="I14" s="96"/>
      <c r="J14" s="96"/>
      <c r="K14" s="96"/>
      <c r="L14" s="96"/>
    </row>
    <row r="15" spans="1:13" x14ac:dyDescent="0.2">
      <c r="A15" s="50" t="s">
        <v>14</v>
      </c>
      <c r="B15" s="59" t="s">
        <v>15</v>
      </c>
      <c r="C15" s="59" t="s">
        <v>16</v>
      </c>
      <c r="D15" s="59" t="s">
        <v>17</v>
      </c>
      <c r="E15" s="59" t="s">
        <v>18</v>
      </c>
      <c r="F15" s="59"/>
      <c r="I15" s="54"/>
      <c r="J15" s="54"/>
      <c r="K15" s="54"/>
      <c r="L15" s="54"/>
    </row>
    <row r="16" spans="1:13" x14ac:dyDescent="0.2">
      <c r="A16" s="50" t="s">
        <v>6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7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8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9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10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11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12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13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18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96" t="s">
        <v>32</v>
      </c>
      <c r="B27" s="96"/>
      <c r="C27" s="96"/>
      <c r="D27" s="96"/>
      <c r="E27" s="96"/>
      <c r="F27" s="56"/>
      <c r="H27" s="96"/>
      <c r="I27" s="96"/>
      <c r="J27" s="96"/>
      <c r="K27" s="96"/>
      <c r="L27" s="96"/>
    </row>
    <row r="28" spans="1:12" x14ac:dyDescent="0.2">
      <c r="A28" s="46" t="s">
        <v>14</v>
      </c>
      <c r="B28" s="54" t="s">
        <v>15</v>
      </c>
      <c r="C28" s="54" t="s">
        <v>16</v>
      </c>
      <c r="D28" s="54" t="s">
        <v>17</v>
      </c>
      <c r="E28" s="54" t="s">
        <v>18</v>
      </c>
      <c r="F28" s="54" t="s">
        <v>31</v>
      </c>
      <c r="I28" s="54"/>
      <c r="J28" s="54"/>
      <c r="K28" s="54"/>
      <c r="L28" s="54"/>
    </row>
    <row r="29" spans="1:12" x14ac:dyDescent="0.2">
      <c r="A29" s="46" t="s">
        <v>6</v>
      </c>
      <c r="B29" s="94">
        <v>0.79</v>
      </c>
      <c r="C29" s="94">
        <v>0.12</v>
      </c>
      <c r="D29" s="94">
        <v>0.09</v>
      </c>
      <c r="E29" s="94">
        <f>SUM(B29:D29)</f>
        <v>1</v>
      </c>
      <c r="F29" s="94">
        <v>0.47599999999999998</v>
      </c>
      <c r="I29" s="64"/>
      <c r="J29" s="64"/>
      <c r="K29" s="64"/>
      <c r="L29" s="64"/>
    </row>
    <row r="30" spans="1:12" x14ac:dyDescent="0.2">
      <c r="A30" s="46" t="s">
        <v>7</v>
      </c>
      <c r="B30" s="94"/>
      <c r="C30" s="94"/>
      <c r="D30" s="94"/>
      <c r="E30" s="94"/>
      <c r="F30" s="94"/>
      <c r="I30" s="64"/>
      <c r="J30" s="64"/>
      <c r="K30" s="64"/>
      <c r="L30" s="64"/>
    </row>
    <row r="31" spans="1:12" x14ac:dyDescent="0.2">
      <c r="A31" s="46" t="s">
        <v>8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9</v>
      </c>
      <c r="B32" s="94">
        <v>0</v>
      </c>
      <c r="C32" s="94">
        <v>0.8</v>
      </c>
      <c r="D32" s="94">
        <v>0.2</v>
      </c>
      <c r="E32" s="94">
        <f>SUM(B32:D32)</f>
        <v>1</v>
      </c>
      <c r="F32" s="94">
        <v>0.22600000000000001</v>
      </c>
      <c r="I32" s="64"/>
      <c r="J32" s="64"/>
      <c r="K32" s="64"/>
      <c r="L32" s="64"/>
    </row>
    <row r="33" spans="1:13" x14ac:dyDescent="0.2">
      <c r="A33" s="46" t="s">
        <v>10</v>
      </c>
      <c r="B33" s="94"/>
      <c r="C33" s="94"/>
      <c r="D33" s="94"/>
      <c r="E33" s="94"/>
      <c r="F33" s="94"/>
      <c r="I33" s="64"/>
      <c r="J33" s="64"/>
      <c r="K33" s="64"/>
      <c r="L33" s="64"/>
    </row>
    <row r="34" spans="1:13" x14ac:dyDescent="0.2">
      <c r="A34" s="46" t="s">
        <v>11</v>
      </c>
      <c r="B34" s="94">
        <v>0.65</v>
      </c>
      <c r="C34" s="94">
        <v>0.2</v>
      </c>
      <c r="D34" s="94">
        <v>0.15</v>
      </c>
      <c r="E34" s="94">
        <f>SUM(B34:D34)</f>
        <v>1</v>
      </c>
      <c r="F34" s="94">
        <v>0.246</v>
      </c>
      <c r="I34" s="64"/>
      <c r="J34" s="64"/>
      <c r="K34" s="64"/>
      <c r="L34" s="64"/>
    </row>
    <row r="35" spans="1:13" x14ac:dyDescent="0.2">
      <c r="A35" s="46" t="s">
        <v>12</v>
      </c>
      <c r="B35" s="94"/>
      <c r="C35" s="94"/>
      <c r="D35" s="94"/>
      <c r="E35" s="94"/>
      <c r="F35" s="94"/>
      <c r="I35" s="64"/>
      <c r="J35" s="64"/>
      <c r="K35" s="64"/>
      <c r="L35" s="64"/>
    </row>
    <row r="36" spans="1:13" x14ac:dyDescent="0.2">
      <c r="A36" s="46" t="s">
        <v>13</v>
      </c>
      <c r="B36" s="94"/>
      <c r="C36" s="94"/>
      <c r="D36" s="94"/>
      <c r="E36" s="94"/>
      <c r="F36" s="94"/>
      <c r="I36" s="64"/>
      <c r="J36" s="64"/>
      <c r="K36" s="64"/>
      <c r="L36" s="64"/>
    </row>
    <row r="37" spans="1:13" x14ac:dyDescent="0.2">
      <c r="A37" s="46" t="s">
        <v>18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14</v>
      </c>
      <c r="B40" s="54" t="s">
        <v>15</v>
      </c>
      <c r="C40" s="54" t="s">
        <v>16</v>
      </c>
      <c r="D40" s="54" t="s">
        <v>17</v>
      </c>
      <c r="E40" s="54" t="s">
        <v>18</v>
      </c>
      <c r="F40" s="54" t="s">
        <v>31</v>
      </c>
      <c r="H40" s="96"/>
      <c r="I40" s="96"/>
      <c r="J40" s="96"/>
      <c r="K40" s="96"/>
      <c r="L40" s="96"/>
    </row>
    <row r="41" spans="1:13" ht="12.75" x14ac:dyDescent="0.2">
      <c r="A41" s="46" t="s">
        <v>6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7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8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9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10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11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12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13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18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96"/>
      <c r="I52" s="96"/>
      <c r="J52" s="96"/>
      <c r="K52" s="96"/>
      <c r="L52" s="96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30</v>
      </c>
      <c r="B63" s="48"/>
      <c r="C63" s="48"/>
      <c r="D63" s="48"/>
      <c r="E63" s="48"/>
      <c r="F63" s="48"/>
    </row>
    <row r="64" spans="1:12" x14ac:dyDescent="0.2">
      <c r="A64" s="48" t="s">
        <v>29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96"/>
      <c r="I64" s="96"/>
      <c r="J64" s="96"/>
      <c r="K64" s="96"/>
      <c r="L64" s="96"/>
    </row>
    <row r="65" spans="1:11" x14ac:dyDescent="0.2">
      <c r="A65" s="48" t="s">
        <v>28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27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26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18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H52:L52"/>
    <mergeCell ref="H64:L64"/>
    <mergeCell ref="H40:L40"/>
    <mergeCell ref="D34:D36"/>
    <mergeCell ref="E34:E36"/>
    <mergeCell ref="F34:F36"/>
    <mergeCell ref="E32:E33"/>
    <mergeCell ref="H27:L27"/>
    <mergeCell ref="F29:F30"/>
    <mergeCell ref="F32:F33"/>
    <mergeCell ref="D29:D30"/>
    <mergeCell ref="D32:D33"/>
    <mergeCell ref="E29:E30"/>
    <mergeCell ref="A2:E2"/>
    <mergeCell ref="H2:L2"/>
    <mergeCell ref="A14:E14"/>
    <mergeCell ref="H14:L14"/>
    <mergeCell ref="A27:E27"/>
    <mergeCell ref="B29:B30"/>
    <mergeCell ref="C29:C30"/>
    <mergeCell ref="B34:B36"/>
    <mergeCell ref="B32:B33"/>
    <mergeCell ref="C32:C33"/>
    <mergeCell ref="C34:C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calibration</vt:lpstr>
      <vt:lpstr>modeldata</vt:lpstr>
      <vt:lpstr>BATS 2023</vt:lpstr>
      <vt:lpstr>BATS 2023 - WFH</vt:lpstr>
      <vt:lpstr>TM1 v03 Targets</vt:lpstr>
      <vt:lpstr>PersonType Chart</vt:lpstr>
      <vt:lpstr>'TM1 v03 Targets'!damp</vt:lpstr>
      <vt:lpstr>damp_cdap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2026-10-26T18:52:02Z</dcterms:modified>
</cp:coreProperties>
</file>