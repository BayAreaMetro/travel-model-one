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A1330CBA-E079-4F3E-9BDD-2031FF7E0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bration" sheetId="1" r:id="rId1"/>
    <sheet name="modeldata" sheetId="2" r:id="rId2"/>
    <sheet name="BATS 2023" sheetId="3" r:id="rId3"/>
    <sheet name="BATS 2023 - WFH" sheetId="7" r:id="rId4"/>
    <sheet name="TM1 v03 Targets" sheetId="6" state="hidden" r:id="rId5"/>
    <sheet name="PersonType Chart" sheetId="5" r:id="rId6"/>
  </sheets>
  <externalReferences>
    <externalReference r:id="rId7"/>
  </externalReferences>
  <definedNames>
    <definedName name="damp" localSheetId="4">'TM1 v03 Targets'!$L$50</definedName>
    <definedName name="damp">calibration!#REF!</definedName>
    <definedName name="damp_cdap">calibration!$C$27</definedName>
    <definedName name="damp_cdap_v2">calibration!#REF!</definedName>
    <definedName name="klaus">'TM1 v03 Targets'!#REF!</definedName>
  </definedNames>
  <calcPr calcId="191029"/>
  <pivotCaches>
    <pivotCache cacheId="66" r:id="rId8"/>
    <pivotCache cacheId="6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1" l="1"/>
  <c r="M67" i="1"/>
  <c r="N67" i="1"/>
  <c r="O67" i="1"/>
  <c r="P67" i="1"/>
  <c r="Q54" i="1"/>
  <c r="K67" i="1" s="1"/>
  <c r="Q33" i="3"/>
  <c r="Q31" i="3"/>
  <c r="Q32" i="3"/>
  <c r="Q30" i="3"/>
  <c r="Q28" i="3"/>
  <c r="Q29" i="3"/>
  <c r="Q27" i="3"/>
  <c r="Q26" i="3"/>
  <c r="Q24" i="3"/>
  <c r="Q25" i="3"/>
  <c r="L61" i="1"/>
  <c r="Q48" i="1"/>
  <c r="K61" i="1" s="1"/>
  <c r="O54" i="1"/>
  <c r="W54" i="1" s="1"/>
  <c r="P54" i="1"/>
  <c r="O47" i="1"/>
  <c r="P47" i="1"/>
  <c r="O48" i="1"/>
  <c r="O61" i="1" s="1"/>
  <c r="P48" i="1"/>
  <c r="P61" i="1" s="1"/>
  <c r="O49" i="1"/>
  <c r="P49" i="1"/>
  <c r="O50" i="1"/>
  <c r="P50" i="1"/>
  <c r="O51" i="1"/>
  <c r="P51" i="1"/>
  <c r="O52" i="1"/>
  <c r="P52" i="1"/>
  <c r="O53" i="1"/>
  <c r="P53" i="1"/>
  <c r="P46" i="1"/>
  <c r="O46" i="1"/>
  <c r="M46" i="1"/>
  <c r="M59" i="1" s="1"/>
  <c r="N46" i="1"/>
  <c r="N59" i="1" s="1"/>
  <c r="M47" i="1"/>
  <c r="N47" i="1"/>
  <c r="M48" i="1"/>
  <c r="M61" i="1" s="1"/>
  <c r="N48" i="1"/>
  <c r="M49" i="1"/>
  <c r="N49" i="1"/>
  <c r="N62" i="1" s="1"/>
  <c r="M50" i="1"/>
  <c r="N50" i="1"/>
  <c r="N63" i="1" s="1"/>
  <c r="M51" i="1"/>
  <c r="N51" i="1"/>
  <c r="M52" i="1"/>
  <c r="N52" i="1"/>
  <c r="M53" i="1"/>
  <c r="N53" i="1"/>
  <c r="K47" i="1"/>
  <c r="L47" i="1"/>
  <c r="K48" i="1"/>
  <c r="L48" i="1"/>
  <c r="K49" i="1"/>
  <c r="Q49" i="1" s="1"/>
  <c r="L49" i="1"/>
  <c r="L62" i="1" s="1"/>
  <c r="K50" i="1"/>
  <c r="Q50" i="1" s="1"/>
  <c r="L50" i="1"/>
  <c r="K51" i="1"/>
  <c r="L51" i="1"/>
  <c r="K52" i="1"/>
  <c r="L52" i="1"/>
  <c r="K53" i="1"/>
  <c r="Q53" i="1" s="1"/>
  <c r="L53" i="1"/>
  <c r="L46" i="1"/>
  <c r="K46" i="1"/>
  <c r="Q46" i="1" s="1"/>
  <c r="P59" i="1" s="1"/>
  <c r="C47" i="1"/>
  <c r="D47" i="1"/>
  <c r="T47" i="1" s="1"/>
  <c r="E47" i="1"/>
  <c r="U47" i="1" s="1"/>
  <c r="F47" i="1"/>
  <c r="G47" i="1"/>
  <c r="W47" i="1" s="1"/>
  <c r="H47" i="1"/>
  <c r="C48" i="1"/>
  <c r="S48" i="1" s="1"/>
  <c r="D48" i="1"/>
  <c r="T48" i="1" s="1"/>
  <c r="E48" i="1"/>
  <c r="U48" i="1" s="1"/>
  <c r="F48" i="1"/>
  <c r="G48" i="1"/>
  <c r="W48" i="1" s="1"/>
  <c r="H48" i="1"/>
  <c r="X48" i="1" s="1"/>
  <c r="C49" i="1"/>
  <c r="S49" i="1" s="1"/>
  <c r="D49" i="1"/>
  <c r="T49" i="1" s="1"/>
  <c r="E49" i="1"/>
  <c r="F49" i="1"/>
  <c r="G49" i="1"/>
  <c r="W49" i="1" s="1"/>
  <c r="H49" i="1"/>
  <c r="X49" i="1" s="1"/>
  <c r="C50" i="1"/>
  <c r="S50" i="1" s="1"/>
  <c r="D50" i="1"/>
  <c r="E50" i="1"/>
  <c r="F50" i="1"/>
  <c r="G50" i="1"/>
  <c r="W50" i="1" s="1"/>
  <c r="H50" i="1"/>
  <c r="X50" i="1" s="1"/>
  <c r="C51" i="1"/>
  <c r="D51" i="1"/>
  <c r="E51" i="1"/>
  <c r="U51" i="1" s="1"/>
  <c r="F51" i="1"/>
  <c r="G51" i="1"/>
  <c r="H51" i="1"/>
  <c r="C52" i="1"/>
  <c r="D52" i="1"/>
  <c r="T52" i="1" s="1"/>
  <c r="E52" i="1"/>
  <c r="U52" i="1" s="1"/>
  <c r="F52" i="1"/>
  <c r="G52" i="1"/>
  <c r="W52" i="1" s="1"/>
  <c r="H52" i="1"/>
  <c r="X52" i="1" s="1"/>
  <c r="C53" i="1"/>
  <c r="S53" i="1" s="1"/>
  <c r="D53" i="1"/>
  <c r="T53" i="1" s="1"/>
  <c r="E53" i="1"/>
  <c r="U53" i="1" s="1"/>
  <c r="F53" i="1"/>
  <c r="G53" i="1"/>
  <c r="W53" i="1" s="1"/>
  <c r="H53" i="1"/>
  <c r="X53" i="1" s="1"/>
  <c r="D46" i="1"/>
  <c r="E46" i="1"/>
  <c r="U46" i="1" s="1"/>
  <c r="F46" i="1"/>
  <c r="G46" i="1"/>
  <c r="H46" i="1"/>
  <c r="C46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C6" i="1"/>
  <c r="C7" i="1"/>
  <c r="C8" i="1"/>
  <c r="C9" i="1"/>
  <c r="C10" i="1"/>
  <c r="C11" i="1"/>
  <c r="C12" i="1"/>
  <c r="C5" i="1"/>
  <c r="X47" i="1" l="1"/>
  <c r="W51" i="1"/>
  <c r="X51" i="1"/>
  <c r="X46" i="1"/>
  <c r="W46" i="1"/>
  <c r="U49" i="1"/>
  <c r="U50" i="1"/>
  <c r="S47" i="1"/>
  <c r="T50" i="1"/>
  <c r="T51" i="1"/>
  <c r="S52" i="1"/>
  <c r="T46" i="1"/>
  <c r="S51" i="1"/>
  <c r="L66" i="1"/>
  <c r="K66" i="1"/>
  <c r="N66" i="1"/>
  <c r="P66" i="1"/>
  <c r="P65" i="1"/>
  <c r="N65" i="1"/>
  <c r="N60" i="1"/>
  <c r="M65" i="1"/>
  <c r="O66" i="1"/>
  <c r="P63" i="1"/>
  <c r="Q61" i="1"/>
  <c r="O62" i="1"/>
  <c r="P62" i="1"/>
  <c r="M66" i="1"/>
  <c r="O63" i="1"/>
  <c r="L63" i="1"/>
  <c r="N61" i="1"/>
  <c r="Q47" i="1"/>
  <c r="K60" i="1" s="1"/>
  <c r="K63" i="1"/>
  <c r="K59" i="1"/>
  <c r="Q59" i="1" s="1"/>
  <c r="O59" i="1"/>
  <c r="M62" i="1"/>
  <c r="Q52" i="1"/>
  <c r="L65" i="1" s="1"/>
  <c r="Q51" i="1"/>
  <c r="L59" i="1"/>
  <c r="K62" i="1"/>
  <c r="K65" i="1"/>
  <c r="M63" i="1"/>
  <c r="I48" i="1"/>
  <c r="G54" i="1"/>
  <c r="H54" i="1"/>
  <c r="F54" i="1"/>
  <c r="F8" i="1"/>
  <c r="I49" i="1"/>
  <c r="C62" i="1" s="1"/>
  <c r="I51" i="1"/>
  <c r="I47" i="1"/>
  <c r="D60" i="1" s="1"/>
  <c r="I50" i="1"/>
  <c r="I52" i="1"/>
  <c r="F12" i="1"/>
  <c r="I46" i="1"/>
  <c r="I53" i="1"/>
  <c r="E63" i="1"/>
  <c r="F10" i="1"/>
  <c r="F9" i="1"/>
  <c r="F5" i="1"/>
  <c r="F11" i="1"/>
  <c r="F7" i="1"/>
  <c r="D13" i="1"/>
  <c r="F6" i="1"/>
  <c r="E13" i="1"/>
  <c r="L54" i="1"/>
  <c r="V50" i="1"/>
  <c r="D54" i="1"/>
  <c r="M54" i="1"/>
  <c r="E54" i="1"/>
  <c r="V47" i="1"/>
  <c r="V52" i="1"/>
  <c r="C54" i="1"/>
  <c r="S46" i="1"/>
  <c r="K54" i="1"/>
  <c r="X54" i="1" s="1"/>
  <c r="C13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F61" i="1" l="1"/>
  <c r="V61" i="1" s="1"/>
  <c r="G61" i="1"/>
  <c r="W61" i="1" s="1"/>
  <c r="D61" i="1"/>
  <c r="H61" i="1"/>
  <c r="X61" i="1" s="1"/>
  <c r="C63" i="1"/>
  <c r="S63" i="1" s="1"/>
  <c r="D63" i="1"/>
  <c r="T63" i="1" s="1"/>
  <c r="Q62" i="1"/>
  <c r="Q63" i="1"/>
  <c r="M64" i="1"/>
  <c r="N64" i="1"/>
  <c r="O64" i="1"/>
  <c r="L60" i="1"/>
  <c r="Q60" i="1" s="1"/>
  <c r="O60" i="1"/>
  <c r="M60" i="1"/>
  <c r="K64" i="1"/>
  <c r="O65" i="1"/>
  <c r="P60" i="1"/>
  <c r="P64" i="1"/>
  <c r="Q66" i="1"/>
  <c r="L64" i="1"/>
  <c r="V48" i="1"/>
  <c r="V53" i="1"/>
  <c r="V46" i="1"/>
  <c r="V49" i="1"/>
  <c r="V51" i="1"/>
  <c r="E62" i="1"/>
  <c r="U62" i="1" s="1"/>
  <c r="D62" i="1"/>
  <c r="F60" i="1"/>
  <c r="V60" i="1" s="1"/>
  <c r="G60" i="1"/>
  <c r="H60" i="1"/>
  <c r="G65" i="1"/>
  <c r="H65" i="1"/>
  <c r="X65" i="1" s="1"/>
  <c r="F65" i="1"/>
  <c r="V65" i="1" s="1"/>
  <c r="D64" i="1"/>
  <c r="G64" i="1"/>
  <c r="H64" i="1"/>
  <c r="F64" i="1"/>
  <c r="D66" i="1"/>
  <c r="F66" i="1"/>
  <c r="V66" i="1" s="1"/>
  <c r="G66" i="1"/>
  <c r="W66" i="1" s="1"/>
  <c r="H66" i="1"/>
  <c r="X66" i="1" s="1"/>
  <c r="F59" i="1"/>
  <c r="V59" i="1" s="1"/>
  <c r="G59" i="1"/>
  <c r="W59" i="1" s="1"/>
  <c r="H59" i="1"/>
  <c r="X59" i="1" s="1"/>
  <c r="C59" i="1"/>
  <c r="D59" i="1"/>
  <c r="F63" i="1"/>
  <c r="V63" i="1" s="1"/>
  <c r="G63" i="1"/>
  <c r="W63" i="1" s="1"/>
  <c r="H63" i="1"/>
  <c r="X63" i="1" s="1"/>
  <c r="C65" i="1"/>
  <c r="H62" i="1"/>
  <c r="X62" i="1" s="1"/>
  <c r="F62" i="1"/>
  <c r="V62" i="1" s="1"/>
  <c r="G62" i="1"/>
  <c r="W62" i="1" s="1"/>
  <c r="I54" i="1"/>
  <c r="E59" i="1"/>
  <c r="E66" i="1"/>
  <c r="U66" i="1" s="1"/>
  <c r="C66" i="1"/>
  <c r="C61" i="1"/>
  <c r="E61" i="1"/>
  <c r="F13" i="1"/>
  <c r="U54" i="1"/>
  <c r="U63" i="1"/>
  <c r="E60" i="1"/>
  <c r="C64" i="1"/>
  <c r="S54" i="1"/>
  <c r="T54" i="1"/>
  <c r="E65" i="1"/>
  <c r="N54" i="1"/>
  <c r="S62" i="1"/>
  <c r="D65" i="1"/>
  <c r="C60" i="1"/>
  <c r="E64" i="1"/>
  <c r="F17" i="1"/>
  <c r="F4" i="6"/>
  <c r="C41" i="6" s="1"/>
  <c r="F5" i="6"/>
  <c r="C42" i="6" s="1"/>
  <c r="F6" i="6"/>
  <c r="C7" i="6"/>
  <c r="F7" i="6"/>
  <c r="D44" i="6" s="1"/>
  <c r="C8" i="6"/>
  <c r="C20" i="6" s="1"/>
  <c r="F8" i="6"/>
  <c r="F9" i="6"/>
  <c r="F10" i="6"/>
  <c r="F11" i="6"/>
  <c r="C48" i="6" s="1"/>
  <c r="F12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D19" i="6"/>
  <c r="E19" i="6"/>
  <c r="B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E29" i="6"/>
  <c r="E31" i="6"/>
  <c r="E32" i="6"/>
  <c r="E34" i="6"/>
  <c r="B37" i="6"/>
  <c r="C37" i="6"/>
  <c r="D37" i="6"/>
  <c r="F37" i="6"/>
  <c r="B39" i="6"/>
  <c r="B51" i="6" s="1"/>
  <c r="B41" i="6"/>
  <c r="D42" i="6"/>
  <c r="B43" i="6"/>
  <c r="C43" i="6"/>
  <c r="D43" i="6"/>
  <c r="A52" i="6"/>
  <c r="B52" i="6"/>
  <c r="C52" i="6"/>
  <c r="D52" i="6"/>
  <c r="E52" i="6"/>
  <c r="A53" i="6"/>
  <c r="A54" i="6"/>
  <c r="A55" i="6"/>
  <c r="A56" i="6"/>
  <c r="A57" i="6"/>
  <c r="A58" i="6"/>
  <c r="A59" i="6"/>
  <c r="A60" i="6"/>
  <c r="A61" i="6"/>
  <c r="I60" i="1" l="1"/>
  <c r="Y60" i="1" s="1"/>
  <c r="V64" i="1"/>
  <c r="W64" i="1"/>
  <c r="W60" i="1"/>
  <c r="W65" i="1"/>
  <c r="X60" i="1"/>
  <c r="X64" i="1"/>
  <c r="T60" i="1"/>
  <c r="Q65" i="1"/>
  <c r="Q64" i="1"/>
  <c r="T64" i="1"/>
  <c r="T62" i="1"/>
  <c r="U60" i="1"/>
  <c r="I63" i="1"/>
  <c r="Y63" i="1" s="1"/>
  <c r="I66" i="1"/>
  <c r="Y66" i="1" s="1"/>
  <c r="I62" i="1"/>
  <c r="Y62" i="1" s="1"/>
  <c r="I61" i="1"/>
  <c r="Y61" i="1" s="1"/>
  <c r="G67" i="1"/>
  <c r="H67" i="1"/>
  <c r="F67" i="1"/>
  <c r="I59" i="1"/>
  <c r="Y59" i="1" s="1"/>
  <c r="U59" i="1"/>
  <c r="I65" i="1"/>
  <c r="I64" i="1"/>
  <c r="T59" i="1"/>
  <c r="S65" i="1"/>
  <c r="U61" i="1"/>
  <c r="U64" i="1"/>
  <c r="S61" i="1"/>
  <c r="T61" i="1"/>
  <c r="S66" i="1"/>
  <c r="T66" i="1"/>
  <c r="E67" i="1"/>
  <c r="T65" i="1"/>
  <c r="V54" i="1"/>
  <c r="S60" i="1"/>
  <c r="C67" i="1"/>
  <c r="U65" i="1"/>
  <c r="S59" i="1"/>
  <c r="D67" i="1"/>
  <c r="S64" i="1"/>
  <c r="D65" i="6"/>
  <c r="C44" i="6"/>
  <c r="C55" i="6"/>
  <c r="B55" i="6"/>
  <c r="E37" i="6"/>
  <c r="B46" i="6"/>
  <c r="D48" i="6"/>
  <c r="B42" i="6"/>
  <c r="C65" i="6"/>
  <c r="B48" i="6"/>
  <c r="D41" i="6"/>
  <c r="E43" i="6"/>
  <c r="E44" i="6"/>
  <c r="C56" i="6" s="1"/>
  <c r="D47" i="6"/>
  <c r="C47" i="6"/>
  <c r="B65" i="6"/>
  <c r="E65" i="6" s="1"/>
  <c r="E55" i="6"/>
  <c r="D46" i="6"/>
  <c r="D55" i="6"/>
  <c r="C46" i="6"/>
  <c r="B47" i="6"/>
  <c r="D45" i="6"/>
  <c r="C45" i="6"/>
  <c r="E48" i="6"/>
  <c r="C60" i="6" s="1"/>
  <c r="C19" i="6"/>
  <c r="V67" i="1" l="1"/>
  <c r="X67" i="1"/>
  <c r="W67" i="1"/>
  <c r="Y65" i="1"/>
  <c r="Y64" i="1"/>
  <c r="I67" i="1"/>
  <c r="U67" i="1"/>
  <c r="S67" i="1"/>
  <c r="T67" i="1"/>
  <c r="B60" i="6"/>
  <c r="D60" i="6"/>
  <c r="E41" i="6"/>
  <c r="D64" i="6"/>
  <c r="B49" i="6"/>
  <c r="B54" i="6"/>
  <c r="E42" i="6"/>
  <c r="E46" i="6"/>
  <c r="E58" i="6" s="1"/>
  <c r="E45" i="6"/>
  <c r="C49" i="6"/>
  <c r="D58" i="6"/>
  <c r="C59" i="6"/>
  <c r="E60" i="6"/>
  <c r="D49" i="6"/>
  <c r="E56" i="6"/>
  <c r="B56" i="6"/>
  <c r="D56" i="6"/>
  <c r="E47" i="6"/>
  <c r="B59" i="6" s="1"/>
  <c r="E53" i="6" l="1"/>
  <c r="C53" i="6"/>
  <c r="C64" i="6"/>
  <c r="B64" i="6"/>
  <c r="E64" i="6" s="1"/>
  <c r="B53" i="6"/>
  <c r="C58" i="6"/>
  <c r="D53" i="6"/>
  <c r="B58" i="6"/>
  <c r="E54" i="6"/>
  <c r="D54" i="6"/>
  <c r="C54" i="6"/>
  <c r="B57" i="6"/>
  <c r="E57" i="6"/>
  <c r="E49" i="6"/>
  <c r="F45" i="6" s="1"/>
  <c r="C57" i="6"/>
  <c r="D66" i="6"/>
  <c r="E59" i="6"/>
  <c r="D67" i="6"/>
  <c r="B67" i="6"/>
  <c r="D59" i="6"/>
  <c r="D57" i="6"/>
  <c r="B66" i="6"/>
  <c r="C66" i="6"/>
  <c r="C67" i="6"/>
  <c r="F66" i="6" l="1"/>
  <c r="E67" i="6"/>
  <c r="F47" i="6"/>
  <c r="D68" i="6"/>
  <c r="E66" i="6"/>
  <c r="F68" i="6"/>
  <c r="D61" i="6"/>
  <c r="F67" i="6"/>
  <c r="F43" i="6"/>
  <c r="E61" i="6"/>
  <c r="F49" i="6"/>
  <c r="F64" i="6"/>
  <c r="F65" i="6"/>
  <c r="F41" i="6"/>
  <c r="F42" i="6"/>
  <c r="F44" i="6"/>
  <c r="F46" i="6"/>
  <c r="B61" i="6"/>
  <c r="F48" i="6"/>
  <c r="B68" i="6"/>
  <c r="E68" i="6" s="1"/>
  <c r="C68" i="6"/>
  <c r="C61" i="6"/>
  <c r="M34" i="1"/>
  <c r="M35" i="1"/>
  <c r="J6" i="1"/>
  <c r="J7" i="1"/>
  <c r="J8" i="1"/>
  <c r="J9" i="1"/>
  <c r="J10" i="1"/>
  <c r="J11" i="1"/>
  <c r="J12" i="1"/>
  <c r="J5" i="1"/>
  <c r="H8" i="1"/>
  <c r="H9" i="1"/>
  <c r="I6" i="1"/>
  <c r="I7" i="1"/>
  <c r="I8" i="1"/>
  <c r="I9" i="1"/>
  <c r="I10" i="1"/>
  <c r="I11" i="1"/>
  <c r="I12" i="1"/>
  <c r="I5" i="1"/>
  <c r="H6" i="1"/>
  <c r="H7" i="1"/>
  <c r="H10" i="1"/>
  <c r="H11" i="1"/>
  <c r="H12" i="1"/>
  <c r="H5" i="1"/>
  <c r="J13" i="1" l="1"/>
  <c r="K6" i="1"/>
  <c r="J18" i="1" s="1"/>
  <c r="K11" i="1"/>
  <c r="J23" i="1" s="1"/>
  <c r="K9" i="1"/>
  <c r="H21" i="1" s="1"/>
  <c r="K12" i="1"/>
  <c r="J24" i="1" s="1"/>
  <c r="K7" i="1"/>
  <c r="I19" i="1" s="1"/>
  <c r="K8" i="1"/>
  <c r="J20" i="1" s="1"/>
  <c r="K5" i="1"/>
  <c r="K10" i="1"/>
  <c r="I22" i="1" s="1"/>
  <c r="I13" i="1"/>
  <c r="H13" i="1"/>
  <c r="I17" i="1" l="1"/>
  <c r="K17" i="1"/>
  <c r="H18" i="1"/>
  <c r="K18" i="1"/>
  <c r="I23" i="1"/>
  <c r="I18" i="1"/>
  <c r="I21" i="1"/>
  <c r="I24" i="1"/>
  <c r="C17" i="1"/>
  <c r="M5" i="1"/>
  <c r="E19" i="1"/>
  <c r="O7" i="1"/>
  <c r="D18" i="1"/>
  <c r="N18" i="1" s="1"/>
  <c r="N6" i="1"/>
  <c r="E18" i="1"/>
  <c r="O18" i="1" s="1"/>
  <c r="O6" i="1"/>
  <c r="D19" i="1"/>
  <c r="N19" i="1" s="1"/>
  <c r="N7" i="1"/>
  <c r="D20" i="1"/>
  <c r="N8" i="1"/>
  <c r="E20" i="1"/>
  <c r="O20" i="1" s="1"/>
  <c r="O8" i="1"/>
  <c r="D21" i="1"/>
  <c r="N9" i="1"/>
  <c r="D22" i="1"/>
  <c r="N10" i="1"/>
  <c r="D24" i="1"/>
  <c r="N12" i="1"/>
  <c r="C19" i="1"/>
  <c r="M7" i="1"/>
  <c r="C20" i="1"/>
  <c r="M8" i="1"/>
  <c r="M9" i="1"/>
  <c r="C21" i="1"/>
  <c r="M21" i="1" s="1"/>
  <c r="E21" i="1"/>
  <c r="O9" i="1"/>
  <c r="C22" i="1"/>
  <c r="M10" i="1"/>
  <c r="O10" i="1"/>
  <c r="E22" i="1"/>
  <c r="C23" i="1"/>
  <c r="M11" i="1"/>
  <c r="D23" i="1"/>
  <c r="N11" i="1"/>
  <c r="E23" i="1"/>
  <c r="O23" i="1" s="1"/>
  <c r="O11" i="1"/>
  <c r="D17" i="1"/>
  <c r="N5" i="1"/>
  <c r="C24" i="1"/>
  <c r="M12" i="1"/>
  <c r="E17" i="1"/>
  <c r="O5" i="1"/>
  <c r="M6" i="1"/>
  <c r="C18" i="1"/>
  <c r="M18" i="1" s="1"/>
  <c r="E24" i="1"/>
  <c r="O24" i="1" s="1"/>
  <c r="O12" i="1"/>
  <c r="C25" i="1"/>
  <c r="E25" i="1"/>
  <c r="O13" i="1"/>
  <c r="D25" i="1"/>
  <c r="F24" i="1"/>
  <c r="F23" i="1"/>
  <c r="F18" i="1"/>
  <c r="P6" i="1"/>
  <c r="F22" i="1"/>
  <c r="F21" i="1"/>
  <c r="F20" i="1"/>
  <c r="F19" i="1"/>
  <c r="F25" i="1"/>
  <c r="N13" i="1"/>
  <c r="J22" i="1"/>
  <c r="K22" i="1"/>
  <c r="H22" i="1"/>
  <c r="P10" i="1"/>
  <c r="H20" i="1"/>
  <c r="K20" i="1"/>
  <c r="I20" i="1"/>
  <c r="P8" i="1"/>
  <c r="K19" i="1"/>
  <c r="H19" i="1"/>
  <c r="P7" i="1"/>
  <c r="J19" i="1"/>
  <c r="K24" i="1"/>
  <c r="P12" i="1"/>
  <c r="H24" i="1"/>
  <c r="P9" i="1"/>
  <c r="K21" i="1"/>
  <c r="J21" i="1"/>
  <c r="H23" i="1"/>
  <c r="K23" i="1"/>
  <c r="P11" i="1"/>
  <c r="M13" i="1"/>
  <c r="K13" i="1"/>
  <c r="J17" i="1"/>
  <c r="P5" i="1"/>
  <c r="H17" i="1"/>
  <c r="M19" i="1" l="1"/>
  <c r="P19" i="1"/>
  <c r="P18" i="1"/>
  <c r="M17" i="1"/>
  <c r="H37" i="1"/>
  <c r="M37" i="1" s="1"/>
  <c r="N20" i="1"/>
  <c r="M20" i="1"/>
  <c r="H32" i="1"/>
  <c r="M32" i="1" s="1"/>
  <c r="I32" i="1"/>
  <c r="N32" i="1" s="1"/>
  <c r="I33" i="1"/>
  <c r="N33" i="1" s="1"/>
  <c r="N23" i="1"/>
  <c r="I37" i="1"/>
  <c r="N37" i="1" s="1"/>
  <c r="H33" i="1"/>
  <c r="M33" i="1" s="1"/>
  <c r="H31" i="1"/>
  <c r="M31" i="1" s="1"/>
  <c r="H36" i="1"/>
  <c r="M36" i="1" s="1"/>
  <c r="M24" i="1"/>
  <c r="N17" i="1"/>
  <c r="I31" i="1"/>
  <c r="N31" i="1" s="1"/>
  <c r="I38" i="1"/>
  <c r="N38" i="1" s="1"/>
  <c r="I34" i="1"/>
  <c r="N34" i="1" s="1"/>
  <c r="N21" i="1"/>
  <c r="I35" i="1"/>
  <c r="N35" i="1" s="1"/>
  <c r="H38" i="1"/>
  <c r="M38" i="1" s="1"/>
  <c r="O19" i="1"/>
  <c r="N22" i="1"/>
  <c r="I36" i="1"/>
  <c r="N36" i="1" s="1"/>
  <c r="M22" i="1"/>
  <c r="O21" i="1"/>
  <c r="P23" i="1"/>
  <c r="M23" i="1"/>
  <c r="N24" i="1"/>
  <c r="K25" i="1"/>
  <c r="P25" i="1" s="1"/>
  <c r="P13" i="1"/>
  <c r="J25" i="1"/>
  <c r="O25" i="1" s="1"/>
  <c r="O22" i="1"/>
  <c r="H25" i="1"/>
  <c r="M25" i="1" s="1"/>
  <c r="P22" i="1"/>
  <c r="P20" i="1"/>
  <c r="P21" i="1"/>
  <c r="P24" i="1"/>
  <c r="I25" i="1"/>
  <c r="N25" i="1" s="1"/>
  <c r="P17" i="1"/>
  <c r="O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PBS&amp;J Employee</author>
  </authors>
  <commentList>
    <comment ref="B7" authorId="0" shapeId="0" xr:uid="{00000000-0006-0000-0100-000001000000}">
      <text>
        <r>
          <rPr>
            <sz val="10"/>
            <color indexed="81"/>
            <rFont val="Tahoma"/>
            <family val="2"/>
          </rPr>
          <t xml:space="preserve">Zeroed out original value.
</t>
        </r>
      </text>
    </comment>
    <comment ref="B8" authorId="0" shapeId="0" xr:uid="{00000000-0006-0000-0100-000002000000}">
      <text>
        <r>
          <rPr>
            <sz val="10"/>
            <color indexed="81"/>
            <rFont val="Tahoma"/>
            <family val="2"/>
          </rPr>
          <t>Zeroed out original value.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<sst xmlns="http://schemas.openxmlformats.org/spreadsheetml/2006/main" count="435" uniqueCount="88">
  <si>
    <t>H</t>
  </si>
  <si>
    <t>M</t>
  </si>
  <si>
    <t>N</t>
  </si>
  <si>
    <t>Row Labels</t>
  </si>
  <si>
    <t>Grand Total</t>
  </si>
  <si>
    <t>Column Labels</t>
  </si>
  <si>
    <t>Full-time worker</t>
  </si>
  <si>
    <t>Part-time worker</t>
  </si>
  <si>
    <t>University student</t>
  </si>
  <si>
    <t>Non-worker</t>
  </si>
  <si>
    <t>Retired</t>
  </si>
  <si>
    <t>Student of driving age</t>
  </si>
  <si>
    <t>Student of non-driving age</t>
  </si>
  <si>
    <t>Child too young for school</t>
  </si>
  <si>
    <t>Person type</t>
  </si>
  <si>
    <t>Mandatory</t>
  </si>
  <si>
    <t>Non-Mandatory</t>
  </si>
  <si>
    <t>Home</t>
  </si>
  <si>
    <t>Total</t>
  </si>
  <si>
    <t>Model</t>
  </si>
  <si>
    <t>PersonType</t>
  </si>
  <si>
    <t>Model minus Observed</t>
  </si>
  <si>
    <t>Change in Constant</t>
  </si>
  <si>
    <t>New Constant</t>
  </si>
  <si>
    <t>Old Constant</t>
  </si>
  <si>
    <t>dampening</t>
  </si>
  <si>
    <t>Kids</t>
  </si>
  <si>
    <t>Non-workers</t>
  </si>
  <si>
    <t>Students</t>
  </si>
  <si>
    <t>Workers</t>
  </si>
  <si>
    <t>Control calculations</t>
  </si>
  <si>
    <t>Share of Persons</t>
  </si>
  <si>
    <t>SFCTA Adjusted Targets</t>
  </si>
  <si>
    <t>HOUSEHOLD SURVEY SHARES</t>
  </si>
  <si>
    <t>HOUSEHOLD SURVEY</t>
  </si>
  <si>
    <t>Source: M:\Development\Travel Model One\Calibration\Version 03\04 Coordinated Daily Activity Pattern\4cdap_calib_mtccluster_2.xlsx</t>
  </si>
  <si>
    <t xml:space="preserve">Source: </t>
  </si>
  <si>
    <t>Bay Area Travel Study 2023</t>
  </si>
  <si>
    <t>person_type</t>
  </si>
  <si>
    <t>activity_pattern</t>
  </si>
  <si>
    <t>num_pers</t>
  </si>
  <si>
    <t>North Bay</t>
  </si>
  <si>
    <t>wfh_choice</t>
  </si>
  <si>
    <t>Solano/Napa</t>
  </si>
  <si>
    <t>Sum of num_pers</t>
  </si>
  <si>
    <t>H Total</t>
  </si>
  <si>
    <t>M Total</t>
  </si>
  <si>
    <t>N Total</t>
  </si>
  <si>
    <t>Home County Name</t>
  </si>
  <si>
    <t>Unweighted WFH Workers</t>
  </si>
  <si>
    <t>Weighted WFH Workers</t>
  </si>
  <si>
    <t>Unweighted Workers</t>
  </si>
  <si>
    <t>Weighted Workers</t>
  </si>
  <si>
    <t>Alameda</t>
  </si>
  <si>
    <t>Contra Costa</t>
  </si>
  <si>
    <t>Marin</t>
  </si>
  <si>
    <t>Napa</t>
  </si>
  <si>
    <t>San Francisco</t>
  </si>
  <si>
    <t>San Mateo</t>
  </si>
  <si>
    <t>Santa Clara</t>
  </si>
  <si>
    <t>Solano</t>
  </si>
  <si>
    <t>Sonoma</t>
  </si>
  <si>
    <t>**WFH Workers are defined as workers who make a WFH Choice (WFH Choice = 1)</t>
  </si>
  <si>
    <t>***WFH Choice is defined via the survey processing as: wfh = 1, telecommute &gt; 0, and no work tours that day</t>
  </si>
  <si>
    <t>WFH Rate is calculated as: WFH Workers/Workers</t>
  </si>
  <si>
    <t>BATS 2023 Values</t>
  </si>
  <si>
    <t>**Since BATS2023 was under-reporting children under 18 due to proxy targets, CDAP targets for children under 18 are based on the previous CHTS targets</t>
  </si>
  <si>
    <t>Bay Area Travel Study 2023 - WFH</t>
  </si>
  <si>
    <t>Did not WFH</t>
  </si>
  <si>
    <t>WFH</t>
  </si>
  <si>
    <t>Modeled</t>
  </si>
  <si>
    <t>H_WFH_0</t>
  </si>
  <si>
    <t>H_WFH_1</t>
  </si>
  <si>
    <t>M_WFH_0</t>
  </si>
  <si>
    <t>M_WFH_1</t>
  </si>
  <si>
    <t>N_WFH_0</t>
  </si>
  <si>
    <t>N_WFH_1</t>
  </si>
  <si>
    <t>Type</t>
  </si>
  <si>
    <t>CDAP</t>
  </si>
  <si>
    <t>CHTS Values</t>
  </si>
  <si>
    <t>WFH Share</t>
  </si>
  <si>
    <t>Source: M:/Development/Travel Model One/Calibration/Version 1.7/2023_BATS_Summaries/pipeline_mt_20261027/ctramp_2023/BATS_Summaries/dap_summaries.csv</t>
  </si>
  <si>
    <t>(blank)</t>
  </si>
  <si>
    <t>(blank) Total</t>
  </si>
  <si>
    <t>Source: M:\Development\Travel Model One\Calibration\Version 1.7\2023_BATS_Summaries\pipeline_mt_20261027\2023 BATS WFH Rates.xlsx</t>
  </si>
  <si>
    <t>Source: M:/Development/Travel Model One/Calibration/Version 1.7/2023_BATS_Summaries/pipeline_mt_20261027/ctramp_2023/BATS_Summaries/BATS2023_person_type_summary_north_bay</t>
  </si>
  <si>
    <t>Source: M:/Development/Travel Model One/Calibration/Version 1.7/2023_BATS_Summaries/pipeline_mt_20261027/ctramp_2023/BATS_Summaries/BATS2023_person_type_summary_solano_napa</t>
  </si>
  <si>
    <t>**Workers are defined as person who employment category is Full-Time or 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</si>
</sst>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0"/>
    <numFmt numFmtId="166" formatCode="0.0000;[Red]\-0.0000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color indexed="55"/>
      <name val="Calibri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9"/>
      <color rgb="FFFF0000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9" fontId="10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1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0" fontId="6" fillId="0" borderId="0" xfId="0" applyFont="1"/>
    <xf numFmtId="165" fontId="0" fillId="0" borderId="0" xfId="0" applyNumberFormat="1"/>
    <xf numFmtId="3" fontId="5" fillId="0" borderId="0" xfId="0" applyNumberFormat="1" applyFont="1"/>
    <xf numFmtId="3" fontId="7" fillId="0" borderId="0" xfId="0" applyNumberFormat="1" applyFont="1"/>
    <xf numFmtId="0" fontId="7" fillId="0" borderId="0" xfId="0" applyFont="1"/>
    <xf numFmtId="166" fontId="1" fillId="0" borderId="0" xfId="0" applyNumberFormat="1" applyFont="1"/>
    <xf numFmtId="167" fontId="1" fillId="2" borderId="0" xfId="0" applyNumberFormat="1" applyFont="1" applyFill="1"/>
    <xf numFmtId="166" fontId="1" fillId="0" borderId="1" xfId="0" applyNumberFormat="1" applyFont="1" applyBorder="1"/>
    <xf numFmtId="166" fontId="1" fillId="0" borderId="2" xfId="0" applyNumberFormat="1" applyFont="1" applyBorder="1"/>
    <xf numFmtId="0" fontId="7" fillId="0" borderId="3" xfId="0" applyFont="1" applyBorder="1"/>
    <xf numFmtId="166" fontId="1" fillId="0" borderId="4" xfId="0" applyNumberFormat="1" applyFont="1" applyBorder="1"/>
    <xf numFmtId="0" fontId="7" fillId="0" borderId="5" xfId="0" applyFont="1" applyBorder="1"/>
    <xf numFmtId="166" fontId="1" fillId="0" borderId="6" xfId="0" applyNumberFormat="1" applyFont="1" applyBorder="1"/>
    <xf numFmtId="166" fontId="1" fillId="0" borderId="7" xfId="0" applyNumberFormat="1" applyFont="1" applyBorder="1"/>
    <xf numFmtId="0" fontId="7" fillId="0" borderId="8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8" xfId="0" applyFont="1" applyBorder="1"/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1" applyFont="1"/>
    <xf numFmtId="164" fontId="9" fillId="0" borderId="0" xfId="1" applyNumberFormat="1" applyFont="1" applyAlignment="1">
      <alignment horizontal="right" vertical="center"/>
    </xf>
    <xf numFmtId="0" fontId="9" fillId="0" borderId="0" xfId="1" applyFont="1"/>
    <xf numFmtId="164" fontId="6" fillId="3" borderId="0" xfId="1" applyNumberFormat="1" applyFont="1" applyFill="1" applyAlignment="1">
      <alignment horizontal="right" vertical="center"/>
    </xf>
    <xf numFmtId="0" fontId="6" fillId="3" borderId="0" xfId="1" applyFont="1" applyFill="1"/>
    <xf numFmtId="0" fontId="5" fillId="3" borderId="0" xfId="1" applyFont="1" applyFill="1"/>
    <xf numFmtId="164" fontId="6" fillId="0" borderId="0" xfId="2" applyNumberFormat="1" applyFont="1" applyFill="1"/>
    <xf numFmtId="3" fontId="6" fillId="0" borderId="0" xfId="1" applyNumberFormat="1" applyFont="1"/>
    <xf numFmtId="0" fontId="6" fillId="0" borderId="0" xfId="1" applyFont="1" applyAlignment="1">
      <alignment horizontal="center"/>
    </xf>
    <xf numFmtId="164" fontId="6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center"/>
    </xf>
    <xf numFmtId="0" fontId="5" fillId="0" borderId="0" xfId="1" applyFont="1"/>
    <xf numFmtId="164" fontId="6" fillId="3" borderId="0" xfId="1" applyNumberFormat="1" applyFont="1" applyFill="1"/>
    <xf numFmtId="0" fontId="6" fillId="3" borderId="0" xfId="1" applyFont="1" applyFill="1" applyAlignment="1">
      <alignment horizontal="center"/>
    </xf>
    <xf numFmtId="3" fontId="5" fillId="3" borderId="0" xfId="1" applyNumberFormat="1" applyFont="1" applyFill="1" applyAlignment="1">
      <alignment horizontal="center"/>
    </xf>
    <xf numFmtId="164" fontId="6" fillId="3" borderId="0" xfId="2" applyNumberFormat="1" applyFont="1" applyFill="1"/>
    <xf numFmtId="3" fontId="6" fillId="3" borderId="0" xfId="1" applyNumberFormat="1" applyFont="1" applyFill="1"/>
    <xf numFmtId="9" fontId="6" fillId="0" borderId="0" xfId="2" applyFont="1" applyFill="1"/>
    <xf numFmtId="164" fontId="6" fillId="0" borderId="0" xfId="1" applyNumberFormat="1" applyFont="1"/>
    <xf numFmtId="165" fontId="8" fillId="0" borderId="0" xfId="1" applyNumberFormat="1"/>
    <xf numFmtId="165" fontId="6" fillId="0" borderId="0" xfId="1" applyNumberFormat="1" applyFont="1"/>
    <xf numFmtId="0" fontId="13" fillId="0" borderId="0" xfId="1" applyFont="1"/>
    <xf numFmtId="0" fontId="14" fillId="4" borderId="0" xfId="0" applyFont="1" applyFill="1"/>
    <xf numFmtId="0" fontId="15" fillId="4" borderId="0" xfId="0" applyFont="1" applyFill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quotePrefix="1" applyFont="1" applyAlignment="1">
      <alignment horizontal="left"/>
    </xf>
    <xf numFmtId="0" fontId="21" fillId="0" borderId="0" xfId="0" quotePrefix="1" applyFont="1" applyAlignment="1">
      <alignment horizontal="center"/>
    </xf>
    <xf numFmtId="0" fontId="21" fillId="0" borderId="0" xfId="0" quotePrefix="1" applyFont="1" applyAlignment="1">
      <alignment horizontal="left" vertical="top"/>
    </xf>
    <xf numFmtId="3" fontId="21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0" fontId="22" fillId="0" borderId="0" xfId="0" quotePrefix="1" applyFont="1" applyAlignment="1">
      <alignment horizontal="left" vertical="top"/>
    </xf>
    <xf numFmtId="3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top"/>
    </xf>
    <xf numFmtId="43" fontId="1" fillId="0" borderId="0" xfId="0" applyNumberFormat="1" applyFont="1"/>
    <xf numFmtId="0" fontId="1" fillId="0" borderId="7" xfId="0" applyFont="1" applyBorder="1"/>
    <xf numFmtId="164" fontId="1" fillId="0" borderId="2" xfId="3" applyNumberFormat="1" applyFont="1" applyBorder="1"/>
    <xf numFmtId="164" fontId="1" fillId="0" borderId="3" xfId="3" applyNumberFormat="1" applyFont="1" applyBorder="1"/>
    <xf numFmtId="164" fontId="1" fillId="0" borderId="0" xfId="3" applyNumberFormat="1" applyFont="1" applyBorder="1"/>
    <xf numFmtId="164" fontId="1" fillId="0" borderId="5" xfId="3" applyNumberFormat="1" applyFont="1" applyBorder="1"/>
    <xf numFmtId="164" fontId="1" fillId="0" borderId="7" xfId="3" applyNumberFormat="1" applyFont="1" applyBorder="1"/>
    <xf numFmtId="164" fontId="1" fillId="0" borderId="8" xfId="3" applyNumberFormat="1" applyFont="1" applyBorder="1"/>
    <xf numFmtId="9" fontId="1" fillId="0" borderId="0" xfId="3" applyFont="1"/>
    <xf numFmtId="0" fontId="0" fillId="0" borderId="0" xfId="0" quotePrefix="1"/>
    <xf numFmtId="164" fontId="6" fillId="0" borderId="0" xfId="1" applyNumberFormat="1" applyFont="1" applyAlignment="1">
      <alignment horizontal="right" vertical="center"/>
    </xf>
    <xf numFmtId="3" fontId="5" fillId="3" borderId="0" xfId="1" applyNumberFormat="1" applyFont="1" applyFill="1" applyAlignment="1">
      <alignment horizontal="center"/>
    </xf>
    <xf numFmtId="3" fontId="5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83A0AB90-23CF-41D1-8C82-7D6057588797}"/>
    <cellStyle name="Percent" xfId="3" builtinId="5"/>
    <cellStyle name="Percent 2" xfId="2" xr:uid="{CB21E4C0-D945-46EE-9A00-BE0A2B1C7632}"/>
  </cellStyles>
  <dxfs count="3"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Activity Pattern by Person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Observed Mandatory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calibration!$B$5:$B$12</c:f>
              <c:strCache>
                <c:ptCount val="8"/>
                <c:pt idx="0">
                  <c:v>Full-time worker</c:v>
                </c:pt>
                <c:pt idx="1">
                  <c:v>Part-time worker</c:v>
                </c:pt>
                <c:pt idx="2">
                  <c:v>University student</c:v>
                </c:pt>
                <c:pt idx="3">
                  <c:v>Non-worker</c:v>
                </c:pt>
                <c:pt idx="4">
                  <c:v>Retired</c:v>
                </c:pt>
                <c:pt idx="5">
                  <c:v>Student of driving age</c:v>
                </c:pt>
                <c:pt idx="6">
                  <c:v>Student of non-driving age</c:v>
                </c:pt>
                <c:pt idx="7">
                  <c:v>Child too young for school</c:v>
                </c:pt>
              </c:strCache>
            </c:strRef>
          </c:cat>
          <c:val>
            <c:numRef>
              <c:f>calibration!$C$5:$C$12</c:f>
              <c:numCache>
                <c:formatCode>#,##0</c:formatCode>
                <c:ptCount val="8"/>
                <c:pt idx="0">
                  <c:v>1588701.5018570437</c:v>
                </c:pt>
                <c:pt idx="1">
                  <c:v>319170.30364285648</c:v>
                </c:pt>
                <c:pt idx="2">
                  <c:v>108654.68262759341</c:v>
                </c:pt>
                <c:pt idx="3">
                  <c:v>0</c:v>
                </c:pt>
                <c:pt idx="4">
                  <c:v>0</c:v>
                </c:pt>
                <c:pt idx="5">
                  <c:v>123094.58867</c:v>
                </c:pt>
                <c:pt idx="6">
                  <c:v>665066.56470999995</c:v>
                </c:pt>
                <c:pt idx="7">
                  <c:v>138048.92214000001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6-48D5-B274-B62062C07971}"/>
            </c:ext>
          </c:extLst>
        </c:ser>
        <c:ser>
          <c:idx val="1"/>
          <c:order val="1"/>
          <c:tx>
            <c:v>Observed Non-Mandatory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calibration!$B$5:$B$12</c:f>
              <c:strCache>
                <c:ptCount val="8"/>
                <c:pt idx="0">
                  <c:v>Full-time worker</c:v>
                </c:pt>
                <c:pt idx="1">
                  <c:v>Part-time worker</c:v>
                </c:pt>
                <c:pt idx="2">
                  <c:v>University student</c:v>
                </c:pt>
                <c:pt idx="3">
                  <c:v>Non-worker</c:v>
                </c:pt>
                <c:pt idx="4">
                  <c:v>Retired</c:v>
                </c:pt>
                <c:pt idx="5">
                  <c:v>Student of driving age</c:v>
                </c:pt>
                <c:pt idx="6">
                  <c:v>Student of non-driving age</c:v>
                </c:pt>
                <c:pt idx="7">
                  <c:v>Child too young for school</c:v>
                </c:pt>
              </c:strCache>
            </c:strRef>
          </c:cat>
          <c:val>
            <c:numRef>
              <c:f>calibration!$D$5:$D$12</c:f>
              <c:numCache>
                <c:formatCode>#,##0</c:formatCode>
                <c:ptCount val="8"/>
                <c:pt idx="0">
                  <c:v>1105032.4743517339</c:v>
                </c:pt>
                <c:pt idx="1">
                  <c:v>257636.156587979</c:v>
                </c:pt>
                <c:pt idx="2">
                  <c:v>226287.47546042764</c:v>
                </c:pt>
                <c:pt idx="3">
                  <c:v>572446.56056817796</c:v>
                </c:pt>
                <c:pt idx="4">
                  <c:v>661707.41365374334</c:v>
                </c:pt>
                <c:pt idx="5">
                  <c:v>17712.811699999998</c:v>
                </c:pt>
                <c:pt idx="6">
                  <c:v>64858.529419999999</c:v>
                </c:pt>
                <c:pt idx="7">
                  <c:v>145623.69245999999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6-48D5-B274-B62062C07971}"/>
            </c:ext>
          </c:extLst>
        </c:ser>
        <c:ser>
          <c:idx val="2"/>
          <c:order val="2"/>
          <c:tx>
            <c:v>Observed Home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calibration!$B$5:$B$12</c:f>
              <c:strCache>
                <c:ptCount val="8"/>
                <c:pt idx="0">
                  <c:v>Full-time worker</c:v>
                </c:pt>
                <c:pt idx="1">
                  <c:v>Part-time worker</c:v>
                </c:pt>
                <c:pt idx="2">
                  <c:v>University student</c:v>
                </c:pt>
                <c:pt idx="3">
                  <c:v>Non-worker</c:v>
                </c:pt>
                <c:pt idx="4">
                  <c:v>Retired</c:v>
                </c:pt>
                <c:pt idx="5">
                  <c:v>Student of driving age</c:v>
                </c:pt>
                <c:pt idx="6">
                  <c:v>Student of non-driving age</c:v>
                </c:pt>
                <c:pt idx="7">
                  <c:v>Child too young for school</c:v>
                </c:pt>
              </c:strCache>
            </c:strRef>
          </c:cat>
          <c:val>
            <c:numRef>
              <c:f>calibration!$E$5:$E$12</c:f>
              <c:numCache>
                <c:formatCode>#,##0</c:formatCode>
                <c:ptCount val="8"/>
                <c:pt idx="0">
                  <c:v>487610.62722724717</c:v>
                </c:pt>
                <c:pt idx="1">
                  <c:v>95209.139059101493</c:v>
                </c:pt>
                <c:pt idx="2">
                  <c:v>77720.499217960678</c:v>
                </c:pt>
                <c:pt idx="3">
                  <c:v>197443.74470609266</c:v>
                </c:pt>
                <c:pt idx="4">
                  <c:v>292213.42803144874</c:v>
                </c:pt>
                <c:pt idx="5">
                  <c:v>17630.20679</c:v>
                </c:pt>
                <c:pt idx="6">
                  <c:v>85466.730259999997</c:v>
                </c:pt>
                <c:pt idx="7">
                  <c:v>121625.49533999999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6-48D5-B274-B62062C0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04104816"/>
        <c:axId val="404104032"/>
      </c:barChart>
      <c:barChart>
        <c:barDir val="col"/>
        <c:grouping val="percentStacked"/>
        <c:varyColors val="0"/>
        <c:ser>
          <c:idx val="3"/>
          <c:order val="3"/>
          <c:tx>
            <c:v>Modeled Mandatory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calibration!$H$5:$H$12</c:f>
              <c:numCache>
                <c:formatCode>#,##0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96-48D5-B274-B62062C07971}"/>
            </c:ext>
          </c:extLst>
        </c:ser>
        <c:ser>
          <c:idx val="4"/>
          <c:order val="4"/>
          <c:tx>
            <c:v>Modeled Non-Mandatory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calibration!$I$5:$I$12</c:f>
              <c:numCache>
                <c:formatCode>#,##0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96-48D5-B274-B62062C07971}"/>
            </c:ext>
          </c:extLst>
        </c:ser>
        <c:ser>
          <c:idx val="5"/>
          <c:order val="5"/>
          <c:tx>
            <c:v>Modeled Home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calibration!$J$5:$J$12</c:f>
              <c:numCache>
                <c:formatCode>#,##0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96-48D5-B274-B62062C0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-434883160"/>
        <c:axId val="-434884728"/>
      </c:barChart>
      <c:catAx>
        <c:axId val="4041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04032"/>
        <c:crosses val="autoZero"/>
        <c:auto val="1"/>
        <c:lblAlgn val="ctr"/>
        <c:lblOffset val="100"/>
        <c:noMultiLvlLbl val="0"/>
      </c:catAx>
      <c:valAx>
        <c:axId val="4041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04816"/>
        <c:crosses val="autoZero"/>
        <c:crossBetween val="between"/>
      </c:valAx>
      <c:valAx>
        <c:axId val="-43488472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4883160"/>
        <c:crosses val="max"/>
        <c:crossBetween val="between"/>
      </c:valAx>
      <c:catAx>
        <c:axId val="-434883160"/>
        <c:scaling>
          <c:orientation val="minMax"/>
        </c:scaling>
        <c:delete val="1"/>
        <c:axPos val="b"/>
        <c:majorTickMark val="out"/>
        <c:minorTickMark val="none"/>
        <c:tickLblPos val="nextTo"/>
        <c:crossAx val="-4348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872827596734806"/>
          <c:y val="0.7811924566134878"/>
          <c:w val="0.51629651946214361"/>
          <c:h val="7.1055068043056682E-2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223" cy="62975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vel-model-one-calib1.5.2\model-files\model\CoordinatedDailyActivityPatter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nePerson"/>
      <sheetName val="TwoPeople"/>
      <sheetName val="ThreePeople"/>
      <sheetName val="AllMemberInteraction"/>
      <sheetName val="Debug.OnePerson.A"/>
      <sheetName val="Debug.OnePerson.B"/>
      <sheetName val="Debug.TwoPeople.A"/>
      <sheetName val="Debug.TwoPeople.B"/>
      <sheetName val="Debug.ThreePeople.A"/>
      <sheetName val="Debug.ThreePeople.B"/>
      <sheetName val="Debug.AllMemberInteraction.A"/>
      <sheetName val="Debug.Aggregation.2"/>
      <sheetName val="Debug.Aggregation.3"/>
      <sheetName val="Debug.Aggregation.4"/>
    </sheetNames>
    <sheetDataSet>
      <sheetData sheetId="0" refreshError="1"/>
      <sheetData sheetId="1">
        <row r="31">
          <cell r="G31">
            <v>1.3787345787316232</v>
          </cell>
          <cell r="H31">
            <v>0.62266239059308248</v>
          </cell>
        </row>
        <row r="32">
          <cell r="G32">
            <v>-0.71882373831278568</v>
          </cell>
          <cell r="H32">
            <v>0.63603246691290372</v>
          </cell>
        </row>
        <row r="33">
          <cell r="G33">
            <v>2.3535951758919054</v>
          </cell>
          <cell r="H33">
            <v>0.60970984562298092</v>
          </cell>
        </row>
        <row r="34">
          <cell r="G34">
            <v>-999</v>
          </cell>
          <cell r="H34">
            <v>0.59464538581303306</v>
          </cell>
        </row>
        <row r="35">
          <cell r="G35">
            <v>-999</v>
          </cell>
          <cell r="H35">
            <v>0.40820207084886062</v>
          </cell>
        </row>
        <row r="36">
          <cell r="G36">
            <v>2.3309186846816501</v>
          </cell>
          <cell r="H36">
            <v>-0.59911911193768941</v>
          </cell>
        </row>
        <row r="37">
          <cell r="G37">
            <v>3.295863529134671</v>
          </cell>
          <cell r="H37">
            <v>0.57142434001867992</v>
          </cell>
        </row>
        <row r="38">
          <cell r="G38">
            <v>1.052531188769779</v>
          </cell>
          <cell r="H38">
            <v>-0.83756777620038314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 Tsao" refreshedDate="46323.496529976852" createdVersion="8" refreshedVersion="8" minRefreshableVersion="3" recordCount="32" xr:uid="{84CD7BB2-9CA5-4AA6-9C9F-5CF4C2983D11}">
  <cacheSource type="worksheet">
    <worksheetSource ref="B2:E34" sheet="BATS 2023"/>
  </cacheSource>
  <cacheFields count="4">
    <cacheField name="person_type" numFmtId="0">
      <sharedItems containsString="0" containsBlank="1" containsNumber="1" containsInteger="1" minValue="1" maxValue="8" count="9">
        <n v="1"/>
        <n v="2"/>
        <n v="3"/>
        <n v="4"/>
        <n v="5"/>
        <n v="6"/>
        <n v="7"/>
        <n v="8"/>
        <m/>
      </sharedItems>
    </cacheField>
    <cacheField name="activity_pattern" numFmtId="0">
      <sharedItems containsBlank="1" count="4">
        <s v="H"/>
        <s v="M"/>
        <s v="N"/>
        <m/>
      </sharedItems>
    </cacheField>
    <cacheField name="wfh_choice" numFmtId="0">
      <sharedItems containsString="0" containsBlank="1" containsNumber="1" containsInteger="1" minValue="0" maxValue="1" count="3">
        <n v="0"/>
        <n v="1"/>
        <m/>
      </sharedItems>
    </cacheField>
    <cacheField name="num_pers" numFmtId="0">
      <sharedItems containsString="0" containsBlank="1" containsNumber="1" minValue="984.62712796797064" maxValue="1587716.87472907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 Tsao" refreshedDate="46323.496677314812" createdVersion="8" refreshedVersion="8" minRefreshableVersion="3" recordCount="30" xr:uid="{703D3F0C-B7F8-4B14-AFD0-E3B65935C407}">
  <cacheSource type="worksheet">
    <worksheetSource ref="B2:E32" sheet="BATS 2023"/>
  </cacheSource>
  <cacheFields count="4">
    <cacheField name="person_type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activity_pattern" numFmtId="0">
      <sharedItems count="3">
        <s v="H"/>
        <s v="M"/>
        <s v="N"/>
      </sharedItems>
    </cacheField>
    <cacheField name="wfh_choice" numFmtId="0">
      <sharedItems containsSemiMixedTypes="0" containsString="0" containsNumber="1" containsInteger="1" minValue="0" maxValue="1"/>
    </cacheField>
    <cacheField name="num_pers" numFmtId="0">
      <sharedItems containsSemiMixedTypes="0" containsString="0" containsNumber="1" minValue="984.62712796797064" maxValue="1587716.87472907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n v="136311.22000007168"/>
  </r>
  <r>
    <x v="0"/>
    <x v="0"/>
    <x v="1"/>
    <n v="351299.40722717548"/>
  </r>
  <r>
    <x v="0"/>
    <x v="1"/>
    <x v="0"/>
    <n v="1587716.8747290757"/>
  </r>
  <r>
    <x v="0"/>
    <x v="1"/>
    <x v="1"/>
    <n v="984.62712796797064"/>
  </r>
  <r>
    <x v="0"/>
    <x v="2"/>
    <x v="0"/>
    <n v="304252.93481639534"/>
  </r>
  <r>
    <x v="0"/>
    <x v="2"/>
    <x v="1"/>
    <n v="800779.53953533864"/>
  </r>
  <r>
    <x v="1"/>
    <x v="0"/>
    <x v="0"/>
    <n v="66930.204190417149"/>
  </r>
  <r>
    <x v="1"/>
    <x v="0"/>
    <x v="1"/>
    <n v="28278.93486868434"/>
  </r>
  <r>
    <x v="1"/>
    <x v="1"/>
    <x v="0"/>
    <n v="319170.30364285648"/>
  </r>
  <r>
    <x v="1"/>
    <x v="2"/>
    <x v="0"/>
    <n v="168031.37265644112"/>
  </r>
  <r>
    <x v="1"/>
    <x v="2"/>
    <x v="1"/>
    <n v="89604.783931537895"/>
  </r>
  <r>
    <x v="2"/>
    <x v="0"/>
    <x v="0"/>
    <n v="71929.739027474046"/>
  </r>
  <r>
    <x v="2"/>
    <x v="0"/>
    <x v="1"/>
    <n v="5790.7601904866269"/>
  </r>
  <r>
    <x v="2"/>
    <x v="1"/>
    <x v="0"/>
    <n v="102255.23741518278"/>
  </r>
  <r>
    <x v="2"/>
    <x v="1"/>
    <x v="1"/>
    <n v="6399.4452124106274"/>
  </r>
  <r>
    <x v="2"/>
    <x v="2"/>
    <x v="0"/>
    <n v="185077.07722946702"/>
  </r>
  <r>
    <x v="2"/>
    <x v="2"/>
    <x v="1"/>
    <n v="41210.398230960629"/>
  </r>
  <r>
    <x v="3"/>
    <x v="0"/>
    <x v="0"/>
    <n v="197443.74470609266"/>
  </r>
  <r>
    <x v="3"/>
    <x v="2"/>
    <x v="0"/>
    <n v="572446.56056817796"/>
  </r>
  <r>
    <x v="4"/>
    <x v="0"/>
    <x v="0"/>
    <n v="292213.42803144874"/>
  </r>
  <r>
    <x v="4"/>
    <x v="2"/>
    <x v="0"/>
    <n v="661707.41365374334"/>
  </r>
  <r>
    <x v="5"/>
    <x v="0"/>
    <x v="0"/>
    <n v="17630.20679"/>
  </r>
  <r>
    <x v="5"/>
    <x v="1"/>
    <x v="0"/>
    <n v="123094.58867"/>
  </r>
  <r>
    <x v="5"/>
    <x v="2"/>
    <x v="0"/>
    <n v="17712.811699999998"/>
  </r>
  <r>
    <x v="6"/>
    <x v="0"/>
    <x v="0"/>
    <n v="85466.730259999997"/>
  </r>
  <r>
    <x v="6"/>
    <x v="1"/>
    <x v="0"/>
    <n v="665066.56470999995"/>
  </r>
  <r>
    <x v="6"/>
    <x v="2"/>
    <x v="0"/>
    <n v="64858.529419999999"/>
  </r>
  <r>
    <x v="7"/>
    <x v="0"/>
    <x v="0"/>
    <n v="121625.49533999999"/>
  </r>
  <r>
    <x v="7"/>
    <x v="1"/>
    <x v="0"/>
    <n v="138048.92214000001"/>
  </r>
  <r>
    <x v="7"/>
    <x v="2"/>
    <x v="0"/>
    <n v="145623.69245999999"/>
  </r>
  <r>
    <x v="8"/>
    <x v="3"/>
    <x v="2"/>
    <m/>
  </r>
  <r>
    <x v="8"/>
    <x v="3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0"/>
    <n v="136311.22000007168"/>
  </r>
  <r>
    <x v="0"/>
    <x v="0"/>
    <n v="1"/>
    <n v="351299.40722717548"/>
  </r>
  <r>
    <x v="0"/>
    <x v="1"/>
    <n v="0"/>
    <n v="1587716.8747290757"/>
  </r>
  <r>
    <x v="0"/>
    <x v="1"/>
    <n v="1"/>
    <n v="984.62712796797064"/>
  </r>
  <r>
    <x v="0"/>
    <x v="2"/>
    <n v="0"/>
    <n v="304252.93481639534"/>
  </r>
  <r>
    <x v="0"/>
    <x v="2"/>
    <n v="1"/>
    <n v="800779.53953533864"/>
  </r>
  <r>
    <x v="1"/>
    <x v="0"/>
    <n v="0"/>
    <n v="66930.204190417149"/>
  </r>
  <r>
    <x v="1"/>
    <x v="0"/>
    <n v="1"/>
    <n v="28278.93486868434"/>
  </r>
  <r>
    <x v="1"/>
    <x v="1"/>
    <n v="0"/>
    <n v="319170.30364285648"/>
  </r>
  <r>
    <x v="1"/>
    <x v="2"/>
    <n v="0"/>
    <n v="168031.37265644112"/>
  </r>
  <r>
    <x v="1"/>
    <x v="2"/>
    <n v="1"/>
    <n v="89604.783931537895"/>
  </r>
  <r>
    <x v="2"/>
    <x v="0"/>
    <n v="0"/>
    <n v="71929.739027474046"/>
  </r>
  <r>
    <x v="2"/>
    <x v="0"/>
    <n v="1"/>
    <n v="5790.7601904866269"/>
  </r>
  <r>
    <x v="2"/>
    <x v="1"/>
    <n v="0"/>
    <n v="102255.23741518278"/>
  </r>
  <r>
    <x v="2"/>
    <x v="1"/>
    <n v="1"/>
    <n v="6399.4452124106274"/>
  </r>
  <r>
    <x v="2"/>
    <x v="2"/>
    <n v="0"/>
    <n v="185077.07722946702"/>
  </r>
  <r>
    <x v="2"/>
    <x v="2"/>
    <n v="1"/>
    <n v="41210.398230960629"/>
  </r>
  <r>
    <x v="3"/>
    <x v="0"/>
    <n v="0"/>
    <n v="197443.74470609266"/>
  </r>
  <r>
    <x v="3"/>
    <x v="2"/>
    <n v="0"/>
    <n v="572446.56056817796"/>
  </r>
  <r>
    <x v="4"/>
    <x v="0"/>
    <n v="0"/>
    <n v="292213.42803144874"/>
  </r>
  <r>
    <x v="4"/>
    <x v="2"/>
    <n v="0"/>
    <n v="661707.41365374334"/>
  </r>
  <r>
    <x v="5"/>
    <x v="0"/>
    <n v="0"/>
    <n v="17630.20679"/>
  </r>
  <r>
    <x v="5"/>
    <x v="1"/>
    <n v="0"/>
    <n v="123094.58867"/>
  </r>
  <r>
    <x v="5"/>
    <x v="2"/>
    <n v="0"/>
    <n v="17712.811699999998"/>
  </r>
  <r>
    <x v="6"/>
    <x v="0"/>
    <n v="0"/>
    <n v="85466.730259999997"/>
  </r>
  <r>
    <x v="6"/>
    <x v="1"/>
    <n v="0"/>
    <n v="665066.56470999995"/>
  </r>
  <r>
    <x v="6"/>
    <x v="2"/>
    <n v="0"/>
    <n v="64858.529419999999"/>
  </r>
  <r>
    <x v="7"/>
    <x v="0"/>
    <n v="0"/>
    <n v="121625.49533999999"/>
  </r>
  <r>
    <x v="7"/>
    <x v="1"/>
    <n v="0"/>
    <n v="138048.92214000001"/>
  </r>
  <r>
    <x v="7"/>
    <x v="2"/>
    <n v="0"/>
    <n v="145623.69245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5B2BF-B5A3-41FF-B478-F9EFC1F3C73E}" name="PivotTable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AB16" firstHeaderRow="1" firstDataRow="3" firstDataCol="1"/>
  <pivotFields count="4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2"/>
  </colFields>
  <col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 v="2"/>
    </i>
    <i t="default">
      <x v="3"/>
    </i>
    <i t="grand">
      <x/>
    </i>
  </colItems>
  <dataFields count="1">
    <dataField name="Sum of num_p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500BC-8277-4543-8FF3-B18D1357F7D3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I5:M15" firstHeaderRow="1" firstDataRow="2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um_pers" fld="3" baseField="0" baseItem="0"/>
  </dataFields>
  <formats count="3">
    <format dxfId="2">
      <pivotArea type="all" dataOnly="0" outline="0" fieldPosition="0"/>
    </format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Y67"/>
  <sheetViews>
    <sheetView tabSelected="1" topLeftCell="A35" zoomScaleNormal="100" workbookViewId="0">
      <selection activeCell="S50" sqref="S50"/>
    </sheetView>
  </sheetViews>
  <sheetFormatPr defaultRowHeight="12.75" x14ac:dyDescent="0.2"/>
  <cols>
    <col min="1" max="1" width="9.140625" style="1"/>
    <col min="2" max="2" width="24.5703125" style="1" customWidth="1"/>
    <col min="3" max="3" width="11.42578125" style="1" customWidth="1"/>
    <col min="4" max="4" width="14" style="1" customWidth="1"/>
    <col min="5" max="6" width="11.42578125" style="1" customWidth="1"/>
    <col min="7" max="7" width="10.85546875" style="1" bestFit="1" customWidth="1"/>
    <col min="8" max="8" width="11.140625" style="1" customWidth="1"/>
    <col min="9" max="9" width="14.140625" style="1" customWidth="1"/>
    <col min="10" max="10" width="11.28515625" style="1" customWidth="1"/>
    <col min="11" max="11" width="9.140625" style="1"/>
    <col min="12" max="12" width="13.5703125" style="1" bestFit="1" customWidth="1"/>
    <col min="13" max="14" width="13.5703125" style="1" customWidth="1"/>
    <col min="15" max="15" width="10.7109375" style="1" customWidth="1"/>
    <col min="16" max="18" width="9.140625" style="1"/>
    <col min="19" max="19" width="10.85546875" style="1" bestFit="1" customWidth="1"/>
    <col min="20" max="22" width="13.5703125" style="1" bestFit="1" customWidth="1"/>
    <col min="23" max="23" width="10.85546875" style="1" bestFit="1" customWidth="1"/>
    <col min="24" max="24" width="8" style="1" bestFit="1" customWidth="1"/>
    <col min="25" max="16384" width="9.140625" style="1"/>
  </cols>
  <sheetData>
    <row r="2" spans="1:16" s="68" customFormat="1" x14ac:dyDescent="0.2">
      <c r="B2" s="69" t="s">
        <v>37</v>
      </c>
      <c r="H2" s="69" t="s">
        <v>19</v>
      </c>
      <c r="M2" s="69" t="s">
        <v>21</v>
      </c>
    </row>
    <row r="3" spans="1:16" x14ac:dyDescent="0.2">
      <c r="C3" s="8" t="s">
        <v>1</v>
      </c>
      <c r="D3" s="8" t="s">
        <v>2</v>
      </c>
      <c r="E3" s="8" t="s">
        <v>0</v>
      </c>
    </row>
    <row r="4" spans="1:16" x14ac:dyDescent="0.2">
      <c r="B4" s="1" t="s">
        <v>14</v>
      </c>
      <c r="C4" s="7" t="s">
        <v>15</v>
      </c>
      <c r="D4" s="7" t="s">
        <v>16</v>
      </c>
      <c r="E4" s="7" t="s">
        <v>17</v>
      </c>
      <c r="F4" s="1" t="s">
        <v>18</v>
      </c>
      <c r="H4" s="7" t="s">
        <v>15</v>
      </c>
      <c r="I4" s="7" t="s">
        <v>16</v>
      </c>
      <c r="J4" s="7" t="s">
        <v>17</v>
      </c>
      <c r="K4" s="1" t="s">
        <v>18</v>
      </c>
      <c r="M4" s="7" t="s">
        <v>15</v>
      </c>
      <c r="N4" s="7" t="s">
        <v>16</v>
      </c>
      <c r="O4" s="7" t="s">
        <v>17</v>
      </c>
      <c r="P4" s="1" t="s">
        <v>18</v>
      </c>
    </row>
    <row r="5" spans="1:16" x14ac:dyDescent="0.2">
      <c r="A5" s="8">
        <v>1</v>
      </c>
      <c r="B5" s="1" t="s">
        <v>6</v>
      </c>
      <c r="C5" s="9">
        <f>SUMIFS('BATS 2023'!$E$3:$E$34,'BATS 2023'!$B$3:$B$34,calibration!$A5,'BATS 2023'!$C$3:$C$34,calibration!C$3)</f>
        <v>1588701.5018570437</v>
      </c>
      <c r="D5" s="10">
        <f>SUMIFS('BATS 2023'!$E$3:$E$34,'BATS 2023'!$B$3:$B$34,calibration!$A5,'BATS 2023'!$C$3:$C$34,calibration!D$3)</f>
        <v>1105032.4743517339</v>
      </c>
      <c r="E5" s="11">
        <f>SUMIFS('BATS 2023'!$E$3:$E$34,'BATS 2023'!$B$3:$B$34,calibration!$A5,'BATS 2023'!$C$3:$C$34,calibration!E$3)</f>
        <v>487610.62722724717</v>
      </c>
      <c r="F5" s="5">
        <f t="shared" ref="F5:F13" si="0">SUM(C5:E5)</f>
        <v>3181344.6034360249</v>
      </c>
      <c r="H5" s="9">
        <f>modeldata!C3</f>
        <v>1</v>
      </c>
      <c r="I5" s="10">
        <f>modeldata!D3</f>
        <v>1</v>
      </c>
      <c r="J5" s="11">
        <f>modeldata!B3</f>
        <v>1</v>
      </c>
      <c r="K5" s="5">
        <f>SUM(H5:J5)</f>
        <v>3</v>
      </c>
      <c r="M5" s="9">
        <f>IFERROR(H5-C5,0)</f>
        <v>-1588700.5018570437</v>
      </c>
      <c r="N5" s="10">
        <f t="shared" ref="N5:N13" si="1">IFERROR(I5-D5,0)</f>
        <v>-1105031.4743517339</v>
      </c>
      <c r="O5" s="11">
        <f t="shared" ref="O5:O13" si="2">IFERROR(J5-E5,0)</f>
        <v>-487609.62722724717</v>
      </c>
      <c r="P5" s="5">
        <f t="shared" ref="P5:P13" si="3">IFERROR(K5-F5,0)</f>
        <v>-3181341.6034360249</v>
      </c>
    </row>
    <row r="6" spans="1:16" x14ac:dyDescent="0.2">
      <c r="A6" s="8">
        <v>2</v>
      </c>
      <c r="B6" s="1" t="s">
        <v>7</v>
      </c>
      <c r="C6" s="12">
        <f>SUMIFS('BATS 2023'!$E$3:$E$34,'BATS 2023'!$B$3:$B$34,calibration!$A6,'BATS 2023'!$C$3:$C$34,calibration!C$3)</f>
        <v>319170.30364285648</v>
      </c>
      <c r="D6" s="5">
        <f>SUMIFS('BATS 2023'!$E$3:$E$34,'BATS 2023'!$B$3:$B$34,calibration!$A6,'BATS 2023'!$C$3:$C$34,calibration!D$3)</f>
        <v>257636.156587979</v>
      </c>
      <c r="E6" s="13">
        <f>SUMIFS('BATS 2023'!$E$3:$E$34,'BATS 2023'!$B$3:$B$34,calibration!$A6,'BATS 2023'!$C$3:$C$34,calibration!E$3)</f>
        <v>95209.139059101493</v>
      </c>
      <c r="F6" s="5">
        <f t="shared" si="0"/>
        <v>672015.59928993694</v>
      </c>
      <c r="H6" s="12">
        <f>modeldata!C4</f>
        <v>1</v>
      </c>
      <c r="I6" s="5">
        <f>modeldata!D4</f>
        <v>1</v>
      </c>
      <c r="J6" s="13">
        <f>modeldata!B4</f>
        <v>1</v>
      </c>
      <c r="K6" s="5">
        <f t="shared" ref="K6:K12" si="4">SUM(H6:J6)</f>
        <v>3</v>
      </c>
      <c r="M6" s="12">
        <f t="shared" ref="M6:M13" si="5">IFERROR(H6-C6,0)</f>
        <v>-319169.30364285648</v>
      </c>
      <c r="N6" s="5">
        <f t="shared" si="1"/>
        <v>-257635.156587979</v>
      </c>
      <c r="O6" s="13">
        <f t="shared" si="2"/>
        <v>-95208.139059101493</v>
      </c>
      <c r="P6" s="5">
        <f t="shared" si="3"/>
        <v>-672012.59928993694</v>
      </c>
    </row>
    <row r="7" spans="1:16" x14ac:dyDescent="0.2">
      <c r="A7" s="8">
        <v>3</v>
      </c>
      <c r="B7" s="1" t="s">
        <v>8</v>
      </c>
      <c r="C7" s="12">
        <f>SUMIFS('BATS 2023'!$E$3:$E$34,'BATS 2023'!$B$3:$B$34,calibration!$A7,'BATS 2023'!$C$3:$C$34,calibration!C$3)</f>
        <v>108654.68262759341</v>
      </c>
      <c r="D7" s="5">
        <f>SUMIFS('BATS 2023'!$E$3:$E$34,'BATS 2023'!$B$3:$B$34,calibration!$A7,'BATS 2023'!$C$3:$C$34,calibration!D$3)</f>
        <v>226287.47546042764</v>
      </c>
      <c r="E7" s="13">
        <f>SUMIFS('BATS 2023'!$E$3:$E$34,'BATS 2023'!$B$3:$B$34,calibration!$A7,'BATS 2023'!$C$3:$C$34,calibration!E$3)</f>
        <v>77720.499217960678</v>
      </c>
      <c r="F7" s="5">
        <f t="shared" si="0"/>
        <v>412662.65730598173</v>
      </c>
      <c r="H7" s="12">
        <f>modeldata!C5</f>
        <v>1</v>
      </c>
      <c r="I7" s="5">
        <f>modeldata!D5</f>
        <v>1</v>
      </c>
      <c r="J7" s="13">
        <f>modeldata!B5</f>
        <v>1</v>
      </c>
      <c r="K7" s="5">
        <f t="shared" si="4"/>
        <v>3</v>
      </c>
      <c r="M7" s="12">
        <f t="shared" si="5"/>
        <v>-108653.68262759341</v>
      </c>
      <c r="N7" s="5">
        <f t="shared" si="1"/>
        <v>-226286.47546042764</v>
      </c>
      <c r="O7" s="13">
        <f t="shared" si="2"/>
        <v>-77719.499217960678</v>
      </c>
      <c r="P7" s="5">
        <f t="shared" si="3"/>
        <v>-412659.65730598173</v>
      </c>
    </row>
    <row r="8" spans="1:16" x14ac:dyDescent="0.2">
      <c r="A8" s="8">
        <v>4</v>
      </c>
      <c r="B8" s="1" t="s">
        <v>9</v>
      </c>
      <c r="C8" s="12">
        <f>SUMIFS('BATS 2023'!$E$3:$E$34,'BATS 2023'!$B$3:$B$34,calibration!$A8,'BATS 2023'!$C$3:$C$34,calibration!C$3)</f>
        <v>0</v>
      </c>
      <c r="D8" s="5">
        <f>SUMIFS('BATS 2023'!$E$3:$E$34,'BATS 2023'!$B$3:$B$34,calibration!$A8,'BATS 2023'!$C$3:$C$34,calibration!D$3)</f>
        <v>572446.56056817796</v>
      </c>
      <c r="E8" s="13">
        <f>SUMIFS('BATS 2023'!$E$3:$E$34,'BATS 2023'!$B$3:$B$34,calibration!$A8,'BATS 2023'!$C$3:$C$34,calibration!E$3)</f>
        <v>197443.74470609266</v>
      </c>
      <c r="F8" s="5">
        <f t="shared" si="0"/>
        <v>769890.30527427059</v>
      </c>
      <c r="H8" s="12">
        <f>modeldata!C6</f>
        <v>1</v>
      </c>
      <c r="I8" s="5">
        <f>modeldata!D6</f>
        <v>1</v>
      </c>
      <c r="J8" s="13">
        <f>modeldata!B6</f>
        <v>1</v>
      </c>
      <c r="K8" s="5">
        <f t="shared" si="4"/>
        <v>3</v>
      </c>
      <c r="M8" s="12">
        <f t="shared" si="5"/>
        <v>1</v>
      </c>
      <c r="N8" s="5">
        <f t="shared" si="1"/>
        <v>-572445.56056817796</v>
      </c>
      <c r="O8" s="13">
        <f t="shared" si="2"/>
        <v>-197442.74470609266</v>
      </c>
      <c r="P8" s="5">
        <f t="shared" si="3"/>
        <v>-769887.30527427059</v>
      </c>
    </row>
    <row r="9" spans="1:16" x14ac:dyDescent="0.2">
      <c r="A9" s="8">
        <v>5</v>
      </c>
      <c r="B9" s="1" t="s">
        <v>10</v>
      </c>
      <c r="C9" s="12">
        <f>SUMIFS('BATS 2023'!$E$3:$E$34,'BATS 2023'!$B$3:$B$34,calibration!$A9,'BATS 2023'!$C$3:$C$34,calibration!C$3)</f>
        <v>0</v>
      </c>
      <c r="D9" s="5">
        <f>SUMIFS('BATS 2023'!$E$3:$E$34,'BATS 2023'!$B$3:$B$34,calibration!$A9,'BATS 2023'!$C$3:$C$34,calibration!D$3)</f>
        <v>661707.41365374334</v>
      </c>
      <c r="E9" s="13">
        <f>SUMIFS('BATS 2023'!$E$3:$E$34,'BATS 2023'!$B$3:$B$34,calibration!$A9,'BATS 2023'!$C$3:$C$34,calibration!E$3)</f>
        <v>292213.42803144874</v>
      </c>
      <c r="F9" s="5">
        <f t="shared" si="0"/>
        <v>953920.84168519208</v>
      </c>
      <c r="H9" s="12">
        <f>modeldata!C7</f>
        <v>1</v>
      </c>
      <c r="I9" s="5">
        <f>modeldata!D7</f>
        <v>1</v>
      </c>
      <c r="J9" s="13">
        <f>modeldata!B7</f>
        <v>1</v>
      </c>
      <c r="K9" s="5">
        <f t="shared" si="4"/>
        <v>3</v>
      </c>
      <c r="M9" s="12">
        <f t="shared" si="5"/>
        <v>1</v>
      </c>
      <c r="N9" s="5">
        <f t="shared" si="1"/>
        <v>-661706.41365374334</v>
      </c>
      <c r="O9" s="13">
        <f t="shared" si="2"/>
        <v>-292212.42803144874</v>
      </c>
      <c r="P9" s="5">
        <f t="shared" si="3"/>
        <v>-953917.84168519208</v>
      </c>
    </row>
    <row r="10" spans="1:16" x14ac:dyDescent="0.2">
      <c r="A10" s="8">
        <v>6</v>
      </c>
      <c r="B10" s="1" t="s">
        <v>11</v>
      </c>
      <c r="C10" s="12">
        <f>SUMIFS('BATS 2023'!$E$3:$E$34,'BATS 2023'!$B$3:$B$34,calibration!$A10,'BATS 2023'!$C$3:$C$34,calibration!C$3)</f>
        <v>123094.58867</v>
      </c>
      <c r="D10" s="5">
        <f>SUMIFS('BATS 2023'!$E$3:$E$34,'BATS 2023'!$B$3:$B$34,calibration!$A10,'BATS 2023'!$C$3:$C$34,calibration!D$3)</f>
        <v>17712.811699999998</v>
      </c>
      <c r="E10" s="13">
        <f>SUMIFS('BATS 2023'!$E$3:$E$34,'BATS 2023'!$B$3:$B$34,calibration!$A10,'BATS 2023'!$C$3:$C$34,calibration!E$3)</f>
        <v>17630.20679</v>
      </c>
      <c r="F10" s="5">
        <f t="shared" si="0"/>
        <v>158437.60715999999</v>
      </c>
      <c r="H10" s="12">
        <f>modeldata!C8</f>
        <v>1</v>
      </c>
      <c r="I10" s="5">
        <f>modeldata!D8</f>
        <v>1</v>
      </c>
      <c r="J10" s="13">
        <f>modeldata!B8</f>
        <v>1</v>
      </c>
      <c r="K10" s="5">
        <f t="shared" si="4"/>
        <v>3</v>
      </c>
      <c r="M10" s="12">
        <f t="shared" si="5"/>
        <v>-123093.58867</v>
      </c>
      <c r="N10" s="5">
        <f t="shared" si="1"/>
        <v>-17711.811699999998</v>
      </c>
      <c r="O10" s="13">
        <f t="shared" si="2"/>
        <v>-17629.20679</v>
      </c>
      <c r="P10" s="5">
        <f t="shared" si="3"/>
        <v>-158434.60715999999</v>
      </c>
    </row>
    <row r="11" spans="1:16" x14ac:dyDescent="0.2">
      <c r="A11" s="8">
        <v>7</v>
      </c>
      <c r="B11" s="1" t="s">
        <v>12</v>
      </c>
      <c r="C11" s="12">
        <f>SUMIFS('BATS 2023'!$E$3:$E$34,'BATS 2023'!$B$3:$B$34,calibration!$A11,'BATS 2023'!$C$3:$C$34,calibration!C$3)</f>
        <v>665066.56470999995</v>
      </c>
      <c r="D11" s="5">
        <f>SUMIFS('BATS 2023'!$E$3:$E$34,'BATS 2023'!$B$3:$B$34,calibration!$A11,'BATS 2023'!$C$3:$C$34,calibration!D$3)</f>
        <v>64858.529419999999</v>
      </c>
      <c r="E11" s="13">
        <f>SUMIFS('BATS 2023'!$E$3:$E$34,'BATS 2023'!$B$3:$B$34,calibration!$A11,'BATS 2023'!$C$3:$C$34,calibration!E$3)</f>
        <v>85466.730259999997</v>
      </c>
      <c r="F11" s="5">
        <f t="shared" si="0"/>
        <v>815391.82438999997</v>
      </c>
      <c r="H11" s="12">
        <f>modeldata!C9</f>
        <v>1</v>
      </c>
      <c r="I11" s="5">
        <f>modeldata!D9</f>
        <v>1</v>
      </c>
      <c r="J11" s="13">
        <f>modeldata!B9</f>
        <v>1</v>
      </c>
      <c r="K11" s="5">
        <f t="shared" si="4"/>
        <v>3</v>
      </c>
      <c r="M11" s="12">
        <f t="shared" si="5"/>
        <v>-665065.56470999995</v>
      </c>
      <c r="N11" s="5">
        <f t="shared" si="1"/>
        <v>-64857.529419999999</v>
      </c>
      <c r="O11" s="13">
        <f t="shared" si="2"/>
        <v>-85465.730259999997</v>
      </c>
      <c r="P11" s="5">
        <f t="shared" si="3"/>
        <v>-815388.82438999997</v>
      </c>
    </row>
    <row r="12" spans="1:16" x14ac:dyDescent="0.2">
      <c r="A12" s="8">
        <v>8</v>
      </c>
      <c r="B12" s="1" t="s">
        <v>13</v>
      </c>
      <c r="C12" s="14">
        <f>SUMIFS('BATS 2023'!$E$3:$E$34,'BATS 2023'!$B$3:$B$34,calibration!$A12,'BATS 2023'!$C$3:$C$34,calibration!C$3)</f>
        <v>138048.92214000001</v>
      </c>
      <c r="D12" s="15">
        <f>SUMIFS('BATS 2023'!$E$3:$E$34,'BATS 2023'!$B$3:$B$34,calibration!$A12,'BATS 2023'!$C$3:$C$34,calibration!D$3)</f>
        <v>145623.69245999999</v>
      </c>
      <c r="E12" s="16">
        <f>SUMIFS('BATS 2023'!$E$3:$E$34,'BATS 2023'!$B$3:$B$34,calibration!$A12,'BATS 2023'!$C$3:$C$34,calibration!E$3)</f>
        <v>121625.49533999999</v>
      </c>
      <c r="F12" s="5">
        <f t="shared" si="0"/>
        <v>405298.10993999999</v>
      </c>
      <c r="H12" s="14">
        <f>modeldata!C10</f>
        <v>1</v>
      </c>
      <c r="I12" s="15">
        <f>modeldata!D10</f>
        <v>1</v>
      </c>
      <c r="J12" s="16">
        <f>modeldata!B10</f>
        <v>1</v>
      </c>
      <c r="K12" s="5">
        <f t="shared" si="4"/>
        <v>3</v>
      </c>
      <c r="M12" s="14">
        <f t="shared" si="5"/>
        <v>-138047.92214000001</v>
      </c>
      <c r="N12" s="15">
        <f t="shared" si="1"/>
        <v>-145622.69245999999</v>
      </c>
      <c r="O12" s="16">
        <f t="shared" si="2"/>
        <v>-121624.49533999999</v>
      </c>
      <c r="P12" s="5">
        <f t="shared" si="3"/>
        <v>-405295.10993999999</v>
      </c>
    </row>
    <row r="13" spans="1:16" x14ac:dyDescent="0.2">
      <c r="B13" s="1" t="s">
        <v>18</v>
      </c>
      <c r="C13" s="5">
        <f>SUM(C5:C12)</f>
        <v>2942736.5636474937</v>
      </c>
      <c r="D13" s="5">
        <f t="shared" ref="D13:E13" si="6">SUM(D5:D12)</f>
        <v>3051305.1142020621</v>
      </c>
      <c r="E13" s="5">
        <f t="shared" si="6"/>
        <v>1374919.8706318506</v>
      </c>
      <c r="F13" s="5">
        <f t="shared" si="0"/>
        <v>7368961.5484814057</v>
      </c>
      <c r="H13" s="5">
        <f>SUM(H5:H12)</f>
        <v>8</v>
      </c>
      <c r="I13" s="5">
        <f t="shared" ref="I13:K13" si="7">SUM(I5:I12)</f>
        <v>8</v>
      </c>
      <c r="J13" s="5">
        <f t="shared" si="7"/>
        <v>8</v>
      </c>
      <c r="K13" s="5">
        <f t="shared" si="7"/>
        <v>24</v>
      </c>
      <c r="M13" s="5">
        <f t="shared" si="5"/>
        <v>-2942728.5636474937</v>
      </c>
      <c r="N13" s="5">
        <f t="shared" si="1"/>
        <v>-3051297.1142020621</v>
      </c>
      <c r="O13" s="5">
        <f t="shared" si="2"/>
        <v>-1374911.8706318506</v>
      </c>
      <c r="P13" s="5">
        <f t="shared" si="3"/>
        <v>-7368937.5484814057</v>
      </c>
    </row>
    <row r="16" spans="1:16" x14ac:dyDescent="0.2">
      <c r="B16" s="1" t="s">
        <v>14</v>
      </c>
      <c r="C16" s="7" t="s">
        <v>15</v>
      </c>
      <c r="D16" s="7" t="s">
        <v>16</v>
      </c>
      <c r="E16" s="7" t="s">
        <v>17</v>
      </c>
      <c r="F16" s="1" t="s">
        <v>18</v>
      </c>
      <c r="H16" s="7" t="s">
        <v>15</v>
      </c>
      <c r="I16" s="7" t="s">
        <v>16</v>
      </c>
      <c r="J16" s="7" t="s">
        <v>17</v>
      </c>
      <c r="K16" s="1" t="s">
        <v>18</v>
      </c>
      <c r="M16" s="7" t="s">
        <v>15</v>
      </c>
      <c r="N16" s="7" t="s">
        <v>16</v>
      </c>
      <c r="O16" s="7" t="s">
        <v>17</v>
      </c>
      <c r="P16" s="1" t="s">
        <v>18</v>
      </c>
    </row>
    <row r="17" spans="2:16" x14ac:dyDescent="0.2">
      <c r="B17" s="1" t="s">
        <v>6</v>
      </c>
      <c r="C17" s="18">
        <f>C5/$F5</f>
        <v>0.49938051355428764</v>
      </c>
      <c r="D17" s="19">
        <f t="shared" ref="D17:E17" si="8">D5/$F5</f>
        <v>0.34734761935511133</v>
      </c>
      <c r="E17" s="20">
        <f t="shared" si="8"/>
        <v>0.15327186709060101</v>
      </c>
      <c r="F17" s="17">
        <f>F5/$F5</f>
        <v>1</v>
      </c>
      <c r="H17" s="18">
        <f>IFERROR(H5/$K5,0)</f>
        <v>0.33333333333333331</v>
      </c>
      <c r="I17" s="19">
        <f t="shared" ref="I17:J17" si="9">IFERROR(I5/$K5,0)</f>
        <v>0.33333333333333331</v>
      </c>
      <c r="J17" s="20">
        <f t="shared" si="9"/>
        <v>0.33333333333333331</v>
      </c>
      <c r="K17" s="17">
        <f>IFERROR(K5/$K5,0)</f>
        <v>1</v>
      </c>
      <c r="M17" s="18">
        <f>IFERROR(H17-C17,0)</f>
        <v>-0.16604718022095433</v>
      </c>
      <c r="N17" s="19">
        <f t="shared" ref="N17:N25" si="10">IFERROR(I17-D17,0)</f>
        <v>-1.4014286021778011E-2</v>
      </c>
      <c r="O17" s="20">
        <f t="shared" ref="O17:O25" si="11">IFERROR(J17-E17,0)</f>
        <v>0.18006146624273231</v>
      </c>
      <c r="P17" s="17">
        <f t="shared" ref="P17:P25" si="12">IFERROR(K17-F17,0)</f>
        <v>0</v>
      </c>
    </row>
    <row r="18" spans="2:16" x14ac:dyDescent="0.2">
      <c r="B18" s="1" t="s">
        <v>7</v>
      </c>
      <c r="C18" s="21">
        <f t="shared" ref="C18:F18" si="13">C6/$F6</f>
        <v>0.47494478399027823</v>
      </c>
      <c r="D18" s="17">
        <f t="shared" si="13"/>
        <v>0.38337823833286272</v>
      </c>
      <c r="E18" s="22">
        <f t="shared" si="13"/>
        <v>0.14167697767685911</v>
      </c>
      <c r="F18" s="17">
        <f t="shared" si="13"/>
        <v>1</v>
      </c>
      <c r="H18" s="21">
        <f t="shared" ref="H18:K18" si="14">IFERROR(H6/$K6,0)</f>
        <v>0.33333333333333331</v>
      </c>
      <c r="I18" s="17">
        <f t="shared" si="14"/>
        <v>0.33333333333333331</v>
      </c>
      <c r="J18" s="22">
        <f t="shared" si="14"/>
        <v>0.33333333333333331</v>
      </c>
      <c r="K18" s="17">
        <f t="shared" si="14"/>
        <v>1</v>
      </c>
      <c r="M18" s="21">
        <f t="shared" ref="M18:M25" si="15">IFERROR(H18-C18,0)</f>
        <v>-0.14161145065694491</v>
      </c>
      <c r="N18" s="17">
        <f t="shared" si="10"/>
        <v>-5.0044904999529405E-2</v>
      </c>
      <c r="O18" s="22">
        <f t="shared" si="11"/>
        <v>0.19165635565647421</v>
      </c>
      <c r="P18" s="17">
        <f t="shared" si="12"/>
        <v>0</v>
      </c>
    </row>
    <row r="19" spans="2:16" x14ac:dyDescent="0.2">
      <c r="B19" s="1" t="s">
        <v>8</v>
      </c>
      <c r="C19" s="21">
        <f t="shared" ref="C19:F19" si="16">C7/$F7</f>
        <v>0.26330146598902932</v>
      </c>
      <c r="D19" s="17">
        <f t="shared" si="16"/>
        <v>0.5483594685734785</v>
      </c>
      <c r="E19" s="22">
        <f t="shared" si="16"/>
        <v>0.18833906543749213</v>
      </c>
      <c r="F19" s="17">
        <f t="shared" si="16"/>
        <v>1</v>
      </c>
      <c r="H19" s="21">
        <f t="shared" ref="H19:K19" si="17">IFERROR(H7/$K7,0)</f>
        <v>0.33333333333333331</v>
      </c>
      <c r="I19" s="17">
        <f t="shared" si="17"/>
        <v>0.33333333333333331</v>
      </c>
      <c r="J19" s="22">
        <f t="shared" si="17"/>
        <v>0.33333333333333331</v>
      </c>
      <c r="K19" s="17">
        <f t="shared" si="17"/>
        <v>1</v>
      </c>
      <c r="M19" s="21">
        <f t="shared" si="15"/>
        <v>7.0031867344304E-2</v>
      </c>
      <c r="N19" s="17">
        <f t="shared" si="10"/>
        <v>-0.21502613524014519</v>
      </c>
      <c r="O19" s="22">
        <f t="shared" si="11"/>
        <v>0.14499426789584119</v>
      </c>
      <c r="P19" s="17">
        <f t="shared" si="12"/>
        <v>0</v>
      </c>
    </row>
    <row r="20" spans="2:16" x14ac:dyDescent="0.2">
      <c r="B20" s="1" t="s">
        <v>9</v>
      </c>
      <c r="C20" s="21">
        <f t="shared" ref="C20:F20" si="18">C8/$F8</f>
        <v>0</v>
      </c>
      <c r="D20" s="17">
        <f t="shared" si="18"/>
        <v>0.7435430172928934</v>
      </c>
      <c r="E20" s="22">
        <f t="shared" si="18"/>
        <v>0.25645698270710665</v>
      </c>
      <c r="F20" s="17">
        <f t="shared" si="18"/>
        <v>1</v>
      </c>
      <c r="H20" s="21">
        <f t="shared" ref="H20:K20" si="19">IFERROR(H8/$K8,0)</f>
        <v>0.33333333333333331</v>
      </c>
      <c r="I20" s="17">
        <f t="shared" si="19"/>
        <v>0.33333333333333331</v>
      </c>
      <c r="J20" s="22">
        <f t="shared" si="19"/>
        <v>0.33333333333333331</v>
      </c>
      <c r="K20" s="17">
        <f t="shared" si="19"/>
        <v>1</v>
      </c>
      <c r="M20" s="21">
        <f t="shared" si="15"/>
        <v>0.33333333333333331</v>
      </c>
      <c r="N20" s="17">
        <f t="shared" si="10"/>
        <v>-0.41020968395956009</v>
      </c>
      <c r="O20" s="22">
        <f t="shared" si="11"/>
        <v>7.6876350626226664E-2</v>
      </c>
      <c r="P20" s="17">
        <f t="shared" si="12"/>
        <v>0</v>
      </c>
    </row>
    <row r="21" spans="2:16" x14ac:dyDescent="0.2">
      <c r="B21" s="1" t="s">
        <v>10</v>
      </c>
      <c r="C21" s="21">
        <f t="shared" ref="C21:F21" si="20">C9/$F9</f>
        <v>0</v>
      </c>
      <c r="D21" s="17">
        <f t="shared" si="20"/>
        <v>0.69367119863402305</v>
      </c>
      <c r="E21" s="22">
        <f t="shared" si="20"/>
        <v>0.30632880136597695</v>
      </c>
      <c r="F21" s="17">
        <f t="shared" si="20"/>
        <v>1</v>
      </c>
      <c r="H21" s="21">
        <f t="shared" ref="H21:K21" si="21">IFERROR(H9/$K9,0)</f>
        <v>0.33333333333333331</v>
      </c>
      <c r="I21" s="17">
        <f t="shared" si="21"/>
        <v>0.33333333333333331</v>
      </c>
      <c r="J21" s="22">
        <f t="shared" si="21"/>
        <v>0.33333333333333331</v>
      </c>
      <c r="K21" s="17">
        <f t="shared" si="21"/>
        <v>1</v>
      </c>
      <c r="M21" s="21">
        <f t="shared" si="15"/>
        <v>0.33333333333333331</v>
      </c>
      <c r="N21" s="17">
        <f t="shared" si="10"/>
        <v>-0.36033786530068973</v>
      </c>
      <c r="O21" s="22">
        <f t="shared" si="11"/>
        <v>2.700453196735636E-2</v>
      </c>
      <c r="P21" s="17">
        <f t="shared" si="12"/>
        <v>0</v>
      </c>
    </row>
    <row r="22" spans="2:16" x14ac:dyDescent="0.2">
      <c r="B22" s="1" t="s">
        <v>11</v>
      </c>
      <c r="C22" s="21">
        <f t="shared" ref="C22:F22" si="22">C10/$F10</f>
        <v>0.77692784482469213</v>
      </c>
      <c r="D22" s="17">
        <f t="shared" si="22"/>
        <v>0.11179676351784661</v>
      </c>
      <c r="E22" s="22">
        <f t="shared" si="22"/>
        <v>0.11127539165746135</v>
      </c>
      <c r="F22" s="17">
        <f t="shared" si="22"/>
        <v>1</v>
      </c>
      <c r="H22" s="21">
        <f t="shared" ref="H22:K22" si="23">IFERROR(H10/$K10,0)</f>
        <v>0.33333333333333331</v>
      </c>
      <c r="I22" s="17">
        <f t="shared" si="23"/>
        <v>0.33333333333333331</v>
      </c>
      <c r="J22" s="22">
        <f t="shared" si="23"/>
        <v>0.33333333333333331</v>
      </c>
      <c r="K22" s="17">
        <f t="shared" si="23"/>
        <v>1</v>
      </c>
      <c r="M22" s="21">
        <f t="shared" si="15"/>
        <v>-0.44359451149135881</v>
      </c>
      <c r="N22" s="17">
        <f t="shared" si="10"/>
        <v>0.22153656981548669</v>
      </c>
      <c r="O22" s="22">
        <f t="shared" si="11"/>
        <v>0.22205794167587195</v>
      </c>
      <c r="P22" s="17">
        <f t="shared" si="12"/>
        <v>0</v>
      </c>
    </row>
    <row r="23" spans="2:16" x14ac:dyDescent="0.2">
      <c r="B23" s="1" t="s">
        <v>12</v>
      </c>
      <c r="C23" s="21">
        <f t="shared" ref="C23:F23" si="24">C11/$F11</f>
        <v>0.81564046243355537</v>
      </c>
      <c r="D23" s="17">
        <f t="shared" si="24"/>
        <v>7.954277622113895E-2</v>
      </c>
      <c r="E23" s="22">
        <f t="shared" si="24"/>
        <v>0.10481676134530564</v>
      </c>
      <c r="F23" s="17">
        <f t="shared" si="24"/>
        <v>1</v>
      </c>
      <c r="H23" s="21">
        <f t="shared" ref="H23:K23" si="25">IFERROR(H11/$K11,0)</f>
        <v>0.33333333333333331</v>
      </c>
      <c r="I23" s="17">
        <f t="shared" si="25"/>
        <v>0.33333333333333331</v>
      </c>
      <c r="J23" s="22">
        <f t="shared" si="25"/>
        <v>0.33333333333333331</v>
      </c>
      <c r="K23" s="17">
        <f t="shared" si="25"/>
        <v>1</v>
      </c>
      <c r="M23" s="21">
        <f t="shared" si="15"/>
        <v>-0.48230712910022205</v>
      </c>
      <c r="N23" s="17">
        <f t="shared" si="10"/>
        <v>0.25379055711219434</v>
      </c>
      <c r="O23" s="22">
        <f t="shared" si="11"/>
        <v>0.22851657198802766</v>
      </c>
      <c r="P23" s="17">
        <f t="shared" si="12"/>
        <v>0</v>
      </c>
    </row>
    <row r="24" spans="2:16" x14ac:dyDescent="0.2">
      <c r="B24" s="1" t="s">
        <v>13</v>
      </c>
      <c r="C24" s="23">
        <f t="shared" ref="C24:F24" si="26">C12/$F12</f>
        <v>0.34061082140362475</v>
      </c>
      <c r="D24" s="24">
        <f t="shared" si="26"/>
        <v>0.35930020123103462</v>
      </c>
      <c r="E24" s="25">
        <f t="shared" si="26"/>
        <v>0.30008897736534063</v>
      </c>
      <c r="F24" s="17">
        <f t="shared" si="26"/>
        <v>1</v>
      </c>
      <c r="H24" s="23">
        <f t="shared" ref="H24:K24" si="27">IFERROR(H12/$K12,0)</f>
        <v>0.33333333333333331</v>
      </c>
      <c r="I24" s="24">
        <f t="shared" si="27"/>
        <v>0.33333333333333331</v>
      </c>
      <c r="J24" s="25">
        <f t="shared" si="27"/>
        <v>0.33333333333333331</v>
      </c>
      <c r="K24" s="17">
        <f t="shared" si="27"/>
        <v>1</v>
      </c>
      <c r="M24" s="23">
        <f t="shared" si="15"/>
        <v>-7.277488070291438E-3</v>
      </c>
      <c r="N24" s="24">
        <f t="shared" si="10"/>
        <v>-2.5966867897701307E-2</v>
      </c>
      <c r="O24" s="25">
        <f t="shared" si="11"/>
        <v>3.3244355967992689E-2</v>
      </c>
      <c r="P24" s="17">
        <f t="shared" si="12"/>
        <v>0</v>
      </c>
    </row>
    <row r="25" spans="2:16" x14ac:dyDescent="0.2">
      <c r="B25" s="1" t="s">
        <v>18</v>
      </c>
      <c r="C25" s="17">
        <f t="shared" ref="C25:F25" si="28">C13/$F13</f>
        <v>0.39934209783655777</v>
      </c>
      <c r="D25" s="17">
        <f t="shared" si="28"/>
        <v>0.41407532039991096</v>
      </c>
      <c r="E25" s="17">
        <f t="shared" si="28"/>
        <v>0.18658258176353137</v>
      </c>
      <c r="F25" s="17">
        <f t="shared" si="28"/>
        <v>1</v>
      </c>
      <c r="H25" s="17">
        <f t="shared" ref="H25:K25" si="29">IFERROR(H13/$K13,0)</f>
        <v>0.33333333333333331</v>
      </c>
      <c r="I25" s="17">
        <f t="shared" si="29"/>
        <v>0.33333333333333331</v>
      </c>
      <c r="J25" s="17">
        <f t="shared" si="29"/>
        <v>0.33333333333333331</v>
      </c>
      <c r="K25" s="17">
        <f t="shared" si="29"/>
        <v>1</v>
      </c>
      <c r="M25" s="17">
        <f t="shared" si="15"/>
        <v>-6.600876450322446E-2</v>
      </c>
      <c r="N25" s="17">
        <f t="shared" si="10"/>
        <v>-8.0741987066577647E-2</v>
      </c>
      <c r="O25" s="17">
        <f t="shared" si="11"/>
        <v>0.14675075156980194</v>
      </c>
      <c r="P25" s="17">
        <f t="shared" si="12"/>
        <v>0</v>
      </c>
    </row>
    <row r="27" spans="2:16" x14ac:dyDescent="0.2">
      <c r="B27" s="1" t="s">
        <v>25</v>
      </c>
      <c r="C27" s="32">
        <v>0</v>
      </c>
    </row>
    <row r="29" spans="2:16" x14ac:dyDescent="0.2">
      <c r="B29" s="6" t="s">
        <v>24</v>
      </c>
      <c r="C29" s="29"/>
      <c r="D29" s="29"/>
      <c r="E29" s="29"/>
      <c r="F29" s="28"/>
      <c r="H29" s="6" t="s">
        <v>22</v>
      </c>
      <c r="M29" s="6" t="s">
        <v>23</v>
      </c>
    </row>
    <row r="30" spans="2:16" ht="15" x14ac:dyDescent="0.25">
      <c r="B30" s="30" t="s">
        <v>14</v>
      </c>
      <c r="C30" s="44" t="s">
        <v>15</v>
      </c>
      <c r="D30" s="44" t="s">
        <v>16</v>
      </c>
      <c r="E30" s="44" t="s">
        <v>17</v>
      </c>
      <c r="F30" s="45"/>
      <c r="G30" s="7"/>
      <c r="H30" s="44" t="s">
        <v>15</v>
      </c>
      <c r="I30" s="44" t="s">
        <v>16</v>
      </c>
      <c r="J30" s="44" t="s">
        <v>17</v>
      </c>
      <c r="K30" s="7"/>
      <c r="L30" s="7"/>
      <c r="M30" s="44" t="s">
        <v>15</v>
      </c>
      <c r="N30" s="44" t="s">
        <v>16</v>
      </c>
      <c r="O30" s="44" t="s">
        <v>17</v>
      </c>
    </row>
    <row r="31" spans="2:16" ht="15" x14ac:dyDescent="0.25">
      <c r="B31" s="30" t="s">
        <v>6</v>
      </c>
      <c r="C31" s="33">
        <f>[1]OnePerson!G31</f>
        <v>1.3787345787316232</v>
      </c>
      <c r="D31" s="34">
        <f>[1]OnePerson!H31</f>
        <v>0.62266239059308248</v>
      </c>
      <c r="E31" s="35"/>
      <c r="F31" s="27"/>
      <c r="H31" s="33">
        <f t="shared" ref="H31:I33" si="30">damp_cdap*LN(C17/H17)-damp_cdap*LN(E17/J17)</f>
        <v>0</v>
      </c>
      <c r="I31" s="34">
        <f t="shared" si="30"/>
        <v>0</v>
      </c>
      <c r="J31" s="41"/>
      <c r="M31" s="33">
        <f>C31+H31</f>
        <v>1.3787345787316232</v>
      </c>
      <c r="N31" s="34">
        <f>D31+I31</f>
        <v>0.62266239059308248</v>
      </c>
      <c r="O31" s="41"/>
    </row>
    <row r="32" spans="2:16" ht="15" x14ac:dyDescent="0.25">
      <c r="B32" s="30" t="s">
        <v>7</v>
      </c>
      <c r="C32" s="36">
        <f>[1]OnePerson!G32</f>
        <v>-0.71882373831278568</v>
      </c>
      <c r="D32" s="31">
        <f>[1]OnePerson!H32</f>
        <v>0.63603246691290372</v>
      </c>
      <c r="E32" s="37"/>
      <c r="F32" s="27"/>
      <c r="H32" s="36">
        <f t="shared" si="30"/>
        <v>0</v>
      </c>
      <c r="I32" s="31">
        <f t="shared" si="30"/>
        <v>0</v>
      </c>
      <c r="J32" s="42"/>
      <c r="M32" s="36">
        <f t="shared" ref="M32:N38" si="31">C32+H32</f>
        <v>-0.71882373831278568</v>
      </c>
      <c r="N32" s="31">
        <f t="shared" si="31"/>
        <v>0.63603246691290372</v>
      </c>
      <c r="O32" s="42"/>
    </row>
    <row r="33" spans="1:24" ht="15" x14ac:dyDescent="0.25">
      <c r="B33" s="30" t="s">
        <v>8</v>
      </c>
      <c r="C33" s="36">
        <f>[1]OnePerson!G33</f>
        <v>2.3535951758919054</v>
      </c>
      <c r="D33" s="31">
        <f>[1]OnePerson!H33</f>
        <v>0.60970984562298092</v>
      </c>
      <c r="E33" s="37"/>
      <c r="F33" s="27"/>
      <c r="H33" s="36">
        <f t="shared" si="30"/>
        <v>0</v>
      </c>
      <c r="I33" s="31">
        <f t="shared" si="30"/>
        <v>0</v>
      </c>
      <c r="J33" s="42"/>
      <c r="M33" s="36">
        <f t="shared" si="31"/>
        <v>2.3535951758919054</v>
      </c>
      <c r="N33" s="31">
        <f t="shared" si="31"/>
        <v>0.60970984562298092</v>
      </c>
      <c r="O33" s="42"/>
    </row>
    <row r="34" spans="1:24" ht="15" x14ac:dyDescent="0.25">
      <c r="B34" s="30" t="s">
        <v>9</v>
      </c>
      <c r="C34" s="36">
        <f>[1]OnePerson!G34</f>
        <v>-999</v>
      </c>
      <c r="D34" s="31">
        <f>[1]OnePerson!H34</f>
        <v>0.59464538581303306</v>
      </c>
      <c r="E34" s="37"/>
      <c r="F34" s="27"/>
      <c r="H34" s="36"/>
      <c r="I34" s="31">
        <f>damp_cdap*LN(D20/I20)-damp_cdap*LN(F20/K20)</f>
        <v>0</v>
      </c>
      <c r="J34" s="42"/>
      <c r="M34" s="36">
        <f t="shared" si="31"/>
        <v>-999</v>
      </c>
      <c r="N34" s="31">
        <f t="shared" si="31"/>
        <v>0.59464538581303306</v>
      </c>
      <c r="O34" s="42"/>
    </row>
    <row r="35" spans="1:24" ht="15" x14ac:dyDescent="0.25">
      <c r="B35" s="30" t="s">
        <v>10</v>
      </c>
      <c r="C35" s="36">
        <f>[1]OnePerson!G35</f>
        <v>-999</v>
      </c>
      <c r="D35" s="31">
        <f>[1]OnePerson!H35</f>
        <v>0.40820207084886062</v>
      </c>
      <c r="E35" s="37"/>
      <c r="F35" s="27"/>
      <c r="H35" s="36"/>
      <c r="I35" s="31">
        <f>damp_cdap*LN(D21/I21)-damp_cdap*LN(F21/K21)</f>
        <v>0</v>
      </c>
      <c r="J35" s="42"/>
      <c r="M35" s="36">
        <f t="shared" si="31"/>
        <v>-999</v>
      </c>
      <c r="N35" s="31">
        <f t="shared" si="31"/>
        <v>0.40820207084886062</v>
      </c>
      <c r="O35" s="42"/>
    </row>
    <row r="36" spans="1:24" ht="15" x14ac:dyDescent="0.25">
      <c r="B36" s="30" t="s">
        <v>11</v>
      </c>
      <c r="C36" s="36">
        <f>[1]OnePerson!G36</f>
        <v>2.3309186846816501</v>
      </c>
      <c r="D36" s="31">
        <f>[1]OnePerson!H36</f>
        <v>-0.59911911193768941</v>
      </c>
      <c r="E36" s="37"/>
      <c r="F36" s="27"/>
      <c r="H36" s="36">
        <f>damp_cdap*LN(C22/H22)-damp_cdap*LN(E22/J22)</f>
        <v>0</v>
      </c>
      <c r="I36" s="31">
        <f>damp_cdap*LN(D22/I22)-damp_cdap*LN(F22/K22)</f>
        <v>0</v>
      </c>
      <c r="J36" s="42"/>
      <c r="M36" s="36">
        <f t="shared" si="31"/>
        <v>2.3309186846816501</v>
      </c>
      <c r="N36" s="31">
        <f t="shared" si="31"/>
        <v>-0.59911911193768941</v>
      </c>
      <c r="O36" s="42"/>
    </row>
    <row r="37" spans="1:24" ht="15" x14ac:dyDescent="0.25">
      <c r="B37" s="30" t="s">
        <v>12</v>
      </c>
      <c r="C37" s="36">
        <f>[1]OnePerson!G37</f>
        <v>3.295863529134671</v>
      </c>
      <c r="D37" s="31">
        <f>[1]OnePerson!H37</f>
        <v>0.57142434001867992</v>
      </c>
      <c r="E37" s="37"/>
      <c r="F37" s="27"/>
      <c r="H37" s="36">
        <f>damp_cdap*LN(C23/H23)-damp_cdap*LN(E23/J23)</f>
        <v>0</v>
      </c>
      <c r="I37" s="31">
        <f>damp_cdap*LN(D23/I23)-damp_cdap*LN(F23/K23)</f>
        <v>0</v>
      </c>
      <c r="J37" s="42"/>
      <c r="M37" s="36">
        <f t="shared" si="31"/>
        <v>3.295863529134671</v>
      </c>
      <c r="N37" s="31">
        <f t="shared" si="31"/>
        <v>0.57142434001867992</v>
      </c>
      <c r="O37" s="42"/>
    </row>
    <row r="38" spans="1:24" x14ac:dyDescent="0.2">
      <c r="B38" s="30" t="s">
        <v>13</v>
      </c>
      <c r="C38" s="38">
        <f>[1]OnePerson!G38</f>
        <v>1.052531188769779</v>
      </c>
      <c r="D38" s="39">
        <f>[1]OnePerson!H38</f>
        <v>-0.83756777620038314</v>
      </c>
      <c r="E38" s="40"/>
      <c r="F38" s="26"/>
      <c r="H38" s="38">
        <f>damp_cdap*LN(C24/H24)-damp_cdap*LN(E24/J24)</f>
        <v>0</v>
      </c>
      <c r="I38" s="39">
        <f>damp_cdap*LN(D24/I24)-damp_cdap*LN(F24/K24)</f>
        <v>0</v>
      </c>
      <c r="J38" s="43"/>
      <c r="M38" s="38">
        <f t="shared" si="31"/>
        <v>1.052531188769779</v>
      </c>
      <c r="N38" s="39">
        <f t="shared" si="31"/>
        <v>-0.83756777620038314</v>
      </c>
      <c r="O38" s="43"/>
    </row>
    <row r="41" spans="1:24" s="68" customFormat="1" x14ac:dyDescent="0.2">
      <c r="B41" s="69" t="s">
        <v>67</v>
      </c>
      <c r="H41" s="69"/>
      <c r="K41" s="69" t="s">
        <v>70</v>
      </c>
      <c r="M41" s="69"/>
    </row>
    <row r="42" spans="1:24" x14ac:dyDescent="0.2">
      <c r="C42" s="8" t="s">
        <v>1</v>
      </c>
      <c r="D42" s="8" t="s">
        <v>1</v>
      </c>
      <c r="E42" s="8" t="s">
        <v>2</v>
      </c>
      <c r="F42" s="8" t="s">
        <v>2</v>
      </c>
      <c r="G42" s="8" t="s">
        <v>0</v>
      </c>
      <c r="H42" s="8" t="s">
        <v>0</v>
      </c>
    </row>
    <row r="43" spans="1:24" x14ac:dyDescent="0.2">
      <c r="C43" s="8">
        <v>0</v>
      </c>
      <c r="D43" s="8">
        <v>1</v>
      </c>
      <c r="E43" s="8">
        <v>0</v>
      </c>
      <c r="F43" s="8">
        <v>1</v>
      </c>
      <c r="G43" s="8">
        <v>0</v>
      </c>
      <c r="H43" s="8">
        <v>1</v>
      </c>
    </row>
    <row r="44" spans="1:24" x14ac:dyDescent="0.2">
      <c r="B44" s="1" t="s">
        <v>14</v>
      </c>
      <c r="C44" s="7" t="s">
        <v>15</v>
      </c>
      <c r="D44" s="7" t="s">
        <v>15</v>
      </c>
      <c r="E44" s="7" t="s">
        <v>16</v>
      </c>
      <c r="F44" s="7" t="s">
        <v>16</v>
      </c>
      <c r="G44" s="7" t="s">
        <v>17</v>
      </c>
      <c r="H44" s="7" t="s">
        <v>17</v>
      </c>
      <c r="I44" s="1" t="s">
        <v>18</v>
      </c>
      <c r="K44" s="7" t="s">
        <v>15</v>
      </c>
      <c r="L44" s="7" t="s">
        <v>15</v>
      </c>
      <c r="M44" s="7" t="s">
        <v>16</v>
      </c>
      <c r="N44" s="7" t="s">
        <v>16</v>
      </c>
      <c r="O44" s="7" t="s">
        <v>17</v>
      </c>
      <c r="P44" s="7" t="s">
        <v>17</v>
      </c>
      <c r="Q44" s="1" t="s">
        <v>18</v>
      </c>
      <c r="S44" s="7" t="s">
        <v>15</v>
      </c>
      <c r="T44" s="7" t="s">
        <v>15</v>
      </c>
      <c r="U44" s="7" t="s">
        <v>16</v>
      </c>
      <c r="V44" s="7" t="s">
        <v>16</v>
      </c>
      <c r="W44" s="7" t="s">
        <v>17</v>
      </c>
      <c r="X44" s="7" t="s">
        <v>17</v>
      </c>
    </row>
    <row r="45" spans="1:24" x14ac:dyDescent="0.2">
      <c r="C45" s="7" t="s">
        <v>68</v>
      </c>
      <c r="D45" s="7" t="s">
        <v>69</v>
      </c>
      <c r="E45" s="7" t="s">
        <v>68</v>
      </c>
      <c r="F45" s="7" t="s">
        <v>69</v>
      </c>
      <c r="G45" s="7" t="s">
        <v>68</v>
      </c>
      <c r="H45" s="7" t="s">
        <v>69</v>
      </c>
      <c r="K45" s="7" t="s">
        <v>68</v>
      </c>
      <c r="L45" s="7" t="s">
        <v>69</v>
      </c>
      <c r="M45" s="7" t="s">
        <v>68</v>
      </c>
      <c r="N45" s="7" t="s">
        <v>69</v>
      </c>
      <c r="O45" s="7" t="s">
        <v>68</v>
      </c>
      <c r="P45" s="7" t="s">
        <v>69</v>
      </c>
      <c r="S45" s="7" t="s">
        <v>68</v>
      </c>
      <c r="T45" s="7" t="s">
        <v>69</v>
      </c>
      <c r="U45" s="7" t="s">
        <v>68</v>
      </c>
      <c r="V45" s="7" t="s">
        <v>69</v>
      </c>
      <c r="W45" s="7" t="s">
        <v>68</v>
      </c>
      <c r="X45" s="7" t="s">
        <v>69</v>
      </c>
    </row>
    <row r="46" spans="1:24" x14ac:dyDescent="0.2">
      <c r="A46" s="8">
        <v>1</v>
      </c>
      <c r="B46" s="1" t="s">
        <v>6</v>
      </c>
      <c r="C46" s="9">
        <f>SUMIFS('BATS 2023'!$E$3:$E$34,'BATS 2023'!$B$3:$B$34,$A46,'BATS 2023'!$C$3:$C$34,C$42,'BATS 2023'!$D$3:$D$34,C$43)</f>
        <v>1587716.8747290757</v>
      </c>
      <c r="D46" s="10">
        <f>SUMIFS('BATS 2023'!$E$3:$E$34,'BATS 2023'!$B$3:$B$34,$A46,'BATS 2023'!$C$3:$C$34,D$42,'BATS 2023'!$D$3:$D$34,D$43)</f>
        <v>984.62712796797064</v>
      </c>
      <c r="E46" s="10">
        <f>SUMIFS('BATS 2023'!$E$3:$E$34,'BATS 2023'!$B$3:$B$34,$A46,'BATS 2023'!$C$3:$C$34,E$42,'BATS 2023'!$D$3:$D$34,E$43)</f>
        <v>304252.93481639534</v>
      </c>
      <c r="F46" s="10">
        <f>SUMIFS('BATS 2023'!$E$3:$E$34,'BATS 2023'!$B$3:$B$34,$A46,'BATS 2023'!$C$3:$C$34,F$42,'BATS 2023'!$D$3:$D$34,F$43)</f>
        <v>800779.53953533864</v>
      </c>
      <c r="G46" s="10">
        <f>SUMIFS('BATS 2023'!$E$3:$E$34,'BATS 2023'!$B$3:$B$34,$A46,'BATS 2023'!$C$3:$C$34,G$42,'BATS 2023'!$D$3:$D$34,G$43)</f>
        <v>136311.22000007168</v>
      </c>
      <c r="H46" s="11">
        <f>SUMIFS('BATS 2023'!$E$3:$E$34,'BATS 2023'!$B$3:$B$34,$A46,'BATS 2023'!$C$3:$C$34,H$42,'BATS 2023'!$D$3:$D$34,H$43)</f>
        <v>351299.40722717548</v>
      </c>
      <c r="I46" s="5">
        <f t="shared" ref="I46:I54" si="32">SUM(C46:H46)</f>
        <v>3181344.6034360249</v>
      </c>
      <c r="K46" s="9">
        <f>modeldata!D15</f>
        <v>1</v>
      </c>
      <c r="L46" s="10">
        <f>modeldata!E15</f>
        <v>1</v>
      </c>
      <c r="M46" s="10">
        <f>modeldata!F15</f>
        <v>1</v>
      </c>
      <c r="N46" s="10">
        <f>modeldata!G15</f>
        <v>1</v>
      </c>
      <c r="O46" s="10">
        <f>modeldata!B15</f>
        <v>1</v>
      </c>
      <c r="P46" s="41">
        <f>modeldata!C15</f>
        <v>1</v>
      </c>
      <c r="Q46" s="5">
        <f>SUM(K46:P46)</f>
        <v>6</v>
      </c>
      <c r="S46" s="9">
        <f>IFERROR(K46-C46,0)</f>
        <v>-1587715.8747290757</v>
      </c>
      <c r="T46" s="10">
        <f t="shared" ref="T46:X46" si="33">IFERROR(L46-D46,0)</f>
        <v>-983.62712796797064</v>
      </c>
      <c r="U46" s="10">
        <f t="shared" si="33"/>
        <v>-304251.93481639534</v>
      </c>
      <c r="V46" s="10">
        <f t="shared" si="33"/>
        <v>-800778.53953533864</v>
      </c>
      <c r="W46" s="10">
        <f t="shared" si="33"/>
        <v>-136310.22000007168</v>
      </c>
      <c r="X46" s="11">
        <f t="shared" si="33"/>
        <v>-351298.40722717548</v>
      </c>
    </row>
    <row r="47" spans="1:24" x14ac:dyDescent="0.2">
      <c r="A47" s="8">
        <v>2</v>
      </c>
      <c r="B47" s="1" t="s">
        <v>7</v>
      </c>
      <c r="C47" s="12">
        <f>SUMIFS('BATS 2023'!$E$3:$E$34,'BATS 2023'!$B$3:$B$34,$A47,'BATS 2023'!$C$3:$C$34,C$42,'BATS 2023'!$D$3:$D$34,C$43)</f>
        <v>319170.30364285648</v>
      </c>
      <c r="D47" s="5">
        <f>SUMIFS('BATS 2023'!$E$3:$E$34,'BATS 2023'!$B$3:$B$34,$A47,'BATS 2023'!$C$3:$C$34,D$42,'BATS 2023'!$D$3:$D$34,D$43)</f>
        <v>0</v>
      </c>
      <c r="E47" s="5">
        <f>SUMIFS('BATS 2023'!$E$3:$E$34,'BATS 2023'!$B$3:$B$34,$A47,'BATS 2023'!$C$3:$C$34,E$42,'BATS 2023'!$D$3:$D$34,E$43)</f>
        <v>168031.37265644112</v>
      </c>
      <c r="F47" s="5">
        <f>SUMIFS('BATS 2023'!$E$3:$E$34,'BATS 2023'!$B$3:$B$34,$A47,'BATS 2023'!$C$3:$C$34,F$42,'BATS 2023'!$D$3:$D$34,F$43)</f>
        <v>89604.783931537895</v>
      </c>
      <c r="G47" s="5">
        <f>SUMIFS('BATS 2023'!$E$3:$E$34,'BATS 2023'!$B$3:$B$34,$A47,'BATS 2023'!$C$3:$C$34,G$42,'BATS 2023'!$D$3:$D$34,G$43)</f>
        <v>66930.204190417149</v>
      </c>
      <c r="H47" s="13">
        <f>SUMIFS('BATS 2023'!$E$3:$E$34,'BATS 2023'!$B$3:$B$34,$A47,'BATS 2023'!$C$3:$C$34,H$42,'BATS 2023'!$D$3:$D$34,H$43)</f>
        <v>28278.93486868434</v>
      </c>
      <c r="I47" s="5">
        <f t="shared" si="32"/>
        <v>672015.59928993706</v>
      </c>
      <c r="K47" s="12">
        <f>modeldata!D16</f>
        <v>1</v>
      </c>
      <c r="L47" s="5">
        <f>modeldata!E16</f>
        <v>1</v>
      </c>
      <c r="M47" s="5">
        <f>modeldata!F16</f>
        <v>1</v>
      </c>
      <c r="N47" s="5">
        <f>modeldata!G16</f>
        <v>1</v>
      </c>
      <c r="O47" s="1">
        <f>modeldata!B16</f>
        <v>1</v>
      </c>
      <c r="P47" s="42">
        <f>modeldata!C16</f>
        <v>1</v>
      </c>
      <c r="Q47" s="5">
        <f t="shared" ref="Q47:Q53" si="34">SUM(K47:P47)</f>
        <v>6</v>
      </c>
      <c r="S47" s="12">
        <f t="shared" ref="S47:S53" si="35">IFERROR(K47-C47,0)</f>
        <v>-319169.30364285648</v>
      </c>
      <c r="T47" s="5">
        <f t="shared" ref="T47:T53" si="36">IFERROR(L47-D47,0)</f>
        <v>1</v>
      </c>
      <c r="U47" s="5">
        <f t="shared" ref="U47:U53" si="37">IFERROR(M47-E47,0)</f>
        <v>-168030.37265644112</v>
      </c>
      <c r="V47" s="5">
        <f t="shared" ref="V47:V53" si="38">IFERROR(N47-F47,0)</f>
        <v>-89603.783931537895</v>
      </c>
      <c r="W47" s="5">
        <f t="shared" ref="W47:W53" si="39">IFERROR(O47-G47,0)</f>
        <v>-66929.204190417149</v>
      </c>
      <c r="X47" s="13">
        <f t="shared" ref="X47:X53" si="40">IFERROR(P47-H47,0)</f>
        <v>-28277.93486868434</v>
      </c>
    </row>
    <row r="48" spans="1:24" x14ac:dyDescent="0.2">
      <c r="A48" s="8">
        <v>3</v>
      </c>
      <c r="B48" s="1" t="s">
        <v>8</v>
      </c>
      <c r="C48" s="12">
        <f>SUMIFS('BATS 2023'!$E$3:$E$34,'BATS 2023'!$B$3:$B$34,$A48,'BATS 2023'!$C$3:$C$34,C$42,'BATS 2023'!$D$3:$D$34,C$43)</f>
        <v>102255.23741518278</v>
      </c>
      <c r="D48" s="5">
        <f>SUMIFS('BATS 2023'!$E$3:$E$34,'BATS 2023'!$B$3:$B$34,$A48,'BATS 2023'!$C$3:$C$34,D$42,'BATS 2023'!$D$3:$D$34,D$43)</f>
        <v>6399.4452124106274</v>
      </c>
      <c r="E48" s="5">
        <f>SUMIFS('BATS 2023'!$E$3:$E$34,'BATS 2023'!$B$3:$B$34,$A48,'BATS 2023'!$C$3:$C$34,E$42,'BATS 2023'!$D$3:$D$34,E$43)</f>
        <v>185077.07722946702</v>
      </c>
      <c r="F48" s="5">
        <f>SUMIFS('BATS 2023'!$E$3:$E$34,'BATS 2023'!$B$3:$B$34,$A48,'BATS 2023'!$C$3:$C$34,F$42,'BATS 2023'!$D$3:$D$34,F$43)</f>
        <v>41210.398230960629</v>
      </c>
      <c r="G48" s="5">
        <f>SUMIFS('BATS 2023'!$E$3:$E$34,'BATS 2023'!$B$3:$B$34,$A48,'BATS 2023'!$C$3:$C$34,G$42,'BATS 2023'!$D$3:$D$34,G$43)</f>
        <v>71929.739027474046</v>
      </c>
      <c r="H48" s="13">
        <f>SUMIFS('BATS 2023'!$E$3:$E$34,'BATS 2023'!$B$3:$B$34,$A48,'BATS 2023'!$C$3:$C$34,H$42,'BATS 2023'!$D$3:$D$34,H$43)</f>
        <v>5790.7601904866269</v>
      </c>
      <c r="I48" s="5">
        <f t="shared" si="32"/>
        <v>412662.65730598179</v>
      </c>
      <c r="K48" s="12">
        <f>modeldata!D17</f>
        <v>1</v>
      </c>
      <c r="L48" s="5">
        <f>modeldata!E17</f>
        <v>1</v>
      </c>
      <c r="M48" s="5">
        <f>modeldata!F17</f>
        <v>1</v>
      </c>
      <c r="N48" s="5">
        <f>modeldata!G17</f>
        <v>1</v>
      </c>
      <c r="O48" s="1">
        <f>modeldata!B17</f>
        <v>1</v>
      </c>
      <c r="P48" s="42">
        <f>modeldata!C17</f>
        <v>1</v>
      </c>
      <c r="Q48" s="5">
        <f t="shared" si="34"/>
        <v>6</v>
      </c>
      <c r="S48" s="12">
        <f t="shared" si="35"/>
        <v>-102254.23741518278</v>
      </c>
      <c r="T48" s="5">
        <f t="shared" si="36"/>
        <v>-6398.4452124106274</v>
      </c>
      <c r="U48" s="5">
        <f t="shared" si="37"/>
        <v>-185076.07722946702</v>
      </c>
      <c r="V48" s="5">
        <f t="shared" si="38"/>
        <v>-41209.398230960629</v>
      </c>
      <c r="W48" s="5">
        <f t="shared" si="39"/>
        <v>-71928.739027474046</v>
      </c>
      <c r="X48" s="13">
        <f t="shared" si="40"/>
        <v>-5789.7601904866269</v>
      </c>
    </row>
    <row r="49" spans="1:25" x14ac:dyDescent="0.2">
      <c r="A49" s="8">
        <v>4</v>
      </c>
      <c r="B49" s="1" t="s">
        <v>9</v>
      </c>
      <c r="C49" s="12">
        <f>SUMIFS('BATS 2023'!$E$3:$E$34,'BATS 2023'!$B$3:$B$34,$A49,'BATS 2023'!$C$3:$C$34,C$42,'BATS 2023'!$D$3:$D$34,C$43)</f>
        <v>0</v>
      </c>
      <c r="D49" s="5">
        <f>SUMIFS('BATS 2023'!$E$3:$E$34,'BATS 2023'!$B$3:$B$34,$A49,'BATS 2023'!$C$3:$C$34,D$42,'BATS 2023'!$D$3:$D$34,D$43)</f>
        <v>0</v>
      </c>
      <c r="E49" s="5">
        <f>SUMIFS('BATS 2023'!$E$3:$E$34,'BATS 2023'!$B$3:$B$34,$A49,'BATS 2023'!$C$3:$C$34,E$42,'BATS 2023'!$D$3:$D$34,E$43)</f>
        <v>572446.56056817796</v>
      </c>
      <c r="F49" s="5">
        <f>SUMIFS('BATS 2023'!$E$3:$E$34,'BATS 2023'!$B$3:$B$34,$A49,'BATS 2023'!$C$3:$C$34,F$42,'BATS 2023'!$D$3:$D$34,F$43)</f>
        <v>0</v>
      </c>
      <c r="G49" s="5">
        <f>SUMIFS('BATS 2023'!$E$3:$E$34,'BATS 2023'!$B$3:$B$34,$A49,'BATS 2023'!$C$3:$C$34,G$42,'BATS 2023'!$D$3:$D$34,G$43)</f>
        <v>197443.74470609266</v>
      </c>
      <c r="H49" s="13">
        <f>SUMIFS('BATS 2023'!$E$3:$E$34,'BATS 2023'!$B$3:$B$34,$A49,'BATS 2023'!$C$3:$C$34,H$42,'BATS 2023'!$D$3:$D$34,H$43)</f>
        <v>0</v>
      </c>
      <c r="I49" s="5">
        <f t="shared" si="32"/>
        <v>769890.30527427059</v>
      </c>
      <c r="K49" s="12">
        <f>modeldata!D18</f>
        <v>1</v>
      </c>
      <c r="L49" s="5">
        <f>modeldata!E18</f>
        <v>1</v>
      </c>
      <c r="M49" s="5">
        <f>modeldata!F18</f>
        <v>1</v>
      </c>
      <c r="N49" s="5">
        <f>modeldata!G18</f>
        <v>1</v>
      </c>
      <c r="O49" s="1">
        <f>modeldata!B18</f>
        <v>1</v>
      </c>
      <c r="P49" s="42">
        <f>modeldata!C18</f>
        <v>1</v>
      </c>
      <c r="Q49" s="5">
        <f t="shared" si="34"/>
        <v>6</v>
      </c>
      <c r="S49" s="12">
        <f t="shared" si="35"/>
        <v>1</v>
      </c>
      <c r="T49" s="5">
        <f t="shared" si="36"/>
        <v>1</v>
      </c>
      <c r="U49" s="5">
        <f t="shared" si="37"/>
        <v>-572445.56056817796</v>
      </c>
      <c r="V49" s="5">
        <f t="shared" si="38"/>
        <v>1</v>
      </c>
      <c r="W49" s="5">
        <f t="shared" si="39"/>
        <v>-197442.74470609266</v>
      </c>
      <c r="X49" s="13">
        <f t="shared" si="40"/>
        <v>1</v>
      </c>
    </row>
    <row r="50" spans="1:25" x14ac:dyDescent="0.2">
      <c r="A50" s="8">
        <v>5</v>
      </c>
      <c r="B50" s="1" t="s">
        <v>10</v>
      </c>
      <c r="C50" s="12">
        <f>SUMIFS('BATS 2023'!$E$3:$E$34,'BATS 2023'!$B$3:$B$34,$A50,'BATS 2023'!$C$3:$C$34,C$42,'BATS 2023'!$D$3:$D$34,C$43)</f>
        <v>0</v>
      </c>
      <c r="D50" s="5">
        <f>SUMIFS('BATS 2023'!$E$3:$E$34,'BATS 2023'!$B$3:$B$34,$A50,'BATS 2023'!$C$3:$C$34,D$42,'BATS 2023'!$D$3:$D$34,D$43)</f>
        <v>0</v>
      </c>
      <c r="E50" s="5">
        <f>SUMIFS('BATS 2023'!$E$3:$E$34,'BATS 2023'!$B$3:$B$34,$A50,'BATS 2023'!$C$3:$C$34,E$42,'BATS 2023'!$D$3:$D$34,E$43)</f>
        <v>661707.41365374334</v>
      </c>
      <c r="F50" s="5">
        <f>SUMIFS('BATS 2023'!$E$3:$E$34,'BATS 2023'!$B$3:$B$34,$A50,'BATS 2023'!$C$3:$C$34,F$42,'BATS 2023'!$D$3:$D$34,F$43)</f>
        <v>0</v>
      </c>
      <c r="G50" s="5">
        <f>SUMIFS('BATS 2023'!$E$3:$E$34,'BATS 2023'!$B$3:$B$34,$A50,'BATS 2023'!$C$3:$C$34,G$42,'BATS 2023'!$D$3:$D$34,G$43)</f>
        <v>292213.42803144874</v>
      </c>
      <c r="H50" s="13">
        <f>SUMIFS('BATS 2023'!$E$3:$E$34,'BATS 2023'!$B$3:$B$34,$A50,'BATS 2023'!$C$3:$C$34,H$42,'BATS 2023'!$D$3:$D$34,H$43)</f>
        <v>0</v>
      </c>
      <c r="I50" s="5">
        <f t="shared" si="32"/>
        <v>953920.84168519208</v>
      </c>
      <c r="K50" s="12">
        <f>modeldata!D19</f>
        <v>1</v>
      </c>
      <c r="L50" s="5">
        <f>modeldata!E19</f>
        <v>1</v>
      </c>
      <c r="M50" s="5">
        <f>modeldata!F19</f>
        <v>1</v>
      </c>
      <c r="N50" s="5">
        <f>modeldata!G19</f>
        <v>1</v>
      </c>
      <c r="O50" s="1">
        <f>modeldata!B19</f>
        <v>1</v>
      </c>
      <c r="P50" s="42">
        <f>modeldata!C19</f>
        <v>1</v>
      </c>
      <c r="Q50" s="5">
        <f t="shared" si="34"/>
        <v>6</v>
      </c>
      <c r="S50" s="12">
        <f t="shared" si="35"/>
        <v>1</v>
      </c>
      <c r="T50" s="5">
        <f t="shared" si="36"/>
        <v>1</v>
      </c>
      <c r="U50" s="5">
        <f t="shared" si="37"/>
        <v>-661706.41365374334</v>
      </c>
      <c r="V50" s="5">
        <f t="shared" si="38"/>
        <v>1</v>
      </c>
      <c r="W50" s="5">
        <f t="shared" si="39"/>
        <v>-292212.42803144874</v>
      </c>
      <c r="X50" s="13">
        <f t="shared" si="40"/>
        <v>1</v>
      </c>
    </row>
    <row r="51" spans="1:25" x14ac:dyDescent="0.2">
      <c r="A51" s="8">
        <v>6</v>
      </c>
      <c r="B51" s="1" t="s">
        <v>11</v>
      </c>
      <c r="C51" s="12">
        <f>SUMIFS('BATS 2023'!$E$3:$E$34,'BATS 2023'!$B$3:$B$34,$A51,'BATS 2023'!$C$3:$C$34,C$42,'BATS 2023'!$D$3:$D$34,C$43)</f>
        <v>123094.58867</v>
      </c>
      <c r="D51" s="5">
        <f>SUMIFS('BATS 2023'!$E$3:$E$34,'BATS 2023'!$B$3:$B$34,$A51,'BATS 2023'!$C$3:$C$34,D$42,'BATS 2023'!$D$3:$D$34,D$43)</f>
        <v>0</v>
      </c>
      <c r="E51" s="5">
        <f>SUMIFS('BATS 2023'!$E$3:$E$34,'BATS 2023'!$B$3:$B$34,$A51,'BATS 2023'!$C$3:$C$34,E$42,'BATS 2023'!$D$3:$D$34,E$43)</f>
        <v>17712.811699999998</v>
      </c>
      <c r="F51" s="5">
        <f>SUMIFS('BATS 2023'!$E$3:$E$34,'BATS 2023'!$B$3:$B$34,$A51,'BATS 2023'!$C$3:$C$34,F$42,'BATS 2023'!$D$3:$D$34,F$43)</f>
        <v>0</v>
      </c>
      <c r="G51" s="5">
        <f>SUMIFS('BATS 2023'!$E$3:$E$34,'BATS 2023'!$B$3:$B$34,$A51,'BATS 2023'!$C$3:$C$34,G$42,'BATS 2023'!$D$3:$D$34,G$43)</f>
        <v>17630.20679</v>
      </c>
      <c r="H51" s="13">
        <f>SUMIFS('BATS 2023'!$E$3:$E$34,'BATS 2023'!$B$3:$B$34,$A51,'BATS 2023'!$C$3:$C$34,H$42,'BATS 2023'!$D$3:$D$34,H$43)</f>
        <v>0</v>
      </c>
      <c r="I51" s="5">
        <f t="shared" si="32"/>
        <v>158437.60715999999</v>
      </c>
      <c r="K51" s="12">
        <f>modeldata!D20</f>
        <v>1</v>
      </c>
      <c r="L51" s="5">
        <f>modeldata!E20</f>
        <v>1</v>
      </c>
      <c r="M51" s="5">
        <f>modeldata!F20</f>
        <v>1</v>
      </c>
      <c r="N51" s="5">
        <f>modeldata!G20</f>
        <v>1</v>
      </c>
      <c r="O51" s="1">
        <f>modeldata!B20</f>
        <v>1</v>
      </c>
      <c r="P51" s="42">
        <f>modeldata!C20</f>
        <v>1</v>
      </c>
      <c r="Q51" s="5">
        <f t="shared" si="34"/>
        <v>6</v>
      </c>
      <c r="S51" s="12">
        <f t="shared" si="35"/>
        <v>-123093.58867</v>
      </c>
      <c r="T51" s="5">
        <f t="shared" si="36"/>
        <v>1</v>
      </c>
      <c r="U51" s="5">
        <f t="shared" si="37"/>
        <v>-17711.811699999998</v>
      </c>
      <c r="V51" s="5">
        <f t="shared" si="38"/>
        <v>1</v>
      </c>
      <c r="W51" s="5">
        <f t="shared" si="39"/>
        <v>-17629.20679</v>
      </c>
      <c r="X51" s="13">
        <f t="shared" si="40"/>
        <v>1</v>
      </c>
    </row>
    <row r="52" spans="1:25" x14ac:dyDescent="0.2">
      <c r="A52" s="8">
        <v>7</v>
      </c>
      <c r="B52" s="1" t="s">
        <v>12</v>
      </c>
      <c r="C52" s="12">
        <f>SUMIFS('BATS 2023'!$E$3:$E$34,'BATS 2023'!$B$3:$B$34,$A52,'BATS 2023'!$C$3:$C$34,C$42,'BATS 2023'!$D$3:$D$34,C$43)</f>
        <v>665066.56470999995</v>
      </c>
      <c r="D52" s="5">
        <f>SUMIFS('BATS 2023'!$E$3:$E$34,'BATS 2023'!$B$3:$B$34,$A52,'BATS 2023'!$C$3:$C$34,D$42,'BATS 2023'!$D$3:$D$34,D$43)</f>
        <v>0</v>
      </c>
      <c r="E52" s="5">
        <f>SUMIFS('BATS 2023'!$E$3:$E$34,'BATS 2023'!$B$3:$B$34,$A52,'BATS 2023'!$C$3:$C$34,E$42,'BATS 2023'!$D$3:$D$34,E$43)</f>
        <v>64858.529419999999</v>
      </c>
      <c r="F52" s="5">
        <f>SUMIFS('BATS 2023'!$E$3:$E$34,'BATS 2023'!$B$3:$B$34,$A52,'BATS 2023'!$C$3:$C$34,F$42,'BATS 2023'!$D$3:$D$34,F$43)</f>
        <v>0</v>
      </c>
      <c r="G52" s="5">
        <f>SUMIFS('BATS 2023'!$E$3:$E$34,'BATS 2023'!$B$3:$B$34,$A52,'BATS 2023'!$C$3:$C$34,G$42,'BATS 2023'!$D$3:$D$34,G$43)</f>
        <v>85466.730259999997</v>
      </c>
      <c r="H52" s="13">
        <f>SUMIFS('BATS 2023'!$E$3:$E$34,'BATS 2023'!$B$3:$B$34,$A52,'BATS 2023'!$C$3:$C$34,H$42,'BATS 2023'!$D$3:$D$34,H$43)</f>
        <v>0</v>
      </c>
      <c r="I52" s="5">
        <f t="shared" si="32"/>
        <v>815391.82438999997</v>
      </c>
      <c r="K52" s="12">
        <f>modeldata!D21</f>
        <v>1</v>
      </c>
      <c r="L52" s="5">
        <f>modeldata!E21</f>
        <v>1</v>
      </c>
      <c r="M52" s="5">
        <f>modeldata!F21</f>
        <v>1</v>
      </c>
      <c r="N52" s="5">
        <f>modeldata!G21</f>
        <v>1</v>
      </c>
      <c r="O52" s="1">
        <f>modeldata!B21</f>
        <v>1</v>
      </c>
      <c r="P52" s="42">
        <f>modeldata!C21</f>
        <v>1</v>
      </c>
      <c r="Q52" s="5">
        <f t="shared" si="34"/>
        <v>6</v>
      </c>
      <c r="S52" s="12">
        <f t="shared" si="35"/>
        <v>-665065.56470999995</v>
      </c>
      <c r="T52" s="5">
        <f t="shared" si="36"/>
        <v>1</v>
      </c>
      <c r="U52" s="5">
        <f t="shared" si="37"/>
        <v>-64857.529419999999</v>
      </c>
      <c r="V52" s="5">
        <f t="shared" si="38"/>
        <v>1</v>
      </c>
      <c r="W52" s="5">
        <f t="shared" si="39"/>
        <v>-85465.730259999997</v>
      </c>
      <c r="X52" s="13">
        <f t="shared" si="40"/>
        <v>1</v>
      </c>
    </row>
    <row r="53" spans="1:25" x14ac:dyDescent="0.2">
      <c r="A53" s="8">
        <v>8</v>
      </c>
      <c r="B53" s="1" t="s">
        <v>13</v>
      </c>
      <c r="C53" s="14">
        <f>SUMIFS('BATS 2023'!$E$3:$E$34,'BATS 2023'!$B$3:$B$34,$A53,'BATS 2023'!$C$3:$C$34,C$42,'BATS 2023'!$D$3:$D$34,C$43)</f>
        <v>138048.92214000001</v>
      </c>
      <c r="D53" s="15">
        <f>SUMIFS('BATS 2023'!$E$3:$E$34,'BATS 2023'!$B$3:$B$34,$A53,'BATS 2023'!$C$3:$C$34,D$42,'BATS 2023'!$D$3:$D$34,D$43)</f>
        <v>0</v>
      </c>
      <c r="E53" s="15">
        <f>SUMIFS('BATS 2023'!$E$3:$E$34,'BATS 2023'!$B$3:$B$34,$A53,'BATS 2023'!$C$3:$C$34,E$42,'BATS 2023'!$D$3:$D$34,E$43)</f>
        <v>145623.69245999999</v>
      </c>
      <c r="F53" s="15">
        <f>SUMIFS('BATS 2023'!$E$3:$E$34,'BATS 2023'!$B$3:$B$34,$A53,'BATS 2023'!$C$3:$C$34,F$42,'BATS 2023'!$D$3:$D$34,F$43)</f>
        <v>0</v>
      </c>
      <c r="G53" s="15">
        <f>SUMIFS('BATS 2023'!$E$3:$E$34,'BATS 2023'!$B$3:$B$34,$A53,'BATS 2023'!$C$3:$C$34,G$42,'BATS 2023'!$D$3:$D$34,G$43)</f>
        <v>121625.49533999999</v>
      </c>
      <c r="H53" s="16">
        <f>SUMIFS('BATS 2023'!$E$3:$E$34,'BATS 2023'!$B$3:$B$34,$A53,'BATS 2023'!$C$3:$C$34,H$42,'BATS 2023'!$D$3:$D$34,H$43)</f>
        <v>0</v>
      </c>
      <c r="I53" s="5">
        <f t="shared" si="32"/>
        <v>405298.10993999999</v>
      </c>
      <c r="K53" s="14">
        <f>modeldata!D22</f>
        <v>1</v>
      </c>
      <c r="L53" s="15">
        <f>modeldata!E22</f>
        <v>1</v>
      </c>
      <c r="M53" s="15">
        <f>modeldata!F22</f>
        <v>1</v>
      </c>
      <c r="N53" s="15">
        <f>modeldata!G22</f>
        <v>1</v>
      </c>
      <c r="O53" s="86">
        <f>modeldata!B22</f>
        <v>1</v>
      </c>
      <c r="P53" s="43">
        <f>modeldata!C22</f>
        <v>1</v>
      </c>
      <c r="Q53" s="5">
        <f t="shared" si="34"/>
        <v>6</v>
      </c>
      <c r="S53" s="14">
        <f t="shared" si="35"/>
        <v>-138047.92214000001</v>
      </c>
      <c r="T53" s="15">
        <f t="shared" si="36"/>
        <v>1</v>
      </c>
      <c r="U53" s="15">
        <f t="shared" si="37"/>
        <v>-145622.69245999999</v>
      </c>
      <c r="V53" s="15">
        <f t="shared" si="38"/>
        <v>1</v>
      </c>
      <c r="W53" s="15">
        <f t="shared" si="39"/>
        <v>-121624.49533999999</v>
      </c>
      <c r="X53" s="16">
        <f t="shared" si="40"/>
        <v>1</v>
      </c>
    </row>
    <row r="54" spans="1:25" x14ac:dyDescent="0.2">
      <c r="B54" s="1" t="s">
        <v>18</v>
      </c>
      <c r="C54" s="5">
        <f>SUM(C46:C53)</f>
        <v>2935352.4913071152</v>
      </c>
      <c r="D54" s="5">
        <f t="shared" ref="D54" si="41">SUM(D46:D53)</f>
        <v>7384.0723403785978</v>
      </c>
      <c r="E54" s="5">
        <f t="shared" ref="E54" si="42">SUM(E46:E53)</f>
        <v>2119710.392504225</v>
      </c>
      <c r="F54" s="5">
        <f t="shared" ref="F54" si="43">SUM(F46:F53)</f>
        <v>931594.72169783711</v>
      </c>
      <c r="G54" s="5">
        <f t="shared" ref="G54" si="44">SUM(G46:G53)</f>
        <v>989550.76834550418</v>
      </c>
      <c r="H54" s="5">
        <f t="shared" ref="H54" si="45">SUM(H46:H53)</f>
        <v>385369.10228634643</v>
      </c>
      <c r="I54" s="5">
        <f t="shared" si="32"/>
        <v>7368961.5484814057</v>
      </c>
      <c r="K54" s="5">
        <f>SUM(K46:K53)</f>
        <v>8</v>
      </c>
      <c r="L54" s="5">
        <f t="shared" ref="L54:P54" si="46">SUM(L46:L53)</f>
        <v>8</v>
      </c>
      <c r="M54" s="5">
        <f t="shared" si="46"/>
        <v>8</v>
      </c>
      <c r="N54" s="5">
        <f t="shared" si="46"/>
        <v>8</v>
      </c>
      <c r="O54" s="5">
        <f t="shared" si="46"/>
        <v>8</v>
      </c>
      <c r="P54" s="5">
        <f t="shared" si="46"/>
        <v>8</v>
      </c>
      <c r="Q54" s="5">
        <f>SUM(Q46:Q53)</f>
        <v>48</v>
      </c>
      <c r="S54" s="5">
        <f>IFERROR(K54-C54,0)</f>
        <v>-2935344.4913071152</v>
      </c>
      <c r="T54" s="5">
        <f>IFERROR(L54-D54,0)</f>
        <v>-7376.0723403785978</v>
      </c>
      <c r="U54" s="5">
        <f>IFERROR(M54-E54,0)</f>
        <v>-2119702.392504225</v>
      </c>
      <c r="V54" s="5">
        <f>IFERROR(N54-I54,0)</f>
        <v>-7368953.5484814057</v>
      </c>
      <c r="W54" s="5">
        <f t="shared" ref="W54:X54" si="47">IFERROR(O54-J54,0)</f>
        <v>8</v>
      </c>
      <c r="X54" s="5">
        <f t="shared" si="47"/>
        <v>0</v>
      </c>
    </row>
    <row r="57" spans="1:25" x14ac:dyDescent="0.2">
      <c r="B57" s="1" t="s">
        <v>14</v>
      </c>
      <c r="C57" s="7" t="s">
        <v>15</v>
      </c>
      <c r="D57" s="7" t="s">
        <v>15</v>
      </c>
      <c r="E57" s="7" t="s">
        <v>16</v>
      </c>
      <c r="F57" s="7" t="s">
        <v>16</v>
      </c>
      <c r="G57" s="7" t="s">
        <v>17</v>
      </c>
      <c r="H57" s="7" t="s">
        <v>17</v>
      </c>
      <c r="I57" s="1" t="s">
        <v>18</v>
      </c>
      <c r="K57" s="7" t="s">
        <v>15</v>
      </c>
      <c r="L57" s="7" t="s">
        <v>15</v>
      </c>
      <c r="M57" s="7" t="s">
        <v>16</v>
      </c>
      <c r="N57" s="7" t="s">
        <v>16</v>
      </c>
      <c r="O57" s="7" t="s">
        <v>17</v>
      </c>
      <c r="P57" s="7" t="s">
        <v>17</v>
      </c>
      <c r="Q57" s="1" t="s">
        <v>18</v>
      </c>
      <c r="S57" s="7" t="s">
        <v>15</v>
      </c>
      <c r="T57" s="7" t="s">
        <v>15</v>
      </c>
      <c r="U57" s="7" t="s">
        <v>16</v>
      </c>
      <c r="V57" s="7" t="s">
        <v>16</v>
      </c>
      <c r="W57" s="7" t="s">
        <v>17</v>
      </c>
      <c r="X57" s="7" t="s">
        <v>17</v>
      </c>
    </row>
    <row r="58" spans="1:25" x14ac:dyDescent="0.2">
      <c r="C58" s="7" t="s">
        <v>68</v>
      </c>
      <c r="D58" s="7" t="s">
        <v>69</v>
      </c>
      <c r="E58" s="7" t="s">
        <v>68</v>
      </c>
      <c r="F58" s="7" t="s">
        <v>69</v>
      </c>
      <c r="G58" s="7" t="s">
        <v>68</v>
      </c>
      <c r="H58" s="7" t="s">
        <v>69</v>
      </c>
      <c r="K58" s="7" t="s">
        <v>68</v>
      </c>
      <c r="L58" s="7" t="s">
        <v>69</v>
      </c>
      <c r="M58" s="7" t="s">
        <v>68</v>
      </c>
      <c r="N58" s="7" t="s">
        <v>69</v>
      </c>
      <c r="O58" s="7" t="s">
        <v>68</v>
      </c>
      <c r="P58" s="7" t="s">
        <v>69</v>
      </c>
      <c r="S58" s="7" t="s">
        <v>68</v>
      </c>
      <c r="T58" s="7" t="s">
        <v>69</v>
      </c>
      <c r="U58" s="7" t="s">
        <v>68</v>
      </c>
      <c r="V58" s="7" t="s">
        <v>69</v>
      </c>
      <c r="W58" s="7" t="s">
        <v>68</v>
      </c>
      <c r="X58" s="7" t="s">
        <v>69</v>
      </c>
    </row>
    <row r="59" spans="1:25" x14ac:dyDescent="0.2">
      <c r="B59" s="1" t="s">
        <v>6</v>
      </c>
      <c r="C59" s="18">
        <f t="shared" ref="C59:E67" si="48">C46/$I46</f>
        <v>0.49907101324837783</v>
      </c>
      <c r="D59" s="19">
        <f t="shared" si="48"/>
        <v>3.095003059098093E-4</v>
      </c>
      <c r="E59" s="19">
        <f t="shared" si="48"/>
        <v>9.5636585388387554E-2</v>
      </c>
      <c r="F59" s="19">
        <f t="shared" ref="F59:H59" si="49">F46/$I46</f>
        <v>0.25171103396672379</v>
      </c>
      <c r="G59" s="19">
        <f t="shared" si="49"/>
        <v>4.2847046451003193E-2</v>
      </c>
      <c r="H59" s="20">
        <f t="shared" si="49"/>
        <v>0.11042482063959781</v>
      </c>
      <c r="I59" s="17">
        <f>SUM(C59:H59)</f>
        <v>1</v>
      </c>
      <c r="K59" s="18">
        <f>IFERROR(K46/$Q46,0)</f>
        <v>0.16666666666666666</v>
      </c>
      <c r="L59" s="19">
        <f t="shared" ref="L59:P59" si="50">IFERROR(L46/$Q46,0)</f>
        <v>0.16666666666666666</v>
      </c>
      <c r="M59" s="19">
        <f t="shared" si="50"/>
        <v>0.16666666666666666</v>
      </c>
      <c r="N59" s="19">
        <f t="shared" si="50"/>
        <v>0.16666666666666666</v>
      </c>
      <c r="O59" s="87">
        <f t="shared" si="50"/>
        <v>0.16666666666666666</v>
      </c>
      <c r="P59" s="88">
        <f t="shared" si="50"/>
        <v>0.16666666666666666</v>
      </c>
      <c r="Q59" s="17">
        <f>SUM(K59:P59)</f>
        <v>0.99999999999999989</v>
      </c>
      <c r="S59" s="18">
        <f t="shared" ref="S59:S67" si="51">IFERROR(K59-C59,0)</f>
        <v>-0.33240434658171114</v>
      </c>
      <c r="T59" s="19">
        <f t="shared" ref="T59:T67" si="52">IFERROR(L59-D59,0)</f>
        <v>0.16635716636075684</v>
      </c>
      <c r="U59" s="19">
        <f t="shared" ref="U59:U67" si="53">IFERROR(M59-E59,0)</f>
        <v>7.1030081278279103E-2</v>
      </c>
      <c r="V59" s="19">
        <f t="shared" ref="V59:X67" si="54">IFERROR(N59-F59,0)</f>
        <v>-8.5044367300057128E-2</v>
      </c>
      <c r="W59" s="19">
        <f t="shared" si="54"/>
        <v>0.12381962021566346</v>
      </c>
      <c r="X59" s="20">
        <f t="shared" si="54"/>
        <v>5.6241846027068845E-2</v>
      </c>
      <c r="Y59" s="93">
        <f>IFERROR(Q59-I59,0)</f>
        <v>-1.1102230246251565E-16</v>
      </c>
    </row>
    <row r="60" spans="1:25" x14ac:dyDescent="0.2">
      <c r="B60" s="1" t="s">
        <v>7</v>
      </c>
      <c r="C60" s="21">
        <f t="shared" si="48"/>
        <v>0.47494478399027817</v>
      </c>
      <c r="D60" s="17">
        <f t="shared" si="48"/>
        <v>0</v>
      </c>
      <c r="E60" s="17">
        <f t="shared" si="48"/>
        <v>0.25004088124440249</v>
      </c>
      <c r="F60" s="17">
        <f t="shared" ref="F60:H60" si="55">F47/$I47</f>
        <v>0.13333735708846017</v>
      </c>
      <c r="G60" s="17">
        <f t="shared" si="55"/>
        <v>9.9596206190952594E-2</v>
      </c>
      <c r="H60" s="22">
        <f t="shared" si="55"/>
        <v>4.2080771485906485E-2</v>
      </c>
      <c r="I60" s="17">
        <f t="shared" ref="I60:I66" si="56">SUM(C60:H60)</f>
        <v>0.99999999999999989</v>
      </c>
      <c r="K60" s="21">
        <f t="shared" ref="K60:P60" si="57">IFERROR(K47/$Q47,0)</f>
        <v>0.16666666666666666</v>
      </c>
      <c r="L60" s="17">
        <f t="shared" si="57"/>
        <v>0.16666666666666666</v>
      </c>
      <c r="M60" s="17">
        <f t="shared" si="57"/>
        <v>0.16666666666666666</v>
      </c>
      <c r="N60" s="17">
        <f t="shared" si="57"/>
        <v>0.16666666666666666</v>
      </c>
      <c r="O60" s="89">
        <f t="shared" si="57"/>
        <v>0.16666666666666666</v>
      </c>
      <c r="P60" s="90">
        <f t="shared" si="57"/>
        <v>0.16666666666666666</v>
      </c>
      <c r="Q60" s="17">
        <f t="shared" ref="Q60:Q66" si="58">SUM(K60:P60)</f>
        <v>0.99999999999999989</v>
      </c>
      <c r="S60" s="21">
        <f t="shared" si="51"/>
        <v>-0.30827811732361154</v>
      </c>
      <c r="T60" s="17">
        <f t="shared" si="52"/>
        <v>0.16666666666666666</v>
      </c>
      <c r="U60" s="17">
        <f t="shared" si="53"/>
        <v>-8.3374214577735833E-2</v>
      </c>
      <c r="V60" s="17">
        <f t="shared" si="54"/>
        <v>3.3329309578206484E-2</v>
      </c>
      <c r="W60" s="17">
        <f t="shared" si="54"/>
        <v>6.7070460475714064E-2</v>
      </c>
      <c r="X60" s="22">
        <f t="shared" si="54"/>
        <v>0.12458589518076017</v>
      </c>
      <c r="Y60" s="93">
        <f t="shared" ref="Y60:Y66" si="59">IFERROR(Q60-I60,0)</f>
        <v>0</v>
      </c>
    </row>
    <row r="61" spans="1:25" x14ac:dyDescent="0.2">
      <c r="B61" s="1" t="s">
        <v>8</v>
      </c>
      <c r="C61" s="21">
        <f t="shared" si="48"/>
        <v>0.24779377441793188</v>
      </c>
      <c r="D61" s="17">
        <f t="shared" si="48"/>
        <v>1.5507691571097397E-2</v>
      </c>
      <c r="E61" s="17">
        <f t="shared" si="48"/>
        <v>0.4484948515519197</v>
      </c>
      <c r="F61" s="17">
        <f t="shared" ref="F61:H61" si="60">F48/$I48</f>
        <v>9.9864617021558785E-2</v>
      </c>
      <c r="G61" s="17">
        <f t="shared" si="60"/>
        <v>0.17430639228918518</v>
      </c>
      <c r="H61" s="22">
        <f t="shared" si="60"/>
        <v>1.4032673148306909E-2</v>
      </c>
      <c r="I61" s="17">
        <f t="shared" si="56"/>
        <v>0.99999999999999989</v>
      </c>
      <c r="K61" s="21">
        <f t="shared" ref="K61:P61" si="61">IFERROR(K48/$Q48,0)</f>
        <v>0.16666666666666666</v>
      </c>
      <c r="L61" s="17">
        <f t="shared" si="61"/>
        <v>0.16666666666666666</v>
      </c>
      <c r="M61" s="17">
        <f t="shared" si="61"/>
        <v>0.16666666666666666</v>
      </c>
      <c r="N61" s="17">
        <f t="shared" si="61"/>
        <v>0.16666666666666666</v>
      </c>
      <c r="O61" s="89">
        <f t="shared" si="61"/>
        <v>0.16666666666666666</v>
      </c>
      <c r="P61" s="90">
        <f t="shared" si="61"/>
        <v>0.16666666666666666</v>
      </c>
      <c r="Q61" s="17">
        <f t="shared" si="58"/>
        <v>0.99999999999999989</v>
      </c>
      <c r="S61" s="21">
        <f t="shared" si="51"/>
        <v>-8.1127107751265221E-2</v>
      </c>
      <c r="T61" s="17">
        <f t="shared" si="52"/>
        <v>0.15115897509556925</v>
      </c>
      <c r="U61" s="17">
        <f t="shared" si="53"/>
        <v>-0.28182818488525307</v>
      </c>
      <c r="V61" s="17">
        <f t="shared" si="54"/>
        <v>6.6802049645107872E-2</v>
      </c>
      <c r="W61" s="17">
        <f t="shared" si="54"/>
        <v>-7.6397256225185228E-3</v>
      </c>
      <c r="X61" s="22">
        <f t="shared" si="54"/>
        <v>0.15263399351835974</v>
      </c>
      <c r="Y61" s="93">
        <f t="shared" si="59"/>
        <v>0</v>
      </c>
    </row>
    <row r="62" spans="1:25" x14ac:dyDescent="0.2">
      <c r="B62" s="1" t="s">
        <v>9</v>
      </c>
      <c r="C62" s="21">
        <f t="shared" si="48"/>
        <v>0</v>
      </c>
      <c r="D62" s="17">
        <f t="shared" si="48"/>
        <v>0</v>
      </c>
      <c r="E62" s="17">
        <f t="shared" si="48"/>
        <v>0.7435430172928934</v>
      </c>
      <c r="F62" s="17">
        <f t="shared" ref="F62:H62" si="62">F49/$I49</f>
        <v>0</v>
      </c>
      <c r="G62" s="17">
        <f t="shared" si="62"/>
        <v>0.25645698270710665</v>
      </c>
      <c r="H62" s="22">
        <f t="shared" si="62"/>
        <v>0</v>
      </c>
      <c r="I62" s="17">
        <f t="shared" si="56"/>
        <v>1</v>
      </c>
      <c r="K62" s="21">
        <f t="shared" ref="K62:P62" si="63">IFERROR(K49/$Q49,0)</f>
        <v>0.16666666666666666</v>
      </c>
      <c r="L62" s="17">
        <f t="shared" si="63"/>
        <v>0.16666666666666666</v>
      </c>
      <c r="M62" s="17">
        <f t="shared" si="63"/>
        <v>0.16666666666666666</v>
      </c>
      <c r="N62" s="17">
        <f t="shared" si="63"/>
        <v>0.16666666666666666</v>
      </c>
      <c r="O62" s="89">
        <f t="shared" si="63"/>
        <v>0.16666666666666666</v>
      </c>
      <c r="P62" s="90">
        <f t="shared" si="63"/>
        <v>0.16666666666666666</v>
      </c>
      <c r="Q62" s="17">
        <f t="shared" si="58"/>
        <v>0.99999999999999989</v>
      </c>
      <c r="S62" s="21">
        <f t="shared" si="51"/>
        <v>0.16666666666666666</v>
      </c>
      <c r="T62" s="17">
        <f t="shared" si="52"/>
        <v>0.16666666666666666</v>
      </c>
      <c r="U62" s="17">
        <f t="shared" si="53"/>
        <v>-0.57687635062622677</v>
      </c>
      <c r="V62" s="17">
        <f t="shared" si="54"/>
        <v>0.16666666666666666</v>
      </c>
      <c r="W62" s="17">
        <f t="shared" si="54"/>
        <v>-8.9790316040439994E-2</v>
      </c>
      <c r="X62" s="22">
        <f t="shared" si="54"/>
        <v>0.16666666666666666</v>
      </c>
      <c r="Y62" s="93">
        <f t="shared" si="59"/>
        <v>-1.1102230246251565E-16</v>
      </c>
    </row>
    <row r="63" spans="1:25" x14ac:dyDescent="0.2">
      <c r="B63" s="1" t="s">
        <v>10</v>
      </c>
      <c r="C63" s="21">
        <f t="shared" si="48"/>
        <v>0</v>
      </c>
      <c r="D63" s="17">
        <f t="shared" si="48"/>
        <v>0</v>
      </c>
      <c r="E63" s="17">
        <f t="shared" si="48"/>
        <v>0.69367119863402305</v>
      </c>
      <c r="F63" s="17">
        <f t="shared" ref="F63:H63" si="64">F50/$I50</f>
        <v>0</v>
      </c>
      <c r="G63" s="17">
        <f t="shared" si="64"/>
        <v>0.30632880136597695</v>
      </c>
      <c r="H63" s="22">
        <f t="shared" si="64"/>
        <v>0</v>
      </c>
      <c r="I63" s="17">
        <f t="shared" si="56"/>
        <v>1</v>
      </c>
      <c r="K63" s="21">
        <f t="shared" ref="K63:P63" si="65">IFERROR(K50/$Q50,0)</f>
        <v>0.16666666666666666</v>
      </c>
      <c r="L63" s="17">
        <f t="shared" si="65"/>
        <v>0.16666666666666666</v>
      </c>
      <c r="M63" s="17">
        <f t="shared" si="65"/>
        <v>0.16666666666666666</v>
      </c>
      <c r="N63" s="17">
        <f t="shared" si="65"/>
        <v>0.16666666666666666</v>
      </c>
      <c r="O63" s="89">
        <f t="shared" si="65"/>
        <v>0.16666666666666666</v>
      </c>
      <c r="P63" s="90">
        <f t="shared" si="65"/>
        <v>0.16666666666666666</v>
      </c>
      <c r="Q63" s="17">
        <f t="shared" si="58"/>
        <v>0.99999999999999989</v>
      </c>
      <c r="S63" s="21">
        <f t="shared" si="51"/>
        <v>0.16666666666666666</v>
      </c>
      <c r="T63" s="17">
        <f t="shared" si="52"/>
        <v>0.16666666666666666</v>
      </c>
      <c r="U63" s="17">
        <f t="shared" si="53"/>
        <v>-0.52700453196735642</v>
      </c>
      <c r="V63" s="17">
        <f t="shared" si="54"/>
        <v>0.16666666666666666</v>
      </c>
      <c r="W63" s="17">
        <f t="shared" si="54"/>
        <v>-0.1396621346993103</v>
      </c>
      <c r="X63" s="22">
        <f t="shared" si="54"/>
        <v>0.16666666666666666</v>
      </c>
      <c r="Y63" s="93">
        <f t="shared" si="59"/>
        <v>-1.1102230246251565E-16</v>
      </c>
    </row>
    <row r="64" spans="1:25" x14ac:dyDescent="0.2">
      <c r="B64" s="1" t="s">
        <v>11</v>
      </c>
      <c r="C64" s="21">
        <f t="shared" si="48"/>
        <v>0.77692784482469213</v>
      </c>
      <c r="D64" s="17">
        <f t="shared" si="48"/>
        <v>0</v>
      </c>
      <c r="E64" s="17">
        <f t="shared" si="48"/>
        <v>0.11179676351784661</v>
      </c>
      <c r="F64" s="17">
        <f t="shared" ref="F64:H64" si="66">F51/$I51</f>
        <v>0</v>
      </c>
      <c r="G64" s="17">
        <f t="shared" si="66"/>
        <v>0.11127539165746135</v>
      </c>
      <c r="H64" s="22">
        <f t="shared" si="66"/>
        <v>0</v>
      </c>
      <c r="I64" s="17">
        <f t="shared" si="56"/>
        <v>1</v>
      </c>
      <c r="K64" s="21">
        <f t="shared" ref="K64:P64" si="67">IFERROR(K51/$Q51,0)</f>
        <v>0.16666666666666666</v>
      </c>
      <c r="L64" s="17">
        <f t="shared" si="67"/>
        <v>0.16666666666666666</v>
      </c>
      <c r="M64" s="17">
        <f t="shared" si="67"/>
        <v>0.16666666666666666</v>
      </c>
      <c r="N64" s="17">
        <f t="shared" si="67"/>
        <v>0.16666666666666666</v>
      </c>
      <c r="O64" s="89">
        <f t="shared" si="67"/>
        <v>0.16666666666666666</v>
      </c>
      <c r="P64" s="90">
        <f t="shared" si="67"/>
        <v>0.16666666666666666</v>
      </c>
      <c r="Q64" s="17">
        <f t="shared" si="58"/>
        <v>0.99999999999999989</v>
      </c>
      <c r="S64" s="21">
        <f t="shared" si="51"/>
        <v>-0.6102611781580255</v>
      </c>
      <c r="T64" s="17">
        <f t="shared" si="52"/>
        <v>0.16666666666666666</v>
      </c>
      <c r="U64" s="17">
        <f t="shared" si="53"/>
        <v>5.4869903148820051E-2</v>
      </c>
      <c r="V64" s="17">
        <f t="shared" si="54"/>
        <v>0.16666666666666666</v>
      </c>
      <c r="W64" s="17">
        <f t="shared" si="54"/>
        <v>5.5391275009205307E-2</v>
      </c>
      <c r="X64" s="22">
        <f t="shared" si="54"/>
        <v>0.16666666666666666</v>
      </c>
      <c r="Y64" s="93">
        <f t="shared" si="59"/>
        <v>-1.1102230246251565E-16</v>
      </c>
    </row>
    <row r="65" spans="2:25" x14ac:dyDescent="0.2">
      <c r="B65" s="1" t="s">
        <v>12</v>
      </c>
      <c r="C65" s="21">
        <f t="shared" si="48"/>
        <v>0.81564046243355537</v>
      </c>
      <c r="D65" s="17">
        <f t="shared" si="48"/>
        <v>0</v>
      </c>
      <c r="E65" s="17">
        <f t="shared" si="48"/>
        <v>7.954277622113895E-2</v>
      </c>
      <c r="F65" s="17">
        <f t="shared" ref="F65:H65" si="68">F52/$I52</f>
        <v>0</v>
      </c>
      <c r="G65" s="17">
        <f t="shared" si="68"/>
        <v>0.10481676134530564</v>
      </c>
      <c r="H65" s="22">
        <f t="shared" si="68"/>
        <v>0</v>
      </c>
      <c r="I65" s="17">
        <f t="shared" si="56"/>
        <v>0.99999999999999989</v>
      </c>
      <c r="K65" s="21">
        <f t="shared" ref="K65:P65" si="69">IFERROR(K52/$Q52,0)</f>
        <v>0.16666666666666666</v>
      </c>
      <c r="L65" s="17">
        <f t="shared" si="69"/>
        <v>0.16666666666666666</v>
      </c>
      <c r="M65" s="17">
        <f t="shared" si="69"/>
        <v>0.16666666666666666</v>
      </c>
      <c r="N65" s="17">
        <f t="shared" si="69"/>
        <v>0.16666666666666666</v>
      </c>
      <c r="O65" s="89">
        <f t="shared" si="69"/>
        <v>0.16666666666666666</v>
      </c>
      <c r="P65" s="90">
        <f t="shared" si="69"/>
        <v>0.16666666666666666</v>
      </c>
      <c r="Q65" s="17">
        <f t="shared" si="58"/>
        <v>0.99999999999999989</v>
      </c>
      <c r="S65" s="21">
        <f t="shared" si="51"/>
        <v>-0.64897379576688874</v>
      </c>
      <c r="T65" s="17">
        <f t="shared" si="52"/>
        <v>0.16666666666666666</v>
      </c>
      <c r="U65" s="17">
        <f t="shared" si="53"/>
        <v>8.7123890445527707E-2</v>
      </c>
      <c r="V65" s="17">
        <f t="shared" si="54"/>
        <v>0.16666666666666666</v>
      </c>
      <c r="W65" s="17">
        <f t="shared" si="54"/>
        <v>6.1849905321361018E-2</v>
      </c>
      <c r="X65" s="22">
        <f t="shared" si="54"/>
        <v>0.16666666666666666</v>
      </c>
      <c r="Y65" s="93">
        <f t="shared" si="59"/>
        <v>0</v>
      </c>
    </row>
    <row r="66" spans="2:25" x14ac:dyDescent="0.2">
      <c r="B66" s="1" t="s">
        <v>13</v>
      </c>
      <c r="C66" s="23">
        <f t="shared" si="48"/>
        <v>0.34061082140362475</v>
      </c>
      <c r="D66" s="24">
        <f t="shared" si="48"/>
        <v>0</v>
      </c>
      <c r="E66" s="24">
        <f t="shared" si="48"/>
        <v>0.35930020123103462</v>
      </c>
      <c r="F66" s="24">
        <f t="shared" ref="F66:H66" si="70">F53/$I53</f>
        <v>0</v>
      </c>
      <c r="G66" s="24">
        <f t="shared" si="70"/>
        <v>0.30008897736534063</v>
      </c>
      <c r="H66" s="25">
        <f t="shared" si="70"/>
        <v>0</v>
      </c>
      <c r="I66" s="17">
        <f t="shared" si="56"/>
        <v>1</v>
      </c>
      <c r="K66" s="23">
        <f t="shared" ref="K66:P66" si="71">IFERROR(K53/$Q53,0)</f>
        <v>0.16666666666666666</v>
      </c>
      <c r="L66" s="24">
        <f t="shared" si="71"/>
        <v>0.16666666666666666</v>
      </c>
      <c r="M66" s="24">
        <f t="shared" si="71"/>
        <v>0.16666666666666666</v>
      </c>
      <c r="N66" s="24">
        <f t="shared" si="71"/>
        <v>0.16666666666666666</v>
      </c>
      <c r="O66" s="91">
        <f t="shared" si="71"/>
        <v>0.16666666666666666</v>
      </c>
      <c r="P66" s="92">
        <f t="shared" si="71"/>
        <v>0.16666666666666666</v>
      </c>
      <c r="Q66" s="17">
        <f t="shared" si="58"/>
        <v>0.99999999999999989</v>
      </c>
      <c r="S66" s="23">
        <f t="shared" si="51"/>
        <v>-0.1739441547369581</v>
      </c>
      <c r="T66" s="24">
        <f t="shared" si="52"/>
        <v>0.16666666666666666</v>
      </c>
      <c r="U66" s="24">
        <f t="shared" si="53"/>
        <v>-0.19263353456436796</v>
      </c>
      <c r="V66" s="24">
        <f t="shared" si="54"/>
        <v>0.16666666666666666</v>
      </c>
      <c r="W66" s="24">
        <f t="shared" si="54"/>
        <v>-0.13342231069867397</v>
      </c>
      <c r="X66" s="25">
        <f t="shared" si="54"/>
        <v>0.16666666666666666</v>
      </c>
      <c r="Y66" s="93">
        <f t="shared" si="59"/>
        <v>-1.1102230246251565E-16</v>
      </c>
    </row>
    <row r="67" spans="2:25" x14ac:dyDescent="0.2">
      <c r="B67" s="1" t="s">
        <v>18</v>
      </c>
      <c r="C67" s="17">
        <f t="shared" si="48"/>
        <v>0.39834004723664657</v>
      </c>
      <c r="D67" s="17">
        <f t="shared" si="48"/>
        <v>1.0020505999112327E-3</v>
      </c>
      <c r="E67" s="17">
        <f t="shared" si="48"/>
        <v>0.28765388156232874</v>
      </c>
      <c r="F67" s="17">
        <f>F54/$I54</f>
        <v>0.1264214388375822</v>
      </c>
      <c r="G67" s="17">
        <f>G54/$I54</f>
        <v>0.13428632539810587</v>
      </c>
      <c r="H67" s="17">
        <f>H54/$I54</f>
        <v>5.2296256365425495E-2</v>
      </c>
      <c r="I67" s="17">
        <f>SUM(C67:H67)</f>
        <v>1</v>
      </c>
      <c r="K67" s="17">
        <f>IFERROR(K54/$Q54,0)</f>
        <v>0.16666666666666666</v>
      </c>
      <c r="L67" s="17">
        <f t="shared" ref="L67:P67" si="72">IFERROR(L54/$Q54,0)</f>
        <v>0.16666666666666666</v>
      </c>
      <c r="M67" s="17">
        <f t="shared" si="72"/>
        <v>0.16666666666666666</v>
      </c>
      <c r="N67" s="17">
        <f t="shared" si="72"/>
        <v>0.16666666666666666</v>
      </c>
      <c r="O67" s="17">
        <f t="shared" si="72"/>
        <v>0.16666666666666666</v>
      </c>
      <c r="P67" s="17">
        <f t="shared" si="72"/>
        <v>0.16666666666666666</v>
      </c>
      <c r="S67" s="17">
        <f t="shared" si="51"/>
        <v>-0.23167338056997991</v>
      </c>
      <c r="T67" s="17">
        <f t="shared" si="52"/>
        <v>0.16566461606675542</v>
      </c>
      <c r="U67" s="17">
        <f t="shared" si="53"/>
        <v>-0.12098721489566208</v>
      </c>
      <c r="V67" s="17">
        <f t="shared" si="54"/>
        <v>4.0245227829084462E-2</v>
      </c>
      <c r="W67" s="17">
        <f t="shared" si="54"/>
        <v>3.2380341268560792E-2</v>
      </c>
      <c r="X67" s="17">
        <f t="shared" si="54"/>
        <v>0.11437041030124116</v>
      </c>
    </row>
  </sheetData>
  <conditionalFormatting sqref="M17:O24">
    <cfRule type="colorScale" priority="3">
      <colorScale>
        <cfvo type="num" val="-0.5"/>
        <cfvo type="num" val="0"/>
        <cfvo type="num" val="0.5"/>
        <color rgb="FFF8696B"/>
        <color rgb="FFFCFCFF"/>
        <color rgb="FF5A8AC6"/>
      </colorScale>
    </cfRule>
  </conditionalFormatting>
  <conditionalFormatting sqref="S59:X66">
    <cfRule type="colorScale" priority="1">
      <colorScale>
        <cfvo type="num" val="-0.5"/>
        <cfvo type="num" val="0"/>
        <cfvo type="num" val="0.5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22"/>
  <sheetViews>
    <sheetView workbookViewId="0">
      <selection activeCell="G13" sqref="G13"/>
    </sheetView>
  </sheetViews>
  <sheetFormatPr defaultRowHeight="15" x14ac:dyDescent="0.25"/>
  <cols>
    <col min="1" max="1" width="13.7109375" customWidth="1"/>
  </cols>
  <sheetData>
    <row r="1" spans="1:7" x14ac:dyDescent="0.25">
      <c r="A1" s="2" t="s">
        <v>36</v>
      </c>
    </row>
    <row r="2" spans="1:7" x14ac:dyDescent="0.25">
      <c r="A2" s="1" t="s">
        <v>20</v>
      </c>
      <c r="B2" s="1" t="s">
        <v>0</v>
      </c>
      <c r="C2" s="1" t="s">
        <v>1</v>
      </c>
      <c r="D2" s="1" t="s">
        <v>2</v>
      </c>
    </row>
    <row r="3" spans="1:7" x14ac:dyDescent="0.25">
      <c r="A3" s="1">
        <v>1</v>
      </c>
      <c r="B3" s="9">
        <v>1</v>
      </c>
      <c r="C3" s="10">
        <v>1</v>
      </c>
      <c r="D3" s="11">
        <v>1</v>
      </c>
    </row>
    <row r="4" spans="1:7" x14ac:dyDescent="0.25">
      <c r="A4" s="1">
        <v>2</v>
      </c>
      <c r="B4" s="12">
        <v>1</v>
      </c>
      <c r="C4" s="5">
        <v>1</v>
      </c>
      <c r="D4" s="13">
        <v>1</v>
      </c>
    </row>
    <row r="5" spans="1:7" x14ac:dyDescent="0.25">
      <c r="A5" s="1">
        <v>3</v>
      </c>
      <c r="B5" s="12">
        <v>1</v>
      </c>
      <c r="C5" s="5">
        <v>1</v>
      </c>
      <c r="D5" s="13">
        <v>1</v>
      </c>
    </row>
    <row r="6" spans="1:7" x14ac:dyDescent="0.25">
      <c r="A6" s="1">
        <v>4</v>
      </c>
      <c r="B6" s="12">
        <v>1</v>
      </c>
      <c r="C6" s="5">
        <v>1</v>
      </c>
      <c r="D6" s="13">
        <v>1</v>
      </c>
    </row>
    <row r="7" spans="1:7" x14ac:dyDescent="0.25">
      <c r="A7" s="1">
        <v>5</v>
      </c>
      <c r="B7" s="12">
        <v>1</v>
      </c>
      <c r="C7" s="5">
        <v>1</v>
      </c>
      <c r="D7" s="13">
        <v>1</v>
      </c>
    </row>
    <row r="8" spans="1:7" x14ac:dyDescent="0.25">
      <c r="A8" s="1">
        <v>6</v>
      </c>
      <c r="B8" s="12">
        <v>1</v>
      </c>
      <c r="C8" s="5">
        <v>1</v>
      </c>
      <c r="D8" s="13">
        <v>1</v>
      </c>
    </row>
    <row r="9" spans="1:7" x14ac:dyDescent="0.25">
      <c r="A9" s="1">
        <v>7</v>
      </c>
      <c r="B9" s="12">
        <v>1</v>
      </c>
      <c r="C9" s="5">
        <v>1</v>
      </c>
      <c r="D9" s="13">
        <v>1</v>
      </c>
    </row>
    <row r="10" spans="1:7" x14ac:dyDescent="0.25">
      <c r="A10" s="1">
        <v>8</v>
      </c>
      <c r="B10" s="14">
        <v>1</v>
      </c>
      <c r="C10" s="15">
        <v>1</v>
      </c>
      <c r="D10" s="16">
        <v>1</v>
      </c>
    </row>
    <row r="13" spans="1:7" x14ac:dyDescent="0.25">
      <c r="A13" s="2" t="s">
        <v>36</v>
      </c>
    </row>
    <row r="14" spans="1:7" x14ac:dyDescent="0.25">
      <c r="A14" s="1" t="s">
        <v>20</v>
      </c>
      <c r="B14" s="1" t="s">
        <v>71</v>
      </c>
      <c r="C14" t="s">
        <v>72</v>
      </c>
      <c r="D14" s="1" t="s">
        <v>73</v>
      </c>
      <c r="E14" s="1" t="s">
        <v>74</v>
      </c>
      <c r="F14" s="1" t="s">
        <v>75</v>
      </c>
      <c r="G14" s="1" t="s">
        <v>76</v>
      </c>
    </row>
    <row r="15" spans="1:7" x14ac:dyDescent="0.25">
      <c r="A15" s="1">
        <v>1</v>
      </c>
      <c r="B15" s="9">
        <v>1</v>
      </c>
      <c r="C15" s="10">
        <v>1</v>
      </c>
      <c r="D15" s="10">
        <v>1</v>
      </c>
      <c r="E15" s="10">
        <v>1</v>
      </c>
      <c r="F15" s="10">
        <v>1</v>
      </c>
      <c r="G15" s="11">
        <v>1</v>
      </c>
    </row>
    <row r="16" spans="1:7" x14ac:dyDescent="0.25">
      <c r="A16" s="1">
        <v>2</v>
      </c>
      <c r="B16" s="12">
        <v>1</v>
      </c>
      <c r="C16" s="5">
        <v>1</v>
      </c>
      <c r="D16" s="5">
        <v>1</v>
      </c>
      <c r="E16" s="5">
        <v>1</v>
      </c>
      <c r="F16" s="5">
        <v>1</v>
      </c>
      <c r="G16" s="13">
        <v>1</v>
      </c>
    </row>
    <row r="17" spans="1:7" x14ac:dyDescent="0.25">
      <c r="A17" s="1">
        <v>3</v>
      </c>
      <c r="B17" s="12">
        <v>1</v>
      </c>
      <c r="C17" s="5">
        <v>1</v>
      </c>
      <c r="D17" s="5">
        <v>1</v>
      </c>
      <c r="E17" s="5">
        <v>1</v>
      </c>
      <c r="F17" s="5">
        <v>1</v>
      </c>
      <c r="G17" s="13">
        <v>1</v>
      </c>
    </row>
    <row r="18" spans="1:7" x14ac:dyDescent="0.25">
      <c r="A18" s="1">
        <v>4</v>
      </c>
      <c r="B18" s="12">
        <v>1</v>
      </c>
      <c r="C18" s="5">
        <v>1</v>
      </c>
      <c r="D18" s="5">
        <v>1</v>
      </c>
      <c r="E18" s="5">
        <v>1</v>
      </c>
      <c r="F18" s="5">
        <v>1</v>
      </c>
      <c r="G18" s="13">
        <v>1</v>
      </c>
    </row>
    <row r="19" spans="1:7" x14ac:dyDescent="0.25">
      <c r="A19" s="1">
        <v>5</v>
      </c>
      <c r="B19" s="12">
        <v>1</v>
      </c>
      <c r="C19" s="5">
        <v>1</v>
      </c>
      <c r="D19" s="5">
        <v>1</v>
      </c>
      <c r="E19" s="5">
        <v>1</v>
      </c>
      <c r="F19" s="5">
        <v>1</v>
      </c>
      <c r="G19" s="13">
        <v>1</v>
      </c>
    </row>
    <row r="20" spans="1:7" x14ac:dyDescent="0.25">
      <c r="A20" s="1">
        <v>6</v>
      </c>
      <c r="B20" s="12">
        <v>1</v>
      </c>
      <c r="C20" s="5">
        <v>1</v>
      </c>
      <c r="D20" s="5">
        <v>1</v>
      </c>
      <c r="E20" s="5">
        <v>1</v>
      </c>
      <c r="F20" s="5">
        <v>1</v>
      </c>
      <c r="G20" s="13">
        <v>1</v>
      </c>
    </row>
    <row r="21" spans="1:7" x14ac:dyDescent="0.25">
      <c r="A21" s="1">
        <v>7</v>
      </c>
      <c r="B21" s="12">
        <v>1</v>
      </c>
      <c r="C21" s="5">
        <v>1</v>
      </c>
      <c r="D21" s="5">
        <v>1</v>
      </c>
      <c r="E21" s="5">
        <v>1</v>
      </c>
      <c r="F21" s="5">
        <v>1</v>
      </c>
      <c r="G21" s="13">
        <v>1</v>
      </c>
    </row>
    <row r="22" spans="1:7" x14ac:dyDescent="0.25">
      <c r="A22" s="1">
        <v>8</v>
      </c>
      <c r="B22" s="14">
        <v>1</v>
      </c>
      <c r="C22" s="15">
        <v>1</v>
      </c>
      <c r="D22" s="15">
        <v>1</v>
      </c>
      <c r="E22" s="15">
        <v>1</v>
      </c>
      <c r="F22" s="15">
        <v>1</v>
      </c>
      <c r="G22" s="16">
        <v>1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B1:AB103"/>
  <sheetViews>
    <sheetView topLeftCell="A19" workbookViewId="0">
      <selection activeCell="B75" sqref="B75"/>
    </sheetView>
  </sheetViews>
  <sheetFormatPr defaultRowHeight="15" x14ac:dyDescent="0.25"/>
  <cols>
    <col min="1" max="1" width="5.5703125" customWidth="1"/>
    <col min="8" max="8" width="24.140625" customWidth="1"/>
    <col min="9" max="9" width="14.85546875" bestFit="1" customWidth="1"/>
    <col min="10" max="10" width="14.5703125" bestFit="1" customWidth="1"/>
    <col min="11" max="14" width="12.42578125" bestFit="1" customWidth="1"/>
    <col min="15" max="15" width="7.42578125" bestFit="1" customWidth="1"/>
    <col min="16" max="16" width="16.5703125" bestFit="1" customWidth="1"/>
    <col min="17" max="17" width="16.28515625" bestFit="1" customWidth="1"/>
    <col min="18" max="25" width="12" bestFit="1" customWidth="1"/>
    <col min="26" max="26" width="9.140625" bestFit="1" customWidth="1"/>
    <col min="27" max="27" width="12.140625" bestFit="1" customWidth="1"/>
    <col min="28" max="28" width="12" bestFit="1" customWidth="1"/>
  </cols>
  <sheetData>
    <row r="1" spans="2:28" x14ac:dyDescent="0.25">
      <c r="B1" s="2" t="s">
        <v>81</v>
      </c>
    </row>
    <row r="2" spans="2:28" x14ac:dyDescent="0.25">
      <c r="B2" s="1" t="s">
        <v>38</v>
      </c>
      <c r="C2" s="1" t="s">
        <v>39</v>
      </c>
      <c r="D2" s="1" t="s">
        <v>42</v>
      </c>
      <c r="E2" s="1" t="s">
        <v>40</v>
      </c>
    </row>
    <row r="3" spans="2:28" x14ac:dyDescent="0.25">
      <c r="B3">
        <v>1</v>
      </c>
      <c r="C3" t="s">
        <v>0</v>
      </c>
      <c r="D3">
        <v>0</v>
      </c>
      <c r="E3">
        <v>136311.22000007168</v>
      </c>
    </row>
    <row r="4" spans="2:28" x14ac:dyDescent="0.25">
      <c r="B4">
        <v>1</v>
      </c>
      <c r="C4" t="s">
        <v>0</v>
      </c>
      <c r="D4">
        <v>1</v>
      </c>
      <c r="E4">
        <v>351299.40722717548</v>
      </c>
      <c r="P4" s="74" t="s">
        <v>44</v>
      </c>
      <c r="Q4" s="74" t="s">
        <v>5</v>
      </c>
    </row>
    <row r="5" spans="2:28" x14ac:dyDescent="0.25">
      <c r="B5">
        <v>1</v>
      </c>
      <c r="C5" t="s">
        <v>1</v>
      </c>
      <c r="D5">
        <v>0</v>
      </c>
      <c r="E5">
        <v>1587716.8747290757</v>
      </c>
      <c r="I5" s="3" t="s">
        <v>44</v>
      </c>
      <c r="J5" s="3" t="s">
        <v>5</v>
      </c>
      <c r="K5" s="1"/>
      <c r="L5" s="1"/>
      <c r="M5" s="1"/>
      <c r="Q5" t="s">
        <v>0</v>
      </c>
      <c r="S5" t="s">
        <v>45</v>
      </c>
      <c r="T5" t="s">
        <v>1</v>
      </c>
      <c r="V5" t="s">
        <v>46</v>
      </c>
      <c r="W5" t="s">
        <v>2</v>
      </c>
      <c r="Y5" t="s">
        <v>47</v>
      </c>
      <c r="Z5" t="s">
        <v>82</v>
      </c>
      <c r="AA5" t="s">
        <v>83</v>
      </c>
      <c r="AB5" t="s">
        <v>4</v>
      </c>
    </row>
    <row r="6" spans="2:28" x14ac:dyDescent="0.25">
      <c r="B6">
        <v>1</v>
      </c>
      <c r="C6" t="s">
        <v>1</v>
      </c>
      <c r="D6">
        <v>1</v>
      </c>
      <c r="E6">
        <v>984.62712796797064</v>
      </c>
      <c r="I6" s="3" t="s">
        <v>3</v>
      </c>
      <c r="J6" s="1" t="s">
        <v>0</v>
      </c>
      <c r="K6" s="1" t="s">
        <v>1</v>
      </c>
      <c r="L6" s="1" t="s">
        <v>2</v>
      </c>
      <c r="M6" s="1" t="s">
        <v>4</v>
      </c>
      <c r="P6" s="74" t="s">
        <v>3</v>
      </c>
      <c r="Q6">
        <v>0</v>
      </c>
      <c r="R6">
        <v>1</v>
      </c>
      <c r="T6">
        <v>0</v>
      </c>
      <c r="U6">
        <v>1</v>
      </c>
      <c r="W6">
        <v>0</v>
      </c>
      <c r="X6">
        <v>1</v>
      </c>
      <c r="Z6" t="s">
        <v>82</v>
      </c>
    </row>
    <row r="7" spans="2:28" x14ac:dyDescent="0.25">
      <c r="B7">
        <v>1</v>
      </c>
      <c r="C7" t="s">
        <v>2</v>
      </c>
      <c r="D7">
        <v>0</v>
      </c>
      <c r="E7">
        <v>304252.93481639534</v>
      </c>
      <c r="H7" s="1" t="s">
        <v>6</v>
      </c>
      <c r="I7" s="4">
        <v>1</v>
      </c>
      <c r="J7" s="85">
        <v>487610.62722724717</v>
      </c>
      <c r="K7" s="85">
        <v>1588701.5018570437</v>
      </c>
      <c r="L7" s="85">
        <v>1105032.4743517339</v>
      </c>
      <c r="M7" s="85">
        <v>3181344.6034360249</v>
      </c>
      <c r="P7" s="75">
        <v>1</v>
      </c>
      <c r="Q7">
        <v>136311.22000007168</v>
      </c>
      <c r="R7">
        <v>351299.40722717548</v>
      </c>
      <c r="S7">
        <v>487610.62722724717</v>
      </c>
      <c r="T7">
        <v>1587716.8747290757</v>
      </c>
      <c r="U7">
        <v>984.62712796797064</v>
      </c>
      <c r="V7">
        <v>1588701.5018570437</v>
      </c>
      <c r="W7">
        <v>304252.93481639534</v>
      </c>
      <c r="X7">
        <v>800779.53953533864</v>
      </c>
      <c r="Y7">
        <v>1105032.4743517339</v>
      </c>
      <c r="AB7">
        <v>3181344.6034360249</v>
      </c>
    </row>
    <row r="8" spans="2:28" x14ac:dyDescent="0.25">
      <c r="B8">
        <v>1</v>
      </c>
      <c r="C8" t="s">
        <v>2</v>
      </c>
      <c r="D8">
        <v>1</v>
      </c>
      <c r="E8">
        <v>800779.53953533864</v>
      </c>
      <c r="H8" s="1" t="s">
        <v>7</v>
      </c>
      <c r="I8" s="4">
        <v>2</v>
      </c>
      <c r="J8" s="85">
        <v>95209.139059101493</v>
      </c>
      <c r="K8" s="85">
        <v>319170.30364285648</v>
      </c>
      <c r="L8" s="85">
        <v>257636.156587979</v>
      </c>
      <c r="M8" s="85">
        <v>672015.59928993694</v>
      </c>
      <c r="P8" s="75">
        <v>2</v>
      </c>
      <c r="Q8">
        <v>66930.204190417149</v>
      </c>
      <c r="R8">
        <v>28278.93486868434</v>
      </c>
      <c r="S8">
        <v>95209.139059101493</v>
      </c>
      <c r="T8">
        <v>319170.30364285648</v>
      </c>
      <c r="V8">
        <v>319170.30364285648</v>
      </c>
      <c r="W8">
        <v>168031.37265644112</v>
      </c>
      <c r="X8">
        <v>89604.783931537895</v>
      </c>
      <c r="Y8">
        <v>257636.156587979</v>
      </c>
      <c r="AB8">
        <v>672015.59928993706</v>
      </c>
    </row>
    <row r="9" spans="2:28" x14ac:dyDescent="0.25">
      <c r="B9">
        <v>2</v>
      </c>
      <c r="C9" t="s">
        <v>0</v>
      </c>
      <c r="D9">
        <v>0</v>
      </c>
      <c r="E9">
        <v>66930.204190417149</v>
      </c>
      <c r="H9" s="1" t="s">
        <v>8</v>
      </c>
      <c r="I9" s="4">
        <v>3</v>
      </c>
      <c r="J9" s="85">
        <v>77720.499217960678</v>
      </c>
      <c r="K9" s="85">
        <v>108654.68262759341</v>
      </c>
      <c r="L9" s="85">
        <v>226287.47546042764</v>
      </c>
      <c r="M9" s="85">
        <v>412662.65730598173</v>
      </c>
      <c r="P9" s="75">
        <v>3</v>
      </c>
      <c r="Q9">
        <v>71929.739027474046</v>
      </c>
      <c r="R9">
        <v>5790.7601904866269</v>
      </c>
      <c r="S9">
        <v>77720.499217960678</v>
      </c>
      <c r="T9">
        <v>102255.23741518278</v>
      </c>
      <c r="U9">
        <v>6399.4452124106274</v>
      </c>
      <c r="V9">
        <v>108654.68262759341</v>
      </c>
      <c r="W9">
        <v>185077.07722946702</v>
      </c>
      <c r="X9">
        <v>41210.398230960629</v>
      </c>
      <c r="Y9">
        <v>226287.47546042764</v>
      </c>
      <c r="AB9">
        <v>412662.65730598173</v>
      </c>
    </row>
    <row r="10" spans="2:28" x14ac:dyDescent="0.25">
      <c r="B10">
        <v>2</v>
      </c>
      <c r="C10" t="s">
        <v>0</v>
      </c>
      <c r="D10">
        <v>1</v>
      </c>
      <c r="E10">
        <v>28278.93486868434</v>
      </c>
      <c r="H10" s="1" t="s">
        <v>9</v>
      </c>
      <c r="I10" s="4">
        <v>4</v>
      </c>
      <c r="J10" s="85">
        <v>197443.74470609266</v>
      </c>
      <c r="K10" s="85"/>
      <c r="L10" s="85">
        <v>572446.56056817796</v>
      </c>
      <c r="M10" s="85">
        <v>769890.30527427059</v>
      </c>
      <c r="P10" s="75">
        <v>4</v>
      </c>
      <c r="Q10">
        <v>197443.74470609266</v>
      </c>
      <c r="S10">
        <v>197443.74470609266</v>
      </c>
      <c r="W10">
        <v>572446.56056817796</v>
      </c>
      <c r="Y10">
        <v>572446.56056817796</v>
      </c>
      <c r="AB10">
        <v>769890.30527427059</v>
      </c>
    </row>
    <row r="11" spans="2:28" x14ac:dyDescent="0.25">
      <c r="B11">
        <v>2</v>
      </c>
      <c r="C11" t="s">
        <v>1</v>
      </c>
      <c r="D11">
        <v>0</v>
      </c>
      <c r="E11">
        <v>319170.30364285648</v>
      </c>
      <c r="H11" s="1" t="s">
        <v>10</v>
      </c>
      <c r="I11" s="4">
        <v>5</v>
      </c>
      <c r="J11" s="85">
        <v>292213.42803144874</v>
      </c>
      <c r="K11" s="85"/>
      <c r="L11" s="85">
        <v>661707.41365374334</v>
      </c>
      <c r="M11" s="85">
        <v>953920.84168519208</v>
      </c>
      <c r="P11" s="75">
        <v>5</v>
      </c>
      <c r="Q11">
        <v>292213.42803144874</v>
      </c>
      <c r="S11">
        <v>292213.42803144874</v>
      </c>
      <c r="W11">
        <v>661707.41365374334</v>
      </c>
      <c r="Y11">
        <v>661707.41365374334</v>
      </c>
      <c r="AB11">
        <v>953920.84168519208</v>
      </c>
    </row>
    <row r="12" spans="2:28" x14ac:dyDescent="0.25">
      <c r="B12">
        <v>2</v>
      </c>
      <c r="C12" t="s">
        <v>2</v>
      </c>
      <c r="D12">
        <v>0</v>
      </c>
      <c r="E12">
        <v>168031.37265644112</v>
      </c>
      <c r="H12" s="1" t="s">
        <v>11</v>
      </c>
      <c r="I12" s="4">
        <v>6</v>
      </c>
      <c r="J12" s="85">
        <v>17630.20679</v>
      </c>
      <c r="K12" s="85">
        <v>123094.58867</v>
      </c>
      <c r="L12" s="85">
        <v>17712.811699999998</v>
      </c>
      <c r="M12" s="85">
        <v>158437.60715999999</v>
      </c>
      <c r="P12" s="75">
        <v>6</v>
      </c>
      <c r="Q12">
        <v>17630.20679</v>
      </c>
      <c r="S12">
        <v>17630.20679</v>
      </c>
      <c r="T12">
        <v>123094.58867</v>
      </c>
      <c r="V12">
        <v>123094.58867</v>
      </c>
      <c r="W12">
        <v>17712.811699999998</v>
      </c>
      <c r="Y12">
        <v>17712.811699999998</v>
      </c>
      <c r="AB12">
        <v>158437.60715999999</v>
      </c>
    </row>
    <row r="13" spans="2:28" x14ac:dyDescent="0.25">
      <c r="B13">
        <v>2</v>
      </c>
      <c r="C13" t="s">
        <v>2</v>
      </c>
      <c r="D13">
        <v>1</v>
      </c>
      <c r="E13">
        <v>89604.783931537895</v>
      </c>
      <c r="H13" s="1" t="s">
        <v>12</v>
      </c>
      <c r="I13" s="4">
        <v>7</v>
      </c>
      <c r="J13" s="85">
        <v>85466.730259999997</v>
      </c>
      <c r="K13" s="85">
        <v>665066.56470999995</v>
      </c>
      <c r="L13" s="85">
        <v>64858.529419999999</v>
      </c>
      <c r="M13" s="85">
        <v>815391.82438999997</v>
      </c>
      <c r="P13" s="75">
        <v>7</v>
      </c>
      <c r="Q13">
        <v>85466.730259999997</v>
      </c>
      <c r="S13">
        <v>85466.730259999997</v>
      </c>
      <c r="T13">
        <v>665066.56470999995</v>
      </c>
      <c r="V13">
        <v>665066.56470999995</v>
      </c>
      <c r="W13">
        <v>64858.529419999999</v>
      </c>
      <c r="Y13">
        <v>64858.529419999999</v>
      </c>
      <c r="AB13">
        <v>815391.82438999997</v>
      </c>
    </row>
    <row r="14" spans="2:28" x14ac:dyDescent="0.25">
      <c r="B14">
        <v>3</v>
      </c>
      <c r="C14" t="s">
        <v>0</v>
      </c>
      <c r="D14">
        <v>0</v>
      </c>
      <c r="E14">
        <v>71929.739027474046</v>
      </c>
      <c r="H14" s="1" t="s">
        <v>13</v>
      </c>
      <c r="I14" s="4">
        <v>8</v>
      </c>
      <c r="J14" s="85">
        <v>121625.49533999999</v>
      </c>
      <c r="K14" s="85">
        <v>138048.92214000001</v>
      </c>
      <c r="L14" s="85">
        <v>145623.69245999999</v>
      </c>
      <c r="M14" s="85">
        <v>405298.10993999999</v>
      </c>
      <c r="P14" s="75">
        <v>8</v>
      </c>
      <c r="Q14">
        <v>121625.49533999999</v>
      </c>
      <c r="S14">
        <v>121625.49533999999</v>
      </c>
      <c r="T14">
        <v>138048.92214000001</v>
      </c>
      <c r="V14">
        <v>138048.92214000001</v>
      </c>
      <c r="W14">
        <v>145623.69245999999</v>
      </c>
      <c r="Y14">
        <v>145623.69245999999</v>
      </c>
      <c r="AB14">
        <v>405298.10993999999</v>
      </c>
    </row>
    <row r="15" spans="2:28" x14ac:dyDescent="0.25">
      <c r="B15">
        <v>3</v>
      </c>
      <c r="C15" t="s">
        <v>0</v>
      </c>
      <c r="D15">
        <v>1</v>
      </c>
      <c r="E15">
        <v>5790.7601904866269</v>
      </c>
      <c r="I15" s="4" t="s">
        <v>4</v>
      </c>
      <c r="J15" s="85">
        <v>1374919.8706318506</v>
      </c>
      <c r="K15" s="85">
        <v>2942736.5636474937</v>
      </c>
      <c r="L15" s="85">
        <v>3051305.1142020621</v>
      </c>
      <c r="M15" s="85">
        <v>7368961.5484814057</v>
      </c>
      <c r="P15" s="75" t="s">
        <v>82</v>
      </c>
    </row>
    <row r="16" spans="2:28" x14ac:dyDescent="0.25">
      <c r="B16" s="72">
        <v>3</v>
      </c>
      <c r="C16" s="72" t="s">
        <v>1</v>
      </c>
      <c r="D16" s="71">
        <v>0</v>
      </c>
      <c r="E16" s="72">
        <v>102255.23741518278</v>
      </c>
      <c r="P16" s="75" t="s">
        <v>4</v>
      </c>
      <c r="Q16">
        <v>989550.76834550418</v>
      </c>
      <c r="R16">
        <v>385369.10228634643</v>
      </c>
      <c r="S16">
        <v>1374919.8706318506</v>
      </c>
      <c r="T16">
        <v>2935352.4913071152</v>
      </c>
      <c r="U16">
        <v>7384.0723403785978</v>
      </c>
      <c r="V16">
        <v>2942736.5636474937</v>
      </c>
      <c r="W16">
        <v>2119710.392504225</v>
      </c>
      <c r="X16">
        <v>931594.72169783711</v>
      </c>
      <c r="Y16">
        <v>3051305.1142020621</v>
      </c>
      <c r="AB16">
        <v>7368961.5484814057</v>
      </c>
    </row>
    <row r="17" spans="2:17" x14ac:dyDescent="0.25">
      <c r="B17" s="72">
        <v>3</v>
      </c>
      <c r="C17" s="72" t="s">
        <v>1</v>
      </c>
      <c r="D17" s="71">
        <v>1</v>
      </c>
      <c r="E17" s="71">
        <v>6399.4452124106274</v>
      </c>
    </row>
    <row r="18" spans="2:17" x14ac:dyDescent="0.25">
      <c r="B18" s="72">
        <v>3</v>
      </c>
      <c r="C18" s="72" t="s">
        <v>2</v>
      </c>
      <c r="D18" s="71">
        <v>0</v>
      </c>
      <c r="E18" s="71">
        <v>185077.07722946702</v>
      </c>
    </row>
    <row r="19" spans="2:17" x14ac:dyDescent="0.25">
      <c r="B19" s="72">
        <v>3</v>
      </c>
      <c r="C19" s="72" t="s">
        <v>2</v>
      </c>
      <c r="D19" s="71">
        <v>1</v>
      </c>
      <c r="E19" s="71">
        <v>41210.398230960629</v>
      </c>
    </row>
    <row r="20" spans="2:17" x14ac:dyDescent="0.25">
      <c r="B20" s="72">
        <v>4</v>
      </c>
      <c r="C20" s="72" t="s">
        <v>0</v>
      </c>
      <c r="D20" s="71">
        <v>0</v>
      </c>
      <c r="E20" s="71">
        <v>197443.74470609266</v>
      </c>
    </row>
    <row r="21" spans="2:17" x14ac:dyDescent="0.25">
      <c r="B21" s="72">
        <v>4</v>
      </c>
      <c r="C21" s="72" t="s">
        <v>2</v>
      </c>
      <c r="D21" s="71">
        <v>0</v>
      </c>
      <c r="E21" s="71">
        <v>572446.56056817796</v>
      </c>
    </row>
    <row r="22" spans="2:17" x14ac:dyDescent="0.25">
      <c r="B22" s="72">
        <v>5</v>
      </c>
      <c r="C22" s="72" t="s">
        <v>0</v>
      </c>
      <c r="D22" s="71">
        <v>0</v>
      </c>
      <c r="E22" s="71">
        <v>292213.42803144874</v>
      </c>
    </row>
    <row r="23" spans="2:17" x14ac:dyDescent="0.25">
      <c r="B23" s="72">
        <v>5</v>
      </c>
      <c r="C23" s="72" t="s">
        <v>2</v>
      </c>
      <c r="D23" s="71">
        <v>0</v>
      </c>
      <c r="E23" s="71">
        <v>661707.41365374334</v>
      </c>
      <c r="I23" t="s">
        <v>77</v>
      </c>
      <c r="J23" t="s">
        <v>78</v>
      </c>
      <c r="K23" t="s">
        <v>79</v>
      </c>
      <c r="P23" t="s">
        <v>65</v>
      </c>
    </row>
    <row r="24" spans="2:17" x14ac:dyDescent="0.25">
      <c r="B24" s="2">
        <v>6</v>
      </c>
      <c r="C24" s="2" t="s">
        <v>0</v>
      </c>
      <c r="D24" s="2">
        <v>0</v>
      </c>
      <c r="E24" s="2">
        <v>17630.20679</v>
      </c>
      <c r="I24" s="1">
        <v>6</v>
      </c>
      <c r="J24" s="1" t="s">
        <v>0</v>
      </c>
      <c r="K24" s="1">
        <v>17630.20679</v>
      </c>
      <c r="M24" s="70">
        <v>6</v>
      </c>
      <c r="N24" s="70" t="s">
        <v>0</v>
      </c>
      <c r="O24" s="2">
        <v>0</v>
      </c>
      <c r="P24" s="2">
        <v>79476.998163805052</v>
      </c>
      <c r="Q24">
        <f>P24/SUM($P$24:$P$27)</f>
        <v>0.4387200187566811</v>
      </c>
    </row>
    <row r="25" spans="2:17" x14ac:dyDescent="0.25">
      <c r="B25" s="2">
        <v>6</v>
      </c>
      <c r="C25" s="2" t="s">
        <v>1</v>
      </c>
      <c r="D25" s="2">
        <v>0</v>
      </c>
      <c r="E25" s="2">
        <v>123094.58867</v>
      </c>
      <c r="I25" s="1">
        <v>6</v>
      </c>
      <c r="J25" s="1" t="s">
        <v>1</v>
      </c>
      <c r="K25" s="1">
        <v>123094.58867</v>
      </c>
      <c r="M25" s="70">
        <v>6</v>
      </c>
      <c r="N25" s="70" t="s">
        <v>1</v>
      </c>
      <c r="O25" s="2">
        <v>0</v>
      </c>
      <c r="P25" s="70">
        <v>47573.543353445326</v>
      </c>
      <c r="Q25">
        <f>P25/SUM($P$24:$P$27)</f>
        <v>0.26261014274002203</v>
      </c>
    </row>
    <row r="26" spans="2:17" x14ac:dyDescent="0.25">
      <c r="B26" s="2">
        <v>6</v>
      </c>
      <c r="C26" s="2" t="s">
        <v>2</v>
      </c>
      <c r="D26" s="2">
        <v>0</v>
      </c>
      <c r="E26" s="2">
        <v>17712.811699999998</v>
      </c>
      <c r="I26" s="1">
        <v>6</v>
      </c>
      <c r="J26" s="1" t="s">
        <v>2</v>
      </c>
      <c r="K26" s="1">
        <v>17712.811699999998</v>
      </c>
      <c r="M26" s="2">
        <v>6</v>
      </c>
      <c r="N26" s="2" t="s">
        <v>2</v>
      </c>
      <c r="O26" s="2">
        <v>0</v>
      </c>
      <c r="P26" s="2">
        <v>47942.381665766166</v>
      </c>
      <c r="Q26">
        <f>P26/SUM($P$24:$P$27)</f>
        <v>0.26464616265821361</v>
      </c>
    </row>
    <row r="27" spans="2:17" x14ac:dyDescent="0.25">
      <c r="B27" s="2">
        <v>7</v>
      </c>
      <c r="C27" s="2" t="s">
        <v>0</v>
      </c>
      <c r="D27" s="2">
        <v>0</v>
      </c>
      <c r="E27" s="2">
        <v>85466.730259999997</v>
      </c>
      <c r="I27" s="1">
        <v>7</v>
      </c>
      <c r="J27" s="1" t="s">
        <v>0</v>
      </c>
      <c r="K27" s="1">
        <v>85466.730259999997</v>
      </c>
      <c r="M27" s="2">
        <v>6</v>
      </c>
      <c r="N27" s="2" t="s">
        <v>2</v>
      </c>
      <c r="O27" s="2">
        <v>1</v>
      </c>
      <c r="P27" s="2">
        <v>6163.6112031744433</v>
      </c>
      <c r="Q27">
        <f>P27/SUM($P$24:$P$27)</f>
        <v>3.402367584508327E-2</v>
      </c>
    </row>
    <row r="28" spans="2:17" x14ac:dyDescent="0.25">
      <c r="B28" s="2">
        <v>7</v>
      </c>
      <c r="C28" s="2" t="s">
        <v>1</v>
      </c>
      <c r="D28" s="2">
        <v>0</v>
      </c>
      <c r="E28" s="2">
        <v>665066.56470999995</v>
      </c>
      <c r="I28" s="1">
        <v>7</v>
      </c>
      <c r="J28" s="1" t="s">
        <v>1</v>
      </c>
      <c r="K28" s="1">
        <v>665066.56470999995</v>
      </c>
      <c r="M28" s="2">
        <v>7</v>
      </c>
      <c r="N28" s="2" t="s">
        <v>0</v>
      </c>
      <c r="O28" s="2">
        <v>0</v>
      </c>
      <c r="P28" s="2">
        <v>219255.12553260915</v>
      </c>
      <c r="Q28">
        <f>P28/SUM($P$28:$P$30)</f>
        <v>0.28930447707863988</v>
      </c>
    </row>
    <row r="29" spans="2:17" x14ac:dyDescent="0.25">
      <c r="B29" s="2">
        <v>7</v>
      </c>
      <c r="C29" s="2" t="s">
        <v>2</v>
      </c>
      <c r="D29" s="2">
        <v>0</v>
      </c>
      <c r="E29" s="2">
        <v>64858.529419999999</v>
      </c>
      <c r="I29" s="1">
        <v>7</v>
      </c>
      <c r="J29" s="1" t="s">
        <v>2</v>
      </c>
      <c r="K29" s="1">
        <v>64858.529419999999</v>
      </c>
      <c r="M29" s="2">
        <v>7</v>
      </c>
      <c r="N29" s="2" t="s">
        <v>1</v>
      </c>
      <c r="O29" s="2">
        <v>0</v>
      </c>
      <c r="P29" s="2">
        <v>209062.28496210426</v>
      </c>
      <c r="Q29">
        <f>P29/SUM($P$28:$P$30)</f>
        <v>0.27585514765460645</v>
      </c>
    </row>
    <row r="30" spans="2:17" x14ac:dyDescent="0.25">
      <c r="B30" s="2">
        <v>8</v>
      </c>
      <c r="C30" s="2" t="s">
        <v>0</v>
      </c>
      <c r="D30" s="2">
        <v>0</v>
      </c>
      <c r="E30" s="2">
        <v>121625.49533999999</v>
      </c>
      <c r="I30" s="1">
        <v>8</v>
      </c>
      <c r="J30" s="1" t="s">
        <v>0</v>
      </c>
      <c r="K30" s="1">
        <v>121625.49533999999</v>
      </c>
      <c r="M30" s="2">
        <v>7</v>
      </c>
      <c r="N30" s="2" t="s">
        <v>2</v>
      </c>
      <c r="O30" s="2">
        <v>0</v>
      </c>
      <c r="P30" s="2">
        <v>329552.38725822768</v>
      </c>
      <c r="Q30">
        <f>P30/SUM($P$28:$P$30)</f>
        <v>0.43484037526675379</v>
      </c>
    </row>
    <row r="31" spans="2:17" x14ac:dyDescent="0.25">
      <c r="B31" s="2">
        <v>8</v>
      </c>
      <c r="C31" s="2" t="s">
        <v>1</v>
      </c>
      <c r="D31" s="2">
        <v>0</v>
      </c>
      <c r="E31" s="2">
        <v>138048.92214000001</v>
      </c>
      <c r="I31" s="1">
        <v>8</v>
      </c>
      <c r="J31" s="1" t="s">
        <v>1</v>
      </c>
      <c r="K31" s="1">
        <v>138048.92214000001</v>
      </c>
      <c r="M31" s="2">
        <v>8</v>
      </c>
      <c r="N31" s="2" t="s">
        <v>0</v>
      </c>
      <c r="O31" s="2">
        <v>0</v>
      </c>
      <c r="P31" s="2">
        <v>142223.23421915792</v>
      </c>
      <c r="Q31">
        <f>P31/SUM($P$31:$P$33)</f>
        <v>0.37290802650444999</v>
      </c>
    </row>
    <row r="32" spans="2:17" x14ac:dyDescent="0.25">
      <c r="B32" s="2">
        <v>8</v>
      </c>
      <c r="C32" s="2" t="s">
        <v>2</v>
      </c>
      <c r="D32" s="2">
        <v>0</v>
      </c>
      <c r="E32" s="2">
        <v>145623.69245999999</v>
      </c>
      <c r="I32" s="1">
        <v>8</v>
      </c>
      <c r="J32" s="1" t="s">
        <v>2</v>
      </c>
      <c r="K32" s="1">
        <v>145623.69245999999</v>
      </c>
      <c r="M32" s="2">
        <v>8</v>
      </c>
      <c r="N32" s="2" t="s">
        <v>1</v>
      </c>
      <c r="O32" s="2">
        <v>0</v>
      </c>
      <c r="P32" s="2">
        <v>90316.834178362391</v>
      </c>
      <c r="Q32">
        <f>P32/SUM($P$31:$P$33)</f>
        <v>0.23680991772191037</v>
      </c>
    </row>
    <row r="33" spans="2:17" x14ac:dyDescent="0.25">
      <c r="B33" s="2"/>
      <c r="C33" s="2"/>
      <c r="D33" s="2"/>
      <c r="E33" s="2"/>
      <c r="M33" s="2">
        <v>8</v>
      </c>
      <c r="N33" s="2" t="s">
        <v>2</v>
      </c>
      <c r="O33" s="2">
        <v>0</v>
      </c>
      <c r="P33" s="2">
        <v>148849.50788037386</v>
      </c>
      <c r="Q33">
        <f>P33/SUM($P$31:$P$33)</f>
        <v>0.39028205577363956</v>
      </c>
    </row>
    <row r="34" spans="2:17" x14ac:dyDescent="0.25">
      <c r="B34" s="2"/>
      <c r="C34" s="2"/>
      <c r="D34" s="2"/>
      <c r="E34" s="2"/>
    </row>
    <row r="35" spans="2:17" x14ac:dyDescent="0.25">
      <c r="B35" s="70"/>
      <c r="C35" s="70"/>
      <c r="D35" s="70"/>
      <c r="E35" s="70"/>
    </row>
    <row r="36" spans="2:17" x14ac:dyDescent="0.25">
      <c r="G36" s="70"/>
      <c r="H36" s="70"/>
      <c r="I36" s="70"/>
      <c r="J36" s="70"/>
      <c r="M36" s="2"/>
      <c r="N36" s="2"/>
      <c r="O36" s="2"/>
      <c r="P36" s="2"/>
    </row>
    <row r="37" spans="2:17" x14ac:dyDescent="0.25">
      <c r="B37" s="70" t="s">
        <v>66</v>
      </c>
      <c r="G37" s="70"/>
      <c r="H37" s="70"/>
      <c r="I37" s="70"/>
      <c r="J37" s="70"/>
    </row>
    <row r="39" spans="2:17" x14ac:dyDescent="0.25">
      <c r="B39" s="73" t="s">
        <v>41</v>
      </c>
    </row>
    <row r="40" spans="2:17" x14ac:dyDescent="0.25">
      <c r="B40" s="2" t="s">
        <v>85</v>
      </c>
    </row>
    <row r="41" spans="2:17" x14ac:dyDescent="0.25">
      <c r="B41" t="s">
        <v>38</v>
      </c>
      <c r="C41" t="s">
        <v>39</v>
      </c>
      <c r="D41" t="s">
        <v>42</v>
      </c>
      <c r="E41" t="s">
        <v>40</v>
      </c>
    </row>
    <row r="42" spans="2:17" x14ac:dyDescent="0.25">
      <c r="B42">
        <v>1</v>
      </c>
      <c r="C42" t="s">
        <v>0</v>
      </c>
      <c r="D42">
        <v>0</v>
      </c>
      <c r="E42">
        <v>15840.4281040845</v>
      </c>
    </row>
    <row r="43" spans="2:17" x14ac:dyDescent="0.25">
      <c r="B43">
        <v>1</v>
      </c>
      <c r="C43" t="s">
        <v>0</v>
      </c>
      <c r="D43">
        <v>1</v>
      </c>
      <c r="E43">
        <v>42291.265971363297</v>
      </c>
    </row>
    <row r="44" spans="2:17" x14ac:dyDescent="0.25">
      <c r="B44">
        <v>1</v>
      </c>
      <c r="C44" t="s">
        <v>1</v>
      </c>
      <c r="D44">
        <v>0</v>
      </c>
      <c r="E44">
        <v>239109.16080890701</v>
      </c>
    </row>
    <row r="45" spans="2:17" x14ac:dyDescent="0.25">
      <c r="B45">
        <v>1</v>
      </c>
      <c r="C45" t="s">
        <v>1</v>
      </c>
      <c r="D45">
        <v>1</v>
      </c>
      <c r="E45">
        <v>29.433608446848101</v>
      </c>
    </row>
    <row r="46" spans="2:17" x14ac:dyDescent="0.25">
      <c r="B46">
        <v>1</v>
      </c>
      <c r="C46" t="s">
        <v>2</v>
      </c>
      <c r="D46">
        <v>0</v>
      </c>
      <c r="E46">
        <v>54382.727881302497</v>
      </c>
    </row>
    <row r="47" spans="2:17" x14ac:dyDescent="0.25">
      <c r="B47">
        <v>1</v>
      </c>
      <c r="C47" t="s">
        <v>2</v>
      </c>
      <c r="D47">
        <v>1</v>
      </c>
      <c r="E47">
        <v>105773.742807145</v>
      </c>
    </row>
    <row r="48" spans="2:17" x14ac:dyDescent="0.25">
      <c r="B48">
        <v>2</v>
      </c>
      <c r="C48" t="s">
        <v>0</v>
      </c>
      <c r="D48">
        <v>0</v>
      </c>
      <c r="E48">
        <v>12872.7590378851</v>
      </c>
    </row>
    <row r="49" spans="2:5" x14ac:dyDescent="0.25">
      <c r="B49">
        <v>2</v>
      </c>
      <c r="C49" t="s">
        <v>0</v>
      </c>
      <c r="D49">
        <v>1</v>
      </c>
      <c r="E49">
        <v>4729.3436371940998</v>
      </c>
    </row>
    <row r="50" spans="2:5" x14ac:dyDescent="0.25">
      <c r="B50">
        <v>2</v>
      </c>
      <c r="C50" t="s">
        <v>1</v>
      </c>
      <c r="D50">
        <v>0</v>
      </c>
      <c r="E50">
        <v>76130.525172190901</v>
      </c>
    </row>
    <row r="51" spans="2:5" x14ac:dyDescent="0.25">
      <c r="B51">
        <v>2</v>
      </c>
      <c r="C51" t="s">
        <v>2</v>
      </c>
      <c r="D51">
        <v>0</v>
      </c>
      <c r="E51">
        <v>46235.407312189003</v>
      </c>
    </row>
    <row r="52" spans="2:5" x14ac:dyDescent="0.25">
      <c r="B52">
        <v>2</v>
      </c>
      <c r="C52" t="s">
        <v>2</v>
      </c>
      <c r="D52">
        <v>1</v>
      </c>
      <c r="E52">
        <v>32753.098171755599</v>
      </c>
    </row>
    <row r="53" spans="2:5" x14ac:dyDescent="0.25">
      <c r="B53">
        <v>3</v>
      </c>
      <c r="C53" t="s">
        <v>0</v>
      </c>
      <c r="D53">
        <v>0</v>
      </c>
      <c r="E53">
        <v>7834.86206485408</v>
      </c>
    </row>
    <row r="54" spans="2:5" x14ac:dyDescent="0.25">
      <c r="B54">
        <v>3</v>
      </c>
      <c r="C54" t="s">
        <v>1</v>
      </c>
      <c r="D54">
        <v>0</v>
      </c>
      <c r="E54">
        <v>15606.9746375787</v>
      </c>
    </row>
    <row r="55" spans="2:5" x14ac:dyDescent="0.25">
      <c r="B55">
        <v>3</v>
      </c>
      <c r="C55" t="s">
        <v>2</v>
      </c>
      <c r="D55">
        <v>0</v>
      </c>
      <c r="E55">
        <v>34799.615949567502</v>
      </c>
    </row>
    <row r="56" spans="2:5" x14ac:dyDescent="0.25">
      <c r="B56">
        <v>3</v>
      </c>
      <c r="C56" t="s">
        <v>2</v>
      </c>
      <c r="D56">
        <v>1</v>
      </c>
      <c r="E56">
        <v>2575.3532892364601</v>
      </c>
    </row>
    <row r="57" spans="2:5" x14ac:dyDescent="0.25">
      <c r="B57">
        <v>4</v>
      </c>
      <c r="C57" t="s">
        <v>0</v>
      </c>
      <c r="D57">
        <v>0</v>
      </c>
      <c r="E57">
        <v>17657.873961773501</v>
      </c>
    </row>
    <row r="58" spans="2:5" x14ac:dyDescent="0.25">
      <c r="B58">
        <v>4</v>
      </c>
      <c r="C58" t="s">
        <v>2</v>
      </c>
      <c r="D58">
        <v>0</v>
      </c>
      <c r="E58">
        <v>94825.753969989106</v>
      </c>
    </row>
    <row r="59" spans="2:5" x14ac:dyDescent="0.25">
      <c r="B59">
        <v>5</v>
      </c>
      <c r="C59" t="s">
        <v>0</v>
      </c>
      <c r="D59">
        <v>0</v>
      </c>
      <c r="E59">
        <v>67915.080254266693</v>
      </c>
    </row>
    <row r="60" spans="2:5" x14ac:dyDescent="0.25">
      <c r="B60">
        <v>5</v>
      </c>
      <c r="C60" t="s">
        <v>2</v>
      </c>
      <c r="D60">
        <v>0</v>
      </c>
      <c r="E60">
        <v>152227.03225911799</v>
      </c>
    </row>
    <row r="61" spans="2:5" x14ac:dyDescent="0.25">
      <c r="B61">
        <v>6</v>
      </c>
      <c r="C61" t="s">
        <v>0</v>
      </c>
      <c r="D61">
        <v>0</v>
      </c>
      <c r="E61">
        <v>15735.791344601799</v>
      </c>
    </row>
    <row r="62" spans="2:5" x14ac:dyDescent="0.25">
      <c r="B62">
        <v>6</v>
      </c>
      <c r="C62" t="s">
        <v>1</v>
      </c>
      <c r="D62">
        <v>0</v>
      </c>
      <c r="E62">
        <v>9225.1121388998199</v>
      </c>
    </row>
    <row r="63" spans="2:5" x14ac:dyDescent="0.25">
      <c r="B63">
        <v>6</v>
      </c>
      <c r="C63" t="s">
        <v>2</v>
      </c>
      <c r="D63">
        <v>0</v>
      </c>
      <c r="E63">
        <v>6355.30767320838</v>
      </c>
    </row>
    <row r="64" spans="2:5" x14ac:dyDescent="0.25">
      <c r="B64">
        <v>7</v>
      </c>
      <c r="C64" t="s">
        <v>0</v>
      </c>
      <c r="D64">
        <v>0</v>
      </c>
      <c r="E64">
        <v>42617.8169504576</v>
      </c>
    </row>
    <row r="65" spans="2:5" x14ac:dyDescent="0.25">
      <c r="B65">
        <v>7</v>
      </c>
      <c r="C65" t="s">
        <v>1</v>
      </c>
      <c r="D65">
        <v>0</v>
      </c>
      <c r="E65">
        <v>33918.475741165399</v>
      </c>
    </row>
    <row r="66" spans="2:5" x14ac:dyDescent="0.25">
      <c r="B66">
        <v>7</v>
      </c>
      <c r="C66" t="s">
        <v>2</v>
      </c>
      <c r="D66">
        <v>0</v>
      </c>
      <c r="E66">
        <v>40981.064262153399</v>
      </c>
    </row>
    <row r="67" spans="2:5" x14ac:dyDescent="0.25">
      <c r="B67">
        <v>8</v>
      </c>
      <c r="C67" t="s">
        <v>0</v>
      </c>
      <c r="D67">
        <v>0</v>
      </c>
      <c r="E67">
        <v>20382.0880554668</v>
      </c>
    </row>
    <row r="68" spans="2:5" x14ac:dyDescent="0.25">
      <c r="B68">
        <v>8</v>
      </c>
      <c r="C68" t="s">
        <v>1</v>
      </c>
      <c r="D68">
        <v>0</v>
      </c>
      <c r="E68">
        <v>15043.534577631301</v>
      </c>
    </row>
    <row r="69" spans="2:5" x14ac:dyDescent="0.25">
      <c r="B69">
        <v>8</v>
      </c>
      <c r="C69" t="s">
        <v>2</v>
      </c>
      <c r="D69">
        <v>0</v>
      </c>
      <c r="E69">
        <v>39984.288925164103</v>
      </c>
    </row>
    <row r="70" spans="2:5" x14ac:dyDescent="0.25">
      <c r="E70" s="94"/>
    </row>
    <row r="71" spans="2:5" x14ac:dyDescent="0.25">
      <c r="E71" s="94"/>
    </row>
    <row r="74" spans="2:5" x14ac:dyDescent="0.25">
      <c r="B74" s="73" t="s">
        <v>43</v>
      </c>
    </row>
    <row r="75" spans="2:5" x14ac:dyDescent="0.25">
      <c r="B75" s="2" t="s">
        <v>86</v>
      </c>
    </row>
    <row r="76" spans="2:5" x14ac:dyDescent="0.25">
      <c r="B76" t="s">
        <v>38</v>
      </c>
      <c r="C76" t="s">
        <v>39</v>
      </c>
      <c r="D76" t="s">
        <v>42</v>
      </c>
      <c r="E76" t="s">
        <v>40</v>
      </c>
    </row>
    <row r="77" spans="2:5" x14ac:dyDescent="0.25">
      <c r="B77">
        <v>1</v>
      </c>
      <c r="C77" t="s">
        <v>0</v>
      </c>
      <c r="D77">
        <v>0</v>
      </c>
      <c r="E77">
        <v>7771.1701771007201</v>
      </c>
    </row>
    <row r="78" spans="2:5" x14ac:dyDescent="0.25">
      <c r="B78">
        <v>1</v>
      </c>
      <c r="C78" t="s">
        <v>0</v>
      </c>
      <c r="D78">
        <v>1</v>
      </c>
      <c r="E78">
        <v>12133.736545715399</v>
      </c>
    </row>
    <row r="79" spans="2:5" x14ac:dyDescent="0.25">
      <c r="B79">
        <v>1</v>
      </c>
      <c r="C79" t="s">
        <v>1</v>
      </c>
      <c r="D79">
        <v>0</v>
      </c>
      <c r="E79">
        <v>105247.399391086</v>
      </c>
    </row>
    <row r="80" spans="2:5" x14ac:dyDescent="0.25">
      <c r="B80">
        <v>1</v>
      </c>
      <c r="C80" t="s">
        <v>2</v>
      </c>
      <c r="D80">
        <v>0</v>
      </c>
      <c r="E80">
        <v>33482.9982159051</v>
      </c>
    </row>
    <row r="81" spans="2:5" x14ac:dyDescent="0.25">
      <c r="B81">
        <v>1</v>
      </c>
      <c r="C81" t="s">
        <v>2</v>
      </c>
      <c r="D81">
        <v>1</v>
      </c>
      <c r="E81">
        <v>40909.198567273597</v>
      </c>
    </row>
    <row r="82" spans="2:5" x14ac:dyDescent="0.25">
      <c r="B82">
        <v>2</v>
      </c>
      <c r="C82" t="s">
        <v>0</v>
      </c>
      <c r="D82">
        <v>0</v>
      </c>
      <c r="E82">
        <v>5043.2374935630596</v>
      </c>
    </row>
    <row r="83" spans="2:5" x14ac:dyDescent="0.25">
      <c r="B83">
        <v>2</v>
      </c>
      <c r="C83" t="s">
        <v>0</v>
      </c>
      <c r="D83">
        <v>1</v>
      </c>
      <c r="E83">
        <v>1917.9792327446801</v>
      </c>
    </row>
    <row r="84" spans="2:5" x14ac:dyDescent="0.25">
      <c r="B84">
        <v>2</v>
      </c>
      <c r="C84" t="s">
        <v>1</v>
      </c>
      <c r="D84">
        <v>0</v>
      </c>
      <c r="E84">
        <v>37981.938161258899</v>
      </c>
    </row>
    <row r="85" spans="2:5" x14ac:dyDescent="0.25">
      <c r="B85">
        <v>2</v>
      </c>
      <c r="C85" t="s">
        <v>2</v>
      </c>
      <c r="D85">
        <v>0</v>
      </c>
      <c r="E85">
        <v>26519.879369735001</v>
      </c>
    </row>
    <row r="86" spans="2:5" x14ac:dyDescent="0.25">
      <c r="B86">
        <v>2</v>
      </c>
      <c r="C86" t="s">
        <v>2</v>
      </c>
      <c r="D86">
        <v>1</v>
      </c>
      <c r="E86">
        <v>19152.801571471398</v>
      </c>
    </row>
    <row r="87" spans="2:5" x14ac:dyDescent="0.25">
      <c r="B87">
        <v>3</v>
      </c>
      <c r="C87" t="s">
        <v>0</v>
      </c>
      <c r="D87">
        <v>0</v>
      </c>
      <c r="E87">
        <v>5375.1442120899201</v>
      </c>
    </row>
    <row r="88" spans="2:5" x14ac:dyDescent="0.25">
      <c r="B88">
        <v>3</v>
      </c>
      <c r="C88" t="s">
        <v>1</v>
      </c>
      <c r="D88">
        <v>0</v>
      </c>
      <c r="E88">
        <v>7566.4585628538098</v>
      </c>
    </row>
    <row r="89" spans="2:5" x14ac:dyDescent="0.25">
      <c r="B89">
        <v>3</v>
      </c>
      <c r="C89" t="s">
        <v>2</v>
      </c>
      <c r="D89">
        <v>0</v>
      </c>
      <c r="E89">
        <v>14892.168350243201</v>
      </c>
    </row>
    <row r="90" spans="2:5" x14ac:dyDescent="0.25">
      <c r="B90">
        <v>3</v>
      </c>
      <c r="C90" t="s">
        <v>2</v>
      </c>
      <c r="D90">
        <v>1</v>
      </c>
      <c r="E90">
        <v>2046.6289687767601</v>
      </c>
    </row>
    <row r="91" spans="2:5" x14ac:dyDescent="0.25">
      <c r="B91">
        <v>4</v>
      </c>
      <c r="C91" t="s">
        <v>0</v>
      </c>
      <c r="D91">
        <v>0</v>
      </c>
      <c r="E91">
        <v>5078.4237421033304</v>
      </c>
    </row>
    <row r="92" spans="2:5" x14ac:dyDescent="0.25">
      <c r="B92">
        <v>4</v>
      </c>
      <c r="C92" t="s">
        <v>2</v>
      </c>
      <c r="D92">
        <v>0</v>
      </c>
      <c r="E92">
        <v>46651.402993393902</v>
      </c>
    </row>
    <row r="93" spans="2:5" x14ac:dyDescent="0.25">
      <c r="B93">
        <v>5</v>
      </c>
      <c r="C93" t="s">
        <v>0</v>
      </c>
      <c r="D93">
        <v>0</v>
      </c>
      <c r="E93">
        <v>32838.070865366099</v>
      </c>
    </row>
    <row r="94" spans="2:5" x14ac:dyDescent="0.25">
      <c r="B94">
        <v>5</v>
      </c>
      <c r="C94" t="s">
        <v>2</v>
      </c>
      <c r="D94">
        <v>0</v>
      </c>
      <c r="E94">
        <v>52044.7970040043</v>
      </c>
    </row>
    <row r="95" spans="2:5" x14ac:dyDescent="0.25">
      <c r="B95">
        <v>6</v>
      </c>
      <c r="C95" t="s">
        <v>0</v>
      </c>
      <c r="D95">
        <v>0</v>
      </c>
      <c r="E95">
        <v>4273.7288095000304</v>
      </c>
    </row>
    <row r="96" spans="2:5" x14ac:dyDescent="0.25">
      <c r="B96">
        <v>6</v>
      </c>
      <c r="C96" t="s">
        <v>1</v>
      </c>
      <c r="D96">
        <v>0</v>
      </c>
      <c r="E96">
        <v>9225.1121388998199</v>
      </c>
    </row>
    <row r="97" spans="2:5" x14ac:dyDescent="0.25">
      <c r="B97">
        <v>6</v>
      </c>
      <c r="C97" t="s">
        <v>2</v>
      </c>
      <c r="D97">
        <v>0</v>
      </c>
      <c r="E97">
        <v>5902.8537974040501</v>
      </c>
    </row>
    <row r="98" spans="2:5" x14ac:dyDescent="0.25">
      <c r="B98">
        <v>7</v>
      </c>
      <c r="C98" t="s">
        <v>0</v>
      </c>
      <c r="D98">
        <v>0</v>
      </c>
      <c r="E98">
        <v>13932.747583134</v>
      </c>
    </row>
    <row r="99" spans="2:5" x14ac:dyDescent="0.25">
      <c r="B99">
        <v>7</v>
      </c>
      <c r="C99" t="s">
        <v>1</v>
      </c>
      <c r="D99">
        <v>0</v>
      </c>
      <c r="E99">
        <v>25007.815574345001</v>
      </c>
    </row>
    <row r="100" spans="2:5" x14ac:dyDescent="0.25">
      <c r="B100">
        <v>7</v>
      </c>
      <c r="C100" t="s">
        <v>2</v>
      </c>
      <c r="D100">
        <v>0</v>
      </c>
      <c r="E100">
        <v>20841.0108796063</v>
      </c>
    </row>
    <row r="101" spans="2:5" x14ac:dyDescent="0.25">
      <c r="B101">
        <v>8</v>
      </c>
      <c r="C101" t="s">
        <v>0</v>
      </c>
      <c r="D101">
        <v>0</v>
      </c>
      <c r="E101">
        <v>19458.931215990098</v>
      </c>
    </row>
    <row r="102" spans="2:5" x14ac:dyDescent="0.25">
      <c r="B102">
        <v>8</v>
      </c>
      <c r="C102" t="s">
        <v>1</v>
      </c>
      <c r="D102">
        <v>0</v>
      </c>
      <c r="E102">
        <v>10689.9224547064</v>
      </c>
    </row>
    <row r="103" spans="2:5" x14ac:dyDescent="0.25">
      <c r="B103">
        <v>8</v>
      </c>
      <c r="C103" t="s">
        <v>2</v>
      </c>
      <c r="D103">
        <v>0</v>
      </c>
      <c r="E103">
        <v>7711.8873396231202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0C08-DE7D-4601-8262-4A49474DE038}">
  <dimension ref="A1:F17"/>
  <sheetViews>
    <sheetView workbookViewId="0">
      <selection activeCell="F18" sqref="F18"/>
    </sheetView>
  </sheetViews>
  <sheetFormatPr defaultRowHeight="15" x14ac:dyDescent="0.25"/>
  <cols>
    <col min="1" max="1" width="12.42578125" customWidth="1"/>
    <col min="2" max="2" width="22.140625" bestFit="1" customWidth="1"/>
    <col min="3" max="3" width="20" bestFit="1" customWidth="1"/>
    <col min="4" max="4" width="17.7109375" bestFit="1" customWidth="1"/>
    <col min="5" max="5" width="15.5703125" bestFit="1" customWidth="1"/>
    <col min="6" max="6" width="9" bestFit="1" customWidth="1"/>
  </cols>
  <sheetData>
    <row r="1" spans="1:6" x14ac:dyDescent="0.25">
      <c r="A1" s="70" t="s">
        <v>84</v>
      </c>
    </row>
    <row r="2" spans="1:6" x14ac:dyDescent="0.25">
      <c r="A2" s="76" t="s">
        <v>48</v>
      </c>
      <c r="B2" s="77" t="s">
        <v>49</v>
      </c>
      <c r="C2" s="77" t="s">
        <v>50</v>
      </c>
      <c r="D2" s="77" t="s">
        <v>51</v>
      </c>
      <c r="E2" s="77" t="s">
        <v>52</v>
      </c>
      <c r="F2" s="77" t="s">
        <v>80</v>
      </c>
    </row>
    <row r="3" spans="1:6" x14ac:dyDescent="0.25">
      <c r="A3" s="78" t="s">
        <v>53</v>
      </c>
      <c r="B3" s="79">
        <v>1360</v>
      </c>
      <c r="C3" s="79">
        <v>3432</v>
      </c>
      <c r="D3" s="79">
        <v>304421.99763732235</v>
      </c>
      <c r="E3" s="79">
        <v>800915.15494383848</v>
      </c>
      <c r="F3" s="80">
        <v>0.38009269241342869</v>
      </c>
    </row>
    <row r="4" spans="1:6" x14ac:dyDescent="0.25">
      <c r="A4" s="78" t="s">
        <v>54</v>
      </c>
      <c r="B4" s="79">
        <v>578</v>
      </c>
      <c r="C4" s="79">
        <v>1457</v>
      </c>
      <c r="D4" s="79">
        <v>173987.35424489487</v>
      </c>
      <c r="E4" s="79">
        <v>611033.37948007206</v>
      </c>
      <c r="F4" s="80">
        <v>0.2847427981642181</v>
      </c>
    </row>
    <row r="5" spans="1:6" x14ac:dyDescent="0.25">
      <c r="A5" s="78" t="s">
        <v>55</v>
      </c>
      <c r="B5" s="79">
        <v>67</v>
      </c>
      <c r="C5" s="79">
        <v>172</v>
      </c>
      <c r="D5" s="79">
        <v>53866.299671725523</v>
      </c>
      <c r="E5" s="79">
        <v>119215.37289623305</v>
      </c>
      <c r="F5" s="80">
        <v>0.45184021458886486</v>
      </c>
    </row>
    <row r="6" spans="1:6" x14ac:dyDescent="0.25">
      <c r="A6" s="78" t="s">
        <v>56</v>
      </c>
      <c r="B6" s="79">
        <v>91</v>
      </c>
      <c r="C6" s="79">
        <v>301</v>
      </c>
      <c r="D6" s="79">
        <v>20733.381152913807</v>
      </c>
      <c r="E6" s="79">
        <v>88110.623540651999</v>
      </c>
      <c r="F6" s="80">
        <v>0.23531079817347922</v>
      </c>
    </row>
    <row r="7" spans="1:6" x14ac:dyDescent="0.25">
      <c r="A7" s="78" t="s">
        <v>57</v>
      </c>
      <c r="B7" s="79">
        <v>1968</v>
      </c>
      <c r="C7" s="79">
        <v>4906</v>
      </c>
      <c r="D7" s="79">
        <v>195932.9025997557</v>
      </c>
      <c r="E7" s="79">
        <v>516743.65071058011</v>
      </c>
      <c r="F7" s="80">
        <v>0.37916847614929772</v>
      </c>
    </row>
    <row r="8" spans="1:6" x14ac:dyDescent="0.25">
      <c r="A8" s="78" t="s">
        <v>58</v>
      </c>
      <c r="B8" s="79">
        <v>285</v>
      </c>
      <c r="C8" s="79">
        <v>776</v>
      </c>
      <c r="D8" s="79">
        <v>128274.17290144144</v>
      </c>
      <c r="E8" s="79">
        <v>379469.69085999526</v>
      </c>
      <c r="F8" s="80">
        <v>0.33803535826730297</v>
      </c>
    </row>
    <row r="9" spans="1:6" x14ac:dyDescent="0.25">
      <c r="A9" s="78" t="s">
        <v>59</v>
      </c>
      <c r="B9" s="79">
        <v>883</v>
      </c>
      <c r="C9" s="79">
        <v>2493</v>
      </c>
      <c r="D9" s="79">
        <v>339742.8426591836</v>
      </c>
      <c r="E9" s="79">
        <v>1108207.589417631</v>
      </c>
      <c r="F9" s="80">
        <v>0.30656967693004139</v>
      </c>
    </row>
    <row r="10" spans="1:6" x14ac:dyDescent="0.25">
      <c r="A10" s="78" t="s">
        <v>60</v>
      </c>
      <c r="B10" s="79">
        <v>232</v>
      </c>
      <c r="C10" s="79">
        <v>742</v>
      </c>
      <c r="D10" s="79">
        <v>55426.963733068318</v>
      </c>
      <c r="E10" s="79">
        <v>223746.2027772938</v>
      </c>
      <c r="F10" s="80">
        <v>0.24772247772284012</v>
      </c>
    </row>
    <row r="11" spans="1:6" x14ac:dyDescent="0.25">
      <c r="A11" s="78" t="s">
        <v>61</v>
      </c>
      <c r="B11" s="79">
        <v>164</v>
      </c>
      <c r="C11" s="79">
        <v>506</v>
      </c>
      <c r="D11" s="79">
        <v>58125.592927433994</v>
      </c>
      <c r="E11" s="79">
        <v>242664.31116634503</v>
      </c>
      <c r="F11" s="80">
        <v>0.23953086734533927</v>
      </c>
    </row>
    <row r="12" spans="1:6" x14ac:dyDescent="0.25">
      <c r="A12" s="81" t="s">
        <v>4</v>
      </c>
      <c r="B12" s="82">
        <v>5628</v>
      </c>
      <c r="C12" s="82">
        <v>14785</v>
      </c>
      <c r="D12" s="82">
        <v>1330511.5075277372</v>
      </c>
      <c r="E12" s="82">
        <v>4090105.9757926245</v>
      </c>
      <c r="F12" s="83">
        <v>0.32530000821553179</v>
      </c>
    </row>
    <row r="14" spans="1:6" x14ac:dyDescent="0.25">
      <c r="A14" s="84" t="s">
        <v>87</v>
      </c>
    </row>
    <row r="15" spans="1:6" x14ac:dyDescent="0.25">
      <c r="A15" s="84" t="s">
        <v>62</v>
      </c>
    </row>
    <row r="16" spans="1:6" x14ac:dyDescent="0.25">
      <c r="A16" t="s">
        <v>63</v>
      </c>
    </row>
    <row r="17" spans="1:1" x14ac:dyDescent="0.25">
      <c r="A17" s="73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26BC-8008-4246-A2BE-D028218F22D7}">
  <sheetPr>
    <tabColor theme="8"/>
  </sheetPr>
  <dimension ref="A1:M73"/>
  <sheetViews>
    <sheetView workbookViewId="0">
      <selection activeCell="E55" sqref="E55"/>
    </sheetView>
  </sheetViews>
  <sheetFormatPr defaultRowHeight="12" x14ac:dyDescent="0.2"/>
  <cols>
    <col min="1" max="1" width="22" style="46" bestFit="1" customWidth="1"/>
    <col min="2" max="6" width="12.7109375" style="46" customWidth="1"/>
    <col min="7" max="7" width="9.140625" style="46"/>
    <col min="8" max="8" width="22" style="46" bestFit="1" customWidth="1"/>
    <col min="9" max="12" width="12.7109375" style="46" customWidth="1"/>
    <col min="13" max="16384" width="9.140625" style="46"/>
  </cols>
  <sheetData>
    <row r="1" spans="1:13" x14ac:dyDescent="0.2">
      <c r="A1" s="67" t="s">
        <v>35</v>
      </c>
    </row>
    <row r="2" spans="1:13" x14ac:dyDescent="0.2">
      <c r="A2" s="96" t="s">
        <v>34</v>
      </c>
      <c r="B2" s="96"/>
      <c r="C2" s="96"/>
      <c r="D2" s="96"/>
      <c r="E2" s="96"/>
      <c r="F2" s="60"/>
      <c r="H2" s="97"/>
      <c r="I2" s="97"/>
      <c r="J2" s="97"/>
      <c r="K2" s="97"/>
      <c r="L2" s="97"/>
    </row>
    <row r="3" spans="1:13" x14ac:dyDescent="0.2">
      <c r="A3" s="50" t="s">
        <v>14</v>
      </c>
      <c r="B3" s="59" t="s">
        <v>15</v>
      </c>
      <c r="C3" s="59" t="s">
        <v>16</v>
      </c>
      <c r="D3" s="59" t="s">
        <v>17</v>
      </c>
      <c r="E3" s="59" t="s">
        <v>18</v>
      </c>
      <c r="F3" s="59"/>
      <c r="I3" s="54"/>
      <c r="J3" s="54"/>
      <c r="K3" s="54"/>
      <c r="L3" s="54"/>
    </row>
    <row r="4" spans="1:13" x14ac:dyDescent="0.2">
      <c r="A4" s="50" t="s">
        <v>6</v>
      </c>
      <c r="B4" s="62">
        <v>2245780.8484</v>
      </c>
      <c r="C4" s="62">
        <v>359741.64317</v>
      </c>
      <c r="D4" s="62">
        <v>327500.47006000002</v>
      </c>
      <c r="E4" s="62">
        <v>2933022.9616</v>
      </c>
      <c r="F4" s="61">
        <f t="shared" ref="F4:F12" si="0">E4/$E$12</f>
        <v>0.44165999468047124</v>
      </c>
      <c r="I4" s="53"/>
      <c r="J4" s="53"/>
      <c r="K4" s="53"/>
      <c r="L4" s="53"/>
      <c r="M4" s="63"/>
    </row>
    <row r="5" spans="1:13" x14ac:dyDescent="0.2">
      <c r="A5" s="50" t="s">
        <v>7</v>
      </c>
      <c r="B5" s="62">
        <v>198527.93961</v>
      </c>
      <c r="C5" s="62">
        <v>116610.29874</v>
      </c>
      <c r="D5" s="62">
        <v>56022.586302000003</v>
      </c>
      <c r="E5" s="62">
        <v>371160.82465000002</v>
      </c>
      <c r="F5" s="61">
        <f t="shared" si="0"/>
        <v>5.5890079957333229E-2</v>
      </c>
      <c r="I5" s="53"/>
      <c r="J5" s="53"/>
      <c r="K5" s="53"/>
      <c r="L5" s="53"/>
      <c r="M5" s="63"/>
    </row>
    <row r="6" spans="1:13" x14ac:dyDescent="0.2">
      <c r="A6" s="50" t="s">
        <v>8</v>
      </c>
      <c r="B6" s="62">
        <v>204361.06034</v>
      </c>
      <c r="C6" s="62">
        <v>82763.101364000002</v>
      </c>
      <c r="D6" s="62">
        <v>59894.928143999998</v>
      </c>
      <c r="E6" s="62">
        <v>347019.08983999997</v>
      </c>
      <c r="F6" s="61">
        <f t="shared" si="0"/>
        <v>5.2254773105884146E-2</v>
      </c>
      <c r="I6" s="53"/>
      <c r="J6" s="53"/>
      <c r="K6" s="53"/>
      <c r="L6" s="53"/>
      <c r="M6" s="63"/>
    </row>
    <row r="7" spans="1:13" x14ac:dyDescent="0.2">
      <c r="A7" s="50" t="s">
        <v>9</v>
      </c>
      <c r="B7" s="62">
        <v>0</v>
      </c>
      <c r="C7" s="62">
        <f>80256.338677+370934.90183</f>
        <v>451191.24050700001</v>
      </c>
      <c r="D7" s="62">
        <v>189396.05090999999</v>
      </c>
      <c r="E7" s="62">
        <v>640587.29142000002</v>
      </c>
      <c r="F7" s="61">
        <f t="shared" si="0"/>
        <v>9.6460813101373527E-2</v>
      </c>
      <c r="I7" s="53"/>
      <c r="J7" s="53"/>
      <c r="K7" s="53"/>
      <c r="L7" s="53"/>
      <c r="M7" s="63"/>
    </row>
    <row r="8" spans="1:13" x14ac:dyDescent="0.2">
      <c r="A8" s="50" t="s">
        <v>10</v>
      </c>
      <c r="B8" s="62">
        <v>0</v>
      </c>
      <c r="C8" s="62">
        <f>36006.162668+245427.79974</f>
        <v>281433.96240799996</v>
      </c>
      <c r="D8" s="62">
        <v>142119.23997</v>
      </c>
      <c r="E8" s="62">
        <v>423553.20237999997</v>
      </c>
      <c r="F8" s="61">
        <f t="shared" si="0"/>
        <v>6.377942060433113E-2</v>
      </c>
      <c r="I8" s="53"/>
      <c r="J8" s="53"/>
      <c r="K8" s="53"/>
      <c r="L8" s="53"/>
      <c r="M8" s="63"/>
    </row>
    <row r="9" spans="1:13" x14ac:dyDescent="0.2">
      <c r="A9" s="50" t="s">
        <v>11</v>
      </c>
      <c r="B9" s="62">
        <v>132569.66722999999</v>
      </c>
      <c r="C9" s="62">
        <v>23624.495212000002</v>
      </c>
      <c r="D9" s="62">
        <v>32689.305359999998</v>
      </c>
      <c r="E9" s="62">
        <v>188883.46781</v>
      </c>
      <c r="F9" s="61">
        <f t="shared" si="0"/>
        <v>2.8442420151625982E-2</v>
      </c>
      <c r="I9" s="53"/>
      <c r="J9" s="53"/>
      <c r="K9" s="53"/>
      <c r="L9" s="53"/>
      <c r="M9" s="63"/>
    </row>
    <row r="10" spans="1:13" x14ac:dyDescent="0.2">
      <c r="A10" s="50" t="s">
        <v>12</v>
      </c>
      <c r="B10" s="62">
        <v>782213.25051000004</v>
      </c>
      <c r="C10" s="62">
        <v>183362.52614999999</v>
      </c>
      <c r="D10" s="62">
        <v>175575.12628999999</v>
      </c>
      <c r="E10" s="62">
        <v>1141150.9029999999</v>
      </c>
      <c r="F10" s="61">
        <f t="shared" si="0"/>
        <v>0.1718366028316588</v>
      </c>
      <c r="I10" s="53"/>
      <c r="J10" s="53"/>
      <c r="K10" s="53"/>
      <c r="L10" s="53"/>
      <c r="M10" s="63"/>
    </row>
    <row r="11" spans="1:13" x14ac:dyDescent="0.2">
      <c r="A11" s="50" t="s">
        <v>13</v>
      </c>
      <c r="B11" s="62">
        <v>201049.04508000001</v>
      </c>
      <c r="C11" s="62">
        <v>227302.99969999999</v>
      </c>
      <c r="D11" s="62">
        <v>167177.24014000001</v>
      </c>
      <c r="E11" s="62">
        <v>595529.28492000001</v>
      </c>
      <c r="F11" s="61">
        <f t="shared" si="0"/>
        <v>8.967589557033355E-2</v>
      </c>
      <c r="I11" s="53"/>
      <c r="J11" s="53"/>
      <c r="K11" s="53"/>
      <c r="L11" s="53"/>
      <c r="M11" s="63"/>
    </row>
    <row r="12" spans="1:13" x14ac:dyDescent="0.2">
      <c r="A12" s="50" t="s">
        <v>18</v>
      </c>
      <c r="B12" s="62">
        <v>3880764.3125</v>
      </c>
      <c r="C12" s="62">
        <v>1609767.7659</v>
      </c>
      <c r="D12" s="62">
        <v>1150374.9472000001</v>
      </c>
      <c r="E12" s="62">
        <v>6640907.0256000003</v>
      </c>
      <c r="F12" s="61">
        <f t="shared" si="0"/>
        <v>1</v>
      </c>
      <c r="I12" s="53"/>
      <c r="J12" s="53"/>
      <c r="K12" s="53"/>
      <c r="L12" s="53"/>
      <c r="M12" s="63"/>
    </row>
    <row r="13" spans="1:13" x14ac:dyDescent="0.2">
      <c r="A13" s="50"/>
      <c r="B13" s="50"/>
      <c r="C13" s="50"/>
      <c r="D13" s="50"/>
      <c r="E13" s="50"/>
      <c r="F13" s="50"/>
    </row>
    <row r="14" spans="1:13" x14ac:dyDescent="0.2">
      <c r="A14" s="96" t="s">
        <v>33</v>
      </c>
      <c r="B14" s="96"/>
      <c r="C14" s="96"/>
      <c r="D14" s="96"/>
      <c r="E14" s="96"/>
      <c r="F14" s="60"/>
      <c r="H14" s="97"/>
      <c r="I14" s="97"/>
      <c r="J14" s="97"/>
      <c r="K14" s="97"/>
      <c r="L14" s="97"/>
    </row>
    <row r="15" spans="1:13" x14ac:dyDescent="0.2">
      <c r="A15" s="50" t="s">
        <v>14</v>
      </c>
      <c r="B15" s="59" t="s">
        <v>15</v>
      </c>
      <c r="C15" s="59" t="s">
        <v>16</v>
      </c>
      <c r="D15" s="59" t="s">
        <v>17</v>
      </c>
      <c r="E15" s="59" t="s">
        <v>18</v>
      </c>
      <c r="F15" s="59"/>
      <c r="I15" s="54"/>
      <c r="J15" s="54"/>
      <c r="K15" s="54"/>
      <c r="L15" s="54"/>
    </row>
    <row r="16" spans="1:13" x14ac:dyDescent="0.2">
      <c r="A16" s="50" t="s">
        <v>6</v>
      </c>
      <c r="B16" s="58">
        <f t="shared" ref="B16:E24" si="1">B4/$E4</f>
        <v>0.76568812375573736</v>
      </c>
      <c r="C16" s="58">
        <f t="shared" si="1"/>
        <v>0.12265217418337444</v>
      </c>
      <c r="D16" s="58">
        <f t="shared" si="1"/>
        <v>0.11165970207111658</v>
      </c>
      <c r="E16" s="58">
        <f t="shared" si="1"/>
        <v>1</v>
      </c>
      <c r="F16" s="58"/>
      <c r="I16" s="64"/>
      <c r="J16" s="64"/>
      <c r="K16" s="64"/>
      <c r="L16" s="64"/>
    </row>
    <row r="17" spans="1:12" x14ac:dyDescent="0.2">
      <c r="A17" s="50" t="s">
        <v>7</v>
      </c>
      <c r="B17" s="58">
        <f t="shared" si="1"/>
        <v>0.53488387358016387</v>
      </c>
      <c r="C17" s="58">
        <f t="shared" si="1"/>
        <v>0.31417728110169502</v>
      </c>
      <c r="D17" s="58">
        <f t="shared" si="1"/>
        <v>0.1509388453235295</v>
      </c>
      <c r="E17" s="58">
        <f t="shared" si="1"/>
        <v>1</v>
      </c>
      <c r="F17" s="58"/>
      <c r="I17" s="64"/>
      <c r="J17" s="64"/>
      <c r="K17" s="64"/>
      <c r="L17" s="64"/>
    </row>
    <row r="18" spans="1:12" x14ac:dyDescent="0.2">
      <c r="A18" s="50" t="s">
        <v>8</v>
      </c>
      <c r="B18" s="58">
        <f t="shared" si="1"/>
        <v>0.58890437535936346</v>
      </c>
      <c r="C18" s="58">
        <f t="shared" si="1"/>
        <v>0.23849725789483101</v>
      </c>
      <c r="D18" s="58">
        <f t="shared" si="1"/>
        <v>0.17259836676885915</v>
      </c>
      <c r="E18" s="58">
        <f t="shared" si="1"/>
        <v>1</v>
      </c>
      <c r="F18" s="58"/>
      <c r="I18" s="64"/>
      <c r="J18" s="64"/>
      <c r="K18" s="64"/>
      <c r="L18" s="64"/>
    </row>
    <row r="19" spans="1:12" x14ac:dyDescent="0.2">
      <c r="A19" s="50" t="s">
        <v>9</v>
      </c>
      <c r="B19" s="58">
        <f t="shared" si="1"/>
        <v>0</v>
      </c>
      <c r="C19" s="58">
        <f t="shared" si="1"/>
        <v>0.70433998074928594</v>
      </c>
      <c r="D19" s="58">
        <f t="shared" si="1"/>
        <v>0.29566001924603086</v>
      </c>
      <c r="E19" s="58">
        <f t="shared" si="1"/>
        <v>1</v>
      </c>
      <c r="F19" s="58"/>
      <c r="I19" s="64"/>
      <c r="J19" s="64"/>
      <c r="K19" s="64"/>
      <c r="L19" s="64"/>
    </row>
    <row r="20" spans="1:12" x14ac:dyDescent="0.2">
      <c r="A20" s="50" t="s">
        <v>10</v>
      </c>
      <c r="B20" s="58">
        <f t="shared" si="1"/>
        <v>0</v>
      </c>
      <c r="C20" s="58">
        <f t="shared" si="1"/>
        <v>0.66445953147464432</v>
      </c>
      <c r="D20" s="58">
        <f t="shared" si="1"/>
        <v>0.33554046852063374</v>
      </c>
      <c r="E20" s="58">
        <f t="shared" si="1"/>
        <v>1</v>
      </c>
      <c r="F20" s="58"/>
      <c r="I20" s="64"/>
      <c r="J20" s="64"/>
      <c r="K20" s="64"/>
      <c r="L20" s="64"/>
    </row>
    <row r="21" spans="1:12" x14ac:dyDescent="0.2">
      <c r="A21" s="50" t="s">
        <v>11</v>
      </c>
      <c r="B21" s="58">
        <f t="shared" si="1"/>
        <v>0.70185955799664435</v>
      </c>
      <c r="C21" s="58">
        <f t="shared" si="1"/>
        <v>0.12507444661998765</v>
      </c>
      <c r="D21" s="58">
        <f t="shared" si="1"/>
        <v>0.17306599534101386</v>
      </c>
      <c r="E21" s="58">
        <f t="shared" si="1"/>
        <v>1</v>
      </c>
      <c r="F21" s="58"/>
      <c r="I21" s="64"/>
      <c r="J21" s="64"/>
      <c r="K21" s="64"/>
      <c r="L21" s="64"/>
    </row>
    <row r="22" spans="1:12" x14ac:dyDescent="0.2">
      <c r="A22" s="50" t="s">
        <v>12</v>
      </c>
      <c r="B22" s="58">
        <f t="shared" si="1"/>
        <v>0.68545995841007545</v>
      </c>
      <c r="C22" s="58">
        <f t="shared" si="1"/>
        <v>0.16068210231263341</v>
      </c>
      <c r="D22" s="58">
        <f t="shared" si="1"/>
        <v>0.15385793923347577</v>
      </c>
      <c r="E22" s="58">
        <f t="shared" si="1"/>
        <v>1</v>
      </c>
      <c r="F22" s="58"/>
      <c r="I22" s="64"/>
      <c r="J22" s="64"/>
      <c r="K22" s="64"/>
      <c r="L22" s="64"/>
    </row>
    <row r="23" spans="1:12" x14ac:dyDescent="0.2">
      <c r="A23" s="50" t="s">
        <v>13</v>
      </c>
      <c r="B23" s="58">
        <f t="shared" si="1"/>
        <v>0.33759724361331417</v>
      </c>
      <c r="C23" s="58">
        <f t="shared" si="1"/>
        <v>0.38168232101387689</v>
      </c>
      <c r="D23" s="58">
        <f t="shared" si="1"/>
        <v>0.280720435372809</v>
      </c>
      <c r="E23" s="58">
        <f t="shared" si="1"/>
        <v>1</v>
      </c>
      <c r="F23" s="58"/>
      <c r="I23" s="64"/>
      <c r="J23" s="64"/>
      <c r="K23" s="64"/>
      <c r="L23" s="64"/>
    </row>
    <row r="24" spans="1:12" x14ac:dyDescent="0.2">
      <c r="A24" s="50" t="s">
        <v>18</v>
      </c>
      <c r="B24" s="58">
        <f t="shared" si="1"/>
        <v>0.58437263125956451</v>
      </c>
      <c r="C24" s="58">
        <f t="shared" si="1"/>
        <v>0.24240179235976561</v>
      </c>
      <c r="D24" s="58">
        <f t="shared" si="1"/>
        <v>0.17322557638066988</v>
      </c>
      <c r="E24" s="58">
        <f t="shared" si="1"/>
        <v>1</v>
      </c>
      <c r="F24" s="58"/>
      <c r="I24" s="64"/>
      <c r="J24" s="64"/>
      <c r="K24" s="64"/>
      <c r="L24" s="64"/>
    </row>
    <row r="25" spans="1:12" x14ac:dyDescent="0.2">
      <c r="A25" s="57"/>
    </row>
    <row r="27" spans="1:12" x14ac:dyDescent="0.2">
      <c r="A27" s="97" t="s">
        <v>32</v>
      </c>
      <c r="B27" s="97"/>
      <c r="C27" s="97"/>
      <c r="D27" s="97"/>
      <c r="E27" s="97"/>
      <c r="F27" s="56"/>
      <c r="H27" s="97"/>
      <c r="I27" s="97"/>
      <c r="J27" s="97"/>
      <c r="K27" s="97"/>
      <c r="L27" s="97"/>
    </row>
    <row r="28" spans="1:12" x14ac:dyDescent="0.2">
      <c r="A28" s="46" t="s">
        <v>14</v>
      </c>
      <c r="B28" s="54" t="s">
        <v>15</v>
      </c>
      <c r="C28" s="54" t="s">
        <v>16</v>
      </c>
      <c r="D28" s="54" t="s">
        <v>17</v>
      </c>
      <c r="E28" s="54" t="s">
        <v>18</v>
      </c>
      <c r="F28" s="54" t="s">
        <v>31</v>
      </c>
      <c r="I28" s="54"/>
      <c r="J28" s="54"/>
      <c r="K28" s="54"/>
      <c r="L28" s="54"/>
    </row>
    <row r="29" spans="1:12" x14ac:dyDescent="0.2">
      <c r="A29" s="46" t="s">
        <v>6</v>
      </c>
      <c r="B29" s="95">
        <v>0.79</v>
      </c>
      <c r="C29" s="95">
        <v>0.12</v>
      </c>
      <c r="D29" s="95">
        <v>0.09</v>
      </c>
      <c r="E29" s="95">
        <f>SUM(B29:D29)</f>
        <v>1</v>
      </c>
      <c r="F29" s="95">
        <v>0.47599999999999998</v>
      </c>
      <c r="I29" s="64"/>
      <c r="J29" s="64"/>
      <c r="K29" s="64"/>
      <c r="L29" s="64"/>
    </row>
    <row r="30" spans="1:12" x14ac:dyDescent="0.2">
      <c r="A30" s="46" t="s">
        <v>7</v>
      </c>
      <c r="B30" s="95"/>
      <c r="C30" s="95"/>
      <c r="D30" s="95"/>
      <c r="E30" s="95"/>
      <c r="F30" s="95"/>
      <c r="I30" s="64"/>
      <c r="J30" s="64"/>
      <c r="K30" s="64"/>
      <c r="L30" s="64"/>
    </row>
    <row r="31" spans="1:12" x14ac:dyDescent="0.2">
      <c r="A31" s="46" t="s">
        <v>8</v>
      </c>
      <c r="B31" s="55">
        <v>0.7</v>
      </c>
      <c r="C31" s="55">
        <v>0.22</v>
      </c>
      <c r="D31" s="55">
        <v>0.08</v>
      </c>
      <c r="E31" s="55">
        <f>SUM(B31:D31)</f>
        <v>0.99999999999999989</v>
      </c>
      <c r="F31" s="55">
        <v>5.1999999999999998E-2</v>
      </c>
      <c r="I31" s="64"/>
      <c r="J31" s="64"/>
      <c r="K31" s="64"/>
      <c r="L31" s="64"/>
    </row>
    <row r="32" spans="1:12" x14ac:dyDescent="0.2">
      <c r="A32" s="46" t="s">
        <v>9</v>
      </c>
      <c r="B32" s="95">
        <v>0</v>
      </c>
      <c r="C32" s="95">
        <v>0.8</v>
      </c>
      <c r="D32" s="95">
        <v>0.2</v>
      </c>
      <c r="E32" s="95">
        <f>SUM(B32:D32)</f>
        <v>1</v>
      </c>
      <c r="F32" s="95">
        <v>0.22600000000000001</v>
      </c>
      <c r="I32" s="64"/>
      <c r="J32" s="64"/>
      <c r="K32" s="64"/>
      <c r="L32" s="64"/>
    </row>
    <row r="33" spans="1:13" x14ac:dyDescent="0.2">
      <c r="A33" s="46" t="s">
        <v>10</v>
      </c>
      <c r="B33" s="95"/>
      <c r="C33" s="95"/>
      <c r="D33" s="95"/>
      <c r="E33" s="95"/>
      <c r="F33" s="95"/>
      <c r="I33" s="64"/>
      <c r="J33" s="64"/>
      <c r="K33" s="64"/>
      <c r="L33" s="64"/>
    </row>
    <row r="34" spans="1:13" x14ac:dyDescent="0.2">
      <c r="A34" s="46" t="s">
        <v>11</v>
      </c>
      <c r="B34" s="95">
        <v>0.65</v>
      </c>
      <c r="C34" s="95">
        <v>0.2</v>
      </c>
      <c r="D34" s="95">
        <v>0.15</v>
      </c>
      <c r="E34" s="95">
        <f>SUM(B34:D34)</f>
        <v>1</v>
      </c>
      <c r="F34" s="95">
        <v>0.246</v>
      </c>
      <c r="I34" s="64"/>
      <c r="J34" s="64"/>
      <c r="K34" s="64"/>
      <c r="L34" s="64"/>
    </row>
    <row r="35" spans="1:13" x14ac:dyDescent="0.2">
      <c r="A35" s="46" t="s">
        <v>12</v>
      </c>
      <c r="B35" s="95"/>
      <c r="C35" s="95"/>
      <c r="D35" s="95"/>
      <c r="E35" s="95"/>
      <c r="F35" s="95"/>
      <c r="I35" s="64"/>
      <c r="J35" s="64"/>
      <c r="K35" s="64"/>
      <c r="L35" s="64"/>
    </row>
    <row r="36" spans="1:13" x14ac:dyDescent="0.2">
      <c r="A36" s="46" t="s">
        <v>13</v>
      </c>
      <c r="B36" s="95"/>
      <c r="C36" s="95"/>
      <c r="D36" s="95"/>
      <c r="E36" s="95"/>
      <c r="F36" s="95"/>
      <c r="I36" s="64"/>
      <c r="J36" s="64"/>
      <c r="K36" s="64"/>
      <c r="L36" s="64"/>
    </row>
    <row r="37" spans="1:13" x14ac:dyDescent="0.2">
      <c r="A37" s="46" t="s">
        <v>18</v>
      </c>
      <c r="B37" s="55">
        <f>SUMPRODUCT(B29:B36,$F29:$F36)</f>
        <v>0.57233999999999996</v>
      </c>
      <c r="C37" s="55">
        <f>SUMPRODUCT(C29:C36,$F29:$F36)</f>
        <v>0.29856000000000005</v>
      </c>
      <c r="D37" s="55">
        <f>SUMPRODUCT(D29:D36,$F29:$F36)</f>
        <v>0.12909999999999999</v>
      </c>
      <c r="E37" s="55">
        <f>SUM(B37:D37)</f>
        <v>1</v>
      </c>
      <c r="F37" s="55">
        <f>SUM(F29:F36)</f>
        <v>1</v>
      </c>
      <c r="I37" s="64"/>
      <c r="J37" s="64"/>
      <c r="K37" s="64"/>
      <c r="L37" s="64"/>
    </row>
    <row r="39" spans="1:13" x14ac:dyDescent="0.2">
      <c r="B39" s="46" t="str">
        <f>A27&amp;" split into 8 person types"</f>
        <v>SFCTA Adjusted Targets split into 8 person types</v>
      </c>
    </row>
    <row r="40" spans="1:13" x14ac:dyDescent="0.2">
      <c r="A40" s="46" t="s">
        <v>14</v>
      </c>
      <c r="B40" s="54" t="s">
        <v>15</v>
      </c>
      <c r="C40" s="54" t="s">
        <v>16</v>
      </c>
      <c r="D40" s="54" t="s">
        <v>17</v>
      </c>
      <c r="E40" s="54" t="s">
        <v>18</v>
      </c>
      <c r="F40" s="54" t="s">
        <v>31</v>
      </c>
      <c r="H40" s="97"/>
      <c r="I40" s="97"/>
      <c r="J40" s="97"/>
      <c r="K40" s="97"/>
      <c r="L40" s="97"/>
    </row>
    <row r="41" spans="1:13" ht="12.75" x14ac:dyDescent="0.2">
      <c r="A41" s="46" t="s">
        <v>6</v>
      </c>
      <c r="B41" s="53">
        <f t="shared" ref="B41:D42" si="2">B4*B$29/(SUM(B$4:B$5)/SUM($E$4:$E$5))*$F$29/($F$4+$F$5)</f>
        <v>2294419.0973265339</v>
      </c>
      <c r="C41" s="53">
        <f t="shared" si="2"/>
        <v>286469.48864033923</v>
      </c>
      <c r="D41" s="53">
        <f t="shared" si="2"/>
        <v>242939.0406774689</v>
      </c>
      <c r="E41" s="53">
        <f t="shared" ref="E41:E48" si="3">SUM(B41:D41)</f>
        <v>2823827.6266443417</v>
      </c>
      <c r="F41" s="52">
        <f t="shared" ref="F41:F49" si="4">E41/$E$49</f>
        <v>0.42521716021001088</v>
      </c>
      <c r="L41" s="65"/>
      <c r="M41" s="65"/>
    </row>
    <row r="42" spans="1:13" ht="12.75" x14ac:dyDescent="0.2">
      <c r="A42" s="46" t="s">
        <v>7</v>
      </c>
      <c r="B42" s="53">
        <f t="shared" si="2"/>
        <v>202827.5805800895</v>
      </c>
      <c r="C42" s="53">
        <f t="shared" si="2"/>
        <v>92859.120661932757</v>
      </c>
      <c r="D42" s="53">
        <f t="shared" si="2"/>
        <v>41557.416299235068</v>
      </c>
      <c r="E42" s="53">
        <f t="shared" si="3"/>
        <v>337244.11754125735</v>
      </c>
      <c r="F42" s="52">
        <f t="shared" si="4"/>
        <v>5.0782839789989029E-2</v>
      </c>
      <c r="I42" s="66"/>
      <c r="J42" s="66"/>
      <c r="L42" s="65"/>
      <c r="M42" s="65"/>
    </row>
    <row r="43" spans="1:13" ht="12.75" x14ac:dyDescent="0.2">
      <c r="A43" s="46" t="s">
        <v>8</v>
      </c>
      <c r="B43" s="53">
        <f>B6*B31/B18*$F$31/$F$6</f>
        <v>241729.01573183993</v>
      </c>
      <c r="C43" s="53">
        <f>C6*C31/C18*$F$31/$F$6</f>
        <v>75971.976372863995</v>
      </c>
      <c r="D43" s="53">
        <f>D6*D31/D18*$F$31/$F$6</f>
        <v>27626.173226496001</v>
      </c>
      <c r="E43" s="53">
        <f t="shared" si="3"/>
        <v>345327.16533119988</v>
      </c>
      <c r="F43" s="52">
        <f t="shared" si="4"/>
        <v>5.1999999999999991E-2</v>
      </c>
      <c r="I43" s="66"/>
      <c r="J43" s="66"/>
      <c r="L43" s="65"/>
      <c r="M43" s="65"/>
    </row>
    <row r="44" spans="1:13" ht="12.75" x14ac:dyDescent="0.2">
      <c r="A44" s="46" t="s">
        <v>9</v>
      </c>
      <c r="B44" s="53">
        <v>0</v>
      </c>
      <c r="C44" s="53">
        <f>C7*C$32/(SUM(C$7:C$8)/SUM($E$7:$E$8))*$F32/($F$7+$F$8)</f>
        <v>739442.8792821794</v>
      </c>
      <c r="D44" s="53">
        <f>D7*D$32/(SUM(D$7:D$8)/SUM($E$7:$E$8))*$F32/($F$7+$F$8)</f>
        <v>171487.78444584779</v>
      </c>
      <c r="E44" s="53">
        <f t="shared" si="3"/>
        <v>910930.66372802714</v>
      </c>
      <c r="F44" s="52">
        <f t="shared" si="4"/>
        <v>0.13716961556854884</v>
      </c>
      <c r="I44" s="66"/>
      <c r="J44" s="66"/>
      <c r="L44" s="65"/>
      <c r="M44" s="65"/>
    </row>
    <row r="45" spans="1:13" ht="12.75" x14ac:dyDescent="0.2">
      <c r="A45" s="46" t="s">
        <v>10</v>
      </c>
      <c r="B45" s="53">
        <v>0</v>
      </c>
      <c r="C45" s="53">
        <f>C8*C$32/(SUM(C$7:C$8)/SUM($E$7:$E$8))*$F32/($F$7+$F$8)</f>
        <v>461233.11094630061</v>
      </c>
      <c r="D45" s="53">
        <f>D8*D$32/(SUM(D$7:D$8)/SUM($E$7:$E$8))*$F32/($F$7+$F$8)</f>
        <v>128681.21311127224</v>
      </c>
      <c r="E45" s="53">
        <f t="shared" si="3"/>
        <v>589914.32405757287</v>
      </c>
      <c r="F45" s="52">
        <f t="shared" si="4"/>
        <v>8.8830384431451165E-2</v>
      </c>
      <c r="I45" s="66"/>
      <c r="J45" s="66"/>
      <c r="L45" s="65"/>
      <c r="M45" s="65"/>
    </row>
    <row r="46" spans="1:13" ht="12.75" x14ac:dyDescent="0.2">
      <c r="A46" s="46" t="s">
        <v>11</v>
      </c>
      <c r="B46" s="53">
        <f t="shared" ref="B46:D48" si="5">B9*B$34/(SUM(B$9:B$11)/SUM($E$9:$E$11))*$F$34/($F$9+$F$10+$F$11)</f>
        <v>126159.86987776012</v>
      </c>
      <c r="C46" s="53">
        <f t="shared" si="5"/>
        <v>17773.591324115547</v>
      </c>
      <c r="D46" s="53">
        <f t="shared" si="5"/>
        <v>21336.195554031539</v>
      </c>
      <c r="E46" s="53">
        <f t="shared" si="3"/>
        <v>165269.65675590723</v>
      </c>
      <c r="F46" s="52">
        <f t="shared" si="4"/>
        <v>2.4886609030786013E-2</v>
      </c>
      <c r="I46" s="66"/>
      <c r="J46" s="66"/>
      <c r="L46" s="65"/>
      <c r="M46" s="65"/>
    </row>
    <row r="47" spans="1:13" ht="12.75" x14ac:dyDescent="0.2">
      <c r="A47" s="46" t="s">
        <v>12</v>
      </c>
      <c r="B47" s="53">
        <f t="shared" si="5"/>
        <v>744392.92157074693</v>
      </c>
      <c r="C47" s="53">
        <f t="shared" si="5"/>
        <v>137950.48633640836</v>
      </c>
      <c r="D47" s="53">
        <f t="shared" si="5"/>
        <v>114597.27234005758</v>
      </c>
      <c r="E47" s="53">
        <f t="shared" si="3"/>
        <v>996940.68024721288</v>
      </c>
      <c r="F47" s="52">
        <f t="shared" si="4"/>
        <v>0.15012116212500962</v>
      </c>
      <c r="I47" s="66"/>
      <c r="J47" s="66"/>
      <c r="L47" s="65"/>
      <c r="M47" s="65"/>
    </row>
    <row r="48" spans="1:13" ht="12.75" x14ac:dyDescent="0.2">
      <c r="A48" s="46" t="s">
        <v>13</v>
      </c>
      <c r="B48" s="53">
        <f t="shared" si="5"/>
        <v>191328.24194493328</v>
      </c>
      <c r="C48" s="53">
        <f t="shared" si="5"/>
        <v>171008.54799899619</v>
      </c>
      <c r="D48" s="53">
        <f t="shared" si="5"/>
        <v>109116.00135055091</v>
      </c>
      <c r="E48" s="53">
        <f t="shared" si="3"/>
        <v>471452.79129448038</v>
      </c>
      <c r="F48" s="52">
        <f t="shared" si="4"/>
        <v>7.0992228844204475E-2</v>
      </c>
      <c r="I48" s="66"/>
      <c r="J48" s="66"/>
      <c r="L48" s="65"/>
      <c r="M48" s="65"/>
    </row>
    <row r="49" spans="1:12" x14ac:dyDescent="0.2">
      <c r="A49" s="46" t="s">
        <v>18</v>
      </c>
      <c r="B49" s="53">
        <f>SUM(B41:B48)</f>
        <v>3800856.7270319043</v>
      </c>
      <c r="C49" s="53">
        <f>SUM(C41:C48)</f>
        <v>1982709.2015631364</v>
      </c>
      <c r="D49" s="53">
        <f>SUM(D41:D48)</f>
        <v>857341.09700495994</v>
      </c>
      <c r="E49" s="53">
        <f>SUM(E41:E48)</f>
        <v>6640907.0255999994</v>
      </c>
      <c r="F49" s="52">
        <f t="shared" si="4"/>
        <v>1</v>
      </c>
      <c r="I49" s="66"/>
      <c r="J49" s="66"/>
    </row>
    <row r="51" spans="1:12" x14ac:dyDescent="0.2">
      <c r="A51" s="50"/>
      <c r="B51" s="51" t="str">
        <f>B39&amp;" - Percent Share"</f>
        <v>SFCTA Adjusted Targets split into 8 person types - Percent Share</v>
      </c>
      <c r="C51" s="50"/>
      <c r="D51" s="50"/>
      <c r="E51" s="50"/>
    </row>
    <row r="52" spans="1:12" x14ac:dyDescent="0.2">
      <c r="A52" s="50" t="str">
        <f>A40</f>
        <v>Person type</v>
      </c>
      <c r="B52" s="50" t="str">
        <f>B40</f>
        <v>Mandatory</v>
      </c>
      <c r="C52" s="50" t="str">
        <f>C40</f>
        <v>Non-Mandatory</v>
      </c>
      <c r="D52" s="50" t="str">
        <f>D40</f>
        <v>Home</v>
      </c>
      <c r="E52" s="50" t="str">
        <f>E40</f>
        <v>Total</v>
      </c>
      <c r="H52" s="97"/>
      <c r="I52" s="97"/>
      <c r="J52" s="97"/>
      <c r="K52" s="97"/>
      <c r="L52" s="97"/>
    </row>
    <row r="53" spans="1:12" x14ac:dyDescent="0.2">
      <c r="A53" s="50" t="str">
        <f t="shared" ref="A53:A61" si="6">A41</f>
        <v>Full-time worker</v>
      </c>
      <c r="B53" s="49">
        <f t="shared" ref="B53:E61" si="7">B41/$E41</f>
        <v>0.81252094698608657</v>
      </c>
      <c r="C53" s="49">
        <f t="shared" si="7"/>
        <v>0.10144722926333909</v>
      </c>
      <c r="D53" s="49">
        <f t="shared" si="7"/>
        <v>8.6031823750574429E-2</v>
      </c>
      <c r="E53" s="49">
        <f t="shared" si="7"/>
        <v>1</v>
      </c>
    </row>
    <row r="54" spans="1:12" x14ac:dyDescent="0.2">
      <c r="A54" s="50" t="str">
        <f t="shared" si="6"/>
        <v>Part-time worker</v>
      </c>
      <c r="B54" s="49">
        <f t="shared" si="7"/>
        <v>0.60142659287534117</v>
      </c>
      <c r="C54" s="49">
        <f t="shared" si="7"/>
        <v>0.27534689511840832</v>
      </c>
      <c r="D54" s="49">
        <f t="shared" si="7"/>
        <v>0.1232265120062504</v>
      </c>
      <c r="E54" s="49">
        <f t="shared" si="7"/>
        <v>1</v>
      </c>
      <c r="I54" s="66"/>
      <c r="J54" s="66"/>
      <c r="K54" s="66"/>
    </row>
    <row r="55" spans="1:12" x14ac:dyDescent="0.2">
      <c r="A55" s="50" t="str">
        <f t="shared" si="6"/>
        <v>University student</v>
      </c>
      <c r="B55" s="49">
        <f t="shared" si="7"/>
        <v>0.70000000000000007</v>
      </c>
      <c r="C55" s="49">
        <f t="shared" si="7"/>
        <v>0.22000000000000006</v>
      </c>
      <c r="D55" s="49">
        <f t="shared" si="7"/>
        <v>8.0000000000000029E-2</v>
      </c>
      <c r="E55" s="49">
        <f t="shared" si="7"/>
        <v>1</v>
      </c>
      <c r="I55" s="66"/>
      <c r="J55" s="66"/>
      <c r="K55" s="66"/>
    </row>
    <row r="56" spans="1:12" x14ac:dyDescent="0.2">
      <c r="A56" s="50" t="str">
        <f t="shared" si="6"/>
        <v>Non-worker</v>
      </c>
      <c r="B56" s="49">
        <f t="shared" si="7"/>
        <v>0</v>
      </c>
      <c r="C56" s="49">
        <f t="shared" si="7"/>
        <v>0.81174441560236232</v>
      </c>
      <c r="D56" s="49">
        <f t="shared" si="7"/>
        <v>0.18825558439763776</v>
      </c>
      <c r="E56" s="49">
        <f t="shared" si="7"/>
        <v>1</v>
      </c>
      <c r="I56" s="66"/>
      <c r="J56" s="66"/>
      <c r="K56" s="66"/>
    </row>
    <row r="57" spans="1:12" x14ac:dyDescent="0.2">
      <c r="A57" s="50" t="str">
        <f t="shared" si="6"/>
        <v>Retired</v>
      </c>
      <c r="B57" s="49">
        <f t="shared" si="7"/>
        <v>0</v>
      </c>
      <c r="C57" s="49">
        <f t="shared" si="7"/>
        <v>0.78186457276342802</v>
      </c>
      <c r="D57" s="49">
        <f t="shared" si="7"/>
        <v>0.218135427236572</v>
      </c>
      <c r="E57" s="49">
        <f t="shared" si="7"/>
        <v>1</v>
      </c>
      <c r="I57" s="66"/>
      <c r="J57" s="66"/>
      <c r="K57" s="66"/>
    </row>
    <row r="58" spans="1:12" x14ac:dyDescent="0.2">
      <c r="A58" s="50" t="str">
        <f t="shared" si="6"/>
        <v>Student of driving age</v>
      </c>
      <c r="B58" s="49">
        <f t="shared" si="7"/>
        <v>0.7633577291449829</v>
      </c>
      <c r="C58" s="49">
        <f t="shared" si="7"/>
        <v>0.10754297959465124</v>
      </c>
      <c r="D58" s="49">
        <f t="shared" si="7"/>
        <v>0.12909929126036573</v>
      </c>
      <c r="E58" s="49">
        <f t="shared" si="7"/>
        <v>1</v>
      </c>
      <c r="I58" s="66"/>
      <c r="J58" s="66"/>
      <c r="K58" s="66"/>
    </row>
    <row r="59" spans="1:12" x14ac:dyDescent="0.2">
      <c r="A59" s="50" t="str">
        <f t="shared" si="6"/>
        <v>Student of non-driving age</v>
      </c>
      <c r="B59" s="49">
        <f t="shared" si="7"/>
        <v>0.74667724601844787</v>
      </c>
      <c r="C59" s="49">
        <f t="shared" si="7"/>
        <v>0.13837381608522642</v>
      </c>
      <c r="D59" s="49">
        <f t="shared" si="7"/>
        <v>0.11494893789632571</v>
      </c>
      <c r="E59" s="49">
        <f t="shared" si="7"/>
        <v>1</v>
      </c>
      <c r="I59" s="66"/>
      <c r="J59" s="66"/>
      <c r="K59" s="66"/>
    </row>
    <row r="60" spans="1:12" x14ac:dyDescent="0.2">
      <c r="A60" s="50" t="str">
        <f t="shared" si="6"/>
        <v>Child too young for school</v>
      </c>
      <c r="B60" s="49">
        <f t="shared" si="7"/>
        <v>0.40582693639292766</v>
      </c>
      <c r="C60" s="49">
        <f t="shared" si="7"/>
        <v>0.36272676958694738</v>
      </c>
      <c r="D60" s="49">
        <f t="shared" si="7"/>
        <v>0.23144629402012495</v>
      </c>
      <c r="E60" s="49">
        <f t="shared" si="7"/>
        <v>1</v>
      </c>
      <c r="I60" s="66"/>
      <c r="J60" s="66"/>
      <c r="K60" s="66"/>
    </row>
    <row r="61" spans="1:12" x14ac:dyDescent="0.2">
      <c r="A61" s="50" t="str">
        <f t="shared" si="6"/>
        <v>Total</v>
      </c>
      <c r="B61" s="49">
        <f t="shared" si="7"/>
        <v>0.57234000000000007</v>
      </c>
      <c r="C61" s="49">
        <f t="shared" si="7"/>
        <v>0.2985600000000001</v>
      </c>
      <c r="D61" s="49">
        <f t="shared" si="7"/>
        <v>0.12909999999999999</v>
      </c>
      <c r="E61" s="49">
        <f t="shared" si="7"/>
        <v>1</v>
      </c>
      <c r="I61" s="66"/>
      <c r="J61" s="66"/>
      <c r="K61" s="66"/>
    </row>
    <row r="63" spans="1:12" x14ac:dyDescent="0.2">
      <c r="A63" s="48" t="s">
        <v>30</v>
      </c>
      <c r="B63" s="48"/>
      <c r="C63" s="48"/>
      <c r="D63" s="48"/>
      <c r="E63" s="48"/>
      <c r="F63" s="48"/>
    </row>
    <row r="64" spans="1:12" x14ac:dyDescent="0.2">
      <c r="A64" s="48" t="s">
        <v>29</v>
      </c>
      <c r="B64" s="47">
        <f>SUM(B41:B42)/SUM($E$41:$E$42)</f>
        <v>0.79000000000000015</v>
      </c>
      <c r="C64" s="47">
        <f>SUM(C41:C42)/SUM($E$41:$E$42)</f>
        <v>0.12000000000000002</v>
      </c>
      <c r="D64" s="47">
        <f>SUM(D41:D42)/SUM($E$41:$E$42)</f>
        <v>9.0000000000000011E-2</v>
      </c>
      <c r="E64" s="47">
        <f>SUM(B64:D64)</f>
        <v>1.0000000000000002</v>
      </c>
      <c r="F64" s="47">
        <f>SUM(E41:E42)/$E$49</f>
        <v>0.47599999999999992</v>
      </c>
      <c r="H64" s="97"/>
      <c r="I64" s="97"/>
      <c r="J64" s="97"/>
      <c r="K64" s="97"/>
      <c r="L64" s="97"/>
    </row>
    <row r="65" spans="1:11" x14ac:dyDescent="0.2">
      <c r="A65" s="48" t="s">
        <v>28</v>
      </c>
      <c r="B65" s="47">
        <f>B43/$E$43</f>
        <v>0.70000000000000007</v>
      </c>
      <c r="C65" s="47">
        <f>C43/$E$43</f>
        <v>0.22000000000000006</v>
      </c>
      <c r="D65" s="47">
        <f>D43/$E$43</f>
        <v>8.0000000000000029E-2</v>
      </c>
      <c r="E65" s="47">
        <f>SUM(B65:D65)</f>
        <v>1.0000000000000002</v>
      </c>
      <c r="F65" s="47">
        <f>SUM(E43)/$E$49</f>
        <v>5.1999999999999991E-2</v>
      </c>
    </row>
    <row r="66" spans="1:11" x14ac:dyDescent="0.2">
      <c r="A66" s="48" t="s">
        <v>27</v>
      </c>
      <c r="B66" s="47">
        <f>SUM(B44:B45)/SUM($E$44:$E$45)</f>
        <v>0</v>
      </c>
      <c r="C66" s="47">
        <f>SUM(C44:C45)/SUM($E$44:$E$45)</f>
        <v>0.79999999999999993</v>
      </c>
      <c r="D66" s="47">
        <f>SUM(D44:D45)/SUM($E$44:$E$45)</f>
        <v>0.2</v>
      </c>
      <c r="E66" s="47">
        <f>SUM(B66:D66)</f>
        <v>1</v>
      </c>
      <c r="F66" s="47">
        <f>SUM(E44:E45)/$E$49</f>
        <v>0.22600000000000003</v>
      </c>
      <c r="I66" s="66"/>
      <c r="J66" s="66"/>
      <c r="K66" s="66"/>
    </row>
    <row r="67" spans="1:11" x14ac:dyDescent="0.2">
      <c r="A67" s="48" t="s">
        <v>26</v>
      </c>
      <c r="B67" s="47">
        <f>SUM(B46:B48)/SUM($E$46:$E$48)</f>
        <v>0.64999999999999991</v>
      </c>
      <c r="C67" s="47">
        <f>SUM(C46:C48)/SUM($E$46:$E$48)</f>
        <v>0.19999999999999998</v>
      </c>
      <c r="D67" s="47">
        <f>SUM(D46:D48)/SUM($E$46:$E$48)</f>
        <v>0.14999999999999997</v>
      </c>
      <c r="E67" s="47">
        <f>SUM(B67:D67)</f>
        <v>0.99999999999999978</v>
      </c>
      <c r="F67" s="47">
        <f>SUM(E46:E48)/$E$49</f>
        <v>0.24600000000000014</v>
      </c>
      <c r="I67" s="66"/>
      <c r="J67" s="66"/>
      <c r="K67" s="66"/>
    </row>
    <row r="68" spans="1:11" x14ac:dyDescent="0.2">
      <c r="A68" s="48" t="s">
        <v>18</v>
      </c>
      <c r="B68" s="47">
        <f>B49/$E$49</f>
        <v>0.57234000000000007</v>
      </c>
      <c r="C68" s="47">
        <f>C49/$E$49</f>
        <v>0.2985600000000001</v>
      </c>
      <c r="D68" s="47">
        <f>D49/$E$49</f>
        <v>0.12909999999999999</v>
      </c>
      <c r="E68" s="47">
        <f>SUM(B68:D68)</f>
        <v>1.0000000000000002</v>
      </c>
      <c r="F68" s="47">
        <f>SUM(E45:E46)/$E$49</f>
        <v>0.11371699346223718</v>
      </c>
      <c r="I68" s="66"/>
      <c r="J68" s="66"/>
      <c r="K68" s="66"/>
    </row>
    <row r="69" spans="1:11" x14ac:dyDescent="0.2">
      <c r="I69" s="66"/>
      <c r="J69" s="66"/>
      <c r="K69" s="66"/>
    </row>
    <row r="70" spans="1:11" x14ac:dyDescent="0.2">
      <c r="I70" s="66"/>
      <c r="J70" s="66"/>
      <c r="K70" s="66"/>
    </row>
    <row r="71" spans="1:11" x14ac:dyDescent="0.2">
      <c r="I71" s="66"/>
      <c r="J71" s="66"/>
      <c r="K71" s="66"/>
    </row>
    <row r="72" spans="1:11" x14ac:dyDescent="0.2">
      <c r="I72" s="66"/>
      <c r="J72" s="66"/>
      <c r="K72" s="66"/>
    </row>
    <row r="73" spans="1:11" x14ac:dyDescent="0.2">
      <c r="I73" s="66"/>
      <c r="J73" s="66"/>
      <c r="K73" s="66"/>
    </row>
  </sheetData>
  <mergeCells count="24">
    <mergeCell ref="H52:L52"/>
    <mergeCell ref="H64:L64"/>
    <mergeCell ref="H40:L40"/>
    <mergeCell ref="D34:D36"/>
    <mergeCell ref="E34:E36"/>
    <mergeCell ref="F34:F36"/>
    <mergeCell ref="E32:E33"/>
    <mergeCell ref="H27:L27"/>
    <mergeCell ref="F29:F30"/>
    <mergeCell ref="F32:F33"/>
    <mergeCell ref="D29:D30"/>
    <mergeCell ref="D32:D33"/>
    <mergeCell ref="E29:E30"/>
    <mergeCell ref="A2:E2"/>
    <mergeCell ref="H2:L2"/>
    <mergeCell ref="A14:E14"/>
    <mergeCell ref="H14:L14"/>
    <mergeCell ref="A27:E27"/>
    <mergeCell ref="B29:B30"/>
    <mergeCell ref="C29:C30"/>
    <mergeCell ref="B34:B36"/>
    <mergeCell ref="B32:B33"/>
    <mergeCell ref="C32:C33"/>
    <mergeCell ref="C34:C36"/>
  </mergeCells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calibration</vt:lpstr>
      <vt:lpstr>modeldata</vt:lpstr>
      <vt:lpstr>BATS 2023</vt:lpstr>
      <vt:lpstr>BATS 2023 - WFH</vt:lpstr>
      <vt:lpstr>TM1 v03 Targets</vt:lpstr>
      <vt:lpstr>PersonType Chart</vt:lpstr>
      <vt:lpstr>'TM1 v03 Targets'!damp</vt:lpstr>
      <vt:lpstr>damp_cdap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dcterms:created xsi:type="dcterms:W3CDTF">2018-11-27T02:19:41Z</dcterms:created>
  <dcterms:modified xsi:type="dcterms:W3CDTF">2026-10-30T00:35:11Z</dcterms:modified>
</cp:coreProperties>
</file>