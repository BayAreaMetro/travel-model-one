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2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3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4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5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6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7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itHub\travel-model-one-tm1.7_calibration\utilities\calibration\workbook_templates\"/>
    </mc:Choice>
  </mc:AlternateContent>
  <xr:revisionPtr revIDLastSave="0" documentId="13_ncr:1_{97FF86CF-3ACA-43B7-8AD1-D0F4E05B643D}" xr6:coauthVersionLast="47" xr6:coauthVersionMax="47" xr10:uidLastSave="{00000000-0000-0000-0000-000000000000}"/>
  <bookViews>
    <workbookView xWindow="-120" yWindow="-120" windowWidth="38640" windowHeight="15720" firstSheet="4" activeTab="6" xr2:uid="{C26A99D1-1C69-476B-8B4B-6356DDCA10FA}"/>
  </bookViews>
  <sheets>
    <sheet name="DistrictTripFlows" sheetId="8" r:id="rId1"/>
    <sheet name="Transfers" sheetId="10" r:id="rId2"/>
    <sheet name="FirstTransitMode" sheetId="11" r:id="rId3"/>
    <sheet name="SF_transit" sheetId="12" r:id="rId4"/>
    <sheet name="calibration" sheetId="1" r:id="rId5"/>
    <sheet name="constants" sheetId="4" r:id="rId6"/>
    <sheet name="targets" sheetId="6" r:id="rId7"/>
    <sheet name="OBS_District_Flows" sheetId="7" r:id="rId8"/>
    <sheet name="OBS_Transfers" sheetId="9" r:id="rId9"/>
    <sheet name="modeldata" sheetId="3" r:id="rId10"/>
    <sheet name="model_lookup" sheetId="5" r:id="rId11"/>
  </sheets>
  <definedNames>
    <definedName name="_xlnm._FilterDatabase" localSheetId="7" hidden="1">OBS_District_Flows!$A$1:$G$51207</definedName>
    <definedName name="atwork_c_ivt" localSheetId="3">#REF!</definedName>
    <definedName name="atwork_c_ivt">constants!$AV$1</definedName>
    <definedName name="atwork_damp" localSheetId="3">#REF!</definedName>
    <definedName name="atwork_damp">constants!$AT$1</definedName>
    <definedName name="atwork_new">#REF!</definedName>
    <definedName name="damp">constants!$B$1</definedName>
    <definedName name="damp2">constants!$D$1</definedName>
    <definedName name="inddisc_damp" localSheetId="3">#REF!</definedName>
    <definedName name="inddisc_damp">constants!$AL$1</definedName>
    <definedName name="indivdisc_damp">#REF!</definedName>
    <definedName name="indivdisc_new">#REF!</definedName>
    <definedName name="indivmaint_damp">#REF!</definedName>
    <definedName name="indivmaint_new">#REF!</definedName>
    <definedName name="indmaint_damp" localSheetId="3">#REF!</definedName>
    <definedName name="indmaint_damp">constants!$AD$1</definedName>
    <definedName name="joint_damp">#REF!</definedName>
    <definedName name="joint_existing">#REF!</definedName>
    <definedName name="joint_new">#REF!</definedName>
    <definedName name="model_trn_tours">#REF!</definedName>
    <definedName name="model_trn_trips" localSheetId="3">#REF!</definedName>
    <definedName name="model_trn_trips">modeldata!$J:$P</definedName>
    <definedName name="othdisc_existing">#REF!</definedName>
    <definedName name="othdiscr_c_ivt" localSheetId="3">#REF!</definedName>
    <definedName name="othdiscr_c_ivt">constants!$AN$1</definedName>
    <definedName name="othmaint_c_ivt" localSheetId="3">#REF!</definedName>
    <definedName name="othmaint_c_ivt">constants!$AF$1</definedName>
    <definedName name="school_c_ivt" localSheetId="3">#REF!</definedName>
    <definedName name="school_c_ivt">constants!$X$1</definedName>
    <definedName name="school_damp" localSheetId="3">#REF!</definedName>
    <definedName name="school_damp">constants!$V$1</definedName>
    <definedName name="school_existing">#REF!</definedName>
    <definedName name="school_new">#REF!</definedName>
    <definedName name="shopping_existing">#REF!</definedName>
    <definedName name="simple_purposes" localSheetId="3">#REF!</definedName>
    <definedName name="simple_purposes">model_lookup!$A$23:$B$30</definedName>
    <definedName name="taxi_scale">calibration!#REF!</definedName>
    <definedName name="taxi_share">calibration!$H$211</definedName>
    <definedName name="tnc_shared_share">calibration!#REF!</definedName>
    <definedName name="tnc_single_share">calibration!$H$212</definedName>
    <definedName name="tour_modes" localSheetId="3">#REF!</definedName>
    <definedName name="tour_modes">model_lookup!$D$1:$F$22</definedName>
    <definedName name="tour_purposes" localSheetId="3">#REF!</definedName>
    <definedName name="tour_purposes">model_lookup!$A$1:$B$18</definedName>
    <definedName name="trip_modes" localSheetId="3">#REF!</definedName>
    <definedName name="trip_modes">model_lookup!$H$1:$I$24</definedName>
    <definedName name="trn_modes" localSheetId="3">#REF!</definedName>
    <definedName name="trn_modes">model_lookup!$A$33:$B$40</definedName>
    <definedName name="university_c_ivt" localSheetId="3">#REF!</definedName>
    <definedName name="university_c_ivt">constants!$P$1</definedName>
    <definedName name="university_damp" localSheetId="3">#REF!</definedName>
    <definedName name="university_damp">constants!$N$1</definedName>
    <definedName name="university_existing">#REF!</definedName>
    <definedName name="university_new">#REF!</definedName>
    <definedName name="work_c_ivt" localSheetId="3">#REF!</definedName>
    <definedName name="work_c_ivt">constants!$H$1</definedName>
    <definedName name="work_damp" localSheetId="3">#REF!</definedName>
    <definedName name="work_damp">constants!$F$1</definedName>
    <definedName name="work_existing">#REF!</definedName>
    <definedName name="work_new">#REF!</definedName>
    <definedName name="workbased_existi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P169" i="6" l="1"/>
  <c r="L180" i="1" s="1"/>
  <c r="BO169" i="6"/>
  <c r="BN169" i="6"/>
  <c r="BM169" i="6"/>
  <c r="BL169" i="6"/>
  <c r="BK169" i="6"/>
  <c r="BJ169" i="6"/>
  <c r="BI169" i="6"/>
  <c r="BH169" i="6"/>
  <c r="BG169" i="6"/>
  <c r="BF169" i="6"/>
  <c r="BE169" i="6"/>
  <c r="BD169" i="6"/>
  <c r="BC169" i="6"/>
  <c r="BB169" i="6"/>
  <c r="BA169" i="6"/>
  <c r="AZ169" i="6"/>
  <c r="AY169" i="6"/>
  <c r="AX169" i="6"/>
  <c r="AW169" i="6"/>
  <c r="BP168" i="6"/>
  <c r="L179" i="1" s="1"/>
  <c r="BO168" i="6"/>
  <c r="K179" i="1" s="1"/>
  <c r="BN168" i="6"/>
  <c r="J179" i="1" s="1"/>
  <c r="BM168" i="6"/>
  <c r="BL168" i="6"/>
  <c r="BK168" i="6"/>
  <c r="BJ168" i="6"/>
  <c r="BI168" i="6"/>
  <c r="BH168" i="6"/>
  <c r="BG168" i="6"/>
  <c r="BF168" i="6"/>
  <c r="BE168" i="6"/>
  <c r="BD168" i="6"/>
  <c r="BC168" i="6"/>
  <c r="BB168" i="6"/>
  <c r="BA168" i="6"/>
  <c r="AZ168" i="6"/>
  <c r="AY168" i="6"/>
  <c r="AX168" i="6"/>
  <c r="AW168" i="6"/>
  <c r="BP167" i="6"/>
  <c r="L178" i="1" s="1"/>
  <c r="BO167" i="6"/>
  <c r="K178" i="1" s="1"/>
  <c r="BN167" i="6"/>
  <c r="J178" i="1" s="1"/>
  <c r="BM167" i="6"/>
  <c r="BL167" i="6"/>
  <c r="BK167" i="6"/>
  <c r="BJ167" i="6"/>
  <c r="BI167" i="6"/>
  <c r="BH167" i="6"/>
  <c r="BE167" i="6"/>
  <c r="BD167" i="6"/>
  <c r="BC167" i="6"/>
  <c r="BB167" i="6"/>
  <c r="BA167" i="6"/>
  <c r="AZ167" i="6"/>
  <c r="AY167" i="6"/>
  <c r="AX167" i="6"/>
  <c r="AW167" i="6"/>
  <c r="BP166" i="6"/>
  <c r="L177" i="1" s="1"/>
  <c r="BO166" i="6"/>
  <c r="K177" i="1" s="1"/>
  <c r="BN166" i="6"/>
  <c r="J177" i="1" s="1"/>
  <c r="BM166" i="6"/>
  <c r="BL166" i="6"/>
  <c r="BK166" i="6"/>
  <c r="BJ166" i="6"/>
  <c r="BI166" i="6"/>
  <c r="BH166" i="6"/>
  <c r="H177" i="1" s="1"/>
  <c r="BA166" i="6"/>
  <c r="AZ166" i="6"/>
  <c r="AY166" i="6"/>
  <c r="AX166" i="6"/>
  <c r="AW166" i="6"/>
  <c r="BP165" i="6"/>
  <c r="L176" i="1" s="1"/>
  <c r="BO165" i="6"/>
  <c r="K176" i="1" s="1"/>
  <c r="BN165" i="6"/>
  <c r="J176" i="1" s="1"/>
  <c r="BM165" i="6"/>
  <c r="BL165" i="6"/>
  <c r="BK165" i="6"/>
  <c r="BJ165" i="6"/>
  <c r="BI165" i="6"/>
  <c r="BH165" i="6"/>
  <c r="H176" i="1" s="1"/>
  <c r="BA165" i="6"/>
  <c r="AZ165" i="6"/>
  <c r="AY165" i="6"/>
  <c r="AX165" i="6"/>
  <c r="AW165" i="6"/>
  <c r="BP164" i="6"/>
  <c r="L175" i="1" s="1"/>
  <c r="BO164" i="6"/>
  <c r="K175" i="1" s="1"/>
  <c r="BN164" i="6"/>
  <c r="J175" i="1" s="1"/>
  <c r="BM164" i="6"/>
  <c r="BL164" i="6"/>
  <c r="BK164" i="6"/>
  <c r="BJ164" i="6"/>
  <c r="BI164" i="6"/>
  <c r="BH164" i="6"/>
  <c r="H175" i="1" s="1"/>
  <c r="BA164" i="6"/>
  <c r="F175" i="1" s="1"/>
  <c r="AZ164" i="6"/>
  <c r="AY164" i="6"/>
  <c r="AX164" i="6"/>
  <c r="AW164" i="6"/>
  <c r="BP163" i="6"/>
  <c r="L174" i="1" s="1"/>
  <c r="BO163" i="6"/>
  <c r="K174" i="1" s="1"/>
  <c r="BN163" i="6"/>
  <c r="J174" i="1" s="1"/>
  <c r="BM163" i="6"/>
  <c r="BL163" i="6"/>
  <c r="BK163" i="6"/>
  <c r="BJ163" i="6"/>
  <c r="BI163" i="6"/>
  <c r="BH163" i="6"/>
  <c r="H174" i="1" s="1"/>
  <c r="BA163" i="6"/>
  <c r="F174" i="1" s="1"/>
  <c r="AZ163" i="6"/>
  <c r="E174" i="1" s="1"/>
  <c r="AY163" i="6"/>
  <c r="AX163" i="6"/>
  <c r="AW163" i="6"/>
  <c r="BQ163" i="6" s="1"/>
  <c r="BP162" i="6"/>
  <c r="L173" i="1" s="1"/>
  <c r="BO162" i="6"/>
  <c r="K173" i="1" s="1"/>
  <c r="BN162" i="6"/>
  <c r="J173" i="1" s="1"/>
  <c r="BM162" i="6"/>
  <c r="BL162" i="6"/>
  <c r="BK162" i="6"/>
  <c r="BJ162" i="6"/>
  <c r="BI162" i="6"/>
  <c r="BH162" i="6"/>
  <c r="H173" i="1" s="1"/>
  <c r="BA162" i="6"/>
  <c r="F173" i="1" s="1"/>
  <c r="AZ162" i="6"/>
  <c r="E173" i="1" s="1"/>
  <c r="AY162" i="6"/>
  <c r="AX162" i="6"/>
  <c r="AW162" i="6"/>
  <c r="BQ162" i="6" s="1"/>
  <c r="BP161" i="6"/>
  <c r="L172" i="1" s="1"/>
  <c r="BO161" i="6"/>
  <c r="K172" i="1" s="1"/>
  <c r="BN161" i="6"/>
  <c r="J172" i="1" s="1"/>
  <c r="BM161" i="6"/>
  <c r="BL161" i="6"/>
  <c r="BK161" i="6"/>
  <c r="BJ161" i="6"/>
  <c r="BI161" i="6"/>
  <c r="BH161" i="6"/>
  <c r="H172" i="1" s="1"/>
  <c r="BA161" i="6"/>
  <c r="F172" i="1" s="1"/>
  <c r="AZ161" i="6"/>
  <c r="E172" i="1" s="1"/>
  <c r="AY161" i="6"/>
  <c r="D172" i="1" s="1"/>
  <c r="AX161" i="6"/>
  <c r="AW161" i="6"/>
  <c r="BQ161" i="6" s="1"/>
  <c r="BP160" i="6"/>
  <c r="L171" i="1" s="1"/>
  <c r="BO160" i="6"/>
  <c r="K171" i="1" s="1"/>
  <c r="BN160" i="6"/>
  <c r="J171" i="1" s="1"/>
  <c r="BG160" i="6"/>
  <c r="BF160" i="6"/>
  <c r="BE160" i="6"/>
  <c r="BD160" i="6"/>
  <c r="BC160" i="6"/>
  <c r="BB160" i="6"/>
  <c r="G171" i="1" s="1"/>
  <c r="BA160" i="6"/>
  <c r="F171" i="1" s="1"/>
  <c r="AZ160" i="6"/>
  <c r="E171" i="1" s="1"/>
  <c r="AY160" i="6"/>
  <c r="D171" i="1" s="1"/>
  <c r="AX160" i="6"/>
  <c r="C171" i="1" s="1"/>
  <c r="AW160" i="6"/>
  <c r="BP159" i="6"/>
  <c r="L170" i="1" s="1"/>
  <c r="BO159" i="6"/>
  <c r="K170" i="1" s="1"/>
  <c r="BN159" i="6"/>
  <c r="J170" i="1" s="1"/>
  <c r="BG159" i="6"/>
  <c r="BF159" i="6"/>
  <c r="BE159" i="6"/>
  <c r="BD159" i="6"/>
  <c r="BC159" i="6"/>
  <c r="BB159" i="6"/>
  <c r="G170" i="1" s="1"/>
  <c r="BA159" i="6"/>
  <c r="F170" i="1" s="1"/>
  <c r="AZ159" i="6"/>
  <c r="E170" i="1" s="1"/>
  <c r="AY159" i="6"/>
  <c r="D170" i="1" s="1"/>
  <c r="AX159" i="6"/>
  <c r="C170" i="1" s="1"/>
  <c r="AW159" i="6"/>
  <c r="BP158" i="6"/>
  <c r="L169" i="1" s="1"/>
  <c r="BO158" i="6"/>
  <c r="K169" i="1" s="1"/>
  <c r="BN158" i="6"/>
  <c r="J169" i="1" s="1"/>
  <c r="BG158" i="6"/>
  <c r="BF158" i="6"/>
  <c r="BE158" i="6"/>
  <c r="BD158" i="6"/>
  <c r="BC158" i="6"/>
  <c r="BB158" i="6"/>
  <c r="G169" i="1" s="1"/>
  <c r="BA158" i="6"/>
  <c r="F169" i="1" s="1"/>
  <c r="AZ158" i="6"/>
  <c r="E169" i="1" s="1"/>
  <c r="AY158" i="6"/>
  <c r="D169" i="1" s="1"/>
  <c r="AX158" i="6"/>
  <c r="C169" i="1" s="1"/>
  <c r="AW158" i="6"/>
  <c r="BP157" i="6"/>
  <c r="L168" i="1" s="1"/>
  <c r="BO157" i="6"/>
  <c r="K168" i="1" s="1"/>
  <c r="BN157" i="6"/>
  <c r="J168" i="1" s="1"/>
  <c r="BG157" i="6"/>
  <c r="BF157" i="6"/>
  <c r="BE157" i="6"/>
  <c r="BD157" i="6"/>
  <c r="BC157" i="6"/>
  <c r="BB157" i="6"/>
  <c r="G168" i="1" s="1"/>
  <c r="BA157" i="6"/>
  <c r="F168" i="1" s="1"/>
  <c r="AZ157" i="6"/>
  <c r="E168" i="1" s="1"/>
  <c r="AY157" i="6"/>
  <c r="D168" i="1" s="1"/>
  <c r="AX157" i="6"/>
  <c r="C168" i="1" s="1"/>
  <c r="AW157" i="6"/>
  <c r="BP156" i="6"/>
  <c r="L167" i="1" s="1"/>
  <c r="BO156" i="6"/>
  <c r="K167" i="1" s="1"/>
  <c r="BN156" i="6"/>
  <c r="J167" i="1" s="1"/>
  <c r="BG156" i="6"/>
  <c r="BF156" i="6"/>
  <c r="BE156" i="6"/>
  <c r="BD156" i="6"/>
  <c r="BC156" i="6"/>
  <c r="BB156" i="6"/>
  <c r="G167" i="1" s="1"/>
  <c r="BA156" i="6"/>
  <c r="F167" i="1" s="1"/>
  <c r="AZ156" i="6"/>
  <c r="E167" i="1" s="1"/>
  <c r="AY156" i="6"/>
  <c r="D167" i="1" s="1"/>
  <c r="AX156" i="6"/>
  <c r="C167" i="1" s="1"/>
  <c r="AW156" i="6"/>
  <c r="BP155" i="6"/>
  <c r="L166" i="1" s="1"/>
  <c r="BO155" i="6"/>
  <c r="K166" i="1" s="1"/>
  <c r="BN155" i="6"/>
  <c r="J166" i="1" s="1"/>
  <c r="BG155" i="6"/>
  <c r="BF155" i="6"/>
  <c r="BE155" i="6"/>
  <c r="BD155" i="6"/>
  <c r="BC155" i="6"/>
  <c r="BB155" i="6"/>
  <c r="G166" i="1" s="1"/>
  <c r="BA155" i="6"/>
  <c r="F166" i="1" s="1"/>
  <c r="AZ155" i="6"/>
  <c r="E166" i="1" s="1"/>
  <c r="AX155" i="6"/>
  <c r="C166" i="1" s="1"/>
  <c r="AW155" i="6"/>
  <c r="BA154" i="6"/>
  <c r="BP153" i="6"/>
  <c r="L164" i="1" s="1"/>
  <c r="BO153" i="6"/>
  <c r="K164" i="1" s="1"/>
  <c r="BN153" i="6"/>
  <c r="J164" i="1" s="1"/>
  <c r="BG153" i="6"/>
  <c r="BF153" i="6"/>
  <c r="BE153" i="6"/>
  <c r="BD153" i="6"/>
  <c r="BC153" i="6"/>
  <c r="BB153" i="6"/>
  <c r="G164" i="1" s="1"/>
  <c r="BA153" i="6"/>
  <c r="F164" i="1" s="1"/>
  <c r="AZ153" i="6"/>
  <c r="E164" i="1" s="1"/>
  <c r="AY153" i="6"/>
  <c r="AX153" i="6"/>
  <c r="AW153" i="6"/>
  <c r="BP152" i="6"/>
  <c r="L163" i="1" s="1"/>
  <c r="BO152" i="6"/>
  <c r="K163" i="1" s="1"/>
  <c r="BN152" i="6"/>
  <c r="J163" i="1" s="1"/>
  <c r="BG152" i="6"/>
  <c r="BF152" i="6"/>
  <c r="BE152" i="6"/>
  <c r="BD152" i="6"/>
  <c r="BC152" i="6"/>
  <c r="BB152" i="6"/>
  <c r="G163" i="1" s="1"/>
  <c r="BA152" i="6"/>
  <c r="F163" i="1" s="1"/>
  <c r="AZ152" i="6"/>
  <c r="E163" i="1" s="1"/>
  <c r="AY152" i="6"/>
  <c r="AX152" i="6"/>
  <c r="AW152" i="6"/>
  <c r="BP151" i="6"/>
  <c r="BO151" i="6"/>
  <c r="BN151" i="6"/>
  <c r="BG151" i="6"/>
  <c r="BF151" i="6"/>
  <c r="BE151" i="6"/>
  <c r="BD151" i="6"/>
  <c r="BC151" i="6"/>
  <c r="BB151" i="6"/>
  <c r="BA151" i="6"/>
  <c r="AZ151" i="6"/>
  <c r="AY151" i="6"/>
  <c r="AX151" i="6"/>
  <c r="AW151" i="6"/>
  <c r="AY150" i="6"/>
  <c r="AX150" i="6"/>
  <c r="AW150" i="6"/>
  <c r="BP145" i="6"/>
  <c r="L154" i="1" s="1"/>
  <c r="BO145" i="6"/>
  <c r="K154" i="1" s="1"/>
  <c r="BN145" i="6"/>
  <c r="J154" i="1" s="1"/>
  <c r="BM145" i="6"/>
  <c r="BL145" i="6"/>
  <c r="BK145" i="6"/>
  <c r="BJ145" i="6"/>
  <c r="BI145" i="6"/>
  <c r="BH145" i="6"/>
  <c r="H154" i="1" s="1"/>
  <c r="BG145" i="6"/>
  <c r="BF145" i="6"/>
  <c r="BE145" i="6"/>
  <c r="BD145" i="6"/>
  <c r="BC145" i="6"/>
  <c r="BB145" i="6"/>
  <c r="G154" i="1" s="1"/>
  <c r="BA145" i="6"/>
  <c r="F154" i="1" s="1"/>
  <c r="AZ145" i="6"/>
  <c r="E154" i="1" s="1"/>
  <c r="AY145" i="6"/>
  <c r="D154" i="1" s="1"/>
  <c r="AX145" i="6"/>
  <c r="C154" i="1" s="1"/>
  <c r="AW145" i="6"/>
  <c r="BP144" i="6"/>
  <c r="L153" i="1" s="1"/>
  <c r="BO144" i="6"/>
  <c r="K153" i="1" s="1"/>
  <c r="BN144" i="6"/>
  <c r="J153" i="1" s="1"/>
  <c r="BM144" i="6"/>
  <c r="BL144" i="6"/>
  <c r="BK144" i="6"/>
  <c r="BJ144" i="6"/>
  <c r="BI144" i="6"/>
  <c r="BH144" i="6"/>
  <c r="H153" i="1" s="1"/>
  <c r="BG144" i="6"/>
  <c r="BF144" i="6"/>
  <c r="BE144" i="6"/>
  <c r="BD144" i="6"/>
  <c r="BC144" i="6"/>
  <c r="BB144" i="6"/>
  <c r="G153" i="1" s="1"/>
  <c r="BA144" i="6"/>
  <c r="F153" i="1" s="1"/>
  <c r="AZ144" i="6"/>
  <c r="E153" i="1" s="1"/>
  <c r="AY144" i="6"/>
  <c r="D153" i="1" s="1"/>
  <c r="AX144" i="6"/>
  <c r="C153" i="1" s="1"/>
  <c r="AW144" i="6"/>
  <c r="BP143" i="6"/>
  <c r="L152" i="1" s="1"/>
  <c r="BO143" i="6"/>
  <c r="K152" i="1" s="1"/>
  <c r="BN143" i="6"/>
  <c r="J152" i="1" s="1"/>
  <c r="BM143" i="6"/>
  <c r="BL143" i="6"/>
  <c r="BK143" i="6"/>
  <c r="BJ143" i="6"/>
  <c r="BI143" i="6"/>
  <c r="BH143" i="6"/>
  <c r="H152" i="1" s="1"/>
  <c r="BE143" i="6"/>
  <c r="BD143" i="6"/>
  <c r="BC143" i="6"/>
  <c r="BB143" i="6"/>
  <c r="G152" i="1" s="1"/>
  <c r="BA143" i="6"/>
  <c r="F152" i="1" s="1"/>
  <c r="AZ143" i="6"/>
  <c r="E152" i="1" s="1"/>
  <c r="AY143" i="6"/>
  <c r="D152" i="1" s="1"/>
  <c r="AX143" i="6"/>
  <c r="C152" i="1" s="1"/>
  <c r="AW143" i="6"/>
  <c r="BP142" i="6"/>
  <c r="L151" i="1" s="1"/>
  <c r="BO142" i="6"/>
  <c r="K151" i="1" s="1"/>
  <c r="BN142" i="6"/>
  <c r="J151" i="1" s="1"/>
  <c r="BM142" i="6"/>
  <c r="BL142" i="6"/>
  <c r="BK142" i="6"/>
  <c r="BJ142" i="6"/>
  <c r="BI142" i="6"/>
  <c r="BH142" i="6"/>
  <c r="H151" i="1" s="1"/>
  <c r="BA142" i="6"/>
  <c r="F151" i="1" s="1"/>
  <c r="AZ142" i="6"/>
  <c r="E151" i="1" s="1"/>
  <c r="AY142" i="6"/>
  <c r="D151" i="1" s="1"/>
  <c r="AX142" i="6"/>
  <c r="C151" i="1" s="1"/>
  <c r="AW142" i="6"/>
  <c r="BP141" i="6"/>
  <c r="L150" i="1" s="1"/>
  <c r="BO141" i="6"/>
  <c r="K150" i="1" s="1"/>
  <c r="BN141" i="6"/>
  <c r="J150" i="1" s="1"/>
  <c r="BM141" i="6"/>
  <c r="BL141" i="6"/>
  <c r="BK141" i="6"/>
  <c r="BJ141" i="6"/>
  <c r="BI141" i="6"/>
  <c r="BH141" i="6"/>
  <c r="H150" i="1" s="1"/>
  <c r="BA141" i="6"/>
  <c r="F150" i="1" s="1"/>
  <c r="AZ141" i="6"/>
  <c r="E150" i="1" s="1"/>
  <c r="AY141" i="6"/>
  <c r="D150" i="1" s="1"/>
  <c r="AX141" i="6"/>
  <c r="C150" i="1" s="1"/>
  <c r="AW141" i="6"/>
  <c r="BP140" i="6"/>
  <c r="L149" i="1" s="1"/>
  <c r="BO140" i="6"/>
  <c r="K149" i="1" s="1"/>
  <c r="BN140" i="6"/>
  <c r="J149" i="1" s="1"/>
  <c r="BM140" i="6"/>
  <c r="BL140" i="6"/>
  <c r="BK140" i="6"/>
  <c r="BJ140" i="6"/>
  <c r="BI140" i="6"/>
  <c r="BH140" i="6"/>
  <c r="H149" i="1" s="1"/>
  <c r="BA140" i="6"/>
  <c r="F149" i="1" s="1"/>
  <c r="AZ140" i="6"/>
  <c r="E149" i="1" s="1"/>
  <c r="AY140" i="6"/>
  <c r="D149" i="1" s="1"/>
  <c r="AX140" i="6"/>
  <c r="C149" i="1" s="1"/>
  <c r="AW140" i="6"/>
  <c r="BP139" i="6"/>
  <c r="L148" i="1" s="1"/>
  <c r="BO139" i="6"/>
  <c r="K148" i="1" s="1"/>
  <c r="BN139" i="6"/>
  <c r="J148" i="1" s="1"/>
  <c r="BM139" i="6"/>
  <c r="BL139" i="6"/>
  <c r="BK139" i="6"/>
  <c r="BJ139" i="6"/>
  <c r="BI139" i="6"/>
  <c r="BH139" i="6"/>
  <c r="H148" i="1" s="1"/>
  <c r="BA139" i="6"/>
  <c r="F148" i="1" s="1"/>
  <c r="AZ139" i="6"/>
  <c r="E148" i="1" s="1"/>
  <c r="AY139" i="6"/>
  <c r="D148" i="1" s="1"/>
  <c r="AX139" i="6"/>
  <c r="C148" i="1" s="1"/>
  <c r="AW139" i="6"/>
  <c r="BP138" i="6"/>
  <c r="L147" i="1" s="1"/>
  <c r="BO138" i="6"/>
  <c r="K147" i="1" s="1"/>
  <c r="BN138" i="6"/>
  <c r="J147" i="1" s="1"/>
  <c r="BM138" i="6"/>
  <c r="BL138" i="6"/>
  <c r="BK138" i="6"/>
  <c r="BJ138" i="6"/>
  <c r="BI138" i="6"/>
  <c r="BH138" i="6"/>
  <c r="H147" i="1" s="1"/>
  <c r="BA138" i="6"/>
  <c r="F147" i="1" s="1"/>
  <c r="AZ138" i="6"/>
  <c r="E147" i="1" s="1"/>
  <c r="AY138" i="6"/>
  <c r="D147" i="1" s="1"/>
  <c r="AX138" i="6"/>
  <c r="C147" i="1" s="1"/>
  <c r="AW138" i="6"/>
  <c r="BP137" i="6"/>
  <c r="L146" i="1" s="1"/>
  <c r="BO137" i="6"/>
  <c r="K146" i="1" s="1"/>
  <c r="BN137" i="6"/>
  <c r="J146" i="1" s="1"/>
  <c r="BM137" i="6"/>
  <c r="BL137" i="6"/>
  <c r="BK137" i="6"/>
  <c r="BJ137" i="6"/>
  <c r="BI137" i="6"/>
  <c r="BH137" i="6"/>
  <c r="BA137" i="6"/>
  <c r="F146" i="1" s="1"/>
  <c r="AZ137" i="6"/>
  <c r="E146" i="1" s="1"/>
  <c r="AY137" i="6"/>
  <c r="D146" i="1" s="1"/>
  <c r="AX137" i="6"/>
  <c r="C146" i="1" s="1"/>
  <c r="AW137" i="6"/>
  <c r="BP136" i="6"/>
  <c r="L145" i="1" s="1"/>
  <c r="BO136" i="6"/>
  <c r="K145" i="1" s="1"/>
  <c r="BN136" i="6"/>
  <c r="J145" i="1" s="1"/>
  <c r="BG136" i="6"/>
  <c r="BF136" i="6"/>
  <c r="BE136" i="6"/>
  <c r="BD136" i="6"/>
  <c r="BC136" i="6"/>
  <c r="BB136" i="6"/>
  <c r="G145" i="1" s="1"/>
  <c r="BA136" i="6"/>
  <c r="F145" i="1" s="1"/>
  <c r="AZ136" i="6"/>
  <c r="E145" i="1" s="1"/>
  <c r="AY136" i="6"/>
  <c r="D145" i="1" s="1"/>
  <c r="AX136" i="6"/>
  <c r="C145" i="1" s="1"/>
  <c r="AW136" i="6"/>
  <c r="BP135" i="6"/>
  <c r="L144" i="1" s="1"/>
  <c r="BO135" i="6"/>
  <c r="K144" i="1" s="1"/>
  <c r="BN135" i="6"/>
  <c r="J144" i="1" s="1"/>
  <c r="BG135" i="6"/>
  <c r="BF135" i="6"/>
  <c r="BE135" i="6"/>
  <c r="BD135" i="6"/>
  <c r="BC135" i="6"/>
  <c r="BB135" i="6"/>
  <c r="G144" i="1" s="1"/>
  <c r="BA135" i="6"/>
  <c r="F144" i="1" s="1"/>
  <c r="AZ135" i="6"/>
  <c r="E144" i="1" s="1"/>
  <c r="AY135" i="6"/>
  <c r="D144" i="1" s="1"/>
  <c r="AX135" i="6"/>
  <c r="C144" i="1" s="1"/>
  <c r="AW135" i="6"/>
  <c r="BP134" i="6"/>
  <c r="L143" i="1" s="1"/>
  <c r="BO134" i="6"/>
  <c r="K143" i="1" s="1"/>
  <c r="BN134" i="6"/>
  <c r="J143" i="1" s="1"/>
  <c r="BG134" i="6"/>
  <c r="BF134" i="6"/>
  <c r="BE134" i="6"/>
  <c r="BD134" i="6"/>
  <c r="BC134" i="6"/>
  <c r="BB134" i="6"/>
  <c r="G143" i="1" s="1"/>
  <c r="BA134" i="6"/>
  <c r="F143" i="1" s="1"/>
  <c r="AZ134" i="6"/>
  <c r="E143" i="1" s="1"/>
  <c r="AY134" i="6"/>
  <c r="D143" i="1" s="1"/>
  <c r="AX134" i="6"/>
  <c r="C143" i="1" s="1"/>
  <c r="AW134" i="6"/>
  <c r="BP133" i="6"/>
  <c r="L142" i="1" s="1"/>
  <c r="BO133" i="6"/>
  <c r="K142" i="1" s="1"/>
  <c r="BN133" i="6"/>
  <c r="J142" i="1" s="1"/>
  <c r="BG133" i="6"/>
  <c r="BF133" i="6"/>
  <c r="BE133" i="6"/>
  <c r="BD133" i="6"/>
  <c r="BC133" i="6"/>
  <c r="BB133" i="6"/>
  <c r="G142" i="1" s="1"/>
  <c r="BA133" i="6"/>
  <c r="F142" i="1" s="1"/>
  <c r="AZ133" i="6"/>
  <c r="E142" i="1" s="1"/>
  <c r="AY133" i="6"/>
  <c r="D142" i="1" s="1"/>
  <c r="AX133" i="6"/>
  <c r="C142" i="1" s="1"/>
  <c r="AW133" i="6"/>
  <c r="BP132" i="6"/>
  <c r="L141" i="1" s="1"/>
  <c r="BO132" i="6"/>
  <c r="K141" i="1" s="1"/>
  <c r="BN132" i="6"/>
  <c r="J141" i="1" s="1"/>
  <c r="BG132" i="6"/>
  <c r="BF132" i="6"/>
  <c r="BE132" i="6"/>
  <c r="BD132" i="6"/>
  <c r="BC132" i="6"/>
  <c r="BB132" i="6"/>
  <c r="G141" i="1" s="1"/>
  <c r="BA132" i="6"/>
  <c r="F141" i="1" s="1"/>
  <c r="AZ132" i="6"/>
  <c r="E141" i="1" s="1"/>
  <c r="AY132" i="6"/>
  <c r="D141" i="1" s="1"/>
  <c r="AX132" i="6"/>
  <c r="C141" i="1" s="1"/>
  <c r="AW132" i="6"/>
  <c r="BP131" i="6"/>
  <c r="L140" i="1" s="1"/>
  <c r="BO131" i="6"/>
  <c r="K140" i="1" s="1"/>
  <c r="BN131" i="6"/>
  <c r="J140" i="1" s="1"/>
  <c r="BG131" i="6"/>
  <c r="BF131" i="6"/>
  <c r="BE131" i="6"/>
  <c r="BD131" i="6"/>
  <c r="BC131" i="6"/>
  <c r="BB131" i="6"/>
  <c r="G140" i="1" s="1"/>
  <c r="BA131" i="6"/>
  <c r="F140" i="1" s="1"/>
  <c r="AZ131" i="6"/>
  <c r="E140" i="1" s="1"/>
  <c r="AX131" i="6"/>
  <c r="C140" i="1" s="1"/>
  <c r="AW131" i="6"/>
  <c r="BA130" i="6"/>
  <c r="BP129" i="6"/>
  <c r="L138" i="1" s="1"/>
  <c r="BO129" i="6"/>
  <c r="K138" i="1" s="1"/>
  <c r="BN129" i="6"/>
  <c r="J138" i="1" s="1"/>
  <c r="BG129" i="6"/>
  <c r="BF129" i="6"/>
  <c r="BE129" i="6"/>
  <c r="BD129" i="6"/>
  <c r="BC129" i="6"/>
  <c r="BB129" i="6"/>
  <c r="G138" i="1" s="1"/>
  <c r="BA129" i="6"/>
  <c r="F138" i="1" s="1"/>
  <c r="AZ129" i="6"/>
  <c r="E138" i="1" s="1"/>
  <c r="AY129" i="6"/>
  <c r="D138" i="1" s="1"/>
  <c r="AX129" i="6"/>
  <c r="C138" i="1" s="1"/>
  <c r="AW129" i="6"/>
  <c r="BP128" i="6"/>
  <c r="L137" i="1" s="1"/>
  <c r="BO128" i="6"/>
  <c r="K137" i="1" s="1"/>
  <c r="BN128" i="6"/>
  <c r="J137" i="1" s="1"/>
  <c r="BG128" i="6"/>
  <c r="BF128" i="6"/>
  <c r="BE128" i="6"/>
  <c r="BD128" i="6"/>
  <c r="BC128" i="6"/>
  <c r="BB128" i="6"/>
  <c r="G137" i="1" s="1"/>
  <c r="BA128" i="6"/>
  <c r="F137" i="1" s="1"/>
  <c r="AZ128" i="6"/>
  <c r="E137" i="1" s="1"/>
  <c r="AY128" i="6"/>
  <c r="D137" i="1" s="1"/>
  <c r="AX128" i="6"/>
  <c r="C137" i="1" s="1"/>
  <c r="AW128" i="6"/>
  <c r="BP127" i="6"/>
  <c r="BO127" i="6"/>
  <c r="BN127" i="6"/>
  <c r="BG127" i="6"/>
  <c r="BF127" i="6"/>
  <c r="BE127" i="6"/>
  <c r="BD127" i="6"/>
  <c r="BC127" i="6"/>
  <c r="BB127" i="6"/>
  <c r="BA127" i="6"/>
  <c r="AZ127" i="6"/>
  <c r="AY127" i="6"/>
  <c r="D136" i="1" s="1"/>
  <c r="AX127" i="6"/>
  <c r="C136" i="1" s="1"/>
  <c r="AW127" i="6"/>
  <c r="AY126" i="6"/>
  <c r="AX126" i="6"/>
  <c r="AW126" i="6"/>
  <c r="BP121" i="6"/>
  <c r="BO121" i="6"/>
  <c r="BN121" i="6"/>
  <c r="BM121" i="6"/>
  <c r="BL121" i="6"/>
  <c r="BK121" i="6"/>
  <c r="BJ121" i="6"/>
  <c r="BI121" i="6"/>
  <c r="BH121" i="6"/>
  <c r="BG121" i="6"/>
  <c r="BF121" i="6"/>
  <c r="BE121" i="6"/>
  <c r="BD121" i="6"/>
  <c r="BC121" i="6"/>
  <c r="BB121" i="6"/>
  <c r="BA121" i="6"/>
  <c r="AZ121" i="6"/>
  <c r="AY121" i="6"/>
  <c r="AX121" i="6"/>
  <c r="AW121" i="6"/>
  <c r="BP120" i="6"/>
  <c r="BO120" i="6"/>
  <c r="BN120" i="6"/>
  <c r="BM120" i="6"/>
  <c r="BL120" i="6"/>
  <c r="BK120" i="6"/>
  <c r="BJ120" i="6"/>
  <c r="BI120" i="6"/>
  <c r="BH120" i="6"/>
  <c r="BG120" i="6"/>
  <c r="BF120" i="6"/>
  <c r="BE120" i="6"/>
  <c r="BD120" i="6"/>
  <c r="BC120" i="6"/>
  <c r="BB120" i="6"/>
  <c r="BA120" i="6"/>
  <c r="AZ120" i="6"/>
  <c r="AY120" i="6"/>
  <c r="AX120" i="6"/>
  <c r="AW120" i="6"/>
  <c r="BP119" i="6"/>
  <c r="BO119" i="6"/>
  <c r="BN119" i="6"/>
  <c r="BM119" i="6"/>
  <c r="BL119" i="6"/>
  <c r="BK119" i="6"/>
  <c r="BJ119" i="6"/>
  <c r="BI119" i="6"/>
  <c r="BH119" i="6"/>
  <c r="BE119" i="6"/>
  <c r="BD119" i="6"/>
  <c r="BC119" i="6"/>
  <c r="BB119" i="6"/>
  <c r="BA119" i="6"/>
  <c r="AZ119" i="6"/>
  <c r="AY119" i="6"/>
  <c r="AX119" i="6"/>
  <c r="AW119" i="6"/>
  <c r="BP118" i="6"/>
  <c r="BO118" i="6"/>
  <c r="BN118" i="6"/>
  <c r="BM118" i="6"/>
  <c r="BL118" i="6"/>
  <c r="BK118" i="6"/>
  <c r="BJ118" i="6"/>
  <c r="BI118" i="6"/>
  <c r="BH118" i="6"/>
  <c r="BA118" i="6"/>
  <c r="AZ118" i="6"/>
  <c r="AY118" i="6"/>
  <c r="AX118" i="6"/>
  <c r="AW118" i="6"/>
  <c r="BP117" i="6"/>
  <c r="BO117" i="6"/>
  <c r="BN117" i="6"/>
  <c r="BM117" i="6"/>
  <c r="BL117" i="6"/>
  <c r="BK117" i="6"/>
  <c r="BJ117" i="6"/>
  <c r="BI117" i="6"/>
  <c r="BH117" i="6"/>
  <c r="BA117" i="6"/>
  <c r="AZ117" i="6"/>
  <c r="AY117" i="6"/>
  <c r="AX117" i="6"/>
  <c r="AW117" i="6"/>
  <c r="BP116" i="6"/>
  <c r="BO116" i="6"/>
  <c r="BN116" i="6"/>
  <c r="BM116" i="6"/>
  <c r="BL116" i="6"/>
  <c r="BK116" i="6"/>
  <c r="BJ116" i="6"/>
  <c r="BI116" i="6"/>
  <c r="BH116" i="6"/>
  <c r="BA116" i="6"/>
  <c r="AZ116" i="6"/>
  <c r="AY116" i="6"/>
  <c r="AX116" i="6"/>
  <c r="AW116" i="6"/>
  <c r="BP115" i="6"/>
  <c r="BO115" i="6"/>
  <c r="BN115" i="6"/>
  <c r="BM115" i="6"/>
  <c r="BL115" i="6"/>
  <c r="BK115" i="6"/>
  <c r="BJ115" i="6"/>
  <c r="BI115" i="6"/>
  <c r="BH115" i="6"/>
  <c r="BA115" i="6"/>
  <c r="AZ115" i="6"/>
  <c r="AY115" i="6"/>
  <c r="AX115" i="6"/>
  <c r="AW115" i="6"/>
  <c r="BP114" i="6"/>
  <c r="BO114" i="6"/>
  <c r="BN114" i="6"/>
  <c r="BM114" i="6"/>
  <c r="BL114" i="6"/>
  <c r="BK114" i="6"/>
  <c r="BJ114" i="6"/>
  <c r="BI114" i="6"/>
  <c r="BH114" i="6"/>
  <c r="BA114" i="6"/>
  <c r="AZ114" i="6"/>
  <c r="AY114" i="6"/>
  <c r="AX114" i="6"/>
  <c r="AW114" i="6"/>
  <c r="BP113" i="6"/>
  <c r="BO113" i="6"/>
  <c r="BN113" i="6"/>
  <c r="BM113" i="6"/>
  <c r="BL113" i="6"/>
  <c r="BK113" i="6"/>
  <c r="BJ113" i="6"/>
  <c r="BI113" i="6"/>
  <c r="BH113" i="6"/>
  <c r="BA113" i="6"/>
  <c r="AZ113" i="6"/>
  <c r="AY113" i="6"/>
  <c r="AX113" i="6"/>
  <c r="AW113" i="6"/>
  <c r="BP112" i="6"/>
  <c r="BO112" i="6"/>
  <c r="BN112" i="6"/>
  <c r="BG112" i="6"/>
  <c r="BF112" i="6"/>
  <c r="BE112" i="6"/>
  <c r="BD112" i="6"/>
  <c r="BC112" i="6"/>
  <c r="BB112" i="6"/>
  <c r="G119" i="1" s="1"/>
  <c r="BA112" i="6"/>
  <c r="AZ112" i="6"/>
  <c r="AY112" i="6"/>
  <c r="AX112" i="6"/>
  <c r="AW112" i="6"/>
  <c r="BP111" i="6"/>
  <c r="BO111" i="6"/>
  <c r="BN111" i="6"/>
  <c r="BG111" i="6"/>
  <c r="BF111" i="6"/>
  <c r="BE111" i="6"/>
  <c r="BD111" i="6"/>
  <c r="BC111" i="6"/>
  <c r="BB111" i="6"/>
  <c r="G118" i="1" s="1"/>
  <c r="BA111" i="6"/>
  <c r="AZ111" i="6"/>
  <c r="AY111" i="6"/>
  <c r="AX111" i="6"/>
  <c r="AW111" i="6"/>
  <c r="BP110" i="6"/>
  <c r="BO110" i="6"/>
  <c r="BN110" i="6"/>
  <c r="BG110" i="6"/>
  <c r="BF110" i="6"/>
  <c r="BE110" i="6"/>
  <c r="BD110" i="6"/>
  <c r="BC110" i="6"/>
  <c r="BB110" i="6"/>
  <c r="G117" i="1" s="1"/>
  <c r="BA110" i="6"/>
  <c r="AZ110" i="6"/>
  <c r="AY110" i="6"/>
  <c r="AX110" i="6"/>
  <c r="AW110" i="6"/>
  <c r="BP109" i="6"/>
  <c r="BO109" i="6"/>
  <c r="BN109" i="6"/>
  <c r="BG109" i="6"/>
  <c r="BF109" i="6"/>
  <c r="BE109" i="6"/>
  <c r="BD109" i="6"/>
  <c r="BC109" i="6"/>
  <c r="BB109" i="6"/>
  <c r="G116" i="1" s="1"/>
  <c r="BA109" i="6"/>
  <c r="AZ109" i="6"/>
  <c r="AY109" i="6"/>
  <c r="AX109" i="6"/>
  <c r="AW109" i="6"/>
  <c r="BP108" i="6"/>
  <c r="BO108" i="6"/>
  <c r="BN108" i="6"/>
  <c r="BG108" i="6"/>
  <c r="BF108" i="6"/>
  <c r="BE108" i="6"/>
  <c r="BD108" i="6"/>
  <c r="BC108" i="6"/>
  <c r="BB108" i="6"/>
  <c r="G115" i="1" s="1"/>
  <c r="BA108" i="6"/>
  <c r="AZ108" i="6"/>
  <c r="AY108" i="6"/>
  <c r="AX108" i="6"/>
  <c r="AW108" i="6"/>
  <c r="BP107" i="6"/>
  <c r="BO107" i="6"/>
  <c r="BN107" i="6"/>
  <c r="BG107" i="6"/>
  <c r="BF107" i="6"/>
  <c r="BE107" i="6"/>
  <c r="BD107" i="6"/>
  <c r="BC107" i="6"/>
  <c r="BB107" i="6"/>
  <c r="G114" i="1" s="1"/>
  <c r="BA107" i="6"/>
  <c r="AZ107" i="6"/>
  <c r="AX107" i="6"/>
  <c r="AW107" i="6"/>
  <c r="BA106" i="6"/>
  <c r="BP105" i="6"/>
  <c r="L112" i="1" s="1"/>
  <c r="BO105" i="6"/>
  <c r="BN105" i="6"/>
  <c r="BG105" i="6"/>
  <c r="BF105" i="6"/>
  <c r="BE105" i="6"/>
  <c r="BD105" i="6"/>
  <c r="BC105" i="6"/>
  <c r="BB105" i="6"/>
  <c r="G112" i="1" s="1"/>
  <c r="BA105" i="6"/>
  <c r="AZ105" i="6"/>
  <c r="AY105" i="6"/>
  <c r="AX105" i="6"/>
  <c r="AW105" i="6"/>
  <c r="BP104" i="6"/>
  <c r="L111" i="1" s="1"/>
  <c r="BO104" i="6"/>
  <c r="BN104" i="6"/>
  <c r="BG104" i="6"/>
  <c r="BF104" i="6"/>
  <c r="BE104" i="6"/>
  <c r="BD104" i="6"/>
  <c r="BC104" i="6"/>
  <c r="BB104" i="6"/>
  <c r="G111" i="1" s="1"/>
  <c r="BA104" i="6"/>
  <c r="AZ104" i="6"/>
  <c r="AY104" i="6"/>
  <c r="AX104" i="6"/>
  <c r="AW104" i="6"/>
  <c r="BP103" i="6"/>
  <c r="L110" i="1" s="1"/>
  <c r="BO103" i="6"/>
  <c r="BN103" i="6"/>
  <c r="BG103" i="6"/>
  <c r="BF103" i="6"/>
  <c r="BE103" i="6"/>
  <c r="BD103" i="6"/>
  <c r="BC103" i="6"/>
  <c r="BB103" i="6"/>
  <c r="BA103" i="6"/>
  <c r="AZ103" i="6"/>
  <c r="AY103" i="6"/>
  <c r="AX103" i="6"/>
  <c r="AW103" i="6"/>
  <c r="AY102" i="6"/>
  <c r="AX102" i="6"/>
  <c r="AW102" i="6"/>
  <c r="BP97" i="6"/>
  <c r="BO97" i="6"/>
  <c r="BN97" i="6"/>
  <c r="BM97" i="6"/>
  <c r="BL97" i="6"/>
  <c r="BK97" i="6"/>
  <c r="BJ97" i="6"/>
  <c r="BI97" i="6"/>
  <c r="BH97" i="6"/>
  <c r="BG97" i="6"/>
  <c r="BF97" i="6"/>
  <c r="BE97" i="6"/>
  <c r="BD97" i="6"/>
  <c r="BC97" i="6"/>
  <c r="BB97" i="6"/>
  <c r="BA97" i="6"/>
  <c r="AZ97" i="6"/>
  <c r="AY97" i="6"/>
  <c r="AX97" i="6"/>
  <c r="AW97" i="6"/>
  <c r="BP96" i="6"/>
  <c r="BO96" i="6"/>
  <c r="BN96" i="6"/>
  <c r="BM96" i="6"/>
  <c r="BL96" i="6"/>
  <c r="BK96" i="6"/>
  <c r="BJ96" i="6"/>
  <c r="BI96" i="6"/>
  <c r="BH96" i="6"/>
  <c r="BG96" i="6"/>
  <c r="BF96" i="6"/>
  <c r="BE96" i="6"/>
  <c r="BD96" i="6"/>
  <c r="BC96" i="6"/>
  <c r="BB96" i="6"/>
  <c r="BA96" i="6"/>
  <c r="AZ96" i="6"/>
  <c r="AY96" i="6"/>
  <c r="AX96" i="6"/>
  <c r="AW96" i="6"/>
  <c r="BP95" i="6"/>
  <c r="L100" i="1" s="1"/>
  <c r="BO95" i="6"/>
  <c r="BN95" i="6"/>
  <c r="BM95" i="6"/>
  <c r="BL95" i="6"/>
  <c r="BK95" i="6"/>
  <c r="BJ95" i="6"/>
  <c r="BI95" i="6"/>
  <c r="BH95" i="6"/>
  <c r="BE95" i="6"/>
  <c r="BD95" i="6"/>
  <c r="BC95" i="6"/>
  <c r="BB95" i="6"/>
  <c r="BA95" i="6"/>
  <c r="AZ95" i="6"/>
  <c r="AY95" i="6"/>
  <c r="AX95" i="6"/>
  <c r="AW95" i="6"/>
  <c r="BP94" i="6"/>
  <c r="L99" i="1" s="1"/>
  <c r="BO94" i="6"/>
  <c r="BN94" i="6"/>
  <c r="BM94" i="6"/>
  <c r="BL94" i="6"/>
  <c r="BK94" i="6"/>
  <c r="BJ94" i="6"/>
  <c r="BI94" i="6"/>
  <c r="BH94" i="6"/>
  <c r="BA94" i="6"/>
  <c r="AZ94" i="6"/>
  <c r="AY94" i="6"/>
  <c r="AX94" i="6"/>
  <c r="AW94" i="6"/>
  <c r="BP93" i="6"/>
  <c r="L98" i="1" s="1"/>
  <c r="BO93" i="6"/>
  <c r="BN93" i="6"/>
  <c r="BM93" i="6"/>
  <c r="BL93" i="6"/>
  <c r="BK93" i="6"/>
  <c r="BJ93" i="6"/>
  <c r="BI93" i="6"/>
  <c r="BH93" i="6"/>
  <c r="BA93" i="6"/>
  <c r="AZ93" i="6"/>
  <c r="AY93" i="6"/>
  <c r="AX93" i="6"/>
  <c r="AW93" i="6"/>
  <c r="BP92" i="6"/>
  <c r="L97" i="1" s="1"/>
  <c r="BO92" i="6"/>
  <c r="BN92" i="6"/>
  <c r="BM92" i="6"/>
  <c r="BL92" i="6"/>
  <c r="BK92" i="6"/>
  <c r="BJ92" i="6"/>
  <c r="BI92" i="6"/>
  <c r="BH92" i="6"/>
  <c r="BA92" i="6"/>
  <c r="AZ92" i="6"/>
  <c r="AY92" i="6"/>
  <c r="AX92" i="6"/>
  <c r="AW92" i="6"/>
  <c r="BP91" i="6"/>
  <c r="L96" i="1" s="1"/>
  <c r="BO91" i="6"/>
  <c r="BN91" i="6"/>
  <c r="BM91" i="6"/>
  <c r="BL91" i="6"/>
  <c r="BK91" i="6"/>
  <c r="BJ91" i="6"/>
  <c r="BI91" i="6"/>
  <c r="BH91" i="6"/>
  <c r="BA91" i="6"/>
  <c r="AZ91" i="6"/>
  <c r="AY91" i="6"/>
  <c r="AX91" i="6"/>
  <c r="AW91" i="6"/>
  <c r="BP90" i="6"/>
  <c r="L95" i="1" s="1"/>
  <c r="BO90" i="6"/>
  <c r="BN90" i="6"/>
  <c r="BM90" i="6"/>
  <c r="BL90" i="6"/>
  <c r="BK90" i="6"/>
  <c r="BJ90" i="6"/>
  <c r="BI90" i="6"/>
  <c r="BH90" i="6"/>
  <c r="BA90" i="6"/>
  <c r="AZ90" i="6"/>
  <c r="AY90" i="6"/>
  <c r="AX90" i="6"/>
  <c r="AW90" i="6"/>
  <c r="BP89" i="6"/>
  <c r="L94" i="1" s="1"/>
  <c r="BO89" i="6"/>
  <c r="BN89" i="6"/>
  <c r="BM89" i="6"/>
  <c r="BL89" i="6"/>
  <c r="BK89" i="6"/>
  <c r="BJ89" i="6"/>
  <c r="BI89" i="6"/>
  <c r="BH89" i="6"/>
  <c r="BA89" i="6"/>
  <c r="AZ89" i="6"/>
  <c r="AY89" i="6"/>
  <c r="AX89" i="6"/>
  <c r="AW89" i="6"/>
  <c r="BP88" i="6"/>
  <c r="L93" i="1" s="1"/>
  <c r="BO88" i="6"/>
  <c r="BN88" i="6"/>
  <c r="BG88" i="6"/>
  <c r="BF88" i="6"/>
  <c r="BE88" i="6"/>
  <c r="BD88" i="6"/>
  <c r="BC88" i="6"/>
  <c r="BB88" i="6"/>
  <c r="BA88" i="6"/>
  <c r="AZ88" i="6"/>
  <c r="AY88" i="6"/>
  <c r="AX88" i="6"/>
  <c r="AW88" i="6"/>
  <c r="BP87" i="6"/>
  <c r="L92" i="1" s="1"/>
  <c r="BO87" i="6"/>
  <c r="BN87" i="6"/>
  <c r="BG87" i="6"/>
  <c r="BF87" i="6"/>
  <c r="BE87" i="6"/>
  <c r="BD87" i="6"/>
  <c r="BC87" i="6"/>
  <c r="BB87" i="6"/>
  <c r="BA87" i="6"/>
  <c r="AZ87" i="6"/>
  <c r="AY87" i="6"/>
  <c r="AX87" i="6"/>
  <c r="AW87" i="6"/>
  <c r="BP86" i="6"/>
  <c r="L91" i="1" s="1"/>
  <c r="BO86" i="6"/>
  <c r="K91" i="1" s="1"/>
  <c r="BN86" i="6"/>
  <c r="BG86" i="6"/>
  <c r="BF86" i="6"/>
  <c r="BE86" i="6"/>
  <c r="BD86" i="6"/>
  <c r="BC86" i="6"/>
  <c r="BB86" i="6"/>
  <c r="BA86" i="6"/>
  <c r="AZ86" i="6"/>
  <c r="AY86" i="6"/>
  <c r="AX86" i="6"/>
  <c r="AW86" i="6"/>
  <c r="BP85" i="6"/>
  <c r="L90" i="1" s="1"/>
  <c r="BO85" i="6"/>
  <c r="K90" i="1" s="1"/>
  <c r="BN85" i="6"/>
  <c r="BG85" i="6"/>
  <c r="BF85" i="6"/>
  <c r="BE85" i="6"/>
  <c r="BD85" i="6"/>
  <c r="BC85" i="6"/>
  <c r="BB85" i="6"/>
  <c r="BA85" i="6"/>
  <c r="AZ85" i="6"/>
  <c r="AY85" i="6"/>
  <c r="AX85" i="6"/>
  <c r="AW85" i="6"/>
  <c r="BP84" i="6"/>
  <c r="L89" i="1" s="1"/>
  <c r="BO84" i="6"/>
  <c r="K89" i="1" s="1"/>
  <c r="BN84" i="6"/>
  <c r="BG84" i="6"/>
  <c r="BF84" i="6"/>
  <c r="BE84" i="6"/>
  <c r="BD84" i="6"/>
  <c r="BC84" i="6"/>
  <c r="BB84" i="6"/>
  <c r="BA84" i="6"/>
  <c r="AZ84" i="6"/>
  <c r="AY84" i="6"/>
  <c r="AX84" i="6"/>
  <c r="AW84" i="6"/>
  <c r="BP83" i="6"/>
  <c r="L88" i="1" s="1"/>
  <c r="BO83" i="6"/>
  <c r="K88" i="1" s="1"/>
  <c r="BN83" i="6"/>
  <c r="J88" i="1" s="1"/>
  <c r="BG83" i="6"/>
  <c r="BF83" i="6"/>
  <c r="BE83" i="6"/>
  <c r="BD83" i="6"/>
  <c r="BC83" i="6"/>
  <c r="BB83" i="6"/>
  <c r="BA83" i="6"/>
  <c r="AZ83" i="6"/>
  <c r="AX83" i="6"/>
  <c r="AW83" i="6"/>
  <c r="BA82" i="6"/>
  <c r="BP81" i="6"/>
  <c r="L86" i="1" s="1"/>
  <c r="BO81" i="6"/>
  <c r="K86" i="1" s="1"/>
  <c r="BN81" i="6"/>
  <c r="J86" i="1" s="1"/>
  <c r="BG81" i="6"/>
  <c r="BF81" i="6"/>
  <c r="BE81" i="6"/>
  <c r="BD81" i="6"/>
  <c r="BC81" i="6"/>
  <c r="BB81" i="6"/>
  <c r="BA81" i="6"/>
  <c r="AZ81" i="6"/>
  <c r="AY81" i="6"/>
  <c r="AX81" i="6"/>
  <c r="AW81" i="6"/>
  <c r="BP80" i="6"/>
  <c r="L85" i="1" s="1"/>
  <c r="BO80" i="6"/>
  <c r="K85" i="1" s="1"/>
  <c r="BN80" i="6"/>
  <c r="J85" i="1" s="1"/>
  <c r="BG80" i="6"/>
  <c r="BF80" i="6"/>
  <c r="BE80" i="6"/>
  <c r="BD80" i="6"/>
  <c r="BC80" i="6"/>
  <c r="BB80" i="6"/>
  <c r="BA80" i="6"/>
  <c r="AZ80" i="6"/>
  <c r="AY80" i="6"/>
  <c r="AX80" i="6"/>
  <c r="AW80" i="6"/>
  <c r="BP79" i="6"/>
  <c r="L84" i="1" s="1"/>
  <c r="BO79" i="6"/>
  <c r="K84" i="1" s="1"/>
  <c r="BN79" i="6"/>
  <c r="J84" i="1" s="1"/>
  <c r="BG79" i="6"/>
  <c r="BF79" i="6"/>
  <c r="BE79" i="6"/>
  <c r="BD79" i="6"/>
  <c r="BC79" i="6"/>
  <c r="BB79" i="6"/>
  <c r="BA79" i="6"/>
  <c r="AZ79" i="6"/>
  <c r="AY79" i="6"/>
  <c r="AX79" i="6"/>
  <c r="AW79" i="6"/>
  <c r="AY78" i="6"/>
  <c r="AX78" i="6"/>
  <c r="AW78" i="6"/>
  <c r="BP73" i="6"/>
  <c r="L76" i="1" s="1"/>
  <c r="BO73" i="6"/>
  <c r="K76" i="1" s="1"/>
  <c r="BN73" i="6"/>
  <c r="J76" i="1" s="1"/>
  <c r="BM73" i="6"/>
  <c r="BL73" i="6"/>
  <c r="BK73" i="6"/>
  <c r="BJ73" i="6"/>
  <c r="BI73" i="6"/>
  <c r="BH73" i="6"/>
  <c r="H76" i="1" s="1"/>
  <c r="BG73" i="6"/>
  <c r="BF73" i="6"/>
  <c r="BE73" i="6"/>
  <c r="BD73" i="6"/>
  <c r="BC73" i="6"/>
  <c r="BB73" i="6"/>
  <c r="G76" i="1" s="1"/>
  <c r="BA73" i="6"/>
  <c r="AZ73" i="6"/>
  <c r="AY73" i="6"/>
  <c r="D76" i="1" s="1"/>
  <c r="AX73" i="6"/>
  <c r="AW73" i="6"/>
  <c r="BQ73" i="6" s="1"/>
  <c r="BP72" i="6"/>
  <c r="L75" i="1" s="1"/>
  <c r="BO72" i="6"/>
  <c r="K75" i="1" s="1"/>
  <c r="BN72" i="6"/>
  <c r="J75" i="1" s="1"/>
  <c r="BM72" i="6"/>
  <c r="BL72" i="6"/>
  <c r="BK72" i="6"/>
  <c r="BJ72" i="6"/>
  <c r="BI72" i="6"/>
  <c r="BH72" i="6"/>
  <c r="BG72" i="6"/>
  <c r="BF72" i="6"/>
  <c r="BE72" i="6"/>
  <c r="BD72" i="6"/>
  <c r="BC72" i="6"/>
  <c r="BB72" i="6"/>
  <c r="G75" i="1" s="1"/>
  <c r="BA72" i="6"/>
  <c r="F75" i="1" s="1"/>
  <c r="AZ72" i="6"/>
  <c r="AY72" i="6"/>
  <c r="D75" i="1" s="1"/>
  <c r="AX72" i="6"/>
  <c r="AW72" i="6"/>
  <c r="BQ72" i="6" s="1"/>
  <c r="BP71" i="6"/>
  <c r="L74" i="1" s="1"/>
  <c r="BO71" i="6"/>
  <c r="K74" i="1" s="1"/>
  <c r="BN71" i="6"/>
  <c r="J74" i="1" s="1"/>
  <c r="BM71" i="6"/>
  <c r="BL71" i="6"/>
  <c r="BK71" i="6"/>
  <c r="BJ71" i="6"/>
  <c r="BI71" i="6"/>
  <c r="BH71" i="6"/>
  <c r="H74" i="1" s="1"/>
  <c r="BE71" i="6"/>
  <c r="BD71" i="6"/>
  <c r="BC71" i="6"/>
  <c r="BB71" i="6"/>
  <c r="G74" i="1" s="1"/>
  <c r="BA71" i="6"/>
  <c r="F74" i="1" s="1"/>
  <c r="AZ71" i="6"/>
  <c r="E74" i="1" s="1"/>
  <c r="AY71" i="6"/>
  <c r="D74" i="1" s="1"/>
  <c r="AX71" i="6"/>
  <c r="AW71" i="6"/>
  <c r="BQ71" i="6" s="1"/>
  <c r="BP70" i="6"/>
  <c r="L73" i="1" s="1"/>
  <c r="BO70" i="6"/>
  <c r="K73" i="1" s="1"/>
  <c r="BN70" i="6"/>
  <c r="J73" i="1" s="1"/>
  <c r="BM70" i="6"/>
  <c r="BL70" i="6"/>
  <c r="BK70" i="6"/>
  <c r="BJ70" i="6"/>
  <c r="BI70" i="6"/>
  <c r="BH70" i="6"/>
  <c r="H73" i="1" s="1"/>
  <c r="BA70" i="6"/>
  <c r="F73" i="1" s="1"/>
  <c r="AZ70" i="6"/>
  <c r="E73" i="1" s="1"/>
  <c r="AY70" i="6"/>
  <c r="D73" i="1" s="1"/>
  <c r="AX70" i="6"/>
  <c r="AW70" i="6"/>
  <c r="BP69" i="6"/>
  <c r="L72" i="1" s="1"/>
  <c r="BO69" i="6"/>
  <c r="K72" i="1" s="1"/>
  <c r="BN69" i="6"/>
  <c r="J72" i="1" s="1"/>
  <c r="BM69" i="6"/>
  <c r="BL69" i="6"/>
  <c r="BK69" i="6"/>
  <c r="BJ69" i="6"/>
  <c r="BI69" i="6"/>
  <c r="BH69" i="6"/>
  <c r="H72" i="1" s="1"/>
  <c r="BA69" i="6"/>
  <c r="F72" i="1" s="1"/>
  <c r="AZ69" i="6"/>
  <c r="E72" i="1" s="1"/>
  <c r="AY69" i="6"/>
  <c r="D72" i="1" s="1"/>
  <c r="AX69" i="6"/>
  <c r="C72" i="1" s="1"/>
  <c r="AW69" i="6"/>
  <c r="BQ69" i="6" s="1"/>
  <c r="BP68" i="6"/>
  <c r="L71" i="1" s="1"/>
  <c r="BO68" i="6"/>
  <c r="K71" i="1" s="1"/>
  <c r="BN68" i="6"/>
  <c r="J71" i="1" s="1"/>
  <c r="BM68" i="6"/>
  <c r="BL68" i="6"/>
  <c r="BK68" i="6"/>
  <c r="BJ68" i="6"/>
  <c r="BI68" i="6"/>
  <c r="BH68" i="6"/>
  <c r="H71" i="1" s="1"/>
  <c r="BA68" i="6"/>
  <c r="F71" i="1" s="1"/>
  <c r="AZ68" i="6"/>
  <c r="E71" i="1" s="1"/>
  <c r="AY68" i="6"/>
  <c r="D71" i="1" s="1"/>
  <c r="AX68" i="6"/>
  <c r="C71" i="1" s="1"/>
  <c r="AW68" i="6"/>
  <c r="BP67" i="6"/>
  <c r="L70" i="1" s="1"/>
  <c r="BO67" i="6"/>
  <c r="K70" i="1" s="1"/>
  <c r="BN67" i="6"/>
  <c r="J70" i="1" s="1"/>
  <c r="BM67" i="6"/>
  <c r="BL67" i="6"/>
  <c r="BK67" i="6"/>
  <c r="BJ67" i="6"/>
  <c r="BI67" i="6"/>
  <c r="BH67" i="6"/>
  <c r="BA67" i="6"/>
  <c r="F70" i="1" s="1"/>
  <c r="AZ67" i="6"/>
  <c r="E70" i="1" s="1"/>
  <c r="AY67" i="6"/>
  <c r="D70" i="1" s="1"/>
  <c r="AX67" i="6"/>
  <c r="C70" i="1" s="1"/>
  <c r="AW67" i="6"/>
  <c r="BP66" i="6"/>
  <c r="L69" i="1" s="1"/>
  <c r="BO66" i="6"/>
  <c r="K69" i="1" s="1"/>
  <c r="BN66" i="6"/>
  <c r="J69" i="1" s="1"/>
  <c r="BM66" i="6"/>
  <c r="BL66" i="6"/>
  <c r="BK66" i="6"/>
  <c r="BJ66" i="6"/>
  <c r="BI66" i="6"/>
  <c r="BH66" i="6"/>
  <c r="H69" i="1" s="1"/>
  <c r="BA66" i="6"/>
  <c r="F69" i="1" s="1"/>
  <c r="AZ66" i="6"/>
  <c r="E69" i="1" s="1"/>
  <c r="AY66" i="6"/>
  <c r="D69" i="1" s="1"/>
  <c r="AX66" i="6"/>
  <c r="C69" i="1" s="1"/>
  <c r="AW66" i="6"/>
  <c r="BP65" i="6"/>
  <c r="L68" i="1" s="1"/>
  <c r="BO65" i="6"/>
  <c r="K68" i="1" s="1"/>
  <c r="BN65" i="6"/>
  <c r="J68" i="1" s="1"/>
  <c r="BM65" i="6"/>
  <c r="BM74" i="6" s="1"/>
  <c r="BL65" i="6"/>
  <c r="BL74" i="6" s="1"/>
  <c r="BK65" i="6"/>
  <c r="BK74" i="6" s="1"/>
  <c r="BJ65" i="6"/>
  <c r="BI65" i="6"/>
  <c r="BH65" i="6"/>
  <c r="BA65" i="6"/>
  <c r="F68" i="1" s="1"/>
  <c r="AZ65" i="6"/>
  <c r="E68" i="1" s="1"/>
  <c r="AY65" i="6"/>
  <c r="D68" i="1" s="1"/>
  <c r="AX65" i="6"/>
  <c r="C68" i="1" s="1"/>
  <c r="AW65" i="6"/>
  <c r="BP64" i="6"/>
  <c r="L67" i="1" s="1"/>
  <c r="BO64" i="6"/>
  <c r="K67" i="1" s="1"/>
  <c r="BN64" i="6"/>
  <c r="J67" i="1" s="1"/>
  <c r="BG64" i="6"/>
  <c r="BF64" i="6"/>
  <c r="BE64" i="6"/>
  <c r="BD64" i="6"/>
  <c r="BC64" i="6"/>
  <c r="BB64" i="6"/>
  <c r="G67" i="1" s="1"/>
  <c r="BA64" i="6"/>
  <c r="F67" i="1" s="1"/>
  <c r="AZ64" i="6"/>
  <c r="E67" i="1" s="1"/>
  <c r="AY64" i="6"/>
  <c r="D67" i="1" s="1"/>
  <c r="AX64" i="6"/>
  <c r="C67" i="1" s="1"/>
  <c r="AW64" i="6"/>
  <c r="BP63" i="6"/>
  <c r="L66" i="1" s="1"/>
  <c r="BO63" i="6"/>
  <c r="K66" i="1" s="1"/>
  <c r="BN63" i="6"/>
  <c r="J66" i="1" s="1"/>
  <c r="BG63" i="6"/>
  <c r="BF63" i="6"/>
  <c r="BE63" i="6"/>
  <c r="BD63" i="6"/>
  <c r="BC63" i="6"/>
  <c r="BB63" i="6"/>
  <c r="G66" i="1" s="1"/>
  <c r="BA63" i="6"/>
  <c r="F66" i="1" s="1"/>
  <c r="AZ63" i="6"/>
  <c r="E66" i="1" s="1"/>
  <c r="AY63" i="6"/>
  <c r="D66" i="1" s="1"/>
  <c r="AX63" i="6"/>
  <c r="C66" i="1" s="1"/>
  <c r="AW63" i="6"/>
  <c r="BP62" i="6"/>
  <c r="L65" i="1" s="1"/>
  <c r="BO62" i="6"/>
  <c r="K65" i="1" s="1"/>
  <c r="BN62" i="6"/>
  <c r="J65" i="1" s="1"/>
  <c r="BG62" i="6"/>
  <c r="BF62" i="6"/>
  <c r="BE62" i="6"/>
  <c r="BD62" i="6"/>
  <c r="BC62" i="6"/>
  <c r="BB62" i="6"/>
  <c r="G65" i="1" s="1"/>
  <c r="BA62" i="6"/>
  <c r="F65" i="1" s="1"/>
  <c r="AZ62" i="6"/>
  <c r="E65" i="1" s="1"/>
  <c r="AY62" i="6"/>
  <c r="D65" i="1" s="1"/>
  <c r="AX62" i="6"/>
  <c r="C65" i="1" s="1"/>
  <c r="AW62" i="6"/>
  <c r="BP61" i="6"/>
  <c r="L64" i="1" s="1"/>
  <c r="BO61" i="6"/>
  <c r="K64" i="1" s="1"/>
  <c r="BN61" i="6"/>
  <c r="J64" i="1" s="1"/>
  <c r="BG61" i="6"/>
  <c r="BF61" i="6"/>
  <c r="BE61" i="6"/>
  <c r="BD61" i="6"/>
  <c r="BC61" i="6"/>
  <c r="BB61" i="6"/>
  <c r="G64" i="1" s="1"/>
  <c r="BA61" i="6"/>
  <c r="F64" i="1" s="1"/>
  <c r="AZ61" i="6"/>
  <c r="E64" i="1" s="1"/>
  <c r="AY61" i="6"/>
  <c r="D64" i="1" s="1"/>
  <c r="AX61" i="6"/>
  <c r="C64" i="1" s="1"/>
  <c r="AW61" i="6"/>
  <c r="BP60" i="6"/>
  <c r="L63" i="1" s="1"/>
  <c r="BO60" i="6"/>
  <c r="K63" i="1" s="1"/>
  <c r="BN60" i="6"/>
  <c r="J63" i="1" s="1"/>
  <c r="BG60" i="6"/>
  <c r="BF60" i="6"/>
  <c r="BE60" i="6"/>
  <c r="BD60" i="6"/>
  <c r="BC60" i="6"/>
  <c r="BB60" i="6"/>
  <c r="G63" i="1" s="1"/>
  <c r="BA60" i="6"/>
  <c r="F63" i="1" s="1"/>
  <c r="AZ60" i="6"/>
  <c r="E63" i="1" s="1"/>
  <c r="AY60" i="6"/>
  <c r="D63" i="1" s="1"/>
  <c r="AX60" i="6"/>
  <c r="C63" i="1" s="1"/>
  <c r="AW60" i="6"/>
  <c r="BP59" i="6"/>
  <c r="L62" i="1" s="1"/>
  <c r="BO59" i="6"/>
  <c r="K62" i="1" s="1"/>
  <c r="BN59" i="6"/>
  <c r="J62" i="1" s="1"/>
  <c r="BG59" i="6"/>
  <c r="BF59" i="6"/>
  <c r="BE59" i="6"/>
  <c r="BD59" i="6"/>
  <c r="BC59" i="6"/>
  <c r="BB59" i="6"/>
  <c r="G62" i="1" s="1"/>
  <c r="BA59" i="6"/>
  <c r="F62" i="1" s="1"/>
  <c r="AZ59" i="6"/>
  <c r="E62" i="1" s="1"/>
  <c r="AX59" i="6"/>
  <c r="C62" i="1" s="1"/>
  <c r="AW59" i="6"/>
  <c r="BA58" i="6"/>
  <c r="BP57" i="6"/>
  <c r="L60" i="1" s="1"/>
  <c r="BO57" i="6"/>
  <c r="K60" i="1" s="1"/>
  <c r="BN57" i="6"/>
  <c r="J60" i="1" s="1"/>
  <c r="BG57" i="6"/>
  <c r="BF57" i="6"/>
  <c r="BE57" i="6"/>
  <c r="BD57" i="6"/>
  <c r="BC57" i="6"/>
  <c r="BB57" i="6"/>
  <c r="G60" i="1" s="1"/>
  <c r="BA57" i="6"/>
  <c r="F60" i="1" s="1"/>
  <c r="AZ57" i="6"/>
  <c r="E60" i="1" s="1"/>
  <c r="AY57" i="6"/>
  <c r="D60" i="1" s="1"/>
  <c r="AX57" i="6"/>
  <c r="C60" i="1" s="1"/>
  <c r="AW57" i="6"/>
  <c r="BP56" i="6"/>
  <c r="L59" i="1" s="1"/>
  <c r="BO56" i="6"/>
  <c r="K59" i="1" s="1"/>
  <c r="BN56" i="6"/>
  <c r="J59" i="1" s="1"/>
  <c r="BG56" i="6"/>
  <c r="BF56" i="6"/>
  <c r="BE56" i="6"/>
  <c r="BD56" i="6"/>
  <c r="BC56" i="6"/>
  <c r="BB56" i="6"/>
  <c r="G59" i="1" s="1"/>
  <c r="BA56" i="6"/>
  <c r="F59" i="1" s="1"/>
  <c r="AZ56" i="6"/>
  <c r="E59" i="1" s="1"/>
  <c r="AY56" i="6"/>
  <c r="D59" i="1" s="1"/>
  <c r="AX56" i="6"/>
  <c r="C59" i="1" s="1"/>
  <c r="AW56" i="6"/>
  <c r="BP55" i="6"/>
  <c r="BO55" i="6"/>
  <c r="BN55" i="6"/>
  <c r="BG55" i="6"/>
  <c r="BG74" i="6" s="1"/>
  <c r="BF55" i="6"/>
  <c r="BF74" i="6" s="1"/>
  <c r="BE55" i="6"/>
  <c r="BE74" i="6" s="1"/>
  <c r="BD55" i="6"/>
  <c r="BD74" i="6" s="1"/>
  <c r="BC55" i="6"/>
  <c r="BC74" i="6" s="1"/>
  <c r="BB55" i="6"/>
  <c r="BA55" i="6"/>
  <c r="AZ55" i="6"/>
  <c r="AY55" i="6"/>
  <c r="D58" i="1" s="1"/>
  <c r="AX55" i="6"/>
  <c r="C58" i="1" s="1"/>
  <c r="AW55" i="6"/>
  <c r="AY54" i="6"/>
  <c r="AX54" i="6"/>
  <c r="AW54" i="6"/>
  <c r="BP49" i="6"/>
  <c r="BO49" i="6"/>
  <c r="BN49" i="6"/>
  <c r="BM49" i="6"/>
  <c r="BL49" i="6"/>
  <c r="BK49" i="6"/>
  <c r="BJ49" i="6"/>
  <c r="BI49" i="6"/>
  <c r="BH49" i="6"/>
  <c r="H50" i="1" s="1"/>
  <c r="BG49" i="6"/>
  <c r="BF49" i="6"/>
  <c r="BE49" i="6"/>
  <c r="BD49" i="6"/>
  <c r="BC49" i="6"/>
  <c r="BB49" i="6"/>
  <c r="BA49" i="6"/>
  <c r="F50" i="1" s="1"/>
  <c r="AZ49" i="6"/>
  <c r="AY49" i="6"/>
  <c r="AX49" i="6"/>
  <c r="AW49" i="6"/>
  <c r="BP48" i="6"/>
  <c r="BO48" i="6"/>
  <c r="BN48" i="6"/>
  <c r="BM48" i="6"/>
  <c r="BL48" i="6"/>
  <c r="BK48" i="6"/>
  <c r="BJ48" i="6"/>
  <c r="BI48" i="6"/>
  <c r="BH48" i="6"/>
  <c r="H49" i="1" s="1"/>
  <c r="BG48" i="6"/>
  <c r="BF48" i="6"/>
  <c r="BE48" i="6"/>
  <c r="BD48" i="6"/>
  <c r="BC48" i="6"/>
  <c r="BB48" i="6"/>
  <c r="BA48" i="6"/>
  <c r="F49" i="1" s="1"/>
  <c r="AZ48" i="6"/>
  <c r="AY48" i="6"/>
  <c r="AX48" i="6"/>
  <c r="AW48" i="6"/>
  <c r="BP47" i="6"/>
  <c r="BO47" i="6"/>
  <c r="BN47" i="6"/>
  <c r="BM47" i="6"/>
  <c r="BL47" i="6"/>
  <c r="BK47" i="6"/>
  <c r="BJ47" i="6"/>
  <c r="BI47" i="6"/>
  <c r="BH47" i="6"/>
  <c r="H48" i="1" s="1"/>
  <c r="BE47" i="6"/>
  <c r="BD47" i="6"/>
  <c r="BC47" i="6"/>
  <c r="BB47" i="6"/>
  <c r="BA47" i="6"/>
  <c r="F48" i="1" s="1"/>
  <c r="AZ47" i="6"/>
  <c r="AY47" i="6"/>
  <c r="AX47" i="6"/>
  <c r="AW47" i="6"/>
  <c r="BP46" i="6"/>
  <c r="BO46" i="6"/>
  <c r="BN46" i="6"/>
  <c r="BM46" i="6"/>
  <c r="BL46" i="6"/>
  <c r="BK46" i="6"/>
  <c r="BJ46" i="6"/>
  <c r="BI46" i="6"/>
  <c r="BH46" i="6"/>
  <c r="H47" i="1" s="1"/>
  <c r="BA46" i="6"/>
  <c r="F47" i="1" s="1"/>
  <c r="AZ46" i="6"/>
  <c r="AY46" i="6"/>
  <c r="AX46" i="6"/>
  <c r="AW46" i="6"/>
  <c r="BP45" i="6"/>
  <c r="BO45" i="6"/>
  <c r="BN45" i="6"/>
  <c r="BM45" i="6"/>
  <c r="BL45" i="6"/>
  <c r="BK45" i="6"/>
  <c r="BJ45" i="6"/>
  <c r="BI45" i="6"/>
  <c r="BH45" i="6"/>
  <c r="H46" i="1" s="1"/>
  <c r="BA45" i="6"/>
  <c r="F46" i="1" s="1"/>
  <c r="AZ45" i="6"/>
  <c r="AY45" i="6"/>
  <c r="AX45" i="6"/>
  <c r="AW45" i="6"/>
  <c r="BP44" i="6"/>
  <c r="BO44" i="6"/>
  <c r="BN44" i="6"/>
  <c r="BM44" i="6"/>
  <c r="BL44" i="6"/>
  <c r="BK44" i="6"/>
  <c r="BJ44" i="6"/>
  <c r="BI44" i="6"/>
  <c r="BH44" i="6"/>
  <c r="H45" i="1" s="1"/>
  <c r="BA44" i="6"/>
  <c r="F45" i="1" s="1"/>
  <c r="AZ44" i="6"/>
  <c r="AY44" i="6"/>
  <c r="AX44" i="6"/>
  <c r="AW44" i="6"/>
  <c r="BP43" i="6"/>
  <c r="BO43" i="6"/>
  <c r="BN43" i="6"/>
  <c r="BM43" i="6"/>
  <c r="BL43" i="6"/>
  <c r="BK43" i="6"/>
  <c r="BJ43" i="6"/>
  <c r="BI43" i="6"/>
  <c r="BH43" i="6"/>
  <c r="H44" i="1" s="1"/>
  <c r="BA43" i="6"/>
  <c r="F44" i="1" s="1"/>
  <c r="AZ43" i="6"/>
  <c r="AY43" i="6"/>
  <c r="AX43" i="6"/>
  <c r="AW43" i="6"/>
  <c r="BP42" i="6"/>
  <c r="BO42" i="6"/>
  <c r="BN42" i="6"/>
  <c r="BM42" i="6"/>
  <c r="BL42" i="6"/>
  <c r="BK42" i="6"/>
  <c r="BJ42" i="6"/>
  <c r="BI42" i="6"/>
  <c r="BH42" i="6"/>
  <c r="H43" i="1" s="1"/>
  <c r="BA42" i="6"/>
  <c r="F43" i="1" s="1"/>
  <c r="AZ42" i="6"/>
  <c r="AY42" i="6"/>
  <c r="AX42" i="6"/>
  <c r="AW42" i="6"/>
  <c r="BP41" i="6"/>
  <c r="BO41" i="6"/>
  <c r="BN41" i="6"/>
  <c r="BM41" i="6"/>
  <c r="BL41" i="6"/>
  <c r="BK41" i="6"/>
  <c r="BJ41" i="6"/>
  <c r="BI41" i="6"/>
  <c r="BH41" i="6"/>
  <c r="H42" i="1" s="1"/>
  <c r="BA41" i="6"/>
  <c r="F42" i="1" s="1"/>
  <c r="AZ41" i="6"/>
  <c r="AY41" i="6"/>
  <c r="AX41" i="6"/>
  <c r="C42" i="1" s="1"/>
  <c r="AW41" i="6"/>
  <c r="BP40" i="6"/>
  <c r="L41" i="1" s="1"/>
  <c r="BO40" i="6"/>
  <c r="BN40" i="6"/>
  <c r="J41" i="1" s="1"/>
  <c r="BG40" i="6"/>
  <c r="BF40" i="6"/>
  <c r="BE40" i="6"/>
  <c r="BD40" i="6"/>
  <c r="BC40" i="6"/>
  <c r="BB40" i="6"/>
  <c r="BA40" i="6"/>
  <c r="F41" i="1" s="1"/>
  <c r="AZ40" i="6"/>
  <c r="E41" i="1" s="1"/>
  <c r="AY40" i="6"/>
  <c r="AX40" i="6"/>
  <c r="AW40" i="6"/>
  <c r="BP39" i="6"/>
  <c r="L40" i="1" s="1"/>
  <c r="BO39" i="6"/>
  <c r="BN39" i="6"/>
  <c r="J40" i="1" s="1"/>
  <c r="BG39" i="6"/>
  <c r="BF39" i="6"/>
  <c r="BE39" i="6"/>
  <c r="BD39" i="6"/>
  <c r="BC39" i="6"/>
  <c r="BB39" i="6"/>
  <c r="BA39" i="6"/>
  <c r="F40" i="1" s="1"/>
  <c r="AZ39" i="6"/>
  <c r="E40" i="1" s="1"/>
  <c r="AY39" i="6"/>
  <c r="AX39" i="6"/>
  <c r="C40" i="1" s="1"/>
  <c r="AW39" i="6"/>
  <c r="BP38" i="6"/>
  <c r="L39" i="1" s="1"/>
  <c r="BO38" i="6"/>
  <c r="BN38" i="6"/>
  <c r="J39" i="1" s="1"/>
  <c r="BG38" i="6"/>
  <c r="BF38" i="6"/>
  <c r="BE38" i="6"/>
  <c r="BD38" i="6"/>
  <c r="BC38" i="6"/>
  <c r="BB38" i="6"/>
  <c r="G39" i="1" s="1"/>
  <c r="BA38" i="6"/>
  <c r="F39" i="1" s="1"/>
  <c r="AZ38" i="6"/>
  <c r="E39" i="1" s="1"/>
  <c r="AY38" i="6"/>
  <c r="AX38" i="6"/>
  <c r="C39" i="1" s="1"/>
  <c r="AW38" i="6"/>
  <c r="BP37" i="6"/>
  <c r="L38" i="1" s="1"/>
  <c r="BO37" i="6"/>
  <c r="BN37" i="6"/>
  <c r="J38" i="1" s="1"/>
  <c r="BG37" i="6"/>
  <c r="BF37" i="6"/>
  <c r="BE37" i="6"/>
  <c r="BD37" i="6"/>
  <c r="BC37" i="6"/>
  <c r="BB37" i="6"/>
  <c r="G38" i="1" s="1"/>
  <c r="BA37" i="6"/>
  <c r="F38" i="1" s="1"/>
  <c r="AZ37" i="6"/>
  <c r="E38" i="1" s="1"/>
  <c r="AY37" i="6"/>
  <c r="AX37" i="6"/>
  <c r="C38" i="1" s="1"/>
  <c r="AW37" i="6"/>
  <c r="BP36" i="6"/>
  <c r="L37" i="1" s="1"/>
  <c r="BO36" i="6"/>
  <c r="BN36" i="6"/>
  <c r="J37" i="1" s="1"/>
  <c r="BG36" i="6"/>
  <c r="BF36" i="6"/>
  <c r="BE36" i="6"/>
  <c r="BD36" i="6"/>
  <c r="BC36" i="6"/>
  <c r="BB36" i="6"/>
  <c r="G37" i="1" s="1"/>
  <c r="BA36" i="6"/>
  <c r="F37" i="1" s="1"/>
  <c r="AZ36" i="6"/>
  <c r="E37" i="1" s="1"/>
  <c r="AY36" i="6"/>
  <c r="D37" i="1" s="1"/>
  <c r="AX36" i="6"/>
  <c r="C37" i="1" s="1"/>
  <c r="AW36" i="6"/>
  <c r="BP35" i="6"/>
  <c r="L36" i="1" s="1"/>
  <c r="BO35" i="6"/>
  <c r="BN35" i="6"/>
  <c r="J36" i="1" s="1"/>
  <c r="BG35" i="6"/>
  <c r="BF35" i="6"/>
  <c r="BE35" i="6"/>
  <c r="BD35" i="6"/>
  <c r="BC35" i="6"/>
  <c r="BB35" i="6"/>
  <c r="G36" i="1" s="1"/>
  <c r="BA35" i="6"/>
  <c r="F36" i="1" s="1"/>
  <c r="AZ35" i="6"/>
  <c r="E36" i="1" s="1"/>
  <c r="AX35" i="6"/>
  <c r="C36" i="1" s="1"/>
  <c r="AW35" i="6"/>
  <c r="BA34" i="6"/>
  <c r="F35" i="1" s="1"/>
  <c r="BP33" i="6"/>
  <c r="L34" i="1" s="1"/>
  <c r="BO33" i="6"/>
  <c r="K34" i="1" s="1"/>
  <c r="BN33" i="6"/>
  <c r="J34" i="1" s="1"/>
  <c r="BG33" i="6"/>
  <c r="BF33" i="6"/>
  <c r="BE33" i="6"/>
  <c r="BD33" i="6"/>
  <c r="BC33" i="6"/>
  <c r="BB33" i="6"/>
  <c r="G34" i="1" s="1"/>
  <c r="BA33" i="6"/>
  <c r="F34" i="1" s="1"/>
  <c r="AZ33" i="6"/>
  <c r="E34" i="1" s="1"/>
  <c r="AY33" i="6"/>
  <c r="D34" i="1" s="1"/>
  <c r="AX33" i="6"/>
  <c r="C34" i="1" s="1"/>
  <c r="AW33" i="6"/>
  <c r="B34" i="1" s="1"/>
  <c r="BP32" i="6"/>
  <c r="L33" i="1" s="1"/>
  <c r="BO32" i="6"/>
  <c r="K33" i="1" s="1"/>
  <c r="BN32" i="6"/>
  <c r="J33" i="1" s="1"/>
  <c r="BG32" i="6"/>
  <c r="BF32" i="6"/>
  <c r="BE32" i="6"/>
  <c r="BD32" i="6"/>
  <c r="BC32" i="6"/>
  <c r="BB32" i="6"/>
  <c r="G33" i="1" s="1"/>
  <c r="BA32" i="6"/>
  <c r="F33" i="1" s="1"/>
  <c r="AZ32" i="6"/>
  <c r="E33" i="1" s="1"/>
  <c r="AY32" i="6"/>
  <c r="D33" i="1" s="1"/>
  <c r="AX32" i="6"/>
  <c r="C33" i="1" s="1"/>
  <c r="AW32" i="6"/>
  <c r="B33" i="1" s="1"/>
  <c r="BP31" i="6"/>
  <c r="L32" i="1" s="1"/>
  <c r="BO31" i="6"/>
  <c r="K32" i="1" s="1"/>
  <c r="BN31" i="6"/>
  <c r="J32" i="1" s="1"/>
  <c r="BG31" i="6"/>
  <c r="BF31" i="6"/>
  <c r="BE31" i="6"/>
  <c r="G32" i="1" s="1"/>
  <c r="I32" i="1" s="1"/>
  <c r="BD31" i="6"/>
  <c r="BC31" i="6"/>
  <c r="BB31" i="6"/>
  <c r="BA31" i="6"/>
  <c r="F32" i="1" s="1"/>
  <c r="AZ31" i="6"/>
  <c r="E32" i="1" s="1"/>
  <c r="AY31" i="6"/>
  <c r="D32" i="1" s="1"/>
  <c r="AX31" i="6"/>
  <c r="C32" i="1" s="1"/>
  <c r="AW31" i="6"/>
  <c r="B32" i="1" s="1"/>
  <c r="AY30" i="6"/>
  <c r="D31" i="1" s="1"/>
  <c r="AX30" i="6"/>
  <c r="C31" i="1" s="1"/>
  <c r="AW30" i="6"/>
  <c r="B31" i="1" s="1"/>
  <c r="BH18" i="6"/>
  <c r="BI18" i="6"/>
  <c r="BJ18" i="6"/>
  <c r="BK18" i="6"/>
  <c r="BL18" i="6"/>
  <c r="BM18" i="6"/>
  <c r="BH19" i="6"/>
  <c r="BI19" i="6"/>
  <c r="BJ19" i="6"/>
  <c r="BK19" i="6"/>
  <c r="BL19" i="6"/>
  <c r="BM19" i="6"/>
  <c r="BH20" i="6"/>
  <c r="BI20" i="6"/>
  <c r="BJ20" i="6"/>
  <c r="BK20" i="6"/>
  <c r="BL20" i="6"/>
  <c r="BM20" i="6"/>
  <c r="BH21" i="6"/>
  <c r="BI21" i="6"/>
  <c r="BJ21" i="6"/>
  <c r="BK21" i="6"/>
  <c r="BL21" i="6"/>
  <c r="BM21" i="6"/>
  <c r="BH22" i="6"/>
  <c r="BI22" i="6"/>
  <c r="BJ22" i="6"/>
  <c r="BK22" i="6"/>
  <c r="BL22" i="6"/>
  <c r="BM22" i="6"/>
  <c r="BH23" i="6"/>
  <c r="BI23" i="6"/>
  <c r="BJ23" i="6"/>
  <c r="BK23" i="6"/>
  <c r="BL23" i="6"/>
  <c r="BM23" i="6"/>
  <c r="BH24" i="6"/>
  <c r="BI24" i="6"/>
  <c r="BJ24" i="6"/>
  <c r="BK24" i="6"/>
  <c r="BL24" i="6"/>
  <c r="BM24" i="6"/>
  <c r="BH25" i="6"/>
  <c r="BI25" i="6"/>
  <c r="BJ25" i="6"/>
  <c r="BK25" i="6"/>
  <c r="BL25" i="6"/>
  <c r="BM25" i="6"/>
  <c r="BI17" i="6"/>
  <c r="BJ17" i="6"/>
  <c r="BK17" i="6"/>
  <c r="BL17" i="6"/>
  <c r="BM17" i="6"/>
  <c r="BH17" i="6"/>
  <c r="BO11" i="6"/>
  <c r="BP11" i="6"/>
  <c r="BO12" i="6"/>
  <c r="BP12" i="6"/>
  <c r="BO13" i="6"/>
  <c r="BP13" i="6"/>
  <c r="BO14" i="6"/>
  <c r="BP14" i="6"/>
  <c r="BO15" i="6"/>
  <c r="BP15" i="6"/>
  <c r="BO16" i="6"/>
  <c r="BP16" i="6"/>
  <c r="BO17" i="6"/>
  <c r="BP17" i="6"/>
  <c r="BO18" i="6"/>
  <c r="BP18" i="6"/>
  <c r="BO19" i="6"/>
  <c r="BP19" i="6"/>
  <c r="BO20" i="6"/>
  <c r="BP20" i="6"/>
  <c r="BO21" i="6"/>
  <c r="BP21" i="6"/>
  <c r="BO22" i="6"/>
  <c r="BP22" i="6"/>
  <c r="BO23" i="6"/>
  <c r="BP23" i="6"/>
  <c r="BO24" i="6"/>
  <c r="BP24" i="6"/>
  <c r="BO25" i="6"/>
  <c r="BP25" i="6"/>
  <c r="BN12" i="6"/>
  <c r="J11" i="1" s="1"/>
  <c r="BN13" i="6"/>
  <c r="BN14" i="6"/>
  <c r="J13" i="1" s="1"/>
  <c r="BN15" i="6"/>
  <c r="BN16" i="6"/>
  <c r="BN17" i="6"/>
  <c r="BN18" i="6"/>
  <c r="BN19" i="6"/>
  <c r="BN20" i="6"/>
  <c r="BN21" i="6"/>
  <c r="BN22" i="6"/>
  <c r="BN23" i="6"/>
  <c r="BN24" i="6"/>
  <c r="BN25" i="6"/>
  <c r="BN11" i="6"/>
  <c r="BN8" i="6"/>
  <c r="BO8" i="6"/>
  <c r="BP8" i="6"/>
  <c r="BN9" i="6"/>
  <c r="BO9" i="6"/>
  <c r="BP9" i="6"/>
  <c r="BO7" i="6"/>
  <c r="BP7" i="6"/>
  <c r="BN7" i="6"/>
  <c r="BB23" i="6"/>
  <c r="BC23" i="6"/>
  <c r="BD23" i="6"/>
  <c r="BE23" i="6"/>
  <c r="BA25" i="6"/>
  <c r="BB25" i="6"/>
  <c r="BC25" i="6"/>
  <c r="BD25" i="6"/>
  <c r="BE25" i="6"/>
  <c r="BF25" i="6"/>
  <c r="BG25" i="6"/>
  <c r="BB24" i="6"/>
  <c r="BC24" i="6"/>
  <c r="BD24" i="6"/>
  <c r="BE24" i="6"/>
  <c r="BF24" i="6"/>
  <c r="BG24" i="6"/>
  <c r="BB12" i="6"/>
  <c r="BC12" i="6"/>
  <c r="BD12" i="6"/>
  <c r="BE12" i="6"/>
  <c r="BF12" i="6"/>
  <c r="BG12" i="6"/>
  <c r="BB13" i="6"/>
  <c r="BC13" i="6"/>
  <c r="BD13" i="6"/>
  <c r="BE13" i="6"/>
  <c r="BF13" i="6"/>
  <c r="BG13" i="6"/>
  <c r="BB14" i="6"/>
  <c r="BC14" i="6"/>
  <c r="BD14" i="6"/>
  <c r="BE14" i="6"/>
  <c r="BF14" i="6"/>
  <c r="BG14" i="6"/>
  <c r="BB15" i="6"/>
  <c r="BC15" i="6"/>
  <c r="BD15" i="6"/>
  <c r="BE15" i="6"/>
  <c r="BF15" i="6"/>
  <c r="BG15" i="6"/>
  <c r="BB16" i="6"/>
  <c r="BC16" i="6"/>
  <c r="BD16" i="6"/>
  <c r="BE16" i="6"/>
  <c r="BF16" i="6"/>
  <c r="BG16" i="6"/>
  <c r="AZ12" i="6"/>
  <c r="BA12" i="6"/>
  <c r="AZ13" i="6"/>
  <c r="BA13" i="6"/>
  <c r="AZ14" i="6"/>
  <c r="BA14" i="6"/>
  <c r="AZ15" i="6"/>
  <c r="BA15" i="6"/>
  <c r="AZ16" i="6"/>
  <c r="BA16" i="6"/>
  <c r="AZ17" i="6"/>
  <c r="BA17" i="6"/>
  <c r="AZ18" i="6"/>
  <c r="BA18" i="6"/>
  <c r="AZ19" i="6"/>
  <c r="BA19" i="6"/>
  <c r="AZ20" i="6"/>
  <c r="BA20" i="6"/>
  <c r="AZ21" i="6"/>
  <c r="BA21" i="6"/>
  <c r="AZ22" i="6"/>
  <c r="BA22" i="6"/>
  <c r="AZ23" i="6"/>
  <c r="BA23" i="6"/>
  <c r="AZ24" i="6"/>
  <c r="BA24" i="6"/>
  <c r="AZ25" i="6"/>
  <c r="BB11" i="6"/>
  <c r="BC11" i="6"/>
  <c r="BD11" i="6"/>
  <c r="BE11" i="6"/>
  <c r="BF11" i="6"/>
  <c r="BG11" i="6"/>
  <c r="AZ11" i="6"/>
  <c r="BA11" i="6"/>
  <c r="BA10" i="6"/>
  <c r="BA7" i="6"/>
  <c r="BB7" i="6"/>
  <c r="BC7" i="6"/>
  <c r="BD7" i="6"/>
  <c r="BE7" i="6"/>
  <c r="BF7" i="6"/>
  <c r="BG7" i="6"/>
  <c r="BA8" i="6"/>
  <c r="BB8" i="6"/>
  <c r="BC8" i="6"/>
  <c r="BD8" i="6"/>
  <c r="BE8" i="6"/>
  <c r="BF8" i="6"/>
  <c r="BG8" i="6"/>
  <c r="BA9" i="6"/>
  <c r="BB9" i="6"/>
  <c r="BC9" i="6"/>
  <c r="BD9" i="6"/>
  <c r="BE9" i="6"/>
  <c r="BF9" i="6"/>
  <c r="BG9" i="6"/>
  <c r="AZ8" i="6"/>
  <c r="AZ9" i="6"/>
  <c r="E8" i="1" s="1"/>
  <c r="AZ7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12" i="6"/>
  <c r="AY7" i="6"/>
  <c r="AY8" i="6"/>
  <c r="AY9" i="6"/>
  <c r="D8" i="1" s="1"/>
  <c r="AY6" i="6"/>
  <c r="AW12" i="6"/>
  <c r="AX12" i="6"/>
  <c r="AW13" i="6"/>
  <c r="AX13" i="6"/>
  <c r="AW14" i="6"/>
  <c r="AX14" i="6"/>
  <c r="AW15" i="6"/>
  <c r="AX15" i="6"/>
  <c r="AW16" i="6"/>
  <c r="AX16" i="6"/>
  <c r="AW17" i="6"/>
  <c r="AX17" i="6"/>
  <c r="AW18" i="6"/>
  <c r="AX18" i="6"/>
  <c r="AW19" i="6"/>
  <c r="AX19" i="6"/>
  <c r="AW20" i="6"/>
  <c r="AX20" i="6"/>
  <c r="AW21" i="6"/>
  <c r="AX21" i="6"/>
  <c r="AW22" i="6"/>
  <c r="AX22" i="6"/>
  <c r="AW23" i="6"/>
  <c r="AX23" i="6"/>
  <c r="AW24" i="6"/>
  <c r="AX24" i="6"/>
  <c r="AW25" i="6"/>
  <c r="AX25" i="6"/>
  <c r="AX11" i="6"/>
  <c r="AW11" i="6"/>
  <c r="AW9" i="6"/>
  <c r="AW8" i="6"/>
  <c r="AW7" i="6"/>
  <c r="AX9" i="6"/>
  <c r="AX8" i="6"/>
  <c r="C7" i="1" s="1"/>
  <c r="AX7" i="6"/>
  <c r="C6" i="1" s="1"/>
  <c r="AX6" i="6"/>
  <c r="AW6" i="6"/>
  <c r="L165" i="1"/>
  <c r="L161" i="1"/>
  <c r="L139" i="1"/>
  <c r="L135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09" i="1"/>
  <c r="L102" i="1"/>
  <c r="L101" i="1"/>
  <c r="L87" i="1"/>
  <c r="L83" i="1"/>
  <c r="L61" i="1"/>
  <c r="L57" i="1"/>
  <c r="L50" i="1"/>
  <c r="L49" i="1"/>
  <c r="L48" i="1"/>
  <c r="L47" i="1"/>
  <c r="L46" i="1"/>
  <c r="L45" i="1"/>
  <c r="L44" i="1"/>
  <c r="L43" i="1"/>
  <c r="L42" i="1"/>
  <c r="L35" i="1"/>
  <c r="L31" i="1"/>
  <c r="K180" i="1"/>
  <c r="K165" i="1"/>
  <c r="K161" i="1"/>
  <c r="K139" i="1"/>
  <c r="K135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2" i="1"/>
  <c r="K101" i="1"/>
  <c r="K100" i="1"/>
  <c r="K99" i="1"/>
  <c r="K98" i="1"/>
  <c r="K97" i="1"/>
  <c r="K96" i="1"/>
  <c r="K95" i="1"/>
  <c r="K94" i="1"/>
  <c r="K93" i="1"/>
  <c r="K92" i="1"/>
  <c r="K87" i="1"/>
  <c r="K83" i="1"/>
  <c r="K61" i="1"/>
  <c r="K57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1" i="1"/>
  <c r="J180" i="1"/>
  <c r="J165" i="1"/>
  <c r="J161" i="1"/>
  <c r="J139" i="1"/>
  <c r="J135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7" i="1"/>
  <c r="J83" i="1"/>
  <c r="J61" i="1"/>
  <c r="J57" i="1"/>
  <c r="J50" i="1"/>
  <c r="J49" i="1"/>
  <c r="J48" i="1"/>
  <c r="J47" i="1"/>
  <c r="J46" i="1"/>
  <c r="J45" i="1"/>
  <c r="J44" i="1"/>
  <c r="J43" i="1"/>
  <c r="J42" i="1"/>
  <c r="J35" i="1"/>
  <c r="J31" i="1"/>
  <c r="H180" i="1"/>
  <c r="H179" i="1"/>
  <c r="H178" i="1"/>
  <c r="H171" i="1"/>
  <c r="H170" i="1"/>
  <c r="H169" i="1"/>
  <c r="H168" i="1"/>
  <c r="H167" i="1"/>
  <c r="H166" i="1"/>
  <c r="H165" i="1"/>
  <c r="H164" i="1"/>
  <c r="H163" i="1"/>
  <c r="H162" i="1"/>
  <c r="H161" i="1"/>
  <c r="H145" i="1"/>
  <c r="H144" i="1"/>
  <c r="H143" i="1"/>
  <c r="H142" i="1"/>
  <c r="H141" i="1"/>
  <c r="H140" i="1"/>
  <c r="H139" i="1"/>
  <c r="H138" i="1"/>
  <c r="H137" i="1"/>
  <c r="H136" i="1"/>
  <c r="H135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67" i="1"/>
  <c r="H66" i="1"/>
  <c r="H65" i="1"/>
  <c r="H64" i="1"/>
  <c r="H63" i="1"/>
  <c r="H62" i="1"/>
  <c r="H61" i="1"/>
  <c r="H60" i="1"/>
  <c r="H59" i="1"/>
  <c r="H58" i="1"/>
  <c r="H57" i="1"/>
  <c r="H41" i="1"/>
  <c r="H40" i="1"/>
  <c r="H39" i="1"/>
  <c r="H38" i="1"/>
  <c r="H37" i="1"/>
  <c r="H36" i="1"/>
  <c r="H35" i="1"/>
  <c r="H34" i="1"/>
  <c r="H33" i="1"/>
  <c r="H32" i="1"/>
  <c r="H31" i="1"/>
  <c r="G180" i="1"/>
  <c r="G179" i="1"/>
  <c r="G178" i="1"/>
  <c r="G177" i="1"/>
  <c r="G176" i="1"/>
  <c r="G175" i="1"/>
  <c r="G174" i="1"/>
  <c r="G173" i="1"/>
  <c r="G172" i="1"/>
  <c r="G165" i="1"/>
  <c r="G161" i="1"/>
  <c r="G151" i="1"/>
  <c r="G150" i="1"/>
  <c r="G149" i="1"/>
  <c r="G148" i="1"/>
  <c r="G147" i="1"/>
  <c r="G146" i="1"/>
  <c r="G139" i="1"/>
  <c r="G135" i="1"/>
  <c r="G128" i="1"/>
  <c r="G127" i="1"/>
  <c r="G126" i="1"/>
  <c r="G125" i="1"/>
  <c r="G124" i="1"/>
  <c r="G123" i="1"/>
  <c r="G122" i="1"/>
  <c r="G121" i="1"/>
  <c r="G120" i="1"/>
  <c r="G113" i="1"/>
  <c r="G110" i="1"/>
  <c r="G109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73" i="1"/>
  <c r="G72" i="1"/>
  <c r="G71" i="1"/>
  <c r="G70" i="1"/>
  <c r="G69" i="1"/>
  <c r="G68" i="1"/>
  <c r="G61" i="1"/>
  <c r="G57" i="1"/>
  <c r="G50" i="1"/>
  <c r="G49" i="1"/>
  <c r="G48" i="1"/>
  <c r="G47" i="1"/>
  <c r="G46" i="1"/>
  <c r="G45" i="1"/>
  <c r="G44" i="1"/>
  <c r="G43" i="1"/>
  <c r="G42" i="1"/>
  <c r="G41" i="1"/>
  <c r="G40" i="1"/>
  <c r="G35" i="1"/>
  <c r="F180" i="1"/>
  <c r="F179" i="1"/>
  <c r="F178" i="1"/>
  <c r="F177" i="1"/>
  <c r="F176" i="1"/>
  <c r="F161" i="1"/>
  <c r="F135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76" i="1"/>
  <c r="F57" i="1"/>
  <c r="F31" i="1"/>
  <c r="E180" i="1"/>
  <c r="E179" i="1"/>
  <c r="E178" i="1"/>
  <c r="E177" i="1"/>
  <c r="E176" i="1"/>
  <c r="E175" i="1"/>
  <c r="E165" i="1"/>
  <c r="E161" i="1"/>
  <c r="E139" i="1"/>
  <c r="E135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76" i="1"/>
  <c r="E75" i="1"/>
  <c r="E61" i="1"/>
  <c r="E57" i="1"/>
  <c r="E50" i="1"/>
  <c r="E49" i="1"/>
  <c r="E48" i="1"/>
  <c r="E47" i="1"/>
  <c r="E46" i="1"/>
  <c r="E45" i="1"/>
  <c r="E44" i="1"/>
  <c r="E43" i="1"/>
  <c r="E42" i="1"/>
  <c r="E35" i="1"/>
  <c r="E31" i="1"/>
  <c r="B180" i="1"/>
  <c r="B179" i="1"/>
  <c r="B178" i="1"/>
  <c r="D177" i="1"/>
  <c r="D176" i="1"/>
  <c r="D175" i="1"/>
  <c r="D174" i="1"/>
  <c r="D173" i="1"/>
  <c r="D166" i="1"/>
  <c r="B165" i="1"/>
  <c r="D140" i="1"/>
  <c r="D13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62" i="1"/>
  <c r="D6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6" i="1"/>
  <c r="D35" i="1"/>
  <c r="C177" i="1"/>
  <c r="C176" i="1"/>
  <c r="C175" i="1"/>
  <c r="C174" i="1"/>
  <c r="C173" i="1"/>
  <c r="C172" i="1"/>
  <c r="C13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76" i="1"/>
  <c r="C75" i="1"/>
  <c r="C74" i="1"/>
  <c r="C73" i="1"/>
  <c r="C61" i="1"/>
  <c r="C50" i="1"/>
  <c r="C49" i="1"/>
  <c r="C48" i="1"/>
  <c r="C47" i="1"/>
  <c r="C46" i="1"/>
  <c r="C45" i="1"/>
  <c r="C44" i="1"/>
  <c r="C43" i="1"/>
  <c r="C41" i="1"/>
  <c r="C35" i="1"/>
  <c r="B177" i="1"/>
  <c r="B176" i="1"/>
  <c r="B175" i="1"/>
  <c r="B174" i="1"/>
  <c r="B173" i="1"/>
  <c r="B172" i="1"/>
  <c r="B13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76" i="1"/>
  <c r="B75" i="1"/>
  <c r="B74" i="1"/>
  <c r="B73" i="1"/>
  <c r="B72" i="1"/>
  <c r="B6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G31" i="1"/>
  <c r="G6" i="1"/>
  <c r="H6" i="1"/>
  <c r="G7" i="1"/>
  <c r="I7" i="1" s="1"/>
  <c r="H7" i="1"/>
  <c r="G8" i="1"/>
  <c r="H8" i="1"/>
  <c r="G9" i="1"/>
  <c r="I9" i="1" s="1"/>
  <c r="H9" i="1"/>
  <c r="G10" i="1"/>
  <c r="I10" i="1" s="1"/>
  <c r="H10" i="1"/>
  <c r="G11" i="1"/>
  <c r="H11" i="1"/>
  <c r="G12" i="1"/>
  <c r="I12" i="1" s="1"/>
  <c r="H12" i="1"/>
  <c r="G13" i="1"/>
  <c r="I13" i="1" s="1"/>
  <c r="H13" i="1"/>
  <c r="G14" i="1"/>
  <c r="I14" i="1" s="1"/>
  <c r="H14" i="1"/>
  <c r="G15" i="1"/>
  <c r="I15" i="1" s="1"/>
  <c r="H15" i="1"/>
  <c r="G16" i="1"/>
  <c r="H16" i="1"/>
  <c r="I16" i="1" s="1"/>
  <c r="G17" i="1"/>
  <c r="H17" i="1"/>
  <c r="G18" i="1"/>
  <c r="H18" i="1"/>
  <c r="I18" i="1" s="1"/>
  <c r="G19" i="1"/>
  <c r="H19" i="1"/>
  <c r="G20" i="1"/>
  <c r="H20" i="1"/>
  <c r="G21" i="1"/>
  <c r="H21" i="1"/>
  <c r="H22" i="1"/>
  <c r="G23" i="1"/>
  <c r="H23" i="1"/>
  <c r="G24" i="1"/>
  <c r="H24" i="1"/>
  <c r="I8" i="1"/>
  <c r="K6" i="1"/>
  <c r="L6" i="1"/>
  <c r="J7" i="1"/>
  <c r="M7" i="1" s="1"/>
  <c r="K7" i="1"/>
  <c r="L7" i="1"/>
  <c r="J8" i="1"/>
  <c r="M8" i="1" s="1"/>
  <c r="K8" i="1"/>
  <c r="L8" i="1"/>
  <c r="J9" i="1"/>
  <c r="M9" i="1" s="1"/>
  <c r="K9" i="1"/>
  <c r="L9" i="1"/>
  <c r="J10" i="1"/>
  <c r="K10" i="1"/>
  <c r="M10" i="1" s="1"/>
  <c r="L10" i="1"/>
  <c r="K11" i="1"/>
  <c r="L11" i="1"/>
  <c r="J12" i="1"/>
  <c r="K12" i="1"/>
  <c r="L12" i="1"/>
  <c r="K13" i="1"/>
  <c r="L13" i="1"/>
  <c r="J14" i="1"/>
  <c r="K14" i="1"/>
  <c r="L14" i="1"/>
  <c r="J15" i="1"/>
  <c r="K15" i="1"/>
  <c r="L15" i="1"/>
  <c r="J16" i="1"/>
  <c r="M16" i="1" s="1"/>
  <c r="K16" i="1"/>
  <c r="L16" i="1"/>
  <c r="J17" i="1"/>
  <c r="M17" i="1" s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M20" i="1"/>
  <c r="M21" i="1"/>
  <c r="K5" i="1"/>
  <c r="L5" i="1"/>
  <c r="J5" i="1"/>
  <c r="H5" i="1"/>
  <c r="G5" i="1"/>
  <c r="B6" i="1"/>
  <c r="E6" i="1"/>
  <c r="F6" i="1"/>
  <c r="B7" i="1"/>
  <c r="F7" i="1"/>
  <c r="C8" i="1"/>
  <c r="F8" i="1"/>
  <c r="B9" i="1"/>
  <c r="C9" i="1"/>
  <c r="D9" i="1"/>
  <c r="E9" i="1"/>
  <c r="F9" i="1"/>
  <c r="B10" i="1"/>
  <c r="C10" i="1"/>
  <c r="D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C5" i="1"/>
  <c r="D5" i="1"/>
  <c r="E5" i="1"/>
  <c r="F5" i="1"/>
  <c r="I5" i="1"/>
  <c r="M5" i="1"/>
  <c r="I6" i="1"/>
  <c r="I11" i="1"/>
  <c r="I21" i="1"/>
  <c r="I23" i="1"/>
  <c r="BQ169" i="6"/>
  <c r="BQ168" i="6"/>
  <c r="BQ167" i="6"/>
  <c r="BQ166" i="6"/>
  <c r="BQ165" i="6"/>
  <c r="BQ164" i="6"/>
  <c r="BQ121" i="6"/>
  <c r="BQ120" i="6"/>
  <c r="BQ119" i="6"/>
  <c r="BQ118" i="6"/>
  <c r="BQ117" i="6"/>
  <c r="BQ116" i="6"/>
  <c r="BQ115" i="6"/>
  <c r="BQ114" i="6"/>
  <c r="BQ113" i="6"/>
  <c r="BQ112" i="6"/>
  <c r="BQ111" i="6"/>
  <c r="BQ110" i="6"/>
  <c r="BQ109" i="6"/>
  <c r="BQ108" i="6"/>
  <c r="BQ107" i="6"/>
  <c r="BQ106" i="6"/>
  <c r="BQ105" i="6"/>
  <c r="BQ104" i="6"/>
  <c r="BQ103" i="6"/>
  <c r="BQ102" i="6"/>
  <c r="BQ97" i="6"/>
  <c r="BQ96" i="6"/>
  <c r="BQ95" i="6"/>
  <c r="BQ94" i="6"/>
  <c r="BQ93" i="6"/>
  <c r="BQ92" i="6"/>
  <c r="BQ91" i="6"/>
  <c r="BQ90" i="6"/>
  <c r="BQ89" i="6"/>
  <c r="BQ88" i="6"/>
  <c r="BQ87" i="6"/>
  <c r="BQ86" i="6"/>
  <c r="BQ85" i="6"/>
  <c r="BQ84" i="6"/>
  <c r="BQ83" i="6"/>
  <c r="BQ82" i="6"/>
  <c r="BQ81" i="6"/>
  <c r="BQ80" i="6"/>
  <c r="BQ79" i="6"/>
  <c r="BQ78" i="6"/>
  <c r="BM170" i="6"/>
  <c r="BL170" i="6"/>
  <c r="BK170" i="6"/>
  <c r="BJ170" i="6"/>
  <c r="BI170" i="6"/>
  <c r="BH170" i="6"/>
  <c r="BP122" i="6"/>
  <c r="BO122" i="6"/>
  <c r="BN122" i="6"/>
  <c r="BM122" i="6"/>
  <c r="BL122" i="6"/>
  <c r="BK122" i="6"/>
  <c r="BJ122" i="6"/>
  <c r="BI122" i="6"/>
  <c r="BH122" i="6"/>
  <c r="BG122" i="6"/>
  <c r="BF122" i="6"/>
  <c r="BE122" i="6"/>
  <c r="BD122" i="6"/>
  <c r="BC122" i="6"/>
  <c r="BB122" i="6"/>
  <c r="BA122" i="6"/>
  <c r="AZ122" i="6"/>
  <c r="AY122" i="6"/>
  <c r="AX122" i="6"/>
  <c r="AW122" i="6"/>
  <c r="BP98" i="6"/>
  <c r="BO98" i="6"/>
  <c r="BN98" i="6"/>
  <c r="BM98" i="6"/>
  <c r="BL98" i="6"/>
  <c r="BK98" i="6"/>
  <c r="BJ98" i="6"/>
  <c r="BI98" i="6"/>
  <c r="BH98" i="6"/>
  <c r="BG98" i="6"/>
  <c r="BF98" i="6"/>
  <c r="BE98" i="6"/>
  <c r="BD98" i="6"/>
  <c r="BC98" i="6"/>
  <c r="BB98" i="6"/>
  <c r="BA98" i="6"/>
  <c r="AZ98" i="6"/>
  <c r="AY98" i="6"/>
  <c r="AX98" i="6"/>
  <c r="AW98" i="6"/>
  <c r="BP50" i="6"/>
  <c r="BO50" i="6"/>
  <c r="BN50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BQ49" i="6"/>
  <c r="BQ48" i="6"/>
  <c r="BQ47" i="6"/>
  <c r="BQ46" i="6"/>
  <c r="BQ45" i="6"/>
  <c r="BQ44" i="6"/>
  <c r="BQ43" i="6"/>
  <c r="BQ42" i="6"/>
  <c r="BQ41" i="6"/>
  <c r="BQ40" i="6"/>
  <c r="BQ39" i="6"/>
  <c r="BQ38" i="6"/>
  <c r="BQ37" i="6"/>
  <c r="BQ36" i="6"/>
  <c r="BQ35" i="6"/>
  <c r="BQ34" i="6"/>
  <c r="BQ33" i="6"/>
  <c r="BQ32" i="6"/>
  <c r="BQ31" i="6"/>
  <c r="BQ30" i="6"/>
  <c r="AX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O26" i="6"/>
  <c r="BP26" i="6"/>
  <c r="BQ25" i="6"/>
  <c r="BQ24" i="6"/>
  <c r="BQ23" i="6"/>
  <c r="BQ22" i="6"/>
  <c r="BQ21" i="6"/>
  <c r="BQ20" i="6"/>
  <c r="BQ19" i="6"/>
  <c r="BQ18" i="6"/>
  <c r="BQ17" i="6"/>
  <c r="BQ16" i="6"/>
  <c r="BQ15" i="6"/>
  <c r="BQ14" i="6"/>
  <c r="BQ13" i="6"/>
  <c r="BQ12" i="6"/>
  <c r="BQ10" i="6"/>
  <c r="BM146" i="6" l="1"/>
  <c r="BL146" i="6"/>
  <c r="BK146" i="6"/>
  <c r="BJ146" i="6"/>
  <c r="BI146" i="6"/>
  <c r="BJ74" i="6"/>
  <c r="BI74" i="6"/>
  <c r="G22" i="1"/>
  <c r="BG170" i="6"/>
  <c r="BF170" i="6"/>
  <c r="BE170" i="6"/>
  <c r="BD170" i="6"/>
  <c r="BC170" i="6"/>
  <c r="AY170" i="6"/>
  <c r="AX170" i="6"/>
  <c r="BQ160" i="6"/>
  <c r="B171" i="1"/>
  <c r="BG146" i="6"/>
  <c r="BF146" i="6"/>
  <c r="BE146" i="6"/>
  <c r="BD146" i="6"/>
  <c r="BC146" i="6"/>
  <c r="H75" i="1"/>
  <c r="BQ70" i="6"/>
  <c r="H70" i="1"/>
  <c r="M15" i="1"/>
  <c r="B170" i="1"/>
  <c r="BQ159" i="6"/>
  <c r="B169" i="1"/>
  <c r="BQ158" i="6"/>
  <c r="B168" i="1"/>
  <c r="BQ157" i="6"/>
  <c r="B167" i="1"/>
  <c r="BQ156" i="6"/>
  <c r="B166" i="1"/>
  <c r="BQ155" i="6"/>
  <c r="F165" i="1"/>
  <c r="BQ154" i="6"/>
  <c r="B164" i="1"/>
  <c r="BQ153" i="6"/>
  <c r="B163" i="1"/>
  <c r="BQ152" i="6"/>
  <c r="L162" i="1"/>
  <c r="BP170" i="6"/>
  <c r="K162" i="1"/>
  <c r="BO170" i="6"/>
  <c r="J162" i="1"/>
  <c r="BN170" i="6"/>
  <c r="G162" i="1"/>
  <c r="BB170" i="6"/>
  <c r="F162" i="1"/>
  <c r="BA170" i="6"/>
  <c r="E162" i="1"/>
  <c r="AZ170" i="6"/>
  <c r="B162" i="1"/>
  <c r="BQ151" i="6"/>
  <c r="B161" i="1"/>
  <c r="BQ150" i="6"/>
  <c r="AW170" i="6"/>
  <c r="BQ145" i="6"/>
  <c r="B154" i="1"/>
  <c r="BQ144" i="6"/>
  <c r="B153" i="1"/>
  <c r="B152" i="1"/>
  <c r="BQ143" i="6"/>
  <c r="B151" i="1"/>
  <c r="BQ142" i="6"/>
  <c r="B150" i="1"/>
  <c r="BQ141" i="6"/>
  <c r="B149" i="1"/>
  <c r="BQ140" i="6"/>
  <c r="B148" i="1"/>
  <c r="BQ139" i="6"/>
  <c r="BQ138" i="6"/>
  <c r="B147" i="1"/>
  <c r="BH146" i="6"/>
  <c r="H146" i="1"/>
  <c r="BQ137" i="6"/>
  <c r="B146" i="1"/>
  <c r="BQ136" i="6"/>
  <c r="B145" i="1"/>
  <c r="BQ135" i="6"/>
  <c r="B144" i="1"/>
  <c r="BQ134" i="6"/>
  <c r="B143" i="1"/>
  <c r="B142" i="1"/>
  <c r="BQ133" i="6"/>
  <c r="B141" i="1"/>
  <c r="BQ132" i="6"/>
  <c r="BQ131" i="6"/>
  <c r="B140" i="1"/>
  <c r="BQ130" i="6"/>
  <c r="F139" i="1"/>
  <c r="B138" i="1"/>
  <c r="BQ129" i="6"/>
  <c r="BQ128" i="6"/>
  <c r="B137" i="1"/>
  <c r="L136" i="1"/>
  <c r="BP146" i="6"/>
  <c r="BO146" i="6"/>
  <c r="K136" i="1"/>
  <c r="J136" i="1"/>
  <c r="BN146" i="6"/>
  <c r="G136" i="1"/>
  <c r="BB146" i="6"/>
  <c r="BA146" i="6"/>
  <c r="F136" i="1"/>
  <c r="E136" i="1"/>
  <c r="AZ146" i="6"/>
  <c r="BQ127" i="6"/>
  <c r="B136" i="1"/>
  <c r="D135" i="1"/>
  <c r="AY146" i="6"/>
  <c r="C135" i="1"/>
  <c r="AX146" i="6"/>
  <c r="BQ126" i="6"/>
  <c r="AW146" i="6"/>
  <c r="B135" i="1"/>
  <c r="BQ122" i="6"/>
  <c r="BQ98" i="6"/>
  <c r="BQ68" i="6"/>
  <c r="B71" i="1"/>
  <c r="B70" i="1"/>
  <c r="BQ67" i="6"/>
  <c r="BQ66" i="6"/>
  <c r="B69" i="1"/>
  <c r="BH74" i="6"/>
  <c r="H68" i="1"/>
  <c r="BQ65" i="6"/>
  <c r="B68" i="1"/>
  <c r="BQ64" i="6"/>
  <c r="B67" i="1"/>
  <c r="B66" i="1"/>
  <c r="BQ63" i="6"/>
  <c r="BQ62" i="6"/>
  <c r="B65" i="1"/>
  <c r="BQ61" i="6"/>
  <c r="B64" i="1"/>
  <c r="BQ60" i="6"/>
  <c r="B63" i="1"/>
  <c r="BQ59" i="6"/>
  <c r="B62" i="1"/>
  <c r="F61" i="1"/>
  <c r="BQ58" i="6"/>
  <c r="B60" i="1"/>
  <c r="BQ57" i="6"/>
  <c r="B59" i="1"/>
  <c r="BQ56" i="6"/>
  <c r="L58" i="1"/>
  <c r="BP74" i="6"/>
  <c r="K58" i="1"/>
  <c r="BO74" i="6"/>
  <c r="BN74" i="6"/>
  <c r="J58" i="1"/>
  <c r="G58" i="1"/>
  <c r="BB74" i="6"/>
  <c r="F58" i="1"/>
  <c r="BA74" i="6"/>
  <c r="E58" i="1"/>
  <c r="AZ74" i="6"/>
  <c r="B58" i="1"/>
  <c r="BQ55" i="6"/>
  <c r="D57" i="1"/>
  <c r="AY74" i="6"/>
  <c r="C57" i="1"/>
  <c r="AX74" i="6"/>
  <c r="B57" i="1"/>
  <c r="BQ54" i="6"/>
  <c r="AW74" i="6"/>
  <c r="BQ50" i="6"/>
  <c r="I22" i="1"/>
  <c r="I17" i="1"/>
  <c r="I19" i="1"/>
  <c r="I20" i="1"/>
  <c r="I24" i="1"/>
  <c r="M11" i="1"/>
  <c r="M13" i="1"/>
  <c r="M12" i="1"/>
  <c r="M14" i="1"/>
  <c r="M22" i="1"/>
  <c r="M19" i="1"/>
  <c r="M24" i="1"/>
  <c r="M23" i="1"/>
  <c r="M18" i="1"/>
  <c r="J6" i="1"/>
  <c r="M6" i="1" s="1"/>
  <c r="BN26" i="6"/>
  <c r="E10" i="1"/>
  <c r="BQ11" i="6"/>
  <c r="E7" i="1"/>
  <c r="AZ26" i="6"/>
  <c r="D6" i="1"/>
  <c r="AY26" i="6"/>
  <c r="BQ7" i="6"/>
  <c r="D7" i="1"/>
  <c r="BQ8" i="6"/>
  <c r="B8" i="1"/>
  <c r="BQ9" i="6"/>
  <c r="BQ26" i="6" s="1"/>
  <c r="BQ6" i="6"/>
  <c r="B5" i="1"/>
  <c r="AW26" i="6"/>
  <c r="BQ170" i="6" l="1"/>
  <c r="BQ146" i="6"/>
  <c r="BQ74" i="6"/>
  <c r="E9" i="8"/>
  <c r="BM148" i="1" l="1"/>
  <c r="BL148" i="1"/>
  <c r="DG148" i="1" s="1"/>
  <c r="BM142" i="1"/>
  <c r="BL142" i="1"/>
  <c r="BM174" i="1"/>
  <c r="BL174" i="1"/>
  <c r="DG174" i="1" s="1"/>
  <c r="BM168" i="1"/>
  <c r="DI168" i="1" s="1"/>
  <c r="BL168" i="1"/>
  <c r="DG168" i="1" s="1"/>
  <c r="BV200" i="1"/>
  <c r="EA200" i="1" s="1"/>
  <c r="BU200" i="1"/>
  <c r="DY200" i="1" s="1"/>
  <c r="BT200" i="1"/>
  <c r="DW200" i="1" s="1"/>
  <c r="BS200" i="1"/>
  <c r="BR200" i="1"/>
  <c r="BQ200" i="1"/>
  <c r="DQ200" i="1" s="1"/>
  <c r="BP200" i="1"/>
  <c r="DO200" i="1" s="1"/>
  <c r="BO200" i="1"/>
  <c r="DM200" i="1" s="1"/>
  <c r="BN200" i="1"/>
  <c r="BM200" i="1"/>
  <c r="DI200" i="1" s="1"/>
  <c r="BL200" i="1"/>
  <c r="DG200" i="1" s="1"/>
  <c r="BK200" i="1"/>
  <c r="DE200" i="1" s="1"/>
  <c r="BV194" i="1"/>
  <c r="BU194" i="1"/>
  <c r="DY194" i="1" s="1"/>
  <c r="BT194" i="1"/>
  <c r="DW194" i="1" s="1"/>
  <c r="BS194" i="1"/>
  <c r="DU194" i="1" s="1"/>
  <c r="BR194" i="1"/>
  <c r="DS194" i="1" s="1"/>
  <c r="BQ194" i="1"/>
  <c r="DQ194" i="1" s="1"/>
  <c r="BP194" i="1"/>
  <c r="BO194" i="1"/>
  <c r="BN194" i="1"/>
  <c r="BM194" i="1"/>
  <c r="DI194" i="1" s="1"/>
  <c r="BL194" i="1"/>
  <c r="DG194" i="1" s="1"/>
  <c r="BK194" i="1"/>
  <c r="DE194" i="1" s="1"/>
  <c r="DS200" i="1"/>
  <c r="BG200" i="1"/>
  <c r="DZ200" i="1" s="1"/>
  <c r="BF200" i="1"/>
  <c r="DX200" i="1" s="1"/>
  <c r="BE200" i="1"/>
  <c r="DV200" i="1" s="1"/>
  <c r="BD200" i="1"/>
  <c r="DT200" i="1" s="1"/>
  <c r="BC200" i="1"/>
  <c r="DR200" i="1" s="1"/>
  <c r="BB200" i="1"/>
  <c r="DP200" i="1" s="1"/>
  <c r="BA200" i="1"/>
  <c r="DN200" i="1" s="1"/>
  <c r="AZ200" i="1"/>
  <c r="DL200" i="1" s="1"/>
  <c r="AY200" i="1"/>
  <c r="DJ200" i="1" s="1"/>
  <c r="AX200" i="1"/>
  <c r="DH200" i="1" s="1"/>
  <c r="AW200" i="1"/>
  <c r="DF200" i="1" s="1"/>
  <c r="AV200" i="1"/>
  <c r="DD200" i="1" s="1"/>
  <c r="BG194" i="1"/>
  <c r="DZ194" i="1" s="1"/>
  <c r="BF194" i="1"/>
  <c r="DX194" i="1" s="1"/>
  <c r="BE194" i="1"/>
  <c r="DV194" i="1" s="1"/>
  <c r="BD194" i="1"/>
  <c r="DT194" i="1" s="1"/>
  <c r="BC194" i="1"/>
  <c r="DR194" i="1" s="1"/>
  <c r="BB194" i="1"/>
  <c r="DP194" i="1" s="1"/>
  <c r="BA194" i="1"/>
  <c r="DN194" i="1" s="1"/>
  <c r="AZ194" i="1"/>
  <c r="DL194" i="1" s="1"/>
  <c r="AY194" i="1"/>
  <c r="DJ194" i="1" s="1"/>
  <c r="AX194" i="1"/>
  <c r="DH194" i="1" s="1"/>
  <c r="AW194" i="1"/>
  <c r="DF194" i="1" s="1"/>
  <c r="AV194" i="1"/>
  <c r="DD194" i="1" s="1"/>
  <c r="AW174" i="1"/>
  <c r="DF174" i="1" s="1"/>
  <c r="AX174" i="1"/>
  <c r="DH174" i="1" s="1"/>
  <c r="AX168" i="1"/>
  <c r="DH168" i="1" s="1"/>
  <c r="AW168" i="1"/>
  <c r="DF168" i="1" s="1"/>
  <c r="AV142" i="1"/>
  <c r="DD142" i="1" s="1"/>
  <c r="AW142" i="1"/>
  <c r="DF142" i="1" s="1"/>
  <c r="AX142" i="1"/>
  <c r="DH142" i="1" s="1"/>
  <c r="AY142" i="1"/>
  <c r="DJ142" i="1" s="1"/>
  <c r="AZ142" i="1"/>
  <c r="DL142" i="1" s="1"/>
  <c r="BA142" i="1"/>
  <c r="BB142" i="1"/>
  <c r="DP142" i="1" s="1"/>
  <c r="BC142" i="1"/>
  <c r="DR142" i="1" s="1"/>
  <c r="BD142" i="1"/>
  <c r="DT142" i="1" s="1"/>
  <c r="BE142" i="1"/>
  <c r="DV142" i="1" s="1"/>
  <c r="BF142" i="1"/>
  <c r="DX142" i="1" s="1"/>
  <c r="BG142" i="1"/>
  <c r="DZ142" i="1" s="1"/>
  <c r="BH142" i="1"/>
  <c r="EB142" i="1" s="1"/>
  <c r="AV148" i="1"/>
  <c r="DD148" i="1" s="1"/>
  <c r="AW148" i="1"/>
  <c r="DF148" i="1" s="1"/>
  <c r="AX148" i="1"/>
  <c r="DH148" i="1" s="1"/>
  <c r="AY148" i="1"/>
  <c r="DJ148" i="1" s="1"/>
  <c r="AZ148" i="1"/>
  <c r="DL148" i="1" s="1"/>
  <c r="BA148" i="1"/>
  <c r="DN148" i="1" s="1"/>
  <c r="BB148" i="1"/>
  <c r="BC148" i="1"/>
  <c r="DR148" i="1" s="1"/>
  <c r="BD148" i="1"/>
  <c r="DT148" i="1" s="1"/>
  <c r="BE148" i="1"/>
  <c r="DV148" i="1" s="1"/>
  <c r="BF148" i="1"/>
  <c r="DX148" i="1" s="1"/>
  <c r="BG148" i="1"/>
  <c r="DZ148" i="1" s="1"/>
  <c r="BH148" i="1"/>
  <c r="EB148" i="1" s="1"/>
  <c r="AV116" i="1"/>
  <c r="DD116" i="1" s="1"/>
  <c r="AW116" i="1"/>
  <c r="DF116" i="1" s="1"/>
  <c r="AX116" i="1"/>
  <c r="DH116" i="1" s="1"/>
  <c r="AY116" i="1"/>
  <c r="DJ116" i="1" s="1"/>
  <c r="AZ116" i="1"/>
  <c r="DL116" i="1" s="1"/>
  <c r="BA116" i="1"/>
  <c r="BB116" i="1"/>
  <c r="DP116" i="1" s="1"/>
  <c r="BC116" i="1"/>
  <c r="DR116" i="1" s="1"/>
  <c r="BD116" i="1"/>
  <c r="DT116" i="1" s="1"/>
  <c r="BE116" i="1"/>
  <c r="DV116" i="1" s="1"/>
  <c r="BF116" i="1"/>
  <c r="DX116" i="1" s="1"/>
  <c r="BG116" i="1"/>
  <c r="DZ116" i="1" s="1"/>
  <c r="BH116" i="1"/>
  <c r="EB116" i="1" s="1"/>
  <c r="AV122" i="1"/>
  <c r="DD122" i="1" s="1"/>
  <c r="AW122" i="1"/>
  <c r="DF122" i="1" s="1"/>
  <c r="AX122" i="1"/>
  <c r="DH122" i="1" s="1"/>
  <c r="AY122" i="1"/>
  <c r="DJ122" i="1" s="1"/>
  <c r="AZ122" i="1"/>
  <c r="DL122" i="1" s="1"/>
  <c r="BA122" i="1"/>
  <c r="DN122" i="1" s="1"/>
  <c r="BB122" i="1"/>
  <c r="BC122" i="1"/>
  <c r="DR122" i="1" s="1"/>
  <c r="BD122" i="1"/>
  <c r="DT122" i="1" s="1"/>
  <c r="BE122" i="1"/>
  <c r="DV122" i="1" s="1"/>
  <c r="BF122" i="1"/>
  <c r="DX122" i="1" s="1"/>
  <c r="BG122" i="1"/>
  <c r="DZ122" i="1" s="1"/>
  <c r="BH122" i="1"/>
  <c r="EB122" i="1" s="1"/>
  <c r="AV90" i="1"/>
  <c r="DD90" i="1" s="1"/>
  <c r="AW90" i="1"/>
  <c r="DF90" i="1" s="1"/>
  <c r="AX90" i="1"/>
  <c r="DH90" i="1" s="1"/>
  <c r="AY90" i="1"/>
  <c r="DJ90" i="1" s="1"/>
  <c r="AZ90" i="1"/>
  <c r="DL90" i="1" s="1"/>
  <c r="BA90" i="1"/>
  <c r="BB90" i="1"/>
  <c r="DP90" i="1" s="1"/>
  <c r="BC90" i="1"/>
  <c r="DR90" i="1" s="1"/>
  <c r="BD90" i="1"/>
  <c r="DT90" i="1" s="1"/>
  <c r="BE90" i="1"/>
  <c r="DV90" i="1" s="1"/>
  <c r="BF90" i="1"/>
  <c r="DX90" i="1" s="1"/>
  <c r="BG90" i="1"/>
  <c r="DZ90" i="1" s="1"/>
  <c r="BH90" i="1"/>
  <c r="EB90" i="1" s="1"/>
  <c r="AV96" i="1"/>
  <c r="DD96" i="1" s="1"/>
  <c r="AW96" i="1"/>
  <c r="DF96" i="1" s="1"/>
  <c r="AX96" i="1"/>
  <c r="DH96" i="1" s="1"/>
  <c r="AY96" i="1"/>
  <c r="DJ96" i="1" s="1"/>
  <c r="AZ96" i="1"/>
  <c r="DL96" i="1" s="1"/>
  <c r="BA96" i="1"/>
  <c r="DN96" i="1" s="1"/>
  <c r="BB96" i="1"/>
  <c r="BC96" i="1"/>
  <c r="DR96" i="1" s="1"/>
  <c r="BD96" i="1"/>
  <c r="DT96" i="1" s="1"/>
  <c r="BE96" i="1"/>
  <c r="DV96" i="1" s="1"/>
  <c r="BF96" i="1"/>
  <c r="DX96" i="1" s="1"/>
  <c r="BG96" i="1"/>
  <c r="DZ96" i="1" s="1"/>
  <c r="BH96" i="1"/>
  <c r="EB96" i="1" s="1"/>
  <c r="AV64" i="1"/>
  <c r="DD64" i="1" s="1"/>
  <c r="AW64" i="1"/>
  <c r="DF64" i="1" s="1"/>
  <c r="AX64" i="1"/>
  <c r="DH64" i="1" s="1"/>
  <c r="AY64" i="1"/>
  <c r="DJ64" i="1" s="1"/>
  <c r="AZ64" i="1"/>
  <c r="DL64" i="1" s="1"/>
  <c r="BA64" i="1"/>
  <c r="BB64" i="1"/>
  <c r="DP64" i="1" s="1"/>
  <c r="BC64" i="1"/>
  <c r="DR64" i="1" s="1"/>
  <c r="BD64" i="1"/>
  <c r="DT64" i="1" s="1"/>
  <c r="BE64" i="1"/>
  <c r="DV64" i="1" s="1"/>
  <c r="BF64" i="1"/>
  <c r="DX64" i="1" s="1"/>
  <c r="BG64" i="1"/>
  <c r="DZ64" i="1" s="1"/>
  <c r="AV70" i="1"/>
  <c r="DD70" i="1" s="1"/>
  <c r="AW70" i="1"/>
  <c r="DF70" i="1" s="1"/>
  <c r="AX70" i="1"/>
  <c r="DH70" i="1" s="1"/>
  <c r="AY70" i="1"/>
  <c r="DJ70" i="1" s="1"/>
  <c r="AZ70" i="1"/>
  <c r="DL70" i="1" s="1"/>
  <c r="BA70" i="1"/>
  <c r="DN70" i="1" s="1"/>
  <c r="BB70" i="1"/>
  <c r="BC70" i="1"/>
  <c r="DR70" i="1" s="1"/>
  <c r="BD70" i="1"/>
  <c r="DT70" i="1" s="1"/>
  <c r="BE70" i="1"/>
  <c r="DV70" i="1" s="1"/>
  <c r="BF70" i="1"/>
  <c r="DX70" i="1" s="1"/>
  <c r="BG70" i="1"/>
  <c r="DZ70" i="1" s="1"/>
  <c r="AV38" i="1"/>
  <c r="DD38" i="1" s="1"/>
  <c r="AW38" i="1"/>
  <c r="DF38" i="1" s="1"/>
  <c r="AX38" i="1"/>
  <c r="DH38" i="1" s="1"/>
  <c r="AY38" i="1"/>
  <c r="DJ38" i="1" s="1"/>
  <c r="AZ38" i="1"/>
  <c r="DL38" i="1" s="1"/>
  <c r="BA38" i="1"/>
  <c r="BB38" i="1"/>
  <c r="DP38" i="1" s="1"/>
  <c r="BC38" i="1"/>
  <c r="DR38" i="1" s="1"/>
  <c r="BD38" i="1"/>
  <c r="DT38" i="1" s="1"/>
  <c r="BE38" i="1"/>
  <c r="DV38" i="1" s="1"/>
  <c r="BF38" i="1"/>
  <c r="DX38" i="1" s="1"/>
  <c r="BG38" i="1"/>
  <c r="DZ38" i="1" s="1"/>
  <c r="BH38" i="1"/>
  <c r="EB38" i="1" s="1"/>
  <c r="AV44" i="1"/>
  <c r="DD44" i="1" s="1"/>
  <c r="AW44" i="1"/>
  <c r="DF44" i="1" s="1"/>
  <c r="AX44" i="1"/>
  <c r="DH44" i="1" s="1"/>
  <c r="AY44" i="1"/>
  <c r="DJ44" i="1" s="1"/>
  <c r="AZ44" i="1"/>
  <c r="DL44" i="1" s="1"/>
  <c r="BA44" i="1"/>
  <c r="DN44" i="1" s="1"/>
  <c r="BB44" i="1"/>
  <c r="BC44" i="1"/>
  <c r="DR44" i="1" s="1"/>
  <c r="BD44" i="1"/>
  <c r="DT44" i="1" s="1"/>
  <c r="BE44" i="1"/>
  <c r="DV44" i="1" s="1"/>
  <c r="BF44" i="1"/>
  <c r="DX44" i="1" s="1"/>
  <c r="BG44" i="1"/>
  <c r="DZ44" i="1" s="1"/>
  <c r="BH44" i="1"/>
  <c r="EB44" i="1" s="1"/>
  <c r="AQ148" i="1" a="1"/>
  <c r="AQ148" i="1" s="1"/>
  <c r="AP148" i="1" a="1"/>
  <c r="AP148" i="1" s="1"/>
  <c r="AO148" i="1" a="1"/>
  <c r="AO148" i="1" s="1"/>
  <c r="AM148" i="1" a="1"/>
  <c r="AM148" i="1" s="1"/>
  <c r="AL148" i="1" a="1"/>
  <c r="AL148" i="1" s="1"/>
  <c r="AK148" i="1" a="1"/>
  <c r="AK148" i="1" s="1"/>
  <c r="AJ148" i="1" a="1"/>
  <c r="AJ148" i="1" s="1"/>
  <c r="AI148" i="1" a="1"/>
  <c r="AI148" i="1" s="1"/>
  <c r="AH148" i="1" a="1"/>
  <c r="AH148" i="1" s="1"/>
  <c r="AG148" i="1" a="1"/>
  <c r="AG148" i="1" s="1"/>
  <c r="AQ142" i="1" a="1"/>
  <c r="AQ142" i="1" s="1"/>
  <c r="AP142" i="1" a="1"/>
  <c r="AP142" i="1" s="1"/>
  <c r="AO142" i="1" a="1"/>
  <c r="AO142" i="1" s="1"/>
  <c r="AM142" i="1" a="1"/>
  <c r="AM142" i="1" s="1"/>
  <c r="AL142" i="1" a="1"/>
  <c r="AL142" i="1" s="1"/>
  <c r="AN142" i="1" s="1"/>
  <c r="AK142" i="1" a="1"/>
  <c r="AK142" i="1" s="1"/>
  <c r="AJ142" i="1" a="1"/>
  <c r="AJ142" i="1" s="1"/>
  <c r="AI142" i="1" a="1"/>
  <c r="AI142" i="1" s="1"/>
  <c r="AH142" i="1" a="1"/>
  <c r="AH142" i="1" s="1"/>
  <c r="AG142" i="1" a="1"/>
  <c r="AG142" i="1" s="1"/>
  <c r="CB200" i="1"/>
  <c r="CA200" i="1"/>
  <c r="CB194" i="1"/>
  <c r="CA194" i="1"/>
  <c r="AQ174" i="1" a="1"/>
  <c r="AQ174" i="1" s="1"/>
  <c r="AP174" i="1" a="1"/>
  <c r="AP174" i="1" s="1"/>
  <c r="AO174" i="1" a="1"/>
  <c r="AO174" i="1" s="1"/>
  <c r="AM174" i="1" a="1"/>
  <c r="AM174" i="1" s="1"/>
  <c r="AL174" i="1" a="1"/>
  <c r="AL174" i="1" s="1"/>
  <c r="AK174" i="1" a="1"/>
  <c r="AK174" i="1" s="1"/>
  <c r="AJ174" i="1" a="1"/>
  <c r="AJ174" i="1" s="1"/>
  <c r="AI174" i="1" a="1"/>
  <c r="AI174" i="1" s="1"/>
  <c r="AH174" i="1" a="1"/>
  <c r="AH174" i="1" s="1"/>
  <c r="AG174" i="1" a="1"/>
  <c r="AG174" i="1" s="1"/>
  <c r="AQ168" i="1" a="1"/>
  <c r="AQ168" i="1" s="1"/>
  <c r="AP168" i="1" a="1"/>
  <c r="AP168" i="1" s="1"/>
  <c r="AO168" i="1" a="1"/>
  <c r="AO168" i="1" s="1"/>
  <c r="AM168" i="1" a="1"/>
  <c r="AM168" i="1" s="1"/>
  <c r="AL168" i="1" a="1"/>
  <c r="AL168" i="1" s="1"/>
  <c r="AN168" i="1" s="1"/>
  <c r="AK168" i="1" a="1"/>
  <c r="AK168" i="1" s="1"/>
  <c r="AJ168" i="1" a="1"/>
  <c r="AJ168" i="1" s="1"/>
  <c r="AI168" i="1" a="1"/>
  <c r="AI168" i="1" s="1"/>
  <c r="AH168" i="1" a="1"/>
  <c r="AH168" i="1" s="1"/>
  <c r="AG168" i="1" a="1"/>
  <c r="AG168" i="1" s="1"/>
  <c r="AQ122" i="1" a="1"/>
  <c r="AQ122" i="1" s="1"/>
  <c r="AP122" i="1" a="1"/>
  <c r="AP122" i="1" s="1"/>
  <c r="AO122" i="1" a="1"/>
  <c r="AO122" i="1" s="1"/>
  <c r="AM122" i="1" a="1"/>
  <c r="AM122" i="1" s="1"/>
  <c r="AL122" i="1" a="1"/>
  <c r="AL122" i="1" s="1"/>
  <c r="AK122" i="1" a="1"/>
  <c r="AK122" i="1" s="1"/>
  <c r="AJ122" i="1" a="1"/>
  <c r="AJ122" i="1" s="1"/>
  <c r="AI122" i="1" a="1"/>
  <c r="AI122" i="1" s="1"/>
  <c r="AH122" i="1" a="1"/>
  <c r="AH122" i="1" s="1"/>
  <c r="AG122" i="1" a="1"/>
  <c r="AG122" i="1" s="1"/>
  <c r="AQ116" i="1" a="1"/>
  <c r="AQ116" i="1" s="1"/>
  <c r="AP116" i="1" a="1"/>
  <c r="AP116" i="1" s="1"/>
  <c r="AO116" i="1" a="1"/>
  <c r="AO116" i="1" s="1"/>
  <c r="AM116" i="1" a="1"/>
  <c r="AM116" i="1" s="1"/>
  <c r="AL116" i="1" a="1"/>
  <c r="AL116" i="1" s="1"/>
  <c r="AN116" i="1" s="1"/>
  <c r="AK116" i="1" a="1"/>
  <c r="AK116" i="1" s="1"/>
  <c r="AJ116" i="1" a="1"/>
  <c r="AJ116" i="1" s="1"/>
  <c r="AI116" i="1" a="1"/>
  <c r="AI116" i="1" s="1"/>
  <c r="AH116" i="1" a="1"/>
  <c r="AH116" i="1" s="1"/>
  <c r="AG116" i="1" a="1"/>
  <c r="AG116" i="1" s="1"/>
  <c r="AQ96" i="1" a="1"/>
  <c r="AQ96" i="1" s="1"/>
  <c r="AP96" i="1" a="1"/>
  <c r="AP96" i="1" s="1"/>
  <c r="AO96" i="1" a="1"/>
  <c r="AO96" i="1" s="1"/>
  <c r="AM96" i="1" a="1"/>
  <c r="AM96" i="1" s="1"/>
  <c r="AL96" i="1" a="1"/>
  <c r="AL96" i="1" s="1"/>
  <c r="AK96" i="1" a="1"/>
  <c r="AK96" i="1" s="1"/>
  <c r="AJ96" i="1" a="1"/>
  <c r="AJ96" i="1" s="1"/>
  <c r="AI96" i="1" a="1"/>
  <c r="AI96" i="1" s="1"/>
  <c r="AH96" i="1" a="1"/>
  <c r="AH96" i="1" s="1"/>
  <c r="AG96" i="1" a="1"/>
  <c r="AG96" i="1" s="1"/>
  <c r="AQ90" i="1" a="1"/>
  <c r="AQ90" i="1" s="1"/>
  <c r="AP90" i="1" a="1"/>
  <c r="AP90" i="1" s="1"/>
  <c r="AO90" i="1" a="1"/>
  <c r="AO90" i="1" s="1"/>
  <c r="AM90" i="1" a="1"/>
  <c r="AM90" i="1" s="1"/>
  <c r="AL90" i="1" a="1"/>
  <c r="AL90" i="1" s="1"/>
  <c r="AN90" i="1" s="1"/>
  <c r="AK90" i="1" a="1"/>
  <c r="AK90" i="1" s="1"/>
  <c r="AJ90" i="1" a="1"/>
  <c r="AJ90" i="1" s="1"/>
  <c r="AI90" i="1" a="1"/>
  <c r="AI90" i="1" s="1"/>
  <c r="AH90" i="1" a="1"/>
  <c r="AH90" i="1" s="1"/>
  <c r="AG90" i="1" a="1"/>
  <c r="AG90" i="1" s="1"/>
  <c r="AQ70" i="1" a="1"/>
  <c r="AQ70" i="1" s="1"/>
  <c r="AP70" i="1" a="1"/>
  <c r="AP70" i="1" s="1"/>
  <c r="AO70" i="1" a="1"/>
  <c r="AO70" i="1" s="1"/>
  <c r="AM70" i="1" a="1"/>
  <c r="AM70" i="1" s="1"/>
  <c r="AL70" i="1" a="1"/>
  <c r="AL70" i="1" s="1"/>
  <c r="AK70" i="1" a="1"/>
  <c r="AK70" i="1" s="1"/>
  <c r="AJ70" i="1" a="1"/>
  <c r="AJ70" i="1" s="1"/>
  <c r="AI70" i="1" a="1"/>
  <c r="AI70" i="1" s="1"/>
  <c r="AH70" i="1" a="1"/>
  <c r="AH70" i="1" s="1"/>
  <c r="AG70" i="1" a="1"/>
  <c r="AG70" i="1" s="1"/>
  <c r="AQ64" i="1" a="1"/>
  <c r="AQ64" i="1" s="1"/>
  <c r="AP64" i="1" a="1"/>
  <c r="AP64" i="1" s="1"/>
  <c r="AO64" i="1" a="1"/>
  <c r="AO64" i="1" s="1"/>
  <c r="AM64" i="1" a="1"/>
  <c r="AM64" i="1" s="1"/>
  <c r="AL64" i="1" a="1"/>
  <c r="AL64" i="1" s="1"/>
  <c r="AN64" i="1" s="1"/>
  <c r="AK64" i="1" a="1"/>
  <c r="AK64" i="1" s="1"/>
  <c r="AJ64" i="1" a="1"/>
  <c r="AJ64" i="1" s="1"/>
  <c r="AI64" i="1" a="1"/>
  <c r="AI64" i="1" s="1"/>
  <c r="AH64" i="1" a="1"/>
  <c r="AH64" i="1" s="1"/>
  <c r="AG64" i="1" a="1"/>
  <c r="AG64" i="1" s="1"/>
  <c r="AQ44" i="1" a="1"/>
  <c r="AQ44" i="1" s="1"/>
  <c r="AP44" i="1" a="1"/>
  <c r="AP44" i="1" s="1"/>
  <c r="AO44" i="1" a="1"/>
  <c r="AO44" i="1" s="1"/>
  <c r="AM44" i="1" a="1"/>
  <c r="AM44" i="1" s="1"/>
  <c r="AL44" i="1" a="1"/>
  <c r="AL44" i="1" s="1"/>
  <c r="AK44" i="1" a="1"/>
  <c r="AK44" i="1" s="1"/>
  <c r="AJ44" i="1" a="1"/>
  <c r="AJ44" i="1" s="1"/>
  <c r="AI44" i="1" a="1"/>
  <c r="AI44" i="1" s="1"/>
  <c r="AH44" i="1" a="1"/>
  <c r="AH44" i="1" s="1"/>
  <c r="AG44" i="1" a="1"/>
  <c r="AQ38" i="1" a="1"/>
  <c r="AQ38" i="1" s="1"/>
  <c r="AP38" i="1" a="1"/>
  <c r="AP38" i="1" s="1"/>
  <c r="AO38" i="1" a="1"/>
  <c r="AO38" i="1" s="1"/>
  <c r="AM38" i="1" a="1"/>
  <c r="AM38" i="1" s="1"/>
  <c r="AL38" i="1" a="1"/>
  <c r="AL38" i="1" s="1"/>
  <c r="AN38" i="1" s="1"/>
  <c r="AK38" i="1" a="1"/>
  <c r="AK38" i="1" s="1"/>
  <c r="AJ38" i="1" a="1"/>
  <c r="AJ38" i="1" s="1"/>
  <c r="AI38" i="1" a="1"/>
  <c r="AI38" i="1" s="1"/>
  <c r="AH38" i="1" a="1"/>
  <c r="AH38" i="1" s="1"/>
  <c r="AG38" i="1" a="1"/>
  <c r="AG38" i="1" s="1"/>
  <c r="AG49" i="1" a="1"/>
  <c r="DN64" i="1" l="1"/>
  <c r="S19" i="4"/>
  <c r="DP70" i="1"/>
  <c r="S28" i="4"/>
  <c r="DP122" i="1"/>
  <c r="AI28" i="4"/>
  <c r="DN142" i="1"/>
  <c r="AQ19" i="4"/>
  <c r="DP44" i="1"/>
  <c r="K28" i="4"/>
  <c r="DP96" i="1"/>
  <c r="AA28" i="4"/>
  <c r="DN116" i="1"/>
  <c r="AI19" i="4"/>
  <c r="DP148" i="1"/>
  <c r="AQ28" i="4"/>
  <c r="DN38" i="1"/>
  <c r="K19" i="4"/>
  <c r="DN90" i="1"/>
  <c r="AA19" i="4"/>
  <c r="CP200" i="1"/>
  <c r="AR168" i="1"/>
  <c r="CQ174" i="1"/>
  <c r="AR96" i="1"/>
  <c r="CP142" i="1"/>
  <c r="CR194" i="1"/>
  <c r="CP168" i="1"/>
  <c r="CQ168" i="1"/>
  <c r="CP174" i="1"/>
  <c r="CQ148" i="1"/>
  <c r="CO200" i="1"/>
  <c r="DI148" i="1"/>
  <c r="AR64" i="1"/>
  <c r="AS122" i="1"/>
  <c r="AR116" i="1"/>
  <c r="AS116" i="1"/>
  <c r="AR174" i="1"/>
  <c r="AR90" i="1"/>
  <c r="AR122" i="1"/>
  <c r="AS168" i="1"/>
  <c r="AR142" i="1"/>
  <c r="AR148" i="1"/>
  <c r="AS38" i="1"/>
  <c r="AN44" i="1"/>
  <c r="AS174" i="1"/>
  <c r="AR38" i="1"/>
  <c r="AR44" i="1"/>
  <c r="AS90" i="1"/>
  <c r="AS96" i="1"/>
  <c r="I168" i="1"/>
  <c r="N168" i="1" s="1"/>
  <c r="AS70" i="1"/>
  <c r="AR70" i="1"/>
  <c r="AS142" i="1"/>
  <c r="BZ194" i="1"/>
  <c r="CP194" i="1"/>
  <c r="CZ194" i="1"/>
  <c r="CQ142" i="1"/>
  <c r="DI142" i="1"/>
  <c r="AS148" i="1"/>
  <c r="CX200" i="1"/>
  <c r="DK194" i="1"/>
  <c r="CP148" i="1"/>
  <c r="CY200" i="1"/>
  <c r="CZ200" i="1"/>
  <c r="EA194" i="1"/>
  <c r="CT200" i="1"/>
  <c r="CW194" i="1"/>
  <c r="CU200" i="1"/>
  <c r="CQ194" i="1"/>
  <c r="CX194" i="1"/>
  <c r="CV200" i="1"/>
  <c r="BZ200" i="1"/>
  <c r="DI174" i="1"/>
  <c r="DG142" i="1"/>
  <c r="CO194" i="1"/>
  <c r="CY194" i="1"/>
  <c r="CW200" i="1"/>
  <c r="CT194" i="1"/>
  <c r="CQ200" i="1"/>
  <c r="DM194" i="1"/>
  <c r="CU194" i="1"/>
  <c r="CR200" i="1"/>
  <c r="CV194" i="1"/>
  <c r="CS200" i="1"/>
  <c r="DO194" i="1"/>
  <c r="CS194" i="1"/>
  <c r="DK200" i="1"/>
  <c r="DU200" i="1"/>
  <c r="I174" i="1"/>
  <c r="N174" i="1" s="1"/>
  <c r="M168" i="1"/>
  <c r="M174" i="1"/>
  <c r="CL116" i="1" l="1"/>
  <c r="CL38" i="1"/>
  <c r="BW174" i="1"/>
  <c r="EC174" i="1" s="1"/>
  <c r="CL122" i="1"/>
  <c r="CL90" i="1"/>
  <c r="BW168" i="1"/>
  <c r="EC168" i="1" s="1"/>
  <c r="AS64" i="1"/>
  <c r="CL142" i="1"/>
  <c r="AS44" i="1"/>
  <c r="CL148" i="1"/>
  <c r="CL96" i="1"/>
  <c r="B193" i="1"/>
  <c r="D193" i="1"/>
  <c r="J193" i="1"/>
  <c r="B195" i="1"/>
  <c r="D195" i="1"/>
  <c r="G195" i="1"/>
  <c r="K195" i="1"/>
  <c r="L195" i="1"/>
  <c r="B196" i="1"/>
  <c r="D196" i="1"/>
  <c r="F196" i="1"/>
  <c r="G196" i="1"/>
  <c r="B197" i="1"/>
  <c r="D197" i="1"/>
  <c r="F197" i="1"/>
  <c r="G197" i="1"/>
  <c r="B198" i="1"/>
  <c r="D198" i="1"/>
  <c r="F198" i="1"/>
  <c r="G198" i="1"/>
  <c r="J198" i="1"/>
  <c r="K198" i="1"/>
  <c r="L198" i="1"/>
  <c r="B199" i="1"/>
  <c r="D199" i="1"/>
  <c r="F199" i="1"/>
  <c r="B201" i="1"/>
  <c r="D201" i="1"/>
  <c r="F201" i="1"/>
  <c r="G201" i="1"/>
  <c r="B202" i="1"/>
  <c r="D202" i="1"/>
  <c r="F202" i="1"/>
  <c r="G202" i="1"/>
  <c r="J202" i="1"/>
  <c r="K202" i="1"/>
  <c r="L202" i="1"/>
  <c r="B203" i="1"/>
  <c r="D203" i="1"/>
  <c r="L203" i="1"/>
  <c r="B204" i="1"/>
  <c r="D204" i="1"/>
  <c r="F204" i="1"/>
  <c r="B205" i="1"/>
  <c r="D205" i="1"/>
  <c r="G205" i="1"/>
  <c r="J205" i="1"/>
  <c r="B206" i="1"/>
  <c r="G206" i="1"/>
  <c r="K206" i="1"/>
  <c r="L206" i="1"/>
  <c r="B194" i="1"/>
  <c r="D194" i="1"/>
  <c r="F194" i="1"/>
  <c r="G194" i="1"/>
  <c r="L194" i="1"/>
  <c r="B200" i="1"/>
  <c r="D200" i="1"/>
  <c r="F200" i="1"/>
  <c r="G200" i="1"/>
  <c r="J200" i="1"/>
  <c r="K200" i="1"/>
  <c r="L200" i="1"/>
  <c r="BK19" i="1"/>
  <c r="DE19" i="1" s="1"/>
  <c r="BL19" i="1"/>
  <c r="DG19" i="1" s="1"/>
  <c r="BM19" i="1"/>
  <c r="DI19" i="1" s="1"/>
  <c r="BN19" i="1"/>
  <c r="DK19" i="1" s="1"/>
  <c r="BO19" i="1"/>
  <c r="DM19" i="1" s="1"/>
  <c r="BP19" i="1"/>
  <c r="DO19" i="1" s="1"/>
  <c r="BQ19" i="1"/>
  <c r="BR19" i="1"/>
  <c r="DS19" i="1" s="1"/>
  <c r="BS19" i="1"/>
  <c r="DU19" i="1" s="1"/>
  <c r="BT19" i="1"/>
  <c r="DW19" i="1" s="1"/>
  <c r="BU19" i="1"/>
  <c r="DY19" i="1" s="1"/>
  <c r="BV19" i="1"/>
  <c r="EA19" i="1" s="1"/>
  <c r="BK20" i="1"/>
  <c r="DE20" i="1" s="1"/>
  <c r="BL20" i="1"/>
  <c r="DG20" i="1" s="1"/>
  <c r="BM20" i="1"/>
  <c r="DI20" i="1" s="1"/>
  <c r="BN20" i="1"/>
  <c r="DK20" i="1" s="1"/>
  <c r="BO20" i="1"/>
  <c r="DM20" i="1" s="1"/>
  <c r="BP20" i="1"/>
  <c r="DO20" i="1" s="1"/>
  <c r="BQ20" i="1"/>
  <c r="BR20" i="1"/>
  <c r="DS20" i="1" s="1"/>
  <c r="BS20" i="1"/>
  <c r="DU20" i="1" s="1"/>
  <c r="BT20" i="1"/>
  <c r="DW20" i="1" s="1"/>
  <c r="BU20" i="1"/>
  <c r="DY20" i="1" s="1"/>
  <c r="BV20" i="1"/>
  <c r="EA20" i="1" s="1"/>
  <c r="AV19" i="1"/>
  <c r="DD19" i="1" s="1"/>
  <c r="AW19" i="1"/>
  <c r="DF19" i="1" s="1"/>
  <c r="AX19" i="1"/>
  <c r="DH19" i="1" s="1"/>
  <c r="AY19" i="1"/>
  <c r="DJ19" i="1" s="1"/>
  <c r="AZ19" i="1"/>
  <c r="BA19" i="1"/>
  <c r="BB19" i="1"/>
  <c r="BC19" i="1"/>
  <c r="DR19" i="1" s="1"/>
  <c r="BD19" i="1"/>
  <c r="BE19" i="1"/>
  <c r="BF19" i="1"/>
  <c r="DX19" i="1" s="1"/>
  <c r="BG19" i="1"/>
  <c r="DZ19" i="1" s="1"/>
  <c r="AV20" i="1"/>
  <c r="AW20" i="1"/>
  <c r="AX20" i="1"/>
  <c r="DH20" i="1" s="1"/>
  <c r="AY20" i="1"/>
  <c r="DJ20" i="1" s="1"/>
  <c r="AZ20" i="1"/>
  <c r="DL20" i="1" s="1"/>
  <c r="BA20" i="1"/>
  <c r="BB20" i="1"/>
  <c r="C30" i="4" s="1"/>
  <c r="BC20" i="1"/>
  <c r="BD20" i="1"/>
  <c r="BE20" i="1"/>
  <c r="DV20" i="1" s="1"/>
  <c r="BF20" i="1"/>
  <c r="DX20" i="1" s="1"/>
  <c r="BG20" i="1"/>
  <c r="DZ20" i="1" s="1"/>
  <c r="AG19" i="1" a="1"/>
  <c r="AH19" i="1" a="1"/>
  <c r="AH19" i="1" s="1"/>
  <c r="AI19" i="1" a="1"/>
  <c r="AI19" i="1" s="1"/>
  <c r="AJ19" i="1" a="1"/>
  <c r="AJ19" i="1" s="1"/>
  <c r="AK19" i="1" a="1"/>
  <c r="AK19" i="1" s="1"/>
  <c r="AL19" i="1" a="1"/>
  <c r="AL19" i="1" s="1"/>
  <c r="AM19" i="1" a="1"/>
  <c r="AM19" i="1" s="1"/>
  <c r="AO19" i="1" a="1"/>
  <c r="AO19" i="1" s="1"/>
  <c r="AP19" i="1" a="1"/>
  <c r="AP19" i="1" s="1"/>
  <c r="AQ19" i="1" a="1"/>
  <c r="AQ19" i="1" s="1"/>
  <c r="AG20" i="1" a="1"/>
  <c r="AH20" i="1" a="1"/>
  <c r="AH20" i="1" s="1"/>
  <c r="AI20" i="1" a="1"/>
  <c r="AI20" i="1" s="1"/>
  <c r="AJ20" i="1" a="1"/>
  <c r="AJ20" i="1" s="1"/>
  <c r="AK20" i="1" a="1"/>
  <c r="AK20" i="1" s="1"/>
  <c r="AL20" i="1" a="1"/>
  <c r="AL20" i="1" s="1"/>
  <c r="AM20" i="1" a="1"/>
  <c r="AM20" i="1" s="1"/>
  <c r="AO20" i="1" a="1"/>
  <c r="AO20" i="1" s="1"/>
  <c r="AP20" i="1" a="1"/>
  <c r="AP20" i="1" s="1"/>
  <c r="AQ20" i="1" a="1"/>
  <c r="AQ20" i="1" s="1"/>
  <c r="AG17" i="1" a="1"/>
  <c r="AG5" i="1" a="1"/>
  <c r="DQ20" i="1" l="1"/>
  <c r="D30" i="4"/>
  <c r="DQ19" i="1"/>
  <c r="D29" i="4"/>
  <c r="K205" i="1"/>
  <c r="J197" i="1"/>
  <c r="L204" i="1"/>
  <c r="C200" i="1"/>
  <c r="C194" i="1"/>
  <c r="C206" i="1"/>
  <c r="C205" i="1"/>
  <c r="C204" i="1"/>
  <c r="C203" i="1"/>
  <c r="C202" i="1"/>
  <c r="C201" i="1"/>
  <c r="C199" i="1"/>
  <c r="C198" i="1"/>
  <c r="C197" i="1"/>
  <c r="C196" i="1"/>
  <c r="C195" i="1"/>
  <c r="C193" i="1"/>
  <c r="L193" i="1"/>
  <c r="G193" i="1"/>
  <c r="L205" i="1"/>
  <c r="K194" i="1"/>
  <c r="K197" i="1"/>
  <c r="K196" i="1"/>
  <c r="K193" i="1"/>
  <c r="J201" i="1"/>
  <c r="J199" i="1"/>
  <c r="G203" i="1"/>
  <c r="G199" i="1"/>
  <c r="F203" i="1"/>
  <c r="F195" i="1"/>
  <c r="F206" i="1"/>
  <c r="E200" i="1"/>
  <c r="E206" i="1"/>
  <c r="E204" i="1"/>
  <c r="E203" i="1"/>
  <c r="E202" i="1"/>
  <c r="E201" i="1"/>
  <c r="E199" i="1"/>
  <c r="E198" i="1"/>
  <c r="E196" i="1"/>
  <c r="E195" i="1"/>
  <c r="D206" i="1"/>
  <c r="L201" i="1"/>
  <c r="L197" i="1"/>
  <c r="K204" i="1"/>
  <c r="K201" i="1"/>
  <c r="J194" i="1"/>
  <c r="J196" i="1"/>
  <c r="J204" i="1"/>
  <c r="E194" i="1"/>
  <c r="E205" i="1"/>
  <c r="E197" i="1"/>
  <c r="E193" i="1"/>
  <c r="F193" i="1"/>
  <c r="DP19" i="1"/>
  <c r="C29" i="4"/>
  <c r="L199" i="1"/>
  <c r="L196" i="1"/>
  <c r="F205" i="1"/>
  <c r="K203" i="1"/>
  <c r="K199" i="1"/>
  <c r="G204" i="1"/>
  <c r="J206" i="1"/>
  <c r="J203" i="1"/>
  <c r="J195" i="1"/>
  <c r="H200" i="1"/>
  <c r="I200" i="1" s="1"/>
  <c r="H194" i="1"/>
  <c r="I194" i="1" s="1"/>
  <c r="H206" i="1"/>
  <c r="I206" i="1" s="1"/>
  <c r="H205" i="1"/>
  <c r="I205" i="1" s="1"/>
  <c r="H204" i="1"/>
  <c r="H203" i="1"/>
  <c r="H202" i="1"/>
  <c r="I202" i="1" s="1"/>
  <c r="H201" i="1"/>
  <c r="I201" i="1" s="1"/>
  <c r="H199" i="1"/>
  <c r="H198" i="1"/>
  <c r="I198" i="1" s="1"/>
  <c r="H197" i="1"/>
  <c r="I197" i="1" s="1"/>
  <c r="H196" i="1"/>
  <c r="I196" i="1" s="1"/>
  <c r="H195" i="1"/>
  <c r="I195" i="1" s="1"/>
  <c r="H193" i="1"/>
  <c r="M125" i="1"/>
  <c r="M124" i="1"/>
  <c r="I128" i="1"/>
  <c r="I126" i="1"/>
  <c r="I175" i="1"/>
  <c r="I127" i="1"/>
  <c r="I138" i="1"/>
  <c r="M128" i="1"/>
  <c r="F103" i="1"/>
  <c r="I38" i="1"/>
  <c r="N38" i="1" s="1"/>
  <c r="I122" i="1"/>
  <c r="N122" i="1" s="1"/>
  <c r="I123" i="1"/>
  <c r="I121" i="1"/>
  <c r="I120" i="1"/>
  <c r="I119" i="1"/>
  <c r="I115" i="1"/>
  <c r="I113" i="1"/>
  <c r="I111" i="1"/>
  <c r="I146" i="1"/>
  <c r="B51" i="1"/>
  <c r="B77" i="1"/>
  <c r="B103" i="1"/>
  <c r="H129" i="1"/>
  <c r="K51" i="1"/>
  <c r="K77" i="1"/>
  <c r="K103" i="1"/>
  <c r="L51" i="1"/>
  <c r="L77" i="1"/>
  <c r="L103" i="1"/>
  <c r="D155" i="1"/>
  <c r="E155" i="1"/>
  <c r="M96" i="1"/>
  <c r="F155" i="1"/>
  <c r="I96" i="1"/>
  <c r="N96" i="1" s="1"/>
  <c r="H51" i="1"/>
  <c r="H77" i="1"/>
  <c r="H103" i="1"/>
  <c r="H155" i="1"/>
  <c r="M178" i="1"/>
  <c r="M111" i="1"/>
  <c r="I153" i="1"/>
  <c r="E51" i="1"/>
  <c r="E77" i="1"/>
  <c r="E103" i="1"/>
  <c r="E129" i="1"/>
  <c r="F51" i="1"/>
  <c r="F77" i="1"/>
  <c r="F129" i="1"/>
  <c r="M162" i="1"/>
  <c r="M122" i="1"/>
  <c r="G51" i="1"/>
  <c r="G77" i="1"/>
  <c r="G103" i="1"/>
  <c r="G129" i="1"/>
  <c r="G155" i="1"/>
  <c r="I154" i="1"/>
  <c r="J51" i="1"/>
  <c r="J77" i="1"/>
  <c r="J103" i="1"/>
  <c r="J129" i="1"/>
  <c r="J155" i="1"/>
  <c r="I150" i="1"/>
  <c r="I149" i="1"/>
  <c r="I147" i="1"/>
  <c r="I141" i="1"/>
  <c r="K129" i="1"/>
  <c r="K155" i="1"/>
  <c r="L129" i="1"/>
  <c r="L155" i="1"/>
  <c r="B129" i="1"/>
  <c r="B155" i="1"/>
  <c r="B181" i="1"/>
  <c r="M118" i="1"/>
  <c r="M117" i="1"/>
  <c r="CL44" i="1"/>
  <c r="C51" i="1"/>
  <c r="C77" i="1"/>
  <c r="C103" i="1"/>
  <c r="C129" i="1"/>
  <c r="C155" i="1"/>
  <c r="I117" i="1"/>
  <c r="D51" i="1"/>
  <c r="D77" i="1"/>
  <c r="D103" i="1"/>
  <c r="D129" i="1"/>
  <c r="M142" i="1"/>
  <c r="I60" i="1"/>
  <c r="I101" i="1"/>
  <c r="M116" i="1"/>
  <c r="M114" i="1"/>
  <c r="M113" i="1"/>
  <c r="I145" i="1"/>
  <c r="I144" i="1"/>
  <c r="M127" i="1"/>
  <c r="M112" i="1"/>
  <c r="I137" i="1"/>
  <c r="I116" i="1"/>
  <c r="N116" i="1" s="1"/>
  <c r="M126" i="1"/>
  <c r="I114" i="1"/>
  <c r="M148" i="1"/>
  <c r="M123" i="1"/>
  <c r="M120" i="1"/>
  <c r="I110" i="1"/>
  <c r="N110" i="1" s="1"/>
  <c r="I148" i="1"/>
  <c r="N148" i="1" s="1"/>
  <c r="I125" i="1"/>
  <c r="M119" i="1"/>
  <c r="I142" i="1"/>
  <c r="N142" i="1" s="1"/>
  <c r="I152" i="1"/>
  <c r="I151" i="1"/>
  <c r="M90" i="1"/>
  <c r="I112" i="1"/>
  <c r="M110" i="1"/>
  <c r="M109" i="1"/>
  <c r="I90" i="1"/>
  <c r="N90" i="1" s="1"/>
  <c r="I118" i="1"/>
  <c r="M115" i="1"/>
  <c r="I143" i="1"/>
  <c r="I124" i="1"/>
  <c r="M121" i="1"/>
  <c r="I140" i="1"/>
  <c r="I139" i="1"/>
  <c r="I136" i="1"/>
  <c r="I167" i="1"/>
  <c r="M44" i="1"/>
  <c r="I45" i="1"/>
  <c r="I41" i="1"/>
  <c r="I42" i="1"/>
  <c r="I71" i="1"/>
  <c r="I98" i="1"/>
  <c r="I97" i="1"/>
  <c r="I84" i="1"/>
  <c r="I50" i="1"/>
  <c r="I46" i="1"/>
  <c r="I83" i="1"/>
  <c r="I91" i="1"/>
  <c r="M177" i="1"/>
  <c r="I164" i="1"/>
  <c r="N19" i="1"/>
  <c r="I169" i="1"/>
  <c r="M64" i="1"/>
  <c r="I65" i="1"/>
  <c r="M31" i="1"/>
  <c r="I176" i="1"/>
  <c r="I180" i="1"/>
  <c r="I172" i="1"/>
  <c r="I70" i="1"/>
  <c r="N70" i="1" s="1"/>
  <c r="I43" i="1"/>
  <c r="I165" i="1"/>
  <c r="I40" i="1"/>
  <c r="I37" i="1"/>
  <c r="I34" i="1"/>
  <c r="I33" i="1"/>
  <c r="I72" i="1"/>
  <c r="I173" i="1"/>
  <c r="M166" i="1"/>
  <c r="I64" i="1"/>
  <c r="N64" i="1" s="1"/>
  <c r="CU20" i="1"/>
  <c r="CW19" i="1"/>
  <c r="I69" i="1"/>
  <c r="I67" i="1"/>
  <c r="I66" i="1"/>
  <c r="M175" i="1"/>
  <c r="I170" i="1"/>
  <c r="I162" i="1"/>
  <c r="CT20" i="1"/>
  <c r="I59" i="1"/>
  <c r="I58" i="1"/>
  <c r="M172" i="1"/>
  <c r="I93" i="1"/>
  <c r="I92" i="1"/>
  <c r="I89" i="1"/>
  <c r="I88" i="1"/>
  <c r="I87" i="1"/>
  <c r="I85" i="1"/>
  <c r="I161" i="1"/>
  <c r="M164" i="1"/>
  <c r="I163" i="1"/>
  <c r="N5" i="1"/>
  <c r="I57" i="1"/>
  <c r="I86" i="1"/>
  <c r="M165" i="1"/>
  <c r="M38" i="1"/>
  <c r="I68" i="1"/>
  <c r="I179" i="1"/>
  <c r="I44" i="1"/>
  <c r="N44" i="1" s="1"/>
  <c r="I49" i="1"/>
  <c r="I48" i="1"/>
  <c r="I47" i="1"/>
  <c r="M176" i="1"/>
  <c r="I102" i="1"/>
  <c r="I39" i="1"/>
  <c r="I171" i="1"/>
  <c r="M167" i="1"/>
  <c r="I166" i="1"/>
  <c r="I76" i="1"/>
  <c r="I95" i="1"/>
  <c r="I94" i="1"/>
  <c r="M179" i="1"/>
  <c r="M173" i="1"/>
  <c r="M163" i="1"/>
  <c r="M70" i="1"/>
  <c r="AS19" i="1"/>
  <c r="BW19" i="1" s="1"/>
  <c r="EC19" i="1" s="1"/>
  <c r="AS20" i="1"/>
  <c r="BW20" i="1" s="1"/>
  <c r="EC20" i="1" s="1"/>
  <c r="I36" i="1"/>
  <c r="I35" i="1"/>
  <c r="I63" i="1"/>
  <c r="I62" i="1"/>
  <c r="I61" i="1"/>
  <c r="CT19" i="1"/>
  <c r="I31" i="1"/>
  <c r="M169" i="1"/>
  <c r="CS19" i="1"/>
  <c r="CP20" i="1"/>
  <c r="M170" i="1"/>
  <c r="CO20" i="1"/>
  <c r="CR20" i="1"/>
  <c r="N20" i="1"/>
  <c r="I75" i="1"/>
  <c r="I74" i="1"/>
  <c r="I73" i="1"/>
  <c r="I177" i="1"/>
  <c r="I100" i="1"/>
  <c r="I99" i="1"/>
  <c r="M171" i="1"/>
  <c r="AR19" i="1"/>
  <c r="CW20" i="1"/>
  <c r="M180" i="1"/>
  <c r="I178" i="1"/>
  <c r="AR20" i="1"/>
  <c r="CV20" i="1"/>
  <c r="CX19" i="1"/>
  <c r="I109" i="1"/>
  <c r="I135" i="1"/>
  <c r="DN19" i="1"/>
  <c r="CQ20" i="1"/>
  <c r="CR19" i="1"/>
  <c r="CY19" i="1"/>
  <c r="CQ19" i="1"/>
  <c r="CP19" i="1"/>
  <c r="DT20" i="1"/>
  <c r="DL19" i="1"/>
  <c r="CZ20" i="1"/>
  <c r="CY20" i="1"/>
  <c r="CZ19" i="1"/>
  <c r="DV19" i="1"/>
  <c r="DR20" i="1"/>
  <c r="CX20" i="1"/>
  <c r="DT19" i="1"/>
  <c r="DP20" i="1"/>
  <c r="CV19" i="1"/>
  <c r="CU19" i="1"/>
  <c r="DN20" i="1"/>
  <c r="CS20" i="1"/>
  <c r="DF20" i="1"/>
  <c r="DD20" i="1"/>
  <c r="CO19" i="1"/>
  <c r="I193" i="1" l="1"/>
  <c r="I203" i="1"/>
  <c r="I199" i="1"/>
  <c r="I204" i="1"/>
  <c r="I155" i="1"/>
  <c r="I77" i="1"/>
  <c r="I103" i="1"/>
  <c r="N103" i="1" s="1"/>
  <c r="I51" i="1"/>
  <c r="N51" i="1" s="1"/>
  <c r="I129" i="1"/>
  <c r="M129" i="1"/>
  <c r="S174" i="1"/>
  <c r="CA174" i="1" s="1"/>
  <c r="T168" i="1"/>
  <c r="CB168" i="1" s="1"/>
  <c r="S168" i="1"/>
  <c r="CA168" i="1" s="1"/>
  <c r="T174" i="1"/>
  <c r="CB174" i="1" s="1"/>
  <c r="N200" i="1"/>
  <c r="M200" i="1"/>
  <c r="M95" i="1" l="1"/>
  <c r="M84" i="1"/>
  <c r="M67" i="1"/>
  <c r="M71" i="1"/>
  <c r="M135" i="1"/>
  <c r="M153" i="1"/>
  <c r="E191" i="1"/>
  <c r="M100" i="1"/>
  <c r="M99" i="1"/>
  <c r="M61" i="1"/>
  <c r="K191" i="1"/>
  <c r="J188" i="1"/>
  <c r="B192" i="1"/>
  <c r="F187" i="1"/>
  <c r="L191" i="1"/>
  <c r="K188" i="1"/>
  <c r="M161" i="1"/>
  <c r="H191" i="1"/>
  <c r="M83" i="1"/>
  <c r="M97" i="1"/>
  <c r="M85" i="1"/>
  <c r="E192" i="1"/>
  <c r="M87" i="1"/>
  <c r="M102" i="1"/>
  <c r="M91" i="1"/>
  <c r="M57" i="1"/>
  <c r="M66" i="1"/>
  <c r="K187" i="1"/>
  <c r="M73" i="1"/>
  <c r="M74" i="1"/>
  <c r="M62" i="1"/>
  <c r="M37" i="1"/>
  <c r="H189" i="1"/>
  <c r="B191" i="1"/>
  <c r="M145" i="1"/>
  <c r="G187" i="1"/>
  <c r="M152" i="1"/>
  <c r="M140" i="1"/>
  <c r="M144" i="1"/>
  <c r="H190" i="1"/>
  <c r="M94" i="1"/>
  <c r="M98" i="1"/>
  <c r="M86" i="1"/>
  <c r="M88" i="1"/>
  <c r="M101" i="1"/>
  <c r="M89" i="1"/>
  <c r="M93" i="1"/>
  <c r="F190" i="1"/>
  <c r="M92" i="1"/>
  <c r="M68" i="1"/>
  <c r="M76" i="1"/>
  <c r="M65" i="1"/>
  <c r="M60" i="1"/>
  <c r="L190" i="1"/>
  <c r="G191" i="1"/>
  <c r="M75" i="1"/>
  <c r="M72" i="1"/>
  <c r="M63" i="1"/>
  <c r="K190" i="1"/>
  <c r="J191" i="1"/>
  <c r="B187" i="1"/>
  <c r="M69" i="1"/>
  <c r="H187" i="1"/>
  <c r="J190" i="1"/>
  <c r="H192" i="1"/>
  <c r="E187" i="1"/>
  <c r="L189" i="1"/>
  <c r="E189" i="1"/>
  <c r="L192" i="1"/>
  <c r="K189" i="1"/>
  <c r="E188" i="1"/>
  <c r="F192" i="1"/>
  <c r="D192" i="1"/>
  <c r="J187" i="1"/>
  <c r="K192" i="1"/>
  <c r="J189" i="1"/>
  <c r="F189" i="1"/>
  <c r="F191" i="1"/>
  <c r="C192" i="1"/>
  <c r="L187" i="1"/>
  <c r="J192" i="1"/>
  <c r="L188" i="1"/>
  <c r="F188" i="1"/>
  <c r="H188" i="1"/>
  <c r="M151" i="1"/>
  <c r="M139" i="1"/>
  <c r="M154" i="1"/>
  <c r="M143" i="1"/>
  <c r="M146" i="1"/>
  <c r="M150" i="1"/>
  <c r="M141" i="1"/>
  <c r="M138" i="1"/>
  <c r="M149" i="1"/>
  <c r="M137" i="1"/>
  <c r="M147" i="1"/>
  <c r="M136" i="1"/>
  <c r="M45" i="1"/>
  <c r="M40" i="1"/>
  <c r="M39" i="1"/>
  <c r="M43" i="1"/>
  <c r="M47" i="1"/>
  <c r="M35" i="1"/>
  <c r="M46" i="1"/>
  <c r="M42" i="1"/>
  <c r="M41" i="1"/>
  <c r="M36" i="1"/>
  <c r="BB180" i="1"/>
  <c r="BA180" i="1"/>
  <c r="BB179" i="1"/>
  <c r="BA179" i="1"/>
  <c r="M103" i="1" l="1"/>
  <c r="M155" i="1"/>
  <c r="I187" i="1"/>
  <c r="I191" i="1"/>
  <c r="M205" i="1"/>
  <c r="M188" i="1"/>
  <c r="M191" i="1"/>
  <c r="M203" i="1"/>
  <c r="M199" i="1"/>
  <c r="M196" i="1"/>
  <c r="M206" i="1"/>
  <c r="M195" i="1"/>
  <c r="M198" i="1"/>
  <c r="M202" i="1"/>
  <c r="M192" i="1"/>
  <c r="M190" i="1"/>
  <c r="M193" i="1"/>
  <c r="M189" i="1"/>
  <c r="M201" i="1"/>
  <c r="M204" i="1"/>
  <c r="M187" i="1"/>
  <c r="M197" i="1"/>
  <c r="M34" i="1"/>
  <c r="M33" i="1"/>
  <c r="M32" i="1" l="1"/>
  <c r="M48" i="1"/>
  <c r="M50" i="1"/>
  <c r="M49" i="1"/>
  <c r="M51" i="1" l="1"/>
  <c r="AM68" i="4"/>
  <c r="AH5" i="1" l="1" a="1"/>
  <c r="AH5" i="1" s="1"/>
  <c r="AI5" i="1" a="1"/>
  <c r="AI5" i="1" s="1"/>
  <c r="AJ5" i="1" a="1"/>
  <c r="AJ5" i="1" s="1"/>
  <c r="AK5" i="1" a="1"/>
  <c r="AK5" i="1" s="1"/>
  <c r="AL5" i="1" a="1"/>
  <c r="AL5" i="1" s="1"/>
  <c r="AM5" i="1" a="1"/>
  <c r="AM5" i="1" s="1"/>
  <c r="AQ5" i="1" a="1"/>
  <c r="AQ5" i="1" s="1"/>
  <c r="AG6" i="1" a="1"/>
  <c r="AG6" i="1" s="1"/>
  <c r="AG7" i="1" a="1"/>
  <c r="AG7" i="1" s="1"/>
  <c r="AG8" i="1" a="1"/>
  <c r="AG8" i="1" s="1"/>
  <c r="AG9" i="1" a="1"/>
  <c r="AG9" i="1" s="1"/>
  <c r="AG10" i="1" a="1"/>
  <c r="AG10" i="1" s="1"/>
  <c r="AG11" i="1" a="1"/>
  <c r="AG11" i="1" s="1"/>
  <c r="AG13" i="1" a="1"/>
  <c r="AG13" i="1" s="1"/>
  <c r="AG14" i="1" a="1"/>
  <c r="AG14" i="1" s="1"/>
  <c r="AG15" i="1" a="1"/>
  <c r="AG15" i="1" s="1"/>
  <c r="AG16" i="1" a="1"/>
  <c r="AG16" i="1" s="1"/>
  <c r="AG21" i="1" a="1"/>
  <c r="AG21" i="1" s="1"/>
  <c r="AG22" i="1" a="1"/>
  <c r="AG22" i="1" s="1"/>
  <c r="AG23" i="1" a="1"/>
  <c r="AG23" i="1" s="1"/>
  <c r="AG24" i="1" a="1"/>
  <c r="AG24" i="1" s="1"/>
  <c r="AG12" i="1" a="1"/>
  <c r="AG12" i="1" s="1"/>
  <c r="AG18" i="1" a="1"/>
  <c r="AG18" i="1" s="1"/>
  <c r="AH6" i="1" a="1"/>
  <c r="AH6" i="1" s="1"/>
  <c r="AH7" i="1" a="1"/>
  <c r="AH7" i="1" s="1"/>
  <c r="AH8" i="1" a="1"/>
  <c r="AH8" i="1" s="1"/>
  <c r="AH9" i="1" a="1"/>
  <c r="AH9" i="1" s="1"/>
  <c r="AH10" i="1" a="1"/>
  <c r="AH10" i="1" s="1"/>
  <c r="AH11" i="1" a="1"/>
  <c r="AH11" i="1" s="1"/>
  <c r="AH13" i="1" a="1"/>
  <c r="AH13" i="1" s="1"/>
  <c r="AH14" i="1" a="1"/>
  <c r="AH14" i="1" s="1"/>
  <c r="AH15" i="1" a="1"/>
  <c r="AH15" i="1" s="1"/>
  <c r="AH16" i="1" a="1"/>
  <c r="AH16" i="1" s="1"/>
  <c r="AH17" i="1" a="1"/>
  <c r="AH17" i="1" s="1"/>
  <c r="AH21" i="1" a="1"/>
  <c r="AH21" i="1" s="1"/>
  <c r="AH22" i="1" a="1"/>
  <c r="AH22" i="1" s="1"/>
  <c r="AH23" i="1" a="1"/>
  <c r="AH23" i="1" s="1"/>
  <c r="AH24" i="1" a="1"/>
  <c r="AH24" i="1" s="1"/>
  <c r="AH12" i="1" a="1"/>
  <c r="AH12" i="1" s="1"/>
  <c r="AH18" i="1" a="1"/>
  <c r="AH18" i="1" s="1"/>
  <c r="AI6" i="1" a="1"/>
  <c r="AI6" i="1" s="1"/>
  <c r="AI7" i="1" a="1"/>
  <c r="AI7" i="1" s="1"/>
  <c r="AI8" i="1" a="1"/>
  <c r="AI8" i="1" s="1"/>
  <c r="AI9" i="1" a="1"/>
  <c r="AI9" i="1" s="1"/>
  <c r="AI10" i="1" a="1"/>
  <c r="AI10" i="1" s="1"/>
  <c r="AI11" i="1" a="1"/>
  <c r="AI11" i="1" s="1"/>
  <c r="AI13" i="1" a="1"/>
  <c r="AI13" i="1" s="1"/>
  <c r="AI14" i="1" a="1"/>
  <c r="AI14" i="1" s="1"/>
  <c r="AI15" i="1" a="1"/>
  <c r="AI15" i="1" s="1"/>
  <c r="AI16" i="1" a="1"/>
  <c r="AI16" i="1" s="1"/>
  <c r="AI17" i="1" a="1"/>
  <c r="AI17" i="1" s="1"/>
  <c r="AI21" i="1" a="1"/>
  <c r="AI21" i="1" s="1"/>
  <c r="AI22" i="1" a="1"/>
  <c r="AI22" i="1" s="1"/>
  <c r="AI23" i="1" a="1"/>
  <c r="AI23" i="1" s="1"/>
  <c r="AI24" i="1" a="1"/>
  <c r="AI24" i="1" s="1"/>
  <c r="AI12" i="1" a="1"/>
  <c r="AI12" i="1" s="1"/>
  <c r="AI18" i="1" a="1"/>
  <c r="AI18" i="1" s="1"/>
  <c r="AJ6" i="1" a="1"/>
  <c r="AJ6" i="1" s="1"/>
  <c r="AJ7" i="1" a="1"/>
  <c r="AJ7" i="1" s="1"/>
  <c r="AJ8" i="1" a="1"/>
  <c r="AJ8" i="1" s="1"/>
  <c r="AJ9" i="1" a="1"/>
  <c r="AJ9" i="1" s="1"/>
  <c r="AJ10" i="1" a="1"/>
  <c r="AJ10" i="1" s="1"/>
  <c r="AJ11" i="1" a="1"/>
  <c r="AJ11" i="1" s="1"/>
  <c r="AJ13" i="1" a="1"/>
  <c r="AJ13" i="1" s="1"/>
  <c r="AJ14" i="1" a="1"/>
  <c r="AJ14" i="1" s="1"/>
  <c r="AJ15" i="1" a="1"/>
  <c r="AJ15" i="1" s="1"/>
  <c r="AJ16" i="1" a="1"/>
  <c r="AJ16" i="1" s="1"/>
  <c r="AJ17" i="1" a="1"/>
  <c r="AJ17" i="1" s="1"/>
  <c r="AJ21" i="1" a="1"/>
  <c r="AJ21" i="1" s="1"/>
  <c r="AJ203" i="1" s="1"/>
  <c r="AJ22" i="1" a="1"/>
  <c r="AJ22" i="1" s="1"/>
  <c r="AJ204" i="1" s="1"/>
  <c r="AJ23" i="1" a="1"/>
  <c r="AJ23" i="1" s="1"/>
  <c r="AJ205" i="1" s="1"/>
  <c r="AJ24" i="1" a="1"/>
  <c r="AJ24" i="1" s="1"/>
  <c r="AJ206" i="1" s="1"/>
  <c r="AJ12" i="1" a="1"/>
  <c r="AJ12" i="1" s="1"/>
  <c r="AJ194" i="1" s="1"/>
  <c r="AJ18" i="1" a="1"/>
  <c r="AJ18" i="1" s="1"/>
  <c r="AJ200" i="1" s="1"/>
  <c r="AS200" i="1" s="1"/>
  <c r="BW200" i="1" s="1"/>
  <c r="EC200" i="1" s="1"/>
  <c r="AK6" i="1" a="1"/>
  <c r="AK6" i="1" s="1"/>
  <c r="AK7" i="1" a="1"/>
  <c r="AK7" i="1" s="1"/>
  <c r="AK8" i="1" a="1"/>
  <c r="AK8" i="1" s="1"/>
  <c r="AK9" i="1" a="1"/>
  <c r="AK9" i="1" s="1"/>
  <c r="AK10" i="1" a="1"/>
  <c r="AK10" i="1" s="1"/>
  <c r="AK11" i="1" a="1"/>
  <c r="AK11" i="1" s="1"/>
  <c r="AK13" i="1" a="1"/>
  <c r="AK13" i="1" s="1"/>
  <c r="AK14" i="1" a="1"/>
  <c r="AK14" i="1" s="1"/>
  <c r="AK15" i="1" a="1"/>
  <c r="AK15" i="1" s="1"/>
  <c r="AK16" i="1" a="1"/>
  <c r="AK16" i="1" s="1"/>
  <c r="AK17" i="1" a="1"/>
  <c r="AK17" i="1" s="1"/>
  <c r="AK21" i="1" a="1"/>
  <c r="AK21" i="1" s="1"/>
  <c r="AK22" i="1" a="1"/>
  <c r="AK22" i="1" s="1"/>
  <c r="AK204" i="1" s="1"/>
  <c r="AK23" i="1" a="1"/>
  <c r="AK23" i="1" s="1"/>
  <c r="AK205" i="1" s="1"/>
  <c r="AK24" i="1" a="1"/>
  <c r="AK24" i="1" s="1"/>
  <c r="AK206" i="1" s="1"/>
  <c r="AK12" i="1" a="1"/>
  <c r="AK12" i="1" s="1"/>
  <c r="AK194" i="1" s="1"/>
  <c r="AK18" i="1" a="1"/>
  <c r="AK18" i="1" s="1"/>
  <c r="AK200" i="1" s="1"/>
  <c r="AL6" i="1" a="1"/>
  <c r="AL6" i="1" s="1"/>
  <c r="AL7" i="1" a="1"/>
  <c r="AL7" i="1" s="1"/>
  <c r="AL8" i="1" a="1"/>
  <c r="AL8" i="1" s="1"/>
  <c r="AL9" i="1" a="1"/>
  <c r="AL9" i="1" s="1"/>
  <c r="AL10" i="1" a="1"/>
  <c r="AL10" i="1" s="1"/>
  <c r="AL11" i="1" a="1"/>
  <c r="AL11" i="1" s="1"/>
  <c r="AL13" i="1" a="1"/>
  <c r="AL13" i="1" s="1"/>
  <c r="AL14" i="1" a="1"/>
  <c r="AL14" i="1" s="1"/>
  <c r="AL15" i="1" a="1"/>
  <c r="AL15" i="1" s="1"/>
  <c r="AL16" i="1" a="1"/>
  <c r="AL16" i="1" s="1"/>
  <c r="AL17" i="1" a="1"/>
  <c r="AL17" i="1" s="1"/>
  <c r="AL21" i="1" a="1"/>
  <c r="AL21" i="1" s="1"/>
  <c r="AL22" i="1" a="1"/>
  <c r="AL22" i="1" s="1"/>
  <c r="AL204" i="1" s="1"/>
  <c r="AL23" i="1" a="1"/>
  <c r="AL23" i="1" s="1"/>
  <c r="AL205" i="1" s="1"/>
  <c r="AL24" i="1" a="1"/>
  <c r="AL24" i="1" s="1"/>
  <c r="AL206" i="1" s="1"/>
  <c r="AL12" i="1" a="1"/>
  <c r="AL12" i="1" s="1"/>
  <c r="AL194" i="1" s="1"/>
  <c r="AN194" i="1" s="1"/>
  <c r="AS194" i="1" s="1"/>
  <c r="BW194" i="1" s="1"/>
  <c r="EC194" i="1" s="1"/>
  <c r="AL18" i="1" a="1"/>
  <c r="AL18" i="1" s="1"/>
  <c r="AL200" i="1" s="1"/>
  <c r="AM6" i="1" a="1"/>
  <c r="AM6" i="1" s="1"/>
  <c r="AM7" i="1" a="1"/>
  <c r="AM7" i="1" s="1"/>
  <c r="AM8" i="1" a="1"/>
  <c r="AM8" i="1" s="1"/>
  <c r="AM9" i="1" a="1"/>
  <c r="AM9" i="1" s="1"/>
  <c r="AM10" i="1" a="1"/>
  <c r="AM10" i="1" s="1"/>
  <c r="AM11" i="1" a="1"/>
  <c r="AM11" i="1" s="1"/>
  <c r="AM13" i="1" a="1"/>
  <c r="AM13" i="1" s="1"/>
  <c r="AM14" i="1" a="1"/>
  <c r="AM14" i="1" s="1"/>
  <c r="AM15" i="1" a="1"/>
  <c r="AM15" i="1" s="1"/>
  <c r="AM16" i="1" a="1"/>
  <c r="AM16" i="1" s="1"/>
  <c r="AM17" i="1" a="1"/>
  <c r="AM17" i="1" s="1"/>
  <c r="AM21" i="1" a="1"/>
  <c r="AM21" i="1" s="1"/>
  <c r="AM22" i="1" a="1"/>
  <c r="AM22" i="1" s="1"/>
  <c r="AM204" i="1" s="1"/>
  <c r="AM23" i="1" a="1"/>
  <c r="AM23" i="1" s="1"/>
  <c r="AM205" i="1" s="1"/>
  <c r="AM24" i="1" a="1"/>
  <c r="AM24" i="1" s="1"/>
  <c r="AM206" i="1" s="1"/>
  <c r="AM12" i="1" a="1"/>
  <c r="AM12" i="1" s="1"/>
  <c r="AM194" i="1" s="1"/>
  <c r="AM18" i="1" a="1"/>
  <c r="AM18" i="1" s="1"/>
  <c r="AM200" i="1" s="1"/>
  <c r="AQ9" i="1" a="1"/>
  <c r="AQ9" i="1" s="1"/>
  <c r="AQ10" i="1" a="1"/>
  <c r="AQ10" i="1" s="1"/>
  <c r="AQ11" i="1" a="1"/>
  <c r="AQ11" i="1" s="1"/>
  <c r="AQ13" i="1" a="1"/>
  <c r="AQ13" i="1" s="1"/>
  <c r="AQ14" i="1" a="1"/>
  <c r="AQ14" i="1" s="1"/>
  <c r="AQ15" i="1" a="1"/>
  <c r="AQ15" i="1" s="1"/>
  <c r="AQ16" i="1" a="1"/>
  <c r="AQ16" i="1" s="1"/>
  <c r="AQ17" i="1" a="1"/>
  <c r="AQ17" i="1" s="1"/>
  <c r="AQ21" i="1" a="1"/>
  <c r="AQ21" i="1" s="1"/>
  <c r="AQ203" i="1" s="1"/>
  <c r="AQ22" i="1" a="1"/>
  <c r="AQ22" i="1" s="1"/>
  <c r="AQ204" i="1" s="1"/>
  <c r="AQ23" i="1" a="1"/>
  <c r="AQ23" i="1" s="1"/>
  <c r="AQ205" i="1" s="1"/>
  <c r="B25" i="1"/>
  <c r="E25" i="1"/>
  <c r="F25" i="1"/>
  <c r="AO6" i="1" a="1"/>
  <c r="AO6" i="1" s="1"/>
  <c r="AO32" i="1" a="1"/>
  <c r="AO32" i="1" s="1"/>
  <c r="AO58" i="1" a="1"/>
  <c r="AO58" i="1" s="1"/>
  <c r="AO84" i="1" a="1"/>
  <c r="AO84" i="1" s="1"/>
  <c r="AO110" i="1" a="1"/>
  <c r="AO110" i="1" s="1"/>
  <c r="AO136" i="1" a="1"/>
  <c r="AO136" i="1" s="1"/>
  <c r="AO162" i="1" a="1"/>
  <c r="AO162" i="1" s="1"/>
  <c r="AP6" i="1" a="1"/>
  <c r="AP6" i="1" s="1"/>
  <c r="AP32" i="1" a="1"/>
  <c r="AP32" i="1" s="1"/>
  <c r="AP58" i="1" a="1"/>
  <c r="AP58" i="1" s="1"/>
  <c r="AP84" i="1" a="1"/>
  <c r="AP84" i="1" s="1"/>
  <c r="AP110" i="1" a="1"/>
  <c r="AP110" i="1" s="1"/>
  <c r="AP136" i="1" a="1"/>
  <c r="AP136" i="1" s="1"/>
  <c r="AP162" i="1" a="1"/>
  <c r="AP162" i="1" s="1"/>
  <c r="AQ6" i="1" a="1"/>
  <c r="AQ6" i="1" s="1"/>
  <c r="AQ32" i="1" a="1"/>
  <c r="AQ32" i="1" s="1"/>
  <c r="AQ58" i="1" a="1"/>
  <c r="AQ58" i="1" s="1"/>
  <c r="AQ84" i="1" a="1"/>
  <c r="AQ84" i="1" s="1"/>
  <c r="AQ110" i="1" a="1"/>
  <c r="AQ110" i="1" s="1"/>
  <c r="AQ136" i="1" a="1"/>
  <c r="AQ136" i="1" s="1"/>
  <c r="AQ162" i="1" a="1"/>
  <c r="AQ162" i="1" s="1"/>
  <c r="AO7" i="1" a="1"/>
  <c r="AO7" i="1" s="1"/>
  <c r="AO33" i="1" a="1"/>
  <c r="AO33" i="1" s="1"/>
  <c r="AO59" i="1" a="1"/>
  <c r="AO59" i="1" s="1"/>
  <c r="AO85" i="1" a="1"/>
  <c r="AO85" i="1" s="1"/>
  <c r="AO111" i="1" a="1"/>
  <c r="AO111" i="1" s="1"/>
  <c r="AO137" i="1" a="1"/>
  <c r="AO137" i="1" s="1"/>
  <c r="AO163" i="1" a="1"/>
  <c r="AO163" i="1" s="1"/>
  <c r="AP7" i="1" a="1"/>
  <c r="AP7" i="1" s="1"/>
  <c r="AP33" i="1" a="1"/>
  <c r="AP33" i="1" s="1"/>
  <c r="AP59" i="1" a="1"/>
  <c r="AP59" i="1" s="1"/>
  <c r="AP85" i="1" a="1"/>
  <c r="AP85" i="1" s="1"/>
  <c r="AP111" i="1" a="1"/>
  <c r="AP111" i="1" s="1"/>
  <c r="AP137" i="1" a="1"/>
  <c r="AP137" i="1" s="1"/>
  <c r="AP163" i="1" a="1"/>
  <c r="AP163" i="1" s="1"/>
  <c r="AQ7" i="1" a="1"/>
  <c r="AQ7" i="1" s="1"/>
  <c r="AQ33" i="1" a="1"/>
  <c r="AQ33" i="1" s="1"/>
  <c r="AQ59" i="1" a="1"/>
  <c r="AQ59" i="1" s="1"/>
  <c r="AQ85" i="1" a="1"/>
  <c r="AQ85" i="1" s="1"/>
  <c r="AQ111" i="1" a="1"/>
  <c r="AQ111" i="1" s="1"/>
  <c r="AQ137" i="1" a="1"/>
  <c r="AQ137" i="1" s="1"/>
  <c r="AQ163" i="1" a="1"/>
  <c r="AQ163" i="1" s="1"/>
  <c r="AO8" i="1" a="1"/>
  <c r="AO8" i="1" s="1"/>
  <c r="AO34" i="1" a="1"/>
  <c r="AO34" i="1" s="1"/>
  <c r="AO60" i="1" a="1"/>
  <c r="AO60" i="1" s="1"/>
  <c r="AO86" i="1" a="1"/>
  <c r="AO86" i="1" s="1"/>
  <c r="AO112" i="1" a="1"/>
  <c r="AO112" i="1" s="1"/>
  <c r="AO138" i="1" a="1"/>
  <c r="AO138" i="1" s="1"/>
  <c r="AO164" i="1" a="1"/>
  <c r="AO164" i="1" s="1"/>
  <c r="AP8" i="1" a="1"/>
  <c r="AP8" i="1" s="1"/>
  <c r="AP34" i="1" a="1"/>
  <c r="AP34" i="1" s="1"/>
  <c r="AP60" i="1" a="1"/>
  <c r="AP60" i="1" s="1"/>
  <c r="AP86" i="1" a="1"/>
  <c r="AP86" i="1" s="1"/>
  <c r="AP112" i="1" a="1"/>
  <c r="AP112" i="1" s="1"/>
  <c r="AP138" i="1" a="1"/>
  <c r="AP138" i="1" s="1"/>
  <c r="AP164" i="1" a="1"/>
  <c r="AP164" i="1" s="1"/>
  <c r="AQ8" i="1" a="1"/>
  <c r="AQ8" i="1" s="1"/>
  <c r="AQ34" i="1" a="1"/>
  <c r="AQ34" i="1" s="1"/>
  <c r="AQ60" i="1" a="1"/>
  <c r="AQ60" i="1" s="1"/>
  <c r="AQ86" i="1" a="1"/>
  <c r="AQ86" i="1" s="1"/>
  <c r="AQ112" i="1" a="1"/>
  <c r="AQ112" i="1" s="1"/>
  <c r="AQ138" i="1" a="1"/>
  <c r="AQ138" i="1" s="1"/>
  <c r="AQ164" i="1" a="1"/>
  <c r="AQ164" i="1" s="1"/>
  <c r="AO24" i="1" a="1"/>
  <c r="AO24" i="1" s="1"/>
  <c r="AO206" i="1" s="1"/>
  <c r="AO48" i="1" a="1"/>
  <c r="AO48" i="1" s="1"/>
  <c r="AO74" i="1" a="1"/>
  <c r="AO74" i="1" s="1"/>
  <c r="AO100" i="1" a="1"/>
  <c r="AO100" i="1" s="1"/>
  <c r="AO126" i="1" a="1"/>
  <c r="AO126" i="1" s="1"/>
  <c r="AO152" i="1" a="1"/>
  <c r="AO152" i="1" s="1"/>
  <c r="AO178" i="1" a="1"/>
  <c r="AO178" i="1" s="1"/>
  <c r="AP24" i="1" a="1"/>
  <c r="AP24" i="1" s="1"/>
  <c r="AP206" i="1" s="1"/>
  <c r="AP48" i="1" a="1"/>
  <c r="AP48" i="1" s="1"/>
  <c r="AP74" i="1" a="1"/>
  <c r="AP74" i="1" s="1"/>
  <c r="AP100" i="1" a="1"/>
  <c r="AP100" i="1" s="1"/>
  <c r="AP126" i="1" a="1"/>
  <c r="AP126" i="1" s="1"/>
  <c r="AP152" i="1" a="1"/>
  <c r="AP152" i="1" s="1"/>
  <c r="AP178" i="1" a="1"/>
  <c r="AP178" i="1" s="1"/>
  <c r="AQ24" i="1" a="1"/>
  <c r="AQ24" i="1" s="1"/>
  <c r="AQ206" i="1" s="1"/>
  <c r="AQ48" i="1" a="1"/>
  <c r="AQ48" i="1" s="1"/>
  <c r="AQ74" i="1" a="1"/>
  <c r="AQ74" i="1" s="1"/>
  <c r="AQ100" i="1" a="1"/>
  <c r="AQ100" i="1" s="1"/>
  <c r="AQ126" i="1" a="1"/>
  <c r="AQ126" i="1" s="1"/>
  <c r="AQ152" i="1" a="1"/>
  <c r="AQ152" i="1" s="1"/>
  <c r="AQ178" i="1" a="1"/>
  <c r="AQ178" i="1" s="1"/>
  <c r="AO12" i="1" a="1"/>
  <c r="AO12" i="1" s="1"/>
  <c r="AO194" i="1" s="1"/>
  <c r="AR194" i="1" s="1"/>
  <c r="AO49" i="1" a="1"/>
  <c r="AO49" i="1" s="1"/>
  <c r="AO75" i="1" a="1"/>
  <c r="AO75" i="1" s="1"/>
  <c r="AO101" i="1" a="1"/>
  <c r="AO101" i="1" s="1"/>
  <c r="AO127" i="1" a="1"/>
  <c r="AO127" i="1" s="1"/>
  <c r="AO153" i="1" a="1"/>
  <c r="AO153" i="1" s="1"/>
  <c r="AO179" i="1" a="1"/>
  <c r="AO179" i="1" s="1"/>
  <c r="AP12" i="1" a="1"/>
  <c r="AP12" i="1" s="1"/>
  <c r="AP194" i="1" s="1"/>
  <c r="AP49" i="1" a="1"/>
  <c r="AP49" i="1" s="1"/>
  <c r="AP75" i="1" a="1"/>
  <c r="AP75" i="1" s="1"/>
  <c r="AP101" i="1" a="1"/>
  <c r="AP101" i="1" s="1"/>
  <c r="AP127" i="1" a="1"/>
  <c r="AP127" i="1" s="1"/>
  <c r="AP153" i="1" a="1"/>
  <c r="AP153" i="1" s="1"/>
  <c r="AP179" i="1" a="1"/>
  <c r="AP179" i="1" s="1"/>
  <c r="AQ12" i="1" a="1"/>
  <c r="AQ12" i="1" s="1"/>
  <c r="AQ194" i="1" s="1"/>
  <c r="AQ49" i="1" a="1"/>
  <c r="AQ49" i="1" s="1"/>
  <c r="AQ75" i="1" a="1"/>
  <c r="AQ75" i="1" s="1"/>
  <c r="AQ101" i="1" a="1"/>
  <c r="AQ101" i="1" s="1"/>
  <c r="AQ127" i="1" a="1"/>
  <c r="AQ127" i="1" s="1"/>
  <c r="AQ153" i="1" a="1"/>
  <c r="AQ153" i="1" s="1"/>
  <c r="AQ179" i="1" a="1"/>
  <c r="AQ179" i="1" s="1"/>
  <c r="AO18" i="1" a="1"/>
  <c r="AO18" i="1" s="1"/>
  <c r="AO200" i="1" s="1"/>
  <c r="AR200" i="1" s="1"/>
  <c r="AO50" i="1" a="1"/>
  <c r="AO50" i="1" s="1"/>
  <c r="AO76" i="1" a="1"/>
  <c r="AO76" i="1" s="1"/>
  <c r="AO102" i="1" a="1"/>
  <c r="AO102" i="1" s="1"/>
  <c r="AO128" i="1" a="1"/>
  <c r="AO128" i="1" s="1"/>
  <c r="AO154" i="1" a="1"/>
  <c r="AO154" i="1" s="1"/>
  <c r="AO180" i="1" a="1"/>
  <c r="AO180" i="1" s="1"/>
  <c r="AP18" i="1" a="1"/>
  <c r="AP18" i="1" s="1"/>
  <c r="AP200" i="1" s="1"/>
  <c r="AP50" i="1" a="1"/>
  <c r="AP50" i="1" s="1"/>
  <c r="AP76" i="1" a="1"/>
  <c r="AP76" i="1" s="1"/>
  <c r="AP102" i="1" a="1"/>
  <c r="AP102" i="1" s="1"/>
  <c r="AP128" i="1" a="1"/>
  <c r="AP128" i="1" s="1"/>
  <c r="AP154" i="1" a="1"/>
  <c r="AP154" i="1" s="1"/>
  <c r="AP180" i="1" a="1"/>
  <c r="AP180" i="1" s="1"/>
  <c r="AQ18" i="1" a="1"/>
  <c r="AQ18" i="1" s="1"/>
  <c r="AQ200" i="1" s="1"/>
  <c r="AQ50" i="1" a="1"/>
  <c r="AQ50" i="1" s="1"/>
  <c r="AQ76" i="1" a="1"/>
  <c r="AQ76" i="1" s="1"/>
  <c r="AQ102" i="1" a="1"/>
  <c r="AQ102" i="1" s="1"/>
  <c r="AQ128" i="1" a="1"/>
  <c r="AQ128" i="1" s="1"/>
  <c r="AQ154" i="1" a="1"/>
  <c r="AQ154" i="1" s="1"/>
  <c r="AQ180" i="1" a="1"/>
  <c r="AQ180" i="1" s="1"/>
  <c r="AO5" i="1" a="1"/>
  <c r="AO5" i="1" s="1"/>
  <c r="AO9" i="1" a="1"/>
  <c r="AO9" i="1" s="1"/>
  <c r="AO10" i="1" a="1"/>
  <c r="AO10" i="1" s="1"/>
  <c r="AO11" i="1" a="1"/>
  <c r="AO11" i="1" s="1"/>
  <c r="AO13" i="1" a="1"/>
  <c r="AO13" i="1" s="1"/>
  <c r="AO14" i="1" a="1"/>
  <c r="AO14" i="1" s="1"/>
  <c r="AO15" i="1" a="1"/>
  <c r="AO15" i="1" s="1"/>
  <c r="AO16" i="1" a="1"/>
  <c r="AO16" i="1" s="1"/>
  <c r="AO17" i="1" a="1"/>
  <c r="AO17" i="1" s="1"/>
  <c r="AO21" i="1" a="1"/>
  <c r="AO21" i="1" s="1"/>
  <c r="AO203" i="1" s="1"/>
  <c r="AO22" i="1" a="1"/>
  <c r="AO22" i="1" s="1"/>
  <c r="AO204" i="1" s="1"/>
  <c r="AO23" i="1" a="1"/>
  <c r="AO23" i="1" s="1"/>
  <c r="AO205" i="1" s="1"/>
  <c r="AO31" i="1" a="1"/>
  <c r="AO31" i="1" s="1"/>
  <c r="AO35" i="1" a="1"/>
  <c r="AO35" i="1" s="1"/>
  <c r="AO36" i="1" a="1"/>
  <c r="AO36" i="1" s="1"/>
  <c r="AO37" i="1" a="1"/>
  <c r="AO37" i="1" s="1"/>
  <c r="AO39" i="1" a="1"/>
  <c r="AO39" i="1" s="1"/>
  <c r="AO40" i="1" a="1"/>
  <c r="AO40" i="1" s="1"/>
  <c r="AO41" i="1" a="1"/>
  <c r="AO41" i="1" s="1"/>
  <c r="AO42" i="1" a="1"/>
  <c r="AO42" i="1" s="1"/>
  <c r="AO43" i="1" a="1"/>
  <c r="AO43" i="1" s="1"/>
  <c r="AO45" i="1" a="1"/>
  <c r="AO45" i="1" s="1"/>
  <c r="AO201" i="1" s="1"/>
  <c r="AO46" i="1" a="1"/>
  <c r="AO46" i="1" s="1"/>
  <c r="AO202" i="1" s="1"/>
  <c r="AO47" i="1" a="1"/>
  <c r="AO47" i="1" s="1"/>
  <c r="AO57" i="1" a="1"/>
  <c r="AO57" i="1" s="1"/>
  <c r="AO61" i="1" a="1"/>
  <c r="AO61" i="1" s="1"/>
  <c r="AO62" i="1" a="1"/>
  <c r="AO62" i="1" s="1"/>
  <c r="AO63" i="1" a="1"/>
  <c r="AO63" i="1" s="1"/>
  <c r="AO65" i="1" a="1"/>
  <c r="AO65" i="1" s="1"/>
  <c r="AO66" i="1" a="1"/>
  <c r="AO66" i="1" s="1"/>
  <c r="AO67" i="1" a="1"/>
  <c r="AO67" i="1" s="1"/>
  <c r="AO68" i="1" a="1"/>
  <c r="AO68" i="1" s="1"/>
  <c r="AO69" i="1" a="1"/>
  <c r="AO69" i="1" s="1"/>
  <c r="AO71" i="1" a="1"/>
  <c r="AO71" i="1" s="1"/>
  <c r="AO72" i="1" a="1"/>
  <c r="AO72" i="1" s="1"/>
  <c r="AO73" i="1" a="1"/>
  <c r="AO73" i="1" s="1"/>
  <c r="AO83" i="1" a="1"/>
  <c r="AO83" i="1" s="1"/>
  <c r="AO87" i="1" a="1"/>
  <c r="AO87" i="1" s="1"/>
  <c r="AO88" i="1" a="1"/>
  <c r="AO88" i="1" s="1"/>
  <c r="AO89" i="1" a="1"/>
  <c r="AO89" i="1" s="1"/>
  <c r="AO91" i="1" a="1"/>
  <c r="AO91" i="1" s="1"/>
  <c r="AO92" i="1" a="1"/>
  <c r="AO92" i="1" s="1"/>
  <c r="AO93" i="1" a="1"/>
  <c r="AO93" i="1" s="1"/>
  <c r="AO94" i="1" a="1"/>
  <c r="AO94" i="1" s="1"/>
  <c r="AO95" i="1" a="1"/>
  <c r="AO95" i="1" s="1"/>
  <c r="AO97" i="1" a="1"/>
  <c r="AO97" i="1" s="1"/>
  <c r="AO98" i="1" a="1"/>
  <c r="AO98" i="1" s="1"/>
  <c r="AO99" i="1" a="1"/>
  <c r="AO99" i="1" s="1"/>
  <c r="AO109" i="1" a="1"/>
  <c r="AO109" i="1" s="1"/>
  <c r="AO113" i="1" a="1"/>
  <c r="AO113" i="1" s="1"/>
  <c r="AO114" i="1" a="1"/>
  <c r="AO114" i="1" s="1"/>
  <c r="AO115" i="1" a="1"/>
  <c r="AO115" i="1" s="1"/>
  <c r="AO117" i="1" a="1"/>
  <c r="AO117" i="1" s="1"/>
  <c r="AO118" i="1" a="1"/>
  <c r="AO118" i="1" s="1"/>
  <c r="AO119" i="1" a="1"/>
  <c r="AO119" i="1" s="1"/>
  <c r="AO120" i="1" a="1"/>
  <c r="AO120" i="1" s="1"/>
  <c r="AO121" i="1" a="1"/>
  <c r="AO121" i="1" s="1"/>
  <c r="AO123" i="1" a="1"/>
  <c r="AO123" i="1" s="1"/>
  <c r="AO124" i="1" a="1"/>
  <c r="AO124" i="1" s="1"/>
  <c r="AO125" i="1" a="1"/>
  <c r="AO125" i="1" s="1"/>
  <c r="AO135" i="1" a="1"/>
  <c r="AO135" i="1" s="1"/>
  <c r="AO139" i="1" a="1"/>
  <c r="AO139" i="1" s="1"/>
  <c r="AO140" i="1" a="1"/>
  <c r="AO140" i="1" s="1"/>
  <c r="AO141" i="1" a="1"/>
  <c r="AO141" i="1" s="1"/>
  <c r="AO143" i="1" a="1"/>
  <c r="AO143" i="1" s="1"/>
  <c r="AO144" i="1" a="1"/>
  <c r="AO144" i="1" s="1"/>
  <c r="AO145" i="1" a="1"/>
  <c r="AO145" i="1" s="1"/>
  <c r="AO146" i="1" a="1"/>
  <c r="AO146" i="1" s="1"/>
  <c r="AO147" i="1" a="1"/>
  <c r="AO147" i="1" s="1"/>
  <c r="AO149" i="1" a="1"/>
  <c r="AO149" i="1" s="1"/>
  <c r="AO150" i="1" a="1"/>
  <c r="AO150" i="1" s="1"/>
  <c r="AO151" i="1" a="1"/>
  <c r="AO151" i="1" s="1"/>
  <c r="AO161" i="1" a="1"/>
  <c r="AO161" i="1" s="1"/>
  <c r="AO165" i="1" a="1"/>
  <c r="AO165" i="1" s="1"/>
  <c r="AO166" i="1" a="1"/>
  <c r="AO166" i="1" s="1"/>
  <c r="AO167" i="1" a="1"/>
  <c r="AO167" i="1" s="1"/>
  <c r="AO169" i="1" a="1"/>
  <c r="AO169" i="1" s="1"/>
  <c r="AO170" i="1" a="1"/>
  <c r="AO170" i="1" s="1"/>
  <c r="AO171" i="1" a="1"/>
  <c r="AO171" i="1" s="1"/>
  <c r="AO172" i="1" a="1"/>
  <c r="AO172" i="1" s="1"/>
  <c r="AO173" i="1" a="1"/>
  <c r="AO173" i="1" s="1"/>
  <c r="AO175" i="1" a="1"/>
  <c r="AO175" i="1" s="1"/>
  <c r="AO176" i="1" a="1"/>
  <c r="AO176" i="1" s="1"/>
  <c r="AO177" i="1" a="1"/>
  <c r="AO177" i="1" s="1"/>
  <c r="AP5" i="1"/>
  <c r="AP9" i="1" a="1"/>
  <c r="AP9" i="1" s="1"/>
  <c r="AP10" i="1" a="1"/>
  <c r="AP10" i="1" s="1"/>
  <c r="AP11" i="1" a="1"/>
  <c r="AP11" i="1" s="1"/>
  <c r="AP13" i="1" a="1"/>
  <c r="AP13" i="1" s="1"/>
  <c r="AP14" i="1" a="1"/>
  <c r="AP14" i="1" s="1"/>
  <c r="AP15" i="1" a="1"/>
  <c r="AP15" i="1" s="1"/>
  <c r="AP16" i="1" a="1"/>
  <c r="AP16" i="1" s="1"/>
  <c r="AP17" i="1" a="1"/>
  <c r="AP17" i="1" s="1"/>
  <c r="AP21" i="1" a="1"/>
  <c r="AP21" i="1" s="1"/>
  <c r="AP203" i="1" s="1"/>
  <c r="AP22" i="1" a="1"/>
  <c r="AP22" i="1" s="1"/>
  <c r="AP204" i="1" s="1"/>
  <c r="AP23" i="1" a="1"/>
  <c r="AP23" i="1" s="1"/>
  <c r="AP205" i="1" s="1"/>
  <c r="AP31" i="1" a="1"/>
  <c r="AP31" i="1" s="1"/>
  <c r="AP35" i="1" a="1"/>
  <c r="AP35" i="1" s="1"/>
  <c r="AP36" i="1" a="1"/>
  <c r="AP37" i="1" a="1"/>
  <c r="AP37" i="1" s="1"/>
  <c r="AP39" i="1" a="1"/>
  <c r="AP39" i="1" s="1"/>
  <c r="AP40" i="1" a="1"/>
  <c r="AP40" i="1" s="1"/>
  <c r="AP41" i="1" a="1"/>
  <c r="AP41" i="1" s="1"/>
  <c r="AP42" i="1" a="1"/>
  <c r="AP42" i="1" s="1"/>
  <c r="AP43" i="1" a="1"/>
  <c r="AP43" i="1" s="1"/>
  <c r="AP45" i="1" a="1"/>
  <c r="AP45" i="1" s="1"/>
  <c r="AP201" i="1" s="1"/>
  <c r="AP46" i="1" a="1"/>
  <c r="AP46" i="1" s="1"/>
  <c r="AP202" i="1" s="1"/>
  <c r="AP47" i="1" a="1"/>
  <c r="AP47" i="1" s="1"/>
  <c r="AP36" i="1"/>
  <c r="AP57" i="1" a="1"/>
  <c r="AP57" i="1" s="1"/>
  <c r="AP61" i="1" a="1"/>
  <c r="AP61" i="1" s="1"/>
  <c r="AP62" i="1" a="1"/>
  <c r="AP62" i="1" s="1"/>
  <c r="AP63" i="1" a="1"/>
  <c r="AP63" i="1" s="1"/>
  <c r="AP65" i="1" a="1"/>
  <c r="AP65" i="1" s="1"/>
  <c r="AP66" i="1" a="1"/>
  <c r="AP66" i="1" s="1"/>
  <c r="AP67" i="1" a="1"/>
  <c r="AP67" i="1" s="1"/>
  <c r="AP68" i="1" a="1"/>
  <c r="AP68" i="1" s="1"/>
  <c r="AP69" i="1" a="1"/>
  <c r="AP69" i="1" s="1"/>
  <c r="AP71" i="1" a="1"/>
  <c r="AP71" i="1" s="1"/>
  <c r="AP72" i="1" a="1"/>
  <c r="AP72" i="1" s="1"/>
  <c r="AP73" i="1" a="1"/>
  <c r="AP73" i="1" s="1"/>
  <c r="AP83" i="1" a="1"/>
  <c r="AP83" i="1" s="1"/>
  <c r="AP87" i="1" a="1"/>
  <c r="AP87" i="1" s="1"/>
  <c r="AP88" i="1" a="1"/>
  <c r="AP88" i="1" s="1"/>
  <c r="AP89" i="1" a="1"/>
  <c r="AP89" i="1" s="1"/>
  <c r="AP91" i="1" a="1"/>
  <c r="AP91" i="1" s="1"/>
  <c r="AP92" i="1" a="1"/>
  <c r="AP92" i="1" s="1"/>
  <c r="AP93" i="1" a="1"/>
  <c r="AP93" i="1" s="1"/>
  <c r="AP94" i="1" a="1"/>
  <c r="AP94" i="1" s="1"/>
  <c r="AP95" i="1" a="1"/>
  <c r="AP95" i="1" s="1"/>
  <c r="AP97" i="1" a="1"/>
  <c r="AP97" i="1" s="1"/>
  <c r="AP98" i="1" a="1"/>
  <c r="AP98" i="1" s="1"/>
  <c r="AP99" i="1" a="1"/>
  <c r="AP99" i="1" s="1"/>
  <c r="AP109" i="1" a="1"/>
  <c r="AP109" i="1" s="1"/>
  <c r="AP113" i="1" a="1"/>
  <c r="AP113" i="1" s="1"/>
  <c r="AP114" i="1" a="1"/>
  <c r="AP114" i="1" s="1"/>
  <c r="AP115" i="1" a="1"/>
  <c r="AP115" i="1" s="1"/>
  <c r="AP117" i="1" a="1"/>
  <c r="AP117" i="1" s="1"/>
  <c r="AP118" i="1" a="1"/>
  <c r="AP118" i="1" s="1"/>
  <c r="AP119" i="1" a="1"/>
  <c r="AP119" i="1" s="1"/>
  <c r="AP120" i="1" a="1"/>
  <c r="AP120" i="1" s="1"/>
  <c r="AP121" i="1" a="1"/>
  <c r="AP121" i="1" s="1"/>
  <c r="AP123" i="1" a="1"/>
  <c r="AP123" i="1" s="1"/>
  <c r="AP124" i="1" a="1"/>
  <c r="AP124" i="1" s="1"/>
  <c r="AP125" i="1" a="1"/>
  <c r="AP125" i="1" s="1"/>
  <c r="AP135" i="1" a="1"/>
  <c r="AP135" i="1" s="1"/>
  <c r="AP139" i="1" a="1"/>
  <c r="AP139" i="1" s="1"/>
  <c r="AP140" i="1" a="1"/>
  <c r="AP140" i="1" s="1"/>
  <c r="AP141" i="1" a="1"/>
  <c r="AP141" i="1" s="1"/>
  <c r="AP143" i="1" a="1"/>
  <c r="AP143" i="1" s="1"/>
  <c r="AP144" i="1" a="1"/>
  <c r="AP144" i="1" s="1"/>
  <c r="AP145" i="1" a="1"/>
  <c r="AP145" i="1" s="1"/>
  <c r="AP146" i="1" a="1"/>
  <c r="AP146" i="1" s="1"/>
  <c r="AP147" i="1" a="1"/>
  <c r="AP147" i="1" s="1"/>
  <c r="AP149" i="1" a="1"/>
  <c r="AP149" i="1" s="1"/>
  <c r="AP150" i="1" a="1"/>
  <c r="AP150" i="1" s="1"/>
  <c r="AP151" i="1" a="1"/>
  <c r="AP151" i="1" s="1"/>
  <c r="AP161" i="1" a="1"/>
  <c r="AP161" i="1" s="1"/>
  <c r="AP165" i="1" a="1"/>
  <c r="AP165" i="1" s="1"/>
  <c r="AP166" i="1" a="1"/>
  <c r="AP166" i="1" s="1"/>
  <c r="AP167" i="1" a="1"/>
  <c r="AP167" i="1" s="1"/>
  <c r="AP169" i="1" a="1"/>
  <c r="AP169" i="1" s="1"/>
  <c r="AP170" i="1" a="1"/>
  <c r="AP170" i="1" s="1"/>
  <c r="AP171" i="1" a="1"/>
  <c r="AP171" i="1" s="1"/>
  <c r="AP172" i="1" a="1"/>
  <c r="AP172" i="1" s="1"/>
  <c r="AP173" i="1" a="1"/>
  <c r="AP173" i="1" s="1"/>
  <c r="AP175" i="1" a="1"/>
  <c r="AP175" i="1" s="1"/>
  <c r="AP176" i="1" a="1"/>
  <c r="AP176" i="1" s="1"/>
  <c r="AP177" i="1" a="1"/>
  <c r="AP177" i="1" s="1"/>
  <c r="K181" i="1"/>
  <c r="AQ31" i="1" a="1"/>
  <c r="AQ31" i="1" s="1"/>
  <c r="AQ35" i="1" a="1"/>
  <c r="AQ35" i="1" s="1"/>
  <c r="AQ36" i="1" a="1"/>
  <c r="AQ36" i="1" s="1"/>
  <c r="AQ37" i="1" a="1"/>
  <c r="AQ37" i="1" s="1"/>
  <c r="AQ39" i="1" a="1"/>
  <c r="AQ39" i="1" s="1"/>
  <c r="AQ40" i="1" a="1"/>
  <c r="AQ40" i="1" s="1"/>
  <c r="AQ41" i="1" a="1"/>
  <c r="AQ41" i="1" s="1"/>
  <c r="AQ42" i="1" a="1"/>
  <c r="AQ42" i="1" s="1"/>
  <c r="AQ43" i="1" a="1"/>
  <c r="AQ43" i="1" s="1"/>
  <c r="AQ45" i="1" a="1"/>
  <c r="AQ45" i="1" s="1"/>
  <c r="AQ201" i="1" s="1"/>
  <c r="AQ46" i="1" a="1"/>
  <c r="AQ46" i="1" s="1"/>
  <c r="AQ202" i="1" s="1"/>
  <c r="AQ47" i="1" a="1"/>
  <c r="AQ47" i="1" s="1"/>
  <c r="AQ57" i="1" a="1"/>
  <c r="AQ57" i="1" s="1"/>
  <c r="AQ61" i="1" a="1"/>
  <c r="AQ61" i="1" s="1"/>
  <c r="AQ62" i="1" a="1"/>
  <c r="AQ62" i="1" s="1"/>
  <c r="AQ63" i="1" a="1"/>
  <c r="AQ63" i="1" s="1"/>
  <c r="AQ65" i="1" a="1"/>
  <c r="AQ65" i="1" s="1"/>
  <c r="AQ66" i="1" a="1"/>
  <c r="AQ66" i="1" s="1"/>
  <c r="AQ67" i="1" a="1"/>
  <c r="AQ67" i="1" s="1"/>
  <c r="AQ68" i="1" a="1"/>
  <c r="AQ68" i="1" s="1"/>
  <c r="AQ69" i="1" a="1"/>
  <c r="AQ69" i="1" s="1"/>
  <c r="AQ71" i="1" a="1"/>
  <c r="AQ71" i="1" s="1"/>
  <c r="AQ72" i="1" a="1"/>
  <c r="AQ72" i="1" s="1"/>
  <c r="AQ73" i="1" a="1"/>
  <c r="AQ73" i="1" s="1"/>
  <c r="AQ83" i="1" a="1"/>
  <c r="AQ83" i="1" s="1"/>
  <c r="AQ87" i="1" a="1"/>
  <c r="AQ87" i="1" s="1"/>
  <c r="AQ88" i="1" a="1"/>
  <c r="AQ88" i="1" s="1"/>
  <c r="AQ89" i="1" a="1"/>
  <c r="AQ89" i="1" s="1"/>
  <c r="AQ91" i="1" a="1"/>
  <c r="AQ91" i="1" s="1"/>
  <c r="AQ92" i="1" a="1"/>
  <c r="AQ92" i="1" s="1"/>
  <c r="AQ93" i="1" a="1"/>
  <c r="AQ93" i="1" s="1"/>
  <c r="AQ94" i="1" a="1"/>
  <c r="AQ94" i="1" s="1"/>
  <c r="AQ95" i="1" a="1"/>
  <c r="AQ95" i="1" s="1"/>
  <c r="AQ97" i="1" a="1"/>
  <c r="AQ97" i="1" s="1"/>
  <c r="AQ98" i="1" a="1"/>
  <c r="AQ98" i="1" s="1"/>
  <c r="AQ99" i="1" a="1"/>
  <c r="AQ99" i="1" s="1"/>
  <c r="AQ109" i="1" a="1"/>
  <c r="AQ109" i="1" s="1"/>
  <c r="AQ113" i="1" a="1"/>
  <c r="AQ113" i="1" s="1"/>
  <c r="AQ114" i="1" a="1"/>
  <c r="AQ114" i="1" s="1"/>
  <c r="AQ115" i="1" a="1"/>
  <c r="AQ115" i="1" s="1"/>
  <c r="AQ117" i="1" a="1"/>
  <c r="AQ117" i="1" s="1"/>
  <c r="AQ118" i="1" a="1"/>
  <c r="AQ118" i="1" s="1"/>
  <c r="AQ119" i="1" a="1"/>
  <c r="AQ119" i="1" s="1"/>
  <c r="AQ120" i="1" a="1"/>
  <c r="AQ120" i="1" s="1"/>
  <c r="AQ121" i="1" a="1"/>
  <c r="AQ121" i="1" s="1"/>
  <c r="AQ123" i="1" a="1"/>
  <c r="AQ123" i="1" s="1"/>
  <c r="AQ124" i="1" a="1"/>
  <c r="AQ124" i="1" s="1"/>
  <c r="AQ125" i="1" a="1"/>
  <c r="AQ125" i="1" s="1"/>
  <c r="AQ135" i="1" a="1"/>
  <c r="AQ135" i="1" s="1"/>
  <c r="AQ139" i="1" a="1"/>
  <c r="AQ139" i="1" s="1"/>
  <c r="AQ140" i="1" a="1"/>
  <c r="AQ140" i="1" s="1"/>
  <c r="AQ141" i="1" a="1"/>
  <c r="AQ141" i="1" s="1"/>
  <c r="AQ143" i="1" a="1"/>
  <c r="AQ143" i="1" s="1"/>
  <c r="AQ144" i="1" a="1"/>
  <c r="AQ144" i="1" s="1"/>
  <c r="AQ145" i="1" a="1"/>
  <c r="AQ145" i="1" s="1"/>
  <c r="AQ146" i="1" a="1"/>
  <c r="AQ146" i="1" s="1"/>
  <c r="AQ147" i="1" a="1"/>
  <c r="AQ147" i="1" s="1"/>
  <c r="AQ149" i="1" a="1"/>
  <c r="AQ149" i="1" s="1"/>
  <c r="AQ150" i="1" a="1"/>
  <c r="AQ150" i="1" s="1"/>
  <c r="AQ151" i="1" a="1"/>
  <c r="AQ151" i="1" s="1"/>
  <c r="AQ161" i="1" a="1"/>
  <c r="AQ161" i="1" s="1"/>
  <c r="AQ165" i="1" a="1"/>
  <c r="AQ165" i="1" s="1"/>
  <c r="AQ166" i="1" a="1"/>
  <c r="AQ166" i="1" s="1"/>
  <c r="AQ167" i="1" a="1"/>
  <c r="AQ167" i="1" s="1"/>
  <c r="AQ169" i="1" a="1"/>
  <c r="AQ169" i="1" s="1"/>
  <c r="AQ170" i="1" a="1"/>
  <c r="AQ170" i="1" s="1"/>
  <c r="AQ171" i="1" a="1"/>
  <c r="AQ171" i="1" s="1"/>
  <c r="AQ172" i="1" a="1"/>
  <c r="AQ172" i="1" s="1"/>
  <c r="AQ173" i="1" a="1"/>
  <c r="AQ173" i="1" s="1"/>
  <c r="AQ175" i="1" a="1"/>
  <c r="AQ175" i="1" s="1"/>
  <c r="AQ176" i="1" a="1"/>
  <c r="AQ176" i="1" s="1"/>
  <c r="AQ177" i="1" a="1"/>
  <c r="AQ177" i="1" s="1"/>
  <c r="L181" i="1"/>
  <c r="M58" i="1"/>
  <c r="M59" i="1"/>
  <c r="AG31" i="1" a="1"/>
  <c r="AG31" i="1" s="1"/>
  <c r="AG32" i="1" a="1"/>
  <c r="AG32" i="1" s="1"/>
  <c r="AG33" i="1" a="1"/>
  <c r="AG33" i="1" s="1"/>
  <c r="AG34" i="1" a="1"/>
  <c r="AG34" i="1" s="1"/>
  <c r="AG35" i="1" a="1"/>
  <c r="AG35" i="1" s="1"/>
  <c r="AG36" i="1" a="1"/>
  <c r="AG36" i="1" s="1"/>
  <c r="AG37" i="1" a="1"/>
  <c r="AG37" i="1" s="1"/>
  <c r="AG39" i="1" a="1"/>
  <c r="AG39" i="1" s="1"/>
  <c r="AG40" i="1" a="1"/>
  <c r="AG40" i="1" s="1"/>
  <c r="AG41" i="1" a="1"/>
  <c r="AG41" i="1" s="1"/>
  <c r="AG42" i="1" a="1"/>
  <c r="AG42" i="1" s="1"/>
  <c r="AG43" i="1" a="1"/>
  <c r="AG43" i="1" s="1"/>
  <c r="AG45" i="1" a="1"/>
  <c r="AG45" i="1" s="1"/>
  <c r="AG46" i="1" a="1"/>
  <c r="AG46" i="1" s="1"/>
  <c r="AG47" i="1" a="1"/>
  <c r="AG47" i="1" s="1"/>
  <c r="AG48" i="1" a="1"/>
  <c r="AG48" i="1" s="1"/>
  <c r="AG50" i="1" a="1"/>
  <c r="AG50" i="1" s="1"/>
  <c r="AH31" i="1" a="1"/>
  <c r="AH31" i="1" s="1"/>
  <c r="AH32" i="1" a="1"/>
  <c r="AH32" i="1" s="1"/>
  <c r="AH33" i="1" a="1"/>
  <c r="AH33" i="1" s="1"/>
  <c r="AH34" i="1" a="1"/>
  <c r="AH34" i="1" s="1"/>
  <c r="AH35" i="1" a="1"/>
  <c r="AH35" i="1" s="1"/>
  <c r="AH36" i="1" a="1"/>
  <c r="AH36" i="1" s="1"/>
  <c r="AH37" i="1" a="1"/>
  <c r="AH37" i="1" s="1"/>
  <c r="AH39" i="1" a="1"/>
  <c r="AH39" i="1" s="1"/>
  <c r="AH40" i="1" a="1"/>
  <c r="AH40" i="1" s="1"/>
  <c r="AH41" i="1" a="1"/>
  <c r="AH41" i="1" s="1"/>
  <c r="AH42" i="1" a="1"/>
  <c r="AH42" i="1" s="1"/>
  <c r="AH43" i="1" a="1"/>
  <c r="AH43" i="1" s="1"/>
  <c r="AH45" i="1" a="1"/>
  <c r="AH45" i="1" s="1"/>
  <c r="AH46" i="1" a="1"/>
  <c r="AH46" i="1" s="1"/>
  <c r="AH47" i="1" a="1"/>
  <c r="AH47" i="1" s="1"/>
  <c r="AH48" i="1" a="1"/>
  <c r="AH48" i="1" s="1"/>
  <c r="AH49" i="1" a="1"/>
  <c r="AH49" i="1" s="1"/>
  <c r="AH50" i="1" a="1"/>
  <c r="AH50" i="1" s="1"/>
  <c r="AI31" i="1" a="1"/>
  <c r="AI31" i="1" s="1"/>
  <c r="AI32" i="1" a="1"/>
  <c r="AI32" i="1" s="1"/>
  <c r="AI33" i="1" a="1"/>
  <c r="AI33" i="1" s="1"/>
  <c r="AI34" i="1" a="1"/>
  <c r="AI34" i="1" s="1"/>
  <c r="AI35" i="1" a="1"/>
  <c r="AI35" i="1" s="1"/>
  <c r="AI36" i="1" a="1"/>
  <c r="AI36" i="1" s="1"/>
  <c r="AI37" i="1" a="1"/>
  <c r="AI37" i="1" s="1"/>
  <c r="AI39" i="1" a="1"/>
  <c r="AI39" i="1" s="1"/>
  <c r="AI40" i="1" a="1"/>
  <c r="AI40" i="1" s="1"/>
  <c r="AI41" i="1" a="1"/>
  <c r="AI41" i="1" s="1"/>
  <c r="AI42" i="1" a="1"/>
  <c r="AI42" i="1" s="1"/>
  <c r="AI43" i="1" a="1"/>
  <c r="AI43" i="1" s="1"/>
  <c r="AI45" i="1" a="1"/>
  <c r="AI45" i="1" s="1"/>
  <c r="AI46" i="1" a="1"/>
  <c r="AI46" i="1" s="1"/>
  <c r="AI47" i="1" a="1"/>
  <c r="AI47" i="1" s="1"/>
  <c r="AI48" i="1" a="1"/>
  <c r="AI48" i="1" s="1"/>
  <c r="AI49" i="1" a="1"/>
  <c r="AI49" i="1" s="1"/>
  <c r="AI50" i="1" a="1"/>
  <c r="AI50" i="1" s="1"/>
  <c r="AG57" i="1" a="1"/>
  <c r="AG57" i="1" s="1"/>
  <c r="AG58" i="1" a="1"/>
  <c r="AG58" i="1" s="1"/>
  <c r="AG59" i="1" a="1"/>
  <c r="AG59" i="1" s="1"/>
  <c r="AG60" i="1" a="1"/>
  <c r="AG60" i="1" s="1"/>
  <c r="AG61" i="1" a="1"/>
  <c r="AG61" i="1" s="1"/>
  <c r="AG62" i="1" a="1"/>
  <c r="AG62" i="1" s="1"/>
  <c r="AG63" i="1" a="1"/>
  <c r="AG63" i="1" s="1"/>
  <c r="AG65" i="1" a="1"/>
  <c r="AG65" i="1" s="1"/>
  <c r="AG66" i="1" a="1"/>
  <c r="AG66" i="1" s="1"/>
  <c r="AG67" i="1" a="1"/>
  <c r="AG67" i="1" s="1"/>
  <c r="AG68" i="1" a="1"/>
  <c r="AG68" i="1" s="1"/>
  <c r="AG69" i="1" a="1"/>
  <c r="AG69" i="1" s="1"/>
  <c r="AG71" i="1" a="1"/>
  <c r="AG71" i="1" s="1"/>
  <c r="AG72" i="1" a="1"/>
  <c r="AG72" i="1" s="1"/>
  <c r="AG73" i="1" a="1"/>
  <c r="AG73" i="1" s="1"/>
  <c r="AG74" i="1" a="1"/>
  <c r="AG74" i="1" s="1"/>
  <c r="AG75" i="1" a="1"/>
  <c r="AG75" i="1" s="1"/>
  <c r="AG76" i="1" a="1"/>
  <c r="AG76" i="1" s="1"/>
  <c r="AH57" i="1" a="1"/>
  <c r="AH57" i="1" s="1"/>
  <c r="AH58" i="1" a="1"/>
  <c r="AH58" i="1" s="1"/>
  <c r="AH59" i="1" a="1"/>
  <c r="AH59" i="1" s="1"/>
  <c r="AH60" i="1" a="1"/>
  <c r="AH60" i="1" s="1"/>
  <c r="AH61" i="1" a="1"/>
  <c r="AH61" i="1" s="1"/>
  <c r="AH62" i="1" a="1"/>
  <c r="AH62" i="1" s="1"/>
  <c r="AH63" i="1" a="1"/>
  <c r="AH63" i="1" s="1"/>
  <c r="AH65" i="1" a="1"/>
  <c r="AH65" i="1" s="1"/>
  <c r="AH66" i="1" a="1"/>
  <c r="AH66" i="1" s="1"/>
  <c r="AH67" i="1" a="1"/>
  <c r="AH67" i="1" s="1"/>
  <c r="AH68" i="1" a="1"/>
  <c r="AH68" i="1" s="1"/>
  <c r="AH69" i="1" a="1"/>
  <c r="AH69" i="1" s="1"/>
  <c r="AH71" i="1" a="1"/>
  <c r="AH71" i="1" s="1"/>
  <c r="AH72" i="1" a="1"/>
  <c r="AH72" i="1" s="1"/>
  <c r="AH73" i="1" a="1"/>
  <c r="AH73" i="1" s="1"/>
  <c r="AH74" i="1" a="1"/>
  <c r="AH74" i="1" s="1"/>
  <c r="AH75" i="1" a="1"/>
  <c r="AH75" i="1" s="1"/>
  <c r="AH76" i="1" a="1"/>
  <c r="AH76" i="1" s="1"/>
  <c r="AI57" i="1" a="1"/>
  <c r="AI57" i="1" s="1"/>
  <c r="AI58" i="1" a="1"/>
  <c r="AI58" i="1" s="1"/>
  <c r="AI59" i="1" a="1"/>
  <c r="AI59" i="1" s="1"/>
  <c r="AI60" i="1" a="1"/>
  <c r="AI60" i="1" s="1"/>
  <c r="AI61" i="1" a="1"/>
  <c r="AI61" i="1" s="1"/>
  <c r="AI62" i="1" a="1"/>
  <c r="AI62" i="1" s="1"/>
  <c r="AI63" i="1" a="1"/>
  <c r="AI63" i="1" s="1"/>
  <c r="AI65" i="1" a="1"/>
  <c r="AI65" i="1" s="1"/>
  <c r="AI66" i="1" a="1"/>
  <c r="AI66" i="1" s="1"/>
  <c r="AI67" i="1" a="1"/>
  <c r="AI67" i="1" s="1"/>
  <c r="AI68" i="1" a="1"/>
  <c r="AI68" i="1" s="1"/>
  <c r="AI69" i="1" a="1"/>
  <c r="AI69" i="1" s="1"/>
  <c r="AI71" i="1" a="1"/>
  <c r="AI71" i="1" s="1"/>
  <c r="AI72" i="1" a="1"/>
  <c r="AI72" i="1" s="1"/>
  <c r="AI73" i="1" a="1"/>
  <c r="AI73" i="1" s="1"/>
  <c r="AI74" i="1" a="1"/>
  <c r="AI74" i="1" s="1"/>
  <c r="AI75" i="1" a="1"/>
  <c r="AI75" i="1" s="1"/>
  <c r="AI76" i="1" a="1"/>
  <c r="AI76" i="1" s="1"/>
  <c r="AG83" i="1" a="1"/>
  <c r="AG83" i="1" s="1"/>
  <c r="AG84" i="1" a="1"/>
  <c r="AG84" i="1" s="1"/>
  <c r="AG85" i="1" a="1"/>
  <c r="AG85" i="1" s="1"/>
  <c r="AG86" i="1" a="1"/>
  <c r="AG86" i="1" s="1"/>
  <c r="AG87" i="1" a="1"/>
  <c r="AG87" i="1" s="1"/>
  <c r="AG88" i="1" a="1"/>
  <c r="AG88" i="1" s="1"/>
  <c r="AG89" i="1" a="1"/>
  <c r="AG89" i="1" s="1"/>
  <c r="AG91" i="1" a="1"/>
  <c r="AG91" i="1" s="1"/>
  <c r="AG92" i="1" a="1"/>
  <c r="AG92" i="1" s="1"/>
  <c r="AG93" i="1" a="1"/>
  <c r="AG93" i="1" s="1"/>
  <c r="AG94" i="1" a="1"/>
  <c r="AG94" i="1" s="1"/>
  <c r="AG95" i="1" a="1"/>
  <c r="AG95" i="1" s="1"/>
  <c r="AG97" i="1" a="1"/>
  <c r="AG97" i="1" s="1"/>
  <c r="AG98" i="1" a="1"/>
  <c r="AG98" i="1" s="1"/>
  <c r="AG99" i="1" a="1"/>
  <c r="AG99" i="1" s="1"/>
  <c r="AG100" i="1" a="1"/>
  <c r="AG100" i="1" s="1"/>
  <c r="AG101" i="1" a="1"/>
  <c r="AG101" i="1" s="1"/>
  <c r="AG102" i="1" a="1"/>
  <c r="AG102" i="1" s="1"/>
  <c r="AH83" i="1" a="1"/>
  <c r="AH83" i="1" s="1"/>
  <c r="AH84" i="1" a="1"/>
  <c r="AH84" i="1" s="1"/>
  <c r="AH85" i="1" a="1"/>
  <c r="AH85" i="1" s="1"/>
  <c r="AH86" i="1" a="1"/>
  <c r="AH86" i="1" s="1"/>
  <c r="AH87" i="1" a="1"/>
  <c r="AH87" i="1" s="1"/>
  <c r="AH88" i="1" a="1"/>
  <c r="AH88" i="1" s="1"/>
  <c r="AH89" i="1" a="1"/>
  <c r="AH89" i="1" s="1"/>
  <c r="AH91" i="1" a="1"/>
  <c r="AH91" i="1" s="1"/>
  <c r="AH92" i="1" a="1"/>
  <c r="AH92" i="1" s="1"/>
  <c r="AH93" i="1" a="1"/>
  <c r="AH93" i="1" s="1"/>
  <c r="AH94" i="1" a="1"/>
  <c r="AH94" i="1" s="1"/>
  <c r="AH95" i="1" a="1"/>
  <c r="AH95" i="1" s="1"/>
  <c r="AH97" i="1" a="1"/>
  <c r="AH97" i="1" s="1"/>
  <c r="AH98" i="1" a="1"/>
  <c r="AH98" i="1" s="1"/>
  <c r="AH99" i="1" a="1"/>
  <c r="AH99" i="1" s="1"/>
  <c r="AH100" i="1" a="1"/>
  <c r="AH100" i="1" s="1"/>
  <c r="AH101" i="1" a="1"/>
  <c r="AH101" i="1" s="1"/>
  <c r="AH102" i="1" a="1"/>
  <c r="AH102" i="1" s="1"/>
  <c r="AI83" i="1" a="1"/>
  <c r="AI83" i="1" s="1"/>
  <c r="AI84" i="1" a="1"/>
  <c r="AI84" i="1" s="1"/>
  <c r="AI85" i="1" a="1"/>
  <c r="AI85" i="1" s="1"/>
  <c r="AI86" i="1" a="1"/>
  <c r="AI86" i="1" s="1"/>
  <c r="AI87" i="1" a="1"/>
  <c r="AI87" i="1" s="1"/>
  <c r="AI88" i="1" a="1"/>
  <c r="AI88" i="1" s="1"/>
  <c r="AI89" i="1" a="1"/>
  <c r="AI89" i="1" s="1"/>
  <c r="AI91" i="1" a="1"/>
  <c r="AI91" i="1" s="1"/>
  <c r="AI92" i="1" a="1"/>
  <c r="AI92" i="1" s="1"/>
  <c r="AI93" i="1" a="1"/>
  <c r="AI93" i="1" s="1"/>
  <c r="AI94" i="1" a="1"/>
  <c r="AI94" i="1" s="1"/>
  <c r="AI95" i="1" a="1"/>
  <c r="AI95" i="1" s="1"/>
  <c r="AI97" i="1" a="1"/>
  <c r="AI97" i="1" s="1"/>
  <c r="AI98" i="1" a="1"/>
  <c r="AI98" i="1" s="1"/>
  <c r="AI99" i="1" a="1"/>
  <c r="AI99" i="1" s="1"/>
  <c r="AI100" i="1" a="1"/>
  <c r="AI100" i="1" s="1"/>
  <c r="AI101" i="1" a="1"/>
  <c r="AI101" i="1" s="1"/>
  <c r="AI102" i="1" a="1"/>
  <c r="AI102" i="1" s="1"/>
  <c r="AG109" i="1" a="1"/>
  <c r="AG109" i="1" s="1"/>
  <c r="AG110" i="1" a="1"/>
  <c r="AG110" i="1" s="1"/>
  <c r="AG111" i="1" a="1"/>
  <c r="AG111" i="1" s="1"/>
  <c r="AG112" i="1" a="1"/>
  <c r="AG112" i="1" s="1"/>
  <c r="AG113" i="1" a="1"/>
  <c r="AG113" i="1" s="1"/>
  <c r="AG114" i="1" a="1"/>
  <c r="AG114" i="1" s="1"/>
  <c r="AG115" i="1" a="1"/>
  <c r="AG115" i="1" s="1"/>
  <c r="AG117" i="1" a="1"/>
  <c r="AG117" i="1" s="1"/>
  <c r="AG118" i="1" a="1"/>
  <c r="AG118" i="1" s="1"/>
  <c r="AG119" i="1" a="1"/>
  <c r="AG119" i="1" s="1"/>
  <c r="AG120" i="1" a="1"/>
  <c r="AG120" i="1" s="1"/>
  <c r="AG121" i="1" a="1"/>
  <c r="AG121" i="1" s="1"/>
  <c r="AG123" i="1" a="1"/>
  <c r="AG123" i="1" s="1"/>
  <c r="AG124" i="1" a="1"/>
  <c r="AG124" i="1" s="1"/>
  <c r="AG125" i="1" a="1"/>
  <c r="AG125" i="1" s="1"/>
  <c r="AG126" i="1" a="1"/>
  <c r="AG126" i="1" s="1"/>
  <c r="AG127" i="1" a="1"/>
  <c r="AG127" i="1" s="1"/>
  <c r="AG128" i="1" a="1"/>
  <c r="AG128" i="1" s="1"/>
  <c r="AH109" i="1" a="1"/>
  <c r="AH109" i="1" s="1"/>
  <c r="AH110" i="1" a="1"/>
  <c r="AH110" i="1" s="1"/>
  <c r="AH111" i="1" a="1"/>
  <c r="AH111" i="1" s="1"/>
  <c r="AH112" i="1" a="1"/>
  <c r="AH112" i="1" s="1"/>
  <c r="AH113" i="1" a="1"/>
  <c r="AH113" i="1" s="1"/>
  <c r="AH114" i="1" a="1"/>
  <c r="AH114" i="1" s="1"/>
  <c r="AH115" i="1" a="1"/>
  <c r="AH115" i="1" s="1"/>
  <c r="AH117" i="1" a="1"/>
  <c r="AH117" i="1" s="1"/>
  <c r="AH118" i="1" a="1"/>
  <c r="AH118" i="1" s="1"/>
  <c r="AH119" i="1" a="1"/>
  <c r="AH119" i="1" s="1"/>
  <c r="AH120" i="1" a="1"/>
  <c r="AH120" i="1" s="1"/>
  <c r="AH121" i="1" a="1"/>
  <c r="AH121" i="1" s="1"/>
  <c r="AH123" i="1" a="1"/>
  <c r="AH123" i="1" s="1"/>
  <c r="AH124" i="1" a="1"/>
  <c r="AH124" i="1" s="1"/>
  <c r="AH125" i="1" a="1"/>
  <c r="AH125" i="1" s="1"/>
  <c r="AH126" i="1" a="1"/>
  <c r="AH126" i="1" s="1"/>
  <c r="AH127" i="1" a="1"/>
  <c r="AH127" i="1" s="1"/>
  <c r="AH128" i="1" a="1"/>
  <c r="AH128" i="1" s="1"/>
  <c r="AI109" i="1" a="1"/>
  <c r="AI109" i="1" s="1"/>
  <c r="AI110" i="1" a="1"/>
  <c r="AI110" i="1" s="1"/>
  <c r="AI111" i="1" a="1"/>
  <c r="AI111" i="1" s="1"/>
  <c r="AI112" i="1" a="1"/>
  <c r="AI112" i="1" s="1"/>
  <c r="AI113" i="1" a="1"/>
  <c r="AI113" i="1" s="1"/>
  <c r="AI114" i="1" a="1"/>
  <c r="AI114" i="1" s="1"/>
  <c r="AI115" i="1" a="1"/>
  <c r="AI115" i="1" s="1"/>
  <c r="AI117" i="1" a="1"/>
  <c r="AI117" i="1" s="1"/>
  <c r="AI118" i="1" a="1"/>
  <c r="AI118" i="1" s="1"/>
  <c r="AI119" i="1" a="1"/>
  <c r="AI119" i="1" s="1"/>
  <c r="AI120" i="1" a="1"/>
  <c r="AI120" i="1" s="1"/>
  <c r="AI121" i="1" a="1"/>
  <c r="AI121" i="1" s="1"/>
  <c r="AI123" i="1" a="1"/>
  <c r="AI123" i="1" s="1"/>
  <c r="AI124" i="1" a="1"/>
  <c r="AI124" i="1" s="1"/>
  <c r="AI125" i="1" a="1"/>
  <c r="AI125" i="1" s="1"/>
  <c r="AI126" i="1" a="1"/>
  <c r="AI126" i="1" s="1"/>
  <c r="AI127" i="1" a="1"/>
  <c r="AI127" i="1" s="1"/>
  <c r="AI128" i="1" a="1"/>
  <c r="AI128" i="1" s="1"/>
  <c r="AG135" i="1" a="1"/>
  <c r="AG135" i="1" s="1"/>
  <c r="AG136" i="1" a="1"/>
  <c r="AG136" i="1" s="1"/>
  <c r="AG137" i="1" a="1"/>
  <c r="AG137" i="1" s="1"/>
  <c r="AG138" i="1" a="1"/>
  <c r="AG138" i="1" s="1"/>
  <c r="AG139" i="1" a="1"/>
  <c r="AG139" i="1" s="1"/>
  <c r="AG140" i="1" a="1"/>
  <c r="AG140" i="1" s="1"/>
  <c r="AG141" i="1" a="1"/>
  <c r="AG141" i="1" s="1"/>
  <c r="AG143" i="1" a="1"/>
  <c r="AG143" i="1" s="1"/>
  <c r="AG144" i="1" a="1"/>
  <c r="AG144" i="1" s="1"/>
  <c r="AG145" i="1" a="1"/>
  <c r="AG145" i="1" s="1"/>
  <c r="AG146" i="1" a="1"/>
  <c r="AG146" i="1" s="1"/>
  <c r="AG147" i="1" a="1"/>
  <c r="AG147" i="1" s="1"/>
  <c r="AG149" i="1" a="1"/>
  <c r="AG149" i="1" s="1"/>
  <c r="AG150" i="1" a="1"/>
  <c r="AG150" i="1" s="1"/>
  <c r="AG151" i="1" a="1"/>
  <c r="AG151" i="1" s="1"/>
  <c r="AG152" i="1" a="1"/>
  <c r="AG152" i="1" s="1"/>
  <c r="AG153" i="1" a="1"/>
  <c r="AG153" i="1" s="1"/>
  <c r="AG154" i="1" a="1"/>
  <c r="AG154" i="1" s="1"/>
  <c r="AH135" i="1" a="1"/>
  <c r="AH135" i="1" s="1"/>
  <c r="AH136" i="1" a="1"/>
  <c r="AH136" i="1" s="1"/>
  <c r="AH137" i="1" a="1"/>
  <c r="AH137" i="1" s="1"/>
  <c r="AH138" i="1" a="1"/>
  <c r="AH138" i="1" s="1"/>
  <c r="AH139" i="1" a="1"/>
  <c r="AH139" i="1" s="1"/>
  <c r="AH140" i="1" a="1"/>
  <c r="AH140" i="1" s="1"/>
  <c r="AH141" i="1" a="1"/>
  <c r="AH141" i="1" s="1"/>
  <c r="AH143" i="1" a="1"/>
  <c r="AH143" i="1" s="1"/>
  <c r="AH144" i="1" a="1"/>
  <c r="AH144" i="1" s="1"/>
  <c r="AH145" i="1" a="1"/>
  <c r="AH145" i="1" s="1"/>
  <c r="AH146" i="1" a="1"/>
  <c r="AH146" i="1" s="1"/>
  <c r="AH147" i="1" a="1"/>
  <c r="AH147" i="1" s="1"/>
  <c r="AH149" i="1" a="1"/>
  <c r="AH149" i="1" s="1"/>
  <c r="AH150" i="1" a="1"/>
  <c r="AH150" i="1" s="1"/>
  <c r="AH151" i="1" a="1"/>
  <c r="AH151" i="1" s="1"/>
  <c r="AH152" i="1" a="1"/>
  <c r="AH152" i="1" s="1"/>
  <c r="AH153" i="1" a="1"/>
  <c r="AH153" i="1" s="1"/>
  <c r="AH154" i="1" a="1"/>
  <c r="AH154" i="1" s="1"/>
  <c r="AI135" i="1" a="1"/>
  <c r="AI135" i="1" s="1"/>
  <c r="AI136" i="1" a="1"/>
  <c r="AI136" i="1" s="1"/>
  <c r="AI137" i="1" a="1"/>
  <c r="AI137" i="1" s="1"/>
  <c r="AI138" i="1" a="1"/>
  <c r="AI138" i="1" s="1"/>
  <c r="AI139" i="1" a="1"/>
  <c r="AI139" i="1" s="1"/>
  <c r="AI140" i="1" a="1"/>
  <c r="AI140" i="1" s="1"/>
  <c r="AI141" i="1" a="1"/>
  <c r="AI141" i="1" s="1"/>
  <c r="AI143" i="1" a="1"/>
  <c r="AI143" i="1" s="1"/>
  <c r="AI144" i="1" a="1"/>
  <c r="AI144" i="1" s="1"/>
  <c r="AI145" i="1" a="1"/>
  <c r="AI145" i="1" s="1"/>
  <c r="AI146" i="1" a="1"/>
  <c r="AI146" i="1" s="1"/>
  <c r="AI147" i="1" a="1"/>
  <c r="AI147" i="1" s="1"/>
  <c r="AI149" i="1" a="1"/>
  <c r="AI149" i="1" s="1"/>
  <c r="AI150" i="1" a="1"/>
  <c r="AI150" i="1" s="1"/>
  <c r="AI151" i="1" a="1"/>
  <c r="AI151" i="1" s="1"/>
  <c r="AI152" i="1" a="1"/>
  <c r="AI152" i="1" s="1"/>
  <c r="AI153" i="1" a="1"/>
  <c r="AI153" i="1" s="1"/>
  <c r="AI154" i="1" a="1"/>
  <c r="AI154" i="1" s="1"/>
  <c r="AG161" i="1"/>
  <c r="AG162" i="1" a="1"/>
  <c r="AG162" i="1" s="1"/>
  <c r="AG163" i="1" a="1"/>
  <c r="AG163" i="1" s="1"/>
  <c r="AG164" i="1" a="1"/>
  <c r="AG164" i="1" s="1"/>
  <c r="AG165" i="1" a="1"/>
  <c r="AG165" i="1" s="1"/>
  <c r="AG166" i="1" a="1"/>
  <c r="AG166" i="1" s="1"/>
  <c r="BZ166" i="1" s="1"/>
  <c r="AG167" i="1" a="1"/>
  <c r="AG167" i="1" s="1"/>
  <c r="AG169" i="1" a="1"/>
  <c r="AG169" i="1" s="1"/>
  <c r="BZ169" i="1" s="1"/>
  <c r="AG170" i="1" a="1"/>
  <c r="AG170" i="1" s="1"/>
  <c r="AG171" i="1" a="1"/>
  <c r="AG171" i="1" s="1"/>
  <c r="AG172" i="1" a="1"/>
  <c r="AG172" i="1" s="1"/>
  <c r="BZ172" i="1" s="1"/>
  <c r="AG173" i="1" a="1"/>
  <c r="AG173" i="1" s="1"/>
  <c r="AG175" i="1" a="1"/>
  <c r="AG175" i="1" s="1"/>
  <c r="AG176" i="1" a="1"/>
  <c r="AG176" i="1" s="1"/>
  <c r="AG177" i="1" a="1"/>
  <c r="AG177" i="1" s="1"/>
  <c r="AG178" i="1" a="1"/>
  <c r="AG178" i="1" s="1"/>
  <c r="AG179" i="1" a="1"/>
  <c r="AG179" i="1" s="1"/>
  <c r="AG180" i="1" a="1"/>
  <c r="AG180" i="1" s="1"/>
  <c r="AJ31" i="1" a="1"/>
  <c r="AJ31" i="1" s="1"/>
  <c r="AJ32" i="1" a="1"/>
  <c r="AJ32" i="1" s="1"/>
  <c r="AJ33" i="1" a="1"/>
  <c r="AJ33" i="1" s="1"/>
  <c r="AJ34" i="1" a="1"/>
  <c r="AJ34" i="1" s="1"/>
  <c r="AJ35" i="1" a="1"/>
  <c r="AJ35" i="1" s="1"/>
  <c r="AJ36" i="1" a="1"/>
  <c r="AJ36" i="1" s="1"/>
  <c r="AJ37" i="1" a="1"/>
  <c r="AJ37" i="1" s="1"/>
  <c r="AJ39" i="1" a="1"/>
  <c r="AJ39" i="1" s="1"/>
  <c r="AJ40" i="1" a="1"/>
  <c r="AJ40" i="1" s="1"/>
  <c r="AJ41" i="1" a="1"/>
  <c r="AJ41" i="1" s="1"/>
  <c r="AJ42" i="1" a="1"/>
  <c r="AJ42" i="1" s="1"/>
  <c r="AJ43" i="1" a="1"/>
  <c r="AJ43" i="1" s="1"/>
  <c r="AJ45" i="1" a="1"/>
  <c r="AJ45" i="1" s="1"/>
  <c r="AJ201" i="1" s="1"/>
  <c r="AJ46" i="1" a="1"/>
  <c r="AJ46" i="1" s="1"/>
  <c r="AJ202" i="1" s="1"/>
  <c r="AJ47" i="1" a="1"/>
  <c r="AJ47" i="1" s="1"/>
  <c r="AJ48" i="1" a="1"/>
  <c r="AJ48" i="1" s="1"/>
  <c r="AJ49" i="1" a="1"/>
  <c r="AJ49" i="1" s="1"/>
  <c r="AJ50" i="1" a="1"/>
  <c r="AJ50" i="1" s="1"/>
  <c r="AJ57" i="1" a="1"/>
  <c r="AJ57" i="1" s="1"/>
  <c r="AJ58" i="1" a="1"/>
  <c r="AJ58" i="1" s="1"/>
  <c r="AJ59" i="1" a="1"/>
  <c r="AJ59" i="1" s="1"/>
  <c r="AJ60" i="1" a="1"/>
  <c r="AJ60" i="1" s="1"/>
  <c r="AJ61" i="1" a="1"/>
  <c r="AJ61" i="1" s="1"/>
  <c r="AJ62" i="1" a="1"/>
  <c r="AJ62" i="1" s="1"/>
  <c r="AJ63" i="1" a="1"/>
  <c r="AJ63" i="1" s="1"/>
  <c r="AJ65" i="1" a="1"/>
  <c r="AJ65" i="1" s="1"/>
  <c r="AJ66" i="1" a="1"/>
  <c r="AJ66" i="1" s="1"/>
  <c r="AJ67" i="1" a="1"/>
  <c r="AJ67" i="1" s="1"/>
  <c r="AJ68" i="1" a="1"/>
  <c r="AJ68" i="1" s="1"/>
  <c r="AJ69" i="1" a="1"/>
  <c r="AJ69" i="1" s="1"/>
  <c r="AJ71" i="1" a="1"/>
  <c r="AJ71" i="1" s="1"/>
  <c r="AJ72" i="1" a="1"/>
  <c r="AJ72" i="1" s="1"/>
  <c r="AJ73" i="1" a="1"/>
  <c r="AJ73" i="1" s="1"/>
  <c r="AJ74" i="1" a="1"/>
  <c r="AJ74" i="1" s="1"/>
  <c r="AJ75" i="1" a="1"/>
  <c r="AJ75" i="1" s="1"/>
  <c r="AJ76" i="1" a="1"/>
  <c r="AJ76" i="1" s="1"/>
  <c r="AJ83" i="1" a="1"/>
  <c r="AJ83" i="1" s="1"/>
  <c r="AJ84" i="1" a="1"/>
  <c r="AJ84" i="1" s="1"/>
  <c r="AJ85" i="1" a="1"/>
  <c r="AJ85" i="1" s="1"/>
  <c r="AJ86" i="1" a="1"/>
  <c r="AJ86" i="1" s="1"/>
  <c r="AJ87" i="1" a="1"/>
  <c r="AJ87" i="1" s="1"/>
  <c r="AJ88" i="1" a="1"/>
  <c r="AJ88" i="1" s="1"/>
  <c r="AJ89" i="1" a="1"/>
  <c r="AJ89" i="1" s="1"/>
  <c r="AJ91" i="1" a="1"/>
  <c r="AJ91" i="1" s="1"/>
  <c r="AJ92" i="1" a="1"/>
  <c r="AJ92" i="1" s="1"/>
  <c r="AJ93" i="1" a="1"/>
  <c r="AJ93" i="1" s="1"/>
  <c r="AJ94" i="1" a="1"/>
  <c r="AJ94" i="1" s="1"/>
  <c r="AJ95" i="1" a="1"/>
  <c r="AJ95" i="1" s="1"/>
  <c r="AJ97" i="1" a="1"/>
  <c r="AJ97" i="1" s="1"/>
  <c r="AJ98" i="1" a="1"/>
  <c r="AJ98" i="1" s="1"/>
  <c r="AJ99" i="1" a="1"/>
  <c r="AJ99" i="1" s="1"/>
  <c r="AJ100" i="1" a="1"/>
  <c r="AJ100" i="1" s="1"/>
  <c r="AJ101" i="1" a="1"/>
  <c r="AJ101" i="1" s="1"/>
  <c r="AJ102" i="1" a="1"/>
  <c r="AJ102" i="1" s="1"/>
  <c r="AJ109" i="1" a="1"/>
  <c r="AJ109" i="1" s="1"/>
  <c r="AJ110" i="1" a="1"/>
  <c r="AJ110" i="1" s="1"/>
  <c r="AJ111" i="1" a="1"/>
  <c r="AJ111" i="1" s="1"/>
  <c r="AJ112" i="1" a="1"/>
  <c r="AJ112" i="1" s="1"/>
  <c r="AJ113" i="1" a="1"/>
  <c r="AJ113" i="1" s="1"/>
  <c r="AJ114" i="1" a="1"/>
  <c r="AJ114" i="1" s="1"/>
  <c r="AJ115" i="1" a="1"/>
  <c r="AJ115" i="1" s="1"/>
  <c r="AJ117" i="1" a="1"/>
  <c r="AJ117" i="1" s="1"/>
  <c r="AJ118" i="1" a="1"/>
  <c r="AJ118" i="1" s="1"/>
  <c r="AJ119" i="1" a="1"/>
  <c r="AJ119" i="1" s="1"/>
  <c r="AJ120" i="1" a="1"/>
  <c r="AJ120" i="1" s="1"/>
  <c r="AJ121" i="1" a="1"/>
  <c r="AJ121" i="1" s="1"/>
  <c r="AJ123" i="1" a="1"/>
  <c r="AJ123" i="1" s="1"/>
  <c r="AJ124" i="1" a="1"/>
  <c r="AJ124" i="1" s="1"/>
  <c r="AJ125" i="1" a="1"/>
  <c r="AJ125" i="1" s="1"/>
  <c r="AJ126" i="1" a="1"/>
  <c r="AJ126" i="1" s="1"/>
  <c r="AJ127" i="1" a="1"/>
  <c r="AJ127" i="1" s="1"/>
  <c r="AJ128" i="1" a="1"/>
  <c r="AJ128" i="1" s="1"/>
  <c r="AJ135" i="1" a="1"/>
  <c r="AJ135" i="1" s="1"/>
  <c r="AJ136" i="1" a="1"/>
  <c r="AJ136" i="1" s="1"/>
  <c r="AJ137" i="1" a="1"/>
  <c r="AJ137" i="1" s="1"/>
  <c r="AJ138" i="1" a="1"/>
  <c r="AJ138" i="1" s="1"/>
  <c r="AJ139" i="1" a="1"/>
  <c r="AJ139" i="1" s="1"/>
  <c r="AJ140" i="1" a="1"/>
  <c r="AJ140" i="1" s="1"/>
  <c r="AJ141" i="1" a="1"/>
  <c r="AJ141" i="1" s="1"/>
  <c r="AJ143" i="1" a="1"/>
  <c r="AJ143" i="1" s="1"/>
  <c r="AJ144" i="1" a="1"/>
  <c r="AJ144" i="1" s="1"/>
  <c r="AJ145" i="1" a="1"/>
  <c r="AJ145" i="1" s="1"/>
  <c r="AJ146" i="1" a="1"/>
  <c r="AJ146" i="1" s="1"/>
  <c r="AJ147" i="1" a="1"/>
  <c r="AJ147" i="1" s="1"/>
  <c r="AJ149" i="1" a="1"/>
  <c r="AJ149" i="1" s="1"/>
  <c r="AJ150" i="1" a="1"/>
  <c r="AJ150" i="1" s="1"/>
  <c r="AJ151" i="1" a="1"/>
  <c r="AJ151" i="1" s="1"/>
  <c r="AJ152" i="1" a="1"/>
  <c r="AJ152" i="1" s="1"/>
  <c r="AJ153" i="1" a="1"/>
  <c r="AJ153" i="1" s="1"/>
  <c r="AJ154" i="1" a="1"/>
  <c r="AJ154" i="1" s="1"/>
  <c r="AJ161" i="1" a="1"/>
  <c r="AJ161" i="1" s="1"/>
  <c r="AJ162" i="1" a="1"/>
  <c r="AJ162" i="1" s="1"/>
  <c r="AJ163" i="1" a="1"/>
  <c r="AJ163" i="1" s="1"/>
  <c r="AJ164" i="1" a="1"/>
  <c r="AJ164" i="1" s="1"/>
  <c r="AJ165" i="1" a="1"/>
  <c r="AJ165" i="1" s="1"/>
  <c r="AJ166" i="1" a="1"/>
  <c r="AJ166" i="1" s="1"/>
  <c r="AJ167" i="1" a="1"/>
  <c r="AJ167" i="1" s="1"/>
  <c r="AJ169" i="1" a="1"/>
  <c r="AJ169" i="1" s="1"/>
  <c r="AJ170" i="1" a="1"/>
  <c r="AJ170" i="1" s="1"/>
  <c r="AJ171" i="1" a="1"/>
  <c r="AJ171" i="1" s="1"/>
  <c r="AJ172" i="1" a="1"/>
  <c r="AJ172" i="1" s="1"/>
  <c r="AJ173" i="1" a="1"/>
  <c r="AJ173" i="1" s="1"/>
  <c r="AJ175" i="1" a="1"/>
  <c r="AJ175" i="1" s="1"/>
  <c r="AJ176" i="1" a="1"/>
  <c r="AJ176" i="1" s="1"/>
  <c r="AJ177" i="1" a="1"/>
  <c r="AJ177" i="1" s="1"/>
  <c r="AJ178" i="1" a="1"/>
  <c r="AJ178" i="1" s="1"/>
  <c r="AJ179" i="1" a="1"/>
  <c r="AJ179" i="1" s="1"/>
  <c r="AJ180" i="1" a="1"/>
  <c r="AJ180" i="1" s="1"/>
  <c r="AK31" i="1" a="1"/>
  <c r="AK31" i="1" s="1"/>
  <c r="AK32" i="1" a="1"/>
  <c r="AK32" i="1" s="1"/>
  <c r="AK33" i="1" a="1"/>
  <c r="AK33" i="1" s="1"/>
  <c r="AK34" i="1" a="1"/>
  <c r="AK34" i="1" s="1"/>
  <c r="AK35" i="1" a="1"/>
  <c r="AK35" i="1" s="1"/>
  <c r="AK36" i="1" a="1"/>
  <c r="AK36" i="1" s="1"/>
  <c r="AK37" i="1" a="1"/>
  <c r="AK37" i="1" s="1"/>
  <c r="AK39" i="1" a="1"/>
  <c r="AK39" i="1" s="1"/>
  <c r="AK40" i="1" a="1"/>
  <c r="AK40" i="1" s="1"/>
  <c r="AK41" i="1" a="1"/>
  <c r="AK41" i="1" s="1"/>
  <c r="AK42" i="1" a="1"/>
  <c r="AK42" i="1" s="1"/>
  <c r="AK43" i="1" a="1"/>
  <c r="AK43" i="1" s="1"/>
  <c r="AK45" i="1" a="1"/>
  <c r="AK45" i="1" s="1"/>
  <c r="AK46" i="1" a="1"/>
  <c r="AK46" i="1" s="1"/>
  <c r="AK47" i="1" a="1"/>
  <c r="AK47" i="1" s="1"/>
  <c r="AK48" i="1" a="1"/>
  <c r="AK48" i="1" s="1"/>
  <c r="AK49" i="1" a="1"/>
  <c r="AK49" i="1" s="1"/>
  <c r="AK50" i="1" a="1"/>
  <c r="AK50" i="1" s="1"/>
  <c r="AK57" i="1" a="1"/>
  <c r="AK57" i="1" s="1"/>
  <c r="AK58" i="1" a="1"/>
  <c r="AK58" i="1" s="1"/>
  <c r="AK59" i="1" a="1"/>
  <c r="AK59" i="1" s="1"/>
  <c r="AK60" i="1" a="1"/>
  <c r="AK60" i="1" s="1"/>
  <c r="AK61" i="1" a="1"/>
  <c r="AK61" i="1" s="1"/>
  <c r="AK62" i="1" a="1"/>
  <c r="AK62" i="1" s="1"/>
  <c r="AK63" i="1" a="1"/>
  <c r="AK63" i="1" s="1"/>
  <c r="AK65" i="1" a="1"/>
  <c r="AK65" i="1" s="1"/>
  <c r="AK66" i="1" a="1"/>
  <c r="AK66" i="1" s="1"/>
  <c r="AK67" i="1" a="1"/>
  <c r="AK67" i="1" s="1"/>
  <c r="AK68" i="1" a="1"/>
  <c r="AK68" i="1" s="1"/>
  <c r="AK69" i="1" a="1"/>
  <c r="AK69" i="1" s="1"/>
  <c r="AK71" i="1" a="1"/>
  <c r="AK71" i="1" s="1"/>
  <c r="AK72" i="1" a="1"/>
  <c r="AK72" i="1" s="1"/>
  <c r="AK73" i="1" a="1"/>
  <c r="AK73" i="1" s="1"/>
  <c r="AK74" i="1" a="1"/>
  <c r="AK74" i="1" s="1"/>
  <c r="AK75" i="1" a="1"/>
  <c r="AK75" i="1" s="1"/>
  <c r="AK76" i="1" a="1"/>
  <c r="AK76" i="1" s="1"/>
  <c r="AK83" i="1" a="1"/>
  <c r="AK83" i="1" s="1"/>
  <c r="AK84" i="1" a="1"/>
  <c r="AK84" i="1" s="1"/>
  <c r="AK85" i="1" a="1"/>
  <c r="AK85" i="1" s="1"/>
  <c r="AK86" i="1" a="1"/>
  <c r="AK86" i="1" s="1"/>
  <c r="AK87" i="1" a="1"/>
  <c r="AK87" i="1" s="1"/>
  <c r="AK88" i="1" a="1"/>
  <c r="AK88" i="1" s="1"/>
  <c r="AK89" i="1" a="1"/>
  <c r="AK89" i="1" s="1"/>
  <c r="AK91" i="1" a="1"/>
  <c r="AK91" i="1" s="1"/>
  <c r="AK92" i="1" a="1"/>
  <c r="AK92" i="1" s="1"/>
  <c r="AK93" i="1" a="1"/>
  <c r="AK93" i="1" s="1"/>
  <c r="AK94" i="1" a="1"/>
  <c r="AK94" i="1" s="1"/>
  <c r="AK95" i="1" a="1"/>
  <c r="AK95" i="1" s="1"/>
  <c r="AK97" i="1" a="1"/>
  <c r="AK97" i="1" s="1"/>
  <c r="AK98" i="1" a="1"/>
  <c r="AK98" i="1" s="1"/>
  <c r="AK99" i="1" a="1"/>
  <c r="AK99" i="1" s="1"/>
  <c r="AK100" i="1" a="1"/>
  <c r="AK100" i="1" s="1"/>
  <c r="AK101" i="1" a="1"/>
  <c r="AK101" i="1" s="1"/>
  <c r="AK102" i="1" a="1"/>
  <c r="AK102" i="1" s="1"/>
  <c r="AK109" i="1" a="1"/>
  <c r="AK109" i="1" s="1"/>
  <c r="AK110" i="1" a="1"/>
  <c r="AK110" i="1" s="1"/>
  <c r="AK111" i="1" a="1"/>
  <c r="AK111" i="1" s="1"/>
  <c r="AK112" i="1" a="1"/>
  <c r="AK112" i="1" s="1"/>
  <c r="AK113" i="1" a="1"/>
  <c r="AK113" i="1" s="1"/>
  <c r="AK114" i="1" a="1"/>
  <c r="AK114" i="1" s="1"/>
  <c r="AK115" i="1" a="1"/>
  <c r="AK115" i="1" s="1"/>
  <c r="AK117" i="1" a="1"/>
  <c r="AK117" i="1" s="1"/>
  <c r="AK118" i="1" a="1"/>
  <c r="AK118" i="1" s="1"/>
  <c r="AK119" i="1" a="1"/>
  <c r="AK119" i="1" s="1"/>
  <c r="AK120" i="1" a="1"/>
  <c r="AK120" i="1" s="1"/>
  <c r="AK121" i="1" a="1"/>
  <c r="AK121" i="1" s="1"/>
  <c r="AK123" i="1" a="1"/>
  <c r="AK123" i="1" s="1"/>
  <c r="AK124" i="1" a="1"/>
  <c r="AK124" i="1" s="1"/>
  <c r="AK125" i="1" a="1"/>
  <c r="AK125" i="1" s="1"/>
  <c r="AK126" i="1" a="1"/>
  <c r="AK126" i="1" s="1"/>
  <c r="AK127" i="1" a="1"/>
  <c r="AK127" i="1" s="1"/>
  <c r="AK128" i="1" a="1"/>
  <c r="AK128" i="1" s="1"/>
  <c r="AK135" i="1" a="1"/>
  <c r="AK135" i="1" s="1"/>
  <c r="AK136" i="1" a="1"/>
  <c r="AK136" i="1" s="1"/>
  <c r="AK137" i="1" a="1"/>
  <c r="AK137" i="1" s="1"/>
  <c r="AK138" i="1" a="1"/>
  <c r="AK138" i="1" s="1"/>
  <c r="AK139" i="1" a="1"/>
  <c r="AK139" i="1" s="1"/>
  <c r="AK140" i="1" a="1"/>
  <c r="AK140" i="1" s="1"/>
  <c r="AK141" i="1" a="1"/>
  <c r="AK141" i="1" s="1"/>
  <c r="AK143" i="1" a="1"/>
  <c r="AK143" i="1" s="1"/>
  <c r="AK144" i="1" a="1"/>
  <c r="AK144" i="1" s="1"/>
  <c r="AK145" i="1" a="1"/>
  <c r="AK145" i="1" s="1"/>
  <c r="AK146" i="1" a="1"/>
  <c r="AK146" i="1" s="1"/>
  <c r="AK147" i="1" a="1"/>
  <c r="AK147" i="1" s="1"/>
  <c r="AK149" i="1" a="1"/>
  <c r="AK149" i="1" s="1"/>
  <c r="AK150" i="1" a="1"/>
  <c r="AK150" i="1" s="1"/>
  <c r="AK151" i="1" a="1"/>
  <c r="AK151" i="1" s="1"/>
  <c r="AK152" i="1" a="1"/>
  <c r="AK152" i="1" s="1"/>
  <c r="AK153" i="1" a="1"/>
  <c r="AK153" i="1" s="1"/>
  <c r="AK154" i="1" a="1"/>
  <c r="AK154" i="1" s="1"/>
  <c r="AK161" i="1" a="1"/>
  <c r="AK161" i="1" s="1"/>
  <c r="AK162" i="1" a="1"/>
  <c r="AK162" i="1" s="1"/>
  <c r="AK163" i="1" a="1"/>
  <c r="AK163" i="1" s="1"/>
  <c r="AK164" i="1" a="1"/>
  <c r="AK164" i="1" s="1"/>
  <c r="AK165" i="1" a="1"/>
  <c r="AK165" i="1" s="1"/>
  <c r="AK166" i="1" a="1"/>
  <c r="AK166" i="1" s="1"/>
  <c r="AK167" i="1" a="1"/>
  <c r="AK167" i="1" s="1"/>
  <c r="AK169" i="1" a="1"/>
  <c r="AK169" i="1" s="1"/>
  <c r="AK170" i="1" a="1"/>
  <c r="AK170" i="1" s="1"/>
  <c r="AK171" i="1" a="1"/>
  <c r="AK171" i="1" s="1"/>
  <c r="AK172" i="1" a="1"/>
  <c r="AK172" i="1" s="1"/>
  <c r="AK173" i="1" a="1"/>
  <c r="AK173" i="1" s="1"/>
  <c r="AK175" i="1" a="1"/>
  <c r="AK175" i="1" s="1"/>
  <c r="AK176" i="1" a="1"/>
  <c r="AK176" i="1" s="1"/>
  <c r="AK177" i="1" a="1"/>
  <c r="AK177" i="1" s="1"/>
  <c r="AK178" i="1" a="1"/>
  <c r="AK178" i="1" s="1"/>
  <c r="AK179" i="1" a="1"/>
  <c r="AK179" i="1" s="1"/>
  <c r="AK180" i="1" a="1"/>
  <c r="AK180" i="1" s="1"/>
  <c r="AL31" i="1" a="1"/>
  <c r="AL31" i="1" s="1"/>
  <c r="AL32" i="1" a="1"/>
  <c r="AL32" i="1" s="1"/>
  <c r="AL33" i="1" a="1"/>
  <c r="AL33" i="1" s="1"/>
  <c r="AL34" i="1" a="1"/>
  <c r="AL34" i="1" s="1"/>
  <c r="AL35" i="1" a="1"/>
  <c r="AL35" i="1" s="1"/>
  <c r="AL36" i="1" a="1"/>
  <c r="AL36" i="1" s="1"/>
  <c r="AL37" i="1" a="1"/>
  <c r="AL37" i="1" s="1"/>
  <c r="AL39" i="1" a="1"/>
  <c r="AL39" i="1" s="1"/>
  <c r="AL40" i="1" a="1"/>
  <c r="AL40" i="1" s="1"/>
  <c r="AL41" i="1" a="1"/>
  <c r="AL41" i="1" s="1"/>
  <c r="AL42" i="1" a="1"/>
  <c r="AL42" i="1" s="1"/>
  <c r="AL43" i="1" a="1"/>
  <c r="AL43" i="1" s="1"/>
  <c r="AL45" i="1" a="1"/>
  <c r="AL45" i="1" s="1"/>
  <c r="AL46" i="1" a="1"/>
  <c r="AL46" i="1" s="1"/>
  <c r="AL47" i="1" a="1"/>
  <c r="AL47" i="1" s="1"/>
  <c r="AL48" i="1" a="1"/>
  <c r="AL48" i="1" s="1"/>
  <c r="AL49" i="1" a="1"/>
  <c r="AL49" i="1" s="1"/>
  <c r="AL50" i="1" a="1"/>
  <c r="AL50" i="1" s="1"/>
  <c r="AL57" i="1" a="1"/>
  <c r="AL57" i="1" s="1"/>
  <c r="AL58" i="1" a="1"/>
  <c r="AL58" i="1" s="1"/>
  <c r="AL59" i="1" a="1"/>
  <c r="AL59" i="1" s="1"/>
  <c r="AL60" i="1" a="1"/>
  <c r="AL60" i="1" s="1"/>
  <c r="AL61" i="1" a="1"/>
  <c r="AL61" i="1" s="1"/>
  <c r="AL62" i="1" a="1"/>
  <c r="AL62" i="1" s="1"/>
  <c r="AL63" i="1" a="1"/>
  <c r="AL63" i="1" s="1"/>
  <c r="AL65" i="1" a="1"/>
  <c r="AL65" i="1" s="1"/>
  <c r="AL66" i="1" a="1"/>
  <c r="AL66" i="1" s="1"/>
  <c r="AL67" i="1" a="1"/>
  <c r="AL67" i="1" s="1"/>
  <c r="AL68" i="1" a="1"/>
  <c r="AL68" i="1" s="1"/>
  <c r="AL69" i="1" a="1"/>
  <c r="AL69" i="1" s="1"/>
  <c r="AL71" i="1" a="1"/>
  <c r="AL71" i="1" s="1"/>
  <c r="AL72" i="1" a="1"/>
  <c r="AL72" i="1" s="1"/>
  <c r="AL73" i="1" a="1"/>
  <c r="AL73" i="1" s="1"/>
  <c r="AL74" i="1" a="1"/>
  <c r="AL74" i="1" s="1"/>
  <c r="AL75" i="1" a="1"/>
  <c r="AL75" i="1" s="1"/>
  <c r="AL76" i="1" a="1"/>
  <c r="AL76" i="1" s="1"/>
  <c r="AL83" i="1" a="1"/>
  <c r="AL83" i="1" s="1"/>
  <c r="AL84" i="1" a="1"/>
  <c r="AL84" i="1" s="1"/>
  <c r="AL85" i="1" a="1"/>
  <c r="AL85" i="1" s="1"/>
  <c r="AL86" i="1" a="1"/>
  <c r="AL86" i="1" s="1"/>
  <c r="AL87" i="1" a="1"/>
  <c r="AL87" i="1" s="1"/>
  <c r="AL88" i="1" a="1"/>
  <c r="AL88" i="1" s="1"/>
  <c r="AL89" i="1" a="1"/>
  <c r="AL89" i="1" s="1"/>
  <c r="AL91" i="1" a="1"/>
  <c r="AL91" i="1" s="1"/>
  <c r="AL92" i="1" a="1"/>
  <c r="AL92" i="1" s="1"/>
  <c r="AL93" i="1" a="1"/>
  <c r="AL93" i="1" s="1"/>
  <c r="AL94" i="1" a="1"/>
  <c r="AL94" i="1" s="1"/>
  <c r="AL95" i="1" a="1"/>
  <c r="AL95" i="1" s="1"/>
  <c r="AL97" i="1" a="1"/>
  <c r="AL97" i="1" s="1"/>
  <c r="AL98" i="1" a="1"/>
  <c r="AL98" i="1" s="1"/>
  <c r="AL99" i="1" a="1"/>
  <c r="AL99" i="1" s="1"/>
  <c r="AL100" i="1" a="1"/>
  <c r="AL100" i="1" s="1"/>
  <c r="AL101" i="1" a="1"/>
  <c r="AL101" i="1" s="1"/>
  <c r="AL102" i="1" a="1"/>
  <c r="AL102" i="1" s="1"/>
  <c r="AL109" i="1" a="1"/>
  <c r="AL109" i="1" s="1"/>
  <c r="AL110" i="1" a="1"/>
  <c r="AL110" i="1" s="1"/>
  <c r="AL111" i="1" a="1"/>
  <c r="AL111" i="1" s="1"/>
  <c r="AL112" i="1" a="1"/>
  <c r="AL112" i="1" s="1"/>
  <c r="AL113" i="1" a="1"/>
  <c r="AL113" i="1" s="1"/>
  <c r="AL114" i="1" a="1"/>
  <c r="AL114" i="1" s="1"/>
  <c r="AL115" i="1" a="1"/>
  <c r="AL115" i="1" s="1"/>
  <c r="AL117" i="1" a="1"/>
  <c r="AL117" i="1" s="1"/>
  <c r="AL118" i="1" a="1"/>
  <c r="AL118" i="1" s="1"/>
  <c r="AL119" i="1" a="1"/>
  <c r="AL119" i="1" s="1"/>
  <c r="AL120" i="1" a="1"/>
  <c r="AL120" i="1" s="1"/>
  <c r="AL121" i="1" a="1"/>
  <c r="AL121" i="1" s="1"/>
  <c r="AL123" i="1" a="1"/>
  <c r="AL123" i="1" s="1"/>
  <c r="AL124" i="1" a="1"/>
  <c r="AL124" i="1" s="1"/>
  <c r="AL125" i="1" a="1"/>
  <c r="AL125" i="1" s="1"/>
  <c r="AL126" i="1" a="1"/>
  <c r="AL126" i="1" s="1"/>
  <c r="AL127" i="1" a="1"/>
  <c r="AL127" i="1" s="1"/>
  <c r="AL128" i="1" a="1"/>
  <c r="AL128" i="1" s="1"/>
  <c r="AL135" i="1" a="1"/>
  <c r="AL135" i="1" s="1"/>
  <c r="AL136" i="1" a="1"/>
  <c r="AL136" i="1" s="1"/>
  <c r="AL137" i="1" a="1"/>
  <c r="AL137" i="1" s="1"/>
  <c r="AL138" i="1" a="1"/>
  <c r="AL138" i="1" s="1"/>
  <c r="AL139" i="1" a="1"/>
  <c r="AL139" i="1" s="1"/>
  <c r="AL140" i="1" a="1"/>
  <c r="AL140" i="1" s="1"/>
  <c r="AL141" i="1" a="1"/>
  <c r="AL141" i="1" s="1"/>
  <c r="AL143" i="1" a="1"/>
  <c r="AL143" i="1" s="1"/>
  <c r="AL144" i="1" a="1"/>
  <c r="AL144" i="1" s="1"/>
  <c r="AL145" i="1" a="1"/>
  <c r="AL145" i="1" s="1"/>
  <c r="AL146" i="1" a="1"/>
  <c r="AL146" i="1" s="1"/>
  <c r="AL147" i="1" a="1"/>
  <c r="AL147" i="1" s="1"/>
  <c r="AL149" i="1" a="1"/>
  <c r="AL149" i="1" s="1"/>
  <c r="AL150" i="1" a="1"/>
  <c r="AL150" i="1" s="1"/>
  <c r="AL151" i="1" a="1"/>
  <c r="AL151" i="1" s="1"/>
  <c r="AL152" i="1" a="1"/>
  <c r="AL152" i="1" s="1"/>
  <c r="AL153" i="1" a="1"/>
  <c r="AL153" i="1" s="1"/>
  <c r="AL154" i="1" a="1"/>
  <c r="AL154" i="1" s="1"/>
  <c r="AL161" i="1" a="1"/>
  <c r="AL161" i="1" s="1"/>
  <c r="AL162" i="1" a="1"/>
  <c r="AL162" i="1" s="1"/>
  <c r="AL163" i="1" a="1"/>
  <c r="AL163" i="1" s="1"/>
  <c r="AL164" i="1" a="1"/>
  <c r="AL164" i="1" s="1"/>
  <c r="AL165" i="1" a="1"/>
  <c r="AL165" i="1" s="1"/>
  <c r="AL166" i="1" a="1"/>
  <c r="AL166" i="1" s="1"/>
  <c r="AL167" i="1" a="1"/>
  <c r="AL167" i="1" s="1"/>
  <c r="AL169" i="1" a="1"/>
  <c r="AL169" i="1" s="1"/>
  <c r="AL170" i="1" a="1"/>
  <c r="AL170" i="1" s="1"/>
  <c r="AL171" i="1" a="1"/>
  <c r="AL171" i="1" s="1"/>
  <c r="AL172" i="1" a="1"/>
  <c r="AL172" i="1" s="1"/>
  <c r="AL173" i="1" a="1"/>
  <c r="AL173" i="1" s="1"/>
  <c r="AL175" i="1" a="1"/>
  <c r="AL175" i="1" s="1"/>
  <c r="AL176" i="1" a="1"/>
  <c r="AL176" i="1" s="1"/>
  <c r="AL177" i="1" a="1"/>
  <c r="AL177" i="1" s="1"/>
  <c r="AL178" i="1" a="1"/>
  <c r="AL178" i="1" s="1"/>
  <c r="AL179" i="1" a="1"/>
  <c r="AL179" i="1" s="1"/>
  <c r="AL180" i="1" a="1"/>
  <c r="AL180" i="1" s="1"/>
  <c r="AM31" i="1" a="1"/>
  <c r="AM31" i="1" s="1"/>
  <c r="AM32" i="1" a="1"/>
  <c r="AM32" i="1" s="1"/>
  <c r="AM33" i="1" a="1"/>
  <c r="AM33" i="1" s="1"/>
  <c r="AM34" i="1" a="1"/>
  <c r="AM34" i="1" s="1"/>
  <c r="AM35" i="1" a="1"/>
  <c r="AM35" i="1" s="1"/>
  <c r="AM36" i="1" a="1"/>
  <c r="AM36" i="1" s="1"/>
  <c r="AM37" i="1" a="1"/>
  <c r="AM37" i="1" s="1"/>
  <c r="AM39" i="1" a="1"/>
  <c r="AM39" i="1" s="1"/>
  <c r="AM40" i="1" a="1"/>
  <c r="AM40" i="1" s="1"/>
  <c r="AM41" i="1" a="1"/>
  <c r="AM41" i="1" s="1"/>
  <c r="AM42" i="1" a="1"/>
  <c r="AM42" i="1" s="1"/>
  <c r="AM43" i="1" a="1"/>
  <c r="AM43" i="1" s="1"/>
  <c r="AM45" i="1" a="1"/>
  <c r="AM45" i="1" s="1"/>
  <c r="AM46" i="1" a="1"/>
  <c r="AM46" i="1" s="1"/>
  <c r="AM47" i="1" a="1"/>
  <c r="AM47" i="1" s="1"/>
  <c r="AM48" i="1" a="1"/>
  <c r="AM48" i="1" s="1"/>
  <c r="AM49" i="1" a="1"/>
  <c r="AM49" i="1" s="1"/>
  <c r="AM50" i="1" a="1"/>
  <c r="AM50" i="1" s="1"/>
  <c r="AM57" i="1" a="1"/>
  <c r="AM57" i="1" s="1"/>
  <c r="AM58" i="1" a="1"/>
  <c r="AM58" i="1" s="1"/>
  <c r="AM59" i="1" a="1"/>
  <c r="AM59" i="1" s="1"/>
  <c r="AM60" i="1" a="1"/>
  <c r="AM60" i="1" s="1"/>
  <c r="AM61" i="1" a="1"/>
  <c r="AM61" i="1" s="1"/>
  <c r="AM62" i="1" a="1"/>
  <c r="AM62" i="1" s="1"/>
  <c r="AM63" i="1" a="1"/>
  <c r="AM63" i="1" s="1"/>
  <c r="AM65" i="1" a="1"/>
  <c r="AM65" i="1" s="1"/>
  <c r="AM66" i="1" a="1"/>
  <c r="AM66" i="1" s="1"/>
  <c r="AM67" i="1" a="1"/>
  <c r="AM67" i="1" s="1"/>
  <c r="AM68" i="1" a="1"/>
  <c r="AM68" i="1" s="1"/>
  <c r="AM69" i="1" a="1"/>
  <c r="AM69" i="1" s="1"/>
  <c r="AM71" i="1" a="1"/>
  <c r="AM71" i="1" s="1"/>
  <c r="AM72" i="1" a="1"/>
  <c r="AM72" i="1" s="1"/>
  <c r="AM73" i="1" a="1"/>
  <c r="AM73" i="1" s="1"/>
  <c r="AM74" i="1" a="1"/>
  <c r="AM74" i="1" s="1"/>
  <c r="AM75" i="1" a="1"/>
  <c r="AM75" i="1" s="1"/>
  <c r="AM76" i="1" a="1"/>
  <c r="AM76" i="1" s="1"/>
  <c r="AM83" i="1" a="1"/>
  <c r="AM83" i="1" s="1"/>
  <c r="AM84" i="1" a="1"/>
  <c r="AM84" i="1" s="1"/>
  <c r="AM85" i="1" a="1"/>
  <c r="AM85" i="1" s="1"/>
  <c r="AM86" i="1" a="1"/>
  <c r="AM86" i="1" s="1"/>
  <c r="AM87" i="1" a="1"/>
  <c r="AM87" i="1" s="1"/>
  <c r="AM88" i="1" a="1"/>
  <c r="AM88" i="1" s="1"/>
  <c r="AM89" i="1" a="1"/>
  <c r="AM89" i="1" s="1"/>
  <c r="AM91" i="1" a="1"/>
  <c r="AM91" i="1" s="1"/>
  <c r="AM92" i="1" a="1"/>
  <c r="AM92" i="1" s="1"/>
  <c r="AM93" i="1" a="1"/>
  <c r="AM93" i="1" s="1"/>
  <c r="AM94" i="1" a="1"/>
  <c r="AM94" i="1" s="1"/>
  <c r="AM95" i="1" a="1"/>
  <c r="AM95" i="1" s="1"/>
  <c r="AM97" i="1" a="1"/>
  <c r="AM97" i="1" s="1"/>
  <c r="AM98" i="1" a="1"/>
  <c r="AM98" i="1" s="1"/>
  <c r="AM99" i="1" a="1"/>
  <c r="AM99" i="1" s="1"/>
  <c r="AM100" i="1" a="1"/>
  <c r="AM100" i="1" s="1"/>
  <c r="AM101" i="1" a="1"/>
  <c r="AM101" i="1" s="1"/>
  <c r="AM102" i="1" a="1"/>
  <c r="AM102" i="1" s="1"/>
  <c r="AM109" i="1" a="1"/>
  <c r="AM109" i="1" s="1"/>
  <c r="AM110" i="1" a="1"/>
  <c r="AM110" i="1" s="1"/>
  <c r="AM111" i="1" a="1"/>
  <c r="AM111" i="1" s="1"/>
  <c r="AM112" i="1" a="1"/>
  <c r="AM112" i="1" s="1"/>
  <c r="AM113" i="1" a="1"/>
  <c r="AM113" i="1" s="1"/>
  <c r="AM114" i="1" a="1"/>
  <c r="AM114" i="1" s="1"/>
  <c r="AM115" i="1" a="1"/>
  <c r="AM115" i="1" s="1"/>
  <c r="AM117" i="1" a="1"/>
  <c r="AM117" i="1" s="1"/>
  <c r="AM118" i="1" a="1"/>
  <c r="AM118" i="1" s="1"/>
  <c r="AM119" i="1" a="1"/>
  <c r="AM119" i="1" s="1"/>
  <c r="AM120" i="1" a="1"/>
  <c r="AM120" i="1" s="1"/>
  <c r="AM121" i="1" a="1"/>
  <c r="AM121" i="1" s="1"/>
  <c r="AM123" i="1" a="1"/>
  <c r="AM123" i="1" s="1"/>
  <c r="AM124" i="1" a="1"/>
  <c r="AM124" i="1" s="1"/>
  <c r="AM125" i="1" a="1"/>
  <c r="AM125" i="1" s="1"/>
  <c r="AM126" i="1" a="1"/>
  <c r="AM126" i="1" s="1"/>
  <c r="AM127" i="1" a="1"/>
  <c r="AM127" i="1" s="1"/>
  <c r="AM128" i="1" a="1"/>
  <c r="AM128" i="1" s="1"/>
  <c r="AM135" i="1" a="1"/>
  <c r="AM135" i="1" s="1"/>
  <c r="AM136" i="1" a="1"/>
  <c r="AM136" i="1" s="1"/>
  <c r="AM137" i="1" a="1"/>
  <c r="AM137" i="1" s="1"/>
  <c r="AM138" i="1" a="1"/>
  <c r="AM138" i="1" s="1"/>
  <c r="AM139" i="1" a="1"/>
  <c r="AM139" i="1" s="1"/>
  <c r="AM140" i="1" a="1"/>
  <c r="AM140" i="1" s="1"/>
  <c r="AM141" i="1" a="1"/>
  <c r="AM141" i="1" s="1"/>
  <c r="AM143" i="1" a="1"/>
  <c r="AM143" i="1" s="1"/>
  <c r="AM144" i="1" a="1"/>
  <c r="AM144" i="1" s="1"/>
  <c r="AM145" i="1" a="1"/>
  <c r="AM145" i="1" s="1"/>
  <c r="AM146" i="1" a="1"/>
  <c r="AM146" i="1" s="1"/>
  <c r="AM147" i="1" a="1"/>
  <c r="AM147" i="1" s="1"/>
  <c r="AM149" i="1" a="1"/>
  <c r="AM149" i="1" s="1"/>
  <c r="AM150" i="1" a="1"/>
  <c r="AM150" i="1" s="1"/>
  <c r="AM151" i="1" a="1"/>
  <c r="AM151" i="1" s="1"/>
  <c r="AM152" i="1" a="1"/>
  <c r="AM152" i="1" s="1"/>
  <c r="AM153" i="1" a="1"/>
  <c r="AM153" i="1" s="1"/>
  <c r="AM154" i="1" a="1"/>
  <c r="AM154" i="1" s="1"/>
  <c r="AM161" i="1" a="1"/>
  <c r="AM161" i="1" s="1"/>
  <c r="AM162" i="1" a="1"/>
  <c r="AM162" i="1" s="1"/>
  <c r="AM163" i="1" a="1"/>
  <c r="AM163" i="1" s="1"/>
  <c r="AM164" i="1" a="1"/>
  <c r="AM164" i="1" s="1"/>
  <c r="AM165" i="1" a="1"/>
  <c r="AM165" i="1" s="1"/>
  <c r="AM166" i="1" a="1"/>
  <c r="AM166" i="1" s="1"/>
  <c r="AM167" i="1" a="1"/>
  <c r="AM167" i="1" s="1"/>
  <c r="AM169" i="1" a="1"/>
  <c r="AM169" i="1" s="1"/>
  <c r="AM170" i="1" a="1"/>
  <c r="AM170" i="1" s="1"/>
  <c r="AM171" i="1" a="1"/>
  <c r="AM171" i="1" s="1"/>
  <c r="AM172" i="1" a="1"/>
  <c r="AM172" i="1" s="1"/>
  <c r="AM173" i="1" a="1"/>
  <c r="AM173" i="1" s="1"/>
  <c r="AM175" i="1" a="1"/>
  <c r="AM175" i="1" s="1"/>
  <c r="AM176" i="1" a="1"/>
  <c r="AM176" i="1" s="1"/>
  <c r="AM177" i="1" a="1"/>
  <c r="AM177" i="1" s="1"/>
  <c r="AM178" i="1" a="1"/>
  <c r="AM178" i="1" s="1"/>
  <c r="AM179" i="1" a="1"/>
  <c r="AM179" i="1" s="1"/>
  <c r="AM180" i="1" a="1"/>
  <c r="AM180" i="1" s="1"/>
  <c r="E190" i="1"/>
  <c r="AO187" i="1"/>
  <c r="AO191" i="1"/>
  <c r="AQ187" i="1"/>
  <c r="AQ191" i="1"/>
  <c r="AQ193" i="1"/>
  <c r="AQ199" i="1"/>
  <c r="AH177" i="1" a="1"/>
  <c r="AH177" i="1" s="1"/>
  <c r="CA177" i="1" s="1"/>
  <c r="AI177" i="1" a="1"/>
  <c r="AI177" i="1" s="1"/>
  <c r="CB177" i="1" s="1"/>
  <c r="AH176" i="1" a="1"/>
  <c r="AH176" i="1" s="1"/>
  <c r="AI176" i="1" a="1"/>
  <c r="AI176" i="1" s="1"/>
  <c r="CB176" i="1" s="1"/>
  <c r="AH175" i="1" a="1"/>
  <c r="AH175" i="1" s="1"/>
  <c r="CA175" i="1" s="1"/>
  <c r="AI175" i="1" a="1"/>
  <c r="AI175" i="1" s="1"/>
  <c r="CB175" i="1" s="1"/>
  <c r="AH173" i="1" a="1"/>
  <c r="AH173" i="1" s="1"/>
  <c r="AI173" i="1" a="1"/>
  <c r="AI173" i="1" s="1"/>
  <c r="CB173" i="1" s="1"/>
  <c r="AH172" i="1" a="1"/>
  <c r="AH172" i="1" s="1"/>
  <c r="CA172" i="1" s="1"/>
  <c r="AI172" i="1" a="1"/>
  <c r="AI172" i="1" s="1"/>
  <c r="AH171" i="1" a="1"/>
  <c r="AH171" i="1" s="1"/>
  <c r="AI171" i="1" a="1"/>
  <c r="AI171" i="1" s="1"/>
  <c r="CB171" i="1" s="1"/>
  <c r="AH170" i="1" a="1"/>
  <c r="AH170" i="1" s="1"/>
  <c r="CA170" i="1" s="1"/>
  <c r="AI170" i="1" a="1"/>
  <c r="AI170" i="1" s="1"/>
  <c r="CB170" i="1" s="1"/>
  <c r="AH169" i="1" a="1"/>
  <c r="AH169" i="1" s="1"/>
  <c r="CA169" i="1" s="1"/>
  <c r="AI169" i="1" a="1"/>
  <c r="AI169" i="1" s="1"/>
  <c r="CB169" i="1" s="1"/>
  <c r="AH167" i="1" a="1"/>
  <c r="AH167" i="1" s="1"/>
  <c r="CA167" i="1" s="1"/>
  <c r="AI167" i="1" a="1"/>
  <c r="AI167" i="1" s="1"/>
  <c r="CB167" i="1" s="1"/>
  <c r="AH166" i="1" a="1"/>
  <c r="AH166" i="1" s="1"/>
  <c r="CA166" i="1" s="1"/>
  <c r="AI166" i="1" a="1"/>
  <c r="AI166" i="1" s="1"/>
  <c r="CB166" i="1" s="1"/>
  <c r="AH165" i="1" a="1"/>
  <c r="AH165" i="1" s="1"/>
  <c r="CA165" i="1" s="1"/>
  <c r="AI165" i="1" a="1"/>
  <c r="AI165" i="1" s="1"/>
  <c r="CB165" i="1" s="1"/>
  <c r="N165" i="1"/>
  <c r="N161" i="1"/>
  <c r="N151" i="1"/>
  <c r="N150" i="1"/>
  <c r="N149" i="1"/>
  <c r="N147" i="1"/>
  <c r="N146" i="1"/>
  <c r="N145" i="1"/>
  <c r="N144" i="1"/>
  <c r="N143" i="1"/>
  <c r="N141" i="1"/>
  <c r="N140" i="1"/>
  <c r="N139" i="1"/>
  <c r="N138" i="1"/>
  <c r="N135" i="1"/>
  <c r="N125" i="1"/>
  <c r="N124" i="1"/>
  <c r="N123" i="1"/>
  <c r="N121" i="1"/>
  <c r="N120" i="1"/>
  <c r="N119" i="1"/>
  <c r="N117" i="1"/>
  <c r="N115" i="1"/>
  <c r="N114" i="1"/>
  <c r="N113" i="1"/>
  <c r="N112" i="1"/>
  <c r="N109" i="1"/>
  <c r="N99" i="1"/>
  <c r="N98" i="1"/>
  <c r="N95" i="1"/>
  <c r="N94" i="1"/>
  <c r="N93" i="1"/>
  <c r="N92" i="1"/>
  <c r="N89" i="1"/>
  <c r="N88" i="1"/>
  <c r="N87" i="1"/>
  <c r="N86" i="1"/>
  <c r="N85" i="1"/>
  <c r="N84" i="1"/>
  <c r="N73" i="1"/>
  <c r="N72" i="1"/>
  <c r="N71" i="1"/>
  <c r="N69" i="1"/>
  <c r="N68" i="1"/>
  <c r="N65" i="1"/>
  <c r="N63" i="1"/>
  <c r="N62" i="1"/>
  <c r="N61" i="1"/>
  <c r="N59" i="1"/>
  <c r="N58" i="1"/>
  <c r="N57" i="1"/>
  <c r="N47" i="1"/>
  <c r="N45" i="1"/>
  <c r="N43" i="1"/>
  <c r="N42" i="1"/>
  <c r="N41" i="1"/>
  <c r="N40" i="1"/>
  <c r="N39" i="1"/>
  <c r="N37" i="1"/>
  <c r="N36" i="1"/>
  <c r="N35" i="1"/>
  <c r="N33" i="1"/>
  <c r="N32" i="1"/>
  <c r="N31" i="1"/>
  <c r="N23" i="1"/>
  <c r="N21" i="1"/>
  <c r="N17" i="1"/>
  <c r="N16" i="1"/>
  <c r="N15" i="1"/>
  <c r="N14" i="1"/>
  <c r="N13" i="1"/>
  <c r="N11" i="1"/>
  <c r="N10" i="1"/>
  <c r="N9" i="1"/>
  <c r="N8" i="1"/>
  <c r="N7" i="1"/>
  <c r="AU8" i="4"/>
  <c r="AU4" i="4"/>
  <c r="AE8" i="4"/>
  <c r="W8" i="4"/>
  <c r="O3" i="4"/>
  <c r="G8" i="4"/>
  <c r="F38" i="12" a="1"/>
  <c r="F38" i="12"/>
  <c r="E38" i="12" a="1"/>
  <c r="E38" i="12" s="1"/>
  <c r="G38" i="12" s="1"/>
  <c r="F37" i="12" a="1"/>
  <c r="F37" i="12"/>
  <c r="E37" i="12" a="1"/>
  <c r="E37" i="12" s="1"/>
  <c r="F36" i="12" a="1"/>
  <c r="F36" i="12"/>
  <c r="E36" i="12" a="1"/>
  <c r="E36" i="12" s="1"/>
  <c r="F35" i="12" a="1"/>
  <c r="F35" i="12"/>
  <c r="E35" i="12" a="1"/>
  <c r="E35" i="12" s="1"/>
  <c r="F34" i="12" a="1"/>
  <c r="F34" i="12"/>
  <c r="E34" i="12" a="1"/>
  <c r="E34" i="12" s="1"/>
  <c r="F33" i="12" a="1"/>
  <c r="F33" i="12"/>
  <c r="E33" i="12" a="1"/>
  <c r="E33" i="12" s="1"/>
  <c r="F32" i="12" a="1"/>
  <c r="F32" i="12"/>
  <c r="E32" i="12" a="1"/>
  <c r="E32" i="12" s="1"/>
  <c r="F31" i="12" a="1"/>
  <c r="F31" i="12"/>
  <c r="E31" i="12" a="1"/>
  <c r="E31" i="12" s="1"/>
  <c r="G31" i="12" s="1"/>
  <c r="F30" i="12" a="1"/>
  <c r="F30" i="12"/>
  <c r="E30" i="12" a="1"/>
  <c r="E30" i="12" s="1"/>
  <c r="F29" i="12" a="1"/>
  <c r="F29" i="12"/>
  <c r="E29" i="12" a="1"/>
  <c r="E29" i="12" s="1"/>
  <c r="F28" i="12" a="1"/>
  <c r="F28" i="12"/>
  <c r="E28" i="12" a="1"/>
  <c r="E28" i="12" s="1"/>
  <c r="F27" i="12" a="1"/>
  <c r="F27" i="12"/>
  <c r="E27" i="12" a="1"/>
  <c r="E27" i="12" s="1"/>
  <c r="F26" i="12" a="1"/>
  <c r="F26" i="12"/>
  <c r="E26" i="12" a="1"/>
  <c r="E26" i="12" s="1"/>
  <c r="G26" i="12" s="1"/>
  <c r="F25" i="12" a="1"/>
  <c r="F25" i="12"/>
  <c r="E25" i="12" a="1"/>
  <c r="E25" i="12" s="1"/>
  <c r="F24" i="12"/>
  <c r="F24" i="12" a="1"/>
  <c r="E24" i="12" a="1"/>
  <c r="E24" i="12" s="1"/>
  <c r="G24" i="12" s="1"/>
  <c r="F23" i="12" a="1"/>
  <c r="F23" i="12"/>
  <c r="E23" i="12" a="1"/>
  <c r="E23" i="12" s="1"/>
  <c r="F22" i="12" a="1"/>
  <c r="F22" i="12"/>
  <c r="E22" i="12" a="1"/>
  <c r="E22" i="12" s="1"/>
  <c r="F21" i="12" a="1"/>
  <c r="F21" i="12"/>
  <c r="E21" i="12" a="1"/>
  <c r="E21" i="12" s="1"/>
  <c r="G21" i="12" s="1"/>
  <c r="H21" i="12" s="1"/>
  <c r="F20" i="12"/>
  <c r="F20" i="12" a="1"/>
  <c r="E20" i="12" a="1"/>
  <c r="E20" i="12" s="1"/>
  <c r="G20" i="12"/>
  <c r="H20" i="12" s="1"/>
  <c r="F19" i="12" a="1"/>
  <c r="F19" i="12"/>
  <c r="E19" i="12" a="1"/>
  <c r="E19" i="12" s="1"/>
  <c r="F18" i="12" a="1"/>
  <c r="F18" i="12"/>
  <c r="E18" i="12" a="1"/>
  <c r="E18" i="12" s="1"/>
  <c r="G18" i="12" s="1"/>
  <c r="F17" i="12" a="1"/>
  <c r="F17" i="12"/>
  <c r="E17" i="12" a="1"/>
  <c r="E17" i="12" s="1"/>
  <c r="G17" i="12" s="1"/>
  <c r="H17" i="12" s="1"/>
  <c r="F16" i="12" a="1"/>
  <c r="F16" i="12"/>
  <c r="E16" i="12" a="1"/>
  <c r="E16" i="12" s="1"/>
  <c r="G16" i="12" s="1"/>
  <c r="H16" i="12" s="1"/>
  <c r="F15" i="12" a="1"/>
  <c r="F15" i="12"/>
  <c r="E15" i="12" a="1"/>
  <c r="E15" i="12" s="1"/>
  <c r="F14" i="12" a="1"/>
  <c r="F14" i="12"/>
  <c r="E14" i="12" a="1"/>
  <c r="E14" i="12" s="1"/>
  <c r="F13" i="12" a="1"/>
  <c r="F13" i="12"/>
  <c r="E13" i="12" a="1"/>
  <c r="E13" i="12" s="1"/>
  <c r="F12" i="12" a="1"/>
  <c r="F12" i="12"/>
  <c r="E12" i="12" a="1"/>
  <c r="E12" i="12" s="1"/>
  <c r="F11" i="12" a="1"/>
  <c r="F11" i="12"/>
  <c r="E11" i="12" a="1"/>
  <c r="E11" i="12" s="1"/>
  <c r="G11" i="12" s="1"/>
  <c r="F10" i="12" a="1"/>
  <c r="F10" i="12"/>
  <c r="E10" i="12" a="1"/>
  <c r="E10" i="12" s="1"/>
  <c r="F9" i="12" a="1"/>
  <c r="F9" i="12"/>
  <c r="E9" i="12" a="1"/>
  <c r="E9" i="12" s="1"/>
  <c r="F8" i="12" a="1"/>
  <c r="F8" i="12"/>
  <c r="E8" i="12" a="1"/>
  <c r="E8" i="12" s="1"/>
  <c r="F7" i="12" a="1"/>
  <c r="F7" i="12"/>
  <c r="E7" i="12" a="1"/>
  <c r="E7" i="12" s="1"/>
  <c r="F6" i="12" a="1"/>
  <c r="F6" i="12"/>
  <c r="E6" i="12" a="1"/>
  <c r="E6" i="12" s="1"/>
  <c r="F5" i="12" a="1"/>
  <c r="F5" i="12"/>
  <c r="E5" i="12" a="1"/>
  <c r="E5" i="12" s="1"/>
  <c r="F4" i="12" a="1"/>
  <c r="F4" i="12"/>
  <c r="E4" i="12" a="1"/>
  <c r="E4" i="12" s="1"/>
  <c r="F3" i="12" a="1"/>
  <c r="F3" i="12"/>
  <c r="E3" i="12" a="1"/>
  <c r="E3" i="12" s="1"/>
  <c r="G3" i="12" s="1"/>
  <c r="H3" i="12" s="1"/>
  <c r="G19" i="12"/>
  <c r="H19" i="12" s="1"/>
  <c r="G33" i="12"/>
  <c r="H33" i="12" s="1"/>
  <c r="G27" i="12"/>
  <c r="H27" i="12" s="1"/>
  <c r="G14" i="12"/>
  <c r="H14" i="12" s="1"/>
  <c r="G34" i="12"/>
  <c r="H34" i="12" s="1"/>
  <c r="G28" i="12"/>
  <c r="H28" i="12" s="1"/>
  <c r="G15" i="12"/>
  <c r="H15" i="12" s="1"/>
  <c r="G35" i="12"/>
  <c r="H35" i="12" s="1"/>
  <c r="G22" i="12"/>
  <c r="H22" i="12" s="1"/>
  <c r="G9" i="12"/>
  <c r="H9" i="12" s="1"/>
  <c r="G29" i="12"/>
  <c r="H29" i="12" s="1"/>
  <c r="G23" i="12"/>
  <c r="H23" i="12" s="1"/>
  <c r="G10" i="12"/>
  <c r="H10" i="12" s="1"/>
  <c r="G30" i="12"/>
  <c r="H30" i="12" s="1"/>
  <c r="G37" i="12"/>
  <c r="H24" i="12"/>
  <c r="H11" i="12"/>
  <c r="H31" i="12"/>
  <c r="H18" i="12"/>
  <c r="G25" i="12"/>
  <c r="H25" i="12" s="1"/>
  <c r="G12" i="12"/>
  <c r="H12" i="12" s="1"/>
  <c r="G32" i="12"/>
  <c r="H32" i="12" s="1"/>
  <c r="E41" i="12"/>
  <c r="F41" i="12"/>
  <c r="G41" i="12"/>
  <c r="H41" i="12" s="1"/>
  <c r="G4" i="12"/>
  <c r="H4" i="12" s="1"/>
  <c r="G13" i="12"/>
  <c r="H13" i="12" s="1"/>
  <c r="G36" i="12"/>
  <c r="H26" i="12"/>
  <c r="F43" i="12"/>
  <c r="F40" i="12"/>
  <c r="F45" i="12"/>
  <c r="F44" i="12"/>
  <c r="F42" i="12"/>
  <c r="E40" i="12"/>
  <c r="G40" i="12" s="1"/>
  <c r="H40" i="12"/>
  <c r="A51" i="8"/>
  <c r="Q9" i="10"/>
  <c r="P9" i="10"/>
  <c r="O9" i="10"/>
  <c r="N9" i="10"/>
  <c r="M9" i="10"/>
  <c r="Q8" i="10"/>
  <c r="P8" i="10"/>
  <c r="O8" i="10"/>
  <c r="N8" i="10"/>
  <c r="M8" i="10"/>
  <c r="Q7" i="10"/>
  <c r="P7" i="10"/>
  <c r="O7" i="10"/>
  <c r="N7" i="10"/>
  <c r="M7" i="10"/>
  <c r="Q6" i="10"/>
  <c r="P6" i="10"/>
  <c r="O6" i="10"/>
  <c r="N6" i="10"/>
  <c r="M6" i="10"/>
  <c r="Q5" i="10"/>
  <c r="P5" i="10"/>
  <c r="O5" i="10"/>
  <c r="N5" i="10"/>
  <c r="M5" i="10"/>
  <c r="Q4" i="10"/>
  <c r="P4" i="10"/>
  <c r="O4" i="10"/>
  <c r="N4" i="10"/>
  <c r="M4" i="10"/>
  <c r="AO15" i="11"/>
  <c r="AO4" i="11"/>
  <c r="AH18" i="11"/>
  <c r="AP18" i="11"/>
  <c r="AH17" i="11"/>
  <c r="AP17" i="11"/>
  <c r="AH16" i="11"/>
  <c r="AH15" i="11"/>
  <c r="AN15" i="11"/>
  <c r="AH14" i="11"/>
  <c r="AP14" i="11"/>
  <c r="AH13" i="11"/>
  <c r="AP13" i="11"/>
  <c r="AH12" i="11"/>
  <c r="AL12" i="11"/>
  <c r="AH10" i="11"/>
  <c r="AP10" i="11"/>
  <c r="AH9" i="11"/>
  <c r="AP9" i="11"/>
  <c r="AH8" i="11"/>
  <c r="AP8" i="11"/>
  <c r="AH7" i="11"/>
  <c r="AP7" i="11"/>
  <c r="AH6" i="11"/>
  <c r="AP6" i="11"/>
  <c r="AH5" i="11"/>
  <c r="AL5" i="11"/>
  <c r="AH4" i="11"/>
  <c r="AN4" i="11"/>
  <c r="AD15" i="11"/>
  <c r="AD4" i="11"/>
  <c r="W18" i="11"/>
  <c r="AE18" i="11"/>
  <c r="W17" i="11"/>
  <c r="AE17" i="11"/>
  <c r="W16" i="11"/>
  <c r="W15" i="11"/>
  <c r="AC15" i="11"/>
  <c r="W14" i="11"/>
  <c r="AE14" i="11"/>
  <c r="W13" i="11"/>
  <c r="W12" i="11"/>
  <c r="AA12" i="11"/>
  <c r="W10" i="11"/>
  <c r="AE10" i="11"/>
  <c r="W9" i="11"/>
  <c r="AE9" i="11"/>
  <c r="W8" i="11"/>
  <c r="AE8" i="11"/>
  <c r="W7" i="11"/>
  <c r="AE7" i="11"/>
  <c r="W6" i="11"/>
  <c r="AE6" i="11"/>
  <c r="W5" i="11"/>
  <c r="AA5" i="11"/>
  <c r="W4" i="11"/>
  <c r="AC4" i="11"/>
  <c r="O12" i="11"/>
  <c r="S7" i="11"/>
  <c r="Q4" i="11"/>
  <c r="L18" i="11"/>
  <c r="R18" i="11"/>
  <c r="L17" i="11"/>
  <c r="T17" i="11"/>
  <c r="L16" i="11"/>
  <c r="L15" i="11"/>
  <c r="P15" i="11"/>
  <c r="L14" i="11"/>
  <c r="T14" i="11"/>
  <c r="L13" i="11"/>
  <c r="S13" i="11"/>
  <c r="L12" i="11"/>
  <c r="L5" i="11"/>
  <c r="T5" i="11"/>
  <c r="L6" i="11"/>
  <c r="T6" i="11"/>
  <c r="L7" i="11"/>
  <c r="R7" i="11"/>
  <c r="L8" i="11"/>
  <c r="L9" i="11"/>
  <c r="T9" i="11"/>
  <c r="L10" i="11"/>
  <c r="T10" i="11"/>
  <c r="L4" i="11"/>
  <c r="P4" i="11"/>
  <c r="AD4" i="3"/>
  <c r="AD5" i="3"/>
  <c r="AD6" i="3"/>
  <c r="AD7" i="3"/>
  <c r="Z8" i="11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" i="3"/>
  <c r="Z18" i="11"/>
  <c r="A18" i="11"/>
  <c r="A17" i="11"/>
  <c r="A16" i="11"/>
  <c r="A15" i="11"/>
  <c r="A14" i="11"/>
  <c r="A13" i="11"/>
  <c r="A12" i="11"/>
  <c r="A10" i="11"/>
  <c r="A9" i="11"/>
  <c r="A8" i="11"/>
  <c r="A7" i="11"/>
  <c r="A6" i="11"/>
  <c r="A5" i="11"/>
  <c r="A4" i="11"/>
  <c r="R4" i="11"/>
  <c r="T7" i="11"/>
  <c r="P12" i="11"/>
  <c r="R15" i="11"/>
  <c r="T18" i="11"/>
  <c r="AE4" i="11"/>
  <c r="AA8" i="11"/>
  <c r="AC12" i="11"/>
  <c r="AE15" i="11"/>
  <c r="AE19" i="11"/>
  <c r="AE37" i="11"/>
  <c r="AP4" i="11"/>
  <c r="AL8" i="11"/>
  <c r="AN12" i="11"/>
  <c r="AP15" i="11"/>
  <c r="S4" i="11"/>
  <c r="O8" i="11"/>
  <c r="Q12" i="11"/>
  <c r="S15" i="11"/>
  <c r="Z5" i="11"/>
  <c r="AB8" i="11"/>
  <c r="AD12" i="11"/>
  <c r="Z16" i="11"/>
  <c r="AK5" i="11"/>
  <c r="AQ5" i="11"/>
  <c r="AM8" i="11"/>
  <c r="AO12" i="11"/>
  <c r="AK16" i="11"/>
  <c r="AB12" i="11"/>
  <c r="T4" i="11"/>
  <c r="P8" i="11"/>
  <c r="R12" i="11"/>
  <c r="T15" i="11"/>
  <c r="AC8" i="11"/>
  <c r="AE12" i="11"/>
  <c r="AA16" i="11"/>
  <c r="AN8" i="11"/>
  <c r="AP12" i="11"/>
  <c r="AL16" i="11"/>
  <c r="O5" i="11"/>
  <c r="Q8" i="11"/>
  <c r="S12" i="11"/>
  <c r="O16" i="11"/>
  <c r="AB5" i="11"/>
  <c r="AD8" i="11"/>
  <c r="Z13" i="11"/>
  <c r="AB16" i="11"/>
  <c r="AM5" i="11"/>
  <c r="AM11" i="11"/>
  <c r="AO8" i="11"/>
  <c r="AK13" i="11"/>
  <c r="AM16" i="11"/>
  <c r="O4" i="11"/>
  <c r="P5" i="11"/>
  <c r="P11" i="11"/>
  <c r="R8" i="11"/>
  <c r="T12" i="11"/>
  <c r="P16" i="11"/>
  <c r="AC5" i="11"/>
  <c r="AA13" i="11"/>
  <c r="AC16" i="11"/>
  <c r="AN5" i="11"/>
  <c r="AL13" i="11"/>
  <c r="AN16" i="11"/>
  <c r="Q5" i="11"/>
  <c r="S8" i="11"/>
  <c r="O13" i="11"/>
  <c r="Q16" i="11"/>
  <c r="AD5" i="11"/>
  <c r="Z9" i="11"/>
  <c r="AB13" i="11"/>
  <c r="AD16" i="11"/>
  <c r="AO5" i="11"/>
  <c r="AK9" i="11"/>
  <c r="AM13" i="11"/>
  <c r="AO16" i="11"/>
  <c r="AQ16" i="11"/>
  <c r="R5" i="11"/>
  <c r="T8" i="11"/>
  <c r="P13" i="11"/>
  <c r="R16" i="11"/>
  <c r="AE5" i="11"/>
  <c r="AA9" i="11"/>
  <c r="AC13" i="11"/>
  <c r="AC19" i="11"/>
  <c r="AC30" i="11"/>
  <c r="AE16" i="11"/>
  <c r="AP5" i="11"/>
  <c r="AL9" i="11"/>
  <c r="AN13" i="11"/>
  <c r="AP16" i="11"/>
  <c r="S18" i="11"/>
  <c r="S5" i="11"/>
  <c r="O9" i="11"/>
  <c r="Q13" i="11"/>
  <c r="U13" i="11"/>
  <c r="S16" i="11"/>
  <c r="Z6" i="11"/>
  <c r="AF6" i="11"/>
  <c r="AB9" i="11"/>
  <c r="AD13" i="11"/>
  <c r="Z17" i="11"/>
  <c r="AF17" i="11"/>
  <c r="AK6" i="11"/>
  <c r="AM9" i="11"/>
  <c r="AO13" i="11"/>
  <c r="AK17" i="11"/>
  <c r="P9" i="11"/>
  <c r="P27" i="11"/>
  <c r="R13" i="11"/>
  <c r="T16" i="11"/>
  <c r="U16" i="11"/>
  <c r="AA6" i="11"/>
  <c r="AC9" i="11"/>
  <c r="AF9" i="11"/>
  <c r="AE13" i="11"/>
  <c r="AA17" i="11"/>
  <c r="AL6" i="11"/>
  <c r="AL11" i="11"/>
  <c r="AL28" i="11"/>
  <c r="AN9" i="11"/>
  <c r="AL17" i="11"/>
  <c r="Q15" i="11"/>
  <c r="O6" i="11"/>
  <c r="Q9" i="11"/>
  <c r="O17" i="11"/>
  <c r="AB6" i="11"/>
  <c r="AD9" i="11"/>
  <c r="Z14" i="11"/>
  <c r="AB17" i="11"/>
  <c r="AM6" i="11"/>
  <c r="AO9" i="11"/>
  <c r="AK14" i="11"/>
  <c r="AM17" i="11"/>
  <c r="P6" i="11"/>
  <c r="R9" i="11"/>
  <c r="R27" i="11"/>
  <c r="T13" i="11"/>
  <c r="P17" i="11"/>
  <c r="AC6" i="11"/>
  <c r="AA14" i="11"/>
  <c r="AC17" i="11"/>
  <c r="AN6" i="11"/>
  <c r="AL14" i="11"/>
  <c r="AN17" i="11"/>
  <c r="AN19" i="11"/>
  <c r="AN37" i="11"/>
  <c r="AM12" i="11"/>
  <c r="AM30" i="11"/>
  <c r="Q6" i="11"/>
  <c r="U6" i="11"/>
  <c r="S9" i="11"/>
  <c r="O14" i="11"/>
  <c r="Q17" i="11"/>
  <c r="U17" i="11"/>
  <c r="AD6" i="11"/>
  <c r="Z10" i="11"/>
  <c r="AF10" i="11"/>
  <c r="AB14" i="11"/>
  <c r="AF14" i="11"/>
  <c r="AD17" i="11"/>
  <c r="AO6" i="11"/>
  <c r="AK10" i="11"/>
  <c r="AM14" i="11"/>
  <c r="AO17" i="11"/>
  <c r="AK8" i="11"/>
  <c r="AQ8" i="11"/>
  <c r="R6" i="11"/>
  <c r="R11" i="11"/>
  <c r="P14" i="11"/>
  <c r="P19" i="11"/>
  <c r="R17" i="11"/>
  <c r="R19" i="11"/>
  <c r="AA10" i="11"/>
  <c r="AC14" i="11"/>
  <c r="AL10" i="11"/>
  <c r="AN14" i="11"/>
  <c r="S6" i="11"/>
  <c r="O10" i="11"/>
  <c r="U10" i="11"/>
  <c r="Q14" i="11"/>
  <c r="S17" i="11"/>
  <c r="Z7" i="11"/>
  <c r="AB10" i="11"/>
  <c r="AD14" i="11"/>
  <c r="AK7" i="11"/>
  <c r="AQ7" i="11"/>
  <c r="AM10" i="11"/>
  <c r="AO14" i="11"/>
  <c r="AO19" i="11"/>
  <c r="AO37" i="11"/>
  <c r="AK18" i="11"/>
  <c r="P10" i="11"/>
  <c r="R14" i="11"/>
  <c r="AA7" i="11"/>
  <c r="AF7" i="11"/>
  <c r="AC10" i="11"/>
  <c r="AA18" i="11"/>
  <c r="AF18" i="11"/>
  <c r="AL7" i="11"/>
  <c r="AN10" i="11"/>
  <c r="AL18" i="11"/>
  <c r="O7" i="11"/>
  <c r="U7" i="11"/>
  <c r="Q10" i="11"/>
  <c r="S14" i="11"/>
  <c r="O18" i="11"/>
  <c r="U18" i="11"/>
  <c r="Z4" i="11"/>
  <c r="AB7" i="11"/>
  <c r="AD10" i="11"/>
  <c r="Z15" i="11"/>
  <c r="AB18" i="11"/>
  <c r="AK4" i="11"/>
  <c r="AM7" i="11"/>
  <c r="AO10" i="11"/>
  <c r="AK15" i="11"/>
  <c r="AK19" i="11"/>
  <c r="AK37" i="11"/>
  <c r="AM18" i="11"/>
  <c r="P7" i="11"/>
  <c r="R10" i="11"/>
  <c r="P18" i="11"/>
  <c r="AA4" i="11"/>
  <c r="AC7" i="11"/>
  <c r="AA15" i="11"/>
  <c r="AA19" i="11"/>
  <c r="AA30" i="11"/>
  <c r="AC18" i="11"/>
  <c r="AL4" i="11"/>
  <c r="AN7" i="11"/>
  <c r="AL15" i="11"/>
  <c r="AN18" i="11"/>
  <c r="Q7" i="11"/>
  <c r="S10" i="11"/>
  <c r="O15" i="11"/>
  <c r="O33" i="11"/>
  <c r="Q18" i="11"/>
  <c r="AB4" i="11"/>
  <c r="AB11" i="11"/>
  <c r="AD7" i="11"/>
  <c r="AD11" i="11"/>
  <c r="Z12" i="11"/>
  <c r="AB15" i="11"/>
  <c r="AD18" i="11"/>
  <c r="AD19" i="11"/>
  <c r="AD37" i="11"/>
  <c r="AM4" i="11"/>
  <c r="AO7" i="11"/>
  <c r="AO11" i="11"/>
  <c r="AO26" i="11"/>
  <c r="AK12" i="11"/>
  <c r="AQ12" i="11"/>
  <c r="AM15" i="11"/>
  <c r="AO18" i="11"/>
  <c r="T19" i="11"/>
  <c r="T33" i="11"/>
  <c r="AF5" i="11"/>
  <c r="AF13" i="11"/>
  <c r="AQ13" i="11"/>
  <c r="AQ6" i="11"/>
  <c r="S19" i="11"/>
  <c r="S37" i="11"/>
  <c r="AA11" i="11"/>
  <c r="AA26" i="11"/>
  <c r="AF12" i="11"/>
  <c r="T11" i="11"/>
  <c r="T26" i="11"/>
  <c r="AP30" i="11"/>
  <c r="AP33" i="11"/>
  <c r="AP36" i="11"/>
  <c r="AN11" i="11"/>
  <c r="AN24" i="11"/>
  <c r="AL19" i="11"/>
  <c r="AL30" i="11"/>
  <c r="AP11" i="11"/>
  <c r="AP23" i="11"/>
  <c r="AM19" i="11"/>
  <c r="AM36" i="11"/>
  <c r="AP19" i="11"/>
  <c r="AP37" i="11"/>
  <c r="AQ4" i="11"/>
  <c r="Z11" i="11"/>
  <c r="Z27" i="11"/>
  <c r="AF8" i="11"/>
  <c r="AE11" i="11"/>
  <c r="AE23" i="11"/>
  <c r="AB19" i="11"/>
  <c r="AB30" i="11"/>
  <c r="AF16" i="11"/>
  <c r="Z28" i="11"/>
  <c r="S36" i="11"/>
  <c r="U15" i="11"/>
  <c r="U5" i="11"/>
  <c r="Q11" i="11"/>
  <c r="Q25" i="11"/>
  <c r="U8" i="11"/>
  <c r="O19" i="11"/>
  <c r="O37" i="11"/>
  <c r="S11" i="11"/>
  <c r="S27" i="11"/>
  <c r="U9" i="11"/>
  <c r="U4" i="11"/>
  <c r="U12" i="11"/>
  <c r="D16" i="11"/>
  <c r="AB4" i="3"/>
  <c r="AC4" i="3"/>
  <c r="E6" i="11"/>
  <c r="AB5" i="3"/>
  <c r="AC5" i="3"/>
  <c r="AB6" i="3"/>
  <c r="AC6" i="3"/>
  <c r="AB7" i="3"/>
  <c r="AC7" i="3"/>
  <c r="AB8" i="3"/>
  <c r="AC8" i="3"/>
  <c r="AB9" i="3"/>
  <c r="AC9" i="3"/>
  <c r="AB10" i="3"/>
  <c r="AC10" i="3"/>
  <c r="AB11" i="3"/>
  <c r="AC11" i="3"/>
  <c r="AB12" i="3"/>
  <c r="AC12" i="3"/>
  <c r="AB13" i="3"/>
  <c r="AC13" i="3"/>
  <c r="AB14" i="3"/>
  <c r="AC14" i="3"/>
  <c r="AB15" i="3"/>
  <c r="AC15" i="3"/>
  <c r="AB16" i="3"/>
  <c r="AC16" i="3"/>
  <c r="AB17" i="3"/>
  <c r="AC17" i="3"/>
  <c r="AB18" i="3"/>
  <c r="AC18" i="3"/>
  <c r="AB19" i="3"/>
  <c r="AC19" i="3"/>
  <c r="AB20" i="3"/>
  <c r="AC20" i="3"/>
  <c r="AB21" i="3"/>
  <c r="AC21" i="3"/>
  <c r="AB22" i="3"/>
  <c r="AC22" i="3"/>
  <c r="AB23" i="3"/>
  <c r="AC23" i="3"/>
  <c r="AB24" i="3"/>
  <c r="AC24" i="3"/>
  <c r="AB25" i="3"/>
  <c r="AC25" i="3"/>
  <c r="AB26" i="3"/>
  <c r="AC26" i="3"/>
  <c r="AB27" i="3"/>
  <c r="AC27" i="3"/>
  <c r="AB28" i="3"/>
  <c r="AC28" i="3"/>
  <c r="AB29" i="3"/>
  <c r="AC29" i="3"/>
  <c r="AB30" i="3"/>
  <c r="AC30" i="3"/>
  <c r="AB31" i="3"/>
  <c r="AC31" i="3"/>
  <c r="AB32" i="3"/>
  <c r="AC32" i="3"/>
  <c r="AB33" i="3"/>
  <c r="AC33" i="3"/>
  <c r="AB34" i="3"/>
  <c r="AC34" i="3"/>
  <c r="AB35" i="3"/>
  <c r="AC35" i="3"/>
  <c r="AB36" i="3"/>
  <c r="AC36" i="3"/>
  <c r="AB37" i="3"/>
  <c r="AC37" i="3"/>
  <c r="AB38" i="3"/>
  <c r="AC38" i="3"/>
  <c r="AB39" i="3"/>
  <c r="AC39" i="3"/>
  <c r="AB40" i="3"/>
  <c r="AC40" i="3"/>
  <c r="AB41" i="3"/>
  <c r="AC41" i="3"/>
  <c r="AB42" i="3"/>
  <c r="AC42" i="3"/>
  <c r="AB43" i="3"/>
  <c r="AC43" i="3"/>
  <c r="AB44" i="3"/>
  <c r="AC44" i="3"/>
  <c r="AB45" i="3"/>
  <c r="AC45" i="3"/>
  <c r="AB46" i="3"/>
  <c r="AC46" i="3"/>
  <c r="AB47" i="3"/>
  <c r="AC47" i="3"/>
  <c r="AB48" i="3"/>
  <c r="AC48" i="3"/>
  <c r="AB49" i="3"/>
  <c r="AC49" i="3"/>
  <c r="AB50" i="3"/>
  <c r="AC50" i="3"/>
  <c r="AB51" i="3"/>
  <c r="AC51" i="3"/>
  <c r="AB52" i="3"/>
  <c r="AC52" i="3"/>
  <c r="AB53" i="3"/>
  <c r="AC53" i="3"/>
  <c r="AB54" i="3"/>
  <c r="AC54" i="3"/>
  <c r="AB55" i="3"/>
  <c r="AC55" i="3"/>
  <c r="AB56" i="3"/>
  <c r="AC56" i="3"/>
  <c r="AB57" i="3"/>
  <c r="AC57" i="3"/>
  <c r="AB58" i="3"/>
  <c r="AC58" i="3"/>
  <c r="AB59" i="3"/>
  <c r="AC59" i="3"/>
  <c r="AB60" i="3"/>
  <c r="AC60" i="3"/>
  <c r="AB61" i="3"/>
  <c r="AC61" i="3"/>
  <c r="AB62" i="3"/>
  <c r="AC62" i="3"/>
  <c r="AB63" i="3"/>
  <c r="AC63" i="3"/>
  <c r="AB64" i="3"/>
  <c r="AC64" i="3"/>
  <c r="AB65" i="3"/>
  <c r="AC65" i="3"/>
  <c r="AB66" i="3"/>
  <c r="AC66" i="3"/>
  <c r="AB67" i="3"/>
  <c r="AC67" i="3"/>
  <c r="AB68" i="3"/>
  <c r="AC68" i="3"/>
  <c r="AB69" i="3"/>
  <c r="AC69" i="3"/>
  <c r="AB70" i="3"/>
  <c r="AC70" i="3"/>
  <c r="AB71" i="3"/>
  <c r="AC71" i="3"/>
  <c r="AB72" i="3"/>
  <c r="AC72" i="3"/>
  <c r="AB73" i="3"/>
  <c r="AC73" i="3"/>
  <c r="AB74" i="3"/>
  <c r="AC74" i="3"/>
  <c r="AB75" i="3"/>
  <c r="AC75" i="3"/>
  <c r="AB76" i="3"/>
  <c r="AC76" i="3"/>
  <c r="AB77" i="3"/>
  <c r="AC77" i="3"/>
  <c r="AB78" i="3"/>
  <c r="AC78" i="3"/>
  <c r="AB79" i="3"/>
  <c r="AC79" i="3"/>
  <c r="AB80" i="3"/>
  <c r="AC80" i="3"/>
  <c r="AB81" i="3"/>
  <c r="AC81" i="3"/>
  <c r="AB82" i="3"/>
  <c r="AC82" i="3"/>
  <c r="AB83" i="3"/>
  <c r="AC83" i="3"/>
  <c r="AB84" i="3"/>
  <c r="AC84" i="3"/>
  <c r="AB85" i="3"/>
  <c r="AC85" i="3"/>
  <c r="AB86" i="3"/>
  <c r="AC86" i="3"/>
  <c r="AB87" i="3"/>
  <c r="AC87" i="3"/>
  <c r="AB88" i="3"/>
  <c r="AC88" i="3"/>
  <c r="AB89" i="3"/>
  <c r="AC89" i="3"/>
  <c r="AB90" i="3"/>
  <c r="AC90" i="3"/>
  <c r="AB91" i="3"/>
  <c r="AC91" i="3"/>
  <c r="AB92" i="3"/>
  <c r="AC92" i="3"/>
  <c r="AB93" i="3"/>
  <c r="AC93" i="3"/>
  <c r="AB94" i="3"/>
  <c r="AC94" i="3"/>
  <c r="AB95" i="3"/>
  <c r="AC95" i="3"/>
  <c r="AB96" i="3"/>
  <c r="AC96" i="3"/>
  <c r="AB97" i="3"/>
  <c r="AC97" i="3"/>
  <c r="AB98" i="3"/>
  <c r="AC98" i="3"/>
  <c r="AB99" i="3"/>
  <c r="AC99" i="3"/>
  <c r="AB100" i="3"/>
  <c r="AC100" i="3"/>
  <c r="AB101" i="3"/>
  <c r="AC101" i="3"/>
  <c r="AB102" i="3"/>
  <c r="AC102" i="3"/>
  <c r="AB103" i="3"/>
  <c r="AC103" i="3"/>
  <c r="AB104" i="3"/>
  <c r="AC104" i="3"/>
  <c r="AB105" i="3"/>
  <c r="AC105" i="3"/>
  <c r="AB106" i="3"/>
  <c r="AC106" i="3"/>
  <c r="AB107" i="3"/>
  <c r="AC107" i="3"/>
  <c r="AB108" i="3"/>
  <c r="AC108" i="3"/>
  <c r="AB109" i="3"/>
  <c r="AC109" i="3"/>
  <c r="AB110" i="3"/>
  <c r="AC110" i="3"/>
  <c r="AB111" i="3"/>
  <c r="AC111" i="3"/>
  <c r="AB112" i="3"/>
  <c r="AC112" i="3"/>
  <c r="AB113" i="3"/>
  <c r="AC113" i="3"/>
  <c r="AB114" i="3"/>
  <c r="AC114" i="3"/>
  <c r="AB115" i="3"/>
  <c r="AC115" i="3"/>
  <c r="AB116" i="3"/>
  <c r="AC116" i="3"/>
  <c r="AB117" i="3"/>
  <c r="AC117" i="3"/>
  <c r="AB118" i="3"/>
  <c r="AC118" i="3"/>
  <c r="AB119" i="3"/>
  <c r="AC119" i="3"/>
  <c r="AB120" i="3"/>
  <c r="AC120" i="3"/>
  <c r="AB121" i="3"/>
  <c r="AC121" i="3"/>
  <c r="AB122" i="3"/>
  <c r="AC122" i="3"/>
  <c r="AB123" i="3"/>
  <c r="AC123" i="3"/>
  <c r="AB124" i="3"/>
  <c r="AC124" i="3"/>
  <c r="AB125" i="3"/>
  <c r="AC125" i="3"/>
  <c r="AB126" i="3"/>
  <c r="AC126" i="3"/>
  <c r="AB127" i="3"/>
  <c r="AC127" i="3"/>
  <c r="AB128" i="3"/>
  <c r="AC128" i="3"/>
  <c r="AB129" i="3"/>
  <c r="AC129" i="3"/>
  <c r="AB130" i="3"/>
  <c r="AC130" i="3"/>
  <c r="AB131" i="3"/>
  <c r="AC131" i="3"/>
  <c r="AB132" i="3"/>
  <c r="AC132" i="3"/>
  <c r="AB133" i="3"/>
  <c r="AC133" i="3"/>
  <c r="AB134" i="3"/>
  <c r="AC134" i="3"/>
  <c r="AB135" i="3"/>
  <c r="AC135" i="3"/>
  <c r="AB136" i="3"/>
  <c r="AC136" i="3"/>
  <c r="AB137" i="3"/>
  <c r="AC137" i="3"/>
  <c r="AB138" i="3"/>
  <c r="AC138" i="3"/>
  <c r="AB139" i="3"/>
  <c r="AC139" i="3"/>
  <c r="AB140" i="3"/>
  <c r="AC140" i="3"/>
  <c r="AB141" i="3"/>
  <c r="AC141" i="3"/>
  <c r="AB142" i="3"/>
  <c r="AC142" i="3"/>
  <c r="AB143" i="3"/>
  <c r="AC143" i="3"/>
  <c r="AB144" i="3"/>
  <c r="AC144" i="3"/>
  <c r="AB145" i="3"/>
  <c r="AC145" i="3"/>
  <c r="AB146" i="3"/>
  <c r="AC146" i="3"/>
  <c r="AB147" i="3"/>
  <c r="AC147" i="3"/>
  <c r="AB148" i="3"/>
  <c r="AC148" i="3"/>
  <c r="AB149" i="3"/>
  <c r="AC149" i="3"/>
  <c r="AB150" i="3"/>
  <c r="AC150" i="3"/>
  <c r="AB151" i="3"/>
  <c r="AC151" i="3"/>
  <c r="AB152" i="3"/>
  <c r="AC152" i="3"/>
  <c r="AB153" i="3"/>
  <c r="AC153" i="3"/>
  <c r="AB154" i="3"/>
  <c r="AC154" i="3"/>
  <c r="AB155" i="3"/>
  <c r="AC155" i="3"/>
  <c r="AB156" i="3"/>
  <c r="AC156" i="3"/>
  <c r="AB157" i="3"/>
  <c r="AC157" i="3"/>
  <c r="AB158" i="3"/>
  <c r="AC158" i="3"/>
  <c r="AB159" i="3"/>
  <c r="AC159" i="3"/>
  <c r="AB160" i="3"/>
  <c r="AC160" i="3"/>
  <c r="AB161" i="3"/>
  <c r="AC161" i="3"/>
  <c r="AB162" i="3"/>
  <c r="AC162" i="3"/>
  <c r="AB163" i="3"/>
  <c r="AC163" i="3"/>
  <c r="AB164" i="3"/>
  <c r="AC164" i="3"/>
  <c r="AB165" i="3"/>
  <c r="AC165" i="3"/>
  <c r="AB166" i="3"/>
  <c r="AC166" i="3"/>
  <c r="AB167" i="3"/>
  <c r="AC167" i="3"/>
  <c r="AB168" i="3"/>
  <c r="AC168" i="3"/>
  <c r="AB169" i="3"/>
  <c r="AC169" i="3"/>
  <c r="AB170" i="3"/>
  <c r="AC170" i="3"/>
  <c r="AB171" i="3"/>
  <c r="AC171" i="3"/>
  <c r="AB172" i="3"/>
  <c r="AC172" i="3"/>
  <c r="AB173" i="3"/>
  <c r="AC173" i="3"/>
  <c r="AB174" i="3"/>
  <c r="AC174" i="3"/>
  <c r="AB175" i="3"/>
  <c r="AC175" i="3"/>
  <c r="AB176" i="3"/>
  <c r="AC176" i="3"/>
  <c r="AB177" i="3"/>
  <c r="AC177" i="3"/>
  <c r="AB178" i="3"/>
  <c r="AC178" i="3"/>
  <c r="AB179" i="3"/>
  <c r="AC179" i="3"/>
  <c r="AB180" i="3"/>
  <c r="AC180" i="3"/>
  <c r="AB181" i="3"/>
  <c r="AC181" i="3"/>
  <c r="AB182" i="3"/>
  <c r="AC182" i="3"/>
  <c r="AB183" i="3"/>
  <c r="AC183" i="3"/>
  <c r="AB184" i="3"/>
  <c r="AC184" i="3"/>
  <c r="AB185" i="3"/>
  <c r="AC185" i="3"/>
  <c r="AB186" i="3"/>
  <c r="AC186" i="3"/>
  <c r="AB187" i="3"/>
  <c r="AC187" i="3"/>
  <c r="AB188" i="3"/>
  <c r="AC188" i="3"/>
  <c r="AB189" i="3"/>
  <c r="AC189" i="3"/>
  <c r="AB190" i="3"/>
  <c r="AC190" i="3"/>
  <c r="AB191" i="3"/>
  <c r="AC191" i="3"/>
  <c r="AB192" i="3"/>
  <c r="AC192" i="3"/>
  <c r="AB193" i="3"/>
  <c r="AC193" i="3"/>
  <c r="AB194" i="3"/>
  <c r="AC194" i="3"/>
  <c r="AB195" i="3"/>
  <c r="AC195" i="3"/>
  <c r="AB196" i="3"/>
  <c r="AC196" i="3"/>
  <c r="AB197" i="3"/>
  <c r="AC197" i="3"/>
  <c r="AB198" i="3"/>
  <c r="AC198" i="3"/>
  <c r="AB199" i="3"/>
  <c r="AC199" i="3"/>
  <c r="AB200" i="3"/>
  <c r="AC200" i="3"/>
  <c r="AB201" i="3"/>
  <c r="AC201" i="3"/>
  <c r="AB202" i="3"/>
  <c r="AC202" i="3"/>
  <c r="AB203" i="3"/>
  <c r="AC203" i="3"/>
  <c r="AB204" i="3"/>
  <c r="AC204" i="3"/>
  <c r="AB205" i="3"/>
  <c r="AC205" i="3"/>
  <c r="AB206" i="3"/>
  <c r="AC206" i="3"/>
  <c r="AB207" i="3"/>
  <c r="AC207" i="3"/>
  <c r="AB208" i="3"/>
  <c r="AC208" i="3"/>
  <c r="AB209" i="3"/>
  <c r="AC209" i="3"/>
  <c r="AB210" i="3"/>
  <c r="AC210" i="3"/>
  <c r="AB211" i="3"/>
  <c r="AC211" i="3"/>
  <c r="AB212" i="3"/>
  <c r="AC212" i="3"/>
  <c r="AB213" i="3"/>
  <c r="AC213" i="3"/>
  <c r="AB214" i="3"/>
  <c r="AC214" i="3"/>
  <c r="AB215" i="3"/>
  <c r="AC215" i="3"/>
  <c r="AB216" i="3"/>
  <c r="AC216" i="3"/>
  <c r="AB217" i="3"/>
  <c r="AC217" i="3"/>
  <c r="AB218" i="3"/>
  <c r="AC218" i="3"/>
  <c r="AB219" i="3"/>
  <c r="AC219" i="3"/>
  <c r="AB220" i="3"/>
  <c r="AC220" i="3"/>
  <c r="AB221" i="3"/>
  <c r="AC221" i="3"/>
  <c r="AB222" i="3"/>
  <c r="AC222" i="3"/>
  <c r="AB223" i="3"/>
  <c r="AC223" i="3"/>
  <c r="AB224" i="3"/>
  <c r="AC224" i="3"/>
  <c r="AB225" i="3"/>
  <c r="AC225" i="3"/>
  <c r="AB226" i="3"/>
  <c r="AC226" i="3"/>
  <c r="AB227" i="3"/>
  <c r="AC227" i="3"/>
  <c r="AB228" i="3"/>
  <c r="AC228" i="3"/>
  <c r="AB229" i="3"/>
  <c r="AC229" i="3"/>
  <c r="AB230" i="3"/>
  <c r="AC230" i="3"/>
  <c r="AB231" i="3"/>
  <c r="AC231" i="3"/>
  <c r="AB232" i="3"/>
  <c r="AC232" i="3"/>
  <c r="AB233" i="3"/>
  <c r="AC233" i="3"/>
  <c r="AB234" i="3"/>
  <c r="AC234" i="3"/>
  <c r="AB235" i="3"/>
  <c r="AC235" i="3"/>
  <c r="AB236" i="3"/>
  <c r="AC236" i="3"/>
  <c r="AB237" i="3"/>
  <c r="AC237" i="3"/>
  <c r="AB238" i="3"/>
  <c r="AC238" i="3"/>
  <c r="AB239" i="3"/>
  <c r="AC239" i="3"/>
  <c r="AB240" i="3"/>
  <c r="AC240" i="3"/>
  <c r="AB241" i="3"/>
  <c r="AC241" i="3"/>
  <c r="AB242" i="3"/>
  <c r="AC242" i="3"/>
  <c r="AB243" i="3"/>
  <c r="AC243" i="3"/>
  <c r="AB244" i="3"/>
  <c r="AC244" i="3"/>
  <c r="AB245" i="3"/>
  <c r="AC245" i="3"/>
  <c r="AB246" i="3"/>
  <c r="AC246" i="3"/>
  <c r="AB247" i="3"/>
  <c r="AC247" i="3"/>
  <c r="AB248" i="3"/>
  <c r="AC248" i="3"/>
  <c r="AB249" i="3"/>
  <c r="AC249" i="3"/>
  <c r="AB250" i="3"/>
  <c r="AC250" i="3"/>
  <c r="AB251" i="3"/>
  <c r="AC251" i="3"/>
  <c r="AB252" i="3"/>
  <c r="AC252" i="3"/>
  <c r="AB253" i="3"/>
  <c r="AC253" i="3"/>
  <c r="AB254" i="3"/>
  <c r="AC254" i="3"/>
  <c r="AB255" i="3"/>
  <c r="AC255" i="3"/>
  <c r="AB256" i="3"/>
  <c r="AC256" i="3"/>
  <c r="AB257" i="3"/>
  <c r="AC257" i="3"/>
  <c r="AB258" i="3"/>
  <c r="AC258" i="3"/>
  <c r="AB259" i="3"/>
  <c r="AC259" i="3"/>
  <c r="AB260" i="3"/>
  <c r="AC260" i="3"/>
  <c r="AB261" i="3"/>
  <c r="AC261" i="3"/>
  <c r="AB262" i="3"/>
  <c r="AC262" i="3"/>
  <c r="AB263" i="3"/>
  <c r="AC263" i="3"/>
  <c r="AB264" i="3"/>
  <c r="AC264" i="3"/>
  <c r="AB265" i="3"/>
  <c r="AC265" i="3"/>
  <c r="AB266" i="3"/>
  <c r="AC266" i="3"/>
  <c r="AB267" i="3"/>
  <c r="AC267" i="3"/>
  <c r="AB268" i="3"/>
  <c r="AC268" i="3"/>
  <c r="AB269" i="3"/>
  <c r="AC269" i="3"/>
  <c r="AB270" i="3"/>
  <c r="AC270" i="3"/>
  <c r="AB271" i="3"/>
  <c r="AC271" i="3"/>
  <c r="AB272" i="3"/>
  <c r="AC272" i="3"/>
  <c r="AB273" i="3"/>
  <c r="AC273" i="3"/>
  <c r="AB274" i="3"/>
  <c r="AC274" i="3"/>
  <c r="AB275" i="3"/>
  <c r="AC275" i="3"/>
  <c r="AB276" i="3"/>
  <c r="AC276" i="3"/>
  <c r="AB277" i="3"/>
  <c r="AC277" i="3"/>
  <c r="AB278" i="3"/>
  <c r="AC278" i="3"/>
  <c r="AB279" i="3"/>
  <c r="AC279" i="3"/>
  <c r="AB280" i="3"/>
  <c r="AC280" i="3"/>
  <c r="AB281" i="3"/>
  <c r="AC281" i="3"/>
  <c r="AB282" i="3"/>
  <c r="AC282" i="3"/>
  <c r="AB283" i="3"/>
  <c r="AC283" i="3"/>
  <c r="AB284" i="3"/>
  <c r="AC284" i="3"/>
  <c r="AB285" i="3"/>
  <c r="AC285" i="3"/>
  <c r="AB286" i="3"/>
  <c r="AC286" i="3"/>
  <c r="AB287" i="3"/>
  <c r="AC287" i="3"/>
  <c r="AB288" i="3"/>
  <c r="AC288" i="3"/>
  <c r="AB289" i="3"/>
  <c r="AC289" i="3"/>
  <c r="AB290" i="3"/>
  <c r="AC290" i="3"/>
  <c r="AB291" i="3"/>
  <c r="AC291" i="3"/>
  <c r="AB292" i="3"/>
  <c r="AC292" i="3"/>
  <c r="AB293" i="3"/>
  <c r="AC293" i="3"/>
  <c r="AB294" i="3"/>
  <c r="AC294" i="3"/>
  <c r="AB295" i="3"/>
  <c r="AC295" i="3"/>
  <c r="AB296" i="3"/>
  <c r="AC296" i="3"/>
  <c r="AB297" i="3"/>
  <c r="AC297" i="3"/>
  <c r="AB298" i="3"/>
  <c r="AC298" i="3"/>
  <c r="AB299" i="3"/>
  <c r="AC299" i="3"/>
  <c r="AB300" i="3"/>
  <c r="AC300" i="3"/>
  <c r="AC3" i="3"/>
  <c r="I4" i="11"/>
  <c r="AB3" i="3"/>
  <c r="AD26" i="11"/>
  <c r="AD22" i="11"/>
  <c r="P23" i="11"/>
  <c r="P24" i="11"/>
  <c r="P22" i="11"/>
  <c r="P26" i="11"/>
  <c r="R37" i="11"/>
  <c r="R30" i="11"/>
  <c r="P37" i="11"/>
  <c r="P30" i="11"/>
  <c r="P25" i="11"/>
  <c r="R28" i="11"/>
  <c r="R26" i="11"/>
  <c r="P28" i="11"/>
  <c r="E18" i="11"/>
  <c r="H9" i="11"/>
  <c r="E7" i="11"/>
  <c r="D9" i="11"/>
  <c r="G10" i="11"/>
  <c r="I16" i="11"/>
  <c r="G9" i="11"/>
  <c r="D18" i="11"/>
  <c r="G16" i="11"/>
  <c r="U14" i="11"/>
  <c r="T35" i="11"/>
  <c r="Q19" i="11"/>
  <c r="H10" i="11"/>
  <c r="E5" i="11"/>
  <c r="F6" i="11"/>
  <c r="O30" i="11"/>
  <c r="AQ17" i="11"/>
  <c r="D10" i="11"/>
  <c r="I8" i="11"/>
  <c r="S32" i="11"/>
  <c r="AP32" i="11"/>
  <c r="AQ18" i="11"/>
  <c r="F10" i="11"/>
  <c r="I18" i="11"/>
  <c r="F12" i="11"/>
  <c r="G7" i="11"/>
  <c r="I5" i="11"/>
  <c r="AK11" i="11"/>
  <c r="E9" i="11"/>
  <c r="H8" i="11"/>
  <c r="F15" i="11"/>
  <c r="E8" i="11"/>
  <c r="AC11" i="11"/>
  <c r="AC24" i="11"/>
  <c r="E17" i="11"/>
  <c r="D7" i="11"/>
  <c r="Q80" i="10"/>
  <c r="Q76" i="10"/>
  <c r="Q43" i="10"/>
  <c r="P80" i="10"/>
  <c r="P76" i="10"/>
  <c r="P43" i="10"/>
  <c r="O80" i="10"/>
  <c r="O76" i="10"/>
  <c r="O43" i="10"/>
  <c r="N80" i="10"/>
  <c r="N76" i="10"/>
  <c r="N43" i="10"/>
  <c r="M80" i="10"/>
  <c r="M76" i="10"/>
  <c r="M43" i="10"/>
  <c r="Q79" i="10"/>
  <c r="Q75" i="10"/>
  <c r="Q42" i="10"/>
  <c r="P79" i="10"/>
  <c r="P75" i="10"/>
  <c r="P42" i="10"/>
  <c r="O79" i="10"/>
  <c r="O75" i="10"/>
  <c r="O42" i="10"/>
  <c r="N79" i="10"/>
  <c r="N75" i="10"/>
  <c r="N42" i="10"/>
  <c r="M79" i="10"/>
  <c r="M75" i="10"/>
  <c r="M42" i="10"/>
  <c r="Q78" i="10"/>
  <c r="Q45" i="10"/>
  <c r="Q41" i="10"/>
  <c r="M77" i="10"/>
  <c r="P78" i="10"/>
  <c r="P45" i="10"/>
  <c r="P41" i="10"/>
  <c r="O78" i="10"/>
  <c r="O45" i="10"/>
  <c r="O41" i="10"/>
  <c r="N78" i="10"/>
  <c r="N45" i="10"/>
  <c r="N41" i="10"/>
  <c r="M78" i="10"/>
  <c r="M45" i="10"/>
  <c r="M41" i="10"/>
  <c r="Q77" i="10"/>
  <c r="Q44" i="10"/>
  <c r="Q40" i="10"/>
  <c r="M40" i="10"/>
  <c r="P77" i="10"/>
  <c r="P44" i="10"/>
  <c r="P40" i="10"/>
  <c r="N77" i="10"/>
  <c r="N44" i="10"/>
  <c r="N40" i="10"/>
  <c r="M44" i="10"/>
  <c r="O77" i="10"/>
  <c r="O44" i="10"/>
  <c r="O40" i="10"/>
  <c r="E10" i="11"/>
  <c r="S35" i="11"/>
  <c r="H6" i="11"/>
  <c r="D8" i="11"/>
  <c r="T34" i="11"/>
  <c r="AQ10" i="11"/>
  <c r="F4" i="11"/>
  <c r="H12" i="11"/>
  <c r="F8" i="11"/>
  <c r="J8" i="11"/>
  <c r="S31" i="11"/>
  <c r="Z23" i="11"/>
  <c r="AE22" i="11"/>
  <c r="F5" i="11"/>
  <c r="I14" i="11"/>
  <c r="H17" i="11"/>
  <c r="F17" i="11"/>
  <c r="G17" i="11"/>
  <c r="I10" i="11"/>
  <c r="H4" i="11"/>
  <c r="G4" i="11"/>
  <c r="G11" i="11"/>
  <c r="D13" i="11"/>
  <c r="E4" i="11"/>
  <c r="I13" i="11"/>
  <c r="H13" i="11"/>
  <c r="H19" i="11"/>
  <c r="H30" i="11"/>
  <c r="E13" i="11"/>
  <c r="F13" i="11"/>
  <c r="E15" i="11"/>
  <c r="G8" i="11"/>
  <c r="G26" i="11"/>
  <c r="T32" i="11"/>
  <c r="T36" i="11"/>
  <c r="Z25" i="11"/>
  <c r="AQ14" i="11"/>
  <c r="I17" i="11"/>
  <c r="D5" i="11"/>
  <c r="D11" i="11"/>
  <c r="T31" i="11"/>
  <c r="I6" i="11"/>
  <c r="I11" i="11"/>
  <c r="D15" i="11"/>
  <c r="H5" i="11"/>
  <c r="S26" i="11"/>
  <c r="T37" i="11"/>
  <c r="I12" i="11"/>
  <c r="G12" i="11"/>
  <c r="G5" i="11"/>
  <c r="Q35" i="11"/>
  <c r="I7" i="11"/>
  <c r="D4" i="11"/>
  <c r="Z19" i="11"/>
  <c r="Z30" i="11"/>
  <c r="E14" i="11"/>
  <c r="H14" i="11"/>
  <c r="F18" i="11"/>
  <c r="H16" i="11"/>
  <c r="T30" i="11"/>
  <c r="AF15" i="11"/>
  <c r="AF19" i="11"/>
  <c r="E12" i="11"/>
  <c r="E19" i="11"/>
  <c r="E33" i="11"/>
  <c r="F9" i="11"/>
  <c r="H15" i="11"/>
  <c r="D12" i="11"/>
  <c r="J12" i="11"/>
  <c r="O11" i="11"/>
  <c r="O26" i="11"/>
  <c r="AF4" i="11"/>
  <c r="AQ15" i="11"/>
  <c r="AQ19" i="11"/>
  <c r="D14" i="11"/>
  <c r="D19" i="11"/>
  <c r="D32" i="11"/>
  <c r="Z24" i="11"/>
  <c r="D17" i="11"/>
  <c r="J17" i="11"/>
  <c r="G18" i="11"/>
  <c r="F16" i="11"/>
  <c r="F34" i="11"/>
  <c r="Z26" i="11"/>
  <c r="G14" i="11"/>
  <c r="G19" i="11"/>
  <c r="G34" i="11"/>
  <c r="G15" i="11"/>
  <c r="AQ9" i="11"/>
  <c r="G13" i="11"/>
  <c r="G6" i="11"/>
  <c r="G24" i="11"/>
  <c r="H18" i="11"/>
  <c r="E16" i="11"/>
  <c r="D6" i="11"/>
  <c r="D24" i="11"/>
  <c r="AA27" i="11"/>
  <c r="I15" i="11"/>
  <c r="H7" i="11"/>
  <c r="I9" i="11"/>
  <c r="F14" i="11"/>
  <c r="F19" i="11"/>
  <c r="F30" i="11"/>
  <c r="F7" i="11"/>
  <c r="F11" i="11"/>
  <c r="F24" i="11"/>
  <c r="R33" i="11"/>
  <c r="R34" i="11"/>
  <c r="R31" i="11"/>
  <c r="AL25" i="11"/>
  <c r="AC35" i="11"/>
  <c r="AO33" i="11"/>
  <c r="R35" i="11"/>
  <c r="AD23" i="11"/>
  <c r="AL27" i="11"/>
  <c r="R32" i="11"/>
  <c r="AB34" i="11"/>
  <c r="AL22" i="11"/>
  <c r="AL24" i="11"/>
  <c r="AA25" i="11"/>
  <c r="T28" i="11"/>
  <c r="T23" i="11"/>
  <c r="AE28" i="11"/>
  <c r="T24" i="11"/>
  <c r="AD28" i="11"/>
  <c r="AO35" i="11"/>
  <c r="T25" i="11"/>
  <c r="S24" i="11"/>
  <c r="AC31" i="11"/>
  <c r="AO32" i="11"/>
  <c r="R24" i="11"/>
  <c r="AE27" i="11"/>
  <c r="AL26" i="11"/>
  <c r="R25" i="11"/>
  <c r="AA24" i="11"/>
  <c r="P32" i="11"/>
  <c r="AB31" i="11"/>
  <c r="AL23" i="11"/>
  <c r="T22" i="11"/>
  <c r="P36" i="11"/>
  <c r="AA22" i="11"/>
  <c r="AD27" i="11"/>
  <c r="AP34" i="11"/>
  <c r="T27" i="11"/>
  <c r="AC27" i="11"/>
  <c r="AA23" i="11"/>
  <c r="S30" i="11"/>
  <c r="R22" i="11"/>
  <c r="R36" i="11"/>
  <c r="Z22" i="11"/>
  <c r="AE24" i="11"/>
  <c r="AA28" i="11"/>
  <c r="S34" i="11"/>
  <c r="S33" i="11"/>
  <c r="AD24" i="11"/>
  <c r="AM33" i="11"/>
  <c r="AN31" i="11"/>
  <c r="AM34" i="11"/>
  <c r="AM31" i="11"/>
  <c r="AM35" i="11"/>
  <c r="AN36" i="11"/>
  <c r="AN34" i="11"/>
  <c r="AO34" i="11"/>
  <c r="AO31" i="11"/>
  <c r="AN33" i="11"/>
  <c r="AM25" i="11"/>
  <c r="AM27" i="11"/>
  <c r="AM26" i="11"/>
  <c r="AM24" i="11"/>
  <c r="AM28" i="11"/>
  <c r="AK27" i="11"/>
  <c r="AM23" i="11"/>
  <c r="AM22" i="11"/>
  <c r="AO23" i="11"/>
  <c r="AK35" i="11"/>
  <c r="AL37" i="11"/>
  <c r="AL35" i="11"/>
  <c r="AP28" i="11"/>
  <c r="AO28" i="11"/>
  <c r="AN26" i="11"/>
  <c r="AK32" i="11"/>
  <c r="AP25" i="11"/>
  <c r="AN28" i="11"/>
  <c r="AO25" i="11"/>
  <c r="AQ11" i="11"/>
  <c r="AQ25" i="11"/>
  <c r="AK34" i="11"/>
  <c r="AP22" i="11"/>
  <c r="AO27" i="11"/>
  <c r="AP27" i="11"/>
  <c r="AP24" i="11"/>
  <c r="AL36" i="11"/>
  <c r="AN25" i="11"/>
  <c r="AN27" i="11"/>
  <c r="AN23" i="11"/>
  <c r="AO22" i="11"/>
  <c r="AO30" i="11"/>
  <c r="AN35" i="11"/>
  <c r="AP31" i="11"/>
  <c r="AK33" i="11"/>
  <c r="AL31" i="11"/>
  <c r="AO24" i="11"/>
  <c r="AK36" i="11"/>
  <c r="AK30" i="11"/>
  <c r="AO36" i="11"/>
  <c r="AL33" i="11"/>
  <c r="AL32" i="11"/>
  <c r="AN30" i="11"/>
  <c r="AN22" i="11"/>
  <c r="AK31" i="11"/>
  <c r="AP26" i="11"/>
  <c r="AN32" i="11"/>
  <c r="AM37" i="11"/>
  <c r="AM32" i="11"/>
  <c r="AP35" i="11"/>
  <c r="AL34" i="11"/>
  <c r="AA32" i="11"/>
  <c r="AA36" i="11"/>
  <c r="AB33" i="11"/>
  <c r="AC34" i="11"/>
  <c r="AA33" i="11"/>
  <c r="Z37" i="11"/>
  <c r="Z32" i="11"/>
  <c r="Z36" i="11"/>
  <c r="Z35" i="11"/>
  <c r="Z31" i="11"/>
  <c r="Z34" i="11"/>
  <c r="AB28" i="11"/>
  <c r="AB27" i="11"/>
  <c r="AB26" i="11"/>
  <c r="AE26" i="11"/>
  <c r="AB25" i="11"/>
  <c r="AB24" i="11"/>
  <c r="AB23" i="11"/>
  <c r="AB22" i="11"/>
  <c r="Z29" i="11"/>
  <c r="AF11" i="11"/>
  <c r="AF22" i="11"/>
  <c r="AD32" i="11"/>
  <c r="AE36" i="11"/>
  <c r="AD30" i="11"/>
  <c r="AD34" i="11"/>
  <c r="AD36" i="11"/>
  <c r="AC37" i="11"/>
  <c r="AC32" i="11"/>
  <c r="AE33" i="11"/>
  <c r="AB37" i="11"/>
  <c r="AB32" i="11"/>
  <c r="AB35" i="11"/>
  <c r="AA31" i="11"/>
  <c r="AE35" i="11"/>
  <c r="AE25" i="11"/>
  <c r="AD33" i="11"/>
  <c r="AA37" i="11"/>
  <c r="AA35" i="11"/>
  <c r="AE34" i="11"/>
  <c r="AC36" i="11"/>
  <c r="AC25" i="11"/>
  <c r="AD25" i="11"/>
  <c r="AB36" i="11"/>
  <c r="AD31" i="11"/>
  <c r="AC33" i="11"/>
  <c r="AD35" i="11"/>
  <c r="AE31" i="11"/>
  <c r="AA34" i="11"/>
  <c r="AE30" i="11"/>
  <c r="AE32" i="11"/>
  <c r="P35" i="11"/>
  <c r="P31" i="11"/>
  <c r="O32" i="11"/>
  <c r="O35" i="11"/>
  <c r="O31" i="11"/>
  <c r="S28" i="11"/>
  <c r="S22" i="11"/>
  <c r="O23" i="11"/>
  <c r="O28" i="11"/>
  <c r="Q22" i="11"/>
  <c r="Q27" i="11"/>
  <c r="O22" i="11"/>
  <c r="U19" i="11"/>
  <c r="U37" i="11"/>
  <c r="Q28" i="11"/>
  <c r="U11" i="11"/>
  <c r="U28" i="11"/>
  <c r="Q24" i="11"/>
  <c r="O25" i="11"/>
  <c r="U24" i="11"/>
  <c r="S23" i="11"/>
  <c r="O27" i="11"/>
  <c r="Q26" i="11"/>
  <c r="P33" i="11"/>
  <c r="R23" i="11"/>
  <c r="P34" i="11"/>
  <c r="Q23" i="11"/>
  <c r="S25" i="11"/>
  <c r="O24" i="11"/>
  <c r="O34" i="11"/>
  <c r="O36" i="11"/>
  <c r="E11" i="11"/>
  <c r="E28" i="11"/>
  <c r="J10" i="11"/>
  <c r="J15" i="11"/>
  <c r="E26" i="11"/>
  <c r="P10" i="10"/>
  <c r="P19" i="10"/>
  <c r="L80" i="10"/>
  <c r="L79" i="10"/>
  <c r="L78" i="10"/>
  <c r="L77" i="10"/>
  <c r="L76" i="10"/>
  <c r="L75" i="10"/>
  <c r="L45" i="10"/>
  <c r="L44" i="10"/>
  <c r="L43" i="10"/>
  <c r="L42" i="10"/>
  <c r="L41" i="10"/>
  <c r="L40" i="10"/>
  <c r="L9" i="10"/>
  <c r="L8" i="10"/>
  <c r="L7" i="10"/>
  <c r="L6" i="10"/>
  <c r="L5" i="10"/>
  <c r="L4" i="10"/>
  <c r="AQ37" i="11"/>
  <c r="AQ35" i="11"/>
  <c r="G27" i="11"/>
  <c r="G25" i="11"/>
  <c r="G28" i="11"/>
  <c r="G23" i="11"/>
  <c r="H22" i="11"/>
  <c r="I33" i="11"/>
  <c r="D28" i="11"/>
  <c r="D26" i="11"/>
  <c r="E34" i="11"/>
  <c r="AF37" i="11"/>
  <c r="AF35" i="11"/>
  <c r="AF33" i="11"/>
  <c r="AF31" i="11"/>
  <c r="AF34" i="11"/>
  <c r="AF30" i="11"/>
  <c r="AF36" i="11"/>
  <c r="AF32" i="11"/>
  <c r="J5" i="11"/>
  <c r="AC28" i="11"/>
  <c r="I30" i="11"/>
  <c r="I19" i="11"/>
  <c r="J13" i="11"/>
  <c r="Z33" i="11"/>
  <c r="J7" i="11"/>
  <c r="AC22" i="11"/>
  <c r="AC23" i="11"/>
  <c r="AC26" i="11"/>
  <c r="J14" i="11"/>
  <c r="Q31" i="11"/>
  <c r="Q37" i="11"/>
  <c r="Q30" i="11"/>
  <c r="Q34" i="11"/>
  <c r="Q33" i="11"/>
  <c r="J16" i="11"/>
  <c r="J19" i="11"/>
  <c r="J30" i="11"/>
  <c r="J6" i="11"/>
  <c r="AL29" i="11"/>
  <c r="H11" i="11"/>
  <c r="U32" i="11"/>
  <c r="AK22" i="11"/>
  <c r="AK24" i="11"/>
  <c r="AK25" i="11"/>
  <c r="AK26" i="11"/>
  <c r="AK23" i="11"/>
  <c r="AK28" i="11"/>
  <c r="J18" i="11"/>
  <c r="P29" i="11"/>
  <c r="G22" i="11"/>
  <c r="U30" i="11"/>
  <c r="Q32" i="11"/>
  <c r="J9" i="11"/>
  <c r="AK29" i="11"/>
  <c r="Q36" i="11"/>
  <c r="E24" i="11"/>
  <c r="AC29" i="11"/>
  <c r="J4" i="11"/>
  <c r="D34" i="11"/>
  <c r="AM29" i="11"/>
  <c r="G30" i="11"/>
  <c r="H33" i="11"/>
  <c r="D33" i="11"/>
  <c r="AD29" i="11"/>
  <c r="H34" i="11"/>
  <c r="AA29" i="11"/>
  <c r="R29" i="11"/>
  <c r="AE29" i="11"/>
  <c r="T29" i="11"/>
  <c r="AQ33" i="11"/>
  <c r="AQ36" i="11"/>
  <c r="AQ34" i="11"/>
  <c r="AQ32" i="11"/>
  <c r="AQ30" i="11"/>
  <c r="AQ31" i="11"/>
  <c r="AP29" i="11"/>
  <c r="AQ26" i="11"/>
  <c r="AQ22" i="11"/>
  <c r="AO29" i="11"/>
  <c r="AN29" i="11"/>
  <c r="AQ28" i="11"/>
  <c r="AQ24" i="11"/>
  <c r="AQ27" i="11"/>
  <c r="AQ23" i="11"/>
  <c r="AB29" i="11"/>
  <c r="AF26" i="11"/>
  <c r="AF23" i="11"/>
  <c r="AF25" i="11"/>
  <c r="AF24" i="11"/>
  <c r="AF27" i="11"/>
  <c r="AF28" i="11"/>
  <c r="U36" i="11"/>
  <c r="U31" i="11"/>
  <c r="Q29" i="11"/>
  <c r="S29" i="11"/>
  <c r="U27" i="11"/>
  <c r="U22" i="11"/>
  <c r="O29" i="11"/>
  <c r="U26" i="11"/>
  <c r="U35" i="11"/>
  <c r="U25" i="11"/>
  <c r="U33" i="11"/>
  <c r="U23" i="11"/>
  <c r="U34" i="11"/>
  <c r="G37" i="11"/>
  <c r="G36" i="11"/>
  <c r="G32" i="11"/>
  <c r="G31" i="11"/>
  <c r="G35" i="11"/>
  <c r="G33" i="11"/>
  <c r="F37" i="11"/>
  <c r="F32" i="11"/>
  <c r="F31" i="11"/>
  <c r="F35" i="11"/>
  <c r="F36" i="11"/>
  <c r="I22" i="11"/>
  <c r="I28" i="11"/>
  <c r="I25" i="11"/>
  <c r="I27" i="11"/>
  <c r="I24" i="11"/>
  <c r="I23" i="11"/>
  <c r="F26" i="11"/>
  <c r="I26" i="11"/>
  <c r="F33" i="11"/>
  <c r="D25" i="11"/>
  <c r="D27" i="11"/>
  <c r="D22" i="11"/>
  <c r="D29" i="11"/>
  <c r="E25" i="11"/>
  <c r="E27" i="11"/>
  <c r="E22" i="11"/>
  <c r="E37" i="11"/>
  <c r="E32" i="11"/>
  <c r="E31" i="11"/>
  <c r="E35" i="11"/>
  <c r="E36" i="11"/>
  <c r="E30" i="11"/>
  <c r="J11" i="11"/>
  <c r="J26" i="11"/>
  <c r="E23" i="11"/>
  <c r="D23" i="11"/>
  <c r="F28" i="11"/>
  <c r="F25" i="11"/>
  <c r="F23" i="11"/>
  <c r="F27" i="11"/>
  <c r="F22" i="11"/>
  <c r="H37" i="11"/>
  <c r="H32" i="11"/>
  <c r="H31" i="11"/>
  <c r="H36" i="11"/>
  <c r="H35" i="11"/>
  <c r="G29" i="11"/>
  <c r="D37" i="11"/>
  <c r="D35" i="11"/>
  <c r="D31" i="11"/>
  <c r="D36" i="11"/>
  <c r="D30" i="11"/>
  <c r="P46" i="10"/>
  <c r="P55" i="10"/>
  <c r="P81" i="10"/>
  <c r="P90" i="10"/>
  <c r="P13" i="10"/>
  <c r="P14" i="10"/>
  <c r="P15" i="10"/>
  <c r="P17" i="10"/>
  <c r="P18" i="10"/>
  <c r="P16" i="10"/>
  <c r="G80" i="10"/>
  <c r="F80" i="10"/>
  <c r="F81" i="10" s="1"/>
  <c r="D80" i="10"/>
  <c r="G79" i="10"/>
  <c r="F79" i="10"/>
  <c r="D79" i="10"/>
  <c r="G78" i="10"/>
  <c r="F78" i="10"/>
  <c r="D78" i="10"/>
  <c r="G77" i="10"/>
  <c r="F77" i="10"/>
  <c r="F86" i="10" s="1"/>
  <c r="D77" i="10"/>
  <c r="G76" i="10"/>
  <c r="F76" i="10"/>
  <c r="D76" i="10"/>
  <c r="G75" i="10"/>
  <c r="F75" i="10"/>
  <c r="D75" i="10"/>
  <c r="C80" i="10"/>
  <c r="C79" i="10"/>
  <c r="C78" i="10"/>
  <c r="C77" i="10"/>
  <c r="C76" i="10"/>
  <c r="C75" i="10"/>
  <c r="E80" i="10"/>
  <c r="E79" i="10"/>
  <c r="E78" i="10"/>
  <c r="E77" i="10"/>
  <c r="E76" i="10"/>
  <c r="E75" i="10"/>
  <c r="B80" i="10"/>
  <c r="B79" i="10"/>
  <c r="B78" i="10"/>
  <c r="B77" i="10"/>
  <c r="B76" i="10"/>
  <c r="B75" i="10"/>
  <c r="R43" i="10"/>
  <c r="G45" i="10"/>
  <c r="G44" i="10"/>
  <c r="G43" i="10"/>
  <c r="G42" i="10"/>
  <c r="G41" i="10"/>
  <c r="G40" i="10"/>
  <c r="F45" i="10"/>
  <c r="F44" i="10"/>
  <c r="F43" i="10"/>
  <c r="F42" i="10"/>
  <c r="F41" i="10"/>
  <c r="F40" i="10"/>
  <c r="D45" i="10"/>
  <c r="D44" i="10"/>
  <c r="D43" i="10"/>
  <c r="D42" i="10"/>
  <c r="D41" i="10"/>
  <c r="D40" i="10"/>
  <c r="C45" i="10"/>
  <c r="C46" i="10" s="1"/>
  <c r="C44" i="10"/>
  <c r="C43" i="10"/>
  <c r="C42" i="10"/>
  <c r="C41" i="10"/>
  <c r="C40" i="10"/>
  <c r="E45" i="10"/>
  <c r="E44" i="10"/>
  <c r="E43" i="10"/>
  <c r="E42" i="10"/>
  <c r="E41" i="10"/>
  <c r="E40" i="10"/>
  <c r="B45" i="10"/>
  <c r="B44" i="10"/>
  <c r="B43" i="10"/>
  <c r="B42" i="10"/>
  <c r="B41" i="10"/>
  <c r="B40" i="10"/>
  <c r="G9" i="10"/>
  <c r="G8" i="10"/>
  <c r="G7" i="10"/>
  <c r="G6" i="10"/>
  <c r="G5" i="10"/>
  <c r="G4" i="10"/>
  <c r="F9" i="10"/>
  <c r="F8" i="10"/>
  <c r="F7" i="10"/>
  <c r="F6" i="10"/>
  <c r="F5" i="10"/>
  <c r="F4" i="10"/>
  <c r="D9" i="10"/>
  <c r="D8" i="10"/>
  <c r="D7" i="10"/>
  <c r="D6" i="10"/>
  <c r="D5" i="10"/>
  <c r="D4" i="10"/>
  <c r="C9" i="10"/>
  <c r="C8" i="10"/>
  <c r="C7" i="10"/>
  <c r="C6" i="10"/>
  <c r="C5" i="10"/>
  <c r="C4" i="10"/>
  <c r="E9" i="10"/>
  <c r="E8" i="10"/>
  <c r="E7" i="10"/>
  <c r="E16" i="10" s="1"/>
  <c r="E6" i="10"/>
  <c r="E5" i="10"/>
  <c r="E4" i="10"/>
  <c r="B9" i="10"/>
  <c r="B8" i="10"/>
  <c r="B7" i="10"/>
  <c r="B6" i="10"/>
  <c r="B5" i="10"/>
  <c r="B4" i="10"/>
  <c r="E29" i="11"/>
  <c r="P54" i="10"/>
  <c r="P51" i="10"/>
  <c r="P49" i="10"/>
  <c r="I37" i="11"/>
  <c r="I34" i="11"/>
  <c r="I35" i="11"/>
  <c r="I36" i="11"/>
  <c r="I31" i="11"/>
  <c r="P50" i="10"/>
  <c r="P52" i="10"/>
  <c r="H26" i="11"/>
  <c r="H25" i="11"/>
  <c r="H23" i="11"/>
  <c r="H28" i="11"/>
  <c r="H27" i="11"/>
  <c r="I32" i="11"/>
  <c r="H24" i="11"/>
  <c r="AQ29" i="11"/>
  <c r="U29" i="11"/>
  <c r="P53" i="10"/>
  <c r="P84" i="10"/>
  <c r="P88" i="10"/>
  <c r="P87" i="10"/>
  <c r="P85" i="10"/>
  <c r="P86" i="10"/>
  <c r="P89" i="10"/>
  <c r="AF29" i="11"/>
  <c r="J37" i="11"/>
  <c r="J31" i="11"/>
  <c r="J36" i="11"/>
  <c r="J35" i="11"/>
  <c r="I29" i="11"/>
  <c r="J22" i="11"/>
  <c r="J25" i="11"/>
  <c r="J27" i="11"/>
  <c r="F29" i="11"/>
  <c r="J34" i="11"/>
  <c r="J33" i="11"/>
  <c r="J28" i="11"/>
  <c r="J23" i="11"/>
  <c r="J24" i="11"/>
  <c r="J32" i="11"/>
  <c r="H44" i="10"/>
  <c r="H80" i="10"/>
  <c r="H8" i="10"/>
  <c r="B46" i="10"/>
  <c r="H40" i="10"/>
  <c r="H42" i="10"/>
  <c r="R41" i="10"/>
  <c r="G46" i="10"/>
  <c r="G55" i="10"/>
  <c r="N81" i="10"/>
  <c r="N90" i="10"/>
  <c r="N10" i="10"/>
  <c r="N14" i="10"/>
  <c r="R40" i="10"/>
  <c r="R4" i="10"/>
  <c r="R6" i="10"/>
  <c r="R5" i="10"/>
  <c r="R7" i="10"/>
  <c r="R44" i="10"/>
  <c r="O81" i="10"/>
  <c r="O90" i="10"/>
  <c r="M81" i="10"/>
  <c r="M90" i="10"/>
  <c r="R79" i="10"/>
  <c r="O46" i="10"/>
  <c r="O55" i="10"/>
  <c r="N46" i="10"/>
  <c r="N55" i="10"/>
  <c r="Q81" i="10"/>
  <c r="Q90" i="10"/>
  <c r="R75" i="10"/>
  <c r="R78" i="10"/>
  <c r="H77" i="10"/>
  <c r="H76" i="10"/>
  <c r="R77" i="10"/>
  <c r="R80" i="10"/>
  <c r="R76" i="10"/>
  <c r="L81" i="10"/>
  <c r="L90" i="10"/>
  <c r="R8" i="10"/>
  <c r="R9" i="10"/>
  <c r="R42" i="10"/>
  <c r="R45" i="10"/>
  <c r="L46" i="10"/>
  <c r="L55" i="10"/>
  <c r="M46" i="10"/>
  <c r="M55" i="10"/>
  <c r="Q46" i="10"/>
  <c r="Q55" i="10"/>
  <c r="O10" i="10"/>
  <c r="Q10" i="10"/>
  <c r="M10" i="10"/>
  <c r="M17" i="10"/>
  <c r="E10" i="10"/>
  <c r="L10" i="10"/>
  <c r="H29" i="11"/>
  <c r="J29" i="11"/>
  <c r="N18" i="10"/>
  <c r="N16" i="10"/>
  <c r="F89" i="10"/>
  <c r="F85" i="10"/>
  <c r="N85" i="10"/>
  <c r="O84" i="10"/>
  <c r="N89" i="10"/>
  <c r="N88" i="10"/>
  <c r="Q84" i="10"/>
  <c r="B51" i="10"/>
  <c r="N86" i="10"/>
  <c r="N53" i="10"/>
  <c r="N17" i="10"/>
  <c r="N15" i="10"/>
  <c r="L89" i="10"/>
  <c r="G53" i="10"/>
  <c r="N49" i="10"/>
  <c r="N84" i="10"/>
  <c r="B54" i="10"/>
  <c r="E19" i="10"/>
  <c r="E18" i="10"/>
  <c r="E13" i="10"/>
  <c r="E17" i="10"/>
  <c r="B49" i="10"/>
  <c r="N19" i="10"/>
  <c r="E15" i="10"/>
  <c r="N87" i="10"/>
  <c r="N13" i="10"/>
  <c r="G50" i="10"/>
  <c r="B53" i="10"/>
  <c r="L51" i="10"/>
  <c r="M84" i="10"/>
  <c r="Q49" i="10"/>
  <c r="Q88" i="10"/>
  <c r="L53" i="10"/>
  <c r="N51" i="10"/>
  <c r="N50" i="10"/>
  <c r="N52" i="10"/>
  <c r="Q52" i="10"/>
  <c r="Q54" i="10"/>
  <c r="M52" i="10"/>
  <c r="M86" i="10"/>
  <c r="M50" i="10"/>
  <c r="L49" i="10"/>
  <c r="L87" i="10"/>
  <c r="O50" i="10"/>
  <c r="O52" i="10"/>
  <c r="Q50" i="10"/>
  <c r="O86" i="10"/>
  <c r="L88" i="10"/>
  <c r="O51" i="10"/>
  <c r="L85" i="10"/>
  <c r="O88" i="10"/>
  <c r="M89" i="10"/>
  <c r="L84" i="10"/>
  <c r="L86" i="10"/>
  <c r="L52" i="10"/>
  <c r="M51" i="10"/>
  <c r="O53" i="10"/>
  <c r="M49" i="10"/>
  <c r="O87" i="10"/>
  <c r="O49" i="10"/>
  <c r="L54" i="10"/>
  <c r="M54" i="10"/>
  <c r="M85" i="10"/>
  <c r="M53" i="10"/>
  <c r="L50" i="10"/>
  <c r="Q89" i="10"/>
  <c r="Q85" i="10"/>
  <c r="O54" i="10"/>
  <c r="Q87" i="10"/>
  <c r="Q86" i="10"/>
  <c r="M88" i="10"/>
  <c r="N54" i="10"/>
  <c r="M87" i="10"/>
  <c r="Q53" i="10"/>
  <c r="O89" i="10"/>
  <c r="O85" i="10"/>
  <c r="Q51" i="10"/>
  <c r="R81" i="10"/>
  <c r="R90" i="10"/>
  <c r="L14" i="10"/>
  <c r="L19" i="10"/>
  <c r="L16" i="10"/>
  <c r="L13" i="10"/>
  <c r="L18" i="10"/>
  <c r="L15" i="10"/>
  <c r="R10" i="10"/>
  <c r="R17" i="10"/>
  <c r="Q16" i="10"/>
  <c r="Q19" i="10"/>
  <c r="Q13" i="10"/>
  <c r="Q15" i="10"/>
  <c r="Q17" i="10"/>
  <c r="Q14" i="10"/>
  <c r="M18" i="10"/>
  <c r="O14" i="10"/>
  <c r="O19" i="10"/>
  <c r="O16" i="10"/>
  <c r="O13" i="10"/>
  <c r="O18" i="10"/>
  <c r="O15" i="10"/>
  <c r="M14" i="10"/>
  <c r="M19" i="10"/>
  <c r="M16" i="10"/>
  <c r="M13" i="10"/>
  <c r="M15" i="10"/>
  <c r="L17" i="10"/>
  <c r="Q18" i="10"/>
  <c r="O17" i="10"/>
  <c r="R46" i="10"/>
  <c r="R54" i="10"/>
  <c r="R87" i="10"/>
  <c r="R88" i="10"/>
  <c r="R84" i="10"/>
  <c r="R55" i="10"/>
  <c r="R50" i="10"/>
  <c r="R53" i="10"/>
  <c r="R52" i="10"/>
  <c r="R49" i="10"/>
  <c r="R51" i="10"/>
  <c r="R89" i="10"/>
  <c r="R86" i="10"/>
  <c r="R85" i="10"/>
  <c r="R19" i="10"/>
  <c r="R16" i="10"/>
  <c r="R13" i="10"/>
  <c r="R15" i="10"/>
  <c r="R14" i="10"/>
  <c r="R18" i="10"/>
  <c r="A48" i="8"/>
  <c r="A9" i="8"/>
  <c r="S37" i="8"/>
  <c r="S117" i="8" s="1"/>
  <c r="AG36" i="8"/>
  <c r="M36" i="8"/>
  <c r="AA35" i="8"/>
  <c r="G35" i="8"/>
  <c r="G115" i="8" s="1"/>
  <c r="U34" i="8"/>
  <c r="AI33" i="8"/>
  <c r="AI113" i="8" s="1"/>
  <c r="O33" i="8"/>
  <c r="AC32" i="8"/>
  <c r="I32" i="8"/>
  <c r="W31" i="8"/>
  <c r="AK30" i="8"/>
  <c r="Q30" i="8"/>
  <c r="Q110" i="8" s="1"/>
  <c r="AE29" i="8"/>
  <c r="K29" i="8"/>
  <c r="Y28" i="8"/>
  <c r="E28" i="8"/>
  <c r="S27" i="8"/>
  <c r="AG26" i="8"/>
  <c r="AG106" i="8" s="1"/>
  <c r="M26" i="8"/>
  <c r="AA25" i="8"/>
  <c r="G25" i="8"/>
  <c r="U24" i="8"/>
  <c r="U104" i="8" s="1"/>
  <c r="AI23" i="8"/>
  <c r="O23" i="8"/>
  <c r="AC22" i="8"/>
  <c r="I22" i="8"/>
  <c r="I102" i="8" s="1"/>
  <c r="W21" i="8"/>
  <c r="AK20" i="8"/>
  <c r="Q20" i="8"/>
  <c r="AE19" i="8"/>
  <c r="K19" i="8"/>
  <c r="Y18" i="8"/>
  <c r="Y138" i="8" s="1"/>
  <c r="E18" i="8"/>
  <c r="S17" i="8"/>
  <c r="S137" i="8" s="1"/>
  <c r="AG16" i="8"/>
  <c r="M16" i="8"/>
  <c r="M96" i="8" s="1"/>
  <c r="AA15" i="8"/>
  <c r="G15" i="8"/>
  <c r="U14" i="8"/>
  <c r="AI13" i="8"/>
  <c r="O13" i="8"/>
  <c r="AC12" i="8"/>
  <c r="AC92" i="8" s="1"/>
  <c r="I12" i="8"/>
  <c r="W11" i="8"/>
  <c r="AK10" i="8"/>
  <c r="Q10" i="8"/>
  <c r="Q130" i="8" s="1"/>
  <c r="AE9" i="8"/>
  <c r="K9" i="8"/>
  <c r="K89" i="8" s="1"/>
  <c r="Y8" i="8"/>
  <c r="E8" i="8"/>
  <c r="S7" i="8"/>
  <c r="AG6" i="8"/>
  <c r="M6" i="8"/>
  <c r="AA5" i="8"/>
  <c r="AA125" i="8" s="1"/>
  <c r="G5" i="8"/>
  <c r="U4" i="8"/>
  <c r="AL37" i="8"/>
  <c r="R37" i="8"/>
  <c r="R117" i="8" s="1"/>
  <c r="AF36" i="8"/>
  <c r="L36" i="8"/>
  <c r="Z35" i="8"/>
  <c r="F35" i="8"/>
  <c r="F115" i="8" s="1"/>
  <c r="T34" i="8"/>
  <c r="AH33" i="8"/>
  <c r="AH113" i="8" s="1"/>
  <c r="N33" i="8"/>
  <c r="AB32" i="8"/>
  <c r="AB152" i="8" s="1"/>
  <c r="H32" i="8"/>
  <c r="V31" i="8"/>
  <c r="V111" i="8" s="1"/>
  <c r="AJ30" i="8"/>
  <c r="P30" i="8"/>
  <c r="AD29" i="8"/>
  <c r="J29" i="8"/>
  <c r="J109" i="8" s="1"/>
  <c r="X28" i="8"/>
  <c r="AL27" i="8"/>
  <c r="AL147" i="8" s="1"/>
  <c r="R27" i="8"/>
  <c r="AF26" i="8"/>
  <c r="L26" i="8"/>
  <c r="Z25" i="8"/>
  <c r="F25" i="8"/>
  <c r="T24" i="8"/>
  <c r="AH23" i="8"/>
  <c r="N23" i="8"/>
  <c r="AB22" i="8"/>
  <c r="H22" i="8"/>
  <c r="V21" i="8"/>
  <c r="AJ20" i="8"/>
  <c r="P20" i="8"/>
  <c r="AD19" i="8"/>
  <c r="J19" i="8"/>
  <c r="X18" i="8"/>
  <c r="AL17" i="8"/>
  <c r="R17" i="8"/>
  <c r="R137" i="8" s="1"/>
  <c r="AF16" i="8"/>
  <c r="L16" i="8"/>
  <c r="Z15" i="8"/>
  <c r="F15" i="8"/>
  <c r="F95" i="8" s="1"/>
  <c r="T14" i="8"/>
  <c r="AH13" i="8"/>
  <c r="N13" i="8"/>
  <c r="AB12" i="8"/>
  <c r="H12" i="8"/>
  <c r="V11" i="8"/>
  <c r="V131" i="8" s="1"/>
  <c r="AJ10" i="8"/>
  <c r="P10" i="8"/>
  <c r="P130" i="8" s="1"/>
  <c r="AD9" i="8"/>
  <c r="J9" i="8"/>
  <c r="J89" i="8" s="1"/>
  <c r="X8" i="8"/>
  <c r="AL7" i="8"/>
  <c r="AL87" i="8" s="1"/>
  <c r="R7" i="8"/>
  <c r="AF6" i="8"/>
  <c r="L6" i="8"/>
  <c r="Z5" i="8"/>
  <c r="F5" i="8"/>
  <c r="T4" i="8"/>
  <c r="AK37" i="8"/>
  <c r="Q37" i="8"/>
  <c r="Q117" i="8" s="1"/>
  <c r="AE36" i="8"/>
  <c r="K36" i="8"/>
  <c r="Y35" i="8"/>
  <c r="E35" i="8"/>
  <c r="S34" i="8"/>
  <c r="AG33" i="8"/>
  <c r="M33" i="8"/>
  <c r="AA32" i="8"/>
  <c r="AA152" i="8" s="1"/>
  <c r="G32" i="8"/>
  <c r="U31" i="8"/>
  <c r="U111" i="8" s="1"/>
  <c r="AI30" i="8"/>
  <c r="O30" i="8"/>
  <c r="AC29" i="8"/>
  <c r="I29" i="8"/>
  <c r="W28" i="8"/>
  <c r="AK27" i="8"/>
  <c r="Q27" i="8"/>
  <c r="AE26" i="8"/>
  <c r="K26" i="8"/>
  <c r="Y25" i="8"/>
  <c r="E25" i="8"/>
  <c r="S24" i="8"/>
  <c r="AG23" i="8"/>
  <c r="M23" i="8"/>
  <c r="AA22" i="8"/>
  <c r="G22" i="8"/>
  <c r="G142" i="8" s="1"/>
  <c r="U21" i="8"/>
  <c r="AI20" i="8"/>
  <c r="O20" i="8"/>
  <c r="AC19" i="8"/>
  <c r="AC99" i="8" s="1"/>
  <c r="I19" i="8"/>
  <c r="W18" i="8"/>
  <c r="W138" i="8" s="1"/>
  <c r="AK17" i="8"/>
  <c r="Q17" i="8"/>
  <c r="AE16" i="8"/>
  <c r="K16" i="8"/>
  <c r="Y15" i="8"/>
  <c r="E15" i="8"/>
  <c r="E95" i="8" s="1"/>
  <c r="S14" i="8"/>
  <c r="AG13" i="8"/>
  <c r="AG93" i="8" s="1"/>
  <c r="M13" i="8"/>
  <c r="AA12" i="8"/>
  <c r="G12" i="8"/>
  <c r="U11" i="8"/>
  <c r="AI10" i="8"/>
  <c r="O10" i="8"/>
  <c r="O130" i="8" s="1"/>
  <c r="AC9" i="8"/>
  <c r="I9" i="8"/>
  <c r="I89" i="8" s="1"/>
  <c r="W8" i="8"/>
  <c r="AK7" i="8"/>
  <c r="Q7" i="8"/>
  <c r="AE6" i="8"/>
  <c r="K6" i="8"/>
  <c r="Y5" i="8"/>
  <c r="E5" i="8"/>
  <c r="S4" i="8"/>
  <c r="AJ37" i="8"/>
  <c r="P37" i="8"/>
  <c r="AD36" i="8"/>
  <c r="J36" i="8"/>
  <c r="X35" i="8"/>
  <c r="AL34" i="8"/>
  <c r="AL154" i="8" s="1"/>
  <c r="R34" i="8"/>
  <c r="AF33" i="8"/>
  <c r="L33" i="8"/>
  <c r="Z32" i="8"/>
  <c r="Z152" i="8" s="1"/>
  <c r="F32" i="8"/>
  <c r="T31" i="8"/>
  <c r="AH30" i="8"/>
  <c r="N30" i="8"/>
  <c r="AB29" i="8"/>
  <c r="H29" i="8"/>
  <c r="H149" i="8" s="1"/>
  <c r="V28" i="8"/>
  <c r="AJ27" i="8"/>
  <c r="P27" i="8"/>
  <c r="P147" i="8" s="1"/>
  <c r="AD26" i="8"/>
  <c r="J26" i="8"/>
  <c r="J106" i="8" s="1"/>
  <c r="X25" i="8"/>
  <c r="AL24" i="8"/>
  <c r="R24" i="8"/>
  <c r="AF23" i="8"/>
  <c r="L23" i="8"/>
  <c r="Z22" i="8"/>
  <c r="F22" i="8"/>
  <c r="T21" i="8"/>
  <c r="T141" i="8" s="1"/>
  <c r="AH20" i="8"/>
  <c r="AH100" i="8" s="1"/>
  <c r="N20" i="8"/>
  <c r="AB19" i="8"/>
  <c r="AB139" i="8" s="1"/>
  <c r="H19" i="8"/>
  <c r="V18" i="8"/>
  <c r="AJ17" i="8"/>
  <c r="P17" i="8"/>
  <c r="P137" i="8" s="1"/>
  <c r="AD16" i="8"/>
  <c r="J16" i="8"/>
  <c r="X15" i="8"/>
  <c r="AL14" i="8"/>
  <c r="R14" i="8"/>
  <c r="AF13" i="8"/>
  <c r="AF93" i="8" s="1"/>
  <c r="L13" i="8"/>
  <c r="Z12" i="8"/>
  <c r="F12" i="8"/>
  <c r="T11" i="8"/>
  <c r="AH10" i="8"/>
  <c r="N10" i="8"/>
  <c r="AB9" i="8"/>
  <c r="H9" i="8"/>
  <c r="H129" i="8" s="1"/>
  <c r="V8" i="8"/>
  <c r="V88" i="8" s="1"/>
  <c r="AJ7" i="8"/>
  <c r="AJ87" i="8" s="1"/>
  <c r="P7" i="8"/>
  <c r="AD6" i="8"/>
  <c r="J6" i="8"/>
  <c r="X5" i="8"/>
  <c r="X85" i="8" s="1"/>
  <c r="AL4" i="8"/>
  <c r="R4" i="8"/>
  <c r="AI37" i="8"/>
  <c r="AI157" i="8" s="1"/>
  <c r="O37" i="8"/>
  <c r="O157" i="8" s="1"/>
  <c r="AC36" i="8"/>
  <c r="I36" i="8"/>
  <c r="W35" i="8"/>
  <c r="AK34" i="8"/>
  <c r="AK114" i="8" s="1"/>
  <c r="Q34" i="8"/>
  <c r="Q114" i="8" s="1"/>
  <c r="AE33" i="8"/>
  <c r="K33" i="8"/>
  <c r="Y32" i="8"/>
  <c r="E32" i="8"/>
  <c r="E112" i="8" s="1"/>
  <c r="S31" i="8"/>
  <c r="AG30" i="8"/>
  <c r="AG110" i="8" s="1"/>
  <c r="M30" i="8"/>
  <c r="AA29" i="8"/>
  <c r="G29" i="8"/>
  <c r="U28" i="8"/>
  <c r="U148" i="8" s="1"/>
  <c r="AI27" i="8"/>
  <c r="O27" i="8"/>
  <c r="AC26" i="8"/>
  <c r="I26" i="8"/>
  <c r="I106" i="8" s="1"/>
  <c r="W25" i="8"/>
  <c r="W145" i="8" s="1"/>
  <c r="AK24" i="8"/>
  <c r="AK144" i="8" s="1"/>
  <c r="Q24" i="8"/>
  <c r="AE23" i="8"/>
  <c r="K23" i="8"/>
  <c r="Y22" i="8"/>
  <c r="Y102" i="8" s="1"/>
  <c r="E22" i="8"/>
  <c r="S21" i="8"/>
  <c r="AG20" i="8"/>
  <c r="M20" i="8"/>
  <c r="AA19" i="8"/>
  <c r="G19" i="8"/>
  <c r="G139" i="8" s="1"/>
  <c r="U18" i="8"/>
  <c r="AI17" i="8"/>
  <c r="O17" i="8"/>
  <c r="AC16" i="8"/>
  <c r="I16" i="8"/>
  <c r="I96" i="8" s="1"/>
  <c r="W15" i="8"/>
  <c r="AK14" i="8"/>
  <c r="Q14" i="8"/>
  <c r="AE13" i="8"/>
  <c r="AE93" i="8" s="1"/>
  <c r="K13" i="8"/>
  <c r="Y12" i="8"/>
  <c r="E12" i="8"/>
  <c r="S11" i="8"/>
  <c r="AG10" i="8"/>
  <c r="AG90" i="8" s="1"/>
  <c r="M10" i="8"/>
  <c r="AA9" i="8"/>
  <c r="G9" i="8"/>
  <c r="U8" i="8"/>
  <c r="AI7" i="8"/>
  <c r="AI87" i="8" s="1"/>
  <c r="O7" i="8"/>
  <c r="AC6" i="8"/>
  <c r="I6" i="8"/>
  <c r="W5" i="8"/>
  <c r="AK4" i="8"/>
  <c r="Q4" i="8"/>
  <c r="AH37" i="8"/>
  <c r="N37" i="8"/>
  <c r="AB36" i="8"/>
  <c r="AB116" i="8" s="1"/>
  <c r="H36" i="8"/>
  <c r="V35" i="8"/>
  <c r="V115" i="8" s="1"/>
  <c r="AJ34" i="8"/>
  <c r="P34" i="8"/>
  <c r="AD33" i="8"/>
  <c r="J33" i="8"/>
  <c r="X32" i="8"/>
  <c r="AL31" i="8"/>
  <c r="R31" i="8"/>
  <c r="AF30" i="8"/>
  <c r="L30" i="8"/>
  <c r="Z29" i="8"/>
  <c r="F29" i="8"/>
  <c r="T28" i="8"/>
  <c r="AH27" i="8"/>
  <c r="N27" i="8"/>
  <c r="AB26" i="8"/>
  <c r="H26" i="8"/>
  <c r="V25" i="8"/>
  <c r="AJ24" i="8"/>
  <c r="P24" i="8"/>
  <c r="AD23" i="8"/>
  <c r="J23" i="8"/>
  <c r="J103" i="8" s="1"/>
  <c r="X22" i="8"/>
  <c r="AL21" i="8"/>
  <c r="AL141" i="8" s="1"/>
  <c r="R21" i="8"/>
  <c r="R101" i="8" s="1"/>
  <c r="AF20" i="8"/>
  <c r="L20" i="8"/>
  <c r="Z19" i="8"/>
  <c r="F19" i="8"/>
  <c r="F139" i="8" s="1"/>
  <c r="T18" i="8"/>
  <c r="AH17" i="8"/>
  <c r="AH97" i="8" s="1"/>
  <c r="N17" i="8"/>
  <c r="N97" i="8" s="1"/>
  <c r="AB16" i="8"/>
  <c r="H16" i="8"/>
  <c r="H136" i="8" s="1"/>
  <c r="V15" i="8"/>
  <c r="AJ14" i="8"/>
  <c r="P14" i="8"/>
  <c r="AD13" i="8"/>
  <c r="J13" i="8"/>
  <c r="X12" i="8"/>
  <c r="X92" i="8" s="1"/>
  <c r="AL11" i="8"/>
  <c r="AL131" i="8" s="1"/>
  <c r="R11" i="8"/>
  <c r="R131" i="8" s="1"/>
  <c r="AF10" i="8"/>
  <c r="L10" i="8"/>
  <c r="Z9" i="8"/>
  <c r="Z129" i="8" s="1"/>
  <c r="F9" i="8"/>
  <c r="T8" i="8"/>
  <c r="AH7" i="8"/>
  <c r="N7" i="8"/>
  <c r="N87" i="8" s="1"/>
  <c r="AB6" i="8"/>
  <c r="H6" i="8"/>
  <c r="V5" i="8"/>
  <c r="AJ4" i="8"/>
  <c r="P4" i="8"/>
  <c r="AG37" i="8"/>
  <c r="AG117" i="8" s="1"/>
  <c r="M37" i="8"/>
  <c r="M117" i="8" s="1"/>
  <c r="AA36" i="8"/>
  <c r="G36" i="8"/>
  <c r="U35" i="8"/>
  <c r="AI34" i="8"/>
  <c r="O34" i="8"/>
  <c r="O154" i="8" s="1"/>
  <c r="AC33" i="8"/>
  <c r="I33" i="8"/>
  <c r="W32" i="8"/>
  <c r="W152" i="8" s="1"/>
  <c r="AK31" i="8"/>
  <c r="Q31" i="8"/>
  <c r="Q111" i="8" s="1"/>
  <c r="AE30" i="8"/>
  <c r="K30" i="8"/>
  <c r="Y29" i="8"/>
  <c r="E29" i="8"/>
  <c r="S28" i="8"/>
  <c r="AG27" i="8"/>
  <c r="M27" i="8"/>
  <c r="AA26" i="8"/>
  <c r="G26" i="8"/>
  <c r="G146" i="8" s="1"/>
  <c r="U25" i="8"/>
  <c r="AI24" i="8"/>
  <c r="O24" i="8"/>
  <c r="AC23" i="8"/>
  <c r="I23" i="8"/>
  <c r="I143" i="8" s="1"/>
  <c r="W22" i="8"/>
  <c r="AK21" i="8"/>
  <c r="Q21" i="8"/>
  <c r="AE20" i="8"/>
  <c r="K20" i="8"/>
  <c r="K140" i="8" s="1"/>
  <c r="Y19" i="8"/>
  <c r="Y99" i="8" s="1"/>
  <c r="E19" i="8"/>
  <c r="S18" i="8"/>
  <c r="AG17" i="8"/>
  <c r="M17" i="8"/>
  <c r="M137" i="8" s="1"/>
  <c r="AA16" i="8"/>
  <c r="AA96" i="8" s="1"/>
  <c r="G16" i="8"/>
  <c r="U15" i="8"/>
  <c r="AI14" i="8"/>
  <c r="O14" i="8"/>
  <c r="AC13" i="8"/>
  <c r="I13" i="8"/>
  <c r="W12" i="8"/>
  <c r="AK11" i="8"/>
  <c r="AK131" i="8" s="1"/>
  <c r="Q11" i="8"/>
  <c r="Q131" i="8" s="1"/>
  <c r="AE10" i="8"/>
  <c r="AE90" i="8" s="1"/>
  <c r="K10" i="8"/>
  <c r="K130" i="8" s="1"/>
  <c r="Y9" i="8"/>
  <c r="S8" i="8"/>
  <c r="AG7" i="8"/>
  <c r="M7" i="8"/>
  <c r="AA6" i="8"/>
  <c r="G6" i="8"/>
  <c r="U5" i="8"/>
  <c r="U85" i="8" s="1"/>
  <c r="AI4" i="8"/>
  <c r="AI124" i="8" s="1"/>
  <c r="O4" i="8"/>
  <c r="AF37" i="8"/>
  <c r="L37" i="8"/>
  <c r="Z36" i="8"/>
  <c r="F36" i="8"/>
  <c r="T35" i="8"/>
  <c r="T155" i="8" s="1"/>
  <c r="AH34" i="8"/>
  <c r="N34" i="8"/>
  <c r="N114" i="8" s="1"/>
  <c r="AB33" i="8"/>
  <c r="AB113" i="8" s="1"/>
  <c r="H33" i="8"/>
  <c r="V32" i="8"/>
  <c r="AJ31" i="8"/>
  <c r="P31" i="8"/>
  <c r="AD30" i="8"/>
  <c r="J30" i="8"/>
  <c r="X29" i="8"/>
  <c r="AL28" i="8"/>
  <c r="R28" i="8"/>
  <c r="AF27" i="8"/>
  <c r="L27" i="8"/>
  <c r="L107" i="8" s="1"/>
  <c r="Z26" i="8"/>
  <c r="F26" i="8"/>
  <c r="F146" i="8" s="1"/>
  <c r="T25" i="8"/>
  <c r="T145" i="8" s="1"/>
  <c r="AH24" i="8"/>
  <c r="N24" i="8"/>
  <c r="AB23" i="8"/>
  <c r="AB103" i="8" s="1"/>
  <c r="H23" i="8"/>
  <c r="V22" i="8"/>
  <c r="V102" i="8" s="1"/>
  <c r="AJ21" i="8"/>
  <c r="P21" i="8"/>
  <c r="P101" i="8" s="1"/>
  <c r="AD20" i="8"/>
  <c r="J20" i="8"/>
  <c r="X19" i="8"/>
  <c r="AL18" i="8"/>
  <c r="R18" i="8"/>
  <c r="AF17" i="8"/>
  <c r="AF137" i="8" s="1"/>
  <c r="L17" i="8"/>
  <c r="Z16" i="8"/>
  <c r="Z136" i="8" s="1"/>
  <c r="F16" i="8"/>
  <c r="T15" i="8"/>
  <c r="T95" i="8" s="1"/>
  <c r="AH14" i="8"/>
  <c r="N14" i="8"/>
  <c r="AB13" i="8"/>
  <c r="H13" i="8"/>
  <c r="V12" i="8"/>
  <c r="AJ11" i="8"/>
  <c r="P11" i="8"/>
  <c r="AD10" i="8"/>
  <c r="J10" i="8"/>
  <c r="X9" i="8"/>
  <c r="X89" i="8" s="1"/>
  <c r="AL8" i="8"/>
  <c r="R8" i="8"/>
  <c r="AF7" i="8"/>
  <c r="L7" i="8"/>
  <c r="Z6" i="8"/>
  <c r="F6" i="8"/>
  <c r="F86" i="8" s="1"/>
  <c r="T5" i="8"/>
  <c r="AH4" i="8"/>
  <c r="N4" i="8"/>
  <c r="AE37" i="8"/>
  <c r="K37" i="8"/>
  <c r="Y36" i="8"/>
  <c r="E36" i="8"/>
  <c r="S35" i="8"/>
  <c r="AG34" i="8"/>
  <c r="M34" i="8"/>
  <c r="M114" i="8" s="1"/>
  <c r="AA33" i="8"/>
  <c r="G33" i="8"/>
  <c r="G153" i="8" s="1"/>
  <c r="U32" i="8"/>
  <c r="U152" i="8" s="1"/>
  <c r="AI31" i="8"/>
  <c r="O31" i="8"/>
  <c r="O111" i="8" s="1"/>
  <c r="AC30" i="8"/>
  <c r="I30" i="8"/>
  <c r="W29" i="8"/>
  <c r="AK28" i="8"/>
  <c r="Q28" i="8"/>
  <c r="AE27" i="8"/>
  <c r="K27" i="8"/>
  <c r="Y26" i="8"/>
  <c r="Y106" i="8" s="1"/>
  <c r="E26" i="8"/>
  <c r="S25" i="8"/>
  <c r="AG24" i="8"/>
  <c r="M24" i="8"/>
  <c r="AA23" i="8"/>
  <c r="AA103" i="8" s="1"/>
  <c r="G23" i="8"/>
  <c r="U22" i="8"/>
  <c r="AI21" i="8"/>
  <c r="O21" i="8"/>
  <c r="O141" i="8" s="1"/>
  <c r="AC20" i="8"/>
  <c r="I20" i="8"/>
  <c r="I140" i="8" s="1"/>
  <c r="W19" i="8"/>
  <c r="AK18" i="8"/>
  <c r="Q18" i="8"/>
  <c r="Q98" i="8" s="1"/>
  <c r="AE17" i="8"/>
  <c r="K17" i="8"/>
  <c r="Y16" i="8"/>
  <c r="E16" i="8"/>
  <c r="S15" i="8"/>
  <c r="S95" i="8" s="1"/>
  <c r="AG14" i="8"/>
  <c r="M14" i="8"/>
  <c r="AA13" i="8"/>
  <c r="G13" i="8"/>
  <c r="G93" i="8" s="1"/>
  <c r="U12" i="8"/>
  <c r="AI11" i="8"/>
  <c r="O11" i="8"/>
  <c r="AC10" i="8"/>
  <c r="I10" i="8"/>
  <c r="W9" i="8"/>
  <c r="W129" i="8" s="1"/>
  <c r="AK8" i="8"/>
  <c r="Q8" i="8"/>
  <c r="AE7" i="8"/>
  <c r="K7" i="8"/>
  <c r="Y6" i="8"/>
  <c r="E6" i="8"/>
  <c r="S5" i="8"/>
  <c r="AG4" i="8"/>
  <c r="M4" i="8"/>
  <c r="AD37" i="8"/>
  <c r="AD117" i="8" s="1"/>
  <c r="J37" i="8"/>
  <c r="J117" i="8" s="1"/>
  <c r="X36" i="8"/>
  <c r="X156" i="8" s="1"/>
  <c r="AL35" i="8"/>
  <c r="R35" i="8"/>
  <c r="AF34" i="8"/>
  <c r="L34" i="8"/>
  <c r="L114" i="8" s="1"/>
  <c r="Z33" i="8"/>
  <c r="F33" i="8"/>
  <c r="T32" i="8"/>
  <c r="AH31" i="8"/>
  <c r="AH111" i="8" s="1"/>
  <c r="N31" i="8"/>
  <c r="N111" i="8" s="1"/>
  <c r="AB30" i="8"/>
  <c r="H30" i="8"/>
  <c r="V29" i="8"/>
  <c r="AJ28" i="8"/>
  <c r="P28" i="8"/>
  <c r="AD27" i="8"/>
  <c r="J27" i="8"/>
  <c r="J107" i="8" s="1"/>
  <c r="X26" i="8"/>
  <c r="AL25" i="8"/>
  <c r="R25" i="8"/>
  <c r="AF24" i="8"/>
  <c r="AF104" i="8" s="1"/>
  <c r="L24" i="8"/>
  <c r="Z23" i="8"/>
  <c r="F23" i="8"/>
  <c r="T22" i="8"/>
  <c r="AH21" i="8"/>
  <c r="N21" i="8"/>
  <c r="AB20" i="8"/>
  <c r="AB100" i="8" s="1"/>
  <c r="H20" i="8"/>
  <c r="V19" i="8"/>
  <c r="AJ18" i="8"/>
  <c r="P18" i="8"/>
  <c r="AD17" i="8"/>
  <c r="J17" i="8"/>
  <c r="X16" i="8"/>
  <c r="AL15" i="8"/>
  <c r="R15" i="8"/>
  <c r="AF14" i="8"/>
  <c r="L14" i="8"/>
  <c r="L134" i="8" s="1"/>
  <c r="Z13" i="8"/>
  <c r="F13" i="8"/>
  <c r="F93" i="8" s="1"/>
  <c r="T12" i="8"/>
  <c r="T92" i="8" s="1"/>
  <c r="AH11" i="8"/>
  <c r="N11" i="8"/>
  <c r="AB10" i="8"/>
  <c r="H10" i="8"/>
  <c r="V9" i="8"/>
  <c r="V89" i="8" s="1"/>
  <c r="AJ8" i="8"/>
  <c r="AJ88" i="8" s="1"/>
  <c r="P8" i="8"/>
  <c r="P88" i="8" s="1"/>
  <c r="AD7" i="8"/>
  <c r="AD87" i="8" s="1"/>
  <c r="J7" i="8"/>
  <c r="X6" i="8"/>
  <c r="AL5" i="8"/>
  <c r="R5" i="8"/>
  <c r="AF4" i="8"/>
  <c r="L4" i="8"/>
  <c r="AC37" i="8"/>
  <c r="I37" i="8"/>
  <c r="I117" i="8" s="1"/>
  <c r="W36" i="8"/>
  <c r="W156" i="8" s="1"/>
  <c r="AK35" i="8"/>
  <c r="Q35" i="8"/>
  <c r="AE34" i="8"/>
  <c r="AE114" i="8" s="1"/>
  <c r="K34" i="8"/>
  <c r="Y33" i="8"/>
  <c r="E33" i="8"/>
  <c r="S32" i="8"/>
  <c r="AG31" i="8"/>
  <c r="AG111" i="8" s="1"/>
  <c r="M31" i="8"/>
  <c r="AA30" i="8"/>
  <c r="G30" i="8"/>
  <c r="U29" i="8"/>
  <c r="AI28" i="8"/>
  <c r="O28" i="8"/>
  <c r="AC27" i="8"/>
  <c r="I27" i="8"/>
  <c r="W26" i="8"/>
  <c r="AK25" i="8"/>
  <c r="Q25" i="8"/>
  <c r="AE24" i="8"/>
  <c r="K24" i="8"/>
  <c r="Y23" i="8"/>
  <c r="E23" i="8"/>
  <c r="S22" i="8"/>
  <c r="AG21" i="8"/>
  <c r="M21" i="8"/>
  <c r="AA20" i="8"/>
  <c r="AA100" i="8" s="1"/>
  <c r="G20" i="8"/>
  <c r="U19" i="8"/>
  <c r="U139" i="8" s="1"/>
  <c r="AI18" i="8"/>
  <c r="O18" i="8"/>
  <c r="AC17" i="8"/>
  <c r="AC137" i="8" s="1"/>
  <c r="I17" i="8"/>
  <c r="W16" i="8"/>
  <c r="AK15" i="8"/>
  <c r="Q15" i="8"/>
  <c r="AE14" i="8"/>
  <c r="K14" i="8"/>
  <c r="K94" i="8" s="1"/>
  <c r="Y13" i="8"/>
  <c r="E13" i="8"/>
  <c r="S12" i="8"/>
  <c r="S92" i="8" s="1"/>
  <c r="AG11" i="8"/>
  <c r="M11" i="8"/>
  <c r="AA10" i="8"/>
  <c r="G10" i="8"/>
  <c r="U9" i="8"/>
  <c r="AI8" i="8"/>
  <c r="O8" i="8"/>
  <c r="AC7" i="8"/>
  <c r="I7" i="8"/>
  <c r="W6" i="8"/>
  <c r="W126" i="8" s="1"/>
  <c r="AK5" i="8"/>
  <c r="AK85" i="8" s="1"/>
  <c r="Q5" i="8"/>
  <c r="AE4" i="8"/>
  <c r="K4" i="8"/>
  <c r="AB37" i="8"/>
  <c r="H37" i="8"/>
  <c r="V36" i="8"/>
  <c r="AJ35" i="8"/>
  <c r="P35" i="8"/>
  <c r="AD34" i="8"/>
  <c r="AD154" i="8" s="1"/>
  <c r="J34" i="8"/>
  <c r="X33" i="8"/>
  <c r="AL32" i="8"/>
  <c r="R32" i="8"/>
  <c r="R112" i="8" s="1"/>
  <c r="AF31" i="8"/>
  <c r="L31" i="8"/>
  <c r="L111" i="8" s="1"/>
  <c r="Z30" i="8"/>
  <c r="F30" i="8"/>
  <c r="T29" i="8"/>
  <c r="T149" i="8" s="1"/>
  <c r="AH28" i="8"/>
  <c r="AH148" i="8" s="1"/>
  <c r="N28" i="8"/>
  <c r="N108" i="8" s="1"/>
  <c r="AB27" i="8"/>
  <c r="H27" i="8"/>
  <c r="V26" i="8"/>
  <c r="AJ25" i="8"/>
  <c r="P25" i="8"/>
  <c r="AD24" i="8"/>
  <c r="AD104" i="8" s="1"/>
  <c r="J24" i="8"/>
  <c r="X23" i="8"/>
  <c r="AL22" i="8"/>
  <c r="R22" i="8"/>
  <c r="AF21" i="8"/>
  <c r="L21" i="8"/>
  <c r="Z20" i="8"/>
  <c r="F20" i="8"/>
  <c r="T19" i="8"/>
  <c r="AH18" i="8"/>
  <c r="N18" i="8"/>
  <c r="AB17" i="8"/>
  <c r="AB97" i="8" s="1"/>
  <c r="H17" i="8"/>
  <c r="V16" i="8"/>
  <c r="V96" i="8" s="1"/>
  <c r="AJ15" i="8"/>
  <c r="AJ95" i="8" s="1"/>
  <c r="P15" i="8"/>
  <c r="AD14" i="8"/>
  <c r="J14" i="8"/>
  <c r="X13" i="8"/>
  <c r="AL12" i="8"/>
  <c r="R12" i="8"/>
  <c r="AF11" i="8"/>
  <c r="AF91" i="8" s="1"/>
  <c r="L11" i="8"/>
  <c r="Z10" i="8"/>
  <c r="F10" i="8"/>
  <c r="T9" i="8"/>
  <c r="AH8" i="8"/>
  <c r="N8" i="8"/>
  <c r="AB7" i="8"/>
  <c r="H7" i="8"/>
  <c r="V6" i="8"/>
  <c r="AJ5" i="8"/>
  <c r="P5" i="8"/>
  <c r="P125" i="8" s="1"/>
  <c r="AD4" i="8"/>
  <c r="J4" i="8"/>
  <c r="AA37" i="8"/>
  <c r="AA117" i="8" s="1"/>
  <c r="G37" i="8"/>
  <c r="U36" i="8"/>
  <c r="AI35" i="8"/>
  <c r="O35" i="8"/>
  <c r="O115" i="8" s="1"/>
  <c r="AC34" i="8"/>
  <c r="I34" i="8"/>
  <c r="W33" i="8"/>
  <c r="AK32" i="8"/>
  <c r="AK112" i="8" s="1"/>
  <c r="Q32" i="8"/>
  <c r="AE31" i="8"/>
  <c r="K31" i="8"/>
  <c r="Y30" i="8"/>
  <c r="E30" i="8"/>
  <c r="S29" i="8"/>
  <c r="AG28" i="8"/>
  <c r="M28" i="8"/>
  <c r="M148" i="8" s="1"/>
  <c r="AA27" i="8"/>
  <c r="G27" i="8"/>
  <c r="U26" i="8"/>
  <c r="AI25" i="8"/>
  <c r="O25" i="8"/>
  <c r="O105" i="8" s="1"/>
  <c r="AC24" i="8"/>
  <c r="I24" i="8"/>
  <c r="W23" i="8"/>
  <c r="W143" i="8" s="1"/>
  <c r="AK22" i="8"/>
  <c r="Q22" i="8"/>
  <c r="AE21" i="8"/>
  <c r="AE101" i="8" s="1"/>
  <c r="K21" i="8"/>
  <c r="Y20" i="8"/>
  <c r="E20" i="8"/>
  <c r="S19" i="8"/>
  <c r="AG18" i="8"/>
  <c r="M18" i="8"/>
  <c r="AA17" i="8"/>
  <c r="G17" i="8"/>
  <c r="G97" i="8" s="1"/>
  <c r="U16" i="8"/>
  <c r="AI15" i="8"/>
  <c r="O15" i="8"/>
  <c r="AC14" i="8"/>
  <c r="I14" i="8"/>
  <c r="W13" i="8"/>
  <c r="AK12" i="8"/>
  <c r="Q12" i="8"/>
  <c r="AE11" i="8"/>
  <c r="K11" i="8"/>
  <c r="K131" i="8" s="1"/>
  <c r="Y10" i="8"/>
  <c r="Y90" i="8" s="1"/>
  <c r="E10" i="8"/>
  <c r="S9" i="8"/>
  <c r="S89" i="8" s="1"/>
  <c r="AG8" i="8"/>
  <c r="M8" i="8"/>
  <c r="AA7" i="8"/>
  <c r="G7" i="8"/>
  <c r="U6" i="8"/>
  <c r="U126" i="8" s="1"/>
  <c r="AI5" i="8"/>
  <c r="O5" i="8"/>
  <c r="AC4" i="8"/>
  <c r="I4" i="8"/>
  <c r="I124" i="8" s="1"/>
  <c r="Z37" i="8"/>
  <c r="Z157" i="8" s="1"/>
  <c r="F37" i="8"/>
  <c r="T36" i="8"/>
  <c r="AH35" i="8"/>
  <c r="N35" i="8"/>
  <c r="AB34" i="8"/>
  <c r="H34" i="8"/>
  <c r="V33" i="8"/>
  <c r="AJ32" i="8"/>
  <c r="AJ112" i="8" s="1"/>
  <c r="P32" i="8"/>
  <c r="AD31" i="8"/>
  <c r="AD151" i="8" s="1"/>
  <c r="J31" i="8"/>
  <c r="X30" i="8"/>
  <c r="AL29" i="8"/>
  <c r="R29" i="8"/>
  <c r="AF28" i="8"/>
  <c r="L28" i="8"/>
  <c r="Z27" i="8"/>
  <c r="F27" i="8"/>
  <c r="T26" i="8"/>
  <c r="AH25" i="8"/>
  <c r="N25" i="8"/>
  <c r="AB24" i="8"/>
  <c r="H24" i="8"/>
  <c r="V23" i="8"/>
  <c r="AJ22" i="8"/>
  <c r="P22" i="8"/>
  <c r="P142" i="8" s="1"/>
  <c r="AD21" i="8"/>
  <c r="J21" i="8"/>
  <c r="X20" i="8"/>
  <c r="AL19" i="8"/>
  <c r="AL139" i="8" s="1"/>
  <c r="R19" i="8"/>
  <c r="AF18" i="8"/>
  <c r="L18" i="8"/>
  <c r="Z17" i="8"/>
  <c r="F17" i="8"/>
  <c r="T16" i="8"/>
  <c r="AH15" i="8"/>
  <c r="N15" i="8"/>
  <c r="N95" i="8" s="1"/>
  <c r="AB14" i="8"/>
  <c r="H14" i="8"/>
  <c r="V13" i="8"/>
  <c r="AJ12" i="8"/>
  <c r="P12" i="8"/>
  <c r="AD11" i="8"/>
  <c r="J11" i="8"/>
  <c r="X10" i="8"/>
  <c r="AL9" i="8"/>
  <c r="R9" i="8"/>
  <c r="AF8" i="8"/>
  <c r="AF128" i="8" s="1"/>
  <c r="L8" i="8"/>
  <c r="Z7" i="8"/>
  <c r="F7" i="8"/>
  <c r="F127" i="8" s="1"/>
  <c r="T6" i="8"/>
  <c r="AH5" i="8"/>
  <c r="N5" i="8"/>
  <c r="AB4" i="8"/>
  <c r="H4" i="8"/>
  <c r="Y37" i="8"/>
  <c r="E37" i="8"/>
  <c r="E157" i="8" s="1"/>
  <c r="S36" i="8"/>
  <c r="S116" i="8" s="1"/>
  <c r="AG35" i="8"/>
  <c r="M35" i="8"/>
  <c r="AA34" i="8"/>
  <c r="G34" i="8"/>
  <c r="U33" i="8"/>
  <c r="AI32" i="8"/>
  <c r="AI112" i="8" s="1"/>
  <c r="O32" i="8"/>
  <c r="AC31" i="8"/>
  <c r="I31" i="8"/>
  <c r="W30" i="8"/>
  <c r="AK29" i="8"/>
  <c r="Q29" i="8"/>
  <c r="AE28" i="8"/>
  <c r="AE148" i="8" s="1"/>
  <c r="K28" i="8"/>
  <c r="Y27" i="8"/>
  <c r="E27" i="8"/>
  <c r="E107" i="8" s="1"/>
  <c r="S26" i="8"/>
  <c r="S106" i="8" s="1"/>
  <c r="AG25" i="8"/>
  <c r="M25" i="8"/>
  <c r="M145" i="8" s="1"/>
  <c r="AA24" i="8"/>
  <c r="G24" i="8"/>
  <c r="G104" i="8" s="1"/>
  <c r="U23" i="8"/>
  <c r="AI22" i="8"/>
  <c r="O22" i="8"/>
  <c r="AC21" i="8"/>
  <c r="I21" i="8"/>
  <c r="W20" i="8"/>
  <c r="W140" i="8" s="1"/>
  <c r="AK19" i="8"/>
  <c r="Q19" i="8"/>
  <c r="Q99" i="8" s="1"/>
  <c r="AE18" i="8"/>
  <c r="AE98" i="8" s="1"/>
  <c r="K18" i="8"/>
  <c r="Y17" i="8"/>
  <c r="E17" i="8"/>
  <c r="S16" i="8"/>
  <c r="AG15" i="8"/>
  <c r="M15" i="8"/>
  <c r="M135" i="8" s="1"/>
  <c r="AA14" i="8"/>
  <c r="G14" i="8"/>
  <c r="U13" i="8"/>
  <c r="AI12" i="8"/>
  <c r="AI132" i="8" s="1"/>
  <c r="O12" i="8"/>
  <c r="AC11" i="8"/>
  <c r="I11" i="8"/>
  <c r="W10" i="8"/>
  <c r="AK9" i="8"/>
  <c r="Q9" i="8"/>
  <c r="AE8" i="8"/>
  <c r="K8" i="8"/>
  <c r="Y7" i="8"/>
  <c r="Y87" i="8" s="1"/>
  <c r="E7" i="8"/>
  <c r="S6" i="8"/>
  <c r="AG5" i="8"/>
  <c r="M5" i="8"/>
  <c r="AA4" i="8"/>
  <c r="G4" i="8"/>
  <c r="X37" i="8"/>
  <c r="X157" i="8" s="1"/>
  <c r="AL36" i="8"/>
  <c r="R36" i="8"/>
  <c r="R116" i="8" s="1"/>
  <c r="AF35" i="8"/>
  <c r="L35" i="8"/>
  <c r="Z34" i="8"/>
  <c r="F34" i="8"/>
  <c r="T33" i="8"/>
  <c r="AH32" i="8"/>
  <c r="N32" i="8"/>
  <c r="AB31" i="8"/>
  <c r="AB111" i="8" s="1"/>
  <c r="H31" i="8"/>
  <c r="V30" i="8"/>
  <c r="V150" i="8" s="1"/>
  <c r="AJ29" i="8"/>
  <c r="P29" i="8"/>
  <c r="AD28" i="8"/>
  <c r="J28" i="8"/>
  <c r="J108" i="8" s="1"/>
  <c r="X27" i="8"/>
  <c r="AL26" i="8"/>
  <c r="AL106" i="8" s="1"/>
  <c r="R26" i="8"/>
  <c r="AF25" i="8"/>
  <c r="AF105" i="8" s="1"/>
  <c r="L25" i="8"/>
  <c r="L105" i="8" s="1"/>
  <c r="Z24" i="8"/>
  <c r="Z104" i="8" s="1"/>
  <c r="F24" i="8"/>
  <c r="T23" i="8"/>
  <c r="T103" i="8" s="1"/>
  <c r="AH22" i="8"/>
  <c r="N22" i="8"/>
  <c r="AB21" i="8"/>
  <c r="H21" i="8"/>
  <c r="V20" i="8"/>
  <c r="AJ19" i="8"/>
  <c r="P19" i="8"/>
  <c r="AD18" i="8"/>
  <c r="J18" i="8"/>
  <c r="X17" i="8"/>
  <c r="AL16" i="8"/>
  <c r="R16" i="8"/>
  <c r="AF15" i="8"/>
  <c r="L15" i="8"/>
  <c r="Z14" i="8"/>
  <c r="F14" i="8"/>
  <c r="T13" i="8"/>
  <c r="AH12" i="8"/>
  <c r="AH132" i="8" s="1"/>
  <c r="N12" i="8"/>
  <c r="AB11" i="8"/>
  <c r="AB131" i="8" s="1"/>
  <c r="H11" i="8"/>
  <c r="V10" i="8"/>
  <c r="AJ9" i="8"/>
  <c r="P9" i="8"/>
  <c r="AD8" i="8"/>
  <c r="J8" i="8"/>
  <c r="J128" i="8" s="1"/>
  <c r="X7" i="8"/>
  <c r="AL6" i="8"/>
  <c r="R6" i="8"/>
  <c r="R86" i="8" s="1"/>
  <c r="AF5" i="8"/>
  <c r="AF85" i="8" s="1"/>
  <c r="L5" i="8"/>
  <c r="Z4" i="8"/>
  <c r="F4" i="8"/>
  <c r="W37" i="8"/>
  <c r="AK36" i="8"/>
  <c r="AK116" i="8" s="1"/>
  <c r="Q36" i="8"/>
  <c r="Q156" i="8" s="1"/>
  <c r="AE35" i="8"/>
  <c r="K35" i="8"/>
  <c r="K115" i="8" s="1"/>
  <c r="Y34" i="8"/>
  <c r="Y154" i="8" s="1"/>
  <c r="E34" i="8"/>
  <c r="E154" i="8"/>
  <c r="S33" i="8"/>
  <c r="AG32" i="8"/>
  <c r="M32" i="8"/>
  <c r="AA31" i="8"/>
  <c r="AA111" i="8" s="1"/>
  <c r="G31" i="8"/>
  <c r="U30" i="8"/>
  <c r="AI29" i="8"/>
  <c r="AI109" i="8" s="1"/>
  <c r="O29" i="8"/>
  <c r="O149" i="8" s="1"/>
  <c r="AC28" i="8"/>
  <c r="I28" i="8"/>
  <c r="W27" i="8"/>
  <c r="AK26" i="8"/>
  <c r="Q26" i="8"/>
  <c r="AE25" i="8"/>
  <c r="K25" i="8"/>
  <c r="Y24" i="8"/>
  <c r="E24" i="8"/>
  <c r="S23" i="8"/>
  <c r="AG22" i="8"/>
  <c r="M22" i="8"/>
  <c r="AA21" i="8"/>
  <c r="G21" i="8"/>
  <c r="U20" i="8"/>
  <c r="AI19" i="8"/>
  <c r="O19" i="8"/>
  <c r="O99" i="8" s="1"/>
  <c r="AC18" i="8"/>
  <c r="I18" i="8"/>
  <c r="W17" i="8"/>
  <c r="AK16" i="8"/>
  <c r="AK136" i="8" s="1"/>
  <c r="Q16" i="8"/>
  <c r="Q96" i="8" s="1"/>
  <c r="AE15" i="8"/>
  <c r="K15" i="8"/>
  <c r="Y14" i="8"/>
  <c r="Y94" i="8" s="1"/>
  <c r="E14" i="8"/>
  <c r="S13" i="8"/>
  <c r="S93" i="8" s="1"/>
  <c r="AG12" i="8"/>
  <c r="AG92" i="8" s="1"/>
  <c r="M12" i="8"/>
  <c r="M132" i="8" s="1"/>
  <c r="AA11" i="8"/>
  <c r="AA131" i="8" s="1"/>
  <c r="G11" i="8"/>
  <c r="U10" i="8"/>
  <c r="U90" i="8" s="1"/>
  <c r="AI9" i="8"/>
  <c r="O9" i="8"/>
  <c r="AC8" i="8"/>
  <c r="I8" i="8"/>
  <c r="I128" i="8" s="1"/>
  <c r="W7" i="8"/>
  <c r="AK6" i="8"/>
  <c r="Q6" i="8"/>
  <c r="Q86" i="8" s="1"/>
  <c r="AE5" i="8"/>
  <c r="K5" i="8"/>
  <c r="Y4" i="8"/>
  <c r="V37" i="8"/>
  <c r="AJ36" i="8"/>
  <c r="P36" i="8"/>
  <c r="P116" i="8" s="1"/>
  <c r="AD35" i="8"/>
  <c r="J35" i="8"/>
  <c r="J115" i="8" s="1"/>
  <c r="X34" i="8"/>
  <c r="AL33" i="8"/>
  <c r="AL113" i="8" s="1"/>
  <c r="R33" i="8"/>
  <c r="R153" i="8" s="1"/>
  <c r="AF32" i="8"/>
  <c r="L32" i="8"/>
  <c r="Z31" i="8"/>
  <c r="F31" i="8"/>
  <c r="T30" i="8"/>
  <c r="AH29" i="8"/>
  <c r="N29" i="8"/>
  <c r="N149" i="8" s="1"/>
  <c r="AB28" i="8"/>
  <c r="H28" i="8"/>
  <c r="V27" i="8"/>
  <c r="AJ26" i="8"/>
  <c r="P26" i="8"/>
  <c r="AD25" i="8"/>
  <c r="J25" i="8"/>
  <c r="X24" i="8"/>
  <c r="AL23" i="8"/>
  <c r="R23" i="8"/>
  <c r="R103" i="8" s="1"/>
  <c r="AF22" i="8"/>
  <c r="L22" i="8"/>
  <c r="L102" i="8" s="1"/>
  <c r="Z21" i="8"/>
  <c r="Z141" i="8" s="1"/>
  <c r="F21" i="8"/>
  <c r="T20" i="8"/>
  <c r="AH19" i="8"/>
  <c r="N19" i="8"/>
  <c r="AB18" i="8"/>
  <c r="H18" i="8"/>
  <c r="V17" i="8"/>
  <c r="V97" i="8" s="1"/>
  <c r="AJ16" i="8"/>
  <c r="AJ96" i="8" s="1"/>
  <c r="P16" i="8"/>
  <c r="P136" i="8" s="1"/>
  <c r="AD15" i="8"/>
  <c r="J15" i="8"/>
  <c r="J95" i="8" s="1"/>
  <c r="X14" i="8"/>
  <c r="AL13" i="8"/>
  <c r="R13" i="8"/>
  <c r="AF12" i="8"/>
  <c r="L12" i="8"/>
  <c r="Z11" i="8"/>
  <c r="F11" i="8"/>
  <c r="T10" i="8"/>
  <c r="AH9" i="8"/>
  <c r="AH129" i="8" s="1"/>
  <c r="N9" i="8"/>
  <c r="N89" i="8" s="1"/>
  <c r="AB8" i="8"/>
  <c r="H8" i="8"/>
  <c r="V7" i="8"/>
  <c r="AJ6" i="8"/>
  <c r="P6" i="8"/>
  <c r="AD5" i="8"/>
  <c r="J5" i="8"/>
  <c r="X4" i="8"/>
  <c r="U37" i="8"/>
  <c r="U157" i="8" s="1"/>
  <c r="AI36" i="8"/>
  <c r="O36" i="8"/>
  <c r="AC35" i="8"/>
  <c r="I35" i="8"/>
  <c r="W34" i="8"/>
  <c r="AK33" i="8"/>
  <c r="Q33" i="8"/>
  <c r="Q113" i="8" s="1"/>
  <c r="AE32" i="8"/>
  <c r="K32" i="8"/>
  <c r="K152" i="8" s="1"/>
  <c r="Y31" i="8"/>
  <c r="E31" i="8"/>
  <c r="E111" i="8" s="1"/>
  <c r="S30" i="8"/>
  <c r="AG29" i="8"/>
  <c r="M29" i="8"/>
  <c r="M109" i="8" s="1"/>
  <c r="AA28" i="8"/>
  <c r="G28" i="8"/>
  <c r="U27" i="8"/>
  <c r="U107" i="8" s="1"/>
  <c r="AI26" i="8"/>
  <c r="O26" i="8"/>
  <c r="AC25" i="8"/>
  <c r="I25" i="8"/>
  <c r="W24" i="8"/>
  <c r="AK23" i="8"/>
  <c r="Q23" i="8"/>
  <c r="Q103" i="8" s="1"/>
  <c r="AE22" i="8"/>
  <c r="K22" i="8"/>
  <c r="K142" i="8" s="1"/>
  <c r="Y21" i="8"/>
  <c r="E21" i="8"/>
  <c r="S20" i="8"/>
  <c r="S100" i="8" s="1"/>
  <c r="AG19" i="8"/>
  <c r="AG99" i="8" s="1"/>
  <c r="M19" i="8"/>
  <c r="AA18" i="8"/>
  <c r="G18" i="8"/>
  <c r="U17" i="8"/>
  <c r="AI16" i="8"/>
  <c r="O16" i="8"/>
  <c r="AC15" i="8"/>
  <c r="I15" i="8"/>
  <c r="I95" i="8" s="1"/>
  <c r="W14" i="8"/>
  <c r="AK13" i="8"/>
  <c r="AK93" i="8" s="1"/>
  <c r="Q13" i="8"/>
  <c r="AE12" i="8"/>
  <c r="K12" i="8"/>
  <c r="Y11" i="8"/>
  <c r="E11" i="8"/>
  <c r="S10" i="8"/>
  <c r="S90" i="8" s="1"/>
  <c r="AG9" i="8"/>
  <c r="M9" i="8"/>
  <c r="AA8" i="8"/>
  <c r="AA88" i="8" s="1"/>
  <c r="G8" i="8"/>
  <c r="U7" i="8"/>
  <c r="AI6" i="8"/>
  <c r="O6" i="8"/>
  <c r="AC5" i="8"/>
  <c r="I5" i="8"/>
  <c r="W4" i="8"/>
  <c r="W38" i="8" s="1"/>
  <c r="T37" i="8"/>
  <c r="F28" i="8"/>
  <c r="T27" i="8"/>
  <c r="AH26" i="8"/>
  <c r="N26" i="8"/>
  <c r="AB25" i="8"/>
  <c r="H25" i="8"/>
  <c r="V24" i="8"/>
  <c r="V38" i="8" s="1"/>
  <c r="AJ23" i="8"/>
  <c r="P23" i="8"/>
  <c r="AD22" i="8"/>
  <c r="J22" i="8"/>
  <c r="J102" i="8" s="1"/>
  <c r="X21" i="8"/>
  <c r="X101" i="8" s="1"/>
  <c r="AL20" i="8"/>
  <c r="R20" i="8"/>
  <c r="AF19" i="8"/>
  <c r="L19" i="8"/>
  <c r="Z18" i="8"/>
  <c r="F18" i="8"/>
  <c r="T17" i="8"/>
  <c r="AH16" i="8"/>
  <c r="AH96" i="8" s="1"/>
  <c r="N16" i="8"/>
  <c r="AB15" i="8"/>
  <c r="AB95" i="8" s="1"/>
  <c r="H15" i="8"/>
  <c r="V14" i="8"/>
  <c r="AJ13" i="8"/>
  <c r="P13" i="8"/>
  <c r="AD12" i="8"/>
  <c r="AF9" i="8"/>
  <c r="AH36" i="8"/>
  <c r="AH156" i="8" s="1"/>
  <c r="L9" i="8"/>
  <c r="N36" i="8"/>
  <c r="Z8" i="8"/>
  <c r="AB35" i="8"/>
  <c r="F8" i="8"/>
  <c r="H35" i="8"/>
  <c r="T7" i="8"/>
  <c r="V34" i="8"/>
  <c r="V154" i="8" s="1"/>
  <c r="AH6" i="8"/>
  <c r="AJ33" i="8"/>
  <c r="N6" i="8"/>
  <c r="P33" i="8"/>
  <c r="AB5" i="8"/>
  <c r="AD32" i="8"/>
  <c r="AD152" i="8" s="1"/>
  <c r="H5" i="8"/>
  <c r="J32" i="8"/>
  <c r="V4" i="8"/>
  <c r="X31" i="8"/>
  <c r="X111" i="8" s="1"/>
  <c r="AL30" i="8"/>
  <c r="R30" i="8"/>
  <c r="AF29" i="8"/>
  <c r="L29" i="8"/>
  <c r="Z28" i="8"/>
  <c r="Z108" i="8" s="1"/>
  <c r="J12" i="8"/>
  <c r="X11" i="8"/>
  <c r="R10" i="8"/>
  <c r="AL10" i="8"/>
  <c r="E4" i="8"/>
  <c r="A45" i="8"/>
  <c r="AL77" i="8"/>
  <c r="R77" i="8"/>
  <c r="AF76" i="8"/>
  <c r="L76" i="8"/>
  <c r="Z75" i="8"/>
  <c r="F75" i="8"/>
  <c r="T74" i="8"/>
  <c r="AH73" i="8"/>
  <c r="N73" i="8"/>
  <c r="AB72" i="8"/>
  <c r="H72" i="8"/>
  <c r="V71" i="8"/>
  <c r="AJ70" i="8"/>
  <c r="P70" i="8"/>
  <c r="AD69" i="8"/>
  <c r="J69" i="8"/>
  <c r="X68" i="8"/>
  <c r="AL67" i="8"/>
  <c r="R67" i="8"/>
  <c r="AF66" i="8"/>
  <c r="L66" i="8"/>
  <c r="Z65" i="8"/>
  <c r="F65" i="8"/>
  <c r="T64" i="8"/>
  <c r="AH63" i="8"/>
  <c r="N63" i="8"/>
  <c r="AB62" i="8"/>
  <c r="H62" i="8"/>
  <c r="V61" i="8"/>
  <c r="AJ60" i="8"/>
  <c r="P60" i="8"/>
  <c r="AD59" i="8"/>
  <c r="J59" i="8"/>
  <c r="X58" i="8"/>
  <c r="AL57" i="8"/>
  <c r="R57" i="8"/>
  <c r="AF56" i="8"/>
  <c r="L56" i="8"/>
  <c r="Z55" i="8"/>
  <c r="F55" i="8"/>
  <c r="T54" i="8"/>
  <c r="AG53" i="8"/>
  <c r="M53" i="8"/>
  <c r="AA52" i="8"/>
  <c r="G52" i="8"/>
  <c r="U51" i="8"/>
  <c r="AI50" i="8"/>
  <c r="O50" i="8"/>
  <c r="AC49" i="8"/>
  <c r="I49" i="8"/>
  <c r="W48" i="8"/>
  <c r="AK47" i="8"/>
  <c r="Q47" i="8"/>
  <c r="AE46" i="8"/>
  <c r="K46" i="8"/>
  <c r="Y45" i="8"/>
  <c r="E45" i="8"/>
  <c r="S44" i="8"/>
  <c r="S67" i="8"/>
  <c r="AK77" i="8"/>
  <c r="Q77" i="8"/>
  <c r="AE76" i="8"/>
  <c r="K76" i="8"/>
  <c r="Y75" i="8"/>
  <c r="E75" i="8"/>
  <c r="S74" i="8"/>
  <c r="AG73" i="8"/>
  <c r="M73" i="8"/>
  <c r="AA72" i="8"/>
  <c r="G72" i="8"/>
  <c r="U71" i="8"/>
  <c r="AI70" i="8"/>
  <c r="O70" i="8"/>
  <c r="AC69" i="8"/>
  <c r="I69" i="8"/>
  <c r="W68" i="8"/>
  <c r="AK67" i="8"/>
  <c r="Q67" i="8"/>
  <c r="AE66" i="8"/>
  <c r="K66" i="8"/>
  <c r="Y65" i="8"/>
  <c r="E65" i="8"/>
  <c r="S64" i="8"/>
  <c r="AG63" i="8"/>
  <c r="M63" i="8"/>
  <c r="AA62" i="8"/>
  <c r="G62" i="8"/>
  <c r="U61" i="8"/>
  <c r="AI60" i="8"/>
  <c r="O60" i="8"/>
  <c r="AC59" i="8"/>
  <c r="I59" i="8"/>
  <c r="W58" i="8"/>
  <c r="AK57" i="8"/>
  <c r="Q57" i="8"/>
  <c r="AE56" i="8"/>
  <c r="K56" i="8"/>
  <c r="Y55" i="8"/>
  <c r="E55" i="8"/>
  <c r="S54" i="8"/>
  <c r="AF53" i="8"/>
  <c r="L53" i="8"/>
  <c r="Z52" i="8"/>
  <c r="F52" i="8"/>
  <c r="T51" i="8"/>
  <c r="AH50" i="8"/>
  <c r="N50" i="8"/>
  <c r="AB49" i="8"/>
  <c r="H49" i="8"/>
  <c r="V48" i="8"/>
  <c r="AJ47" i="8"/>
  <c r="P47" i="8"/>
  <c r="AD46" i="8"/>
  <c r="J46" i="8"/>
  <c r="X45" i="8"/>
  <c r="AL44" i="8"/>
  <c r="R44" i="8"/>
  <c r="E68" i="8"/>
  <c r="AJ77" i="8"/>
  <c r="P77" i="8"/>
  <c r="AD76" i="8"/>
  <c r="J76" i="8"/>
  <c r="X75" i="8"/>
  <c r="AL74" i="8"/>
  <c r="R74" i="8"/>
  <c r="AF73" i="8"/>
  <c r="L73" i="8"/>
  <c r="Z72" i="8"/>
  <c r="F72" i="8"/>
  <c r="T71" i="8"/>
  <c r="AH70" i="8"/>
  <c r="N70" i="8"/>
  <c r="AB69" i="8"/>
  <c r="H69" i="8"/>
  <c r="V68" i="8"/>
  <c r="AJ67" i="8"/>
  <c r="P67" i="8"/>
  <c r="AD66" i="8"/>
  <c r="J66" i="8"/>
  <c r="X65" i="8"/>
  <c r="AL64" i="8"/>
  <c r="R64" i="8"/>
  <c r="AF63" i="8"/>
  <c r="L63" i="8"/>
  <c r="Z62" i="8"/>
  <c r="F62" i="8"/>
  <c r="T61" i="8"/>
  <c r="AH60" i="8"/>
  <c r="N60" i="8"/>
  <c r="AB59" i="8"/>
  <c r="H59" i="8"/>
  <c r="V58" i="8"/>
  <c r="AJ57" i="8"/>
  <c r="P57" i="8"/>
  <c r="AD56" i="8"/>
  <c r="J56" i="8"/>
  <c r="X55" i="8"/>
  <c r="AL54" i="8"/>
  <c r="R54" i="8"/>
  <c r="AE53" i="8"/>
  <c r="K53" i="8"/>
  <c r="Y52" i="8"/>
  <c r="E52" i="8"/>
  <c r="S51" i="8"/>
  <c r="AG50" i="8"/>
  <c r="M50" i="8"/>
  <c r="AA49" i="8"/>
  <c r="G49" i="8"/>
  <c r="U48" i="8"/>
  <c r="AI47" i="8"/>
  <c r="O47" i="8"/>
  <c r="AC46" i="8"/>
  <c r="I46" i="8"/>
  <c r="W45" i="8"/>
  <c r="AK44" i="8"/>
  <c r="Q44" i="8"/>
  <c r="Y68" i="8"/>
  <c r="AI77" i="8"/>
  <c r="O77" i="8"/>
  <c r="AC76" i="8"/>
  <c r="I76" i="8"/>
  <c r="W75" i="8"/>
  <c r="AK74" i="8"/>
  <c r="Q74" i="8"/>
  <c r="AE73" i="8"/>
  <c r="K73" i="8"/>
  <c r="Y72" i="8"/>
  <c r="E72" i="8"/>
  <c r="S71" i="8"/>
  <c r="AG70" i="8"/>
  <c r="M70" i="8"/>
  <c r="AA69" i="8"/>
  <c r="G69" i="8"/>
  <c r="U68" i="8"/>
  <c r="AI67" i="8"/>
  <c r="O67" i="8"/>
  <c r="AC66" i="8"/>
  <c r="I66" i="8"/>
  <c r="W65" i="8"/>
  <c r="AK64" i="8"/>
  <c r="Q64" i="8"/>
  <c r="AE63" i="8"/>
  <c r="K63" i="8"/>
  <c r="Y62" i="8"/>
  <c r="E62" i="8"/>
  <c r="S61" i="8"/>
  <c r="AG60" i="8"/>
  <c r="M60" i="8"/>
  <c r="AA59" i="8"/>
  <c r="G59" i="8"/>
  <c r="U58" i="8"/>
  <c r="AI57" i="8"/>
  <c r="O57" i="8"/>
  <c r="AC56" i="8"/>
  <c r="I56" i="8"/>
  <c r="W55" i="8"/>
  <c r="AK54" i="8"/>
  <c r="Q54" i="8"/>
  <c r="AD53" i="8"/>
  <c r="J53" i="8"/>
  <c r="X52" i="8"/>
  <c r="AL51" i="8"/>
  <c r="R51" i="8"/>
  <c r="AF50" i="8"/>
  <c r="L50" i="8"/>
  <c r="Z49" i="8"/>
  <c r="F49" i="8"/>
  <c r="T48" i="8"/>
  <c r="AH47" i="8"/>
  <c r="N47" i="8"/>
  <c r="AB46" i="8"/>
  <c r="H46" i="8"/>
  <c r="V45" i="8"/>
  <c r="AJ44" i="8"/>
  <c r="P44" i="8"/>
  <c r="K69" i="8"/>
  <c r="AH77" i="8"/>
  <c r="N77" i="8"/>
  <c r="AB76" i="8"/>
  <c r="H76" i="8"/>
  <c r="V75" i="8"/>
  <c r="AJ74" i="8"/>
  <c r="P74" i="8"/>
  <c r="AD73" i="8"/>
  <c r="J73" i="8"/>
  <c r="X72" i="8"/>
  <c r="AL71" i="8"/>
  <c r="R71" i="8"/>
  <c r="AF70" i="8"/>
  <c r="L70" i="8"/>
  <c r="Z69" i="8"/>
  <c r="F69" i="8"/>
  <c r="T68" i="8"/>
  <c r="AH67" i="8"/>
  <c r="N67" i="8"/>
  <c r="AB66" i="8"/>
  <c r="H66" i="8"/>
  <c r="V65" i="8"/>
  <c r="AJ64" i="8"/>
  <c r="P64" i="8"/>
  <c r="AD63" i="8"/>
  <c r="J63" i="8"/>
  <c r="X62" i="8"/>
  <c r="AL61" i="8"/>
  <c r="R61" i="8"/>
  <c r="AF60" i="8"/>
  <c r="L60" i="8"/>
  <c r="Z59" i="8"/>
  <c r="F59" i="8"/>
  <c r="T58" i="8"/>
  <c r="AH57" i="8"/>
  <c r="N57" i="8"/>
  <c r="AB56" i="8"/>
  <c r="H56" i="8"/>
  <c r="V55" i="8"/>
  <c r="AJ54" i="8"/>
  <c r="P54" i="8"/>
  <c r="AC53" i="8"/>
  <c r="I53" i="8"/>
  <c r="W52" i="8"/>
  <c r="AK51" i="8"/>
  <c r="Q51" i="8"/>
  <c r="AE50" i="8"/>
  <c r="K50" i="8"/>
  <c r="Y49" i="8"/>
  <c r="E49" i="8"/>
  <c r="S48" i="8"/>
  <c r="AG47" i="8"/>
  <c r="M47" i="8"/>
  <c r="AA46" i="8"/>
  <c r="G46" i="8"/>
  <c r="U45" i="8"/>
  <c r="AI44" i="8"/>
  <c r="O44" i="8"/>
  <c r="AG66" i="8"/>
  <c r="AG77" i="8"/>
  <c r="M77" i="8"/>
  <c r="AA76" i="8"/>
  <c r="G76" i="8"/>
  <c r="U75" i="8"/>
  <c r="AI74" i="8"/>
  <c r="O74" i="8"/>
  <c r="O114" i="8"/>
  <c r="AC73" i="8"/>
  <c r="I73" i="8"/>
  <c r="I113" i="8"/>
  <c r="W72" i="8"/>
  <c r="AK71" i="8"/>
  <c r="Q71" i="8"/>
  <c r="AE70" i="8"/>
  <c r="AE110" i="8"/>
  <c r="AE150" i="8"/>
  <c r="K70" i="8"/>
  <c r="K110" i="8"/>
  <c r="Y69" i="8"/>
  <c r="E69" i="8"/>
  <c r="S68" i="8"/>
  <c r="AG67" i="8"/>
  <c r="M67" i="8"/>
  <c r="M107" i="8"/>
  <c r="AA66" i="8"/>
  <c r="G66" i="8"/>
  <c r="G106" i="8"/>
  <c r="U65" i="8"/>
  <c r="AI64" i="8"/>
  <c r="AI104" i="8"/>
  <c r="O64" i="8"/>
  <c r="O104" i="8"/>
  <c r="AC63" i="8"/>
  <c r="I63" i="8"/>
  <c r="I103" i="8"/>
  <c r="W62" i="8"/>
  <c r="AK61" i="8"/>
  <c r="Q61" i="8"/>
  <c r="Q101" i="8"/>
  <c r="AE60" i="8"/>
  <c r="K60" i="8"/>
  <c r="Y59" i="8"/>
  <c r="E59" i="8"/>
  <c r="S58" i="8"/>
  <c r="S98" i="8"/>
  <c r="S138" i="8"/>
  <c r="AG57" i="8"/>
  <c r="M57" i="8"/>
  <c r="M97" i="8"/>
  <c r="AA56" i="8"/>
  <c r="G56" i="8"/>
  <c r="U55" i="8"/>
  <c r="U95" i="8"/>
  <c r="AI54" i="8"/>
  <c r="O54" i="8"/>
  <c r="AB53" i="8"/>
  <c r="H53" i="8"/>
  <c r="V52" i="8"/>
  <c r="V92" i="8"/>
  <c r="V132" i="8"/>
  <c r="AJ51" i="8"/>
  <c r="P51" i="8"/>
  <c r="P91" i="8"/>
  <c r="P131" i="8"/>
  <c r="AD50" i="8"/>
  <c r="J50" i="8"/>
  <c r="X49" i="8"/>
  <c r="AL48" i="8"/>
  <c r="AL88" i="8"/>
  <c r="R48" i="8"/>
  <c r="R88" i="8"/>
  <c r="AF47" i="8"/>
  <c r="L47" i="8"/>
  <c r="Z46" i="8"/>
  <c r="Z86" i="8"/>
  <c r="Z126" i="8"/>
  <c r="F46" i="8"/>
  <c r="F126" i="8"/>
  <c r="T45" i="8"/>
  <c r="T85" i="8"/>
  <c r="T125" i="8"/>
  <c r="AH44" i="8"/>
  <c r="N44" i="8"/>
  <c r="AK70" i="8"/>
  <c r="AK110" i="8"/>
  <c r="AF77" i="8"/>
  <c r="AF117" i="8"/>
  <c r="L77" i="8"/>
  <c r="Z76" i="8"/>
  <c r="F76" i="8"/>
  <c r="F116" i="8"/>
  <c r="F156" i="8"/>
  <c r="T75" i="8"/>
  <c r="T115" i="8"/>
  <c r="AH74" i="8"/>
  <c r="AH114" i="8"/>
  <c r="AH154" i="8"/>
  <c r="N74" i="8"/>
  <c r="AB73" i="8"/>
  <c r="H73" i="8"/>
  <c r="V72" i="8"/>
  <c r="V112" i="8"/>
  <c r="AJ71" i="8"/>
  <c r="AJ111" i="8"/>
  <c r="P71" i="8"/>
  <c r="AD70" i="8"/>
  <c r="J70" i="8"/>
  <c r="J110" i="8"/>
  <c r="X69" i="8"/>
  <c r="AL68" i="8"/>
  <c r="AL108" i="8"/>
  <c r="R68" i="8"/>
  <c r="AF67" i="8"/>
  <c r="AF107" i="8"/>
  <c r="L67" i="8"/>
  <c r="Z66" i="8"/>
  <c r="Z106" i="8"/>
  <c r="Z146" i="8"/>
  <c r="F66" i="8"/>
  <c r="F106" i="8"/>
  <c r="T65" i="8"/>
  <c r="T105" i="8"/>
  <c r="AH64" i="8"/>
  <c r="N64" i="8"/>
  <c r="N104" i="8"/>
  <c r="AB63" i="8"/>
  <c r="AB143" i="8"/>
  <c r="H63" i="8"/>
  <c r="H103" i="8"/>
  <c r="H143" i="8"/>
  <c r="V62" i="8"/>
  <c r="V142" i="8"/>
  <c r="AJ61" i="8"/>
  <c r="P61" i="8"/>
  <c r="AD60" i="8"/>
  <c r="AD100" i="8"/>
  <c r="J60" i="8"/>
  <c r="J100" i="8"/>
  <c r="X59" i="8"/>
  <c r="AL58" i="8"/>
  <c r="R58" i="8"/>
  <c r="R98" i="8"/>
  <c r="AF57" i="8"/>
  <c r="AF97" i="8"/>
  <c r="L57" i="8"/>
  <c r="L97" i="8"/>
  <c r="Z56" i="8"/>
  <c r="Z96" i="8"/>
  <c r="F56" i="8"/>
  <c r="T55" i="8"/>
  <c r="T135" i="8"/>
  <c r="AH54" i="8"/>
  <c r="AH94" i="8"/>
  <c r="N54" i="8"/>
  <c r="N94" i="8"/>
  <c r="N134" i="8"/>
  <c r="AA53" i="8"/>
  <c r="AA93" i="8"/>
  <c r="G53" i="8"/>
  <c r="G133" i="8"/>
  <c r="U52" i="8"/>
  <c r="AI51" i="8"/>
  <c r="O51" i="8"/>
  <c r="O91" i="8"/>
  <c r="O131" i="8"/>
  <c r="AC50" i="8"/>
  <c r="I50" i="8"/>
  <c r="I90" i="8"/>
  <c r="I130" i="8"/>
  <c r="W49" i="8"/>
  <c r="W89" i="8"/>
  <c r="AK48" i="8"/>
  <c r="Q48" i="8"/>
  <c r="Q88" i="8"/>
  <c r="AE47" i="8"/>
  <c r="AE87" i="8"/>
  <c r="K47" i="8"/>
  <c r="K87" i="8"/>
  <c r="K127" i="8"/>
  <c r="Y46" i="8"/>
  <c r="E46" i="8"/>
  <c r="S45" i="8"/>
  <c r="S85" i="8"/>
  <c r="S125" i="8"/>
  <c r="AG44" i="8"/>
  <c r="M44" i="8"/>
  <c r="I72" i="8"/>
  <c r="I112" i="8"/>
  <c r="AE77" i="8"/>
  <c r="K77" i="8"/>
  <c r="K117" i="8"/>
  <c r="Y76" i="8"/>
  <c r="Y116" i="8"/>
  <c r="E76" i="8"/>
  <c r="S75" i="8"/>
  <c r="AG74" i="8"/>
  <c r="AG114" i="8"/>
  <c r="M74" i="8"/>
  <c r="AA73" i="8"/>
  <c r="AA113" i="8"/>
  <c r="G73" i="8"/>
  <c r="G113" i="8"/>
  <c r="U72" i="8"/>
  <c r="AI71" i="8"/>
  <c r="O71" i="8"/>
  <c r="AC70" i="8"/>
  <c r="AC110" i="8"/>
  <c r="AC150" i="8"/>
  <c r="I70" i="8"/>
  <c r="W69" i="8"/>
  <c r="AK68" i="8"/>
  <c r="AK108" i="8"/>
  <c r="Q68" i="8"/>
  <c r="AE67" i="8"/>
  <c r="AE107" i="8"/>
  <c r="K67" i="8"/>
  <c r="K107" i="8"/>
  <c r="Y66" i="8"/>
  <c r="Y146" i="8"/>
  <c r="E66" i="8"/>
  <c r="S65" i="8"/>
  <c r="S105" i="8"/>
  <c r="AG64" i="8"/>
  <c r="AG104" i="8"/>
  <c r="M64" i="8"/>
  <c r="AA63" i="8"/>
  <c r="G63" i="8"/>
  <c r="G103" i="8"/>
  <c r="G143" i="8"/>
  <c r="U62" i="8"/>
  <c r="AI61" i="8"/>
  <c r="AI101" i="8"/>
  <c r="O61" i="8"/>
  <c r="AC60" i="8"/>
  <c r="I60" i="8"/>
  <c r="I100" i="8"/>
  <c r="W59" i="8"/>
  <c r="W99" i="8"/>
  <c r="W139" i="8"/>
  <c r="AK58" i="8"/>
  <c r="AK98" i="8"/>
  <c r="Q58" i="8"/>
  <c r="AE57" i="8"/>
  <c r="K57" i="8"/>
  <c r="K97" i="8"/>
  <c r="Y56" i="8"/>
  <c r="E56" i="8"/>
  <c r="S55" i="8"/>
  <c r="AG54" i="8"/>
  <c r="M54" i="8"/>
  <c r="Z53" i="8"/>
  <c r="F53" i="8"/>
  <c r="T52" i="8"/>
  <c r="T132" i="8"/>
  <c r="AH51" i="8"/>
  <c r="AH91" i="8"/>
  <c r="N51" i="8"/>
  <c r="AB50" i="8"/>
  <c r="H50" i="8"/>
  <c r="H90" i="8"/>
  <c r="V49" i="8"/>
  <c r="V129" i="8"/>
  <c r="AJ48" i="8"/>
  <c r="P48" i="8"/>
  <c r="AD47" i="8"/>
  <c r="J47" i="8"/>
  <c r="X46" i="8"/>
  <c r="X86" i="8"/>
  <c r="X126" i="8"/>
  <c r="AL45" i="8"/>
  <c r="AL85" i="8"/>
  <c r="AL125" i="8"/>
  <c r="R45" i="8"/>
  <c r="R85" i="8"/>
  <c r="AF44" i="8"/>
  <c r="L44" i="8"/>
  <c r="L84" i="8"/>
  <c r="L124" i="8"/>
  <c r="W71" i="8"/>
  <c r="W111" i="8"/>
  <c r="AD77" i="8"/>
  <c r="J77" i="8"/>
  <c r="X76" i="8"/>
  <c r="X116" i="8"/>
  <c r="AL75" i="8"/>
  <c r="AL115" i="8"/>
  <c r="AL155" i="8"/>
  <c r="R75" i="8"/>
  <c r="R115" i="8"/>
  <c r="AF74" i="8"/>
  <c r="L74" i="8"/>
  <c r="Z73" i="8"/>
  <c r="Z113" i="8"/>
  <c r="F73" i="8"/>
  <c r="T72" i="8"/>
  <c r="T112" i="8"/>
  <c r="AH71" i="8"/>
  <c r="N71" i="8"/>
  <c r="AB70" i="8"/>
  <c r="H70" i="8"/>
  <c r="H110" i="8"/>
  <c r="V69" i="8"/>
  <c r="V109" i="8"/>
  <c r="V149" i="8"/>
  <c r="AJ68" i="8"/>
  <c r="P68" i="8"/>
  <c r="AD67" i="8"/>
  <c r="AD107" i="8"/>
  <c r="J67" i="8"/>
  <c r="X66" i="8"/>
  <c r="X106" i="8"/>
  <c r="AL65" i="8"/>
  <c r="R65" i="8"/>
  <c r="AF64" i="8"/>
  <c r="L64" i="8"/>
  <c r="L104" i="8"/>
  <c r="Z63" i="8"/>
  <c r="Z103" i="8"/>
  <c r="F63" i="8"/>
  <c r="T62" i="8"/>
  <c r="AH61" i="8"/>
  <c r="AH101" i="8"/>
  <c r="N61" i="8"/>
  <c r="AB60" i="8"/>
  <c r="AB140" i="8"/>
  <c r="H60" i="8"/>
  <c r="V59" i="8"/>
  <c r="AJ58" i="8"/>
  <c r="P58" i="8"/>
  <c r="P98" i="8"/>
  <c r="AD57" i="8"/>
  <c r="AD97" i="8"/>
  <c r="J57" i="8"/>
  <c r="X56" i="8"/>
  <c r="AL55" i="8"/>
  <c r="AL95" i="8"/>
  <c r="R55" i="8"/>
  <c r="R95" i="8"/>
  <c r="AF54" i="8"/>
  <c r="AF94" i="8"/>
  <c r="K54" i="8"/>
  <c r="K134" i="8"/>
  <c r="Y53" i="8"/>
  <c r="Y93" i="8"/>
  <c r="E53" i="8"/>
  <c r="S52" i="8"/>
  <c r="S132" i="8"/>
  <c r="AG51" i="8"/>
  <c r="M51" i="8"/>
  <c r="M91" i="8"/>
  <c r="M131" i="8"/>
  <c r="AA50" i="8"/>
  <c r="AA90" i="8"/>
  <c r="G50" i="8"/>
  <c r="U49" i="8"/>
  <c r="U89" i="8"/>
  <c r="U129" i="8"/>
  <c r="AI48" i="8"/>
  <c r="AI88" i="8"/>
  <c r="O48" i="8"/>
  <c r="AC47" i="8"/>
  <c r="AC87" i="8"/>
  <c r="I47" i="8"/>
  <c r="W46" i="8"/>
  <c r="AK45" i="8"/>
  <c r="Q45" i="8"/>
  <c r="Q85" i="8"/>
  <c r="AE44" i="8"/>
  <c r="K44" i="8"/>
  <c r="U74" i="8"/>
  <c r="U114" i="8"/>
  <c r="AC77" i="8"/>
  <c r="I77" i="8"/>
  <c r="W76" i="8"/>
  <c r="W116" i="8"/>
  <c r="AK75" i="8"/>
  <c r="Q75" i="8"/>
  <c r="AE74" i="8"/>
  <c r="K74" i="8"/>
  <c r="K114" i="8"/>
  <c r="Y73" i="8"/>
  <c r="E73" i="8"/>
  <c r="S72" i="8"/>
  <c r="S112" i="8"/>
  <c r="AG71" i="8"/>
  <c r="M71" i="8"/>
  <c r="M111" i="8"/>
  <c r="AA70" i="8"/>
  <c r="G70" i="8"/>
  <c r="U69" i="8"/>
  <c r="AI68" i="8"/>
  <c r="AI108" i="8"/>
  <c r="O68" i="8"/>
  <c r="O108" i="8"/>
  <c r="AC67" i="8"/>
  <c r="I67" i="8"/>
  <c r="I107" i="8"/>
  <c r="I147" i="8"/>
  <c r="W66" i="8"/>
  <c r="W106" i="8"/>
  <c r="AK65" i="8"/>
  <c r="Q65" i="8"/>
  <c r="Q105" i="8"/>
  <c r="AE64" i="8"/>
  <c r="K64" i="8"/>
  <c r="Y63" i="8"/>
  <c r="E63" i="8"/>
  <c r="S62" i="8"/>
  <c r="S102" i="8"/>
  <c r="S142" i="8"/>
  <c r="AG61" i="8"/>
  <c r="M61" i="8"/>
  <c r="M101" i="8"/>
  <c r="M141" i="8"/>
  <c r="AA60" i="8"/>
  <c r="G60" i="8"/>
  <c r="G100" i="8"/>
  <c r="U59" i="8"/>
  <c r="U99" i="8"/>
  <c r="AI58" i="8"/>
  <c r="O58" i="8"/>
  <c r="AC57" i="8"/>
  <c r="AC97" i="8"/>
  <c r="I57" i="8"/>
  <c r="I97" i="8"/>
  <c r="W56" i="8"/>
  <c r="W96" i="8"/>
  <c r="AK55" i="8"/>
  <c r="Q55" i="8"/>
  <c r="Q95" i="8"/>
  <c r="Q135" i="8"/>
  <c r="AE54" i="8"/>
  <c r="AE94" i="8"/>
  <c r="J54" i="8"/>
  <c r="J94" i="8"/>
  <c r="J134" i="8"/>
  <c r="X53" i="8"/>
  <c r="X93" i="8"/>
  <c r="AL52" i="8"/>
  <c r="R52" i="8"/>
  <c r="R92" i="8"/>
  <c r="R132" i="8"/>
  <c r="AF51" i="8"/>
  <c r="L51" i="8"/>
  <c r="Z50" i="8"/>
  <c r="F50" i="8"/>
  <c r="F90" i="8"/>
  <c r="F130" i="8"/>
  <c r="T49" i="8"/>
  <c r="T89" i="8"/>
  <c r="AH48" i="8"/>
  <c r="N48" i="8"/>
  <c r="N88" i="8"/>
  <c r="AB47" i="8"/>
  <c r="AB87" i="8"/>
  <c r="H47" i="8"/>
  <c r="V46" i="8"/>
  <c r="V86" i="8"/>
  <c r="V126" i="8"/>
  <c r="AJ45" i="8"/>
  <c r="P45" i="8"/>
  <c r="P85" i="8"/>
  <c r="AD44" i="8"/>
  <c r="J44" i="8"/>
  <c r="AE69" i="8"/>
  <c r="AE109" i="8"/>
  <c r="AB77" i="8"/>
  <c r="AB117" i="8"/>
  <c r="H77" i="8"/>
  <c r="H117" i="8"/>
  <c r="V76" i="8"/>
  <c r="V116" i="8"/>
  <c r="AJ75" i="8"/>
  <c r="AJ115" i="8"/>
  <c r="AJ155" i="8"/>
  <c r="P75" i="8"/>
  <c r="AD74" i="8"/>
  <c r="AD114" i="8"/>
  <c r="J74" i="8"/>
  <c r="X73" i="8"/>
  <c r="X113" i="8"/>
  <c r="AL72" i="8"/>
  <c r="AL112" i="8"/>
  <c r="R72" i="8"/>
  <c r="AF71" i="8"/>
  <c r="AF111" i="8"/>
  <c r="L71" i="8"/>
  <c r="Z70" i="8"/>
  <c r="F70" i="8"/>
  <c r="F110" i="8"/>
  <c r="T69" i="8"/>
  <c r="T109" i="8"/>
  <c r="AH68" i="8"/>
  <c r="N68" i="8"/>
  <c r="AB67" i="8"/>
  <c r="AB107" i="8"/>
  <c r="AB147" i="8"/>
  <c r="H67" i="8"/>
  <c r="H107" i="8"/>
  <c r="H147" i="8"/>
  <c r="V66" i="8"/>
  <c r="AJ65" i="8"/>
  <c r="AJ105" i="8"/>
  <c r="P65" i="8"/>
  <c r="P105" i="8"/>
  <c r="AD64" i="8"/>
  <c r="J64" i="8"/>
  <c r="J104" i="8"/>
  <c r="X63" i="8"/>
  <c r="AL62" i="8"/>
  <c r="R62" i="8"/>
  <c r="AF61" i="8"/>
  <c r="AF101" i="8"/>
  <c r="L61" i="8"/>
  <c r="L101" i="8"/>
  <c r="L141" i="8"/>
  <c r="Z60" i="8"/>
  <c r="F60" i="8"/>
  <c r="F100" i="8"/>
  <c r="F140" i="8"/>
  <c r="T59" i="8"/>
  <c r="T99" i="8"/>
  <c r="T139" i="8"/>
  <c r="AH58" i="8"/>
  <c r="N58" i="8"/>
  <c r="N98" i="8"/>
  <c r="AB57" i="8"/>
  <c r="H57" i="8"/>
  <c r="V56" i="8"/>
  <c r="AJ55" i="8"/>
  <c r="P55" i="8"/>
  <c r="P95" i="8"/>
  <c r="P135" i="8"/>
  <c r="AD54" i="8"/>
  <c r="I54" i="8"/>
  <c r="I94" i="8"/>
  <c r="I134" i="8"/>
  <c r="W53" i="8"/>
  <c r="AK52" i="8"/>
  <c r="AK92" i="8"/>
  <c r="Q52" i="8"/>
  <c r="Q92" i="8"/>
  <c r="Q132" i="8"/>
  <c r="AE51" i="8"/>
  <c r="AE91" i="8"/>
  <c r="K51" i="8"/>
  <c r="K91" i="8"/>
  <c r="Y50" i="8"/>
  <c r="E50" i="8"/>
  <c r="E90" i="8"/>
  <c r="E130" i="8"/>
  <c r="S49" i="8"/>
  <c r="AG48" i="8"/>
  <c r="AG88" i="8"/>
  <c r="M48" i="8"/>
  <c r="M88" i="8"/>
  <c r="M128" i="8"/>
  <c r="AA47" i="8"/>
  <c r="G47" i="8"/>
  <c r="G87" i="8"/>
  <c r="G127" i="8"/>
  <c r="U46" i="8"/>
  <c r="U86" i="8"/>
  <c r="AI45" i="8"/>
  <c r="AI85" i="8"/>
  <c r="O45" i="8"/>
  <c r="O85" i="8"/>
  <c r="AC44" i="8"/>
  <c r="I44" i="8"/>
  <c r="Q70" i="8"/>
  <c r="AA77" i="8"/>
  <c r="G77" i="8"/>
  <c r="U76" i="8"/>
  <c r="U116" i="8"/>
  <c r="AI75" i="8"/>
  <c r="AI115" i="8"/>
  <c r="O75" i="8"/>
  <c r="AC74" i="8"/>
  <c r="AC114" i="8"/>
  <c r="I74" i="8"/>
  <c r="W73" i="8"/>
  <c r="AK72" i="8"/>
  <c r="Q72" i="8"/>
  <c r="Q112" i="8"/>
  <c r="AE71" i="8"/>
  <c r="AE111" i="8"/>
  <c r="AE151" i="8"/>
  <c r="K71" i="8"/>
  <c r="Y70" i="8"/>
  <c r="Y110" i="8"/>
  <c r="E70" i="8"/>
  <c r="E110" i="8"/>
  <c r="E150" i="8"/>
  <c r="S69" i="8"/>
  <c r="S109" i="8"/>
  <c r="AG68" i="8"/>
  <c r="AG108" i="8"/>
  <c r="M68" i="8"/>
  <c r="M108" i="8"/>
  <c r="AA67" i="8"/>
  <c r="G67" i="8"/>
  <c r="U66" i="8"/>
  <c r="U106" i="8"/>
  <c r="AI65" i="8"/>
  <c r="AI105" i="8"/>
  <c r="O65" i="8"/>
  <c r="AC64" i="8"/>
  <c r="AC104" i="8"/>
  <c r="I64" i="8"/>
  <c r="I104" i="8"/>
  <c r="I144" i="8"/>
  <c r="W63" i="8"/>
  <c r="W103" i="8"/>
  <c r="AK62" i="8"/>
  <c r="AK102" i="8"/>
  <c r="Q62" i="8"/>
  <c r="AE61" i="8"/>
  <c r="K61" i="8"/>
  <c r="K101" i="8"/>
  <c r="K141" i="8"/>
  <c r="Y60" i="8"/>
  <c r="Y100" i="8"/>
  <c r="Y140" i="8"/>
  <c r="E60" i="8"/>
  <c r="S59" i="8"/>
  <c r="AG58" i="8"/>
  <c r="AG98" i="8"/>
  <c r="M58" i="8"/>
  <c r="M98" i="8"/>
  <c r="M138" i="8"/>
  <c r="AA57" i="8"/>
  <c r="G57" i="8"/>
  <c r="U56" i="8"/>
  <c r="AI55" i="8"/>
  <c r="O55" i="8"/>
  <c r="AC54" i="8"/>
  <c r="AC94" i="8"/>
  <c r="H54" i="8"/>
  <c r="V53" i="8"/>
  <c r="V93" i="8"/>
  <c r="AJ52" i="8"/>
  <c r="AJ92" i="8"/>
  <c r="P52" i="8"/>
  <c r="AD51" i="8"/>
  <c r="AD91" i="8"/>
  <c r="J51" i="8"/>
  <c r="J91" i="8"/>
  <c r="J131" i="8"/>
  <c r="X50" i="8"/>
  <c r="AL49" i="8"/>
  <c r="AL89" i="8"/>
  <c r="R49" i="8"/>
  <c r="AF48" i="8"/>
  <c r="AF88" i="8"/>
  <c r="L48" i="8"/>
  <c r="L88" i="8"/>
  <c r="L128" i="8"/>
  <c r="Z47" i="8"/>
  <c r="Z87" i="8"/>
  <c r="Z127" i="8"/>
  <c r="F47" i="8"/>
  <c r="F87" i="8"/>
  <c r="T46" i="8"/>
  <c r="AH45" i="8"/>
  <c r="AH85" i="8"/>
  <c r="N45" i="8"/>
  <c r="N85" i="8"/>
  <c r="N125" i="8"/>
  <c r="AB44" i="8"/>
  <c r="H44" i="8"/>
  <c r="H84" i="8"/>
  <c r="H124" i="8"/>
  <c r="AC72" i="8"/>
  <c r="AC112" i="8"/>
  <c r="Z77" i="8"/>
  <c r="Z117" i="8"/>
  <c r="F77" i="8"/>
  <c r="F117" i="8"/>
  <c r="F157" i="8"/>
  <c r="T76" i="8"/>
  <c r="T116" i="8"/>
  <c r="AH75" i="8"/>
  <c r="N75" i="8"/>
  <c r="N115" i="8"/>
  <c r="AB74" i="8"/>
  <c r="AB114" i="8"/>
  <c r="H74" i="8"/>
  <c r="H114" i="8"/>
  <c r="V73" i="8"/>
  <c r="V113" i="8"/>
  <c r="AJ72" i="8"/>
  <c r="P72" i="8"/>
  <c r="P112" i="8"/>
  <c r="AD71" i="8"/>
  <c r="AD111" i="8"/>
  <c r="J71" i="8"/>
  <c r="J111" i="8"/>
  <c r="X70" i="8"/>
  <c r="X110" i="8"/>
  <c r="AL69" i="8"/>
  <c r="R69" i="8"/>
  <c r="R109" i="8"/>
  <c r="AF68" i="8"/>
  <c r="AF108" i="8"/>
  <c r="L68" i="8"/>
  <c r="L108" i="8"/>
  <c r="Z67" i="8"/>
  <c r="Z107" i="8"/>
  <c r="Z147" i="8"/>
  <c r="F67" i="8"/>
  <c r="T66" i="8"/>
  <c r="AH65" i="8"/>
  <c r="N65" i="8"/>
  <c r="N105" i="8"/>
  <c r="AB64" i="8"/>
  <c r="AB104" i="8"/>
  <c r="AB144" i="8"/>
  <c r="H64" i="8"/>
  <c r="V63" i="8"/>
  <c r="V103" i="8"/>
  <c r="V143" i="8"/>
  <c r="AJ62" i="8"/>
  <c r="AJ102" i="8"/>
  <c r="P62" i="8"/>
  <c r="P102" i="8"/>
  <c r="AD61" i="8"/>
  <c r="AD101" i="8"/>
  <c r="AD141" i="8"/>
  <c r="J61" i="8"/>
  <c r="X60" i="8"/>
  <c r="AL59" i="8"/>
  <c r="R59" i="8"/>
  <c r="R99" i="8"/>
  <c r="AF58" i="8"/>
  <c r="AF98" i="8"/>
  <c r="L58" i="8"/>
  <c r="Z57" i="8"/>
  <c r="Z97" i="8"/>
  <c r="F57" i="8"/>
  <c r="F97" i="8"/>
  <c r="T56" i="8"/>
  <c r="T96" i="8"/>
  <c r="AH55" i="8"/>
  <c r="AH95" i="8"/>
  <c r="N55" i="8"/>
  <c r="AB54" i="8"/>
  <c r="G54" i="8"/>
  <c r="U53" i="8"/>
  <c r="AI52" i="8"/>
  <c r="O52" i="8"/>
  <c r="O92" i="8"/>
  <c r="O132" i="8"/>
  <c r="AC51" i="8"/>
  <c r="AC91" i="8"/>
  <c r="I51" i="8"/>
  <c r="I91" i="8"/>
  <c r="I131" i="8"/>
  <c r="W50" i="8"/>
  <c r="AK49" i="8"/>
  <c r="AK89" i="8"/>
  <c r="Q49" i="8"/>
  <c r="AE48" i="8"/>
  <c r="AE88" i="8"/>
  <c r="K48" i="8"/>
  <c r="Y47" i="8"/>
  <c r="E47" i="8"/>
  <c r="S46" i="8"/>
  <c r="S86" i="8"/>
  <c r="S126" i="8"/>
  <c r="AG45" i="8"/>
  <c r="AG85" i="8"/>
  <c r="M45" i="8"/>
  <c r="M85" i="8"/>
  <c r="M125" i="8"/>
  <c r="AA44" i="8"/>
  <c r="G44" i="8"/>
  <c r="O73" i="8"/>
  <c r="O113" i="8"/>
  <c r="Y77" i="8"/>
  <c r="E77" i="8"/>
  <c r="S76" i="8"/>
  <c r="AG75" i="8"/>
  <c r="AG115" i="8"/>
  <c r="M75" i="8"/>
  <c r="M115" i="8"/>
  <c r="AA74" i="8"/>
  <c r="G74" i="8"/>
  <c r="G114" i="8"/>
  <c r="U73" i="8"/>
  <c r="U113" i="8"/>
  <c r="AI72" i="8"/>
  <c r="O72" i="8"/>
  <c r="O112" i="8"/>
  <c r="AC71" i="8"/>
  <c r="I71" i="8"/>
  <c r="W70" i="8"/>
  <c r="AK69" i="8"/>
  <c r="AK109" i="8"/>
  <c r="Q69" i="8"/>
  <c r="Q109" i="8"/>
  <c r="AE68" i="8"/>
  <c r="AE108" i="8"/>
  <c r="K68" i="8"/>
  <c r="K108" i="8"/>
  <c r="Y67" i="8"/>
  <c r="Y107" i="8"/>
  <c r="Y147" i="8"/>
  <c r="E67" i="8"/>
  <c r="S66" i="8"/>
  <c r="S146" i="8"/>
  <c r="AG65" i="8"/>
  <c r="M65" i="8"/>
  <c r="M105" i="8"/>
  <c r="AA64" i="8"/>
  <c r="G64" i="8"/>
  <c r="G144" i="8"/>
  <c r="U63" i="8"/>
  <c r="U103" i="8"/>
  <c r="U143" i="8"/>
  <c r="AI62" i="8"/>
  <c r="O62" i="8"/>
  <c r="O102" i="8"/>
  <c r="O142" i="8"/>
  <c r="AC61" i="8"/>
  <c r="AC101" i="8"/>
  <c r="AC141" i="8"/>
  <c r="I61" i="8"/>
  <c r="W60" i="8"/>
  <c r="W100" i="8"/>
  <c r="AK59" i="8"/>
  <c r="Q59" i="8"/>
  <c r="AE58" i="8"/>
  <c r="K58" i="8"/>
  <c r="K98" i="8"/>
  <c r="Y57" i="8"/>
  <c r="Y97" i="8"/>
  <c r="E57" i="8"/>
  <c r="S56" i="8"/>
  <c r="AG55" i="8"/>
  <c r="AG95" i="8"/>
  <c r="M55" i="8"/>
  <c r="M95" i="8"/>
  <c r="AA54" i="8"/>
  <c r="AA94" i="8"/>
  <c r="F54" i="8"/>
  <c r="F94" i="8"/>
  <c r="F134" i="8"/>
  <c r="T53" i="8"/>
  <c r="T93" i="8"/>
  <c r="AH52" i="8"/>
  <c r="AH92" i="8"/>
  <c r="N52" i="8"/>
  <c r="AB51" i="8"/>
  <c r="AB91" i="8"/>
  <c r="H51" i="8"/>
  <c r="H91" i="8"/>
  <c r="V50" i="8"/>
  <c r="V90" i="8"/>
  <c r="V130" i="8"/>
  <c r="AJ49" i="8"/>
  <c r="AJ89" i="8"/>
  <c r="P49" i="8"/>
  <c r="AD48" i="8"/>
  <c r="AD88" i="8"/>
  <c r="J48" i="8"/>
  <c r="J88" i="8"/>
  <c r="X47" i="8"/>
  <c r="X87" i="8"/>
  <c r="X127" i="8"/>
  <c r="AL46" i="8"/>
  <c r="R46" i="8"/>
  <c r="AF45" i="8"/>
  <c r="L45" i="8"/>
  <c r="L85" i="8"/>
  <c r="L125" i="8"/>
  <c r="Z44" i="8"/>
  <c r="F44" i="8"/>
  <c r="AI73" i="8"/>
  <c r="AI153" i="8"/>
  <c r="X77" i="8"/>
  <c r="X117" i="8"/>
  <c r="AL76" i="8"/>
  <c r="AL116" i="8"/>
  <c r="AL156" i="8"/>
  <c r="R76" i="8"/>
  <c r="AF75" i="8"/>
  <c r="L75" i="8"/>
  <c r="Z74" i="8"/>
  <c r="Z114" i="8"/>
  <c r="F74" i="8"/>
  <c r="F114" i="8"/>
  <c r="T73" i="8"/>
  <c r="T113" i="8"/>
  <c r="AH72" i="8"/>
  <c r="N72" i="8"/>
  <c r="N112" i="8"/>
  <c r="AB71" i="8"/>
  <c r="H71" i="8"/>
  <c r="H111" i="8"/>
  <c r="V70" i="8"/>
  <c r="V110" i="8"/>
  <c r="AJ69" i="8"/>
  <c r="P69" i="8"/>
  <c r="P109" i="8"/>
  <c r="AD68" i="8"/>
  <c r="AD108" i="8"/>
  <c r="AD148" i="8"/>
  <c r="J68" i="8"/>
  <c r="X67" i="8"/>
  <c r="X107" i="8"/>
  <c r="AL66" i="8"/>
  <c r="R66" i="8"/>
  <c r="R106" i="8"/>
  <c r="AF65" i="8"/>
  <c r="L65" i="8"/>
  <c r="Z64" i="8"/>
  <c r="Z144" i="8"/>
  <c r="F64" i="8"/>
  <c r="T63" i="8"/>
  <c r="AH62" i="8"/>
  <c r="AH102" i="8"/>
  <c r="N62" i="8"/>
  <c r="N102" i="8"/>
  <c r="AB61" i="8"/>
  <c r="AB101" i="8"/>
  <c r="AB141" i="8"/>
  <c r="H61" i="8"/>
  <c r="V60" i="8"/>
  <c r="V100" i="8"/>
  <c r="V140" i="8"/>
  <c r="AJ59" i="8"/>
  <c r="P59" i="8"/>
  <c r="P99" i="8"/>
  <c r="P139" i="8"/>
  <c r="AD58" i="8"/>
  <c r="J58" i="8"/>
  <c r="X57" i="8"/>
  <c r="AL56" i="8"/>
  <c r="AL96" i="8"/>
  <c r="R56" i="8"/>
  <c r="R96" i="8"/>
  <c r="R136" i="8"/>
  <c r="AF55" i="8"/>
  <c r="AF95" i="8"/>
  <c r="L55" i="8"/>
  <c r="Z54" i="8"/>
  <c r="Z94" i="8"/>
  <c r="E54" i="8"/>
  <c r="S53" i="8"/>
  <c r="AG52" i="8"/>
  <c r="M52" i="8"/>
  <c r="M92" i="8"/>
  <c r="AA51" i="8"/>
  <c r="G51" i="8"/>
  <c r="U50" i="8"/>
  <c r="AI49" i="8"/>
  <c r="AI89" i="8"/>
  <c r="O49" i="8"/>
  <c r="O89" i="8"/>
  <c r="O129" i="8"/>
  <c r="AC48" i="8"/>
  <c r="I48" i="8"/>
  <c r="I88" i="8"/>
  <c r="W47" i="8"/>
  <c r="AK46" i="8"/>
  <c r="AK86" i="8"/>
  <c r="AK126" i="8"/>
  <c r="Q46" i="8"/>
  <c r="AE45" i="8"/>
  <c r="K45" i="8"/>
  <c r="K125" i="8"/>
  <c r="Y44" i="8"/>
  <c r="E44" i="8"/>
  <c r="G75" i="8"/>
  <c r="M66" i="8"/>
  <c r="M106" i="8"/>
  <c r="G65" i="8"/>
  <c r="G105" i="8"/>
  <c r="G145" i="8"/>
  <c r="AI63" i="8"/>
  <c r="AI103" i="8"/>
  <c r="AC62" i="8"/>
  <c r="AC102" i="8"/>
  <c r="W61" i="8"/>
  <c r="W101" i="8"/>
  <c r="W141" i="8"/>
  <c r="Q60" i="8"/>
  <c r="Q100" i="8"/>
  <c r="K59" i="8"/>
  <c r="K99" i="8"/>
  <c r="E58" i="8"/>
  <c r="E98" i="8"/>
  <c r="E138" i="8"/>
  <c r="M56" i="8"/>
  <c r="M136" i="8"/>
  <c r="AA55" i="8"/>
  <c r="AA95" i="8"/>
  <c r="U54" i="8"/>
  <c r="U94" i="8"/>
  <c r="U134" i="8"/>
  <c r="N53" i="8"/>
  <c r="N93" i="8"/>
  <c r="N133" i="8"/>
  <c r="H52" i="8"/>
  <c r="H92" i="8"/>
  <c r="AJ50" i="8"/>
  <c r="AJ90" i="8"/>
  <c r="AD49" i="8"/>
  <c r="AD89" i="8"/>
  <c r="X48" i="8"/>
  <c r="X88" i="8"/>
  <c r="X128" i="8"/>
  <c r="R47" i="8"/>
  <c r="R87" i="8"/>
  <c r="L46" i="8"/>
  <c r="L86" i="8"/>
  <c r="L126" i="8"/>
  <c r="F45" i="8"/>
  <c r="F85" i="8"/>
  <c r="F125" i="8"/>
  <c r="W77" i="8"/>
  <c r="W117" i="8"/>
  <c r="AK76" i="8"/>
  <c r="AK156" i="8"/>
  <c r="Q76" i="8"/>
  <c r="Q116" i="8"/>
  <c r="AE75" i="8"/>
  <c r="AE115" i="8"/>
  <c r="K75" i="8"/>
  <c r="Y74" i="8"/>
  <c r="E74" i="8"/>
  <c r="S73" i="8"/>
  <c r="S113" i="8"/>
  <c r="AG72" i="8"/>
  <c r="AG112" i="8"/>
  <c r="AG152" i="8"/>
  <c r="M72" i="8"/>
  <c r="AA71" i="8"/>
  <c r="G71" i="8"/>
  <c r="U70" i="8"/>
  <c r="U110" i="8"/>
  <c r="AI69" i="8"/>
  <c r="O69" i="8"/>
  <c r="O109" i="8"/>
  <c r="AC68" i="8"/>
  <c r="I68" i="8"/>
  <c r="I108" i="8"/>
  <c r="W67" i="8"/>
  <c r="W107" i="8"/>
  <c r="W147" i="8"/>
  <c r="AK66" i="8"/>
  <c r="AK106" i="8"/>
  <c r="Q66" i="8"/>
  <c r="AE65" i="8"/>
  <c r="AE105" i="8"/>
  <c r="K65" i="8"/>
  <c r="Y64" i="8"/>
  <c r="Y104" i="8"/>
  <c r="Y144" i="8"/>
  <c r="E64" i="8"/>
  <c r="S63" i="8"/>
  <c r="AG62" i="8"/>
  <c r="M62" i="8"/>
  <c r="M102" i="8"/>
  <c r="M142" i="8"/>
  <c r="AA61" i="8"/>
  <c r="AA101" i="8"/>
  <c r="AA141" i="8"/>
  <c r="G61" i="8"/>
  <c r="G101" i="8"/>
  <c r="G141" i="8"/>
  <c r="U60" i="8"/>
  <c r="AI59" i="8"/>
  <c r="AI99" i="8"/>
  <c r="O59" i="8"/>
  <c r="AC58" i="8"/>
  <c r="AC98" i="8"/>
  <c r="I58" i="8"/>
  <c r="W57" i="8"/>
  <c r="AK56" i="8"/>
  <c r="Q56" i="8"/>
  <c r="Q136" i="8"/>
  <c r="AE55" i="8"/>
  <c r="AE95" i="8"/>
  <c r="K55" i="8"/>
  <c r="K95" i="8"/>
  <c r="K135" i="8"/>
  <c r="Y54" i="8"/>
  <c r="AL53" i="8"/>
  <c r="AL93" i="8"/>
  <c r="R53" i="8"/>
  <c r="R93" i="8"/>
  <c r="AF52" i="8"/>
  <c r="L52" i="8"/>
  <c r="L92" i="8"/>
  <c r="L132" i="8"/>
  <c r="Z51" i="8"/>
  <c r="F51" i="8"/>
  <c r="F91" i="8"/>
  <c r="F131" i="8"/>
  <c r="T50" i="8"/>
  <c r="AH49" i="8"/>
  <c r="AH89" i="8"/>
  <c r="N49" i="8"/>
  <c r="AB48" i="8"/>
  <c r="AB88" i="8"/>
  <c r="AB128" i="8"/>
  <c r="H48" i="8"/>
  <c r="H88" i="8"/>
  <c r="H128" i="8"/>
  <c r="V47" i="8"/>
  <c r="V87" i="8"/>
  <c r="V127" i="8"/>
  <c r="AJ46" i="8"/>
  <c r="P46" i="8"/>
  <c r="P86" i="8"/>
  <c r="P126" i="8"/>
  <c r="AD45" i="8"/>
  <c r="J45" i="8"/>
  <c r="J85" i="8"/>
  <c r="J125" i="8"/>
  <c r="X44" i="8"/>
  <c r="L54" i="8"/>
  <c r="L94" i="8"/>
  <c r="AA75" i="8"/>
  <c r="AA115" i="8"/>
  <c r="V77" i="8"/>
  <c r="V117" i="8"/>
  <c r="AJ76" i="8"/>
  <c r="AJ116" i="8"/>
  <c r="AJ156" i="8"/>
  <c r="P76" i="8"/>
  <c r="AD75" i="8"/>
  <c r="AD115" i="8"/>
  <c r="J75" i="8"/>
  <c r="X74" i="8"/>
  <c r="X114" i="8"/>
  <c r="AL73" i="8"/>
  <c r="R73" i="8"/>
  <c r="R113" i="8"/>
  <c r="AF72" i="8"/>
  <c r="L72" i="8"/>
  <c r="L112" i="8"/>
  <c r="Z71" i="8"/>
  <c r="Z111" i="8"/>
  <c r="F71" i="8"/>
  <c r="F111" i="8"/>
  <c r="T70" i="8"/>
  <c r="AH69" i="8"/>
  <c r="AH109" i="8"/>
  <c r="N69" i="8"/>
  <c r="N109" i="8"/>
  <c r="AB68" i="8"/>
  <c r="AB108" i="8"/>
  <c r="H68" i="8"/>
  <c r="V67" i="8"/>
  <c r="AJ66" i="8"/>
  <c r="P66" i="8"/>
  <c r="P106" i="8"/>
  <c r="AD65" i="8"/>
  <c r="AD105" i="8"/>
  <c r="J65" i="8"/>
  <c r="J105" i="8"/>
  <c r="X64" i="8"/>
  <c r="AL63" i="8"/>
  <c r="AL103" i="8"/>
  <c r="R63" i="8"/>
  <c r="AF62" i="8"/>
  <c r="AF102" i="8"/>
  <c r="L62" i="8"/>
  <c r="L142" i="8"/>
  <c r="Z61" i="8"/>
  <c r="F61" i="8"/>
  <c r="T60" i="8"/>
  <c r="T100" i="8"/>
  <c r="T140" i="8"/>
  <c r="AH59" i="8"/>
  <c r="AH99" i="8"/>
  <c r="N59" i="8"/>
  <c r="N99" i="8"/>
  <c r="AB58" i="8"/>
  <c r="H58" i="8"/>
  <c r="H98" i="8"/>
  <c r="V57" i="8"/>
  <c r="AJ56" i="8"/>
  <c r="P56" i="8"/>
  <c r="AD55" i="8"/>
  <c r="J55" i="8"/>
  <c r="X54" i="8"/>
  <c r="X94" i="8"/>
  <c r="AK53" i="8"/>
  <c r="Q53" i="8"/>
  <c r="Q93" i="8"/>
  <c r="Q133" i="8"/>
  <c r="AE52" i="8"/>
  <c r="AE92" i="8"/>
  <c r="K52" i="8"/>
  <c r="K92" i="8"/>
  <c r="K132" i="8"/>
  <c r="Y51" i="8"/>
  <c r="E51" i="8"/>
  <c r="E91" i="8"/>
  <c r="E131" i="8"/>
  <c r="S50" i="8"/>
  <c r="AG49" i="8"/>
  <c r="AG89" i="8"/>
  <c r="M49" i="8"/>
  <c r="AA48" i="8"/>
  <c r="G48" i="8"/>
  <c r="U47" i="8"/>
  <c r="U87" i="8"/>
  <c r="U127" i="8"/>
  <c r="AI46" i="8"/>
  <c r="AI86" i="8"/>
  <c r="O46" i="8"/>
  <c r="O86" i="8"/>
  <c r="O126" i="8"/>
  <c r="AC45" i="8"/>
  <c r="I45" i="8"/>
  <c r="I85" i="8"/>
  <c r="I125" i="8"/>
  <c r="W44" i="8"/>
  <c r="M76" i="8"/>
  <c r="M116" i="8"/>
  <c r="U77" i="8"/>
  <c r="AI76" i="8"/>
  <c r="O76" i="8"/>
  <c r="O116" i="8"/>
  <c r="AC75" i="8"/>
  <c r="AC115" i="8"/>
  <c r="I75" i="8"/>
  <c r="I115" i="8"/>
  <c r="W74" i="8"/>
  <c r="AK73" i="8"/>
  <c r="AK113" i="8"/>
  <c r="Q73" i="8"/>
  <c r="AE72" i="8"/>
  <c r="AE112" i="8"/>
  <c r="K72" i="8"/>
  <c r="Y71" i="8"/>
  <c r="E71" i="8"/>
  <c r="S70" i="8"/>
  <c r="S110" i="8"/>
  <c r="AG69" i="8"/>
  <c r="AG109" i="8"/>
  <c r="M69" i="8"/>
  <c r="AA68" i="8"/>
  <c r="AA108" i="8"/>
  <c r="G68" i="8"/>
  <c r="U67" i="8"/>
  <c r="U147" i="8"/>
  <c r="AI66" i="8"/>
  <c r="O66" i="8"/>
  <c r="AC65" i="8"/>
  <c r="AC105" i="8"/>
  <c r="I65" i="8"/>
  <c r="I105" i="8"/>
  <c r="I145" i="8"/>
  <c r="W64" i="8"/>
  <c r="W104" i="8"/>
  <c r="W144" i="8"/>
  <c r="AK63" i="8"/>
  <c r="AK103" i="8"/>
  <c r="AK143" i="8"/>
  <c r="Q63" i="8"/>
  <c r="AE62" i="8"/>
  <c r="AE102" i="8"/>
  <c r="K62" i="8"/>
  <c r="K102" i="8"/>
  <c r="Y61" i="8"/>
  <c r="Y101" i="8"/>
  <c r="Y141" i="8"/>
  <c r="E61" i="8"/>
  <c r="S60" i="8"/>
  <c r="S140" i="8"/>
  <c r="AG59" i="8"/>
  <c r="M59" i="8"/>
  <c r="M99" i="8"/>
  <c r="M139" i="8"/>
  <c r="AA58" i="8"/>
  <c r="AA98" i="8"/>
  <c r="AA138" i="8"/>
  <c r="G58" i="8"/>
  <c r="G98" i="8"/>
  <c r="G138" i="8"/>
  <c r="U57" i="8"/>
  <c r="AI56" i="8"/>
  <c r="AI96" i="8"/>
  <c r="O56" i="8"/>
  <c r="O96" i="8"/>
  <c r="O136" i="8"/>
  <c r="AC55" i="8"/>
  <c r="AC95" i="8"/>
  <c r="I55" i="8"/>
  <c r="W54" i="8"/>
  <c r="AJ53" i="8"/>
  <c r="AJ93" i="8"/>
  <c r="P53" i="8"/>
  <c r="P93" i="8"/>
  <c r="P133" i="8"/>
  <c r="AD52" i="8"/>
  <c r="J52" i="8"/>
  <c r="X51" i="8"/>
  <c r="X91" i="8"/>
  <c r="AL50" i="8"/>
  <c r="AL90" i="8"/>
  <c r="R50" i="8"/>
  <c r="R90" i="8"/>
  <c r="AF49" i="8"/>
  <c r="AF89" i="8"/>
  <c r="L49" i="8"/>
  <c r="L89" i="8"/>
  <c r="L129" i="8"/>
  <c r="Z48" i="8"/>
  <c r="F48" i="8"/>
  <c r="F88" i="8"/>
  <c r="F128" i="8"/>
  <c r="T47" i="8"/>
  <c r="T87" i="8"/>
  <c r="T127" i="8"/>
  <c r="AH46" i="8"/>
  <c r="AH86" i="8"/>
  <c r="N46" i="8"/>
  <c r="N86" i="8"/>
  <c r="N126" i="8"/>
  <c r="AB45" i="8"/>
  <c r="H45" i="8"/>
  <c r="H85" i="8"/>
  <c r="H125" i="8"/>
  <c r="V44" i="8"/>
  <c r="V84" i="8"/>
  <c r="V124" i="8"/>
  <c r="AG76" i="8"/>
  <c r="AG116" i="8"/>
  <c r="AG156" i="8"/>
  <c r="T77" i="8"/>
  <c r="T117" i="8"/>
  <c r="AH76" i="8"/>
  <c r="AH116" i="8"/>
  <c r="N76" i="8"/>
  <c r="AB75" i="8"/>
  <c r="H75" i="8"/>
  <c r="H115" i="8"/>
  <c r="V74" i="8"/>
  <c r="V114" i="8"/>
  <c r="AJ73" i="8"/>
  <c r="P73" i="8"/>
  <c r="AD72" i="8"/>
  <c r="AD112" i="8"/>
  <c r="J72" i="8"/>
  <c r="J112" i="8"/>
  <c r="X71" i="8"/>
  <c r="AL70" i="8"/>
  <c r="AL110" i="8"/>
  <c r="R70" i="8"/>
  <c r="AF69" i="8"/>
  <c r="AF109" i="8"/>
  <c r="L69" i="8"/>
  <c r="Z68" i="8"/>
  <c r="Z148" i="8"/>
  <c r="F68" i="8"/>
  <c r="T67" i="8"/>
  <c r="AH66" i="8"/>
  <c r="N66" i="8"/>
  <c r="N106" i="8"/>
  <c r="AB65" i="8"/>
  <c r="AB105" i="8"/>
  <c r="AB145" i="8"/>
  <c r="H65" i="8"/>
  <c r="H105" i="8"/>
  <c r="V64" i="8"/>
  <c r="AJ63" i="8"/>
  <c r="AJ103" i="8"/>
  <c r="P63" i="8"/>
  <c r="AD62" i="8"/>
  <c r="AD102" i="8"/>
  <c r="AD142" i="8"/>
  <c r="J62" i="8"/>
  <c r="X61" i="8"/>
  <c r="X141" i="8"/>
  <c r="AL60" i="8"/>
  <c r="R60" i="8"/>
  <c r="R100" i="8"/>
  <c r="AF59" i="8"/>
  <c r="AF99" i="8"/>
  <c r="L59" i="8"/>
  <c r="L99" i="8"/>
  <c r="L139" i="8"/>
  <c r="Z58" i="8"/>
  <c r="F58" i="8"/>
  <c r="F98" i="8"/>
  <c r="F138" i="8"/>
  <c r="T57" i="8"/>
  <c r="AH56" i="8"/>
  <c r="N56" i="8"/>
  <c r="AB55" i="8"/>
  <c r="H55" i="8"/>
  <c r="V54" i="8"/>
  <c r="V94" i="8"/>
  <c r="V134" i="8"/>
  <c r="AI53" i="8"/>
  <c r="AI93" i="8"/>
  <c r="O53" i="8"/>
  <c r="O93" i="8"/>
  <c r="O133" i="8"/>
  <c r="AC52" i="8"/>
  <c r="I52" i="8"/>
  <c r="I92" i="8"/>
  <c r="I132" i="8"/>
  <c r="W51" i="8"/>
  <c r="AK50" i="8"/>
  <c r="AK90" i="8"/>
  <c r="Q50" i="8"/>
  <c r="Q90" i="8"/>
  <c r="AE49" i="8"/>
  <c r="AE89" i="8"/>
  <c r="K49" i="8"/>
  <c r="K129" i="8"/>
  <c r="Y48" i="8"/>
  <c r="Y88" i="8"/>
  <c r="Y128" i="8"/>
  <c r="E48" i="8"/>
  <c r="S47" i="8"/>
  <c r="S87" i="8"/>
  <c r="AG46" i="8"/>
  <c r="M46" i="8"/>
  <c r="M86" i="8"/>
  <c r="M126" i="8"/>
  <c r="AA45" i="8"/>
  <c r="AA85" i="8"/>
  <c r="G45" i="8"/>
  <c r="G85" i="8"/>
  <c r="G125" i="8"/>
  <c r="U44" i="8"/>
  <c r="S77" i="8"/>
  <c r="AA65" i="8"/>
  <c r="AA105" i="8"/>
  <c r="AA145" i="8"/>
  <c r="U64" i="8"/>
  <c r="U144" i="8"/>
  <c r="O63" i="8"/>
  <c r="O103" i="8"/>
  <c r="I62" i="8"/>
  <c r="AK60" i="8"/>
  <c r="AK100" i="8"/>
  <c r="AE59" i="8"/>
  <c r="AE99" i="8"/>
  <c r="Y58" i="8"/>
  <c r="S57" i="8"/>
  <c r="S97" i="8"/>
  <c r="AG56" i="8"/>
  <c r="AG96" i="8"/>
  <c r="G55" i="8"/>
  <c r="G95" i="8"/>
  <c r="AH53" i="8"/>
  <c r="AB52" i="8"/>
  <c r="AB92" i="8"/>
  <c r="V51" i="8"/>
  <c r="V91" i="8"/>
  <c r="P50" i="8"/>
  <c r="P90" i="8"/>
  <c r="J49" i="8"/>
  <c r="AL47" i="8"/>
  <c r="AF46" i="8"/>
  <c r="AF86" i="8"/>
  <c r="Z45" i="8"/>
  <c r="T44" i="8"/>
  <c r="G102" i="8"/>
  <c r="Z112" i="8"/>
  <c r="H89" i="8"/>
  <c r="Y108" i="8"/>
  <c r="Y148" i="8"/>
  <c r="R91" i="8"/>
  <c r="U101" i="8"/>
  <c r="U141" i="8"/>
  <c r="N100" i="8"/>
  <c r="G99" i="8"/>
  <c r="Z109" i="8"/>
  <c r="K106" i="8"/>
  <c r="AB99" i="8"/>
  <c r="AC86" i="8"/>
  <c r="AC126" i="8"/>
  <c r="V101" i="8"/>
  <c r="V141" i="8"/>
  <c r="O100" i="8"/>
  <c r="O140" i="8"/>
  <c r="H99" i="8"/>
  <c r="P87" i="8"/>
  <c r="I86" i="8"/>
  <c r="I126" i="8"/>
  <c r="AB96" i="8"/>
  <c r="AJ84" i="8"/>
  <c r="AJ124" i="8"/>
  <c r="S94" i="8"/>
  <c r="S134" i="8"/>
  <c r="P114" i="8"/>
  <c r="AK87" i="8"/>
  <c r="H96" i="8"/>
  <c r="H112" i="8"/>
  <c r="AI110" i="8"/>
  <c r="AB109" i="8"/>
  <c r="J86" i="8"/>
  <c r="U108" i="8"/>
  <c r="V95" i="8"/>
  <c r="V135" i="8"/>
  <c r="AE86" i="8"/>
  <c r="X125" i="8"/>
  <c r="Q124" i="8"/>
  <c r="AK97" i="8"/>
  <c r="K86" i="8"/>
  <c r="K126" i="8"/>
  <c r="V108" i="8"/>
  <c r="V148" i="8"/>
  <c r="AD96" i="8"/>
  <c r="O107" i="8"/>
  <c r="W95" i="8"/>
  <c r="H106" i="8"/>
  <c r="P94" i="8"/>
  <c r="P134" i="8"/>
  <c r="AA116" i="8"/>
  <c r="I93" i="8"/>
  <c r="P110" i="8"/>
  <c r="X98" i="8"/>
  <c r="Y85" i="8"/>
  <c r="Y125" i="8"/>
  <c r="J96" i="8"/>
  <c r="R84" i="8"/>
  <c r="AC106" i="8"/>
  <c r="AK94" i="8"/>
  <c r="N117" i="8"/>
  <c r="AD93" i="8"/>
  <c r="G116" i="8"/>
  <c r="W92" i="8"/>
  <c r="W132" i="8"/>
  <c r="K109" i="8"/>
  <c r="AD109" i="8"/>
  <c r="AD149" i="8"/>
  <c r="W108" i="8"/>
  <c r="P107" i="8"/>
  <c r="X95" i="8"/>
  <c r="AI117" i="8"/>
  <c r="I146" i="8"/>
  <c r="AK91" i="8"/>
  <c r="R97" i="8"/>
  <c r="W105" i="8"/>
  <c r="L96" i="8"/>
  <c r="L136" i="8"/>
  <c r="X108" i="8"/>
  <c r="X148" i="8"/>
  <c r="AF96" i="8"/>
  <c r="Y95" i="8"/>
  <c r="AJ117" i="8"/>
  <c r="AJ157" i="8"/>
  <c r="AK104" i="8"/>
  <c r="AL91" i="8"/>
  <c r="AL107" i="8"/>
  <c r="Q104" i="8"/>
  <c r="AK117" i="8"/>
  <c r="AK157" i="8"/>
  <c r="AF90" i="8"/>
  <c r="R107" i="8"/>
  <c r="Y89" i="8"/>
  <c r="AE103" i="8"/>
  <c r="J116" i="8"/>
  <c r="W115" i="8"/>
  <c r="AL104" i="8"/>
  <c r="L93" i="8"/>
  <c r="L133" i="8"/>
  <c r="AH153" i="8"/>
  <c r="F105" i="8"/>
  <c r="F145" i="8"/>
  <c r="AH103" i="8"/>
  <c r="AB102" i="8"/>
  <c r="AB142" i="8"/>
  <c r="T94" i="8"/>
  <c r="T134" i="8"/>
  <c r="E105" i="8"/>
  <c r="E145" i="8"/>
  <c r="I99" i="8"/>
  <c r="I139" i="8"/>
  <c r="W98" i="8"/>
  <c r="Q97" i="8"/>
  <c r="Q137" i="8"/>
  <c r="AE96" i="8"/>
  <c r="M93" i="8"/>
  <c r="M133" i="8"/>
  <c r="G92" i="8"/>
  <c r="G132" i="8"/>
  <c r="Z102" i="8"/>
  <c r="Z142" i="8"/>
  <c r="F102" i="8"/>
  <c r="F142" i="8"/>
  <c r="T101" i="8"/>
  <c r="F92" i="8"/>
  <c r="N90" i="8"/>
  <c r="N130" i="8"/>
  <c r="Y142" i="8"/>
  <c r="S101" i="8"/>
  <c r="S141" i="8"/>
  <c r="AG100" i="8"/>
  <c r="AI97" i="8"/>
  <c r="K93" i="8"/>
  <c r="K133" i="8"/>
  <c r="AA89" i="8"/>
  <c r="G89" i="8"/>
  <c r="G129" i="8"/>
  <c r="L100" i="8"/>
  <c r="Z89" i="8"/>
  <c r="T88" i="8"/>
  <c r="T128" i="8"/>
  <c r="AH87" i="8"/>
  <c r="H86" i="8"/>
  <c r="M87" i="8"/>
  <c r="G86" i="8"/>
  <c r="G126" i="8"/>
  <c r="U125" i="8"/>
  <c r="AI84" i="8"/>
  <c r="AH117" i="8"/>
  <c r="AL111" i="8"/>
  <c r="R111" i="8"/>
  <c r="F109" i="8"/>
  <c r="T108" i="8"/>
  <c r="V105" i="8"/>
  <c r="V145" i="8"/>
  <c r="X102" i="8"/>
  <c r="X142" i="8"/>
  <c r="Z99" i="8"/>
  <c r="F99" i="8"/>
  <c r="F89" i="8"/>
  <c r="Q91" i="8"/>
  <c r="K90" i="8"/>
  <c r="AA86" i="8"/>
  <c r="AA126" i="8"/>
  <c r="W88" i="8"/>
  <c r="W128" i="8"/>
  <c r="AI90" i="8"/>
  <c r="AC89" i="8"/>
  <c r="Q87" i="8"/>
  <c r="O90" i="8"/>
  <c r="V128" i="8"/>
  <c r="AL117" i="8"/>
  <c r="AL157" i="8"/>
  <c r="K154" i="8"/>
  <c r="AL153" i="8"/>
  <c r="AI133" i="8"/>
  <c r="AA142" i="8"/>
  <c r="AA102" i="8"/>
  <c r="AC132" i="8"/>
  <c r="AA155" i="8"/>
  <c r="AK130" i="8"/>
  <c r="R139" i="8"/>
  <c r="I149" i="8"/>
  <c r="I109" i="8"/>
  <c r="J140" i="8"/>
  <c r="AA157" i="8"/>
  <c r="X155" i="8"/>
  <c r="X115" i="8"/>
  <c r="R154" i="8"/>
  <c r="R114" i="8"/>
  <c r="AL148" i="8"/>
  <c r="K147" i="8"/>
  <c r="AF131" i="8"/>
  <c r="AA136" i="8"/>
  <c r="H139" i="8"/>
  <c r="AB136" i="8"/>
  <c r="Y156" i="8"/>
  <c r="X150" i="8"/>
  <c r="T153" i="8"/>
  <c r="AJ129" i="8"/>
  <c r="F135" i="8"/>
  <c r="Q157" i="8"/>
  <c r="R152" i="8"/>
  <c r="AH128" i="8"/>
  <c r="G154" i="8"/>
  <c r="AA151" i="8"/>
  <c r="AI139" i="8"/>
  <c r="L146" i="8"/>
  <c r="L106" i="8"/>
  <c r="AE156" i="8"/>
  <c r="AE116" i="8"/>
  <c r="AB149" i="8"/>
  <c r="AJ137" i="8"/>
  <c r="AJ97" i="8"/>
  <c r="AG157" i="8"/>
  <c r="AA143" i="8"/>
  <c r="AF151" i="8"/>
  <c r="N128" i="8"/>
  <c r="Y150" i="8"/>
  <c r="AG138" i="8"/>
  <c r="R149" i="8"/>
  <c r="U153" i="8"/>
  <c r="AK129" i="8"/>
  <c r="N152" i="8"/>
  <c r="AD128" i="8"/>
  <c r="R157" i="8"/>
  <c r="H109" i="8"/>
  <c r="P97" i="8"/>
  <c r="I136" i="8"/>
  <c r="M157" i="8"/>
  <c r="N144" i="8"/>
  <c r="AG154" i="8"/>
  <c r="Z153" i="8"/>
  <c r="AH141" i="8"/>
  <c r="H130" i="8"/>
  <c r="S152" i="8"/>
  <c r="AA140" i="8"/>
  <c r="AI128" i="8"/>
  <c r="L151" i="8"/>
  <c r="AB127" i="8"/>
  <c r="AF148" i="8"/>
  <c r="AI152" i="8"/>
  <c r="AB151" i="8"/>
  <c r="U150" i="8"/>
  <c r="AC138" i="8"/>
  <c r="AF156" i="8"/>
  <c r="AF116" i="8"/>
  <c r="Y155" i="8"/>
  <c r="Y115" i="8"/>
  <c r="AD136" i="8"/>
  <c r="O147" i="8"/>
  <c r="W135" i="8"/>
  <c r="AH157" i="8"/>
  <c r="H146" i="8"/>
  <c r="AA156" i="8"/>
  <c r="AI144" i="8"/>
  <c r="I133" i="8"/>
  <c r="M154" i="8"/>
  <c r="F153" i="8"/>
  <c r="S149" i="8"/>
  <c r="AI125" i="8"/>
  <c r="L148" i="8"/>
  <c r="O152" i="8"/>
  <c r="AE128" i="8"/>
  <c r="H151" i="8"/>
  <c r="AI149" i="8"/>
  <c r="L156" i="8"/>
  <c r="L116" i="8"/>
  <c r="T144" i="8"/>
  <c r="T104" i="8"/>
  <c r="AB132" i="8"/>
  <c r="AJ147" i="8"/>
  <c r="AJ107" i="8"/>
  <c r="J136" i="8"/>
  <c r="R124" i="8"/>
  <c r="AC146" i="8"/>
  <c r="AK134" i="8"/>
  <c r="N157" i="8"/>
  <c r="AD133" i="8"/>
  <c r="G156" i="8"/>
  <c r="O144" i="8"/>
  <c r="AA153" i="8"/>
  <c r="AI141" i="8"/>
  <c r="T152" i="8"/>
  <c r="AJ128" i="8"/>
  <c r="M151" i="8"/>
  <c r="AC127" i="8"/>
  <c r="F150" i="8"/>
  <c r="N138" i="8"/>
  <c r="AG148" i="8"/>
  <c r="G137" i="8"/>
  <c r="O125" i="8"/>
  <c r="Z155" i="8"/>
  <c r="Z115" i="8"/>
  <c r="AH143" i="8"/>
  <c r="H132" i="8"/>
  <c r="S154" i="8"/>
  <c r="S114" i="8"/>
  <c r="X135" i="8"/>
  <c r="AB156" i="8"/>
  <c r="N154" i="8"/>
  <c r="AH151" i="8"/>
  <c r="P128" i="8"/>
  <c r="AB137" i="8"/>
  <c r="AJ125" i="8"/>
  <c r="Q139" i="8"/>
  <c r="R126" i="8"/>
  <c r="F155" i="8"/>
  <c r="O117" i="8"/>
  <c r="AE133" i="8"/>
  <c r="X132" i="8"/>
  <c r="AB153" i="8"/>
  <c r="N151" i="8"/>
  <c r="AD127" i="8"/>
  <c r="G150" i="8"/>
  <c r="AE138" i="8"/>
  <c r="P149" i="8"/>
  <c r="AF125" i="8"/>
  <c r="I148" i="8"/>
  <c r="AF138" i="8"/>
  <c r="G152" i="8"/>
  <c r="G112" i="8"/>
  <c r="AK150" i="8"/>
  <c r="Z137" i="8"/>
  <c r="AF149" i="8"/>
  <c r="F137" i="8"/>
  <c r="AA112" i="8"/>
  <c r="J146" i="8"/>
  <c r="V155" i="8"/>
  <c r="AE130" i="8"/>
  <c r="P141" i="8"/>
  <c r="X129" i="8"/>
  <c r="Q128" i="8"/>
  <c r="AK125" i="8"/>
  <c r="N148" i="8"/>
  <c r="V136" i="8"/>
  <c r="AK149" i="8"/>
  <c r="K138" i="8"/>
  <c r="AL136" i="8"/>
  <c r="AE135" i="8"/>
  <c r="L152" i="8"/>
  <c r="S150" i="8"/>
  <c r="T136" i="8"/>
  <c r="Q127" i="8"/>
  <c r="AH135" i="8"/>
  <c r="K146" i="8"/>
  <c r="I156" i="8"/>
  <c r="I116" i="8"/>
  <c r="V152" i="8"/>
  <c r="AD140" i="8"/>
  <c r="AL128" i="8"/>
  <c r="O151" i="8"/>
  <c r="AE127" i="8"/>
  <c r="H150" i="8"/>
  <c r="P138" i="8"/>
  <c r="AI148" i="8"/>
  <c r="I137" i="8"/>
  <c r="Q125" i="8"/>
  <c r="AJ135" i="8"/>
  <c r="U146" i="8"/>
  <c r="AC134" i="8"/>
  <c r="N145" i="8"/>
  <c r="Q149" i="8"/>
  <c r="Y137" i="8"/>
  <c r="AG125" i="8"/>
  <c r="J148" i="8"/>
  <c r="AK146" i="8"/>
  <c r="Z151" i="8"/>
  <c r="AH139" i="8"/>
  <c r="AG149" i="8"/>
  <c r="AJ143" i="8"/>
  <c r="V133" i="8"/>
  <c r="M143" i="8"/>
  <c r="M103" i="8"/>
  <c r="AJ132" i="8"/>
  <c r="J142" i="8"/>
  <c r="X147" i="8"/>
  <c r="AF135" i="8"/>
  <c r="F151" i="8"/>
  <c r="N139" i="8"/>
  <c r="M149" i="8"/>
  <c r="AD131" i="8"/>
  <c r="R140" i="8"/>
  <c r="G155" i="8"/>
  <c r="AF139" i="8"/>
  <c r="AL129" i="8"/>
  <c r="AH136" i="8"/>
  <c r="AE143" i="8"/>
  <c r="Q138" i="8"/>
  <c r="O145" i="8"/>
  <c r="K148" i="8"/>
  <c r="AL146" i="8"/>
  <c r="W157" i="8"/>
  <c r="AE145" i="8"/>
  <c r="AA148" i="8"/>
  <c r="W151" i="8"/>
  <c r="AC149" i="8"/>
  <c r="AC109" i="8"/>
  <c r="AE136" i="8"/>
  <c r="AF133" i="8"/>
  <c r="I153" i="8"/>
  <c r="Q154" i="8"/>
  <c r="P148" i="8"/>
  <c r="AB157" i="8"/>
  <c r="AJ145" i="8"/>
  <c r="U156" i="8"/>
  <c r="AC144" i="8"/>
  <c r="AK132" i="8"/>
  <c r="N155" i="8"/>
  <c r="AG135" i="8"/>
  <c r="R146" i="8"/>
  <c r="Z134" i="8"/>
  <c r="S133" i="8"/>
  <c r="AH149" i="8"/>
  <c r="H138" i="8"/>
  <c r="AB135" i="8"/>
  <c r="Q144" i="8"/>
  <c r="O148" i="8"/>
  <c r="AK154" i="8"/>
  <c r="J150" i="8"/>
  <c r="H157" i="8"/>
  <c r="P145" i="8"/>
  <c r="X133" i="8"/>
  <c r="AI155" i="8"/>
  <c r="AB154" i="8"/>
  <c r="AJ142" i="8"/>
  <c r="AF145" i="8"/>
  <c r="AG132" i="8"/>
  <c r="V137" i="8"/>
  <c r="AJ133" i="8"/>
  <c r="AG143" i="8"/>
  <c r="AG103" i="8"/>
  <c r="AC142" i="8"/>
  <c r="AF129" i="8"/>
  <c r="AC129" i="8"/>
  <c r="AJ130" i="8"/>
  <c r="T156" i="8"/>
  <c r="AE134" i="8"/>
  <c r="J147" i="8"/>
  <c r="R135" i="8"/>
  <c r="V156" i="8"/>
  <c r="O155" i="8"/>
  <c r="AE131" i="8"/>
  <c r="H154" i="8"/>
  <c r="AA134" i="8"/>
  <c r="L145" i="8"/>
  <c r="T133" i="8"/>
  <c r="AE155" i="8"/>
  <c r="AB148" i="8"/>
  <c r="AJ136" i="8"/>
  <c r="S157" i="8"/>
  <c r="X131" i="8"/>
  <c r="AL130" i="8"/>
  <c r="U154" i="8"/>
  <c r="R130" i="8"/>
  <c r="M153" i="8"/>
  <c r="M113" i="8"/>
  <c r="AK127" i="8"/>
  <c r="P154" i="8"/>
  <c r="W146" i="8"/>
  <c r="K153" i="8"/>
  <c r="K113" i="8"/>
  <c r="R151" i="8"/>
  <c r="AE147" i="8"/>
  <c r="X146" i="8"/>
  <c r="AF134" i="8"/>
  <c r="I157" i="8"/>
  <c r="Q145" i="8"/>
  <c r="Y133" i="8"/>
  <c r="J144" i="8"/>
  <c r="AC154" i="8"/>
  <c r="AK142" i="8"/>
  <c r="V153" i="8"/>
  <c r="R156" i="8"/>
  <c r="K155" i="8"/>
  <c r="I152" i="8"/>
  <c r="AL150" i="8"/>
  <c r="AK137" i="8"/>
  <c r="K149" i="8"/>
  <c r="AE125" i="8"/>
  <c r="AL144" i="8"/>
  <c r="W136" i="8"/>
  <c r="P140" i="8"/>
  <c r="P100" i="8"/>
  <c r="Y139" i="8"/>
  <c r="AL151" i="8"/>
  <c r="AL137" i="8"/>
  <c r="AL97" i="8"/>
  <c r="Y130" i="8"/>
  <c r="AJ152" i="8"/>
  <c r="AC145" i="8"/>
  <c r="S127" i="8"/>
  <c r="Q147" i="8"/>
  <c r="Q107" i="8"/>
  <c r="AH126" i="8"/>
  <c r="Y135" i="8"/>
  <c r="M146" i="8"/>
  <c r="H145" i="8"/>
  <c r="AC152" i="8"/>
  <c r="W155" i="8"/>
  <c r="AI145" i="8"/>
  <c r="L143" i="8"/>
  <c r="L103" i="8"/>
  <c r="R127" i="8"/>
  <c r="M127" i="8"/>
  <c r="P150" i="8"/>
  <c r="Z139" i="8"/>
  <c r="AE141" i="8"/>
  <c r="P152" i="8"/>
  <c r="S156" i="8"/>
  <c r="U130" i="8"/>
  <c r="J135" i="8"/>
  <c r="AG133" i="8"/>
  <c r="O143" i="8"/>
  <c r="AD156" i="8"/>
  <c r="AD116" i="8"/>
  <c r="Y129" i="8"/>
  <c r="AD137" i="8"/>
  <c r="J156" i="8"/>
  <c r="AL127" i="8"/>
  <c r="Q151" i="8"/>
  <c r="AA129" i="8"/>
  <c r="AG140" i="8"/>
  <c r="F136" i="8"/>
  <c r="AH137" i="8"/>
  <c r="AK152" i="8"/>
  <c r="S129" i="8"/>
  <c r="AG155" i="8"/>
  <c r="Z154" i="8"/>
  <c r="AH142" i="8"/>
  <c r="H131" i="8"/>
  <c r="S153" i="8"/>
  <c r="AI129" i="8"/>
  <c r="P146" i="8"/>
  <c r="X134" i="8"/>
  <c r="O156" i="8"/>
  <c r="U131" i="8"/>
  <c r="U91" i="8"/>
  <c r="H155" i="8"/>
  <c r="AI130" i="8"/>
  <c r="AG139" i="8"/>
  <c r="AD129" i="8"/>
  <c r="AJ151" i="8"/>
  <c r="K137" i="8"/>
  <c r="AF153" i="8"/>
  <c r="AF113" i="8"/>
  <c r="L153" i="8"/>
  <c r="L113" i="8"/>
  <c r="N127" i="8"/>
  <c r="AD157" i="8"/>
  <c r="N140" i="8"/>
  <c r="F133" i="8"/>
  <c r="X153" i="8"/>
  <c r="AG128" i="8"/>
  <c r="AC131" i="8"/>
  <c r="F154" i="8"/>
  <c r="N142" i="8"/>
  <c r="V157" i="8"/>
  <c r="AD145" i="8"/>
  <c r="AL133" i="8"/>
  <c r="AC155" i="8"/>
  <c r="X151" i="8"/>
  <c r="AI150" i="8"/>
  <c r="AE149" i="8"/>
  <c r="AI136" i="8"/>
  <c r="N153" i="8"/>
  <c r="N113" i="8"/>
  <c r="R128" i="8"/>
  <c r="AD147" i="8"/>
  <c r="Y152" i="8"/>
  <c r="Y112" i="8"/>
  <c r="L137" i="8"/>
  <c r="S135" i="8"/>
  <c r="AA133" i="8"/>
  <c r="AF141" i="8"/>
  <c r="R147" i="8"/>
  <c r="AI137" i="8"/>
  <c r="J145" i="8"/>
  <c r="R133" i="8"/>
  <c r="I155" i="8"/>
  <c r="Q143" i="8"/>
  <c r="AC135" i="8"/>
  <c r="AG146" i="8"/>
  <c r="AE126" i="8"/>
  <c r="I135" i="8"/>
  <c r="K139" i="8"/>
  <c r="AF130" i="8"/>
  <c r="AK148" i="8"/>
  <c r="AH130" i="8"/>
  <c r="AH90" i="8"/>
  <c r="AF144" i="8"/>
  <c r="S145" i="8"/>
  <c r="Q152" i="8"/>
  <c r="AH150" i="8"/>
  <c r="AH110" i="8"/>
  <c r="Z143" i="8"/>
  <c r="AA130" i="8"/>
  <c r="AE142" i="8"/>
  <c r="AK133" i="8"/>
  <c r="AI143" i="8"/>
  <c r="AE132" i="8"/>
  <c r="AG136" i="8"/>
  <c r="AK138" i="8"/>
  <c r="H152" i="8"/>
  <c r="V151" i="8"/>
  <c r="AL135" i="8"/>
  <c r="AF126" i="8"/>
  <c r="K150" i="8"/>
  <c r="AB129" i="8"/>
  <c r="AB89" i="8"/>
  <c r="AH140" i="8"/>
  <c r="J157" i="8"/>
  <c r="F152" i="8"/>
  <c r="F112" i="8"/>
  <c r="Z149" i="8"/>
  <c r="F149" i="8"/>
  <c r="AE154" i="8"/>
  <c r="M155" i="8"/>
  <c r="P127" i="8"/>
  <c r="M147" i="8"/>
  <c r="AH131" i="8"/>
  <c r="AL152" i="8"/>
  <c r="AD155" i="8"/>
  <c r="AL143" i="8"/>
  <c r="AK153" i="8"/>
  <c r="T157" i="8"/>
  <c r="AK140" i="8"/>
  <c r="M156" i="8"/>
  <c r="Q140" i="8"/>
  <c r="S130" i="8"/>
  <c r="AE139" i="8"/>
  <c r="O153" i="8"/>
  <c r="AG129" i="8"/>
  <c r="T154" i="8"/>
  <c r="T114" i="8"/>
  <c r="J143" i="8"/>
  <c r="Q141" i="8"/>
  <c r="AF143" i="8"/>
  <c r="AF103" i="8"/>
  <c r="AL114" i="8"/>
  <c r="J139" i="8"/>
  <c r="J99" i="8"/>
  <c r="AI127" i="8"/>
  <c r="AF147" i="8"/>
  <c r="L147" i="8"/>
  <c r="AJ127" i="8"/>
  <c r="AH134" i="8"/>
  <c r="J151" i="8"/>
  <c r="AF157" i="8"/>
  <c r="T129" i="8"/>
  <c r="J155" i="8"/>
  <c r="Q153" i="8"/>
  <c r="J152" i="8"/>
  <c r="U151" i="8"/>
  <c r="Q150" i="8"/>
  <c r="AB112" i="8"/>
  <c r="R141" i="8"/>
  <c r="R138" i="8"/>
  <c r="AJ150" i="8"/>
  <c r="AJ110" i="8"/>
  <c r="L140" i="8"/>
  <c r="X138" i="8"/>
  <c r="AH127" i="8"/>
  <c r="AF136" i="8"/>
  <c r="N137" i="8"/>
  <c r="K157" i="8"/>
  <c r="L144" i="8"/>
  <c r="Z135" i="8"/>
  <c r="Z95" i="8"/>
  <c r="AA149" i="8"/>
  <c r="AA109" i="8"/>
  <c r="T148" i="8"/>
  <c r="U135" i="8"/>
  <c r="AG144" i="8"/>
  <c r="R155" i="8"/>
  <c r="X154" i="8"/>
  <c r="AF142" i="8"/>
  <c r="AE152" i="8"/>
  <c r="W148" i="8"/>
  <c r="S147" i="8"/>
  <c r="S107" i="8"/>
  <c r="AI126" i="8"/>
  <c r="AA135" i="8"/>
  <c r="N146" i="8"/>
  <c r="Q126" i="8"/>
  <c r="G135" i="8"/>
  <c r="AH125" i="8"/>
  <c r="AE129" i="8"/>
  <c r="AB38" i="8"/>
  <c r="AK38" i="8"/>
  <c r="I38" i="8"/>
  <c r="AM24" i="8"/>
  <c r="AM14" i="8"/>
  <c r="AA38" i="8"/>
  <c r="Y38" i="8"/>
  <c r="U38" i="8"/>
  <c r="CS27" i="8" s="1"/>
  <c r="CZ11" i="8"/>
  <c r="CZ28" i="8"/>
  <c r="CZ36" i="8"/>
  <c r="CZ25" i="8"/>
  <c r="AM74" i="8"/>
  <c r="AM54" i="8"/>
  <c r="E94" i="8"/>
  <c r="E134" i="8"/>
  <c r="M78" i="8"/>
  <c r="M84" i="8"/>
  <c r="M124" i="8"/>
  <c r="AM56" i="8"/>
  <c r="E96" i="8"/>
  <c r="E136" i="8"/>
  <c r="AC78" i="8"/>
  <c r="AC84" i="8"/>
  <c r="AE78" i="8"/>
  <c r="AE84" i="8"/>
  <c r="AE124" i="8"/>
  <c r="F78" i="8"/>
  <c r="F84" i="8"/>
  <c r="F124" i="8"/>
  <c r="AG78" i="8"/>
  <c r="AG84" i="8"/>
  <c r="AG124" i="8"/>
  <c r="V78" i="8"/>
  <c r="K78" i="8"/>
  <c r="J78" i="8"/>
  <c r="J84" i="8"/>
  <c r="J124" i="8"/>
  <c r="AM45" i="8"/>
  <c r="E85" i="8"/>
  <c r="E125" i="8"/>
  <c r="AF78" i="8"/>
  <c r="AM46" i="8"/>
  <c r="E86" i="8"/>
  <c r="AM69" i="8"/>
  <c r="E109" i="8"/>
  <c r="P78" i="8"/>
  <c r="P124" i="8"/>
  <c r="U78" i="8"/>
  <c r="U84" i="8"/>
  <c r="U124" i="8"/>
  <c r="AH78" i="8"/>
  <c r="AM59" i="8"/>
  <c r="E99" i="8"/>
  <c r="E139" i="8"/>
  <c r="AM53" i="8"/>
  <c r="E133" i="8"/>
  <c r="R78" i="8"/>
  <c r="AM73" i="8"/>
  <c r="E113" i="8"/>
  <c r="E153" i="8"/>
  <c r="AM67" i="8"/>
  <c r="E147" i="8"/>
  <c r="AM60" i="8"/>
  <c r="E100" i="8"/>
  <c r="E140" i="8"/>
  <c r="I78" i="8"/>
  <c r="I84" i="8"/>
  <c r="G78" i="8"/>
  <c r="G84" i="8"/>
  <c r="G124" i="8"/>
  <c r="AM49" i="8"/>
  <c r="E89" i="8"/>
  <c r="E129" i="8"/>
  <c r="AD78" i="8"/>
  <c r="AD84" i="8"/>
  <c r="AL78" i="8"/>
  <c r="AL84" i="8"/>
  <c r="AL124" i="8"/>
  <c r="AA78" i="8"/>
  <c r="AM63" i="8"/>
  <c r="E103" i="8"/>
  <c r="E143" i="8"/>
  <c r="AM57" i="8"/>
  <c r="W78" i="8"/>
  <c r="W84" i="8"/>
  <c r="W124" i="8"/>
  <c r="AB78" i="8"/>
  <c r="AB158" i="8"/>
  <c r="AB84" i="8"/>
  <c r="AB124" i="8"/>
  <c r="AM62" i="8"/>
  <c r="S78" i="8"/>
  <c r="AM64" i="8"/>
  <c r="E104" i="8"/>
  <c r="E144" i="8"/>
  <c r="T78" i="8"/>
  <c r="N78" i="8"/>
  <c r="N124" i="8"/>
  <c r="AM66" i="8"/>
  <c r="E106" i="8"/>
  <c r="AM52" i="8"/>
  <c r="E92" i="8"/>
  <c r="E132" i="8"/>
  <c r="CZ18" i="8"/>
  <c r="Y78" i="8"/>
  <c r="Y84" i="8"/>
  <c r="Y124" i="8"/>
  <c r="O78" i="8"/>
  <c r="O84" i="8"/>
  <c r="O124" i="8"/>
  <c r="AI78" i="8"/>
  <c r="AM68" i="8"/>
  <c r="AM71" i="8"/>
  <c r="AM72" i="8"/>
  <c r="AM75" i="8"/>
  <c r="AM58" i="8"/>
  <c r="AM61" i="8"/>
  <c r="E108" i="8"/>
  <c r="E148" i="8"/>
  <c r="AM65" i="8"/>
  <c r="AM51" i="8"/>
  <c r="L78" i="8"/>
  <c r="AM47" i="8"/>
  <c r="AM76" i="8"/>
  <c r="Z78" i="8"/>
  <c r="E101" i="8"/>
  <c r="AM55" i="8"/>
  <c r="E115" i="8"/>
  <c r="E155" i="8"/>
  <c r="E152" i="8"/>
  <c r="Z84" i="8"/>
  <c r="Z124" i="8"/>
  <c r="AM44" i="8"/>
  <c r="E78" i="8"/>
  <c r="AM50" i="8"/>
  <c r="AM48" i="8"/>
  <c r="AJ78" i="8"/>
  <c r="Q78" i="8"/>
  <c r="X78" i="8"/>
  <c r="H78" i="8"/>
  <c r="AM77" i="8"/>
  <c r="AM70" i="8"/>
  <c r="AK78" i="8"/>
  <c r="E88" i="8"/>
  <c r="E128" i="8"/>
  <c r="E135" i="8"/>
  <c r="CT18" i="8"/>
  <c r="CT25" i="8"/>
  <c r="CZ23" i="8"/>
  <c r="CT38" i="8"/>
  <c r="CU25" i="8"/>
  <c r="DI37" i="8"/>
  <c r="DI30" i="8"/>
  <c r="DI34" i="8"/>
  <c r="DI38" i="8"/>
  <c r="CY36" i="8"/>
  <c r="BG24" i="8"/>
  <c r="BE24" i="8"/>
  <c r="BY24" i="8"/>
  <c r="BD24" i="8"/>
  <c r="BX24" i="8"/>
  <c r="BT24" i="8"/>
  <c r="BU14" i="8"/>
  <c r="AV14" i="8"/>
  <c r="BX14" i="8"/>
  <c r="BV14" i="8"/>
  <c r="CG25" i="8"/>
  <c r="CG24" i="8"/>
  <c r="CG18" i="8"/>
  <c r="CG26" i="8"/>
  <c r="CG17" i="8"/>
  <c r="CG20" i="8"/>
  <c r="CG13" i="8"/>
  <c r="CW36" i="8"/>
  <c r="CW31" i="8"/>
  <c r="CW27" i="8"/>
  <c r="CW38" i="8"/>
  <c r="CW23" i="8"/>
  <c r="CW13" i="8"/>
  <c r="CW37" i="8"/>
  <c r="CW20" i="8"/>
  <c r="CW21" i="8"/>
  <c r="CW19" i="8"/>
  <c r="CW11" i="8"/>
  <c r="CW10" i="8"/>
  <c r="CW7" i="8"/>
  <c r="CW17" i="8"/>
  <c r="CW6" i="8"/>
  <c r="CW16" i="8"/>
  <c r="CS19" i="8"/>
  <c r="CS14" i="8"/>
  <c r="AM78" i="8"/>
  <c r="A54" i="8"/>
  <c r="AX205" i="1"/>
  <c r="DH205" i="1" s="1"/>
  <c r="AW205" i="1"/>
  <c r="AX204" i="1"/>
  <c r="DH204" i="1" s="1"/>
  <c r="AW204" i="1"/>
  <c r="DF204" i="1" s="1"/>
  <c r="AX190" i="1"/>
  <c r="DH190" i="1" s="1"/>
  <c r="AW190" i="1"/>
  <c r="DF190" i="1" s="1"/>
  <c r="AX189" i="1"/>
  <c r="DH189" i="1" s="1"/>
  <c r="AW189" i="1"/>
  <c r="DF189" i="1" s="1"/>
  <c r="AX188" i="1"/>
  <c r="DH188" i="1" s="1"/>
  <c r="AW188" i="1"/>
  <c r="DF188" i="1" s="1"/>
  <c r="AX187" i="1"/>
  <c r="DH187" i="1" s="1"/>
  <c r="AW187" i="1"/>
  <c r="CB203" i="1"/>
  <c r="CB202" i="1"/>
  <c r="CA202" i="1"/>
  <c r="CB198" i="1"/>
  <c r="CA198" i="1"/>
  <c r="CB196" i="1"/>
  <c r="CA196" i="1"/>
  <c r="CB195" i="1"/>
  <c r="CA195" i="1"/>
  <c r="BZ195" i="1"/>
  <c r="CA193" i="1"/>
  <c r="CB191" i="1"/>
  <c r="CA191" i="1"/>
  <c r="CB206" i="1"/>
  <c r="CA206" i="1"/>
  <c r="CB205" i="1"/>
  <c r="CA205" i="1"/>
  <c r="CB204" i="1"/>
  <c r="CA204" i="1"/>
  <c r="CA203" i="1"/>
  <c r="BZ201" i="1"/>
  <c r="CB201" i="1"/>
  <c r="CA201" i="1"/>
  <c r="CB199" i="1"/>
  <c r="CA199" i="1"/>
  <c r="CB197" i="1"/>
  <c r="CA197" i="1"/>
  <c r="CB193" i="1"/>
  <c r="CA192" i="1"/>
  <c r="CB192" i="1"/>
  <c r="CA189" i="1"/>
  <c r="CB189" i="1"/>
  <c r="BZ196" i="1"/>
  <c r="BZ193" i="1"/>
  <c r="BZ192" i="1"/>
  <c r="CB190" i="1"/>
  <c r="BZ203" i="1"/>
  <c r="BZ198" i="1"/>
  <c r="BZ197" i="1"/>
  <c r="BZ202" i="1"/>
  <c r="BZ199" i="1"/>
  <c r="F2003" i="3"/>
  <c r="G2003" i="3"/>
  <c r="H2003" i="3"/>
  <c r="F2002" i="3"/>
  <c r="G2002" i="3"/>
  <c r="H2002" i="3"/>
  <c r="F1301" i="3"/>
  <c r="G1301" i="3"/>
  <c r="H1301" i="3"/>
  <c r="F1302" i="3"/>
  <c r="G1302" i="3"/>
  <c r="H1302" i="3"/>
  <c r="F1303" i="3"/>
  <c r="G1303" i="3"/>
  <c r="H1303" i="3"/>
  <c r="F1304" i="3"/>
  <c r="G1304" i="3"/>
  <c r="H1304" i="3"/>
  <c r="F1305" i="3"/>
  <c r="G1305" i="3"/>
  <c r="H1305" i="3"/>
  <c r="F1306" i="3"/>
  <c r="G1306" i="3"/>
  <c r="H1306" i="3"/>
  <c r="F1307" i="3"/>
  <c r="G1307" i="3"/>
  <c r="H1307" i="3"/>
  <c r="F1308" i="3"/>
  <c r="G1308" i="3"/>
  <c r="H1308" i="3"/>
  <c r="F1309" i="3"/>
  <c r="G1309" i="3"/>
  <c r="H1309" i="3"/>
  <c r="F1310" i="3"/>
  <c r="G1310" i="3"/>
  <c r="H1310" i="3"/>
  <c r="F1311" i="3"/>
  <c r="G1311" i="3"/>
  <c r="H1311" i="3"/>
  <c r="F1312" i="3"/>
  <c r="G1312" i="3"/>
  <c r="H1312" i="3"/>
  <c r="F1313" i="3"/>
  <c r="G1313" i="3"/>
  <c r="H1313" i="3"/>
  <c r="F1314" i="3"/>
  <c r="G1314" i="3"/>
  <c r="H1314" i="3"/>
  <c r="F1315" i="3"/>
  <c r="G1315" i="3"/>
  <c r="H1315" i="3"/>
  <c r="F1316" i="3"/>
  <c r="G1316" i="3"/>
  <c r="H1316" i="3"/>
  <c r="F1317" i="3"/>
  <c r="G1317" i="3"/>
  <c r="H1317" i="3"/>
  <c r="F1318" i="3"/>
  <c r="G1318" i="3"/>
  <c r="H1318" i="3"/>
  <c r="F1319" i="3"/>
  <c r="G1319" i="3"/>
  <c r="H1319" i="3"/>
  <c r="F1320" i="3"/>
  <c r="G1320" i="3"/>
  <c r="H1320" i="3"/>
  <c r="F1321" i="3"/>
  <c r="G1321" i="3"/>
  <c r="H1321" i="3"/>
  <c r="F1322" i="3"/>
  <c r="G1322" i="3"/>
  <c r="H1322" i="3"/>
  <c r="F1323" i="3"/>
  <c r="G1323" i="3"/>
  <c r="H1323" i="3"/>
  <c r="F1324" i="3"/>
  <c r="G1324" i="3"/>
  <c r="H1324" i="3"/>
  <c r="F1325" i="3"/>
  <c r="G1325" i="3"/>
  <c r="H1325" i="3"/>
  <c r="F1326" i="3"/>
  <c r="G1326" i="3"/>
  <c r="H1326" i="3"/>
  <c r="F1327" i="3"/>
  <c r="G1327" i="3"/>
  <c r="H1327" i="3"/>
  <c r="F1328" i="3"/>
  <c r="G1328" i="3"/>
  <c r="H1328" i="3"/>
  <c r="F1329" i="3"/>
  <c r="G1329" i="3"/>
  <c r="H1329" i="3"/>
  <c r="F1330" i="3"/>
  <c r="G1330" i="3"/>
  <c r="H1330" i="3"/>
  <c r="F1331" i="3"/>
  <c r="G1331" i="3"/>
  <c r="H1331" i="3"/>
  <c r="F1332" i="3"/>
  <c r="G1332" i="3"/>
  <c r="H1332" i="3"/>
  <c r="F1333" i="3"/>
  <c r="G1333" i="3"/>
  <c r="H1333" i="3"/>
  <c r="F1334" i="3"/>
  <c r="G1334" i="3"/>
  <c r="H1334" i="3"/>
  <c r="F1335" i="3"/>
  <c r="G1335" i="3"/>
  <c r="H1335" i="3"/>
  <c r="F1336" i="3"/>
  <c r="G1336" i="3"/>
  <c r="H1336" i="3"/>
  <c r="F1337" i="3"/>
  <c r="G1337" i="3"/>
  <c r="H1337" i="3"/>
  <c r="F1338" i="3"/>
  <c r="G1338" i="3"/>
  <c r="H1338" i="3"/>
  <c r="F1339" i="3"/>
  <c r="G1339" i="3"/>
  <c r="H1339" i="3"/>
  <c r="F1340" i="3"/>
  <c r="G1340" i="3"/>
  <c r="H1340" i="3"/>
  <c r="F1341" i="3"/>
  <c r="G1341" i="3"/>
  <c r="H1341" i="3"/>
  <c r="F1342" i="3"/>
  <c r="G1342" i="3"/>
  <c r="H1342" i="3"/>
  <c r="F1343" i="3"/>
  <c r="G1343" i="3"/>
  <c r="H1343" i="3"/>
  <c r="F1344" i="3"/>
  <c r="G1344" i="3"/>
  <c r="H1344" i="3"/>
  <c r="F1345" i="3"/>
  <c r="G1345" i="3"/>
  <c r="H1345" i="3"/>
  <c r="F1346" i="3"/>
  <c r="G1346" i="3"/>
  <c r="H1346" i="3"/>
  <c r="F1347" i="3"/>
  <c r="G1347" i="3"/>
  <c r="H1347" i="3"/>
  <c r="F1348" i="3"/>
  <c r="G1348" i="3"/>
  <c r="H1348" i="3"/>
  <c r="F1349" i="3"/>
  <c r="G1349" i="3"/>
  <c r="H1349" i="3"/>
  <c r="F1350" i="3"/>
  <c r="G1350" i="3"/>
  <c r="H1350" i="3"/>
  <c r="F1351" i="3"/>
  <c r="G1351" i="3"/>
  <c r="H1351" i="3"/>
  <c r="F1352" i="3"/>
  <c r="G1352" i="3"/>
  <c r="H1352" i="3"/>
  <c r="F1353" i="3"/>
  <c r="G1353" i="3"/>
  <c r="H1353" i="3"/>
  <c r="F1354" i="3"/>
  <c r="G1354" i="3"/>
  <c r="H1354" i="3"/>
  <c r="F1355" i="3"/>
  <c r="G1355" i="3"/>
  <c r="H1355" i="3"/>
  <c r="F1356" i="3"/>
  <c r="G1356" i="3"/>
  <c r="H1356" i="3"/>
  <c r="F1357" i="3"/>
  <c r="G1357" i="3"/>
  <c r="H1357" i="3"/>
  <c r="F1358" i="3"/>
  <c r="G1358" i="3"/>
  <c r="H1358" i="3"/>
  <c r="F1359" i="3"/>
  <c r="G1359" i="3"/>
  <c r="H1359" i="3"/>
  <c r="F1360" i="3"/>
  <c r="G1360" i="3"/>
  <c r="H1360" i="3"/>
  <c r="F1361" i="3"/>
  <c r="G1361" i="3"/>
  <c r="H1361" i="3"/>
  <c r="F1362" i="3"/>
  <c r="G1362" i="3"/>
  <c r="H1362" i="3"/>
  <c r="F1363" i="3"/>
  <c r="G1363" i="3"/>
  <c r="H1363" i="3"/>
  <c r="F1364" i="3"/>
  <c r="G1364" i="3"/>
  <c r="H1364" i="3"/>
  <c r="F1365" i="3"/>
  <c r="G1365" i="3"/>
  <c r="H1365" i="3"/>
  <c r="F1366" i="3"/>
  <c r="G1366" i="3"/>
  <c r="H1366" i="3"/>
  <c r="F1367" i="3"/>
  <c r="G1367" i="3"/>
  <c r="H1367" i="3"/>
  <c r="F1368" i="3"/>
  <c r="G1368" i="3"/>
  <c r="H1368" i="3"/>
  <c r="F1369" i="3"/>
  <c r="G1369" i="3"/>
  <c r="H1369" i="3"/>
  <c r="F1370" i="3"/>
  <c r="G1370" i="3"/>
  <c r="H1370" i="3"/>
  <c r="F1371" i="3"/>
  <c r="G1371" i="3"/>
  <c r="H1371" i="3"/>
  <c r="F1372" i="3"/>
  <c r="G1372" i="3"/>
  <c r="H1372" i="3"/>
  <c r="F1373" i="3"/>
  <c r="G1373" i="3"/>
  <c r="H1373" i="3"/>
  <c r="F1374" i="3"/>
  <c r="G1374" i="3"/>
  <c r="H1374" i="3"/>
  <c r="F1375" i="3"/>
  <c r="G1375" i="3"/>
  <c r="H1375" i="3"/>
  <c r="F1376" i="3"/>
  <c r="G1376" i="3"/>
  <c r="H1376" i="3"/>
  <c r="F1377" i="3"/>
  <c r="G1377" i="3"/>
  <c r="H1377" i="3"/>
  <c r="F1378" i="3"/>
  <c r="G1378" i="3"/>
  <c r="H1378" i="3"/>
  <c r="F1379" i="3"/>
  <c r="G1379" i="3"/>
  <c r="H1379" i="3"/>
  <c r="F1380" i="3"/>
  <c r="G1380" i="3"/>
  <c r="H1380" i="3"/>
  <c r="F1381" i="3"/>
  <c r="G1381" i="3"/>
  <c r="H1381" i="3"/>
  <c r="F1382" i="3"/>
  <c r="G1382" i="3"/>
  <c r="H1382" i="3"/>
  <c r="F1383" i="3"/>
  <c r="G1383" i="3"/>
  <c r="H1383" i="3"/>
  <c r="F1384" i="3"/>
  <c r="G1384" i="3"/>
  <c r="H1384" i="3"/>
  <c r="F1385" i="3"/>
  <c r="G1385" i="3"/>
  <c r="H1385" i="3"/>
  <c r="F1386" i="3"/>
  <c r="G1386" i="3"/>
  <c r="H1386" i="3"/>
  <c r="F1387" i="3"/>
  <c r="G1387" i="3"/>
  <c r="H1387" i="3"/>
  <c r="F1388" i="3"/>
  <c r="G1388" i="3"/>
  <c r="H1388" i="3"/>
  <c r="F1389" i="3"/>
  <c r="G1389" i="3"/>
  <c r="H1389" i="3"/>
  <c r="F1390" i="3"/>
  <c r="G1390" i="3"/>
  <c r="H1390" i="3"/>
  <c r="F1391" i="3"/>
  <c r="G1391" i="3"/>
  <c r="H1391" i="3"/>
  <c r="F1392" i="3"/>
  <c r="G1392" i="3"/>
  <c r="H1392" i="3"/>
  <c r="F1393" i="3"/>
  <c r="G1393" i="3"/>
  <c r="H1393" i="3"/>
  <c r="F1394" i="3"/>
  <c r="G1394" i="3"/>
  <c r="H1394" i="3"/>
  <c r="F1395" i="3"/>
  <c r="G1395" i="3"/>
  <c r="H1395" i="3"/>
  <c r="F1396" i="3"/>
  <c r="G1396" i="3"/>
  <c r="H1396" i="3"/>
  <c r="F1397" i="3"/>
  <c r="G1397" i="3"/>
  <c r="H1397" i="3"/>
  <c r="F1398" i="3"/>
  <c r="G1398" i="3"/>
  <c r="H1398" i="3"/>
  <c r="F1399" i="3"/>
  <c r="G1399" i="3"/>
  <c r="H1399" i="3"/>
  <c r="F1400" i="3"/>
  <c r="G1400" i="3"/>
  <c r="H1400" i="3"/>
  <c r="F1401" i="3"/>
  <c r="G1401" i="3"/>
  <c r="H1401" i="3"/>
  <c r="F1402" i="3"/>
  <c r="G1402" i="3"/>
  <c r="H1402" i="3"/>
  <c r="F1403" i="3"/>
  <c r="G1403" i="3"/>
  <c r="H1403" i="3"/>
  <c r="F1404" i="3"/>
  <c r="G1404" i="3"/>
  <c r="H1404" i="3"/>
  <c r="F1405" i="3"/>
  <c r="G1405" i="3"/>
  <c r="H1405" i="3"/>
  <c r="F1406" i="3"/>
  <c r="G1406" i="3"/>
  <c r="H1406" i="3"/>
  <c r="F1407" i="3"/>
  <c r="G1407" i="3"/>
  <c r="H1407" i="3"/>
  <c r="F1408" i="3"/>
  <c r="G1408" i="3"/>
  <c r="H1408" i="3"/>
  <c r="F1409" i="3"/>
  <c r="G1409" i="3"/>
  <c r="H1409" i="3"/>
  <c r="F1410" i="3"/>
  <c r="G1410" i="3"/>
  <c r="H1410" i="3"/>
  <c r="F1411" i="3"/>
  <c r="G1411" i="3"/>
  <c r="H1411" i="3"/>
  <c r="F1412" i="3"/>
  <c r="G1412" i="3"/>
  <c r="H1412" i="3"/>
  <c r="F1413" i="3"/>
  <c r="G1413" i="3"/>
  <c r="H1413" i="3"/>
  <c r="F1414" i="3"/>
  <c r="G1414" i="3"/>
  <c r="H1414" i="3"/>
  <c r="F1415" i="3"/>
  <c r="G1415" i="3"/>
  <c r="H1415" i="3"/>
  <c r="F1416" i="3"/>
  <c r="G1416" i="3"/>
  <c r="H1416" i="3"/>
  <c r="F1417" i="3"/>
  <c r="G1417" i="3"/>
  <c r="H1417" i="3"/>
  <c r="F1418" i="3"/>
  <c r="G1418" i="3"/>
  <c r="H1418" i="3"/>
  <c r="F1419" i="3"/>
  <c r="G1419" i="3"/>
  <c r="H1419" i="3"/>
  <c r="F1420" i="3"/>
  <c r="G1420" i="3"/>
  <c r="H1420" i="3"/>
  <c r="F1421" i="3"/>
  <c r="G1421" i="3"/>
  <c r="H1421" i="3"/>
  <c r="F1422" i="3"/>
  <c r="G1422" i="3"/>
  <c r="H1422" i="3"/>
  <c r="F1423" i="3"/>
  <c r="G1423" i="3"/>
  <c r="H1423" i="3"/>
  <c r="F1424" i="3"/>
  <c r="G1424" i="3"/>
  <c r="H1424" i="3"/>
  <c r="F1425" i="3"/>
  <c r="G1425" i="3"/>
  <c r="H1425" i="3"/>
  <c r="F1426" i="3"/>
  <c r="G1426" i="3"/>
  <c r="H1426" i="3"/>
  <c r="F1427" i="3"/>
  <c r="G1427" i="3"/>
  <c r="H1427" i="3"/>
  <c r="F1428" i="3"/>
  <c r="G1428" i="3"/>
  <c r="H1428" i="3"/>
  <c r="F1429" i="3"/>
  <c r="G1429" i="3"/>
  <c r="H1429" i="3"/>
  <c r="F1430" i="3"/>
  <c r="G1430" i="3"/>
  <c r="H1430" i="3"/>
  <c r="F1431" i="3"/>
  <c r="G1431" i="3"/>
  <c r="H1431" i="3"/>
  <c r="F1432" i="3"/>
  <c r="G1432" i="3"/>
  <c r="H1432" i="3"/>
  <c r="F1433" i="3"/>
  <c r="G1433" i="3"/>
  <c r="H1433" i="3"/>
  <c r="F1434" i="3"/>
  <c r="G1434" i="3"/>
  <c r="H1434" i="3"/>
  <c r="F1435" i="3"/>
  <c r="G1435" i="3"/>
  <c r="H1435" i="3"/>
  <c r="F1436" i="3"/>
  <c r="G1436" i="3"/>
  <c r="H1436" i="3"/>
  <c r="F1437" i="3"/>
  <c r="G1437" i="3"/>
  <c r="H1437" i="3"/>
  <c r="F1438" i="3"/>
  <c r="G1438" i="3"/>
  <c r="H1438" i="3"/>
  <c r="F1439" i="3"/>
  <c r="G1439" i="3"/>
  <c r="H1439" i="3"/>
  <c r="F1440" i="3"/>
  <c r="G1440" i="3"/>
  <c r="H1440" i="3"/>
  <c r="F1441" i="3"/>
  <c r="G1441" i="3"/>
  <c r="H1441" i="3"/>
  <c r="F1442" i="3"/>
  <c r="G1442" i="3"/>
  <c r="H1442" i="3"/>
  <c r="F1443" i="3"/>
  <c r="G1443" i="3"/>
  <c r="H1443" i="3"/>
  <c r="F1444" i="3"/>
  <c r="G1444" i="3"/>
  <c r="H1444" i="3"/>
  <c r="F1445" i="3"/>
  <c r="G1445" i="3"/>
  <c r="H1445" i="3"/>
  <c r="F1446" i="3"/>
  <c r="G1446" i="3"/>
  <c r="H1446" i="3"/>
  <c r="F1447" i="3"/>
  <c r="G1447" i="3"/>
  <c r="H1447" i="3"/>
  <c r="F1448" i="3"/>
  <c r="G1448" i="3"/>
  <c r="H1448" i="3"/>
  <c r="F1449" i="3"/>
  <c r="G1449" i="3"/>
  <c r="H1449" i="3"/>
  <c r="F1450" i="3"/>
  <c r="G1450" i="3"/>
  <c r="H1450" i="3"/>
  <c r="F1451" i="3"/>
  <c r="G1451" i="3"/>
  <c r="H1451" i="3"/>
  <c r="F1452" i="3"/>
  <c r="G1452" i="3"/>
  <c r="H1452" i="3"/>
  <c r="F1453" i="3"/>
  <c r="G1453" i="3"/>
  <c r="H1453" i="3"/>
  <c r="F1454" i="3"/>
  <c r="G1454" i="3"/>
  <c r="H1454" i="3"/>
  <c r="F1455" i="3"/>
  <c r="G1455" i="3"/>
  <c r="H1455" i="3"/>
  <c r="F1456" i="3"/>
  <c r="G1456" i="3"/>
  <c r="H1456" i="3"/>
  <c r="F1457" i="3"/>
  <c r="G1457" i="3"/>
  <c r="H1457" i="3"/>
  <c r="F1458" i="3"/>
  <c r="G1458" i="3"/>
  <c r="H1458" i="3"/>
  <c r="F1459" i="3"/>
  <c r="G1459" i="3"/>
  <c r="H1459" i="3"/>
  <c r="F1460" i="3"/>
  <c r="G1460" i="3"/>
  <c r="H1460" i="3"/>
  <c r="F1461" i="3"/>
  <c r="G1461" i="3"/>
  <c r="H1461" i="3"/>
  <c r="F1462" i="3"/>
  <c r="G1462" i="3"/>
  <c r="H1462" i="3"/>
  <c r="F1463" i="3"/>
  <c r="G1463" i="3"/>
  <c r="H1463" i="3"/>
  <c r="F1464" i="3"/>
  <c r="G1464" i="3"/>
  <c r="H1464" i="3"/>
  <c r="F1465" i="3"/>
  <c r="G1465" i="3"/>
  <c r="H1465" i="3"/>
  <c r="F1466" i="3"/>
  <c r="G1466" i="3"/>
  <c r="H1466" i="3"/>
  <c r="F1467" i="3"/>
  <c r="G1467" i="3"/>
  <c r="H1467" i="3"/>
  <c r="F1468" i="3"/>
  <c r="G1468" i="3"/>
  <c r="H1468" i="3"/>
  <c r="F1469" i="3"/>
  <c r="G1469" i="3"/>
  <c r="H1469" i="3"/>
  <c r="F1470" i="3"/>
  <c r="G1470" i="3"/>
  <c r="H1470" i="3"/>
  <c r="F1471" i="3"/>
  <c r="G1471" i="3"/>
  <c r="H1471" i="3"/>
  <c r="F1472" i="3"/>
  <c r="G1472" i="3"/>
  <c r="H1472" i="3"/>
  <c r="F1473" i="3"/>
  <c r="G1473" i="3"/>
  <c r="H1473" i="3"/>
  <c r="F1474" i="3"/>
  <c r="G1474" i="3"/>
  <c r="H1474" i="3"/>
  <c r="F1475" i="3"/>
  <c r="G1475" i="3"/>
  <c r="H1475" i="3"/>
  <c r="F1476" i="3"/>
  <c r="G1476" i="3"/>
  <c r="H1476" i="3"/>
  <c r="F1477" i="3"/>
  <c r="G1477" i="3"/>
  <c r="H1477" i="3"/>
  <c r="F1478" i="3"/>
  <c r="G1478" i="3"/>
  <c r="H1478" i="3"/>
  <c r="F1479" i="3"/>
  <c r="G1479" i="3"/>
  <c r="H1479" i="3"/>
  <c r="F1480" i="3"/>
  <c r="G1480" i="3"/>
  <c r="H1480" i="3"/>
  <c r="F1481" i="3"/>
  <c r="G1481" i="3"/>
  <c r="H1481" i="3"/>
  <c r="F1482" i="3"/>
  <c r="G1482" i="3"/>
  <c r="H1482" i="3"/>
  <c r="F1483" i="3"/>
  <c r="G1483" i="3"/>
  <c r="H1483" i="3"/>
  <c r="F1484" i="3"/>
  <c r="G1484" i="3"/>
  <c r="H1484" i="3"/>
  <c r="F1485" i="3"/>
  <c r="G1485" i="3"/>
  <c r="H1485" i="3"/>
  <c r="F1486" i="3"/>
  <c r="G1486" i="3"/>
  <c r="H1486" i="3"/>
  <c r="F1487" i="3"/>
  <c r="G1487" i="3"/>
  <c r="H1487" i="3"/>
  <c r="F1488" i="3"/>
  <c r="G1488" i="3"/>
  <c r="H1488" i="3"/>
  <c r="F1489" i="3"/>
  <c r="G1489" i="3"/>
  <c r="H1489" i="3"/>
  <c r="F1490" i="3"/>
  <c r="G1490" i="3"/>
  <c r="H1490" i="3"/>
  <c r="F1491" i="3"/>
  <c r="G1491" i="3"/>
  <c r="H1491" i="3"/>
  <c r="F1492" i="3"/>
  <c r="G1492" i="3"/>
  <c r="H1492" i="3"/>
  <c r="F1493" i="3"/>
  <c r="G1493" i="3"/>
  <c r="H1493" i="3"/>
  <c r="F1494" i="3"/>
  <c r="G1494" i="3"/>
  <c r="H1494" i="3"/>
  <c r="F1495" i="3"/>
  <c r="G1495" i="3"/>
  <c r="H1495" i="3"/>
  <c r="F1496" i="3"/>
  <c r="G1496" i="3"/>
  <c r="H1496" i="3"/>
  <c r="F1497" i="3"/>
  <c r="G1497" i="3"/>
  <c r="H1497" i="3"/>
  <c r="F1498" i="3"/>
  <c r="G1498" i="3"/>
  <c r="H1498" i="3"/>
  <c r="F1499" i="3"/>
  <c r="G1499" i="3"/>
  <c r="H1499" i="3"/>
  <c r="F1500" i="3"/>
  <c r="G1500" i="3"/>
  <c r="H1500" i="3"/>
  <c r="F1501" i="3"/>
  <c r="G1501" i="3"/>
  <c r="H1501" i="3"/>
  <c r="F1502" i="3"/>
  <c r="G1502" i="3"/>
  <c r="H1502" i="3"/>
  <c r="F1503" i="3"/>
  <c r="G1503" i="3"/>
  <c r="H1503" i="3"/>
  <c r="F1504" i="3"/>
  <c r="G1504" i="3"/>
  <c r="H1504" i="3"/>
  <c r="F1505" i="3"/>
  <c r="G1505" i="3"/>
  <c r="H1505" i="3"/>
  <c r="F1506" i="3"/>
  <c r="G1506" i="3"/>
  <c r="H1506" i="3"/>
  <c r="F1507" i="3"/>
  <c r="G1507" i="3"/>
  <c r="H1507" i="3"/>
  <c r="F1508" i="3"/>
  <c r="G1508" i="3"/>
  <c r="H1508" i="3"/>
  <c r="F1509" i="3"/>
  <c r="G1509" i="3"/>
  <c r="H1509" i="3"/>
  <c r="F1510" i="3"/>
  <c r="G1510" i="3"/>
  <c r="H1510" i="3"/>
  <c r="F1511" i="3"/>
  <c r="G1511" i="3"/>
  <c r="H1511" i="3"/>
  <c r="F1512" i="3"/>
  <c r="G1512" i="3"/>
  <c r="H1512" i="3"/>
  <c r="F1513" i="3"/>
  <c r="G1513" i="3"/>
  <c r="H1513" i="3"/>
  <c r="F1514" i="3"/>
  <c r="G1514" i="3"/>
  <c r="H1514" i="3"/>
  <c r="F1515" i="3"/>
  <c r="G1515" i="3"/>
  <c r="H1515" i="3"/>
  <c r="F1516" i="3"/>
  <c r="G1516" i="3"/>
  <c r="H1516" i="3"/>
  <c r="F1517" i="3"/>
  <c r="G1517" i="3"/>
  <c r="H1517" i="3"/>
  <c r="F1518" i="3"/>
  <c r="G1518" i="3"/>
  <c r="H1518" i="3"/>
  <c r="F1519" i="3"/>
  <c r="G1519" i="3"/>
  <c r="H1519" i="3"/>
  <c r="F1520" i="3"/>
  <c r="G1520" i="3"/>
  <c r="H1520" i="3"/>
  <c r="F1521" i="3"/>
  <c r="G1521" i="3"/>
  <c r="H1521" i="3"/>
  <c r="F1522" i="3"/>
  <c r="G1522" i="3"/>
  <c r="H1522" i="3"/>
  <c r="F1523" i="3"/>
  <c r="G1523" i="3"/>
  <c r="H1523" i="3"/>
  <c r="F1524" i="3"/>
  <c r="G1524" i="3"/>
  <c r="H1524" i="3"/>
  <c r="F1525" i="3"/>
  <c r="G1525" i="3"/>
  <c r="H1525" i="3"/>
  <c r="F1526" i="3"/>
  <c r="G1526" i="3"/>
  <c r="H1526" i="3"/>
  <c r="F1527" i="3"/>
  <c r="G1527" i="3"/>
  <c r="H1527" i="3"/>
  <c r="F1528" i="3"/>
  <c r="G1528" i="3"/>
  <c r="H1528" i="3"/>
  <c r="F1529" i="3"/>
  <c r="G1529" i="3"/>
  <c r="H1529" i="3"/>
  <c r="F1530" i="3"/>
  <c r="G1530" i="3"/>
  <c r="H1530" i="3"/>
  <c r="F1531" i="3"/>
  <c r="G1531" i="3"/>
  <c r="H1531" i="3"/>
  <c r="F1532" i="3"/>
  <c r="G1532" i="3"/>
  <c r="H1532" i="3"/>
  <c r="F1533" i="3"/>
  <c r="G1533" i="3"/>
  <c r="H1533" i="3"/>
  <c r="F1534" i="3"/>
  <c r="G1534" i="3"/>
  <c r="H1534" i="3"/>
  <c r="F1535" i="3"/>
  <c r="G1535" i="3"/>
  <c r="H1535" i="3"/>
  <c r="F1536" i="3"/>
  <c r="G1536" i="3"/>
  <c r="H1536" i="3"/>
  <c r="F1537" i="3"/>
  <c r="G1537" i="3"/>
  <c r="H1537" i="3"/>
  <c r="F1538" i="3"/>
  <c r="G1538" i="3"/>
  <c r="H1538" i="3"/>
  <c r="F1539" i="3"/>
  <c r="G1539" i="3"/>
  <c r="H1539" i="3"/>
  <c r="F1540" i="3"/>
  <c r="G1540" i="3"/>
  <c r="H1540" i="3"/>
  <c r="F1541" i="3"/>
  <c r="G1541" i="3"/>
  <c r="H1541" i="3"/>
  <c r="F1542" i="3"/>
  <c r="G1542" i="3"/>
  <c r="H1542" i="3"/>
  <c r="F1543" i="3"/>
  <c r="G1543" i="3"/>
  <c r="H1543" i="3"/>
  <c r="F1544" i="3"/>
  <c r="G1544" i="3"/>
  <c r="H1544" i="3"/>
  <c r="F1545" i="3"/>
  <c r="G1545" i="3"/>
  <c r="H1545" i="3"/>
  <c r="F1546" i="3"/>
  <c r="G1546" i="3"/>
  <c r="H1546" i="3"/>
  <c r="F1547" i="3"/>
  <c r="G1547" i="3"/>
  <c r="H1547" i="3"/>
  <c r="F1548" i="3"/>
  <c r="G1548" i="3"/>
  <c r="H1548" i="3"/>
  <c r="F1549" i="3"/>
  <c r="G1549" i="3"/>
  <c r="H1549" i="3"/>
  <c r="F1550" i="3"/>
  <c r="G1550" i="3"/>
  <c r="H1550" i="3"/>
  <c r="F1551" i="3"/>
  <c r="G1551" i="3"/>
  <c r="H1551" i="3"/>
  <c r="F1552" i="3"/>
  <c r="G1552" i="3"/>
  <c r="H1552" i="3"/>
  <c r="F1553" i="3"/>
  <c r="G1553" i="3"/>
  <c r="H1553" i="3"/>
  <c r="F1554" i="3"/>
  <c r="G1554" i="3"/>
  <c r="H1554" i="3"/>
  <c r="F1555" i="3"/>
  <c r="G1555" i="3"/>
  <c r="H1555" i="3"/>
  <c r="F1556" i="3"/>
  <c r="G1556" i="3"/>
  <c r="H1556" i="3"/>
  <c r="F1557" i="3"/>
  <c r="G1557" i="3"/>
  <c r="H1557" i="3"/>
  <c r="F1558" i="3"/>
  <c r="G1558" i="3"/>
  <c r="H1558" i="3"/>
  <c r="F1559" i="3"/>
  <c r="G1559" i="3"/>
  <c r="H1559" i="3"/>
  <c r="F1560" i="3"/>
  <c r="G1560" i="3"/>
  <c r="H1560" i="3"/>
  <c r="F1561" i="3"/>
  <c r="G1561" i="3"/>
  <c r="H1561" i="3"/>
  <c r="F1562" i="3"/>
  <c r="G1562" i="3"/>
  <c r="H1562" i="3"/>
  <c r="F1563" i="3"/>
  <c r="G1563" i="3"/>
  <c r="H1563" i="3"/>
  <c r="F1564" i="3"/>
  <c r="G1564" i="3"/>
  <c r="H1564" i="3"/>
  <c r="F1565" i="3"/>
  <c r="G1565" i="3"/>
  <c r="H1565" i="3"/>
  <c r="F1566" i="3"/>
  <c r="G1566" i="3"/>
  <c r="H1566" i="3"/>
  <c r="F1567" i="3"/>
  <c r="G1567" i="3"/>
  <c r="H1567" i="3"/>
  <c r="F1568" i="3"/>
  <c r="G1568" i="3"/>
  <c r="H1568" i="3"/>
  <c r="F1569" i="3"/>
  <c r="G1569" i="3"/>
  <c r="H1569" i="3"/>
  <c r="F1570" i="3"/>
  <c r="G1570" i="3"/>
  <c r="H1570" i="3"/>
  <c r="F1571" i="3"/>
  <c r="G1571" i="3"/>
  <c r="H1571" i="3"/>
  <c r="F1572" i="3"/>
  <c r="G1572" i="3"/>
  <c r="H1572" i="3"/>
  <c r="F1573" i="3"/>
  <c r="G1573" i="3"/>
  <c r="H1573" i="3"/>
  <c r="F1574" i="3"/>
  <c r="G1574" i="3"/>
  <c r="H1574" i="3"/>
  <c r="F1575" i="3"/>
  <c r="G1575" i="3"/>
  <c r="H1575" i="3"/>
  <c r="F1576" i="3"/>
  <c r="G1576" i="3"/>
  <c r="H1576" i="3"/>
  <c r="F1577" i="3"/>
  <c r="G1577" i="3"/>
  <c r="H1577" i="3"/>
  <c r="F1578" i="3"/>
  <c r="G1578" i="3"/>
  <c r="H1578" i="3"/>
  <c r="F1579" i="3"/>
  <c r="G1579" i="3"/>
  <c r="H1579" i="3"/>
  <c r="F1580" i="3"/>
  <c r="G1580" i="3"/>
  <c r="H1580" i="3"/>
  <c r="F1581" i="3"/>
  <c r="G1581" i="3"/>
  <c r="H1581" i="3"/>
  <c r="F1582" i="3"/>
  <c r="G1582" i="3"/>
  <c r="H1582" i="3"/>
  <c r="F1583" i="3"/>
  <c r="G1583" i="3"/>
  <c r="H1583" i="3"/>
  <c r="F1584" i="3"/>
  <c r="G1584" i="3"/>
  <c r="H1584" i="3"/>
  <c r="F1585" i="3"/>
  <c r="G1585" i="3"/>
  <c r="H1585" i="3"/>
  <c r="F1586" i="3"/>
  <c r="G1586" i="3"/>
  <c r="H1586" i="3"/>
  <c r="F1587" i="3"/>
  <c r="G1587" i="3"/>
  <c r="H1587" i="3"/>
  <c r="F1588" i="3"/>
  <c r="G1588" i="3"/>
  <c r="H1588" i="3"/>
  <c r="F1589" i="3"/>
  <c r="G1589" i="3"/>
  <c r="H1589" i="3"/>
  <c r="F1590" i="3"/>
  <c r="G1590" i="3"/>
  <c r="H1590" i="3"/>
  <c r="F1591" i="3"/>
  <c r="G1591" i="3"/>
  <c r="H1591" i="3"/>
  <c r="F1592" i="3"/>
  <c r="G1592" i="3"/>
  <c r="H1592" i="3"/>
  <c r="F1593" i="3"/>
  <c r="G1593" i="3"/>
  <c r="H1593" i="3"/>
  <c r="F1594" i="3"/>
  <c r="G1594" i="3"/>
  <c r="H1594" i="3"/>
  <c r="F1595" i="3"/>
  <c r="G1595" i="3"/>
  <c r="H1595" i="3"/>
  <c r="F1596" i="3"/>
  <c r="G1596" i="3"/>
  <c r="H1596" i="3"/>
  <c r="F1597" i="3"/>
  <c r="G1597" i="3"/>
  <c r="H1597" i="3"/>
  <c r="F1598" i="3"/>
  <c r="G1598" i="3"/>
  <c r="H1598" i="3"/>
  <c r="F1599" i="3"/>
  <c r="G1599" i="3"/>
  <c r="H1599" i="3"/>
  <c r="F1600" i="3"/>
  <c r="G1600" i="3"/>
  <c r="H1600" i="3"/>
  <c r="F1601" i="3"/>
  <c r="G1601" i="3"/>
  <c r="H1601" i="3"/>
  <c r="F1602" i="3"/>
  <c r="G1602" i="3"/>
  <c r="H1602" i="3"/>
  <c r="F1603" i="3"/>
  <c r="G1603" i="3"/>
  <c r="H1603" i="3"/>
  <c r="F1604" i="3"/>
  <c r="G1604" i="3"/>
  <c r="H1604" i="3"/>
  <c r="F1605" i="3"/>
  <c r="G1605" i="3"/>
  <c r="H1605" i="3"/>
  <c r="F1606" i="3"/>
  <c r="G1606" i="3"/>
  <c r="H1606" i="3"/>
  <c r="F1607" i="3"/>
  <c r="G1607" i="3"/>
  <c r="H1607" i="3"/>
  <c r="F1608" i="3"/>
  <c r="G1608" i="3"/>
  <c r="H1608" i="3"/>
  <c r="F1609" i="3"/>
  <c r="G1609" i="3"/>
  <c r="H1609" i="3"/>
  <c r="F1610" i="3"/>
  <c r="G1610" i="3"/>
  <c r="H1610" i="3"/>
  <c r="F1611" i="3"/>
  <c r="G1611" i="3"/>
  <c r="H1611" i="3"/>
  <c r="F1612" i="3"/>
  <c r="G1612" i="3"/>
  <c r="H1612" i="3"/>
  <c r="F1613" i="3"/>
  <c r="G1613" i="3"/>
  <c r="H1613" i="3"/>
  <c r="F1614" i="3"/>
  <c r="G1614" i="3"/>
  <c r="H1614" i="3"/>
  <c r="F1615" i="3"/>
  <c r="G1615" i="3"/>
  <c r="H1615" i="3"/>
  <c r="F1616" i="3"/>
  <c r="G1616" i="3"/>
  <c r="H1616" i="3"/>
  <c r="F1617" i="3"/>
  <c r="G1617" i="3"/>
  <c r="H1617" i="3"/>
  <c r="F1618" i="3"/>
  <c r="G1618" i="3"/>
  <c r="H1618" i="3"/>
  <c r="F1619" i="3"/>
  <c r="G1619" i="3"/>
  <c r="H1619" i="3"/>
  <c r="F1620" i="3"/>
  <c r="G1620" i="3"/>
  <c r="H1620" i="3"/>
  <c r="F1621" i="3"/>
  <c r="G1621" i="3"/>
  <c r="H1621" i="3"/>
  <c r="F1622" i="3"/>
  <c r="G1622" i="3"/>
  <c r="H1622" i="3"/>
  <c r="F1623" i="3"/>
  <c r="G1623" i="3"/>
  <c r="H1623" i="3"/>
  <c r="F1624" i="3"/>
  <c r="G1624" i="3"/>
  <c r="H1624" i="3"/>
  <c r="F1625" i="3"/>
  <c r="G1625" i="3"/>
  <c r="H1625" i="3"/>
  <c r="F1626" i="3"/>
  <c r="G1626" i="3"/>
  <c r="H1626" i="3"/>
  <c r="F1627" i="3"/>
  <c r="G1627" i="3"/>
  <c r="H1627" i="3"/>
  <c r="F1628" i="3"/>
  <c r="G1628" i="3"/>
  <c r="H1628" i="3"/>
  <c r="F1629" i="3"/>
  <c r="G1629" i="3"/>
  <c r="H1629" i="3"/>
  <c r="F1630" i="3"/>
  <c r="G1630" i="3"/>
  <c r="H1630" i="3"/>
  <c r="F1631" i="3"/>
  <c r="G1631" i="3"/>
  <c r="H1631" i="3"/>
  <c r="F1632" i="3"/>
  <c r="G1632" i="3"/>
  <c r="H1632" i="3"/>
  <c r="F1633" i="3"/>
  <c r="G1633" i="3"/>
  <c r="H1633" i="3"/>
  <c r="F1634" i="3"/>
  <c r="G1634" i="3"/>
  <c r="H1634" i="3"/>
  <c r="F1635" i="3"/>
  <c r="G1635" i="3"/>
  <c r="H1635" i="3"/>
  <c r="F1636" i="3"/>
  <c r="G1636" i="3"/>
  <c r="H1636" i="3"/>
  <c r="F1637" i="3"/>
  <c r="G1637" i="3"/>
  <c r="H1637" i="3"/>
  <c r="F1638" i="3"/>
  <c r="G1638" i="3"/>
  <c r="H1638" i="3"/>
  <c r="F1639" i="3"/>
  <c r="G1639" i="3"/>
  <c r="H1639" i="3"/>
  <c r="F1640" i="3"/>
  <c r="G1640" i="3"/>
  <c r="H1640" i="3"/>
  <c r="F1641" i="3"/>
  <c r="G1641" i="3"/>
  <c r="H1641" i="3"/>
  <c r="F1642" i="3"/>
  <c r="G1642" i="3"/>
  <c r="H1642" i="3"/>
  <c r="F1643" i="3"/>
  <c r="G1643" i="3"/>
  <c r="H1643" i="3"/>
  <c r="F1644" i="3"/>
  <c r="G1644" i="3"/>
  <c r="H1644" i="3"/>
  <c r="F1645" i="3"/>
  <c r="G1645" i="3"/>
  <c r="H1645" i="3"/>
  <c r="F1646" i="3"/>
  <c r="G1646" i="3"/>
  <c r="H1646" i="3"/>
  <c r="F1647" i="3"/>
  <c r="G1647" i="3"/>
  <c r="H1647" i="3"/>
  <c r="F1648" i="3"/>
  <c r="G1648" i="3"/>
  <c r="H1648" i="3"/>
  <c r="F1649" i="3"/>
  <c r="G1649" i="3"/>
  <c r="H1649" i="3"/>
  <c r="F1650" i="3"/>
  <c r="G1650" i="3"/>
  <c r="H1650" i="3"/>
  <c r="F1651" i="3"/>
  <c r="G1651" i="3"/>
  <c r="H1651" i="3"/>
  <c r="F1652" i="3"/>
  <c r="G1652" i="3"/>
  <c r="H1652" i="3"/>
  <c r="F1653" i="3"/>
  <c r="G1653" i="3"/>
  <c r="H1653" i="3"/>
  <c r="F1654" i="3"/>
  <c r="G1654" i="3"/>
  <c r="H1654" i="3"/>
  <c r="F1655" i="3"/>
  <c r="G1655" i="3"/>
  <c r="H1655" i="3"/>
  <c r="F1656" i="3"/>
  <c r="G1656" i="3"/>
  <c r="H1656" i="3"/>
  <c r="F1657" i="3"/>
  <c r="G1657" i="3"/>
  <c r="H1657" i="3"/>
  <c r="F1658" i="3"/>
  <c r="G1658" i="3"/>
  <c r="H1658" i="3"/>
  <c r="F1659" i="3"/>
  <c r="G1659" i="3"/>
  <c r="H1659" i="3"/>
  <c r="F1660" i="3"/>
  <c r="G1660" i="3"/>
  <c r="H1660" i="3"/>
  <c r="F1661" i="3"/>
  <c r="G1661" i="3"/>
  <c r="H1661" i="3"/>
  <c r="F1662" i="3"/>
  <c r="G1662" i="3"/>
  <c r="H1662" i="3"/>
  <c r="F1663" i="3"/>
  <c r="G1663" i="3"/>
  <c r="H1663" i="3"/>
  <c r="F1664" i="3"/>
  <c r="G1664" i="3"/>
  <c r="H1664" i="3"/>
  <c r="F1665" i="3"/>
  <c r="G1665" i="3"/>
  <c r="H1665" i="3"/>
  <c r="F1666" i="3"/>
  <c r="G1666" i="3"/>
  <c r="H1666" i="3"/>
  <c r="F1667" i="3"/>
  <c r="G1667" i="3"/>
  <c r="H1667" i="3"/>
  <c r="F1668" i="3"/>
  <c r="G1668" i="3"/>
  <c r="H1668" i="3"/>
  <c r="F1669" i="3"/>
  <c r="G1669" i="3"/>
  <c r="H1669" i="3"/>
  <c r="F1670" i="3"/>
  <c r="G1670" i="3"/>
  <c r="H1670" i="3"/>
  <c r="F1671" i="3"/>
  <c r="G1671" i="3"/>
  <c r="H1671" i="3"/>
  <c r="F1672" i="3"/>
  <c r="G1672" i="3"/>
  <c r="H1672" i="3"/>
  <c r="F1673" i="3"/>
  <c r="G1673" i="3"/>
  <c r="H1673" i="3"/>
  <c r="F1674" i="3"/>
  <c r="G1674" i="3"/>
  <c r="H1674" i="3"/>
  <c r="F1675" i="3"/>
  <c r="G1675" i="3"/>
  <c r="H1675" i="3"/>
  <c r="F1676" i="3"/>
  <c r="G1676" i="3"/>
  <c r="H1676" i="3"/>
  <c r="F1677" i="3"/>
  <c r="G1677" i="3"/>
  <c r="H1677" i="3"/>
  <c r="F1678" i="3"/>
  <c r="G1678" i="3"/>
  <c r="H1678" i="3"/>
  <c r="F1679" i="3"/>
  <c r="G1679" i="3"/>
  <c r="H1679" i="3"/>
  <c r="F1680" i="3"/>
  <c r="G1680" i="3"/>
  <c r="H1680" i="3"/>
  <c r="F1681" i="3"/>
  <c r="G1681" i="3"/>
  <c r="H1681" i="3"/>
  <c r="F1682" i="3"/>
  <c r="G1682" i="3"/>
  <c r="H1682" i="3"/>
  <c r="F1683" i="3"/>
  <c r="G1683" i="3"/>
  <c r="H1683" i="3"/>
  <c r="F1684" i="3"/>
  <c r="G1684" i="3"/>
  <c r="H1684" i="3"/>
  <c r="F1685" i="3"/>
  <c r="G1685" i="3"/>
  <c r="H1685" i="3"/>
  <c r="F1686" i="3"/>
  <c r="G1686" i="3"/>
  <c r="H1686" i="3"/>
  <c r="F1687" i="3"/>
  <c r="G1687" i="3"/>
  <c r="H1687" i="3"/>
  <c r="F1688" i="3"/>
  <c r="G1688" i="3"/>
  <c r="H1688" i="3"/>
  <c r="F1689" i="3"/>
  <c r="G1689" i="3"/>
  <c r="H1689" i="3"/>
  <c r="F1690" i="3"/>
  <c r="G1690" i="3"/>
  <c r="H1690" i="3"/>
  <c r="F1691" i="3"/>
  <c r="G1691" i="3"/>
  <c r="H1691" i="3"/>
  <c r="F1692" i="3"/>
  <c r="G1692" i="3"/>
  <c r="H1692" i="3"/>
  <c r="F1693" i="3"/>
  <c r="G1693" i="3"/>
  <c r="H1693" i="3"/>
  <c r="F1694" i="3"/>
  <c r="G1694" i="3"/>
  <c r="H1694" i="3"/>
  <c r="F1695" i="3"/>
  <c r="G1695" i="3"/>
  <c r="H1695" i="3"/>
  <c r="F1696" i="3"/>
  <c r="G1696" i="3"/>
  <c r="H1696" i="3"/>
  <c r="F1697" i="3"/>
  <c r="G1697" i="3"/>
  <c r="H1697" i="3"/>
  <c r="F1698" i="3"/>
  <c r="G1698" i="3"/>
  <c r="H1698" i="3"/>
  <c r="F1699" i="3"/>
  <c r="G1699" i="3"/>
  <c r="H1699" i="3"/>
  <c r="F1700" i="3"/>
  <c r="G1700" i="3"/>
  <c r="H1700" i="3"/>
  <c r="F1701" i="3"/>
  <c r="G1701" i="3"/>
  <c r="H1701" i="3"/>
  <c r="F1702" i="3"/>
  <c r="G1702" i="3"/>
  <c r="H1702" i="3"/>
  <c r="F1703" i="3"/>
  <c r="G1703" i="3"/>
  <c r="H1703" i="3"/>
  <c r="F1704" i="3"/>
  <c r="G1704" i="3"/>
  <c r="H1704" i="3"/>
  <c r="F1705" i="3"/>
  <c r="G1705" i="3"/>
  <c r="H1705" i="3"/>
  <c r="F1706" i="3"/>
  <c r="G1706" i="3"/>
  <c r="H1706" i="3"/>
  <c r="F1707" i="3"/>
  <c r="G1707" i="3"/>
  <c r="H1707" i="3"/>
  <c r="F1708" i="3"/>
  <c r="G1708" i="3"/>
  <c r="H1708" i="3"/>
  <c r="F1709" i="3"/>
  <c r="G1709" i="3"/>
  <c r="H1709" i="3"/>
  <c r="F1710" i="3"/>
  <c r="G1710" i="3"/>
  <c r="H1710" i="3"/>
  <c r="F1711" i="3"/>
  <c r="G1711" i="3"/>
  <c r="H1711" i="3"/>
  <c r="F1712" i="3"/>
  <c r="G1712" i="3"/>
  <c r="H1712" i="3"/>
  <c r="F1713" i="3"/>
  <c r="G1713" i="3"/>
  <c r="H1713" i="3"/>
  <c r="F1714" i="3"/>
  <c r="G1714" i="3"/>
  <c r="H1714" i="3"/>
  <c r="F1715" i="3"/>
  <c r="G1715" i="3"/>
  <c r="H1715" i="3"/>
  <c r="F1716" i="3"/>
  <c r="G1716" i="3"/>
  <c r="H1716" i="3"/>
  <c r="F1717" i="3"/>
  <c r="G1717" i="3"/>
  <c r="H1717" i="3"/>
  <c r="F1718" i="3"/>
  <c r="G1718" i="3"/>
  <c r="H1718" i="3"/>
  <c r="F1719" i="3"/>
  <c r="G1719" i="3"/>
  <c r="H1719" i="3"/>
  <c r="F1720" i="3"/>
  <c r="G1720" i="3"/>
  <c r="H1720" i="3"/>
  <c r="F1721" i="3"/>
  <c r="G1721" i="3"/>
  <c r="H1721" i="3"/>
  <c r="F1722" i="3"/>
  <c r="G1722" i="3"/>
  <c r="H1722" i="3"/>
  <c r="F1723" i="3"/>
  <c r="G1723" i="3"/>
  <c r="H1723" i="3"/>
  <c r="F1724" i="3"/>
  <c r="G1724" i="3"/>
  <c r="H1724" i="3"/>
  <c r="F1725" i="3"/>
  <c r="G1725" i="3"/>
  <c r="H1725" i="3"/>
  <c r="F1726" i="3"/>
  <c r="G1726" i="3"/>
  <c r="H1726" i="3"/>
  <c r="F1727" i="3"/>
  <c r="G1727" i="3"/>
  <c r="H1727" i="3"/>
  <c r="F1728" i="3"/>
  <c r="G1728" i="3"/>
  <c r="H1728" i="3"/>
  <c r="F1729" i="3"/>
  <c r="G1729" i="3"/>
  <c r="H1729" i="3"/>
  <c r="F1730" i="3"/>
  <c r="G1730" i="3"/>
  <c r="H1730" i="3"/>
  <c r="F1731" i="3"/>
  <c r="G1731" i="3"/>
  <c r="H1731" i="3"/>
  <c r="F1732" i="3"/>
  <c r="G1732" i="3"/>
  <c r="H1732" i="3"/>
  <c r="F1733" i="3"/>
  <c r="G1733" i="3"/>
  <c r="H1733" i="3"/>
  <c r="F1734" i="3"/>
  <c r="G1734" i="3"/>
  <c r="H1734" i="3"/>
  <c r="F1735" i="3"/>
  <c r="G1735" i="3"/>
  <c r="H1735" i="3"/>
  <c r="F1736" i="3"/>
  <c r="G1736" i="3"/>
  <c r="H1736" i="3"/>
  <c r="F1737" i="3"/>
  <c r="G1737" i="3"/>
  <c r="H1737" i="3"/>
  <c r="F1738" i="3"/>
  <c r="G1738" i="3"/>
  <c r="H1738" i="3"/>
  <c r="F1739" i="3"/>
  <c r="G1739" i="3"/>
  <c r="H1739" i="3"/>
  <c r="F1740" i="3"/>
  <c r="G1740" i="3"/>
  <c r="H1740" i="3"/>
  <c r="F1741" i="3"/>
  <c r="G1741" i="3"/>
  <c r="H1741" i="3"/>
  <c r="F1742" i="3"/>
  <c r="G1742" i="3"/>
  <c r="H1742" i="3"/>
  <c r="F1743" i="3"/>
  <c r="G1743" i="3"/>
  <c r="H1743" i="3"/>
  <c r="F1744" i="3"/>
  <c r="G1744" i="3"/>
  <c r="H1744" i="3"/>
  <c r="F1745" i="3"/>
  <c r="G1745" i="3"/>
  <c r="H1745" i="3"/>
  <c r="F1746" i="3"/>
  <c r="G1746" i="3"/>
  <c r="H1746" i="3"/>
  <c r="F1747" i="3"/>
  <c r="G1747" i="3"/>
  <c r="H1747" i="3"/>
  <c r="F1748" i="3"/>
  <c r="G1748" i="3"/>
  <c r="H1748" i="3"/>
  <c r="F1749" i="3"/>
  <c r="G1749" i="3"/>
  <c r="H1749" i="3"/>
  <c r="F1750" i="3"/>
  <c r="G1750" i="3"/>
  <c r="H1750" i="3"/>
  <c r="F1751" i="3"/>
  <c r="G1751" i="3"/>
  <c r="H1751" i="3"/>
  <c r="F1752" i="3"/>
  <c r="G1752" i="3"/>
  <c r="H1752" i="3"/>
  <c r="F1753" i="3"/>
  <c r="G1753" i="3"/>
  <c r="H1753" i="3"/>
  <c r="F1754" i="3"/>
  <c r="G1754" i="3"/>
  <c r="H1754" i="3"/>
  <c r="F1755" i="3"/>
  <c r="G1755" i="3"/>
  <c r="H1755" i="3"/>
  <c r="F1756" i="3"/>
  <c r="G1756" i="3"/>
  <c r="H1756" i="3"/>
  <c r="F1757" i="3"/>
  <c r="G1757" i="3"/>
  <c r="H1757" i="3"/>
  <c r="F1758" i="3"/>
  <c r="G1758" i="3"/>
  <c r="H1758" i="3"/>
  <c r="F1759" i="3"/>
  <c r="G1759" i="3"/>
  <c r="H1759" i="3"/>
  <c r="F1760" i="3"/>
  <c r="G1760" i="3"/>
  <c r="H1760" i="3"/>
  <c r="F1761" i="3"/>
  <c r="G1761" i="3"/>
  <c r="H1761" i="3"/>
  <c r="F1762" i="3"/>
  <c r="G1762" i="3"/>
  <c r="H1762" i="3"/>
  <c r="F1763" i="3"/>
  <c r="G1763" i="3"/>
  <c r="H1763" i="3"/>
  <c r="F1764" i="3"/>
  <c r="G1764" i="3"/>
  <c r="H1764" i="3"/>
  <c r="F1765" i="3"/>
  <c r="G1765" i="3"/>
  <c r="H1765" i="3"/>
  <c r="F1766" i="3"/>
  <c r="G1766" i="3"/>
  <c r="H1766" i="3"/>
  <c r="F1767" i="3"/>
  <c r="G1767" i="3"/>
  <c r="H1767" i="3"/>
  <c r="F1768" i="3"/>
  <c r="G1768" i="3"/>
  <c r="H1768" i="3"/>
  <c r="F1769" i="3"/>
  <c r="G1769" i="3"/>
  <c r="H1769" i="3"/>
  <c r="F1770" i="3"/>
  <c r="G1770" i="3"/>
  <c r="H1770" i="3"/>
  <c r="F1771" i="3"/>
  <c r="G1771" i="3"/>
  <c r="H1771" i="3"/>
  <c r="F1772" i="3"/>
  <c r="G1772" i="3"/>
  <c r="H1772" i="3"/>
  <c r="F1773" i="3"/>
  <c r="G1773" i="3"/>
  <c r="H1773" i="3"/>
  <c r="F1774" i="3"/>
  <c r="G1774" i="3"/>
  <c r="H1774" i="3"/>
  <c r="F1775" i="3"/>
  <c r="G1775" i="3"/>
  <c r="H1775" i="3"/>
  <c r="F1776" i="3"/>
  <c r="G1776" i="3"/>
  <c r="H1776" i="3"/>
  <c r="F1777" i="3"/>
  <c r="G1777" i="3"/>
  <c r="H1777" i="3"/>
  <c r="F1778" i="3"/>
  <c r="G1778" i="3"/>
  <c r="H1778" i="3"/>
  <c r="F1779" i="3"/>
  <c r="G1779" i="3"/>
  <c r="H1779" i="3"/>
  <c r="F1780" i="3"/>
  <c r="G1780" i="3"/>
  <c r="H1780" i="3"/>
  <c r="F1781" i="3"/>
  <c r="G1781" i="3"/>
  <c r="H1781" i="3"/>
  <c r="F1782" i="3"/>
  <c r="G1782" i="3"/>
  <c r="H1782" i="3"/>
  <c r="F1783" i="3"/>
  <c r="G1783" i="3"/>
  <c r="H1783" i="3"/>
  <c r="F1784" i="3"/>
  <c r="G1784" i="3"/>
  <c r="H1784" i="3"/>
  <c r="F1785" i="3"/>
  <c r="G1785" i="3"/>
  <c r="H1785" i="3"/>
  <c r="F1786" i="3"/>
  <c r="G1786" i="3"/>
  <c r="H1786" i="3"/>
  <c r="F1787" i="3"/>
  <c r="G1787" i="3"/>
  <c r="H1787" i="3"/>
  <c r="F1788" i="3"/>
  <c r="G1788" i="3"/>
  <c r="H1788" i="3"/>
  <c r="F1789" i="3"/>
  <c r="G1789" i="3"/>
  <c r="H1789" i="3"/>
  <c r="F1790" i="3"/>
  <c r="G1790" i="3"/>
  <c r="H1790" i="3"/>
  <c r="F1791" i="3"/>
  <c r="G1791" i="3"/>
  <c r="H1791" i="3"/>
  <c r="F1792" i="3"/>
  <c r="G1792" i="3"/>
  <c r="H1792" i="3"/>
  <c r="F1793" i="3"/>
  <c r="G1793" i="3"/>
  <c r="H1793" i="3"/>
  <c r="F1794" i="3"/>
  <c r="G1794" i="3"/>
  <c r="H1794" i="3"/>
  <c r="F1795" i="3"/>
  <c r="G1795" i="3"/>
  <c r="H1795" i="3"/>
  <c r="F1796" i="3"/>
  <c r="G1796" i="3"/>
  <c r="H1796" i="3"/>
  <c r="F1797" i="3"/>
  <c r="G1797" i="3"/>
  <c r="H1797" i="3"/>
  <c r="F1798" i="3"/>
  <c r="G1798" i="3"/>
  <c r="H1798" i="3"/>
  <c r="F1799" i="3"/>
  <c r="G1799" i="3"/>
  <c r="H1799" i="3"/>
  <c r="F1800" i="3"/>
  <c r="G1800" i="3"/>
  <c r="H1800" i="3"/>
  <c r="F1801" i="3"/>
  <c r="G1801" i="3"/>
  <c r="H1801" i="3"/>
  <c r="F1802" i="3"/>
  <c r="G1802" i="3"/>
  <c r="H1802" i="3"/>
  <c r="F1803" i="3"/>
  <c r="G1803" i="3"/>
  <c r="H1803" i="3"/>
  <c r="F1804" i="3"/>
  <c r="G1804" i="3"/>
  <c r="H1804" i="3"/>
  <c r="F1805" i="3"/>
  <c r="G1805" i="3"/>
  <c r="H1805" i="3"/>
  <c r="F1806" i="3"/>
  <c r="G1806" i="3"/>
  <c r="H1806" i="3"/>
  <c r="F1807" i="3"/>
  <c r="G1807" i="3"/>
  <c r="H1807" i="3"/>
  <c r="F1808" i="3"/>
  <c r="G1808" i="3"/>
  <c r="H1808" i="3"/>
  <c r="F1809" i="3"/>
  <c r="G1809" i="3"/>
  <c r="H1809" i="3"/>
  <c r="F1810" i="3"/>
  <c r="G1810" i="3"/>
  <c r="H1810" i="3"/>
  <c r="F1811" i="3"/>
  <c r="G1811" i="3"/>
  <c r="H1811" i="3"/>
  <c r="F1812" i="3"/>
  <c r="G1812" i="3"/>
  <c r="H1812" i="3"/>
  <c r="F1813" i="3"/>
  <c r="G1813" i="3"/>
  <c r="H1813" i="3"/>
  <c r="F1814" i="3"/>
  <c r="G1814" i="3"/>
  <c r="H1814" i="3"/>
  <c r="F1815" i="3"/>
  <c r="G1815" i="3"/>
  <c r="H1815" i="3"/>
  <c r="F1816" i="3"/>
  <c r="G1816" i="3"/>
  <c r="H1816" i="3"/>
  <c r="F1817" i="3"/>
  <c r="G1817" i="3"/>
  <c r="H1817" i="3"/>
  <c r="F1818" i="3"/>
  <c r="G1818" i="3"/>
  <c r="H1818" i="3"/>
  <c r="F1819" i="3"/>
  <c r="G1819" i="3"/>
  <c r="H1819" i="3"/>
  <c r="F1820" i="3"/>
  <c r="G1820" i="3"/>
  <c r="H1820" i="3"/>
  <c r="F1821" i="3"/>
  <c r="G1821" i="3"/>
  <c r="H1821" i="3"/>
  <c r="F1822" i="3"/>
  <c r="G1822" i="3"/>
  <c r="H1822" i="3"/>
  <c r="F1823" i="3"/>
  <c r="G1823" i="3"/>
  <c r="H1823" i="3"/>
  <c r="F1824" i="3"/>
  <c r="G1824" i="3"/>
  <c r="H1824" i="3"/>
  <c r="F1825" i="3"/>
  <c r="G1825" i="3"/>
  <c r="H1825" i="3"/>
  <c r="F1826" i="3"/>
  <c r="G1826" i="3"/>
  <c r="H1826" i="3"/>
  <c r="F1827" i="3"/>
  <c r="G1827" i="3"/>
  <c r="H1827" i="3"/>
  <c r="F1828" i="3"/>
  <c r="G1828" i="3"/>
  <c r="H1828" i="3"/>
  <c r="F1829" i="3"/>
  <c r="G1829" i="3"/>
  <c r="H1829" i="3"/>
  <c r="F1830" i="3"/>
  <c r="G1830" i="3"/>
  <c r="H1830" i="3"/>
  <c r="F1831" i="3"/>
  <c r="G1831" i="3"/>
  <c r="H1831" i="3"/>
  <c r="F1832" i="3"/>
  <c r="G1832" i="3"/>
  <c r="H1832" i="3"/>
  <c r="F1833" i="3"/>
  <c r="G1833" i="3"/>
  <c r="H1833" i="3"/>
  <c r="F1834" i="3"/>
  <c r="G1834" i="3"/>
  <c r="H1834" i="3"/>
  <c r="F1835" i="3"/>
  <c r="G1835" i="3"/>
  <c r="H1835" i="3"/>
  <c r="F1836" i="3"/>
  <c r="G1836" i="3"/>
  <c r="H1836" i="3"/>
  <c r="F1837" i="3"/>
  <c r="G1837" i="3"/>
  <c r="H1837" i="3"/>
  <c r="F1838" i="3"/>
  <c r="G1838" i="3"/>
  <c r="H1838" i="3"/>
  <c r="F1839" i="3"/>
  <c r="G1839" i="3"/>
  <c r="H1839" i="3"/>
  <c r="F1840" i="3"/>
  <c r="G1840" i="3"/>
  <c r="H1840" i="3"/>
  <c r="F1841" i="3"/>
  <c r="G1841" i="3"/>
  <c r="H1841" i="3"/>
  <c r="F1842" i="3"/>
  <c r="G1842" i="3"/>
  <c r="H1842" i="3"/>
  <c r="F1843" i="3"/>
  <c r="G1843" i="3"/>
  <c r="H1843" i="3"/>
  <c r="F1844" i="3"/>
  <c r="G1844" i="3"/>
  <c r="H1844" i="3"/>
  <c r="F1845" i="3"/>
  <c r="G1845" i="3"/>
  <c r="H1845" i="3"/>
  <c r="F1846" i="3"/>
  <c r="G1846" i="3"/>
  <c r="H1846" i="3"/>
  <c r="F1847" i="3"/>
  <c r="G1847" i="3"/>
  <c r="H1847" i="3"/>
  <c r="F1848" i="3"/>
  <c r="G1848" i="3"/>
  <c r="H1848" i="3"/>
  <c r="F1849" i="3"/>
  <c r="G1849" i="3"/>
  <c r="H1849" i="3"/>
  <c r="F1850" i="3"/>
  <c r="G1850" i="3"/>
  <c r="H1850" i="3"/>
  <c r="F1851" i="3"/>
  <c r="G1851" i="3"/>
  <c r="H1851" i="3"/>
  <c r="F1852" i="3"/>
  <c r="G1852" i="3"/>
  <c r="H1852" i="3"/>
  <c r="F1853" i="3"/>
  <c r="G1853" i="3"/>
  <c r="H1853" i="3"/>
  <c r="F1854" i="3"/>
  <c r="G1854" i="3"/>
  <c r="H1854" i="3"/>
  <c r="F1855" i="3"/>
  <c r="G1855" i="3"/>
  <c r="H1855" i="3"/>
  <c r="F1856" i="3"/>
  <c r="G1856" i="3"/>
  <c r="H1856" i="3"/>
  <c r="F1857" i="3"/>
  <c r="G1857" i="3"/>
  <c r="H1857" i="3"/>
  <c r="F1858" i="3"/>
  <c r="G1858" i="3"/>
  <c r="H1858" i="3"/>
  <c r="F1859" i="3"/>
  <c r="G1859" i="3"/>
  <c r="H1859" i="3"/>
  <c r="F1860" i="3"/>
  <c r="G1860" i="3"/>
  <c r="H1860" i="3"/>
  <c r="F1861" i="3"/>
  <c r="G1861" i="3"/>
  <c r="H1861" i="3"/>
  <c r="F1862" i="3"/>
  <c r="G1862" i="3"/>
  <c r="H1862" i="3"/>
  <c r="F1863" i="3"/>
  <c r="G1863" i="3"/>
  <c r="H1863" i="3"/>
  <c r="F1864" i="3"/>
  <c r="G1864" i="3"/>
  <c r="H1864" i="3"/>
  <c r="F1865" i="3"/>
  <c r="G1865" i="3"/>
  <c r="H1865" i="3"/>
  <c r="F1866" i="3"/>
  <c r="G1866" i="3"/>
  <c r="H1866" i="3"/>
  <c r="F1867" i="3"/>
  <c r="G1867" i="3"/>
  <c r="H1867" i="3"/>
  <c r="F1868" i="3"/>
  <c r="G1868" i="3"/>
  <c r="H1868" i="3"/>
  <c r="F1869" i="3"/>
  <c r="G1869" i="3"/>
  <c r="H1869" i="3"/>
  <c r="F1870" i="3"/>
  <c r="G1870" i="3"/>
  <c r="H1870" i="3"/>
  <c r="F1871" i="3"/>
  <c r="G1871" i="3"/>
  <c r="H1871" i="3"/>
  <c r="F1872" i="3"/>
  <c r="G1872" i="3"/>
  <c r="H1872" i="3"/>
  <c r="F1873" i="3"/>
  <c r="G1873" i="3"/>
  <c r="H1873" i="3"/>
  <c r="F1874" i="3"/>
  <c r="G1874" i="3"/>
  <c r="H1874" i="3"/>
  <c r="F1875" i="3"/>
  <c r="G1875" i="3"/>
  <c r="H1875" i="3"/>
  <c r="F1876" i="3"/>
  <c r="G1876" i="3"/>
  <c r="H1876" i="3"/>
  <c r="F1877" i="3"/>
  <c r="G1877" i="3"/>
  <c r="H1877" i="3"/>
  <c r="F1878" i="3"/>
  <c r="G1878" i="3"/>
  <c r="H1878" i="3"/>
  <c r="F1879" i="3"/>
  <c r="G1879" i="3"/>
  <c r="H1879" i="3"/>
  <c r="F1880" i="3"/>
  <c r="G1880" i="3"/>
  <c r="H1880" i="3"/>
  <c r="F1881" i="3"/>
  <c r="G1881" i="3"/>
  <c r="H1881" i="3"/>
  <c r="F1882" i="3"/>
  <c r="G1882" i="3"/>
  <c r="H1882" i="3"/>
  <c r="F1883" i="3"/>
  <c r="G1883" i="3"/>
  <c r="H1883" i="3"/>
  <c r="F1884" i="3"/>
  <c r="G1884" i="3"/>
  <c r="H1884" i="3"/>
  <c r="F1885" i="3"/>
  <c r="G1885" i="3"/>
  <c r="H1885" i="3"/>
  <c r="F1886" i="3"/>
  <c r="G1886" i="3"/>
  <c r="H1886" i="3"/>
  <c r="F1887" i="3"/>
  <c r="G1887" i="3"/>
  <c r="H1887" i="3"/>
  <c r="F1888" i="3"/>
  <c r="G1888" i="3"/>
  <c r="H1888" i="3"/>
  <c r="F1889" i="3"/>
  <c r="G1889" i="3"/>
  <c r="H1889" i="3"/>
  <c r="F1890" i="3"/>
  <c r="G1890" i="3"/>
  <c r="H1890" i="3"/>
  <c r="F1891" i="3"/>
  <c r="G1891" i="3"/>
  <c r="H1891" i="3"/>
  <c r="F1892" i="3"/>
  <c r="G1892" i="3"/>
  <c r="H1892" i="3"/>
  <c r="F1893" i="3"/>
  <c r="G1893" i="3"/>
  <c r="H1893" i="3"/>
  <c r="F1894" i="3"/>
  <c r="G1894" i="3"/>
  <c r="H1894" i="3"/>
  <c r="F1895" i="3"/>
  <c r="G1895" i="3"/>
  <c r="H1895" i="3"/>
  <c r="F1896" i="3"/>
  <c r="G1896" i="3"/>
  <c r="H1896" i="3"/>
  <c r="F1897" i="3"/>
  <c r="G1897" i="3"/>
  <c r="H1897" i="3"/>
  <c r="F1898" i="3"/>
  <c r="G1898" i="3"/>
  <c r="H1898" i="3"/>
  <c r="F1899" i="3"/>
  <c r="G1899" i="3"/>
  <c r="H1899" i="3"/>
  <c r="F1900" i="3"/>
  <c r="G1900" i="3"/>
  <c r="H1900" i="3"/>
  <c r="F1901" i="3"/>
  <c r="G1901" i="3"/>
  <c r="H1901" i="3"/>
  <c r="F1902" i="3"/>
  <c r="G1902" i="3"/>
  <c r="H1902" i="3"/>
  <c r="F1903" i="3"/>
  <c r="G1903" i="3"/>
  <c r="H1903" i="3"/>
  <c r="F1904" i="3"/>
  <c r="G1904" i="3"/>
  <c r="H1904" i="3"/>
  <c r="F1905" i="3"/>
  <c r="G1905" i="3"/>
  <c r="H1905" i="3"/>
  <c r="F1906" i="3"/>
  <c r="G1906" i="3"/>
  <c r="H1906" i="3"/>
  <c r="F1907" i="3"/>
  <c r="G1907" i="3"/>
  <c r="H1907" i="3"/>
  <c r="F1908" i="3"/>
  <c r="G1908" i="3"/>
  <c r="H1908" i="3"/>
  <c r="F1909" i="3"/>
  <c r="G1909" i="3"/>
  <c r="H1909" i="3"/>
  <c r="F1910" i="3"/>
  <c r="G1910" i="3"/>
  <c r="H1910" i="3"/>
  <c r="F1911" i="3"/>
  <c r="G1911" i="3"/>
  <c r="H1911" i="3"/>
  <c r="F1912" i="3"/>
  <c r="G1912" i="3"/>
  <c r="H1912" i="3"/>
  <c r="F1913" i="3"/>
  <c r="G1913" i="3"/>
  <c r="H1913" i="3"/>
  <c r="F1914" i="3"/>
  <c r="G1914" i="3"/>
  <c r="H1914" i="3"/>
  <c r="F1915" i="3"/>
  <c r="G1915" i="3"/>
  <c r="H1915" i="3"/>
  <c r="F1916" i="3"/>
  <c r="G1916" i="3"/>
  <c r="H1916" i="3"/>
  <c r="F1917" i="3"/>
  <c r="G1917" i="3"/>
  <c r="H1917" i="3"/>
  <c r="F1918" i="3"/>
  <c r="G1918" i="3"/>
  <c r="H1918" i="3"/>
  <c r="F1919" i="3"/>
  <c r="G1919" i="3"/>
  <c r="H1919" i="3"/>
  <c r="F1920" i="3"/>
  <c r="G1920" i="3"/>
  <c r="H1920" i="3"/>
  <c r="F1921" i="3"/>
  <c r="G1921" i="3"/>
  <c r="H1921" i="3"/>
  <c r="F1922" i="3"/>
  <c r="G1922" i="3"/>
  <c r="H1922" i="3"/>
  <c r="F1923" i="3"/>
  <c r="G1923" i="3"/>
  <c r="H1923" i="3"/>
  <c r="F1924" i="3"/>
  <c r="G1924" i="3"/>
  <c r="H1924" i="3"/>
  <c r="F1925" i="3"/>
  <c r="G1925" i="3"/>
  <c r="H1925" i="3"/>
  <c r="F1926" i="3"/>
  <c r="G1926" i="3"/>
  <c r="H1926" i="3"/>
  <c r="F1927" i="3"/>
  <c r="G1927" i="3"/>
  <c r="H1927" i="3"/>
  <c r="F1928" i="3"/>
  <c r="G1928" i="3"/>
  <c r="H1928" i="3"/>
  <c r="F1929" i="3"/>
  <c r="G1929" i="3"/>
  <c r="H1929" i="3"/>
  <c r="F1930" i="3"/>
  <c r="G1930" i="3"/>
  <c r="H1930" i="3"/>
  <c r="F1931" i="3"/>
  <c r="G1931" i="3"/>
  <c r="H1931" i="3"/>
  <c r="F1932" i="3"/>
  <c r="G1932" i="3"/>
  <c r="H1932" i="3"/>
  <c r="F1933" i="3"/>
  <c r="G1933" i="3"/>
  <c r="H1933" i="3"/>
  <c r="F1934" i="3"/>
  <c r="G1934" i="3"/>
  <c r="H1934" i="3"/>
  <c r="F1935" i="3"/>
  <c r="G1935" i="3"/>
  <c r="H1935" i="3"/>
  <c r="F1936" i="3"/>
  <c r="G1936" i="3"/>
  <c r="H1936" i="3"/>
  <c r="F1937" i="3"/>
  <c r="G1937" i="3"/>
  <c r="H1937" i="3"/>
  <c r="F1938" i="3"/>
  <c r="G1938" i="3"/>
  <c r="H1938" i="3"/>
  <c r="F1939" i="3"/>
  <c r="G1939" i="3"/>
  <c r="H1939" i="3"/>
  <c r="F1940" i="3"/>
  <c r="G1940" i="3"/>
  <c r="H1940" i="3"/>
  <c r="F1941" i="3"/>
  <c r="G1941" i="3"/>
  <c r="H1941" i="3"/>
  <c r="F1942" i="3"/>
  <c r="G1942" i="3"/>
  <c r="H1942" i="3"/>
  <c r="F1943" i="3"/>
  <c r="G1943" i="3"/>
  <c r="H1943" i="3"/>
  <c r="F1944" i="3"/>
  <c r="G1944" i="3"/>
  <c r="H1944" i="3"/>
  <c r="F1945" i="3"/>
  <c r="G1945" i="3"/>
  <c r="H1945" i="3"/>
  <c r="F1946" i="3"/>
  <c r="G1946" i="3"/>
  <c r="H1946" i="3"/>
  <c r="F1947" i="3"/>
  <c r="G1947" i="3"/>
  <c r="H1947" i="3"/>
  <c r="F1948" i="3"/>
  <c r="G1948" i="3"/>
  <c r="H1948" i="3"/>
  <c r="F1949" i="3"/>
  <c r="G1949" i="3"/>
  <c r="H1949" i="3"/>
  <c r="F1950" i="3"/>
  <c r="G1950" i="3"/>
  <c r="H1950" i="3"/>
  <c r="F1951" i="3"/>
  <c r="G1951" i="3"/>
  <c r="H1951" i="3"/>
  <c r="F1952" i="3"/>
  <c r="G1952" i="3"/>
  <c r="H1952" i="3"/>
  <c r="F1953" i="3"/>
  <c r="G1953" i="3"/>
  <c r="H1953" i="3"/>
  <c r="F1954" i="3"/>
  <c r="G1954" i="3"/>
  <c r="H1954" i="3"/>
  <c r="F1955" i="3"/>
  <c r="G1955" i="3"/>
  <c r="H1955" i="3"/>
  <c r="F1956" i="3"/>
  <c r="G1956" i="3"/>
  <c r="H1956" i="3"/>
  <c r="F1957" i="3"/>
  <c r="G1957" i="3"/>
  <c r="H1957" i="3"/>
  <c r="F1958" i="3"/>
  <c r="G1958" i="3"/>
  <c r="H1958" i="3"/>
  <c r="F1959" i="3"/>
  <c r="G1959" i="3"/>
  <c r="H1959" i="3"/>
  <c r="F1960" i="3"/>
  <c r="G1960" i="3"/>
  <c r="H1960" i="3"/>
  <c r="F1961" i="3"/>
  <c r="G1961" i="3"/>
  <c r="H1961" i="3"/>
  <c r="F1962" i="3"/>
  <c r="G1962" i="3"/>
  <c r="H1962" i="3"/>
  <c r="F1963" i="3"/>
  <c r="G1963" i="3"/>
  <c r="H1963" i="3"/>
  <c r="F1964" i="3"/>
  <c r="G1964" i="3"/>
  <c r="H1964" i="3"/>
  <c r="F1965" i="3"/>
  <c r="G1965" i="3"/>
  <c r="H1965" i="3"/>
  <c r="F1966" i="3"/>
  <c r="G1966" i="3"/>
  <c r="H1966" i="3"/>
  <c r="F1967" i="3"/>
  <c r="G1967" i="3"/>
  <c r="H1967" i="3"/>
  <c r="F1968" i="3"/>
  <c r="G1968" i="3"/>
  <c r="H1968" i="3"/>
  <c r="F1969" i="3"/>
  <c r="G1969" i="3"/>
  <c r="H1969" i="3"/>
  <c r="F1970" i="3"/>
  <c r="G1970" i="3"/>
  <c r="H1970" i="3"/>
  <c r="F1971" i="3"/>
  <c r="G1971" i="3"/>
  <c r="H1971" i="3"/>
  <c r="F1972" i="3"/>
  <c r="G1972" i="3"/>
  <c r="H1972" i="3"/>
  <c r="F1973" i="3"/>
  <c r="G1973" i="3"/>
  <c r="H1973" i="3"/>
  <c r="F1974" i="3"/>
  <c r="G1974" i="3"/>
  <c r="H1974" i="3"/>
  <c r="F1975" i="3"/>
  <c r="G1975" i="3"/>
  <c r="H1975" i="3"/>
  <c r="F1976" i="3"/>
  <c r="G1976" i="3"/>
  <c r="H1976" i="3"/>
  <c r="F1977" i="3"/>
  <c r="G1977" i="3"/>
  <c r="H1977" i="3"/>
  <c r="F1978" i="3"/>
  <c r="G1978" i="3"/>
  <c r="H1978" i="3"/>
  <c r="F1979" i="3"/>
  <c r="G1979" i="3"/>
  <c r="H1979" i="3"/>
  <c r="F1980" i="3"/>
  <c r="G1980" i="3"/>
  <c r="H1980" i="3"/>
  <c r="F1981" i="3"/>
  <c r="G1981" i="3"/>
  <c r="H1981" i="3"/>
  <c r="F1982" i="3"/>
  <c r="G1982" i="3"/>
  <c r="H1982" i="3"/>
  <c r="F1983" i="3"/>
  <c r="G1983" i="3"/>
  <c r="H1983" i="3"/>
  <c r="F1984" i="3"/>
  <c r="G1984" i="3"/>
  <c r="H1984" i="3"/>
  <c r="F1985" i="3"/>
  <c r="G1985" i="3"/>
  <c r="H1985" i="3"/>
  <c r="F1986" i="3"/>
  <c r="G1986" i="3"/>
  <c r="H1986" i="3"/>
  <c r="F1987" i="3"/>
  <c r="G1987" i="3"/>
  <c r="H1987" i="3"/>
  <c r="F1988" i="3"/>
  <c r="G1988" i="3"/>
  <c r="H1988" i="3"/>
  <c r="F1989" i="3"/>
  <c r="G1989" i="3"/>
  <c r="H1989" i="3"/>
  <c r="F1990" i="3"/>
  <c r="G1990" i="3"/>
  <c r="H1990" i="3"/>
  <c r="F1991" i="3"/>
  <c r="G1991" i="3"/>
  <c r="H1991" i="3"/>
  <c r="F1992" i="3"/>
  <c r="G1992" i="3"/>
  <c r="H1992" i="3"/>
  <c r="F1993" i="3"/>
  <c r="G1993" i="3"/>
  <c r="H1993" i="3"/>
  <c r="F1994" i="3"/>
  <c r="G1994" i="3"/>
  <c r="H1994" i="3"/>
  <c r="F1995" i="3"/>
  <c r="G1995" i="3"/>
  <c r="H1995" i="3"/>
  <c r="F1996" i="3"/>
  <c r="G1996" i="3"/>
  <c r="H1996" i="3"/>
  <c r="F1997" i="3"/>
  <c r="G1997" i="3"/>
  <c r="H1997" i="3"/>
  <c r="F1998" i="3"/>
  <c r="G1998" i="3"/>
  <c r="H1998" i="3"/>
  <c r="F1999" i="3"/>
  <c r="G1999" i="3"/>
  <c r="H1999" i="3"/>
  <c r="F2000" i="3"/>
  <c r="G2000" i="3"/>
  <c r="H2000" i="3"/>
  <c r="F2001" i="3"/>
  <c r="G2001" i="3"/>
  <c r="H2001" i="3"/>
  <c r="BL205" i="1"/>
  <c r="DG205" i="1" s="1"/>
  <c r="BL202" i="1"/>
  <c r="DG202" i="1" s="1"/>
  <c r="BL203" i="1"/>
  <c r="DG203" i="1" s="1"/>
  <c r="BL206" i="1"/>
  <c r="BL204" i="1"/>
  <c r="DG204" i="1" s="1"/>
  <c r="BL191" i="1"/>
  <c r="BL199" i="1"/>
  <c r="DG199" i="1" s="1"/>
  <c r="BL193" i="1"/>
  <c r="DG193" i="1" s="1"/>
  <c r="BL189" i="1"/>
  <c r="BL192" i="1"/>
  <c r="DG192" i="1" s="1"/>
  <c r="BL195" i="1"/>
  <c r="DG195" i="1" s="1"/>
  <c r="BL190" i="1"/>
  <c r="BL197" i="1"/>
  <c r="BL201" i="1"/>
  <c r="DG201" i="1" s="1"/>
  <c r="BL198" i="1"/>
  <c r="DG198" i="1" s="1"/>
  <c r="BL196" i="1"/>
  <c r="DG196" i="1" s="1"/>
  <c r="BL187" i="1"/>
  <c r="CA190" i="1"/>
  <c r="BL188" i="1"/>
  <c r="BM199" i="1"/>
  <c r="BM193" i="1"/>
  <c r="DI193" i="1" s="1"/>
  <c r="BM205" i="1"/>
  <c r="DI205" i="1" s="1"/>
  <c r="BM202" i="1"/>
  <c r="DI202" i="1" s="1"/>
  <c r="BM197" i="1"/>
  <c r="DI197" i="1" s="1"/>
  <c r="BM189" i="1"/>
  <c r="BM191" i="1"/>
  <c r="BM203" i="1"/>
  <c r="BM206" i="1"/>
  <c r="BM204" i="1"/>
  <c r="DI204" i="1" s="1"/>
  <c r="BM201" i="1"/>
  <c r="BM196" i="1"/>
  <c r="DI196" i="1" s="1"/>
  <c r="BM192" i="1"/>
  <c r="DI192" i="1" s="1"/>
  <c r="BM195" i="1"/>
  <c r="BM198" i="1"/>
  <c r="BM188" i="1"/>
  <c r="DI188" i="1" s="1"/>
  <c r="BM187" i="1"/>
  <c r="CB188" i="1"/>
  <c r="BM190" i="1"/>
  <c r="DI190" i="1" s="1"/>
  <c r="F1254" i="3"/>
  <c r="G1254" i="3"/>
  <c r="H1254" i="3"/>
  <c r="F1255" i="3"/>
  <c r="G1255" i="3"/>
  <c r="H1255" i="3"/>
  <c r="F1256" i="3"/>
  <c r="G1256" i="3"/>
  <c r="H1256" i="3"/>
  <c r="F1257" i="3"/>
  <c r="G1257" i="3"/>
  <c r="H1257" i="3"/>
  <c r="F1258" i="3"/>
  <c r="G1258" i="3"/>
  <c r="H1258" i="3"/>
  <c r="F1259" i="3"/>
  <c r="G1259" i="3"/>
  <c r="H1259" i="3"/>
  <c r="F1260" i="3"/>
  <c r="G1260" i="3"/>
  <c r="H1260" i="3"/>
  <c r="F1261" i="3"/>
  <c r="G1261" i="3"/>
  <c r="H1261" i="3"/>
  <c r="F1262" i="3"/>
  <c r="G1262" i="3"/>
  <c r="H1262" i="3"/>
  <c r="F1263" i="3"/>
  <c r="G1263" i="3"/>
  <c r="H1263" i="3"/>
  <c r="F1264" i="3"/>
  <c r="G1264" i="3"/>
  <c r="H1264" i="3"/>
  <c r="F1265" i="3"/>
  <c r="G1265" i="3"/>
  <c r="H1265" i="3"/>
  <c r="F1266" i="3"/>
  <c r="G1266" i="3"/>
  <c r="H1266" i="3"/>
  <c r="F1267" i="3"/>
  <c r="G1267" i="3"/>
  <c r="H1267" i="3"/>
  <c r="F1268" i="3"/>
  <c r="G1268" i="3"/>
  <c r="H1268" i="3"/>
  <c r="F1269" i="3"/>
  <c r="G1269" i="3"/>
  <c r="H1269" i="3"/>
  <c r="F1270" i="3"/>
  <c r="G1270" i="3"/>
  <c r="H1270" i="3"/>
  <c r="F1271" i="3"/>
  <c r="G1271" i="3"/>
  <c r="H1271" i="3"/>
  <c r="F1272" i="3"/>
  <c r="G1272" i="3"/>
  <c r="H1272" i="3"/>
  <c r="F1273" i="3"/>
  <c r="G1273" i="3"/>
  <c r="H1273" i="3"/>
  <c r="F1274" i="3"/>
  <c r="G1274" i="3"/>
  <c r="H1274" i="3"/>
  <c r="F1275" i="3"/>
  <c r="G1275" i="3"/>
  <c r="H1275" i="3"/>
  <c r="F1276" i="3"/>
  <c r="G1276" i="3"/>
  <c r="H1276" i="3"/>
  <c r="F1277" i="3"/>
  <c r="G1277" i="3"/>
  <c r="H1277" i="3"/>
  <c r="F1278" i="3"/>
  <c r="G1278" i="3"/>
  <c r="H1278" i="3"/>
  <c r="F1279" i="3"/>
  <c r="G1279" i="3"/>
  <c r="H1279" i="3"/>
  <c r="F1280" i="3"/>
  <c r="G1280" i="3"/>
  <c r="H1280" i="3"/>
  <c r="F1281" i="3"/>
  <c r="G1281" i="3"/>
  <c r="H1281" i="3"/>
  <c r="F1282" i="3"/>
  <c r="G1282" i="3"/>
  <c r="H1282" i="3"/>
  <c r="F1283" i="3"/>
  <c r="G1283" i="3"/>
  <c r="H1283" i="3"/>
  <c r="F1284" i="3"/>
  <c r="G1284" i="3"/>
  <c r="H1284" i="3"/>
  <c r="F1285" i="3"/>
  <c r="G1285" i="3"/>
  <c r="H1285" i="3"/>
  <c r="F1286" i="3"/>
  <c r="G1286" i="3"/>
  <c r="H1286" i="3"/>
  <c r="F1287" i="3"/>
  <c r="G1287" i="3"/>
  <c r="H1287" i="3"/>
  <c r="F1288" i="3"/>
  <c r="G1288" i="3"/>
  <c r="H1288" i="3"/>
  <c r="F1289" i="3"/>
  <c r="G1289" i="3"/>
  <c r="H1289" i="3"/>
  <c r="F1290" i="3"/>
  <c r="G1290" i="3"/>
  <c r="H1290" i="3"/>
  <c r="F1291" i="3"/>
  <c r="G1291" i="3"/>
  <c r="H1291" i="3"/>
  <c r="F1292" i="3"/>
  <c r="G1292" i="3"/>
  <c r="H1292" i="3"/>
  <c r="F1293" i="3"/>
  <c r="G1293" i="3"/>
  <c r="H1293" i="3"/>
  <c r="F1294" i="3"/>
  <c r="G1294" i="3"/>
  <c r="H1294" i="3"/>
  <c r="F1295" i="3"/>
  <c r="G1295" i="3"/>
  <c r="H1295" i="3"/>
  <c r="F1296" i="3"/>
  <c r="G1296" i="3"/>
  <c r="H1296" i="3"/>
  <c r="F1297" i="3"/>
  <c r="G1297" i="3"/>
  <c r="H1297" i="3"/>
  <c r="F1298" i="3"/>
  <c r="G1298" i="3"/>
  <c r="H1298" i="3"/>
  <c r="F1299" i="3"/>
  <c r="G1299" i="3"/>
  <c r="H1299" i="3"/>
  <c r="F1300" i="3"/>
  <c r="G1300" i="3"/>
  <c r="H1300" i="3"/>
  <c r="F4" i="3"/>
  <c r="G4" i="3"/>
  <c r="H4" i="3"/>
  <c r="F5" i="3"/>
  <c r="G5" i="3"/>
  <c r="H5" i="3"/>
  <c r="F6" i="3"/>
  <c r="G6" i="3"/>
  <c r="H6" i="3"/>
  <c r="F7" i="3"/>
  <c r="G7" i="3"/>
  <c r="H7" i="3"/>
  <c r="F8" i="3"/>
  <c r="G8" i="3"/>
  <c r="H8" i="3"/>
  <c r="F9" i="3"/>
  <c r="G9" i="3"/>
  <c r="H9" i="3"/>
  <c r="F10" i="3"/>
  <c r="G10" i="3"/>
  <c r="H10" i="3"/>
  <c r="F11" i="3"/>
  <c r="G11" i="3"/>
  <c r="H11" i="3"/>
  <c r="F12" i="3"/>
  <c r="G12" i="3"/>
  <c r="H12" i="3"/>
  <c r="F13" i="3"/>
  <c r="G13" i="3"/>
  <c r="H13" i="3"/>
  <c r="F14" i="3"/>
  <c r="G14" i="3"/>
  <c r="H14" i="3"/>
  <c r="F15" i="3"/>
  <c r="G15" i="3"/>
  <c r="H15" i="3"/>
  <c r="F16" i="3"/>
  <c r="G16" i="3"/>
  <c r="H16" i="3"/>
  <c r="F17" i="3"/>
  <c r="G17" i="3"/>
  <c r="H17" i="3"/>
  <c r="F18" i="3"/>
  <c r="G18" i="3"/>
  <c r="H18" i="3"/>
  <c r="F19" i="3"/>
  <c r="G19" i="3"/>
  <c r="H19" i="3"/>
  <c r="F20" i="3"/>
  <c r="G20" i="3"/>
  <c r="H20" i="3"/>
  <c r="F21" i="3"/>
  <c r="G21" i="3"/>
  <c r="H21" i="3"/>
  <c r="F22" i="3"/>
  <c r="G22" i="3"/>
  <c r="H22" i="3"/>
  <c r="F23" i="3"/>
  <c r="G23" i="3"/>
  <c r="H23" i="3"/>
  <c r="F24" i="3"/>
  <c r="G24" i="3"/>
  <c r="H24" i="3"/>
  <c r="F25" i="3"/>
  <c r="G25" i="3"/>
  <c r="H25" i="3"/>
  <c r="F26" i="3"/>
  <c r="G26" i="3"/>
  <c r="H26" i="3"/>
  <c r="F27" i="3"/>
  <c r="G27" i="3"/>
  <c r="H27" i="3"/>
  <c r="F28" i="3"/>
  <c r="G28" i="3"/>
  <c r="H28" i="3"/>
  <c r="F29" i="3"/>
  <c r="G29" i="3"/>
  <c r="H29" i="3"/>
  <c r="F30" i="3"/>
  <c r="G30" i="3"/>
  <c r="H30" i="3"/>
  <c r="F31" i="3"/>
  <c r="G31" i="3"/>
  <c r="H31" i="3"/>
  <c r="F32" i="3"/>
  <c r="G32" i="3"/>
  <c r="H32" i="3"/>
  <c r="F33" i="3"/>
  <c r="G33" i="3"/>
  <c r="H33" i="3"/>
  <c r="F34" i="3"/>
  <c r="G34" i="3"/>
  <c r="H34" i="3"/>
  <c r="F35" i="3"/>
  <c r="G35" i="3"/>
  <c r="H35" i="3"/>
  <c r="F36" i="3"/>
  <c r="G36" i="3"/>
  <c r="H36" i="3"/>
  <c r="F37" i="3"/>
  <c r="G37" i="3"/>
  <c r="H37" i="3"/>
  <c r="F38" i="3"/>
  <c r="G38" i="3"/>
  <c r="H38" i="3"/>
  <c r="F39" i="3"/>
  <c r="G39" i="3"/>
  <c r="H39" i="3"/>
  <c r="F40" i="3"/>
  <c r="G40" i="3"/>
  <c r="H40" i="3"/>
  <c r="F41" i="3"/>
  <c r="G41" i="3"/>
  <c r="H41" i="3"/>
  <c r="F42" i="3"/>
  <c r="G42" i="3"/>
  <c r="H42" i="3"/>
  <c r="F43" i="3"/>
  <c r="G43" i="3"/>
  <c r="H43" i="3"/>
  <c r="F44" i="3"/>
  <c r="G44" i="3"/>
  <c r="H44" i="3"/>
  <c r="F45" i="3"/>
  <c r="G45" i="3"/>
  <c r="H45" i="3"/>
  <c r="F46" i="3"/>
  <c r="G46" i="3"/>
  <c r="H46" i="3"/>
  <c r="F47" i="3"/>
  <c r="G47" i="3"/>
  <c r="H47" i="3"/>
  <c r="F48" i="3"/>
  <c r="G48" i="3"/>
  <c r="H48" i="3"/>
  <c r="F49" i="3"/>
  <c r="G49" i="3"/>
  <c r="H49" i="3"/>
  <c r="F50" i="3"/>
  <c r="G50" i="3"/>
  <c r="H50" i="3"/>
  <c r="F51" i="3"/>
  <c r="G51" i="3"/>
  <c r="H51" i="3"/>
  <c r="F52" i="3"/>
  <c r="G52" i="3"/>
  <c r="H52" i="3"/>
  <c r="F53" i="3"/>
  <c r="G53" i="3"/>
  <c r="H53" i="3"/>
  <c r="F54" i="3"/>
  <c r="G54" i="3"/>
  <c r="H54" i="3"/>
  <c r="F55" i="3"/>
  <c r="G55" i="3"/>
  <c r="H55" i="3"/>
  <c r="F56" i="3"/>
  <c r="G56" i="3"/>
  <c r="H56" i="3"/>
  <c r="F57" i="3"/>
  <c r="G57" i="3"/>
  <c r="H57" i="3"/>
  <c r="F58" i="3"/>
  <c r="G58" i="3"/>
  <c r="H58" i="3"/>
  <c r="F59" i="3"/>
  <c r="G59" i="3"/>
  <c r="H59" i="3"/>
  <c r="F60" i="3"/>
  <c r="G60" i="3"/>
  <c r="H60" i="3"/>
  <c r="F61" i="3"/>
  <c r="G61" i="3"/>
  <c r="H61" i="3"/>
  <c r="F62" i="3"/>
  <c r="G62" i="3"/>
  <c r="H62" i="3"/>
  <c r="F63" i="3"/>
  <c r="G63" i="3"/>
  <c r="H63" i="3"/>
  <c r="F64" i="3"/>
  <c r="G64" i="3"/>
  <c r="H64" i="3"/>
  <c r="F65" i="3"/>
  <c r="G65" i="3"/>
  <c r="H65" i="3"/>
  <c r="F66" i="3"/>
  <c r="G66" i="3"/>
  <c r="H66" i="3"/>
  <c r="F67" i="3"/>
  <c r="G67" i="3"/>
  <c r="H67" i="3"/>
  <c r="F68" i="3"/>
  <c r="G68" i="3"/>
  <c r="H68" i="3"/>
  <c r="F69" i="3"/>
  <c r="G69" i="3"/>
  <c r="H69" i="3"/>
  <c r="F70" i="3"/>
  <c r="G70" i="3"/>
  <c r="H70" i="3"/>
  <c r="F71" i="3"/>
  <c r="G71" i="3"/>
  <c r="H71" i="3"/>
  <c r="F72" i="3"/>
  <c r="G72" i="3"/>
  <c r="H72" i="3"/>
  <c r="F73" i="3"/>
  <c r="G73" i="3"/>
  <c r="H73" i="3"/>
  <c r="F74" i="3"/>
  <c r="G74" i="3"/>
  <c r="H74" i="3"/>
  <c r="F75" i="3"/>
  <c r="G75" i="3"/>
  <c r="H75" i="3"/>
  <c r="F76" i="3"/>
  <c r="G76" i="3"/>
  <c r="H76" i="3"/>
  <c r="F77" i="3"/>
  <c r="G77" i="3"/>
  <c r="H77" i="3"/>
  <c r="F78" i="3"/>
  <c r="G78" i="3"/>
  <c r="H78" i="3"/>
  <c r="F79" i="3"/>
  <c r="G79" i="3"/>
  <c r="H79" i="3"/>
  <c r="F80" i="3"/>
  <c r="G80" i="3"/>
  <c r="H80" i="3"/>
  <c r="F81" i="3"/>
  <c r="G81" i="3"/>
  <c r="H81" i="3"/>
  <c r="F82" i="3"/>
  <c r="G82" i="3"/>
  <c r="H82" i="3"/>
  <c r="F83" i="3"/>
  <c r="G83" i="3"/>
  <c r="H83" i="3"/>
  <c r="F84" i="3"/>
  <c r="G84" i="3"/>
  <c r="H84" i="3"/>
  <c r="F85" i="3"/>
  <c r="G85" i="3"/>
  <c r="H85" i="3"/>
  <c r="F86" i="3"/>
  <c r="G86" i="3"/>
  <c r="H86" i="3"/>
  <c r="F87" i="3"/>
  <c r="G87" i="3"/>
  <c r="H87" i="3"/>
  <c r="F88" i="3"/>
  <c r="G88" i="3"/>
  <c r="H88" i="3"/>
  <c r="F89" i="3"/>
  <c r="G89" i="3"/>
  <c r="H89" i="3"/>
  <c r="F90" i="3"/>
  <c r="G90" i="3"/>
  <c r="H90" i="3"/>
  <c r="F91" i="3"/>
  <c r="G91" i="3"/>
  <c r="H91" i="3"/>
  <c r="F92" i="3"/>
  <c r="G92" i="3"/>
  <c r="H92" i="3"/>
  <c r="F93" i="3"/>
  <c r="G93" i="3"/>
  <c r="H93" i="3"/>
  <c r="F94" i="3"/>
  <c r="G94" i="3"/>
  <c r="H94" i="3"/>
  <c r="F95" i="3"/>
  <c r="G95" i="3"/>
  <c r="H95" i="3"/>
  <c r="F96" i="3"/>
  <c r="G96" i="3"/>
  <c r="H96" i="3"/>
  <c r="F97" i="3"/>
  <c r="G97" i="3"/>
  <c r="H97" i="3"/>
  <c r="F98" i="3"/>
  <c r="G98" i="3"/>
  <c r="H98" i="3"/>
  <c r="F99" i="3"/>
  <c r="G99" i="3"/>
  <c r="H99" i="3"/>
  <c r="F100" i="3"/>
  <c r="G100" i="3"/>
  <c r="H100" i="3"/>
  <c r="F101" i="3"/>
  <c r="G101" i="3"/>
  <c r="H101" i="3"/>
  <c r="F102" i="3"/>
  <c r="G102" i="3"/>
  <c r="H102" i="3"/>
  <c r="F103" i="3"/>
  <c r="G103" i="3"/>
  <c r="H103" i="3"/>
  <c r="F104" i="3"/>
  <c r="G104" i="3"/>
  <c r="H104" i="3"/>
  <c r="F105" i="3"/>
  <c r="G105" i="3"/>
  <c r="H105" i="3"/>
  <c r="F106" i="3"/>
  <c r="G106" i="3"/>
  <c r="H106" i="3"/>
  <c r="F107" i="3"/>
  <c r="G107" i="3"/>
  <c r="H107" i="3"/>
  <c r="F108" i="3"/>
  <c r="G108" i="3"/>
  <c r="H108" i="3"/>
  <c r="F109" i="3"/>
  <c r="G109" i="3"/>
  <c r="H109" i="3"/>
  <c r="F110" i="3"/>
  <c r="G110" i="3"/>
  <c r="H110" i="3"/>
  <c r="F111" i="3"/>
  <c r="G111" i="3"/>
  <c r="H111" i="3"/>
  <c r="F112" i="3"/>
  <c r="G112" i="3"/>
  <c r="H112" i="3"/>
  <c r="F113" i="3"/>
  <c r="G113" i="3"/>
  <c r="H113" i="3"/>
  <c r="F114" i="3"/>
  <c r="G114" i="3"/>
  <c r="H114" i="3"/>
  <c r="F115" i="3"/>
  <c r="G115" i="3"/>
  <c r="H115" i="3"/>
  <c r="F116" i="3"/>
  <c r="G116" i="3"/>
  <c r="H116" i="3"/>
  <c r="F117" i="3"/>
  <c r="G117" i="3"/>
  <c r="H117" i="3"/>
  <c r="F118" i="3"/>
  <c r="G118" i="3"/>
  <c r="H118" i="3"/>
  <c r="F119" i="3"/>
  <c r="G119" i="3"/>
  <c r="H119" i="3"/>
  <c r="F120" i="3"/>
  <c r="G120" i="3"/>
  <c r="H120" i="3"/>
  <c r="F121" i="3"/>
  <c r="G121" i="3"/>
  <c r="H121" i="3"/>
  <c r="F122" i="3"/>
  <c r="G122" i="3"/>
  <c r="H122" i="3"/>
  <c r="F123" i="3"/>
  <c r="G123" i="3"/>
  <c r="H123" i="3"/>
  <c r="F124" i="3"/>
  <c r="G124" i="3"/>
  <c r="H124" i="3"/>
  <c r="F125" i="3"/>
  <c r="G125" i="3"/>
  <c r="H125" i="3"/>
  <c r="F126" i="3"/>
  <c r="G126" i="3"/>
  <c r="H126" i="3"/>
  <c r="F127" i="3"/>
  <c r="G127" i="3"/>
  <c r="H127" i="3"/>
  <c r="F128" i="3"/>
  <c r="G128" i="3"/>
  <c r="H128" i="3"/>
  <c r="F129" i="3"/>
  <c r="G129" i="3"/>
  <c r="H129" i="3"/>
  <c r="F130" i="3"/>
  <c r="G130" i="3"/>
  <c r="H130" i="3"/>
  <c r="F131" i="3"/>
  <c r="G131" i="3"/>
  <c r="H131" i="3"/>
  <c r="F132" i="3"/>
  <c r="G132" i="3"/>
  <c r="H132" i="3"/>
  <c r="F133" i="3"/>
  <c r="G133" i="3"/>
  <c r="H133" i="3"/>
  <c r="F134" i="3"/>
  <c r="G134" i="3"/>
  <c r="H134" i="3"/>
  <c r="F135" i="3"/>
  <c r="G135" i="3"/>
  <c r="H135" i="3"/>
  <c r="F136" i="3"/>
  <c r="G136" i="3"/>
  <c r="H136" i="3"/>
  <c r="F137" i="3"/>
  <c r="G137" i="3"/>
  <c r="H137" i="3"/>
  <c r="F138" i="3"/>
  <c r="G138" i="3"/>
  <c r="H138" i="3"/>
  <c r="F139" i="3"/>
  <c r="G139" i="3"/>
  <c r="H139" i="3"/>
  <c r="F140" i="3"/>
  <c r="G140" i="3"/>
  <c r="H140" i="3"/>
  <c r="F141" i="3"/>
  <c r="G141" i="3"/>
  <c r="H141" i="3"/>
  <c r="F142" i="3"/>
  <c r="G142" i="3"/>
  <c r="H142" i="3"/>
  <c r="F143" i="3"/>
  <c r="G143" i="3"/>
  <c r="H143" i="3"/>
  <c r="F144" i="3"/>
  <c r="G144" i="3"/>
  <c r="H144" i="3"/>
  <c r="F145" i="3"/>
  <c r="G145" i="3"/>
  <c r="H145" i="3"/>
  <c r="F146" i="3"/>
  <c r="G146" i="3"/>
  <c r="H146" i="3"/>
  <c r="F147" i="3"/>
  <c r="G147" i="3"/>
  <c r="H147" i="3"/>
  <c r="F148" i="3"/>
  <c r="G148" i="3"/>
  <c r="H148" i="3"/>
  <c r="F149" i="3"/>
  <c r="G149" i="3"/>
  <c r="H149" i="3"/>
  <c r="F150" i="3"/>
  <c r="G150" i="3"/>
  <c r="H150" i="3"/>
  <c r="F151" i="3"/>
  <c r="G151" i="3"/>
  <c r="H151" i="3"/>
  <c r="F152" i="3"/>
  <c r="G152" i="3"/>
  <c r="H152" i="3"/>
  <c r="F153" i="3"/>
  <c r="G153" i="3"/>
  <c r="H153" i="3"/>
  <c r="F154" i="3"/>
  <c r="G154" i="3"/>
  <c r="H154" i="3"/>
  <c r="F155" i="3"/>
  <c r="G155" i="3"/>
  <c r="H155" i="3"/>
  <c r="F156" i="3"/>
  <c r="G156" i="3"/>
  <c r="H156" i="3"/>
  <c r="F157" i="3"/>
  <c r="G157" i="3"/>
  <c r="H157" i="3"/>
  <c r="F158" i="3"/>
  <c r="G158" i="3"/>
  <c r="H158" i="3"/>
  <c r="F159" i="3"/>
  <c r="G159" i="3"/>
  <c r="H159" i="3"/>
  <c r="F160" i="3"/>
  <c r="G160" i="3"/>
  <c r="H160" i="3"/>
  <c r="F161" i="3"/>
  <c r="G161" i="3"/>
  <c r="H161" i="3"/>
  <c r="F162" i="3"/>
  <c r="G162" i="3"/>
  <c r="H162" i="3"/>
  <c r="F163" i="3"/>
  <c r="G163" i="3"/>
  <c r="H163" i="3"/>
  <c r="F164" i="3"/>
  <c r="G164" i="3"/>
  <c r="H164" i="3"/>
  <c r="F165" i="3"/>
  <c r="G165" i="3"/>
  <c r="H165" i="3"/>
  <c r="F166" i="3"/>
  <c r="G166" i="3"/>
  <c r="H166" i="3"/>
  <c r="F167" i="3"/>
  <c r="G167" i="3"/>
  <c r="H167" i="3"/>
  <c r="F168" i="3"/>
  <c r="G168" i="3"/>
  <c r="H168" i="3"/>
  <c r="F169" i="3"/>
  <c r="G169" i="3"/>
  <c r="H169" i="3"/>
  <c r="F170" i="3"/>
  <c r="G170" i="3"/>
  <c r="H170" i="3"/>
  <c r="F171" i="3"/>
  <c r="G171" i="3"/>
  <c r="H171" i="3"/>
  <c r="F172" i="3"/>
  <c r="G172" i="3"/>
  <c r="H172" i="3"/>
  <c r="F173" i="3"/>
  <c r="G173" i="3"/>
  <c r="H173" i="3"/>
  <c r="F174" i="3"/>
  <c r="G174" i="3"/>
  <c r="H174" i="3"/>
  <c r="F175" i="3"/>
  <c r="G175" i="3"/>
  <c r="H175" i="3"/>
  <c r="F176" i="3"/>
  <c r="G176" i="3"/>
  <c r="H176" i="3"/>
  <c r="F177" i="3"/>
  <c r="G177" i="3"/>
  <c r="H177" i="3"/>
  <c r="F178" i="3"/>
  <c r="G178" i="3"/>
  <c r="H178" i="3"/>
  <c r="F179" i="3"/>
  <c r="G179" i="3"/>
  <c r="H179" i="3"/>
  <c r="F180" i="3"/>
  <c r="G180" i="3"/>
  <c r="H180" i="3"/>
  <c r="F181" i="3"/>
  <c r="G181" i="3"/>
  <c r="H181" i="3"/>
  <c r="F182" i="3"/>
  <c r="G182" i="3"/>
  <c r="H182" i="3"/>
  <c r="F183" i="3"/>
  <c r="G183" i="3"/>
  <c r="H183" i="3"/>
  <c r="F184" i="3"/>
  <c r="G184" i="3"/>
  <c r="H184" i="3"/>
  <c r="F185" i="3"/>
  <c r="G185" i="3"/>
  <c r="H185" i="3"/>
  <c r="F186" i="3"/>
  <c r="G186" i="3"/>
  <c r="H186" i="3"/>
  <c r="F187" i="3"/>
  <c r="G187" i="3"/>
  <c r="H187" i="3"/>
  <c r="F188" i="3"/>
  <c r="G188" i="3"/>
  <c r="H188" i="3"/>
  <c r="F189" i="3"/>
  <c r="G189" i="3"/>
  <c r="H189" i="3"/>
  <c r="F190" i="3"/>
  <c r="G190" i="3"/>
  <c r="H190" i="3"/>
  <c r="F191" i="3"/>
  <c r="G191" i="3"/>
  <c r="H191" i="3"/>
  <c r="F192" i="3"/>
  <c r="G192" i="3"/>
  <c r="H192" i="3"/>
  <c r="F193" i="3"/>
  <c r="G193" i="3"/>
  <c r="H193" i="3"/>
  <c r="F194" i="3"/>
  <c r="G194" i="3"/>
  <c r="H194" i="3"/>
  <c r="F195" i="3"/>
  <c r="G195" i="3"/>
  <c r="H195" i="3"/>
  <c r="F196" i="3"/>
  <c r="G196" i="3"/>
  <c r="H196" i="3"/>
  <c r="F197" i="3"/>
  <c r="G197" i="3"/>
  <c r="H197" i="3"/>
  <c r="F198" i="3"/>
  <c r="G198" i="3"/>
  <c r="H198" i="3"/>
  <c r="F199" i="3"/>
  <c r="G199" i="3"/>
  <c r="H199" i="3"/>
  <c r="F200" i="3"/>
  <c r="G200" i="3"/>
  <c r="H200" i="3"/>
  <c r="F201" i="3"/>
  <c r="G201" i="3"/>
  <c r="H201" i="3"/>
  <c r="F202" i="3"/>
  <c r="G202" i="3"/>
  <c r="H202" i="3"/>
  <c r="F203" i="3"/>
  <c r="G203" i="3"/>
  <c r="H203" i="3"/>
  <c r="F204" i="3"/>
  <c r="G204" i="3"/>
  <c r="H204" i="3"/>
  <c r="F205" i="3"/>
  <c r="G205" i="3"/>
  <c r="H205" i="3"/>
  <c r="F206" i="3"/>
  <c r="G206" i="3"/>
  <c r="H206" i="3"/>
  <c r="F207" i="3"/>
  <c r="G207" i="3"/>
  <c r="H207" i="3"/>
  <c r="F208" i="3"/>
  <c r="G208" i="3"/>
  <c r="H208" i="3"/>
  <c r="F209" i="3"/>
  <c r="G209" i="3"/>
  <c r="H209" i="3"/>
  <c r="F210" i="3"/>
  <c r="G210" i="3"/>
  <c r="H210" i="3"/>
  <c r="F211" i="3"/>
  <c r="G211" i="3"/>
  <c r="H211" i="3"/>
  <c r="F212" i="3"/>
  <c r="G212" i="3"/>
  <c r="H212" i="3"/>
  <c r="F213" i="3"/>
  <c r="G213" i="3"/>
  <c r="H213" i="3"/>
  <c r="F214" i="3"/>
  <c r="G214" i="3"/>
  <c r="H214" i="3"/>
  <c r="F215" i="3"/>
  <c r="G215" i="3"/>
  <c r="H215" i="3"/>
  <c r="F216" i="3"/>
  <c r="G216" i="3"/>
  <c r="H216" i="3"/>
  <c r="F217" i="3"/>
  <c r="G217" i="3"/>
  <c r="H217" i="3"/>
  <c r="F218" i="3"/>
  <c r="G218" i="3"/>
  <c r="H218" i="3"/>
  <c r="F219" i="3"/>
  <c r="G219" i="3"/>
  <c r="H219" i="3"/>
  <c r="F220" i="3"/>
  <c r="G220" i="3"/>
  <c r="H220" i="3"/>
  <c r="F221" i="3"/>
  <c r="G221" i="3"/>
  <c r="H221" i="3"/>
  <c r="F222" i="3"/>
  <c r="G222" i="3"/>
  <c r="H222" i="3"/>
  <c r="F223" i="3"/>
  <c r="G223" i="3"/>
  <c r="H223" i="3"/>
  <c r="F224" i="3"/>
  <c r="G224" i="3"/>
  <c r="H224" i="3"/>
  <c r="F225" i="3"/>
  <c r="G225" i="3"/>
  <c r="H225" i="3"/>
  <c r="F226" i="3"/>
  <c r="G226" i="3"/>
  <c r="H226" i="3"/>
  <c r="F227" i="3"/>
  <c r="G227" i="3"/>
  <c r="H227" i="3"/>
  <c r="F228" i="3"/>
  <c r="G228" i="3"/>
  <c r="H228" i="3"/>
  <c r="F229" i="3"/>
  <c r="G229" i="3"/>
  <c r="H229" i="3"/>
  <c r="F230" i="3"/>
  <c r="G230" i="3"/>
  <c r="H230" i="3"/>
  <c r="F231" i="3"/>
  <c r="G231" i="3"/>
  <c r="H231" i="3"/>
  <c r="F232" i="3"/>
  <c r="G232" i="3"/>
  <c r="H232" i="3"/>
  <c r="F233" i="3"/>
  <c r="G233" i="3"/>
  <c r="H233" i="3"/>
  <c r="F234" i="3"/>
  <c r="G234" i="3"/>
  <c r="H234" i="3"/>
  <c r="F235" i="3"/>
  <c r="G235" i="3"/>
  <c r="H235" i="3"/>
  <c r="F236" i="3"/>
  <c r="G236" i="3"/>
  <c r="H236" i="3"/>
  <c r="F237" i="3"/>
  <c r="G237" i="3"/>
  <c r="H237" i="3"/>
  <c r="F238" i="3"/>
  <c r="G238" i="3"/>
  <c r="H238" i="3"/>
  <c r="F239" i="3"/>
  <c r="G239" i="3"/>
  <c r="H239" i="3"/>
  <c r="F240" i="3"/>
  <c r="G240" i="3"/>
  <c r="H240" i="3"/>
  <c r="F241" i="3"/>
  <c r="G241" i="3"/>
  <c r="H241" i="3"/>
  <c r="F242" i="3"/>
  <c r="G242" i="3"/>
  <c r="H242" i="3"/>
  <c r="F243" i="3"/>
  <c r="G243" i="3"/>
  <c r="H243" i="3"/>
  <c r="F244" i="3"/>
  <c r="G244" i="3"/>
  <c r="H244" i="3"/>
  <c r="F245" i="3"/>
  <c r="G245" i="3"/>
  <c r="H245" i="3"/>
  <c r="F246" i="3"/>
  <c r="G246" i="3"/>
  <c r="H246" i="3"/>
  <c r="F247" i="3"/>
  <c r="G247" i="3"/>
  <c r="H247" i="3"/>
  <c r="F248" i="3"/>
  <c r="G248" i="3"/>
  <c r="H248" i="3"/>
  <c r="F249" i="3"/>
  <c r="G249" i="3"/>
  <c r="H249" i="3"/>
  <c r="F250" i="3"/>
  <c r="G250" i="3"/>
  <c r="H250" i="3"/>
  <c r="F251" i="3"/>
  <c r="G251" i="3"/>
  <c r="H251" i="3"/>
  <c r="F252" i="3"/>
  <c r="G252" i="3"/>
  <c r="H252" i="3"/>
  <c r="F253" i="3"/>
  <c r="G253" i="3"/>
  <c r="H253" i="3"/>
  <c r="F254" i="3"/>
  <c r="G254" i="3"/>
  <c r="H254" i="3"/>
  <c r="F255" i="3"/>
  <c r="G255" i="3"/>
  <c r="H255" i="3"/>
  <c r="F256" i="3"/>
  <c r="G256" i="3"/>
  <c r="H256" i="3"/>
  <c r="F257" i="3"/>
  <c r="G257" i="3"/>
  <c r="H257" i="3"/>
  <c r="F258" i="3"/>
  <c r="G258" i="3"/>
  <c r="H258" i="3"/>
  <c r="F259" i="3"/>
  <c r="G259" i="3"/>
  <c r="H259" i="3"/>
  <c r="F260" i="3"/>
  <c r="G260" i="3"/>
  <c r="H260" i="3"/>
  <c r="F261" i="3"/>
  <c r="G261" i="3"/>
  <c r="H261" i="3"/>
  <c r="F262" i="3"/>
  <c r="G262" i="3"/>
  <c r="H262" i="3"/>
  <c r="F263" i="3"/>
  <c r="G263" i="3"/>
  <c r="H263" i="3"/>
  <c r="F264" i="3"/>
  <c r="G264" i="3"/>
  <c r="H264" i="3"/>
  <c r="F265" i="3"/>
  <c r="G265" i="3"/>
  <c r="H265" i="3"/>
  <c r="F266" i="3"/>
  <c r="G266" i="3"/>
  <c r="H266" i="3"/>
  <c r="F267" i="3"/>
  <c r="G267" i="3"/>
  <c r="H267" i="3"/>
  <c r="F268" i="3"/>
  <c r="G268" i="3"/>
  <c r="H268" i="3"/>
  <c r="F269" i="3"/>
  <c r="G269" i="3"/>
  <c r="H269" i="3"/>
  <c r="F270" i="3"/>
  <c r="G270" i="3"/>
  <c r="H270" i="3"/>
  <c r="F271" i="3"/>
  <c r="G271" i="3"/>
  <c r="H271" i="3"/>
  <c r="F272" i="3"/>
  <c r="G272" i="3"/>
  <c r="H272" i="3"/>
  <c r="F273" i="3"/>
  <c r="G273" i="3"/>
  <c r="H273" i="3"/>
  <c r="F274" i="3"/>
  <c r="G274" i="3"/>
  <c r="H274" i="3"/>
  <c r="F275" i="3"/>
  <c r="G275" i="3"/>
  <c r="H275" i="3"/>
  <c r="F276" i="3"/>
  <c r="G276" i="3"/>
  <c r="H276" i="3"/>
  <c r="F277" i="3"/>
  <c r="G277" i="3"/>
  <c r="H277" i="3"/>
  <c r="F278" i="3"/>
  <c r="G278" i="3"/>
  <c r="H278" i="3"/>
  <c r="F279" i="3"/>
  <c r="G279" i="3"/>
  <c r="H279" i="3"/>
  <c r="F280" i="3"/>
  <c r="G280" i="3"/>
  <c r="H280" i="3"/>
  <c r="F281" i="3"/>
  <c r="G281" i="3"/>
  <c r="H281" i="3"/>
  <c r="F282" i="3"/>
  <c r="G282" i="3"/>
  <c r="H282" i="3"/>
  <c r="F283" i="3"/>
  <c r="G283" i="3"/>
  <c r="H283" i="3"/>
  <c r="F284" i="3"/>
  <c r="G284" i="3"/>
  <c r="H284" i="3"/>
  <c r="F285" i="3"/>
  <c r="G285" i="3"/>
  <c r="H285" i="3"/>
  <c r="F286" i="3"/>
  <c r="G286" i="3"/>
  <c r="H286" i="3"/>
  <c r="F287" i="3"/>
  <c r="G287" i="3"/>
  <c r="H287" i="3"/>
  <c r="F288" i="3"/>
  <c r="G288" i="3"/>
  <c r="H288" i="3"/>
  <c r="F289" i="3"/>
  <c r="G289" i="3"/>
  <c r="H289" i="3"/>
  <c r="F290" i="3"/>
  <c r="G290" i="3"/>
  <c r="H290" i="3"/>
  <c r="F291" i="3"/>
  <c r="G291" i="3"/>
  <c r="H291" i="3"/>
  <c r="F292" i="3"/>
  <c r="G292" i="3"/>
  <c r="H292" i="3"/>
  <c r="F293" i="3"/>
  <c r="G293" i="3"/>
  <c r="H293" i="3"/>
  <c r="F294" i="3"/>
  <c r="G294" i="3"/>
  <c r="H294" i="3"/>
  <c r="F295" i="3"/>
  <c r="G295" i="3"/>
  <c r="H295" i="3"/>
  <c r="F296" i="3"/>
  <c r="G296" i="3"/>
  <c r="H296" i="3"/>
  <c r="F297" i="3"/>
  <c r="G297" i="3"/>
  <c r="H297" i="3"/>
  <c r="F298" i="3"/>
  <c r="G298" i="3"/>
  <c r="H298" i="3"/>
  <c r="F299" i="3"/>
  <c r="G299" i="3"/>
  <c r="H299" i="3"/>
  <c r="F300" i="3"/>
  <c r="G300" i="3"/>
  <c r="H300" i="3"/>
  <c r="F301" i="3"/>
  <c r="G301" i="3"/>
  <c r="H301" i="3"/>
  <c r="F302" i="3"/>
  <c r="G302" i="3"/>
  <c r="H302" i="3"/>
  <c r="F303" i="3"/>
  <c r="G303" i="3"/>
  <c r="H303" i="3"/>
  <c r="F304" i="3"/>
  <c r="G304" i="3"/>
  <c r="H304" i="3"/>
  <c r="F305" i="3"/>
  <c r="G305" i="3"/>
  <c r="H305" i="3"/>
  <c r="F306" i="3"/>
  <c r="G306" i="3"/>
  <c r="H306" i="3"/>
  <c r="F307" i="3"/>
  <c r="G307" i="3"/>
  <c r="H307" i="3"/>
  <c r="F308" i="3"/>
  <c r="G308" i="3"/>
  <c r="H308" i="3"/>
  <c r="F309" i="3"/>
  <c r="G309" i="3"/>
  <c r="H309" i="3"/>
  <c r="F310" i="3"/>
  <c r="G310" i="3"/>
  <c r="H310" i="3"/>
  <c r="F311" i="3"/>
  <c r="G311" i="3"/>
  <c r="H311" i="3"/>
  <c r="F312" i="3"/>
  <c r="G312" i="3"/>
  <c r="H312" i="3"/>
  <c r="F313" i="3"/>
  <c r="G313" i="3"/>
  <c r="H313" i="3"/>
  <c r="F314" i="3"/>
  <c r="G314" i="3"/>
  <c r="H314" i="3"/>
  <c r="F315" i="3"/>
  <c r="G315" i="3"/>
  <c r="H315" i="3"/>
  <c r="F316" i="3"/>
  <c r="G316" i="3"/>
  <c r="H316" i="3"/>
  <c r="F317" i="3"/>
  <c r="G317" i="3"/>
  <c r="H317" i="3"/>
  <c r="F318" i="3"/>
  <c r="G318" i="3"/>
  <c r="H318" i="3"/>
  <c r="F319" i="3"/>
  <c r="G319" i="3"/>
  <c r="H319" i="3"/>
  <c r="F320" i="3"/>
  <c r="G320" i="3"/>
  <c r="H320" i="3"/>
  <c r="F321" i="3"/>
  <c r="G321" i="3"/>
  <c r="H321" i="3"/>
  <c r="F322" i="3"/>
  <c r="G322" i="3"/>
  <c r="H322" i="3"/>
  <c r="F323" i="3"/>
  <c r="G323" i="3"/>
  <c r="H323" i="3"/>
  <c r="F324" i="3"/>
  <c r="G324" i="3"/>
  <c r="H324" i="3"/>
  <c r="F325" i="3"/>
  <c r="G325" i="3"/>
  <c r="H325" i="3"/>
  <c r="F326" i="3"/>
  <c r="G326" i="3"/>
  <c r="H326" i="3"/>
  <c r="F327" i="3"/>
  <c r="G327" i="3"/>
  <c r="H327" i="3"/>
  <c r="F328" i="3"/>
  <c r="G328" i="3"/>
  <c r="H328" i="3"/>
  <c r="F329" i="3"/>
  <c r="G329" i="3"/>
  <c r="H329" i="3"/>
  <c r="F330" i="3"/>
  <c r="G330" i="3"/>
  <c r="H330" i="3"/>
  <c r="F331" i="3"/>
  <c r="G331" i="3"/>
  <c r="H331" i="3"/>
  <c r="F332" i="3"/>
  <c r="G332" i="3"/>
  <c r="H332" i="3"/>
  <c r="F333" i="3"/>
  <c r="G333" i="3"/>
  <c r="H333" i="3"/>
  <c r="F334" i="3"/>
  <c r="G334" i="3"/>
  <c r="H334" i="3"/>
  <c r="F335" i="3"/>
  <c r="G335" i="3"/>
  <c r="H335" i="3"/>
  <c r="F336" i="3"/>
  <c r="G336" i="3"/>
  <c r="H336" i="3"/>
  <c r="F337" i="3"/>
  <c r="G337" i="3"/>
  <c r="H337" i="3"/>
  <c r="F338" i="3"/>
  <c r="G338" i="3"/>
  <c r="H338" i="3"/>
  <c r="F339" i="3"/>
  <c r="G339" i="3"/>
  <c r="H339" i="3"/>
  <c r="F340" i="3"/>
  <c r="G340" i="3"/>
  <c r="H340" i="3"/>
  <c r="F341" i="3"/>
  <c r="G341" i="3"/>
  <c r="H341" i="3"/>
  <c r="F342" i="3"/>
  <c r="G342" i="3"/>
  <c r="H342" i="3"/>
  <c r="F343" i="3"/>
  <c r="G343" i="3"/>
  <c r="H343" i="3"/>
  <c r="F344" i="3"/>
  <c r="G344" i="3"/>
  <c r="H344" i="3"/>
  <c r="F345" i="3"/>
  <c r="G345" i="3"/>
  <c r="H345" i="3"/>
  <c r="F346" i="3"/>
  <c r="G346" i="3"/>
  <c r="H346" i="3"/>
  <c r="F347" i="3"/>
  <c r="G347" i="3"/>
  <c r="H347" i="3"/>
  <c r="F348" i="3"/>
  <c r="G348" i="3"/>
  <c r="H348" i="3"/>
  <c r="F349" i="3"/>
  <c r="G349" i="3"/>
  <c r="H349" i="3"/>
  <c r="F350" i="3"/>
  <c r="G350" i="3"/>
  <c r="H350" i="3"/>
  <c r="F351" i="3"/>
  <c r="G351" i="3"/>
  <c r="H351" i="3"/>
  <c r="F352" i="3"/>
  <c r="G352" i="3"/>
  <c r="H352" i="3"/>
  <c r="F353" i="3"/>
  <c r="G353" i="3"/>
  <c r="H353" i="3"/>
  <c r="F354" i="3"/>
  <c r="G354" i="3"/>
  <c r="H354" i="3"/>
  <c r="F355" i="3"/>
  <c r="G355" i="3"/>
  <c r="H355" i="3"/>
  <c r="F356" i="3"/>
  <c r="G356" i="3"/>
  <c r="H356" i="3"/>
  <c r="F357" i="3"/>
  <c r="G357" i="3"/>
  <c r="H357" i="3"/>
  <c r="F358" i="3"/>
  <c r="G358" i="3"/>
  <c r="H358" i="3"/>
  <c r="F359" i="3"/>
  <c r="G359" i="3"/>
  <c r="H359" i="3"/>
  <c r="F360" i="3"/>
  <c r="G360" i="3"/>
  <c r="H360" i="3"/>
  <c r="F361" i="3"/>
  <c r="G361" i="3"/>
  <c r="H361" i="3"/>
  <c r="F362" i="3"/>
  <c r="G362" i="3"/>
  <c r="H362" i="3"/>
  <c r="F363" i="3"/>
  <c r="G363" i="3"/>
  <c r="H363" i="3"/>
  <c r="F364" i="3"/>
  <c r="G364" i="3"/>
  <c r="H364" i="3"/>
  <c r="F365" i="3"/>
  <c r="G365" i="3"/>
  <c r="H365" i="3"/>
  <c r="F366" i="3"/>
  <c r="G366" i="3"/>
  <c r="H366" i="3"/>
  <c r="F367" i="3"/>
  <c r="G367" i="3"/>
  <c r="H367" i="3"/>
  <c r="F368" i="3"/>
  <c r="G368" i="3"/>
  <c r="H368" i="3"/>
  <c r="F369" i="3"/>
  <c r="G369" i="3"/>
  <c r="H369" i="3"/>
  <c r="F370" i="3"/>
  <c r="G370" i="3"/>
  <c r="H370" i="3"/>
  <c r="F371" i="3"/>
  <c r="G371" i="3"/>
  <c r="H371" i="3"/>
  <c r="F372" i="3"/>
  <c r="G372" i="3"/>
  <c r="H372" i="3"/>
  <c r="F373" i="3"/>
  <c r="G373" i="3"/>
  <c r="H373" i="3"/>
  <c r="F374" i="3"/>
  <c r="G374" i="3"/>
  <c r="H374" i="3"/>
  <c r="F375" i="3"/>
  <c r="G375" i="3"/>
  <c r="H375" i="3"/>
  <c r="F376" i="3"/>
  <c r="G376" i="3"/>
  <c r="H376" i="3"/>
  <c r="F377" i="3"/>
  <c r="G377" i="3"/>
  <c r="H377" i="3"/>
  <c r="F378" i="3"/>
  <c r="G378" i="3"/>
  <c r="H378" i="3"/>
  <c r="F379" i="3"/>
  <c r="G379" i="3"/>
  <c r="H379" i="3"/>
  <c r="F380" i="3"/>
  <c r="G380" i="3"/>
  <c r="H380" i="3"/>
  <c r="F381" i="3"/>
  <c r="G381" i="3"/>
  <c r="H381" i="3"/>
  <c r="F382" i="3"/>
  <c r="G382" i="3"/>
  <c r="H382" i="3"/>
  <c r="F383" i="3"/>
  <c r="G383" i="3"/>
  <c r="H383" i="3"/>
  <c r="F384" i="3"/>
  <c r="G384" i="3"/>
  <c r="H384" i="3"/>
  <c r="F385" i="3"/>
  <c r="G385" i="3"/>
  <c r="H385" i="3"/>
  <c r="F386" i="3"/>
  <c r="G386" i="3"/>
  <c r="H386" i="3"/>
  <c r="F387" i="3"/>
  <c r="G387" i="3"/>
  <c r="H387" i="3"/>
  <c r="F388" i="3"/>
  <c r="G388" i="3"/>
  <c r="H388" i="3"/>
  <c r="F389" i="3"/>
  <c r="G389" i="3"/>
  <c r="H389" i="3"/>
  <c r="F390" i="3"/>
  <c r="G390" i="3"/>
  <c r="H390" i="3"/>
  <c r="F391" i="3"/>
  <c r="G391" i="3"/>
  <c r="H391" i="3"/>
  <c r="F392" i="3"/>
  <c r="G392" i="3"/>
  <c r="H392" i="3"/>
  <c r="F393" i="3"/>
  <c r="G393" i="3"/>
  <c r="H393" i="3"/>
  <c r="F394" i="3"/>
  <c r="G394" i="3"/>
  <c r="H394" i="3"/>
  <c r="F395" i="3"/>
  <c r="G395" i="3"/>
  <c r="H395" i="3"/>
  <c r="F396" i="3"/>
  <c r="G396" i="3"/>
  <c r="H396" i="3"/>
  <c r="F397" i="3"/>
  <c r="G397" i="3"/>
  <c r="H397" i="3"/>
  <c r="F398" i="3"/>
  <c r="G398" i="3"/>
  <c r="H398" i="3"/>
  <c r="F399" i="3"/>
  <c r="G399" i="3"/>
  <c r="H399" i="3"/>
  <c r="F400" i="3"/>
  <c r="G400" i="3"/>
  <c r="H400" i="3"/>
  <c r="F401" i="3"/>
  <c r="G401" i="3"/>
  <c r="H401" i="3"/>
  <c r="F402" i="3"/>
  <c r="G402" i="3"/>
  <c r="H402" i="3"/>
  <c r="F403" i="3"/>
  <c r="G403" i="3"/>
  <c r="H403" i="3"/>
  <c r="F404" i="3"/>
  <c r="G404" i="3"/>
  <c r="H404" i="3"/>
  <c r="F405" i="3"/>
  <c r="G405" i="3"/>
  <c r="H405" i="3"/>
  <c r="F406" i="3"/>
  <c r="G406" i="3"/>
  <c r="H406" i="3"/>
  <c r="F407" i="3"/>
  <c r="G407" i="3"/>
  <c r="H407" i="3"/>
  <c r="F408" i="3"/>
  <c r="G408" i="3"/>
  <c r="H408" i="3"/>
  <c r="F409" i="3"/>
  <c r="G409" i="3"/>
  <c r="H409" i="3"/>
  <c r="F410" i="3"/>
  <c r="G410" i="3"/>
  <c r="H410" i="3"/>
  <c r="F411" i="3"/>
  <c r="G411" i="3"/>
  <c r="H411" i="3"/>
  <c r="F412" i="3"/>
  <c r="G412" i="3"/>
  <c r="H412" i="3"/>
  <c r="F413" i="3"/>
  <c r="G413" i="3"/>
  <c r="H413" i="3"/>
  <c r="F414" i="3"/>
  <c r="G414" i="3"/>
  <c r="H414" i="3"/>
  <c r="F415" i="3"/>
  <c r="G415" i="3"/>
  <c r="H415" i="3"/>
  <c r="F416" i="3"/>
  <c r="G416" i="3"/>
  <c r="H416" i="3"/>
  <c r="F417" i="3"/>
  <c r="G417" i="3"/>
  <c r="H417" i="3"/>
  <c r="F418" i="3"/>
  <c r="G418" i="3"/>
  <c r="H418" i="3"/>
  <c r="F419" i="3"/>
  <c r="G419" i="3"/>
  <c r="H419" i="3"/>
  <c r="F420" i="3"/>
  <c r="G420" i="3"/>
  <c r="H420" i="3"/>
  <c r="F421" i="3"/>
  <c r="G421" i="3"/>
  <c r="H421" i="3"/>
  <c r="F422" i="3"/>
  <c r="G422" i="3"/>
  <c r="H422" i="3"/>
  <c r="F423" i="3"/>
  <c r="G423" i="3"/>
  <c r="H423" i="3"/>
  <c r="F424" i="3"/>
  <c r="G424" i="3"/>
  <c r="H424" i="3"/>
  <c r="F425" i="3"/>
  <c r="G425" i="3"/>
  <c r="H425" i="3"/>
  <c r="F426" i="3"/>
  <c r="G426" i="3"/>
  <c r="H426" i="3"/>
  <c r="F427" i="3"/>
  <c r="G427" i="3"/>
  <c r="H427" i="3"/>
  <c r="F428" i="3"/>
  <c r="G428" i="3"/>
  <c r="H428" i="3"/>
  <c r="F429" i="3"/>
  <c r="G429" i="3"/>
  <c r="H429" i="3"/>
  <c r="F430" i="3"/>
  <c r="G430" i="3"/>
  <c r="H430" i="3"/>
  <c r="F431" i="3"/>
  <c r="G431" i="3"/>
  <c r="H431" i="3"/>
  <c r="F432" i="3"/>
  <c r="G432" i="3"/>
  <c r="H432" i="3"/>
  <c r="F433" i="3"/>
  <c r="G433" i="3"/>
  <c r="H433" i="3"/>
  <c r="F434" i="3"/>
  <c r="G434" i="3"/>
  <c r="H434" i="3"/>
  <c r="F435" i="3"/>
  <c r="G435" i="3"/>
  <c r="H435" i="3"/>
  <c r="F436" i="3"/>
  <c r="G436" i="3"/>
  <c r="H436" i="3"/>
  <c r="F437" i="3"/>
  <c r="G437" i="3"/>
  <c r="H437" i="3"/>
  <c r="F438" i="3"/>
  <c r="G438" i="3"/>
  <c r="H438" i="3"/>
  <c r="F439" i="3"/>
  <c r="G439" i="3"/>
  <c r="H439" i="3"/>
  <c r="F440" i="3"/>
  <c r="G440" i="3"/>
  <c r="H440" i="3"/>
  <c r="F441" i="3"/>
  <c r="G441" i="3"/>
  <c r="H441" i="3"/>
  <c r="F442" i="3"/>
  <c r="G442" i="3"/>
  <c r="H442" i="3"/>
  <c r="F443" i="3"/>
  <c r="G443" i="3"/>
  <c r="H443" i="3"/>
  <c r="F444" i="3"/>
  <c r="G444" i="3"/>
  <c r="H444" i="3"/>
  <c r="F445" i="3"/>
  <c r="G445" i="3"/>
  <c r="H445" i="3"/>
  <c r="F446" i="3"/>
  <c r="G446" i="3"/>
  <c r="H446" i="3"/>
  <c r="F447" i="3"/>
  <c r="G447" i="3"/>
  <c r="H447" i="3"/>
  <c r="F448" i="3"/>
  <c r="G448" i="3"/>
  <c r="H448" i="3"/>
  <c r="F449" i="3"/>
  <c r="G449" i="3"/>
  <c r="H449" i="3"/>
  <c r="F450" i="3"/>
  <c r="G450" i="3"/>
  <c r="H450" i="3"/>
  <c r="F451" i="3"/>
  <c r="G451" i="3"/>
  <c r="H451" i="3"/>
  <c r="F452" i="3"/>
  <c r="G452" i="3"/>
  <c r="H452" i="3"/>
  <c r="F453" i="3"/>
  <c r="G453" i="3"/>
  <c r="H453" i="3"/>
  <c r="F454" i="3"/>
  <c r="G454" i="3"/>
  <c r="H454" i="3"/>
  <c r="F455" i="3"/>
  <c r="G455" i="3"/>
  <c r="H455" i="3"/>
  <c r="F456" i="3"/>
  <c r="G456" i="3"/>
  <c r="H456" i="3"/>
  <c r="F457" i="3"/>
  <c r="G457" i="3"/>
  <c r="H457" i="3"/>
  <c r="F458" i="3"/>
  <c r="G458" i="3"/>
  <c r="H458" i="3"/>
  <c r="F459" i="3"/>
  <c r="G459" i="3"/>
  <c r="H459" i="3"/>
  <c r="F460" i="3"/>
  <c r="G460" i="3"/>
  <c r="H460" i="3"/>
  <c r="F461" i="3"/>
  <c r="G461" i="3"/>
  <c r="H461" i="3"/>
  <c r="F462" i="3"/>
  <c r="G462" i="3"/>
  <c r="H462" i="3"/>
  <c r="F463" i="3"/>
  <c r="G463" i="3"/>
  <c r="H463" i="3"/>
  <c r="F464" i="3"/>
  <c r="G464" i="3"/>
  <c r="H464" i="3"/>
  <c r="F465" i="3"/>
  <c r="G465" i="3"/>
  <c r="H465" i="3"/>
  <c r="F466" i="3"/>
  <c r="G466" i="3"/>
  <c r="H466" i="3"/>
  <c r="F467" i="3"/>
  <c r="G467" i="3"/>
  <c r="H467" i="3"/>
  <c r="F468" i="3"/>
  <c r="G468" i="3"/>
  <c r="H468" i="3"/>
  <c r="F469" i="3"/>
  <c r="G469" i="3"/>
  <c r="H469" i="3"/>
  <c r="F470" i="3"/>
  <c r="G470" i="3"/>
  <c r="H470" i="3"/>
  <c r="F471" i="3"/>
  <c r="G471" i="3"/>
  <c r="H471" i="3"/>
  <c r="F472" i="3"/>
  <c r="G472" i="3"/>
  <c r="H472" i="3"/>
  <c r="F473" i="3"/>
  <c r="G473" i="3"/>
  <c r="H473" i="3"/>
  <c r="F474" i="3"/>
  <c r="G474" i="3"/>
  <c r="H474" i="3"/>
  <c r="F475" i="3"/>
  <c r="G475" i="3"/>
  <c r="H475" i="3"/>
  <c r="F476" i="3"/>
  <c r="G476" i="3"/>
  <c r="H476" i="3"/>
  <c r="F477" i="3"/>
  <c r="G477" i="3"/>
  <c r="H477" i="3"/>
  <c r="F478" i="3"/>
  <c r="G478" i="3"/>
  <c r="H478" i="3"/>
  <c r="F479" i="3"/>
  <c r="G479" i="3"/>
  <c r="H479" i="3"/>
  <c r="F480" i="3"/>
  <c r="G480" i="3"/>
  <c r="H480" i="3"/>
  <c r="F481" i="3"/>
  <c r="G481" i="3"/>
  <c r="H481" i="3"/>
  <c r="F482" i="3"/>
  <c r="G482" i="3"/>
  <c r="H482" i="3"/>
  <c r="F483" i="3"/>
  <c r="G483" i="3"/>
  <c r="H483" i="3"/>
  <c r="F484" i="3"/>
  <c r="G484" i="3"/>
  <c r="H484" i="3"/>
  <c r="F485" i="3"/>
  <c r="G485" i="3"/>
  <c r="H485" i="3"/>
  <c r="F486" i="3"/>
  <c r="G486" i="3"/>
  <c r="H486" i="3"/>
  <c r="F487" i="3"/>
  <c r="G487" i="3"/>
  <c r="H487" i="3"/>
  <c r="F488" i="3"/>
  <c r="G488" i="3"/>
  <c r="H488" i="3"/>
  <c r="F489" i="3"/>
  <c r="G489" i="3"/>
  <c r="H489" i="3"/>
  <c r="F490" i="3"/>
  <c r="G490" i="3"/>
  <c r="H490" i="3"/>
  <c r="F491" i="3"/>
  <c r="G491" i="3"/>
  <c r="H491" i="3"/>
  <c r="F492" i="3"/>
  <c r="G492" i="3"/>
  <c r="H492" i="3"/>
  <c r="F493" i="3"/>
  <c r="G493" i="3"/>
  <c r="H493" i="3"/>
  <c r="F494" i="3"/>
  <c r="G494" i="3"/>
  <c r="H494" i="3"/>
  <c r="F495" i="3"/>
  <c r="G495" i="3"/>
  <c r="H495" i="3"/>
  <c r="F496" i="3"/>
  <c r="G496" i="3"/>
  <c r="H496" i="3"/>
  <c r="F497" i="3"/>
  <c r="G497" i="3"/>
  <c r="H497" i="3"/>
  <c r="F498" i="3"/>
  <c r="G498" i="3"/>
  <c r="H498" i="3"/>
  <c r="F499" i="3"/>
  <c r="G499" i="3"/>
  <c r="H499" i="3"/>
  <c r="F500" i="3"/>
  <c r="G500" i="3"/>
  <c r="H500" i="3"/>
  <c r="F501" i="3"/>
  <c r="G501" i="3"/>
  <c r="H501" i="3"/>
  <c r="F502" i="3"/>
  <c r="G502" i="3"/>
  <c r="H502" i="3"/>
  <c r="F503" i="3"/>
  <c r="G503" i="3"/>
  <c r="H503" i="3"/>
  <c r="F504" i="3"/>
  <c r="G504" i="3"/>
  <c r="H504" i="3"/>
  <c r="F505" i="3"/>
  <c r="G505" i="3"/>
  <c r="H505" i="3"/>
  <c r="F506" i="3"/>
  <c r="G506" i="3"/>
  <c r="H506" i="3"/>
  <c r="F507" i="3"/>
  <c r="G507" i="3"/>
  <c r="H507" i="3"/>
  <c r="F508" i="3"/>
  <c r="G508" i="3"/>
  <c r="H508" i="3"/>
  <c r="F509" i="3"/>
  <c r="G509" i="3"/>
  <c r="H509" i="3"/>
  <c r="F510" i="3"/>
  <c r="G510" i="3"/>
  <c r="H510" i="3"/>
  <c r="F511" i="3"/>
  <c r="G511" i="3"/>
  <c r="H511" i="3"/>
  <c r="F512" i="3"/>
  <c r="G512" i="3"/>
  <c r="H512" i="3"/>
  <c r="F513" i="3"/>
  <c r="G513" i="3"/>
  <c r="H513" i="3"/>
  <c r="F514" i="3"/>
  <c r="G514" i="3"/>
  <c r="H514" i="3"/>
  <c r="F515" i="3"/>
  <c r="G515" i="3"/>
  <c r="H515" i="3"/>
  <c r="F516" i="3"/>
  <c r="G516" i="3"/>
  <c r="H516" i="3"/>
  <c r="F517" i="3"/>
  <c r="G517" i="3"/>
  <c r="H517" i="3"/>
  <c r="F518" i="3"/>
  <c r="G518" i="3"/>
  <c r="H518" i="3"/>
  <c r="F519" i="3"/>
  <c r="G519" i="3"/>
  <c r="H519" i="3"/>
  <c r="F520" i="3"/>
  <c r="G520" i="3"/>
  <c r="H520" i="3"/>
  <c r="F521" i="3"/>
  <c r="G521" i="3"/>
  <c r="H521" i="3"/>
  <c r="F522" i="3"/>
  <c r="G522" i="3"/>
  <c r="H522" i="3"/>
  <c r="F523" i="3"/>
  <c r="G523" i="3"/>
  <c r="H523" i="3"/>
  <c r="F524" i="3"/>
  <c r="G524" i="3"/>
  <c r="H524" i="3"/>
  <c r="F525" i="3"/>
  <c r="G525" i="3"/>
  <c r="H525" i="3"/>
  <c r="F526" i="3"/>
  <c r="G526" i="3"/>
  <c r="H526" i="3"/>
  <c r="F527" i="3"/>
  <c r="G527" i="3"/>
  <c r="H527" i="3"/>
  <c r="F528" i="3"/>
  <c r="G528" i="3"/>
  <c r="H528" i="3"/>
  <c r="F529" i="3"/>
  <c r="G529" i="3"/>
  <c r="H529" i="3"/>
  <c r="F530" i="3"/>
  <c r="G530" i="3"/>
  <c r="H530" i="3"/>
  <c r="F531" i="3"/>
  <c r="G531" i="3"/>
  <c r="H531" i="3"/>
  <c r="F532" i="3"/>
  <c r="G532" i="3"/>
  <c r="H532" i="3"/>
  <c r="F533" i="3"/>
  <c r="G533" i="3"/>
  <c r="H533" i="3"/>
  <c r="F534" i="3"/>
  <c r="G534" i="3"/>
  <c r="H534" i="3"/>
  <c r="F535" i="3"/>
  <c r="G535" i="3"/>
  <c r="H535" i="3"/>
  <c r="F536" i="3"/>
  <c r="G536" i="3"/>
  <c r="H536" i="3"/>
  <c r="F537" i="3"/>
  <c r="G537" i="3"/>
  <c r="H537" i="3"/>
  <c r="F538" i="3"/>
  <c r="G538" i="3"/>
  <c r="H538" i="3"/>
  <c r="F539" i="3"/>
  <c r="G539" i="3"/>
  <c r="H539" i="3"/>
  <c r="F540" i="3"/>
  <c r="G540" i="3"/>
  <c r="H540" i="3"/>
  <c r="F541" i="3"/>
  <c r="G541" i="3"/>
  <c r="H541" i="3"/>
  <c r="F542" i="3"/>
  <c r="G542" i="3"/>
  <c r="H542" i="3"/>
  <c r="F543" i="3"/>
  <c r="G543" i="3"/>
  <c r="H543" i="3"/>
  <c r="F544" i="3"/>
  <c r="G544" i="3"/>
  <c r="H544" i="3"/>
  <c r="F545" i="3"/>
  <c r="G545" i="3"/>
  <c r="H545" i="3"/>
  <c r="F546" i="3"/>
  <c r="G546" i="3"/>
  <c r="H546" i="3"/>
  <c r="F547" i="3"/>
  <c r="G547" i="3"/>
  <c r="H547" i="3"/>
  <c r="F548" i="3"/>
  <c r="G548" i="3"/>
  <c r="H548" i="3"/>
  <c r="F549" i="3"/>
  <c r="G549" i="3"/>
  <c r="H549" i="3"/>
  <c r="F550" i="3"/>
  <c r="G550" i="3"/>
  <c r="H550" i="3"/>
  <c r="F551" i="3"/>
  <c r="G551" i="3"/>
  <c r="H551" i="3"/>
  <c r="F552" i="3"/>
  <c r="G552" i="3"/>
  <c r="H552" i="3"/>
  <c r="F553" i="3"/>
  <c r="G553" i="3"/>
  <c r="H553" i="3"/>
  <c r="F554" i="3"/>
  <c r="G554" i="3"/>
  <c r="H554" i="3"/>
  <c r="F555" i="3"/>
  <c r="G555" i="3"/>
  <c r="H555" i="3"/>
  <c r="F556" i="3"/>
  <c r="G556" i="3"/>
  <c r="H556" i="3"/>
  <c r="F557" i="3"/>
  <c r="G557" i="3"/>
  <c r="H557" i="3"/>
  <c r="F558" i="3"/>
  <c r="G558" i="3"/>
  <c r="H558" i="3"/>
  <c r="F559" i="3"/>
  <c r="G559" i="3"/>
  <c r="H559" i="3"/>
  <c r="F560" i="3"/>
  <c r="G560" i="3"/>
  <c r="H560" i="3"/>
  <c r="F561" i="3"/>
  <c r="G561" i="3"/>
  <c r="H561" i="3"/>
  <c r="F562" i="3"/>
  <c r="G562" i="3"/>
  <c r="H562" i="3"/>
  <c r="F563" i="3"/>
  <c r="G563" i="3"/>
  <c r="H563" i="3"/>
  <c r="F564" i="3"/>
  <c r="G564" i="3"/>
  <c r="H564" i="3"/>
  <c r="F565" i="3"/>
  <c r="G565" i="3"/>
  <c r="H565" i="3"/>
  <c r="F566" i="3"/>
  <c r="G566" i="3"/>
  <c r="H566" i="3"/>
  <c r="F567" i="3"/>
  <c r="G567" i="3"/>
  <c r="H567" i="3"/>
  <c r="F568" i="3"/>
  <c r="G568" i="3"/>
  <c r="H568" i="3"/>
  <c r="F569" i="3"/>
  <c r="G569" i="3"/>
  <c r="H569" i="3"/>
  <c r="F570" i="3"/>
  <c r="G570" i="3"/>
  <c r="H570" i="3"/>
  <c r="F571" i="3"/>
  <c r="G571" i="3"/>
  <c r="H571" i="3"/>
  <c r="F572" i="3"/>
  <c r="G572" i="3"/>
  <c r="H572" i="3"/>
  <c r="F573" i="3"/>
  <c r="G573" i="3"/>
  <c r="H573" i="3"/>
  <c r="F574" i="3"/>
  <c r="G574" i="3"/>
  <c r="H574" i="3"/>
  <c r="F575" i="3"/>
  <c r="G575" i="3"/>
  <c r="H575" i="3"/>
  <c r="F576" i="3"/>
  <c r="G576" i="3"/>
  <c r="H576" i="3"/>
  <c r="F577" i="3"/>
  <c r="G577" i="3"/>
  <c r="H577" i="3"/>
  <c r="F578" i="3"/>
  <c r="G578" i="3"/>
  <c r="H578" i="3"/>
  <c r="F579" i="3"/>
  <c r="G579" i="3"/>
  <c r="H579" i="3"/>
  <c r="F580" i="3"/>
  <c r="G580" i="3"/>
  <c r="H580" i="3"/>
  <c r="F581" i="3"/>
  <c r="G581" i="3"/>
  <c r="H581" i="3"/>
  <c r="F582" i="3"/>
  <c r="G582" i="3"/>
  <c r="H582" i="3"/>
  <c r="F583" i="3"/>
  <c r="G583" i="3"/>
  <c r="H583" i="3"/>
  <c r="F584" i="3"/>
  <c r="G584" i="3"/>
  <c r="H584" i="3"/>
  <c r="F585" i="3"/>
  <c r="G585" i="3"/>
  <c r="H585" i="3"/>
  <c r="F586" i="3"/>
  <c r="G586" i="3"/>
  <c r="H586" i="3"/>
  <c r="F587" i="3"/>
  <c r="G587" i="3"/>
  <c r="H587" i="3"/>
  <c r="F588" i="3"/>
  <c r="G588" i="3"/>
  <c r="H588" i="3"/>
  <c r="F589" i="3"/>
  <c r="G589" i="3"/>
  <c r="H589" i="3"/>
  <c r="F590" i="3"/>
  <c r="G590" i="3"/>
  <c r="H590" i="3"/>
  <c r="F591" i="3"/>
  <c r="G591" i="3"/>
  <c r="H591" i="3"/>
  <c r="F592" i="3"/>
  <c r="G592" i="3"/>
  <c r="H592" i="3"/>
  <c r="F593" i="3"/>
  <c r="G593" i="3"/>
  <c r="H593" i="3"/>
  <c r="F594" i="3"/>
  <c r="G594" i="3"/>
  <c r="H594" i="3"/>
  <c r="F595" i="3"/>
  <c r="G595" i="3"/>
  <c r="H595" i="3"/>
  <c r="F596" i="3"/>
  <c r="G596" i="3"/>
  <c r="H596" i="3"/>
  <c r="F597" i="3"/>
  <c r="G597" i="3"/>
  <c r="H597" i="3"/>
  <c r="F598" i="3"/>
  <c r="G598" i="3"/>
  <c r="H598" i="3"/>
  <c r="F599" i="3"/>
  <c r="G599" i="3"/>
  <c r="H599" i="3"/>
  <c r="F600" i="3"/>
  <c r="G600" i="3"/>
  <c r="H600" i="3"/>
  <c r="F601" i="3"/>
  <c r="G601" i="3"/>
  <c r="H601" i="3"/>
  <c r="F602" i="3"/>
  <c r="G602" i="3"/>
  <c r="H602" i="3"/>
  <c r="F603" i="3"/>
  <c r="G603" i="3"/>
  <c r="H603" i="3"/>
  <c r="F604" i="3"/>
  <c r="G604" i="3"/>
  <c r="H604" i="3"/>
  <c r="F605" i="3"/>
  <c r="G605" i="3"/>
  <c r="H605" i="3"/>
  <c r="F606" i="3"/>
  <c r="G606" i="3"/>
  <c r="H606" i="3"/>
  <c r="F607" i="3"/>
  <c r="G607" i="3"/>
  <c r="H607" i="3"/>
  <c r="F608" i="3"/>
  <c r="G608" i="3"/>
  <c r="H608" i="3"/>
  <c r="F609" i="3"/>
  <c r="G609" i="3"/>
  <c r="H609" i="3"/>
  <c r="F610" i="3"/>
  <c r="G610" i="3"/>
  <c r="H610" i="3"/>
  <c r="F611" i="3"/>
  <c r="G611" i="3"/>
  <c r="H611" i="3"/>
  <c r="F612" i="3"/>
  <c r="G612" i="3"/>
  <c r="H612" i="3"/>
  <c r="F613" i="3"/>
  <c r="G613" i="3"/>
  <c r="H613" i="3"/>
  <c r="F614" i="3"/>
  <c r="G614" i="3"/>
  <c r="H614" i="3"/>
  <c r="F615" i="3"/>
  <c r="G615" i="3"/>
  <c r="H615" i="3"/>
  <c r="F616" i="3"/>
  <c r="G616" i="3"/>
  <c r="H616" i="3"/>
  <c r="F617" i="3"/>
  <c r="G617" i="3"/>
  <c r="H617" i="3"/>
  <c r="F618" i="3"/>
  <c r="G618" i="3"/>
  <c r="H618" i="3"/>
  <c r="F619" i="3"/>
  <c r="G619" i="3"/>
  <c r="H619" i="3"/>
  <c r="F620" i="3"/>
  <c r="G620" i="3"/>
  <c r="H620" i="3"/>
  <c r="F621" i="3"/>
  <c r="G621" i="3"/>
  <c r="H621" i="3"/>
  <c r="F622" i="3"/>
  <c r="G622" i="3"/>
  <c r="H622" i="3"/>
  <c r="F623" i="3"/>
  <c r="G623" i="3"/>
  <c r="H623" i="3"/>
  <c r="F624" i="3"/>
  <c r="G624" i="3"/>
  <c r="H624" i="3"/>
  <c r="F625" i="3"/>
  <c r="G625" i="3"/>
  <c r="H625" i="3"/>
  <c r="F626" i="3"/>
  <c r="G626" i="3"/>
  <c r="H626" i="3"/>
  <c r="F627" i="3"/>
  <c r="G627" i="3"/>
  <c r="H627" i="3"/>
  <c r="F628" i="3"/>
  <c r="G628" i="3"/>
  <c r="H628" i="3"/>
  <c r="F629" i="3"/>
  <c r="G629" i="3"/>
  <c r="H629" i="3"/>
  <c r="F630" i="3"/>
  <c r="G630" i="3"/>
  <c r="H630" i="3"/>
  <c r="F631" i="3"/>
  <c r="G631" i="3"/>
  <c r="H631" i="3"/>
  <c r="F632" i="3"/>
  <c r="G632" i="3"/>
  <c r="H632" i="3"/>
  <c r="F633" i="3"/>
  <c r="G633" i="3"/>
  <c r="H633" i="3"/>
  <c r="F634" i="3"/>
  <c r="G634" i="3"/>
  <c r="H634" i="3"/>
  <c r="F635" i="3"/>
  <c r="G635" i="3"/>
  <c r="H635" i="3"/>
  <c r="F636" i="3"/>
  <c r="G636" i="3"/>
  <c r="H636" i="3"/>
  <c r="F637" i="3"/>
  <c r="G637" i="3"/>
  <c r="H637" i="3"/>
  <c r="F638" i="3"/>
  <c r="G638" i="3"/>
  <c r="H638" i="3"/>
  <c r="F639" i="3"/>
  <c r="G639" i="3"/>
  <c r="H639" i="3"/>
  <c r="F640" i="3"/>
  <c r="G640" i="3"/>
  <c r="H640" i="3"/>
  <c r="F641" i="3"/>
  <c r="G641" i="3"/>
  <c r="H641" i="3"/>
  <c r="F642" i="3"/>
  <c r="G642" i="3"/>
  <c r="H642" i="3"/>
  <c r="F643" i="3"/>
  <c r="G643" i="3"/>
  <c r="H643" i="3"/>
  <c r="F644" i="3"/>
  <c r="G644" i="3"/>
  <c r="H644" i="3"/>
  <c r="F645" i="3"/>
  <c r="G645" i="3"/>
  <c r="H645" i="3"/>
  <c r="F646" i="3"/>
  <c r="G646" i="3"/>
  <c r="H646" i="3"/>
  <c r="F647" i="3"/>
  <c r="G647" i="3"/>
  <c r="H647" i="3"/>
  <c r="F648" i="3"/>
  <c r="G648" i="3"/>
  <c r="H648" i="3"/>
  <c r="F649" i="3"/>
  <c r="G649" i="3"/>
  <c r="H649" i="3"/>
  <c r="F650" i="3"/>
  <c r="G650" i="3"/>
  <c r="H650" i="3"/>
  <c r="F651" i="3"/>
  <c r="G651" i="3"/>
  <c r="H651" i="3"/>
  <c r="F652" i="3"/>
  <c r="G652" i="3"/>
  <c r="H652" i="3"/>
  <c r="F653" i="3"/>
  <c r="G653" i="3"/>
  <c r="H653" i="3"/>
  <c r="F654" i="3"/>
  <c r="G654" i="3"/>
  <c r="H654" i="3"/>
  <c r="F655" i="3"/>
  <c r="G655" i="3"/>
  <c r="H655" i="3"/>
  <c r="F656" i="3"/>
  <c r="G656" i="3"/>
  <c r="H656" i="3"/>
  <c r="F657" i="3"/>
  <c r="G657" i="3"/>
  <c r="H657" i="3"/>
  <c r="F658" i="3"/>
  <c r="G658" i="3"/>
  <c r="H658" i="3"/>
  <c r="F659" i="3"/>
  <c r="G659" i="3"/>
  <c r="H659" i="3"/>
  <c r="F660" i="3"/>
  <c r="G660" i="3"/>
  <c r="H660" i="3"/>
  <c r="F661" i="3"/>
  <c r="G661" i="3"/>
  <c r="H661" i="3"/>
  <c r="F662" i="3"/>
  <c r="G662" i="3"/>
  <c r="H662" i="3"/>
  <c r="F663" i="3"/>
  <c r="G663" i="3"/>
  <c r="H663" i="3"/>
  <c r="F664" i="3"/>
  <c r="G664" i="3"/>
  <c r="H664" i="3"/>
  <c r="F665" i="3"/>
  <c r="G665" i="3"/>
  <c r="H665" i="3"/>
  <c r="F666" i="3"/>
  <c r="G666" i="3"/>
  <c r="H666" i="3"/>
  <c r="F667" i="3"/>
  <c r="G667" i="3"/>
  <c r="H667" i="3"/>
  <c r="F668" i="3"/>
  <c r="G668" i="3"/>
  <c r="H668" i="3"/>
  <c r="F669" i="3"/>
  <c r="G669" i="3"/>
  <c r="H669" i="3"/>
  <c r="F670" i="3"/>
  <c r="G670" i="3"/>
  <c r="H670" i="3"/>
  <c r="F671" i="3"/>
  <c r="G671" i="3"/>
  <c r="H671" i="3"/>
  <c r="F672" i="3"/>
  <c r="G672" i="3"/>
  <c r="H672" i="3"/>
  <c r="F673" i="3"/>
  <c r="G673" i="3"/>
  <c r="H673" i="3"/>
  <c r="F674" i="3"/>
  <c r="G674" i="3"/>
  <c r="H674" i="3"/>
  <c r="F675" i="3"/>
  <c r="G675" i="3"/>
  <c r="H675" i="3"/>
  <c r="F676" i="3"/>
  <c r="G676" i="3"/>
  <c r="H676" i="3"/>
  <c r="F677" i="3"/>
  <c r="G677" i="3"/>
  <c r="H677" i="3"/>
  <c r="F678" i="3"/>
  <c r="G678" i="3"/>
  <c r="H678" i="3"/>
  <c r="F679" i="3"/>
  <c r="G679" i="3"/>
  <c r="H679" i="3"/>
  <c r="F680" i="3"/>
  <c r="G680" i="3"/>
  <c r="H680" i="3"/>
  <c r="F681" i="3"/>
  <c r="G681" i="3"/>
  <c r="H681" i="3"/>
  <c r="F682" i="3"/>
  <c r="G682" i="3"/>
  <c r="H682" i="3"/>
  <c r="F683" i="3"/>
  <c r="G683" i="3"/>
  <c r="H683" i="3"/>
  <c r="F684" i="3"/>
  <c r="G684" i="3"/>
  <c r="H684" i="3"/>
  <c r="F685" i="3"/>
  <c r="G685" i="3"/>
  <c r="H685" i="3"/>
  <c r="F686" i="3"/>
  <c r="G686" i="3"/>
  <c r="H686" i="3"/>
  <c r="F687" i="3"/>
  <c r="G687" i="3"/>
  <c r="H687" i="3"/>
  <c r="F688" i="3"/>
  <c r="G688" i="3"/>
  <c r="H688" i="3"/>
  <c r="F689" i="3"/>
  <c r="G689" i="3"/>
  <c r="H689" i="3"/>
  <c r="F690" i="3"/>
  <c r="G690" i="3"/>
  <c r="H690" i="3"/>
  <c r="F691" i="3"/>
  <c r="G691" i="3"/>
  <c r="H691" i="3"/>
  <c r="F692" i="3"/>
  <c r="G692" i="3"/>
  <c r="H692" i="3"/>
  <c r="F693" i="3"/>
  <c r="G693" i="3"/>
  <c r="H693" i="3"/>
  <c r="F694" i="3"/>
  <c r="G694" i="3"/>
  <c r="H694" i="3"/>
  <c r="F695" i="3"/>
  <c r="G695" i="3"/>
  <c r="H695" i="3"/>
  <c r="F696" i="3"/>
  <c r="G696" i="3"/>
  <c r="H696" i="3"/>
  <c r="F697" i="3"/>
  <c r="G697" i="3"/>
  <c r="H697" i="3"/>
  <c r="F698" i="3"/>
  <c r="G698" i="3"/>
  <c r="H698" i="3"/>
  <c r="F699" i="3"/>
  <c r="G699" i="3"/>
  <c r="H699" i="3"/>
  <c r="F700" i="3"/>
  <c r="G700" i="3"/>
  <c r="H700" i="3"/>
  <c r="F701" i="3"/>
  <c r="G701" i="3"/>
  <c r="H701" i="3"/>
  <c r="F702" i="3"/>
  <c r="G702" i="3"/>
  <c r="H702" i="3"/>
  <c r="F703" i="3"/>
  <c r="G703" i="3"/>
  <c r="H703" i="3"/>
  <c r="F704" i="3"/>
  <c r="G704" i="3"/>
  <c r="H704" i="3"/>
  <c r="F705" i="3"/>
  <c r="G705" i="3"/>
  <c r="H705" i="3"/>
  <c r="F706" i="3"/>
  <c r="G706" i="3"/>
  <c r="H706" i="3"/>
  <c r="F707" i="3"/>
  <c r="G707" i="3"/>
  <c r="H707" i="3"/>
  <c r="F708" i="3"/>
  <c r="G708" i="3"/>
  <c r="H708" i="3"/>
  <c r="F709" i="3"/>
  <c r="G709" i="3"/>
  <c r="H709" i="3"/>
  <c r="F710" i="3"/>
  <c r="G710" i="3"/>
  <c r="H710" i="3"/>
  <c r="F711" i="3"/>
  <c r="G711" i="3"/>
  <c r="H711" i="3"/>
  <c r="F712" i="3"/>
  <c r="G712" i="3"/>
  <c r="H712" i="3"/>
  <c r="F713" i="3"/>
  <c r="G713" i="3"/>
  <c r="H713" i="3"/>
  <c r="F714" i="3"/>
  <c r="G714" i="3"/>
  <c r="H714" i="3"/>
  <c r="F715" i="3"/>
  <c r="G715" i="3"/>
  <c r="H715" i="3"/>
  <c r="F716" i="3"/>
  <c r="G716" i="3"/>
  <c r="H716" i="3"/>
  <c r="F717" i="3"/>
  <c r="G717" i="3"/>
  <c r="H717" i="3"/>
  <c r="F718" i="3"/>
  <c r="G718" i="3"/>
  <c r="H718" i="3"/>
  <c r="F719" i="3"/>
  <c r="G719" i="3"/>
  <c r="H719" i="3"/>
  <c r="F720" i="3"/>
  <c r="G720" i="3"/>
  <c r="H720" i="3"/>
  <c r="F721" i="3"/>
  <c r="G721" i="3"/>
  <c r="H721" i="3"/>
  <c r="F722" i="3"/>
  <c r="G722" i="3"/>
  <c r="H722" i="3"/>
  <c r="F723" i="3"/>
  <c r="G723" i="3"/>
  <c r="H723" i="3"/>
  <c r="F724" i="3"/>
  <c r="G724" i="3"/>
  <c r="H724" i="3"/>
  <c r="F725" i="3"/>
  <c r="G725" i="3"/>
  <c r="H725" i="3"/>
  <c r="F726" i="3"/>
  <c r="G726" i="3"/>
  <c r="H726" i="3"/>
  <c r="F727" i="3"/>
  <c r="G727" i="3"/>
  <c r="H727" i="3"/>
  <c r="F728" i="3"/>
  <c r="G728" i="3"/>
  <c r="H728" i="3"/>
  <c r="F729" i="3"/>
  <c r="G729" i="3"/>
  <c r="H729" i="3"/>
  <c r="F730" i="3"/>
  <c r="G730" i="3"/>
  <c r="H730" i="3"/>
  <c r="F731" i="3"/>
  <c r="G731" i="3"/>
  <c r="H731" i="3"/>
  <c r="F732" i="3"/>
  <c r="G732" i="3"/>
  <c r="H732" i="3"/>
  <c r="F733" i="3"/>
  <c r="G733" i="3"/>
  <c r="H733" i="3"/>
  <c r="F734" i="3"/>
  <c r="G734" i="3"/>
  <c r="H734" i="3"/>
  <c r="F735" i="3"/>
  <c r="G735" i="3"/>
  <c r="H735" i="3"/>
  <c r="F736" i="3"/>
  <c r="G736" i="3"/>
  <c r="H736" i="3"/>
  <c r="F737" i="3"/>
  <c r="G737" i="3"/>
  <c r="H737" i="3"/>
  <c r="F738" i="3"/>
  <c r="G738" i="3"/>
  <c r="H738" i="3"/>
  <c r="F739" i="3"/>
  <c r="G739" i="3"/>
  <c r="H739" i="3"/>
  <c r="F740" i="3"/>
  <c r="G740" i="3"/>
  <c r="H740" i="3"/>
  <c r="F741" i="3"/>
  <c r="G741" i="3"/>
  <c r="H741" i="3"/>
  <c r="F742" i="3"/>
  <c r="G742" i="3"/>
  <c r="H742" i="3"/>
  <c r="F743" i="3"/>
  <c r="G743" i="3"/>
  <c r="H743" i="3"/>
  <c r="F744" i="3"/>
  <c r="G744" i="3"/>
  <c r="H744" i="3"/>
  <c r="F745" i="3"/>
  <c r="G745" i="3"/>
  <c r="H745" i="3"/>
  <c r="F746" i="3"/>
  <c r="G746" i="3"/>
  <c r="H746" i="3"/>
  <c r="F747" i="3"/>
  <c r="G747" i="3"/>
  <c r="H747" i="3"/>
  <c r="F748" i="3"/>
  <c r="G748" i="3"/>
  <c r="H748" i="3"/>
  <c r="F749" i="3"/>
  <c r="G749" i="3"/>
  <c r="H749" i="3"/>
  <c r="F750" i="3"/>
  <c r="G750" i="3"/>
  <c r="H750" i="3"/>
  <c r="F751" i="3"/>
  <c r="G751" i="3"/>
  <c r="H751" i="3"/>
  <c r="F752" i="3"/>
  <c r="G752" i="3"/>
  <c r="H752" i="3"/>
  <c r="F753" i="3"/>
  <c r="G753" i="3"/>
  <c r="H753" i="3"/>
  <c r="F754" i="3"/>
  <c r="G754" i="3"/>
  <c r="H754" i="3"/>
  <c r="F755" i="3"/>
  <c r="G755" i="3"/>
  <c r="H755" i="3"/>
  <c r="F756" i="3"/>
  <c r="G756" i="3"/>
  <c r="H756" i="3"/>
  <c r="F757" i="3"/>
  <c r="G757" i="3"/>
  <c r="H757" i="3"/>
  <c r="F758" i="3"/>
  <c r="G758" i="3"/>
  <c r="H758" i="3"/>
  <c r="F759" i="3"/>
  <c r="G759" i="3"/>
  <c r="H759" i="3"/>
  <c r="F760" i="3"/>
  <c r="G760" i="3"/>
  <c r="H760" i="3"/>
  <c r="F761" i="3"/>
  <c r="G761" i="3"/>
  <c r="H761" i="3"/>
  <c r="F762" i="3"/>
  <c r="G762" i="3"/>
  <c r="H762" i="3"/>
  <c r="F763" i="3"/>
  <c r="G763" i="3"/>
  <c r="H763" i="3"/>
  <c r="F764" i="3"/>
  <c r="G764" i="3"/>
  <c r="H764" i="3"/>
  <c r="F765" i="3"/>
  <c r="G765" i="3"/>
  <c r="H765" i="3"/>
  <c r="F766" i="3"/>
  <c r="G766" i="3"/>
  <c r="H766" i="3"/>
  <c r="F767" i="3"/>
  <c r="G767" i="3"/>
  <c r="H767" i="3"/>
  <c r="F768" i="3"/>
  <c r="G768" i="3"/>
  <c r="H768" i="3"/>
  <c r="F769" i="3"/>
  <c r="G769" i="3"/>
  <c r="H769" i="3"/>
  <c r="F770" i="3"/>
  <c r="G770" i="3"/>
  <c r="H770" i="3"/>
  <c r="F771" i="3"/>
  <c r="G771" i="3"/>
  <c r="H771" i="3"/>
  <c r="F772" i="3"/>
  <c r="G772" i="3"/>
  <c r="H772" i="3"/>
  <c r="F773" i="3"/>
  <c r="G773" i="3"/>
  <c r="H773" i="3"/>
  <c r="F774" i="3"/>
  <c r="G774" i="3"/>
  <c r="H774" i="3"/>
  <c r="F775" i="3"/>
  <c r="G775" i="3"/>
  <c r="H775" i="3"/>
  <c r="F776" i="3"/>
  <c r="G776" i="3"/>
  <c r="H776" i="3"/>
  <c r="F777" i="3"/>
  <c r="G777" i="3"/>
  <c r="H777" i="3"/>
  <c r="F778" i="3"/>
  <c r="G778" i="3"/>
  <c r="H778" i="3"/>
  <c r="F779" i="3"/>
  <c r="G779" i="3"/>
  <c r="H779" i="3"/>
  <c r="F780" i="3"/>
  <c r="G780" i="3"/>
  <c r="H780" i="3"/>
  <c r="F781" i="3"/>
  <c r="G781" i="3"/>
  <c r="H781" i="3"/>
  <c r="F782" i="3"/>
  <c r="G782" i="3"/>
  <c r="H782" i="3"/>
  <c r="F783" i="3"/>
  <c r="G783" i="3"/>
  <c r="H783" i="3"/>
  <c r="F784" i="3"/>
  <c r="G784" i="3"/>
  <c r="H784" i="3"/>
  <c r="F785" i="3"/>
  <c r="G785" i="3"/>
  <c r="H785" i="3"/>
  <c r="F786" i="3"/>
  <c r="G786" i="3"/>
  <c r="H786" i="3"/>
  <c r="F787" i="3"/>
  <c r="G787" i="3"/>
  <c r="H787" i="3"/>
  <c r="F788" i="3"/>
  <c r="G788" i="3"/>
  <c r="H788" i="3"/>
  <c r="F789" i="3"/>
  <c r="G789" i="3"/>
  <c r="H789" i="3"/>
  <c r="F790" i="3"/>
  <c r="G790" i="3"/>
  <c r="H790" i="3"/>
  <c r="F791" i="3"/>
  <c r="G791" i="3"/>
  <c r="H791" i="3"/>
  <c r="F792" i="3"/>
  <c r="G792" i="3"/>
  <c r="H792" i="3"/>
  <c r="F793" i="3"/>
  <c r="G793" i="3"/>
  <c r="H793" i="3"/>
  <c r="F794" i="3"/>
  <c r="G794" i="3"/>
  <c r="H794" i="3"/>
  <c r="F795" i="3"/>
  <c r="G795" i="3"/>
  <c r="H795" i="3"/>
  <c r="F796" i="3"/>
  <c r="G796" i="3"/>
  <c r="H796" i="3"/>
  <c r="F797" i="3"/>
  <c r="G797" i="3"/>
  <c r="H797" i="3"/>
  <c r="F798" i="3"/>
  <c r="G798" i="3"/>
  <c r="H798" i="3"/>
  <c r="F799" i="3"/>
  <c r="G799" i="3"/>
  <c r="H799" i="3"/>
  <c r="F800" i="3"/>
  <c r="G800" i="3"/>
  <c r="H800" i="3"/>
  <c r="F801" i="3"/>
  <c r="G801" i="3"/>
  <c r="H801" i="3"/>
  <c r="F802" i="3"/>
  <c r="G802" i="3"/>
  <c r="H802" i="3"/>
  <c r="F803" i="3"/>
  <c r="G803" i="3"/>
  <c r="H803" i="3"/>
  <c r="F804" i="3"/>
  <c r="G804" i="3"/>
  <c r="H804" i="3"/>
  <c r="F805" i="3"/>
  <c r="G805" i="3"/>
  <c r="H805" i="3"/>
  <c r="F806" i="3"/>
  <c r="G806" i="3"/>
  <c r="H806" i="3"/>
  <c r="F807" i="3"/>
  <c r="G807" i="3"/>
  <c r="H807" i="3"/>
  <c r="F808" i="3"/>
  <c r="G808" i="3"/>
  <c r="H808" i="3"/>
  <c r="F809" i="3"/>
  <c r="G809" i="3"/>
  <c r="H809" i="3"/>
  <c r="F810" i="3"/>
  <c r="G810" i="3"/>
  <c r="H810" i="3"/>
  <c r="F811" i="3"/>
  <c r="G811" i="3"/>
  <c r="H811" i="3"/>
  <c r="F812" i="3"/>
  <c r="G812" i="3"/>
  <c r="H812" i="3"/>
  <c r="F813" i="3"/>
  <c r="G813" i="3"/>
  <c r="H813" i="3"/>
  <c r="F814" i="3"/>
  <c r="G814" i="3"/>
  <c r="H814" i="3"/>
  <c r="F815" i="3"/>
  <c r="G815" i="3"/>
  <c r="H815" i="3"/>
  <c r="F816" i="3"/>
  <c r="G816" i="3"/>
  <c r="H816" i="3"/>
  <c r="F817" i="3"/>
  <c r="G817" i="3"/>
  <c r="H817" i="3"/>
  <c r="F818" i="3"/>
  <c r="G818" i="3"/>
  <c r="H818" i="3"/>
  <c r="F819" i="3"/>
  <c r="G819" i="3"/>
  <c r="H819" i="3"/>
  <c r="F820" i="3"/>
  <c r="G820" i="3"/>
  <c r="H820" i="3"/>
  <c r="F821" i="3"/>
  <c r="G821" i="3"/>
  <c r="H821" i="3"/>
  <c r="F822" i="3"/>
  <c r="G822" i="3"/>
  <c r="H822" i="3"/>
  <c r="F823" i="3"/>
  <c r="G823" i="3"/>
  <c r="H823" i="3"/>
  <c r="F824" i="3"/>
  <c r="G824" i="3"/>
  <c r="H824" i="3"/>
  <c r="F825" i="3"/>
  <c r="G825" i="3"/>
  <c r="H825" i="3"/>
  <c r="F826" i="3"/>
  <c r="G826" i="3"/>
  <c r="H826" i="3"/>
  <c r="F827" i="3"/>
  <c r="G827" i="3"/>
  <c r="H827" i="3"/>
  <c r="F828" i="3"/>
  <c r="G828" i="3"/>
  <c r="H828" i="3"/>
  <c r="F829" i="3"/>
  <c r="G829" i="3"/>
  <c r="H829" i="3"/>
  <c r="F830" i="3"/>
  <c r="G830" i="3"/>
  <c r="H830" i="3"/>
  <c r="F831" i="3"/>
  <c r="G831" i="3"/>
  <c r="H831" i="3"/>
  <c r="F832" i="3"/>
  <c r="G832" i="3"/>
  <c r="H832" i="3"/>
  <c r="F833" i="3"/>
  <c r="G833" i="3"/>
  <c r="H833" i="3"/>
  <c r="F834" i="3"/>
  <c r="G834" i="3"/>
  <c r="H834" i="3"/>
  <c r="F835" i="3"/>
  <c r="G835" i="3"/>
  <c r="H835" i="3"/>
  <c r="F836" i="3"/>
  <c r="G836" i="3"/>
  <c r="H836" i="3"/>
  <c r="F837" i="3"/>
  <c r="G837" i="3"/>
  <c r="H837" i="3"/>
  <c r="F838" i="3"/>
  <c r="G838" i="3"/>
  <c r="H838" i="3"/>
  <c r="F839" i="3"/>
  <c r="G839" i="3"/>
  <c r="H839" i="3"/>
  <c r="F840" i="3"/>
  <c r="G840" i="3"/>
  <c r="H840" i="3"/>
  <c r="F841" i="3"/>
  <c r="G841" i="3"/>
  <c r="H841" i="3"/>
  <c r="F842" i="3"/>
  <c r="G842" i="3"/>
  <c r="H842" i="3"/>
  <c r="F843" i="3"/>
  <c r="G843" i="3"/>
  <c r="H843" i="3"/>
  <c r="F844" i="3"/>
  <c r="G844" i="3"/>
  <c r="H844" i="3"/>
  <c r="F845" i="3"/>
  <c r="G845" i="3"/>
  <c r="H845" i="3"/>
  <c r="F846" i="3"/>
  <c r="G846" i="3"/>
  <c r="H846" i="3"/>
  <c r="F847" i="3"/>
  <c r="G847" i="3"/>
  <c r="H847" i="3"/>
  <c r="F848" i="3"/>
  <c r="G848" i="3"/>
  <c r="H848" i="3"/>
  <c r="F849" i="3"/>
  <c r="G849" i="3"/>
  <c r="H849" i="3"/>
  <c r="F850" i="3"/>
  <c r="G850" i="3"/>
  <c r="H850" i="3"/>
  <c r="F851" i="3"/>
  <c r="G851" i="3"/>
  <c r="H851" i="3"/>
  <c r="F852" i="3"/>
  <c r="G852" i="3"/>
  <c r="H852" i="3"/>
  <c r="F853" i="3"/>
  <c r="G853" i="3"/>
  <c r="H853" i="3"/>
  <c r="F854" i="3"/>
  <c r="G854" i="3"/>
  <c r="H854" i="3"/>
  <c r="F855" i="3"/>
  <c r="G855" i="3"/>
  <c r="H855" i="3"/>
  <c r="F856" i="3"/>
  <c r="G856" i="3"/>
  <c r="H856" i="3"/>
  <c r="F857" i="3"/>
  <c r="G857" i="3"/>
  <c r="H857" i="3"/>
  <c r="F858" i="3"/>
  <c r="G858" i="3"/>
  <c r="H858" i="3"/>
  <c r="F859" i="3"/>
  <c r="G859" i="3"/>
  <c r="H859" i="3"/>
  <c r="F860" i="3"/>
  <c r="G860" i="3"/>
  <c r="H860" i="3"/>
  <c r="F861" i="3"/>
  <c r="G861" i="3"/>
  <c r="H861" i="3"/>
  <c r="F862" i="3"/>
  <c r="G862" i="3"/>
  <c r="H862" i="3"/>
  <c r="F863" i="3"/>
  <c r="G863" i="3"/>
  <c r="H863" i="3"/>
  <c r="F864" i="3"/>
  <c r="G864" i="3"/>
  <c r="H864" i="3"/>
  <c r="F865" i="3"/>
  <c r="G865" i="3"/>
  <c r="H865" i="3"/>
  <c r="F866" i="3"/>
  <c r="G866" i="3"/>
  <c r="H866" i="3"/>
  <c r="F867" i="3"/>
  <c r="G867" i="3"/>
  <c r="H867" i="3"/>
  <c r="F868" i="3"/>
  <c r="G868" i="3"/>
  <c r="H868" i="3"/>
  <c r="F869" i="3"/>
  <c r="G869" i="3"/>
  <c r="H869" i="3"/>
  <c r="F870" i="3"/>
  <c r="G870" i="3"/>
  <c r="H870" i="3"/>
  <c r="F871" i="3"/>
  <c r="G871" i="3"/>
  <c r="H871" i="3"/>
  <c r="F872" i="3"/>
  <c r="G872" i="3"/>
  <c r="H872" i="3"/>
  <c r="F873" i="3"/>
  <c r="G873" i="3"/>
  <c r="H873" i="3"/>
  <c r="F874" i="3"/>
  <c r="G874" i="3"/>
  <c r="H874" i="3"/>
  <c r="F875" i="3"/>
  <c r="G875" i="3"/>
  <c r="H875" i="3"/>
  <c r="F876" i="3"/>
  <c r="G876" i="3"/>
  <c r="H876" i="3"/>
  <c r="F877" i="3"/>
  <c r="G877" i="3"/>
  <c r="H877" i="3"/>
  <c r="F878" i="3"/>
  <c r="G878" i="3"/>
  <c r="H878" i="3"/>
  <c r="F879" i="3"/>
  <c r="G879" i="3"/>
  <c r="H879" i="3"/>
  <c r="F880" i="3"/>
  <c r="G880" i="3"/>
  <c r="H880" i="3"/>
  <c r="F881" i="3"/>
  <c r="G881" i="3"/>
  <c r="H881" i="3"/>
  <c r="F882" i="3"/>
  <c r="G882" i="3"/>
  <c r="H882" i="3"/>
  <c r="F883" i="3"/>
  <c r="G883" i="3"/>
  <c r="H883" i="3"/>
  <c r="F884" i="3"/>
  <c r="G884" i="3"/>
  <c r="H884" i="3"/>
  <c r="F885" i="3"/>
  <c r="G885" i="3"/>
  <c r="H885" i="3"/>
  <c r="F886" i="3"/>
  <c r="G886" i="3"/>
  <c r="H886" i="3"/>
  <c r="F887" i="3"/>
  <c r="G887" i="3"/>
  <c r="H887" i="3"/>
  <c r="F888" i="3"/>
  <c r="G888" i="3"/>
  <c r="H888" i="3"/>
  <c r="F889" i="3"/>
  <c r="G889" i="3"/>
  <c r="H889" i="3"/>
  <c r="F890" i="3"/>
  <c r="G890" i="3"/>
  <c r="H890" i="3"/>
  <c r="F891" i="3"/>
  <c r="G891" i="3"/>
  <c r="H891" i="3"/>
  <c r="F892" i="3"/>
  <c r="G892" i="3"/>
  <c r="H892" i="3"/>
  <c r="F893" i="3"/>
  <c r="G893" i="3"/>
  <c r="H893" i="3"/>
  <c r="F894" i="3"/>
  <c r="G894" i="3"/>
  <c r="H894" i="3"/>
  <c r="F895" i="3"/>
  <c r="G895" i="3"/>
  <c r="H895" i="3"/>
  <c r="F896" i="3"/>
  <c r="G896" i="3"/>
  <c r="H896" i="3"/>
  <c r="F897" i="3"/>
  <c r="G897" i="3"/>
  <c r="H897" i="3"/>
  <c r="F898" i="3"/>
  <c r="G898" i="3"/>
  <c r="H898" i="3"/>
  <c r="F899" i="3"/>
  <c r="G899" i="3"/>
  <c r="H899" i="3"/>
  <c r="F900" i="3"/>
  <c r="G900" i="3"/>
  <c r="H900" i="3"/>
  <c r="F901" i="3"/>
  <c r="G901" i="3"/>
  <c r="H901" i="3"/>
  <c r="F902" i="3"/>
  <c r="G902" i="3"/>
  <c r="H902" i="3"/>
  <c r="F903" i="3"/>
  <c r="G903" i="3"/>
  <c r="H903" i="3"/>
  <c r="F904" i="3"/>
  <c r="G904" i="3"/>
  <c r="H904" i="3"/>
  <c r="F905" i="3"/>
  <c r="G905" i="3"/>
  <c r="H905" i="3"/>
  <c r="F906" i="3"/>
  <c r="G906" i="3"/>
  <c r="H906" i="3"/>
  <c r="F907" i="3"/>
  <c r="G907" i="3"/>
  <c r="H907" i="3"/>
  <c r="F908" i="3"/>
  <c r="G908" i="3"/>
  <c r="H908" i="3"/>
  <c r="F909" i="3"/>
  <c r="G909" i="3"/>
  <c r="H909" i="3"/>
  <c r="F910" i="3"/>
  <c r="G910" i="3"/>
  <c r="H910" i="3"/>
  <c r="F911" i="3"/>
  <c r="G911" i="3"/>
  <c r="H911" i="3"/>
  <c r="F912" i="3"/>
  <c r="G912" i="3"/>
  <c r="H912" i="3"/>
  <c r="F913" i="3"/>
  <c r="G913" i="3"/>
  <c r="H913" i="3"/>
  <c r="F914" i="3"/>
  <c r="G914" i="3"/>
  <c r="H914" i="3"/>
  <c r="F915" i="3"/>
  <c r="G915" i="3"/>
  <c r="H915" i="3"/>
  <c r="F916" i="3"/>
  <c r="G916" i="3"/>
  <c r="H916" i="3"/>
  <c r="F917" i="3"/>
  <c r="G917" i="3"/>
  <c r="H917" i="3"/>
  <c r="F918" i="3"/>
  <c r="G918" i="3"/>
  <c r="H918" i="3"/>
  <c r="F919" i="3"/>
  <c r="G919" i="3"/>
  <c r="H919" i="3"/>
  <c r="F920" i="3"/>
  <c r="G920" i="3"/>
  <c r="H920" i="3"/>
  <c r="F921" i="3"/>
  <c r="G921" i="3"/>
  <c r="H921" i="3"/>
  <c r="F922" i="3"/>
  <c r="G922" i="3"/>
  <c r="H922" i="3"/>
  <c r="F923" i="3"/>
  <c r="G923" i="3"/>
  <c r="H923" i="3"/>
  <c r="F924" i="3"/>
  <c r="G924" i="3"/>
  <c r="H924" i="3"/>
  <c r="F925" i="3"/>
  <c r="G925" i="3"/>
  <c r="H925" i="3"/>
  <c r="F926" i="3"/>
  <c r="G926" i="3"/>
  <c r="H926" i="3"/>
  <c r="F927" i="3"/>
  <c r="G927" i="3"/>
  <c r="H927" i="3"/>
  <c r="F928" i="3"/>
  <c r="G928" i="3"/>
  <c r="H928" i="3"/>
  <c r="F929" i="3"/>
  <c r="G929" i="3"/>
  <c r="H929" i="3"/>
  <c r="F930" i="3"/>
  <c r="G930" i="3"/>
  <c r="H930" i="3"/>
  <c r="F931" i="3"/>
  <c r="G931" i="3"/>
  <c r="H931" i="3"/>
  <c r="F932" i="3"/>
  <c r="G932" i="3"/>
  <c r="H932" i="3"/>
  <c r="F933" i="3"/>
  <c r="G933" i="3"/>
  <c r="H933" i="3"/>
  <c r="F934" i="3"/>
  <c r="G934" i="3"/>
  <c r="H934" i="3"/>
  <c r="F935" i="3"/>
  <c r="G935" i="3"/>
  <c r="H935" i="3"/>
  <c r="F936" i="3"/>
  <c r="G936" i="3"/>
  <c r="H936" i="3"/>
  <c r="F937" i="3"/>
  <c r="G937" i="3"/>
  <c r="H937" i="3"/>
  <c r="F938" i="3"/>
  <c r="G938" i="3"/>
  <c r="H938" i="3"/>
  <c r="F939" i="3"/>
  <c r="G939" i="3"/>
  <c r="H939" i="3"/>
  <c r="F940" i="3"/>
  <c r="G940" i="3"/>
  <c r="H940" i="3"/>
  <c r="F941" i="3"/>
  <c r="G941" i="3"/>
  <c r="H941" i="3"/>
  <c r="F942" i="3"/>
  <c r="G942" i="3"/>
  <c r="H942" i="3"/>
  <c r="F943" i="3"/>
  <c r="G943" i="3"/>
  <c r="H943" i="3"/>
  <c r="F944" i="3"/>
  <c r="G944" i="3"/>
  <c r="H944" i="3"/>
  <c r="F945" i="3"/>
  <c r="G945" i="3"/>
  <c r="H945" i="3"/>
  <c r="F946" i="3"/>
  <c r="G946" i="3"/>
  <c r="H946" i="3"/>
  <c r="F947" i="3"/>
  <c r="G947" i="3"/>
  <c r="H947" i="3"/>
  <c r="F948" i="3"/>
  <c r="G948" i="3"/>
  <c r="H948" i="3"/>
  <c r="F949" i="3"/>
  <c r="G949" i="3"/>
  <c r="H949" i="3"/>
  <c r="F950" i="3"/>
  <c r="G950" i="3"/>
  <c r="H950" i="3"/>
  <c r="F951" i="3"/>
  <c r="G951" i="3"/>
  <c r="H951" i="3"/>
  <c r="F952" i="3"/>
  <c r="G952" i="3"/>
  <c r="H952" i="3"/>
  <c r="F953" i="3"/>
  <c r="G953" i="3"/>
  <c r="H953" i="3"/>
  <c r="F954" i="3"/>
  <c r="G954" i="3"/>
  <c r="H954" i="3"/>
  <c r="F955" i="3"/>
  <c r="G955" i="3"/>
  <c r="H955" i="3"/>
  <c r="F956" i="3"/>
  <c r="G956" i="3"/>
  <c r="H956" i="3"/>
  <c r="F957" i="3"/>
  <c r="G957" i="3"/>
  <c r="H957" i="3"/>
  <c r="F958" i="3"/>
  <c r="G958" i="3"/>
  <c r="H958" i="3"/>
  <c r="F959" i="3"/>
  <c r="G959" i="3"/>
  <c r="H959" i="3"/>
  <c r="F960" i="3"/>
  <c r="G960" i="3"/>
  <c r="H960" i="3"/>
  <c r="F961" i="3"/>
  <c r="G961" i="3"/>
  <c r="H961" i="3"/>
  <c r="F962" i="3"/>
  <c r="G962" i="3"/>
  <c r="H962" i="3"/>
  <c r="F963" i="3"/>
  <c r="G963" i="3"/>
  <c r="H963" i="3"/>
  <c r="F964" i="3"/>
  <c r="G964" i="3"/>
  <c r="H964" i="3"/>
  <c r="F965" i="3"/>
  <c r="G965" i="3"/>
  <c r="H965" i="3"/>
  <c r="F966" i="3"/>
  <c r="G966" i="3"/>
  <c r="H966" i="3"/>
  <c r="F967" i="3"/>
  <c r="G967" i="3"/>
  <c r="H967" i="3"/>
  <c r="F968" i="3"/>
  <c r="G968" i="3"/>
  <c r="H968" i="3"/>
  <c r="F969" i="3"/>
  <c r="G969" i="3"/>
  <c r="H969" i="3"/>
  <c r="F970" i="3"/>
  <c r="G970" i="3"/>
  <c r="H970" i="3"/>
  <c r="F971" i="3"/>
  <c r="G971" i="3"/>
  <c r="H971" i="3"/>
  <c r="F972" i="3"/>
  <c r="G972" i="3"/>
  <c r="H972" i="3"/>
  <c r="F973" i="3"/>
  <c r="G973" i="3"/>
  <c r="H973" i="3"/>
  <c r="F974" i="3"/>
  <c r="G974" i="3"/>
  <c r="H974" i="3"/>
  <c r="F975" i="3"/>
  <c r="G975" i="3"/>
  <c r="H975" i="3"/>
  <c r="F976" i="3"/>
  <c r="G976" i="3"/>
  <c r="H976" i="3"/>
  <c r="F977" i="3"/>
  <c r="G977" i="3"/>
  <c r="H977" i="3"/>
  <c r="F978" i="3"/>
  <c r="G978" i="3"/>
  <c r="H978" i="3"/>
  <c r="F979" i="3"/>
  <c r="G979" i="3"/>
  <c r="H979" i="3"/>
  <c r="F980" i="3"/>
  <c r="G980" i="3"/>
  <c r="H980" i="3"/>
  <c r="F981" i="3"/>
  <c r="G981" i="3"/>
  <c r="H981" i="3"/>
  <c r="F982" i="3"/>
  <c r="G982" i="3"/>
  <c r="H982" i="3"/>
  <c r="F983" i="3"/>
  <c r="G983" i="3"/>
  <c r="H983" i="3"/>
  <c r="F984" i="3"/>
  <c r="G984" i="3"/>
  <c r="H984" i="3"/>
  <c r="F985" i="3"/>
  <c r="G985" i="3"/>
  <c r="H985" i="3"/>
  <c r="F986" i="3"/>
  <c r="G986" i="3"/>
  <c r="H986" i="3"/>
  <c r="F987" i="3"/>
  <c r="G987" i="3"/>
  <c r="H987" i="3"/>
  <c r="F988" i="3"/>
  <c r="G988" i="3"/>
  <c r="H988" i="3"/>
  <c r="F989" i="3"/>
  <c r="G989" i="3"/>
  <c r="H989" i="3"/>
  <c r="F990" i="3"/>
  <c r="G990" i="3"/>
  <c r="H990" i="3"/>
  <c r="F991" i="3"/>
  <c r="G991" i="3"/>
  <c r="H991" i="3"/>
  <c r="F992" i="3"/>
  <c r="G992" i="3"/>
  <c r="H992" i="3"/>
  <c r="F993" i="3"/>
  <c r="G993" i="3"/>
  <c r="H993" i="3"/>
  <c r="F994" i="3"/>
  <c r="G994" i="3"/>
  <c r="H994" i="3"/>
  <c r="F995" i="3"/>
  <c r="G995" i="3"/>
  <c r="H995" i="3"/>
  <c r="F996" i="3"/>
  <c r="G996" i="3"/>
  <c r="H996" i="3"/>
  <c r="F997" i="3"/>
  <c r="G997" i="3"/>
  <c r="H997" i="3"/>
  <c r="F998" i="3"/>
  <c r="G998" i="3"/>
  <c r="H998" i="3"/>
  <c r="F999" i="3"/>
  <c r="G999" i="3"/>
  <c r="H999" i="3"/>
  <c r="F1000" i="3"/>
  <c r="G1000" i="3"/>
  <c r="H1000" i="3"/>
  <c r="F1001" i="3"/>
  <c r="G1001" i="3"/>
  <c r="H1001" i="3"/>
  <c r="F1002" i="3"/>
  <c r="G1002" i="3"/>
  <c r="H1002" i="3"/>
  <c r="F1003" i="3"/>
  <c r="G1003" i="3"/>
  <c r="H1003" i="3"/>
  <c r="F1004" i="3"/>
  <c r="G1004" i="3"/>
  <c r="H1004" i="3"/>
  <c r="F1005" i="3"/>
  <c r="G1005" i="3"/>
  <c r="H1005" i="3"/>
  <c r="F1006" i="3"/>
  <c r="G1006" i="3"/>
  <c r="H1006" i="3"/>
  <c r="F1007" i="3"/>
  <c r="G1007" i="3"/>
  <c r="H1007" i="3"/>
  <c r="F1008" i="3"/>
  <c r="G1008" i="3"/>
  <c r="H1008" i="3"/>
  <c r="F1009" i="3"/>
  <c r="G1009" i="3"/>
  <c r="H1009" i="3"/>
  <c r="F1010" i="3"/>
  <c r="G1010" i="3"/>
  <c r="H1010" i="3"/>
  <c r="F1011" i="3"/>
  <c r="G1011" i="3"/>
  <c r="H1011" i="3"/>
  <c r="F1012" i="3"/>
  <c r="G1012" i="3"/>
  <c r="H1012" i="3"/>
  <c r="F1013" i="3"/>
  <c r="G1013" i="3"/>
  <c r="H1013" i="3"/>
  <c r="F1014" i="3"/>
  <c r="G1014" i="3"/>
  <c r="H1014" i="3"/>
  <c r="F1015" i="3"/>
  <c r="G1015" i="3"/>
  <c r="H1015" i="3"/>
  <c r="F1016" i="3"/>
  <c r="G1016" i="3"/>
  <c r="H1016" i="3"/>
  <c r="F1017" i="3"/>
  <c r="G1017" i="3"/>
  <c r="H1017" i="3"/>
  <c r="F1018" i="3"/>
  <c r="G1018" i="3"/>
  <c r="H1018" i="3"/>
  <c r="F1019" i="3"/>
  <c r="G1019" i="3"/>
  <c r="H1019" i="3"/>
  <c r="F1020" i="3"/>
  <c r="G1020" i="3"/>
  <c r="H1020" i="3"/>
  <c r="F1021" i="3"/>
  <c r="G1021" i="3"/>
  <c r="H1021" i="3"/>
  <c r="F1022" i="3"/>
  <c r="G1022" i="3"/>
  <c r="H1022" i="3"/>
  <c r="F1023" i="3"/>
  <c r="G1023" i="3"/>
  <c r="H1023" i="3"/>
  <c r="F1024" i="3"/>
  <c r="G1024" i="3"/>
  <c r="H1024" i="3"/>
  <c r="F1025" i="3"/>
  <c r="G1025" i="3"/>
  <c r="H1025" i="3"/>
  <c r="F1026" i="3"/>
  <c r="G1026" i="3"/>
  <c r="H1026" i="3"/>
  <c r="F1027" i="3"/>
  <c r="G1027" i="3"/>
  <c r="H1027" i="3"/>
  <c r="F1028" i="3"/>
  <c r="G1028" i="3"/>
  <c r="H1028" i="3"/>
  <c r="F1029" i="3"/>
  <c r="G1029" i="3"/>
  <c r="H1029" i="3"/>
  <c r="F1030" i="3"/>
  <c r="G1030" i="3"/>
  <c r="H1030" i="3"/>
  <c r="F1031" i="3"/>
  <c r="G1031" i="3"/>
  <c r="H1031" i="3"/>
  <c r="F1032" i="3"/>
  <c r="G1032" i="3"/>
  <c r="H1032" i="3"/>
  <c r="F1033" i="3"/>
  <c r="G1033" i="3"/>
  <c r="H1033" i="3"/>
  <c r="F1034" i="3"/>
  <c r="G1034" i="3"/>
  <c r="H1034" i="3"/>
  <c r="F1035" i="3"/>
  <c r="G1035" i="3"/>
  <c r="H1035" i="3"/>
  <c r="F1036" i="3"/>
  <c r="G1036" i="3"/>
  <c r="H1036" i="3"/>
  <c r="F1037" i="3"/>
  <c r="G1037" i="3"/>
  <c r="H1037" i="3"/>
  <c r="F1038" i="3"/>
  <c r="G1038" i="3"/>
  <c r="H1038" i="3"/>
  <c r="F1039" i="3"/>
  <c r="G1039" i="3"/>
  <c r="H1039" i="3"/>
  <c r="F1040" i="3"/>
  <c r="G1040" i="3"/>
  <c r="H1040" i="3"/>
  <c r="F1041" i="3"/>
  <c r="G1041" i="3"/>
  <c r="H1041" i="3"/>
  <c r="F1042" i="3"/>
  <c r="G1042" i="3"/>
  <c r="H1042" i="3"/>
  <c r="F1043" i="3"/>
  <c r="G1043" i="3"/>
  <c r="H1043" i="3"/>
  <c r="F1044" i="3"/>
  <c r="G1044" i="3"/>
  <c r="H1044" i="3"/>
  <c r="F1045" i="3"/>
  <c r="G1045" i="3"/>
  <c r="H1045" i="3"/>
  <c r="F1046" i="3"/>
  <c r="G1046" i="3"/>
  <c r="H1046" i="3"/>
  <c r="F1047" i="3"/>
  <c r="G1047" i="3"/>
  <c r="H1047" i="3"/>
  <c r="F1048" i="3"/>
  <c r="G1048" i="3"/>
  <c r="H1048" i="3"/>
  <c r="F1049" i="3"/>
  <c r="G1049" i="3"/>
  <c r="H1049" i="3"/>
  <c r="F1050" i="3"/>
  <c r="G1050" i="3"/>
  <c r="H1050" i="3"/>
  <c r="F1051" i="3"/>
  <c r="G1051" i="3"/>
  <c r="H1051" i="3"/>
  <c r="F1052" i="3"/>
  <c r="G1052" i="3"/>
  <c r="H1052" i="3"/>
  <c r="F1053" i="3"/>
  <c r="G1053" i="3"/>
  <c r="H1053" i="3"/>
  <c r="F1054" i="3"/>
  <c r="G1054" i="3"/>
  <c r="H1054" i="3"/>
  <c r="F1055" i="3"/>
  <c r="G1055" i="3"/>
  <c r="H1055" i="3"/>
  <c r="F1056" i="3"/>
  <c r="G1056" i="3"/>
  <c r="H1056" i="3"/>
  <c r="F1057" i="3"/>
  <c r="G1057" i="3"/>
  <c r="H1057" i="3"/>
  <c r="F1058" i="3"/>
  <c r="G1058" i="3"/>
  <c r="H1058" i="3"/>
  <c r="F1059" i="3"/>
  <c r="G1059" i="3"/>
  <c r="H1059" i="3"/>
  <c r="F1060" i="3"/>
  <c r="G1060" i="3"/>
  <c r="H1060" i="3"/>
  <c r="F1061" i="3"/>
  <c r="G1061" i="3"/>
  <c r="H1061" i="3"/>
  <c r="F1062" i="3"/>
  <c r="G1062" i="3"/>
  <c r="H1062" i="3"/>
  <c r="F1063" i="3"/>
  <c r="G1063" i="3"/>
  <c r="H1063" i="3"/>
  <c r="F1064" i="3"/>
  <c r="G1064" i="3"/>
  <c r="H1064" i="3"/>
  <c r="F1065" i="3"/>
  <c r="G1065" i="3"/>
  <c r="H1065" i="3"/>
  <c r="F1066" i="3"/>
  <c r="G1066" i="3"/>
  <c r="H1066" i="3"/>
  <c r="F1067" i="3"/>
  <c r="G1067" i="3"/>
  <c r="H1067" i="3"/>
  <c r="F1068" i="3"/>
  <c r="G1068" i="3"/>
  <c r="H1068" i="3"/>
  <c r="F1069" i="3"/>
  <c r="G1069" i="3"/>
  <c r="H1069" i="3"/>
  <c r="F1070" i="3"/>
  <c r="G1070" i="3"/>
  <c r="H1070" i="3"/>
  <c r="F1071" i="3"/>
  <c r="G1071" i="3"/>
  <c r="H1071" i="3"/>
  <c r="F1072" i="3"/>
  <c r="G1072" i="3"/>
  <c r="H1072" i="3"/>
  <c r="F1073" i="3"/>
  <c r="G1073" i="3"/>
  <c r="H1073" i="3"/>
  <c r="F1074" i="3"/>
  <c r="G1074" i="3"/>
  <c r="H1074" i="3"/>
  <c r="F1075" i="3"/>
  <c r="G1075" i="3"/>
  <c r="H1075" i="3"/>
  <c r="F1076" i="3"/>
  <c r="G1076" i="3"/>
  <c r="H1076" i="3"/>
  <c r="F1077" i="3"/>
  <c r="G1077" i="3"/>
  <c r="H1077" i="3"/>
  <c r="F1078" i="3"/>
  <c r="G1078" i="3"/>
  <c r="H1078" i="3"/>
  <c r="F1079" i="3"/>
  <c r="G1079" i="3"/>
  <c r="H1079" i="3"/>
  <c r="F1080" i="3"/>
  <c r="G1080" i="3"/>
  <c r="H1080" i="3"/>
  <c r="F1081" i="3"/>
  <c r="G1081" i="3"/>
  <c r="H1081" i="3"/>
  <c r="F1082" i="3"/>
  <c r="G1082" i="3"/>
  <c r="H1082" i="3"/>
  <c r="F1083" i="3"/>
  <c r="G1083" i="3"/>
  <c r="H1083" i="3"/>
  <c r="F1084" i="3"/>
  <c r="G1084" i="3"/>
  <c r="H1084" i="3"/>
  <c r="F1085" i="3"/>
  <c r="G1085" i="3"/>
  <c r="H1085" i="3"/>
  <c r="F1086" i="3"/>
  <c r="G1086" i="3"/>
  <c r="H1086" i="3"/>
  <c r="F1087" i="3"/>
  <c r="G1087" i="3"/>
  <c r="H1087" i="3"/>
  <c r="F1088" i="3"/>
  <c r="G1088" i="3"/>
  <c r="H1088" i="3"/>
  <c r="F1089" i="3"/>
  <c r="G1089" i="3"/>
  <c r="H1089" i="3"/>
  <c r="F1090" i="3"/>
  <c r="G1090" i="3"/>
  <c r="H1090" i="3"/>
  <c r="F1091" i="3"/>
  <c r="G1091" i="3"/>
  <c r="H1091" i="3"/>
  <c r="F1092" i="3"/>
  <c r="G1092" i="3"/>
  <c r="H1092" i="3"/>
  <c r="F1093" i="3"/>
  <c r="G1093" i="3"/>
  <c r="H1093" i="3"/>
  <c r="F1094" i="3"/>
  <c r="G1094" i="3"/>
  <c r="H1094" i="3"/>
  <c r="F1095" i="3"/>
  <c r="G1095" i="3"/>
  <c r="H1095" i="3"/>
  <c r="F1096" i="3"/>
  <c r="G1096" i="3"/>
  <c r="H1096" i="3"/>
  <c r="F1097" i="3"/>
  <c r="G1097" i="3"/>
  <c r="H1097" i="3"/>
  <c r="F1098" i="3"/>
  <c r="G1098" i="3"/>
  <c r="H1098" i="3"/>
  <c r="F1099" i="3"/>
  <c r="G1099" i="3"/>
  <c r="H1099" i="3"/>
  <c r="F1100" i="3"/>
  <c r="G1100" i="3"/>
  <c r="H1100" i="3"/>
  <c r="F1101" i="3"/>
  <c r="G1101" i="3"/>
  <c r="H1101" i="3"/>
  <c r="F1102" i="3"/>
  <c r="G1102" i="3"/>
  <c r="H1102" i="3"/>
  <c r="F1103" i="3"/>
  <c r="G1103" i="3"/>
  <c r="H1103" i="3"/>
  <c r="F1104" i="3"/>
  <c r="G1104" i="3"/>
  <c r="H1104" i="3"/>
  <c r="F1105" i="3"/>
  <c r="G1105" i="3"/>
  <c r="H1105" i="3"/>
  <c r="F1106" i="3"/>
  <c r="G1106" i="3"/>
  <c r="H1106" i="3"/>
  <c r="F1107" i="3"/>
  <c r="G1107" i="3"/>
  <c r="H1107" i="3"/>
  <c r="F1108" i="3"/>
  <c r="G1108" i="3"/>
  <c r="H1108" i="3"/>
  <c r="F1109" i="3"/>
  <c r="G1109" i="3"/>
  <c r="H1109" i="3"/>
  <c r="F1110" i="3"/>
  <c r="G1110" i="3"/>
  <c r="H1110" i="3"/>
  <c r="F1111" i="3"/>
  <c r="G1111" i="3"/>
  <c r="H1111" i="3"/>
  <c r="F1112" i="3"/>
  <c r="G1112" i="3"/>
  <c r="H1112" i="3"/>
  <c r="F1113" i="3"/>
  <c r="G1113" i="3"/>
  <c r="H1113" i="3"/>
  <c r="F1114" i="3"/>
  <c r="G1114" i="3"/>
  <c r="H1114" i="3"/>
  <c r="F1115" i="3"/>
  <c r="G1115" i="3"/>
  <c r="H1115" i="3"/>
  <c r="F1116" i="3"/>
  <c r="G1116" i="3"/>
  <c r="H1116" i="3"/>
  <c r="F1117" i="3"/>
  <c r="G1117" i="3"/>
  <c r="H1117" i="3"/>
  <c r="F1118" i="3"/>
  <c r="G1118" i="3"/>
  <c r="H1118" i="3"/>
  <c r="F1119" i="3"/>
  <c r="G1119" i="3"/>
  <c r="H1119" i="3"/>
  <c r="F1120" i="3"/>
  <c r="G1120" i="3"/>
  <c r="H1120" i="3"/>
  <c r="F1121" i="3"/>
  <c r="G1121" i="3"/>
  <c r="H1121" i="3"/>
  <c r="F1122" i="3"/>
  <c r="G1122" i="3"/>
  <c r="H1122" i="3"/>
  <c r="F1123" i="3"/>
  <c r="G1123" i="3"/>
  <c r="H1123" i="3"/>
  <c r="F1124" i="3"/>
  <c r="G1124" i="3"/>
  <c r="H1124" i="3"/>
  <c r="F1125" i="3"/>
  <c r="G1125" i="3"/>
  <c r="H1125" i="3"/>
  <c r="F1126" i="3"/>
  <c r="G1126" i="3"/>
  <c r="H1126" i="3"/>
  <c r="F1127" i="3"/>
  <c r="G1127" i="3"/>
  <c r="H1127" i="3"/>
  <c r="F1128" i="3"/>
  <c r="G1128" i="3"/>
  <c r="H1128" i="3"/>
  <c r="F1129" i="3"/>
  <c r="G1129" i="3"/>
  <c r="H1129" i="3"/>
  <c r="F1130" i="3"/>
  <c r="G1130" i="3"/>
  <c r="H1130" i="3"/>
  <c r="F1131" i="3"/>
  <c r="G1131" i="3"/>
  <c r="H1131" i="3"/>
  <c r="F1132" i="3"/>
  <c r="G1132" i="3"/>
  <c r="H1132" i="3"/>
  <c r="F1133" i="3"/>
  <c r="G1133" i="3"/>
  <c r="H1133" i="3"/>
  <c r="F1134" i="3"/>
  <c r="G1134" i="3"/>
  <c r="H1134" i="3"/>
  <c r="F1135" i="3"/>
  <c r="G1135" i="3"/>
  <c r="H1135" i="3"/>
  <c r="F1136" i="3"/>
  <c r="G1136" i="3"/>
  <c r="H1136" i="3"/>
  <c r="F1137" i="3"/>
  <c r="G1137" i="3"/>
  <c r="H1137" i="3"/>
  <c r="F1138" i="3"/>
  <c r="G1138" i="3"/>
  <c r="H1138" i="3"/>
  <c r="F1139" i="3"/>
  <c r="G1139" i="3"/>
  <c r="H1139" i="3"/>
  <c r="F1140" i="3"/>
  <c r="G1140" i="3"/>
  <c r="H1140" i="3"/>
  <c r="F1141" i="3"/>
  <c r="G1141" i="3"/>
  <c r="H1141" i="3"/>
  <c r="F1142" i="3"/>
  <c r="G1142" i="3"/>
  <c r="H1142" i="3"/>
  <c r="F1143" i="3"/>
  <c r="G1143" i="3"/>
  <c r="H1143" i="3"/>
  <c r="F1144" i="3"/>
  <c r="G1144" i="3"/>
  <c r="H1144" i="3"/>
  <c r="F1145" i="3"/>
  <c r="G1145" i="3"/>
  <c r="H1145" i="3"/>
  <c r="F1146" i="3"/>
  <c r="G1146" i="3"/>
  <c r="H1146" i="3"/>
  <c r="F1147" i="3"/>
  <c r="G1147" i="3"/>
  <c r="H1147" i="3"/>
  <c r="F1148" i="3"/>
  <c r="G1148" i="3"/>
  <c r="H1148" i="3"/>
  <c r="F1149" i="3"/>
  <c r="G1149" i="3"/>
  <c r="H1149" i="3"/>
  <c r="F1150" i="3"/>
  <c r="G1150" i="3"/>
  <c r="H1150" i="3"/>
  <c r="F1151" i="3"/>
  <c r="G1151" i="3"/>
  <c r="H1151" i="3"/>
  <c r="F1152" i="3"/>
  <c r="G1152" i="3"/>
  <c r="H1152" i="3"/>
  <c r="F1153" i="3"/>
  <c r="G1153" i="3"/>
  <c r="H1153" i="3"/>
  <c r="F1154" i="3"/>
  <c r="G1154" i="3"/>
  <c r="H1154" i="3"/>
  <c r="F1155" i="3"/>
  <c r="G1155" i="3"/>
  <c r="H1155" i="3"/>
  <c r="F1156" i="3"/>
  <c r="G1156" i="3"/>
  <c r="H1156" i="3"/>
  <c r="F1157" i="3"/>
  <c r="G1157" i="3"/>
  <c r="H1157" i="3"/>
  <c r="F1158" i="3"/>
  <c r="G1158" i="3"/>
  <c r="H1158" i="3"/>
  <c r="F1159" i="3"/>
  <c r="G1159" i="3"/>
  <c r="H1159" i="3"/>
  <c r="F1160" i="3"/>
  <c r="G1160" i="3"/>
  <c r="H1160" i="3"/>
  <c r="F1161" i="3"/>
  <c r="G1161" i="3"/>
  <c r="H1161" i="3"/>
  <c r="F1162" i="3"/>
  <c r="G1162" i="3"/>
  <c r="H1162" i="3"/>
  <c r="F1163" i="3"/>
  <c r="G1163" i="3"/>
  <c r="H1163" i="3"/>
  <c r="F1164" i="3"/>
  <c r="G1164" i="3"/>
  <c r="H1164" i="3"/>
  <c r="F1165" i="3"/>
  <c r="G1165" i="3"/>
  <c r="H1165" i="3"/>
  <c r="F1166" i="3"/>
  <c r="G1166" i="3"/>
  <c r="H1166" i="3"/>
  <c r="F1167" i="3"/>
  <c r="G1167" i="3"/>
  <c r="H1167" i="3"/>
  <c r="F1168" i="3"/>
  <c r="G1168" i="3"/>
  <c r="H1168" i="3"/>
  <c r="F1169" i="3"/>
  <c r="G1169" i="3"/>
  <c r="H1169" i="3"/>
  <c r="F1170" i="3"/>
  <c r="G1170" i="3"/>
  <c r="H1170" i="3"/>
  <c r="F1171" i="3"/>
  <c r="G1171" i="3"/>
  <c r="H1171" i="3"/>
  <c r="F1172" i="3"/>
  <c r="G1172" i="3"/>
  <c r="H1172" i="3"/>
  <c r="F1173" i="3"/>
  <c r="G1173" i="3"/>
  <c r="H1173" i="3"/>
  <c r="F1174" i="3"/>
  <c r="G1174" i="3"/>
  <c r="H1174" i="3"/>
  <c r="F1175" i="3"/>
  <c r="G1175" i="3"/>
  <c r="H1175" i="3"/>
  <c r="F1176" i="3"/>
  <c r="G1176" i="3"/>
  <c r="H1176" i="3"/>
  <c r="F1177" i="3"/>
  <c r="G1177" i="3"/>
  <c r="H1177" i="3"/>
  <c r="F1178" i="3"/>
  <c r="G1178" i="3"/>
  <c r="H1178" i="3"/>
  <c r="F1179" i="3"/>
  <c r="G1179" i="3"/>
  <c r="H1179" i="3"/>
  <c r="F1180" i="3"/>
  <c r="G1180" i="3"/>
  <c r="H1180" i="3"/>
  <c r="F1181" i="3"/>
  <c r="G1181" i="3"/>
  <c r="H1181" i="3"/>
  <c r="F1182" i="3"/>
  <c r="G1182" i="3"/>
  <c r="H1182" i="3"/>
  <c r="F1183" i="3"/>
  <c r="G1183" i="3"/>
  <c r="H1183" i="3"/>
  <c r="F1184" i="3"/>
  <c r="G1184" i="3"/>
  <c r="H1184" i="3"/>
  <c r="F1185" i="3"/>
  <c r="G1185" i="3"/>
  <c r="H1185" i="3"/>
  <c r="F1186" i="3"/>
  <c r="G1186" i="3"/>
  <c r="H1186" i="3"/>
  <c r="F1187" i="3"/>
  <c r="G1187" i="3"/>
  <c r="H1187" i="3"/>
  <c r="F1188" i="3"/>
  <c r="G1188" i="3"/>
  <c r="H1188" i="3"/>
  <c r="F1189" i="3"/>
  <c r="G1189" i="3"/>
  <c r="H1189" i="3"/>
  <c r="F1190" i="3"/>
  <c r="G1190" i="3"/>
  <c r="H1190" i="3"/>
  <c r="F1191" i="3"/>
  <c r="G1191" i="3"/>
  <c r="H1191" i="3"/>
  <c r="F1192" i="3"/>
  <c r="G1192" i="3"/>
  <c r="H1192" i="3"/>
  <c r="F1193" i="3"/>
  <c r="G1193" i="3"/>
  <c r="H1193" i="3"/>
  <c r="F1194" i="3"/>
  <c r="G1194" i="3"/>
  <c r="H1194" i="3"/>
  <c r="F1195" i="3"/>
  <c r="G1195" i="3"/>
  <c r="H1195" i="3"/>
  <c r="F1196" i="3"/>
  <c r="G1196" i="3"/>
  <c r="H1196" i="3"/>
  <c r="F1197" i="3"/>
  <c r="G1197" i="3"/>
  <c r="H1197" i="3"/>
  <c r="F1198" i="3"/>
  <c r="G1198" i="3"/>
  <c r="H1198" i="3"/>
  <c r="F1199" i="3"/>
  <c r="G1199" i="3"/>
  <c r="H1199" i="3"/>
  <c r="F1200" i="3"/>
  <c r="G1200" i="3"/>
  <c r="H1200" i="3"/>
  <c r="F1201" i="3"/>
  <c r="G1201" i="3"/>
  <c r="H1201" i="3"/>
  <c r="F1202" i="3"/>
  <c r="G1202" i="3"/>
  <c r="H1202" i="3"/>
  <c r="F1203" i="3"/>
  <c r="G1203" i="3"/>
  <c r="H1203" i="3"/>
  <c r="F1204" i="3"/>
  <c r="G1204" i="3"/>
  <c r="H1204" i="3"/>
  <c r="F1205" i="3"/>
  <c r="G1205" i="3"/>
  <c r="H1205" i="3"/>
  <c r="F1206" i="3"/>
  <c r="G1206" i="3"/>
  <c r="H1206" i="3"/>
  <c r="F1207" i="3"/>
  <c r="G1207" i="3"/>
  <c r="H1207" i="3"/>
  <c r="F1208" i="3"/>
  <c r="G1208" i="3"/>
  <c r="H1208" i="3"/>
  <c r="F1209" i="3"/>
  <c r="G1209" i="3"/>
  <c r="H1209" i="3"/>
  <c r="F1210" i="3"/>
  <c r="G1210" i="3"/>
  <c r="H1210" i="3"/>
  <c r="F1211" i="3"/>
  <c r="G1211" i="3"/>
  <c r="H1211" i="3"/>
  <c r="F1212" i="3"/>
  <c r="G1212" i="3"/>
  <c r="H1212" i="3"/>
  <c r="F1213" i="3"/>
  <c r="G1213" i="3"/>
  <c r="H1213" i="3"/>
  <c r="F1214" i="3"/>
  <c r="G1214" i="3"/>
  <c r="H1214" i="3"/>
  <c r="F1215" i="3"/>
  <c r="G1215" i="3"/>
  <c r="H1215" i="3"/>
  <c r="F1216" i="3"/>
  <c r="G1216" i="3"/>
  <c r="H1216" i="3"/>
  <c r="F1217" i="3"/>
  <c r="G1217" i="3"/>
  <c r="H1217" i="3"/>
  <c r="F1218" i="3"/>
  <c r="G1218" i="3"/>
  <c r="H1218" i="3"/>
  <c r="F1219" i="3"/>
  <c r="G1219" i="3"/>
  <c r="H1219" i="3"/>
  <c r="F1220" i="3"/>
  <c r="G1220" i="3"/>
  <c r="H1220" i="3"/>
  <c r="F1221" i="3"/>
  <c r="G1221" i="3"/>
  <c r="H1221" i="3"/>
  <c r="F1222" i="3"/>
  <c r="G1222" i="3"/>
  <c r="H1222" i="3"/>
  <c r="F1223" i="3"/>
  <c r="G1223" i="3"/>
  <c r="H1223" i="3"/>
  <c r="F1224" i="3"/>
  <c r="G1224" i="3"/>
  <c r="H1224" i="3"/>
  <c r="F1225" i="3"/>
  <c r="G1225" i="3"/>
  <c r="H1225" i="3"/>
  <c r="F1226" i="3"/>
  <c r="G1226" i="3"/>
  <c r="H1226" i="3"/>
  <c r="F1227" i="3"/>
  <c r="G1227" i="3"/>
  <c r="H1227" i="3"/>
  <c r="F1228" i="3"/>
  <c r="G1228" i="3"/>
  <c r="H1228" i="3"/>
  <c r="F1229" i="3"/>
  <c r="G1229" i="3"/>
  <c r="H1229" i="3"/>
  <c r="F1230" i="3"/>
  <c r="G1230" i="3"/>
  <c r="H1230" i="3"/>
  <c r="F1231" i="3"/>
  <c r="G1231" i="3"/>
  <c r="H1231" i="3"/>
  <c r="F1232" i="3"/>
  <c r="G1232" i="3"/>
  <c r="H1232" i="3"/>
  <c r="F1233" i="3"/>
  <c r="G1233" i="3"/>
  <c r="H1233" i="3"/>
  <c r="F1234" i="3"/>
  <c r="G1234" i="3"/>
  <c r="H1234" i="3"/>
  <c r="F1235" i="3"/>
  <c r="G1235" i="3"/>
  <c r="H1235" i="3"/>
  <c r="F1236" i="3"/>
  <c r="G1236" i="3"/>
  <c r="H1236" i="3"/>
  <c r="F1237" i="3"/>
  <c r="G1237" i="3"/>
  <c r="H1237" i="3"/>
  <c r="F1238" i="3"/>
  <c r="G1238" i="3"/>
  <c r="H1238" i="3"/>
  <c r="F1239" i="3"/>
  <c r="G1239" i="3"/>
  <c r="H1239" i="3"/>
  <c r="F1240" i="3"/>
  <c r="G1240" i="3"/>
  <c r="H1240" i="3"/>
  <c r="F1241" i="3"/>
  <c r="G1241" i="3"/>
  <c r="H1241" i="3"/>
  <c r="F1242" i="3"/>
  <c r="G1242" i="3"/>
  <c r="H1242" i="3"/>
  <c r="F1243" i="3"/>
  <c r="G1243" i="3"/>
  <c r="H1243" i="3"/>
  <c r="F1244" i="3"/>
  <c r="G1244" i="3"/>
  <c r="H1244" i="3"/>
  <c r="F1245" i="3"/>
  <c r="G1245" i="3"/>
  <c r="H1245" i="3"/>
  <c r="F1246" i="3"/>
  <c r="G1246" i="3"/>
  <c r="H1246" i="3"/>
  <c r="F1247" i="3"/>
  <c r="G1247" i="3"/>
  <c r="H1247" i="3"/>
  <c r="F1248" i="3"/>
  <c r="G1248" i="3"/>
  <c r="H1248" i="3"/>
  <c r="F1249" i="3"/>
  <c r="G1249" i="3"/>
  <c r="H1249" i="3"/>
  <c r="F1250" i="3"/>
  <c r="G1250" i="3"/>
  <c r="H1250" i="3"/>
  <c r="F1251" i="3"/>
  <c r="G1251" i="3"/>
  <c r="H1251" i="3"/>
  <c r="F1252" i="3"/>
  <c r="G1252" i="3"/>
  <c r="H1252" i="3"/>
  <c r="F1253" i="3"/>
  <c r="G1253" i="3"/>
  <c r="H1253" i="3"/>
  <c r="H3" i="3"/>
  <c r="G3" i="3"/>
  <c r="F3" i="3"/>
  <c r="DI195" i="1"/>
  <c r="CA187" i="1"/>
  <c r="CB187" i="1"/>
  <c r="CA188" i="1"/>
  <c r="AX177" i="1"/>
  <c r="DH177" i="1" s="1"/>
  <c r="AX176" i="1"/>
  <c r="DH176" i="1" s="1"/>
  <c r="AX175" i="1"/>
  <c r="AX173" i="1"/>
  <c r="AX172" i="1"/>
  <c r="DH172" i="1" s="1"/>
  <c r="AX171" i="1"/>
  <c r="DH171" i="1" s="1"/>
  <c r="AX170" i="1"/>
  <c r="DH170" i="1" s="1"/>
  <c r="AX169" i="1"/>
  <c r="DH169" i="1" s="1"/>
  <c r="AX167" i="1"/>
  <c r="DH167" i="1" s="1"/>
  <c r="AX166" i="1"/>
  <c r="AX165" i="1"/>
  <c r="DH165" i="1" s="1"/>
  <c r="AW177" i="1"/>
  <c r="DF177" i="1" s="1"/>
  <c r="AW176" i="1"/>
  <c r="DF176" i="1" s="1"/>
  <c r="AW175" i="1"/>
  <c r="DF175" i="1" s="1"/>
  <c r="AW173" i="1"/>
  <c r="DF173" i="1" s="1"/>
  <c r="AW172" i="1"/>
  <c r="DF172" i="1" s="1"/>
  <c r="AW171" i="1"/>
  <c r="DF171" i="1" s="1"/>
  <c r="AW170" i="1"/>
  <c r="DF170" i="1" s="1"/>
  <c r="AW169" i="1"/>
  <c r="DF169" i="1" s="1"/>
  <c r="AW167" i="1"/>
  <c r="DF167" i="1" s="1"/>
  <c r="AW166" i="1"/>
  <c r="DF166" i="1" s="1"/>
  <c r="AW165" i="1"/>
  <c r="DF165" i="1" s="1"/>
  <c r="AX192" i="1"/>
  <c r="DH192" i="1" s="1"/>
  <c r="AX201" i="1"/>
  <c r="DH201" i="1" s="1"/>
  <c r="AX199" i="1"/>
  <c r="DH199" i="1" s="1"/>
  <c r="AX197" i="1"/>
  <c r="DH197" i="1" s="1"/>
  <c r="AX195" i="1"/>
  <c r="AX193" i="1"/>
  <c r="DH193" i="1" s="1"/>
  <c r="AX202" i="1"/>
  <c r="AX191" i="1"/>
  <c r="DH191" i="1" s="1"/>
  <c r="AX198" i="1"/>
  <c r="DH198" i="1" s="1"/>
  <c r="AX196" i="1"/>
  <c r="DH196" i="1" s="1"/>
  <c r="AX203" i="1"/>
  <c r="DH203" i="1" s="1"/>
  <c r="AW203" i="1"/>
  <c r="DF203" i="1" s="1"/>
  <c r="AW192" i="1"/>
  <c r="AW201" i="1"/>
  <c r="AW199" i="1"/>
  <c r="AW197" i="1"/>
  <c r="DF197" i="1" s="1"/>
  <c r="AW195" i="1"/>
  <c r="DF195" i="1" s="1"/>
  <c r="AW193" i="1"/>
  <c r="DF193" i="1" s="1"/>
  <c r="AW202" i="1"/>
  <c r="DF202" i="1" s="1"/>
  <c r="AW191" i="1"/>
  <c r="DF191" i="1" s="1"/>
  <c r="AW198" i="1"/>
  <c r="DF198" i="1" s="1"/>
  <c r="AW196" i="1"/>
  <c r="CB207" i="1"/>
  <c r="CA207" i="1"/>
  <c r="DF206" i="1"/>
  <c r="DH206" i="1"/>
  <c r="AM8" i="4"/>
  <c r="O8" i="4"/>
  <c r="DI180" i="1"/>
  <c r="DH180" i="1"/>
  <c r="DG180" i="1"/>
  <c r="DF180" i="1"/>
  <c r="DI161" i="1"/>
  <c r="DG161" i="1"/>
  <c r="CB181" i="1"/>
  <c r="CA181" i="1"/>
  <c r="CB180" i="1"/>
  <c r="CA180" i="1"/>
  <c r="CB179" i="1"/>
  <c r="CA179" i="1"/>
  <c r="CB178" i="1"/>
  <c r="CA178" i="1"/>
  <c r="CB164" i="1"/>
  <c r="CA164" i="1"/>
  <c r="CA163" i="1"/>
  <c r="CB162" i="1"/>
  <c r="CA162" i="1"/>
  <c r="CB161" i="1"/>
  <c r="CA161" i="1"/>
  <c r="CB163" i="1"/>
  <c r="AU3" i="4"/>
  <c r="AM4" i="4"/>
  <c r="AM3" i="4"/>
  <c r="AE4" i="4"/>
  <c r="AE3" i="4"/>
  <c r="E181" i="1"/>
  <c r="N178" i="1"/>
  <c r="W4" i="4"/>
  <c r="W3" i="4"/>
  <c r="O4" i="4"/>
  <c r="AW162" i="1"/>
  <c r="DF162" i="1" s="1"/>
  <c r="AW179" i="1"/>
  <c r="DF179" i="1" s="1"/>
  <c r="AW164" i="1"/>
  <c r="AW161" i="1"/>
  <c r="AW178" i="1"/>
  <c r="DF178" i="1" s="1"/>
  <c r="AW163" i="1"/>
  <c r="AX178" i="1"/>
  <c r="DH178" i="1" s="1"/>
  <c r="AX162" i="1"/>
  <c r="DH162" i="1" s="1"/>
  <c r="AX179" i="1"/>
  <c r="DH179" i="1" s="1"/>
  <c r="AX164" i="1"/>
  <c r="AX163" i="1"/>
  <c r="AX161" i="1"/>
  <c r="DH161" i="1" s="1"/>
  <c r="BZ176" i="1"/>
  <c r="BZ171" i="1"/>
  <c r="BZ173" i="1"/>
  <c r="BZ175" i="1"/>
  <c r="BZ167" i="1"/>
  <c r="BZ170" i="1"/>
  <c r="BZ177" i="1"/>
  <c r="BL162" i="1"/>
  <c r="BM176" i="1"/>
  <c r="DI176" i="1" s="1"/>
  <c r="BM171" i="1"/>
  <c r="DI171" i="1" s="1"/>
  <c r="BM166" i="1"/>
  <c r="DI166" i="1" s="1"/>
  <c r="BM178" i="1"/>
  <c r="DI178" i="1" s="1"/>
  <c r="BM173" i="1"/>
  <c r="DI173" i="1" s="1"/>
  <c r="DI163" i="1"/>
  <c r="BM175" i="1"/>
  <c r="DI175" i="1" s="1"/>
  <c r="BM170" i="1"/>
  <c r="DI170" i="1" s="1"/>
  <c r="BM165" i="1"/>
  <c r="BM177" i="1"/>
  <c r="BM172" i="1"/>
  <c r="DI172" i="1" s="1"/>
  <c r="BM167" i="1"/>
  <c r="BM162" i="1"/>
  <c r="BM169" i="1"/>
  <c r="DI169" i="1" s="1"/>
  <c r="BM179" i="1"/>
  <c r="DI179" i="1" s="1"/>
  <c r="BM164" i="1"/>
  <c r="BL176" i="1"/>
  <c r="BL171" i="1"/>
  <c r="DG171" i="1" s="1"/>
  <c r="BL166" i="1"/>
  <c r="BL178" i="1"/>
  <c r="DG178" i="1" s="1"/>
  <c r="BL173" i="1"/>
  <c r="DG163" i="1"/>
  <c r="BL175" i="1"/>
  <c r="DG175" i="1" s="1"/>
  <c r="BL170" i="1"/>
  <c r="BL165" i="1"/>
  <c r="BL177" i="1"/>
  <c r="BL172" i="1"/>
  <c r="DG172" i="1" s="1"/>
  <c r="BL167" i="1"/>
  <c r="DG167" i="1" s="1"/>
  <c r="BL169" i="1"/>
  <c r="DG169" i="1" s="1"/>
  <c r="BL179" i="1"/>
  <c r="BL164" i="1"/>
  <c r="DG164" i="1" s="1"/>
  <c r="AF40" i="4"/>
  <c r="G3" i="4"/>
  <c r="G4" i="4"/>
  <c r="AM40" i="4"/>
  <c r="G10" i="10"/>
  <c r="G16" i="10" s="1"/>
  <c r="F10" i="10"/>
  <c r="F17" i="10" s="1"/>
  <c r="G18" i="10"/>
  <c r="G13" i="10"/>
  <c r="G14" i="10"/>
  <c r="G15" i="10"/>
  <c r="G17" i="10"/>
  <c r="AN37" i="1" l="1"/>
  <c r="AM203" i="1"/>
  <c r="AK202" i="1"/>
  <c r="AK201" i="1"/>
  <c r="AL202" i="1"/>
  <c r="AL201" i="1"/>
  <c r="AK203" i="1"/>
  <c r="AM202" i="1"/>
  <c r="AM201" i="1"/>
  <c r="AL203" i="1"/>
  <c r="AN40" i="1"/>
  <c r="AN39" i="1"/>
  <c r="CS34" i="8"/>
  <c r="CS18" i="8"/>
  <c r="CS28" i="8"/>
  <c r="AA158" i="8"/>
  <c r="CY28" i="8"/>
  <c r="CY22" i="8"/>
  <c r="CY18" i="8"/>
  <c r="CY5" i="8"/>
  <c r="CY30" i="8"/>
  <c r="CY37" i="8"/>
  <c r="CY10" i="8"/>
  <c r="CY33" i="8"/>
  <c r="CY14" i="8"/>
  <c r="CY9" i="8"/>
  <c r="CY35" i="8"/>
  <c r="CY21" i="8"/>
  <c r="CY29" i="8"/>
  <c r="CY34" i="8"/>
  <c r="CY17" i="8"/>
  <c r="CY24" i="8"/>
  <c r="CY16" i="8"/>
  <c r="CY31" i="8"/>
  <c r="CY19" i="8"/>
  <c r="CY38" i="8"/>
  <c r="CY15" i="8"/>
  <c r="CY26" i="8"/>
  <c r="CY6" i="8"/>
  <c r="CY27" i="8"/>
  <c r="CY13" i="8"/>
  <c r="CY23" i="8"/>
  <c r="CY4" i="8"/>
  <c r="AA118" i="8"/>
  <c r="CY25" i="8"/>
  <c r="CY7" i="8"/>
  <c r="CY12" i="8"/>
  <c r="CY11" i="8"/>
  <c r="CY20" i="8"/>
  <c r="CT20" i="8"/>
  <c r="CT16" i="8"/>
  <c r="CT9" i="8"/>
  <c r="CT7" i="8"/>
  <c r="CT26" i="8"/>
  <c r="CT21" i="8"/>
  <c r="CT22" i="8"/>
  <c r="CT14" i="8"/>
  <c r="CT28" i="8"/>
  <c r="CT34" i="8"/>
  <c r="CT29" i="8"/>
  <c r="CT37" i="8"/>
  <c r="CT15" i="8"/>
  <c r="CT4" i="8"/>
  <c r="CT19" i="8"/>
  <c r="CT31" i="8"/>
  <c r="CT6" i="8"/>
  <c r="CT36" i="8"/>
  <c r="V158" i="8"/>
  <c r="CT5" i="8"/>
  <c r="CT35" i="8"/>
  <c r="CT23" i="8"/>
  <c r="CT10" i="8"/>
  <c r="CT17" i="8"/>
  <c r="CT27" i="8"/>
  <c r="CT24" i="8"/>
  <c r="CT8" i="8"/>
  <c r="CT33" i="8"/>
  <c r="CT30" i="8"/>
  <c r="CT12" i="8"/>
  <c r="CT32" i="8"/>
  <c r="CT13" i="8"/>
  <c r="CT11" i="8"/>
  <c r="V118" i="8"/>
  <c r="AM94" i="8"/>
  <c r="AM134" i="8"/>
  <c r="BA14" i="8"/>
  <c r="AR14" i="8"/>
  <c r="BI14" i="8"/>
  <c r="BN14" i="8"/>
  <c r="BL14" i="8"/>
  <c r="AT14" i="8"/>
  <c r="BE14" i="8"/>
  <c r="AY14" i="8"/>
  <c r="BF14" i="8"/>
  <c r="BW14" i="8"/>
  <c r="BT14" i="8"/>
  <c r="BG14" i="8"/>
  <c r="BR14" i="8"/>
  <c r="AZ14" i="8"/>
  <c r="BC14" i="8"/>
  <c r="BO14" i="8"/>
  <c r="BS14" i="8"/>
  <c r="BB14" i="8"/>
  <c r="BJ14" i="8"/>
  <c r="BQ14" i="8"/>
  <c r="AX14" i="8"/>
  <c r="BD14" i="8"/>
  <c r="AW14" i="8"/>
  <c r="AU14" i="8"/>
  <c r="BK14" i="8"/>
  <c r="AQ14" i="8"/>
  <c r="BH14" i="8"/>
  <c r="AS14" i="8"/>
  <c r="BM14" i="8"/>
  <c r="BY14" i="8"/>
  <c r="BP14" i="8"/>
  <c r="F18" i="10"/>
  <c r="F15" i="10"/>
  <c r="F14" i="10"/>
  <c r="F13" i="10"/>
  <c r="F19" i="10"/>
  <c r="CY8" i="8"/>
  <c r="CS33" i="8"/>
  <c r="CS24" i="8"/>
  <c r="CS20" i="8"/>
  <c r="CS11" i="8"/>
  <c r="U158" i="8"/>
  <c r="U118" i="8"/>
  <c r="CS37" i="8"/>
  <c r="CS23" i="8"/>
  <c r="CS26" i="8"/>
  <c r="CS5" i="8"/>
  <c r="CS35" i="8"/>
  <c r="CS17" i="8"/>
  <c r="CS4" i="8"/>
  <c r="CS29" i="8"/>
  <c r="CS30" i="8"/>
  <c r="CS15" i="8"/>
  <c r="CS25" i="8"/>
  <c r="CS21" i="8"/>
  <c r="CS6" i="8"/>
  <c r="CS36" i="8"/>
  <c r="CS16" i="8"/>
  <c r="CS8" i="8"/>
  <c r="CS32" i="8"/>
  <c r="CS13" i="8"/>
  <c r="CS10" i="8"/>
  <c r="CS38" i="8"/>
  <c r="CS9" i="8"/>
  <c r="CS31" i="8"/>
  <c r="CS12" i="8"/>
  <c r="CS22" i="8"/>
  <c r="CS7" i="8"/>
  <c r="CU13" i="8"/>
  <c r="CU18" i="8"/>
  <c r="CU14" i="8"/>
  <c r="CU4" i="8"/>
  <c r="CU37" i="8"/>
  <c r="CU8" i="8"/>
  <c r="CU11" i="8"/>
  <c r="CU9" i="8"/>
  <c r="CU32" i="8"/>
  <c r="W158" i="8"/>
  <c r="CU5" i="8"/>
  <c r="CU36" i="8"/>
  <c r="CU30" i="8"/>
  <c r="CU35" i="8"/>
  <c r="CU33" i="8"/>
  <c r="CU7" i="8"/>
  <c r="CU38" i="8"/>
  <c r="CU23" i="8"/>
  <c r="CU24" i="8"/>
  <c r="CU27" i="8"/>
  <c r="CU26" i="8"/>
  <c r="CU21" i="8"/>
  <c r="CU29" i="8"/>
  <c r="CU19" i="8"/>
  <c r="CU20" i="8"/>
  <c r="CU28" i="8"/>
  <c r="CU12" i="8"/>
  <c r="CU15" i="8"/>
  <c r="CU34" i="8"/>
  <c r="CU31" i="8"/>
  <c r="W118" i="8"/>
  <c r="CU16" i="8"/>
  <c r="CU17" i="8"/>
  <c r="CU10" i="8"/>
  <c r="CU22" i="8"/>
  <c r="CU6" i="8"/>
  <c r="F16" i="10"/>
  <c r="CY32" i="8"/>
  <c r="CW30" i="8"/>
  <c r="CW32" i="8"/>
  <c r="CW8" i="8"/>
  <c r="Y158" i="8"/>
  <c r="CW35" i="8"/>
  <c r="CW28" i="8"/>
  <c r="CW14" i="8"/>
  <c r="CW18" i="8"/>
  <c r="CW29" i="8"/>
  <c r="CW25" i="8"/>
  <c r="CW4" i="8"/>
  <c r="Y118" i="8"/>
  <c r="CW34" i="8"/>
  <c r="CW26" i="8"/>
  <c r="CW9" i="8"/>
  <c r="AG87" i="8"/>
  <c r="AG127" i="8"/>
  <c r="AG38" i="8"/>
  <c r="W114" i="8"/>
  <c r="W154" i="8"/>
  <c r="BI24" i="8"/>
  <c r="AZ24" i="8"/>
  <c r="BO24" i="8"/>
  <c r="AT24" i="8"/>
  <c r="BW24" i="8"/>
  <c r="BP24" i="8"/>
  <c r="BJ24" i="8"/>
  <c r="BV24" i="8"/>
  <c r="BS24" i="8"/>
  <c r="AR24" i="8"/>
  <c r="BF24" i="8"/>
  <c r="BQ24" i="8"/>
  <c r="BH24" i="8"/>
  <c r="AV24" i="8"/>
  <c r="BB24" i="8"/>
  <c r="AM144" i="8"/>
  <c r="BA24" i="8"/>
  <c r="BK24" i="8"/>
  <c r="AM104" i="8"/>
  <c r="BU24" i="8"/>
  <c r="BC24" i="8"/>
  <c r="BR24" i="8"/>
  <c r="AY24" i="8"/>
  <c r="AW24" i="8"/>
  <c r="AX24" i="8"/>
  <c r="AU24" i="8"/>
  <c r="AS24" i="8"/>
  <c r="E124" i="8"/>
  <c r="E84" i="8"/>
  <c r="AM4" i="8"/>
  <c r="E38" i="8"/>
  <c r="AD92" i="8"/>
  <c r="AD132" i="8"/>
  <c r="Z98" i="8"/>
  <c r="Z138" i="8"/>
  <c r="AC85" i="8"/>
  <c r="AC125" i="8"/>
  <c r="Y131" i="8"/>
  <c r="Y91" i="8"/>
  <c r="AM11" i="8"/>
  <c r="U137" i="8"/>
  <c r="U97" i="8"/>
  <c r="AM17" i="8"/>
  <c r="I118" i="8"/>
  <c r="CG32" i="8"/>
  <c r="CG22" i="8"/>
  <c r="CG16" i="8"/>
  <c r="CG4" i="8"/>
  <c r="CG30" i="8"/>
  <c r="CG23" i="8"/>
  <c r="CG21" i="8"/>
  <c r="CG31" i="8"/>
  <c r="CG33" i="8"/>
  <c r="CG14" i="8"/>
  <c r="CG36" i="8"/>
  <c r="CG29" i="8"/>
  <c r="CG5" i="8"/>
  <c r="CG35" i="8"/>
  <c r="CG8" i="8"/>
  <c r="CG9" i="8"/>
  <c r="CG38" i="8"/>
  <c r="CG15" i="8"/>
  <c r="CG12" i="8"/>
  <c r="CG34" i="8"/>
  <c r="CG27" i="8"/>
  <c r="CG11" i="8"/>
  <c r="CG7" i="8"/>
  <c r="CG28" i="8"/>
  <c r="AQ24" i="8"/>
  <c r="I158" i="8"/>
  <c r="DI10" i="8"/>
  <c r="DI6" i="8"/>
  <c r="DI27" i="8"/>
  <c r="DI4" i="8"/>
  <c r="DI35" i="8"/>
  <c r="AK118" i="8"/>
  <c r="DI7" i="8"/>
  <c r="DI12" i="8"/>
  <c r="DI18" i="8"/>
  <c r="DI16" i="8"/>
  <c r="DI26" i="8"/>
  <c r="AK158" i="8"/>
  <c r="DI33" i="8"/>
  <c r="DI11" i="8"/>
  <c r="DI9" i="8"/>
  <c r="DI23" i="8"/>
  <c r="DI19" i="8"/>
  <c r="DI29" i="8"/>
  <c r="DI13" i="8"/>
  <c r="DI5" i="8"/>
  <c r="DI32" i="8"/>
  <c r="DI17" i="8"/>
  <c r="DI20" i="8"/>
  <c r="DI14" i="8"/>
  <c r="DI21" i="8"/>
  <c r="DI24" i="8"/>
  <c r="DI36" i="8"/>
  <c r="DI28" i="8"/>
  <c r="DI15" i="8"/>
  <c r="DI31" i="8"/>
  <c r="DI8" i="8"/>
  <c r="DI25" i="8"/>
  <c r="CW5" i="8"/>
  <c r="CW24" i="8"/>
  <c r="CG19" i="8"/>
  <c r="CG37" i="8"/>
  <c r="BL24" i="8"/>
  <c r="CW12" i="8"/>
  <c r="CW33" i="8"/>
  <c r="CG6" i="8"/>
  <c r="BM24" i="8"/>
  <c r="DI22" i="8"/>
  <c r="G19" i="10"/>
  <c r="CW22" i="8"/>
  <c r="CW15" i="8"/>
  <c r="CG10" i="8"/>
  <c r="BN24" i="8"/>
  <c r="CZ10" i="8"/>
  <c r="CZ33" i="8"/>
  <c r="CZ4" i="8"/>
  <c r="CZ15" i="8"/>
  <c r="CZ21" i="8"/>
  <c r="CZ24" i="8"/>
  <c r="CZ32" i="8"/>
  <c r="CZ19" i="8"/>
  <c r="CZ7" i="8"/>
  <c r="AB118" i="8"/>
  <c r="CZ29" i="8"/>
  <c r="CZ22" i="8"/>
  <c r="CZ9" i="8"/>
  <c r="CZ26" i="8"/>
  <c r="CZ5" i="8"/>
  <c r="CZ37" i="8"/>
  <c r="CZ34" i="8"/>
  <c r="CZ14" i="8"/>
  <c r="CZ31" i="8"/>
  <c r="CZ8" i="8"/>
  <c r="CZ13" i="8"/>
  <c r="CZ6" i="8"/>
  <c r="CZ16" i="8"/>
  <c r="CZ38" i="8"/>
  <c r="CZ20" i="8"/>
  <c r="CZ27" i="8"/>
  <c r="CZ12" i="8"/>
  <c r="CZ17" i="8"/>
  <c r="CZ35" i="8"/>
  <c r="CZ30" i="8"/>
  <c r="AM25" i="8"/>
  <c r="O134" i="8"/>
  <c r="O94" i="8"/>
  <c r="AJ86" i="8"/>
  <c r="AJ126" i="8"/>
  <c r="AF92" i="8"/>
  <c r="AF132" i="8"/>
  <c r="AB98" i="8"/>
  <c r="AB138" i="8"/>
  <c r="X144" i="8"/>
  <c r="X104" i="8"/>
  <c r="T110" i="8"/>
  <c r="T150" i="8"/>
  <c r="AC88" i="8"/>
  <c r="AC128" i="8"/>
  <c r="U140" i="8"/>
  <c r="U100" i="8"/>
  <c r="Q106" i="8"/>
  <c r="Q146" i="8"/>
  <c r="M112" i="8"/>
  <c r="M152" i="8"/>
  <c r="P89" i="8"/>
  <c r="P129" i="8"/>
  <c r="L95" i="8"/>
  <c r="L135" i="8"/>
  <c r="H101" i="8"/>
  <c r="H141" i="8"/>
  <c r="AA124" i="8"/>
  <c r="AA84" i="8"/>
  <c r="W130" i="8"/>
  <c r="W90" i="8"/>
  <c r="S136" i="8"/>
  <c r="S96" i="8"/>
  <c r="AF124" i="8"/>
  <c r="AF84" i="8"/>
  <c r="AF38" i="8"/>
  <c r="AB130" i="8"/>
  <c r="AB90" i="8"/>
  <c r="X96" i="8"/>
  <c r="X136" i="8"/>
  <c r="T102" i="8"/>
  <c r="T142" i="8"/>
  <c r="P108" i="8"/>
  <c r="AM28" i="8"/>
  <c r="E126" i="8"/>
  <c r="AM6" i="8"/>
  <c r="AI91" i="8"/>
  <c r="AI131" i="8"/>
  <c r="AE97" i="8"/>
  <c r="AE137" i="8"/>
  <c r="W109" i="8"/>
  <c r="W149" i="8"/>
  <c r="S115" i="8"/>
  <c r="S155" i="8"/>
  <c r="AM35" i="8"/>
  <c r="L87" i="8"/>
  <c r="L127" i="8"/>
  <c r="L38" i="8"/>
  <c r="H133" i="8"/>
  <c r="H93" i="8"/>
  <c r="AL98" i="8"/>
  <c r="AL138" i="8"/>
  <c r="AH144" i="8"/>
  <c r="AH104" i="8"/>
  <c r="AD150" i="8"/>
  <c r="AD110" i="8"/>
  <c r="Z116" i="8"/>
  <c r="Z156" i="8"/>
  <c r="S88" i="8"/>
  <c r="S128" i="8"/>
  <c r="AI94" i="8"/>
  <c r="AI134" i="8"/>
  <c r="AE100" i="8"/>
  <c r="AE140" i="8"/>
  <c r="AA106" i="8"/>
  <c r="AA146" i="8"/>
  <c r="P38" i="8"/>
  <c r="P84" i="8"/>
  <c r="L130" i="8"/>
  <c r="L90" i="8"/>
  <c r="AH107" i="8"/>
  <c r="AH147" i="8"/>
  <c r="AD113" i="8"/>
  <c r="AD153" i="8"/>
  <c r="W85" i="8"/>
  <c r="W125" i="8"/>
  <c r="S91" i="8"/>
  <c r="S131" i="8"/>
  <c r="O97" i="8"/>
  <c r="O137" i="8"/>
  <c r="K103" i="8"/>
  <c r="K143" i="8"/>
  <c r="G109" i="8"/>
  <c r="G149" i="8"/>
  <c r="AD126" i="8"/>
  <c r="AD86" i="8"/>
  <c r="Z132" i="8"/>
  <c r="Z92" i="8"/>
  <c r="V138" i="8"/>
  <c r="V98" i="8"/>
  <c r="R104" i="8"/>
  <c r="R144" i="8"/>
  <c r="N110" i="8"/>
  <c r="N150" i="8"/>
  <c r="AI142" i="8"/>
  <c r="AI102" i="8"/>
  <c r="AA154" i="8"/>
  <c r="AA114" i="8"/>
  <c r="T126" i="8"/>
  <c r="T86" i="8"/>
  <c r="P92" i="8"/>
  <c r="P132" i="8"/>
  <c r="L98" i="8"/>
  <c r="L138" i="8"/>
  <c r="H144" i="8"/>
  <c r="H104" i="8"/>
  <c r="AL109" i="8"/>
  <c r="AL149" i="8"/>
  <c r="AH115" i="8"/>
  <c r="AH155" i="8"/>
  <c r="AA87" i="8"/>
  <c r="AA127" i="8"/>
  <c r="W93" i="8"/>
  <c r="W133" i="8"/>
  <c r="K111" i="8"/>
  <c r="AM31" i="8"/>
  <c r="K151" i="8"/>
  <c r="G117" i="8"/>
  <c r="G157" i="8"/>
  <c r="AH88" i="8"/>
  <c r="AH38" i="8"/>
  <c r="AD94" i="8"/>
  <c r="AD134" i="8"/>
  <c r="Z100" i="8"/>
  <c r="Z140" i="8"/>
  <c r="V106" i="8"/>
  <c r="V146" i="8"/>
  <c r="K124" i="8"/>
  <c r="K84" i="8"/>
  <c r="K38" i="8"/>
  <c r="G90" i="8"/>
  <c r="G130" i="8"/>
  <c r="AK95" i="8"/>
  <c r="AK135" i="8"/>
  <c r="AG101" i="8"/>
  <c r="AG141" i="8"/>
  <c r="AC107" i="8"/>
  <c r="AC147" i="8"/>
  <c r="Y113" i="8"/>
  <c r="Y153" i="8"/>
  <c r="R125" i="8"/>
  <c r="R38" i="8"/>
  <c r="N91" i="8"/>
  <c r="N131" i="8"/>
  <c r="J97" i="8"/>
  <c r="J137" i="8"/>
  <c r="F103" i="8"/>
  <c r="AM23" i="8"/>
  <c r="F143" i="8"/>
  <c r="AJ108" i="8"/>
  <c r="AJ148" i="8"/>
  <c r="AF114" i="8"/>
  <c r="AF154" i="8"/>
  <c r="Y126" i="8"/>
  <c r="Y86" i="8"/>
  <c r="U132" i="8"/>
  <c r="U92" i="8"/>
  <c r="M144" i="8"/>
  <c r="M104" i="8"/>
  <c r="I110" i="8"/>
  <c r="I150" i="8"/>
  <c r="E156" i="8"/>
  <c r="AM36" i="8"/>
  <c r="E116" i="8"/>
  <c r="AF87" i="8"/>
  <c r="AF127" i="8"/>
  <c r="AB93" i="8"/>
  <c r="AB133" i="8"/>
  <c r="X139" i="8"/>
  <c r="X99" i="8"/>
  <c r="P151" i="8"/>
  <c r="P111" i="8"/>
  <c r="L117" i="8"/>
  <c r="L157" i="8"/>
  <c r="AM8" i="8"/>
  <c r="P156" i="8"/>
  <c r="W112" i="8"/>
  <c r="AM27" i="8"/>
  <c r="Y134" i="8"/>
  <c r="AM32" i="8"/>
  <c r="AM22" i="8"/>
  <c r="O38" i="8"/>
  <c r="L154" i="8"/>
  <c r="AL101" i="8"/>
  <c r="Y114" i="8"/>
  <c r="Y127" i="8"/>
  <c r="K100" i="8"/>
  <c r="AC133" i="8"/>
  <c r="AC93" i="8"/>
  <c r="U105" i="8"/>
  <c r="U145" i="8"/>
  <c r="AM9" i="8"/>
  <c r="F129" i="8"/>
  <c r="AJ94" i="8"/>
  <c r="AJ134" i="8"/>
  <c r="AF140" i="8"/>
  <c r="AF100" i="8"/>
  <c r="AB106" i="8"/>
  <c r="AB146" i="8"/>
  <c r="X112" i="8"/>
  <c r="X152" i="8"/>
  <c r="Q84" i="8"/>
  <c r="Q38" i="8"/>
  <c r="M90" i="8"/>
  <c r="M130" i="8"/>
  <c r="E142" i="8"/>
  <c r="E102" i="8"/>
  <c r="AI147" i="8"/>
  <c r="AI107" i="8"/>
  <c r="AE153" i="8"/>
  <c r="AE113" i="8"/>
  <c r="T131" i="8"/>
  <c r="T91" i="8"/>
  <c r="AA92" i="8"/>
  <c r="AA132" i="8"/>
  <c r="S104" i="8"/>
  <c r="S144" i="8"/>
  <c r="O150" i="8"/>
  <c r="O110" i="8"/>
  <c r="K116" i="8"/>
  <c r="K156" i="8"/>
  <c r="AH93" i="8"/>
  <c r="AH133" i="8"/>
  <c r="AD99" i="8"/>
  <c r="AD139" i="8"/>
  <c r="Z105" i="8"/>
  <c r="Z145" i="8"/>
  <c r="K112" i="8"/>
  <c r="Z101" i="8"/>
  <c r="N129" i="8"/>
  <c r="T143" i="8"/>
  <c r="N135" i="8"/>
  <c r="U112" i="8"/>
  <c r="E151" i="8"/>
  <c r="G96" i="8"/>
  <c r="G136" i="8"/>
  <c r="AK101" i="8"/>
  <c r="AK141" i="8"/>
  <c r="AG107" i="8"/>
  <c r="AG147" i="8"/>
  <c r="AC113" i="8"/>
  <c r="AC153" i="8"/>
  <c r="V125" i="8"/>
  <c r="V85" i="8"/>
  <c r="AJ114" i="8"/>
  <c r="AJ154" i="8"/>
  <c r="Y92" i="8"/>
  <c r="Y132" i="8"/>
  <c r="U138" i="8"/>
  <c r="U98" i="8"/>
  <c r="M150" i="8"/>
  <c r="M110" i="8"/>
  <c r="X105" i="8"/>
  <c r="X145" i="8"/>
  <c r="T151" i="8"/>
  <c r="T111" i="8"/>
  <c r="J132" i="8"/>
  <c r="J92" i="8"/>
  <c r="AB155" i="8"/>
  <c r="AB115" i="8"/>
  <c r="H95" i="8"/>
  <c r="H135" i="8"/>
  <c r="AL140" i="8"/>
  <c r="AL100" i="8"/>
  <c r="AH106" i="8"/>
  <c r="AH146" i="8"/>
  <c r="G128" i="8"/>
  <c r="G88" i="8"/>
  <c r="G38" i="8"/>
  <c r="AI116" i="8"/>
  <c r="AI156" i="8"/>
  <c r="F101" i="8"/>
  <c r="F141" i="8"/>
  <c r="AJ106" i="8"/>
  <c r="AJ146" i="8"/>
  <c r="AF112" i="8"/>
  <c r="AF152" i="8"/>
  <c r="K85" i="8"/>
  <c r="AM5" i="8"/>
  <c r="G131" i="8"/>
  <c r="G91" i="8"/>
  <c r="AG142" i="8"/>
  <c r="AG102" i="8"/>
  <c r="E114" i="8"/>
  <c r="AM34" i="8"/>
  <c r="X137" i="8"/>
  <c r="X97" i="8"/>
  <c r="L115" i="8"/>
  <c r="L155" i="8"/>
  <c r="E87" i="8"/>
  <c r="AM7" i="8"/>
  <c r="AA104" i="8"/>
  <c r="AA144" i="8"/>
  <c r="W110" i="8"/>
  <c r="W150" i="8"/>
  <c r="H94" i="8"/>
  <c r="H134" i="8"/>
  <c r="AH105" i="8"/>
  <c r="AH145" i="8"/>
  <c r="O95" i="8"/>
  <c r="O135" i="8"/>
  <c r="G107" i="8"/>
  <c r="G147" i="8"/>
  <c r="AD124" i="8"/>
  <c r="AD38" i="8"/>
  <c r="Z90" i="8"/>
  <c r="Z130" i="8"/>
  <c r="R102" i="8"/>
  <c r="R142" i="8"/>
  <c r="J114" i="8"/>
  <c r="J154" i="8"/>
  <c r="AG91" i="8"/>
  <c r="AG131" i="8"/>
  <c r="Y103" i="8"/>
  <c r="Y143" i="8"/>
  <c r="U149" i="8"/>
  <c r="U109" i="8"/>
  <c r="Q115" i="8"/>
  <c r="Q155" i="8"/>
  <c r="J87" i="8"/>
  <c r="J127" i="8"/>
  <c r="AJ98" i="8"/>
  <c r="AJ138" i="8"/>
  <c r="AB110" i="8"/>
  <c r="AB150" i="8"/>
  <c r="M134" i="8"/>
  <c r="M94" i="8"/>
  <c r="AM26" i="8"/>
  <c r="E146" i="8"/>
  <c r="AI151" i="8"/>
  <c r="AI111" i="8"/>
  <c r="AE157" i="8"/>
  <c r="AE117" i="8"/>
  <c r="H153" i="8"/>
  <c r="H113" i="8"/>
  <c r="W102" i="8"/>
  <c r="W142" i="8"/>
  <c r="S108" i="8"/>
  <c r="S148" i="8"/>
  <c r="H126" i="8"/>
  <c r="H38" i="8"/>
  <c r="AB85" i="8"/>
  <c r="AB125" i="8"/>
  <c r="Z88" i="8"/>
  <c r="Z128" i="8"/>
  <c r="T107" i="8"/>
  <c r="T147" i="8"/>
  <c r="W94" i="8"/>
  <c r="W134" i="8"/>
  <c r="O106" i="8"/>
  <c r="O146" i="8"/>
  <c r="Y151" i="8"/>
  <c r="Y111" i="8"/>
  <c r="AD95" i="8"/>
  <c r="AD135" i="8"/>
  <c r="V107" i="8"/>
  <c r="V147" i="8"/>
  <c r="AE85" i="8"/>
  <c r="AE38" i="8"/>
  <c r="W97" i="8"/>
  <c r="W137" i="8"/>
  <c r="S103" i="8"/>
  <c r="S143" i="8"/>
  <c r="N92" i="8"/>
  <c r="N132" i="8"/>
  <c r="J98" i="8"/>
  <c r="J138" i="8"/>
  <c r="F104" i="8"/>
  <c r="F144" i="8"/>
  <c r="AJ109" i="8"/>
  <c r="AJ149" i="8"/>
  <c r="AF115" i="8"/>
  <c r="AF155" i="8"/>
  <c r="U93" i="8"/>
  <c r="U133" i="8"/>
  <c r="I151" i="8"/>
  <c r="I111" i="8"/>
  <c r="E117" i="8"/>
  <c r="AM37" i="8"/>
  <c r="AB94" i="8"/>
  <c r="AB134" i="8"/>
  <c r="X140" i="8"/>
  <c r="X100" i="8"/>
  <c r="T106" i="8"/>
  <c r="T146" i="8"/>
  <c r="AM10" i="8"/>
  <c r="AI135" i="8"/>
  <c r="AI95" i="8"/>
  <c r="AA107" i="8"/>
  <c r="AA147" i="8"/>
  <c r="W113" i="8"/>
  <c r="W153" i="8"/>
  <c r="L131" i="8"/>
  <c r="L91" i="8"/>
  <c r="H97" i="8"/>
  <c r="H137" i="8"/>
  <c r="AL102" i="8"/>
  <c r="AL142" i="8"/>
  <c r="O98" i="8"/>
  <c r="O138" i="8"/>
  <c r="K144" i="8"/>
  <c r="K104" i="8"/>
  <c r="G110" i="8"/>
  <c r="AM30" i="8"/>
  <c r="AK115" i="8"/>
  <c r="AK155" i="8"/>
  <c r="Z133" i="8"/>
  <c r="Z93" i="8"/>
  <c r="V139" i="8"/>
  <c r="V99" i="8"/>
  <c r="R105" i="8"/>
  <c r="R145" i="8"/>
  <c r="AK88" i="8"/>
  <c r="AK128" i="8"/>
  <c r="AG134" i="8"/>
  <c r="AG94" i="8"/>
  <c r="AC100" i="8"/>
  <c r="AC140" i="8"/>
  <c r="N38" i="8"/>
  <c r="N84" i="8"/>
  <c r="J130" i="8"/>
  <c r="J90" i="8"/>
  <c r="F96" i="8"/>
  <c r="AM16" i="8"/>
  <c r="AJ101" i="8"/>
  <c r="AJ141" i="8"/>
  <c r="AI38" i="8"/>
  <c r="AM29" i="8"/>
  <c r="E149" i="8"/>
  <c r="AI114" i="8"/>
  <c r="AI154" i="8"/>
  <c r="AB86" i="8"/>
  <c r="AB126" i="8"/>
  <c r="T98" i="8"/>
  <c r="T138" i="8"/>
  <c r="P104" i="8"/>
  <c r="P144" i="8"/>
  <c r="L110" i="8"/>
  <c r="L150" i="8"/>
  <c r="H116" i="8"/>
  <c r="H156" i="8"/>
  <c r="AA99" i="8"/>
  <c r="AA139" i="8"/>
  <c r="S151" i="8"/>
  <c r="S111" i="8"/>
  <c r="AL94" i="8"/>
  <c r="AL134" i="8"/>
  <c r="AD106" i="8"/>
  <c r="AD146" i="8"/>
  <c r="S124" i="8"/>
  <c r="S38" i="8"/>
  <c r="S84" i="8"/>
  <c r="K136" i="8"/>
  <c r="K96" i="8"/>
  <c r="L109" i="8"/>
  <c r="L149" i="8"/>
  <c r="P113" i="8"/>
  <c r="P153" i="8"/>
  <c r="N116" i="8"/>
  <c r="N156" i="8"/>
  <c r="N96" i="8"/>
  <c r="N136" i="8"/>
  <c r="F108" i="8"/>
  <c r="F148" i="8"/>
  <c r="M89" i="8"/>
  <c r="M129" i="8"/>
  <c r="M38" i="8"/>
  <c r="AM21" i="8"/>
  <c r="E141" i="8"/>
  <c r="AI146" i="8"/>
  <c r="AI106" i="8"/>
  <c r="X124" i="8"/>
  <c r="X38" i="8"/>
  <c r="X84" i="8"/>
  <c r="T130" i="8"/>
  <c r="T90" i="8"/>
  <c r="H148" i="8"/>
  <c r="H108" i="8"/>
  <c r="I138" i="8"/>
  <c r="AM18" i="8"/>
  <c r="I98" i="8"/>
  <c r="AL86" i="8"/>
  <c r="AL38" i="8"/>
  <c r="AL126" i="8"/>
  <c r="AD98" i="8"/>
  <c r="AD138" i="8"/>
  <c r="G94" i="8"/>
  <c r="G134" i="8"/>
  <c r="AK99" i="8"/>
  <c r="AK139" i="8"/>
  <c r="AG105" i="8"/>
  <c r="AG145" i="8"/>
  <c r="AC111" i="8"/>
  <c r="AC151" i="8"/>
  <c r="Y117" i="8"/>
  <c r="Y157" i="8"/>
  <c r="R129" i="8"/>
  <c r="R89" i="8"/>
  <c r="J141" i="8"/>
  <c r="J101" i="8"/>
  <c r="F147" i="8"/>
  <c r="F107" i="8"/>
  <c r="AC124" i="8"/>
  <c r="AC38" i="8"/>
  <c r="U96" i="8"/>
  <c r="U136" i="8"/>
  <c r="Q102" i="8"/>
  <c r="Q142" i="8"/>
  <c r="I154" i="8"/>
  <c r="I114" i="8"/>
  <c r="AJ85" i="8"/>
  <c r="AJ38" i="8"/>
  <c r="X143" i="8"/>
  <c r="X103" i="8"/>
  <c r="P155" i="8"/>
  <c r="P115" i="8"/>
  <c r="I127" i="8"/>
  <c r="I87" i="8"/>
  <c r="E93" i="8"/>
  <c r="AM13" i="8"/>
  <c r="AI138" i="8"/>
  <c r="AI98" i="8"/>
  <c r="AE104" i="8"/>
  <c r="AE144" i="8"/>
  <c r="AA110" i="8"/>
  <c r="AA150" i="8"/>
  <c r="H100" i="8"/>
  <c r="H140" i="8"/>
  <c r="AL105" i="8"/>
  <c r="AL145" i="8"/>
  <c r="AA128" i="8"/>
  <c r="U117" i="8"/>
  <c r="P96" i="8"/>
  <c r="AK96" i="8"/>
  <c r="AA91" i="8"/>
  <c r="E127" i="8"/>
  <c r="AI92" i="8"/>
  <c r="AL99" i="8"/>
  <c r="AH108" i="8"/>
  <c r="W86" i="8"/>
  <c r="AK111" i="8"/>
  <c r="AK151" i="8"/>
  <c r="N147" i="8"/>
  <c r="N107" i="8"/>
  <c r="J113" i="8"/>
  <c r="J153" i="8"/>
  <c r="AK84" i="8"/>
  <c r="AK124" i="8"/>
  <c r="AC136" i="8"/>
  <c r="AC96" i="8"/>
  <c r="J126" i="8"/>
  <c r="J38" i="8"/>
  <c r="AM12" i="8"/>
  <c r="Y105" i="8"/>
  <c r="Y145" i="8"/>
  <c r="AJ100" i="8"/>
  <c r="AJ140" i="8"/>
  <c r="AF106" i="8"/>
  <c r="AF146" i="8"/>
  <c r="AM15" i="8"/>
  <c r="AG130" i="8"/>
  <c r="AD144" i="8"/>
  <c r="AG151" i="8"/>
  <c r="AG150" i="8"/>
  <c r="J129" i="8"/>
  <c r="O139" i="8"/>
  <c r="P157" i="8"/>
  <c r="P117" i="8"/>
  <c r="AI100" i="8"/>
  <c r="AI140" i="8"/>
  <c r="AE146" i="8"/>
  <c r="AE106" i="8"/>
  <c r="T38" i="8"/>
  <c r="T124" i="8"/>
  <c r="T84" i="8"/>
  <c r="H142" i="8"/>
  <c r="H102" i="8"/>
  <c r="AD103" i="8"/>
  <c r="AD143" i="8"/>
  <c r="O127" i="8"/>
  <c r="O87" i="8"/>
  <c r="AC156" i="8"/>
  <c r="AC116" i="8"/>
  <c r="AK147" i="8"/>
  <c r="AK107" i="8"/>
  <c r="AG153" i="8"/>
  <c r="AG113" i="8"/>
  <c r="Z85" i="8"/>
  <c r="Z38" i="8"/>
  <c r="N103" i="8"/>
  <c r="N143" i="8"/>
  <c r="AG86" i="8"/>
  <c r="AG126" i="8"/>
  <c r="AD130" i="8"/>
  <c r="AD90" i="8"/>
  <c r="AC143" i="8"/>
  <c r="AC103" i="8"/>
  <c r="U155" i="8"/>
  <c r="U115" i="8"/>
  <c r="J133" i="8"/>
  <c r="J93" i="8"/>
  <c r="AJ104" i="8"/>
  <c r="AJ144" i="8"/>
  <c r="Q94" i="8"/>
  <c r="Q134" i="8"/>
  <c r="AH84" i="8"/>
  <c r="AH124" i="8"/>
  <c r="R108" i="8"/>
  <c r="R148" i="8"/>
  <c r="AG97" i="8"/>
  <c r="AG137" i="8"/>
  <c r="Y149" i="8"/>
  <c r="Y109" i="8"/>
  <c r="AM19" i="8"/>
  <c r="AF110" i="8"/>
  <c r="AF150" i="8"/>
  <c r="U88" i="8"/>
  <c r="U128" i="8"/>
  <c r="M140" i="8"/>
  <c r="M100" i="8"/>
  <c r="F38" i="8"/>
  <c r="R143" i="8"/>
  <c r="J149" i="8"/>
  <c r="AC139" i="8"/>
  <c r="I129" i="8"/>
  <c r="Z125" i="8"/>
  <c r="Y98" i="8"/>
  <c r="O101" i="8"/>
  <c r="R110" i="8"/>
  <c r="R150" i="8"/>
  <c r="AJ113" i="8"/>
  <c r="AJ153" i="8"/>
  <c r="T97" i="8"/>
  <c r="T137" i="8"/>
  <c r="P143" i="8"/>
  <c r="P103" i="8"/>
  <c r="G108" i="8"/>
  <c r="G148" i="8"/>
  <c r="AD85" i="8"/>
  <c r="AD125" i="8"/>
  <c r="Z131" i="8"/>
  <c r="Z91" i="8"/>
  <c r="W87" i="8"/>
  <c r="W127" i="8"/>
  <c r="K105" i="8"/>
  <c r="K145" i="8"/>
  <c r="G111" i="8"/>
  <c r="G151" i="8"/>
  <c r="AJ99" i="8"/>
  <c r="AJ139" i="8"/>
  <c r="Q89" i="8"/>
  <c r="Q129" i="8"/>
  <c r="I141" i="8"/>
  <c r="I101" i="8"/>
  <c r="X90" i="8"/>
  <c r="X130" i="8"/>
  <c r="AA97" i="8"/>
  <c r="AA137" i="8"/>
  <c r="H127" i="8"/>
  <c r="H87" i="8"/>
  <c r="AL92" i="8"/>
  <c r="AL132" i="8"/>
  <c r="AH98" i="8"/>
  <c r="AH138" i="8"/>
  <c r="Z110" i="8"/>
  <c r="Z150" i="8"/>
  <c r="O128" i="8"/>
  <c r="O88" i="8"/>
  <c r="G140" i="8"/>
  <c r="AM20" i="8"/>
  <c r="AK105" i="8"/>
  <c r="AK145" i="8"/>
  <c r="AC157" i="8"/>
  <c r="AC117" i="8"/>
  <c r="N141" i="8"/>
  <c r="N101" i="8"/>
  <c r="F113" i="8"/>
  <c r="AM33" i="8"/>
  <c r="AC90" i="8"/>
  <c r="AC130" i="8"/>
  <c r="Y136" i="8"/>
  <c r="Y96" i="8"/>
  <c r="U102" i="8"/>
  <c r="U142" i="8"/>
  <c r="Q108" i="8"/>
  <c r="Q148" i="8"/>
  <c r="R94" i="8"/>
  <c r="R134" i="8"/>
  <c r="AJ91" i="8"/>
  <c r="AJ131" i="8"/>
  <c r="C50" i="10"/>
  <c r="C55" i="10"/>
  <c r="C51" i="10"/>
  <c r="F132" i="8"/>
  <c r="W91" i="8"/>
  <c r="W131" i="8"/>
  <c r="H7" i="10"/>
  <c r="B16" i="10"/>
  <c r="C10" i="10"/>
  <c r="C14" i="10"/>
  <c r="H9" i="10"/>
  <c r="E46" i="10"/>
  <c r="H41" i="10"/>
  <c r="F52" i="10"/>
  <c r="B81" i="10"/>
  <c r="B84" i="10"/>
  <c r="H75" i="10"/>
  <c r="E81" i="10"/>
  <c r="G84" i="10"/>
  <c r="G81" i="10"/>
  <c r="D88" i="10"/>
  <c r="G8" i="12"/>
  <c r="H8" i="12" s="1"/>
  <c r="E45" i="12"/>
  <c r="G45" i="12" s="1"/>
  <c r="H45" i="12" s="1"/>
  <c r="I142" i="8"/>
  <c r="E14" i="10"/>
  <c r="B50" i="10"/>
  <c r="D81" i="10"/>
  <c r="D10" i="10"/>
  <c r="D18" i="10" s="1"/>
  <c r="F46" i="10"/>
  <c r="V144" i="8"/>
  <c r="V104" i="8"/>
  <c r="AC108" i="8"/>
  <c r="AC148" i="8"/>
  <c r="AH152" i="8"/>
  <c r="AH112" i="8"/>
  <c r="K128" i="8"/>
  <c r="K88" i="8"/>
  <c r="X109" i="8"/>
  <c r="X149" i="8"/>
  <c r="C53" i="10"/>
  <c r="C49" i="10"/>
  <c r="C52" i="10"/>
  <c r="G49" i="10"/>
  <c r="G51" i="10"/>
  <c r="G54" i="10"/>
  <c r="G52" i="10"/>
  <c r="G90" i="10"/>
  <c r="G87" i="10"/>
  <c r="B55" i="10"/>
  <c r="B52" i="10"/>
  <c r="B10" i="10"/>
  <c r="H4" i="10"/>
  <c r="C19" i="10"/>
  <c r="C17" i="10"/>
  <c r="C15" i="10"/>
  <c r="C16" i="10"/>
  <c r="E53" i="10"/>
  <c r="H45" i="10"/>
  <c r="C54" i="10"/>
  <c r="D46" i="10"/>
  <c r="H43" i="10"/>
  <c r="B88" i="10"/>
  <c r="H79" i="10"/>
  <c r="C81" i="10"/>
  <c r="C86" i="10"/>
  <c r="D90" i="10"/>
  <c r="F88" i="10"/>
  <c r="F87" i="10"/>
  <c r="F90" i="10"/>
  <c r="F84" i="10"/>
  <c r="E44" i="12"/>
  <c r="G44" i="12" s="1"/>
  <c r="H44" i="12" s="1"/>
  <c r="G7" i="12"/>
  <c r="H7" i="12" s="1"/>
  <c r="H5" i="10"/>
  <c r="H6" i="10"/>
  <c r="F53" i="10"/>
  <c r="B85" i="10"/>
  <c r="S99" i="8"/>
  <c r="S139" i="8"/>
  <c r="H78" i="10"/>
  <c r="E137" i="8"/>
  <c r="E97" i="8"/>
  <c r="G5" i="12"/>
  <c r="H5" i="12" s="1"/>
  <c r="E42" i="12"/>
  <c r="G42" i="12" s="1"/>
  <c r="H42" i="12" s="1"/>
  <c r="E43" i="12"/>
  <c r="G43" i="12" s="1"/>
  <c r="H43" i="12" s="1"/>
  <c r="G6" i="12"/>
  <c r="H6" i="12" s="1"/>
  <c r="AN83" i="1"/>
  <c r="AN84" i="1"/>
  <c r="AN76" i="1"/>
  <c r="AN48" i="1"/>
  <c r="AN31" i="1"/>
  <c r="AN165" i="1"/>
  <c r="AN137" i="1"/>
  <c r="AS137" i="1" s="1"/>
  <c r="AN75" i="1"/>
  <c r="AS75" i="1" s="1"/>
  <c r="AN102" i="1"/>
  <c r="AS102" i="1" s="1"/>
  <c r="AN74" i="1"/>
  <c r="AS74" i="1" s="1"/>
  <c r="AN154" i="1"/>
  <c r="AS154" i="1" s="1"/>
  <c r="AN126" i="1"/>
  <c r="AS126" i="1" s="1"/>
  <c r="AN113" i="1"/>
  <c r="AN85" i="1"/>
  <c r="AS85" i="1" s="1"/>
  <c r="AN67" i="1"/>
  <c r="AS67" i="1" s="1"/>
  <c r="M77" i="1"/>
  <c r="AM129" i="1"/>
  <c r="AL155" i="1"/>
  <c r="W142" i="1" s="1"/>
  <c r="AK51" i="1"/>
  <c r="AJ77" i="1"/>
  <c r="AG155" i="1"/>
  <c r="R148" i="1" s="1"/>
  <c r="BZ148" i="1" s="1"/>
  <c r="AH103" i="1"/>
  <c r="AI51" i="1"/>
  <c r="AQ103" i="1"/>
  <c r="AO77" i="1"/>
  <c r="AN119" i="1"/>
  <c r="AS119" i="1" s="1"/>
  <c r="AN62" i="1"/>
  <c r="AS62" i="1" s="1"/>
  <c r="AL192" i="1"/>
  <c r="AP129" i="1"/>
  <c r="AM155" i="1"/>
  <c r="X142" i="1" s="1"/>
  <c r="CF142" i="1" s="1"/>
  <c r="AL181" i="1"/>
  <c r="AL51" i="1"/>
  <c r="AK77" i="1"/>
  <c r="AJ103" i="1"/>
  <c r="AH155" i="1"/>
  <c r="S148" i="1" s="1"/>
  <c r="CA148" i="1" s="1"/>
  <c r="AI103" i="1"/>
  <c r="AG77" i="1"/>
  <c r="AQ77" i="1"/>
  <c r="AO181" i="1"/>
  <c r="AO51" i="1"/>
  <c r="AQ196" i="1"/>
  <c r="AP103" i="1"/>
  <c r="AM181" i="1"/>
  <c r="AM51" i="1"/>
  <c r="AL77" i="1"/>
  <c r="AK103" i="1"/>
  <c r="AJ129" i="1"/>
  <c r="AI155" i="1"/>
  <c r="T148" i="1" s="1"/>
  <c r="CB148" i="1" s="1"/>
  <c r="AG129" i="1"/>
  <c r="AH77" i="1"/>
  <c r="AQ181" i="1"/>
  <c r="AQ51" i="1"/>
  <c r="AO155" i="1"/>
  <c r="Z148" i="1" s="1"/>
  <c r="AG51" i="1"/>
  <c r="AP77" i="1"/>
  <c r="BM207" i="1"/>
  <c r="AL103" i="1"/>
  <c r="AK129" i="1"/>
  <c r="AJ155" i="1"/>
  <c r="U142" i="1" s="1"/>
  <c r="CC142" i="1" s="1"/>
  <c r="AH129" i="1"/>
  <c r="AI77" i="1"/>
  <c r="AQ155" i="1"/>
  <c r="AB142" i="1" s="1"/>
  <c r="CJ142" i="1" s="1"/>
  <c r="AO129" i="1"/>
  <c r="AP181" i="1"/>
  <c r="AA174" i="1" s="1"/>
  <c r="AM103" i="1"/>
  <c r="AL129" i="1"/>
  <c r="AK155" i="1"/>
  <c r="V148" i="1" s="1"/>
  <c r="CD148" i="1" s="1"/>
  <c r="AJ181" i="1"/>
  <c r="U168" i="1" s="1"/>
  <c r="CC168" i="1" s="1"/>
  <c r="AJ51" i="1"/>
  <c r="AI129" i="1"/>
  <c r="AG103" i="1"/>
  <c r="AH51" i="1"/>
  <c r="AQ129" i="1"/>
  <c r="AP51" i="1"/>
  <c r="AO103" i="1"/>
  <c r="AP155" i="1"/>
  <c r="AA142" i="1" s="1"/>
  <c r="CI142" i="1" s="1"/>
  <c r="DG187" i="1"/>
  <c r="BL207" i="1"/>
  <c r="BQ142" i="1"/>
  <c r="BQ148" i="1"/>
  <c r="AR28" i="4" s="1"/>
  <c r="BQ116" i="1"/>
  <c r="BQ122" i="1"/>
  <c r="AJ28" i="4" s="1"/>
  <c r="BQ90" i="1"/>
  <c r="BQ96" i="1"/>
  <c r="AB28" i="4" s="1"/>
  <c r="BQ64" i="1"/>
  <c r="BQ70" i="1"/>
  <c r="T28" i="4" s="1"/>
  <c r="BQ44" i="1"/>
  <c r="L28" i="4" s="1"/>
  <c r="BQ38" i="1"/>
  <c r="AN57" i="1"/>
  <c r="AS57" i="1" s="1"/>
  <c r="AM77" i="1"/>
  <c r="BP142" i="1"/>
  <c r="AR19" i="4" s="1"/>
  <c r="BP148" i="1"/>
  <c r="BP116" i="1"/>
  <c r="AJ19" i="4" s="1"/>
  <c r="BP122" i="1"/>
  <c r="BP90" i="1"/>
  <c r="AB19" i="4" s="1"/>
  <c r="BP96" i="1"/>
  <c r="BP70" i="1"/>
  <c r="BP64" i="1"/>
  <c r="T19" i="4" s="1"/>
  <c r="BP44" i="1"/>
  <c r="BP38" i="1"/>
  <c r="L19" i="4" s="1"/>
  <c r="BO148" i="1"/>
  <c r="BO142" i="1"/>
  <c r="AK187" i="1"/>
  <c r="AK181" i="1"/>
  <c r="BO116" i="1"/>
  <c r="BO122" i="1"/>
  <c r="BO96" i="1"/>
  <c r="BO90" i="1"/>
  <c r="BO70" i="1"/>
  <c r="BO64" i="1"/>
  <c r="BO44" i="1"/>
  <c r="BO38" i="1"/>
  <c r="BN148" i="1"/>
  <c r="BN142" i="1"/>
  <c r="BN122" i="1"/>
  <c r="BN116" i="1"/>
  <c r="BN96" i="1"/>
  <c r="BN90" i="1"/>
  <c r="BN70" i="1"/>
  <c r="BN64" i="1"/>
  <c r="BN44" i="1"/>
  <c r="BN38" i="1"/>
  <c r="BK142" i="1"/>
  <c r="BK148" i="1"/>
  <c r="BM122" i="1"/>
  <c r="BM116" i="1"/>
  <c r="BL122" i="1"/>
  <c r="BL116" i="1"/>
  <c r="BK122" i="1"/>
  <c r="BK116" i="1"/>
  <c r="BM96" i="1"/>
  <c r="BM90" i="1"/>
  <c r="BL96" i="1"/>
  <c r="BL90" i="1"/>
  <c r="BK96" i="1"/>
  <c r="BK90" i="1"/>
  <c r="BM70" i="1"/>
  <c r="BM64" i="1"/>
  <c r="BL70" i="1"/>
  <c r="BL64" i="1"/>
  <c r="BK70" i="1"/>
  <c r="BK64" i="1"/>
  <c r="BM38" i="1"/>
  <c r="BM44" i="1"/>
  <c r="BL38" i="1"/>
  <c r="BL44" i="1"/>
  <c r="BK38" i="1"/>
  <c r="BK44" i="1"/>
  <c r="BU148" i="1"/>
  <c r="BU142" i="1"/>
  <c r="BU122" i="1"/>
  <c r="BU116" i="1"/>
  <c r="BU96" i="1"/>
  <c r="BU90" i="1"/>
  <c r="BU70" i="1"/>
  <c r="BU64" i="1"/>
  <c r="BU38" i="1"/>
  <c r="BU44" i="1"/>
  <c r="BT148" i="1"/>
  <c r="BT142" i="1"/>
  <c r="BT122" i="1"/>
  <c r="BT116" i="1"/>
  <c r="BT96" i="1"/>
  <c r="BT90" i="1"/>
  <c r="BT70" i="1"/>
  <c r="BT64" i="1"/>
  <c r="BT44" i="1"/>
  <c r="BT38" i="1"/>
  <c r="BS148" i="1"/>
  <c r="BS142" i="1"/>
  <c r="BS122" i="1"/>
  <c r="BS116" i="1"/>
  <c r="BS90" i="1"/>
  <c r="BS96" i="1"/>
  <c r="BS64" i="1"/>
  <c r="BS70" i="1"/>
  <c r="BS44" i="1"/>
  <c r="BS38" i="1"/>
  <c r="AN49" i="1"/>
  <c r="AS49" i="1" s="1"/>
  <c r="AL187" i="1"/>
  <c r="AN135" i="1"/>
  <c r="AN179" i="1"/>
  <c r="AS179" i="1" s="1"/>
  <c r="AN139" i="1"/>
  <c r="AS139" i="1" s="1"/>
  <c r="AN111" i="1"/>
  <c r="AS111" i="1" s="1"/>
  <c r="AN178" i="1"/>
  <c r="AS178" i="1" s="1"/>
  <c r="AN140" i="1"/>
  <c r="AS140" i="1" s="1"/>
  <c r="AN61" i="1"/>
  <c r="AS61" i="1" s="1"/>
  <c r="AN88" i="1"/>
  <c r="AS88" i="1" s="1"/>
  <c r="AN32" i="1"/>
  <c r="AS32" i="1" s="1"/>
  <c r="AS98" i="1"/>
  <c r="AN86" i="1"/>
  <c r="AS86" i="1" s="1"/>
  <c r="AN101" i="1"/>
  <c r="AS101" i="1" s="1"/>
  <c r="AN41" i="1"/>
  <c r="AS41" i="1" s="1"/>
  <c r="AN115" i="1"/>
  <c r="AS115" i="1" s="1"/>
  <c r="AS99" i="1"/>
  <c r="AN87" i="1"/>
  <c r="AS87" i="1" s="1"/>
  <c r="AN59" i="1"/>
  <c r="AS59" i="1" s="1"/>
  <c r="AN36" i="1"/>
  <c r="AN112" i="1"/>
  <c r="AS112" i="1" s="1"/>
  <c r="AN89" i="1"/>
  <c r="AS89" i="1" s="1"/>
  <c r="AS84" i="1"/>
  <c r="AN50" i="1"/>
  <c r="AS50" i="1" s="1"/>
  <c r="AN128" i="1"/>
  <c r="AS128" i="1" s="1"/>
  <c r="AN100" i="1"/>
  <c r="AS100" i="1" s="1"/>
  <c r="AS72" i="1"/>
  <c r="AN60" i="1"/>
  <c r="AS123" i="1"/>
  <c r="AN153" i="1"/>
  <c r="AS153" i="1" s="1"/>
  <c r="AP196" i="1"/>
  <c r="AN66" i="1"/>
  <c r="AS66" i="1" s="1"/>
  <c r="AO195" i="1"/>
  <c r="CQ171" i="1"/>
  <c r="AN93" i="1"/>
  <c r="AS93" i="1" s="1"/>
  <c r="AN136" i="1"/>
  <c r="AS136" i="1" s="1"/>
  <c r="AN109" i="1"/>
  <c r="AN35" i="1"/>
  <c r="AS35" i="1" s="1"/>
  <c r="AL198" i="1"/>
  <c r="AN162" i="1"/>
  <c r="AS162" i="1" s="1"/>
  <c r="AN118" i="1"/>
  <c r="AS118" i="1" s="1"/>
  <c r="AL197" i="1"/>
  <c r="AS39" i="1"/>
  <c r="AS149" i="1"/>
  <c r="AN65" i="1"/>
  <c r="AS65" i="1" s="1"/>
  <c r="AK188" i="1"/>
  <c r="AK195" i="1"/>
  <c r="AK197" i="1"/>
  <c r="CQ201" i="1"/>
  <c r="AM191" i="1"/>
  <c r="AK190" i="1"/>
  <c r="AS121" i="1"/>
  <c r="AS69" i="1"/>
  <c r="AS47" i="1"/>
  <c r="AS40" i="1"/>
  <c r="AK199" i="1"/>
  <c r="AK198" i="1"/>
  <c r="AS124" i="1"/>
  <c r="AS71" i="1"/>
  <c r="AO196" i="1"/>
  <c r="AS95" i="1"/>
  <c r="AN9" i="1"/>
  <c r="AS9" i="1" s="1"/>
  <c r="AS120" i="1"/>
  <c r="AG189" i="1"/>
  <c r="AK191" i="1"/>
  <c r="AN5" i="1"/>
  <c r="AS5" i="1" s="1"/>
  <c r="CQ161" i="1"/>
  <c r="AS48" i="1"/>
  <c r="CP193" i="1"/>
  <c r="AG190" i="1"/>
  <c r="CQ167" i="1"/>
  <c r="CP178" i="1"/>
  <c r="CP169" i="1"/>
  <c r="CQ176" i="1"/>
  <c r="AQ195" i="1"/>
  <c r="AS42" i="1"/>
  <c r="AO197" i="1"/>
  <c r="AS45" i="1"/>
  <c r="AS97" i="1"/>
  <c r="AJ198" i="1"/>
  <c r="AS147" i="1"/>
  <c r="AN34" i="1"/>
  <c r="AS34" i="1" s="1"/>
  <c r="AL190" i="1"/>
  <c r="AS46" i="1"/>
  <c r="AO198" i="1"/>
  <c r="AO199" i="1"/>
  <c r="AN58" i="1"/>
  <c r="AS58" i="1" s="1"/>
  <c r="AL199" i="1"/>
  <c r="AS37" i="1"/>
  <c r="AO193" i="1"/>
  <c r="AQ192" i="1"/>
  <c r="AN143" i="1"/>
  <c r="AS143" i="1" s="1"/>
  <c r="AP195" i="1"/>
  <c r="CP176" i="1"/>
  <c r="AS31" i="1"/>
  <c r="AP197" i="1"/>
  <c r="AN144" i="1"/>
  <c r="AS144" i="1" s="1"/>
  <c r="AJ192" i="1"/>
  <c r="AS36" i="1"/>
  <c r="AS43" i="1"/>
  <c r="AP192" i="1"/>
  <c r="AN91" i="1"/>
  <c r="AS91" i="1" s="1"/>
  <c r="AN8" i="1"/>
  <c r="AS8" i="1" s="1"/>
  <c r="DI167" i="1"/>
  <c r="DI189" i="1"/>
  <c r="CQ189" i="1"/>
  <c r="AG188" i="1"/>
  <c r="CP191" i="1"/>
  <c r="DG191" i="1"/>
  <c r="AJ195" i="1"/>
  <c r="AJ196" i="1"/>
  <c r="AS68" i="1"/>
  <c r="AN180" i="1"/>
  <c r="AS180" i="1" s="1"/>
  <c r="AP193" i="1"/>
  <c r="AN152" i="1"/>
  <c r="AS152" i="1" s="1"/>
  <c r="CQ163" i="1"/>
  <c r="AL193" i="1"/>
  <c r="AP191" i="1"/>
  <c r="AR191" i="1" s="1"/>
  <c r="AL196" i="1"/>
  <c r="AN33" i="1"/>
  <c r="AS33" i="1" s="1"/>
  <c r="AL189" i="1"/>
  <c r="AQ197" i="1"/>
  <c r="AP187" i="1"/>
  <c r="AN92" i="1"/>
  <c r="AS92" i="1" s="1"/>
  <c r="AQ198" i="1"/>
  <c r="AP199" i="1"/>
  <c r="AN145" i="1"/>
  <c r="AS145" i="1" s="1"/>
  <c r="AN141" i="1"/>
  <c r="AS141" i="1" s="1"/>
  <c r="AN114" i="1"/>
  <c r="AS114" i="1" s="1"/>
  <c r="CP166" i="1"/>
  <c r="AM187" i="1"/>
  <c r="AS125" i="1"/>
  <c r="AN63" i="1"/>
  <c r="AS63" i="1" s="1"/>
  <c r="CP162" i="1"/>
  <c r="AS76" i="1"/>
  <c r="AJ190" i="1"/>
  <c r="AO192" i="1"/>
  <c r="AS21" i="1"/>
  <c r="CQ172" i="1"/>
  <c r="CP171" i="1"/>
  <c r="CQ178" i="1"/>
  <c r="DG166" i="1"/>
  <c r="CP179" i="1"/>
  <c r="DG179" i="1"/>
  <c r="CP173" i="1"/>
  <c r="DG173" i="1"/>
  <c r="CP198" i="1"/>
  <c r="DI201" i="1"/>
  <c r="DH163" i="1"/>
  <c r="AM197" i="1"/>
  <c r="AJ189" i="1"/>
  <c r="AS150" i="1"/>
  <c r="CQ179" i="1"/>
  <c r="AM192" i="1"/>
  <c r="AL188" i="1"/>
  <c r="AN110" i="1"/>
  <c r="AS110" i="1" s="1"/>
  <c r="AJ193" i="1"/>
  <c r="AS113" i="1"/>
  <c r="AN127" i="1"/>
  <c r="AS127" i="1" s="1"/>
  <c r="AK192" i="1"/>
  <c r="AS73" i="1"/>
  <c r="AJ191" i="1"/>
  <c r="AN161" i="1"/>
  <c r="AS151" i="1"/>
  <c r="CP177" i="1"/>
  <c r="DG177" i="1"/>
  <c r="AN163" i="1"/>
  <c r="AS163" i="1" s="1"/>
  <c r="AN138" i="1"/>
  <c r="CP172" i="1"/>
  <c r="CP199" i="1"/>
  <c r="DF163" i="1"/>
  <c r="CP163" i="1"/>
  <c r="DH173" i="1"/>
  <c r="CQ173" i="1"/>
  <c r="CQ190" i="1"/>
  <c r="AK193" i="1"/>
  <c r="CP175" i="1"/>
  <c r="CP164" i="1"/>
  <c r="AL191" i="1"/>
  <c r="AM189" i="1"/>
  <c r="AJ199" i="1"/>
  <c r="AS146" i="1"/>
  <c r="AJ188" i="1"/>
  <c r="AK189" i="1"/>
  <c r="AS175" i="1"/>
  <c r="DG176" i="1"/>
  <c r="CP165" i="1"/>
  <c r="DG165" i="1"/>
  <c r="DG162" i="1"/>
  <c r="BL181" i="1"/>
  <c r="CP203" i="1"/>
  <c r="CP167" i="1"/>
  <c r="CP170" i="1"/>
  <c r="DG170" i="1"/>
  <c r="DI177" i="1"/>
  <c r="CQ177" i="1"/>
  <c r="DF199" i="1"/>
  <c r="DH202" i="1"/>
  <c r="CQ202" i="1"/>
  <c r="DH175" i="1"/>
  <c r="CQ175" i="1"/>
  <c r="DH166" i="1"/>
  <c r="CQ166" i="1"/>
  <c r="DF164" i="1"/>
  <c r="CP206" i="1"/>
  <c r="DG206" i="1"/>
  <c r="CP197" i="1"/>
  <c r="DG197" i="1"/>
  <c r="DF187" i="1"/>
  <c r="CP187" i="1"/>
  <c r="CQ169" i="1"/>
  <c r="DI162" i="1"/>
  <c r="CQ162" i="1"/>
  <c r="BM181" i="1"/>
  <c r="DI198" i="1"/>
  <c r="CQ198" i="1"/>
  <c r="CQ170" i="1"/>
  <c r="DI164" i="1"/>
  <c r="CQ164" i="1"/>
  <c r="CQ197" i="1"/>
  <c r="CP189" i="1"/>
  <c r="DG189" i="1"/>
  <c r="AN171" i="1"/>
  <c r="AS171" i="1" s="1"/>
  <c r="CQ165" i="1"/>
  <c r="DI165" i="1"/>
  <c r="CA171" i="1"/>
  <c r="CP195" i="1"/>
  <c r="AS177" i="1"/>
  <c r="AM196" i="1"/>
  <c r="AN170" i="1"/>
  <c r="AS170" i="1" s="1"/>
  <c r="AM193" i="1"/>
  <c r="AN167" i="1"/>
  <c r="AS167" i="1" s="1"/>
  <c r="AS94" i="1"/>
  <c r="AN169" i="1"/>
  <c r="AS169" i="1" s="1"/>
  <c r="AK25" i="1"/>
  <c r="V5" i="1" s="1"/>
  <c r="AJ25" i="1"/>
  <c r="U17" i="1" s="1"/>
  <c r="AI25" i="1"/>
  <c r="AH25" i="1"/>
  <c r="AG25" i="1"/>
  <c r="R24" i="1" s="1"/>
  <c r="BZ24" i="1" s="1"/>
  <c r="AM199" i="1"/>
  <c r="AP198" i="1"/>
  <c r="AM190" i="1"/>
  <c r="AR145" i="1"/>
  <c r="AR102" i="1"/>
  <c r="AR101" i="1"/>
  <c r="AR100" i="1"/>
  <c r="AR86" i="1"/>
  <c r="AR58" i="1"/>
  <c r="AR144" i="1"/>
  <c r="AR11" i="1"/>
  <c r="AR33" i="1"/>
  <c r="AN7" i="1"/>
  <c r="AS7" i="1" s="1"/>
  <c r="AK196" i="1"/>
  <c r="AR10" i="1"/>
  <c r="AR118" i="1"/>
  <c r="AR61" i="1"/>
  <c r="AR9" i="1"/>
  <c r="AR150" i="1"/>
  <c r="AR140" i="1"/>
  <c r="AR69" i="1"/>
  <c r="AN14" i="1"/>
  <c r="AS14" i="1" s="1"/>
  <c r="AR149" i="1"/>
  <c r="AR139" i="1"/>
  <c r="AR42" i="1"/>
  <c r="AR163" i="1"/>
  <c r="AR136" i="1"/>
  <c r="AR172" i="1"/>
  <c r="AR124" i="1"/>
  <c r="AR16" i="1"/>
  <c r="AR137" i="1"/>
  <c r="AN24" i="1"/>
  <c r="AS24" i="1" s="1"/>
  <c r="AJ197" i="1"/>
  <c r="AR171" i="1"/>
  <c r="AR113" i="1"/>
  <c r="AR15" i="1"/>
  <c r="AR154" i="1"/>
  <c r="AR180" i="1"/>
  <c r="AR153" i="1"/>
  <c r="AR179" i="1"/>
  <c r="AR152" i="1"/>
  <c r="AR178" i="1"/>
  <c r="AR138" i="1"/>
  <c r="AR164" i="1"/>
  <c r="AR111" i="1"/>
  <c r="AR170" i="1"/>
  <c r="AR65" i="1"/>
  <c r="AR85" i="1"/>
  <c r="AN11" i="1"/>
  <c r="AS11" i="1" s="1"/>
  <c r="CP201" i="1"/>
  <c r="DF201" i="1"/>
  <c r="DF196" i="1"/>
  <c r="CP196" i="1"/>
  <c r="DF192" i="1"/>
  <c r="CP192" i="1"/>
  <c r="DH195" i="1"/>
  <c r="CQ195" i="1"/>
  <c r="AW181" i="1"/>
  <c r="DF161" i="1"/>
  <c r="CP161" i="1"/>
  <c r="DI203" i="1"/>
  <c r="CQ203" i="1"/>
  <c r="DG188" i="1"/>
  <c r="CP188" i="1"/>
  <c r="CQ187" i="1"/>
  <c r="DI187" i="1"/>
  <c r="CQ191" i="1"/>
  <c r="DI191" i="1"/>
  <c r="AS173" i="1"/>
  <c r="CA173" i="1"/>
  <c r="DH164" i="1"/>
  <c r="AX181" i="1"/>
  <c r="AS172" i="1"/>
  <c r="CB172" i="1"/>
  <c r="DI206" i="1"/>
  <c r="CQ206" i="1"/>
  <c r="CQ199" i="1"/>
  <c r="DI199" i="1"/>
  <c r="DG190" i="1"/>
  <c r="CP190" i="1"/>
  <c r="CP202" i="1"/>
  <c r="CA176" i="1"/>
  <c r="AS176" i="1"/>
  <c r="CQ196" i="1"/>
  <c r="CQ188" i="1"/>
  <c r="CQ192" i="1"/>
  <c r="CQ193" i="1"/>
  <c r="AM198" i="1"/>
  <c r="AS165" i="1"/>
  <c r="AM188" i="1"/>
  <c r="AN164" i="1"/>
  <c r="AN117" i="1"/>
  <c r="AS117" i="1" s="1"/>
  <c r="AM195" i="1"/>
  <c r="AL195" i="1"/>
  <c r="AG187" i="1"/>
  <c r="AN166" i="1"/>
  <c r="AS166" i="1" s="1"/>
  <c r="AG181" i="1"/>
  <c r="AJ187" i="1"/>
  <c r="AS16" i="1"/>
  <c r="AM25" i="1"/>
  <c r="AN6" i="1"/>
  <c r="AR123" i="1"/>
  <c r="AR110" i="1"/>
  <c r="AR39" i="1"/>
  <c r="AS17" i="1"/>
  <c r="AR84" i="1"/>
  <c r="AN15" i="1"/>
  <c r="AS15" i="1" s="1"/>
  <c r="AR73" i="1"/>
  <c r="AR47" i="1"/>
  <c r="AR37" i="1"/>
  <c r="AR128" i="1"/>
  <c r="AR127" i="1"/>
  <c r="AR126" i="1"/>
  <c r="AR112" i="1"/>
  <c r="AR59" i="1"/>
  <c r="AR32" i="1"/>
  <c r="AN18" i="1"/>
  <c r="AS18" i="1" s="1"/>
  <c r="AR177" i="1"/>
  <c r="AR167" i="1"/>
  <c r="AR143" i="1"/>
  <c r="AR119" i="1"/>
  <c r="AR23" i="1"/>
  <c r="AS23" i="1"/>
  <c r="AQ188" i="1"/>
  <c r="AQ25" i="1"/>
  <c r="AO188" i="1"/>
  <c r="AR6" i="1"/>
  <c r="AN12" i="1"/>
  <c r="AS12" i="1" s="1"/>
  <c r="AN13" i="1"/>
  <c r="AS13" i="1" s="1"/>
  <c r="AL25" i="1"/>
  <c r="AR176" i="1"/>
  <c r="AR166" i="1"/>
  <c r="AR22" i="1"/>
  <c r="AS22" i="1"/>
  <c r="AR76" i="1"/>
  <c r="AR75" i="1"/>
  <c r="AR74" i="1"/>
  <c r="AR60" i="1"/>
  <c r="AO189" i="1"/>
  <c r="AR7" i="1"/>
  <c r="AP188" i="1"/>
  <c r="AR117" i="1"/>
  <c r="AR50" i="1"/>
  <c r="AR49" i="1"/>
  <c r="AR48" i="1"/>
  <c r="AQ190" i="1"/>
  <c r="AR34" i="1"/>
  <c r="AQ189" i="1"/>
  <c r="AP189" i="1"/>
  <c r="AN10" i="1"/>
  <c r="AS10" i="1" s="1"/>
  <c r="AR92" i="1"/>
  <c r="AR43" i="1"/>
  <c r="AO25" i="1"/>
  <c r="AR18" i="1"/>
  <c r="AR12" i="1"/>
  <c r="AR24" i="1"/>
  <c r="AP190" i="1"/>
  <c r="AR8" i="1"/>
  <c r="AO190" i="1"/>
  <c r="AP25" i="1"/>
  <c r="AR91" i="1"/>
  <c r="AR162" i="1"/>
  <c r="AR63" i="1"/>
  <c r="AR46" i="1"/>
  <c r="AR36" i="1"/>
  <c r="AR21" i="1"/>
  <c r="AR169" i="1"/>
  <c r="AR99" i="1"/>
  <c r="AR89" i="1"/>
  <c r="AR72" i="1"/>
  <c r="AR62" i="1"/>
  <c r="AR45" i="1"/>
  <c r="AR151" i="1"/>
  <c r="AR141" i="1"/>
  <c r="AR125" i="1"/>
  <c r="AR115" i="1"/>
  <c r="AR98" i="1"/>
  <c r="AR88" i="1"/>
  <c r="AR71" i="1"/>
  <c r="AR17" i="1"/>
  <c r="AR114" i="1"/>
  <c r="AR97" i="1"/>
  <c r="AR35" i="1"/>
  <c r="AR175" i="1"/>
  <c r="AR95" i="1"/>
  <c r="AR87" i="1"/>
  <c r="AR68" i="1"/>
  <c r="AR41" i="1"/>
  <c r="AR14" i="1"/>
  <c r="AR147" i="1"/>
  <c r="AR121" i="1"/>
  <c r="AR94" i="1"/>
  <c r="AR67" i="1"/>
  <c r="AR40" i="1"/>
  <c r="AR13" i="1"/>
  <c r="AR173" i="1"/>
  <c r="AR165" i="1"/>
  <c r="AR146" i="1"/>
  <c r="AR120" i="1"/>
  <c r="AR93" i="1"/>
  <c r="AR66" i="1"/>
  <c r="N180" i="1"/>
  <c r="N179" i="1"/>
  <c r="CP204" i="1"/>
  <c r="AW207" i="1"/>
  <c r="CQ205" i="1"/>
  <c r="CP205" i="1"/>
  <c r="DF205" i="1"/>
  <c r="E207" i="1"/>
  <c r="AX207" i="1"/>
  <c r="CQ204" i="1"/>
  <c r="N118" i="1"/>
  <c r="N66" i="1"/>
  <c r="B189" i="1"/>
  <c r="N6" i="1"/>
  <c r="N83" i="1"/>
  <c r="D25" i="1"/>
  <c r="N34" i="1"/>
  <c r="N111" i="1"/>
  <c r="N91" i="1"/>
  <c r="N67" i="1"/>
  <c r="N136" i="1"/>
  <c r="N97" i="1"/>
  <c r="N137" i="1"/>
  <c r="AV8" i="4"/>
  <c r="AF39" i="4"/>
  <c r="N60" i="1"/>
  <c r="B190" i="1"/>
  <c r="J25" i="1"/>
  <c r="N22" i="1"/>
  <c r="J181" i="1"/>
  <c r="B188" i="1"/>
  <c r="C25" i="1"/>
  <c r="F181" i="1"/>
  <c r="P39" i="4"/>
  <c r="AV39" i="4"/>
  <c r="X39" i="4"/>
  <c r="X36" i="4"/>
  <c r="AN39" i="4"/>
  <c r="AF68" i="4"/>
  <c r="AM148" i="8" l="1"/>
  <c r="BG28" i="8"/>
  <c r="AW28" i="8"/>
  <c r="BQ28" i="8"/>
  <c r="BF28" i="8"/>
  <c r="AM108" i="8"/>
  <c r="BC28" i="8"/>
  <c r="AT28" i="8"/>
  <c r="BL28" i="8"/>
  <c r="AY28" i="8"/>
  <c r="AQ28" i="8"/>
  <c r="BB28" i="8"/>
  <c r="BH28" i="8"/>
  <c r="AU28" i="8"/>
  <c r="BK28" i="8"/>
  <c r="BY28" i="8"/>
  <c r="BV28" i="8"/>
  <c r="BJ28" i="8"/>
  <c r="BE28" i="8"/>
  <c r="BT28" i="8"/>
  <c r="BI28" i="8"/>
  <c r="BW28" i="8"/>
  <c r="AS28" i="8"/>
  <c r="BD28" i="8"/>
  <c r="BU28" i="8"/>
  <c r="AV28" i="8"/>
  <c r="BN28" i="8"/>
  <c r="BP28" i="8"/>
  <c r="BO28" i="8"/>
  <c r="AR28" i="8"/>
  <c r="BM28" i="8"/>
  <c r="AZ28" i="8"/>
  <c r="BA28" i="8"/>
  <c r="BR28" i="8"/>
  <c r="BX28" i="8"/>
  <c r="AX28" i="8"/>
  <c r="BS28" i="8"/>
  <c r="E118" i="8"/>
  <c r="CC35" i="8"/>
  <c r="CC24" i="8"/>
  <c r="CC17" i="8"/>
  <c r="CC4" i="8"/>
  <c r="CC30" i="8"/>
  <c r="CC29" i="8"/>
  <c r="CC8" i="8"/>
  <c r="CC34" i="8"/>
  <c r="CC22" i="8"/>
  <c r="CC6" i="8"/>
  <c r="CC23" i="8"/>
  <c r="CC20" i="8"/>
  <c r="CC37" i="8"/>
  <c r="CC18" i="8"/>
  <c r="CC26" i="8"/>
  <c r="CC12" i="8"/>
  <c r="CC27" i="8"/>
  <c r="CC19" i="8"/>
  <c r="CC16" i="8"/>
  <c r="CC11" i="8"/>
  <c r="CC36" i="8"/>
  <c r="CC14" i="8"/>
  <c r="CC31" i="8"/>
  <c r="CC5" i="8"/>
  <c r="CC38" i="8"/>
  <c r="CC10" i="8"/>
  <c r="CC28" i="8"/>
  <c r="CC9" i="8"/>
  <c r="CC25" i="8"/>
  <c r="E158" i="8"/>
  <c r="CC33" i="8"/>
  <c r="CC13" i="8"/>
  <c r="CC21" i="8"/>
  <c r="CC7" i="8"/>
  <c r="CC15" i="8"/>
  <c r="CC32" i="8"/>
  <c r="D89" i="10"/>
  <c r="D86" i="10"/>
  <c r="D87" i="10"/>
  <c r="G86" i="10"/>
  <c r="G85" i="10"/>
  <c r="G89" i="10"/>
  <c r="G88" i="10"/>
  <c r="E52" i="10"/>
  <c r="E54" i="10"/>
  <c r="E55" i="10"/>
  <c r="CR28" i="8"/>
  <c r="CR38" i="8"/>
  <c r="CR37" i="8"/>
  <c r="CR12" i="8"/>
  <c r="CR23" i="8"/>
  <c r="CR35" i="8"/>
  <c r="CR26" i="8"/>
  <c r="CR9" i="8"/>
  <c r="CR18" i="8"/>
  <c r="CR15" i="8"/>
  <c r="CR10" i="8"/>
  <c r="CR34" i="8"/>
  <c r="CR5" i="8"/>
  <c r="CR36" i="8"/>
  <c r="CR6" i="8"/>
  <c r="CR20" i="8"/>
  <c r="CR29" i="8"/>
  <c r="CR16" i="8"/>
  <c r="CR8" i="8"/>
  <c r="CR13" i="8"/>
  <c r="CR11" i="8"/>
  <c r="CR31" i="8"/>
  <c r="CR30" i="8"/>
  <c r="CR25" i="8"/>
  <c r="CR17" i="8"/>
  <c r="CR24" i="8"/>
  <c r="CR7" i="8"/>
  <c r="CR19" i="8"/>
  <c r="CR33" i="8"/>
  <c r="CR4" i="8"/>
  <c r="CR32" i="8"/>
  <c r="CR21" i="8"/>
  <c r="CR14" i="8"/>
  <c r="T118" i="8"/>
  <c r="CR22" i="8"/>
  <c r="T158" i="8"/>
  <c r="CR27" i="8"/>
  <c r="BS12" i="8"/>
  <c r="BO12" i="8"/>
  <c r="BF12" i="8"/>
  <c r="AV12" i="8"/>
  <c r="BX12" i="8"/>
  <c r="BY12" i="8"/>
  <c r="BB12" i="8"/>
  <c r="BP12" i="8"/>
  <c r="BT12" i="8"/>
  <c r="AM92" i="8"/>
  <c r="AZ12" i="8"/>
  <c r="BK12" i="8"/>
  <c r="BR12" i="8"/>
  <c r="BJ12" i="8"/>
  <c r="AT12" i="8"/>
  <c r="BH12" i="8"/>
  <c r="AM132" i="8"/>
  <c r="BQ12" i="8"/>
  <c r="BE12" i="8"/>
  <c r="BI12" i="8"/>
  <c r="AS12" i="8"/>
  <c r="AX12" i="8"/>
  <c r="BU12" i="8"/>
  <c r="AY12" i="8"/>
  <c r="BA12" i="8"/>
  <c r="BW12" i="8"/>
  <c r="AU12" i="8"/>
  <c r="AW12" i="8"/>
  <c r="AR12" i="8"/>
  <c r="AQ12" i="8"/>
  <c r="BN12" i="8"/>
  <c r="BG12" i="8"/>
  <c r="BD12" i="8"/>
  <c r="BC12" i="8"/>
  <c r="BV12" i="8"/>
  <c r="BL12" i="8"/>
  <c r="BM12" i="8"/>
  <c r="DJ13" i="8"/>
  <c r="DJ31" i="8"/>
  <c r="DJ16" i="8"/>
  <c r="DJ27" i="8"/>
  <c r="DJ18" i="8"/>
  <c r="DJ35" i="8"/>
  <c r="DJ26" i="8"/>
  <c r="DJ38" i="8"/>
  <c r="DJ21" i="8"/>
  <c r="DJ11" i="8"/>
  <c r="AL118" i="8"/>
  <c r="DJ24" i="8"/>
  <c r="DJ33" i="8"/>
  <c r="DJ28" i="8"/>
  <c r="DJ25" i="8"/>
  <c r="DJ23" i="8"/>
  <c r="DJ9" i="8"/>
  <c r="DJ4" i="8"/>
  <c r="DJ6" i="8"/>
  <c r="DJ5" i="8"/>
  <c r="AL158" i="8"/>
  <c r="DJ14" i="8"/>
  <c r="DJ7" i="8"/>
  <c r="DJ17" i="8"/>
  <c r="DJ10" i="8"/>
  <c r="DJ34" i="8"/>
  <c r="DJ36" i="8"/>
  <c r="DJ20" i="8"/>
  <c r="DJ29" i="8"/>
  <c r="DJ32" i="8"/>
  <c r="DJ37" i="8"/>
  <c r="DJ15" i="8"/>
  <c r="DJ22" i="8"/>
  <c r="DJ30" i="8"/>
  <c r="DJ19" i="8"/>
  <c r="DJ8" i="8"/>
  <c r="DJ12" i="8"/>
  <c r="X118" i="8"/>
  <c r="X158" i="8"/>
  <c r="CV31" i="8"/>
  <c r="CV13" i="8"/>
  <c r="CV12" i="8"/>
  <c r="CV34" i="8"/>
  <c r="CV24" i="8"/>
  <c r="CV17" i="8"/>
  <c r="CV36" i="8"/>
  <c r="CV30" i="8"/>
  <c r="CV4" i="8"/>
  <c r="CV38" i="8"/>
  <c r="CV15" i="8"/>
  <c r="CV5" i="8"/>
  <c r="CV29" i="8"/>
  <c r="CV14" i="8"/>
  <c r="CV19" i="8"/>
  <c r="CV9" i="8"/>
  <c r="CV27" i="8"/>
  <c r="CV11" i="8"/>
  <c r="CV25" i="8"/>
  <c r="CV8" i="8"/>
  <c r="CV26" i="8"/>
  <c r="CV10" i="8"/>
  <c r="CV37" i="8"/>
  <c r="CV23" i="8"/>
  <c r="CV6" i="8"/>
  <c r="CV28" i="8"/>
  <c r="CV22" i="8"/>
  <c r="CV35" i="8"/>
  <c r="CV32" i="8"/>
  <c r="CV20" i="8"/>
  <c r="CV21" i="8"/>
  <c r="CV18" i="8"/>
  <c r="CV16" i="8"/>
  <c r="CV7" i="8"/>
  <c r="CV33" i="8"/>
  <c r="CO24" i="8"/>
  <c r="CO28" i="8"/>
  <c r="CO38" i="8"/>
  <c r="CO32" i="8"/>
  <c r="CO19" i="8"/>
  <c r="CO18" i="8"/>
  <c r="CO26" i="8"/>
  <c r="CO8" i="8"/>
  <c r="CO33" i="8"/>
  <c r="CO16" i="8"/>
  <c r="CO30" i="8"/>
  <c r="CO34" i="8"/>
  <c r="CO31" i="8"/>
  <c r="CO10" i="8"/>
  <c r="CO27" i="8"/>
  <c r="CO17" i="8"/>
  <c r="Q158" i="8"/>
  <c r="CO29" i="8"/>
  <c r="CO14" i="8"/>
  <c r="CO15" i="8"/>
  <c r="CO22" i="8"/>
  <c r="CO13" i="8"/>
  <c r="CO12" i="8"/>
  <c r="CO7" i="8"/>
  <c r="CO21" i="8"/>
  <c r="CO9" i="8"/>
  <c r="CO36" i="8"/>
  <c r="CO11" i="8"/>
  <c r="CO5" i="8"/>
  <c r="CO35" i="8"/>
  <c r="CO37" i="8"/>
  <c r="CO23" i="8"/>
  <c r="CO25" i="8"/>
  <c r="CO6" i="8"/>
  <c r="CO20" i="8"/>
  <c r="Q118" i="8"/>
  <c r="CO4" i="8"/>
  <c r="BF36" i="8"/>
  <c r="BA36" i="8"/>
  <c r="AV36" i="8"/>
  <c r="AQ36" i="8"/>
  <c r="BW36" i="8"/>
  <c r="AX36" i="8"/>
  <c r="AT36" i="8"/>
  <c r="AM116" i="8"/>
  <c r="BG36" i="8"/>
  <c r="AZ36" i="8"/>
  <c r="BM36" i="8"/>
  <c r="BC36" i="8"/>
  <c r="AW36" i="8"/>
  <c r="BB36" i="8"/>
  <c r="BN36" i="8"/>
  <c r="BY36" i="8"/>
  <c r="BR36" i="8"/>
  <c r="BI36" i="8"/>
  <c r="BQ36" i="8"/>
  <c r="BV36" i="8"/>
  <c r="BK36" i="8"/>
  <c r="BS36" i="8"/>
  <c r="BJ36" i="8"/>
  <c r="AU36" i="8"/>
  <c r="BH36" i="8"/>
  <c r="BL36" i="8"/>
  <c r="BE36" i="8"/>
  <c r="AS36" i="8"/>
  <c r="BX36" i="8"/>
  <c r="AR36" i="8"/>
  <c r="BD36" i="8"/>
  <c r="AM156" i="8"/>
  <c r="BU36" i="8"/>
  <c r="BT36" i="8"/>
  <c r="AY36" i="8"/>
  <c r="BP36" i="8"/>
  <c r="BO36" i="8"/>
  <c r="AM131" i="8"/>
  <c r="BL11" i="8"/>
  <c r="AX11" i="8"/>
  <c r="AS11" i="8"/>
  <c r="BH11" i="8"/>
  <c r="AZ11" i="8"/>
  <c r="BT11" i="8"/>
  <c r="BM11" i="8"/>
  <c r="AT11" i="8"/>
  <c r="AW11" i="8"/>
  <c r="BO11" i="8"/>
  <c r="BE11" i="8"/>
  <c r="AU11" i="8"/>
  <c r="BD11" i="8"/>
  <c r="BC11" i="8"/>
  <c r="BJ11" i="8"/>
  <c r="BX11" i="8"/>
  <c r="BQ11" i="8"/>
  <c r="BV11" i="8"/>
  <c r="BK11" i="8"/>
  <c r="AR11" i="8"/>
  <c r="AQ11" i="8"/>
  <c r="BG11" i="8"/>
  <c r="BP11" i="8"/>
  <c r="AM91" i="8"/>
  <c r="BF11" i="8"/>
  <c r="BY11" i="8"/>
  <c r="BW11" i="8"/>
  <c r="BI11" i="8"/>
  <c r="AY11" i="8"/>
  <c r="BB11" i="8"/>
  <c r="BN11" i="8"/>
  <c r="BU11" i="8"/>
  <c r="BA11" i="8"/>
  <c r="AV11" i="8"/>
  <c r="BS11" i="8"/>
  <c r="BR11" i="8"/>
  <c r="AM84" i="8"/>
  <c r="BS4" i="8"/>
  <c r="AQ4" i="8"/>
  <c r="AT4" i="8"/>
  <c r="AM124" i="8"/>
  <c r="BE4" i="8"/>
  <c r="BA4" i="8"/>
  <c r="BQ4" i="8"/>
  <c r="BL4" i="8"/>
  <c r="BD4" i="8"/>
  <c r="BK4" i="8"/>
  <c r="BO4" i="8"/>
  <c r="AY4" i="8"/>
  <c r="AW4" i="8"/>
  <c r="BG4" i="8"/>
  <c r="BU4" i="8"/>
  <c r="AV4" i="8"/>
  <c r="BX4" i="8"/>
  <c r="AX4" i="8"/>
  <c r="BH4" i="8"/>
  <c r="BV4" i="8"/>
  <c r="BI4" i="8"/>
  <c r="BT4" i="8"/>
  <c r="AR4" i="8"/>
  <c r="AZ4" i="8"/>
  <c r="BM4" i="8"/>
  <c r="BR4" i="8"/>
  <c r="BN4" i="8"/>
  <c r="BW4" i="8"/>
  <c r="BC4" i="8"/>
  <c r="BB4" i="8"/>
  <c r="AS4" i="8"/>
  <c r="BP4" i="8"/>
  <c r="BF4" i="8"/>
  <c r="AM38" i="8"/>
  <c r="BJ4" i="8"/>
  <c r="BY4" i="8"/>
  <c r="AU4" i="8"/>
  <c r="DH33" i="8"/>
  <c r="DH25" i="8"/>
  <c r="DH9" i="8"/>
  <c r="DH30" i="8"/>
  <c r="DH35" i="8"/>
  <c r="DH16" i="8"/>
  <c r="DH28" i="8"/>
  <c r="DH24" i="8"/>
  <c r="DH7" i="8"/>
  <c r="DH36" i="8"/>
  <c r="DH14" i="8"/>
  <c r="DH8" i="8"/>
  <c r="DH20" i="8"/>
  <c r="DH10" i="8"/>
  <c r="DH19" i="8"/>
  <c r="DH17" i="8"/>
  <c r="DH32" i="8"/>
  <c r="DH13" i="8"/>
  <c r="AJ118" i="8"/>
  <c r="DH29" i="8"/>
  <c r="DH23" i="8"/>
  <c r="DH26" i="8"/>
  <c r="DH4" i="8"/>
  <c r="DH22" i="8"/>
  <c r="DH12" i="8"/>
  <c r="DH37" i="8"/>
  <c r="DH6" i="8"/>
  <c r="DH31" i="8"/>
  <c r="DH18" i="8"/>
  <c r="AJ158" i="8"/>
  <c r="DH21" i="8"/>
  <c r="DH38" i="8"/>
  <c r="DH11" i="8"/>
  <c r="DH34" i="8"/>
  <c r="DH27" i="8"/>
  <c r="DH15" i="8"/>
  <c r="DH5" i="8"/>
  <c r="AW9" i="8"/>
  <c r="BI9" i="8"/>
  <c r="BN9" i="8"/>
  <c r="BK9" i="8"/>
  <c r="BP9" i="8"/>
  <c r="BW9" i="8"/>
  <c r="BJ9" i="8"/>
  <c r="AU9" i="8"/>
  <c r="AS9" i="8"/>
  <c r="AT9" i="8"/>
  <c r="BB9" i="8"/>
  <c r="BE9" i="8"/>
  <c r="AZ9" i="8"/>
  <c r="AV9" i="8"/>
  <c r="BO9" i="8"/>
  <c r="AX9" i="8"/>
  <c r="BG9" i="8"/>
  <c r="BQ9" i="8"/>
  <c r="BR9" i="8"/>
  <c r="AQ9" i="8"/>
  <c r="AY9" i="8"/>
  <c r="AM89" i="8"/>
  <c r="BD9" i="8"/>
  <c r="BX9" i="8"/>
  <c r="BT9" i="8"/>
  <c r="BV9" i="8"/>
  <c r="BF9" i="8"/>
  <c r="BA9" i="8"/>
  <c r="BS9" i="8"/>
  <c r="BL9" i="8"/>
  <c r="AR9" i="8"/>
  <c r="BH9" i="8"/>
  <c r="BC9" i="8"/>
  <c r="BU9" i="8"/>
  <c r="AM129" i="8"/>
  <c r="BY9" i="8"/>
  <c r="BM9" i="8"/>
  <c r="CP23" i="8"/>
  <c r="CP9" i="8"/>
  <c r="CP24" i="8"/>
  <c r="CP32" i="8"/>
  <c r="CP18" i="8"/>
  <c r="CP20" i="8"/>
  <c r="CP16" i="8"/>
  <c r="CP17" i="8"/>
  <c r="R118" i="8"/>
  <c r="CP25" i="8"/>
  <c r="CP12" i="8"/>
  <c r="CP8" i="8"/>
  <c r="CP15" i="8"/>
  <c r="CP28" i="8"/>
  <c r="CP29" i="8"/>
  <c r="CP6" i="8"/>
  <c r="CP4" i="8"/>
  <c r="CP36" i="8"/>
  <c r="CP19" i="8"/>
  <c r="CP5" i="8"/>
  <c r="CP22" i="8"/>
  <c r="R158" i="8"/>
  <c r="CP35" i="8"/>
  <c r="CP38" i="8"/>
  <c r="CP10" i="8"/>
  <c r="CP21" i="8"/>
  <c r="CP26" i="8"/>
  <c r="CP31" i="8"/>
  <c r="CP33" i="8"/>
  <c r="CP34" i="8"/>
  <c r="CP13" i="8"/>
  <c r="CP37" i="8"/>
  <c r="CP27" i="8"/>
  <c r="CP7" i="8"/>
  <c r="CP11" i="8"/>
  <c r="CP14" i="8"/>
  <c r="CP30" i="8"/>
  <c r="AM150" i="8"/>
  <c r="BM30" i="8"/>
  <c r="BY30" i="8"/>
  <c r="BP30" i="8"/>
  <c r="AX30" i="8"/>
  <c r="BF30" i="8"/>
  <c r="AR30" i="8"/>
  <c r="BG30" i="8"/>
  <c r="AU30" i="8"/>
  <c r="BX30" i="8"/>
  <c r="BI30" i="8"/>
  <c r="AM110" i="8"/>
  <c r="BB30" i="8"/>
  <c r="BT30" i="8"/>
  <c r="AW30" i="8"/>
  <c r="AT30" i="8"/>
  <c r="BC30" i="8"/>
  <c r="BH30" i="8"/>
  <c r="BN30" i="8"/>
  <c r="BR30" i="8"/>
  <c r="AY30" i="8"/>
  <c r="BQ30" i="8"/>
  <c r="BU30" i="8"/>
  <c r="BO30" i="8"/>
  <c r="BS30" i="8"/>
  <c r="AS30" i="8"/>
  <c r="BL30" i="8"/>
  <c r="BK30" i="8"/>
  <c r="BJ30" i="8"/>
  <c r="AQ30" i="8"/>
  <c r="BE30" i="8"/>
  <c r="AV30" i="8"/>
  <c r="BW30" i="8"/>
  <c r="BV30" i="8"/>
  <c r="BD30" i="8"/>
  <c r="BA30" i="8"/>
  <c r="AZ30" i="8"/>
  <c r="D49" i="10"/>
  <c r="D52" i="10"/>
  <c r="D55" i="10"/>
  <c r="E86" i="10"/>
  <c r="E89" i="10"/>
  <c r="E85" i="10"/>
  <c r="E84" i="10"/>
  <c r="E90" i="10"/>
  <c r="F118" i="8"/>
  <c r="CD30" i="8"/>
  <c r="CD19" i="8"/>
  <c r="CD6" i="8"/>
  <c r="CD36" i="8"/>
  <c r="CD25" i="8"/>
  <c r="CD11" i="8"/>
  <c r="CD9" i="8"/>
  <c r="CD28" i="8"/>
  <c r="CD33" i="8"/>
  <c r="CD13" i="8"/>
  <c r="CD34" i="8"/>
  <c r="CD37" i="8"/>
  <c r="CD5" i="8"/>
  <c r="CD32" i="8"/>
  <c r="CD17" i="8"/>
  <c r="CD7" i="8"/>
  <c r="CD27" i="8"/>
  <c r="CD14" i="8"/>
  <c r="F158" i="8"/>
  <c r="CD29" i="8"/>
  <c r="CD38" i="8"/>
  <c r="CD8" i="8"/>
  <c r="CD26" i="8"/>
  <c r="CD4" i="8"/>
  <c r="CD31" i="8"/>
  <c r="CD23" i="8"/>
  <c r="CD22" i="8"/>
  <c r="CD21" i="8"/>
  <c r="CD20" i="8"/>
  <c r="CD16" i="8"/>
  <c r="CD10" i="8"/>
  <c r="CD15" i="8"/>
  <c r="CD12" i="8"/>
  <c r="CD24" i="8"/>
  <c r="CD18" i="8"/>
  <c r="CD35" i="8"/>
  <c r="CQ17" i="8"/>
  <c r="CQ27" i="8"/>
  <c r="CQ35" i="8"/>
  <c r="CQ11" i="8"/>
  <c r="CQ21" i="8"/>
  <c r="CQ6" i="8"/>
  <c r="S158" i="8"/>
  <c r="CQ36" i="8"/>
  <c r="CQ29" i="8"/>
  <c r="CQ34" i="8"/>
  <c r="CQ16" i="8"/>
  <c r="CQ18" i="8"/>
  <c r="CQ28" i="8"/>
  <c r="CQ20" i="8"/>
  <c r="CQ37" i="8"/>
  <c r="CQ30" i="8"/>
  <c r="CQ26" i="8"/>
  <c r="CQ23" i="8"/>
  <c r="CQ12" i="8"/>
  <c r="CQ10" i="8"/>
  <c r="CQ13" i="8"/>
  <c r="S118" i="8"/>
  <c r="CQ33" i="8"/>
  <c r="CQ7" i="8"/>
  <c r="CQ19" i="8"/>
  <c r="CQ8" i="8"/>
  <c r="CQ31" i="8"/>
  <c r="CQ9" i="8"/>
  <c r="CQ22" i="8"/>
  <c r="CQ25" i="8"/>
  <c r="CQ4" i="8"/>
  <c r="CQ14" i="8"/>
  <c r="CQ24" i="8"/>
  <c r="CQ5" i="8"/>
  <c r="CQ15" i="8"/>
  <c r="CQ38" i="8"/>
  <c r="CQ32" i="8"/>
  <c r="CF20" i="8"/>
  <c r="CF9" i="8"/>
  <c r="CF32" i="8"/>
  <c r="CF26" i="8"/>
  <c r="CF37" i="8"/>
  <c r="CF17" i="8"/>
  <c r="CF30" i="8"/>
  <c r="CF18" i="8"/>
  <c r="CF5" i="8"/>
  <c r="CF22" i="8"/>
  <c r="H118" i="8"/>
  <c r="CF14" i="8"/>
  <c r="CF38" i="8"/>
  <c r="CF16" i="8"/>
  <c r="CF33" i="8"/>
  <c r="CF19" i="8"/>
  <c r="CF15" i="8"/>
  <c r="CF31" i="8"/>
  <c r="CF24" i="8"/>
  <c r="CF34" i="8"/>
  <c r="CF35" i="8"/>
  <c r="CF29" i="8"/>
  <c r="CF12" i="8"/>
  <c r="CF11" i="8"/>
  <c r="CF4" i="8"/>
  <c r="H158" i="8"/>
  <c r="CF8" i="8"/>
  <c r="CF10" i="8"/>
  <c r="CF6" i="8"/>
  <c r="CF13" i="8"/>
  <c r="CF21" i="8"/>
  <c r="CF25" i="8"/>
  <c r="CF23" i="8"/>
  <c r="CF36" i="8"/>
  <c r="CF7" i="8"/>
  <c r="CF27" i="8"/>
  <c r="CF28" i="8"/>
  <c r="BE7" i="8"/>
  <c r="AM87" i="8"/>
  <c r="BF7" i="8"/>
  <c r="BM7" i="8"/>
  <c r="BQ7" i="8"/>
  <c r="BU7" i="8"/>
  <c r="BP7" i="8"/>
  <c r="AR7" i="8"/>
  <c r="BL7" i="8"/>
  <c r="BN7" i="8"/>
  <c r="AS7" i="8"/>
  <c r="BR7" i="8"/>
  <c r="BJ7" i="8"/>
  <c r="BO7" i="8"/>
  <c r="BA7" i="8"/>
  <c r="AW7" i="8"/>
  <c r="BI7" i="8"/>
  <c r="AQ7" i="8"/>
  <c r="AX7" i="8"/>
  <c r="AZ7" i="8"/>
  <c r="BV7" i="8"/>
  <c r="BK7" i="8"/>
  <c r="AU7" i="8"/>
  <c r="BX7" i="8"/>
  <c r="BD7" i="8"/>
  <c r="BW7" i="8"/>
  <c r="AV7" i="8"/>
  <c r="BB7" i="8"/>
  <c r="BS7" i="8"/>
  <c r="BY7" i="8"/>
  <c r="BC7" i="8"/>
  <c r="AY7" i="8"/>
  <c r="BH7" i="8"/>
  <c r="BG7" i="8"/>
  <c r="BT7" i="8"/>
  <c r="AT7" i="8"/>
  <c r="AM127" i="8"/>
  <c r="AM102" i="8"/>
  <c r="BC22" i="8"/>
  <c r="AR22" i="8"/>
  <c r="BK22" i="8"/>
  <c r="AY22" i="8"/>
  <c r="BP22" i="8"/>
  <c r="AV22" i="8"/>
  <c r="BD22" i="8"/>
  <c r="AS22" i="8"/>
  <c r="BI22" i="8"/>
  <c r="BB22" i="8"/>
  <c r="BO22" i="8"/>
  <c r="BS22" i="8"/>
  <c r="BN22" i="8"/>
  <c r="BR22" i="8"/>
  <c r="BM22" i="8"/>
  <c r="AM142" i="8"/>
  <c r="AX22" i="8"/>
  <c r="BL22" i="8"/>
  <c r="BQ22" i="8"/>
  <c r="AU22" i="8"/>
  <c r="AW22" i="8"/>
  <c r="AT22" i="8"/>
  <c r="AQ22" i="8"/>
  <c r="BY22" i="8"/>
  <c r="BJ22" i="8"/>
  <c r="BU22" i="8"/>
  <c r="BH22" i="8"/>
  <c r="BT22" i="8"/>
  <c r="BW22" i="8"/>
  <c r="BA22" i="8"/>
  <c r="BX22" i="8"/>
  <c r="BV22" i="8"/>
  <c r="BF22" i="8"/>
  <c r="BE22" i="8"/>
  <c r="BG22" i="8"/>
  <c r="AZ22" i="8"/>
  <c r="AH158" i="8"/>
  <c r="DF31" i="8"/>
  <c r="DF26" i="8"/>
  <c r="DF24" i="8"/>
  <c r="DF9" i="8"/>
  <c r="DF34" i="8"/>
  <c r="DF15" i="8"/>
  <c r="DF10" i="8"/>
  <c r="DF28" i="8"/>
  <c r="DF22" i="8"/>
  <c r="DF11" i="8"/>
  <c r="AH118" i="8"/>
  <c r="DF29" i="8"/>
  <c r="DF6" i="8"/>
  <c r="DF17" i="8"/>
  <c r="DF8" i="8"/>
  <c r="DF32" i="8"/>
  <c r="DF5" i="8"/>
  <c r="DF20" i="8"/>
  <c r="DF13" i="8"/>
  <c r="DF35" i="8"/>
  <c r="DF7" i="8"/>
  <c r="DF4" i="8"/>
  <c r="DF38" i="8"/>
  <c r="DF19" i="8"/>
  <c r="DF12" i="8"/>
  <c r="DF30" i="8"/>
  <c r="DF25" i="8"/>
  <c r="DF14" i="8"/>
  <c r="DF36" i="8"/>
  <c r="DF16" i="8"/>
  <c r="DF33" i="8"/>
  <c r="DF21" i="8"/>
  <c r="DF27" i="8"/>
  <c r="DF18" i="8"/>
  <c r="DF23" i="8"/>
  <c r="DF37" i="8"/>
  <c r="AM105" i="8"/>
  <c r="BB25" i="8"/>
  <c r="BU25" i="8"/>
  <c r="BN25" i="8"/>
  <c r="AQ25" i="8"/>
  <c r="BA25" i="8"/>
  <c r="BM25" i="8"/>
  <c r="BS25" i="8"/>
  <c r="AM145" i="8"/>
  <c r="BF25" i="8"/>
  <c r="AW25" i="8"/>
  <c r="AX25" i="8"/>
  <c r="BT25" i="8"/>
  <c r="BD25" i="8"/>
  <c r="BI25" i="8"/>
  <c r="AV25" i="8"/>
  <c r="BO25" i="8"/>
  <c r="BG25" i="8"/>
  <c r="BP25" i="8"/>
  <c r="BE25" i="8"/>
  <c r="AU25" i="8"/>
  <c r="BX25" i="8"/>
  <c r="BL25" i="8"/>
  <c r="BC25" i="8"/>
  <c r="BJ25" i="8"/>
  <c r="BW25" i="8"/>
  <c r="BH25" i="8"/>
  <c r="BV25" i="8"/>
  <c r="BR25" i="8"/>
  <c r="AR25" i="8"/>
  <c r="BK25" i="8"/>
  <c r="AZ25" i="8"/>
  <c r="BY25" i="8"/>
  <c r="AY25" i="8"/>
  <c r="BQ25" i="8"/>
  <c r="AT25" i="8"/>
  <c r="AS25" i="8"/>
  <c r="DE38" i="8"/>
  <c r="DE32" i="8"/>
  <c r="DE18" i="8"/>
  <c r="DE9" i="8"/>
  <c r="AG118" i="8"/>
  <c r="DE36" i="8"/>
  <c r="DE17" i="8"/>
  <c r="DE7" i="8"/>
  <c r="DE33" i="8"/>
  <c r="DE25" i="8"/>
  <c r="DE8" i="8"/>
  <c r="AG158" i="8"/>
  <c r="DE35" i="8"/>
  <c r="DE21" i="8"/>
  <c r="DE5" i="8"/>
  <c r="DE29" i="8"/>
  <c r="DE6" i="8"/>
  <c r="DE11" i="8"/>
  <c r="DE13" i="8"/>
  <c r="DE22" i="8"/>
  <c r="DE4" i="8"/>
  <c r="DE34" i="8"/>
  <c r="DE27" i="8"/>
  <c r="DE23" i="8"/>
  <c r="DE37" i="8"/>
  <c r="DE24" i="8"/>
  <c r="DE12" i="8"/>
  <c r="DE28" i="8"/>
  <c r="DE14" i="8"/>
  <c r="DE30" i="8"/>
  <c r="DE15" i="8"/>
  <c r="DE26" i="8"/>
  <c r="DE10" i="8"/>
  <c r="DE20" i="8"/>
  <c r="DE19" i="8"/>
  <c r="DE16" i="8"/>
  <c r="DE31" i="8"/>
  <c r="BW19" i="8"/>
  <c r="BL19" i="8"/>
  <c r="BS19" i="8"/>
  <c r="BB19" i="8"/>
  <c r="AW19" i="8"/>
  <c r="AQ19" i="8"/>
  <c r="BG19" i="8"/>
  <c r="BE19" i="8"/>
  <c r="AR19" i="8"/>
  <c r="BO19" i="8"/>
  <c r="AS19" i="8"/>
  <c r="BJ19" i="8"/>
  <c r="AX19" i="8"/>
  <c r="BV19" i="8"/>
  <c r="BA19" i="8"/>
  <c r="AT19" i="8"/>
  <c r="BI19" i="8"/>
  <c r="BY19" i="8"/>
  <c r="BX19" i="8"/>
  <c r="AM99" i="8"/>
  <c r="BQ19" i="8"/>
  <c r="BP19" i="8"/>
  <c r="BC19" i="8"/>
  <c r="BH19" i="8"/>
  <c r="BR19" i="8"/>
  <c r="BF19" i="8"/>
  <c r="BN19" i="8"/>
  <c r="BD19" i="8"/>
  <c r="AM139" i="8"/>
  <c r="BM19" i="8"/>
  <c r="AZ19" i="8"/>
  <c r="AY19" i="8"/>
  <c r="AV19" i="8"/>
  <c r="AU19" i="8"/>
  <c r="BU19" i="8"/>
  <c r="BK19" i="8"/>
  <c r="BT19" i="8"/>
  <c r="D84" i="10"/>
  <c r="H10" i="10"/>
  <c r="E88" i="10"/>
  <c r="BN20" i="8"/>
  <c r="BS20" i="8"/>
  <c r="BA20" i="8"/>
  <c r="AW20" i="8"/>
  <c r="BP20" i="8"/>
  <c r="AV20" i="8"/>
  <c r="AM100" i="8"/>
  <c r="BT20" i="8"/>
  <c r="BI20" i="8"/>
  <c r="BE20" i="8"/>
  <c r="BW20" i="8"/>
  <c r="AS20" i="8"/>
  <c r="BF20" i="8"/>
  <c r="BL20" i="8"/>
  <c r="BD20" i="8"/>
  <c r="AR20" i="8"/>
  <c r="BC20" i="8"/>
  <c r="BH20" i="8"/>
  <c r="BB20" i="8"/>
  <c r="BG20" i="8"/>
  <c r="AY20" i="8"/>
  <c r="BO20" i="8"/>
  <c r="BK20" i="8"/>
  <c r="BJ20" i="8"/>
  <c r="AZ20" i="8"/>
  <c r="AU20" i="8"/>
  <c r="BR20" i="8"/>
  <c r="AT20" i="8"/>
  <c r="AX20" i="8"/>
  <c r="BY20" i="8"/>
  <c r="BV20" i="8"/>
  <c r="AM140" i="8"/>
  <c r="BX20" i="8"/>
  <c r="BQ20" i="8"/>
  <c r="BM20" i="8"/>
  <c r="BU20" i="8"/>
  <c r="AQ20" i="8"/>
  <c r="AM135" i="8"/>
  <c r="AT15" i="8"/>
  <c r="BF15" i="8"/>
  <c r="BY15" i="8"/>
  <c r="AR15" i="8"/>
  <c r="BV15" i="8"/>
  <c r="BE15" i="8"/>
  <c r="AU15" i="8"/>
  <c r="BG15" i="8"/>
  <c r="BU15" i="8"/>
  <c r="AM95" i="8"/>
  <c r="AS15" i="8"/>
  <c r="BA15" i="8"/>
  <c r="BL15" i="8"/>
  <c r="AX15" i="8"/>
  <c r="BK15" i="8"/>
  <c r="AW15" i="8"/>
  <c r="AQ15" i="8"/>
  <c r="BJ15" i="8"/>
  <c r="BO15" i="8"/>
  <c r="BI15" i="8"/>
  <c r="BT15" i="8"/>
  <c r="BQ15" i="8"/>
  <c r="BH15" i="8"/>
  <c r="BS15" i="8"/>
  <c r="BN15" i="8"/>
  <c r="BW15" i="8"/>
  <c r="AZ15" i="8"/>
  <c r="AV15" i="8"/>
  <c r="BP15" i="8"/>
  <c r="BM15" i="8"/>
  <c r="BX15" i="8"/>
  <c r="BR15" i="8"/>
  <c r="BC15" i="8"/>
  <c r="BB15" i="8"/>
  <c r="BD15" i="8"/>
  <c r="AY15" i="8"/>
  <c r="AM93" i="8"/>
  <c r="AM133" i="8"/>
  <c r="BY13" i="8"/>
  <c r="BM13" i="8"/>
  <c r="BS13" i="8"/>
  <c r="BH13" i="8"/>
  <c r="BB13" i="8"/>
  <c r="BW13" i="8"/>
  <c r="BL13" i="8"/>
  <c r="BX13" i="8"/>
  <c r="AT13" i="8"/>
  <c r="BA13" i="8"/>
  <c r="BP13" i="8"/>
  <c r="BG13" i="8"/>
  <c r="AY13" i="8"/>
  <c r="BQ13" i="8"/>
  <c r="BR13" i="8"/>
  <c r="AU13" i="8"/>
  <c r="BI13" i="8"/>
  <c r="BD13" i="8"/>
  <c r="AQ13" i="8"/>
  <c r="AX13" i="8"/>
  <c r="AR13" i="8"/>
  <c r="BU13" i="8"/>
  <c r="BT13" i="8"/>
  <c r="BF13" i="8"/>
  <c r="BO13" i="8"/>
  <c r="AW13" i="8"/>
  <c r="AV13" i="8"/>
  <c r="AS13" i="8"/>
  <c r="BN13" i="8"/>
  <c r="BK13" i="8"/>
  <c r="BJ13" i="8"/>
  <c r="BE13" i="8"/>
  <c r="BC13" i="8"/>
  <c r="AZ13" i="8"/>
  <c r="BV13" i="8"/>
  <c r="AM138" i="8"/>
  <c r="AX18" i="8"/>
  <c r="BG18" i="8"/>
  <c r="AU18" i="8"/>
  <c r="BB18" i="8"/>
  <c r="BK18" i="8"/>
  <c r="AV18" i="8"/>
  <c r="AW18" i="8"/>
  <c r="BD18" i="8"/>
  <c r="BT18" i="8"/>
  <c r="BO18" i="8"/>
  <c r="AZ18" i="8"/>
  <c r="BN18" i="8"/>
  <c r="BY18" i="8"/>
  <c r="BM18" i="8"/>
  <c r="BX18" i="8"/>
  <c r="BL18" i="8"/>
  <c r="BW18" i="8"/>
  <c r="BJ18" i="8"/>
  <c r="BI18" i="8"/>
  <c r="AT18" i="8"/>
  <c r="BV18" i="8"/>
  <c r="BH18" i="8"/>
  <c r="BU18" i="8"/>
  <c r="BR18" i="8"/>
  <c r="BC18" i="8"/>
  <c r="AR18" i="8"/>
  <c r="BA18" i="8"/>
  <c r="BQ18" i="8"/>
  <c r="BP18" i="8"/>
  <c r="BE18" i="8"/>
  <c r="AS18" i="8"/>
  <c r="AQ18" i="8"/>
  <c r="BS18" i="8"/>
  <c r="AM98" i="8"/>
  <c r="AY18" i="8"/>
  <c r="BF18" i="8"/>
  <c r="AM112" i="8"/>
  <c r="BX32" i="8"/>
  <c r="BS32" i="8"/>
  <c r="BL32" i="8"/>
  <c r="BE32" i="8"/>
  <c r="AY32" i="8"/>
  <c r="BF32" i="8"/>
  <c r="AM152" i="8"/>
  <c r="BJ32" i="8"/>
  <c r="BB32" i="8"/>
  <c r="BQ32" i="8"/>
  <c r="AR32" i="8"/>
  <c r="BY32" i="8"/>
  <c r="AX32" i="8"/>
  <c r="AS32" i="8"/>
  <c r="BD32" i="8"/>
  <c r="AV32" i="8"/>
  <c r="BW32" i="8"/>
  <c r="BO32" i="8"/>
  <c r="BC32" i="8"/>
  <c r="BN32" i="8"/>
  <c r="BV32" i="8"/>
  <c r="BM32" i="8"/>
  <c r="BU32" i="8"/>
  <c r="BK32" i="8"/>
  <c r="BA32" i="8"/>
  <c r="AW32" i="8"/>
  <c r="BH32" i="8"/>
  <c r="BR32" i="8"/>
  <c r="AQ32" i="8"/>
  <c r="BI32" i="8"/>
  <c r="AT32" i="8"/>
  <c r="BG32" i="8"/>
  <c r="BT32" i="8"/>
  <c r="AZ32" i="8"/>
  <c r="BP32" i="8"/>
  <c r="AU32" i="8"/>
  <c r="K118" i="8"/>
  <c r="CI31" i="8"/>
  <c r="CI26" i="8"/>
  <c r="CI10" i="8"/>
  <c r="CI9" i="8"/>
  <c r="CI34" i="8"/>
  <c r="CI11" i="8"/>
  <c r="CI24" i="8"/>
  <c r="CI32" i="8"/>
  <c r="CI28" i="8"/>
  <c r="CI4" i="8"/>
  <c r="CI35" i="8"/>
  <c r="CI20" i="8"/>
  <c r="CI15" i="8"/>
  <c r="CI27" i="8"/>
  <c r="CI19" i="8"/>
  <c r="CI7" i="8"/>
  <c r="K158" i="8"/>
  <c r="CI23" i="8"/>
  <c r="CI36" i="8"/>
  <c r="CI5" i="8"/>
  <c r="CI17" i="8"/>
  <c r="CI18" i="8"/>
  <c r="CI14" i="8"/>
  <c r="CI38" i="8"/>
  <c r="CI13" i="8"/>
  <c r="CI37" i="8"/>
  <c r="CI8" i="8"/>
  <c r="CI33" i="8"/>
  <c r="CI6" i="8"/>
  <c r="CI21" i="8"/>
  <c r="CI16" i="8"/>
  <c r="CI29" i="8"/>
  <c r="CI22" i="8"/>
  <c r="CI12" i="8"/>
  <c r="CI25" i="8"/>
  <c r="CI30" i="8"/>
  <c r="CH37" i="8"/>
  <c r="CH23" i="8"/>
  <c r="CH29" i="8"/>
  <c r="CH14" i="8"/>
  <c r="CH16" i="8"/>
  <c r="J158" i="8"/>
  <c r="CH26" i="8"/>
  <c r="CH25" i="8"/>
  <c r="CH5" i="8"/>
  <c r="CH38" i="8"/>
  <c r="CH27" i="8"/>
  <c r="CH6" i="8"/>
  <c r="CH30" i="8"/>
  <c r="CH28" i="8"/>
  <c r="CH21" i="8"/>
  <c r="CH36" i="8"/>
  <c r="CH4" i="8"/>
  <c r="CH31" i="8"/>
  <c r="CH24" i="8"/>
  <c r="CH20" i="8"/>
  <c r="CH33" i="8"/>
  <c r="CH11" i="8"/>
  <c r="CH15" i="8"/>
  <c r="CH17" i="8"/>
  <c r="CH18" i="8"/>
  <c r="CH13" i="8"/>
  <c r="CH10" i="8"/>
  <c r="CH7" i="8"/>
  <c r="CH9" i="8"/>
  <c r="CH12" i="8"/>
  <c r="CH35" i="8"/>
  <c r="CH34" i="8"/>
  <c r="CH8" i="8"/>
  <c r="CH32" i="8"/>
  <c r="CH22" i="8"/>
  <c r="J118" i="8"/>
  <c r="CH19" i="8"/>
  <c r="CM27" i="8"/>
  <c r="CM8" i="8"/>
  <c r="CM18" i="8"/>
  <c r="CM28" i="8"/>
  <c r="CM26" i="8"/>
  <c r="CM36" i="8"/>
  <c r="CM38" i="8"/>
  <c r="CM29" i="8"/>
  <c r="CM31" i="8"/>
  <c r="CM34" i="8"/>
  <c r="CM15" i="8"/>
  <c r="CM9" i="8"/>
  <c r="CM13" i="8"/>
  <c r="CM14" i="8"/>
  <c r="CM11" i="8"/>
  <c r="CM16" i="8"/>
  <c r="CM21" i="8"/>
  <c r="CM30" i="8"/>
  <c r="O158" i="8"/>
  <c r="CM12" i="8"/>
  <c r="CM33" i="8"/>
  <c r="CM5" i="8"/>
  <c r="CM10" i="8"/>
  <c r="CM7" i="8"/>
  <c r="CM24" i="8"/>
  <c r="CM6" i="8"/>
  <c r="CM19" i="8"/>
  <c r="CM23" i="8"/>
  <c r="CM4" i="8"/>
  <c r="CM20" i="8"/>
  <c r="O118" i="8"/>
  <c r="CM32" i="8"/>
  <c r="CM35" i="8"/>
  <c r="CM17" i="8"/>
  <c r="CM22" i="8"/>
  <c r="CM25" i="8"/>
  <c r="CM37" i="8"/>
  <c r="E87" i="10"/>
  <c r="D85" i="10"/>
  <c r="E49" i="10"/>
  <c r="B19" i="10"/>
  <c r="B18" i="10"/>
  <c r="B13" i="10"/>
  <c r="B15" i="10"/>
  <c r="H81" i="10"/>
  <c r="C18" i="10"/>
  <c r="C13" i="10"/>
  <c r="Z118" i="8"/>
  <c r="CX38" i="8"/>
  <c r="CX26" i="8"/>
  <c r="CX10" i="8"/>
  <c r="CX24" i="8"/>
  <c r="CX17" i="8"/>
  <c r="CX8" i="8"/>
  <c r="Z158" i="8"/>
  <c r="CX27" i="8"/>
  <c r="CX19" i="8"/>
  <c r="CX5" i="8"/>
  <c r="CX34" i="8"/>
  <c r="CX11" i="8"/>
  <c r="CX4" i="8"/>
  <c r="CX33" i="8"/>
  <c r="CX15" i="8"/>
  <c r="CX23" i="8"/>
  <c r="CX14" i="8"/>
  <c r="CX32" i="8"/>
  <c r="CX12" i="8"/>
  <c r="CX28" i="8"/>
  <c r="CX7" i="8"/>
  <c r="CX35" i="8"/>
  <c r="CX29" i="8"/>
  <c r="CX31" i="8"/>
  <c r="CX6" i="8"/>
  <c r="CX22" i="8"/>
  <c r="CX16" i="8"/>
  <c r="CX25" i="8"/>
  <c r="CX13" i="8"/>
  <c r="CX20" i="8"/>
  <c r="CX36" i="8"/>
  <c r="CX9" i="8"/>
  <c r="CX21" i="8"/>
  <c r="CX30" i="8"/>
  <c r="CX37" i="8"/>
  <c r="CX18" i="8"/>
  <c r="N158" i="8"/>
  <c r="CL31" i="8"/>
  <c r="CL29" i="8"/>
  <c r="CL26" i="8"/>
  <c r="CL8" i="8"/>
  <c r="N118" i="8"/>
  <c r="CL32" i="8"/>
  <c r="CL25" i="8"/>
  <c r="CL9" i="8"/>
  <c r="CL34" i="8"/>
  <c r="CL28" i="8"/>
  <c r="CL6" i="8"/>
  <c r="CL35" i="8"/>
  <c r="CL7" i="8"/>
  <c r="CL14" i="8"/>
  <c r="CL38" i="8"/>
  <c r="CL23" i="8"/>
  <c r="CL5" i="8"/>
  <c r="CL30" i="8"/>
  <c r="CL18" i="8"/>
  <c r="CL12" i="8"/>
  <c r="CL37" i="8"/>
  <c r="CL16" i="8"/>
  <c r="CL4" i="8"/>
  <c r="CL33" i="8"/>
  <c r="CL20" i="8"/>
  <c r="CL11" i="8"/>
  <c r="CL36" i="8"/>
  <c r="CL24" i="8"/>
  <c r="CL15" i="8"/>
  <c r="CL13" i="8"/>
  <c r="CL17" i="8"/>
  <c r="CL21" i="8"/>
  <c r="CL27" i="8"/>
  <c r="CL22" i="8"/>
  <c r="CL19" i="8"/>
  <c r="CL10" i="8"/>
  <c r="BV37" i="8"/>
  <c r="BQ37" i="8"/>
  <c r="BL37" i="8"/>
  <c r="AM117" i="8"/>
  <c r="BD37" i="8"/>
  <c r="BR37" i="8"/>
  <c r="AS37" i="8"/>
  <c r="BA37" i="8"/>
  <c r="BO37" i="8"/>
  <c r="BI37" i="8"/>
  <c r="AM157" i="8"/>
  <c r="BB37" i="8"/>
  <c r="AU37" i="8"/>
  <c r="BF37" i="8"/>
  <c r="BU37" i="8"/>
  <c r="BN37" i="8"/>
  <c r="BT37" i="8"/>
  <c r="AT37" i="8"/>
  <c r="AZ37" i="8"/>
  <c r="BM37" i="8"/>
  <c r="BW37" i="8"/>
  <c r="BP37" i="8"/>
  <c r="AX37" i="8"/>
  <c r="BC37" i="8"/>
  <c r="AY37" i="8"/>
  <c r="AW37" i="8"/>
  <c r="BH37" i="8"/>
  <c r="AV37" i="8"/>
  <c r="AR37" i="8"/>
  <c r="BY37" i="8"/>
  <c r="BK37" i="8"/>
  <c r="BE37" i="8"/>
  <c r="AQ37" i="8"/>
  <c r="BX37" i="8"/>
  <c r="BJ37" i="8"/>
  <c r="BS37" i="8"/>
  <c r="BG37" i="8"/>
  <c r="DC37" i="8"/>
  <c r="DC25" i="8"/>
  <c r="DC34" i="8"/>
  <c r="DC11" i="8"/>
  <c r="DC13" i="8"/>
  <c r="DC35" i="8"/>
  <c r="DC20" i="8"/>
  <c r="DC14" i="8"/>
  <c r="DC9" i="8"/>
  <c r="DC38" i="8"/>
  <c r="DC15" i="8"/>
  <c r="DC7" i="8"/>
  <c r="DC36" i="8"/>
  <c r="DC18" i="8"/>
  <c r="DC28" i="8"/>
  <c r="DC16" i="8"/>
  <c r="AE118" i="8"/>
  <c r="DC31" i="8"/>
  <c r="DC22" i="8"/>
  <c r="DC12" i="8"/>
  <c r="DC30" i="8"/>
  <c r="DC10" i="8"/>
  <c r="DC32" i="8"/>
  <c r="DC26" i="8"/>
  <c r="AE158" i="8"/>
  <c r="DC24" i="8"/>
  <c r="DC17" i="8"/>
  <c r="DC27" i="8"/>
  <c r="DC8" i="8"/>
  <c r="DC21" i="8"/>
  <c r="DC29" i="8"/>
  <c r="DC19" i="8"/>
  <c r="DC6" i="8"/>
  <c r="DC5" i="8"/>
  <c r="DC4" i="8"/>
  <c r="DC23" i="8"/>
  <c r="DC33" i="8"/>
  <c r="AZ5" i="8"/>
  <c r="AV5" i="8"/>
  <c r="BK5" i="8"/>
  <c r="BY5" i="8"/>
  <c r="AM125" i="8"/>
  <c r="BR5" i="8"/>
  <c r="AT5" i="8"/>
  <c r="BI5" i="8"/>
  <c r="AW5" i="8"/>
  <c r="BA5" i="8"/>
  <c r="BE5" i="8"/>
  <c r="AM85" i="8"/>
  <c r="BS5" i="8"/>
  <c r="BM5" i="8"/>
  <c r="BH5" i="8"/>
  <c r="AY5" i="8"/>
  <c r="AS5" i="8"/>
  <c r="BG5" i="8"/>
  <c r="AX5" i="8"/>
  <c r="BL5" i="8"/>
  <c r="BV5" i="8"/>
  <c r="BF5" i="8"/>
  <c r="AR5" i="8"/>
  <c r="BB5" i="8"/>
  <c r="BU5" i="8"/>
  <c r="AQ5" i="8"/>
  <c r="BQ5" i="8"/>
  <c r="BW5" i="8"/>
  <c r="AU5" i="8"/>
  <c r="BX5" i="8"/>
  <c r="BO5" i="8"/>
  <c r="BN5" i="8"/>
  <c r="BC5" i="8"/>
  <c r="BJ5" i="8"/>
  <c r="BD5" i="8"/>
  <c r="BP5" i="8"/>
  <c r="BT5" i="8"/>
  <c r="G158" i="8"/>
  <c r="G118" i="8"/>
  <c r="CE34" i="8"/>
  <c r="CE19" i="8"/>
  <c r="CE16" i="8"/>
  <c r="CE25" i="8"/>
  <c r="CE23" i="8"/>
  <c r="CE9" i="8"/>
  <c r="CE35" i="8"/>
  <c r="CE29" i="8"/>
  <c r="CE14" i="8"/>
  <c r="CE38" i="8"/>
  <c r="CE7" i="8"/>
  <c r="CE4" i="8"/>
  <c r="CE21" i="8"/>
  <c r="CE6" i="8"/>
  <c r="CE36" i="8"/>
  <c r="CE20" i="8"/>
  <c r="CE5" i="8"/>
  <c r="CE32" i="8"/>
  <c r="CE37" i="8"/>
  <c r="CE12" i="8"/>
  <c r="CE28" i="8"/>
  <c r="CE8" i="8"/>
  <c r="CE11" i="8"/>
  <c r="CE31" i="8"/>
  <c r="CE15" i="8"/>
  <c r="CE30" i="8"/>
  <c r="CE27" i="8"/>
  <c r="CE22" i="8"/>
  <c r="CE13" i="8"/>
  <c r="CE33" i="8"/>
  <c r="CE24" i="8"/>
  <c r="CE18" i="8"/>
  <c r="CE17" i="8"/>
  <c r="CE10" i="8"/>
  <c r="CE26" i="8"/>
  <c r="AM136" i="8"/>
  <c r="AX16" i="8"/>
  <c r="AR16" i="8"/>
  <c r="BH16" i="8"/>
  <c r="AZ16" i="8"/>
  <c r="BQ16" i="8"/>
  <c r="BG16" i="8"/>
  <c r="AS16" i="8"/>
  <c r="AW16" i="8"/>
  <c r="BK16" i="8"/>
  <c r="BX16" i="8"/>
  <c r="BI16" i="8"/>
  <c r="AT16" i="8"/>
  <c r="BD16" i="8"/>
  <c r="BV16" i="8"/>
  <c r="AQ16" i="8"/>
  <c r="BW16" i="8"/>
  <c r="AV16" i="8"/>
  <c r="BJ16" i="8"/>
  <c r="BN16" i="8"/>
  <c r="BA16" i="8"/>
  <c r="BS16" i="8"/>
  <c r="BB16" i="8"/>
  <c r="BR16" i="8"/>
  <c r="BY16" i="8"/>
  <c r="AU16" i="8"/>
  <c r="BP16" i="8"/>
  <c r="AM96" i="8"/>
  <c r="BM16" i="8"/>
  <c r="BE16" i="8"/>
  <c r="BO16" i="8"/>
  <c r="BC16" i="8"/>
  <c r="BT16" i="8"/>
  <c r="BL16" i="8"/>
  <c r="AY16" i="8"/>
  <c r="BU16" i="8"/>
  <c r="BF16" i="8"/>
  <c r="AX26" i="8"/>
  <c r="BC26" i="8"/>
  <c r="AU26" i="8"/>
  <c r="AR26" i="8"/>
  <c r="AM146" i="8"/>
  <c r="BI26" i="8"/>
  <c r="BU26" i="8"/>
  <c r="AT26" i="8"/>
  <c r="BQ26" i="8"/>
  <c r="BB26" i="8"/>
  <c r="BN26" i="8"/>
  <c r="AM106" i="8"/>
  <c r="BR26" i="8"/>
  <c r="BA26" i="8"/>
  <c r="AZ26" i="8"/>
  <c r="AW26" i="8"/>
  <c r="BV26" i="8"/>
  <c r="AS26" i="8"/>
  <c r="BH26" i="8"/>
  <c r="AY26" i="8"/>
  <c r="AQ26" i="8"/>
  <c r="BM26" i="8"/>
  <c r="AV26" i="8"/>
  <c r="BS26" i="8"/>
  <c r="BK26" i="8"/>
  <c r="BT26" i="8"/>
  <c r="BW26" i="8"/>
  <c r="BL26" i="8"/>
  <c r="BJ26" i="8"/>
  <c r="BE26" i="8"/>
  <c r="BG26" i="8"/>
  <c r="BF26" i="8"/>
  <c r="BD26" i="8"/>
  <c r="BP26" i="8"/>
  <c r="BY26" i="8"/>
  <c r="BX26" i="8"/>
  <c r="BO26" i="8"/>
  <c r="BB27" i="8"/>
  <c r="BS27" i="8"/>
  <c r="BJ27" i="8"/>
  <c r="BM27" i="8"/>
  <c r="BV27" i="8"/>
  <c r="AQ27" i="8"/>
  <c r="AY27" i="8"/>
  <c r="BC27" i="8"/>
  <c r="AV27" i="8"/>
  <c r="BH27" i="8"/>
  <c r="BA27" i="8"/>
  <c r="BP27" i="8"/>
  <c r="AM107" i="8"/>
  <c r="AS27" i="8"/>
  <c r="AW27" i="8"/>
  <c r="BE27" i="8"/>
  <c r="BL27" i="8"/>
  <c r="BR27" i="8"/>
  <c r="BD27" i="8"/>
  <c r="AR27" i="8"/>
  <c r="BQ27" i="8"/>
  <c r="AU27" i="8"/>
  <c r="BW27" i="8"/>
  <c r="AT27" i="8"/>
  <c r="BY27" i="8"/>
  <c r="BO27" i="8"/>
  <c r="BX27" i="8"/>
  <c r="BN27" i="8"/>
  <c r="AX27" i="8"/>
  <c r="BG27" i="8"/>
  <c r="BI27" i="8"/>
  <c r="BU27" i="8"/>
  <c r="BF27" i="8"/>
  <c r="BK27" i="8"/>
  <c r="AM147" i="8"/>
  <c r="AZ27" i="8"/>
  <c r="BT27" i="8"/>
  <c r="AM143" i="8"/>
  <c r="AR23" i="8"/>
  <c r="BU23" i="8"/>
  <c r="AY23" i="8"/>
  <c r="BM23" i="8"/>
  <c r="BH23" i="8"/>
  <c r="BR23" i="8"/>
  <c r="AS23" i="8"/>
  <c r="BW23" i="8"/>
  <c r="AU23" i="8"/>
  <c r="BO23" i="8"/>
  <c r="AM103" i="8"/>
  <c r="BL23" i="8"/>
  <c r="BQ23" i="8"/>
  <c r="BS23" i="8"/>
  <c r="BY23" i="8"/>
  <c r="BC23" i="8"/>
  <c r="BD23" i="8"/>
  <c r="AX23" i="8"/>
  <c r="BB23" i="8"/>
  <c r="AT23" i="8"/>
  <c r="BV23" i="8"/>
  <c r="AQ23" i="8"/>
  <c r="BA23" i="8"/>
  <c r="BX23" i="8"/>
  <c r="AZ23" i="8"/>
  <c r="BT23" i="8"/>
  <c r="BF23" i="8"/>
  <c r="BP23" i="8"/>
  <c r="BK23" i="8"/>
  <c r="AW23" i="8"/>
  <c r="AV23" i="8"/>
  <c r="BE23" i="8"/>
  <c r="BG23" i="8"/>
  <c r="BN23" i="8"/>
  <c r="BJ23" i="8"/>
  <c r="BI23" i="8"/>
  <c r="D16" i="10"/>
  <c r="D19" i="10"/>
  <c r="D13" i="10"/>
  <c r="D15" i="10"/>
  <c r="H15" i="10"/>
  <c r="AZ33" i="8"/>
  <c r="AU33" i="8"/>
  <c r="BJ33" i="8"/>
  <c r="BB33" i="8"/>
  <c r="BO33" i="8"/>
  <c r="BI33" i="8"/>
  <c r="BC33" i="8"/>
  <c r="AV33" i="8"/>
  <c r="BH33" i="8"/>
  <c r="BY33" i="8"/>
  <c r="BR33" i="8"/>
  <c r="BL33" i="8"/>
  <c r="BT33" i="8"/>
  <c r="AS33" i="8"/>
  <c r="BE33" i="8"/>
  <c r="AW33" i="8"/>
  <c r="BG33" i="8"/>
  <c r="BW33" i="8"/>
  <c r="AR33" i="8"/>
  <c r="BQ33" i="8"/>
  <c r="BA33" i="8"/>
  <c r="AM153" i="8"/>
  <c r="BX33" i="8"/>
  <c r="AT33" i="8"/>
  <c r="AM113" i="8"/>
  <c r="BN33" i="8"/>
  <c r="BM33" i="8"/>
  <c r="BK33" i="8"/>
  <c r="AQ33" i="8"/>
  <c r="BD33" i="8"/>
  <c r="BU33" i="8"/>
  <c r="AY33" i="8"/>
  <c r="AX33" i="8"/>
  <c r="BP33" i="8"/>
  <c r="BF33" i="8"/>
  <c r="BV33" i="8"/>
  <c r="BS33" i="8"/>
  <c r="AQ21" i="8"/>
  <c r="BJ21" i="8"/>
  <c r="AZ21" i="8"/>
  <c r="BG21" i="8"/>
  <c r="BA21" i="8"/>
  <c r="AR21" i="8"/>
  <c r="BR21" i="8"/>
  <c r="BL21" i="8"/>
  <c r="BP21" i="8"/>
  <c r="BD21" i="8"/>
  <c r="AT21" i="8"/>
  <c r="BX21" i="8"/>
  <c r="BO21" i="8"/>
  <c r="BY21" i="8"/>
  <c r="BB21" i="8"/>
  <c r="AW21" i="8"/>
  <c r="BS21" i="8"/>
  <c r="AV21" i="8"/>
  <c r="BV21" i="8"/>
  <c r="AM101" i="8"/>
  <c r="BW21" i="8"/>
  <c r="AY21" i="8"/>
  <c r="BE21" i="8"/>
  <c r="BC21" i="8"/>
  <c r="BH21" i="8"/>
  <c r="BU21" i="8"/>
  <c r="BQ21" i="8"/>
  <c r="BM21" i="8"/>
  <c r="AX21" i="8"/>
  <c r="AU21" i="8"/>
  <c r="BT21" i="8"/>
  <c r="BK21" i="8"/>
  <c r="BI21" i="8"/>
  <c r="AM141" i="8"/>
  <c r="BF21" i="8"/>
  <c r="BN21" i="8"/>
  <c r="AS21" i="8"/>
  <c r="H14" i="10"/>
  <c r="E51" i="10"/>
  <c r="B86" i="10"/>
  <c r="B87" i="10"/>
  <c r="B90" i="10"/>
  <c r="B89" i="10"/>
  <c r="CK38" i="8"/>
  <c r="CK27" i="8"/>
  <c r="CK28" i="8"/>
  <c r="CK12" i="8"/>
  <c r="CK35" i="8"/>
  <c r="CK11" i="8"/>
  <c r="CK24" i="8"/>
  <c r="CK8" i="8"/>
  <c r="CK26" i="8"/>
  <c r="CK18" i="8"/>
  <c r="CK9" i="8"/>
  <c r="M118" i="8"/>
  <c r="CK15" i="8"/>
  <c r="CK34" i="8"/>
  <c r="CK17" i="8"/>
  <c r="CK7" i="8"/>
  <c r="CK37" i="8"/>
  <c r="CK23" i="8"/>
  <c r="CK4" i="8"/>
  <c r="CK33" i="8"/>
  <c r="CK30" i="8"/>
  <c r="CK13" i="8"/>
  <c r="CK32" i="8"/>
  <c r="CK14" i="8"/>
  <c r="CK10" i="8"/>
  <c r="CK21" i="8"/>
  <c r="CK6" i="8"/>
  <c r="CK22" i="8"/>
  <c r="CK31" i="8"/>
  <c r="CK5" i="8"/>
  <c r="CK29" i="8"/>
  <c r="CK20" i="8"/>
  <c r="M158" i="8"/>
  <c r="CK16" i="8"/>
  <c r="CK36" i="8"/>
  <c r="CK19" i="8"/>
  <c r="CK25" i="8"/>
  <c r="DG12" i="8"/>
  <c r="DG38" i="8"/>
  <c r="DG25" i="8"/>
  <c r="DG10" i="8"/>
  <c r="DG29" i="8"/>
  <c r="DG13" i="8"/>
  <c r="DG15" i="8"/>
  <c r="DG11" i="8"/>
  <c r="DG32" i="8"/>
  <c r="DG23" i="8"/>
  <c r="DG16" i="8"/>
  <c r="DG7" i="8"/>
  <c r="DG14" i="8"/>
  <c r="DG8" i="8"/>
  <c r="DG28" i="8"/>
  <c r="AI158" i="8"/>
  <c r="DG4" i="8"/>
  <c r="DG31" i="8"/>
  <c r="DG20" i="8"/>
  <c r="DG21" i="8"/>
  <c r="DG33" i="8"/>
  <c r="DG24" i="8"/>
  <c r="DG6" i="8"/>
  <c r="DG37" i="8"/>
  <c r="DG19" i="8"/>
  <c r="DG30" i="8"/>
  <c r="DG9" i="8"/>
  <c r="DG5" i="8"/>
  <c r="DG18" i="8"/>
  <c r="DG36" i="8"/>
  <c r="DG26" i="8"/>
  <c r="DG17" i="8"/>
  <c r="DG22" i="8"/>
  <c r="DG34" i="8"/>
  <c r="DG35" i="8"/>
  <c r="AI118" i="8"/>
  <c r="DG27" i="8"/>
  <c r="CN11" i="8"/>
  <c r="CN38" i="8"/>
  <c r="CN14" i="8"/>
  <c r="CN25" i="8"/>
  <c r="CN19" i="8"/>
  <c r="CN21" i="8"/>
  <c r="P158" i="8"/>
  <c r="CN34" i="8"/>
  <c r="CN27" i="8"/>
  <c r="CN31" i="8"/>
  <c r="P118" i="8"/>
  <c r="CN28" i="8"/>
  <c r="CN5" i="8"/>
  <c r="CN24" i="8"/>
  <c r="CN6" i="8"/>
  <c r="CN30" i="8"/>
  <c r="CN9" i="8"/>
  <c r="CN20" i="8"/>
  <c r="CN37" i="8"/>
  <c r="CN16" i="8"/>
  <c r="CN17" i="8"/>
  <c r="CN18" i="8"/>
  <c r="CN26" i="8"/>
  <c r="CN12" i="8"/>
  <c r="CN8" i="8"/>
  <c r="CN4" i="8"/>
  <c r="CN35" i="8"/>
  <c r="CN10" i="8"/>
  <c r="CN15" i="8"/>
  <c r="CN13" i="8"/>
  <c r="CN22" i="8"/>
  <c r="CN7" i="8"/>
  <c r="CN29" i="8"/>
  <c r="CN23" i="8"/>
  <c r="CN36" i="8"/>
  <c r="CN33" i="8"/>
  <c r="CN32" i="8"/>
  <c r="AC158" i="8"/>
  <c r="DA30" i="8"/>
  <c r="DA20" i="8"/>
  <c r="DA10" i="8"/>
  <c r="DA32" i="8"/>
  <c r="DA22" i="8"/>
  <c r="DA15" i="8"/>
  <c r="AC118" i="8"/>
  <c r="DA23" i="8"/>
  <c r="DA16" i="8"/>
  <c r="DA12" i="8"/>
  <c r="DA38" i="8"/>
  <c r="DA19" i="8"/>
  <c r="DA5" i="8"/>
  <c r="DA37" i="8"/>
  <c r="DA17" i="8"/>
  <c r="DA33" i="8"/>
  <c r="DA29" i="8"/>
  <c r="DA27" i="8"/>
  <c r="DA11" i="8"/>
  <c r="DA18" i="8"/>
  <c r="DA6" i="8"/>
  <c r="DA28" i="8"/>
  <c r="DA13" i="8"/>
  <c r="DA21" i="8"/>
  <c r="DA25" i="8"/>
  <c r="DA24" i="8"/>
  <c r="DA4" i="8"/>
  <c r="DA36" i="8"/>
  <c r="DA7" i="8"/>
  <c r="DA35" i="8"/>
  <c r="DA9" i="8"/>
  <c r="DA26" i="8"/>
  <c r="DA34" i="8"/>
  <c r="DA8" i="8"/>
  <c r="DA14" i="8"/>
  <c r="DA31" i="8"/>
  <c r="C90" i="10"/>
  <c r="C89" i="10"/>
  <c r="C84" i="10"/>
  <c r="C85" i="10"/>
  <c r="C88" i="10"/>
  <c r="D17" i="10"/>
  <c r="AM130" i="8"/>
  <c r="AY10" i="8"/>
  <c r="BK10" i="8"/>
  <c r="BV10" i="8"/>
  <c r="BO10" i="8"/>
  <c r="BL10" i="8"/>
  <c r="BB10" i="8"/>
  <c r="AU10" i="8"/>
  <c r="BF10" i="8"/>
  <c r="AZ10" i="8"/>
  <c r="AQ10" i="8"/>
  <c r="BS10" i="8"/>
  <c r="BY10" i="8"/>
  <c r="AT10" i="8"/>
  <c r="AM90" i="8"/>
  <c r="BQ10" i="8"/>
  <c r="BX10" i="8"/>
  <c r="BP10" i="8"/>
  <c r="AW10" i="8"/>
  <c r="BA10" i="8"/>
  <c r="AS10" i="8"/>
  <c r="AR10" i="8"/>
  <c r="BN10" i="8"/>
  <c r="BM10" i="8"/>
  <c r="BH10" i="8"/>
  <c r="BW10" i="8"/>
  <c r="BJ10" i="8"/>
  <c r="BE10" i="8"/>
  <c r="BD10" i="8"/>
  <c r="BC10" i="8"/>
  <c r="AX10" i="8"/>
  <c r="BU10" i="8"/>
  <c r="AV10" i="8"/>
  <c r="BG10" i="8"/>
  <c r="BT10" i="8"/>
  <c r="BR10" i="8"/>
  <c r="BI10" i="8"/>
  <c r="BH31" i="8"/>
  <c r="BB31" i="8"/>
  <c r="BT31" i="8"/>
  <c r="BM31" i="8"/>
  <c r="BW31" i="8"/>
  <c r="AV31" i="8"/>
  <c r="BN31" i="8"/>
  <c r="BE31" i="8"/>
  <c r="AQ31" i="8"/>
  <c r="AR31" i="8"/>
  <c r="AZ31" i="8"/>
  <c r="BQ31" i="8"/>
  <c r="AS31" i="8"/>
  <c r="AY31" i="8"/>
  <c r="BI31" i="8"/>
  <c r="BY31" i="8"/>
  <c r="BV31" i="8"/>
  <c r="BO31" i="8"/>
  <c r="BA31" i="8"/>
  <c r="BP31" i="8"/>
  <c r="AM111" i="8"/>
  <c r="BU31" i="8"/>
  <c r="AM151" i="8"/>
  <c r="BD31" i="8"/>
  <c r="AX31" i="8"/>
  <c r="AW31" i="8"/>
  <c r="AU31" i="8"/>
  <c r="AT31" i="8"/>
  <c r="BR31" i="8"/>
  <c r="BK31" i="8"/>
  <c r="BL31" i="8"/>
  <c r="BJ31" i="8"/>
  <c r="BG31" i="8"/>
  <c r="BX31" i="8"/>
  <c r="BF31" i="8"/>
  <c r="BC31" i="8"/>
  <c r="BS31" i="8"/>
  <c r="AQ6" i="8"/>
  <c r="AW6" i="8"/>
  <c r="BD6" i="8"/>
  <c r="BT6" i="8"/>
  <c r="BR6" i="8"/>
  <c r="BU6" i="8"/>
  <c r="BE6" i="8"/>
  <c r="BH6" i="8"/>
  <c r="AZ6" i="8"/>
  <c r="AM86" i="8"/>
  <c r="BQ6" i="8"/>
  <c r="BO6" i="8"/>
  <c r="AX6" i="8"/>
  <c r="BS6" i="8"/>
  <c r="BN6" i="8"/>
  <c r="AU6" i="8"/>
  <c r="BK6" i="8"/>
  <c r="AY6" i="8"/>
  <c r="AS6" i="8"/>
  <c r="BY6" i="8"/>
  <c r="BJ6" i="8"/>
  <c r="BX6" i="8"/>
  <c r="BP6" i="8"/>
  <c r="BB6" i="8"/>
  <c r="AT6" i="8"/>
  <c r="BA6" i="8"/>
  <c r="AR6" i="8"/>
  <c r="BC6" i="8"/>
  <c r="AM126" i="8"/>
  <c r="BV6" i="8"/>
  <c r="BW6" i="8"/>
  <c r="BF6" i="8"/>
  <c r="BG6" i="8"/>
  <c r="BM6" i="8"/>
  <c r="BI6" i="8"/>
  <c r="AV6" i="8"/>
  <c r="BL6" i="8"/>
  <c r="DD33" i="8"/>
  <c r="DD12" i="8"/>
  <c r="DD24" i="8"/>
  <c r="DD32" i="8"/>
  <c r="DD36" i="8"/>
  <c r="DD37" i="8"/>
  <c r="DD29" i="8"/>
  <c r="DD15" i="8"/>
  <c r="DD21" i="8"/>
  <c r="DD20" i="8"/>
  <c r="DD28" i="8"/>
  <c r="AF158" i="8"/>
  <c r="DD17" i="8"/>
  <c r="DD7" i="8"/>
  <c r="DD30" i="8"/>
  <c r="DD18" i="8"/>
  <c r="DD14" i="8"/>
  <c r="DD9" i="8"/>
  <c r="DD4" i="8"/>
  <c r="DD27" i="8"/>
  <c r="DD22" i="8"/>
  <c r="DD38" i="8"/>
  <c r="AF118" i="8"/>
  <c r="DD10" i="8"/>
  <c r="DD35" i="8"/>
  <c r="DD11" i="8"/>
  <c r="DD23" i="8"/>
  <c r="DD34" i="8"/>
  <c r="DD5" i="8"/>
  <c r="DD6" i="8"/>
  <c r="DD8" i="8"/>
  <c r="DD16" i="8"/>
  <c r="DD25" i="8"/>
  <c r="DD31" i="8"/>
  <c r="DD26" i="8"/>
  <c r="DD13" i="8"/>
  <c r="DD19" i="8"/>
  <c r="AM137" i="8"/>
  <c r="AM97" i="8"/>
  <c r="BC17" i="8"/>
  <c r="BF17" i="8"/>
  <c r="AT17" i="8"/>
  <c r="BV17" i="8"/>
  <c r="BA17" i="8"/>
  <c r="BR17" i="8"/>
  <c r="AU17" i="8"/>
  <c r="BK17" i="8"/>
  <c r="BU17" i="8"/>
  <c r="AQ17" i="8"/>
  <c r="BB17" i="8"/>
  <c r="BY17" i="8"/>
  <c r="BN17" i="8"/>
  <c r="AW17" i="8"/>
  <c r="BM17" i="8"/>
  <c r="AV17" i="8"/>
  <c r="BL17" i="8"/>
  <c r="BT17" i="8"/>
  <c r="BJ17" i="8"/>
  <c r="BS17" i="8"/>
  <c r="BO17" i="8"/>
  <c r="BI17" i="8"/>
  <c r="AS17" i="8"/>
  <c r="BD17" i="8"/>
  <c r="AZ17" i="8"/>
  <c r="AX17" i="8"/>
  <c r="AY17" i="8"/>
  <c r="BP17" i="8"/>
  <c r="BQ17" i="8"/>
  <c r="AR17" i="8"/>
  <c r="BE17" i="8"/>
  <c r="BG17" i="8"/>
  <c r="BX17" i="8"/>
  <c r="BW17" i="8"/>
  <c r="BH17" i="8"/>
  <c r="H87" i="10"/>
  <c r="AM149" i="8"/>
  <c r="BC29" i="8"/>
  <c r="AS29" i="8"/>
  <c r="BE29" i="8"/>
  <c r="BU29" i="8"/>
  <c r="BR29" i="8"/>
  <c r="BJ29" i="8"/>
  <c r="AU29" i="8"/>
  <c r="BM29" i="8"/>
  <c r="BA29" i="8"/>
  <c r="BT29" i="8"/>
  <c r="BI29" i="8"/>
  <c r="AR29" i="8"/>
  <c r="BN29" i="8"/>
  <c r="BX29" i="8"/>
  <c r="AM109" i="8"/>
  <c r="AX29" i="8"/>
  <c r="BD29" i="8"/>
  <c r="BK29" i="8"/>
  <c r="AT29" i="8"/>
  <c r="BH29" i="8"/>
  <c r="BG29" i="8"/>
  <c r="BW29" i="8"/>
  <c r="BF29" i="8"/>
  <c r="BV29" i="8"/>
  <c r="AY29" i="8"/>
  <c r="BB29" i="8"/>
  <c r="AW29" i="8"/>
  <c r="BQ29" i="8"/>
  <c r="BO29" i="8"/>
  <c r="AZ29" i="8"/>
  <c r="BP29" i="8"/>
  <c r="AV29" i="8"/>
  <c r="BY29" i="8"/>
  <c r="AQ29" i="8"/>
  <c r="BL29" i="8"/>
  <c r="BS29" i="8"/>
  <c r="CJ31" i="8"/>
  <c r="CJ20" i="8"/>
  <c r="CJ13" i="8"/>
  <c r="CJ12" i="8"/>
  <c r="L118" i="8"/>
  <c r="L158" i="8"/>
  <c r="CJ33" i="8"/>
  <c r="CJ18" i="8"/>
  <c r="CJ5" i="8"/>
  <c r="CJ27" i="8"/>
  <c r="CJ7" i="8"/>
  <c r="CJ6" i="8"/>
  <c r="CJ19" i="8"/>
  <c r="CJ22" i="8"/>
  <c r="CJ32" i="8"/>
  <c r="CJ4" i="8"/>
  <c r="CJ21" i="8"/>
  <c r="CJ14" i="8"/>
  <c r="CJ36" i="8"/>
  <c r="CJ24" i="8"/>
  <c r="CJ15" i="8"/>
  <c r="CJ9" i="8"/>
  <c r="CJ35" i="8"/>
  <c r="CJ17" i="8"/>
  <c r="CJ10" i="8"/>
  <c r="CJ38" i="8"/>
  <c r="CJ23" i="8"/>
  <c r="CJ11" i="8"/>
  <c r="CJ37" i="8"/>
  <c r="CJ25" i="8"/>
  <c r="CJ8" i="8"/>
  <c r="CJ16" i="8"/>
  <c r="CJ34" i="8"/>
  <c r="CJ30" i="8"/>
  <c r="CJ29" i="8"/>
  <c r="CJ26" i="8"/>
  <c r="CJ28" i="8"/>
  <c r="C87" i="10"/>
  <c r="H88" i="10"/>
  <c r="D14" i="10"/>
  <c r="H46" i="10"/>
  <c r="H50" i="10" s="1"/>
  <c r="F51" i="10"/>
  <c r="F49" i="10"/>
  <c r="F55" i="10"/>
  <c r="F54" i="10"/>
  <c r="F50" i="10"/>
  <c r="E50" i="10"/>
  <c r="DB29" i="8"/>
  <c r="DB21" i="8"/>
  <c r="DB8" i="8"/>
  <c r="DB38" i="8"/>
  <c r="DB26" i="8"/>
  <c r="DB31" i="8"/>
  <c r="DB7" i="8"/>
  <c r="DB35" i="8"/>
  <c r="DB20" i="8"/>
  <c r="DB10" i="8"/>
  <c r="DB27" i="8"/>
  <c r="DB14" i="8"/>
  <c r="DB9" i="8"/>
  <c r="DB28" i="8"/>
  <c r="DB6" i="8"/>
  <c r="DB30" i="8"/>
  <c r="DB15" i="8"/>
  <c r="DB11" i="8"/>
  <c r="DB25" i="8"/>
  <c r="DB16" i="8"/>
  <c r="DB37" i="8"/>
  <c r="DB4" i="8"/>
  <c r="DB33" i="8"/>
  <c r="DB12" i="8"/>
  <c r="DB24" i="8"/>
  <c r="DB5" i="8"/>
  <c r="DB36" i="8"/>
  <c r="DB23" i="8"/>
  <c r="DB19" i="8"/>
  <c r="DB34" i="8"/>
  <c r="AD118" i="8"/>
  <c r="DB32" i="8"/>
  <c r="AD158" i="8"/>
  <c r="DB22" i="8"/>
  <c r="DB17" i="8"/>
  <c r="DB18" i="8"/>
  <c r="DB13" i="8"/>
  <c r="AM114" i="8"/>
  <c r="AM154" i="8"/>
  <c r="BQ34" i="8"/>
  <c r="AR34" i="8"/>
  <c r="BX34" i="8"/>
  <c r="BR34" i="8"/>
  <c r="BL34" i="8"/>
  <c r="BW34" i="8"/>
  <c r="AU34" i="8"/>
  <c r="BH34" i="8"/>
  <c r="BB34" i="8"/>
  <c r="AW34" i="8"/>
  <c r="BI34" i="8"/>
  <c r="AV34" i="8"/>
  <c r="BT34" i="8"/>
  <c r="AS34" i="8"/>
  <c r="BD34" i="8"/>
  <c r="AZ34" i="8"/>
  <c r="BK34" i="8"/>
  <c r="BC34" i="8"/>
  <c r="BS34" i="8"/>
  <c r="AQ34" i="8"/>
  <c r="BA34" i="8"/>
  <c r="AY34" i="8"/>
  <c r="BJ34" i="8"/>
  <c r="AX34" i="8"/>
  <c r="BG34" i="8"/>
  <c r="BP34" i="8"/>
  <c r="BF34" i="8"/>
  <c r="AT34" i="8"/>
  <c r="BV34" i="8"/>
  <c r="BO34" i="8"/>
  <c r="BE34" i="8"/>
  <c r="BN34" i="8"/>
  <c r="BM34" i="8"/>
  <c r="BY34" i="8"/>
  <c r="BU34" i="8"/>
  <c r="AM128" i="8"/>
  <c r="AM88" i="8"/>
  <c r="BH8" i="8"/>
  <c r="BX8" i="8"/>
  <c r="AV8" i="8"/>
  <c r="AR8" i="8"/>
  <c r="BE8" i="8"/>
  <c r="AX8" i="8"/>
  <c r="BN8" i="8"/>
  <c r="BJ8" i="8"/>
  <c r="AZ8" i="8"/>
  <c r="AU8" i="8"/>
  <c r="BK8" i="8"/>
  <c r="BV8" i="8"/>
  <c r="AS8" i="8"/>
  <c r="BG8" i="8"/>
  <c r="AW8" i="8"/>
  <c r="BF8" i="8"/>
  <c r="BS8" i="8"/>
  <c r="BD8" i="8"/>
  <c r="BR8" i="8"/>
  <c r="BB8" i="8"/>
  <c r="BQ8" i="8"/>
  <c r="BY8" i="8"/>
  <c r="AT8" i="8"/>
  <c r="BA8" i="8"/>
  <c r="BP8" i="8"/>
  <c r="BW8" i="8"/>
  <c r="BU8" i="8"/>
  <c r="BM8" i="8"/>
  <c r="AQ8" i="8"/>
  <c r="BO8" i="8"/>
  <c r="BI8" i="8"/>
  <c r="BL8" i="8"/>
  <c r="BT8" i="8"/>
  <c r="BC8" i="8"/>
  <c r="AY8" i="8"/>
  <c r="AM115" i="8"/>
  <c r="AM155" i="8"/>
  <c r="BL35" i="8"/>
  <c r="BE35" i="8"/>
  <c r="AZ35" i="8"/>
  <c r="AR35" i="8"/>
  <c r="BD35" i="8"/>
  <c r="BQ35" i="8"/>
  <c r="AU35" i="8"/>
  <c r="BH35" i="8"/>
  <c r="BU35" i="8"/>
  <c r="AV35" i="8"/>
  <c r="BK35" i="8"/>
  <c r="BV35" i="8"/>
  <c r="AQ35" i="8"/>
  <c r="BB35" i="8"/>
  <c r="BJ35" i="8"/>
  <c r="BA35" i="8"/>
  <c r="BI35" i="8"/>
  <c r="BG35" i="8"/>
  <c r="AY35" i="8"/>
  <c r="BF35" i="8"/>
  <c r="AX35" i="8"/>
  <c r="BY35" i="8"/>
  <c r="AW35" i="8"/>
  <c r="BX35" i="8"/>
  <c r="BW35" i="8"/>
  <c r="BO35" i="8"/>
  <c r="BC35" i="8"/>
  <c r="BM35" i="8"/>
  <c r="BR35" i="8"/>
  <c r="BN35" i="8"/>
  <c r="AT35" i="8"/>
  <c r="BP35" i="8"/>
  <c r="AS35" i="8"/>
  <c r="BT35" i="8"/>
  <c r="BS35" i="8"/>
  <c r="D53" i="10"/>
  <c r="D50" i="10"/>
  <c r="D54" i="10"/>
  <c r="D51" i="10"/>
  <c r="B17" i="10"/>
  <c r="B14" i="10"/>
  <c r="S141" i="1"/>
  <c r="CA141" i="1" s="1"/>
  <c r="Z142" i="1"/>
  <c r="CJ168" i="1"/>
  <c r="S142" i="1"/>
  <c r="CA142" i="1" s="1"/>
  <c r="CJ174" i="1"/>
  <c r="DF207" i="1"/>
  <c r="AA148" i="1"/>
  <c r="CI148" i="1" s="1"/>
  <c r="T140" i="1"/>
  <c r="CB140" i="1" s="1"/>
  <c r="R145" i="1"/>
  <c r="BZ145" i="1" s="1"/>
  <c r="Z168" i="1"/>
  <c r="CH168" i="1" s="1"/>
  <c r="DI207" i="1"/>
  <c r="DH207" i="1"/>
  <c r="U163" i="1"/>
  <c r="CC163" i="1" s="1"/>
  <c r="AO207" i="1"/>
  <c r="BS196" i="1" s="1"/>
  <c r="DU196" i="1" s="1"/>
  <c r="AB148" i="1"/>
  <c r="CJ148" i="1" s="1"/>
  <c r="DG181" i="1"/>
  <c r="W148" i="1"/>
  <c r="CE148" i="1" s="1"/>
  <c r="AQ207" i="1"/>
  <c r="BU188" i="1" s="1"/>
  <c r="DY188" i="1" s="1"/>
  <c r="AG207" i="1"/>
  <c r="U148" i="1"/>
  <c r="CC148" i="1" s="1"/>
  <c r="X148" i="1"/>
  <c r="CF148" i="1" s="1"/>
  <c r="DH181" i="1"/>
  <c r="DI181" i="1"/>
  <c r="R142" i="1"/>
  <c r="BZ142" i="1" s="1"/>
  <c r="U174" i="1"/>
  <c r="CC174" i="1" s="1"/>
  <c r="V142" i="1"/>
  <c r="CD142" i="1" s="1"/>
  <c r="AS206" i="1"/>
  <c r="AA169" i="1"/>
  <c r="CI169" i="1" s="1"/>
  <c r="AR77" i="1"/>
  <c r="BV71" i="1" s="1"/>
  <c r="EA71" i="1" s="1"/>
  <c r="AN181" i="1"/>
  <c r="BR163" i="1" s="1"/>
  <c r="DS163" i="1" s="1"/>
  <c r="AP207" i="1"/>
  <c r="AR196" i="1"/>
  <c r="AJ207" i="1"/>
  <c r="AR155" i="1"/>
  <c r="AN155" i="1"/>
  <c r="BR146" i="1" s="1"/>
  <c r="DS146" i="1" s="1"/>
  <c r="AA168" i="1"/>
  <c r="CI168" i="1" s="1"/>
  <c r="AN77" i="1"/>
  <c r="BR57" i="1" s="1"/>
  <c r="AN51" i="1"/>
  <c r="BR49" i="1" s="1"/>
  <c r="DS49" i="1" s="1"/>
  <c r="AL207" i="1"/>
  <c r="T142" i="1"/>
  <c r="CB142" i="1" s="1"/>
  <c r="AK207" i="1"/>
  <c r="AR51" i="1"/>
  <c r="AR181" i="1"/>
  <c r="AR129" i="1"/>
  <c r="AR103" i="1"/>
  <c r="Z174" i="1"/>
  <c r="CH174" i="1" s="1"/>
  <c r="AS135" i="1"/>
  <c r="DF181" i="1"/>
  <c r="DG207" i="1"/>
  <c r="BS174" i="1"/>
  <c r="BS168" i="1"/>
  <c r="BT174" i="1"/>
  <c r="BT168" i="1"/>
  <c r="BU174" i="1"/>
  <c r="BU168" i="1"/>
  <c r="BV38" i="1"/>
  <c r="BV44" i="1"/>
  <c r="BV96" i="1"/>
  <c r="BV90" i="1"/>
  <c r="R168" i="1"/>
  <c r="R174" i="1"/>
  <c r="AS164" i="1"/>
  <c r="BR142" i="1"/>
  <c r="BR148" i="1"/>
  <c r="BV148" i="1"/>
  <c r="BV142" i="1"/>
  <c r="BV122" i="1"/>
  <c r="BV116" i="1"/>
  <c r="BV70" i="1"/>
  <c r="BV64" i="1"/>
  <c r="BQ174" i="1"/>
  <c r="AB57" i="4" s="1"/>
  <c r="BQ168" i="1"/>
  <c r="AS138" i="1"/>
  <c r="BR122" i="1"/>
  <c r="BR116" i="1"/>
  <c r="BN174" i="1"/>
  <c r="BN168" i="1"/>
  <c r="AN187" i="1"/>
  <c r="AS187" i="1" s="1"/>
  <c r="AM207" i="1"/>
  <c r="BW90" i="1"/>
  <c r="BW96" i="1"/>
  <c r="BP168" i="1"/>
  <c r="AB48" i="4" s="1"/>
  <c r="BP174" i="1"/>
  <c r="BK174" i="1"/>
  <c r="BK168" i="1"/>
  <c r="BW70" i="1"/>
  <c r="BW64" i="1"/>
  <c r="BO174" i="1"/>
  <c r="BO168" i="1"/>
  <c r="AS109" i="1"/>
  <c r="AN129" i="1"/>
  <c r="AS60" i="1"/>
  <c r="BR44" i="1"/>
  <c r="BR38" i="1"/>
  <c r="BR90" i="1"/>
  <c r="BR96" i="1"/>
  <c r="BR64" i="1"/>
  <c r="BR70" i="1"/>
  <c r="AS83" i="1"/>
  <c r="AN103" i="1"/>
  <c r="AS103" i="1" s="1"/>
  <c r="DU38" i="1"/>
  <c r="CW38" i="1"/>
  <c r="CW44" i="1"/>
  <c r="DU44" i="1"/>
  <c r="DU70" i="1"/>
  <c r="CW70" i="1"/>
  <c r="DU64" i="1"/>
  <c r="CW64" i="1"/>
  <c r="CW96" i="1"/>
  <c r="DU96" i="1"/>
  <c r="CW90" i="1"/>
  <c r="DU90" i="1"/>
  <c r="DU116" i="1"/>
  <c r="CW116" i="1"/>
  <c r="DU122" i="1"/>
  <c r="CW122" i="1"/>
  <c r="DU142" i="1"/>
  <c r="CW142" i="1"/>
  <c r="CW148" i="1"/>
  <c r="DU148" i="1"/>
  <c r="CX38" i="1"/>
  <c r="DW38" i="1"/>
  <c r="CX44" i="1"/>
  <c r="DW44" i="1"/>
  <c r="DW64" i="1"/>
  <c r="CX64" i="1"/>
  <c r="DW70" i="1"/>
  <c r="CX70" i="1"/>
  <c r="CX90" i="1"/>
  <c r="DW90" i="1"/>
  <c r="CX96" i="1"/>
  <c r="DW96" i="1"/>
  <c r="DW116" i="1"/>
  <c r="CX116" i="1"/>
  <c r="DW122" i="1"/>
  <c r="CX122" i="1"/>
  <c r="DW142" i="1"/>
  <c r="CX142" i="1"/>
  <c r="CX148" i="1"/>
  <c r="DW148" i="1"/>
  <c r="DY44" i="1"/>
  <c r="CY44" i="1"/>
  <c r="CY38" i="1"/>
  <c r="DY38" i="1"/>
  <c r="DY64" i="1"/>
  <c r="CY64" i="1"/>
  <c r="DY70" i="1"/>
  <c r="CY70" i="1"/>
  <c r="CY90" i="1"/>
  <c r="DY90" i="1"/>
  <c r="DY96" i="1"/>
  <c r="CY96" i="1"/>
  <c r="CY116" i="1"/>
  <c r="DY116" i="1"/>
  <c r="CY122" i="1"/>
  <c r="DY122" i="1"/>
  <c r="CY142" i="1"/>
  <c r="DY142" i="1"/>
  <c r="CY148" i="1"/>
  <c r="DY148" i="1"/>
  <c r="CH148" i="1"/>
  <c r="AC142" i="1"/>
  <c r="CK142" i="1" s="1"/>
  <c r="CH142" i="1"/>
  <c r="CI174" i="1"/>
  <c r="DE44" i="1"/>
  <c r="CO44" i="1"/>
  <c r="CO38" i="1"/>
  <c r="DE38" i="1"/>
  <c r="CP44" i="1"/>
  <c r="DG44" i="1"/>
  <c r="CP38" i="1"/>
  <c r="DG38" i="1"/>
  <c r="DI44" i="1"/>
  <c r="CQ44" i="1"/>
  <c r="CQ38" i="1"/>
  <c r="DI38" i="1"/>
  <c r="DE64" i="1"/>
  <c r="CO64" i="1"/>
  <c r="CO70" i="1"/>
  <c r="DE70" i="1"/>
  <c r="CP64" i="1"/>
  <c r="DG64" i="1"/>
  <c r="DG70" i="1"/>
  <c r="CP70" i="1"/>
  <c r="DI64" i="1"/>
  <c r="CQ64" i="1"/>
  <c r="CQ70" i="1"/>
  <c r="DI70" i="1"/>
  <c r="CO90" i="1"/>
  <c r="DE90" i="1"/>
  <c r="CO96" i="1"/>
  <c r="DE96" i="1"/>
  <c r="CP90" i="1"/>
  <c r="DG90" i="1"/>
  <c r="CP96" i="1"/>
  <c r="DG96" i="1"/>
  <c r="CQ90" i="1"/>
  <c r="DI90" i="1"/>
  <c r="DI96" i="1"/>
  <c r="CQ96" i="1"/>
  <c r="DE116" i="1"/>
  <c r="CO116" i="1"/>
  <c r="DE122" i="1"/>
  <c r="CO122" i="1"/>
  <c r="CP116" i="1"/>
  <c r="DG116" i="1"/>
  <c r="DG122" i="1"/>
  <c r="CP122" i="1"/>
  <c r="DI116" i="1"/>
  <c r="CQ116" i="1"/>
  <c r="CQ122" i="1"/>
  <c r="DI122" i="1"/>
  <c r="CO148" i="1"/>
  <c r="DE148" i="1"/>
  <c r="CO142" i="1"/>
  <c r="DE142" i="1"/>
  <c r="DK38" i="1"/>
  <c r="CR38" i="1"/>
  <c r="DK44" i="1"/>
  <c r="CR44" i="1"/>
  <c r="DK64" i="1"/>
  <c r="CR64" i="1"/>
  <c r="CR70" i="1"/>
  <c r="DK70" i="1"/>
  <c r="DK90" i="1"/>
  <c r="CR90" i="1"/>
  <c r="DK96" i="1"/>
  <c r="CR96" i="1"/>
  <c r="CR116" i="1"/>
  <c r="DK116" i="1"/>
  <c r="CR122" i="1"/>
  <c r="DK122" i="1"/>
  <c r="CR142" i="1"/>
  <c r="DK142" i="1"/>
  <c r="CR148" i="1"/>
  <c r="DK148" i="1"/>
  <c r="CS38" i="1"/>
  <c r="DM38" i="1"/>
  <c r="DM44" i="1"/>
  <c r="CS44" i="1"/>
  <c r="DM64" i="1"/>
  <c r="CS64" i="1"/>
  <c r="CS70" i="1"/>
  <c r="DM70" i="1"/>
  <c r="DM90" i="1"/>
  <c r="CS90" i="1"/>
  <c r="DM96" i="1"/>
  <c r="CS96" i="1"/>
  <c r="CS122" i="1"/>
  <c r="DM122" i="1"/>
  <c r="DM116" i="1"/>
  <c r="CS116" i="1"/>
  <c r="V174" i="1"/>
  <c r="CD174" i="1" s="1"/>
  <c r="V168" i="1"/>
  <c r="CD168" i="1" s="1"/>
  <c r="DM142" i="1"/>
  <c r="CS142" i="1"/>
  <c r="DM148" i="1"/>
  <c r="CS148" i="1"/>
  <c r="DO38" i="1"/>
  <c r="CT38" i="1"/>
  <c r="DO44" i="1"/>
  <c r="CT44" i="1"/>
  <c r="CT64" i="1"/>
  <c r="DO64" i="1"/>
  <c r="DO70" i="1"/>
  <c r="CT70" i="1"/>
  <c r="CT96" i="1"/>
  <c r="DO96" i="1"/>
  <c r="DO90" i="1"/>
  <c r="CT90" i="1"/>
  <c r="Y142" i="1"/>
  <c r="CG142" i="1" s="1"/>
  <c r="CE142" i="1"/>
  <c r="DO122" i="1"/>
  <c r="CT122" i="1"/>
  <c r="DO116" i="1"/>
  <c r="CT116" i="1"/>
  <c r="DO148" i="1"/>
  <c r="CT148" i="1"/>
  <c r="CT142" i="1"/>
  <c r="DO142" i="1"/>
  <c r="DQ38" i="1"/>
  <c r="CU38" i="1"/>
  <c r="CU44" i="1"/>
  <c r="DQ44" i="1"/>
  <c r="DQ70" i="1"/>
  <c r="CU70" i="1"/>
  <c r="CU64" i="1"/>
  <c r="DQ64" i="1"/>
  <c r="CU96" i="1"/>
  <c r="DQ96" i="1"/>
  <c r="DQ90" i="1"/>
  <c r="CU90" i="1"/>
  <c r="DQ122" i="1"/>
  <c r="CU122" i="1"/>
  <c r="CU116" i="1"/>
  <c r="DQ116" i="1"/>
  <c r="DQ148" i="1"/>
  <c r="CU148" i="1"/>
  <c r="CU142" i="1"/>
  <c r="DQ142" i="1"/>
  <c r="Z122" i="1"/>
  <c r="CH122" i="1" s="1"/>
  <c r="Z116" i="1"/>
  <c r="CH116" i="1" s="1"/>
  <c r="AB116" i="1"/>
  <c r="CJ116" i="1" s="1"/>
  <c r="AB122" i="1"/>
  <c r="CJ122" i="1" s="1"/>
  <c r="U109" i="1"/>
  <c r="CC109" i="1" s="1"/>
  <c r="U116" i="1"/>
  <c r="CC116" i="1" s="1"/>
  <c r="U122" i="1"/>
  <c r="R121" i="1"/>
  <c r="BZ121" i="1" s="1"/>
  <c r="R122" i="1"/>
  <c r="BZ122" i="1" s="1"/>
  <c r="R116" i="1"/>
  <c r="BZ116" i="1" s="1"/>
  <c r="V122" i="1"/>
  <c r="CD122" i="1" s="1"/>
  <c r="V116" i="1"/>
  <c r="CD116" i="1" s="1"/>
  <c r="W122" i="1"/>
  <c r="CE122" i="1" s="1"/>
  <c r="W116" i="1"/>
  <c r="CE116" i="1" s="1"/>
  <c r="S122" i="1"/>
  <c r="CA122" i="1" s="1"/>
  <c r="S116" i="1"/>
  <c r="CA116" i="1" s="1"/>
  <c r="T124" i="1"/>
  <c r="CB124" i="1" s="1"/>
  <c r="T122" i="1"/>
  <c r="CB122" i="1" s="1"/>
  <c r="T116" i="1"/>
  <c r="CB116" i="1" s="1"/>
  <c r="AA116" i="1"/>
  <c r="CI116" i="1" s="1"/>
  <c r="AA122" i="1"/>
  <c r="CI122" i="1" s="1"/>
  <c r="X122" i="1"/>
  <c r="CF122" i="1" s="1"/>
  <c r="X116" i="1"/>
  <c r="CF116" i="1" s="1"/>
  <c r="Z90" i="1"/>
  <c r="CH90" i="1" s="1"/>
  <c r="Z96" i="1"/>
  <c r="CH96" i="1" s="1"/>
  <c r="S96" i="1"/>
  <c r="CA96" i="1" s="1"/>
  <c r="S90" i="1"/>
  <c r="CA90" i="1" s="1"/>
  <c r="AA90" i="1"/>
  <c r="CI90" i="1" s="1"/>
  <c r="AA96" i="1"/>
  <c r="CI96" i="1" s="1"/>
  <c r="AB96" i="1"/>
  <c r="CJ96" i="1" s="1"/>
  <c r="AB90" i="1"/>
  <c r="CJ90" i="1" s="1"/>
  <c r="U98" i="1"/>
  <c r="CC98" i="1" s="1"/>
  <c r="U90" i="1"/>
  <c r="CC90" i="1" s="1"/>
  <c r="U96" i="1"/>
  <c r="CC96" i="1" s="1"/>
  <c r="T100" i="1"/>
  <c r="CB100" i="1" s="1"/>
  <c r="T96" i="1"/>
  <c r="CB96" i="1" s="1"/>
  <c r="T90" i="1"/>
  <c r="CB90" i="1" s="1"/>
  <c r="V96" i="1"/>
  <c r="CD96" i="1" s="1"/>
  <c r="V90" i="1"/>
  <c r="CD90" i="1" s="1"/>
  <c r="W96" i="1"/>
  <c r="W90" i="1"/>
  <c r="CE90" i="1" s="1"/>
  <c r="X96" i="1"/>
  <c r="CF96" i="1" s="1"/>
  <c r="X90" i="1"/>
  <c r="CF90" i="1" s="1"/>
  <c r="R96" i="1"/>
  <c r="BZ96" i="1" s="1"/>
  <c r="R90" i="1"/>
  <c r="BZ90" i="1" s="1"/>
  <c r="CH38" i="1"/>
  <c r="CH44" i="1"/>
  <c r="T70" i="1"/>
  <c r="CB70" i="1" s="1"/>
  <c r="T64" i="1"/>
  <c r="CB64" i="1" s="1"/>
  <c r="CI70" i="1"/>
  <c r="CI64" i="1"/>
  <c r="R44" i="1"/>
  <c r="BZ44" i="1" s="1"/>
  <c r="R38" i="1"/>
  <c r="BZ38" i="1" s="1"/>
  <c r="R67" i="1"/>
  <c r="BZ67" i="1" s="1"/>
  <c r="R70" i="1"/>
  <c r="BZ70" i="1" s="1"/>
  <c r="R64" i="1"/>
  <c r="BZ64" i="1" s="1"/>
  <c r="CJ64" i="1"/>
  <c r="CJ70" i="1"/>
  <c r="S35" i="1"/>
  <c r="CA35" i="1" s="1"/>
  <c r="S44" i="1"/>
  <c r="CA44" i="1" s="1"/>
  <c r="S38" i="1"/>
  <c r="CA38" i="1" s="1"/>
  <c r="S64" i="1"/>
  <c r="CA64" i="1" s="1"/>
  <c r="S57" i="1"/>
  <c r="CA57" i="1" s="1"/>
  <c r="S70" i="1"/>
  <c r="CA70" i="1" s="1"/>
  <c r="U40" i="1"/>
  <c r="CC40" i="1" s="1"/>
  <c r="U44" i="1"/>
  <c r="CC44" i="1" s="1"/>
  <c r="U38" i="1"/>
  <c r="CC38" i="1" s="1"/>
  <c r="X64" i="1"/>
  <c r="CF64" i="1" s="1"/>
  <c r="X70" i="1"/>
  <c r="CF70" i="1" s="1"/>
  <c r="V73" i="1"/>
  <c r="CD73" i="1" s="1"/>
  <c r="V64" i="1"/>
  <c r="CD64" i="1" s="1"/>
  <c r="V70" i="1"/>
  <c r="CD70" i="1" s="1"/>
  <c r="X38" i="1"/>
  <c r="CF38" i="1" s="1"/>
  <c r="X44" i="1"/>
  <c r="CF44" i="1" s="1"/>
  <c r="V38" i="1"/>
  <c r="CD38" i="1" s="1"/>
  <c r="V44" i="1"/>
  <c r="CD44" i="1" s="1"/>
  <c r="W38" i="1"/>
  <c r="CE38" i="1" s="1"/>
  <c r="W44" i="1"/>
  <c r="U76" i="1"/>
  <c r="CC76" i="1" s="1"/>
  <c r="U64" i="1"/>
  <c r="CC64" i="1" s="1"/>
  <c r="U70" i="1"/>
  <c r="CC70" i="1" s="1"/>
  <c r="T33" i="1"/>
  <c r="CB33" i="1" s="1"/>
  <c r="T44" i="1"/>
  <c r="CB44" i="1" s="1"/>
  <c r="T38" i="1"/>
  <c r="CB38" i="1" s="1"/>
  <c r="W70" i="1"/>
  <c r="CE70" i="1" s="1"/>
  <c r="W64" i="1"/>
  <c r="CE64" i="1" s="1"/>
  <c r="R20" i="1"/>
  <c r="BZ20" i="1" s="1"/>
  <c r="R19" i="1"/>
  <c r="BZ19" i="1" s="1"/>
  <c r="U20" i="1"/>
  <c r="U19" i="1"/>
  <c r="U41" i="1"/>
  <c r="CC41" i="1" s="1"/>
  <c r="V19" i="1"/>
  <c r="V20" i="1"/>
  <c r="T42" i="1"/>
  <c r="CB42" i="1" s="1"/>
  <c r="R62" i="1"/>
  <c r="BZ62" i="1" s="1"/>
  <c r="AA172" i="1"/>
  <c r="CI172" i="1" s="1"/>
  <c r="AR203" i="1"/>
  <c r="AR195" i="1"/>
  <c r="T20" i="1"/>
  <c r="CB20" i="1" s="1"/>
  <c r="T19" i="1"/>
  <c r="CB19" i="1" s="1"/>
  <c r="Z20" i="1"/>
  <c r="Z19" i="1"/>
  <c r="S19" i="1"/>
  <c r="CA19" i="1" s="1"/>
  <c r="S20" i="1"/>
  <c r="CA20" i="1" s="1"/>
  <c r="R18" i="1"/>
  <c r="BZ18" i="1" s="1"/>
  <c r="R17" i="1"/>
  <c r="BZ17" i="1" s="1"/>
  <c r="R14" i="1"/>
  <c r="BZ14" i="1" s="1"/>
  <c r="R21" i="1"/>
  <c r="BZ21" i="1" s="1"/>
  <c r="AR201" i="1"/>
  <c r="R15" i="1"/>
  <c r="BZ15" i="1" s="1"/>
  <c r="U35" i="1"/>
  <c r="CC35" i="1" s="1"/>
  <c r="T41" i="1"/>
  <c r="CB41" i="1" s="1"/>
  <c r="V58" i="1"/>
  <c r="CD58" i="1" s="1"/>
  <c r="T117" i="1"/>
  <c r="CB117" i="1" s="1"/>
  <c r="AA161" i="1"/>
  <c r="CI161" i="1" s="1"/>
  <c r="U47" i="1"/>
  <c r="CC47" i="1" s="1"/>
  <c r="S32" i="1"/>
  <c r="CA32" i="1" s="1"/>
  <c r="R58" i="1"/>
  <c r="BZ58" i="1" s="1"/>
  <c r="U127" i="1"/>
  <c r="CC127" i="1" s="1"/>
  <c r="U179" i="1"/>
  <c r="CC179" i="1" s="1"/>
  <c r="T119" i="1"/>
  <c r="CB119" i="1" s="1"/>
  <c r="U34" i="1"/>
  <c r="CC34" i="1" s="1"/>
  <c r="S63" i="1"/>
  <c r="CA63" i="1" s="1"/>
  <c r="R65" i="1"/>
  <c r="BZ65" i="1" s="1"/>
  <c r="U112" i="1"/>
  <c r="CC112" i="1" s="1"/>
  <c r="U171" i="1"/>
  <c r="CC171" i="1" s="1"/>
  <c r="U36" i="1"/>
  <c r="CC36" i="1" s="1"/>
  <c r="S71" i="1"/>
  <c r="CA71" i="1" s="1"/>
  <c r="R60" i="1"/>
  <c r="BZ60" i="1" s="1"/>
  <c r="R136" i="1"/>
  <c r="BZ136" i="1" s="1"/>
  <c r="CJ173" i="1"/>
  <c r="R5" i="1"/>
  <c r="BZ5" i="1" s="1"/>
  <c r="U39" i="1"/>
  <c r="CC39" i="1" s="1"/>
  <c r="S58" i="1"/>
  <c r="CA58" i="1" s="1"/>
  <c r="T85" i="1"/>
  <c r="CB85" i="1" s="1"/>
  <c r="R150" i="1"/>
  <c r="BZ150" i="1" s="1"/>
  <c r="U18" i="1"/>
  <c r="CC18" i="1" s="1"/>
  <c r="T31" i="1"/>
  <c r="CB31" i="1" s="1"/>
  <c r="S69" i="1"/>
  <c r="CA69" i="1" s="1"/>
  <c r="T87" i="1"/>
  <c r="CB87" i="1" s="1"/>
  <c r="S135" i="1"/>
  <c r="CA135" i="1" s="1"/>
  <c r="U8" i="1"/>
  <c r="CC8" i="1" s="1"/>
  <c r="T48" i="1"/>
  <c r="CB48" i="1" s="1"/>
  <c r="S75" i="1"/>
  <c r="CA75" i="1" s="1"/>
  <c r="U85" i="1"/>
  <c r="CC85" i="1" s="1"/>
  <c r="S154" i="1"/>
  <c r="CA154" i="1" s="1"/>
  <c r="R11" i="1"/>
  <c r="BZ11" i="1" s="1"/>
  <c r="V11" i="1"/>
  <c r="CD11" i="1" s="1"/>
  <c r="T47" i="1"/>
  <c r="CB47" i="1" s="1"/>
  <c r="S62" i="1"/>
  <c r="CA62" i="1" s="1"/>
  <c r="U87" i="1"/>
  <c r="CC87" i="1" s="1"/>
  <c r="T144" i="1"/>
  <c r="CB144" i="1" s="1"/>
  <c r="R13" i="1"/>
  <c r="BZ13" i="1" s="1"/>
  <c r="V14" i="1"/>
  <c r="CD14" i="1" s="1"/>
  <c r="T32" i="1"/>
  <c r="CB32" i="1" s="1"/>
  <c r="V61" i="1"/>
  <c r="CD61" i="1" s="1"/>
  <c r="T114" i="1"/>
  <c r="CB114" i="1" s="1"/>
  <c r="T147" i="1"/>
  <c r="CB147" i="1" s="1"/>
  <c r="U65" i="1"/>
  <c r="CC65" i="1" s="1"/>
  <c r="R110" i="1"/>
  <c r="BZ110" i="1" s="1"/>
  <c r="U5" i="1"/>
  <c r="CC5" i="1" s="1"/>
  <c r="U21" i="1"/>
  <c r="V8" i="1"/>
  <c r="CD8" i="1" s="1"/>
  <c r="V6" i="1"/>
  <c r="CD6" i="1" s="1"/>
  <c r="S31" i="1"/>
  <c r="CA31" i="1" s="1"/>
  <c r="U67" i="1"/>
  <c r="CC67" i="1" s="1"/>
  <c r="U69" i="1"/>
  <c r="CC69" i="1" s="1"/>
  <c r="V65" i="1"/>
  <c r="CD65" i="1" s="1"/>
  <c r="V66" i="1"/>
  <c r="CD66" i="1" s="1"/>
  <c r="R73" i="1"/>
  <c r="BZ73" i="1" s="1"/>
  <c r="R72" i="1"/>
  <c r="BZ72" i="1" s="1"/>
  <c r="T92" i="1"/>
  <c r="CB92" i="1" s="1"/>
  <c r="T83" i="1"/>
  <c r="CB83" i="1" s="1"/>
  <c r="U89" i="1"/>
  <c r="CC89" i="1" s="1"/>
  <c r="U99" i="1"/>
  <c r="CC99" i="1" s="1"/>
  <c r="T123" i="1"/>
  <c r="CB123" i="1" s="1"/>
  <c r="R114" i="1"/>
  <c r="BZ114" i="1" s="1"/>
  <c r="R127" i="1"/>
  <c r="BZ127" i="1" s="1"/>
  <c r="U124" i="1"/>
  <c r="CC124" i="1" s="1"/>
  <c r="U111" i="1"/>
  <c r="CC111" i="1" s="1"/>
  <c r="R140" i="1"/>
  <c r="BZ140" i="1" s="1"/>
  <c r="R138" i="1"/>
  <c r="BZ138" i="1" s="1"/>
  <c r="S139" i="1"/>
  <c r="CA139" i="1" s="1"/>
  <c r="S143" i="1"/>
  <c r="CA143" i="1" s="1"/>
  <c r="T151" i="1"/>
  <c r="CB151" i="1" s="1"/>
  <c r="T136" i="1"/>
  <c r="CB136" i="1" s="1"/>
  <c r="AA163" i="1"/>
  <c r="CI163" i="1" s="1"/>
  <c r="U161" i="1"/>
  <c r="CC161" i="1" s="1"/>
  <c r="CJ167" i="1"/>
  <c r="CJ166" i="1"/>
  <c r="U11" i="1"/>
  <c r="CC11" i="1" s="1"/>
  <c r="U10" i="1"/>
  <c r="CC10" i="1" s="1"/>
  <c r="V24" i="1"/>
  <c r="V23" i="1"/>
  <c r="S47" i="1"/>
  <c r="CA47" i="1" s="1"/>
  <c r="S50" i="1"/>
  <c r="CA50" i="1" s="1"/>
  <c r="U74" i="1"/>
  <c r="CC74" i="1" s="1"/>
  <c r="U58" i="1"/>
  <c r="CC58" i="1" s="1"/>
  <c r="V72" i="1"/>
  <c r="CD72" i="1" s="1"/>
  <c r="V57" i="1"/>
  <c r="CD57" i="1" s="1"/>
  <c r="T101" i="1"/>
  <c r="CB101" i="1" s="1"/>
  <c r="T102" i="1"/>
  <c r="CB102" i="1" s="1"/>
  <c r="U91" i="1"/>
  <c r="CC91" i="1" s="1"/>
  <c r="R113" i="1"/>
  <c r="BZ113" i="1" s="1"/>
  <c r="R124" i="1"/>
  <c r="BZ124" i="1" s="1"/>
  <c r="U126" i="1"/>
  <c r="CC126" i="1" s="1"/>
  <c r="U119" i="1"/>
  <c r="CC119" i="1" s="1"/>
  <c r="R137" i="1"/>
  <c r="BZ137" i="1" s="1"/>
  <c r="R154" i="1"/>
  <c r="BZ154" i="1" s="1"/>
  <c r="S152" i="1"/>
  <c r="CA152" i="1" s="1"/>
  <c r="AA173" i="1"/>
  <c r="CI173" i="1" s="1"/>
  <c r="U162" i="1"/>
  <c r="CC162" i="1" s="1"/>
  <c r="CJ179" i="1"/>
  <c r="CJ177" i="1"/>
  <c r="U60" i="1"/>
  <c r="CC60" i="1" s="1"/>
  <c r="U22" i="1"/>
  <c r="U24" i="1"/>
  <c r="V7" i="1"/>
  <c r="CD7" i="1" s="1"/>
  <c r="V10" i="1"/>
  <c r="CD10" i="1" s="1"/>
  <c r="U45" i="1"/>
  <c r="CC45" i="1" s="1"/>
  <c r="U31" i="1"/>
  <c r="CC31" i="1" s="1"/>
  <c r="S46" i="1"/>
  <c r="CA46" i="1" s="1"/>
  <c r="S39" i="1"/>
  <c r="CA39" i="1" s="1"/>
  <c r="S74" i="1"/>
  <c r="CA74" i="1" s="1"/>
  <c r="S59" i="1"/>
  <c r="CA59" i="1" s="1"/>
  <c r="U59" i="1"/>
  <c r="CC59" i="1" s="1"/>
  <c r="U66" i="1"/>
  <c r="CC66" i="1" s="1"/>
  <c r="V74" i="1"/>
  <c r="CD74" i="1" s="1"/>
  <c r="V69" i="1"/>
  <c r="CD69" i="1" s="1"/>
  <c r="R74" i="1"/>
  <c r="BZ74" i="1" s="1"/>
  <c r="T93" i="1"/>
  <c r="CB93" i="1" s="1"/>
  <c r="T91" i="1"/>
  <c r="CB91" i="1" s="1"/>
  <c r="U86" i="1"/>
  <c r="CC86" i="1" s="1"/>
  <c r="T126" i="1"/>
  <c r="CB126" i="1" s="1"/>
  <c r="T111" i="1"/>
  <c r="CB111" i="1" s="1"/>
  <c r="R123" i="1"/>
  <c r="BZ123" i="1" s="1"/>
  <c r="R126" i="1"/>
  <c r="BZ126" i="1" s="1"/>
  <c r="U115" i="1"/>
  <c r="CC115" i="1" s="1"/>
  <c r="U118" i="1"/>
  <c r="CC118" i="1" s="1"/>
  <c r="R149" i="1"/>
  <c r="BZ149" i="1" s="1"/>
  <c r="R143" i="1"/>
  <c r="BZ143" i="1" s="1"/>
  <c r="S149" i="1"/>
  <c r="CA149" i="1" s="1"/>
  <c r="T146" i="1"/>
  <c r="CB146" i="1" s="1"/>
  <c r="AA171" i="1"/>
  <c r="CI171" i="1" s="1"/>
  <c r="AA164" i="1"/>
  <c r="CI164" i="1" s="1"/>
  <c r="U173" i="1"/>
  <c r="CC173" i="1" s="1"/>
  <c r="U176" i="1"/>
  <c r="CC176" i="1" s="1"/>
  <c r="CJ171" i="1"/>
  <c r="CJ161" i="1"/>
  <c r="R120" i="1"/>
  <c r="BZ120" i="1" s="1"/>
  <c r="U6" i="1"/>
  <c r="CC6" i="1" s="1"/>
  <c r="U12" i="1"/>
  <c r="V17" i="1"/>
  <c r="CD17" i="1" s="1"/>
  <c r="V18" i="1"/>
  <c r="U48" i="1"/>
  <c r="CC48" i="1" s="1"/>
  <c r="T39" i="1"/>
  <c r="CB39" i="1" s="1"/>
  <c r="T43" i="1"/>
  <c r="CB43" i="1" s="1"/>
  <c r="S37" i="1"/>
  <c r="CA37" i="1" s="1"/>
  <c r="S34" i="1"/>
  <c r="CA34" i="1" s="1"/>
  <c r="S60" i="1"/>
  <c r="CA60" i="1" s="1"/>
  <c r="S72" i="1"/>
  <c r="CA72" i="1" s="1"/>
  <c r="U57" i="1"/>
  <c r="CC57" i="1" s="1"/>
  <c r="U73" i="1"/>
  <c r="CC73" i="1" s="1"/>
  <c r="V71" i="1"/>
  <c r="CD71" i="1" s="1"/>
  <c r="R59" i="1"/>
  <c r="BZ59" i="1" s="1"/>
  <c r="T88" i="1"/>
  <c r="CB88" i="1" s="1"/>
  <c r="U97" i="1"/>
  <c r="CC97" i="1" s="1"/>
  <c r="T125" i="1"/>
  <c r="CB125" i="1" s="1"/>
  <c r="T113" i="1"/>
  <c r="CB113" i="1" s="1"/>
  <c r="R115" i="1"/>
  <c r="BZ115" i="1" s="1"/>
  <c r="R112" i="1"/>
  <c r="BZ112" i="1" s="1"/>
  <c r="U113" i="1"/>
  <c r="CC113" i="1" s="1"/>
  <c r="U114" i="1"/>
  <c r="CC114" i="1" s="1"/>
  <c r="R147" i="1"/>
  <c r="BZ147" i="1" s="1"/>
  <c r="S136" i="1"/>
  <c r="CA136" i="1" s="1"/>
  <c r="S144" i="1"/>
  <c r="CA144" i="1" s="1"/>
  <c r="T153" i="1"/>
  <c r="CB153" i="1" s="1"/>
  <c r="T145" i="1"/>
  <c r="CB145" i="1" s="1"/>
  <c r="AA162" i="1"/>
  <c r="CI162" i="1" s="1"/>
  <c r="AA166" i="1"/>
  <c r="CI166" i="1" s="1"/>
  <c r="U180" i="1"/>
  <c r="CC180" i="1" s="1"/>
  <c r="U164" i="1"/>
  <c r="CC164" i="1" s="1"/>
  <c r="CJ162" i="1"/>
  <c r="CJ180" i="1"/>
  <c r="R16" i="1"/>
  <c r="BZ16" i="1" s="1"/>
  <c r="R9" i="1"/>
  <c r="U7" i="1"/>
  <c r="CC7" i="1" s="1"/>
  <c r="U13" i="1"/>
  <c r="CC13" i="1" s="1"/>
  <c r="V22" i="1"/>
  <c r="V13" i="1"/>
  <c r="CD13" i="1" s="1"/>
  <c r="U49" i="1"/>
  <c r="CC49" i="1" s="1"/>
  <c r="T46" i="1"/>
  <c r="CB46" i="1" s="1"/>
  <c r="T35" i="1"/>
  <c r="CB35" i="1" s="1"/>
  <c r="S45" i="1"/>
  <c r="CA45" i="1" s="1"/>
  <c r="S48" i="1"/>
  <c r="CA48" i="1" s="1"/>
  <c r="S73" i="1"/>
  <c r="CA73" i="1" s="1"/>
  <c r="S76" i="1"/>
  <c r="CA76" i="1" s="1"/>
  <c r="U62" i="1"/>
  <c r="CC62" i="1" s="1"/>
  <c r="U61" i="1"/>
  <c r="CC61" i="1" s="1"/>
  <c r="V60" i="1"/>
  <c r="CD60" i="1" s="1"/>
  <c r="R63" i="1"/>
  <c r="BZ63" i="1" s="1"/>
  <c r="R71" i="1"/>
  <c r="BZ71" i="1" s="1"/>
  <c r="T98" i="1"/>
  <c r="CB98" i="1" s="1"/>
  <c r="U84" i="1"/>
  <c r="CC84" i="1" s="1"/>
  <c r="U83" i="1"/>
  <c r="CC83" i="1" s="1"/>
  <c r="T128" i="1"/>
  <c r="CB128" i="1" s="1"/>
  <c r="T121" i="1"/>
  <c r="CB121" i="1" s="1"/>
  <c r="R111" i="1"/>
  <c r="BZ111" i="1" s="1"/>
  <c r="R118" i="1"/>
  <c r="BZ118" i="1" s="1"/>
  <c r="U121" i="1"/>
  <c r="CC121" i="1" s="1"/>
  <c r="U120" i="1"/>
  <c r="CC120" i="1" s="1"/>
  <c r="R152" i="1"/>
  <c r="BZ152" i="1" s="1"/>
  <c r="S151" i="1"/>
  <c r="CA151" i="1" s="1"/>
  <c r="S147" i="1"/>
  <c r="CA147" i="1" s="1"/>
  <c r="T135" i="1"/>
  <c r="CB135" i="1" s="1"/>
  <c r="T149" i="1"/>
  <c r="CB149" i="1" s="1"/>
  <c r="AA167" i="1"/>
  <c r="CI167" i="1" s="1"/>
  <c r="AA170" i="1"/>
  <c r="CI170" i="1" s="1"/>
  <c r="U167" i="1"/>
  <c r="CC167" i="1" s="1"/>
  <c r="U178" i="1"/>
  <c r="CC178" i="1" s="1"/>
  <c r="CJ163" i="1"/>
  <c r="CJ169" i="1"/>
  <c r="R23" i="1"/>
  <c r="BZ23" i="1" s="1"/>
  <c r="R8" i="1"/>
  <c r="BZ8" i="1" s="1"/>
  <c r="U14" i="1"/>
  <c r="CC14" i="1" s="1"/>
  <c r="U23" i="1"/>
  <c r="V9" i="1"/>
  <c r="CD9" i="1" s="1"/>
  <c r="U42" i="1"/>
  <c r="CC42" i="1" s="1"/>
  <c r="U32" i="1"/>
  <c r="CC32" i="1" s="1"/>
  <c r="T45" i="1"/>
  <c r="CB45" i="1" s="1"/>
  <c r="T37" i="1"/>
  <c r="CB37" i="1" s="1"/>
  <c r="S33" i="1"/>
  <c r="CA33" i="1" s="1"/>
  <c r="S36" i="1"/>
  <c r="CA36" i="1" s="1"/>
  <c r="S66" i="1"/>
  <c r="CA66" i="1" s="1"/>
  <c r="S65" i="1"/>
  <c r="CA65" i="1" s="1"/>
  <c r="U71" i="1"/>
  <c r="CC71" i="1" s="1"/>
  <c r="V67" i="1"/>
  <c r="CD67" i="1" s="1"/>
  <c r="V76" i="1"/>
  <c r="CD76" i="1" s="1"/>
  <c r="R66" i="1"/>
  <c r="BZ66" i="1" s="1"/>
  <c r="T89" i="1"/>
  <c r="CB89" i="1" s="1"/>
  <c r="T94" i="1"/>
  <c r="CB94" i="1" s="1"/>
  <c r="U101" i="1"/>
  <c r="CC101" i="1" s="1"/>
  <c r="U102" i="1"/>
  <c r="CC102" i="1" s="1"/>
  <c r="T118" i="1"/>
  <c r="CB118" i="1" s="1"/>
  <c r="T115" i="1"/>
  <c r="CB115" i="1" s="1"/>
  <c r="R128" i="1"/>
  <c r="BZ128" i="1" s="1"/>
  <c r="R119" i="1"/>
  <c r="BZ119" i="1" s="1"/>
  <c r="U128" i="1"/>
  <c r="CC128" i="1" s="1"/>
  <c r="R144" i="1"/>
  <c r="BZ144" i="1" s="1"/>
  <c r="R151" i="1"/>
  <c r="BZ151" i="1" s="1"/>
  <c r="S140" i="1"/>
  <c r="CA140" i="1" s="1"/>
  <c r="S153" i="1"/>
  <c r="CA153" i="1" s="1"/>
  <c r="T137" i="1"/>
  <c r="CB137" i="1" s="1"/>
  <c r="T150" i="1"/>
  <c r="CB150" i="1" s="1"/>
  <c r="AA178" i="1"/>
  <c r="CI178" i="1" s="1"/>
  <c r="AA177" i="1"/>
  <c r="CI177" i="1" s="1"/>
  <c r="U169" i="1"/>
  <c r="CC169" i="1" s="1"/>
  <c r="U172" i="1"/>
  <c r="CC172" i="1" s="1"/>
  <c r="CJ165" i="1"/>
  <c r="CJ172" i="1"/>
  <c r="R6" i="1"/>
  <c r="BZ6" i="1" s="1"/>
  <c r="R7" i="1"/>
  <c r="BZ7" i="1" s="1"/>
  <c r="U15" i="1"/>
  <c r="U9" i="1"/>
  <c r="CC9" i="1" s="1"/>
  <c r="V21" i="1"/>
  <c r="U33" i="1"/>
  <c r="CC33" i="1" s="1"/>
  <c r="U43" i="1"/>
  <c r="CC43" i="1" s="1"/>
  <c r="T34" i="1"/>
  <c r="CB34" i="1" s="1"/>
  <c r="T40" i="1"/>
  <c r="CB40" i="1" s="1"/>
  <c r="S42" i="1"/>
  <c r="CA42" i="1" s="1"/>
  <c r="S43" i="1"/>
  <c r="CA43" i="1" s="1"/>
  <c r="S68" i="1"/>
  <c r="CA68" i="1" s="1"/>
  <c r="S61" i="1"/>
  <c r="CA61" i="1" s="1"/>
  <c r="U72" i="1"/>
  <c r="CC72" i="1" s="1"/>
  <c r="V68" i="1"/>
  <c r="CD68" i="1" s="1"/>
  <c r="V63" i="1"/>
  <c r="CD63" i="1" s="1"/>
  <c r="R75" i="1"/>
  <c r="BZ75" i="1" s="1"/>
  <c r="R61" i="1"/>
  <c r="BZ61" i="1" s="1"/>
  <c r="T86" i="1"/>
  <c r="CB86" i="1" s="1"/>
  <c r="T99" i="1"/>
  <c r="CB99" i="1" s="1"/>
  <c r="U95" i="1"/>
  <c r="CC95" i="1" s="1"/>
  <c r="U93" i="1"/>
  <c r="CC93" i="1" s="1"/>
  <c r="T110" i="1"/>
  <c r="CB110" i="1" s="1"/>
  <c r="R125" i="1"/>
  <c r="BZ125" i="1" s="1"/>
  <c r="R109" i="1"/>
  <c r="BZ109" i="1" s="1"/>
  <c r="U110" i="1"/>
  <c r="CC110" i="1" s="1"/>
  <c r="R146" i="1"/>
  <c r="BZ146" i="1" s="1"/>
  <c r="R139" i="1"/>
  <c r="BZ139" i="1" s="1"/>
  <c r="S146" i="1"/>
  <c r="CA146" i="1" s="1"/>
  <c r="T139" i="1"/>
  <c r="CB139" i="1" s="1"/>
  <c r="T138" i="1"/>
  <c r="CB138" i="1" s="1"/>
  <c r="AA175" i="1"/>
  <c r="CI175" i="1" s="1"/>
  <c r="AA165" i="1"/>
  <c r="CI165" i="1" s="1"/>
  <c r="U177" i="1"/>
  <c r="CC177" i="1" s="1"/>
  <c r="U166" i="1"/>
  <c r="CC166" i="1" s="1"/>
  <c r="CJ170" i="1"/>
  <c r="CJ176" i="1"/>
  <c r="R12" i="1"/>
  <c r="BZ12" i="1" s="1"/>
  <c r="R10" i="1"/>
  <c r="BZ10" i="1" s="1"/>
  <c r="U16" i="1"/>
  <c r="CC16" i="1" s="1"/>
  <c r="V12" i="1"/>
  <c r="V15" i="1"/>
  <c r="CD15" i="1" s="1"/>
  <c r="U37" i="1"/>
  <c r="CC37" i="1" s="1"/>
  <c r="U46" i="1"/>
  <c r="CC46" i="1" s="1"/>
  <c r="T36" i="1"/>
  <c r="CB36" i="1" s="1"/>
  <c r="T49" i="1"/>
  <c r="CB49" i="1" s="1"/>
  <c r="S49" i="1"/>
  <c r="CA49" i="1" s="1"/>
  <c r="S40" i="1"/>
  <c r="CA40" i="1" s="1"/>
  <c r="S67" i="1"/>
  <c r="CA67" i="1" s="1"/>
  <c r="U63" i="1"/>
  <c r="CC63" i="1" s="1"/>
  <c r="U68" i="1"/>
  <c r="CC68" i="1" s="1"/>
  <c r="V59" i="1"/>
  <c r="CD59" i="1" s="1"/>
  <c r="V62" i="1"/>
  <c r="CD62" i="1" s="1"/>
  <c r="R69" i="1"/>
  <c r="BZ69" i="1" s="1"/>
  <c r="R57" i="1"/>
  <c r="BZ57" i="1" s="1"/>
  <c r="T97" i="1"/>
  <c r="CB97" i="1" s="1"/>
  <c r="T84" i="1"/>
  <c r="CB84" i="1" s="1"/>
  <c r="U92" i="1"/>
  <c r="CC92" i="1" s="1"/>
  <c r="U94" i="1"/>
  <c r="CC94" i="1" s="1"/>
  <c r="T127" i="1"/>
  <c r="CB127" i="1" s="1"/>
  <c r="T112" i="1"/>
  <c r="CB112" i="1" s="1"/>
  <c r="R117" i="1"/>
  <c r="BZ117" i="1" s="1"/>
  <c r="U123" i="1"/>
  <c r="CC123" i="1" s="1"/>
  <c r="U125" i="1"/>
  <c r="CC125" i="1" s="1"/>
  <c r="R141" i="1"/>
  <c r="BZ141" i="1" s="1"/>
  <c r="R135" i="1"/>
  <c r="S145" i="1"/>
  <c r="CA145" i="1" s="1"/>
  <c r="S150" i="1"/>
  <c r="CA150" i="1" s="1"/>
  <c r="T141" i="1"/>
  <c r="CB141" i="1" s="1"/>
  <c r="T154" i="1"/>
  <c r="CB154" i="1" s="1"/>
  <c r="AA179" i="1"/>
  <c r="CI179" i="1" s="1"/>
  <c r="AA180" i="1"/>
  <c r="CI180" i="1" s="1"/>
  <c r="U170" i="1"/>
  <c r="CC170" i="1" s="1"/>
  <c r="U175" i="1"/>
  <c r="CC175" i="1" s="1"/>
  <c r="CJ175" i="1"/>
  <c r="CJ164" i="1"/>
  <c r="R22" i="1"/>
  <c r="BZ22" i="1" s="1"/>
  <c r="V16" i="1"/>
  <c r="CD16" i="1" s="1"/>
  <c r="U50" i="1"/>
  <c r="CC50" i="1" s="1"/>
  <c r="T50" i="1"/>
  <c r="CB50" i="1" s="1"/>
  <c r="S41" i="1"/>
  <c r="CA41" i="1" s="1"/>
  <c r="U75" i="1"/>
  <c r="CC75" i="1" s="1"/>
  <c r="V75" i="1"/>
  <c r="CD75" i="1" s="1"/>
  <c r="R68" i="1"/>
  <c r="BZ68" i="1" s="1"/>
  <c r="R76" i="1"/>
  <c r="BZ76" i="1" s="1"/>
  <c r="T95" i="1"/>
  <c r="CB95" i="1" s="1"/>
  <c r="U100" i="1"/>
  <c r="CC100" i="1" s="1"/>
  <c r="U88" i="1"/>
  <c r="CC88" i="1" s="1"/>
  <c r="T109" i="1"/>
  <c r="CB109" i="1" s="1"/>
  <c r="T120" i="1"/>
  <c r="CB120" i="1" s="1"/>
  <c r="U117" i="1"/>
  <c r="CC117" i="1" s="1"/>
  <c r="R153" i="1"/>
  <c r="BZ153" i="1" s="1"/>
  <c r="S137" i="1"/>
  <c r="CA137" i="1" s="1"/>
  <c r="S138" i="1"/>
  <c r="CA138" i="1" s="1"/>
  <c r="T152" i="1"/>
  <c r="CB152" i="1" s="1"/>
  <c r="T143" i="1"/>
  <c r="CB143" i="1" s="1"/>
  <c r="AA176" i="1"/>
  <c r="CI176" i="1" s="1"/>
  <c r="U165" i="1"/>
  <c r="CC165" i="1" s="1"/>
  <c r="R162" i="1"/>
  <c r="BZ162" i="1" s="1"/>
  <c r="R163" i="1"/>
  <c r="R165" i="1"/>
  <c r="BZ165" i="1" s="1"/>
  <c r="R164" i="1"/>
  <c r="R161" i="1"/>
  <c r="Z169" i="1"/>
  <c r="Z180" i="1"/>
  <c r="Z165" i="1"/>
  <c r="Z177" i="1"/>
  <c r="Z162" i="1"/>
  <c r="Z173" i="1"/>
  <c r="Z161" i="1"/>
  <c r="Z170" i="1"/>
  <c r="Z167" i="1"/>
  <c r="Z171" i="1"/>
  <c r="Z176" i="1"/>
  <c r="Z175" i="1"/>
  <c r="Z178" i="1"/>
  <c r="Z166" i="1"/>
  <c r="Z164" i="1"/>
  <c r="Z163" i="1"/>
  <c r="Z179" i="1"/>
  <c r="Z172" i="1"/>
  <c r="V171" i="1"/>
  <c r="CD171" i="1" s="1"/>
  <c r="V169" i="1"/>
  <c r="CD169" i="1" s="1"/>
  <c r="V180" i="1"/>
  <c r="CD180" i="1" s="1"/>
  <c r="V172" i="1"/>
  <c r="CD172" i="1" s="1"/>
  <c r="V161" i="1"/>
  <c r="CD161" i="1" s="1"/>
  <c r="V164" i="1"/>
  <c r="V162" i="1"/>
  <c r="CD162" i="1" s="1"/>
  <c r="V166" i="1"/>
  <c r="CD166" i="1" s="1"/>
  <c r="V170" i="1"/>
  <c r="CD170" i="1" s="1"/>
  <c r="V179" i="1"/>
  <c r="CD179" i="1" s="1"/>
  <c r="V167" i="1"/>
  <c r="CD167" i="1" s="1"/>
  <c r="V163" i="1"/>
  <c r="CD163" i="1" s="1"/>
  <c r="V178" i="1"/>
  <c r="CD178" i="1" s="1"/>
  <c r="V165" i="1"/>
  <c r="CD165" i="1" s="1"/>
  <c r="V173" i="1"/>
  <c r="CD173" i="1" s="1"/>
  <c r="V175" i="1"/>
  <c r="CD175" i="1" s="1"/>
  <c r="V177" i="1"/>
  <c r="CD177" i="1" s="1"/>
  <c r="V176" i="1"/>
  <c r="CD176" i="1" s="1"/>
  <c r="U136" i="1"/>
  <c r="CC136" i="1" s="1"/>
  <c r="U147" i="1"/>
  <c r="CC147" i="1" s="1"/>
  <c r="U143" i="1"/>
  <c r="CC143" i="1" s="1"/>
  <c r="U154" i="1"/>
  <c r="CC154" i="1" s="1"/>
  <c r="U146" i="1"/>
  <c r="CC146" i="1" s="1"/>
  <c r="U137" i="1"/>
  <c r="CC137" i="1" s="1"/>
  <c r="U144" i="1"/>
  <c r="CC144" i="1" s="1"/>
  <c r="U141" i="1"/>
  <c r="CC141" i="1" s="1"/>
  <c r="U135" i="1"/>
  <c r="CC135" i="1" s="1"/>
  <c r="U152" i="1"/>
  <c r="U150" i="1"/>
  <c r="CC150" i="1" s="1"/>
  <c r="U145" i="1"/>
  <c r="CC145" i="1" s="1"/>
  <c r="U140" i="1"/>
  <c r="CC140" i="1" s="1"/>
  <c r="U153" i="1"/>
  <c r="CC153" i="1" s="1"/>
  <c r="U138" i="1"/>
  <c r="CC138" i="1" s="1"/>
  <c r="U151" i="1"/>
  <c r="CC151" i="1" s="1"/>
  <c r="U149" i="1"/>
  <c r="CC149" i="1" s="1"/>
  <c r="U139" i="1"/>
  <c r="CC139" i="1" s="1"/>
  <c r="V140" i="1"/>
  <c r="CD140" i="1" s="1"/>
  <c r="V152" i="1"/>
  <c r="CD152" i="1" s="1"/>
  <c r="V136" i="1"/>
  <c r="CD136" i="1" s="1"/>
  <c r="V147" i="1"/>
  <c r="CD147" i="1" s="1"/>
  <c r="V143" i="1"/>
  <c r="CD143" i="1" s="1"/>
  <c r="V154" i="1"/>
  <c r="CD154" i="1" s="1"/>
  <c r="V145" i="1"/>
  <c r="CD145" i="1" s="1"/>
  <c r="V144" i="1"/>
  <c r="CD144" i="1" s="1"/>
  <c r="V141" i="1"/>
  <c r="CD141" i="1" s="1"/>
  <c r="V138" i="1"/>
  <c r="CD138" i="1" s="1"/>
  <c r="V139" i="1"/>
  <c r="CD139" i="1" s="1"/>
  <c r="V146" i="1"/>
  <c r="CD146" i="1" s="1"/>
  <c r="V150" i="1"/>
  <c r="CD150" i="1" s="1"/>
  <c r="V135" i="1"/>
  <c r="CD135" i="1" s="1"/>
  <c r="V151" i="1"/>
  <c r="CD151" i="1" s="1"/>
  <c r="V137" i="1"/>
  <c r="CD137" i="1" s="1"/>
  <c r="V149" i="1"/>
  <c r="CD149" i="1" s="1"/>
  <c r="V153" i="1"/>
  <c r="CD153" i="1" s="1"/>
  <c r="S124" i="1"/>
  <c r="CA124" i="1" s="1"/>
  <c r="S115" i="1"/>
  <c r="CA115" i="1" s="1"/>
  <c r="S127" i="1"/>
  <c r="CA127" i="1" s="1"/>
  <c r="S120" i="1"/>
  <c r="CA120" i="1" s="1"/>
  <c r="S128" i="1"/>
  <c r="CA128" i="1" s="1"/>
  <c r="S110" i="1"/>
  <c r="CA110" i="1" s="1"/>
  <c r="S119" i="1"/>
  <c r="CA119" i="1" s="1"/>
  <c r="S125" i="1"/>
  <c r="CA125" i="1" s="1"/>
  <c r="S113" i="1"/>
  <c r="CA113" i="1" s="1"/>
  <c r="S117" i="1"/>
  <c r="CA117" i="1" s="1"/>
  <c r="S109" i="1"/>
  <c r="S126" i="1"/>
  <c r="CA126" i="1" s="1"/>
  <c r="S118" i="1"/>
  <c r="CA118" i="1" s="1"/>
  <c r="S111" i="1"/>
  <c r="CA111" i="1" s="1"/>
  <c r="S123" i="1"/>
  <c r="CA123" i="1" s="1"/>
  <c r="S114" i="1"/>
  <c r="CA114" i="1" s="1"/>
  <c r="S121" i="1"/>
  <c r="CA121" i="1" s="1"/>
  <c r="S112" i="1"/>
  <c r="CA112" i="1" s="1"/>
  <c r="V113" i="1"/>
  <c r="V125" i="1"/>
  <c r="CD125" i="1" s="1"/>
  <c r="V127" i="1"/>
  <c r="CD127" i="1" s="1"/>
  <c r="V117" i="1"/>
  <c r="CD117" i="1" s="1"/>
  <c r="V121" i="1"/>
  <c r="CD121" i="1" s="1"/>
  <c r="V123" i="1"/>
  <c r="CD123" i="1" s="1"/>
  <c r="V112" i="1"/>
  <c r="V126" i="1"/>
  <c r="CD126" i="1" s="1"/>
  <c r="V120" i="1"/>
  <c r="CD120" i="1" s="1"/>
  <c r="V114" i="1"/>
  <c r="CD114" i="1" s="1"/>
  <c r="V110" i="1"/>
  <c r="CD110" i="1" s="1"/>
  <c r="V118" i="1"/>
  <c r="CD118" i="1" s="1"/>
  <c r="V111" i="1"/>
  <c r="CD111" i="1" s="1"/>
  <c r="V115" i="1"/>
  <c r="CD115" i="1" s="1"/>
  <c r="V124" i="1"/>
  <c r="CD124" i="1" s="1"/>
  <c r="V119" i="1"/>
  <c r="CD119" i="1" s="1"/>
  <c r="V128" i="1"/>
  <c r="CD128" i="1" s="1"/>
  <c r="V109" i="1"/>
  <c r="CD109" i="1" s="1"/>
  <c r="R86" i="1"/>
  <c r="BZ86" i="1" s="1"/>
  <c r="R98" i="1"/>
  <c r="BZ98" i="1" s="1"/>
  <c r="R101" i="1"/>
  <c r="BZ101" i="1" s="1"/>
  <c r="R91" i="1"/>
  <c r="BZ91" i="1" s="1"/>
  <c r="R94" i="1"/>
  <c r="BZ94" i="1" s="1"/>
  <c r="R102" i="1"/>
  <c r="BZ102" i="1" s="1"/>
  <c r="R83" i="1"/>
  <c r="R95" i="1"/>
  <c r="BZ95" i="1" s="1"/>
  <c r="R84" i="1"/>
  <c r="BZ84" i="1" s="1"/>
  <c r="R99" i="1"/>
  <c r="BZ99" i="1" s="1"/>
  <c r="R100" i="1"/>
  <c r="BZ100" i="1" s="1"/>
  <c r="R97" i="1"/>
  <c r="BZ97" i="1" s="1"/>
  <c r="R93" i="1"/>
  <c r="BZ93" i="1" s="1"/>
  <c r="R89" i="1"/>
  <c r="BZ89" i="1" s="1"/>
  <c r="R88" i="1"/>
  <c r="BZ88" i="1" s="1"/>
  <c r="R85" i="1"/>
  <c r="BZ85" i="1" s="1"/>
  <c r="R92" i="1"/>
  <c r="BZ92" i="1" s="1"/>
  <c r="R87" i="1"/>
  <c r="BZ87" i="1" s="1"/>
  <c r="S94" i="1"/>
  <c r="CA94" i="1" s="1"/>
  <c r="S86" i="1"/>
  <c r="CA86" i="1" s="1"/>
  <c r="S83" i="1"/>
  <c r="CA83" i="1" s="1"/>
  <c r="S88" i="1"/>
  <c r="CA88" i="1" s="1"/>
  <c r="S101" i="1"/>
  <c r="CA101" i="1" s="1"/>
  <c r="S97" i="1"/>
  <c r="CA97" i="1" s="1"/>
  <c r="S89" i="1"/>
  <c r="CA89" i="1" s="1"/>
  <c r="S100" i="1"/>
  <c r="CA100" i="1" s="1"/>
  <c r="S87" i="1"/>
  <c r="CA87" i="1" s="1"/>
  <c r="S102" i="1"/>
  <c r="CA102" i="1" s="1"/>
  <c r="S99" i="1"/>
  <c r="CA99" i="1" s="1"/>
  <c r="S91" i="1"/>
  <c r="CA91" i="1" s="1"/>
  <c r="S84" i="1"/>
  <c r="CA84" i="1" s="1"/>
  <c r="S98" i="1"/>
  <c r="CA98" i="1" s="1"/>
  <c r="S92" i="1"/>
  <c r="CA92" i="1" s="1"/>
  <c r="S93" i="1"/>
  <c r="CA93" i="1" s="1"/>
  <c r="S95" i="1"/>
  <c r="CA95" i="1" s="1"/>
  <c r="S85" i="1"/>
  <c r="CA85" i="1" s="1"/>
  <c r="V102" i="1"/>
  <c r="CD102" i="1" s="1"/>
  <c r="V83" i="1"/>
  <c r="CD83" i="1" s="1"/>
  <c r="V99" i="1"/>
  <c r="CD99" i="1" s="1"/>
  <c r="V93" i="1"/>
  <c r="CD93" i="1" s="1"/>
  <c r="V91" i="1"/>
  <c r="CD91" i="1" s="1"/>
  <c r="V95" i="1"/>
  <c r="CD95" i="1" s="1"/>
  <c r="V98" i="1"/>
  <c r="CD98" i="1" s="1"/>
  <c r="V101" i="1"/>
  <c r="CD101" i="1" s="1"/>
  <c r="V84" i="1"/>
  <c r="CD84" i="1" s="1"/>
  <c r="V100" i="1"/>
  <c r="CD100" i="1" s="1"/>
  <c r="V92" i="1"/>
  <c r="CD92" i="1" s="1"/>
  <c r="V88" i="1"/>
  <c r="CD88" i="1" s="1"/>
  <c r="V94" i="1"/>
  <c r="CD94" i="1" s="1"/>
  <c r="V86" i="1"/>
  <c r="V97" i="1"/>
  <c r="CD97" i="1" s="1"/>
  <c r="V89" i="1"/>
  <c r="CD89" i="1" s="1"/>
  <c r="V85" i="1"/>
  <c r="CD85" i="1" s="1"/>
  <c r="V87" i="1"/>
  <c r="T76" i="1"/>
  <c r="CB76" i="1" s="1"/>
  <c r="T65" i="1"/>
  <c r="CB65" i="1" s="1"/>
  <c r="T69" i="1"/>
  <c r="CB69" i="1" s="1"/>
  <c r="T61" i="1"/>
  <c r="CB61" i="1" s="1"/>
  <c r="T67" i="1"/>
  <c r="CB67" i="1" s="1"/>
  <c r="T72" i="1"/>
  <c r="CB72" i="1" s="1"/>
  <c r="T57" i="1"/>
  <c r="T62" i="1"/>
  <c r="CB62" i="1" s="1"/>
  <c r="T59" i="1"/>
  <c r="CB59" i="1" s="1"/>
  <c r="T75" i="1"/>
  <c r="CB75" i="1" s="1"/>
  <c r="T66" i="1"/>
  <c r="CB66" i="1" s="1"/>
  <c r="T71" i="1"/>
  <c r="CB71" i="1" s="1"/>
  <c r="T73" i="1"/>
  <c r="CB73" i="1" s="1"/>
  <c r="T58" i="1"/>
  <c r="CB58" i="1" s="1"/>
  <c r="T63" i="1"/>
  <c r="CB63" i="1" s="1"/>
  <c r="T60" i="1"/>
  <c r="CB60" i="1" s="1"/>
  <c r="T68" i="1"/>
  <c r="CB68" i="1" s="1"/>
  <c r="T74" i="1"/>
  <c r="CB74" i="1" s="1"/>
  <c r="R45" i="1"/>
  <c r="BZ45" i="1" s="1"/>
  <c r="R39" i="1"/>
  <c r="BZ39" i="1" s="1"/>
  <c r="R31" i="1"/>
  <c r="R33" i="1"/>
  <c r="BZ33" i="1" s="1"/>
  <c r="R36" i="1"/>
  <c r="BZ36" i="1" s="1"/>
  <c r="R37" i="1"/>
  <c r="BZ37" i="1" s="1"/>
  <c r="R35" i="1"/>
  <c r="BZ35" i="1" s="1"/>
  <c r="R50" i="1"/>
  <c r="BZ50" i="1" s="1"/>
  <c r="R48" i="1"/>
  <c r="BZ48" i="1" s="1"/>
  <c r="R49" i="1"/>
  <c r="BZ49" i="1" s="1"/>
  <c r="R34" i="1"/>
  <c r="BZ34" i="1" s="1"/>
  <c r="R46" i="1"/>
  <c r="BZ46" i="1" s="1"/>
  <c r="R40" i="1"/>
  <c r="BZ40" i="1" s="1"/>
  <c r="R41" i="1"/>
  <c r="BZ41" i="1" s="1"/>
  <c r="R32" i="1"/>
  <c r="BZ32" i="1" s="1"/>
  <c r="R47" i="1"/>
  <c r="BZ47" i="1" s="1"/>
  <c r="R42" i="1"/>
  <c r="BZ42" i="1" s="1"/>
  <c r="R43" i="1"/>
  <c r="BZ43" i="1" s="1"/>
  <c r="V39" i="1"/>
  <c r="CD39" i="1" s="1"/>
  <c r="V47" i="1"/>
  <c r="CD47" i="1" s="1"/>
  <c r="V36" i="1"/>
  <c r="CD36" i="1" s="1"/>
  <c r="V31" i="1"/>
  <c r="CD31" i="1" s="1"/>
  <c r="V40" i="1"/>
  <c r="CD40" i="1" s="1"/>
  <c r="V45" i="1"/>
  <c r="CD45" i="1" s="1"/>
  <c r="V33" i="1"/>
  <c r="CD33" i="1" s="1"/>
  <c r="V46" i="1"/>
  <c r="CD46" i="1" s="1"/>
  <c r="V42" i="1"/>
  <c r="CD42" i="1" s="1"/>
  <c r="V48" i="1"/>
  <c r="CD48" i="1" s="1"/>
  <c r="V35" i="1"/>
  <c r="V50" i="1"/>
  <c r="CD50" i="1" s="1"/>
  <c r="V37" i="1"/>
  <c r="CD37" i="1" s="1"/>
  <c r="V32" i="1"/>
  <c r="CD32" i="1" s="1"/>
  <c r="V41" i="1"/>
  <c r="CD41" i="1" s="1"/>
  <c r="V34" i="1"/>
  <c r="V49" i="1"/>
  <c r="CD49" i="1" s="1"/>
  <c r="V43" i="1"/>
  <c r="CD43" i="1" s="1"/>
  <c r="B207" i="1"/>
  <c r="CC17" i="1"/>
  <c r="Z14" i="1"/>
  <c r="Z15" i="1"/>
  <c r="Z23" i="1"/>
  <c r="Z24" i="1"/>
  <c r="Z17" i="1"/>
  <c r="Z7" i="1"/>
  <c r="Z18" i="1"/>
  <c r="Z12" i="1"/>
  <c r="Z21" i="1"/>
  <c r="Z13" i="1"/>
  <c r="Z22" i="1"/>
  <c r="Z9" i="1"/>
  <c r="Z5" i="1"/>
  <c r="Z8" i="1"/>
  <c r="Z6" i="1"/>
  <c r="Z16" i="1"/>
  <c r="Z10" i="1"/>
  <c r="Z11" i="1"/>
  <c r="S17" i="1"/>
  <c r="CA17" i="1" s="1"/>
  <c r="S12" i="1"/>
  <c r="CA12" i="1" s="1"/>
  <c r="S11" i="1"/>
  <c r="CA11" i="1" s="1"/>
  <c r="S5" i="1"/>
  <c r="CA5" i="1" s="1"/>
  <c r="S10" i="1"/>
  <c r="CA10" i="1" s="1"/>
  <c r="S8" i="1"/>
  <c r="S23" i="1"/>
  <c r="CA23" i="1" s="1"/>
  <c r="S9" i="1"/>
  <c r="CA9" i="1" s="1"/>
  <c r="S7" i="1"/>
  <c r="CA7" i="1" s="1"/>
  <c r="S22" i="1"/>
  <c r="CA22" i="1" s="1"/>
  <c r="S6" i="1"/>
  <c r="CA6" i="1" s="1"/>
  <c r="S21" i="1"/>
  <c r="CA21" i="1" s="1"/>
  <c r="S24" i="1"/>
  <c r="S13" i="1"/>
  <c r="CA13" i="1" s="1"/>
  <c r="S18" i="1"/>
  <c r="CA18" i="1" s="1"/>
  <c r="S15" i="1"/>
  <c r="CA15" i="1" s="1"/>
  <c r="S16" i="1"/>
  <c r="CA16" i="1" s="1"/>
  <c r="S14" i="1"/>
  <c r="CA14" i="1" s="1"/>
  <c r="CD5" i="1"/>
  <c r="T9" i="1"/>
  <c r="CB9" i="1" s="1"/>
  <c r="T17" i="1"/>
  <c r="CB17" i="1" s="1"/>
  <c r="T16" i="1"/>
  <c r="CB16" i="1" s="1"/>
  <c r="T22" i="1"/>
  <c r="CB22" i="1" s="1"/>
  <c r="T18" i="1"/>
  <c r="CB18" i="1" s="1"/>
  <c r="T8" i="1"/>
  <c r="CB8" i="1" s="1"/>
  <c r="T7" i="1"/>
  <c r="CB7" i="1" s="1"/>
  <c r="T12" i="1"/>
  <c r="CB12" i="1" s="1"/>
  <c r="T23" i="1"/>
  <c r="CB23" i="1" s="1"/>
  <c r="T10" i="1"/>
  <c r="CB10" i="1" s="1"/>
  <c r="T15" i="1"/>
  <c r="CB15" i="1" s="1"/>
  <c r="T14" i="1"/>
  <c r="CB14" i="1" s="1"/>
  <c r="T13" i="1"/>
  <c r="CB13" i="1" s="1"/>
  <c r="T6" i="1"/>
  <c r="CB6" i="1" s="1"/>
  <c r="T11" i="1"/>
  <c r="CB11" i="1" s="1"/>
  <c r="T5" i="1"/>
  <c r="CB5" i="1" s="1"/>
  <c r="T24" i="1"/>
  <c r="CB24" i="1" s="1"/>
  <c r="T21" i="1"/>
  <c r="CB21" i="1" s="1"/>
  <c r="AS198" i="1"/>
  <c r="AR192" i="1"/>
  <c r="CQ207" i="1"/>
  <c r="AN193" i="1"/>
  <c r="AS193" i="1" s="1"/>
  <c r="AR193" i="1"/>
  <c r="BR95" i="1"/>
  <c r="DS95" i="1" s="1"/>
  <c r="AS201" i="1"/>
  <c r="AR197" i="1"/>
  <c r="AR202" i="1"/>
  <c r="AN196" i="1"/>
  <c r="AS196" i="1" s="1"/>
  <c r="AS202" i="1"/>
  <c r="AR199" i="1"/>
  <c r="CQ181" i="1"/>
  <c r="AN197" i="1"/>
  <c r="AS197" i="1" s="1"/>
  <c r="AN191" i="1"/>
  <c r="AS161" i="1"/>
  <c r="AN189" i="1"/>
  <c r="AS189" i="1" s="1"/>
  <c r="AS203" i="1"/>
  <c r="CP181" i="1"/>
  <c r="CJ178" i="1"/>
  <c r="AR198" i="1"/>
  <c r="BO205" i="1"/>
  <c r="DM205" i="1" s="1"/>
  <c r="AN195" i="1"/>
  <c r="AS195" i="1" s="1"/>
  <c r="AS199" i="1"/>
  <c r="BS147" i="1"/>
  <c r="DU147" i="1" s="1"/>
  <c r="BS152" i="1"/>
  <c r="DU152" i="1" s="1"/>
  <c r="BS149" i="1"/>
  <c r="DU149" i="1" s="1"/>
  <c r="BS141" i="1"/>
  <c r="DU141" i="1" s="1"/>
  <c r="BS154" i="1"/>
  <c r="DU154" i="1" s="1"/>
  <c r="BS137" i="1"/>
  <c r="DU137" i="1" s="1"/>
  <c r="BS151" i="1"/>
  <c r="DU151" i="1" s="1"/>
  <c r="BS136" i="1"/>
  <c r="DU136" i="1" s="1"/>
  <c r="BS139" i="1"/>
  <c r="DU139" i="1" s="1"/>
  <c r="BS144" i="1"/>
  <c r="DU144" i="1" s="1"/>
  <c r="BS138" i="1"/>
  <c r="DU138" i="1" s="1"/>
  <c r="BS153" i="1"/>
  <c r="DU153" i="1" s="1"/>
  <c r="BS146" i="1"/>
  <c r="DU146" i="1" s="1"/>
  <c r="BS145" i="1"/>
  <c r="DU145" i="1" s="1"/>
  <c r="BS143" i="1"/>
  <c r="DU143" i="1" s="1"/>
  <c r="BS150" i="1"/>
  <c r="DU150" i="1" s="1"/>
  <c r="BS135" i="1"/>
  <c r="BS140" i="1"/>
  <c r="DU140" i="1" s="1"/>
  <c r="BO16" i="1"/>
  <c r="DM16" i="1" s="1"/>
  <c r="BO15" i="1"/>
  <c r="DM15" i="1" s="1"/>
  <c r="BO11" i="1"/>
  <c r="DM11" i="1" s="1"/>
  <c r="BO6" i="1"/>
  <c r="DM6" i="1" s="1"/>
  <c r="BO9" i="1"/>
  <c r="DM9" i="1" s="1"/>
  <c r="BO12" i="1"/>
  <c r="DM12" i="1" s="1"/>
  <c r="BO21" i="1"/>
  <c r="DM21" i="1" s="1"/>
  <c r="BO22" i="1"/>
  <c r="BO14" i="1"/>
  <c r="DM14" i="1" s="1"/>
  <c r="BO23" i="1"/>
  <c r="DM23" i="1" s="1"/>
  <c r="BO13" i="1"/>
  <c r="DM13" i="1" s="1"/>
  <c r="BO8" i="1"/>
  <c r="BO10" i="1"/>
  <c r="DM10" i="1" s="1"/>
  <c r="BO5" i="1"/>
  <c r="BO24" i="1"/>
  <c r="BO18" i="1"/>
  <c r="DM18" i="1" s="1"/>
  <c r="BO17" i="1"/>
  <c r="DM17" i="1" s="1"/>
  <c r="BO7" i="1"/>
  <c r="DM7" i="1" s="1"/>
  <c r="BM33" i="1"/>
  <c r="BM36" i="1"/>
  <c r="DI36" i="1" s="1"/>
  <c r="BM42" i="1"/>
  <c r="DI42" i="1" s="1"/>
  <c r="BM48" i="1"/>
  <c r="BM34" i="1"/>
  <c r="BM37" i="1"/>
  <c r="DI37" i="1" s="1"/>
  <c r="BM39" i="1"/>
  <c r="DI39" i="1" s="1"/>
  <c r="BM49" i="1"/>
  <c r="DI49" i="1" s="1"/>
  <c r="BM31" i="1"/>
  <c r="BM32" i="1"/>
  <c r="BM43" i="1"/>
  <c r="DI43" i="1" s="1"/>
  <c r="BM46" i="1"/>
  <c r="DI46" i="1" s="1"/>
  <c r="BM41" i="1"/>
  <c r="DI41" i="1" s="1"/>
  <c r="BM50" i="1"/>
  <c r="DI50" i="1" s="1"/>
  <c r="BM40" i="1"/>
  <c r="DI40" i="1" s="1"/>
  <c r="BM45" i="1"/>
  <c r="DI45" i="1" s="1"/>
  <c r="BM35" i="1"/>
  <c r="DI35" i="1" s="1"/>
  <c r="BM47" i="1"/>
  <c r="DI47" i="1" s="1"/>
  <c r="BT124" i="1"/>
  <c r="DW124" i="1" s="1"/>
  <c r="BT114" i="1"/>
  <c r="DW114" i="1" s="1"/>
  <c r="BT121" i="1"/>
  <c r="DW121" i="1" s="1"/>
  <c r="BT126" i="1"/>
  <c r="DW126" i="1" s="1"/>
  <c r="BT128" i="1"/>
  <c r="DW128" i="1" s="1"/>
  <c r="BT125" i="1"/>
  <c r="DW125" i="1" s="1"/>
  <c r="BT118" i="1"/>
  <c r="DW118" i="1" s="1"/>
  <c r="BT127" i="1"/>
  <c r="DW127" i="1" s="1"/>
  <c r="BT112" i="1"/>
  <c r="DW112" i="1" s="1"/>
  <c r="BT117" i="1"/>
  <c r="DW117" i="1" s="1"/>
  <c r="BT120" i="1"/>
  <c r="DW120" i="1" s="1"/>
  <c r="BT113" i="1"/>
  <c r="DW113" i="1" s="1"/>
  <c r="BT115" i="1"/>
  <c r="DW115" i="1" s="1"/>
  <c r="BT110" i="1"/>
  <c r="DW110" i="1" s="1"/>
  <c r="BT123" i="1"/>
  <c r="DW123" i="1" s="1"/>
  <c r="BT109" i="1"/>
  <c r="BT111" i="1"/>
  <c r="DW111" i="1" s="1"/>
  <c r="BT119" i="1"/>
  <c r="DW119" i="1" s="1"/>
  <c r="BL15" i="1"/>
  <c r="DG15" i="1" s="1"/>
  <c r="BL9" i="1"/>
  <c r="DG9" i="1" s="1"/>
  <c r="BL23" i="1"/>
  <c r="DG23" i="1" s="1"/>
  <c r="BL24" i="1"/>
  <c r="BL13" i="1"/>
  <c r="DG13" i="1" s="1"/>
  <c r="BL17" i="1"/>
  <c r="DG17" i="1" s="1"/>
  <c r="BL7" i="1"/>
  <c r="BL18" i="1"/>
  <c r="DG18" i="1" s="1"/>
  <c r="BL10" i="1"/>
  <c r="DG10" i="1" s="1"/>
  <c r="BL11" i="1"/>
  <c r="DG11" i="1" s="1"/>
  <c r="BL8" i="1"/>
  <c r="BL5" i="1"/>
  <c r="BL6" i="1"/>
  <c r="BL12" i="1"/>
  <c r="DG12" i="1" s="1"/>
  <c r="BL22" i="1"/>
  <c r="BL21" i="1"/>
  <c r="DG21" i="1" s="1"/>
  <c r="BL14" i="1"/>
  <c r="DG14" i="1" s="1"/>
  <c r="BL16" i="1"/>
  <c r="DG16" i="1" s="1"/>
  <c r="AR190" i="1"/>
  <c r="AR206" i="1"/>
  <c r="AN190" i="1"/>
  <c r="BM24" i="1"/>
  <c r="BM23" i="1"/>
  <c r="DI23" i="1" s="1"/>
  <c r="BM21" i="1"/>
  <c r="DI21" i="1" s="1"/>
  <c r="BM8" i="1"/>
  <c r="BM5" i="1"/>
  <c r="BM16" i="1"/>
  <c r="DI16" i="1" s="1"/>
  <c r="BM11" i="1"/>
  <c r="DI11" i="1" s="1"/>
  <c r="BM15" i="1"/>
  <c r="DI15" i="1" s="1"/>
  <c r="BM9" i="1"/>
  <c r="DI9" i="1" s="1"/>
  <c r="BM17" i="1"/>
  <c r="DI17" i="1" s="1"/>
  <c r="BM6" i="1"/>
  <c r="BM10" i="1"/>
  <c r="DI10" i="1" s="1"/>
  <c r="BM13" i="1"/>
  <c r="DI13" i="1" s="1"/>
  <c r="BM12" i="1"/>
  <c r="DI12" i="1" s="1"/>
  <c r="BM22" i="1"/>
  <c r="BM7" i="1"/>
  <c r="BM18" i="1"/>
  <c r="DI18" i="1" s="1"/>
  <c r="BM14" i="1"/>
  <c r="DI14" i="1" s="1"/>
  <c r="BQ113" i="1"/>
  <c r="DQ113" i="1" s="1"/>
  <c r="BQ112" i="1"/>
  <c r="DQ112" i="1" s="1"/>
  <c r="BQ121" i="1"/>
  <c r="AJ27" i="4" s="1"/>
  <c r="BQ119" i="1"/>
  <c r="DQ119" i="1" s="1"/>
  <c r="BQ127" i="1"/>
  <c r="DQ127" i="1" s="1"/>
  <c r="BQ111" i="1"/>
  <c r="DQ111" i="1" s="1"/>
  <c r="BQ115" i="1"/>
  <c r="DQ115" i="1" s="1"/>
  <c r="BQ128" i="1"/>
  <c r="DQ128" i="1" s="1"/>
  <c r="BQ126" i="1"/>
  <c r="BQ110" i="1"/>
  <c r="DQ110" i="1" s="1"/>
  <c r="BQ117" i="1"/>
  <c r="DQ117" i="1" s="1"/>
  <c r="BQ124" i="1"/>
  <c r="AJ30" i="4" s="1"/>
  <c r="BQ114" i="1"/>
  <c r="DQ114" i="1" s="1"/>
  <c r="BQ109" i="1"/>
  <c r="BQ123" i="1"/>
  <c r="AJ29" i="4" s="1"/>
  <c r="BQ118" i="1"/>
  <c r="DQ118" i="1" s="1"/>
  <c r="BQ120" i="1"/>
  <c r="BQ125" i="1"/>
  <c r="BK100" i="1"/>
  <c r="BK94" i="1"/>
  <c r="DE94" i="1" s="1"/>
  <c r="BK88" i="1"/>
  <c r="DE88" i="1" s="1"/>
  <c r="BK83" i="1"/>
  <c r="BK99" i="1"/>
  <c r="DE99" i="1" s="1"/>
  <c r="BK98" i="1"/>
  <c r="DE98" i="1" s="1"/>
  <c r="BK89" i="1"/>
  <c r="DE89" i="1" s="1"/>
  <c r="BK95" i="1"/>
  <c r="DE95" i="1" s="1"/>
  <c r="BK92" i="1"/>
  <c r="DE92" i="1" s="1"/>
  <c r="BK84" i="1"/>
  <c r="BK87" i="1"/>
  <c r="DE87" i="1" s="1"/>
  <c r="BK93" i="1"/>
  <c r="DE93" i="1" s="1"/>
  <c r="BK101" i="1"/>
  <c r="DE101" i="1" s="1"/>
  <c r="BK86" i="1"/>
  <c r="BK85" i="1"/>
  <c r="BK91" i="1"/>
  <c r="DE91" i="1" s="1"/>
  <c r="BK102" i="1"/>
  <c r="DE102" i="1" s="1"/>
  <c r="BK97" i="1"/>
  <c r="DE97" i="1" s="1"/>
  <c r="BN22" i="1"/>
  <c r="BN24" i="1"/>
  <c r="BN6" i="1"/>
  <c r="DK6" i="1" s="1"/>
  <c r="BN17" i="1"/>
  <c r="DK17" i="1" s="1"/>
  <c r="BN13" i="1"/>
  <c r="DK13" i="1" s="1"/>
  <c r="BN16" i="1"/>
  <c r="DK16" i="1" s="1"/>
  <c r="BN15" i="1"/>
  <c r="DK15" i="1" s="1"/>
  <c r="BN8" i="1"/>
  <c r="DK8" i="1" s="1"/>
  <c r="BN9" i="1"/>
  <c r="DK9" i="1" s="1"/>
  <c r="BN10" i="1"/>
  <c r="DK10" i="1" s="1"/>
  <c r="BN23" i="1"/>
  <c r="DK23" i="1" s="1"/>
  <c r="BN11" i="1"/>
  <c r="DK11" i="1" s="1"/>
  <c r="BN12" i="1"/>
  <c r="DK12" i="1" s="1"/>
  <c r="BN5" i="1"/>
  <c r="BN7" i="1"/>
  <c r="DK7" i="1" s="1"/>
  <c r="BN18" i="1"/>
  <c r="DK18" i="1" s="1"/>
  <c r="BN14" i="1"/>
  <c r="DK14" i="1" s="1"/>
  <c r="BN21" i="1"/>
  <c r="DK21" i="1" s="1"/>
  <c r="AR204" i="1"/>
  <c r="AS204" i="1"/>
  <c r="BK24" i="1"/>
  <c r="BK6" i="1"/>
  <c r="BK5" i="1"/>
  <c r="BK11" i="1"/>
  <c r="DE11" i="1" s="1"/>
  <c r="BK14" i="1"/>
  <c r="DE14" i="1" s="1"/>
  <c r="BK18" i="1"/>
  <c r="DE18" i="1" s="1"/>
  <c r="BK23" i="1"/>
  <c r="DE23" i="1" s="1"/>
  <c r="BK21" i="1"/>
  <c r="DE21" i="1" s="1"/>
  <c r="BK9" i="1"/>
  <c r="DE9" i="1" s="1"/>
  <c r="BK22" i="1"/>
  <c r="BK15" i="1"/>
  <c r="DE15" i="1" s="1"/>
  <c r="BK10" i="1"/>
  <c r="DE10" i="1" s="1"/>
  <c r="BK17" i="1"/>
  <c r="DE17" i="1" s="1"/>
  <c r="BK16" i="1"/>
  <c r="DE16" i="1" s="1"/>
  <c r="BK7" i="1"/>
  <c r="BK13" i="1"/>
  <c r="DE13" i="1" s="1"/>
  <c r="BK12" i="1"/>
  <c r="DE12" i="1" s="1"/>
  <c r="BK8" i="1"/>
  <c r="BP74" i="1"/>
  <c r="BP73" i="1"/>
  <c r="DO73" i="1" s="1"/>
  <c r="BP62" i="1"/>
  <c r="DO62" i="1" s="1"/>
  <c r="BP71" i="1"/>
  <c r="DO71" i="1" s="1"/>
  <c r="BP65" i="1"/>
  <c r="BP66" i="1"/>
  <c r="BP61" i="1"/>
  <c r="DO61" i="1" s="1"/>
  <c r="BP67" i="1"/>
  <c r="BP59" i="1"/>
  <c r="BP60" i="1"/>
  <c r="BP57" i="1"/>
  <c r="BP68" i="1"/>
  <c r="DO68" i="1" s="1"/>
  <c r="BP76" i="1"/>
  <c r="DO76" i="1" s="1"/>
  <c r="BP72" i="1"/>
  <c r="DO72" i="1" s="1"/>
  <c r="BP69" i="1"/>
  <c r="DO69" i="1" s="1"/>
  <c r="BP63" i="1"/>
  <c r="BP58" i="1"/>
  <c r="BP75" i="1"/>
  <c r="DO75" i="1" s="1"/>
  <c r="AR189" i="1"/>
  <c r="BU137" i="1"/>
  <c r="DY137" i="1" s="1"/>
  <c r="BU146" i="1"/>
  <c r="DY146" i="1" s="1"/>
  <c r="BU139" i="1"/>
  <c r="DY139" i="1" s="1"/>
  <c r="BU135" i="1"/>
  <c r="BU143" i="1"/>
  <c r="DY143" i="1" s="1"/>
  <c r="BU149" i="1"/>
  <c r="DY149" i="1" s="1"/>
  <c r="BU140" i="1"/>
  <c r="DY140" i="1" s="1"/>
  <c r="BU151" i="1"/>
  <c r="DY151" i="1" s="1"/>
  <c r="BU144" i="1"/>
  <c r="DY144" i="1" s="1"/>
  <c r="BU154" i="1"/>
  <c r="DY154" i="1" s="1"/>
  <c r="BU141" i="1"/>
  <c r="DY141" i="1" s="1"/>
  <c r="BU147" i="1"/>
  <c r="DY147" i="1" s="1"/>
  <c r="BU150" i="1"/>
  <c r="DY150" i="1" s="1"/>
  <c r="BU136" i="1"/>
  <c r="DY136" i="1" s="1"/>
  <c r="BU153" i="1"/>
  <c r="DY153" i="1" s="1"/>
  <c r="BU152" i="1"/>
  <c r="DY152" i="1" s="1"/>
  <c r="BU145" i="1"/>
  <c r="DY145" i="1" s="1"/>
  <c r="BU138" i="1"/>
  <c r="DY138" i="1" s="1"/>
  <c r="BP165" i="1"/>
  <c r="DO165" i="1" s="1"/>
  <c r="BP164" i="1"/>
  <c r="BP178" i="1"/>
  <c r="BP167" i="1"/>
  <c r="BP171" i="1"/>
  <c r="BP162" i="1"/>
  <c r="BP176" i="1"/>
  <c r="DO176" i="1" s="1"/>
  <c r="BP163" i="1"/>
  <c r="BP170" i="1"/>
  <c r="BP161" i="1"/>
  <c r="BP177" i="1"/>
  <c r="DO177" i="1" s="1"/>
  <c r="BP172" i="1"/>
  <c r="DO172" i="1" s="1"/>
  <c r="BP173" i="1"/>
  <c r="DO173" i="1" s="1"/>
  <c r="BP179" i="1"/>
  <c r="DO179" i="1" s="1"/>
  <c r="BP169" i="1"/>
  <c r="BP166" i="1"/>
  <c r="DO166" i="1" s="1"/>
  <c r="BP180" i="1"/>
  <c r="DO180" i="1" s="1"/>
  <c r="BP175" i="1"/>
  <c r="DO175" i="1" s="1"/>
  <c r="BN111" i="1"/>
  <c r="DK111" i="1" s="1"/>
  <c r="BN128" i="1"/>
  <c r="DK128" i="1" s="1"/>
  <c r="BN117" i="1"/>
  <c r="DK117" i="1" s="1"/>
  <c r="BN123" i="1"/>
  <c r="DK123" i="1" s="1"/>
  <c r="BN127" i="1"/>
  <c r="DK127" i="1" s="1"/>
  <c r="BN124" i="1"/>
  <c r="DK124" i="1" s="1"/>
  <c r="BN118" i="1"/>
  <c r="DK118" i="1" s="1"/>
  <c r="BN126" i="1"/>
  <c r="BN115" i="1"/>
  <c r="DK115" i="1" s="1"/>
  <c r="BN112" i="1"/>
  <c r="DK112" i="1" s="1"/>
  <c r="BN119" i="1"/>
  <c r="DK119" i="1" s="1"/>
  <c r="BN114" i="1"/>
  <c r="DK114" i="1" s="1"/>
  <c r="BN109" i="1"/>
  <c r="BN113" i="1"/>
  <c r="DK113" i="1" s="1"/>
  <c r="BN125" i="1"/>
  <c r="DK125" i="1" s="1"/>
  <c r="BN120" i="1"/>
  <c r="DK120" i="1" s="1"/>
  <c r="BN110" i="1"/>
  <c r="DK110" i="1" s="1"/>
  <c r="BN121" i="1"/>
  <c r="DK121" i="1" s="1"/>
  <c r="BO114" i="1"/>
  <c r="DM114" i="1" s="1"/>
  <c r="BO124" i="1"/>
  <c r="DM124" i="1" s="1"/>
  <c r="BO120" i="1"/>
  <c r="DM120" i="1" s="1"/>
  <c r="BO118" i="1"/>
  <c r="DM118" i="1" s="1"/>
  <c r="BO126" i="1"/>
  <c r="BO110" i="1"/>
  <c r="DM110" i="1" s="1"/>
  <c r="BO128" i="1"/>
  <c r="DM128" i="1" s="1"/>
  <c r="BO115" i="1"/>
  <c r="DM115" i="1" s="1"/>
  <c r="BO111" i="1"/>
  <c r="DM111" i="1" s="1"/>
  <c r="BO117" i="1"/>
  <c r="DM117" i="1" s="1"/>
  <c r="BO127" i="1"/>
  <c r="DM127" i="1" s="1"/>
  <c r="BO121" i="1"/>
  <c r="DM121" i="1" s="1"/>
  <c r="BO109" i="1"/>
  <c r="BO119" i="1"/>
  <c r="DM119" i="1" s="1"/>
  <c r="BO112" i="1"/>
  <c r="DM112" i="1" s="1"/>
  <c r="BO125" i="1"/>
  <c r="DM125" i="1" s="1"/>
  <c r="BO113" i="1"/>
  <c r="DM113" i="1" s="1"/>
  <c r="BO123" i="1"/>
  <c r="DM123" i="1" s="1"/>
  <c r="BM135" i="1"/>
  <c r="BM149" i="1"/>
  <c r="DI149" i="1" s="1"/>
  <c r="BM153" i="1"/>
  <c r="DI153" i="1" s="1"/>
  <c r="BM136" i="1"/>
  <c r="BM150" i="1"/>
  <c r="DI150" i="1" s="1"/>
  <c r="BM144" i="1"/>
  <c r="DI144" i="1" s="1"/>
  <c r="BM154" i="1"/>
  <c r="DI154" i="1" s="1"/>
  <c r="BM139" i="1"/>
  <c r="DI139" i="1" s="1"/>
  <c r="BM151" i="1"/>
  <c r="DI151" i="1" s="1"/>
  <c r="BM152" i="1"/>
  <c r="BM145" i="1"/>
  <c r="DI145" i="1" s="1"/>
  <c r="BM138" i="1"/>
  <c r="BM146" i="1"/>
  <c r="DI146" i="1" s="1"/>
  <c r="BM141" i="1"/>
  <c r="DI141" i="1" s="1"/>
  <c r="BM137" i="1"/>
  <c r="BM143" i="1"/>
  <c r="DI143" i="1" s="1"/>
  <c r="BM147" i="1"/>
  <c r="DI147" i="1" s="1"/>
  <c r="BM140" i="1"/>
  <c r="DI140" i="1" s="1"/>
  <c r="BR170" i="1"/>
  <c r="DS170" i="1" s="1"/>
  <c r="BO150" i="1"/>
  <c r="DM150" i="1" s="1"/>
  <c r="BO154" i="1"/>
  <c r="DM154" i="1" s="1"/>
  <c r="BO137" i="1"/>
  <c r="DM137" i="1" s="1"/>
  <c r="BO152" i="1"/>
  <c r="BO144" i="1"/>
  <c r="DM144" i="1" s="1"/>
  <c r="BO153" i="1"/>
  <c r="DM153" i="1" s="1"/>
  <c r="BO136" i="1"/>
  <c r="DM136" i="1" s="1"/>
  <c r="BO143" i="1"/>
  <c r="DM143" i="1" s="1"/>
  <c r="BO145" i="1"/>
  <c r="DM145" i="1" s="1"/>
  <c r="BO140" i="1"/>
  <c r="DM140" i="1" s="1"/>
  <c r="BO151" i="1"/>
  <c r="DM151" i="1" s="1"/>
  <c r="BO135" i="1"/>
  <c r="BO149" i="1"/>
  <c r="DM149" i="1" s="1"/>
  <c r="BO141" i="1"/>
  <c r="DM141" i="1" s="1"/>
  <c r="BO146" i="1"/>
  <c r="DM146" i="1" s="1"/>
  <c r="BO138" i="1"/>
  <c r="DM138" i="1" s="1"/>
  <c r="BO139" i="1"/>
  <c r="DM139" i="1" s="1"/>
  <c r="BO147" i="1"/>
  <c r="DM147" i="1" s="1"/>
  <c r="BP113" i="1"/>
  <c r="DO113" i="1" s="1"/>
  <c r="BP112" i="1"/>
  <c r="BP125" i="1"/>
  <c r="DO125" i="1" s="1"/>
  <c r="BP114" i="1"/>
  <c r="DO114" i="1" s="1"/>
  <c r="BP126" i="1"/>
  <c r="BP120" i="1"/>
  <c r="DO120" i="1" s="1"/>
  <c r="BP124" i="1"/>
  <c r="DO124" i="1" s="1"/>
  <c r="BP128" i="1"/>
  <c r="DO128" i="1" s="1"/>
  <c r="BP127" i="1"/>
  <c r="DO127" i="1" s="1"/>
  <c r="BP117" i="1"/>
  <c r="BP121" i="1"/>
  <c r="DO121" i="1" s="1"/>
  <c r="BP109" i="1"/>
  <c r="BP118" i="1"/>
  <c r="BP115" i="1"/>
  <c r="BP110" i="1"/>
  <c r="BP111" i="1"/>
  <c r="BP123" i="1"/>
  <c r="DO123" i="1" s="1"/>
  <c r="BP119" i="1"/>
  <c r="BN177" i="1"/>
  <c r="DK177" i="1" s="1"/>
  <c r="BN178" i="1"/>
  <c r="BN172" i="1"/>
  <c r="DK172" i="1" s="1"/>
  <c r="BN173" i="1"/>
  <c r="DK173" i="1" s="1"/>
  <c r="BN167" i="1"/>
  <c r="DK167" i="1" s="1"/>
  <c r="BN162" i="1"/>
  <c r="DK162" i="1" s="1"/>
  <c r="BN171" i="1"/>
  <c r="DK171" i="1" s="1"/>
  <c r="BN170" i="1"/>
  <c r="DK170" i="1" s="1"/>
  <c r="BN179" i="1"/>
  <c r="DK179" i="1" s="1"/>
  <c r="BN176" i="1"/>
  <c r="DK176" i="1" s="1"/>
  <c r="BN166" i="1"/>
  <c r="DK166" i="1" s="1"/>
  <c r="BN161" i="1"/>
  <c r="BN163" i="1"/>
  <c r="DK163" i="1" s="1"/>
  <c r="BN165" i="1"/>
  <c r="DK165" i="1" s="1"/>
  <c r="BN169" i="1"/>
  <c r="DK169" i="1" s="1"/>
  <c r="BN164" i="1"/>
  <c r="DK164" i="1" s="1"/>
  <c r="BN180" i="1"/>
  <c r="DK180" i="1" s="1"/>
  <c r="BN175" i="1"/>
  <c r="DK175" i="1" s="1"/>
  <c r="BP18" i="1"/>
  <c r="DO18" i="1" s="1"/>
  <c r="BP16" i="1"/>
  <c r="DO16" i="1" s="1"/>
  <c r="BP21" i="1"/>
  <c r="DO21" i="1" s="1"/>
  <c r="BP11" i="1"/>
  <c r="BP10" i="1"/>
  <c r="DO10" i="1" s="1"/>
  <c r="BP17" i="1"/>
  <c r="DO17" i="1" s="1"/>
  <c r="BP6" i="1"/>
  <c r="BP12" i="1"/>
  <c r="BP7" i="1"/>
  <c r="BP23" i="1"/>
  <c r="DO23" i="1" s="1"/>
  <c r="BP13" i="1"/>
  <c r="BP8" i="1"/>
  <c r="BP22" i="1"/>
  <c r="BP5" i="1"/>
  <c r="BP9" i="1"/>
  <c r="DO9" i="1" s="1"/>
  <c r="BP24" i="1"/>
  <c r="BP14" i="1"/>
  <c r="BP15" i="1"/>
  <c r="BM95" i="1"/>
  <c r="DI95" i="1" s="1"/>
  <c r="BM89" i="1"/>
  <c r="DI89" i="1" s="1"/>
  <c r="BM84" i="1"/>
  <c r="BM85" i="1"/>
  <c r="BM91" i="1"/>
  <c r="DI91" i="1" s="1"/>
  <c r="BM102" i="1"/>
  <c r="DI102" i="1" s="1"/>
  <c r="BM88" i="1"/>
  <c r="DI88" i="1" s="1"/>
  <c r="BM99" i="1"/>
  <c r="DI99" i="1" s="1"/>
  <c r="BM83" i="1"/>
  <c r="BM100" i="1"/>
  <c r="BM97" i="1"/>
  <c r="DI97" i="1" s="1"/>
  <c r="BM94" i="1"/>
  <c r="DI94" i="1" s="1"/>
  <c r="BM98" i="1"/>
  <c r="DI98" i="1" s="1"/>
  <c r="BM101" i="1"/>
  <c r="DI101" i="1" s="1"/>
  <c r="BM93" i="1"/>
  <c r="DI93" i="1" s="1"/>
  <c r="BM86" i="1"/>
  <c r="BM92" i="1"/>
  <c r="DI92" i="1" s="1"/>
  <c r="BM87" i="1"/>
  <c r="DI87" i="1" s="1"/>
  <c r="BQ175" i="1"/>
  <c r="BQ179" i="1"/>
  <c r="DQ179" i="1" s="1"/>
  <c r="BQ165" i="1"/>
  <c r="DQ165" i="1" s="1"/>
  <c r="BQ164" i="1"/>
  <c r="DQ164" i="1" s="1"/>
  <c r="BQ173" i="1"/>
  <c r="BQ172" i="1"/>
  <c r="DQ172" i="1" s="1"/>
  <c r="BQ166" i="1"/>
  <c r="DQ166" i="1" s="1"/>
  <c r="BQ176" i="1"/>
  <c r="BQ180" i="1"/>
  <c r="DQ180" i="1" s="1"/>
  <c r="BQ161" i="1"/>
  <c r="BQ170" i="1"/>
  <c r="DQ170" i="1" s="1"/>
  <c r="BQ177" i="1"/>
  <c r="BQ178" i="1"/>
  <c r="BQ169" i="1"/>
  <c r="DQ169" i="1" s="1"/>
  <c r="BQ171" i="1"/>
  <c r="DQ171" i="1" s="1"/>
  <c r="BQ163" i="1"/>
  <c r="DQ163" i="1" s="1"/>
  <c r="BQ167" i="1"/>
  <c r="DQ167" i="1" s="1"/>
  <c r="BQ162" i="1"/>
  <c r="DQ162" i="1" s="1"/>
  <c r="BU85" i="1"/>
  <c r="DY85" i="1" s="1"/>
  <c r="BU99" i="1"/>
  <c r="DY99" i="1" s="1"/>
  <c r="BU88" i="1"/>
  <c r="DY88" i="1" s="1"/>
  <c r="BU94" i="1"/>
  <c r="DY94" i="1" s="1"/>
  <c r="BU89" i="1"/>
  <c r="DY89" i="1" s="1"/>
  <c r="BU83" i="1"/>
  <c r="BU97" i="1"/>
  <c r="DY97" i="1" s="1"/>
  <c r="BU98" i="1"/>
  <c r="DY98" i="1" s="1"/>
  <c r="BU92" i="1"/>
  <c r="DY92" i="1" s="1"/>
  <c r="BU84" i="1"/>
  <c r="DY84" i="1" s="1"/>
  <c r="BU93" i="1"/>
  <c r="DY93" i="1" s="1"/>
  <c r="BU102" i="1"/>
  <c r="DY102" i="1" s="1"/>
  <c r="BU95" i="1"/>
  <c r="DY95" i="1" s="1"/>
  <c r="BU91" i="1"/>
  <c r="DY91" i="1" s="1"/>
  <c r="BU100" i="1"/>
  <c r="DY100" i="1" s="1"/>
  <c r="BU87" i="1"/>
  <c r="DY87" i="1" s="1"/>
  <c r="BU86" i="1"/>
  <c r="DY86" i="1" s="1"/>
  <c r="BU101" i="1"/>
  <c r="DY101" i="1" s="1"/>
  <c r="AN25" i="1"/>
  <c r="AS6" i="1"/>
  <c r="BL114" i="1"/>
  <c r="DG114" i="1" s="1"/>
  <c r="BL113" i="1"/>
  <c r="DG113" i="1" s="1"/>
  <c r="BL109" i="1"/>
  <c r="BL125" i="1"/>
  <c r="DG125" i="1" s="1"/>
  <c r="BL120" i="1"/>
  <c r="DG120" i="1" s="1"/>
  <c r="BL126" i="1"/>
  <c r="BL115" i="1"/>
  <c r="DG115" i="1" s="1"/>
  <c r="BL128" i="1"/>
  <c r="DG128" i="1" s="1"/>
  <c r="BL123" i="1"/>
  <c r="DG123" i="1" s="1"/>
  <c r="BL118" i="1"/>
  <c r="DG118" i="1" s="1"/>
  <c r="BL110" i="1"/>
  <c r="BL112" i="1"/>
  <c r="BL119" i="1"/>
  <c r="DG119" i="1" s="1"/>
  <c r="BL121" i="1"/>
  <c r="DG121" i="1" s="1"/>
  <c r="BL111" i="1"/>
  <c r="BL124" i="1"/>
  <c r="DG124" i="1" s="1"/>
  <c r="BL127" i="1"/>
  <c r="DG127" i="1" s="1"/>
  <c r="BL117" i="1"/>
  <c r="DG117" i="1" s="1"/>
  <c r="BT62" i="1"/>
  <c r="DW62" i="1" s="1"/>
  <c r="BT72" i="1"/>
  <c r="DW72" i="1" s="1"/>
  <c r="BT71" i="1"/>
  <c r="DW71" i="1" s="1"/>
  <c r="BT67" i="1"/>
  <c r="DW67" i="1" s="1"/>
  <c r="BT74" i="1"/>
  <c r="DW74" i="1" s="1"/>
  <c r="BT75" i="1"/>
  <c r="DW75" i="1" s="1"/>
  <c r="BT66" i="1"/>
  <c r="DW66" i="1" s="1"/>
  <c r="BT60" i="1"/>
  <c r="DW60" i="1" s="1"/>
  <c r="BT57" i="1"/>
  <c r="BT59" i="1"/>
  <c r="DW59" i="1" s="1"/>
  <c r="BT58" i="1"/>
  <c r="DW58" i="1" s="1"/>
  <c r="BT73" i="1"/>
  <c r="DW73" i="1" s="1"/>
  <c r="BT61" i="1"/>
  <c r="DW61" i="1" s="1"/>
  <c r="BT65" i="1"/>
  <c r="DW65" i="1" s="1"/>
  <c r="BT63" i="1"/>
  <c r="DW63" i="1" s="1"/>
  <c r="BT69" i="1"/>
  <c r="DW69" i="1" s="1"/>
  <c r="BT68" i="1"/>
  <c r="DW68" i="1" s="1"/>
  <c r="BT76" i="1"/>
  <c r="DW76" i="1" s="1"/>
  <c r="BT88" i="1"/>
  <c r="DW88" i="1" s="1"/>
  <c r="BT84" i="1"/>
  <c r="DW84" i="1" s="1"/>
  <c r="BT85" i="1"/>
  <c r="DW85" i="1" s="1"/>
  <c r="BT97" i="1"/>
  <c r="DW97" i="1" s="1"/>
  <c r="BT95" i="1"/>
  <c r="DW95" i="1" s="1"/>
  <c r="BT94" i="1"/>
  <c r="DW94" i="1" s="1"/>
  <c r="BT83" i="1"/>
  <c r="BT89" i="1"/>
  <c r="DW89" i="1" s="1"/>
  <c r="BT92" i="1"/>
  <c r="DW92" i="1" s="1"/>
  <c r="BT91" i="1"/>
  <c r="DW91" i="1" s="1"/>
  <c r="BT86" i="1"/>
  <c r="DW86" i="1" s="1"/>
  <c r="BT98" i="1"/>
  <c r="DW98" i="1" s="1"/>
  <c r="BT100" i="1"/>
  <c r="DW100" i="1" s="1"/>
  <c r="BT93" i="1"/>
  <c r="DW93" i="1" s="1"/>
  <c r="BT87" i="1"/>
  <c r="DW87" i="1" s="1"/>
  <c r="BT102" i="1"/>
  <c r="DW102" i="1" s="1"/>
  <c r="BT99" i="1"/>
  <c r="DW99" i="1" s="1"/>
  <c r="BT101" i="1"/>
  <c r="DW101" i="1" s="1"/>
  <c r="BL74" i="1"/>
  <c r="BL63" i="1"/>
  <c r="DG63" i="1" s="1"/>
  <c r="BL69" i="1"/>
  <c r="DG69" i="1" s="1"/>
  <c r="BL58" i="1"/>
  <c r="BL75" i="1"/>
  <c r="DG75" i="1" s="1"/>
  <c r="BL59" i="1"/>
  <c r="BL60" i="1"/>
  <c r="BL62" i="1"/>
  <c r="DG62" i="1" s="1"/>
  <c r="BL61" i="1"/>
  <c r="DG61" i="1" s="1"/>
  <c r="BL76" i="1"/>
  <c r="DG76" i="1" s="1"/>
  <c r="BL71" i="1"/>
  <c r="DG71" i="1" s="1"/>
  <c r="BL66" i="1"/>
  <c r="DG66" i="1" s="1"/>
  <c r="BL72" i="1"/>
  <c r="DG72" i="1" s="1"/>
  <c r="BL65" i="1"/>
  <c r="DG65" i="1" s="1"/>
  <c r="BL67" i="1"/>
  <c r="DG67" i="1" s="1"/>
  <c r="BL57" i="1"/>
  <c r="BL73" i="1"/>
  <c r="DG73" i="1" s="1"/>
  <c r="BL68" i="1"/>
  <c r="DG68" i="1" s="1"/>
  <c r="BQ7" i="1"/>
  <c r="DQ7" i="1" s="1"/>
  <c r="BQ23" i="1"/>
  <c r="BQ15" i="1"/>
  <c r="DQ15" i="1" s="1"/>
  <c r="BQ18" i="1"/>
  <c r="BQ16" i="1"/>
  <c r="DQ16" i="1" s="1"/>
  <c r="BQ13" i="1"/>
  <c r="DQ13" i="1" s="1"/>
  <c r="BQ5" i="1"/>
  <c r="BQ17" i="1"/>
  <c r="BQ14" i="1"/>
  <c r="DQ14" i="1" s="1"/>
  <c r="BQ6" i="1"/>
  <c r="DQ6" i="1" s="1"/>
  <c r="BQ10" i="1"/>
  <c r="DQ10" i="1" s="1"/>
  <c r="BQ9" i="1"/>
  <c r="DQ9" i="1" s="1"/>
  <c r="BQ12" i="1"/>
  <c r="DQ12" i="1" s="1"/>
  <c r="BQ22" i="1"/>
  <c r="BQ24" i="1"/>
  <c r="BQ21" i="1"/>
  <c r="D31" i="4" s="1"/>
  <c r="BQ11" i="1"/>
  <c r="DQ11" i="1" s="1"/>
  <c r="BQ8" i="1"/>
  <c r="DQ8" i="1" s="1"/>
  <c r="BP144" i="1"/>
  <c r="BP141" i="1"/>
  <c r="BP143" i="1"/>
  <c r="BP145" i="1"/>
  <c r="BP154" i="1"/>
  <c r="DO154" i="1" s="1"/>
  <c r="BP140" i="1"/>
  <c r="DO140" i="1" s="1"/>
  <c r="BP153" i="1"/>
  <c r="DO153" i="1" s="1"/>
  <c r="BP137" i="1"/>
  <c r="BP136" i="1"/>
  <c r="BP151" i="1"/>
  <c r="DO151" i="1" s="1"/>
  <c r="BP152" i="1"/>
  <c r="BP146" i="1"/>
  <c r="DO146" i="1" s="1"/>
  <c r="BP139" i="1"/>
  <c r="DO139" i="1" s="1"/>
  <c r="BP135" i="1"/>
  <c r="BP150" i="1"/>
  <c r="DO150" i="1" s="1"/>
  <c r="BP147" i="1"/>
  <c r="DO147" i="1" s="1"/>
  <c r="BP138" i="1"/>
  <c r="BP149" i="1"/>
  <c r="DO149" i="1" s="1"/>
  <c r="AS205" i="1"/>
  <c r="BO45" i="1"/>
  <c r="DM45" i="1" s="1"/>
  <c r="BO34" i="1"/>
  <c r="BO40" i="1"/>
  <c r="DM40" i="1" s="1"/>
  <c r="BO48" i="1"/>
  <c r="BO33" i="1"/>
  <c r="DM33" i="1" s="1"/>
  <c r="BO39" i="1"/>
  <c r="DM39" i="1" s="1"/>
  <c r="BO50" i="1"/>
  <c r="DM50" i="1" s="1"/>
  <c r="BO31" i="1"/>
  <c r="BO35" i="1"/>
  <c r="DM35" i="1" s="1"/>
  <c r="BO46" i="1"/>
  <c r="DM46" i="1" s="1"/>
  <c r="BO47" i="1"/>
  <c r="DM47" i="1" s="1"/>
  <c r="BO41" i="1"/>
  <c r="DM41" i="1" s="1"/>
  <c r="BO42" i="1"/>
  <c r="DM42" i="1" s="1"/>
  <c r="BO36" i="1"/>
  <c r="DM36" i="1" s="1"/>
  <c r="BO32" i="1"/>
  <c r="DM32" i="1" s="1"/>
  <c r="BO43" i="1"/>
  <c r="DM43" i="1" s="1"/>
  <c r="BO37" i="1"/>
  <c r="DM37" i="1" s="1"/>
  <c r="BO49" i="1"/>
  <c r="DM49" i="1" s="1"/>
  <c r="BS170" i="1"/>
  <c r="DU170" i="1" s="1"/>
  <c r="BS166" i="1"/>
  <c r="DU166" i="1" s="1"/>
  <c r="BS172" i="1"/>
  <c r="DU172" i="1" s="1"/>
  <c r="BS171" i="1"/>
  <c r="DU171" i="1" s="1"/>
  <c r="BS173" i="1"/>
  <c r="DU173" i="1" s="1"/>
  <c r="BS162" i="1"/>
  <c r="DU162" i="1" s="1"/>
  <c r="BS179" i="1"/>
  <c r="DU179" i="1" s="1"/>
  <c r="BS177" i="1"/>
  <c r="DU177" i="1" s="1"/>
  <c r="BS167" i="1"/>
  <c r="DU167" i="1" s="1"/>
  <c r="BS169" i="1"/>
  <c r="DU169" i="1" s="1"/>
  <c r="BS180" i="1"/>
  <c r="DU180" i="1" s="1"/>
  <c r="BS175" i="1"/>
  <c r="DU175" i="1" s="1"/>
  <c r="BS165" i="1"/>
  <c r="DU165" i="1" s="1"/>
  <c r="BS164" i="1"/>
  <c r="DU164" i="1" s="1"/>
  <c r="BS176" i="1"/>
  <c r="DU176" i="1" s="1"/>
  <c r="BS178" i="1"/>
  <c r="DU178" i="1" s="1"/>
  <c r="BS163" i="1"/>
  <c r="DU163" i="1" s="1"/>
  <c r="BS161" i="1"/>
  <c r="BS17" i="1"/>
  <c r="DU17" i="1" s="1"/>
  <c r="BS14" i="1"/>
  <c r="DU14" i="1" s="1"/>
  <c r="BS5" i="1"/>
  <c r="BS9" i="1"/>
  <c r="DU9" i="1" s="1"/>
  <c r="BS13" i="1"/>
  <c r="DU13" i="1" s="1"/>
  <c r="BS18" i="1"/>
  <c r="DU18" i="1" s="1"/>
  <c r="BS22" i="1"/>
  <c r="DU22" i="1" s="1"/>
  <c r="BS23" i="1"/>
  <c r="DU23" i="1" s="1"/>
  <c r="BS10" i="1"/>
  <c r="DU10" i="1" s="1"/>
  <c r="BS16" i="1"/>
  <c r="DU16" i="1" s="1"/>
  <c r="BS11" i="1"/>
  <c r="DU11" i="1" s="1"/>
  <c r="BS15" i="1"/>
  <c r="DU15" i="1" s="1"/>
  <c r="BS24" i="1"/>
  <c r="DU24" i="1" s="1"/>
  <c r="BS6" i="1"/>
  <c r="DU6" i="1" s="1"/>
  <c r="BS8" i="1"/>
  <c r="DU8" i="1" s="1"/>
  <c r="BS21" i="1"/>
  <c r="DU21" i="1" s="1"/>
  <c r="BS7" i="1"/>
  <c r="DU7" i="1" s="1"/>
  <c r="BS12" i="1"/>
  <c r="DU12" i="1" s="1"/>
  <c r="BT43" i="1"/>
  <c r="DW43" i="1" s="1"/>
  <c r="BT42" i="1"/>
  <c r="DW42" i="1" s="1"/>
  <c r="BT41" i="1"/>
  <c r="DW41" i="1" s="1"/>
  <c r="BT35" i="1"/>
  <c r="DW35" i="1" s="1"/>
  <c r="BT33" i="1"/>
  <c r="DW33" i="1" s="1"/>
  <c r="BT34" i="1"/>
  <c r="DW34" i="1" s="1"/>
  <c r="BT46" i="1"/>
  <c r="DW46" i="1" s="1"/>
  <c r="BT50" i="1"/>
  <c r="DW50" i="1" s="1"/>
  <c r="BT48" i="1"/>
  <c r="DW48" i="1" s="1"/>
  <c r="BT37" i="1"/>
  <c r="DW37" i="1" s="1"/>
  <c r="BT39" i="1"/>
  <c r="DW39" i="1" s="1"/>
  <c r="BT32" i="1"/>
  <c r="DW32" i="1" s="1"/>
  <c r="BT36" i="1"/>
  <c r="DW36" i="1" s="1"/>
  <c r="BT45" i="1"/>
  <c r="DW45" i="1" s="1"/>
  <c r="BT40" i="1"/>
  <c r="DW40" i="1" s="1"/>
  <c r="BT31" i="1"/>
  <c r="BT49" i="1"/>
  <c r="DW49" i="1" s="1"/>
  <c r="BT47" i="1"/>
  <c r="DW47" i="1" s="1"/>
  <c r="BU35" i="1"/>
  <c r="DY35" i="1" s="1"/>
  <c r="BU37" i="1"/>
  <c r="DY37" i="1" s="1"/>
  <c r="BU33" i="1"/>
  <c r="DY33" i="1" s="1"/>
  <c r="BU43" i="1"/>
  <c r="DY43" i="1" s="1"/>
  <c r="BU41" i="1"/>
  <c r="DY41" i="1" s="1"/>
  <c r="BU31" i="1"/>
  <c r="BU32" i="1"/>
  <c r="DY32" i="1" s="1"/>
  <c r="BU49" i="1"/>
  <c r="DY49" i="1" s="1"/>
  <c r="BU39" i="1"/>
  <c r="DY39" i="1" s="1"/>
  <c r="BU50" i="1"/>
  <c r="DY50" i="1" s="1"/>
  <c r="BU36" i="1"/>
  <c r="DY36" i="1" s="1"/>
  <c r="BU48" i="1"/>
  <c r="DY48" i="1" s="1"/>
  <c r="BU46" i="1"/>
  <c r="DY46" i="1" s="1"/>
  <c r="BU34" i="1"/>
  <c r="DY34" i="1" s="1"/>
  <c r="BU47" i="1"/>
  <c r="DY47" i="1" s="1"/>
  <c r="BU40" i="1"/>
  <c r="DY40" i="1" s="1"/>
  <c r="BU42" i="1"/>
  <c r="DY42" i="1" s="1"/>
  <c r="BU45" i="1"/>
  <c r="DY45" i="1" s="1"/>
  <c r="BU66" i="1"/>
  <c r="DY66" i="1" s="1"/>
  <c r="BU76" i="1"/>
  <c r="DY76" i="1" s="1"/>
  <c r="BU65" i="1"/>
  <c r="DY65" i="1" s="1"/>
  <c r="BU60" i="1"/>
  <c r="DY60" i="1" s="1"/>
  <c r="BU62" i="1"/>
  <c r="DY62" i="1" s="1"/>
  <c r="BU63" i="1"/>
  <c r="DY63" i="1" s="1"/>
  <c r="BU74" i="1"/>
  <c r="DY74" i="1" s="1"/>
  <c r="BU69" i="1"/>
  <c r="DY69" i="1" s="1"/>
  <c r="BU73" i="1"/>
  <c r="DY73" i="1" s="1"/>
  <c r="BU57" i="1"/>
  <c r="BU71" i="1"/>
  <c r="DY71" i="1" s="1"/>
  <c r="BU72" i="1"/>
  <c r="DY72" i="1" s="1"/>
  <c r="BU58" i="1"/>
  <c r="DY58" i="1" s="1"/>
  <c r="BU68" i="1"/>
  <c r="DY68" i="1" s="1"/>
  <c r="BU61" i="1"/>
  <c r="DY61" i="1" s="1"/>
  <c r="BU59" i="1"/>
  <c r="DY59" i="1" s="1"/>
  <c r="BU67" i="1"/>
  <c r="DY67" i="1" s="1"/>
  <c r="BU75" i="1"/>
  <c r="DY75" i="1" s="1"/>
  <c r="BM111" i="1"/>
  <c r="BM128" i="1"/>
  <c r="DI128" i="1" s="1"/>
  <c r="BM117" i="1"/>
  <c r="DI117" i="1" s="1"/>
  <c r="BM124" i="1"/>
  <c r="DI124" i="1" s="1"/>
  <c r="BM123" i="1"/>
  <c r="DI123" i="1" s="1"/>
  <c r="BM127" i="1"/>
  <c r="DI127" i="1" s="1"/>
  <c r="BM119" i="1"/>
  <c r="DI119" i="1" s="1"/>
  <c r="BM118" i="1"/>
  <c r="DI118" i="1" s="1"/>
  <c r="BM126" i="1"/>
  <c r="BM115" i="1"/>
  <c r="DI115" i="1" s="1"/>
  <c r="BM110" i="1"/>
  <c r="BM112" i="1"/>
  <c r="BM114" i="1"/>
  <c r="DI114" i="1" s="1"/>
  <c r="BM109" i="1"/>
  <c r="BM113" i="1"/>
  <c r="DI113" i="1" s="1"/>
  <c r="BM125" i="1"/>
  <c r="DI125" i="1" s="1"/>
  <c r="BM120" i="1"/>
  <c r="DI120" i="1" s="1"/>
  <c r="BM121" i="1"/>
  <c r="DI121" i="1" s="1"/>
  <c r="BL153" i="1"/>
  <c r="DG153" i="1" s="1"/>
  <c r="BL152" i="1"/>
  <c r="BL141" i="1"/>
  <c r="DG141" i="1" s="1"/>
  <c r="BL144" i="1"/>
  <c r="DG144" i="1" s="1"/>
  <c r="BL137" i="1"/>
  <c r="BL150" i="1"/>
  <c r="DG150" i="1" s="1"/>
  <c r="BL154" i="1"/>
  <c r="DG154" i="1" s="1"/>
  <c r="BL139" i="1"/>
  <c r="DG139" i="1" s="1"/>
  <c r="BL146" i="1"/>
  <c r="DG146" i="1" s="1"/>
  <c r="BL143" i="1"/>
  <c r="DG143" i="1" s="1"/>
  <c r="BL151" i="1"/>
  <c r="DG151" i="1" s="1"/>
  <c r="BL136" i="1"/>
  <c r="BL135" i="1"/>
  <c r="BL149" i="1"/>
  <c r="DG149" i="1" s="1"/>
  <c r="BL145" i="1"/>
  <c r="DG145" i="1" s="1"/>
  <c r="BL140" i="1"/>
  <c r="DG140" i="1" s="1"/>
  <c r="BL147" i="1"/>
  <c r="DG147" i="1" s="1"/>
  <c r="BL138" i="1"/>
  <c r="BQ147" i="1"/>
  <c r="BQ137" i="1"/>
  <c r="DQ137" i="1" s="1"/>
  <c r="BQ141" i="1"/>
  <c r="DQ141" i="1" s="1"/>
  <c r="BQ146" i="1"/>
  <c r="DQ146" i="1" s="1"/>
  <c r="BQ143" i="1"/>
  <c r="DQ143" i="1" s="1"/>
  <c r="BQ151" i="1"/>
  <c r="BQ139" i="1"/>
  <c r="DQ139" i="1" s="1"/>
  <c r="BQ138" i="1"/>
  <c r="DQ138" i="1" s="1"/>
  <c r="BQ145" i="1"/>
  <c r="DQ145" i="1" s="1"/>
  <c r="BQ135" i="1"/>
  <c r="BQ150" i="1"/>
  <c r="BQ140" i="1"/>
  <c r="DQ140" i="1" s="1"/>
  <c r="BQ152" i="1"/>
  <c r="BQ136" i="1"/>
  <c r="DQ136" i="1" s="1"/>
  <c r="BQ154" i="1"/>
  <c r="DQ154" i="1" s="1"/>
  <c r="BQ149" i="1"/>
  <c r="BQ144" i="1"/>
  <c r="DQ144" i="1" s="1"/>
  <c r="BQ153" i="1"/>
  <c r="DQ153" i="1" s="1"/>
  <c r="BS95" i="1"/>
  <c r="DU95" i="1" s="1"/>
  <c r="BS84" i="1"/>
  <c r="DU84" i="1" s="1"/>
  <c r="BS101" i="1"/>
  <c r="DU101" i="1" s="1"/>
  <c r="BS85" i="1"/>
  <c r="DU85" i="1" s="1"/>
  <c r="BS102" i="1"/>
  <c r="DU102" i="1" s="1"/>
  <c r="BS91" i="1"/>
  <c r="DU91" i="1" s="1"/>
  <c r="BS99" i="1"/>
  <c r="DU99" i="1" s="1"/>
  <c r="BS98" i="1"/>
  <c r="DU98" i="1" s="1"/>
  <c r="BS88" i="1"/>
  <c r="DU88" i="1" s="1"/>
  <c r="BS83" i="1"/>
  <c r="BS100" i="1"/>
  <c r="DU100" i="1" s="1"/>
  <c r="BS97" i="1"/>
  <c r="DU97" i="1" s="1"/>
  <c r="BS94" i="1"/>
  <c r="DU94" i="1" s="1"/>
  <c r="BS89" i="1"/>
  <c r="DU89" i="1" s="1"/>
  <c r="BS86" i="1"/>
  <c r="DU86" i="1" s="1"/>
  <c r="BS93" i="1"/>
  <c r="DU93" i="1" s="1"/>
  <c r="BS92" i="1"/>
  <c r="DU92" i="1" s="1"/>
  <c r="BS87" i="1"/>
  <c r="DU87" i="1" s="1"/>
  <c r="CP207" i="1"/>
  <c r="BT24" i="1"/>
  <c r="DW24" i="1" s="1"/>
  <c r="BT12" i="1"/>
  <c r="DW12" i="1" s="1"/>
  <c r="BT15" i="1"/>
  <c r="DW15" i="1" s="1"/>
  <c r="BT9" i="1"/>
  <c r="DW9" i="1" s="1"/>
  <c r="BT11" i="1"/>
  <c r="DW11" i="1" s="1"/>
  <c r="BT21" i="1"/>
  <c r="DW21" i="1" s="1"/>
  <c r="BT7" i="1"/>
  <c r="DW7" i="1" s="1"/>
  <c r="BT14" i="1"/>
  <c r="DW14" i="1" s="1"/>
  <c r="BT17" i="1"/>
  <c r="DW17" i="1" s="1"/>
  <c r="BT22" i="1"/>
  <c r="DW22" i="1" s="1"/>
  <c r="BT5" i="1"/>
  <c r="BT13" i="1"/>
  <c r="DW13" i="1" s="1"/>
  <c r="BT10" i="1"/>
  <c r="DW10" i="1" s="1"/>
  <c r="BT23" i="1"/>
  <c r="DW23" i="1" s="1"/>
  <c r="BT8" i="1"/>
  <c r="DW8" i="1" s="1"/>
  <c r="BT16" i="1"/>
  <c r="DW16" i="1" s="1"/>
  <c r="BT6" i="1"/>
  <c r="DW6" i="1" s="1"/>
  <c r="BT18" i="1"/>
  <c r="DW18" i="1" s="1"/>
  <c r="BS47" i="1"/>
  <c r="DU47" i="1" s="1"/>
  <c r="BS41" i="1"/>
  <c r="DU41" i="1" s="1"/>
  <c r="BS36" i="1"/>
  <c r="DU36" i="1" s="1"/>
  <c r="BS42" i="1"/>
  <c r="DU42" i="1" s="1"/>
  <c r="BS49" i="1"/>
  <c r="DU49" i="1" s="1"/>
  <c r="BS33" i="1"/>
  <c r="DU33" i="1" s="1"/>
  <c r="BS34" i="1"/>
  <c r="DU34" i="1" s="1"/>
  <c r="BS39" i="1"/>
  <c r="DU39" i="1" s="1"/>
  <c r="BS31" i="1"/>
  <c r="BS45" i="1"/>
  <c r="DU45" i="1" s="1"/>
  <c r="BS40" i="1"/>
  <c r="DU40" i="1" s="1"/>
  <c r="BS46" i="1"/>
  <c r="DU46" i="1" s="1"/>
  <c r="BS37" i="1"/>
  <c r="DU37" i="1" s="1"/>
  <c r="BS48" i="1"/>
  <c r="DU48" i="1" s="1"/>
  <c r="BS35" i="1"/>
  <c r="DU35" i="1" s="1"/>
  <c r="BS43" i="1"/>
  <c r="DU43" i="1" s="1"/>
  <c r="BS32" i="1"/>
  <c r="DU32" i="1" s="1"/>
  <c r="BS50" i="1"/>
  <c r="DU50" i="1" s="1"/>
  <c r="BM57" i="1"/>
  <c r="BM61" i="1"/>
  <c r="DI61" i="1" s="1"/>
  <c r="BM73" i="1"/>
  <c r="DI73" i="1" s="1"/>
  <c r="BM74" i="1"/>
  <c r="BM68" i="1"/>
  <c r="DI68" i="1" s="1"/>
  <c r="BM69" i="1"/>
  <c r="DI69" i="1" s="1"/>
  <c r="BM63" i="1"/>
  <c r="DI63" i="1" s="1"/>
  <c r="BM72" i="1"/>
  <c r="DI72" i="1" s="1"/>
  <c r="BM76" i="1"/>
  <c r="DI76" i="1" s="1"/>
  <c r="BM60" i="1"/>
  <c r="BM71" i="1"/>
  <c r="DI71" i="1" s="1"/>
  <c r="BM66" i="1"/>
  <c r="DI66" i="1" s="1"/>
  <c r="BM58" i="1"/>
  <c r="BM75" i="1"/>
  <c r="DI75" i="1" s="1"/>
  <c r="BM62" i="1"/>
  <c r="DI62" i="1" s="1"/>
  <c r="BM59" i="1"/>
  <c r="BM67" i="1"/>
  <c r="DI67" i="1" s="1"/>
  <c r="BM65" i="1"/>
  <c r="DI65" i="1" s="1"/>
  <c r="AR25" i="1"/>
  <c r="BK40" i="1"/>
  <c r="DE40" i="1" s="1"/>
  <c r="BK39" i="1"/>
  <c r="DE39" i="1" s="1"/>
  <c r="BK36" i="1"/>
  <c r="DE36" i="1" s="1"/>
  <c r="BK35" i="1"/>
  <c r="DE35" i="1" s="1"/>
  <c r="BK42" i="1"/>
  <c r="DE42" i="1" s="1"/>
  <c r="BK46" i="1"/>
  <c r="DE46" i="1" s="1"/>
  <c r="BK47" i="1"/>
  <c r="DE47" i="1" s="1"/>
  <c r="BK37" i="1"/>
  <c r="DE37" i="1" s="1"/>
  <c r="BK34" i="1"/>
  <c r="BK41" i="1"/>
  <c r="DE41" i="1" s="1"/>
  <c r="BK32" i="1"/>
  <c r="BK48" i="1"/>
  <c r="BK43" i="1"/>
  <c r="DE43" i="1" s="1"/>
  <c r="BK49" i="1"/>
  <c r="DE49" i="1" s="1"/>
  <c r="BK50" i="1"/>
  <c r="DE50" i="1" s="1"/>
  <c r="BK33" i="1"/>
  <c r="BK45" i="1"/>
  <c r="DE45" i="1" s="1"/>
  <c r="BK31" i="1"/>
  <c r="BL48" i="1"/>
  <c r="BL37" i="1"/>
  <c r="DG37" i="1" s="1"/>
  <c r="BL32" i="1"/>
  <c r="BL43" i="1"/>
  <c r="DG43" i="1" s="1"/>
  <c r="BL47" i="1"/>
  <c r="DG47" i="1" s="1"/>
  <c r="BL36" i="1"/>
  <c r="DG36" i="1" s="1"/>
  <c r="BL42" i="1"/>
  <c r="DG42" i="1" s="1"/>
  <c r="BL34" i="1"/>
  <c r="BL31" i="1"/>
  <c r="BL33" i="1"/>
  <c r="BL39" i="1"/>
  <c r="DG39" i="1" s="1"/>
  <c r="BL50" i="1"/>
  <c r="DG50" i="1" s="1"/>
  <c r="BL49" i="1"/>
  <c r="DG49" i="1" s="1"/>
  <c r="BL40" i="1"/>
  <c r="DG40" i="1" s="1"/>
  <c r="BL46" i="1"/>
  <c r="DG46" i="1" s="1"/>
  <c r="BL45" i="1"/>
  <c r="DG45" i="1" s="1"/>
  <c r="BL41" i="1"/>
  <c r="DG41" i="1" s="1"/>
  <c r="BL35" i="1"/>
  <c r="DG35" i="1" s="1"/>
  <c r="BN36" i="1"/>
  <c r="DK36" i="1" s="1"/>
  <c r="BN35" i="1"/>
  <c r="DK35" i="1" s="1"/>
  <c r="BN47" i="1"/>
  <c r="DK47" i="1" s="1"/>
  <c r="BN31" i="1"/>
  <c r="BN32" i="1"/>
  <c r="DK32" i="1" s="1"/>
  <c r="BN48" i="1"/>
  <c r="BN49" i="1"/>
  <c r="DK49" i="1" s="1"/>
  <c r="BN43" i="1"/>
  <c r="DK43" i="1" s="1"/>
  <c r="BN39" i="1"/>
  <c r="DK39" i="1" s="1"/>
  <c r="BN33" i="1"/>
  <c r="DK33" i="1" s="1"/>
  <c r="BN34" i="1"/>
  <c r="DK34" i="1" s="1"/>
  <c r="BN50" i="1"/>
  <c r="DK50" i="1" s="1"/>
  <c r="BN45" i="1"/>
  <c r="DK45" i="1" s="1"/>
  <c r="BN42" i="1"/>
  <c r="DK42" i="1" s="1"/>
  <c r="BN46" i="1"/>
  <c r="DK46" i="1" s="1"/>
  <c r="BN40" i="1"/>
  <c r="DK40" i="1" s="1"/>
  <c r="BN41" i="1"/>
  <c r="DK41" i="1" s="1"/>
  <c r="BN37" i="1"/>
  <c r="DK37" i="1" s="1"/>
  <c r="BQ69" i="1"/>
  <c r="BQ68" i="1"/>
  <c r="DQ68" i="1" s="1"/>
  <c r="BQ63" i="1"/>
  <c r="DQ63" i="1" s="1"/>
  <c r="BQ57" i="1"/>
  <c r="BQ58" i="1"/>
  <c r="DQ58" i="1" s="1"/>
  <c r="BQ59" i="1"/>
  <c r="DQ59" i="1" s="1"/>
  <c r="BQ75" i="1"/>
  <c r="DQ75" i="1" s="1"/>
  <c r="BQ67" i="1"/>
  <c r="DQ67" i="1" s="1"/>
  <c r="BQ66" i="1"/>
  <c r="DQ66" i="1" s="1"/>
  <c r="BQ60" i="1"/>
  <c r="DQ60" i="1" s="1"/>
  <c r="BQ61" i="1"/>
  <c r="DQ61" i="1" s="1"/>
  <c r="BQ73" i="1"/>
  <c r="BQ74" i="1"/>
  <c r="BQ72" i="1"/>
  <c r="BQ76" i="1"/>
  <c r="DQ76" i="1" s="1"/>
  <c r="BQ71" i="1"/>
  <c r="BQ65" i="1"/>
  <c r="DQ65" i="1" s="1"/>
  <c r="BQ62" i="1"/>
  <c r="DQ62" i="1" s="1"/>
  <c r="BK151" i="1"/>
  <c r="DE151" i="1" s="1"/>
  <c r="BK135" i="1"/>
  <c r="BK137" i="1"/>
  <c r="BK147" i="1"/>
  <c r="DE147" i="1" s="1"/>
  <c r="BK143" i="1"/>
  <c r="DE143" i="1" s="1"/>
  <c r="BK149" i="1"/>
  <c r="DE149" i="1" s="1"/>
  <c r="BK153" i="1"/>
  <c r="DE153" i="1" s="1"/>
  <c r="BK139" i="1"/>
  <c r="DE139" i="1" s="1"/>
  <c r="BK144" i="1"/>
  <c r="DE144" i="1" s="1"/>
  <c r="BK141" i="1"/>
  <c r="DE141" i="1" s="1"/>
  <c r="BK150" i="1"/>
  <c r="DE150" i="1" s="1"/>
  <c r="BK152" i="1"/>
  <c r="BK146" i="1"/>
  <c r="DE146" i="1" s="1"/>
  <c r="BK140" i="1"/>
  <c r="DE140" i="1" s="1"/>
  <c r="BK154" i="1"/>
  <c r="DE154" i="1" s="1"/>
  <c r="BK136" i="1"/>
  <c r="BK145" i="1"/>
  <c r="DE145" i="1" s="1"/>
  <c r="BK138" i="1"/>
  <c r="BP40" i="1"/>
  <c r="BP39" i="1"/>
  <c r="BP33" i="1"/>
  <c r="BP49" i="1"/>
  <c r="DO49" i="1" s="1"/>
  <c r="BP31" i="1"/>
  <c r="BP50" i="1"/>
  <c r="DO50" i="1" s="1"/>
  <c r="BP34" i="1"/>
  <c r="BP35" i="1"/>
  <c r="DO35" i="1" s="1"/>
  <c r="BP47" i="1"/>
  <c r="DO47" i="1" s="1"/>
  <c r="BP41" i="1"/>
  <c r="BP42" i="1"/>
  <c r="DO42" i="1" s="1"/>
  <c r="BP43" i="1"/>
  <c r="DO43" i="1" s="1"/>
  <c r="BP36" i="1"/>
  <c r="DO36" i="1" s="1"/>
  <c r="BP48" i="1"/>
  <c r="BP37" i="1"/>
  <c r="BP46" i="1"/>
  <c r="DO46" i="1" s="1"/>
  <c r="BP32" i="1"/>
  <c r="BP45" i="1"/>
  <c r="DO45" i="1" s="1"/>
  <c r="BU179" i="1"/>
  <c r="DY179" i="1" s="1"/>
  <c r="BU171" i="1"/>
  <c r="DY171" i="1" s="1"/>
  <c r="BU164" i="1"/>
  <c r="DY164" i="1" s="1"/>
  <c r="BU163" i="1"/>
  <c r="DY163" i="1" s="1"/>
  <c r="BU175" i="1"/>
  <c r="DY175" i="1" s="1"/>
  <c r="BU177" i="1"/>
  <c r="DY177" i="1" s="1"/>
  <c r="BU167" i="1"/>
  <c r="DY167" i="1" s="1"/>
  <c r="BU162" i="1"/>
  <c r="DY162" i="1" s="1"/>
  <c r="BU172" i="1"/>
  <c r="DY172" i="1" s="1"/>
  <c r="BU180" i="1"/>
  <c r="DY180" i="1" s="1"/>
  <c r="BU178" i="1"/>
  <c r="DY178" i="1" s="1"/>
  <c r="BU169" i="1"/>
  <c r="DY169" i="1" s="1"/>
  <c r="BU170" i="1"/>
  <c r="DY170" i="1" s="1"/>
  <c r="BU165" i="1"/>
  <c r="DY165" i="1" s="1"/>
  <c r="BU173" i="1"/>
  <c r="DY173" i="1" s="1"/>
  <c r="BU161" i="1"/>
  <c r="BU166" i="1"/>
  <c r="DY166" i="1" s="1"/>
  <c r="BU176" i="1"/>
  <c r="DY176" i="1" s="1"/>
  <c r="AR188" i="1"/>
  <c r="BT177" i="1"/>
  <c r="DW177" i="1" s="1"/>
  <c r="BT164" i="1"/>
  <c r="DW164" i="1" s="1"/>
  <c r="BT163" i="1"/>
  <c r="DW163" i="1" s="1"/>
  <c r="BT166" i="1"/>
  <c r="DW166" i="1" s="1"/>
  <c r="BT175" i="1"/>
  <c r="DW175" i="1" s="1"/>
  <c r="BT161" i="1"/>
  <c r="BT171" i="1"/>
  <c r="DW171" i="1" s="1"/>
  <c r="BT173" i="1"/>
  <c r="DW173" i="1" s="1"/>
  <c r="BT170" i="1"/>
  <c r="DW170" i="1" s="1"/>
  <c r="BT176" i="1"/>
  <c r="DW176" i="1" s="1"/>
  <c r="BT169" i="1"/>
  <c r="DW169" i="1" s="1"/>
  <c r="BT162" i="1"/>
  <c r="DW162" i="1" s="1"/>
  <c r="BT172" i="1"/>
  <c r="DW172" i="1" s="1"/>
  <c r="BT180" i="1"/>
  <c r="DW180" i="1" s="1"/>
  <c r="BT179" i="1"/>
  <c r="DW179" i="1" s="1"/>
  <c r="BT178" i="1"/>
  <c r="DW178" i="1" s="1"/>
  <c r="BT165" i="1"/>
  <c r="DW165" i="1" s="1"/>
  <c r="BT167" i="1"/>
  <c r="DW167" i="1" s="1"/>
  <c r="BK67" i="1"/>
  <c r="DE67" i="1" s="1"/>
  <c r="BK71" i="1"/>
  <c r="DE71" i="1" s="1"/>
  <c r="BK60" i="1"/>
  <c r="BK57" i="1"/>
  <c r="BK61" i="1"/>
  <c r="DE61" i="1" s="1"/>
  <c r="BK74" i="1"/>
  <c r="BK73" i="1"/>
  <c r="DE73" i="1" s="1"/>
  <c r="BK69" i="1"/>
  <c r="DE69" i="1" s="1"/>
  <c r="BK68" i="1"/>
  <c r="DE68" i="1" s="1"/>
  <c r="BK72" i="1"/>
  <c r="DE72" i="1" s="1"/>
  <c r="BK63" i="1"/>
  <c r="DE63" i="1" s="1"/>
  <c r="BK62" i="1"/>
  <c r="DE62" i="1" s="1"/>
  <c r="BK58" i="1"/>
  <c r="BK75" i="1"/>
  <c r="DE75" i="1" s="1"/>
  <c r="BK65" i="1"/>
  <c r="DE65" i="1" s="1"/>
  <c r="BK59" i="1"/>
  <c r="BK76" i="1"/>
  <c r="DE76" i="1" s="1"/>
  <c r="BK66" i="1"/>
  <c r="DE66" i="1" s="1"/>
  <c r="BK119" i="1"/>
  <c r="DE119" i="1" s="1"/>
  <c r="BK118" i="1"/>
  <c r="DE118" i="1" s="1"/>
  <c r="BK117" i="1"/>
  <c r="DE117" i="1" s="1"/>
  <c r="BK114" i="1"/>
  <c r="DE114" i="1" s="1"/>
  <c r="BK113" i="1"/>
  <c r="DE113" i="1" s="1"/>
  <c r="BK109" i="1"/>
  <c r="BK125" i="1"/>
  <c r="DE125" i="1" s="1"/>
  <c r="BK111" i="1"/>
  <c r="BK112" i="1"/>
  <c r="BK128" i="1"/>
  <c r="DE128" i="1" s="1"/>
  <c r="BK123" i="1"/>
  <c r="DE123" i="1" s="1"/>
  <c r="BK120" i="1"/>
  <c r="DE120" i="1" s="1"/>
  <c r="BK127" i="1"/>
  <c r="DE127" i="1" s="1"/>
  <c r="BK124" i="1"/>
  <c r="DE124" i="1" s="1"/>
  <c r="BK126" i="1"/>
  <c r="BK121" i="1"/>
  <c r="DE121" i="1" s="1"/>
  <c r="BK115" i="1"/>
  <c r="DE115" i="1" s="1"/>
  <c r="BK110" i="1"/>
  <c r="BN150" i="1"/>
  <c r="DK150" i="1" s="1"/>
  <c r="BN149" i="1"/>
  <c r="DK149" i="1" s="1"/>
  <c r="BN144" i="1"/>
  <c r="DK144" i="1" s="1"/>
  <c r="BN137" i="1"/>
  <c r="DK137" i="1" s="1"/>
  <c r="BN135" i="1"/>
  <c r="BN147" i="1"/>
  <c r="DK147" i="1" s="1"/>
  <c r="BN138" i="1"/>
  <c r="DK138" i="1" s="1"/>
  <c r="BN154" i="1"/>
  <c r="DK154" i="1" s="1"/>
  <c r="BN136" i="1"/>
  <c r="DK136" i="1" s="1"/>
  <c r="BN151" i="1"/>
  <c r="DK151" i="1" s="1"/>
  <c r="BN141" i="1"/>
  <c r="DK141" i="1" s="1"/>
  <c r="BN143" i="1"/>
  <c r="DK143" i="1" s="1"/>
  <c r="BN153" i="1"/>
  <c r="DK153" i="1" s="1"/>
  <c r="BN145" i="1"/>
  <c r="DK145" i="1" s="1"/>
  <c r="BN139" i="1"/>
  <c r="DK139" i="1" s="1"/>
  <c r="BN152" i="1"/>
  <c r="BN140" i="1"/>
  <c r="DK140" i="1" s="1"/>
  <c r="BN146" i="1"/>
  <c r="DK146" i="1" s="1"/>
  <c r="BN72" i="1"/>
  <c r="DK72" i="1" s="1"/>
  <c r="BN71" i="1"/>
  <c r="DK71" i="1" s="1"/>
  <c r="BN57" i="1"/>
  <c r="BN61" i="1"/>
  <c r="DK61" i="1" s="1"/>
  <c r="BN65" i="1"/>
  <c r="DK65" i="1" s="1"/>
  <c r="BN74" i="1"/>
  <c r="BN73" i="1"/>
  <c r="DK73" i="1" s="1"/>
  <c r="BN69" i="1"/>
  <c r="DK69" i="1" s="1"/>
  <c r="BN68" i="1"/>
  <c r="DK68" i="1" s="1"/>
  <c r="BN76" i="1"/>
  <c r="DK76" i="1" s="1"/>
  <c r="BN66" i="1"/>
  <c r="DK66" i="1" s="1"/>
  <c r="BN60" i="1"/>
  <c r="DK60" i="1" s="1"/>
  <c r="BN59" i="1"/>
  <c r="DK59" i="1" s="1"/>
  <c r="BN63" i="1"/>
  <c r="DK63" i="1" s="1"/>
  <c r="BN58" i="1"/>
  <c r="DK58" i="1" s="1"/>
  <c r="BN67" i="1"/>
  <c r="DK67" i="1" s="1"/>
  <c r="BN62" i="1"/>
  <c r="DK62" i="1" s="1"/>
  <c r="BN75" i="1"/>
  <c r="DK75" i="1" s="1"/>
  <c r="AN188" i="1"/>
  <c r="BS69" i="1"/>
  <c r="DU69" i="1" s="1"/>
  <c r="BS76" i="1"/>
  <c r="DU76" i="1" s="1"/>
  <c r="BS63" i="1"/>
  <c r="DU63" i="1" s="1"/>
  <c r="BS58" i="1"/>
  <c r="DU58" i="1" s="1"/>
  <c r="BS67" i="1"/>
  <c r="DU67" i="1" s="1"/>
  <c r="BS74" i="1"/>
  <c r="DU74" i="1" s="1"/>
  <c r="BS75" i="1"/>
  <c r="DU75" i="1" s="1"/>
  <c r="BS61" i="1"/>
  <c r="DU61" i="1" s="1"/>
  <c r="BS72" i="1"/>
  <c r="DU72" i="1" s="1"/>
  <c r="BS57" i="1"/>
  <c r="BS59" i="1"/>
  <c r="DU59" i="1" s="1"/>
  <c r="BS71" i="1"/>
  <c r="DU71" i="1" s="1"/>
  <c r="BS66" i="1"/>
  <c r="DU66" i="1" s="1"/>
  <c r="BS65" i="1"/>
  <c r="DU65" i="1" s="1"/>
  <c r="BS60" i="1"/>
  <c r="DU60" i="1" s="1"/>
  <c r="BS62" i="1"/>
  <c r="DU62" i="1" s="1"/>
  <c r="BS73" i="1"/>
  <c r="DU73" i="1" s="1"/>
  <c r="BS68" i="1"/>
  <c r="DU68" i="1" s="1"/>
  <c r="BS126" i="1"/>
  <c r="DU126" i="1" s="1"/>
  <c r="BS115" i="1"/>
  <c r="DU115" i="1" s="1"/>
  <c r="BS111" i="1"/>
  <c r="DU111" i="1" s="1"/>
  <c r="BS123" i="1"/>
  <c r="DU123" i="1" s="1"/>
  <c r="BS112" i="1"/>
  <c r="DU112" i="1" s="1"/>
  <c r="BS118" i="1"/>
  <c r="DU118" i="1" s="1"/>
  <c r="BS124" i="1"/>
  <c r="DU124" i="1" s="1"/>
  <c r="BS127" i="1"/>
  <c r="DU127" i="1" s="1"/>
  <c r="BS117" i="1"/>
  <c r="DU117" i="1" s="1"/>
  <c r="BS109" i="1"/>
  <c r="BS121" i="1"/>
  <c r="DU121" i="1" s="1"/>
  <c r="BS119" i="1"/>
  <c r="DU119" i="1" s="1"/>
  <c r="BS125" i="1"/>
  <c r="DU125" i="1" s="1"/>
  <c r="BS128" i="1"/>
  <c r="DU128" i="1" s="1"/>
  <c r="BS110" i="1"/>
  <c r="DU110" i="1" s="1"/>
  <c r="BS114" i="1"/>
  <c r="DU114" i="1" s="1"/>
  <c r="BS113" i="1"/>
  <c r="DU113" i="1" s="1"/>
  <c r="BS120" i="1"/>
  <c r="DU120" i="1" s="1"/>
  <c r="AR205" i="1"/>
  <c r="BU6" i="1"/>
  <c r="DY6" i="1" s="1"/>
  <c r="BU22" i="1"/>
  <c r="DY22" i="1" s="1"/>
  <c r="BU5" i="1"/>
  <c r="BU18" i="1"/>
  <c r="DY18" i="1" s="1"/>
  <c r="BU10" i="1"/>
  <c r="DY10" i="1" s="1"/>
  <c r="BU16" i="1"/>
  <c r="DY16" i="1" s="1"/>
  <c r="BU23" i="1"/>
  <c r="DY23" i="1" s="1"/>
  <c r="BU24" i="1"/>
  <c r="DY24" i="1" s="1"/>
  <c r="BU11" i="1"/>
  <c r="DY11" i="1" s="1"/>
  <c r="BU12" i="1"/>
  <c r="DY12" i="1" s="1"/>
  <c r="BU13" i="1"/>
  <c r="DY13" i="1" s="1"/>
  <c r="BU21" i="1"/>
  <c r="DY21" i="1" s="1"/>
  <c r="BU14" i="1"/>
  <c r="DY14" i="1" s="1"/>
  <c r="BU15" i="1"/>
  <c r="DY15" i="1" s="1"/>
  <c r="BU7" i="1"/>
  <c r="DY7" i="1" s="1"/>
  <c r="BU9" i="1"/>
  <c r="DY9" i="1" s="1"/>
  <c r="BU17" i="1"/>
  <c r="DY17" i="1" s="1"/>
  <c r="BU8" i="1"/>
  <c r="DY8" i="1" s="1"/>
  <c r="BL93" i="1"/>
  <c r="DG93" i="1" s="1"/>
  <c r="BL97" i="1"/>
  <c r="DG97" i="1" s="1"/>
  <c r="BL101" i="1"/>
  <c r="DG101" i="1" s="1"/>
  <c r="BL88" i="1"/>
  <c r="DG88" i="1" s="1"/>
  <c r="BL92" i="1"/>
  <c r="DG92" i="1" s="1"/>
  <c r="BL86" i="1"/>
  <c r="BL83" i="1"/>
  <c r="BL87" i="1"/>
  <c r="DG87" i="1" s="1"/>
  <c r="BL99" i="1"/>
  <c r="DG99" i="1" s="1"/>
  <c r="BL85" i="1"/>
  <c r="BL84" i="1"/>
  <c r="BL98" i="1"/>
  <c r="DG98" i="1" s="1"/>
  <c r="BL91" i="1"/>
  <c r="DG91" i="1" s="1"/>
  <c r="BL100" i="1"/>
  <c r="BL102" i="1"/>
  <c r="DG102" i="1" s="1"/>
  <c r="BL94" i="1"/>
  <c r="DG94" i="1" s="1"/>
  <c r="BL89" i="1"/>
  <c r="DG89" i="1" s="1"/>
  <c r="BL95" i="1"/>
  <c r="DG95" i="1" s="1"/>
  <c r="BN85" i="1"/>
  <c r="DK85" i="1" s="1"/>
  <c r="BN91" i="1"/>
  <c r="DK91" i="1" s="1"/>
  <c r="BN98" i="1"/>
  <c r="DK98" i="1" s="1"/>
  <c r="BN102" i="1"/>
  <c r="DK102" i="1" s="1"/>
  <c r="BN101" i="1"/>
  <c r="DK101" i="1" s="1"/>
  <c r="BN93" i="1"/>
  <c r="DK93" i="1" s="1"/>
  <c r="BN97" i="1"/>
  <c r="DK97" i="1" s="1"/>
  <c r="BN86" i="1"/>
  <c r="DK86" i="1" s="1"/>
  <c r="BN92" i="1"/>
  <c r="DK92" i="1" s="1"/>
  <c r="BN100" i="1"/>
  <c r="BN94" i="1"/>
  <c r="DK94" i="1" s="1"/>
  <c r="BN95" i="1"/>
  <c r="DK95" i="1" s="1"/>
  <c r="BN87" i="1"/>
  <c r="DK87" i="1" s="1"/>
  <c r="BN89" i="1"/>
  <c r="DK89" i="1" s="1"/>
  <c r="BN84" i="1"/>
  <c r="DK84" i="1" s="1"/>
  <c r="BN88" i="1"/>
  <c r="DK88" i="1" s="1"/>
  <c r="BN83" i="1"/>
  <c r="BN99" i="1"/>
  <c r="DK99" i="1" s="1"/>
  <c r="BO58" i="1"/>
  <c r="DM58" i="1" s="1"/>
  <c r="BO71" i="1"/>
  <c r="DM71" i="1" s="1"/>
  <c r="BO61" i="1"/>
  <c r="DM61" i="1" s="1"/>
  <c r="BO60" i="1"/>
  <c r="BO73" i="1"/>
  <c r="DM73" i="1" s="1"/>
  <c r="BO74" i="1"/>
  <c r="BO65" i="1"/>
  <c r="DM65" i="1" s="1"/>
  <c r="BO69" i="1"/>
  <c r="DM69" i="1" s="1"/>
  <c r="BO62" i="1"/>
  <c r="DM62" i="1" s="1"/>
  <c r="BO59" i="1"/>
  <c r="DM59" i="1" s="1"/>
  <c r="BO72" i="1"/>
  <c r="DM72" i="1" s="1"/>
  <c r="BO76" i="1"/>
  <c r="DM76" i="1" s="1"/>
  <c r="BO67" i="1"/>
  <c r="DM67" i="1" s="1"/>
  <c r="BO66" i="1"/>
  <c r="DM66" i="1" s="1"/>
  <c r="BO57" i="1"/>
  <c r="BO68" i="1"/>
  <c r="DM68" i="1" s="1"/>
  <c r="BO75" i="1"/>
  <c r="DM75" i="1" s="1"/>
  <c r="BO63" i="1"/>
  <c r="DM63" i="1" s="1"/>
  <c r="BP87" i="1"/>
  <c r="DO87" i="1" s="1"/>
  <c r="BP91" i="1"/>
  <c r="BP100" i="1"/>
  <c r="BP88" i="1"/>
  <c r="DO88" i="1" s="1"/>
  <c r="BP84" i="1"/>
  <c r="BP85" i="1"/>
  <c r="BP98" i="1"/>
  <c r="DO98" i="1" s="1"/>
  <c r="BP99" i="1"/>
  <c r="DO99" i="1" s="1"/>
  <c r="BP94" i="1"/>
  <c r="DO94" i="1" s="1"/>
  <c r="BP89" i="1"/>
  <c r="BP101" i="1"/>
  <c r="DO101" i="1" s="1"/>
  <c r="BP97" i="1"/>
  <c r="DO97" i="1" s="1"/>
  <c r="BP83" i="1"/>
  <c r="BP92" i="1"/>
  <c r="BP86" i="1"/>
  <c r="BP93" i="1"/>
  <c r="BP95" i="1"/>
  <c r="DO95" i="1" s="1"/>
  <c r="BP102" i="1"/>
  <c r="DO102" i="1" s="1"/>
  <c r="AN192" i="1"/>
  <c r="AS192" i="1" s="1"/>
  <c r="BQ43" i="1"/>
  <c r="BQ42" i="1"/>
  <c r="DQ42" i="1" s="1"/>
  <c r="BQ41" i="1"/>
  <c r="DQ41" i="1" s="1"/>
  <c r="BQ36" i="1"/>
  <c r="DQ36" i="1" s="1"/>
  <c r="BQ37" i="1"/>
  <c r="DQ37" i="1" s="1"/>
  <c r="BQ33" i="1"/>
  <c r="DQ33" i="1" s="1"/>
  <c r="BQ50" i="1"/>
  <c r="DQ50" i="1" s="1"/>
  <c r="BQ34" i="1"/>
  <c r="DQ34" i="1" s="1"/>
  <c r="BQ45" i="1"/>
  <c r="BQ39" i="1"/>
  <c r="DQ39" i="1" s="1"/>
  <c r="BQ40" i="1"/>
  <c r="DQ40" i="1" s="1"/>
  <c r="BQ31" i="1"/>
  <c r="BQ35" i="1"/>
  <c r="DQ35" i="1" s="1"/>
  <c r="BQ47" i="1"/>
  <c r="BQ46" i="1"/>
  <c r="BQ32" i="1"/>
  <c r="DQ32" i="1" s="1"/>
  <c r="BQ48" i="1"/>
  <c r="BQ49" i="1"/>
  <c r="DQ49" i="1" s="1"/>
  <c r="BT140" i="1"/>
  <c r="DW140" i="1" s="1"/>
  <c r="BT146" i="1"/>
  <c r="DW146" i="1" s="1"/>
  <c r="BT152" i="1"/>
  <c r="DW152" i="1" s="1"/>
  <c r="BT153" i="1"/>
  <c r="DW153" i="1" s="1"/>
  <c r="BT147" i="1"/>
  <c r="DW147" i="1" s="1"/>
  <c r="BT143" i="1"/>
  <c r="DW143" i="1" s="1"/>
  <c r="BT139" i="1"/>
  <c r="DW139" i="1" s="1"/>
  <c r="BT137" i="1"/>
  <c r="DW137" i="1" s="1"/>
  <c r="BT154" i="1"/>
  <c r="DW154" i="1" s="1"/>
  <c r="BT135" i="1"/>
  <c r="BT144" i="1"/>
  <c r="DW144" i="1" s="1"/>
  <c r="BT145" i="1"/>
  <c r="DW145" i="1" s="1"/>
  <c r="BT136" i="1"/>
  <c r="DW136" i="1" s="1"/>
  <c r="BT141" i="1"/>
  <c r="DW141" i="1" s="1"/>
  <c r="BT150" i="1"/>
  <c r="DW150" i="1" s="1"/>
  <c r="BT151" i="1"/>
  <c r="DW151" i="1" s="1"/>
  <c r="BT149" i="1"/>
  <c r="DW149" i="1" s="1"/>
  <c r="BT138" i="1"/>
  <c r="DW138" i="1" s="1"/>
  <c r="BU128" i="1"/>
  <c r="DY128" i="1" s="1"/>
  <c r="BU113" i="1"/>
  <c r="DY113" i="1" s="1"/>
  <c r="BU114" i="1"/>
  <c r="DY114" i="1" s="1"/>
  <c r="BU115" i="1"/>
  <c r="DY115" i="1" s="1"/>
  <c r="BU121" i="1"/>
  <c r="DY121" i="1" s="1"/>
  <c r="BU127" i="1"/>
  <c r="DY127" i="1" s="1"/>
  <c r="BU117" i="1"/>
  <c r="DY117" i="1" s="1"/>
  <c r="BU124" i="1"/>
  <c r="DY124" i="1" s="1"/>
  <c r="BU111" i="1"/>
  <c r="DY111" i="1" s="1"/>
  <c r="BU109" i="1"/>
  <c r="BU126" i="1"/>
  <c r="DY126" i="1" s="1"/>
  <c r="BU110" i="1"/>
  <c r="DY110" i="1" s="1"/>
  <c r="BU119" i="1"/>
  <c r="DY119" i="1" s="1"/>
  <c r="BU120" i="1"/>
  <c r="DY120" i="1" s="1"/>
  <c r="BU118" i="1"/>
  <c r="DY118" i="1" s="1"/>
  <c r="BU125" i="1"/>
  <c r="DY125" i="1" s="1"/>
  <c r="BU123" i="1"/>
  <c r="DY123" i="1" s="1"/>
  <c r="BU112" i="1"/>
  <c r="DY112" i="1" s="1"/>
  <c r="BO180" i="1"/>
  <c r="DM180" i="1" s="1"/>
  <c r="BO165" i="1"/>
  <c r="DM165" i="1" s="1"/>
  <c r="BO172" i="1"/>
  <c r="DM172" i="1" s="1"/>
  <c r="BO166" i="1"/>
  <c r="DM166" i="1" s="1"/>
  <c r="BO178" i="1"/>
  <c r="BO167" i="1"/>
  <c r="DM167" i="1" s="1"/>
  <c r="BO176" i="1"/>
  <c r="DM176" i="1" s="1"/>
  <c r="BO171" i="1"/>
  <c r="DM171" i="1" s="1"/>
  <c r="BO163" i="1"/>
  <c r="DM163" i="1" s="1"/>
  <c r="BO175" i="1"/>
  <c r="DM175" i="1" s="1"/>
  <c r="BO161" i="1"/>
  <c r="BO170" i="1"/>
  <c r="DM170" i="1" s="1"/>
  <c r="BO179" i="1"/>
  <c r="DM179" i="1" s="1"/>
  <c r="BO169" i="1"/>
  <c r="DM169" i="1" s="1"/>
  <c r="BO164" i="1"/>
  <c r="BO173" i="1"/>
  <c r="DM173" i="1" s="1"/>
  <c r="BO177" i="1"/>
  <c r="DM177" i="1" s="1"/>
  <c r="BO162" i="1"/>
  <c r="DM162" i="1" s="1"/>
  <c r="BK173" i="1"/>
  <c r="DE173" i="1" s="1"/>
  <c r="BK167" i="1"/>
  <c r="DE167" i="1" s="1"/>
  <c r="BK162" i="1"/>
  <c r="BK163" i="1"/>
  <c r="BK169" i="1"/>
  <c r="DE169" i="1" s="1"/>
  <c r="BK166" i="1"/>
  <c r="DE166" i="1" s="1"/>
  <c r="BK170" i="1"/>
  <c r="DE170" i="1" s="1"/>
  <c r="BK161" i="1"/>
  <c r="BK165" i="1"/>
  <c r="DE165" i="1" s="1"/>
  <c r="BK177" i="1"/>
  <c r="DE177" i="1" s="1"/>
  <c r="BK178" i="1"/>
  <c r="BK172" i="1"/>
  <c r="DE172" i="1" s="1"/>
  <c r="BK171" i="1"/>
  <c r="DE171" i="1" s="1"/>
  <c r="BK180" i="1"/>
  <c r="DE180" i="1" s="1"/>
  <c r="BK175" i="1"/>
  <c r="DE175" i="1" s="1"/>
  <c r="BK179" i="1"/>
  <c r="DE179" i="1" s="1"/>
  <c r="BK164" i="1"/>
  <c r="BK176" i="1"/>
  <c r="DE176" i="1" s="1"/>
  <c r="BO85" i="1"/>
  <c r="DM85" i="1" s="1"/>
  <c r="BO100" i="1"/>
  <c r="BO95" i="1"/>
  <c r="DM95" i="1" s="1"/>
  <c r="BO91" i="1"/>
  <c r="DM91" i="1" s="1"/>
  <c r="BO97" i="1"/>
  <c r="DM97" i="1" s="1"/>
  <c r="BO99" i="1"/>
  <c r="DM99" i="1" s="1"/>
  <c r="BO98" i="1"/>
  <c r="DM98" i="1" s="1"/>
  <c r="BO87" i="1"/>
  <c r="DM87" i="1" s="1"/>
  <c r="BO92" i="1"/>
  <c r="DM92" i="1" s="1"/>
  <c r="BO102" i="1"/>
  <c r="DM102" i="1" s="1"/>
  <c r="BO93" i="1"/>
  <c r="DM93" i="1" s="1"/>
  <c r="BO101" i="1"/>
  <c r="DM101" i="1" s="1"/>
  <c r="BO86" i="1"/>
  <c r="BO84" i="1"/>
  <c r="DM84" i="1" s="1"/>
  <c r="BO94" i="1"/>
  <c r="DM94" i="1" s="1"/>
  <c r="BO89" i="1"/>
  <c r="DM89" i="1" s="1"/>
  <c r="BO83" i="1"/>
  <c r="BO88" i="1"/>
  <c r="DM88" i="1" s="1"/>
  <c r="BQ87" i="1"/>
  <c r="DQ87" i="1" s="1"/>
  <c r="BQ86" i="1"/>
  <c r="DQ86" i="1" s="1"/>
  <c r="BQ99" i="1"/>
  <c r="BQ93" i="1"/>
  <c r="DQ93" i="1" s="1"/>
  <c r="BQ83" i="1"/>
  <c r="BQ100" i="1"/>
  <c r="BQ94" i="1"/>
  <c r="DQ94" i="1" s="1"/>
  <c r="BQ88" i="1"/>
  <c r="DQ88" i="1" s="1"/>
  <c r="BQ85" i="1"/>
  <c r="DQ85" i="1" s="1"/>
  <c r="BQ101" i="1"/>
  <c r="DQ101" i="1" s="1"/>
  <c r="BQ102" i="1"/>
  <c r="DQ102" i="1" s="1"/>
  <c r="BQ97" i="1"/>
  <c r="BQ92" i="1"/>
  <c r="DQ92" i="1" s="1"/>
  <c r="BQ91" i="1"/>
  <c r="DQ91" i="1" s="1"/>
  <c r="BQ84" i="1"/>
  <c r="DQ84" i="1" s="1"/>
  <c r="BQ98" i="1"/>
  <c r="BQ95" i="1"/>
  <c r="BQ89" i="1"/>
  <c r="DQ89" i="1" s="1"/>
  <c r="M181" i="1"/>
  <c r="R179" i="1"/>
  <c r="BZ179" i="1" s="1"/>
  <c r="R178" i="1"/>
  <c r="BZ178" i="1" s="1"/>
  <c r="R180" i="1"/>
  <c r="BZ180" i="1" s="1"/>
  <c r="N187" i="1"/>
  <c r="N191" i="1"/>
  <c r="F207" i="1"/>
  <c r="N74" i="1"/>
  <c r="D32" i="4" l="1"/>
  <c r="DQ125" i="1"/>
  <c r="AJ31" i="4"/>
  <c r="DQ18" i="1"/>
  <c r="D28" i="4"/>
  <c r="DO22" i="1"/>
  <c r="D26" i="4"/>
  <c r="DO12" i="1"/>
  <c r="D19" i="4"/>
  <c r="DE22" i="1"/>
  <c r="D6" i="4"/>
  <c r="DK22" i="1"/>
  <c r="D15" i="4"/>
  <c r="DI22" i="1"/>
  <c r="D14" i="4"/>
  <c r="DG22" i="1"/>
  <c r="D10" i="4"/>
  <c r="DM22" i="1"/>
  <c r="D17" i="4"/>
  <c r="CD12" i="1"/>
  <c r="V194" i="1"/>
  <c r="CC19" i="1"/>
  <c r="U201" i="1"/>
  <c r="CC201" i="1" s="1"/>
  <c r="CD22" i="1"/>
  <c r="V204" i="1"/>
  <c r="CD204" i="1" s="1"/>
  <c r="CC20" i="1"/>
  <c r="U202" i="1"/>
  <c r="CC202" i="1" s="1"/>
  <c r="CC24" i="1"/>
  <c r="U206" i="1"/>
  <c r="CC206" i="1" s="1"/>
  <c r="U200" i="1"/>
  <c r="CC200" i="1" s="1"/>
  <c r="CC23" i="1"/>
  <c r="U205" i="1"/>
  <c r="CC205" i="1" s="1"/>
  <c r="U204" i="1"/>
  <c r="CD21" i="1"/>
  <c r="V203" i="1"/>
  <c r="CD203" i="1" s="1"/>
  <c r="CD18" i="1"/>
  <c r="V200" i="1"/>
  <c r="CD200" i="1" s="1"/>
  <c r="CD23" i="1"/>
  <c r="V205" i="1"/>
  <c r="CD205" i="1" s="1"/>
  <c r="CD24" i="1"/>
  <c r="V206" i="1"/>
  <c r="CD206" i="1" s="1"/>
  <c r="CD20" i="1"/>
  <c r="V202" i="1"/>
  <c r="CD202" i="1" s="1"/>
  <c r="CC12" i="1"/>
  <c r="U194" i="1"/>
  <c r="CC21" i="1"/>
  <c r="U203" i="1"/>
  <c r="CC203" i="1" s="1"/>
  <c r="CD19" i="1"/>
  <c r="V201" i="1"/>
  <c r="CD201" i="1" s="1"/>
  <c r="BQ38" i="8"/>
  <c r="AT38" i="8"/>
  <c r="BI38" i="8"/>
  <c r="DK20" i="8"/>
  <c r="DK25" i="8"/>
  <c r="DK17" i="8"/>
  <c r="DK11" i="8"/>
  <c r="AW38" i="8"/>
  <c r="AS38" i="8"/>
  <c r="BF38" i="8"/>
  <c r="BU38" i="8"/>
  <c r="DK19" i="8"/>
  <c r="DK9" i="8"/>
  <c r="DK30" i="8"/>
  <c r="DK37" i="8"/>
  <c r="BJ38" i="8"/>
  <c r="BD38" i="8"/>
  <c r="DK27" i="8"/>
  <c r="DK18" i="8"/>
  <c r="AM118" i="8"/>
  <c r="AX38" i="8"/>
  <c r="AR38" i="8"/>
  <c r="BX38" i="8"/>
  <c r="DK23" i="8"/>
  <c r="DK13" i="8"/>
  <c r="BP38" i="8"/>
  <c r="BK38" i="8"/>
  <c r="DK26" i="8"/>
  <c r="DK22" i="8"/>
  <c r="DK7" i="8"/>
  <c r="AV38" i="8"/>
  <c r="AQ38" i="8"/>
  <c r="DK16" i="8"/>
  <c r="DK21" i="8"/>
  <c r="DK4" i="8"/>
  <c r="DK38" i="8"/>
  <c r="BO38" i="8"/>
  <c r="DK36" i="8"/>
  <c r="BW38" i="8"/>
  <c r="A19" i="8"/>
  <c r="DK12" i="8"/>
  <c r="BN38" i="8"/>
  <c r="BC38" i="8"/>
  <c r="DK10" i="8"/>
  <c r="DK6" i="8"/>
  <c r="BT38" i="8"/>
  <c r="BM38" i="8"/>
  <c r="BB38" i="8"/>
  <c r="DK8" i="8"/>
  <c r="DK5" i="8"/>
  <c r="AZ38" i="8"/>
  <c r="BL38" i="8"/>
  <c r="BA38" i="8"/>
  <c r="AM158" i="8"/>
  <c r="DK34" i="8"/>
  <c r="DK32" i="8"/>
  <c r="DK31" i="8"/>
  <c r="AU38" i="8"/>
  <c r="BE38" i="8"/>
  <c r="BV38" i="8"/>
  <c r="BS38" i="8"/>
  <c r="BH38" i="8"/>
  <c r="DK24" i="8"/>
  <c r="DK29" i="8"/>
  <c r="AY38" i="8"/>
  <c r="BG38" i="8"/>
  <c r="DK15" i="8"/>
  <c r="BR38" i="8"/>
  <c r="BY38" i="8"/>
  <c r="DK14" i="8"/>
  <c r="DK33" i="8"/>
  <c r="DK35" i="8"/>
  <c r="DK28" i="8"/>
  <c r="H19" i="10"/>
  <c r="H17" i="10"/>
  <c r="H13" i="10"/>
  <c r="H54" i="10"/>
  <c r="H52" i="10"/>
  <c r="H86" i="10"/>
  <c r="H85" i="10"/>
  <c r="H90" i="10"/>
  <c r="H89" i="10"/>
  <c r="H18" i="10"/>
  <c r="H55" i="10"/>
  <c r="H49" i="10"/>
  <c r="H53" i="10"/>
  <c r="H51" i="10"/>
  <c r="H84" i="10"/>
  <c r="H16" i="10"/>
  <c r="BR34" i="1"/>
  <c r="DS34" i="1" s="1"/>
  <c r="BR40" i="1"/>
  <c r="DS40" i="1" s="1"/>
  <c r="AC168" i="1"/>
  <c r="CK168" i="1" s="1"/>
  <c r="Y148" i="1"/>
  <c r="CG148" i="1" s="1"/>
  <c r="AC148" i="1"/>
  <c r="CK148" i="1" s="1"/>
  <c r="BT103" i="1"/>
  <c r="BL129" i="1"/>
  <c r="BM103" i="1"/>
  <c r="BU155" i="1"/>
  <c r="BO181" i="1"/>
  <c r="BS103" i="1"/>
  <c r="AC174" i="1"/>
  <c r="CK174" i="1" s="1"/>
  <c r="BO103" i="1"/>
  <c r="BS129" i="1"/>
  <c r="BN155" i="1"/>
  <c r="BL51" i="1"/>
  <c r="BQ155" i="1"/>
  <c r="BP51" i="1"/>
  <c r="BM129" i="1"/>
  <c r="BU129" i="1"/>
  <c r="BO77" i="1"/>
  <c r="BP155" i="1"/>
  <c r="BO155" i="1"/>
  <c r="BT129" i="1"/>
  <c r="BT181" i="1"/>
  <c r="BK155" i="1"/>
  <c r="BQ181" i="1"/>
  <c r="BP129" i="1"/>
  <c r="BM155" i="1"/>
  <c r="BQ103" i="1"/>
  <c r="BN77" i="1"/>
  <c r="BU77" i="1"/>
  <c r="BT51" i="1"/>
  <c r="BP77" i="1"/>
  <c r="BS155" i="1"/>
  <c r="BP103" i="1"/>
  <c r="BL103" i="1"/>
  <c r="BM77" i="1"/>
  <c r="BS51" i="1"/>
  <c r="BL155" i="1"/>
  <c r="BL77" i="1"/>
  <c r="BN181" i="1"/>
  <c r="BQ129" i="1"/>
  <c r="BQ51" i="1"/>
  <c r="BU51" i="1"/>
  <c r="BM51" i="1"/>
  <c r="BU181" i="1"/>
  <c r="BK181" i="1"/>
  <c r="BN103" i="1"/>
  <c r="BK129" i="1"/>
  <c r="BK77" i="1"/>
  <c r="BN51" i="1"/>
  <c r="BO51" i="1"/>
  <c r="BN129" i="1"/>
  <c r="BK103" i="1"/>
  <c r="BS77" i="1"/>
  <c r="BS181" i="1"/>
  <c r="BT77" i="1"/>
  <c r="BP181" i="1"/>
  <c r="BT155" i="1"/>
  <c r="AR207" i="1"/>
  <c r="BQ77" i="1"/>
  <c r="BK51" i="1"/>
  <c r="BU103" i="1"/>
  <c r="BO129" i="1"/>
  <c r="AN207" i="1"/>
  <c r="AS190" i="1"/>
  <c r="BR174" i="1"/>
  <c r="BR168" i="1"/>
  <c r="BV174" i="1"/>
  <c r="BV168" i="1"/>
  <c r="Y44" i="1"/>
  <c r="CG44" i="1" s="1"/>
  <c r="CE44" i="1"/>
  <c r="CJ38" i="1"/>
  <c r="AB200" i="1"/>
  <c r="CJ200" i="1" s="1"/>
  <c r="CJ44" i="1"/>
  <c r="CI38" i="1"/>
  <c r="AA200" i="1"/>
  <c r="CI200" i="1" s="1"/>
  <c r="CI44" i="1"/>
  <c r="AC64" i="1"/>
  <c r="CK64" i="1" s="1"/>
  <c r="CH64" i="1"/>
  <c r="AC70" i="1"/>
  <c r="CK70" i="1" s="1"/>
  <c r="CH70" i="1"/>
  <c r="Y96" i="1"/>
  <c r="CG96" i="1" s="1"/>
  <c r="CE96" i="1"/>
  <c r="CC122" i="1"/>
  <c r="CV70" i="1"/>
  <c r="DS70" i="1"/>
  <c r="CV64" i="1"/>
  <c r="DS64" i="1"/>
  <c r="CV96" i="1"/>
  <c r="DS96" i="1"/>
  <c r="DS90" i="1"/>
  <c r="CV90" i="1"/>
  <c r="DS38" i="1"/>
  <c r="CV38" i="1"/>
  <c r="CV44" i="1"/>
  <c r="DS44" i="1"/>
  <c r="BW38" i="1"/>
  <c r="BW44" i="1"/>
  <c r="DM168" i="1"/>
  <c r="DM174" i="1"/>
  <c r="EC64" i="1"/>
  <c r="EC70" i="1"/>
  <c r="DE168" i="1"/>
  <c r="DE174" i="1"/>
  <c r="DO174" i="1"/>
  <c r="DO168" i="1"/>
  <c r="EC96" i="1"/>
  <c r="DA96" i="1"/>
  <c r="DA90" i="1"/>
  <c r="EC90" i="1"/>
  <c r="DK168" i="1"/>
  <c r="DK174" i="1"/>
  <c r="CV116" i="1"/>
  <c r="DS116" i="1"/>
  <c r="DS122" i="1"/>
  <c r="CV122" i="1"/>
  <c r="BW122" i="1"/>
  <c r="BW116" i="1"/>
  <c r="DQ168" i="1"/>
  <c r="DQ174" i="1"/>
  <c r="EA64" i="1"/>
  <c r="CZ64" i="1"/>
  <c r="CZ70" i="1"/>
  <c r="EA70" i="1"/>
  <c r="CZ116" i="1"/>
  <c r="EA116" i="1"/>
  <c r="EA122" i="1"/>
  <c r="CZ122" i="1"/>
  <c r="CZ142" i="1"/>
  <c r="EA142" i="1"/>
  <c r="EA148" i="1"/>
  <c r="CZ148" i="1"/>
  <c r="CV148" i="1"/>
  <c r="DS148" i="1"/>
  <c r="DS142" i="1"/>
  <c r="CV142" i="1"/>
  <c r="BW142" i="1"/>
  <c r="BW148" i="1"/>
  <c r="BZ174" i="1"/>
  <c r="BZ168" i="1"/>
  <c r="CZ90" i="1"/>
  <c r="EA90" i="1"/>
  <c r="EA96" i="1"/>
  <c r="CZ96" i="1"/>
  <c r="CZ44" i="1"/>
  <c r="EA44" i="1"/>
  <c r="CZ38" i="1"/>
  <c r="EA38" i="1"/>
  <c r="DY168" i="1"/>
  <c r="DY174" i="1"/>
  <c r="DW168" i="1"/>
  <c r="DW174" i="1"/>
  <c r="DU168" i="1"/>
  <c r="DU174" i="1"/>
  <c r="AC44" i="1"/>
  <c r="CK44" i="1" s="1"/>
  <c r="Z200" i="1"/>
  <c r="AC38" i="1"/>
  <c r="CK38" i="1" s="1"/>
  <c r="Y116" i="1"/>
  <c r="CG116" i="1" s="1"/>
  <c r="Y122" i="1"/>
  <c r="CG122" i="1" s="1"/>
  <c r="S77" i="1"/>
  <c r="AW71" i="1" s="1"/>
  <c r="BR59" i="1"/>
  <c r="DS59" i="1" s="1"/>
  <c r="AC96" i="1"/>
  <c r="CK96" i="1" s="1"/>
  <c r="Y38" i="1"/>
  <c r="CG38" i="1" s="1"/>
  <c r="AC90" i="1"/>
  <c r="CK90" i="1" s="1"/>
  <c r="Y64" i="1"/>
  <c r="CG64" i="1" s="1"/>
  <c r="Y70" i="1"/>
  <c r="AC116" i="1"/>
  <c r="CK116" i="1" s="1"/>
  <c r="Y90" i="1"/>
  <c r="CG90" i="1" s="1"/>
  <c r="AC122" i="1"/>
  <c r="CK122" i="1" s="1"/>
  <c r="BR178" i="1"/>
  <c r="DS178" i="1" s="1"/>
  <c r="BR83" i="1"/>
  <c r="BO188" i="1"/>
  <c r="DM188" i="1" s="1"/>
  <c r="BO201" i="1"/>
  <c r="DM201" i="1" s="1"/>
  <c r="BO204" i="1"/>
  <c r="DM204" i="1" s="1"/>
  <c r="BR48" i="1"/>
  <c r="DS48" i="1" s="1"/>
  <c r="BR179" i="1"/>
  <c r="DS179" i="1" s="1"/>
  <c r="BR172" i="1"/>
  <c r="DS172" i="1" s="1"/>
  <c r="BR180" i="1"/>
  <c r="DS180" i="1" s="1"/>
  <c r="BR92" i="1"/>
  <c r="DS92" i="1" s="1"/>
  <c r="BR43" i="1"/>
  <c r="DS43" i="1" s="1"/>
  <c r="BR31" i="1"/>
  <c r="BR33" i="1"/>
  <c r="DS33" i="1" s="1"/>
  <c r="CH19" i="1"/>
  <c r="CH20" i="1"/>
  <c r="BO197" i="1"/>
  <c r="DM197" i="1" s="1"/>
  <c r="BO192" i="1"/>
  <c r="DM192" i="1" s="1"/>
  <c r="BO206" i="1"/>
  <c r="DM206" i="1" s="1"/>
  <c r="BO189" i="1"/>
  <c r="DM189" i="1" s="1"/>
  <c r="BO193" i="1"/>
  <c r="DM193" i="1" s="1"/>
  <c r="BO191" i="1"/>
  <c r="DM191" i="1" s="1"/>
  <c r="BS190" i="1"/>
  <c r="DU190" i="1" s="1"/>
  <c r="BU198" i="1"/>
  <c r="DY198" i="1" s="1"/>
  <c r="BO199" i="1"/>
  <c r="DM199" i="1" s="1"/>
  <c r="BS198" i="1"/>
  <c r="DU198" i="1" s="1"/>
  <c r="BU199" i="1"/>
  <c r="DY199" i="1" s="1"/>
  <c r="BO202" i="1"/>
  <c r="DM202" i="1" s="1"/>
  <c r="BR76" i="1"/>
  <c r="DS76" i="1" s="1"/>
  <c r="AS77" i="1"/>
  <c r="BW57" i="1" s="1"/>
  <c r="BR60" i="1"/>
  <c r="DS60" i="1" s="1"/>
  <c r="BR72" i="1"/>
  <c r="DS72" i="1" s="1"/>
  <c r="BS191" i="1"/>
  <c r="DU191" i="1" s="1"/>
  <c r="BR69" i="1"/>
  <c r="DS69" i="1" s="1"/>
  <c r="BR66" i="1"/>
  <c r="DS66" i="1" s="1"/>
  <c r="BS206" i="1"/>
  <c r="DU206" i="1" s="1"/>
  <c r="BR62" i="1"/>
  <c r="DS62" i="1" s="1"/>
  <c r="BR74" i="1"/>
  <c r="DS74" i="1" s="1"/>
  <c r="BR68" i="1"/>
  <c r="DS68" i="1" s="1"/>
  <c r="BS201" i="1"/>
  <c r="DU201" i="1" s="1"/>
  <c r="BR63" i="1"/>
  <c r="DS63" i="1" s="1"/>
  <c r="BR75" i="1"/>
  <c r="DS75" i="1" s="1"/>
  <c r="BS192" i="1"/>
  <c r="DU192" i="1" s="1"/>
  <c r="BR61" i="1"/>
  <c r="DS61" i="1" s="1"/>
  <c r="BR67" i="1"/>
  <c r="DS67" i="1" s="1"/>
  <c r="BR73" i="1"/>
  <c r="DS73" i="1" s="1"/>
  <c r="BR58" i="1"/>
  <c r="DS58" i="1" s="1"/>
  <c r="BR71" i="1"/>
  <c r="DS71" i="1" s="1"/>
  <c r="BR65" i="1"/>
  <c r="DS65" i="1" s="1"/>
  <c r="U190" i="1"/>
  <c r="CC190" i="1" s="1"/>
  <c r="AC162" i="1"/>
  <c r="CK162" i="1" s="1"/>
  <c r="R25" i="1"/>
  <c r="AV5" i="1" s="1"/>
  <c r="DD5" i="1" s="1"/>
  <c r="U197" i="1"/>
  <c r="CC197" i="1" s="1"/>
  <c r="AC164" i="1"/>
  <c r="CK164" i="1" s="1"/>
  <c r="U25" i="1"/>
  <c r="AY5" i="1" s="1"/>
  <c r="DJ5" i="1" s="1"/>
  <c r="AC178" i="1"/>
  <c r="BR45" i="1"/>
  <c r="DS45" i="1" s="1"/>
  <c r="BR50" i="1"/>
  <c r="DS50" i="1" s="1"/>
  <c r="U199" i="1"/>
  <c r="CC199" i="1" s="1"/>
  <c r="AC180" i="1"/>
  <c r="CK180" i="1" s="1"/>
  <c r="BR32" i="1"/>
  <c r="DS32" i="1" s="1"/>
  <c r="BR39" i="1"/>
  <c r="DS39" i="1" s="1"/>
  <c r="CC15" i="1"/>
  <c r="BZ9" i="1"/>
  <c r="BR41" i="1"/>
  <c r="DS41" i="1" s="1"/>
  <c r="AS51" i="1"/>
  <c r="BW46" i="1" s="1"/>
  <c r="EC46" i="1" s="1"/>
  <c r="CC22" i="1"/>
  <c r="U103" i="1"/>
  <c r="AY93" i="1" s="1"/>
  <c r="BR46" i="1"/>
  <c r="DS46" i="1" s="1"/>
  <c r="BR102" i="1"/>
  <c r="DS102" i="1" s="1"/>
  <c r="BR37" i="1"/>
  <c r="DS37" i="1" s="1"/>
  <c r="BR97" i="1"/>
  <c r="DS97" i="1" s="1"/>
  <c r="U77" i="1"/>
  <c r="AY69" i="1" s="1"/>
  <c r="BR36" i="1"/>
  <c r="DS36" i="1" s="1"/>
  <c r="AC179" i="1"/>
  <c r="CK179" i="1" s="1"/>
  <c r="V25" i="1"/>
  <c r="BR35" i="1"/>
  <c r="DS35" i="1" s="1"/>
  <c r="BR47" i="1"/>
  <c r="DS47" i="1" s="1"/>
  <c r="BR91" i="1"/>
  <c r="DS91" i="1" s="1"/>
  <c r="AC163" i="1"/>
  <c r="CK163" i="1" s="1"/>
  <c r="U195" i="1"/>
  <c r="CC195" i="1" s="1"/>
  <c r="U192" i="1"/>
  <c r="CC192" i="1" s="1"/>
  <c r="U189" i="1"/>
  <c r="U188" i="1"/>
  <c r="U193" i="1"/>
  <c r="CC193" i="1" s="1"/>
  <c r="U191" i="1"/>
  <c r="CC191" i="1" s="1"/>
  <c r="AC161" i="1"/>
  <c r="CK161" i="1" s="1"/>
  <c r="CH161" i="1"/>
  <c r="AC173" i="1"/>
  <c r="CK173" i="1" s="1"/>
  <c r="CH173" i="1"/>
  <c r="V191" i="1"/>
  <c r="CD191" i="1" s="1"/>
  <c r="AC166" i="1"/>
  <c r="CK166" i="1" s="1"/>
  <c r="CH166" i="1"/>
  <c r="AC177" i="1"/>
  <c r="CK177" i="1" s="1"/>
  <c r="CH177" i="1"/>
  <c r="AC165" i="1"/>
  <c r="CK165" i="1" s="1"/>
  <c r="CH165" i="1"/>
  <c r="AC175" i="1"/>
  <c r="CK175" i="1" s="1"/>
  <c r="CH175" i="1"/>
  <c r="AC176" i="1"/>
  <c r="CK176" i="1" s="1"/>
  <c r="CH176" i="1"/>
  <c r="AC169" i="1"/>
  <c r="CK169" i="1" s="1"/>
  <c r="CH169" i="1"/>
  <c r="AC171" i="1"/>
  <c r="CK171" i="1" s="1"/>
  <c r="CH171" i="1"/>
  <c r="AC167" i="1"/>
  <c r="CK167" i="1" s="1"/>
  <c r="CH167" i="1"/>
  <c r="AC172" i="1"/>
  <c r="CK172" i="1" s="1"/>
  <c r="CH172" i="1"/>
  <c r="AC170" i="1"/>
  <c r="CK170" i="1" s="1"/>
  <c r="CH170" i="1"/>
  <c r="Z143" i="1"/>
  <c r="Z154" i="1"/>
  <c r="Z139" i="1"/>
  <c r="Z151" i="1"/>
  <c r="Z136" i="1"/>
  <c r="Z147" i="1"/>
  <c r="Z137" i="1"/>
  <c r="Z141" i="1"/>
  <c r="Z145" i="1"/>
  <c r="Z144" i="1"/>
  <c r="Z138" i="1"/>
  <c r="Z153" i="1"/>
  <c r="Z135" i="1"/>
  <c r="Z140" i="1"/>
  <c r="Z150" i="1"/>
  <c r="Z149" i="1"/>
  <c r="Z146" i="1"/>
  <c r="Z152" i="1"/>
  <c r="CH152" i="1" s="1"/>
  <c r="U187" i="1"/>
  <c r="CC187" i="1" s="1"/>
  <c r="U198" i="1"/>
  <c r="CC198" i="1" s="1"/>
  <c r="U196" i="1"/>
  <c r="CC196" i="1" s="1"/>
  <c r="V198" i="1"/>
  <c r="CD198" i="1" s="1"/>
  <c r="V187" i="1"/>
  <c r="CD187" i="1" s="1"/>
  <c r="Z115" i="1"/>
  <c r="Z127" i="1"/>
  <c r="Z112" i="1"/>
  <c r="Z124" i="1"/>
  <c r="Z120" i="1"/>
  <c r="Z114" i="1"/>
  <c r="Z118" i="1"/>
  <c r="Z113" i="1"/>
  <c r="Z117" i="1"/>
  <c r="Z126" i="1"/>
  <c r="Z119" i="1"/>
  <c r="Z109" i="1"/>
  <c r="Z111" i="1"/>
  <c r="Z121" i="1"/>
  <c r="Z110" i="1"/>
  <c r="Z125" i="1"/>
  <c r="Z128" i="1"/>
  <c r="Z123" i="1"/>
  <c r="V195" i="1"/>
  <c r="CD195" i="1" s="1"/>
  <c r="V190" i="1"/>
  <c r="Z95" i="1"/>
  <c r="Z87" i="1"/>
  <c r="Z86" i="1"/>
  <c r="Z93" i="1"/>
  <c r="Z83" i="1"/>
  <c r="Z84" i="1"/>
  <c r="Z101" i="1"/>
  <c r="Z92" i="1"/>
  <c r="Z97" i="1"/>
  <c r="Z94" i="1"/>
  <c r="Z100" i="1"/>
  <c r="CH100" i="1" s="1"/>
  <c r="Z88" i="1"/>
  <c r="Z102" i="1"/>
  <c r="Z89" i="1"/>
  <c r="Z85" i="1"/>
  <c r="Z99" i="1"/>
  <c r="Z91" i="1"/>
  <c r="Z98" i="1"/>
  <c r="V188" i="1"/>
  <c r="V192" i="1"/>
  <c r="CD192" i="1" s="1"/>
  <c r="AC60" i="1"/>
  <c r="AC76" i="1"/>
  <c r="AC74" i="1"/>
  <c r="AC58" i="1"/>
  <c r="AC75" i="1"/>
  <c r="AC59" i="1"/>
  <c r="X62" i="1"/>
  <c r="CF62" i="1" s="1"/>
  <c r="X57" i="1"/>
  <c r="CF57" i="1" s="1"/>
  <c r="X59" i="1"/>
  <c r="CF59" i="1" s="1"/>
  <c r="X71" i="1"/>
  <c r="CF71" i="1" s="1"/>
  <c r="X74" i="1"/>
  <c r="CF74" i="1" s="1"/>
  <c r="X68" i="1"/>
  <c r="CF68" i="1" s="1"/>
  <c r="X67" i="1"/>
  <c r="CF67" i="1" s="1"/>
  <c r="X66" i="1"/>
  <c r="CF66" i="1" s="1"/>
  <c r="X75" i="1"/>
  <c r="CF75" i="1" s="1"/>
  <c r="X76" i="1"/>
  <c r="CF76" i="1" s="1"/>
  <c r="X69" i="1"/>
  <c r="CF69" i="1" s="1"/>
  <c r="X65" i="1"/>
  <c r="CF65" i="1" s="1"/>
  <c r="X73" i="1"/>
  <c r="CF73" i="1" s="1"/>
  <c r="X58" i="1"/>
  <c r="X60" i="1"/>
  <c r="CF60" i="1" s="1"/>
  <c r="X72" i="1"/>
  <c r="CF72" i="1" s="1"/>
  <c r="X63" i="1"/>
  <c r="CF63" i="1" s="1"/>
  <c r="X61" i="1"/>
  <c r="CF61" i="1" s="1"/>
  <c r="V196" i="1"/>
  <c r="CD196" i="1" s="1"/>
  <c r="AC32" i="1"/>
  <c r="AC50" i="1"/>
  <c r="AC33" i="1"/>
  <c r="AC48" i="1"/>
  <c r="Z201" i="1"/>
  <c r="Z196" i="1"/>
  <c r="Z198" i="1"/>
  <c r="AC49" i="1"/>
  <c r="AC34" i="1"/>
  <c r="Z192" i="1"/>
  <c r="V197" i="1"/>
  <c r="CD197" i="1" s="1"/>
  <c r="V189" i="1"/>
  <c r="V193" i="1"/>
  <c r="CD193" i="1" s="1"/>
  <c r="W36" i="1"/>
  <c r="W34" i="1"/>
  <c r="W47" i="1"/>
  <c r="W33" i="1"/>
  <c r="W37" i="1"/>
  <c r="W41" i="1"/>
  <c r="W32" i="1"/>
  <c r="W31" i="1"/>
  <c r="W42" i="1"/>
  <c r="W50" i="1"/>
  <c r="CE50" i="1" s="1"/>
  <c r="W45" i="1"/>
  <c r="W43" i="1"/>
  <c r="W39" i="1"/>
  <c r="W49" i="1"/>
  <c r="CE49" i="1" s="1"/>
  <c r="W48" i="1"/>
  <c r="W40" i="1"/>
  <c r="W35" i="1"/>
  <c r="W46" i="1"/>
  <c r="V199" i="1"/>
  <c r="CD199" i="1" s="1"/>
  <c r="CH5" i="1"/>
  <c r="CH23" i="1"/>
  <c r="CH9" i="1"/>
  <c r="CH15" i="1"/>
  <c r="CH22" i="1"/>
  <c r="CH14" i="1"/>
  <c r="CH13" i="1"/>
  <c r="CH21" i="1"/>
  <c r="CH11" i="1"/>
  <c r="R191" i="1"/>
  <c r="BZ191" i="1" s="1"/>
  <c r="CH10" i="1"/>
  <c r="CH17" i="1"/>
  <c r="CH16" i="1"/>
  <c r="T155" i="1"/>
  <c r="AX139" i="1" s="1"/>
  <c r="R155" i="1"/>
  <c r="AV137" i="1" s="1"/>
  <c r="BZ135" i="1"/>
  <c r="T129" i="1"/>
  <c r="U129" i="1"/>
  <c r="AY118" i="1" s="1"/>
  <c r="R129" i="1"/>
  <c r="AV114" i="1" s="1"/>
  <c r="DD114" i="1" s="1"/>
  <c r="V77" i="1"/>
  <c r="AZ62" i="1" s="1"/>
  <c r="BU195" i="1"/>
  <c r="DY195" i="1" s="1"/>
  <c r="BU191" i="1"/>
  <c r="DY191" i="1" s="1"/>
  <c r="BU206" i="1"/>
  <c r="DY206" i="1" s="1"/>
  <c r="BU192" i="1"/>
  <c r="DY192" i="1" s="1"/>
  <c r="BU197" i="1"/>
  <c r="DY197" i="1" s="1"/>
  <c r="BU201" i="1"/>
  <c r="DY201" i="1" s="1"/>
  <c r="BU203" i="1"/>
  <c r="DY203" i="1" s="1"/>
  <c r="BU196" i="1"/>
  <c r="DY196" i="1" s="1"/>
  <c r="BR167" i="1"/>
  <c r="DS167" i="1" s="1"/>
  <c r="BU189" i="1"/>
  <c r="DY189" i="1" s="1"/>
  <c r="BU193" i="1"/>
  <c r="DY193" i="1" s="1"/>
  <c r="BR161" i="1"/>
  <c r="R77" i="1"/>
  <c r="AV65" i="1" s="1"/>
  <c r="BU202" i="1"/>
  <c r="DY202" i="1" s="1"/>
  <c r="U181" i="1"/>
  <c r="AY169" i="1" s="1"/>
  <c r="BU205" i="1"/>
  <c r="DY205" i="1" s="1"/>
  <c r="BU187" i="1"/>
  <c r="BU190" i="1"/>
  <c r="DY190" i="1" s="1"/>
  <c r="BU204" i="1"/>
  <c r="DY204" i="1" s="1"/>
  <c r="BO190" i="1"/>
  <c r="DM190" i="1" s="1"/>
  <c r="BR42" i="1"/>
  <c r="DS42" i="1" s="1"/>
  <c r="BR165" i="1"/>
  <c r="DS165" i="1" s="1"/>
  <c r="BS197" i="1"/>
  <c r="DU197" i="1" s="1"/>
  <c r="BR93" i="1"/>
  <c r="DS93" i="1" s="1"/>
  <c r="CD87" i="1"/>
  <c r="BS193" i="1"/>
  <c r="DU193" i="1" s="1"/>
  <c r="BO195" i="1"/>
  <c r="DM195" i="1" s="1"/>
  <c r="BO196" i="1"/>
  <c r="DM196" i="1" s="1"/>
  <c r="BR173" i="1"/>
  <c r="DS173" i="1" s="1"/>
  <c r="BS187" i="1"/>
  <c r="BS188" i="1"/>
  <c r="DU188" i="1" s="1"/>
  <c r="BO198" i="1"/>
  <c r="DM198" i="1" s="1"/>
  <c r="BO187" i="1"/>
  <c r="BR175" i="1"/>
  <c r="DS175" i="1" s="1"/>
  <c r="BS203" i="1"/>
  <c r="DU203" i="1" s="1"/>
  <c r="BS195" i="1"/>
  <c r="DU195" i="1" s="1"/>
  <c r="BO203" i="1"/>
  <c r="DM203" i="1" s="1"/>
  <c r="BR162" i="1"/>
  <c r="DS162" i="1" s="1"/>
  <c r="BS189" i="1"/>
  <c r="DU189" i="1" s="1"/>
  <c r="BR151" i="1"/>
  <c r="DS151" i="1" s="1"/>
  <c r="AS155" i="1"/>
  <c r="BW135" i="1" s="1"/>
  <c r="EC135" i="1" s="1"/>
  <c r="EC155" i="1" s="1"/>
  <c r="BR87" i="1"/>
  <c r="DS87" i="1" s="1"/>
  <c r="AS191" i="1"/>
  <c r="BS202" i="1"/>
  <c r="DU202" i="1" s="1"/>
  <c r="BS199" i="1"/>
  <c r="DU199" i="1" s="1"/>
  <c r="BR100" i="1"/>
  <c r="DS100" i="1" s="1"/>
  <c r="BR86" i="1"/>
  <c r="DS86" i="1" s="1"/>
  <c r="BS205" i="1"/>
  <c r="DU205" i="1" s="1"/>
  <c r="BR85" i="1"/>
  <c r="DS85" i="1" s="1"/>
  <c r="BS204" i="1"/>
  <c r="DU204" i="1" s="1"/>
  <c r="BR98" i="1"/>
  <c r="DS98" i="1" s="1"/>
  <c r="BR88" i="1"/>
  <c r="DS88" i="1" s="1"/>
  <c r="T51" i="1"/>
  <c r="AX40" i="1" s="1"/>
  <c r="S51" i="1"/>
  <c r="AW40" i="1" s="1"/>
  <c r="V51" i="1"/>
  <c r="AZ33" i="1" s="1"/>
  <c r="BR135" i="1"/>
  <c r="BR150" i="1"/>
  <c r="DS150" i="1" s="1"/>
  <c r="CD113" i="1"/>
  <c r="T103" i="1"/>
  <c r="AX99" i="1" s="1"/>
  <c r="BR153" i="1"/>
  <c r="DS153" i="1" s="1"/>
  <c r="BR139" i="1"/>
  <c r="DS139" i="1" s="1"/>
  <c r="BR145" i="1"/>
  <c r="DS145" i="1" s="1"/>
  <c r="BR154" i="1"/>
  <c r="DS154" i="1" s="1"/>
  <c r="BV62" i="1"/>
  <c r="EA62" i="1" s="1"/>
  <c r="BR149" i="1"/>
  <c r="DS149" i="1" s="1"/>
  <c r="BR140" i="1"/>
  <c r="DS140" i="1" s="1"/>
  <c r="BR141" i="1"/>
  <c r="DS141" i="1" s="1"/>
  <c r="BR101" i="1"/>
  <c r="DS101" i="1" s="1"/>
  <c r="BR138" i="1"/>
  <c r="DS138" i="1" s="1"/>
  <c r="AA181" i="1"/>
  <c r="BE170" i="1" s="1"/>
  <c r="BR152" i="1"/>
  <c r="DS152" i="1" s="1"/>
  <c r="BR147" i="1"/>
  <c r="DS147" i="1" s="1"/>
  <c r="BV60" i="1"/>
  <c r="BR84" i="1"/>
  <c r="DS84" i="1" s="1"/>
  <c r="BR143" i="1"/>
  <c r="DS143" i="1" s="1"/>
  <c r="BR144" i="1"/>
  <c r="DS144" i="1" s="1"/>
  <c r="BR137" i="1"/>
  <c r="DS137" i="1" s="1"/>
  <c r="BV76" i="1"/>
  <c r="T39" i="4" s="1"/>
  <c r="BR136" i="1"/>
  <c r="DS136" i="1" s="1"/>
  <c r="BR89" i="1"/>
  <c r="DS89" i="1" s="1"/>
  <c r="BR94" i="1"/>
  <c r="DS94" i="1" s="1"/>
  <c r="BR99" i="1"/>
  <c r="DS99" i="1" s="1"/>
  <c r="BV72" i="1"/>
  <c r="EA72" i="1" s="1"/>
  <c r="BV65" i="1"/>
  <c r="EA65" i="1" s="1"/>
  <c r="BV73" i="1"/>
  <c r="EA73" i="1" s="1"/>
  <c r="BV74" i="1"/>
  <c r="BV68" i="1"/>
  <c r="EA68" i="1" s="1"/>
  <c r="S155" i="1"/>
  <c r="AW136" i="1" s="1"/>
  <c r="AB181" i="1"/>
  <c r="BR164" i="1"/>
  <c r="DS164" i="1" s="1"/>
  <c r="BR166" i="1"/>
  <c r="DS166" i="1" s="1"/>
  <c r="BR176" i="1"/>
  <c r="DS176" i="1" s="1"/>
  <c r="BV57" i="1"/>
  <c r="BR177" i="1"/>
  <c r="DS177" i="1" s="1"/>
  <c r="BR169" i="1"/>
  <c r="DS169" i="1" s="1"/>
  <c r="AS181" i="1"/>
  <c r="BW166" i="1" s="1"/>
  <c r="EC166" i="1" s="1"/>
  <c r="BV58" i="1"/>
  <c r="EA58" i="1" s="1"/>
  <c r="BR171" i="1"/>
  <c r="DS171" i="1" s="1"/>
  <c r="BV67" i="1"/>
  <c r="EA67" i="1" s="1"/>
  <c r="U51" i="1"/>
  <c r="T20" i="4"/>
  <c r="DO65" i="1"/>
  <c r="DQ120" i="1"/>
  <c r="DG24" i="1"/>
  <c r="DE5" i="1"/>
  <c r="BK25" i="1"/>
  <c r="D12" i="4"/>
  <c r="DI7" i="1"/>
  <c r="D7" i="4"/>
  <c r="DG6" i="1"/>
  <c r="DU135" i="1"/>
  <c r="DU155" i="1" s="1"/>
  <c r="D3" i="4"/>
  <c r="DE6" i="1"/>
  <c r="DE85" i="1"/>
  <c r="AB4" i="4"/>
  <c r="DQ123" i="1"/>
  <c r="DG5" i="1"/>
  <c r="BL25" i="1"/>
  <c r="DM24" i="1"/>
  <c r="BV59" i="1"/>
  <c r="T34" i="4" s="1"/>
  <c r="DE24" i="1"/>
  <c r="DQ109" i="1"/>
  <c r="DI5" i="1"/>
  <c r="BM25" i="1"/>
  <c r="DG8" i="1"/>
  <c r="D9" i="4"/>
  <c r="L13" i="4"/>
  <c r="DI34" i="1"/>
  <c r="DM5" i="1"/>
  <c r="BO25" i="1"/>
  <c r="BV75" i="1"/>
  <c r="BV61" i="1"/>
  <c r="EA61" i="1" s="1"/>
  <c r="DO57" i="1"/>
  <c r="T26" i="4"/>
  <c r="DO74" i="1"/>
  <c r="BN25" i="1"/>
  <c r="DK5" i="1"/>
  <c r="AB5" i="4"/>
  <c r="DE86" i="1"/>
  <c r="DI8" i="1"/>
  <c r="D13" i="4"/>
  <c r="DI48" i="1"/>
  <c r="L14" i="4"/>
  <c r="BV69" i="1"/>
  <c r="EA69" i="1" s="1"/>
  <c r="BV66" i="1"/>
  <c r="EA66" i="1" s="1"/>
  <c r="T25" i="4"/>
  <c r="DO60" i="1"/>
  <c r="D5" i="4"/>
  <c r="DE8" i="1"/>
  <c r="DE83" i="1"/>
  <c r="DQ124" i="1"/>
  <c r="DM8" i="1"/>
  <c r="D16" i="4"/>
  <c r="T23" i="4"/>
  <c r="DO58" i="1"/>
  <c r="T24" i="4"/>
  <c r="DO59" i="1"/>
  <c r="DQ121" i="1"/>
  <c r="DO67" i="1"/>
  <c r="T22" i="4"/>
  <c r="DK24" i="1"/>
  <c r="D11" i="4"/>
  <c r="DI6" i="1"/>
  <c r="DI24" i="1"/>
  <c r="DG7" i="1"/>
  <c r="D8" i="4"/>
  <c r="DW109" i="1"/>
  <c r="DW129" i="1" s="1"/>
  <c r="L11" i="4"/>
  <c r="DI32" i="1"/>
  <c r="BV63" i="1"/>
  <c r="EA63" i="1" s="1"/>
  <c r="DO63" i="1"/>
  <c r="T18" i="4"/>
  <c r="D4" i="4"/>
  <c r="DE7" i="1"/>
  <c r="AB6" i="4"/>
  <c r="DE100" i="1"/>
  <c r="AJ32" i="4"/>
  <c r="DQ126" i="1"/>
  <c r="DI31" i="1"/>
  <c r="L12" i="4"/>
  <c r="DI33" i="1"/>
  <c r="T21" i="4"/>
  <c r="DO66" i="1"/>
  <c r="DE84" i="1"/>
  <c r="AB3" i="4"/>
  <c r="DY5" i="1"/>
  <c r="DY25" i="1" s="1"/>
  <c r="BU25" i="1"/>
  <c r="L21" i="4"/>
  <c r="DO40" i="1"/>
  <c r="T27" i="4"/>
  <c r="DQ69" i="1"/>
  <c r="DG33" i="1"/>
  <c r="L8" i="4"/>
  <c r="L6" i="4"/>
  <c r="DE48" i="1"/>
  <c r="T11" i="4"/>
  <c r="DI58" i="1"/>
  <c r="DW5" i="1"/>
  <c r="DW25" i="1" s="1"/>
  <c r="BT25" i="1"/>
  <c r="DQ23" i="1"/>
  <c r="AJ10" i="4"/>
  <c r="DG126" i="1"/>
  <c r="AB61" i="4"/>
  <c r="DQ178" i="1"/>
  <c r="D20" i="4"/>
  <c r="DO13" i="1"/>
  <c r="AJ23" i="4"/>
  <c r="DO110" i="1"/>
  <c r="DM109" i="1"/>
  <c r="AB51" i="4"/>
  <c r="DO171" i="1"/>
  <c r="DQ97" i="1"/>
  <c r="AB29" i="4"/>
  <c r="AB31" i="4"/>
  <c r="DQ99" i="1"/>
  <c r="AB43" i="4"/>
  <c r="DE178" i="1"/>
  <c r="DM161" i="1"/>
  <c r="BV123" i="1"/>
  <c r="EA123" i="1" s="1"/>
  <c r="BV128" i="1"/>
  <c r="BV121" i="1"/>
  <c r="EA121" i="1" s="1"/>
  <c r="BV113" i="1"/>
  <c r="EA113" i="1" s="1"/>
  <c r="BV112" i="1"/>
  <c r="BV126" i="1"/>
  <c r="BV120" i="1"/>
  <c r="EA120" i="1" s="1"/>
  <c r="BV111" i="1"/>
  <c r="BV119" i="1"/>
  <c r="EA119" i="1" s="1"/>
  <c r="BV110" i="1"/>
  <c r="BV118" i="1"/>
  <c r="EA118" i="1" s="1"/>
  <c r="BV109" i="1"/>
  <c r="BV117" i="1"/>
  <c r="EA117" i="1" s="1"/>
  <c r="BV127" i="1"/>
  <c r="BV115" i="1"/>
  <c r="EA115" i="1" s="1"/>
  <c r="BV125" i="1"/>
  <c r="EA125" i="1" s="1"/>
  <c r="BV114" i="1"/>
  <c r="BV124" i="1"/>
  <c r="EA124" i="1" s="1"/>
  <c r="DE138" i="1"/>
  <c r="AR5" i="4"/>
  <c r="BV144" i="1"/>
  <c r="EA144" i="1" s="1"/>
  <c r="BV154" i="1"/>
  <c r="BV140" i="1"/>
  <c r="BV143" i="1"/>
  <c r="EA143" i="1" s="1"/>
  <c r="BV137" i="1"/>
  <c r="BV146" i="1"/>
  <c r="EA146" i="1" s="1"/>
  <c r="BV136" i="1"/>
  <c r="BV145" i="1"/>
  <c r="EA145" i="1" s="1"/>
  <c r="BV141" i="1"/>
  <c r="EA141" i="1" s="1"/>
  <c r="BV135" i="1"/>
  <c r="BV153" i="1"/>
  <c r="BV152" i="1"/>
  <c r="BV151" i="1"/>
  <c r="EA151" i="1" s="1"/>
  <c r="BV150" i="1"/>
  <c r="EA150" i="1" s="1"/>
  <c r="BV149" i="1"/>
  <c r="EA149" i="1" s="1"/>
  <c r="BV139" i="1"/>
  <c r="EA139" i="1" s="1"/>
  <c r="BV138" i="1"/>
  <c r="BV147" i="1"/>
  <c r="EA147" i="1" s="1"/>
  <c r="L10" i="4"/>
  <c r="DG48" i="1"/>
  <c r="L3" i="4"/>
  <c r="DE32" i="1"/>
  <c r="DG138" i="1"/>
  <c r="AR9" i="4"/>
  <c r="AJ14" i="4"/>
  <c r="DI126" i="1"/>
  <c r="AS129" i="1"/>
  <c r="BR126" i="1"/>
  <c r="DS126" i="1" s="1"/>
  <c r="BR124" i="1"/>
  <c r="DS124" i="1" s="1"/>
  <c r="BR110" i="1"/>
  <c r="DS110" i="1" s="1"/>
  <c r="BR111" i="1"/>
  <c r="DS111" i="1" s="1"/>
  <c r="BR121" i="1"/>
  <c r="DS121" i="1" s="1"/>
  <c r="BR123" i="1"/>
  <c r="DS123" i="1" s="1"/>
  <c r="BR127" i="1"/>
  <c r="DS127" i="1" s="1"/>
  <c r="BR117" i="1"/>
  <c r="DS117" i="1" s="1"/>
  <c r="BR115" i="1"/>
  <c r="DS115" i="1" s="1"/>
  <c r="BR113" i="1"/>
  <c r="DS113" i="1" s="1"/>
  <c r="BR125" i="1"/>
  <c r="DS125" i="1" s="1"/>
  <c r="BR112" i="1"/>
  <c r="DS112" i="1" s="1"/>
  <c r="BR120" i="1"/>
  <c r="DS120" i="1" s="1"/>
  <c r="BR114" i="1"/>
  <c r="DS114" i="1" s="1"/>
  <c r="BR119" i="1"/>
  <c r="DS119" i="1" s="1"/>
  <c r="BR128" i="1"/>
  <c r="DS128" i="1" s="1"/>
  <c r="BR109" i="1"/>
  <c r="BR118" i="1"/>
  <c r="DS118" i="1" s="1"/>
  <c r="DO138" i="1"/>
  <c r="AR25" i="4"/>
  <c r="DO136" i="1"/>
  <c r="AR23" i="4"/>
  <c r="T10" i="4"/>
  <c r="DG74" i="1"/>
  <c r="BV165" i="1"/>
  <c r="EA165" i="1" s="1"/>
  <c r="BV163" i="1"/>
  <c r="BV164" i="1"/>
  <c r="BV180" i="1"/>
  <c r="BV172" i="1"/>
  <c r="EA172" i="1" s="1"/>
  <c r="BV161" i="1"/>
  <c r="BV171" i="1"/>
  <c r="EA171" i="1" s="1"/>
  <c r="BV179" i="1"/>
  <c r="BV170" i="1"/>
  <c r="EA170" i="1" s="1"/>
  <c r="BV169" i="1"/>
  <c r="EA169" i="1" s="1"/>
  <c r="BV175" i="1"/>
  <c r="EA175" i="1" s="1"/>
  <c r="BV178" i="1"/>
  <c r="BV177" i="1"/>
  <c r="EA177" i="1" s="1"/>
  <c r="BV167" i="1"/>
  <c r="EA167" i="1" s="1"/>
  <c r="BV176" i="1"/>
  <c r="EA176" i="1" s="1"/>
  <c r="BV166" i="1"/>
  <c r="BV162" i="1"/>
  <c r="BV173" i="1"/>
  <c r="EA173" i="1" s="1"/>
  <c r="DQ177" i="1"/>
  <c r="AB60" i="4"/>
  <c r="AB14" i="4"/>
  <c r="DI100" i="1"/>
  <c r="AJ18" i="4"/>
  <c r="DO115" i="1"/>
  <c r="DI136" i="1"/>
  <c r="AR11" i="4"/>
  <c r="DK109" i="1"/>
  <c r="AB47" i="4"/>
  <c r="DO167" i="1"/>
  <c r="DE162" i="1"/>
  <c r="AB40" i="4"/>
  <c r="DQ135" i="1"/>
  <c r="DK83" i="1"/>
  <c r="AJ26" i="4"/>
  <c r="DO126" i="1"/>
  <c r="AB55" i="4"/>
  <c r="DO178" i="1"/>
  <c r="DY109" i="1"/>
  <c r="DY129" i="1" s="1"/>
  <c r="DQ45" i="1"/>
  <c r="L29" i="4"/>
  <c r="L27" i="4"/>
  <c r="DQ43" i="1"/>
  <c r="AB22" i="4"/>
  <c r="DO93" i="1"/>
  <c r="T17" i="4"/>
  <c r="DM74" i="1"/>
  <c r="DG85" i="1"/>
  <c r="AB8" i="4"/>
  <c r="BT204" i="1"/>
  <c r="DW204" i="1" s="1"/>
  <c r="BT195" i="1"/>
  <c r="DW195" i="1" s="1"/>
  <c r="BT198" i="1"/>
  <c r="DW198" i="1" s="1"/>
  <c r="BT193" i="1"/>
  <c r="DW193" i="1" s="1"/>
  <c r="BT201" i="1"/>
  <c r="DW201" i="1" s="1"/>
  <c r="BT191" i="1"/>
  <c r="DW191" i="1" s="1"/>
  <c r="BT190" i="1"/>
  <c r="DW190" i="1" s="1"/>
  <c r="BT206" i="1"/>
  <c r="DW206" i="1" s="1"/>
  <c r="BT205" i="1"/>
  <c r="DW205" i="1" s="1"/>
  <c r="BT202" i="1"/>
  <c r="DW202" i="1" s="1"/>
  <c r="BT197" i="1"/>
  <c r="DW197" i="1" s="1"/>
  <c r="BT196" i="1"/>
  <c r="DW196" i="1" s="1"/>
  <c r="BT189" i="1"/>
  <c r="DW189" i="1" s="1"/>
  <c r="BT188" i="1"/>
  <c r="DW188" i="1" s="1"/>
  <c r="BT192" i="1"/>
  <c r="DW192" i="1" s="1"/>
  <c r="BT187" i="1"/>
  <c r="BT203" i="1"/>
  <c r="DW203" i="1" s="1"/>
  <c r="BT199" i="1"/>
  <c r="DW199" i="1" s="1"/>
  <c r="AJ5" i="4"/>
  <c r="DE112" i="1"/>
  <c r="T5" i="4"/>
  <c r="DE60" i="1"/>
  <c r="DE136" i="1"/>
  <c r="AR3" i="4"/>
  <c r="T29" i="4"/>
  <c r="DQ71" i="1"/>
  <c r="DG31" i="1"/>
  <c r="DE34" i="1"/>
  <c r="L5" i="4"/>
  <c r="T13" i="4"/>
  <c r="DI60" i="1"/>
  <c r="D27" i="4"/>
  <c r="DQ17" i="1"/>
  <c r="AJ9" i="4"/>
  <c r="DG112" i="1"/>
  <c r="DG109" i="1"/>
  <c r="DY83" i="1"/>
  <c r="DY103" i="1" s="1"/>
  <c r="DQ161" i="1"/>
  <c r="D22" i="4"/>
  <c r="DO15" i="1"/>
  <c r="DK161" i="1"/>
  <c r="DO164" i="1"/>
  <c r="AB54" i="4"/>
  <c r="AB17" i="4"/>
  <c r="DM100" i="1"/>
  <c r="AB18" i="4"/>
  <c r="DO89" i="1"/>
  <c r="AJ12" i="4"/>
  <c r="DI111" i="1"/>
  <c r="T3" i="4"/>
  <c r="DE58" i="1"/>
  <c r="DO32" i="1"/>
  <c r="L23" i="4"/>
  <c r="DI57" i="1"/>
  <c r="DO137" i="1"/>
  <c r="AR24" i="4"/>
  <c r="DI83" i="1"/>
  <c r="BV83" i="1"/>
  <c r="BV101" i="1"/>
  <c r="BV102" i="1"/>
  <c r="BV93" i="1"/>
  <c r="EA93" i="1" s="1"/>
  <c r="BV100" i="1"/>
  <c r="BV92" i="1"/>
  <c r="EA92" i="1" s="1"/>
  <c r="BV91" i="1"/>
  <c r="EA91" i="1" s="1"/>
  <c r="BV99" i="1"/>
  <c r="EA99" i="1" s="1"/>
  <c r="BV86" i="1"/>
  <c r="BV89" i="1"/>
  <c r="EA89" i="1" s="1"/>
  <c r="BV98" i="1"/>
  <c r="EA98" i="1" s="1"/>
  <c r="BV88" i="1"/>
  <c r="BV97" i="1"/>
  <c r="EA97" i="1" s="1"/>
  <c r="BV87" i="1"/>
  <c r="EA87" i="1" s="1"/>
  <c r="BV95" i="1"/>
  <c r="EA95" i="1" s="1"/>
  <c r="BV85" i="1"/>
  <c r="BV94" i="1"/>
  <c r="EA94" i="1" s="1"/>
  <c r="BV84" i="1"/>
  <c r="DO86" i="1"/>
  <c r="AB25" i="4"/>
  <c r="AB24" i="4"/>
  <c r="DO85" i="1"/>
  <c r="DM57" i="1"/>
  <c r="AR15" i="4"/>
  <c r="DK152" i="1"/>
  <c r="AJ4" i="4"/>
  <c r="DE111" i="1"/>
  <c r="BN205" i="1"/>
  <c r="DK205" i="1" s="1"/>
  <c r="BN203" i="1"/>
  <c r="DK203" i="1" s="1"/>
  <c r="BN206" i="1"/>
  <c r="DK206" i="1" s="1"/>
  <c r="BN189" i="1"/>
  <c r="DK189" i="1" s="1"/>
  <c r="BN193" i="1"/>
  <c r="DK193" i="1" s="1"/>
  <c r="BN187" i="1"/>
  <c r="BN192" i="1"/>
  <c r="DK192" i="1" s="1"/>
  <c r="BN195" i="1"/>
  <c r="DK195" i="1" s="1"/>
  <c r="BN196" i="1"/>
  <c r="DK196" i="1" s="1"/>
  <c r="BN191" i="1"/>
  <c r="DK191" i="1" s="1"/>
  <c r="BN202" i="1"/>
  <c r="DK202" i="1" s="1"/>
  <c r="BN204" i="1"/>
  <c r="DK204" i="1" s="1"/>
  <c r="BN190" i="1"/>
  <c r="DK190" i="1" s="1"/>
  <c r="BN188" i="1"/>
  <c r="DK188" i="1" s="1"/>
  <c r="BN197" i="1"/>
  <c r="DK197" i="1" s="1"/>
  <c r="BN201" i="1"/>
  <c r="DK201" i="1" s="1"/>
  <c r="BN199" i="1"/>
  <c r="DK199" i="1" s="1"/>
  <c r="BN198" i="1"/>
  <c r="DK198" i="1" s="1"/>
  <c r="DO37" i="1"/>
  <c r="L18" i="4"/>
  <c r="DO31" i="1"/>
  <c r="L9" i="4"/>
  <c r="DG34" i="1"/>
  <c r="DE33" i="1"/>
  <c r="L4" i="4"/>
  <c r="DU83" i="1"/>
  <c r="DU103" i="1" s="1"/>
  <c r="DQ149" i="1"/>
  <c r="AR29" i="4"/>
  <c r="DY57" i="1"/>
  <c r="DY77" i="1" s="1"/>
  <c r="DM48" i="1"/>
  <c r="L17" i="4"/>
  <c r="DO135" i="1"/>
  <c r="DQ21" i="1"/>
  <c r="DQ5" i="1"/>
  <c r="BQ25" i="1"/>
  <c r="DG57" i="1"/>
  <c r="T9" i="4"/>
  <c r="DG60" i="1"/>
  <c r="DW83" i="1"/>
  <c r="DW103" i="1" s="1"/>
  <c r="DG110" i="1"/>
  <c r="AJ7" i="4"/>
  <c r="D21" i="4"/>
  <c r="DO14" i="1"/>
  <c r="D23" i="4"/>
  <c r="DO6" i="1"/>
  <c r="DO109" i="1"/>
  <c r="DM135" i="1"/>
  <c r="AR14" i="4"/>
  <c r="DI152" i="1"/>
  <c r="DI135" i="1"/>
  <c r="DO161" i="1"/>
  <c r="DY135" i="1"/>
  <c r="DY155" i="1" s="1"/>
  <c r="DM83" i="1"/>
  <c r="DE164" i="1"/>
  <c r="AB42" i="4"/>
  <c r="DE161" i="1"/>
  <c r="DW135" i="1"/>
  <c r="DW155" i="1" s="1"/>
  <c r="DQ48" i="1"/>
  <c r="L32" i="4"/>
  <c r="DO84" i="1"/>
  <c r="AB23" i="4"/>
  <c r="T16" i="4"/>
  <c r="DM60" i="1"/>
  <c r="DU57" i="1"/>
  <c r="DU77" i="1" s="1"/>
  <c r="DK74" i="1"/>
  <c r="T15" i="4"/>
  <c r="AJ6" i="4"/>
  <c r="DE126" i="1"/>
  <c r="L26" i="4"/>
  <c r="DO48" i="1"/>
  <c r="T30" i="4"/>
  <c r="DQ72" i="1"/>
  <c r="L15" i="4"/>
  <c r="DK48" i="1"/>
  <c r="AR31" i="4"/>
  <c r="DQ151" i="1"/>
  <c r="DG137" i="1"/>
  <c r="AR8" i="4"/>
  <c r="BP202" i="1"/>
  <c r="DO202" i="1" s="1"/>
  <c r="BP188" i="1"/>
  <c r="DO188" i="1" s="1"/>
  <c r="BP206" i="1"/>
  <c r="DO206" i="1" s="1"/>
  <c r="BP196" i="1"/>
  <c r="DO196" i="1" s="1"/>
  <c r="BP204" i="1"/>
  <c r="DO204" i="1" s="1"/>
  <c r="BP197" i="1"/>
  <c r="DO197" i="1" s="1"/>
  <c r="BP193" i="1"/>
  <c r="DO193" i="1" s="1"/>
  <c r="BP201" i="1"/>
  <c r="DO201" i="1" s="1"/>
  <c r="BP205" i="1"/>
  <c r="DO205" i="1" s="1"/>
  <c r="BP191" i="1"/>
  <c r="DO191" i="1" s="1"/>
  <c r="BP189" i="1"/>
  <c r="DO189" i="1" s="1"/>
  <c r="BP190" i="1"/>
  <c r="DO190" i="1" s="1"/>
  <c r="BP198" i="1"/>
  <c r="DO198" i="1" s="1"/>
  <c r="BP192" i="1"/>
  <c r="DO192" i="1" s="1"/>
  <c r="BP199" i="1"/>
  <c r="DO199" i="1" s="1"/>
  <c r="BP195" i="1"/>
  <c r="DO195" i="1" s="1"/>
  <c r="BP203" i="1"/>
  <c r="DO203" i="1" s="1"/>
  <c r="BP187" i="1"/>
  <c r="DQ24" i="1"/>
  <c r="T8" i="4"/>
  <c r="DG59" i="1"/>
  <c r="AB59" i="4"/>
  <c r="DQ176" i="1"/>
  <c r="AB13" i="4"/>
  <c r="DI86" i="1"/>
  <c r="DO24" i="1"/>
  <c r="AB44" i="4"/>
  <c r="DK178" i="1"/>
  <c r="AJ25" i="4"/>
  <c r="DO112" i="1"/>
  <c r="DO170" i="1"/>
  <c r="AB50" i="4"/>
  <c r="DQ31" i="1"/>
  <c r="AB15" i="4"/>
  <c r="DK100" i="1"/>
  <c r="DG84" i="1"/>
  <c r="AB7" i="4"/>
  <c r="BV23" i="1"/>
  <c r="BV18" i="1"/>
  <c r="BV15" i="1"/>
  <c r="EA15" i="1" s="1"/>
  <c r="BV17" i="1"/>
  <c r="EA17" i="1" s="1"/>
  <c r="BV21" i="1"/>
  <c r="EA21" i="1" s="1"/>
  <c r="BV11" i="1"/>
  <c r="EA11" i="1" s="1"/>
  <c r="BV10" i="1"/>
  <c r="BV9" i="1"/>
  <c r="EA9" i="1" s="1"/>
  <c r="BV8" i="1"/>
  <c r="BV7" i="1"/>
  <c r="BV6" i="1"/>
  <c r="BV16" i="1"/>
  <c r="EA16" i="1" s="1"/>
  <c r="BV22" i="1"/>
  <c r="BV14" i="1"/>
  <c r="EA14" i="1" s="1"/>
  <c r="BV12" i="1"/>
  <c r="BV13" i="1"/>
  <c r="EA13" i="1" s="1"/>
  <c r="BV24" i="1"/>
  <c r="D39" i="4" s="1"/>
  <c r="BV5" i="1"/>
  <c r="AB58" i="4"/>
  <c r="DQ175" i="1"/>
  <c r="AR17" i="4"/>
  <c r="DM152" i="1"/>
  <c r="DQ95" i="1"/>
  <c r="AB27" i="4"/>
  <c r="AB21" i="4"/>
  <c r="DO92" i="1"/>
  <c r="DG83" i="1"/>
  <c r="BW94" i="1"/>
  <c r="EC94" i="1" s="1"/>
  <c r="BW85" i="1"/>
  <c r="EC85" i="1" s="1"/>
  <c r="BW86" i="1"/>
  <c r="EC86" i="1" s="1"/>
  <c r="BW91" i="1"/>
  <c r="EC91" i="1" s="1"/>
  <c r="BW92" i="1"/>
  <c r="EC92" i="1" s="1"/>
  <c r="BW88" i="1"/>
  <c r="EC88" i="1" s="1"/>
  <c r="BW84" i="1"/>
  <c r="EC84" i="1" s="1"/>
  <c r="BW101" i="1"/>
  <c r="EC101" i="1" s="1"/>
  <c r="BW99" i="1"/>
  <c r="EC99" i="1" s="1"/>
  <c r="BW83" i="1"/>
  <c r="BW103" i="1" s="1"/>
  <c r="BW102" i="1"/>
  <c r="EC102" i="1" s="1"/>
  <c r="BW95" i="1"/>
  <c r="EC95" i="1" s="1"/>
  <c r="BW100" i="1"/>
  <c r="EC100" i="1" s="1"/>
  <c r="BW87" i="1"/>
  <c r="EC87" i="1" s="1"/>
  <c r="BW89" i="1"/>
  <c r="EC89" i="1" s="1"/>
  <c r="BW93" i="1"/>
  <c r="EC93" i="1" s="1"/>
  <c r="BW98" i="1"/>
  <c r="EC98" i="1" s="1"/>
  <c r="BW97" i="1"/>
  <c r="EC97" i="1" s="1"/>
  <c r="DU109" i="1"/>
  <c r="DU129" i="1" s="1"/>
  <c r="DS57" i="1"/>
  <c r="DK135" i="1"/>
  <c r="DE109" i="1"/>
  <c r="L24" i="4"/>
  <c r="DO33" i="1"/>
  <c r="T32" i="4"/>
  <c r="DQ74" i="1"/>
  <c r="DI59" i="1"/>
  <c r="T12" i="4"/>
  <c r="DG135" i="1"/>
  <c r="DI109" i="1"/>
  <c r="DU161" i="1"/>
  <c r="DM34" i="1"/>
  <c r="L16" i="4"/>
  <c r="DO145" i="1"/>
  <c r="AR22" i="4"/>
  <c r="DQ22" i="1"/>
  <c r="AJ20" i="4"/>
  <c r="DO117" i="1"/>
  <c r="AJ15" i="4"/>
  <c r="DK126" i="1"/>
  <c r="AB53" i="4"/>
  <c r="DO163" i="1"/>
  <c r="DW161" i="1"/>
  <c r="DW181" i="1" s="1"/>
  <c r="L25" i="4"/>
  <c r="DO34" i="1"/>
  <c r="DU5" i="1"/>
  <c r="DU25" i="1" s="1"/>
  <c r="BS25" i="1"/>
  <c r="DO7" i="1"/>
  <c r="D24" i="4"/>
  <c r="BQ190" i="1"/>
  <c r="DQ190" i="1" s="1"/>
  <c r="BQ197" i="1"/>
  <c r="DQ197" i="1" s="1"/>
  <c r="BQ201" i="1"/>
  <c r="DQ201" i="1" s="1"/>
  <c r="BQ191" i="1"/>
  <c r="DQ191" i="1" s="1"/>
  <c r="BQ203" i="1"/>
  <c r="DQ203" i="1" s="1"/>
  <c r="BQ202" i="1"/>
  <c r="DQ202" i="1" s="1"/>
  <c r="BQ199" i="1"/>
  <c r="DQ199" i="1" s="1"/>
  <c r="BQ198" i="1"/>
  <c r="DQ198" i="1" s="1"/>
  <c r="BQ195" i="1"/>
  <c r="DQ195" i="1" s="1"/>
  <c r="BQ206" i="1"/>
  <c r="DQ206" i="1" s="1"/>
  <c r="BQ192" i="1"/>
  <c r="DQ192" i="1" s="1"/>
  <c r="BQ204" i="1"/>
  <c r="DQ204" i="1" s="1"/>
  <c r="BQ189" i="1"/>
  <c r="DQ189" i="1" s="1"/>
  <c r="BQ193" i="1"/>
  <c r="DQ193" i="1" s="1"/>
  <c r="BQ187" i="1"/>
  <c r="BQ188" i="1"/>
  <c r="DQ188" i="1" s="1"/>
  <c r="BQ205" i="1"/>
  <c r="DQ205" i="1" s="1"/>
  <c r="BQ196" i="1"/>
  <c r="DQ196" i="1" s="1"/>
  <c r="DQ98" i="1"/>
  <c r="AB30" i="4"/>
  <c r="DM164" i="1"/>
  <c r="AB45" i="4"/>
  <c r="DQ46" i="1"/>
  <c r="L30" i="4"/>
  <c r="DO83" i="1"/>
  <c r="DG86" i="1"/>
  <c r="AB9" i="4"/>
  <c r="AR6" i="4"/>
  <c r="DE152" i="1"/>
  <c r="DQ57" i="1"/>
  <c r="DK31" i="1"/>
  <c r="AR32" i="4"/>
  <c r="DQ152" i="1"/>
  <c r="DG136" i="1"/>
  <c r="AR7" i="4"/>
  <c r="DO143" i="1"/>
  <c r="AR20" i="4"/>
  <c r="DO5" i="1"/>
  <c r="BP25" i="1"/>
  <c r="D18" i="4"/>
  <c r="DO11" i="1"/>
  <c r="AJ22" i="4"/>
  <c r="DO119" i="1"/>
  <c r="DS31" i="1"/>
  <c r="EA76" i="1"/>
  <c r="DQ147" i="1"/>
  <c r="AR27" i="4"/>
  <c r="DE57" i="1"/>
  <c r="DU31" i="1"/>
  <c r="DU51" i="1" s="1"/>
  <c r="DW57" i="1"/>
  <c r="DW77" i="1" s="1"/>
  <c r="AB32" i="4"/>
  <c r="DQ100" i="1"/>
  <c r="AB46" i="4"/>
  <c r="DM178" i="1"/>
  <c r="DQ47" i="1"/>
  <c r="L31" i="4"/>
  <c r="AB26" i="4"/>
  <c r="DO100" i="1"/>
  <c r="DG100" i="1"/>
  <c r="AB10" i="4"/>
  <c r="AS188" i="1"/>
  <c r="DK57" i="1"/>
  <c r="T4" i="4"/>
  <c r="DE59" i="1"/>
  <c r="L20" i="4"/>
  <c r="DO39" i="1"/>
  <c r="DE137" i="1"/>
  <c r="AR4" i="4"/>
  <c r="DQ73" i="1"/>
  <c r="T31" i="4"/>
  <c r="AJ13" i="4"/>
  <c r="DI112" i="1"/>
  <c r="DY31" i="1"/>
  <c r="DY51" i="1" s="1"/>
  <c r="DW31" i="1"/>
  <c r="DW51" i="1" s="1"/>
  <c r="AR18" i="4"/>
  <c r="DO141" i="1"/>
  <c r="T7" i="4"/>
  <c r="DG58" i="1"/>
  <c r="AS25" i="1"/>
  <c r="BW6" i="1" s="1"/>
  <c r="EC6" i="1" s="1"/>
  <c r="BR18" i="1"/>
  <c r="DS18" i="1" s="1"/>
  <c r="BR14" i="1"/>
  <c r="DS14" i="1" s="1"/>
  <c r="BR9" i="1"/>
  <c r="DS9" i="1" s="1"/>
  <c r="BR16" i="1"/>
  <c r="DS16" i="1" s="1"/>
  <c r="BR12" i="1"/>
  <c r="DS12" i="1" s="1"/>
  <c r="BR8" i="1"/>
  <c r="DS8" i="1" s="1"/>
  <c r="BR15" i="1"/>
  <c r="DS15" i="1" s="1"/>
  <c r="BR11" i="1"/>
  <c r="DS11" i="1" s="1"/>
  <c r="BR22" i="1"/>
  <c r="DS22" i="1" s="1"/>
  <c r="BR7" i="1"/>
  <c r="DS7" i="1" s="1"/>
  <c r="BR13" i="1"/>
  <c r="DS13" i="1" s="1"/>
  <c r="BR21" i="1"/>
  <c r="DS21" i="1" s="1"/>
  <c r="BR5" i="1"/>
  <c r="BR17" i="1"/>
  <c r="DS17" i="1" s="1"/>
  <c r="BR24" i="1"/>
  <c r="DS24" i="1" s="1"/>
  <c r="BR10" i="1"/>
  <c r="DS10" i="1" s="1"/>
  <c r="BR23" i="1"/>
  <c r="DS23" i="1" s="1"/>
  <c r="BR6" i="1"/>
  <c r="DS6" i="1" s="1"/>
  <c r="AB56" i="4"/>
  <c r="DQ173" i="1"/>
  <c r="AB12" i="4"/>
  <c r="DI85" i="1"/>
  <c r="AJ17" i="4"/>
  <c r="DM126" i="1"/>
  <c r="AB49" i="4"/>
  <c r="DO169" i="1"/>
  <c r="DO162" i="1"/>
  <c r="AB52" i="4"/>
  <c r="DE110" i="1"/>
  <c r="AJ3" i="4"/>
  <c r="DE31" i="1"/>
  <c r="AJ21" i="4"/>
  <c r="DO118" i="1"/>
  <c r="DI138" i="1"/>
  <c r="AR13" i="4"/>
  <c r="DQ83" i="1"/>
  <c r="DM86" i="1"/>
  <c r="AB16" i="4"/>
  <c r="DE163" i="1"/>
  <c r="AB41" i="4"/>
  <c r="AB20" i="4"/>
  <c r="DO91" i="1"/>
  <c r="T6" i="4"/>
  <c r="DE74" i="1"/>
  <c r="DY161" i="1"/>
  <c r="L22" i="4"/>
  <c r="DO41" i="1"/>
  <c r="DE135" i="1"/>
  <c r="L7" i="4"/>
  <c r="DG32" i="1"/>
  <c r="T14" i="4"/>
  <c r="DI74" i="1"/>
  <c r="DQ150" i="1"/>
  <c r="AR30" i="4"/>
  <c r="DG152" i="1"/>
  <c r="AR10" i="4"/>
  <c r="DI110" i="1"/>
  <c r="AJ11" i="4"/>
  <c r="DM31" i="1"/>
  <c r="BK195" i="1"/>
  <c r="DE195" i="1" s="1"/>
  <c r="BK197" i="1"/>
  <c r="DE197" i="1" s="1"/>
  <c r="BK192" i="1"/>
  <c r="DE192" i="1" s="1"/>
  <c r="BK188" i="1"/>
  <c r="DE188" i="1" s="1"/>
  <c r="BK202" i="1"/>
  <c r="DE202" i="1" s="1"/>
  <c r="BK191" i="1"/>
  <c r="DE191" i="1" s="1"/>
  <c r="BK205" i="1"/>
  <c r="DE205" i="1" s="1"/>
  <c r="BK193" i="1"/>
  <c r="DE193" i="1" s="1"/>
  <c r="BK203" i="1"/>
  <c r="DE203" i="1" s="1"/>
  <c r="BK198" i="1"/>
  <c r="DE198" i="1" s="1"/>
  <c r="BK206" i="1"/>
  <c r="DE206" i="1" s="1"/>
  <c r="BK190" i="1"/>
  <c r="DE190" i="1" s="1"/>
  <c r="BK201" i="1"/>
  <c r="DE201" i="1" s="1"/>
  <c r="BK187" i="1"/>
  <c r="BK204" i="1"/>
  <c r="DE204" i="1" s="1"/>
  <c r="BK189" i="1"/>
  <c r="DE189" i="1" s="1"/>
  <c r="BK196" i="1"/>
  <c r="DE196" i="1" s="1"/>
  <c r="BK199" i="1"/>
  <c r="DE199" i="1" s="1"/>
  <c r="DO152" i="1"/>
  <c r="AR26" i="4"/>
  <c r="DO144" i="1"/>
  <c r="AR21" i="4"/>
  <c r="AJ8" i="4"/>
  <c r="DG111" i="1"/>
  <c r="BV40" i="1"/>
  <c r="EA40" i="1" s="1"/>
  <c r="BV37" i="1"/>
  <c r="EA37" i="1" s="1"/>
  <c r="BV50" i="1"/>
  <c r="BV36" i="1"/>
  <c r="BV46" i="1"/>
  <c r="EA46" i="1" s="1"/>
  <c r="BV35" i="1"/>
  <c r="EA35" i="1" s="1"/>
  <c r="BV45" i="1"/>
  <c r="EA45" i="1" s="1"/>
  <c r="BV34" i="1"/>
  <c r="BV33" i="1"/>
  <c r="BV43" i="1"/>
  <c r="EA43" i="1" s="1"/>
  <c r="BV32" i="1"/>
  <c r="BV42" i="1"/>
  <c r="EA42" i="1" s="1"/>
  <c r="BV49" i="1"/>
  <c r="BV31" i="1"/>
  <c r="BV41" i="1"/>
  <c r="EA41" i="1" s="1"/>
  <c r="BV48" i="1"/>
  <c r="BV39" i="1"/>
  <c r="EA39" i="1" s="1"/>
  <c r="BV47" i="1"/>
  <c r="EA47" i="1" s="1"/>
  <c r="AB11" i="4"/>
  <c r="DI84" i="1"/>
  <c r="DO8" i="1"/>
  <c r="D25" i="4"/>
  <c r="AJ24" i="4"/>
  <c r="DO111" i="1"/>
  <c r="DI137" i="1"/>
  <c r="AR12" i="4"/>
  <c r="CB57" i="1"/>
  <c r="CH164" i="1"/>
  <c r="CD35" i="1"/>
  <c r="CH163" i="1"/>
  <c r="CH162" i="1"/>
  <c r="CD34" i="1"/>
  <c r="T77" i="1"/>
  <c r="AX62" i="1" s="1"/>
  <c r="V155" i="1"/>
  <c r="AZ145" i="1" s="1"/>
  <c r="U155" i="1"/>
  <c r="AY144" i="1" s="1"/>
  <c r="T25" i="1"/>
  <c r="AX5" i="1" s="1"/>
  <c r="R189" i="1"/>
  <c r="J207" i="1"/>
  <c r="BZ83" i="1"/>
  <c r="R103" i="1"/>
  <c r="BZ206" i="1"/>
  <c r="R187" i="1"/>
  <c r="BZ187" i="1" s="1"/>
  <c r="BZ205" i="1"/>
  <c r="N75" i="1"/>
  <c r="S103" i="1"/>
  <c r="AW85" i="1" s="1"/>
  <c r="N76" i="1"/>
  <c r="G25" i="1"/>
  <c r="N128" i="1"/>
  <c r="N127" i="1"/>
  <c r="N126" i="1"/>
  <c r="I25" i="1"/>
  <c r="N24" i="1"/>
  <c r="V103" i="1"/>
  <c r="CD86" i="1"/>
  <c r="N102" i="1"/>
  <c r="N101" i="1"/>
  <c r="N100" i="1"/>
  <c r="BZ163" i="1"/>
  <c r="R188" i="1"/>
  <c r="R181" i="1"/>
  <c r="BZ161" i="1"/>
  <c r="CH8" i="1"/>
  <c r="BZ164" i="1"/>
  <c r="Z25" i="1"/>
  <c r="Z194" i="1" s="1"/>
  <c r="CH6" i="1"/>
  <c r="CC152" i="1"/>
  <c r="K25" i="1"/>
  <c r="CH7" i="1"/>
  <c r="N204" i="1"/>
  <c r="H25" i="1"/>
  <c r="N154" i="1"/>
  <c r="N153" i="1"/>
  <c r="N152" i="1"/>
  <c r="L25" i="1"/>
  <c r="CA24" i="1"/>
  <c r="BZ204" i="1"/>
  <c r="CH18" i="1"/>
  <c r="CH24" i="1"/>
  <c r="CA8" i="1"/>
  <c r="R190" i="1"/>
  <c r="BZ190" i="1" s="1"/>
  <c r="CH12" i="1"/>
  <c r="N50" i="1"/>
  <c r="N48" i="1"/>
  <c r="N49" i="1"/>
  <c r="CH180" i="1"/>
  <c r="CH179" i="1"/>
  <c r="CA109" i="1"/>
  <c r="S129" i="1"/>
  <c r="S25" i="1"/>
  <c r="Z181" i="1"/>
  <c r="CH178" i="1"/>
  <c r="V181" i="1"/>
  <c r="CD164" i="1"/>
  <c r="CD112" i="1"/>
  <c r="V129" i="1"/>
  <c r="BZ31" i="1"/>
  <c r="R51" i="1"/>
  <c r="Z187" i="1" l="1"/>
  <c r="CH187" i="1" s="1"/>
  <c r="Z202" i="1"/>
  <c r="CH202" i="1" s="1"/>
  <c r="AX120" i="1"/>
  <c r="AX128" i="1"/>
  <c r="CB129" i="1"/>
  <c r="AZ17" i="1"/>
  <c r="AZ24" i="1"/>
  <c r="AZ21" i="1"/>
  <c r="AZ13" i="1"/>
  <c r="BF170" i="1"/>
  <c r="DX170" i="1" s="1"/>
  <c r="BF161" i="1"/>
  <c r="BF173" i="1"/>
  <c r="CY173" i="1" s="1"/>
  <c r="BF165" i="1"/>
  <c r="DX165" i="1" s="1"/>
  <c r="EA22" i="1"/>
  <c r="D37" i="4"/>
  <c r="EA23" i="1"/>
  <c r="D38" i="4"/>
  <c r="AZ7" i="1"/>
  <c r="DL7" i="1" s="1"/>
  <c r="AZ15" i="1"/>
  <c r="DL15" i="1" s="1"/>
  <c r="AZ16" i="1"/>
  <c r="AZ22" i="1"/>
  <c r="DL22" i="1" s="1"/>
  <c r="CD25" i="1"/>
  <c r="AZ5" i="1"/>
  <c r="CS5" i="1" s="1"/>
  <c r="AZ23" i="1"/>
  <c r="AZ8" i="1"/>
  <c r="AZ18" i="1"/>
  <c r="AZ14" i="1"/>
  <c r="DL14" i="1" s="1"/>
  <c r="AZ9" i="1"/>
  <c r="CS9" i="1" s="1"/>
  <c r="AZ12" i="1"/>
  <c r="DL12" i="1" s="1"/>
  <c r="AZ10" i="1"/>
  <c r="CS10" i="1" s="1"/>
  <c r="AX123" i="1"/>
  <c r="AX124" i="1"/>
  <c r="AX121" i="1"/>
  <c r="BW146" i="1"/>
  <c r="EC146" i="1" s="1"/>
  <c r="DU181" i="1"/>
  <c r="AX117" i="1"/>
  <c r="CQ117" i="1" s="1"/>
  <c r="AZ6" i="1"/>
  <c r="AZ11" i="1"/>
  <c r="DL11" i="1" s="1"/>
  <c r="AX115" i="1"/>
  <c r="DH115" i="1" s="1"/>
  <c r="DY181" i="1"/>
  <c r="AX118" i="1"/>
  <c r="CQ118" i="1" s="1"/>
  <c r="DM51" i="1"/>
  <c r="DK155" i="1"/>
  <c r="AD64" i="1"/>
  <c r="BH64" i="1" s="1"/>
  <c r="DE155" i="1"/>
  <c r="AX125" i="1"/>
  <c r="AX110" i="1"/>
  <c r="CQ110" i="1" s="1"/>
  <c r="AZ35" i="1"/>
  <c r="DL35" i="1" s="1"/>
  <c r="DS51" i="1"/>
  <c r="BN207" i="1"/>
  <c r="AX112" i="1"/>
  <c r="DH112" i="1" s="1"/>
  <c r="AX113" i="1"/>
  <c r="DH113" i="1" s="1"/>
  <c r="DQ51" i="1"/>
  <c r="DK129" i="1"/>
  <c r="DQ129" i="1"/>
  <c r="DI129" i="1"/>
  <c r="DM155" i="1"/>
  <c r="CD194" i="1"/>
  <c r="DQ155" i="1"/>
  <c r="DK181" i="1"/>
  <c r="DM129" i="1"/>
  <c r="DO129" i="1"/>
  <c r="DE51" i="1"/>
  <c r="DO155" i="1"/>
  <c r="BV129" i="1"/>
  <c r="BK207" i="1"/>
  <c r="DM103" i="1"/>
  <c r="DO103" i="1"/>
  <c r="BQ207" i="1"/>
  <c r="BV103" i="1"/>
  <c r="BV155" i="1"/>
  <c r="DM181" i="1"/>
  <c r="DI51" i="1"/>
  <c r="BS207" i="1"/>
  <c r="BR51" i="1"/>
  <c r="DI155" i="1"/>
  <c r="DQ181" i="1"/>
  <c r="CC194" i="1"/>
  <c r="BR77" i="1"/>
  <c r="DO181" i="1"/>
  <c r="DI103" i="1"/>
  <c r="DK51" i="1"/>
  <c r="DE129" i="1"/>
  <c r="DO51" i="1"/>
  <c r="DG51" i="1"/>
  <c r="BV181" i="1"/>
  <c r="BZ129" i="1"/>
  <c r="DG129" i="1"/>
  <c r="BT207" i="1"/>
  <c r="DE103" i="1"/>
  <c r="BV51" i="1"/>
  <c r="DG103" i="1"/>
  <c r="DQ103" i="1"/>
  <c r="DG155" i="1"/>
  <c r="BP207" i="1"/>
  <c r="DE181" i="1"/>
  <c r="DK103" i="1"/>
  <c r="BR129" i="1"/>
  <c r="BZ188" i="1"/>
  <c r="AV168" i="1"/>
  <c r="BZ189" i="1"/>
  <c r="AV174" i="1"/>
  <c r="EA57" i="1"/>
  <c r="BV77" i="1"/>
  <c r="DS135" i="1"/>
  <c r="DS155" i="1" s="1"/>
  <c r="BR155" i="1"/>
  <c r="DM187" i="1"/>
  <c r="DM207" i="1" s="1"/>
  <c r="BO207" i="1"/>
  <c r="DY187" i="1"/>
  <c r="DY207" i="1" s="1"/>
  <c r="BU207" i="1"/>
  <c r="DS161" i="1"/>
  <c r="BR181" i="1"/>
  <c r="CD189" i="1"/>
  <c r="AZ174" i="1"/>
  <c r="CD188" i="1"/>
  <c r="AZ168" i="1"/>
  <c r="CC188" i="1"/>
  <c r="AY168" i="1"/>
  <c r="CC189" i="1"/>
  <c r="AY174" i="1"/>
  <c r="EC57" i="1"/>
  <c r="EC77" i="1" s="1"/>
  <c r="BW77" i="1"/>
  <c r="DS83" i="1"/>
  <c r="DS103" i="1" s="1"/>
  <c r="BR103" i="1"/>
  <c r="AD70" i="1"/>
  <c r="CG70" i="1"/>
  <c r="CH194" i="1"/>
  <c r="AC200" i="1"/>
  <c r="CK200" i="1" s="1"/>
  <c r="CH200" i="1"/>
  <c r="EC148" i="1"/>
  <c r="DA148" i="1"/>
  <c r="DA142" i="1"/>
  <c r="EC142" i="1"/>
  <c r="EC116" i="1"/>
  <c r="DA116" i="1"/>
  <c r="DA122" i="1"/>
  <c r="EC122" i="1"/>
  <c r="DA44" i="1"/>
  <c r="EC44" i="1"/>
  <c r="DA38" i="1"/>
  <c r="EC38" i="1"/>
  <c r="EA168" i="1"/>
  <c r="EA174" i="1"/>
  <c r="DS168" i="1"/>
  <c r="DS174" i="1"/>
  <c r="BW61" i="1"/>
  <c r="EC61" i="1" s="1"/>
  <c r="BW74" i="1"/>
  <c r="EC74" i="1" s="1"/>
  <c r="BW62" i="1"/>
  <c r="EC62" i="1" s="1"/>
  <c r="BW72" i="1"/>
  <c r="EC72" i="1" s="1"/>
  <c r="BW67" i="1"/>
  <c r="EC67" i="1" s="1"/>
  <c r="BW69" i="1"/>
  <c r="EC69" i="1" s="1"/>
  <c r="BW58" i="1"/>
  <c r="EC58" i="1" s="1"/>
  <c r="BW63" i="1"/>
  <c r="EC63" i="1" s="1"/>
  <c r="BW73" i="1"/>
  <c r="EC73" i="1" s="1"/>
  <c r="BW59" i="1"/>
  <c r="EC59" i="1" s="1"/>
  <c r="BW75" i="1"/>
  <c r="EC75" i="1" s="1"/>
  <c r="BW66" i="1"/>
  <c r="EC66" i="1" s="1"/>
  <c r="BW65" i="1"/>
  <c r="EC65" i="1" s="1"/>
  <c r="BW60" i="1"/>
  <c r="EC60" i="1" s="1"/>
  <c r="BW76" i="1"/>
  <c r="EC76" i="1" s="1"/>
  <c r="BW71" i="1"/>
  <c r="EC71" i="1" s="1"/>
  <c r="BW68" i="1"/>
  <c r="EC68" i="1" s="1"/>
  <c r="AY89" i="1"/>
  <c r="AY110" i="1"/>
  <c r="DJ110" i="1" s="1"/>
  <c r="BW34" i="1"/>
  <c r="EC34" i="1" s="1"/>
  <c r="BW50" i="1"/>
  <c r="EC50" i="1" s="1"/>
  <c r="BW47" i="1"/>
  <c r="EC47" i="1" s="1"/>
  <c r="BW33" i="1"/>
  <c r="EC33" i="1" s="1"/>
  <c r="BW49" i="1"/>
  <c r="EC49" i="1" s="1"/>
  <c r="BW45" i="1"/>
  <c r="EC45" i="1" s="1"/>
  <c r="BW39" i="1"/>
  <c r="EC39" i="1" s="1"/>
  <c r="BW31" i="1"/>
  <c r="BW41" i="1"/>
  <c r="EC41" i="1" s="1"/>
  <c r="BW35" i="1"/>
  <c r="EC35" i="1" s="1"/>
  <c r="AY125" i="1"/>
  <c r="DJ125" i="1" s="1"/>
  <c r="AX114" i="1"/>
  <c r="CQ114" i="1" s="1"/>
  <c r="AX119" i="1"/>
  <c r="CQ119" i="1" s="1"/>
  <c r="AX127" i="1"/>
  <c r="DH127" i="1" s="1"/>
  <c r="CC129" i="1"/>
  <c r="AX109" i="1"/>
  <c r="CQ109" i="1" s="1"/>
  <c r="AY113" i="1"/>
  <c r="CR113" i="1" s="1"/>
  <c r="AX126" i="1"/>
  <c r="DH126" i="1" s="1"/>
  <c r="AZ37" i="1"/>
  <c r="DL37" i="1" s="1"/>
  <c r="AZ43" i="1"/>
  <c r="CS43" i="1" s="1"/>
  <c r="AZ34" i="1"/>
  <c r="CS34" i="1" s="1"/>
  <c r="AY84" i="1"/>
  <c r="DJ84" i="1" s="1"/>
  <c r="AY95" i="1"/>
  <c r="CR95" i="1" s="1"/>
  <c r="AY83" i="1"/>
  <c r="CR83" i="1" s="1"/>
  <c r="CC103" i="1"/>
  <c r="AY97" i="1"/>
  <c r="DJ97" i="1" s="1"/>
  <c r="AY94" i="1"/>
  <c r="DJ94" i="1" s="1"/>
  <c r="AY85" i="1"/>
  <c r="DJ85" i="1" s="1"/>
  <c r="AY98" i="1"/>
  <c r="CR98" i="1" s="1"/>
  <c r="AY86" i="1"/>
  <c r="DJ86" i="1" s="1"/>
  <c r="AY99" i="1"/>
  <c r="CR99" i="1" s="1"/>
  <c r="AY91" i="1"/>
  <c r="CR91" i="1" s="1"/>
  <c r="AY100" i="1"/>
  <c r="CR100" i="1" s="1"/>
  <c r="AY87" i="1"/>
  <c r="DJ87" i="1" s="1"/>
  <c r="AY88" i="1"/>
  <c r="DJ88" i="1" s="1"/>
  <c r="M194" i="1"/>
  <c r="DS77" i="1"/>
  <c r="BW43" i="1"/>
  <c r="EC43" i="1" s="1"/>
  <c r="BW36" i="1"/>
  <c r="EC36" i="1" s="1"/>
  <c r="N194" i="1"/>
  <c r="BW32" i="1"/>
  <c r="EC32" i="1" s="1"/>
  <c r="BW42" i="1"/>
  <c r="EC42" i="1" s="1"/>
  <c r="AY119" i="1"/>
  <c r="DJ119" i="1" s="1"/>
  <c r="BW40" i="1"/>
  <c r="EC40" i="1" s="1"/>
  <c r="BW37" i="1"/>
  <c r="EC37" i="1" s="1"/>
  <c r="BW48" i="1"/>
  <c r="EC48" i="1" s="1"/>
  <c r="Z188" i="1"/>
  <c r="BW137" i="1"/>
  <c r="EC137" i="1" s="1"/>
  <c r="BW152" i="1"/>
  <c r="EC152" i="1" s="1"/>
  <c r="AX111" i="1"/>
  <c r="AI12" i="4" s="1"/>
  <c r="AY102" i="1"/>
  <c r="DJ102" i="1" s="1"/>
  <c r="AY101" i="1"/>
  <c r="DJ101" i="1" s="1"/>
  <c r="AY124" i="1"/>
  <c r="DJ124" i="1" s="1"/>
  <c r="AY92" i="1"/>
  <c r="DJ92" i="1" s="1"/>
  <c r="AZ31" i="1"/>
  <c r="AZ42" i="1"/>
  <c r="DL42" i="1" s="1"/>
  <c r="AZ47" i="1"/>
  <c r="DL47" i="1" s="1"/>
  <c r="AZ36" i="1"/>
  <c r="DL36" i="1" s="1"/>
  <c r="X20" i="1"/>
  <c r="X19" i="1"/>
  <c r="W20" i="1"/>
  <c r="W19" i="1"/>
  <c r="AB20" i="1"/>
  <c r="CJ20" i="1" s="1"/>
  <c r="AB19" i="1"/>
  <c r="CJ19" i="1" s="1"/>
  <c r="AA19" i="1"/>
  <c r="AA20" i="1"/>
  <c r="AV21" i="1"/>
  <c r="DD21" i="1" s="1"/>
  <c r="AV14" i="1"/>
  <c r="DD14" i="1" s="1"/>
  <c r="AV8" i="1"/>
  <c r="AV22" i="1"/>
  <c r="DD22" i="1" s="1"/>
  <c r="AV10" i="1"/>
  <c r="CO10" i="1" s="1"/>
  <c r="AV11" i="1"/>
  <c r="DD11" i="1" s="1"/>
  <c r="AV9" i="1"/>
  <c r="CO9" i="1" s="1"/>
  <c r="BZ25" i="1"/>
  <c r="AV6" i="1"/>
  <c r="AV18" i="1"/>
  <c r="CO18" i="1" s="1"/>
  <c r="AV17" i="1"/>
  <c r="CO17" i="1" s="1"/>
  <c r="AV13" i="1"/>
  <c r="CO13" i="1" s="1"/>
  <c r="AV23" i="1"/>
  <c r="CO23" i="1" s="1"/>
  <c r="AV16" i="1"/>
  <c r="DD16" i="1" s="1"/>
  <c r="AV24" i="1"/>
  <c r="DD24" i="1" s="1"/>
  <c r="CO5" i="1"/>
  <c r="AV12" i="1"/>
  <c r="DD12" i="1" s="1"/>
  <c r="AV15" i="1"/>
  <c r="CO15" i="1" s="1"/>
  <c r="AV7" i="1"/>
  <c r="AY111" i="1"/>
  <c r="DJ111" i="1" s="1"/>
  <c r="AY112" i="1"/>
  <c r="CR112" i="1" s="1"/>
  <c r="AY120" i="1"/>
  <c r="CR120" i="1" s="1"/>
  <c r="AY121" i="1"/>
  <c r="DJ121" i="1" s="1"/>
  <c r="AY128" i="1"/>
  <c r="CR128" i="1" s="1"/>
  <c r="AY123" i="1"/>
  <c r="DJ123" i="1" s="1"/>
  <c r="AY23" i="1"/>
  <c r="CR23" i="1" s="1"/>
  <c r="AY12" i="1"/>
  <c r="DJ12" i="1" s="1"/>
  <c r="AY17" i="1"/>
  <c r="DJ17" i="1" s="1"/>
  <c r="AY61" i="1"/>
  <c r="CR61" i="1" s="1"/>
  <c r="AY68" i="1"/>
  <c r="DJ68" i="1" s="1"/>
  <c r="AX31" i="1"/>
  <c r="AY62" i="1"/>
  <c r="CR62" i="1" s="1"/>
  <c r="CC25" i="1"/>
  <c r="AY18" i="1"/>
  <c r="DJ18" i="1" s="1"/>
  <c r="AV58" i="1"/>
  <c r="CO58" i="1" s="1"/>
  <c r="AY21" i="1"/>
  <c r="CR21" i="1" s="1"/>
  <c r="AV61" i="1"/>
  <c r="DD61" i="1" s="1"/>
  <c r="AW36" i="1"/>
  <c r="CP36" i="1" s="1"/>
  <c r="BE169" i="1"/>
  <c r="CX169" i="1" s="1"/>
  <c r="AX33" i="1"/>
  <c r="CQ33" i="1" s="1"/>
  <c r="AX145" i="1"/>
  <c r="DH145" i="1" s="1"/>
  <c r="AX48" i="1"/>
  <c r="DH48" i="1" s="1"/>
  <c r="AX35" i="1"/>
  <c r="DH35" i="1" s="1"/>
  <c r="AW42" i="1"/>
  <c r="DF42" i="1" s="1"/>
  <c r="AW35" i="1"/>
  <c r="CP35" i="1" s="1"/>
  <c r="AX42" i="1"/>
  <c r="DH42" i="1" s="1"/>
  <c r="AY175" i="1"/>
  <c r="DJ175" i="1" s="1"/>
  <c r="BE179" i="1"/>
  <c r="DV179" i="1" s="1"/>
  <c r="AW47" i="1"/>
  <c r="DF47" i="1" s="1"/>
  <c r="AV144" i="1"/>
  <c r="DD144" i="1" s="1"/>
  <c r="AV139" i="1"/>
  <c r="DD139" i="1" s="1"/>
  <c r="AW33" i="1"/>
  <c r="CP33" i="1" s="1"/>
  <c r="AV145" i="1"/>
  <c r="DD145" i="1" s="1"/>
  <c r="BF180" i="1"/>
  <c r="DX180" i="1" s="1"/>
  <c r="AW41" i="1"/>
  <c r="DF41" i="1" s="1"/>
  <c r="AX47" i="1"/>
  <c r="CQ47" i="1" s="1"/>
  <c r="AV146" i="1"/>
  <c r="DD146" i="1" s="1"/>
  <c r="AX135" i="1"/>
  <c r="DH135" i="1" s="1"/>
  <c r="BF177" i="1"/>
  <c r="DX177" i="1" s="1"/>
  <c r="BF169" i="1"/>
  <c r="CY169" i="1" s="1"/>
  <c r="AW45" i="1"/>
  <c r="DF45" i="1" s="1"/>
  <c r="AX39" i="1"/>
  <c r="DH39" i="1" s="1"/>
  <c r="AV147" i="1"/>
  <c r="DD147" i="1" s="1"/>
  <c r="AX140" i="1"/>
  <c r="DH140" i="1" s="1"/>
  <c r="AW49" i="1"/>
  <c r="DF49" i="1" s="1"/>
  <c r="AX41" i="1"/>
  <c r="DH41" i="1" s="1"/>
  <c r="AV152" i="1"/>
  <c r="CO152" i="1" s="1"/>
  <c r="AX141" i="1"/>
  <c r="DH141" i="1" s="1"/>
  <c r="AY162" i="1"/>
  <c r="CR162" i="1" s="1"/>
  <c r="CA51" i="1"/>
  <c r="AV66" i="1"/>
  <c r="DD66" i="1" s="1"/>
  <c r="AV62" i="1"/>
  <c r="CO62" i="1" s="1"/>
  <c r="AX32" i="1"/>
  <c r="CQ32" i="1" s="1"/>
  <c r="AX36" i="1"/>
  <c r="DH36" i="1" s="1"/>
  <c r="AV149" i="1"/>
  <c r="CO149" i="1" s="1"/>
  <c r="AY11" i="1"/>
  <c r="CR11" i="1" s="1"/>
  <c r="AY161" i="1"/>
  <c r="DJ161" i="1" s="1"/>
  <c r="CR5" i="1"/>
  <c r="AY67" i="1"/>
  <c r="DJ67" i="1" s="1"/>
  <c r="AW48" i="1"/>
  <c r="CP48" i="1" s="1"/>
  <c r="AY16" i="1"/>
  <c r="CR16" i="1" s="1"/>
  <c r="AY76" i="1"/>
  <c r="CR76" i="1" s="1"/>
  <c r="AW34" i="1"/>
  <c r="K9" i="4" s="1"/>
  <c r="AY58" i="1"/>
  <c r="CR58" i="1" s="1"/>
  <c r="AW43" i="1"/>
  <c r="DF43" i="1" s="1"/>
  <c r="AW46" i="1"/>
  <c r="CP46" i="1" s="1"/>
  <c r="AV67" i="1"/>
  <c r="CO67" i="1" s="1"/>
  <c r="AX34" i="1"/>
  <c r="DH34" i="1" s="1"/>
  <c r="AX46" i="1"/>
  <c r="CQ46" i="1" s="1"/>
  <c r="AV138" i="1"/>
  <c r="CO138" i="1" s="1"/>
  <c r="AV151" i="1"/>
  <c r="DD151" i="1" s="1"/>
  <c r="AY24" i="1"/>
  <c r="AY178" i="1"/>
  <c r="DJ178" i="1" s="1"/>
  <c r="AY63" i="1"/>
  <c r="CR63" i="1" s="1"/>
  <c r="AW39" i="1"/>
  <c r="CP39" i="1" s="1"/>
  <c r="AW37" i="1"/>
  <c r="DF37" i="1" s="1"/>
  <c r="AX37" i="1"/>
  <c r="DH37" i="1" s="1"/>
  <c r="AV140" i="1"/>
  <c r="DD140" i="1" s="1"/>
  <c r="AV153" i="1"/>
  <c r="DD153" i="1" s="1"/>
  <c r="AX153" i="1"/>
  <c r="DH153" i="1" s="1"/>
  <c r="AY15" i="1"/>
  <c r="CR15" i="1" s="1"/>
  <c r="AY171" i="1"/>
  <c r="DJ171" i="1" s="1"/>
  <c r="AY7" i="1"/>
  <c r="DJ7" i="1" s="1"/>
  <c r="AY14" i="1"/>
  <c r="CR14" i="1" s="1"/>
  <c r="AY66" i="1"/>
  <c r="CR66" i="1" s="1"/>
  <c r="AW50" i="1"/>
  <c r="DF50" i="1" s="1"/>
  <c r="AW31" i="1"/>
  <c r="CP31" i="1" s="1"/>
  <c r="AX43" i="1"/>
  <c r="DH43" i="1" s="1"/>
  <c r="AV143" i="1"/>
  <c r="CO143" i="1" s="1"/>
  <c r="AV154" i="1"/>
  <c r="CO154" i="1" s="1"/>
  <c r="AX150" i="1"/>
  <c r="CQ150" i="1" s="1"/>
  <c r="AY10" i="1"/>
  <c r="CR10" i="1" s="1"/>
  <c r="AY8" i="1"/>
  <c r="DJ8" i="1" s="1"/>
  <c r="AY173" i="1"/>
  <c r="CR173" i="1" s="1"/>
  <c r="AY59" i="1"/>
  <c r="CR59" i="1" s="1"/>
  <c r="AY60" i="1"/>
  <c r="DJ60" i="1" s="1"/>
  <c r="AW32" i="1"/>
  <c r="DF32" i="1" s="1"/>
  <c r="AX45" i="1"/>
  <c r="DH45" i="1" s="1"/>
  <c r="BZ155" i="1"/>
  <c r="AV135" i="1"/>
  <c r="AX151" i="1"/>
  <c r="CQ151" i="1" s="1"/>
  <c r="AY6" i="1"/>
  <c r="CR6" i="1" s="1"/>
  <c r="AY13" i="1"/>
  <c r="DJ13" i="1" s="1"/>
  <c r="AY9" i="1"/>
  <c r="DJ9" i="1" s="1"/>
  <c r="AY22" i="1"/>
  <c r="AX143" i="1"/>
  <c r="DH143" i="1" s="1"/>
  <c r="AY172" i="1"/>
  <c r="DJ172" i="1" s="1"/>
  <c r="CB155" i="1"/>
  <c r="AY179" i="1"/>
  <c r="CR179" i="1" s="1"/>
  <c r="AX152" i="1"/>
  <c r="CQ152" i="1" s="1"/>
  <c r="AX144" i="1"/>
  <c r="CQ144" i="1" s="1"/>
  <c r="AY167" i="1"/>
  <c r="DJ167" i="1" s="1"/>
  <c r="AX154" i="1"/>
  <c r="CQ154" i="1" s="1"/>
  <c r="AY170" i="1"/>
  <c r="DJ170" i="1" s="1"/>
  <c r="BE165" i="1"/>
  <c r="DV165" i="1" s="1"/>
  <c r="CC181" i="1"/>
  <c r="AY180" i="1"/>
  <c r="DJ180" i="1" s="1"/>
  <c r="CB51" i="1"/>
  <c r="AX49" i="1"/>
  <c r="CQ49" i="1" s="1"/>
  <c r="AV141" i="1"/>
  <c r="DD141" i="1" s="1"/>
  <c r="AV150" i="1"/>
  <c r="DD150" i="1" s="1"/>
  <c r="AX136" i="1"/>
  <c r="AQ11" i="4" s="1"/>
  <c r="AX146" i="1"/>
  <c r="DH146" i="1" s="1"/>
  <c r="AY164" i="1"/>
  <c r="DJ164" i="1" s="1"/>
  <c r="AY163" i="1"/>
  <c r="DJ163" i="1" s="1"/>
  <c r="BE180" i="1"/>
  <c r="DV180" i="1" s="1"/>
  <c r="AX137" i="1"/>
  <c r="DH137" i="1" s="1"/>
  <c r="AX149" i="1"/>
  <c r="DH149" i="1" s="1"/>
  <c r="AY176" i="1"/>
  <c r="DJ176" i="1" s="1"/>
  <c r="AX50" i="1"/>
  <c r="CQ50" i="1" s="1"/>
  <c r="AV136" i="1"/>
  <c r="CO136" i="1" s="1"/>
  <c r="AX138" i="1"/>
  <c r="AQ13" i="4" s="1"/>
  <c r="AX147" i="1"/>
  <c r="DH147" i="1" s="1"/>
  <c r="AY177" i="1"/>
  <c r="DJ177" i="1" s="1"/>
  <c r="AY166" i="1"/>
  <c r="DJ166" i="1" s="1"/>
  <c r="AY165" i="1"/>
  <c r="DJ165" i="1" s="1"/>
  <c r="BW145" i="1"/>
  <c r="EC145" i="1" s="1"/>
  <c r="BW155" i="1"/>
  <c r="BW154" i="1"/>
  <c r="EC154" i="1" s="1"/>
  <c r="BF167" i="1"/>
  <c r="CY167" i="1" s="1"/>
  <c r="BE175" i="1"/>
  <c r="DV175" i="1" s="1"/>
  <c r="BF163" i="1"/>
  <c r="DX163" i="1" s="1"/>
  <c r="BW153" i="1"/>
  <c r="EC153" i="1" s="1"/>
  <c r="BF164" i="1"/>
  <c r="DX164" i="1" s="1"/>
  <c r="BF172" i="1"/>
  <c r="DX172" i="1" s="1"/>
  <c r="BE173" i="1"/>
  <c r="DV173" i="1" s="1"/>
  <c r="BW150" i="1"/>
  <c r="EC150" i="1" s="1"/>
  <c r="AY73" i="1"/>
  <c r="DJ73" i="1" s="1"/>
  <c r="BE163" i="1"/>
  <c r="DV163" i="1" s="1"/>
  <c r="BE161" i="1"/>
  <c r="DU187" i="1"/>
  <c r="DU207" i="1" s="1"/>
  <c r="BW149" i="1"/>
  <c r="EC149" i="1" s="1"/>
  <c r="AY65" i="1"/>
  <c r="CR65" i="1" s="1"/>
  <c r="CC77" i="1"/>
  <c r="AY72" i="1"/>
  <c r="CR72" i="1" s="1"/>
  <c r="AY126" i="1"/>
  <c r="CR126" i="1" s="1"/>
  <c r="AY115" i="1"/>
  <c r="DJ115" i="1" s="1"/>
  <c r="CY170" i="1"/>
  <c r="BE177" i="1"/>
  <c r="DV177" i="1" s="1"/>
  <c r="BF179" i="1"/>
  <c r="DX179" i="1" s="1"/>
  <c r="BF178" i="1"/>
  <c r="DX178" i="1" s="1"/>
  <c r="BW140" i="1"/>
  <c r="EC140" i="1" s="1"/>
  <c r="AY114" i="1"/>
  <c r="DJ114" i="1" s="1"/>
  <c r="AY74" i="1"/>
  <c r="CR74" i="1" s="1"/>
  <c r="AY75" i="1"/>
  <c r="DJ75" i="1" s="1"/>
  <c r="AY127" i="1"/>
  <c r="DJ127" i="1" s="1"/>
  <c r="AY117" i="1"/>
  <c r="DJ117" i="1" s="1"/>
  <c r="BE172" i="1"/>
  <c r="CX172" i="1" s="1"/>
  <c r="CJ181" i="1"/>
  <c r="BF162" i="1"/>
  <c r="DX162" i="1" s="1"/>
  <c r="BE178" i="1"/>
  <c r="DV178" i="1" s="1"/>
  <c r="BW141" i="1"/>
  <c r="EC141" i="1" s="1"/>
  <c r="BF166" i="1"/>
  <c r="DX166" i="1" s="1"/>
  <c r="AY71" i="1"/>
  <c r="CR71" i="1" s="1"/>
  <c r="AY57" i="1"/>
  <c r="AY109" i="1"/>
  <c r="BE164" i="1"/>
  <c r="CX164" i="1" s="1"/>
  <c r="BF176" i="1"/>
  <c r="DX176" i="1" s="1"/>
  <c r="BF175" i="1"/>
  <c r="CY175" i="1" s="1"/>
  <c r="BW136" i="1"/>
  <c r="EC136" i="1" s="1"/>
  <c r="AZ75" i="1"/>
  <c r="DL75" i="1" s="1"/>
  <c r="AZ76" i="1"/>
  <c r="DL76" i="1" s="1"/>
  <c r="AZ65" i="1"/>
  <c r="DL65" i="1" s="1"/>
  <c r="Z205" i="1"/>
  <c r="AZ57" i="1"/>
  <c r="AZ63" i="1"/>
  <c r="CS63" i="1" s="1"/>
  <c r="AV73" i="1"/>
  <c r="DD73" i="1" s="1"/>
  <c r="BZ77" i="1"/>
  <c r="AZ66" i="1"/>
  <c r="DL66" i="1" s="1"/>
  <c r="AV74" i="1"/>
  <c r="CO74" i="1" s="1"/>
  <c r="AZ71" i="1"/>
  <c r="DL71" i="1" s="1"/>
  <c r="AV75" i="1"/>
  <c r="CO75" i="1" s="1"/>
  <c r="AV76" i="1"/>
  <c r="CO76" i="1" s="1"/>
  <c r="AV57" i="1"/>
  <c r="AZ74" i="1"/>
  <c r="CS74" i="1" s="1"/>
  <c r="AZ49" i="1"/>
  <c r="DL49" i="1" s="1"/>
  <c r="AZ45" i="1"/>
  <c r="DL45" i="1" s="1"/>
  <c r="AZ40" i="1"/>
  <c r="DL40" i="1" s="1"/>
  <c r="AZ48" i="1"/>
  <c r="DL48" i="1" s="1"/>
  <c r="AZ46" i="1"/>
  <c r="CS46" i="1" s="1"/>
  <c r="Z190" i="1"/>
  <c r="AZ50" i="1"/>
  <c r="CS50" i="1" s="1"/>
  <c r="AZ39" i="1"/>
  <c r="DL39" i="1" s="1"/>
  <c r="AZ32" i="1"/>
  <c r="CS32" i="1" s="1"/>
  <c r="AZ41" i="1"/>
  <c r="CS41" i="1" s="1"/>
  <c r="AB138" i="1"/>
  <c r="CJ138" i="1" s="1"/>
  <c r="AB150" i="1"/>
  <c r="CJ150" i="1" s="1"/>
  <c r="AB146" i="1"/>
  <c r="CJ146" i="1" s="1"/>
  <c r="AB143" i="1"/>
  <c r="CJ143" i="1" s="1"/>
  <c r="AB154" i="1"/>
  <c r="CJ154" i="1" s="1"/>
  <c r="AB153" i="1"/>
  <c r="CJ153" i="1" s="1"/>
  <c r="AB149" i="1"/>
  <c r="CJ149" i="1" s="1"/>
  <c r="AB147" i="1"/>
  <c r="CJ147" i="1" s="1"/>
  <c r="AB145" i="1"/>
  <c r="CJ145" i="1" s="1"/>
  <c r="AB152" i="1"/>
  <c r="AB144" i="1"/>
  <c r="CJ144" i="1" s="1"/>
  <c r="AB151" i="1"/>
  <c r="CJ151" i="1" s="1"/>
  <c r="AB140" i="1"/>
  <c r="CJ140" i="1" s="1"/>
  <c r="AB136" i="1"/>
  <c r="CJ136" i="1" s="1"/>
  <c r="AB137" i="1"/>
  <c r="CJ137" i="1" s="1"/>
  <c r="AB135" i="1"/>
  <c r="CJ135" i="1" s="1"/>
  <c r="AB141" i="1"/>
  <c r="CJ141" i="1" s="1"/>
  <c r="AB139" i="1"/>
  <c r="CJ139" i="1" s="1"/>
  <c r="CH144" i="1"/>
  <c r="X136" i="1"/>
  <c r="CF136" i="1" s="1"/>
  <c r="X145" i="1"/>
  <c r="CF145" i="1" s="1"/>
  <c r="X140" i="1"/>
  <c r="CF140" i="1" s="1"/>
  <c r="X152" i="1"/>
  <c r="CF152" i="1" s="1"/>
  <c r="X147" i="1"/>
  <c r="CF147" i="1" s="1"/>
  <c r="X154" i="1"/>
  <c r="X150" i="1"/>
  <c r="CF150" i="1" s="1"/>
  <c r="X141" i="1"/>
  <c r="CF141" i="1" s="1"/>
  <c r="X137" i="1"/>
  <c r="CF137" i="1" s="1"/>
  <c r="X138" i="1"/>
  <c r="CF138" i="1" s="1"/>
  <c r="X151" i="1"/>
  <c r="CF151" i="1" s="1"/>
  <c r="X139" i="1"/>
  <c r="CF139" i="1" s="1"/>
  <c r="X146" i="1"/>
  <c r="CF146" i="1" s="1"/>
  <c r="X144" i="1"/>
  <c r="CF144" i="1" s="1"/>
  <c r="X135" i="1"/>
  <c r="CF135" i="1" s="1"/>
  <c r="X143" i="1"/>
  <c r="CF143" i="1" s="1"/>
  <c r="X153" i="1"/>
  <c r="X149" i="1"/>
  <c r="CF149" i="1" s="1"/>
  <c r="AA146" i="1"/>
  <c r="CI146" i="1" s="1"/>
  <c r="AA143" i="1"/>
  <c r="CI143" i="1" s="1"/>
  <c r="AA154" i="1"/>
  <c r="CI154" i="1" s="1"/>
  <c r="AA139" i="1"/>
  <c r="CI139" i="1" s="1"/>
  <c r="AA151" i="1"/>
  <c r="CI151" i="1" s="1"/>
  <c r="AA135" i="1"/>
  <c r="CI135" i="1" s="1"/>
  <c r="AA141" i="1"/>
  <c r="CI141" i="1" s="1"/>
  <c r="AA138" i="1"/>
  <c r="CI138" i="1" s="1"/>
  <c r="AA145" i="1"/>
  <c r="CI145" i="1" s="1"/>
  <c r="AA149" i="1"/>
  <c r="CI149" i="1" s="1"/>
  <c r="AA137" i="1"/>
  <c r="CI137" i="1" s="1"/>
  <c r="AA144" i="1"/>
  <c r="CI144" i="1" s="1"/>
  <c r="AA147" i="1"/>
  <c r="CI147" i="1" s="1"/>
  <c r="AA153" i="1"/>
  <c r="CI153" i="1" s="1"/>
  <c r="AA152" i="1"/>
  <c r="AA150" i="1"/>
  <c r="CI150" i="1" s="1"/>
  <c r="AA140" i="1"/>
  <c r="CI140" i="1" s="1"/>
  <c r="AA136" i="1"/>
  <c r="CI136" i="1" s="1"/>
  <c r="CH141" i="1"/>
  <c r="CH145" i="1"/>
  <c r="CH146" i="1"/>
  <c r="CH149" i="1"/>
  <c r="CH147" i="1"/>
  <c r="AY136" i="1"/>
  <c r="CR136" i="1" s="1"/>
  <c r="CH150" i="1"/>
  <c r="AY153" i="1"/>
  <c r="CR153" i="1" s="1"/>
  <c r="W139" i="1"/>
  <c r="W140" i="1"/>
  <c r="W152" i="1"/>
  <c r="CE152" i="1" s="1"/>
  <c r="W136" i="1"/>
  <c r="W147" i="1"/>
  <c r="W143" i="1"/>
  <c r="W150" i="1"/>
  <c r="W153" i="1"/>
  <c r="CE153" i="1" s="1"/>
  <c r="W146" i="1"/>
  <c r="W144" i="1"/>
  <c r="W137" i="1"/>
  <c r="W141" i="1"/>
  <c r="W138" i="1"/>
  <c r="W151" i="1"/>
  <c r="W135" i="1"/>
  <c r="W149" i="1"/>
  <c r="W154" i="1"/>
  <c r="CE154" i="1" s="1"/>
  <c r="W145" i="1"/>
  <c r="CH140" i="1"/>
  <c r="CH151" i="1"/>
  <c r="AY137" i="1"/>
  <c r="DJ137" i="1" s="1"/>
  <c r="CH135" i="1"/>
  <c r="CH139" i="1"/>
  <c r="CH143" i="1"/>
  <c r="X114" i="1"/>
  <c r="CF114" i="1" s="1"/>
  <c r="X126" i="1"/>
  <c r="CF126" i="1" s="1"/>
  <c r="X110" i="1"/>
  <c r="CF110" i="1" s="1"/>
  <c r="X121" i="1"/>
  <c r="CF121" i="1" s="1"/>
  <c r="X119" i="1"/>
  <c r="CF119" i="1" s="1"/>
  <c r="X128" i="1"/>
  <c r="CF128" i="1" s="1"/>
  <c r="X113" i="1"/>
  <c r="CF113" i="1" s="1"/>
  <c r="X127" i="1"/>
  <c r="CF127" i="1" s="1"/>
  <c r="X117" i="1"/>
  <c r="CF117" i="1" s="1"/>
  <c r="X124" i="1"/>
  <c r="CF124" i="1" s="1"/>
  <c r="X123" i="1"/>
  <c r="CF123" i="1" s="1"/>
  <c r="X120" i="1"/>
  <c r="CF120" i="1" s="1"/>
  <c r="X125" i="1"/>
  <c r="CF125" i="1" s="1"/>
  <c r="X111" i="1"/>
  <c r="CF111" i="1" s="1"/>
  <c r="X112" i="1"/>
  <c r="CF112" i="1" s="1"/>
  <c r="X118" i="1"/>
  <c r="CF118" i="1" s="1"/>
  <c r="X115" i="1"/>
  <c r="CF115" i="1" s="1"/>
  <c r="X109" i="1"/>
  <c r="CF109" i="1" s="1"/>
  <c r="CH118" i="1"/>
  <c r="AA119" i="1"/>
  <c r="CI119" i="1" s="1"/>
  <c r="AA115" i="1"/>
  <c r="CI115" i="1" s="1"/>
  <c r="AA127" i="1"/>
  <c r="AA112" i="1"/>
  <c r="CI112" i="1" s="1"/>
  <c r="AA124" i="1"/>
  <c r="CI124" i="1" s="1"/>
  <c r="AA117" i="1"/>
  <c r="CI117" i="1" s="1"/>
  <c r="AA126" i="1"/>
  <c r="AA109" i="1"/>
  <c r="CI109" i="1" s="1"/>
  <c r="AA113" i="1"/>
  <c r="CI113" i="1" s="1"/>
  <c r="AA111" i="1"/>
  <c r="CI111" i="1" s="1"/>
  <c r="AA125" i="1"/>
  <c r="CI125" i="1" s="1"/>
  <c r="AA110" i="1"/>
  <c r="CI110" i="1" s="1"/>
  <c r="AA120" i="1"/>
  <c r="CI120" i="1" s="1"/>
  <c r="AA123" i="1"/>
  <c r="CI123" i="1" s="1"/>
  <c r="AA118" i="1"/>
  <c r="CI118" i="1" s="1"/>
  <c r="AA128" i="1"/>
  <c r="CI128" i="1" s="1"/>
  <c r="AA114" i="1"/>
  <c r="CI114" i="1" s="1"/>
  <c r="AA121" i="1"/>
  <c r="CI121" i="1" s="1"/>
  <c r="CH125" i="1"/>
  <c r="CH114" i="1"/>
  <c r="CH120" i="1"/>
  <c r="CH121" i="1"/>
  <c r="CH124" i="1"/>
  <c r="CH109" i="1"/>
  <c r="W110" i="1"/>
  <c r="W121" i="1"/>
  <c r="W113" i="1"/>
  <c r="W125" i="1"/>
  <c r="W114" i="1"/>
  <c r="W123" i="1"/>
  <c r="W118" i="1"/>
  <c r="W109" i="1"/>
  <c r="W120" i="1"/>
  <c r="W117" i="1"/>
  <c r="W127" i="1"/>
  <c r="CE127" i="1" s="1"/>
  <c r="W124" i="1"/>
  <c r="W111" i="1"/>
  <c r="W115" i="1"/>
  <c r="W112" i="1"/>
  <c r="W126" i="1"/>
  <c r="W119" i="1"/>
  <c r="W128" i="1"/>
  <c r="CE128" i="1" s="1"/>
  <c r="CH119" i="1"/>
  <c r="CH115" i="1"/>
  <c r="AB111" i="1"/>
  <c r="CJ111" i="1" s="1"/>
  <c r="AB123" i="1"/>
  <c r="CJ123" i="1" s="1"/>
  <c r="AB119" i="1"/>
  <c r="CJ119" i="1" s="1"/>
  <c r="AB115" i="1"/>
  <c r="CJ115" i="1" s="1"/>
  <c r="AB127" i="1"/>
  <c r="CJ127" i="1" s="1"/>
  <c r="AB109" i="1"/>
  <c r="CJ109" i="1" s="1"/>
  <c r="AB114" i="1"/>
  <c r="CJ114" i="1" s="1"/>
  <c r="AB117" i="1"/>
  <c r="CJ117" i="1" s="1"/>
  <c r="AB120" i="1"/>
  <c r="CJ120" i="1" s="1"/>
  <c r="AB124" i="1"/>
  <c r="CJ124" i="1" s="1"/>
  <c r="AB128" i="1"/>
  <c r="CJ128" i="1" s="1"/>
  <c r="AB113" i="1"/>
  <c r="CJ113" i="1" s="1"/>
  <c r="AB121" i="1"/>
  <c r="CJ121" i="1" s="1"/>
  <c r="AB125" i="1"/>
  <c r="CJ125" i="1" s="1"/>
  <c r="AB110" i="1"/>
  <c r="CJ110" i="1" s="1"/>
  <c r="AB118" i="1"/>
  <c r="CJ118" i="1" s="1"/>
  <c r="AB112" i="1"/>
  <c r="CJ112" i="1" s="1"/>
  <c r="AB126" i="1"/>
  <c r="CH117" i="1"/>
  <c r="CH123" i="1"/>
  <c r="CH113" i="1"/>
  <c r="CH98" i="1"/>
  <c r="CH92" i="1"/>
  <c r="CH91" i="1"/>
  <c r="CH99" i="1"/>
  <c r="W92" i="1"/>
  <c r="W100" i="1"/>
  <c r="CE100" i="1" s="1"/>
  <c r="W85" i="1"/>
  <c r="W88" i="1"/>
  <c r="W93" i="1"/>
  <c r="W83" i="1"/>
  <c r="W98" i="1"/>
  <c r="W101" i="1"/>
  <c r="W95" i="1"/>
  <c r="W84" i="1"/>
  <c r="W87" i="1"/>
  <c r="W102" i="1"/>
  <c r="W89" i="1"/>
  <c r="W97" i="1"/>
  <c r="W91" i="1"/>
  <c r="W86" i="1"/>
  <c r="W99" i="1"/>
  <c r="W94" i="1"/>
  <c r="AB100" i="1"/>
  <c r="AB83" i="1"/>
  <c r="CJ83" i="1" s="1"/>
  <c r="AB87" i="1"/>
  <c r="CJ87" i="1" s="1"/>
  <c r="AB86" i="1"/>
  <c r="CJ86" i="1" s="1"/>
  <c r="AB85" i="1"/>
  <c r="CJ85" i="1" s="1"/>
  <c r="AB91" i="1"/>
  <c r="CJ91" i="1" s="1"/>
  <c r="AB92" i="1"/>
  <c r="CJ92" i="1" s="1"/>
  <c r="AB99" i="1"/>
  <c r="CJ99" i="1" s="1"/>
  <c r="AB95" i="1"/>
  <c r="CJ95" i="1" s="1"/>
  <c r="AB94" i="1"/>
  <c r="CJ94" i="1" s="1"/>
  <c r="AB101" i="1"/>
  <c r="CJ101" i="1" s="1"/>
  <c r="AB98" i="1"/>
  <c r="CJ98" i="1" s="1"/>
  <c r="AB97" i="1"/>
  <c r="CJ97" i="1" s="1"/>
  <c r="AB102" i="1"/>
  <c r="CJ102" i="1" s="1"/>
  <c r="AB93" i="1"/>
  <c r="CJ93" i="1" s="1"/>
  <c r="AB84" i="1"/>
  <c r="CJ84" i="1" s="1"/>
  <c r="AB89" i="1"/>
  <c r="CJ89" i="1" s="1"/>
  <c r="AB88" i="1"/>
  <c r="CJ88" i="1" s="1"/>
  <c r="CH83" i="1"/>
  <c r="AA86" i="1"/>
  <c r="AA85" i="1"/>
  <c r="CI85" i="1" s="1"/>
  <c r="AA100" i="1"/>
  <c r="AA83" i="1"/>
  <c r="CI83" i="1" s="1"/>
  <c r="AA98" i="1"/>
  <c r="CI98" i="1" s="1"/>
  <c r="AA101" i="1"/>
  <c r="CI101" i="1" s="1"/>
  <c r="AA91" i="1"/>
  <c r="CI91" i="1" s="1"/>
  <c r="AA89" i="1"/>
  <c r="CI89" i="1" s="1"/>
  <c r="AA87" i="1"/>
  <c r="CI87" i="1" s="1"/>
  <c r="AA92" i="1"/>
  <c r="CI92" i="1" s="1"/>
  <c r="AA88" i="1"/>
  <c r="CI88" i="1" s="1"/>
  <c r="AA95" i="1"/>
  <c r="CI95" i="1" s="1"/>
  <c r="AA94" i="1"/>
  <c r="CI94" i="1" s="1"/>
  <c r="AA99" i="1"/>
  <c r="CI99" i="1" s="1"/>
  <c r="AA102" i="1"/>
  <c r="CI102" i="1" s="1"/>
  <c r="AA84" i="1"/>
  <c r="CI84" i="1" s="1"/>
  <c r="AA97" i="1"/>
  <c r="CI97" i="1" s="1"/>
  <c r="AA93" i="1"/>
  <c r="CI93" i="1" s="1"/>
  <c r="CH89" i="1"/>
  <c r="CH93" i="1"/>
  <c r="X88" i="1"/>
  <c r="CF88" i="1" s="1"/>
  <c r="X100" i="1"/>
  <c r="CF100" i="1" s="1"/>
  <c r="X83" i="1"/>
  <c r="CF83" i="1" s="1"/>
  <c r="X97" i="1"/>
  <c r="CF97" i="1" s="1"/>
  <c r="X89" i="1"/>
  <c r="CF89" i="1" s="1"/>
  <c r="X99" i="1"/>
  <c r="CF99" i="1" s="1"/>
  <c r="X87" i="1"/>
  <c r="CF87" i="1" s="1"/>
  <c r="X84" i="1"/>
  <c r="CF84" i="1" s="1"/>
  <c r="X98" i="1"/>
  <c r="CF98" i="1" s="1"/>
  <c r="X93" i="1"/>
  <c r="CF93" i="1" s="1"/>
  <c r="X101" i="1"/>
  <c r="X102" i="1"/>
  <c r="X95" i="1"/>
  <c r="CF95" i="1" s="1"/>
  <c r="X92" i="1"/>
  <c r="CF92" i="1" s="1"/>
  <c r="X94" i="1"/>
  <c r="CF94" i="1" s="1"/>
  <c r="X91" i="1"/>
  <c r="CF91" i="1" s="1"/>
  <c r="X85" i="1"/>
  <c r="CF85" i="1" s="1"/>
  <c r="X86" i="1"/>
  <c r="CF86" i="1" s="1"/>
  <c r="CH88" i="1"/>
  <c r="CH87" i="1"/>
  <c r="CH95" i="1"/>
  <c r="CH94" i="1"/>
  <c r="CH97" i="1"/>
  <c r="W66" i="1"/>
  <c r="W59" i="1"/>
  <c r="Y59" i="1" s="1"/>
  <c r="W71" i="1"/>
  <c r="W57" i="1"/>
  <c r="W58" i="1"/>
  <c r="Y58" i="1" s="1"/>
  <c r="W69" i="1"/>
  <c r="W61" i="1"/>
  <c r="W67" i="1"/>
  <c r="W73" i="1"/>
  <c r="W72" i="1"/>
  <c r="W76" i="1"/>
  <c r="Y76" i="1" s="1"/>
  <c r="CG76" i="1" s="1"/>
  <c r="W60" i="1"/>
  <c r="Y60" i="1" s="1"/>
  <c r="W74" i="1"/>
  <c r="Y74" i="1" s="1"/>
  <c r="W68" i="1"/>
  <c r="W65" i="1"/>
  <c r="W62" i="1"/>
  <c r="W75" i="1"/>
  <c r="Y75" i="1" s="1"/>
  <c r="W63" i="1"/>
  <c r="AC67" i="1"/>
  <c r="CK67" i="1" s="1"/>
  <c r="CH67" i="1"/>
  <c r="AC66" i="1"/>
  <c r="CK66" i="1" s="1"/>
  <c r="CH66" i="1"/>
  <c r="AC68" i="1"/>
  <c r="CK68" i="1" s="1"/>
  <c r="CH68" i="1"/>
  <c r="AC69" i="1"/>
  <c r="CK69" i="1" s="1"/>
  <c r="CH69" i="1"/>
  <c r="CD77" i="1"/>
  <c r="AZ72" i="1"/>
  <c r="DL72" i="1" s="1"/>
  <c r="AC62" i="1"/>
  <c r="CK62" i="1" s="1"/>
  <c r="CH62" i="1"/>
  <c r="AC73" i="1"/>
  <c r="CK73" i="1" s="1"/>
  <c r="CH73" i="1"/>
  <c r="AZ58" i="1"/>
  <c r="DL58" i="1" s="1"/>
  <c r="AZ67" i="1"/>
  <c r="DL67" i="1" s="1"/>
  <c r="AZ59" i="1"/>
  <c r="CS59" i="1" s="1"/>
  <c r="AZ68" i="1"/>
  <c r="DL68" i="1" s="1"/>
  <c r="AC63" i="1"/>
  <c r="CK63" i="1" s="1"/>
  <c r="CH63" i="1"/>
  <c r="AC57" i="1"/>
  <c r="CK57" i="1" s="1"/>
  <c r="CH57" i="1"/>
  <c r="AZ60" i="1"/>
  <c r="CS60" i="1" s="1"/>
  <c r="AZ69" i="1"/>
  <c r="DL69" i="1" s="1"/>
  <c r="AC71" i="1"/>
  <c r="CK71" i="1" s="1"/>
  <c r="CH71" i="1"/>
  <c r="CI68" i="1"/>
  <c r="CI63" i="1"/>
  <c r="CI75" i="1"/>
  <c r="CI57" i="1"/>
  <c r="CI65" i="1"/>
  <c r="CI62" i="1"/>
  <c r="CI73" i="1"/>
  <c r="CI58" i="1"/>
  <c r="CI59" i="1"/>
  <c r="CI72" i="1"/>
  <c r="CI66" i="1"/>
  <c r="CI60" i="1"/>
  <c r="CI69" i="1"/>
  <c r="CI71" i="1"/>
  <c r="CI67" i="1"/>
  <c r="CI61" i="1"/>
  <c r="CI76" i="1"/>
  <c r="AZ61" i="1"/>
  <c r="DL61" i="1" s="1"/>
  <c r="CF58" i="1"/>
  <c r="AC61" i="1"/>
  <c r="CK61" i="1" s="1"/>
  <c r="CH61" i="1"/>
  <c r="AC72" i="1"/>
  <c r="CK72" i="1" s="1"/>
  <c r="CH72" i="1"/>
  <c r="CJ72" i="1"/>
  <c r="CJ67" i="1"/>
  <c r="CJ60" i="1"/>
  <c r="CJ57" i="1"/>
  <c r="CJ66" i="1"/>
  <c r="CJ71" i="1"/>
  <c r="CJ73" i="1"/>
  <c r="CJ68" i="1"/>
  <c r="CJ69" i="1"/>
  <c r="CJ75" i="1"/>
  <c r="CJ58" i="1"/>
  <c r="CJ61" i="1"/>
  <c r="CJ63" i="1"/>
  <c r="CJ76" i="1"/>
  <c r="CJ59" i="1"/>
  <c r="CJ62" i="1"/>
  <c r="CJ65" i="1"/>
  <c r="AZ73" i="1"/>
  <c r="DL73" i="1" s="1"/>
  <c r="AC65" i="1"/>
  <c r="CK65" i="1" s="1"/>
  <c r="CH65" i="1"/>
  <c r="CI35" i="1"/>
  <c r="CI50" i="1"/>
  <c r="CI42" i="1"/>
  <c r="CI46" i="1"/>
  <c r="CI49" i="1"/>
  <c r="CI41" i="1"/>
  <c r="CI34" i="1"/>
  <c r="CI40" i="1"/>
  <c r="CI37" i="1"/>
  <c r="CI39" i="1"/>
  <c r="CI45" i="1"/>
  <c r="CI33" i="1"/>
  <c r="CI36" i="1"/>
  <c r="CI47" i="1"/>
  <c r="CI31" i="1"/>
  <c r="CI32" i="1"/>
  <c r="CI43" i="1"/>
  <c r="CE35" i="1"/>
  <c r="AC31" i="1"/>
  <c r="CK31" i="1" s="1"/>
  <c r="CH31" i="1"/>
  <c r="CE40" i="1"/>
  <c r="CE41" i="1"/>
  <c r="AC36" i="1"/>
  <c r="CK36" i="1" s="1"/>
  <c r="CH36" i="1"/>
  <c r="Z204" i="1"/>
  <c r="CE37" i="1"/>
  <c r="AC41" i="1"/>
  <c r="CK41" i="1" s="1"/>
  <c r="CH41" i="1"/>
  <c r="AC37" i="1"/>
  <c r="CK37" i="1" s="1"/>
  <c r="CH37" i="1"/>
  <c r="Z189" i="1"/>
  <c r="CE39" i="1"/>
  <c r="CE47" i="1"/>
  <c r="AC43" i="1"/>
  <c r="CK43" i="1" s="1"/>
  <c r="CH43" i="1"/>
  <c r="AC35" i="1"/>
  <c r="CK35" i="1" s="1"/>
  <c r="CH35" i="1"/>
  <c r="N46" i="1"/>
  <c r="X45" i="1"/>
  <c r="CF45" i="1" s="1"/>
  <c r="X35" i="1"/>
  <c r="CF35" i="1" s="1"/>
  <c r="X39" i="1"/>
  <c r="CF39" i="1" s="1"/>
  <c r="X48" i="1"/>
  <c r="Y48" i="1" s="1"/>
  <c r="X37" i="1"/>
  <c r="CF37" i="1" s="1"/>
  <c r="X43" i="1"/>
  <c r="CF43" i="1" s="1"/>
  <c r="X33" i="1"/>
  <c r="CF33" i="1" s="1"/>
  <c r="X41" i="1"/>
  <c r="CF41" i="1" s="1"/>
  <c r="X42" i="1"/>
  <c r="CF42" i="1" s="1"/>
  <c r="X31" i="1"/>
  <c r="CF31" i="1" s="1"/>
  <c r="X40" i="1"/>
  <c r="CF40" i="1" s="1"/>
  <c r="X36" i="1"/>
  <c r="CF36" i="1" s="1"/>
  <c r="X32" i="1"/>
  <c r="CF32" i="1" s="1"/>
  <c r="X50" i="1"/>
  <c r="Y50" i="1" s="1"/>
  <c r="X47" i="1"/>
  <c r="CF47" i="1" s="1"/>
  <c r="X46" i="1"/>
  <c r="CF46" i="1" s="1"/>
  <c r="X49" i="1"/>
  <c r="Y49" i="1" s="1"/>
  <c r="X34" i="1"/>
  <c r="CF34" i="1" s="1"/>
  <c r="Z193" i="1"/>
  <c r="Z197" i="1"/>
  <c r="CE43" i="1"/>
  <c r="AC39" i="1"/>
  <c r="CK39" i="1" s="1"/>
  <c r="CH39" i="1"/>
  <c r="CE45" i="1"/>
  <c r="CE36" i="1"/>
  <c r="AC47" i="1"/>
  <c r="CK47" i="1" s="1"/>
  <c r="CH47" i="1"/>
  <c r="Z191" i="1"/>
  <c r="CH191" i="1" s="1"/>
  <c r="CE48" i="1"/>
  <c r="AC42" i="1"/>
  <c r="CK42" i="1" s="1"/>
  <c r="CH42" i="1"/>
  <c r="Z199" i="1"/>
  <c r="CE42" i="1"/>
  <c r="AC40" i="1"/>
  <c r="CK40" i="1" s="1"/>
  <c r="CH40" i="1"/>
  <c r="AC46" i="1"/>
  <c r="CK46" i="1" s="1"/>
  <c r="CH46" i="1"/>
  <c r="CJ32" i="1"/>
  <c r="CJ40" i="1"/>
  <c r="CJ39" i="1"/>
  <c r="CJ41" i="1"/>
  <c r="CJ36" i="1"/>
  <c r="CJ43" i="1"/>
  <c r="CJ37" i="1"/>
  <c r="CJ34" i="1"/>
  <c r="CJ35" i="1"/>
  <c r="CJ33" i="1"/>
  <c r="CJ45" i="1"/>
  <c r="CJ42" i="1"/>
  <c r="CJ46" i="1"/>
  <c r="CJ31" i="1"/>
  <c r="CJ50" i="1"/>
  <c r="CJ49" i="1"/>
  <c r="CJ47" i="1"/>
  <c r="Z206" i="1"/>
  <c r="Z195" i="1"/>
  <c r="CH195" i="1" s="1"/>
  <c r="Z203" i="1"/>
  <c r="CH203" i="1" s="1"/>
  <c r="CE46" i="1"/>
  <c r="CE31" i="1"/>
  <c r="AC45" i="1"/>
  <c r="CK45" i="1" s="1"/>
  <c r="CH45" i="1"/>
  <c r="X9" i="1"/>
  <c r="X15" i="1"/>
  <c r="X23" i="1"/>
  <c r="X10" i="1"/>
  <c r="X16" i="1"/>
  <c r="X12" i="1"/>
  <c r="X7" i="1"/>
  <c r="X17" i="1"/>
  <c r="X5" i="1"/>
  <c r="X13" i="1"/>
  <c r="X11" i="1"/>
  <c r="X6" i="1"/>
  <c r="X14" i="1"/>
  <c r="X24" i="1"/>
  <c r="X18" i="1"/>
  <c r="X8" i="1"/>
  <c r="X22" i="1"/>
  <c r="X21" i="1"/>
  <c r="W12" i="1"/>
  <c r="W13" i="1"/>
  <c r="W16" i="1"/>
  <c r="W17" i="1"/>
  <c r="W22" i="1"/>
  <c r="W21" i="1"/>
  <c r="W6" i="1"/>
  <c r="W18" i="1"/>
  <c r="W14" i="1"/>
  <c r="W10" i="1"/>
  <c r="W11" i="1"/>
  <c r="W15" i="1"/>
  <c r="W7" i="1"/>
  <c r="W23" i="1"/>
  <c r="W24" i="1"/>
  <c r="W5" i="1"/>
  <c r="W8" i="1"/>
  <c r="W9" i="1"/>
  <c r="CH192" i="1"/>
  <c r="CH196" i="1"/>
  <c r="AB9" i="1"/>
  <c r="AB23" i="1"/>
  <c r="AB18" i="1"/>
  <c r="AB17" i="1"/>
  <c r="AB5" i="1"/>
  <c r="AB13" i="1"/>
  <c r="AB14" i="1"/>
  <c r="AB16" i="1"/>
  <c r="AB22" i="1"/>
  <c r="AB8" i="1"/>
  <c r="AB15" i="1"/>
  <c r="AB10" i="1"/>
  <c r="AB11" i="1"/>
  <c r="AB24" i="1"/>
  <c r="AB12" i="1"/>
  <c r="AB7" i="1"/>
  <c r="AB6" i="1"/>
  <c r="AB21" i="1"/>
  <c r="CH201" i="1"/>
  <c r="CH198" i="1"/>
  <c r="AA17" i="1"/>
  <c r="AA6" i="1"/>
  <c r="AA5" i="1"/>
  <c r="AA11" i="1"/>
  <c r="AA21" i="1"/>
  <c r="AA10" i="1"/>
  <c r="AA13" i="1"/>
  <c r="AA24" i="1"/>
  <c r="AA14" i="1"/>
  <c r="AA9" i="1"/>
  <c r="AA16" i="1"/>
  <c r="AA12" i="1"/>
  <c r="CI12" i="1" s="1"/>
  <c r="AA8" i="1"/>
  <c r="AA22" i="1"/>
  <c r="AA18" i="1"/>
  <c r="AA7" i="1"/>
  <c r="AA15" i="1"/>
  <c r="AA23" i="1"/>
  <c r="AW154" i="1"/>
  <c r="DF154" i="1" s="1"/>
  <c r="AV123" i="1"/>
  <c r="DD123" i="1" s="1"/>
  <c r="AV113" i="1"/>
  <c r="AV118" i="1"/>
  <c r="DD118" i="1" s="1"/>
  <c r="AV117" i="1"/>
  <c r="DD117" i="1" s="1"/>
  <c r="AV121" i="1"/>
  <c r="DD121" i="1" s="1"/>
  <c r="AX92" i="1"/>
  <c r="DH92" i="1" s="1"/>
  <c r="AX100" i="1"/>
  <c r="CQ100" i="1" s="1"/>
  <c r="AW76" i="1"/>
  <c r="DF76" i="1" s="1"/>
  <c r="AW72" i="1"/>
  <c r="DF72" i="1" s="1"/>
  <c r="AX93" i="1"/>
  <c r="DH93" i="1" s="1"/>
  <c r="AX94" i="1"/>
  <c r="DH94" i="1" s="1"/>
  <c r="AW59" i="1"/>
  <c r="S8" i="4" s="1"/>
  <c r="U8" i="4" s="1"/>
  <c r="AX84" i="1"/>
  <c r="CQ84" i="1" s="1"/>
  <c r="AX101" i="1"/>
  <c r="DH101" i="1" s="1"/>
  <c r="AX83" i="1"/>
  <c r="AW63" i="1"/>
  <c r="DF63" i="1" s="1"/>
  <c r="AW75" i="1"/>
  <c r="CP75" i="1" s="1"/>
  <c r="AW60" i="1"/>
  <c r="CP60" i="1" s="1"/>
  <c r="AX85" i="1"/>
  <c r="DH85" i="1" s="1"/>
  <c r="AX102" i="1"/>
  <c r="DH102" i="1" s="1"/>
  <c r="AV115" i="1"/>
  <c r="AW73" i="1"/>
  <c r="CP73" i="1" s="1"/>
  <c r="AW61" i="1"/>
  <c r="CP61" i="1" s="1"/>
  <c r="AW66" i="1"/>
  <c r="DF66" i="1" s="1"/>
  <c r="AX86" i="1"/>
  <c r="DH86" i="1" s="1"/>
  <c r="AX97" i="1"/>
  <c r="DH97" i="1" s="1"/>
  <c r="AV111" i="1"/>
  <c r="AW57" i="1"/>
  <c r="AW74" i="1"/>
  <c r="CP74" i="1" s="1"/>
  <c r="AW62" i="1"/>
  <c r="CP62" i="1" s="1"/>
  <c r="AX87" i="1"/>
  <c r="DH87" i="1" s="1"/>
  <c r="AX95" i="1"/>
  <c r="CQ95" i="1" s="1"/>
  <c r="AW67" i="1"/>
  <c r="CP67" i="1" s="1"/>
  <c r="CA77" i="1"/>
  <c r="AX88" i="1"/>
  <c r="CQ88" i="1" s="1"/>
  <c r="AX98" i="1"/>
  <c r="CQ98" i="1" s="1"/>
  <c r="AV109" i="1"/>
  <c r="AV124" i="1"/>
  <c r="DD124" i="1" s="1"/>
  <c r="AW68" i="1"/>
  <c r="CP68" i="1" s="1"/>
  <c r="AW58" i="1"/>
  <c r="S7" i="4" s="1"/>
  <c r="AW69" i="1"/>
  <c r="DF69" i="1" s="1"/>
  <c r="AX89" i="1"/>
  <c r="CQ89" i="1" s="1"/>
  <c r="CB103" i="1"/>
  <c r="AV112" i="1"/>
  <c r="CO112" i="1" s="1"/>
  <c r="AV125" i="1"/>
  <c r="AW65" i="1"/>
  <c r="AX91" i="1"/>
  <c r="CQ91" i="1" s="1"/>
  <c r="AV110" i="1"/>
  <c r="CO110" i="1" s="1"/>
  <c r="AV128" i="1"/>
  <c r="AV120" i="1"/>
  <c r="CO114" i="1"/>
  <c r="AV127" i="1"/>
  <c r="AV119" i="1"/>
  <c r="AV126" i="1"/>
  <c r="AV68" i="1"/>
  <c r="DD68" i="1" s="1"/>
  <c r="AV59" i="1"/>
  <c r="S4" i="4" s="1"/>
  <c r="U4" i="4" s="1"/>
  <c r="AV69" i="1"/>
  <c r="DD69" i="1" s="1"/>
  <c r="AV63" i="1"/>
  <c r="CO63" i="1" s="1"/>
  <c r="AV71" i="1"/>
  <c r="DD71" i="1" s="1"/>
  <c r="AV60" i="1"/>
  <c r="DD60" i="1" s="1"/>
  <c r="AV72" i="1"/>
  <c r="DD72" i="1" s="1"/>
  <c r="AW139" i="1"/>
  <c r="CP139" i="1" s="1"/>
  <c r="EA59" i="1"/>
  <c r="T33" i="4"/>
  <c r="AY135" i="1"/>
  <c r="CD51" i="1"/>
  <c r="BW138" i="1"/>
  <c r="EC138" i="1" s="1"/>
  <c r="DV170" i="1"/>
  <c r="CX170" i="1"/>
  <c r="BW144" i="1"/>
  <c r="EC144" i="1" s="1"/>
  <c r="BW147" i="1"/>
  <c r="EC147" i="1" s="1"/>
  <c r="BW151" i="1"/>
  <c r="EC151" i="1" s="1"/>
  <c r="BW139" i="1"/>
  <c r="EC139" i="1" s="1"/>
  <c r="BW143" i="1"/>
  <c r="EC143" i="1" s="1"/>
  <c r="AW149" i="1"/>
  <c r="CP149" i="1" s="1"/>
  <c r="AW137" i="1"/>
  <c r="DF137" i="1" s="1"/>
  <c r="BW170" i="1"/>
  <c r="EC170" i="1" s="1"/>
  <c r="AW140" i="1"/>
  <c r="CP140" i="1" s="1"/>
  <c r="AY145" i="1"/>
  <c r="CR145" i="1" s="1"/>
  <c r="CA155" i="1"/>
  <c r="AW141" i="1"/>
  <c r="DF141" i="1" s="1"/>
  <c r="BW161" i="1"/>
  <c r="T36" i="4"/>
  <c r="AW150" i="1"/>
  <c r="DF150" i="1" s="1"/>
  <c r="BW178" i="1"/>
  <c r="EC178" i="1" s="1"/>
  <c r="CC155" i="1"/>
  <c r="AW144" i="1"/>
  <c r="DF144" i="1" s="1"/>
  <c r="AW146" i="1"/>
  <c r="CP146" i="1" s="1"/>
  <c r="T35" i="4"/>
  <c r="EA60" i="1"/>
  <c r="BW171" i="1"/>
  <c r="EC171" i="1" s="1"/>
  <c r="BW180" i="1"/>
  <c r="EC180" i="1" s="1"/>
  <c r="AW138" i="1"/>
  <c r="DF138" i="1" s="1"/>
  <c r="AW145" i="1"/>
  <c r="DF145" i="1" s="1"/>
  <c r="AW135" i="1"/>
  <c r="AW151" i="1"/>
  <c r="CP151" i="1" s="1"/>
  <c r="BW179" i="1"/>
  <c r="EC179" i="1" s="1"/>
  <c r="CI181" i="1"/>
  <c r="BE171" i="1"/>
  <c r="BE162" i="1"/>
  <c r="BE176" i="1"/>
  <c r="AW152" i="1"/>
  <c r="DF152" i="1" s="1"/>
  <c r="BW175" i="1"/>
  <c r="EC175" i="1" s="1"/>
  <c r="BE166" i="1"/>
  <c r="BE167" i="1"/>
  <c r="AY152" i="1"/>
  <c r="DJ152" i="1" s="1"/>
  <c r="AW153" i="1"/>
  <c r="CP153" i="1" s="1"/>
  <c r="AY139" i="1"/>
  <c r="CR139" i="1" s="1"/>
  <c r="AW143" i="1"/>
  <c r="DF143" i="1" s="1"/>
  <c r="AW147" i="1"/>
  <c r="DF147" i="1" s="1"/>
  <c r="BW162" i="1"/>
  <c r="EC162" i="1" s="1"/>
  <c r="T37" i="4"/>
  <c r="EA74" i="1"/>
  <c r="BW163" i="1"/>
  <c r="EC163" i="1" s="1"/>
  <c r="BW173" i="1"/>
  <c r="EC173" i="1" s="1"/>
  <c r="BW169" i="1"/>
  <c r="EC169" i="1" s="1"/>
  <c r="BW167" i="1"/>
  <c r="EC167" i="1" s="1"/>
  <c r="BW177" i="1"/>
  <c r="EC177" i="1" s="1"/>
  <c r="N25" i="1"/>
  <c r="AW88" i="1"/>
  <c r="DF88" i="1" s="1"/>
  <c r="AY46" i="1"/>
  <c r="AY33" i="1"/>
  <c r="AY49" i="1"/>
  <c r="AY31" i="1"/>
  <c r="AY34" i="1"/>
  <c r="AY47" i="1"/>
  <c r="AY39" i="1"/>
  <c r="AY42" i="1"/>
  <c r="AY37" i="1"/>
  <c r="AY35" i="1"/>
  <c r="AY36" i="1"/>
  <c r="AY41" i="1"/>
  <c r="AY40" i="1"/>
  <c r="CC51" i="1"/>
  <c r="AY50" i="1"/>
  <c r="AY32" i="1"/>
  <c r="AY48" i="1"/>
  <c r="AY43" i="1"/>
  <c r="AY45" i="1"/>
  <c r="BW176" i="1"/>
  <c r="EC176" i="1" s="1"/>
  <c r="BW164" i="1"/>
  <c r="EC164" i="1" s="1"/>
  <c r="BW165" i="1"/>
  <c r="EC165" i="1" s="1"/>
  <c r="BW172" i="1"/>
  <c r="EC172" i="1" s="1"/>
  <c r="DK77" i="1"/>
  <c r="BF171" i="1"/>
  <c r="DG25" i="1"/>
  <c r="DO77" i="1"/>
  <c r="DE25" i="1"/>
  <c r="DI25" i="1"/>
  <c r="T38" i="4"/>
  <c r="EA75" i="1"/>
  <c r="DK25" i="1"/>
  <c r="DM25" i="1"/>
  <c r="AZ143" i="1"/>
  <c r="DL143" i="1" s="1"/>
  <c r="AY146" i="1"/>
  <c r="CR146" i="1" s="1"/>
  <c r="AY151" i="1"/>
  <c r="DJ151" i="1" s="1"/>
  <c r="AX66" i="1"/>
  <c r="CQ66" i="1" s="1"/>
  <c r="DX173" i="1"/>
  <c r="EA33" i="1"/>
  <c r="L34" i="4"/>
  <c r="EA6" i="1"/>
  <c r="D33" i="4"/>
  <c r="EA101" i="1"/>
  <c r="AB38" i="4"/>
  <c r="EA178" i="1"/>
  <c r="AB66" i="4"/>
  <c r="AB63" i="4"/>
  <c r="EA163" i="1"/>
  <c r="EA128" i="1"/>
  <c r="AJ39" i="4"/>
  <c r="AS207" i="1"/>
  <c r="BR205" i="1"/>
  <c r="DS205" i="1" s="1"/>
  <c r="BR195" i="1"/>
  <c r="DS195" i="1" s="1"/>
  <c r="BR187" i="1"/>
  <c r="BR199" i="1"/>
  <c r="DS199" i="1" s="1"/>
  <c r="BR196" i="1"/>
  <c r="DS196" i="1" s="1"/>
  <c r="BR188" i="1"/>
  <c r="DS188" i="1" s="1"/>
  <c r="BR202" i="1"/>
  <c r="DS202" i="1" s="1"/>
  <c r="BR190" i="1"/>
  <c r="DS190" i="1" s="1"/>
  <c r="BR206" i="1"/>
  <c r="DS206" i="1" s="1"/>
  <c r="BR204" i="1"/>
  <c r="DS204" i="1" s="1"/>
  <c r="BR189" i="1"/>
  <c r="DS189" i="1" s="1"/>
  <c r="BR197" i="1"/>
  <c r="DS197" i="1" s="1"/>
  <c r="BR191" i="1"/>
  <c r="DS191" i="1" s="1"/>
  <c r="BR203" i="1"/>
  <c r="DS203" i="1" s="1"/>
  <c r="BR193" i="1"/>
  <c r="DS193" i="1" s="1"/>
  <c r="BR201" i="1"/>
  <c r="DS201" i="1" s="1"/>
  <c r="BR192" i="1"/>
  <c r="DS192" i="1" s="1"/>
  <c r="BR198" i="1"/>
  <c r="DS198" i="1" s="1"/>
  <c r="D34" i="4"/>
  <c r="EA7" i="1"/>
  <c r="EA18" i="1"/>
  <c r="EA83" i="1"/>
  <c r="BW110" i="1"/>
  <c r="EC110" i="1" s="1"/>
  <c r="BW127" i="1"/>
  <c r="EC127" i="1" s="1"/>
  <c r="BW113" i="1"/>
  <c r="EC113" i="1" s="1"/>
  <c r="BW118" i="1"/>
  <c r="EC118" i="1" s="1"/>
  <c r="BW114" i="1"/>
  <c r="EC114" i="1" s="1"/>
  <c r="BW124" i="1"/>
  <c r="EC124" i="1" s="1"/>
  <c r="BW121" i="1"/>
  <c r="EC121" i="1" s="1"/>
  <c r="BW119" i="1"/>
  <c r="EC119" i="1" s="1"/>
  <c r="BW128" i="1"/>
  <c r="EC128" i="1" s="1"/>
  <c r="BW123" i="1"/>
  <c r="EC123" i="1" s="1"/>
  <c r="BW126" i="1"/>
  <c r="EC126" i="1" s="1"/>
  <c r="BW112" i="1"/>
  <c r="EC112" i="1" s="1"/>
  <c r="BW125" i="1"/>
  <c r="EC125" i="1" s="1"/>
  <c r="BW115" i="1"/>
  <c r="EC115" i="1" s="1"/>
  <c r="BW111" i="1"/>
  <c r="EC111" i="1" s="1"/>
  <c r="BW109" i="1"/>
  <c r="BW129" i="1" s="1"/>
  <c r="BW120" i="1"/>
  <c r="EC120" i="1" s="1"/>
  <c r="BW117" i="1"/>
  <c r="EC117" i="1" s="1"/>
  <c r="AR35" i="4"/>
  <c r="EA138" i="1"/>
  <c r="EA110" i="1"/>
  <c r="AJ33" i="4"/>
  <c r="EA34" i="1"/>
  <c r="L35" i="4"/>
  <c r="D35" i="4"/>
  <c r="EA8" i="1"/>
  <c r="EA84" i="1"/>
  <c r="AB33" i="4"/>
  <c r="AB35" i="4"/>
  <c r="EA86" i="1"/>
  <c r="DS109" i="1"/>
  <c r="DS129" i="1" s="1"/>
  <c r="EA136" i="1"/>
  <c r="AR33" i="4"/>
  <c r="AB62" i="4"/>
  <c r="EA162" i="1"/>
  <c r="AJ36" i="4"/>
  <c r="EA114" i="1"/>
  <c r="AJ34" i="4"/>
  <c r="EA111" i="1"/>
  <c r="AZ140" i="1"/>
  <c r="CS140" i="1" s="1"/>
  <c r="DS5" i="1"/>
  <c r="DS25" i="1" s="1"/>
  <c r="BR25" i="1"/>
  <c r="DO25" i="1"/>
  <c r="EA24" i="1"/>
  <c r="EA10" i="1"/>
  <c r="D36" i="4"/>
  <c r="AB34" i="4"/>
  <c r="EA85" i="1"/>
  <c r="AB67" i="4"/>
  <c r="EA179" i="1"/>
  <c r="AR34" i="4"/>
  <c r="EA137" i="1"/>
  <c r="EA31" i="1"/>
  <c r="EA166" i="1"/>
  <c r="AB65" i="4"/>
  <c r="AJ37" i="4"/>
  <c r="EA126" i="1"/>
  <c r="L37" i="4"/>
  <c r="EA48" i="1"/>
  <c r="DE187" i="1"/>
  <c r="DE207" i="1" s="1"/>
  <c r="EA49" i="1"/>
  <c r="L38" i="4"/>
  <c r="EA36" i="1"/>
  <c r="L36" i="4"/>
  <c r="DQ77" i="1"/>
  <c r="EA12" i="1"/>
  <c r="DK187" i="1"/>
  <c r="DK207" i="1" s="1"/>
  <c r="DW187" i="1"/>
  <c r="DW207" i="1" s="1"/>
  <c r="EA161" i="1"/>
  <c r="EA127" i="1"/>
  <c r="AJ38" i="4"/>
  <c r="EA112" i="1"/>
  <c r="AJ35" i="4"/>
  <c r="L39" i="4"/>
  <c r="EA50" i="1"/>
  <c r="EC83" i="1"/>
  <c r="EC103" i="1" s="1"/>
  <c r="DG77" i="1"/>
  <c r="DM77" i="1"/>
  <c r="EA100" i="1"/>
  <c r="AB37" i="4"/>
  <c r="EA152" i="1"/>
  <c r="AR37" i="4"/>
  <c r="EA140" i="1"/>
  <c r="AR36" i="4"/>
  <c r="BV25" i="1"/>
  <c r="EA5" i="1"/>
  <c r="AZ153" i="1"/>
  <c r="CS153" i="1" s="1"/>
  <c r="AZ149" i="1"/>
  <c r="CS149" i="1" s="1"/>
  <c r="AZ146" i="1"/>
  <c r="DL146" i="1" s="1"/>
  <c r="EA32" i="1"/>
  <c r="L33" i="4"/>
  <c r="DO187" i="1"/>
  <c r="DO207" i="1" s="1"/>
  <c r="AB36" i="4"/>
  <c r="EA88" i="1"/>
  <c r="AB68" i="4"/>
  <c r="EA180" i="1"/>
  <c r="EA153" i="1"/>
  <c r="AR38" i="4"/>
  <c r="AR39" i="4"/>
  <c r="EA154" i="1"/>
  <c r="AZ137" i="1"/>
  <c r="CS137" i="1" s="1"/>
  <c r="AZ152" i="1"/>
  <c r="CS152" i="1" s="1"/>
  <c r="AX63" i="1"/>
  <c r="DH63" i="1" s="1"/>
  <c r="BW21" i="1"/>
  <c r="EC21" i="1" s="1"/>
  <c r="BW24" i="1"/>
  <c r="EC24" i="1" s="1"/>
  <c r="BW7" i="1"/>
  <c r="EC7" i="1" s="1"/>
  <c r="BW12" i="1"/>
  <c r="EC12" i="1" s="1"/>
  <c r="BW10" i="1"/>
  <c r="EC10" i="1" s="1"/>
  <c r="BW23" i="1"/>
  <c r="EC23" i="1" s="1"/>
  <c r="BW15" i="1"/>
  <c r="EC15" i="1" s="1"/>
  <c r="BW18" i="1"/>
  <c r="EC18" i="1" s="1"/>
  <c r="BW17" i="1"/>
  <c r="EC17" i="1" s="1"/>
  <c r="BW22" i="1"/>
  <c r="EC22" i="1" s="1"/>
  <c r="BW9" i="1"/>
  <c r="EC9" i="1" s="1"/>
  <c r="BW11" i="1"/>
  <c r="EC11" i="1" s="1"/>
  <c r="BW8" i="1"/>
  <c r="EC8" i="1" s="1"/>
  <c r="BW5" i="1"/>
  <c r="BW16" i="1"/>
  <c r="EC16" i="1" s="1"/>
  <c r="BW14" i="1"/>
  <c r="EC14" i="1" s="1"/>
  <c r="BW13" i="1"/>
  <c r="EC13" i="1" s="1"/>
  <c r="DE77" i="1"/>
  <c r="DQ187" i="1"/>
  <c r="DQ207" i="1" s="1"/>
  <c r="BV193" i="1"/>
  <c r="EA193" i="1" s="1"/>
  <c r="BV206" i="1"/>
  <c r="EA206" i="1" s="1"/>
  <c r="BV190" i="1"/>
  <c r="EA190" i="1" s="1"/>
  <c r="BV191" i="1"/>
  <c r="EA191" i="1" s="1"/>
  <c r="BV192" i="1"/>
  <c r="EA192" i="1" s="1"/>
  <c r="BV202" i="1"/>
  <c r="EA202" i="1" s="1"/>
  <c r="BV201" i="1"/>
  <c r="EA201" i="1" s="1"/>
  <c r="BV195" i="1"/>
  <c r="EA195" i="1" s="1"/>
  <c r="BV199" i="1"/>
  <c r="EA199" i="1" s="1"/>
  <c r="BV189" i="1"/>
  <c r="EA189" i="1" s="1"/>
  <c r="BV198" i="1"/>
  <c r="EA198" i="1" s="1"/>
  <c r="BV205" i="1"/>
  <c r="EA205" i="1" s="1"/>
  <c r="BV188" i="1"/>
  <c r="EA188" i="1" s="1"/>
  <c r="BV197" i="1"/>
  <c r="EA197" i="1" s="1"/>
  <c r="BV187" i="1"/>
  <c r="BV196" i="1"/>
  <c r="EA196" i="1" s="1"/>
  <c r="BV204" i="1"/>
  <c r="EA204" i="1" s="1"/>
  <c r="BV203" i="1"/>
  <c r="EA203" i="1" s="1"/>
  <c r="DQ25" i="1"/>
  <c r="EA102" i="1"/>
  <c r="AB39" i="4"/>
  <c r="DI77" i="1"/>
  <c r="AB64" i="4"/>
  <c r="EA164" i="1"/>
  <c r="EA135" i="1"/>
  <c r="EA109" i="1"/>
  <c r="AX73" i="1"/>
  <c r="DH73" i="1" s="1"/>
  <c r="AY150" i="1"/>
  <c r="CR150" i="1" s="1"/>
  <c r="AZ151" i="1"/>
  <c r="CS151" i="1" s="1"/>
  <c r="AY140" i="1"/>
  <c r="CR140" i="1" s="1"/>
  <c r="AY147" i="1"/>
  <c r="CR147" i="1" s="1"/>
  <c r="AY138" i="1"/>
  <c r="DJ138" i="1" s="1"/>
  <c r="AY149" i="1"/>
  <c r="DJ149" i="1" s="1"/>
  <c r="CD155" i="1"/>
  <c r="CY165" i="1"/>
  <c r="AY143" i="1"/>
  <c r="CR143" i="1" s="1"/>
  <c r="AY154" i="1"/>
  <c r="CR154" i="1" s="1"/>
  <c r="AZ141" i="1"/>
  <c r="DL141" i="1" s="1"/>
  <c r="AX10" i="1"/>
  <c r="DH10" i="1" s="1"/>
  <c r="AY141" i="1"/>
  <c r="CR141" i="1" s="1"/>
  <c r="AX59" i="1"/>
  <c r="DH59" i="1" s="1"/>
  <c r="AX13" i="1"/>
  <c r="CQ13" i="1" s="1"/>
  <c r="AZ147" i="1"/>
  <c r="CS147" i="1" s="1"/>
  <c r="AZ136" i="1"/>
  <c r="CS136" i="1" s="1"/>
  <c r="AZ150" i="1"/>
  <c r="CS150" i="1" s="1"/>
  <c r="AZ144" i="1"/>
  <c r="CS144" i="1" s="1"/>
  <c r="AZ135" i="1"/>
  <c r="AZ138" i="1"/>
  <c r="CS138" i="1" s="1"/>
  <c r="AZ139" i="1"/>
  <c r="DL139" i="1" s="1"/>
  <c r="AZ154" i="1"/>
  <c r="CS154" i="1" s="1"/>
  <c r="AW101" i="1"/>
  <c r="CP101" i="1" s="1"/>
  <c r="AW89" i="1"/>
  <c r="DF89" i="1" s="1"/>
  <c r="AW86" i="1"/>
  <c r="DF86" i="1" s="1"/>
  <c r="AW99" i="1"/>
  <c r="CP99" i="1" s="1"/>
  <c r="AW93" i="1"/>
  <c r="CP93" i="1" s="1"/>
  <c r="AX23" i="1"/>
  <c r="CQ23" i="1" s="1"/>
  <c r="AX7" i="1"/>
  <c r="CQ7" i="1" s="1"/>
  <c r="AX8" i="1"/>
  <c r="CQ8" i="1" s="1"/>
  <c r="AX16" i="1"/>
  <c r="DH16" i="1" s="1"/>
  <c r="AX6" i="1"/>
  <c r="DH6" i="1" s="1"/>
  <c r="X77" i="1"/>
  <c r="BB71" i="1" s="1"/>
  <c r="AX69" i="1"/>
  <c r="DH69" i="1" s="1"/>
  <c r="AX58" i="1"/>
  <c r="DH58" i="1" s="1"/>
  <c r="AX75" i="1"/>
  <c r="CQ75" i="1" s="1"/>
  <c r="AX61" i="1"/>
  <c r="DH61" i="1" s="1"/>
  <c r="AX74" i="1"/>
  <c r="CQ74" i="1" s="1"/>
  <c r="AX67" i="1"/>
  <c r="CQ67" i="1" s="1"/>
  <c r="AX76" i="1"/>
  <c r="DH76" i="1" s="1"/>
  <c r="CB77" i="1"/>
  <c r="AX68" i="1"/>
  <c r="DH68" i="1" s="1"/>
  <c r="AX60" i="1"/>
  <c r="S13" i="4" s="1"/>
  <c r="AX57" i="1"/>
  <c r="AX71" i="1"/>
  <c r="DH71" i="1" s="1"/>
  <c r="AX65" i="1"/>
  <c r="DH65" i="1" s="1"/>
  <c r="AX72" i="1"/>
  <c r="DH72" i="1" s="1"/>
  <c r="AX9" i="1"/>
  <c r="DH9" i="1" s="1"/>
  <c r="AX18" i="1"/>
  <c r="CQ18" i="1" s="1"/>
  <c r="AX15" i="1"/>
  <c r="CQ15" i="1" s="1"/>
  <c r="CB25" i="1"/>
  <c r="AX11" i="1"/>
  <c r="AX12" i="1"/>
  <c r="DH12" i="1" s="1"/>
  <c r="AX14" i="1"/>
  <c r="CQ14" i="1" s="1"/>
  <c r="AX24" i="1"/>
  <c r="CQ24" i="1" s="1"/>
  <c r="AX21" i="1"/>
  <c r="DH21" i="1" s="1"/>
  <c r="AX17" i="1"/>
  <c r="DH17" i="1" s="1"/>
  <c r="AX22" i="1"/>
  <c r="DJ169" i="1"/>
  <c r="CR169" i="1"/>
  <c r="AW84" i="1"/>
  <c r="DF84" i="1" s="1"/>
  <c r="AW83" i="1"/>
  <c r="AW87" i="1"/>
  <c r="DF87" i="1" s="1"/>
  <c r="AW97" i="1"/>
  <c r="DF97" i="1" s="1"/>
  <c r="M25" i="1"/>
  <c r="CA103" i="1"/>
  <c r="AW91" i="1"/>
  <c r="CP91" i="1" s="1"/>
  <c r="AW102" i="1"/>
  <c r="CP102" i="1" s="1"/>
  <c r="AW92" i="1"/>
  <c r="DF92" i="1" s="1"/>
  <c r="AW94" i="1"/>
  <c r="CP94" i="1" s="1"/>
  <c r="AW100" i="1"/>
  <c r="DF100" i="1" s="1"/>
  <c r="DH139" i="1"/>
  <c r="CQ139" i="1"/>
  <c r="DJ93" i="1"/>
  <c r="CR93" i="1"/>
  <c r="DL62" i="1"/>
  <c r="CS62" i="1"/>
  <c r="DH99" i="1"/>
  <c r="CQ99" i="1"/>
  <c r="AW98" i="1"/>
  <c r="AW95" i="1"/>
  <c r="CP95" i="1" s="1"/>
  <c r="DJ118" i="1"/>
  <c r="CR118" i="1"/>
  <c r="AV86" i="1"/>
  <c r="AV85" i="1"/>
  <c r="AV84" i="1"/>
  <c r="AV83" i="1"/>
  <c r="AV89" i="1"/>
  <c r="AV102" i="1"/>
  <c r="AV101" i="1"/>
  <c r="AV100" i="1"/>
  <c r="AV99" i="1"/>
  <c r="AV98" i="1"/>
  <c r="AV97" i="1"/>
  <c r="AV95" i="1"/>
  <c r="BZ103" i="1"/>
  <c r="AV94" i="1"/>
  <c r="AV88" i="1"/>
  <c r="AV87" i="1"/>
  <c r="AV93" i="1"/>
  <c r="AV92" i="1"/>
  <c r="AV91" i="1"/>
  <c r="N155" i="1"/>
  <c r="CO137" i="1"/>
  <c r="DD137" i="1"/>
  <c r="AQ4" i="4"/>
  <c r="AS4" i="4" s="1"/>
  <c r="Z77" i="1"/>
  <c r="CH58" i="1"/>
  <c r="CK60" i="1"/>
  <c r="CH60" i="1"/>
  <c r="CH102" i="1"/>
  <c r="CH76" i="1"/>
  <c r="CS145" i="1"/>
  <c r="DL145" i="1"/>
  <c r="CH101" i="1"/>
  <c r="CH86" i="1"/>
  <c r="CH75" i="1"/>
  <c r="CC204" i="1"/>
  <c r="U207" i="1"/>
  <c r="CQ5" i="1"/>
  <c r="DH5" i="1"/>
  <c r="CH154" i="1"/>
  <c r="CH85" i="1"/>
  <c r="CK59" i="1"/>
  <c r="CH59" i="1"/>
  <c r="AV173" i="1"/>
  <c r="AV166" i="1"/>
  <c r="AV170" i="1"/>
  <c r="AV163" i="1"/>
  <c r="AV177" i="1"/>
  <c r="AV171" i="1"/>
  <c r="AV167" i="1"/>
  <c r="AV180" i="1"/>
  <c r="AV169" i="1"/>
  <c r="AV172" i="1"/>
  <c r="AV165" i="1"/>
  <c r="AV164" i="1"/>
  <c r="AV161" i="1"/>
  <c r="AV179" i="1"/>
  <c r="AV178" i="1"/>
  <c r="AV176" i="1"/>
  <c r="AV175" i="1"/>
  <c r="BZ181" i="1"/>
  <c r="AV162" i="1"/>
  <c r="CH153" i="1"/>
  <c r="V207" i="1"/>
  <c r="CD190" i="1"/>
  <c r="DF71" i="1"/>
  <c r="CP71" i="1"/>
  <c r="CH137" i="1"/>
  <c r="CH136" i="1"/>
  <c r="Z155" i="1"/>
  <c r="CH74" i="1"/>
  <c r="CH138" i="1"/>
  <c r="CO65" i="1"/>
  <c r="DD65" i="1"/>
  <c r="CP136" i="1"/>
  <c r="DF136" i="1"/>
  <c r="AQ7" i="4"/>
  <c r="AZ101" i="1"/>
  <c r="AZ83" i="1"/>
  <c r="AZ97" i="1"/>
  <c r="AZ94" i="1"/>
  <c r="AZ88" i="1"/>
  <c r="AZ84" i="1"/>
  <c r="CD103" i="1"/>
  <c r="AZ99" i="1"/>
  <c r="AZ93" i="1"/>
  <c r="AZ86" i="1"/>
  <c r="AZ89" i="1"/>
  <c r="AZ102" i="1"/>
  <c r="AZ100" i="1"/>
  <c r="AZ92" i="1"/>
  <c r="AZ91" i="1"/>
  <c r="AZ87" i="1"/>
  <c r="AZ85" i="1"/>
  <c r="AZ98" i="1"/>
  <c r="AZ95" i="1"/>
  <c r="DH62" i="1"/>
  <c r="CQ62" i="1"/>
  <c r="CH84" i="1"/>
  <c r="Z103" i="1"/>
  <c r="AZ169" i="1"/>
  <c r="AZ166" i="1"/>
  <c r="CD181" i="1"/>
  <c r="AZ163" i="1"/>
  <c r="AZ165" i="1"/>
  <c r="AZ179" i="1"/>
  <c r="AZ176" i="1"/>
  <c r="AZ175" i="1"/>
  <c r="AZ171" i="1"/>
  <c r="AZ164" i="1"/>
  <c r="AZ162" i="1"/>
  <c r="AZ173" i="1"/>
  <c r="AZ161" i="1"/>
  <c r="AZ178" i="1"/>
  <c r="AZ177" i="1"/>
  <c r="AZ172" i="1"/>
  <c r="AZ170" i="1"/>
  <c r="AZ167" i="1"/>
  <c r="AZ180" i="1"/>
  <c r="CE32" i="1"/>
  <c r="W51" i="1"/>
  <c r="CE34" i="1"/>
  <c r="CH48" i="1"/>
  <c r="N205" i="1"/>
  <c r="N12" i="1"/>
  <c r="N129" i="1"/>
  <c r="AW110" i="1"/>
  <c r="AW126" i="1"/>
  <c r="AW124" i="1"/>
  <c r="AW120" i="1"/>
  <c r="AW112" i="1"/>
  <c r="AW109" i="1"/>
  <c r="AW121" i="1"/>
  <c r="AW127" i="1"/>
  <c r="AW118" i="1"/>
  <c r="AW115" i="1"/>
  <c r="CA129" i="1"/>
  <c r="AW119" i="1"/>
  <c r="AW113" i="1"/>
  <c r="AW123" i="1"/>
  <c r="AW114" i="1"/>
  <c r="AW111" i="1"/>
  <c r="AW128" i="1"/>
  <c r="AW125" i="1"/>
  <c r="AW117" i="1"/>
  <c r="CK74" i="1"/>
  <c r="CH126" i="1"/>
  <c r="N206" i="1"/>
  <c r="N18" i="1"/>
  <c r="CK34" i="1"/>
  <c r="CH34" i="1"/>
  <c r="DL33" i="1"/>
  <c r="CS33" i="1"/>
  <c r="AZ117" i="1"/>
  <c r="AZ112" i="1"/>
  <c r="AZ128" i="1"/>
  <c r="AZ109" i="1"/>
  <c r="AZ125" i="1"/>
  <c r="AZ115" i="1"/>
  <c r="CD129" i="1"/>
  <c r="AZ124" i="1"/>
  <c r="AZ114" i="1"/>
  <c r="AZ111" i="1"/>
  <c r="AZ123" i="1"/>
  <c r="AZ118" i="1"/>
  <c r="AZ127" i="1"/>
  <c r="AZ126" i="1"/>
  <c r="AZ121" i="1"/>
  <c r="AZ119" i="1"/>
  <c r="AZ120" i="1"/>
  <c r="AZ113" i="1"/>
  <c r="AZ110" i="1"/>
  <c r="N77" i="1"/>
  <c r="CH112" i="1"/>
  <c r="CH50" i="1"/>
  <c r="L207" i="1"/>
  <c r="BD16" i="1"/>
  <c r="BD11" i="1"/>
  <c r="BD8" i="1"/>
  <c r="BD18" i="1"/>
  <c r="BD15" i="1"/>
  <c r="BD9" i="1"/>
  <c r="BD5" i="1"/>
  <c r="BD12" i="1"/>
  <c r="CH25" i="1"/>
  <c r="BD13" i="1"/>
  <c r="BD6" i="1"/>
  <c r="BD21" i="1"/>
  <c r="BD24" i="1"/>
  <c r="BD23" i="1"/>
  <c r="BD17" i="1"/>
  <c r="BD14" i="1"/>
  <c r="BD10" i="1"/>
  <c r="BD7" i="1"/>
  <c r="BD22" i="1"/>
  <c r="CH128" i="1"/>
  <c r="CH49" i="1"/>
  <c r="R207" i="1"/>
  <c r="AV47" i="1"/>
  <c r="AV37" i="1"/>
  <c r="AV43" i="1"/>
  <c r="AV34" i="1"/>
  <c r="AV33" i="1"/>
  <c r="AV41" i="1"/>
  <c r="AV46" i="1"/>
  <c r="AV45" i="1"/>
  <c r="BZ51" i="1"/>
  <c r="AV32" i="1"/>
  <c r="AV48" i="1"/>
  <c r="AV40" i="1"/>
  <c r="AV36" i="1"/>
  <c r="AV35" i="1"/>
  <c r="AV31" i="1"/>
  <c r="AV49" i="1"/>
  <c r="AV42" i="1"/>
  <c r="AV39" i="1"/>
  <c r="AV50" i="1"/>
  <c r="CE33" i="1"/>
  <c r="CR69" i="1"/>
  <c r="DJ69" i="1"/>
  <c r="DH40" i="1"/>
  <c r="CQ40" i="1"/>
  <c r="CH127" i="1"/>
  <c r="CK33" i="1"/>
  <c r="CH33" i="1"/>
  <c r="DJ144" i="1"/>
  <c r="CR144" i="1"/>
  <c r="BD178" i="1"/>
  <c r="BD161" i="1"/>
  <c r="BD177" i="1"/>
  <c r="BD171" i="1"/>
  <c r="CH181" i="1"/>
  <c r="BD162" i="1"/>
  <c r="BD175" i="1"/>
  <c r="BD173" i="1"/>
  <c r="BD172" i="1"/>
  <c r="BD170" i="1"/>
  <c r="BD176" i="1"/>
  <c r="BD165" i="1"/>
  <c r="BD180" i="1"/>
  <c r="BD167" i="1"/>
  <c r="BD179" i="1"/>
  <c r="BD164" i="1"/>
  <c r="BD163" i="1"/>
  <c r="BD166" i="1"/>
  <c r="BD169" i="1"/>
  <c r="CH111" i="1"/>
  <c r="CH32" i="1"/>
  <c r="Z51" i="1"/>
  <c r="K207" i="1"/>
  <c r="DF40" i="1"/>
  <c r="CP40" i="1"/>
  <c r="CK178" i="1"/>
  <c r="AC181" i="1"/>
  <c r="Z129" i="1"/>
  <c r="CH110" i="1"/>
  <c r="AW15" i="1"/>
  <c r="AW9" i="1"/>
  <c r="AW6" i="1"/>
  <c r="C7" i="4" s="1"/>
  <c r="AW24" i="1"/>
  <c r="AW10" i="1"/>
  <c r="AW12" i="1"/>
  <c r="AW22" i="1"/>
  <c r="AW16" i="1"/>
  <c r="AW23" i="1"/>
  <c r="AW13" i="1"/>
  <c r="AW7" i="1"/>
  <c r="AW8" i="1"/>
  <c r="AW5" i="1"/>
  <c r="AW18" i="1"/>
  <c r="AW11" i="1"/>
  <c r="AW17" i="1"/>
  <c r="CA25" i="1"/>
  <c r="AW14" i="1"/>
  <c r="AW21" i="1"/>
  <c r="AA8" i="4"/>
  <c r="AC8" i="4" s="1"/>
  <c r="CP85" i="1"/>
  <c r="DF85" i="1"/>
  <c r="CQ120" i="1" l="1"/>
  <c r="DH120" i="1"/>
  <c r="DJ89" i="1"/>
  <c r="CR89" i="1"/>
  <c r="CQ128" i="1"/>
  <c r="DH128" i="1"/>
  <c r="DH123" i="1"/>
  <c r="CQ123" i="1"/>
  <c r="DH124" i="1"/>
  <c r="CQ124" i="1"/>
  <c r="CQ121" i="1"/>
  <c r="DH121" i="1"/>
  <c r="CQ125" i="1"/>
  <c r="DH125" i="1"/>
  <c r="DL17" i="1"/>
  <c r="CS17" i="1"/>
  <c r="DL24" i="1"/>
  <c r="CS24" i="1"/>
  <c r="DL21" i="1"/>
  <c r="CS21" i="1"/>
  <c r="CS13" i="1"/>
  <c r="DL13" i="1"/>
  <c r="CS16" i="1"/>
  <c r="DL16" i="1"/>
  <c r="DL23" i="1"/>
  <c r="CS23" i="1"/>
  <c r="CS18" i="1"/>
  <c r="DL18" i="1"/>
  <c r="DL8" i="1"/>
  <c r="C16" i="4"/>
  <c r="CS8" i="1"/>
  <c r="CS6" i="1"/>
  <c r="DL6" i="1"/>
  <c r="CS7" i="1"/>
  <c r="DL9" i="1"/>
  <c r="CS12" i="1"/>
  <c r="CS15" i="1"/>
  <c r="CS22" i="1"/>
  <c r="DL10" i="1"/>
  <c r="DL5" i="1"/>
  <c r="C17" i="4"/>
  <c r="DH114" i="1"/>
  <c r="DH110" i="1"/>
  <c r="AI11" i="4"/>
  <c r="DJ91" i="1"/>
  <c r="CR84" i="1"/>
  <c r="DH117" i="1"/>
  <c r="CS14" i="1"/>
  <c r="DJ99" i="1"/>
  <c r="DL34" i="1"/>
  <c r="CR125" i="1"/>
  <c r="K16" i="4"/>
  <c r="M16" i="4" s="1"/>
  <c r="CQ111" i="1"/>
  <c r="CP34" i="1"/>
  <c r="CQ147" i="1"/>
  <c r="DJ128" i="1"/>
  <c r="DL43" i="1"/>
  <c r="K11" i="4"/>
  <c r="CP42" i="1"/>
  <c r="CQ146" i="1"/>
  <c r="DH32" i="1"/>
  <c r="DF34" i="1"/>
  <c r="DH111" i="1"/>
  <c r="AZ25" i="1"/>
  <c r="CS25" i="1" s="1"/>
  <c r="CS11" i="1"/>
  <c r="DJ83" i="1"/>
  <c r="CQ115" i="1"/>
  <c r="CS35" i="1"/>
  <c r="CR22" i="1"/>
  <c r="C15" i="4"/>
  <c r="F15" i="4" s="1"/>
  <c r="G15" i="4" s="1"/>
  <c r="H15" i="4" s="1"/>
  <c r="CF24" i="1"/>
  <c r="CO22" i="1"/>
  <c r="C6" i="4"/>
  <c r="F6" i="4" s="1"/>
  <c r="G6" i="4" s="1"/>
  <c r="H6" i="4" s="1"/>
  <c r="CF19" i="1"/>
  <c r="C10" i="4"/>
  <c r="DD8" i="1"/>
  <c r="C5" i="4"/>
  <c r="E5" i="4" s="1"/>
  <c r="CF20" i="1"/>
  <c r="CQ22" i="1"/>
  <c r="C14" i="4"/>
  <c r="E14" i="4" s="1"/>
  <c r="CE18" i="1"/>
  <c r="CO7" i="1"/>
  <c r="C4" i="4"/>
  <c r="E4" i="4" s="1"/>
  <c r="C3" i="4"/>
  <c r="E3" i="4" s="1"/>
  <c r="DS181" i="1"/>
  <c r="CR88" i="1"/>
  <c r="CS40" i="1"/>
  <c r="AI14" i="4"/>
  <c r="AL14" i="4" s="1"/>
  <c r="AM14" i="4" s="1"/>
  <c r="AN14" i="4" s="1"/>
  <c r="DJ120" i="1"/>
  <c r="DD67" i="1"/>
  <c r="CY179" i="1"/>
  <c r="CQ113" i="1"/>
  <c r="AI13" i="4"/>
  <c r="AK13" i="4" s="1"/>
  <c r="DH109" i="1"/>
  <c r="DH118" i="1"/>
  <c r="CQ112" i="1"/>
  <c r="DJ112" i="1"/>
  <c r="K8" i="4"/>
  <c r="M8" i="4" s="1"/>
  <c r="CQ126" i="1"/>
  <c r="CS36" i="1"/>
  <c r="CR85" i="1"/>
  <c r="CL64" i="1"/>
  <c r="DJ62" i="1"/>
  <c r="DD10" i="1"/>
  <c r="CQ127" i="1"/>
  <c r="DJ100" i="1"/>
  <c r="CP59" i="1"/>
  <c r="DH119" i="1"/>
  <c r="DL63" i="1"/>
  <c r="CR101" i="1"/>
  <c r="CO11" i="1"/>
  <c r="DJ95" i="1"/>
  <c r="AC111" i="1"/>
  <c r="CK111" i="1" s="1"/>
  <c r="CX179" i="1"/>
  <c r="CR68" i="1"/>
  <c r="CR94" i="1"/>
  <c r="DJ113" i="1"/>
  <c r="DJ153" i="1"/>
  <c r="CQ39" i="1"/>
  <c r="CQ37" i="1"/>
  <c r="CR13" i="1"/>
  <c r="AC89" i="1"/>
  <c r="CK89" i="1" s="1"/>
  <c r="CP32" i="1"/>
  <c r="AV181" i="1"/>
  <c r="CO181" i="1" s="1"/>
  <c r="AZ129" i="1"/>
  <c r="CS129" i="1" s="1"/>
  <c r="K7" i="4"/>
  <c r="N7" i="4" s="1"/>
  <c r="O7" i="4" s="1"/>
  <c r="P7" i="4" s="1"/>
  <c r="DF139" i="1"/>
  <c r="CR87" i="1"/>
  <c r="DH154" i="1"/>
  <c r="AQ12" i="4"/>
  <c r="AS12" i="4" s="1"/>
  <c r="CO16" i="1"/>
  <c r="EA181" i="1"/>
  <c r="EA155" i="1"/>
  <c r="DF36" i="1"/>
  <c r="CR110" i="1"/>
  <c r="CQ137" i="1"/>
  <c r="AZ103" i="1"/>
  <c r="CS103" i="1" s="1"/>
  <c r="AV103" i="1"/>
  <c r="CO103" i="1" s="1"/>
  <c r="AX77" i="1"/>
  <c r="CQ77" i="1" s="1"/>
  <c r="DJ174" i="1"/>
  <c r="CR174" i="1"/>
  <c r="DD168" i="1"/>
  <c r="CO168" i="1"/>
  <c r="CO8" i="1"/>
  <c r="DJ168" i="1"/>
  <c r="CR168" i="1"/>
  <c r="EA129" i="1"/>
  <c r="EA103" i="1"/>
  <c r="BR207" i="1"/>
  <c r="EB64" i="1"/>
  <c r="DA64" i="1"/>
  <c r="DL60" i="1"/>
  <c r="BV207" i="1"/>
  <c r="AY51" i="1"/>
  <c r="CR51" i="1" s="1"/>
  <c r="DL168" i="1"/>
  <c r="CS168" i="1"/>
  <c r="AV51" i="1"/>
  <c r="CO51" i="1" s="1"/>
  <c r="CS37" i="1"/>
  <c r="AX129" i="1"/>
  <c r="CQ129" i="1" s="1"/>
  <c r="CR121" i="1"/>
  <c r="DL174" i="1"/>
  <c r="CS174" i="1"/>
  <c r="AX155" i="1"/>
  <c r="CQ155" i="1" s="1"/>
  <c r="AY103" i="1"/>
  <c r="CR103" i="1" s="1"/>
  <c r="AZ181" i="1"/>
  <c r="DD174" i="1"/>
  <c r="CO174" i="1"/>
  <c r="AW129" i="1"/>
  <c r="CP129" i="1" s="1"/>
  <c r="EA51" i="1"/>
  <c r="CP83" i="1"/>
  <c r="AW103" i="1"/>
  <c r="CP103" i="1" s="1"/>
  <c r="CS135" i="1"/>
  <c r="AZ155" i="1"/>
  <c r="CS155" i="1" s="1"/>
  <c r="CP135" i="1"/>
  <c r="AW155" i="1"/>
  <c r="CP155" i="1" s="1"/>
  <c r="EC161" i="1"/>
  <c r="EC181" i="1" s="1"/>
  <c r="BW181" i="1"/>
  <c r="CR135" i="1"/>
  <c r="AY155" i="1"/>
  <c r="CR155" i="1" s="1"/>
  <c r="DD109" i="1"/>
  <c r="AV129" i="1"/>
  <c r="CO129" i="1" s="1"/>
  <c r="CP57" i="1"/>
  <c r="AW77" i="1"/>
  <c r="CP77" i="1" s="1"/>
  <c r="CQ83" i="1"/>
  <c r="AX103" i="1"/>
  <c r="CQ103" i="1" s="1"/>
  <c r="BD174" i="1"/>
  <c r="CO57" i="1"/>
  <c r="AV77" i="1"/>
  <c r="CO77" i="1" s="1"/>
  <c r="DL57" i="1"/>
  <c r="AZ77" i="1"/>
  <c r="CS77" i="1" s="1"/>
  <c r="DJ109" i="1"/>
  <c r="AY129" i="1"/>
  <c r="CR129" i="1" s="1"/>
  <c r="CR57" i="1"/>
  <c r="AY77" i="1"/>
  <c r="CR77" i="1" s="1"/>
  <c r="DV161" i="1"/>
  <c r="CO135" i="1"/>
  <c r="AV155" i="1"/>
  <c r="CO155" i="1" s="1"/>
  <c r="DF31" i="1"/>
  <c r="AW51" i="1"/>
  <c r="CP51" i="1" s="1"/>
  <c r="CR161" i="1"/>
  <c r="AY181" i="1"/>
  <c r="CY161" i="1"/>
  <c r="CQ31" i="1"/>
  <c r="AX51" i="1"/>
  <c r="CQ51" i="1" s="1"/>
  <c r="DL31" i="1"/>
  <c r="AZ51" i="1"/>
  <c r="CS51" i="1" s="1"/>
  <c r="BD168" i="1"/>
  <c r="BD181" i="1" s="1"/>
  <c r="EC31" i="1"/>
  <c r="EC51" i="1" s="1"/>
  <c r="BW51" i="1"/>
  <c r="BH70" i="1"/>
  <c r="CL70" i="1"/>
  <c r="CR97" i="1"/>
  <c r="DH151" i="1"/>
  <c r="CO139" i="1"/>
  <c r="DJ135" i="1"/>
  <c r="DD136" i="1"/>
  <c r="CO141" i="1"/>
  <c r="AQ5" i="4"/>
  <c r="AT5" i="4" s="1"/>
  <c r="AU5" i="4" s="1"/>
  <c r="AV5" i="4" s="1"/>
  <c r="CO150" i="1"/>
  <c r="AA15" i="4"/>
  <c r="AC15" i="4" s="1"/>
  <c r="DJ98" i="1"/>
  <c r="CR102" i="1"/>
  <c r="CR86" i="1"/>
  <c r="DF39" i="1"/>
  <c r="CR166" i="1"/>
  <c r="DD149" i="1"/>
  <c r="S16" i="4"/>
  <c r="U16" i="4" s="1"/>
  <c r="DD152" i="1"/>
  <c r="CS31" i="1"/>
  <c r="DL50" i="1"/>
  <c r="CR180" i="1"/>
  <c r="DD9" i="1"/>
  <c r="DJ21" i="1"/>
  <c r="CR124" i="1"/>
  <c r="CS76" i="1"/>
  <c r="CR119" i="1"/>
  <c r="CR172" i="1"/>
  <c r="S15" i="4"/>
  <c r="V15" i="4" s="1"/>
  <c r="W15" i="4" s="1"/>
  <c r="X15" i="4" s="1"/>
  <c r="DJ74" i="1"/>
  <c r="CQ135" i="1"/>
  <c r="AQ6" i="4"/>
  <c r="AT6" i="4" s="1"/>
  <c r="AU6" i="4" s="1"/>
  <c r="AV6" i="4" s="1"/>
  <c r="CR111" i="1"/>
  <c r="CS47" i="1"/>
  <c r="CP152" i="1"/>
  <c r="CS42" i="1"/>
  <c r="CR92" i="1"/>
  <c r="CY180" i="1"/>
  <c r="CX175" i="1"/>
  <c r="CY162" i="1"/>
  <c r="CR178" i="1"/>
  <c r="AA44" i="4"/>
  <c r="AD44" i="4" s="1"/>
  <c r="AE44" i="4" s="1"/>
  <c r="CQ140" i="1"/>
  <c r="CR123" i="1"/>
  <c r="CQ93" i="1"/>
  <c r="DJ66" i="1"/>
  <c r="DJ59" i="1"/>
  <c r="DF59" i="1"/>
  <c r="DD74" i="1"/>
  <c r="CP49" i="1"/>
  <c r="AB190" i="1"/>
  <c r="CJ190" i="1" s="1"/>
  <c r="CQ42" i="1"/>
  <c r="DH47" i="1"/>
  <c r="CQ48" i="1"/>
  <c r="K14" i="4"/>
  <c r="N14" i="4" s="1"/>
  <c r="O14" i="4" s="1"/>
  <c r="P14" i="4" s="1"/>
  <c r="DL46" i="1"/>
  <c r="CP43" i="1"/>
  <c r="K10" i="4"/>
  <c r="N10" i="4" s="1"/>
  <c r="O10" i="4" s="1"/>
  <c r="P10" i="4" s="1"/>
  <c r="DH31" i="1"/>
  <c r="DL41" i="1"/>
  <c r="CO21" i="1"/>
  <c r="DD7" i="1"/>
  <c r="DD13" i="1"/>
  <c r="CI20" i="1"/>
  <c r="AC20" i="1"/>
  <c r="CK20" i="1" s="1"/>
  <c r="CI19" i="1"/>
  <c r="AC19" i="1"/>
  <c r="CK19" i="1" s="1"/>
  <c r="CO14" i="1"/>
  <c r="DD6" i="1"/>
  <c r="AY25" i="1"/>
  <c r="CR25" i="1" s="1"/>
  <c r="CO6" i="1"/>
  <c r="CE19" i="1"/>
  <c r="Y19" i="1"/>
  <c r="Y20" i="1"/>
  <c r="CE20" i="1"/>
  <c r="AV25" i="1"/>
  <c r="CO25" i="1" s="1"/>
  <c r="DD23" i="1"/>
  <c r="CO24" i="1"/>
  <c r="DD15" i="1"/>
  <c r="CO12" i="1"/>
  <c r="DD17" i="1"/>
  <c r="DD18" i="1"/>
  <c r="CR7" i="1"/>
  <c r="DJ23" i="1"/>
  <c r="DJ22" i="1"/>
  <c r="CR8" i="1"/>
  <c r="CR17" i="1"/>
  <c r="CR18" i="1"/>
  <c r="CR12" i="1"/>
  <c r="CR60" i="1"/>
  <c r="CQ143" i="1"/>
  <c r="CO61" i="1"/>
  <c r="CQ41" i="1"/>
  <c r="DF46" i="1"/>
  <c r="DJ61" i="1"/>
  <c r="DJ145" i="1"/>
  <c r="DH144" i="1"/>
  <c r="CS143" i="1"/>
  <c r="DV164" i="1"/>
  <c r="DX175" i="1"/>
  <c r="CS49" i="1"/>
  <c r="DF151" i="1"/>
  <c r="CO151" i="1"/>
  <c r="AQ3" i="4"/>
  <c r="AS3" i="4" s="1"/>
  <c r="DX161" i="1"/>
  <c r="DF35" i="1"/>
  <c r="CP41" i="1"/>
  <c r="DJ173" i="1"/>
  <c r="DD58" i="1"/>
  <c r="CQ35" i="1"/>
  <c r="DF58" i="1"/>
  <c r="CO60" i="1"/>
  <c r="DJ146" i="1"/>
  <c r="DF135" i="1"/>
  <c r="DF62" i="1"/>
  <c r="CO73" i="1"/>
  <c r="S3" i="4"/>
  <c r="U3" i="4" s="1"/>
  <c r="CR170" i="1"/>
  <c r="CQ36" i="1"/>
  <c r="CR177" i="1"/>
  <c r="CR9" i="1"/>
  <c r="CR164" i="1"/>
  <c r="DJ14" i="1"/>
  <c r="K17" i="4"/>
  <c r="N17" i="4" s="1"/>
  <c r="O17" i="4" s="1"/>
  <c r="P17" i="4" s="1"/>
  <c r="DJ58" i="1"/>
  <c r="DJ63" i="1"/>
  <c r="CS48" i="1"/>
  <c r="CS72" i="1"/>
  <c r="DF73" i="1"/>
  <c r="DD59" i="1"/>
  <c r="DD143" i="1"/>
  <c r="CO153" i="1"/>
  <c r="K12" i="4"/>
  <c r="M12" i="4" s="1"/>
  <c r="CR165" i="1"/>
  <c r="DH33" i="1"/>
  <c r="CR127" i="1"/>
  <c r="CR176" i="1"/>
  <c r="DJ179" i="1"/>
  <c r="CP50" i="1"/>
  <c r="DH49" i="1"/>
  <c r="DJ65" i="1"/>
  <c r="CP37" i="1"/>
  <c r="CR114" i="1"/>
  <c r="CO146" i="1"/>
  <c r="DJ11" i="1"/>
  <c r="CY177" i="1"/>
  <c r="DV169" i="1"/>
  <c r="CR75" i="1"/>
  <c r="CR175" i="1"/>
  <c r="DH88" i="1"/>
  <c r="DF48" i="1"/>
  <c r="CP45" i="1"/>
  <c r="DD138" i="1"/>
  <c r="DD154" i="1"/>
  <c r="CR117" i="1"/>
  <c r="CR109" i="1"/>
  <c r="CS57" i="1"/>
  <c r="S17" i="4"/>
  <c r="V17" i="4" s="1"/>
  <c r="W17" i="4" s="1"/>
  <c r="X17" i="4" s="1"/>
  <c r="DH50" i="1"/>
  <c r="DL74" i="1"/>
  <c r="CR115" i="1"/>
  <c r="CQ145" i="1"/>
  <c r="CS67" i="1"/>
  <c r="DH152" i="1"/>
  <c r="DD135" i="1"/>
  <c r="DX167" i="1"/>
  <c r="CR73" i="1"/>
  <c r="CO71" i="1"/>
  <c r="CQ153" i="1"/>
  <c r="AQ14" i="4"/>
  <c r="AS14" i="4" s="1"/>
  <c r="CP141" i="1"/>
  <c r="CY178" i="1"/>
  <c r="CO59" i="1"/>
  <c r="DD57" i="1"/>
  <c r="CS45" i="1"/>
  <c r="DH138" i="1"/>
  <c r="DJ10" i="1"/>
  <c r="DJ24" i="1"/>
  <c r="CY163" i="1"/>
  <c r="DD63" i="1"/>
  <c r="CQ138" i="1"/>
  <c r="CR24" i="1"/>
  <c r="CX163" i="1"/>
  <c r="DF149" i="1"/>
  <c r="CX177" i="1"/>
  <c r="CP58" i="1"/>
  <c r="DF33" i="1"/>
  <c r="S9" i="4"/>
  <c r="V9" i="4" s="1"/>
  <c r="W9" i="4" s="1"/>
  <c r="X9" i="4" s="1"/>
  <c r="DH46" i="1"/>
  <c r="DL59" i="1"/>
  <c r="CQ141" i="1"/>
  <c r="CR171" i="1"/>
  <c r="DJ162" i="1"/>
  <c r="DF60" i="1"/>
  <c r="DX169" i="1"/>
  <c r="CP47" i="1"/>
  <c r="DD62" i="1"/>
  <c r="CR67" i="1"/>
  <c r="DF146" i="1"/>
  <c r="DJ57" i="1"/>
  <c r="DL32" i="1"/>
  <c r="DH150" i="1"/>
  <c r="CS68" i="1"/>
  <c r="CO145" i="1"/>
  <c r="CO144" i="1"/>
  <c r="DJ126" i="1"/>
  <c r="DH136" i="1"/>
  <c r="CR167" i="1"/>
  <c r="CY176" i="1"/>
  <c r="DJ76" i="1"/>
  <c r="CP150" i="1"/>
  <c r="CO66" i="1"/>
  <c r="CO147" i="1"/>
  <c r="AI15" i="4"/>
  <c r="AK15" i="4" s="1"/>
  <c r="CQ136" i="1"/>
  <c r="DJ15" i="1"/>
  <c r="DV172" i="1"/>
  <c r="DL137" i="1"/>
  <c r="DF57" i="1"/>
  <c r="S5" i="4"/>
  <c r="U5" i="4" s="1"/>
  <c r="CS61" i="1"/>
  <c r="DJ16" i="1"/>
  <c r="DJ6" i="1"/>
  <c r="DD76" i="1"/>
  <c r="DH100" i="1"/>
  <c r="CX173" i="1"/>
  <c r="CQ45" i="1"/>
  <c r="DJ154" i="1"/>
  <c r="CP143" i="1"/>
  <c r="CS65" i="1"/>
  <c r="DL140" i="1"/>
  <c r="DJ139" i="1"/>
  <c r="CO69" i="1"/>
  <c r="CQ34" i="1"/>
  <c r="DJ71" i="1"/>
  <c r="DJ72" i="1"/>
  <c r="CQ43" i="1"/>
  <c r="K13" i="4"/>
  <c r="N13" i="4" s="1"/>
  <c r="O13" i="4" s="1"/>
  <c r="P13" i="4" s="1"/>
  <c r="CQ149" i="1"/>
  <c r="CO140" i="1"/>
  <c r="CX180" i="1"/>
  <c r="CY172" i="1"/>
  <c r="AC128" i="1"/>
  <c r="CK128" i="1" s="1"/>
  <c r="CR163" i="1"/>
  <c r="CX165" i="1"/>
  <c r="AC84" i="1"/>
  <c r="CK84" i="1" s="1"/>
  <c r="DL144" i="1"/>
  <c r="CQ101" i="1"/>
  <c r="Y33" i="1"/>
  <c r="AD33" i="1" s="1"/>
  <c r="AC127" i="1"/>
  <c r="CK127" i="1" s="1"/>
  <c r="CX178" i="1"/>
  <c r="CP147" i="1"/>
  <c r="AB205" i="1"/>
  <c r="CJ205" i="1" s="1"/>
  <c r="CS75" i="1"/>
  <c r="CY164" i="1"/>
  <c r="AA188" i="1"/>
  <c r="Y43" i="1"/>
  <c r="CG43" i="1" s="1"/>
  <c r="AC124" i="1"/>
  <c r="CK124" i="1" s="1"/>
  <c r="CX161" i="1"/>
  <c r="CP76" i="1"/>
  <c r="CO72" i="1"/>
  <c r="CY166" i="1"/>
  <c r="AB206" i="1"/>
  <c r="CJ206" i="1" s="1"/>
  <c r="CR137" i="1"/>
  <c r="DF140" i="1"/>
  <c r="CS71" i="1"/>
  <c r="AC101" i="1"/>
  <c r="CK101" i="1" s="1"/>
  <c r="Y112" i="1"/>
  <c r="AC150" i="1"/>
  <c r="CK150" i="1" s="1"/>
  <c r="Y136" i="1"/>
  <c r="AC141" i="1"/>
  <c r="CK141" i="1" s="1"/>
  <c r="AC153" i="1"/>
  <c r="CK153" i="1" s="1"/>
  <c r="AC151" i="1"/>
  <c r="CK151" i="1" s="1"/>
  <c r="AC136" i="1"/>
  <c r="CK136" i="1" s="1"/>
  <c r="AC154" i="1"/>
  <c r="CK154" i="1" s="1"/>
  <c r="Y111" i="1"/>
  <c r="CI127" i="1"/>
  <c r="AC86" i="1"/>
  <c r="CK86" i="1" s="1"/>
  <c r="AC100" i="1"/>
  <c r="CK100" i="1" s="1"/>
  <c r="Y101" i="1"/>
  <c r="AC99" i="1"/>
  <c r="CK99" i="1" s="1"/>
  <c r="AC85" i="1"/>
  <c r="CK85" i="1" s="1"/>
  <c r="AC102" i="1"/>
  <c r="CK102" i="1" s="1"/>
  <c r="CP69" i="1"/>
  <c r="DF74" i="1"/>
  <c r="DF68" i="1"/>
  <c r="CP72" i="1"/>
  <c r="CS66" i="1"/>
  <c r="CS73" i="1"/>
  <c r="AB204" i="1"/>
  <c r="AR16" i="4"/>
  <c r="AC139" i="1"/>
  <c r="CK139" i="1" s="1"/>
  <c r="CP145" i="1"/>
  <c r="AC135" i="1"/>
  <c r="CK135" i="1" s="1"/>
  <c r="Y152" i="1"/>
  <c r="AC152" i="1"/>
  <c r="CK152" i="1" s="1"/>
  <c r="AC145" i="1"/>
  <c r="CK145" i="1" s="1"/>
  <c r="AC144" i="1"/>
  <c r="CK144" i="1" s="1"/>
  <c r="Y126" i="1"/>
  <c r="CO121" i="1"/>
  <c r="AC126" i="1"/>
  <c r="CK126" i="1" s="1"/>
  <c r="AC113" i="1"/>
  <c r="CK113" i="1" s="1"/>
  <c r="Y110" i="1"/>
  <c r="CO118" i="1"/>
  <c r="CQ97" i="1"/>
  <c r="AC83" i="1"/>
  <c r="CK83" i="1" s="1"/>
  <c r="CQ92" i="1"/>
  <c r="Y86" i="1"/>
  <c r="DH98" i="1"/>
  <c r="CI86" i="1"/>
  <c r="AC94" i="1"/>
  <c r="CK94" i="1" s="1"/>
  <c r="AA14" i="4"/>
  <c r="AC14" i="4" s="1"/>
  <c r="Y85" i="1"/>
  <c r="AC95" i="1"/>
  <c r="CK95" i="1" s="1"/>
  <c r="S6" i="4"/>
  <c r="U6" i="4" s="1"/>
  <c r="CS58" i="1"/>
  <c r="CS69" i="1"/>
  <c r="DD75" i="1"/>
  <c r="CS39" i="1"/>
  <c r="Y35" i="1"/>
  <c r="AD35" i="1" s="1"/>
  <c r="CL35" i="1" s="1"/>
  <c r="Y36" i="1"/>
  <c r="AD36" i="1" s="1"/>
  <c r="CL36" i="1" s="1"/>
  <c r="AB188" i="1"/>
  <c r="Y149" i="1"/>
  <c r="CE149" i="1"/>
  <c r="Y143" i="1"/>
  <c r="CE143" i="1"/>
  <c r="Y135" i="1"/>
  <c r="CE135" i="1"/>
  <c r="Y147" i="1"/>
  <c r="CE147" i="1"/>
  <c r="Y151" i="1"/>
  <c r="CE151" i="1"/>
  <c r="Y138" i="1"/>
  <c r="AC147" i="1"/>
  <c r="CK147" i="1" s="1"/>
  <c r="Y141" i="1"/>
  <c r="CE141" i="1"/>
  <c r="Y140" i="1"/>
  <c r="CE140" i="1"/>
  <c r="AQ17" i="4"/>
  <c r="AT17" i="4" s="1"/>
  <c r="AU17" i="4" s="1"/>
  <c r="AV17" i="4" s="1"/>
  <c r="CP144" i="1"/>
  <c r="AC143" i="1"/>
  <c r="CK143" i="1" s="1"/>
  <c r="Y137" i="1"/>
  <c r="Y139" i="1"/>
  <c r="CE139" i="1"/>
  <c r="AC149" i="1"/>
  <c r="CK149" i="1" s="1"/>
  <c r="AC138" i="1"/>
  <c r="CK138" i="1" s="1"/>
  <c r="Y144" i="1"/>
  <c r="CE144" i="1"/>
  <c r="AC137" i="1"/>
  <c r="CK137" i="1" s="1"/>
  <c r="CP154" i="1"/>
  <c r="AC140" i="1"/>
  <c r="CK140" i="1" s="1"/>
  <c r="Y146" i="1"/>
  <c r="CE146" i="1"/>
  <c r="DJ140" i="1"/>
  <c r="DJ136" i="1"/>
  <c r="Y145" i="1"/>
  <c r="CE145" i="1"/>
  <c r="Y153" i="1"/>
  <c r="AD153" i="1" s="1"/>
  <c r="AC146" i="1"/>
  <c r="CK146" i="1" s="1"/>
  <c r="AQ9" i="4"/>
  <c r="AT9" i="4" s="1"/>
  <c r="AU9" i="4" s="1"/>
  <c r="AV9" i="4" s="1"/>
  <c r="Y154" i="1"/>
  <c r="Y150" i="1"/>
  <c r="CE150" i="1"/>
  <c r="Y119" i="1"/>
  <c r="CE119" i="1"/>
  <c r="Y118" i="1"/>
  <c r="CE118" i="1"/>
  <c r="Y123" i="1"/>
  <c r="CE123" i="1"/>
  <c r="Y114" i="1"/>
  <c r="CE114" i="1"/>
  <c r="AC123" i="1"/>
  <c r="CK123" i="1" s="1"/>
  <c r="Y115" i="1"/>
  <c r="CE115" i="1"/>
  <c r="Y125" i="1"/>
  <c r="CE125" i="1"/>
  <c r="AC121" i="1"/>
  <c r="CK121" i="1" s="1"/>
  <c r="Y113" i="1"/>
  <c r="CE113" i="1"/>
  <c r="AC117" i="1"/>
  <c r="CK117" i="1" s="1"/>
  <c r="Y124" i="1"/>
  <c r="CE124" i="1"/>
  <c r="Y121" i="1"/>
  <c r="CE121" i="1"/>
  <c r="AC120" i="1"/>
  <c r="CK120" i="1" s="1"/>
  <c r="AC115" i="1"/>
  <c r="CK115" i="1" s="1"/>
  <c r="Y127" i="1"/>
  <c r="CG127" i="1" s="1"/>
  <c r="Y117" i="1"/>
  <c r="CE117" i="1"/>
  <c r="AC114" i="1"/>
  <c r="CK114" i="1" s="1"/>
  <c r="CO123" i="1"/>
  <c r="AC119" i="1"/>
  <c r="CK119" i="1" s="1"/>
  <c r="Y120" i="1"/>
  <c r="CE120" i="1"/>
  <c r="Y128" i="1"/>
  <c r="Y109" i="1"/>
  <c r="CE109" i="1"/>
  <c r="AC109" i="1"/>
  <c r="CK109" i="1" s="1"/>
  <c r="AC125" i="1"/>
  <c r="CK125" i="1" s="1"/>
  <c r="AC118" i="1"/>
  <c r="CK118" i="1" s="1"/>
  <c r="Y95" i="1"/>
  <c r="CE95" i="1"/>
  <c r="Y94" i="1"/>
  <c r="CE94" i="1"/>
  <c r="Y99" i="1"/>
  <c r="CE99" i="1"/>
  <c r="Y98" i="1"/>
  <c r="CE98" i="1"/>
  <c r="CQ87" i="1"/>
  <c r="Y91" i="1"/>
  <c r="CE91" i="1"/>
  <c r="Y93" i="1"/>
  <c r="CE93" i="1"/>
  <c r="AC87" i="1"/>
  <c r="CK87" i="1" s="1"/>
  <c r="Y97" i="1"/>
  <c r="CE97" i="1"/>
  <c r="Y88" i="1"/>
  <c r="CE88" i="1"/>
  <c r="AC91" i="1"/>
  <c r="CK91" i="1" s="1"/>
  <c r="Y89" i="1"/>
  <c r="CE89" i="1"/>
  <c r="CE101" i="1"/>
  <c r="AC88" i="1"/>
  <c r="CK88" i="1" s="1"/>
  <c r="Y102" i="1"/>
  <c r="Y100" i="1"/>
  <c r="CG100" i="1" s="1"/>
  <c r="AC92" i="1"/>
  <c r="CK92" i="1" s="1"/>
  <c r="Y83" i="1"/>
  <c r="CE83" i="1"/>
  <c r="CQ102" i="1"/>
  <c r="AC97" i="1"/>
  <c r="CK97" i="1" s="1"/>
  <c r="Y87" i="1"/>
  <c r="CE87" i="1"/>
  <c r="Y92" i="1"/>
  <c r="CE92" i="1"/>
  <c r="AC93" i="1"/>
  <c r="CK93" i="1" s="1"/>
  <c r="Y84" i="1"/>
  <c r="CE102" i="1"/>
  <c r="AC98" i="1"/>
  <c r="CK98" i="1" s="1"/>
  <c r="Y63" i="1"/>
  <c r="CE63" i="1"/>
  <c r="Y67" i="1"/>
  <c r="CE67" i="1"/>
  <c r="Y61" i="1"/>
  <c r="CE61" i="1"/>
  <c r="Y73" i="1"/>
  <c r="CE73" i="1"/>
  <c r="Y62" i="1"/>
  <c r="CE62" i="1"/>
  <c r="Y69" i="1"/>
  <c r="CE69" i="1"/>
  <c r="Y65" i="1"/>
  <c r="CE65" i="1"/>
  <c r="Y68" i="1"/>
  <c r="CE68" i="1"/>
  <c r="Y57" i="1"/>
  <c r="CE57" i="1"/>
  <c r="DF67" i="1"/>
  <c r="DF61" i="1"/>
  <c r="Y71" i="1"/>
  <c r="CE71" i="1"/>
  <c r="Y66" i="1"/>
  <c r="CE66" i="1"/>
  <c r="Y72" i="1"/>
  <c r="CE72" i="1"/>
  <c r="CE76" i="1"/>
  <c r="CH193" i="1"/>
  <c r="Y42" i="1"/>
  <c r="Y31" i="1"/>
  <c r="Y41" i="1"/>
  <c r="CH204" i="1"/>
  <c r="CH197" i="1"/>
  <c r="Y45" i="1"/>
  <c r="Y46" i="1"/>
  <c r="Y40" i="1"/>
  <c r="CH199" i="1"/>
  <c r="Y47" i="1"/>
  <c r="Y34" i="1"/>
  <c r="CG34" i="1" s="1"/>
  <c r="Y37" i="1"/>
  <c r="AB189" i="1"/>
  <c r="Y39" i="1"/>
  <c r="Y32" i="1"/>
  <c r="AD32" i="1" s="1"/>
  <c r="AA198" i="1"/>
  <c r="CI16" i="1"/>
  <c r="AC16" i="1"/>
  <c r="CK16" i="1" s="1"/>
  <c r="AA199" i="1"/>
  <c r="CI199" i="1" s="1"/>
  <c r="CI17" i="1"/>
  <c r="AC17" i="1"/>
  <c r="CK17" i="1" s="1"/>
  <c r="CF11" i="1"/>
  <c r="AA191" i="1"/>
  <c r="CI191" i="1" s="1"/>
  <c r="CI9" i="1"/>
  <c r="AC9" i="1"/>
  <c r="CK9" i="1" s="1"/>
  <c r="AB192" i="1"/>
  <c r="CJ192" i="1" s="1"/>
  <c r="CJ10" i="1"/>
  <c r="AB203" i="1"/>
  <c r="CJ203" i="1" s="1"/>
  <c r="CJ23" i="1"/>
  <c r="Y15" i="1"/>
  <c r="CE15" i="1"/>
  <c r="Y13" i="1"/>
  <c r="CE13" i="1"/>
  <c r="CF13" i="1"/>
  <c r="CF9" i="1"/>
  <c r="AA196" i="1"/>
  <c r="CI14" i="1"/>
  <c r="AC14" i="1"/>
  <c r="CK14" i="1" s="1"/>
  <c r="AB197" i="1"/>
  <c r="CJ197" i="1" s="1"/>
  <c r="CJ15" i="1"/>
  <c r="AB191" i="1"/>
  <c r="CJ191" i="1" s="1"/>
  <c r="CJ9" i="1"/>
  <c r="Y11" i="1"/>
  <c r="CE11" i="1"/>
  <c r="Y12" i="1"/>
  <c r="CF5" i="1"/>
  <c r="CF6" i="1"/>
  <c r="AA203" i="1"/>
  <c r="CI203" i="1" s="1"/>
  <c r="CI23" i="1"/>
  <c r="AC23" i="1"/>
  <c r="CK23" i="1" s="1"/>
  <c r="AA204" i="1"/>
  <c r="AC24" i="1"/>
  <c r="Y10" i="1"/>
  <c r="CE10" i="1"/>
  <c r="CF21" i="1"/>
  <c r="CF17" i="1"/>
  <c r="CF15" i="1"/>
  <c r="AA197" i="1"/>
  <c r="CI197" i="1" s="1"/>
  <c r="CI15" i="1"/>
  <c r="AC15" i="1"/>
  <c r="CK15" i="1" s="1"/>
  <c r="AA195" i="1"/>
  <c r="CI195" i="1" s="1"/>
  <c r="CI13" i="1"/>
  <c r="AC13" i="1"/>
  <c r="CK13" i="1" s="1"/>
  <c r="AB202" i="1"/>
  <c r="CJ202" i="1" s="1"/>
  <c r="CJ22" i="1"/>
  <c r="Y14" i="1"/>
  <c r="CE14" i="1"/>
  <c r="CF22" i="1"/>
  <c r="CF7" i="1"/>
  <c r="AA189" i="1"/>
  <c r="AC7" i="1"/>
  <c r="CK7" i="1" s="1"/>
  <c r="AA192" i="1"/>
  <c r="CI10" i="1"/>
  <c r="AC10" i="1"/>
  <c r="CK10" i="1" s="1"/>
  <c r="AB201" i="1"/>
  <c r="CJ201" i="1" s="1"/>
  <c r="CJ21" i="1"/>
  <c r="AB198" i="1"/>
  <c r="CJ198" i="1" s="1"/>
  <c r="CJ16" i="1"/>
  <c r="Y9" i="1"/>
  <c r="CE9" i="1"/>
  <c r="Y18" i="1"/>
  <c r="CF8" i="1"/>
  <c r="AB199" i="1"/>
  <c r="CJ199" i="1" s="1"/>
  <c r="CJ17" i="1"/>
  <c r="AB193" i="1"/>
  <c r="CJ193" i="1" s="1"/>
  <c r="CJ11" i="1"/>
  <c r="CJ18" i="1"/>
  <c r="AA206" i="1"/>
  <c r="CI206" i="1" s="1"/>
  <c r="AC18" i="1"/>
  <c r="CK18" i="1" s="1"/>
  <c r="AA201" i="1"/>
  <c r="CI21" i="1"/>
  <c r="AC21" i="1"/>
  <c r="CK21" i="1" s="1"/>
  <c r="AB196" i="1"/>
  <c r="CJ196" i="1" s="1"/>
  <c r="CJ14" i="1"/>
  <c r="Y8" i="1"/>
  <c r="Y6" i="1"/>
  <c r="CF16" i="1"/>
  <c r="Y23" i="1"/>
  <c r="CE23" i="1"/>
  <c r="Y7" i="1"/>
  <c r="AA202" i="1"/>
  <c r="CI22" i="1"/>
  <c r="AC22" i="1"/>
  <c r="CK22" i="1" s="1"/>
  <c r="AA193" i="1"/>
  <c r="CI193" i="1" s="1"/>
  <c r="CI11" i="1"/>
  <c r="AC11" i="1"/>
  <c r="CK11" i="1" s="1"/>
  <c r="AB195" i="1"/>
  <c r="CJ195" i="1" s="1"/>
  <c r="CJ13" i="1"/>
  <c r="Y5" i="1"/>
  <c r="CE5" i="1"/>
  <c r="Y21" i="1"/>
  <c r="CE21" i="1"/>
  <c r="CF10" i="1"/>
  <c r="AA205" i="1"/>
  <c r="CI205" i="1" s="1"/>
  <c r="AC12" i="1"/>
  <c r="CK12" i="1" s="1"/>
  <c r="Y17" i="1"/>
  <c r="CE17" i="1"/>
  <c r="Y16" i="1"/>
  <c r="CE16" i="1"/>
  <c r="AA190" i="1"/>
  <c r="CI190" i="1" s="1"/>
  <c r="AC8" i="1"/>
  <c r="CK8" i="1" s="1"/>
  <c r="AA187" i="1"/>
  <c r="CI5" i="1"/>
  <c r="AC5" i="1"/>
  <c r="CK5" i="1" s="1"/>
  <c r="AB187" i="1"/>
  <c r="CJ187" i="1" s="1"/>
  <c r="CJ5" i="1"/>
  <c r="Y24" i="1"/>
  <c r="CG24" i="1" s="1"/>
  <c r="Y22" i="1"/>
  <c r="CE22" i="1"/>
  <c r="CF14" i="1"/>
  <c r="CF23" i="1"/>
  <c r="AQ15" i="4"/>
  <c r="AS15" i="4" s="1"/>
  <c r="CR152" i="1"/>
  <c r="DL147" i="1"/>
  <c r="AI5" i="4"/>
  <c r="AI3" i="4"/>
  <c r="AK3" i="4" s="1"/>
  <c r="CO117" i="1"/>
  <c r="DD110" i="1"/>
  <c r="CO113" i="1"/>
  <c r="DD113" i="1"/>
  <c r="CQ86" i="1"/>
  <c r="DH89" i="1"/>
  <c r="DH95" i="1"/>
  <c r="CQ94" i="1"/>
  <c r="DH84" i="1"/>
  <c r="DH83" i="1"/>
  <c r="AA11" i="4"/>
  <c r="AC11" i="4" s="1"/>
  <c r="AA13" i="4"/>
  <c r="AC13" i="4" s="1"/>
  <c r="CP63" i="1"/>
  <c r="S11" i="4"/>
  <c r="V11" i="4" s="1"/>
  <c r="W11" i="4" s="1"/>
  <c r="X11" i="4" s="1"/>
  <c r="CP66" i="1"/>
  <c r="DF65" i="1"/>
  <c r="CP65" i="1"/>
  <c r="DF75" i="1"/>
  <c r="CO68" i="1"/>
  <c r="S10" i="4"/>
  <c r="U10" i="4" s="1"/>
  <c r="CQ85" i="1"/>
  <c r="AQ8" i="4"/>
  <c r="AS8" i="4" s="1"/>
  <c r="AA12" i="4"/>
  <c r="AC12" i="4" s="1"/>
  <c r="CO109" i="1"/>
  <c r="DD125" i="1"/>
  <c r="CO125" i="1"/>
  <c r="AI4" i="4"/>
  <c r="AK4" i="4" s="1"/>
  <c r="CO111" i="1"/>
  <c r="DD111" i="1"/>
  <c r="CP137" i="1"/>
  <c r="CO124" i="1"/>
  <c r="DH91" i="1"/>
  <c r="AQ10" i="4"/>
  <c r="AS10" i="4" s="1"/>
  <c r="DF153" i="1"/>
  <c r="DD112" i="1"/>
  <c r="CO115" i="1"/>
  <c r="DD115" i="1"/>
  <c r="CS146" i="1"/>
  <c r="AC112" i="1"/>
  <c r="CK112" i="1" s="1"/>
  <c r="AC110" i="1"/>
  <c r="CK110" i="1" s="1"/>
  <c r="DD120" i="1"/>
  <c r="CO120" i="1"/>
  <c r="CO128" i="1"/>
  <c r="DD128" i="1"/>
  <c r="DD126" i="1"/>
  <c r="CO126" i="1"/>
  <c r="AI6" i="4"/>
  <c r="CO119" i="1"/>
  <c r="DD119" i="1"/>
  <c r="DD127" i="1"/>
  <c r="CO127" i="1"/>
  <c r="CP88" i="1"/>
  <c r="DH66" i="1"/>
  <c r="AQ16" i="4"/>
  <c r="CP138" i="1"/>
  <c r="CF50" i="1"/>
  <c r="DL154" i="1"/>
  <c r="EA77" i="1"/>
  <c r="DL149" i="1"/>
  <c r="CQ58" i="1"/>
  <c r="DL150" i="1"/>
  <c r="CQ10" i="1"/>
  <c r="CQ71" i="1"/>
  <c r="CQ73" i="1"/>
  <c r="DJ147" i="1"/>
  <c r="CS141" i="1"/>
  <c r="DL153" i="1"/>
  <c r="DL136" i="1"/>
  <c r="S12" i="4"/>
  <c r="V12" i="4" s="1"/>
  <c r="W12" i="4" s="1"/>
  <c r="X12" i="4" s="1"/>
  <c r="CX176" i="1"/>
  <c r="DV176" i="1"/>
  <c r="DV162" i="1"/>
  <c r="CX162" i="1"/>
  <c r="DV171" i="1"/>
  <c r="CX171" i="1"/>
  <c r="DL135" i="1"/>
  <c r="CQ63" i="1"/>
  <c r="DJ150" i="1"/>
  <c r="DL151" i="1"/>
  <c r="DV167" i="1"/>
  <c r="CX167" i="1"/>
  <c r="DV166" i="1"/>
  <c r="CX166" i="1"/>
  <c r="CP97" i="1"/>
  <c r="CQ59" i="1"/>
  <c r="CR151" i="1"/>
  <c r="AC6" i="1"/>
  <c r="CK6" i="1" s="1"/>
  <c r="DJ143" i="1"/>
  <c r="DL138" i="1"/>
  <c r="DL152" i="1"/>
  <c r="AX25" i="1"/>
  <c r="CQ25" i="1" s="1"/>
  <c r="CQ16" i="1"/>
  <c r="K15" i="4"/>
  <c r="CR48" i="1"/>
  <c r="DJ48" i="1"/>
  <c r="DJ32" i="1"/>
  <c r="CR32" i="1"/>
  <c r="DJ39" i="1"/>
  <c r="CR39" i="1"/>
  <c r="DJ50" i="1"/>
  <c r="CR50" i="1"/>
  <c r="CR47" i="1"/>
  <c r="DJ47" i="1"/>
  <c r="DJ34" i="1"/>
  <c r="CR34" i="1"/>
  <c r="DJ40" i="1"/>
  <c r="CR40" i="1"/>
  <c r="CR31" i="1"/>
  <c r="DJ31" i="1"/>
  <c r="CR138" i="1"/>
  <c r="DJ41" i="1"/>
  <c r="CR41" i="1"/>
  <c r="DJ49" i="1"/>
  <c r="CR49" i="1"/>
  <c r="CR36" i="1"/>
  <c r="DJ36" i="1"/>
  <c r="DH75" i="1"/>
  <c r="DX171" i="1"/>
  <c r="CY171" i="1"/>
  <c r="DJ35" i="1"/>
  <c r="CR35" i="1"/>
  <c r="DJ33" i="1"/>
  <c r="CR33" i="1"/>
  <c r="C13" i="4"/>
  <c r="F13" i="4" s="1"/>
  <c r="G13" i="4" s="1"/>
  <c r="H13" i="4" s="1"/>
  <c r="DJ45" i="1"/>
  <c r="CR45" i="1"/>
  <c r="DJ37" i="1"/>
  <c r="CR37" i="1"/>
  <c r="DJ46" i="1"/>
  <c r="CR46" i="1"/>
  <c r="DJ43" i="1"/>
  <c r="CR43" i="1"/>
  <c r="CR42" i="1"/>
  <c r="DJ42" i="1"/>
  <c r="EC5" i="1"/>
  <c r="EC25" i="1" s="1"/>
  <c r="BW25" i="1"/>
  <c r="BW201" i="1"/>
  <c r="EC201" i="1" s="1"/>
  <c r="BW197" i="1"/>
  <c r="EC197" i="1" s="1"/>
  <c r="BW199" i="1"/>
  <c r="EC199" i="1" s="1"/>
  <c r="BW202" i="1"/>
  <c r="EC202" i="1" s="1"/>
  <c r="BW196" i="1"/>
  <c r="EC196" i="1" s="1"/>
  <c r="BW198" i="1"/>
  <c r="EC198" i="1" s="1"/>
  <c r="BW195" i="1"/>
  <c r="EC195" i="1" s="1"/>
  <c r="BW204" i="1"/>
  <c r="EC204" i="1" s="1"/>
  <c r="BW193" i="1"/>
  <c r="EC193" i="1" s="1"/>
  <c r="BW203" i="1"/>
  <c r="EC203" i="1" s="1"/>
  <c r="BW191" i="1"/>
  <c r="EC191" i="1" s="1"/>
  <c r="BW206" i="1"/>
  <c r="EC206" i="1" s="1"/>
  <c r="BW205" i="1"/>
  <c r="EC205" i="1" s="1"/>
  <c r="BW192" i="1"/>
  <c r="EC192" i="1" s="1"/>
  <c r="BW190" i="1"/>
  <c r="EC190" i="1" s="1"/>
  <c r="BW189" i="1"/>
  <c r="EC189" i="1" s="1"/>
  <c r="BW187" i="1"/>
  <c r="CQ69" i="1"/>
  <c r="CQ17" i="1"/>
  <c r="EA187" i="1"/>
  <c r="EA207" i="1" s="1"/>
  <c r="EC109" i="1"/>
  <c r="EC129" i="1" s="1"/>
  <c r="CR149" i="1"/>
  <c r="BW188" i="1"/>
  <c r="EC188" i="1" s="1"/>
  <c r="DS187" i="1"/>
  <c r="DS207" i="1" s="1"/>
  <c r="EA25" i="1"/>
  <c r="DH8" i="1"/>
  <c r="DH13" i="1"/>
  <c r="DH15" i="1"/>
  <c r="DH18" i="1"/>
  <c r="C11" i="4"/>
  <c r="E11" i="4" s="1"/>
  <c r="DF101" i="1"/>
  <c r="CQ72" i="1"/>
  <c r="DH74" i="1"/>
  <c r="CQ9" i="1"/>
  <c r="C12" i="4"/>
  <c r="E12" i="4" s="1"/>
  <c r="DF83" i="1"/>
  <c r="CQ21" i="1"/>
  <c r="CS139" i="1"/>
  <c r="CQ68" i="1"/>
  <c r="DJ141" i="1"/>
  <c r="CP87" i="1"/>
  <c r="DF102" i="1"/>
  <c r="DF99" i="1"/>
  <c r="CQ60" i="1"/>
  <c r="DH22" i="1"/>
  <c r="DH23" i="1"/>
  <c r="DH7" i="1"/>
  <c r="DH24" i="1"/>
  <c r="CQ6" i="1"/>
  <c r="CP89" i="1"/>
  <c r="AA9" i="4"/>
  <c r="AD9" i="4" s="1"/>
  <c r="AE9" i="4" s="1"/>
  <c r="AF9" i="4" s="1"/>
  <c r="DH14" i="1"/>
  <c r="AA7" i="4"/>
  <c r="AD7" i="4" s="1"/>
  <c r="AE7" i="4" s="1"/>
  <c r="AF7" i="4" s="1"/>
  <c r="CP86" i="1"/>
  <c r="CP84" i="1"/>
  <c r="CJ6" i="1"/>
  <c r="CJ8" i="1"/>
  <c r="CJ7" i="1"/>
  <c r="CI6" i="1"/>
  <c r="CI7" i="1"/>
  <c r="CI8" i="1"/>
  <c r="CP100" i="1"/>
  <c r="DF94" i="1"/>
  <c r="DF93" i="1"/>
  <c r="AA10" i="4"/>
  <c r="AC10" i="4" s="1"/>
  <c r="BB58" i="1"/>
  <c r="BB60" i="1"/>
  <c r="DP60" i="1" s="1"/>
  <c r="V28" i="4"/>
  <c r="W28" i="4" s="1"/>
  <c r="X28" i="4" s="1"/>
  <c r="S29" i="4"/>
  <c r="V29" i="4" s="1"/>
  <c r="W29" i="4" s="1"/>
  <c r="X29" i="4" s="1"/>
  <c r="DP71" i="1"/>
  <c r="CU71" i="1"/>
  <c r="BB66" i="1"/>
  <c r="CU66" i="1" s="1"/>
  <c r="BB57" i="1"/>
  <c r="CF77" i="1"/>
  <c r="BB69" i="1"/>
  <c r="BB68" i="1"/>
  <c r="CU68" i="1" s="1"/>
  <c r="BB63" i="1"/>
  <c r="BB72" i="1"/>
  <c r="S30" i="4" s="1"/>
  <c r="V30" i="4" s="1"/>
  <c r="W30" i="4" s="1"/>
  <c r="X30" i="4" s="1"/>
  <c r="BB74" i="1"/>
  <c r="DP74" i="1" s="1"/>
  <c r="BB67" i="1"/>
  <c r="BB61" i="1"/>
  <c r="BB59" i="1"/>
  <c r="DP59" i="1" s="1"/>
  <c r="CQ65" i="1"/>
  <c r="CQ61" i="1"/>
  <c r="BB65" i="1"/>
  <c r="CF48" i="1"/>
  <c r="DF91" i="1"/>
  <c r="DF95" i="1"/>
  <c r="CP92" i="1"/>
  <c r="BB73" i="1"/>
  <c r="BB75" i="1"/>
  <c r="BB62" i="1"/>
  <c r="BB76" i="1"/>
  <c r="CQ76" i="1"/>
  <c r="S14" i="4"/>
  <c r="U14" i="4" s="1"/>
  <c r="DH67" i="1"/>
  <c r="DH57" i="1"/>
  <c r="CQ57" i="1"/>
  <c r="DH60" i="1"/>
  <c r="CQ11" i="1"/>
  <c r="DH11" i="1"/>
  <c r="CQ12" i="1"/>
  <c r="CF153" i="1"/>
  <c r="X155" i="1"/>
  <c r="BB136" i="1" s="1"/>
  <c r="X129" i="1"/>
  <c r="M207" i="1"/>
  <c r="CF154" i="1"/>
  <c r="CK49" i="1"/>
  <c r="DD85" i="1"/>
  <c r="AA4" i="4"/>
  <c r="AC4" i="4" s="1"/>
  <c r="CO85" i="1"/>
  <c r="CO86" i="1"/>
  <c r="DD86" i="1"/>
  <c r="AA5" i="4"/>
  <c r="CO91" i="1"/>
  <c r="DD91" i="1"/>
  <c r="DD92" i="1"/>
  <c r="CO92" i="1"/>
  <c r="CP98" i="1"/>
  <c r="DD93" i="1"/>
  <c r="CO93" i="1"/>
  <c r="AT13" i="4"/>
  <c r="AU13" i="4" s="1"/>
  <c r="AV13" i="4" s="1"/>
  <c r="AS13" i="4"/>
  <c r="CK48" i="1"/>
  <c r="DF98" i="1"/>
  <c r="DD87" i="1"/>
  <c r="CO87" i="1"/>
  <c r="DD88" i="1"/>
  <c r="CO88" i="1"/>
  <c r="DD94" i="1"/>
  <c r="CO94" i="1"/>
  <c r="CO84" i="1"/>
  <c r="DD84" i="1"/>
  <c r="AA3" i="4"/>
  <c r="AC3" i="4" s="1"/>
  <c r="DD95" i="1"/>
  <c r="CO95" i="1"/>
  <c r="AT11" i="4"/>
  <c r="AU11" i="4" s="1"/>
  <c r="AV11" i="4" s="1"/>
  <c r="AS11" i="4"/>
  <c r="CO97" i="1"/>
  <c r="DD97" i="1"/>
  <c r="DD98" i="1"/>
  <c r="CO98" i="1"/>
  <c r="DD99" i="1"/>
  <c r="CO99" i="1"/>
  <c r="AA6" i="4"/>
  <c r="DD100" i="1"/>
  <c r="CO100" i="1"/>
  <c r="DD101" i="1"/>
  <c r="CO101" i="1"/>
  <c r="CO102" i="1"/>
  <c r="DD102" i="1"/>
  <c r="DD89" i="1"/>
  <c r="CO89" i="1"/>
  <c r="CO83" i="1"/>
  <c r="DD83" i="1"/>
  <c r="DD40" i="1"/>
  <c r="CO40" i="1"/>
  <c r="CS97" i="1"/>
  <c r="DL97" i="1"/>
  <c r="CP22" i="1"/>
  <c r="DF22" i="1"/>
  <c r="DD48" i="1"/>
  <c r="K6" i="4"/>
  <c r="CO48" i="1"/>
  <c r="CW9" i="1"/>
  <c r="DT9" i="1"/>
  <c r="Z207" i="1"/>
  <c r="CH188" i="1"/>
  <c r="CP125" i="1"/>
  <c r="DF125" i="1"/>
  <c r="CE51" i="1"/>
  <c r="BA40" i="1"/>
  <c r="BA48" i="1"/>
  <c r="BA46" i="1"/>
  <c r="BA36" i="1"/>
  <c r="BA34" i="1"/>
  <c r="BA42" i="1"/>
  <c r="BA39" i="1"/>
  <c r="BA50" i="1"/>
  <c r="BA37" i="1"/>
  <c r="BA47" i="1"/>
  <c r="BA43" i="1"/>
  <c r="BA41" i="1"/>
  <c r="BA32" i="1"/>
  <c r="BA31" i="1"/>
  <c r="BA49" i="1"/>
  <c r="BA45" i="1"/>
  <c r="BA35" i="1"/>
  <c r="BA33" i="1"/>
  <c r="DL165" i="1"/>
  <c r="CS165" i="1"/>
  <c r="CS83" i="1"/>
  <c r="DL83" i="1"/>
  <c r="CO178" i="1"/>
  <c r="DD178" i="1"/>
  <c r="AA43" i="4"/>
  <c r="DF117" i="1"/>
  <c r="CP117" i="1"/>
  <c r="CH190" i="1"/>
  <c r="CP12" i="1"/>
  <c r="DF12" i="1"/>
  <c r="CW171" i="1"/>
  <c r="DT171" i="1"/>
  <c r="K3" i="4"/>
  <c r="M3" i="4" s="1"/>
  <c r="DD32" i="1"/>
  <c r="CO32" i="1"/>
  <c r="DT15" i="1"/>
  <c r="CW15" i="1"/>
  <c r="CS119" i="1"/>
  <c r="DL119" i="1"/>
  <c r="DF128" i="1"/>
  <c r="CP128" i="1"/>
  <c r="CS163" i="1"/>
  <c r="DL163" i="1"/>
  <c r="DL95" i="1"/>
  <c r="CS95" i="1"/>
  <c r="CS101" i="1"/>
  <c r="DL101" i="1"/>
  <c r="DD179" i="1"/>
  <c r="CO179" i="1"/>
  <c r="CK75" i="1"/>
  <c r="CP23" i="1"/>
  <c r="DF23" i="1"/>
  <c r="DL120" i="1"/>
  <c r="CS120" i="1"/>
  <c r="DL179" i="1"/>
  <c r="CS179" i="1"/>
  <c r="CG50" i="1"/>
  <c r="AD50" i="1"/>
  <c r="DT177" i="1"/>
  <c r="CW177" i="1"/>
  <c r="CF102" i="1"/>
  <c r="CW18" i="1"/>
  <c r="DT18" i="1"/>
  <c r="CS121" i="1"/>
  <c r="DL121" i="1"/>
  <c r="DF111" i="1"/>
  <c r="AI8" i="4"/>
  <c r="AK8" i="4" s="1"/>
  <c r="CP111" i="1"/>
  <c r="BD154" i="1"/>
  <c r="BD149" i="1"/>
  <c r="BD146" i="1"/>
  <c r="BD150" i="1"/>
  <c r="BD145" i="1"/>
  <c r="BD140" i="1"/>
  <c r="CH155" i="1"/>
  <c r="BD152" i="1"/>
  <c r="BD147" i="1"/>
  <c r="BD139" i="1"/>
  <c r="BD153" i="1"/>
  <c r="BD141" i="1"/>
  <c r="BD136" i="1"/>
  <c r="BD138" i="1"/>
  <c r="BD151" i="1"/>
  <c r="BD144" i="1"/>
  <c r="BD143" i="1"/>
  <c r="BD137" i="1"/>
  <c r="BD135" i="1"/>
  <c r="AZ193" i="1"/>
  <c r="AZ189" i="1"/>
  <c r="AZ196" i="1"/>
  <c r="AZ201" i="1"/>
  <c r="AZ203" i="1"/>
  <c r="AZ199" i="1"/>
  <c r="CD207" i="1"/>
  <c r="AZ188" i="1"/>
  <c r="AZ204" i="1"/>
  <c r="AZ190" i="1"/>
  <c r="AZ197" i="1"/>
  <c r="AZ206" i="1"/>
  <c r="AZ202" i="1"/>
  <c r="AZ187" i="1"/>
  <c r="AZ195" i="1"/>
  <c r="AZ191" i="1"/>
  <c r="AZ198" i="1"/>
  <c r="AZ205" i="1"/>
  <c r="AZ192" i="1"/>
  <c r="DD161" i="1"/>
  <c r="CO161" i="1"/>
  <c r="CE86" i="1"/>
  <c r="DL113" i="1"/>
  <c r="CS113" i="1"/>
  <c r="DL176" i="1"/>
  <c r="CS176" i="1"/>
  <c r="CP10" i="1"/>
  <c r="DF10" i="1"/>
  <c r="DF24" i="1"/>
  <c r="CP24" i="1"/>
  <c r="BG175" i="1"/>
  <c r="BG176" i="1"/>
  <c r="BG177" i="1"/>
  <c r="BG178" i="1"/>
  <c r="BG179" i="1"/>
  <c r="BG180" i="1"/>
  <c r="BG161" i="1"/>
  <c r="BG162" i="1"/>
  <c r="AA62" i="4" s="1"/>
  <c r="BG163" i="1"/>
  <c r="BG164" i="1"/>
  <c r="BG165" i="1"/>
  <c r="BG166" i="1"/>
  <c r="BG167" i="1"/>
  <c r="BG169" i="1"/>
  <c r="BG170" i="1"/>
  <c r="BG171" i="1"/>
  <c r="BG172" i="1"/>
  <c r="BG173" i="1"/>
  <c r="CK181" i="1"/>
  <c r="BD46" i="1"/>
  <c r="BD36" i="1"/>
  <c r="BD42" i="1"/>
  <c r="BD32" i="1"/>
  <c r="BD50" i="1"/>
  <c r="BD40" i="1"/>
  <c r="BD43" i="1"/>
  <c r="BD48" i="1"/>
  <c r="BD45" i="1"/>
  <c r="BD41" i="1"/>
  <c r="BD35" i="1"/>
  <c r="BD37" i="1"/>
  <c r="BD49" i="1"/>
  <c r="BD39" i="1"/>
  <c r="BD34" i="1"/>
  <c r="BD47" i="1"/>
  <c r="CH51" i="1"/>
  <c r="BD33" i="1"/>
  <c r="BD31" i="1"/>
  <c r="CW161" i="1"/>
  <c r="DT161" i="1"/>
  <c r="DT8" i="1"/>
  <c r="CW8" i="1"/>
  <c r="CJ12" i="1"/>
  <c r="CP114" i="1"/>
  <c r="DF114" i="1"/>
  <c r="DL166" i="1"/>
  <c r="CS166" i="1"/>
  <c r="DL98" i="1"/>
  <c r="CS98" i="1"/>
  <c r="CH189" i="1"/>
  <c r="CO164" i="1"/>
  <c r="DD164" i="1"/>
  <c r="AA42" i="4"/>
  <c r="W103" i="1"/>
  <c r="CE84" i="1"/>
  <c r="DT5" i="1"/>
  <c r="CW5" i="1"/>
  <c r="BD25" i="1"/>
  <c r="CW25" i="1" s="1"/>
  <c r="CP6" i="1"/>
  <c r="DF6" i="1"/>
  <c r="DT169" i="1"/>
  <c r="CW169" i="1"/>
  <c r="DT178" i="1"/>
  <c r="CW178" i="1"/>
  <c r="AB129" i="1"/>
  <c r="CJ126" i="1"/>
  <c r="DD45" i="1"/>
  <c r="CO45" i="1"/>
  <c r="DT11" i="1"/>
  <c r="CW11" i="1"/>
  <c r="AB25" i="1"/>
  <c r="AB194" i="1" s="1"/>
  <c r="CJ194" i="1" s="1"/>
  <c r="CJ24" i="1"/>
  <c r="CS126" i="1"/>
  <c r="AI17" i="4"/>
  <c r="DL126" i="1"/>
  <c r="X103" i="1"/>
  <c r="CS169" i="1"/>
  <c r="DL169" i="1"/>
  <c r="CS85" i="1"/>
  <c r="DL85" i="1"/>
  <c r="CO165" i="1"/>
  <c r="DD165" i="1"/>
  <c r="CE85" i="1"/>
  <c r="BD58" i="1"/>
  <c r="BD73" i="1"/>
  <c r="BD66" i="1"/>
  <c r="BD67" i="1"/>
  <c r="BD61" i="1"/>
  <c r="BD57" i="1"/>
  <c r="BD71" i="1"/>
  <c r="CH77" i="1"/>
  <c r="BD63" i="1"/>
  <c r="BD59" i="1"/>
  <c r="BD76" i="1"/>
  <c r="BD72" i="1"/>
  <c r="BD75" i="1"/>
  <c r="BD74" i="1"/>
  <c r="BD68" i="1"/>
  <c r="BD65" i="1"/>
  <c r="BD69" i="1"/>
  <c r="BD62" i="1"/>
  <c r="BD60" i="1"/>
  <c r="CO175" i="1"/>
  <c r="DD175" i="1"/>
  <c r="DF9" i="1"/>
  <c r="CP9" i="1"/>
  <c r="CK32" i="1"/>
  <c r="DT166" i="1"/>
  <c r="CW166" i="1"/>
  <c r="AV202" i="1"/>
  <c r="AV196" i="1"/>
  <c r="AV203" i="1"/>
  <c r="AV199" i="1"/>
  <c r="AV204" i="1"/>
  <c r="AV187" i="1"/>
  <c r="AV192" i="1"/>
  <c r="AV191" i="1"/>
  <c r="AV201" i="1"/>
  <c r="AV189" i="1"/>
  <c r="BZ207" i="1"/>
  <c r="AV190" i="1"/>
  <c r="AV206" i="1"/>
  <c r="AV198" i="1"/>
  <c r="AV195" i="1"/>
  <c r="AV188" i="1"/>
  <c r="AV205" i="1"/>
  <c r="AV197" i="1"/>
  <c r="AV193" i="1"/>
  <c r="DT22" i="1"/>
  <c r="CW22" i="1"/>
  <c r="CW16" i="1"/>
  <c r="DT16" i="1"/>
  <c r="DL127" i="1"/>
  <c r="CS127" i="1"/>
  <c r="CP123" i="1"/>
  <c r="DF123" i="1"/>
  <c r="CS180" i="1"/>
  <c r="DL180" i="1"/>
  <c r="DL87" i="1"/>
  <c r="CS87" i="1"/>
  <c r="U13" i="4"/>
  <c r="V13" i="4"/>
  <c r="W13" i="4" s="1"/>
  <c r="X13" i="4" s="1"/>
  <c r="CO172" i="1"/>
  <c r="DD172" i="1"/>
  <c r="CK58" i="1"/>
  <c r="DF21" i="1"/>
  <c r="CP21" i="1"/>
  <c r="CP15" i="1"/>
  <c r="DF15" i="1"/>
  <c r="AA25" i="1"/>
  <c r="AA194" i="1" s="1"/>
  <c r="CI24" i="1"/>
  <c r="CW163" i="1"/>
  <c r="DT163" i="1"/>
  <c r="DD46" i="1"/>
  <c r="CO46" i="1"/>
  <c r="DT7" i="1"/>
  <c r="CW7" i="1"/>
  <c r="CK50" i="1"/>
  <c r="DL118" i="1"/>
  <c r="CS118" i="1"/>
  <c r="CE12" i="1"/>
  <c r="CP113" i="1"/>
  <c r="DF113" i="1"/>
  <c r="CS167" i="1"/>
  <c r="DL167" i="1"/>
  <c r="CF101" i="1"/>
  <c r="DL91" i="1"/>
  <c r="CS91" i="1"/>
  <c r="AA155" i="1"/>
  <c r="CI152" i="1"/>
  <c r="DD169" i="1"/>
  <c r="CO169" i="1"/>
  <c r="CP14" i="1"/>
  <c r="DF14" i="1"/>
  <c r="CW10" i="1"/>
  <c r="DT10" i="1"/>
  <c r="CS123" i="1"/>
  <c r="DL123" i="1"/>
  <c r="DF119" i="1"/>
  <c r="CP119" i="1"/>
  <c r="DL170" i="1"/>
  <c r="CS170" i="1"/>
  <c r="BD102" i="1"/>
  <c r="BD97" i="1"/>
  <c r="BD94" i="1"/>
  <c r="CH103" i="1"/>
  <c r="BD91" i="1"/>
  <c r="BD85" i="1"/>
  <c r="BD101" i="1"/>
  <c r="BD99" i="1"/>
  <c r="BD95" i="1"/>
  <c r="BD88" i="1"/>
  <c r="BD84" i="1"/>
  <c r="BD100" i="1"/>
  <c r="BD93" i="1"/>
  <c r="BD98" i="1"/>
  <c r="BD92" i="1"/>
  <c r="BD89" i="1"/>
  <c r="BD87" i="1"/>
  <c r="BD86" i="1"/>
  <c r="BD83" i="1"/>
  <c r="DL92" i="1"/>
  <c r="CS92" i="1"/>
  <c r="DD180" i="1"/>
  <c r="CO180" i="1"/>
  <c r="CW179" i="1"/>
  <c r="DT179" i="1"/>
  <c r="CH206" i="1"/>
  <c r="K4" i="4"/>
  <c r="M4" i="4" s="1"/>
  <c r="DD33" i="1"/>
  <c r="CO33" i="1"/>
  <c r="CE136" i="1"/>
  <c r="W155" i="1"/>
  <c r="CS111" i="1"/>
  <c r="DL111" i="1"/>
  <c r="CE126" i="1"/>
  <c r="CS172" i="1"/>
  <c r="DL172" i="1"/>
  <c r="AA17" i="4"/>
  <c r="CS100" i="1"/>
  <c r="DL100" i="1"/>
  <c r="CH205" i="1"/>
  <c r="CF12" i="1"/>
  <c r="CW164" i="1"/>
  <c r="DT164" i="1"/>
  <c r="DF17" i="1"/>
  <c r="CP17" i="1"/>
  <c r="DT167" i="1"/>
  <c r="CW167" i="1"/>
  <c r="DD34" i="1"/>
  <c r="K5" i="4"/>
  <c r="CO34" i="1"/>
  <c r="DT14" i="1"/>
  <c r="CW14" i="1"/>
  <c r="CE138" i="1"/>
  <c r="DL114" i="1"/>
  <c r="CS114" i="1"/>
  <c r="CE112" i="1"/>
  <c r="CP115" i="1"/>
  <c r="DF115" i="1"/>
  <c r="DL177" i="1"/>
  <c r="CS177" i="1"/>
  <c r="DL102" i="1"/>
  <c r="CS102" i="1"/>
  <c r="DD167" i="1"/>
  <c r="CO167" i="1"/>
  <c r="DT162" i="1"/>
  <c r="CW162" i="1"/>
  <c r="CP11" i="1"/>
  <c r="DF11" i="1"/>
  <c r="DD43" i="1"/>
  <c r="CO43" i="1"/>
  <c r="DT17" i="1"/>
  <c r="CW17" i="1"/>
  <c r="CE137" i="1"/>
  <c r="CS124" i="1"/>
  <c r="DL124" i="1"/>
  <c r="CE111" i="1"/>
  <c r="AA77" i="1"/>
  <c r="CI74" i="1"/>
  <c r="CP118" i="1"/>
  <c r="DF118" i="1"/>
  <c r="CE24" i="1"/>
  <c r="CS178" i="1"/>
  <c r="AA46" i="4"/>
  <c r="DL178" i="1"/>
  <c r="DL89" i="1"/>
  <c r="CS89" i="1"/>
  <c r="CO171" i="1"/>
  <c r="DD171" i="1"/>
  <c r="AA129" i="1"/>
  <c r="CI126" i="1"/>
  <c r="DD176" i="1"/>
  <c r="CO176" i="1"/>
  <c r="CI18" i="1"/>
  <c r="DF18" i="1"/>
  <c r="CP18" i="1"/>
  <c r="CW180" i="1"/>
  <c r="DT180" i="1"/>
  <c r="DD37" i="1"/>
  <c r="CO37" i="1"/>
  <c r="DT23" i="1"/>
  <c r="CW23" i="1"/>
  <c r="W129" i="1"/>
  <c r="CE110" i="1"/>
  <c r="CP127" i="1"/>
  <c r="DF127" i="1"/>
  <c r="W25" i="1"/>
  <c r="CE6" i="1"/>
  <c r="DL161" i="1"/>
  <c r="CS161" i="1"/>
  <c r="CS86" i="1"/>
  <c r="DL86" i="1"/>
  <c r="AA16" i="4"/>
  <c r="DD177" i="1"/>
  <c r="CO177" i="1"/>
  <c r="DT175" i="1"/>
  <c r="CW175" i="1"/>
  <c r="DF5" i="1"/>
  <c r="AW25" i="1"/>
  <c r="CP25" i="1" s="1"/>
  <c r="CP5" i="1"/>
  <c r="BD121" i="1"/>
  <c r="BD120" i="1"/>
  <c r="BD119" i="1"/>
  <c r="BD118" i="1"/>
  <c r="BD117" i="1"/>
  <c r="BD115" i="1"/>
  <c r="BD114" i="1"/>
  <c r="BD113" i="1"/>
  <c r="BD112" i="1"/>
  <c r="BD111" i="1"/>
  <c r="BD110" i="1"/>
  <c r="BD109" i="1"/>
  <c r="BD128" i="1"/>
  <c r="BD127" i="1"/>
  <c r="BD126" i="1"/>
  <c r="BD125" i="1"/>
  <c r="BD124" i="1"/>
  <c r="CH129" i="1"/>
  <c r="BD123" i="1"/>
  <c r="CE74" i="1"/>
  <c r="DT165" i="1"/>
  <c r="CW165" i="1"/>
  <c r="DD50" i="1"/>
  <c r="CO50" i="1"/>
  <c r="DD47" i="1"/>
  <c r="CO47" i="1"/>
  <c r="DT24" i="1"/>
  <c r="CW24" i="1"/>
  <c r="DL115" i="1"/>
  <c r="CS115" i="1"/>
  <c r="CP121" i="1"/>
  <c r="DF121" i="1"/>
  <c r="CE8" i="1"/>
  <c r="AK14" i="4"/>
  <c r="DL93" i="1"/>
  <c r="CS93" i="1"/>
  <c r="CO163" i="1"/>
  <c r="DD163" i="1"/>
  <c r="AA41" i="4"/>
  <c r="CP8" i="1"/>
  <c r="DF8" i="1"/>
  <c r="C9" i="4"/>
  <c r="CE75" i="1"/>
  <c r="W77" i="1"/>
  <c r="CE58" i="1"/>
  <c r="CW176" i="1"/>
  <c r="DT176" i="1"/>
  <c r="CF49" i="1"/>
  <c r="DD39" i="1"/>
  <c r="CO39" i="1"/>
  <c r="CW21" i="1"/>
  <c r="DT21" i="1"/>
  <c r="CF18" i="1"/>
  <c r="DL125" i="1"/>
  <c r="CS125" i="1"/>
  <c r="CP109" i="1"/>
  <c r="DF109" i="1"/>
  <c r="CE7" i="1"/>
  <c r="DL173" i="1"/>
  <c r="CS173" i="1"/>
  <c r="DL99" i="1"/>
  <c r="CS99" i="1"/>
  <c r="N9" i="4"/>
  <c r="O9" i="4" s="1"/>
  <c r="P9" i="4" s="1"/>
  <c r="M9" i="4"/>
  <c r="DD170" i="1"/>
  <c r="CO170" i="1"/>
  <c r="DD36" i="1"/>
  <c r="CO36" i="1"/>
  <c r="CP110" i="1"/>
  <c r="DF110" i="1"/>
  <c r="AI7" i="4"/>
  <c r="CE60" i="1"/>
  <c r="DT170" i="1"/>
  <c r="CW170" i="1"/>
  <c r="DD42" i="1"/>
  <c r="CO42" i="1"/>
  <c r="DT6" i="1"/>
  <c r="CW6" i="1"/>
  <c r="CS109" i="1"/>
  <c r="DL109" i="1"/>
  <c r="CP112" i="1"/>
  <c r="DF112" i="1"/>
  <c r="AI9" i="4"/>
  <c r="DL162" i="1"/>
  <c r="CS162" i="1"/>
  <c r="AB77" i="1"/>
  <c r="CJ74" i="1"/>
  <c r="CO166" i="1"/>
  <c r="DD166" i="1"/>
  <c r="AY197" i="1"/>
  <c r="AY196" i="1"/>
  <c r="AY187" i="1"/>
  <c r="AY202" i="1"/>
  <c r="AY191" i="1"/>
  <c r="AY193" i="1"/>
  <c r="CC207" i="1"/>
  <c r="AY188" i="1"/>
  <c r="AY199" i="1"/>
  <c r="AY204" i="1"/>
  <c r="AY190" i="1"/>
  <c r="AY206" i="1"/>
  <c r="AY198" i="1"/>
  <c r="AY195" i="1"/>
  <c r="AY203" i="1"/>
  <c r="AY189" i="1"/>
  <c r="AY192" i="1"/>
  <c r="AY205" i="1"/>
  <c r="AY201" i="1"/>
  <c r="DD41" i="1"/>
  <c r="CO41" i="1"/>
  <c r="CE59" i="1"/>
  <c r="CW172" i="1"/>
  <c r="DT172" i="1"/>
  <c r="DD49" i="1"/>
  <c r="CO49" i="1"/>
  <c r="DT13" i="1"/>
  <c r="CW13" i="1"/>
  <c r="X51" i="1"/>
  <c r="AB51" i="1"/>
  <c r="CJ48" i="1"/>
  <c r="DL128" i="1"/>
  <c r="CS128" i="1"/>
  <c r="DF120" i="1"/>
  <c r="CP120" i="1"/>
  <c r="DL164" i="1"/>
  <c r="CS164" i="1"/>
  <c r="AA45" i="4"/>
  <c r="CS84" i="1"/>
  <c r="DL84" i="1"/>
  <c r="CO162" i="1"/>
  <c r="AA40" i="4"/>
  <c r="AC40" i="4" s="1"/>
  <c r="DD162" i="1"/>
  <c r="DD173" i="1"/>
  <c r="CO173" i="1"/>
  <c r="AD76" i="1"/>
  <c r="DL94" i="1"/>
  <c r="CS94" i="1"/>
  <c r="DF16" i="1"/>
  <c r="CP16" i="1"/>
  <c r="CI48" i="1"/>
  <c r="AA51" i="1"/>
  <c r="CP7" i="1"/>
  <c r="DF7" i="1"/>
  <c r="C8" i="4"/>
  <c r="E8" i="4" s="1"/>
  <c r="CW173" i="1"/>
  <c r="DT173" i="1"/>
  <c r="DD31" i="1"/>
  <c r="CO31" i="1"/>
  <c r="CG48" i="1"/>
  <c r="AD48" i="1"/>
  <c r="AI16" i="4"/>
  <c r="CS112" i="1"/>
  <c r="DL112" i="1"/>
  <c r="AJ16" i="4"/>
  <c r="DF124" i="1"/>
  <c r="CP124" i="1"/>
  <c r="DL171" i="1"/>
  <c r="CS171" i="1"/>
  <c r="CS88" i="1"/>
  <c r="DL88" i="1"/>
  <c r="AT7" i="4"/>
  <c r="AU7" i="4" s="1"/>
  <c r="AV7" i="4" s="1"/>
  <c r="AS7" i="4"/>
  <c r="X25" i="1"/>
  <c r="AB103" i="1"/>
  <c r="CJ100" i="1"/>
  <c r="CK76" i="1"/>
  <c r="DT12" i="1"/>
  <c r="CW12" i="1"/>
  <c r="V7" i="4"/>
  <c r="W7" i="4" s="1"/>
  <c r="X7" i="4" s="1"/>
  <c r="U7" i="4"/>
  <c r="DF13" i="1"/>
  <c r="CP13" i="1"/>
  <c r="AL12" i="4"/>
  <c r="AM12" i="4" s="1"/>
  <c r="AN12" i="4" s="1"/>
  <c r="AK12" i="4"/>
  <c r="DD35" i="1"/>
  <c r="CO35" i="1"/>
  <c r="CS110" i="1"/>
  <c r="DL110" i="1"/>
  <c r="CS117" i="1"/>
  <c r="DL117" i="1"/>
  <c r="CP126" i="1"/>
  <c r="AI10" i="4"/>
  <c r="DF126" i="1"/>
  <c r="CS175" i="1"/>
  <c r="DL175" i="1"/>
  <c r="AB155" i="1"/>
  <c r="CJ152" i="1"/>
  <c r="AA103" i="1"/>
  <c r="CI100" i="1"/>
  <c r="AC204" i="1" l="1"/>
  <c r="N11" i="4"/>
  <c r="O11" i="4" s="1"/>
  <c r="P11" i="4" s="1"/>
  <c r="M11" i="4"/>
  <c r="AL11" i="4"/>
  <c r="AM11" i="4" s="1"/>
  <c r="AN11" i="4" s="1"/>
  <c r="AK11" i="4"/>
  <c r="AC188" i="1"/>
  <c r="F16" i="4"/>
  <c r="G16" i="4" s="1"/>
  <c r="H16" i="4" s="1"/>
  <c r="E16" i="4"/>
  <c r="E17" i="4"/>
  <c r="F17" i="4"/>
  <c r="G17" i="4" s="1"/>
  <c r="H17" i="4" s="1"/>
  <c r="N16" i="4"/>
  <c r="O16" i="4" s="1"/>
  <c r="P16" i="4" s="1"/>
  <c r="DL25" i="1"/>
  <c r="AC189" i="1"/>
  <c r="BG174" i="1" s="1"/>
  <c r="AC195" i="1"/>
  <c r="CK195" i="1" s="1"/>
  <c r="AC206" i="1"/>
  <c r="CK206" i="1" s="1"/>
  <c r="CI196" i="1"/>
  <c r="AC196" i="1"/>
  <c r="CK196" i="1" s="1"/>
  <c r="CI198" i="1"/>
  <c r="AC198" i="1"/>
  <c r="CK198" i="1" s="1"/>
  <c r="AC190" i="1"/>
  <c r="CK190" i="1" s="1"/>
  <c r="CI194" i="1"/>
  <c r="AC194" i="1"/>
  <c r="CK194" i="1" s="1"/>
  <c r="AC203" i="1"/>
  <c r="CK203" i="1" s="1"/>
  <c r="AC205" i="1"/>
  <c r="CK205" i="1" s="1"/>
  <c r="AC191" i="1"/>
  <c r="CK191" i="1" s="1"/>
  <c r="AC193" i="1"/>
  <c r="CK193" i="1" s="1"/>
  <c r="CI201" i="1"/>
  <c r="AC201" i="1"/>
  <c r="CK201" i="1" s="1"/>
  <c r="BD77" i="1"/>
  <c r="CW77" i="1" s="1"/>
  <c r="CI187" i="1"/>
  <c r="AC187" i="1"/>
  <c r="CK187" i="1" s="1"/>
  <c r="CI192" i="1"/>
  <c r="AC192" i="1"/>
  <c r="CK192" i="1" s="1"/>
  <c r="AC197" i="1"/>
  <c r="CK197" i="1" s="1"/>
  <c r="CI202" i="1"/>
  <c r="AC202" i="1"/>
  <c r="CK202" i="1" s="1"/>
  <c r="AC199" i="1"/>
  <c r="CK199" i="1" s="1"/>
  <c r="BD51" i="1"/>
  <c r="F5" i="4"/>
  <c r="G5" i="4" s="1"/>
  <c r="H5" i="4" s="1"/>
  <c r="AL13" i="4"/>
  <c r="AM13" i="4" s="1"/>
  <c r="AN13" i="4" s="1"/>
  <c r="DH129" i="1"/>
  <c r="CG35" i="1"/>
  <c r="DJ103" i="1"/>
  <c r="M7" i="4"/>
  <c r="AT12" i="4"/>
  <c r="AU12" i="4" s="1"/>
  <c r="AV12" i="4" s="1"/>
  <c r="AD34" i="1"/>
  <c r="CL34" i="1" s="1"/>
  <c r="U15" i="4"/>
  <c r="AS5" i="4"/>
  <c r="DL129" i="1"/>
  <c r="DH155" i="1"/>
  <c r="CK189" i="1"/>
  <c r="DJ181" i="1"/>
  <c r="DF103" i="1"/>
  <c r="DT168" i="1"/>
  <c r="CW168" i="1"/>
  <c r="DF51" i="1"/>
  <c r="DD129" i="1"/>
  <c r="BD129" i="1"/>
  <c r="CW129" i="1" s="1"/>
  <c r="AZ207" i="1"/>
  <c r="CS207" i="1" s="1"/>
  <c r="BA51" i="1"/>
  <c r="CT51" i="1" s="1"/>
  <c r="DJ51" i="1"/>
  <c r="DL51" i="1"/>
  <c r="DJ155" i="1"/>
  <c r="DT174" i="1"/>
  <c r="CW174" i="1"/>
  <c r="DL181" i="1"/>
  <c r="DL103" i="1"/>
  <c r="DD103" i="1"/>
  <c r="DZ174" i="1"/>
  <c r="CZ174" i="1"/>
  <c r="CR181" i="1"/>
  <c r="DF129" i="1"/>
  <c r="AY207" i="1"/>
  <c r="CR207" i="1" s="1"/>
  <c r="AV207" i="1"/>
  <c r="CO207" i="1" s="1"/>
  <c r="DD181" i="1"/>
  <c r="BD155" i="1"/>
  <c r="CW155" i="1" s="1"/>
  <c r="DD155" i="1"/>
  <c r="DD25" i="1"/>
  <c r="CS181" i="1"/>
  <c r="BD103" i="1"/>
  <c r="CW103" i="1" s="1"/>
  <c r="DL155" i="1"/>
  <c r="DH51" i="1"/>
  <c r="DD51" i="1"/>
  <c r="DH103" i="1"/>
  <c r="DF155" i="1"/>
  <c r="EB70" i="1"/>
  <c r="DA70" i="1"/>
  <c r="DJ129" i="1"/>
  <c r="CU57" i="1"/>
  <c r="BB77" i="1"/>
  <c r="CU77" i="1" s="1"/>
  <c r="CI189" i="1"/>
  <c r="BE174" i="1"/>
  <c r="CJ189" i="1"/>
  <c r="BF174" i="1"/>
  <c r="CJ188" i="1"/>
  <c r="BF168" i="1"/>
  <c r="BF181" i="1" s="1"/>
  <c r="CI188" i="1"/>
  <c r="BE168" i="1"/>
  <c r="V16" i="4"/>
  <c r="W16" i="4" s="1"/>
  <c r="X16" i="4" s="1"/>
  <c r="AD15" i="4"/>
  <c r="AE15" i="4" s="1"/>
  <c r="AF15" i="4" s="1"/>
  <c r="AT14" i="4"/>
  <c r="AU14" i="4" s="1"/>
  <c r="AV14" i="4" s="1"/>
  <c r="M17" i="4"/>
  <c r="M14" i="4"/>
  <c r="V6" i="4"/>
  <c r="W6" i="4" s="1"/>
  <c r="X6" i="4" s="1"/>
  <c r="AS6" i="4"/>
  <c r="DL77" i="1"/>
  <c r="AS9" i="4"/>
  <c r="AC44" i="4"/>
  <c r="DD77" i="1"/>
  <c r="DJ77" i="1"/>
  <c r="M10" i="4"/>
  <c r="N12" i="4"/>
  <c r="O12" i="4" s="1"/>
  <c r="P12" i="4" s="1"/>
  <c r="E6" i="4"/>
  <c r="DJ25" i="1"/>
  <c r="E15" i="4"/>
  <c r="CG20" i="1"/>
  <c r="AD20" i="1"/>
  <c r="CG19" i="1"/>
  <c r="AD19" i="1"/>
  <c r="V5" i="4"/>
  <c r="W5" i="4" s="1"/>
  <c r="X5" i="4" s="1"/>
  <c r="AL15" i="4"/>
  <c r="AM15" i="4" s="1"/>
  <c r="AN15" i="4" s="1"/>
  <c r="U17" i="4"/>
  <c r="U9" i="4"/>
  <c r="AD24" i="1"/>
  <c r="CL24" i="1" s="1"/>
  <c r="AS17" i="4"/>
  <c r="CG33" i="1"/>
  <c r="M13" i="4"/>
  <c r="AD14" i="4"/>
  <c r="AE14" i="4" s="1"/>
  <c r="AF14" i="4" s="1"/>
  <c r="CG36" i="1"/>
  <c r="CG32" i="1"/>
  <c r="AT16" i="4"/>
  <c r="AU16" i="4" s="1"/>
  <c r="AV16" i="4" s="1"/>
  <c r="AD43" i="1"/>
  <c r="CL43" i="1" s="1"/>
  <c r="U11" i="4"/>
  <c r="AT15" i="4"/>
  <c r="AU15" i="4" s="1"/>
  <c r="AV15" i="4" s="1"/>
  <c r="CG153" i="1"/>
  <c r="AD12" i="4"/>
  <c r="AE12" i="4" s="1"/>
  <c r="AF12" i="4" s="1"/>
  <c r="DF77" i="1"/>
  <c r="CG146" i="1"/>
  <c r="AD146" i="1"/>
  <c r="CL146" i="1" s="1"/>
  <c r="AD147" i="1"/>
  <c r="CL147" i="1" s="1"/>
  <c r="CG147" i="1"/>
  <c r="AD145" i="1"/>
  <c r="CL145" i="1" s="1"/>
  <c r="CG145" i="1"/>
  <c r="CG144" i="1"/>
  <c r="AD144" i="1"/>
  <c r="CL144" i="1" s="1"/>
  <c r="AD140" i="1"/>
  <c r="CL140" i="1" s="1"/>
  <c r="CG140" i="1"/>
  <c r="CG135" i="1"/>
  <c r="AD135" i="1"/>
  <c r="CL135" i="1" s="1"/>
  <c r="CG151" i="1"/>
  <c r="AD151" i="1"/>
  <c r="CL151" i="1" s="1"/>
  <c r="CG150" i="1"/>
  <c r="AD150" i="1"/>
  <c r="CL150" i="1" s="1"/>
  <c r="AD141" i="1"/>
  <c r="CL141" i="1" s="1"/>
  <c r="CG141" i="1"/>
  <c r="CG143" i="1"/>
  <c r="AD143" i="1"/>
  <c r="CL143" i="1" s="1"/>
  <c r="CG139" i="1"/>
  <c r="AD139" i="1"/>
  <c r="CL139" i="1" s="1"/>
  <c r="AD149" i="1"/>
  <c r="CL149" i="1" s="1"/>
  <c r="CG149" i="1"/>
  <c r="CG120" i="1"/>
  <c r="AD120" i="1"/>
  <c r="CL120" i="1" s="1"/>
  <c r="AD121" i="1"/>
  <c r="CL121" i="1" s="1"/>
  <c r="CG121" i="1"/>
  <c r="AD115" i="1"/>
  <c r="CL115" i="1" s="1"/>
  <c r="CG115" i="1"/>
  <c r="CG124" i="1"/>
  <c r="AD124" i="1"/>
  <c r="CL124" i="1" s="1"/>
  <c r="AD114" i="1"/>
  <c r="CL114" i="1" s="1"/>
  <c r="CG114" i="1"/>
  <c r="CG113" i="1"/>
  <c r="AD113" i="1"/>
  <c r="CL113" i="1" s="1"/>
  <c r="CG123" i="1"/>
  <c r="AD123" i="1"/>
  <c r="CL123" i="1" s="1"/>
  <c r="AD117" i="1"/>
  <c r="CL117" i="1" s="1"/>
  <c r="CG117" i="1"/>
  <c r="CG109" i="1"/>
  <c r="AD109" i="1"/>
  <c r="CL109" i="1" s="1"/>
  <c r="AD118" i="1"/>
  <c r="CL118" i="1" s="1"/>
  <c r="CG118" i="1"/>
  <c r="CG125" i="1"/>
  <c r="AD125" i="1"/>
  <c r="CL125" i="1" s="1"/>
  <c r="AD119" i="1"/>
  <c r="CL119" i="1" s="1"/>
  <c r="CG119" i="1"/>
  <c r="AD89" i="1"/>
  <c r="CL89" i="1" s="1"/>
  <c r="CG89" i="1"/>
  <c r="AD91" i="1"/>
  <c r="CL91" i="1" s="1"/>
  <c r="CG91" i="1"/>
  <c r="CG83" i="1"/>
  <c r="AD83" i="1"/>
  <c r="CL83" i="1" s="1"/>
  <c r="AD88" i="1"/>
  <c r="CL88" i="1" s="1"/>
  <c r="CG88" i="1"/>
  <c r="CG98" i="1"/>
  <c r="AD98" i="1"/>
  <c r="CL98" i="1" s="1"/>
  <c r="CG97" i="1"/>
  <c r="AD97" i="1"/>
  <c r="CL97" i="1" s="1"/>
  <c r="CG99" i="1"/>
  <c r="AD99" i="1"/>
  <c r="CL99" i="1" s="1"/>
  <c r="AD92" i="1"/>
  <c r="CL92" i="1" s="1"/>
  <c r="CG92" i="1"/>
  <c r="CG94" i="1"/>
  <c r="AD94" i="1"/>
  <c r="CL94" i="1" s="1"/>
  <c r="AD93" i="1"/>
  <c r="CL93" i="1" s="1"/>
  <c r="CG93" i="1"/>
  <c r="CG87" i="1"/>
  <c r="AD87" i="1"/>
  <c r="CL87" i="1" s="1"/>
  <c r="AD95" i="1"/>
  <c r="CL95" i="1" s="1"/>
  <c r="CG95" i="1"/>
  <c r="AD62" i="1"/>
  <c r="CL62" i="1" s="1"/>
  <c r="CG62" i="1"/>
  <c r="CG57" i="1"/>
  <c r="AD57" i="1"/>
  <c r="CL57" i="1" s="1"/>
  <c r="AD73" i="1"/>
  <c r="CL73" i="1" s="1"/>
  <c r="CG73" i="1"/>
  <c r="CG72" i="1"/>
  <c r="AD72" i="1"/>
  <c r="CL72" i="1" s="1"/>
  <c r="CG68" i="1"/>
  <c r="AD68" i="1"/>
  <c r="CL68" i="1" s="1"/>
  <c r="CG61" i="1"/>
  <c r="AD61" i="1"/>
  <c r="CL61" i="1" s="1"/>
  <c r="CG66" i="1"/>
  <c r="AD66" i="1"/>
  <c r="CL66" i="1" s="1"/>
  <c r="U12" i="4"/>
  <c r="AD65" i="1"/>
  <c r="CL65" i="1" s="1"/>
  <c r="CG65" i="1"/>
  <c r="CG67" i="1"/>
  <c r="AD67" i="1"/>
  <c r="CL67" i="1" s="1"/>
  <c r="CG71" i="1"/>
  <c r="AD71" i="1"/>
  <c r="CL71" i="1" s="1"/>
  <c r="AD69" i="1"/>
  <c r="CL69" i="1" s="1"/>
  <c r="CG69" i="1"/>
  <c r="AD63" i="1"/>
  <c r="CL63" i="1" s="1"/>
  <c r="CG63" i="1"/>
  <c r="AD37" i="1"/>
  <c r="CL37" i="1" s="1"/>
  <c r="CG37" i="1"/>
  <c r="AD41" i="1"/>
  <c r="CL41" i="1" s="1"/>
  <c r="CG41" i="1"/>
  <c r="CG31" i="1"/>
  <c r="AD31" i="1"/>
  <c r="CL31" i="1" s="1"/>
  <c r="CG47" i="1"/>
  <c r="AD47" i="1"/>
  <c r="CL47" i="1" s="1"/>
  <c r="CG42" i="1"/>
  <c r="AD42" i="1"/>
  <c r="CL42" i="1" s="1"/>
  <c r="AD40" i="1"/>
  <c r="CL40" i="1" s="1"/>
  <c r="CG40" i="1"/>
  <c r="CG46" i="1"/>
  <c r="AD46" i="1"/>
  <c r="CL46" i="1" s="1"/>
  <c r="AD39" i="1"/>
  <c r="CL39" i="1" s="1"/>
  <c r="CG39" i="1"/>
  <c r="CG45" i="1"/>
  <c r="AD45" i="1"/>
  <c r="CL45" i="1" s="1"/>
  <c r="Y51" i="1"/>
  <c r="BC36" i="1" s="1"/>
  <c r="CG17" i="1"/>
  <c r="AD17" i="1"/>
  <c r="CL17" i="1" s="1"/>
  <c r="CG5" i="1"/>
  <c r="AD5" i="1"/>
  <c r="CL5" i="1" s="1"/>
  <c r="CG10" i="1"/>
  <c r="AD10" i="1"/>
  <c r="CL10" i="1" s="1"/>
  <c r="AD13" i="1"/>
  <c r="CL13" i="1" s="1"/>
  <c r="CG13" i="1"/>
  <c r="CG23" i="1"/>
  <c r="AD23" i="1"/>
  <c r="CL23" i="1" s="1"/>
  <c r="AD15" i="1"/>
  <c r="CL15" i="1" s="1"/>
  <c r="CG15" i="1"/>
  <c r="CG14" i="1"/>
  <c r="AD14" i="1"/>
  <c r="CL14" i="1" s="1"/>
  <c r="CG22" i="1"/>
  <c r="AD22" i="1"/>
  <c r="CL22" i="1" s="1"/>
  <c r="AD11" i="1"/>
  <c r="CL11" i="1" s="1"/>
  <c r="CG11" i="1"/>
  <c r="CG16" i="1"/>
  <c r="AD16" i="1"/>
  <c r="CL16" i="1" s="1"/>
  <c r="CG21" i="1"/>
  <c r="AD21" i="1"/>
  <c r="CL21" i="1" s="1"/>
  <c r="CG9" i="1"/>
  <c r="AD9" i="1"/>
  <c r="CL9" i="1" s="1"/>
  <c r="AS16" i="4"/>
  <c r="BB153" i="1"/>
  <c r="DP153" i="1" s="1"/>
  <c r="AT10" i="4"/>
  <c r="AU10" i="4" s="1"/>
  <c r="AV10" i="4" s="1"/>
  <c r="BB151" i="1"/>
  <c r="AQ31" i="4" s="1"/>
  <c r="AK5" i="4"/>
  <c r="AL5" i="4"/>
  <c r="AM5" i="4" s="1"/>
  <c r="AN5" i="4" s="1"/>
  <c r="AD11" i="4"/>
  <c r="AE11" i="4" s="1"/>
  <c r="AF11" i="4" s="1"/>
  <c r="AD13" i="4"/>
  <c r="AE13" i="4" s="1"/>
  <c r="AF13" i="4" s="1"/>
  <c r="AC9" i="4"/>
  <c r="AC7" i="4"/>
  <c r="V10" i="4"/>
  <c r="W10" i="4" s="1"/>
  <c r="X10" i="4" s="1"/>
  <c r="BB147" i="1"/>
  <c r="AQ27" i="4" s="1"/>
  <c r="BB146" i="1"/>
  <c r="DP146" i="1" s="1"/>
  <c r="BB150" i="1"/>
  <c r="CU150" i="1" s="1"/>
  <c r="BB145" i="1"/>
  <c r="DP145" i="1" s="1"/>
  <c r="AL6" i="4"/>
  <c r="AM6" i="4" s="1"/>
  <c r="AN6" i="4" s="1"/>
  <c r="AK6" i="4"/>
  <c r="F11" i="4"/>
  <c r="G11" i="4" s="1"/>
  <c r="H11" i="4" s="1"/>
  <c r="BB135" i="1"/>
  <c r="BB141" i="1"/>
  <c r="CU141" i="1" s="1"/>
  <c r="BB138" i="1"/>
  <c r="DP138" i="1" s="1"/>
  <c r="BB137" i="1"/>
  <c r="DP137" i="1" s="1"/>
  <c r="DH77" i="1"/>
  <c r="F14" i="4"/>
  <c r="G14" i="4" s="1"/>
  <c r="H14" i="4" s="1"/>
  <c r="DH25" i="1"/>
  <c r="E13" i="4"/>
  <c r="AD10" i="4"/>
  <c r="AE10" i="4" s="1"/>
  <c r="AF10" i="4" s="1"/>
  <c r="N15" i="4"/>
  <c r="O15" i="4" s="1"/>
  <c r="P15" i="4" s="1"/>
  <c r="M15" i="4"/>
  <c r="BB139" i="1"/>
  <c r="DP139" i="1" s="1"/>
  <c r="CF155" i="1"/>
  <c r="BB154" i="1"/>
  <c r="DP154" i="1" s="1"/>
  <c r="BB144" i="1"/>
  <c r="CU144" i="1" s="1"/>
  <c r="BB152" i="1"/>
  <c r="DP152" i="1" s="1"/>
  <c r="BB149" i="1"/>
  <c r="DP149" i="1" s="1"/>
  <c r="EC187" i="1"/>
  <c r="EC207" i="1" s="1"/>
  <c r="BW207" i="1"/>
  <c r="BB143" i="1"/>
  <c r="DP143" i="1" s="1"/>
  <c r="BB140" i="1"/>
  <c r="DP140" i="1" s="1"/>
  <c r="F12" i="4"/>
  <c r="G12" i="4" s="1"/>
  <c r="H12" i="4" s="1"/>
  <c r="DP57" i="1"/>
  <c r="DP66" i="1"/>
  <c r="U28" i="4"/>
  <c r="U30" i="4"/>
  <c r="U29" i="4"/>
  <c r="CU60" i="1"/>
  <c r="CU72" i="1"/>
  <c r="CU74" i="1"/>
  <c r="DP58" i="1"/>
  <c r="CU58" i="1"/>
  <c r="CU63" i="1"/>
  <c r="DP63" i="1"/>
  <c r="DP68" i="1"/>
  <c r="S27" i="4"/>
  <c r="DP69" i="1"/>
  <c r="CU69" i="1"/>
  <c r="CU61" i="1"/>
  <c r="DP61" i="1"/>
  <c r="V14" i="4"/>
  <c r="W14" i="4" s="1"/>
  <c r="X14" i="4" s="1"/>
  <c r="DP67" i="1"/>
  <c r="CU67" i="1"/>
  <c r="CU59" i="1"/>
  <c r="DP72" i="1"/>
  <c r="CU65" i="1"/>
  <c r="DP65" i="1"/>
  <c r="DP62" i="1"/>
  <c r="CU62" i="1"/>
  <c r="CU75" i="1"/>
  <c r="DP75" i="1"/>
  <c r="DP73" i="1"/>
  <c r="S31" i="4"/>
  <c r="CU73" i="1"/>
  <c r="S32" i="4"/>
  <c r="DP76" i="1"/>
  <c r="CU76" i="1"/>
  <c r="AM44" i="4"/>
  <c r="AF44" i="4"/>
  <c r="AD127" i="1"/>
  <c r="CL127" i="1" s="1"/>
  <c r="BB118" i="1"/>
  <c r="BB113" i="1"/>
  <c r="BB124" i="1"/>
  <c r="AI30" i="4" s="1"/>
  <c r="BB117" i="1"/>
  <c r="BB109" i="1"/>
  <c r="BB128" i="1"/>
  <c r="BB127" i="1"/>
  <c r="BB121" i="1"/>
  <c r="AI27" i="4" s="1"/>
  <c r="BB123" i="1"/>
  <c r="AI29" i="4" s="1"/>
  <c r="BB110" i="1"/>
  <c r="BB125" i="1"/>
  <c r="AI31" i="4" s="1"/>
  <c r="BB119" i="1"/>
  <c r="BB115" i="1"/>
  <c r="BB120" i="1"/>
  <c r="BB114" i="1"/>
  <c r="BB111" i="1"/>
  <c r="BB126" i="1"/>
  <c r="BB112" i="1"/>
  <c r="CF129" i="1"/>
  <c r="AD100" i="1"/>
  <c r="CL100" i="1" s="1"/>
  <c r="AL16" i="4"/>
  <c r="AM16" i="4" s="1"/>
  <c r="AN16" i="4" s="1"/>
  <c r="AC5" i="4"/>
  <c r="AD5" i="4"/>
  <c r="AE5" i="4" s="1"/>
  <c r="AF5" i="4" s="1"/>
  <c r="AC6" i="4"/>
  <c r="AD6" i="4"/>
  <c r="AE6" i="4" s="1"/>
  <c r="AF6" i="4" s="1"/>
  <c r="AC155" i="1"/>
  <c r="BG137" i="1" s="1"/>
  <c r="BB12" i="1"/>
  <c r="BB15" i="1"/>
  <c r="BB11" i="1"/>
  <c r="BB24" i="1"/>
  <c r="BB16" i="1"/>
  <c r="BB7" i="1"/>
  <c r="BB6" i="1"/>
  <c r="BB22" i="1"/>
  <c r="BB23" i="1"/>
  <c r="BB14" i="1"/>
  <c r="BB8" i="1"/>
  <c r="BB10" i="1"/>
  <c r="BB18" i="1"/>
  <c r="C28" i="4" s="1"/>
  <c r="BB21" i="1"/>
  <c r="C31" i="4" s="1"/>
  <c r="BB17" i="1"/>
  <c r="BB13" i="1"/>
  <c r="BB9" i="1"/>
  <c r="BB5" i="1"/>
  <c r="CF25" i="1"/>
  <c r="BB34" i="1"/>
  <c r="BB46" i="1"/>
  <c r="BB31" i="1"/>
  <c r="BB47" i="1"/>
  <c r="BB42" i="1"/>
  <c r="BB40" i="1"/>
  <c r="BB39" i="1"/>
  <c r="CF51" i="1"/>
  <c r="BB48" i="1"/>
  <c r="BB35" i="1"/>
  <c r="BB49" i="1"/>
  <c r="BB41" i="1"/>
  <c r="BB37" i="1"/>
  <c r="BB36" i="1"/>
  <c r="BB33" i="1"/>
  <c r="BB50" i="1"/>
  <c r="BB43" i="1"/>
  <c r="BB32" i="1"/>
  <c r="BB45" i="1"/>
  <c r="DJ196" i="1"/>
  <c r="CR196" i="1"/>
  <c r="AK7" i="4"/>
  <c r="AL7" i="4"/>
  <c r="AM7" i="4" s="1"/>
  <c r="AN7" i="4" s="1"/>
  <c r="CW98" i="1"/>
  <c r="DT98" i="1"/>
  <c r="BE145" i="1"/>
  <c r="BE146" i="1"/>
  <c r="BE143" i="1"/>
  <c r="BE141" i="1"/>
  <c r="BE140" i="1"/>
  <c r="BE138" i="1"/>
  <c r="BE154" i="1"/>
  <c r="BE135" i="1"/>
  <c r="BE153" i="1"/>
  <c r="BE144" i="1"/>
  <c r="BE139" i="1"/>
  <c r="BE152" i="1"/>
  <c r="BE151" i="1"/>
  <c r="BE150" i="1"/>
  <c r="BE136" i="1"/>
  <c r="BE149" i="1"/>
  <c r="CI155" i="1"/>
  <c r="BE147" i="1"/>
  <c r="BE137" i="1"/>
  <c r="BF115" i="1"/>
  <c r="BF128" i="1"/>
  <c r="BF127" i="1"/>
  <c r="BF126" i="1"/>
  <c r="BF118" i="1"/>
  <c r="BF114" i="1"/>
  <c r="BF125" i="1"/>
  <c r="BF117" i="1"/>
  <c r="BF112" i="1"/>
  <c r="BF124" i="1"/>
  <c r="BF123" i="1"/>
  <c r="BF121" i="1"/>
  <c r="BF109" i="1"/>
  <c r="BF120" i="1"/>
  <c r="BF119" i="1"/>
  <c r="BF111" i="1"/>
  <c r="BF110" i="1"/>
  <c r="CJ129" i="1"/>
  <c r="BF113" i="1"/>
  <c r="DT41" i="1"/>
  <c r="CW41" i="1"/>
  <c r="CZ165" i="1"/>
  <c r="DZ165" i="1"/>
  <c r="DL202" i="1"/>
  <c r="CS202" i="1"/>
  <c r="DN47" i="1"/>
  <c r="CT47" i="1"/>
  <c r="BF49" i="1"/>
  <c r="BF48" i="1"/>
  <c r="BF47" i="1"/>
  <c r="BF40" i="1"/>
  <c r="BF46" i="1"/>
  <c r="BF31" i="1"/>
  <c r="BF45" i="1"/>
  <c r="BF43" i="1"/>
  <c r="BF42" i="1"/>
  <c r="BF39" i="1"/>
  <c r="BF32" i="1"/>
  <c r="BF41" i="1"/>
  <c r="BF37" i="1"/>
  <c r="BF36" i="1"/>
  <c r="BF34" i="1"/>
  <c r="BF35" i="1"/>
  <c r="BF33" i="1"/>
  <c r="BF50" i="1"/>
  <c r="CJ51" i="1"/>
  <c r="DJ201" i="1"/>
  <c r="CR201" i="1"/>
  <c r="DJ197" i="1"/>
  <c r="CR197" i="1"/>
  <c r="CG112" i="1"/>
  <c r="AD112" i="1"/>
  <c r="AD17" i="4"/>
  <c r="AE17" i="4" s="1"/>
  <c r="AF17" i="4" s="1"/>
  <c r="AC17" i="4"/>
  <c r="DT93" i="1"/>
  <c r="CW93" i="1"/>
  <c r="AC77" i="1"/>
  <c r="DD189" i="1"/>
  <c r="CO189" i="1"/>
  <c r="DT71" i="1"/>
  <c r="CW71" i="1"/>
  <c r="BA100" i="1"/>
  <c r="BA97" i="1"/>
  <c r="BA87" i="1"/>
  <c r="BA93" i="1"/>
  <c r="BA83" i="1"/>
  <c r="BA99" i="1"/>
  <c r="BA84" i="1"/>
  <c r="BA88" i="1"/>
  <c r="BA92" i="1"/>
  <c r="BA98" i="1"/>
  <c r="BA89" i="1"/>
  <c r="BA95" i="1"/>
  <c r="BA94" i="1"/>
  <c r="BA91" i="1"/>
  <c r="BA86" i="1"/>
  <c r="BA85" i="1"/>
  <c r="CE103" i="1"/>
  <c r="BA102" i="1"/>
  <c r="BA101" i="1"/>
  <c r="DT45" i="1"/>
  <c r="CW45" i="1"/>
  <c r="DZ164" i="1"/>
  <c r="CZ164" i="1"/>
  <c r="AA64" i="4"/>
  <c r="AD64" i="4" s="1"/>
  <c r="DL206" i="1"/>
  <c r="CS206" i="1"/>
  <c r="DT136" i="1"/>
  <c r="CW136" i="1"/>
  <c r="DN37" i="1"/>
  <c r="K18" i="4"/>
  <c r="CT37" i="1"/>
  <c r="DJ187" i="1"/>
  <c r="CR187" i="1"/>
  <c r="BF140" i="1"/>
  <c r="BF139" i="1"/>
  <c r="BF138" i="1"/>
  <c r="BF137" i="1"/>
  <c r="BF154" i="1"/>
  <c r="BF153" i="1"/>
  <c r="BF135" i="1"/>
  <c r="BF152" i="1"/>
  <c r="BF151" i="1"/>
  <c r="BF150" i="1"/>
  <c r="BF149" i="1"/>
  <c r="BF147" i="1"/>
  <c r="BF144" i="1"/>
  <c r="BF146" i="1"/>
  <c r="BF145" i="1"/>
  <c r="BF141" i="1"/>
  <c r="BF136" i="1"/>
  <c r="BF143" i="1"/>
  <c r="CJ155" i="1"/>
  <c r="DJ205" i="1"/>
  <c r="CR205" i="1"/>
  <c r="DT124" i="1"/>
  <c r="CW124" i="1"/>
  <c r="DF25" i="1"/>
  <c r="CO201" i="1"/>
  <c r="DD201" i="1"/>
  <c r="DT57" i="1"/>
  <c r="CW57" i="1"/>
  <c r="AC42" i="4"/>
  <c r="AD42" i="4"/>
  <c r="AE42" i="4" s="1"/>
  <c r="DT48" i="1"/>
  <c r="CW48" i="1"/>
  <c r="DZ163" i="1"/>
  <c r="CZ163" i="1"/>
  <c r="AA63" i="4"/>
  <c r="AD63" i="4" s="1"/>
  <c r="DL197" i="1"/>
  <c r="CS197" i="1"/>
  <c r="DT141" i="1"/>
  <c r="CW141" i="1"/>
  <c r="AC43" i="4"/>
  <c r="AD43" i="4"/>
  <c r="AE43" i="4" s="1"/>
  <c r="DN50" i="1"/>
  <c r="CT50" i="1"/>
  <c r="DT37" i="1"/>
  <c r="CW37" i="1"/>
  <c r="DN43" i="1"/>
  <c r="CT43" i="1"/>
  <c r="CR192" i="1"/>
  <c r="DJ192" i="1"/>
  <c r="AD7" i="1"/>
  <c r="CG7" i="1"/>
  <c r="CW125" i="1"/>
  <c r="DT125" i="1"/>
  <c r="CG137" i="1"/>
  <c r="AD137" i="1"/>
  <c r="AD12" i="1"/>
  <c r="CG12" i="1"/>
  <c r="DT100" i="1"/>
  <c r="CW100" i="1"/>
  <c r="DD191" i="1"/>
  <c r="CO191" i="1"/>
  <c r="CW61" i="1"/>
  <c r="DT61" i="1"/>
  <c r="DZ162" i="1"/>
  <c r="CZ162" i="1"/>
  <c r="AD62" i="4"/>
  <c r="DL190" i="1"/>
  <c r="CS190" i="1"/>
  <c r="CW153" i="1"/>
  <c r="DT153" i="1"/>
  <c r="K20" i="4"/>
  <c r="CT39" i="1"/>
  <c r="DN39" i="1"/>
  <c r="M6" i="4"/>
  <c r="N6" i="4"/>
  <c r="O6" i="4" s="1"/>
  <c r="P6" i="4" s="1"/>
  <c r="CW126" i="1"/>
  <c r="DT126" i="1"/>
  <c r="AD126" i="1"/>
  <c r="CG126" i="1"/>
  <c r="DT84" i="1"/>
  <c r="CW84" i="1"/>
  <c r="CG101" i="1"/>
  <c r="AD101" i="1"/>
  <c r="CO192" i="1"/>
  <c r="DD192" i="1"/>
  <c r="DT67" i="1"/>
  <c r="CW67" i="1"/>
  <c r="DT43" i="1"/>
  <c r="CW43" i="1"/>
  <c r="DZ161" i="1"/>
  <c r="CZ161" i="1"/>
  <c r="DL204" i="1"/>
  <c r="CS204" i="1"/>
  <c r="CW139" i="1"/>
  <c r="DT139" i="1"/>
  <c r="DN42" i="1"/>
  <c r="CT42" i="1"/>
  <c r="DJ189" i="1"/>
  <c r="CR189" i="1"/>
  <c r="DT127" i="1"/>
  <c r="CW127" i="1"/>
  <c r="CG138" i="1"/>
  <c r="AD138" i="1"/>
  <c r="CW88" i="1"/>
  <c r="DT88" i="1"/>
  <c r="CO187" i="1"/>
  <c r="DD187" i="1"/>
  <c r="DT66" i="1"/>
  <c r="CW66" i="1"/>
  <c r="DT40" i="1"/>
  <c r="CW40" i="1"/>
  <c r="DZ180" i="1"/>
  <c r="CZ180" i="1"/>
  <c r="AA68" i="4"/>
  <c r="AC68" i="4" s="1"/>
  <c r="DL188" i="1"/>
  <c r="CS188" i="1"/>
  <c r="DT147" i="1"/>
  <c r="CW147" i="1"/>
  <c r="CL32" i="1"/>
  <c r="K25" i="4"/>
  <c r="CT34" i="1"/>
  <c r="DN34" i="1"/>
  <c r="AD8" i="1"/>
  <c r="CG8" i="1"/>
  <c r="DD206" i="1"/>
  <c r="CO206" i="1"/>
  <c r="CZ167" i="1"/>
  <c r="DZ167" i="1"/>
  <c r="CW138" i="1"/>
  <c r="DT138" i="1"/>
  <c r="DJ203" i="1"/>
  <c r="CR203" i="1"/>
  <c r="CG58" i="1"/>
  <c r="Y77" i="1"/>
  <c r="AD58" i="1"/>
  <c r="CW128" i="1"/>
  <c r="DT128" i="1"/>
  <c r="Y25" i="1"/>
  <c r="AD6" i="1"/>
  <c r="CG6" i="1"/>
  <c r="CW95" i="1"/>
  <c r="DT95" i="1"/>
  <c r="CO204" i="1"/>
  <c r="DD204" i="1"/>
  <c r="DT50" i="1"/>
  <c r="CW50" i="1"/>
  <c r="CZ179" i="1"/>
  <c r="AA67" i="4"/>
  <c r="AD67" i="4" s="1"/>
  <c r="DZ179" i="1"/>
  <c r="CW152" i="1"/>
  <c r="DT152" i="1"/>
  <c r="AL10" i="4"/>
  <c r="AM10" i="4" s="1"/>
  <c r="AN10" i="4" s="1"/>
  <c r="AK10" i="4"/>
  <c r="BE43" i="1"/>
  <c r="BE32" i="1"/>
  <c r="BE35" i="1"/>
  <c r="CI51" i="1"/>
  <c r="BE34" i="1"/>
  <c r="BE42" i="1"/>
  <c r="BE50" i="1"/>
  <c r="BE39" i="1"/>
  <c r="BE49" i="1"/>
  <c r="BE36" i="1"/>
  <c r="BE48" i="1"/>
  <c r="BE37" i="1"/>
  <c r="BE31" i="1"/>
  <c r="BE47" i="1"/>
  <c r="BE40" i="1"/>
  <c r="BE41" i="1"/>
  <c r="BE45" i="1"/>
  <c r="BE46" i="1"/>
  <c r="BE33" i="1"/>
  <c r="DJ195" i="1"/>
  <c r="CR195" i="1"/>
  <c r="DT109" i="1"/>
  <c r="CW109" i="1"/>
  <c r="BA24" i="1"/>
  <c r="BA5" i="1"/>
  <c r="BA21" i="1"/>
  <c r="BA15" i="1"/>
  <c r="BA11" i="1"/>
  <c r="BA23" i="1"/>
  <c r="BA9" i="1"/>
  <c r="BA22" i="1"/>
  <c r="BA16" i="1"/>
  <c r="BA8" i="1"/>
  <c r="CE25" i="1"/>
  <c r="BA14" i="1"/>
  <c r="BA10" i="1"/>
  <c r="BA12" i="1"/>
  <c r="C19" i="4" s="1"/>
  <c r="BA17" i="1"/>
  <c r="BA13" i="1"/>
  <c r="BA7" i="1"/>
  <c r="BA18" i="1"/>
  <c r="BA6" i="1"/>
  <c r="CG128" i="1"/>
  <c r="AD128" i="1"/>
  <c r="DT99" i="1"/>
  <c r="CW99" i="1"/>
  <c r="CK24" i="1"/>
  <c r="AC25" i="1"/>
  <c r="DD199" i="1"/>
  <c r="CO199" i="1"/>
  <c r="DT73" i="1"/>
  <c r="CW73" i="1"/>
  <c r="DT32" i="1"/>
  <c r="CW32" i="1"/>
  <c r="CZ178" i="1"/>
  <c r="AA66" i="4"/>
  <c r="AD66" i="4" s="1"/>
  <c r="DZ178" i="1"/>
  <c r="DL199" i="1"/>
  <c r="CS199" i="1"/>
  <c r="DN36" i="1"/>
  <c r="CT36" i="1"/>
  <c r="DJ198" i="1"/>
  <c r="CR198" i="1"/>
  <c r="BA69" i="1"/>
  <c r="BA59" i="1"/>
  <c r="BA66" i="1"/>
  <c r="BA65" i="1"/>
  <c r="CE77" i="1"/>
  <c r="BA67" i="1"/>
  <c r="BA58" i="1"/>
  <c r="BA72" i="1"/>
  <c r="BA71" i="1"/>
  <c r="BA63" i="1"/>
  <c r="BA60" i="1"/>
  <c r="BA62" i="1"/>
  <c r="BA61" i="1"/>
  <c r="BA57" i="1"/>
  <c r="BA76" i="1"/>
  <c r="BA75" i="1"/>
  <c r="BA74" i="1"/>
  <c r="BA73" i="1"/>
  <c r="BA68" i="1"/>
  <c r="AD41" i="4"/>
  <c r="AE41" i="4" s="1"/>
  <c r="AC41" i="4"/>
  <c r="CW110" i="1"/>
  <c r="DT110" i="1"/>
  <c r="CL33" i="1"/>
  <c r="BA151" i="1"/>
  <c r="BA146" i="1"/>
  <c r="BA143" i="1"/>
  <c r="BA139" i="1"/>
  <c r="BA150" i="1"/>
  <c r="BA144" i="1"/>
  <c r="BA140" i="1"/>
  <c r="BA154" i="1"/>
  <c r="BA147" i="1"/>
  <c r="BA141" i="1"/>
  <c r="BA136" i="1"/>
  <c r="CE155" i="1"/>
  <c r="BA145" i="1"/>
  <c r="BA138" i="1"/>
  <c r="BA137" i="1"/>
  <c r="BA135" i="1"/>
  <c r="BA149" i="1"/>
  <c r="BA153" i="1"/>
  <c r="BA152" i="1"/>
  <c r="CW101" i="1"/>
  <c r="DT101" i="1"/>
  <c r="DD203" i="1"/>
  <c r="CO203" i="1"/>
  <c r="CW60" i="1"/>
  <c r="DT60" i="1"/>
  <c r="CW58" i="1"/>
  <c r="DT58" i="1"/>
  <c r="BB94" i="1"/>
  <c r="BB89" i="1"/>
  <c r="BB101" i="1"/>
  <c r="BB86" i="1"/>
  <c r="BB98" i="1"/>
  <c r="BB99" i="1"/>
  <c r="BB88" i="1"/>
  <c r="CF103" i="1"/>
  <c r="BB87" i="1"/>
  <c r="BB100" i="1"/>
  <c r="BB93" i="1"/>
  <c r="BB85" i="1"/>
  <c r="BB84" i="1"/>
  <c r="BB83" i="1"/>
  <c r="BB102" i="1"/>
  <c r="BB97" i="1"/>
  <c r="BB95" i="1"/>
  <c r="BB92" i="1"/>
  <c r="BB91" i="1"/>
  <c r="DT42" i="1"/>
  <c r="CW42" i="1"/>
  <c r="CZ177" i="1"/>
  <c r="DZ177" i="1"/>
  <c r="CG86" i="1"/>
  <c r="AD86" i="1"/>
  <c r="DL203" i="1"/>
  <c r="CS203" i="1"/>
  <c r="DT140" i="1"/>
  <c r="CW140" i="1"/>
  <c r="DN46" i="1"/>
  <c r="CT46" i="1"/>
  <c r="K22" i="4"/>
  <c r="CT41" i="1"/>
  <c r="DN41" i="1"/>
  <c r="AD49" i="1"/>
  <c r="CG49" i="1"/>
  <c r="DT35" i="1"/>
  <c r="CW35" i="1"/>
  <c r="AC45" i="4"/>
  <c r="AD45" i="4"/>
  <c r="AE45" i="4" s="1"/>
  <c r="CG59" i="1"/>
  <c r="AD59" i="1"/>
  <c r="DJ206" i="1"/>
  <c r="CR206" i="1"/>
  <c r="DT111" i="1"/>
  <c r="CW111" i="1"/>
  <c r="AD46" i="4"/>
  <c r="AE46" i="4" s="1"/>
  <c r="AC46" i="4"/>
  <c r="CG136" i="1"/>
  <c r="Y155" i="1"/>
  <c r="AD136" i="1"/>
  <c r="CW85" i="1"/>
  <c r="DT85" i="1"/>
  <c r="AA207" i="1"/>
  <c r="CI204" i="1"/>
  <c r="CK204" i="1"/>
  <c r="DD196" i="1"/>
  <c r="CO196" i="1"/>
  <c r="DT62" i="1"/>
  <c r="CW62" i="1"/>
  <c r="F7" i="4"/>
  <c r="G7" i="4" s="1"/>
  <c r="H7" i="4" s="1"/>
  <c r="E7" i="4"/>
  <c r="DT36" i="1"/>
  <c r="CW36" i="1"/>
  <c r="CZ176" i="1"/>
  <c r="DZ176" i="1"/>
  <c r="DT145" i="1"/>
  <c r="CW145" i="1"/>
  <c r="CG102" i="1"/>
  <c r="AD102" i="1"/>
  <c r="K26" i="4"/>
  <c r="DN48" i="1"/>
  <c r="CT48" i="1"/>
  <c r="DT120" i="1"/>
  <c r="CW120" i="1"/>
  <c r="CW89" i="1"/>
  <c r="DT89" i="1"/>
  <c r="DT59" i="1"/>
  <c r="CW59" i="1"/>
  <c r="DT123" i="1"/>
  <c r="CW123" i="1"/>
  <c r="DJ190" i="1"/>
  <c r="CR190" i="1"/>
  <c r="DT112" i="1"/>
  <c r="CW112" i="1"/>
  <c r="N5" i="4"/>
  <c r="O5" i="4" s="1"/>
  <c r="P5" i="4" s="1"/>
  <c r="M5" i="4"/>
  <c r="CW91" i="1"/>
  <c r="DT91" i="1"/>
  <c r="AD154" i="1"/>
  <c r="CG154" i="1"/>
  <c r="BE21" i="1"/>
  <c r="CI25" i="1"/>
  <c r="BE17" i="1"/>
  <c r="BE16" i="1"/>
  <c r="BE15" i="1"/>
  <c r="BE9" i="1"/>
  <c r="BE10" i="1"/>
  <c r="BE5" i="1"/>
  <c r="BE7" i="1"/>
  <c r="BE18" i="1"/>
  <c r="BE14" i="1"/>
  <c r="BE12" i="1"/>
  <c r="BE6" i="1"/>
  <c r="BE24" i="1"/>
  <c r="BE23" i="1"/>
  <c r="BE8" i="1"/>
  <c r="BE11" i="1"/>
  <c r="BE13" i="1"/>
  <c r="BE22" i="1"/>
  <c r="DD202" i="1"/>
  <c r="CO202" i="1"/>
  <c r="CW69" i="1"/>
  <c r="DT69" i="1"/>
  <c r="DP136" i="1"/>
  <c r="CU136" i="1"/>
  <c r="AK17" i="4"/>
  <c r="AL17" i="4"/>
  <c r="AM17" i="4" s="1"/>
  <c r="AN17" i="4" s="1"/>
  <c r="CW51" i="1"/>
  <c r="DT31" i="1"/>
  <c r="CW31" i="1"/>
  <c r="DT46" i="1"/>
  <c r="CW46" i="1"/>
  <c r="CZ175" i="1"/>
  <c r="DZ175" i="1"/>
  <c r="DL201" i="1"/>
  <c r="CS201" i="1"/>
  <c r="DT150" i="1"/>
  <c r="CW150" i="1"/>
  <c r="K21" i="4"/>
  <c r="DN40" i="1"/>
  <c r="CT40" i="1"/>
  <c r="DT63" i="1"/>
  <c r="CW63" i="1"/>
  <c r="AK16" i="4"/>
  <c r="DJ204" i="1"/>
  <c r="CR204" i="1"/>
  <c r="BF69" i="1"/>
  <c r="BF68" i="1"/>
  <c r="BF67" i="1"/>
  <c r="BF62" i="1"/>
  <c r="BF66" i="1"/>
  <c r="BF65" i="1"/>
  <c r="BF58" i="1"/>
  <c r="BF61" i="1"/>
  <c r="BF60" i="1"/>
  <c r="BF63" i="1"/>
  <c r="BF59" i="1"/>
  <c r="CJ77" i="1"/>
  <c r="BF57" i="1"/>
  <c r="BF76" i="1"/>
  <c r="BF75" i="1"/>
  <c r="BF74" i="1"/>
  <c r="BF71" i="1"/>
  <c r="BF73" i="1"/>
  <c r="BF72" i="1"/>
  <c r="AD60" i="1"/>
  <c r="CG60" i="1"/>
  <c r="AD18" i="1"/>
  <c r="CG18" i="1"/>
  <c r="CG75" i="1"/>
  <c r="AD75" i="1"/>
  <c r="DT113" i="1"/>
  <c r="CW113" i="1"/>
  <c r="DD193" i="1"/>
  <c r="CO193" i="1"/>
  <c r="DT65" i="1"/>
  <c r="CW65" i="1"/>
  <c r="CG85" i="1"/>
  <c r="AD85" i="1"/>
  <c r="DT33" i="1"/>
  <c r="CW33" i="1"/>
  <c r="DL196" i="1"/>
  <c r="CS196" i="1"/>
  <c r="K24" i="4"/>
  <c r="DN33" i="1"/>
  <c r="CT33" i="1"/>
  <c r="DT121" i="1"/>
  <c r="CW121" i="1"/>
  <c r="CS187" i="1"/>
  <c r="DL187" i="1"/>
  <c r="DJ199" i="1"/>
  <c r="CR199" i="1"/>
  <c r="DT114" i="1"/>
  <c r="CW114" i="1"/>
  <c r="BA126" i="1"/>
  <c r="BA109" i="1"/>
  <c r="BA123" i="1"/>
  <c r="BA119" i="1"/>
  <c r="BA113" i="1"/>
  <c r="BA128" i="1"/>
  <c r="BA112" i="1"/>
  <c r="BA124" i="1"/>
  <c r="BA127" i="1"/>
  <c r="BA120" i="1"/>
  <c r="BA115" i="1"/>
  <c r="BA118" i="1"/>
  <c r="BA114" i="1"/>
  <c r="BA110" i="1"/>
  <c r="CE129" i="1"/>
  <c r="BA125" i="1"/>
  <c r="BA117" i="1"/>
  <c r="BA111" i="1"/>
  <c r="BA121" i="1"/>
  <c r="DD197" i="1"/>
  <c r="CO197" i="1"/>
  <c r="DT68" i="1"/>
  <c r="CW68" i="1"/>
  <c r="DT25" i="1"/>
  <c r="DZ173" i="1"/>
  <c r="CZ173" i="1"/>
  <c r="E10" i="4"/>
  <c r="F10" i="4"/>
  <c r="G10" i="4" s="1"/>
  <c r="H10" i="4" s="1"/>
  <c r="CS189" i="1"/>
  <c r="DL189" i="1"/>
  <c r="CW146" i="1"/>
  <c r="DT146" i="1"/>
  <c r="DN35" i="1"/>
  <c r="CT35" i="1"/>
  <c r="BD201" i="1"/>
  <c r="BD187" i="1"/>
  <c r="BD199" i="1"/>
  <c r="BD203" i="1"/>
  <c r="BD197" i="1"/>
  <c r="BD193" i="1"/>
  <c r="BD191" i="1"/>
  <c r="BD205" i="1"/>
  <c r="BD188" i="1"/>
  <c r="BD195" i="1"/>
  <c r="BD204" i="1"/>
  <c r="BD202" i="1"/>
  <c r="BD189" i="1"/>
  <c r="BD198" i="1"/>
  <c r="CH207" i="1"/>
  <c r="BD196" i="1"/>
  <c r="BD192" i="1"/>
  <c r="BD190" i="1"/>
  <c r="BD206" i="1"/>
  <c r="CZ166" i="1"/>
  <c r="DZ166" i="1"/>
  <c r="DJ188" i="1"/>
  <c r="CR188" i="1"/>
  <c r="CW115" i="1"/>
  <c r="DT115" i="1"/>
  <c r="CG110" i="1"/>
  <c r="Y129" i="1"/>
  <c r="AD110" i="1"/>
  <c r="DT94" i="1"/>
  <c r="CW94" i="1"/>
  <c r="DT74" i="1"/>
  <c r="CW74" i="1"/>
  <c r="BF8" i="1"/>
  <c r="BF7" i="1"/>
  <c r="BF18" i="1"/>
  <c r="BF6" i="1"/>
  <c r="BF12" i="1"/>
  <c r="BF24" i="1"/>
  <c r="BF23" i="1"/>
  <c r="BF22" i="1"/>
  <c r="BF21" i="1"/>
  <c r="BF11" i="1"/>
  <c r="BF17" i="1"/>
  <c r="BF16" i="1"/>
  <c r="BF15" i="1"/>
  <c r="BF14" i="1"/>
  <c r="BF13" i="1"/>
  <c r="BF5" i="1"/>
  <c r="BF10" i="1"/>
  <c r="CJ25" i="1"/>
  <c r="BF9" i="1"/>
  <c r="DT47" i="1"/>
  <c r="CW47" i="1"/>
  <c r="DZ172" i="1"/>
  <c r="CZ172" i="1"/>
  <c r="CS192" i="1"/>
  <c r="DL192" i="1"/>
  <c r="DL193" i="1"/>
  <c r="CS193" i="1"/>
  <c r="CW149" i="1"/>
  <c r="DT149" i="1"/>
  <c r="DN45" i="1"/>
  <c r="CT45" i="1"/>
  <c r="AK9" i="4"/>
  <c r="AL9" i="4"/>
  <c r="AM9" i="4" s="1"/>
  <c r="AN9" i="4" s="1"/>
  <c r="AC129" i="1"/>
  <c r="AC103" i="1"/>
  <c r="CW97" i="1"/>
  <c r="DT97" i="1"/>
  <c r="CO205" i="1"/>
  <c r="DD205" i="1"/>
  <c r="CW75" i="1"/>
  <c r="DT75" i="1"/>
  <c r="AB207" i="1"/>
  <c r="CJ204" i="1"/>
  <c r="DT34" i="1"/>
  <c r="CW34" i="1"/>
  <c r="DZ171" i="1"/>
  <c r="CZ171" i="1"/>
  <c r="CS205" i="1"/>
  <c r="DL205" i="1"/>
  <c r="CW135" i="1"/>
  <c r="DT135" i="1"/>
  <c r="CW154" i="1"/>
  <c r="DT154" i="1"/>
  <c r="DN49" i="1"/>
  <c r="CT49" i="1"/>
  <c r="DL195" i="1"/>
  <c r="CS195" i="1"/>
  <c r="DT92" i="1"/>
  <c r="CW92" i="1"/>
  <c r="CG84" i="1"/>
  <c r="Y103" i="1"/>
  <c r="AD84" i="1"/>
  <c r="CL48" i="1"/>
  <c r="DJ193" i="1"/>
  <c r="CR193" i="1"/>
  <c r="E9" i="4"/>
  <c r="F9" i="4"/>
  <c r="G9" i="4" s="1"/>
  <c r="H9" i="4" s="1"/>
  <c r="CW117" i="1"/>
  <c r="DT117" i="1"/>
  <c r="DT83" i="1"/>
  <c r="CW83" i="1"/>
  <c r="CW102" i="1"/>
  <c r="DT102" i="1"/>
  <c r="DD188" i="1"/>
  <c r="CO188" i="1"/>
  <c r="DT39" i="1"/>
  <c r="CW39" i="1"/>
  <c r="DZ170" i="1"/>
  <c r="CZ170" i="1"/>
  <c r="DL198" i="1"/>
  <c r="CS198" i="1"/>
  <c r="CW137" i="1"/>
  <c r="DT137" i="1"/>
  <c r="CT31" i="1"/>
  <c r="DN31" i="1"/>
  <c r="CW151" i="1"/>
  <c r="DT151" i="1"/>
  <c r="DJ191" i="1"/>
  <c r="CR191" i="1"/>
  <c r="CW118" i="1"/>
  <c r="DT118" i="1"/>
  <c r="CL153" i="1"/>
  <c r="BE68" i="1"/>
  <c r="BE76" i="1"/>
  <c r="BE67" i="1"/>
  <c r="BE75" i="1"/>
  <c r="BE74" i="1"/>
  <c r="BE59" i="1"/>
  <c r="BE73" i="1"/>
  <c r="BE63" i="1"/>
  <c r="BE72" i="1"/>
  <c r="BE69" i="1"/>
  <c r="BE61" i="1"/>
  <c r="BE66" i="1"/>
  <c r="CI77" i="1"/>
  <c r="BE60" i="1"/>
  <c r="BE65" i="1"/>
  <c r="BE57" i="1"/>
  <c r="BE58" i="1"/>
  <c r="BE71" i="1"/>
  <c r="BE62" i="1"/>
  <c r="CW86" i="1"/>
  <c r="DT86" i="1"/>
  <c r="CO195" i="1"/>
  <c r="DD195" i="1"/>
  <c r="DT72" i="1"/>
  <c r="CW72" i="1"/>
  <c r="CZ169" i="1"/>
  <c r="DZ169" i="1"/>
  <c r="CW143" i="1"/>
  <c r="DT143" i="1"/>
  <c r="K23" i="4"/>
  <c r="DN32" i="1"/>
  <c r="CT32" i="1"/>
  <c r="CG111" i="1"/>
  <c r="AD111" i="1"/>
  <c r="DD190" i="1"/>
  <c r="CO190" i="1"/>
  <c r="BE95" i="1"/>
  <c r="BE88" i="1"/>
  <c r="BE89" i="1"/>
  <c r="BE93" i="1"/>
  <c r="BE92" i="1"/>
  <c r="CI103" i="1"/>
  <c r="BE86" i="1"/>
  <c r="BE97" i="1"/>
  <c r="BE102" i="1"/>
  <c r="BE101" i="1"/>
  <c r="BE91" i="1"/>
  <c r="BE100" i="1"/>
  <c r="BE94" i="1"/>
  <c r="BE99" i="1"/>
  <c r="BE98" i="1"/>
  <c r="BE87" i="1"/>
  <c r="BE84" i="1"/>
  <c r="BE83" i="1"/>
  <c r="BE85" i="1"/>
  <c r="BF87" i="1"/>
  <c r="BF86" i="1"/>
  <c r="BF85" i="1"/>
  <c r="BF101" i="1"/>
  <c r="BF100" i="1"/>
  <c r="BF98" i="1"/>
  <c r="BF102" i="1"/>
  <c r="BF99" i="1"/>
  <c r="BF97" i="1"/>
  <c r="CJ103" i="1"/>
  <c r="BF89" i="1"/>
  <c r="BF95" i="1"/>
  <c r="BF94" i="1"/>
  <c r="BF93" i="1"/>
  <c r="BF92" i="1"/>
  <c r="BF84" i="1"/>
  <c r="BF83" i="1"/>
  <c r="BF88" i="1"/>
  <c r="BF91" i="1"/>
  <c r="CL76" i="1"/>
  <c r="DJ202" i="1"/>
  <c r="CR202" i="1"/>
  <c r="CG74" i="1"/>
  <c r="AD74" i="1"/>
  <c r="DT119" i="1"/>
  <c r="CW119" i="1"/>
  <c r="AC16" i="4"/>
  <c r="AD16" i="4"/>
  <c r="AE16" i="4" s="1"/>
  <c r="AF16" i="4" s="1"/>
  <c r="BE118" i="1"/>
  <c r="BE125" i="1"/>
  <c r="BE124" i="1"/>
  <c r="BE119" i="1"/>
  <c r="BE109" i="1"/>
  <c r="BE121" i="1"/>
  <c r="BE110" i="1"/>
  <c r="BE120" i="1"/>
  <c r="BE115" i="1"/>
  <c r="BE123" i="1"/>
  <c r="BE111" i="1"/>
  <c r="CI129" i="1"/>
  <c r="BE114" i="1"/>
  <c r="BE112" i="1"/>
  <c r="BE113" i="1"/>
  <c r="BE117" i="1"/>
  <c r="BE126" i="1"/>
  <c r="BE127" i="1"/>
  <c r="BE128" i="1"/>
  <c r="CW87" i="1"/>
  <c r="DT87" i="1"/>
  <c r="AD152" i="1"/>
  <c r="CG152" i="1"/>
  <c r="CO198" i="1"/>
  <c r="DD198" i="1"/>
  <c r="AC51" i="1"/>
  <c r="CW76" i="1"/>
  <c r="DT76" i="1"/>
  <c r="DT49" i="1"/>
  <c r="CW49" i="1"/>
  <c r="DL191" i="1"/>
  <c r="CS191" i="1"/>
  <c r="DT144" i="1"/>
  <c r="CW144" i="1"/>
  <c r="CL50" i="1"/>
  <c r="BG168" i="1" l="1"/>
  <c r="CK188" i="1"/>
  <c r="BF77" i="1"/>
  <c r="BE77" i="1"/>
  <c r="CW181" i="1"/>
  <c r="DT181" i="1"/>
  <c r="BD207" i="1"/>
  <c r="CW207" i="1" s="1"/>
  <c r="BF51" i="1"/>
  <c r="BE51" i="1"/>
  <c r="DT51" i="1"/>
  <c r="C32" i="4"/>
  <c r="C26" i="4"/>
  <c r="BE103" i="1"/>
  <c r="BA77" i="1"/>
  <c r="CT77" i="1" s="1"/>
  <c r="BC34" i="1"/>
  <c r="DR34" i="1" s="1"/>
  <c r="DT155" i="1"/>
  <c r="DX174" i="1"/>
  <c r="CY174" i="1"/>
  <c r="DT103" i="1"/>
  <c r="BB103" i="1"/>
  <c r="CU103" i="1" s="1"/>
  <c r="BE155" i="1"/>
  <c r="CX155" i="1" s="1"/>
  <c r="BB51" i="1"/>
  <c r="CU51" i="1" s="1"/>
  <c r="DV174" i="1"/>
  <c r="CX174" i="1"/>
  <c r="DL207" i="1"/>
  <c r="DN51" i="1"/>
  <c r="BF103" i="1"/>
  <c r="CY103" i="1" s="1"/>
  <c r="BA103" i="1"/>
  <c r="CT103" i="1" s="1"/>
  <c r="BA129" i="1"/>
  <c r="CT129" i="1" s="1"/>
  <c r="BA155" i="1"/>
  <c r="CT155" i="1" s="1"/>
  <c r="DD207" i="1"/>
  <c r="DV168" i="1"/>
  <c r="CX168" i="1"/>
  <c r="BE181" i="1"/>
  <c r="DT129" i="1"/>
  <c r="BE129" i="1"/>
  <c r="CX129" i="1" s="1"/>
  <c r="BF155" i="1"/>
  <c r="CY155" i="1" s="1"/>
  <c r="DJ207" i="1"/>
  <c r="BF129" i="1"/>
  <c r="CY129" i="1" s="1"/>
  <c r="BB129" i="1"/>
  <c r="CU129" i="1" s="1"/>
  <c r="DX168" i="1"/>
  <c r="CY168" i="1"/>
  <c r="CU135" i="1"/>
  <c r="BB155" i="1"/>
  <c r="CU155" i="1" s="1"/>
  <c r="BH19" i="1"/>
  <c r="CL19" i="1"/>
  <c r="CL20" i="1"/>
  <c r="BH20" i="1"/>
  <c r="BC33" i="1"/>
  <c r="CV33" i="1" s="1"/>
  <c r="BC43" i="1"/>
  <c r="DR43" i="1" s="1"/>
  <c r="BC35" i="1"/>
  <c r="CV35" i="1" s="1"/>
  <c r="BC45" i="1"/>
  <c r="DR45" i="1" s="1"/>
  <c r="BC49" i="1"/>
  <c r="CV49" i="1" s="1"/>
  <c r="BC48" i="1"/>
  <c r="CV48" i="1" s="1"/>
  <c r="CU153" i="1"/>
  <c r="BC42" i="1"/>
  <c r="CV42" i="1" s="1"/>
  <c r="BC39" i="1"/>
  <c r="DR39" i="1" s="1"/>
  <c r="BC40" i="1"/>
  <c r="DR40" i="1" s="1"/>
  <c r="BC41" i="1"/>
  <c r="DR41" i="1" s="1"/>
  <c r="BC46" i="1"/>
  <c r="DR46" i="1" s="1"/>
  <c r="BC50" i="1"/>
  <c r="DR50" i="1" s="1"/>
  <c r="CK155" i="1"/>
  <c r="BC32" i="1"/>
  <c r="DR32" i="1" s="1"/>
  <c r="CG51" i="1"/>
  <c r="AD51" i="1"/>
  <c r="BH32" i="1" s="1"/>
  <c r="DA32" i="1" s="1"/>
  <c r="BC47" i="1"/>
  <c r="DR47" i="1" s="1"/>
  <c r="BC31" i="1"/>
  <c r="BC37" i="1"/>
  <c r="CV37" i="1" s="1"/>
  <c r="CU147" i="1"/>
  <c r="CU145" i="1"/>
  <c r="AQ30" i="4"/>
  <c r="AS30" i="4" s="1"/>
  <c r="DP147" i="1"/>
  <c r="DP151" i="1"/>
  <c r="CU146" i="1"/>
  <c r="CU151" i="1"/>
  <c r="CU137" i="1"/>
  <c r="DP150" i="1"/>
  <c r="CU138" i="1"/>
  <c r="DP135" i="1"/>
  <c r="CU143" i="1"/>
  <c r="CU140" i="1"/>
  <c r="DP141" i="1"/>
  <c r="CU149" i="1"/>
  <c r="AQ29" i="4"/>
  <c r="AS29" i="4" s="1"/>
  <c r="DP144" i="1"/>
  <c r="CU154" i="1"/>
  <c r="CU139" i="1"/>
  <c r="CU152" i="1"/>
  <c r="AQ32" i="4"/>
  <c r="AT32" i="4" s="1"/>
  <c r="AU32" i="4" s="1"/>
  <c r="AV32" i="4" s="1"/>
  <c r="BG153" i="1"/>
  <c r="DZ153" i="1" s="1"/>
  <c r="BG151" i="1"/>
  <c r="CZ151" i="1" s="1"/>
  <c r="BG154" i="1"/>
  <c r="DZ154" i="1" s="1"/>
  <c r="V27" i="4"/>
  <c r="W27" i="4" s="1"/>
  <c r="X27" i="4" s="1"/>
  <c r="U27" i="4"/>
  <c r="U32" i="4"/>
  <c r="V32" i="4"/>
  <c r="W32" i="4" s="1"/>
  <c r="X32" i="4" s="1"/>
  <c r="V31" i="4"/>
  <c r="W31" i="4" s="1"/>
  <c r="X31" i="4" s="1"/>
  <c r="U31" i="4"/>
  <c r="DP77" i="1"/>
  <c r="BG152" i="1"/>
  <c r="CZ152" i="1" s="1"/>
  <c r="BG136" i="1"/>
  <c r="AQ33" i="4" s="1"/>
  <c r="AT33" i="4" s="1"/>
  <c r="BG135" i="1"/>
  <c r="BG149" i="1"/>
  <c r="CZ149" i="1" s="1"/>
  <c r="BG150" i="1"/>
  <c r="CZ150" i="1" s="1"/>
  <c r="BG147" i="1"/>
  <c r="DZ147" i="1" s="1"/>
  <c r="BG146" i="1"/>
  <c r="DZ146" i="1" s="1"/>
  <c r="BG145" i="1"/>
  <c r="DZ145" i="1" s="1"/>
  <c r="BG144" i="1"/>
  <c r="CZ144" i="1" s="1"/>
  <c r="BG143" i="1"/>
  <c r="DZ143" i="1" s="1"/>
  <c r="BG141" i="1"/>
  <c r="DZ141" i="1" s="1"/>
  <c r="BG140" i="1"/>
  <c r="BG139" i="1"/>
  <c r="CZ139" i="1" s="1"/>
  <c r="BG138" i="1"/>
  <c r="DZ138" i="1" s="1"/>
  <c r="DP114" i="1"/>
  <c r="CU114" i="1"/>
  <c r="CU120" i="1"/>
  <c r="DP120" i="1"/>
  <c r="DP115" i="1"/>
  <c r="CU115" i="1"/>
  <c r="CU119" i="1"/>
  <c r="DP119" i="1"/>
  <c r="CU125" i="1"/>
  <c r="DP125" i="1"/>
  <c r="CU110" i="1"/>
  <c r="DP110" i="1"/>
  <c r="CU123" i="1"/>
  <c r="DP123" i="1"/>
  <c r="DP121" i="1"/>
  <c r="CU121" i="1"/>
  <c r="DP127" i="1"/>
  <c r="CU127" i="1"/>
  <c r="DP128" i="1"/>
  <c r="CU128" i="1"/>
  <c r="CU111" i="1"/>
  <c r="DP111" i="1"/>
  <c r="CU109" i="1"/>
  <c r="DP109" i="1"/>
  <c r="AI32" i="4"/>
  <c r="CU126" i="1"/>
  <c r="DP126" i="1"/>
  <c r="CU117" i="1"/>
  <c r="DP117" i="1"/>
  <c r="CU124" i="1"/>
  <c r="DP124" i="1"/>
  <c r="DP113" i="1"/>
  <c r="CU113" i="1"/>
  <c r="CU118" i="1"/>
  <c r="DP118" i="1"/>
  <c r="CU112" i="1"/>
  <c r="DP112" i="1"/>
  <c r="AD25" i="1"/>
  <c r="BH7" i="1" s="1"/>
  <c r="CG25" i="1"/>
  <c r="BC24" i="1"/>
  <c r="BC15" i="1"/>
  <c r="BC17" i="1"/>
  <c r="BC13" i="1"/>
  <c r="BC22" i="1"/>
  <c r="BC6" i="1"/>
  <c r="BC12" i="1"/>
  <c r="BC9" i="1"/>
  <c r="BC23" i="1"/>
  <c r="BC7" i="1"/>
  <c r="BC21" i="1"/>
  <c r="BC5" i="1"/>
  <c r="BC16" i="1"/>
  <c r="BC18" i="1"/>
  <c r="BC11" i="1"/>
  <c r="BC14" i="1"/>
  <c r="BC10" i="1"/>
  <c r="BC8" i="1"/>
  <c r="CX101" i="1"/>
  <c r="DV101" i="1"/>
  <c r="CT6" i="1"/>
  <c r="DN6" i="1"/>
  <c r="C23" i="4"/>
  <c r="CX114" i="1"/>
  <c r="DV114" i="1"/>
  <c r="DX99" i="1"/>
  <c r="CY99" i="1"/>
  <c r="CX102" i="1"/>
  <c r="DV102" i="1"/>
  <c r="M23" i="4"/>
  <c r="N23" i="4"/>
  <c r="O23" i="4" s="1"/>
  <c r="P23" i="4" s="1"/>
  <c r="CL110" i="1"/>
  <c r="DT204" i="1"/>
  <c r="CW204" i="1"/>
  <c r="DX68" i="1"/>
  <c r="CY68" i="1"/>
  <c r="DV6" i="1"/>
  <c r="CX6" i="1"/>
  <c r="DP101" i="1"/>
  <c r="CU101" i="1"/>
  <c r="DN149" i="1"/>
  <c r="CT149" i="1"/>
  <c r="CT58" i="1"/>
  <c r="S23" i="4"/>
  <c r="DN58" i="1"/>
  <c r="DN18" i="1"/>
  <c r="CT18" i="1"/>
  <c r="DV42" i="1"/>
  <c r="CX42" i="1"/>
  <c r="CL126" i="1"/>
  <c r="CY152" i="1"/>
  <c r="DX152" i="1"/>
  <c r="AA23" i="4"/>
  <c r="CT84" i="1"/>
  <c r="DN84" i="1"/>
  <c r="DX32" i="1"/>
  <c r="CY32" i="1"/>
  <c r="DX127" i="1"/>
  <c r="CY127" i="1"/>
  <c r="DV140" i="1"/>
  <c r="CX140" i="1"/>
  <c r="DP37" i="1"/>
  <c r="CU37" i="1"/>
  <c r="CU21" i="1"/>
  <c r="DP21" i="1"/>
  <c r="CY97" i="1"/>
  <c r="DX97" i="1"/>
  <c r="CW189" i="1"/>
  <c r="DT189" i="1"/>
  <c r="DV23" i="1"/>
  <c r="CX23" i="1"/>
  <c r="CX154" i="1"/>
  <c r="DV154" i="1"/>
  <c r="DV112" i="1"/>
  <c r="CX112" i="1"/>
  <c r="CU86" i="1"/>
  <c r="DP86" i="1"/>
  <c r="CX50" i="1"/>
  <c r="DV50" i="1"/>
  <c r="DX102" i="1"/>
  <c r="CY102" i="1"/>
  <c r="DV97" i="1"/>
  <c r="CX97" i="1"/>
  <c r="CY21" i="1"/>
  <c r="DX21" i="1"/>
  <c r="BC128" i="1"/>
  <c r="BC120" i="1"/>
  <c r="BC127" i="1"/>
  <c r="BC114" i="1"/>
  <c r="BC126" i="1"/>
  <c r="BC112" i="1"/>
  <c r="BC117" i="1"/>
  <c r="BC113" i="1"/>
  <c r="BC111" i="1"/>
  <c r="CG129" i="1"/>
  <c r="BC125" i="1"/>
  <c r="BC119" i="1"/>
  <c r="BC124" i="1"/>
  <c r="BC109" i="1"/>
  <c r="BC123" i="1"/>
  <c r="BC118" i="1"/>
  <c r="BC115" i="1"/>
  <c r="BC110" i="1"/>
  <c r="BC121" i="1"/>
  <c r="AD129" i="1"/>
  <c r="BH112" i="1" s="1"/>
  <c r="CW195" i="1"/>
  <c r="DT195" i="1"/>
  <c r="CT110" i="1"/>
  <c r="DN110" i="1"/>
  <c r="AI23" i="4"/>
  <c r="CL60" i="1"/>
  <c r="CY69" i="1"/>
  <c r="DX69" i="1"/>
  <c r="DV12" i="1"/>
  <c r="CX12" i="1"/>
  <c r="CU89" i="1"/>
  <c r="DP89" i="1"/>
  <c r="CT135" i="1"/>
  <c r="DN135" i="1"/>
  <c r="CT7" i="1"/>
  <c r="DN7" i="1"/>
  <c r="C24" i="4"/>
  <c r="DV34" i="1"/>
  <c r="CX34" i="1"/>
  <c r="CL58" i="1"/>
  <c r="CL7" i="1"/>
  <c r="AM42" i="4"/>
  <c r="AF42" i="4"/>
  <c r="CY135" i="1"/>
  <c r="DX135" i="1"/>
  <c r="AE64" i="4"/>
  <c r="AC64" i="4"/>
  <c r="CT99" i="1"/>
  <c r="DN99" i="1"/>
  <c r="CL112" i="1"/>
  <c r="CY39" i="1"/>
  <c r="DX39" i="1"/>
  <c r="CY128" i="1"/>
  <c r="DX128" i="1"/>
  <c r="CX141" i="1"/>
  <c r="DV141" i="1"/>
  <c r="DP41" i="1"/>
  <c r="CU41" i="1"/>
  <c r="DP18" i="1"/>
  <c r="CU18" i="1"/>
  <c r="CX77" i="1"/>
  <c r="CX57" i="1"/>
  <c r="DV57" i="1"/>
  <c r="DX22" i="1"/>
  <c r="CY22" i="1"/>
  <c r="DT188" i="1"/>
  <c r="CW188" i="1"/>
  <c r="CT114" i="1"/>
  <c r="DN114" i="1"/>
  <c r="DX72" i="1"/>
  <c r="CY72" i="1"/>
  <c r="CX14" i="1"/>
  <c r="DV14" i="1"/>
  <c r="DP91" i="1"/>
  <c r="CU91" i="1"/>
  <c r="CU94" i="1"/>
  <c r="DP94" i="1"/>
  <c r="CT137" i="1"/>
  <c r="AQ24" i="4"/>
  <c r="DN137" i="1"/>
  <c r="DN67" i="1"/>
  <c r="S22" i="4"/>
  <c r="CT67" i="1"/>
  <c r="CG77" i="1"/>
  <c r="AD77" i="1"/>
  <c r="BH60" i="1" s="1"/>
  <c r="BC63" i="1"/>
  <c r="BC66" i="1"/>
  <c r="BC76" i="1"/>
  <c r="BC75" i="1"/>
  <c r="BC60" i="1"/>
  <c r="BC69" i="1"/>
  <c r="BC71" i="1"/>
  <c r="BC61" i="1"/>
  <c r="BC65" i="1"/>
  <c r="BC67" i="1"/>
  <c r="BC74" i="1"/>
  <c r="BC73" i="1"/>
  <c r="BC58" i="1"/>
  <c r="BC59" i="1"/>
  <c r="BC62" i="1"/>
  <c r="BC72" i="1"/>
  <c r="BC57" i="1"/>
  <c r="BC68" i="1"/>
  <c r="CL138" i="1"/>
  <c r="DX153" i="1"/>
  <c r="CY153" i="1"/>
  <c r="DN83" i="1"/>
  <c r="CT83" i="1"/>
  <c r="CY42" i="1"/>
  <c r="DX42" i="1"/>
  <c r="CY113" i="1"/>
  <c r="DX113" i="1"/>
  <c r="CY115" i="1"/>
  <c r="DX115" i="1"/>
  <c r="DP49" i="1"/>
  <c r="CU49" i="1"/>
  <c r="CU10" i="1"/>
  <c r="DP10" i="1"/>
  <c r="DV113" i="1"/>
  <c r="CX113" i="1"/>
  <c r="AI20" i="4"/>
  <c r="CT117" i="1"/>
  <c r="DN117" i="1"/>
  <c r="CT151" i="1"/>
  <c r="DN151" i="1"/>
  <c r="CL18" i="1"/>
  <c r="DX126" i="1"/>
  <c r="CY126" i="1"/>
  <c r="CX123" i="1"/>
  <c r="DV123" i="1"/>
  <c r="DV65" i="1"/>
  <c r="CX65" i="1"/>
  <c r="BG85" i="1"/>
  <c r="BG86" i="1"/>
  <c r="BG87" i="1"/>
  <c r="CK103" i="1"/>
  <c r="BG88" i="1"/>
  <c r="BG89" i="1"/>
  <c r="BG91" i="1"/>
  <c r="BG92" i="1"/>
  <c r="BG93" i="1"/>
  <c r="BG94" i="1"/>
  <c r="BG95" i="1"/>
  <c r="BG97" i="1"/>
  <c r="BG98" i="1"/>
  <c r="BG99" i="1"/>
  <c r="BG100" i="1"/>
  <c r="BG101" i="1"/>
  <c r="BG102" i="1"/>
  <c r="BG83" i="1"/>
  <c r="BG84" i="1"/>
  <c r="DX23" i="1"/>
  <c r="CY23" i="1"/>
  <c r="DT205" i="1"/>
  <c r="CW205" i="1"/>
  <c r="AI21" i="4"/>
  <c r="DN118" i="1"/>
  <c r="CT118" i="1"/>
  <c r="DX73" i="1"/>
  <c r="CY73" i="1"/>
  <c r="CX18" i="1"/>
  <c r="DV18" i="1"/>
  <c r="N26" i="4"/>
  <c r="O26" i="4" s="1"/>
  <c r="P26" i="4" s="1"/>
  <c r="M26" i="4"/>
  <c r="CU92" i="1"/>
  <c r="DP92" i="1"/>
  <c r="CT138" i="1"/>
  <c r="AQ25" i="4"/>
  <c r="DN138" i="1"/>
  <c r="C20" i="4"/>
  <c r="DN13" i="1"/>
  <c r="CT13" i="1"/>
  <c r="DV35" i="1"/>
  <c r="CX35" i="1"/>
  <c r="DX154" i="1"/>
  <c r="CY154" i="1"/>
  <c r="CZ137" i="1"/>
  <c r="DZ137" i="1"/>
  <c r="AQ34" i="4"/>
  <c r="AT34" i="4" s="1"/>
  <c r="AA22" i="4"/>
  <c r="CT93" i="1"/>
  <c r="DN93" i="1"/>
  <c r="CY43" i="1"/>
  <c r="DX43" i="1"/>
  <c r="DV143" i="1"/>
  <c r="CX143" i="1"/>
  <c r="DP35" i="1"/>
  <c r="CU35" i="1"/>
  <c r="CU8" i="1"/>
  <c r="DP8" i="1"/>
  <c r="DX41" i="1"/>
  <c r="CY41" i="1"/>
  <c r="BG39" i="1"/>
  <c r="BG40" i="1"/>
  <c r="BG41" i="1"/>
  <c r="BG42" i="1"/>
  <c r="BG43" i="1"/>
  <c r="CK51" i="1"/>
  <c r="BG45" i="1"/>
  <c r="BG46" i="1"/>
  <c r="BG47" i="1"/>
  <c r="BG48" i="1"/>
  <c r="BG49" i="1"/>
  <c r="BG50" i="1"/>
  <c r="BG31" i="1"/>
  <c r="BG32" i="1"/>
  <c r="BG33" i="1"/>
  <c r="BG34" i="1"/>
  <c r="BG35" i="1"/>
  <c r="BG36" i="1"/>
  <c r="BG37" i="1"/>
  <c r="CX115" i="1"/>
  <c r="DV115" i="1"/>
  <c r="DX100" i="1"/>
  <c r="CY100" i="1"/>
  <c r="CX92" i="1"/>
  <c r="DV92" i="1"/>
  <c r="CX60" i="1"/>
  <c r="DV60" i="1"/>
  <c r="CY24" i="1"/>
  <c r="DX24" i="1"/>
  <c r="DT191" i="1"/>
  <c r="CW191" i="1"/>
  <c r="CT115" i="1"/>
  <c r="AI18" i="4"/>
  <c r="DN115" i="1"/>
  <c r="DX71" i="1"/>
  <c r="CY71" i="1"/>
  <c r="DV7" i="1"/>
  <c r="CX7" i="1"/>
  <c r="CL102" i="1"/>
  <c r="CL49" i="1"/>
  <c r="AA27" i="4"/>
  <c r="CU95" i="1"/>
  <c r="DP95" i="1"/>
  <c r="CT17" i="1"/>
  <c r="DN17" i="1"/>
  <c r="DV32" i="1"/>
  <c r="CX32" i="1"/>
  <c r="CY137" i="1"/>
  <c r="DX137" i="1"/>
  <c r="CT87" i="1"/>
  <c r="DN87" i="1"/>
  <c r="DX110" i="1"/>
  <c r="CY110" i="1"/>
  <c r="DV146" i="1"/>
  <c r="CX146" i="1"/>
  <c r="CU14" i="1"/>
  <c r="DP14" i="1"/>
  <c r="DV91" i="1"/>
  <c r="CX91" i="1"/>
  <c r="DV58" i="1"/>
  <c r="CX58" i="1"/>
  <c r="DN153" i="1"/>
  <c r="CT153" i="1"/>
  <c r="DX101" i="1"/>
  <c r="CY101" i="1"/>
  <c r="CX93" i="1"/>
  <c r="DV93" i="1"/>
  <c r="DX12" i="1"/>
  <c r="CY12" i="1"/>
  <c r="DT193" i="1"/>
  <c r="CW193" i="1"/>
  <c r="DN120" i="1"/>
  <c r="CT120" i="1"/>
  <c r="AT31" i="4"/>
  <c r="AU31" i="4" s="1"/>
  <c r="AV31" i="4" s="1"/>
  <c r="AS31" i="4"/>
  <c r="CY74" i="1"/>
  <c r="DX74" i="1"/>
  <c r="CX5" i="1"/>
  <c r="BE25" i="1"/>
  <c r="CX25" i="1" s="1"/>
  <c r="DV5" i="1"/>
  <c r="BE205" i="1"/>
  <c r="BE203" i="1"/>
  <c r="BE187" i="1"/>
  <c r="BE199" i="1"/>
  <c r="BE188" i="1"/>
  <c r="BE201" i="1"/>
  <c r="BE193" i="1"/>
  <c r="BE196" i="1"/>
  <c r="BE189" i="1"/>
  <c r="BE206" i="1"/>
  <c r="BE195" i="1"/>
  <c r="BE202" i="1"/>
  <c r="BE192" i="1"/>
  <c r="CI207" i="1"/>
  <c r="BE204" i="1"/>
  <c r="BE191" i="1"/>
  <c r="BE190" i="1"/>
  <c r="BE198" i="1"/>
  <c r="BE197" i="1"/>
  <c r="DP97" i="1"/>
  <c r="CU97" i="1"/>
  <c r="AA29" i="4"/>
  <c r="S20" i="4"/>
  <c r="DN65" i="1"/>
  <c r="CT65" i="1"/>
  <c r="DX138" i="1"/>
  <c r="CY138" i="1"/>
  <c r="CT97" i="1"/>
  <c r="DN97" i="1"/>
  <c r="CY45" i="1"/>
  <c r="DX45" i="1"/>
  <c r="DX111" i="1"/>
  <c r="CY111" i="1"/>
  <c r="DV137" i="1"/>
  <c r="CX137" i="1"/>
  <c r="DV145" i="1"/>
  <c r="CX145" i="1"/>
  <c r="K32" i="4"/>
  <c r="DP48" i="1"/>
  <c r="CU48" i="1"/>
  <c r="CU23" i="1"/>
  <c r="DP23" i="1"/>
  <c r="N25" i="4"/>
  <c r="O25" i="4" s="1"/>
  <c r="P25" i="4" s="1"/>
  <c r="M25" i="4"/>
  <c r="DX151" i="1"/>
  <c r="CY151" i="1"/>
  <c r="DV120" i="1"/>
  <c r="CX120" i="1"/>
  <c r="CY85" i="1"/>
  <c r="DX85" i="1"/>
  <c r="CX89" i="1"/>
  <c r="DV89" i="1"/>
  <c r="CX66" i="1"/>
  <c r="DV66" i="1"/>
  <c r="DX6" i="1"/>
  <c r="CY6" i="1"/>
  <c r="DT197" i="1"/>
  <c r="CW197" i="1"/>
  <c r="DN127" i="1"/>
  <c r="CT127" i="1"/>
  <c r="CL85" i="1"/>
  <c r="CY75" i="1"/>
  <c r="DX75" i="1"/>
  <c r="DV10" i="1"/>
  <c r="CX10" i="1"/>
  <c r="CL136" i="1"/>
  <c r="DP102" i="1"/>
  <c r="CU102" i="1"/>
  <c r="AQ22" i="4"/>
  <c r="CT145" i="1"/>
  <c r="DN145" i="1"/>
  <c r="S21" i="4"/>
  <c r="DN66" i="1"/>
  <c r="CT66" i="1"/>
  <c r="DN12" i="1"/>
  <c r="CT12" i="1"/>
  <c r="DV43" i="1"/>
  <c r="CX43" i="1"/>
  <c r="DX139" i="1"/>
  <c r="CY139" i="1"/>
  <c r="DN101" i="1"/>
  <c r="CT101" i="1"/>
  <c r="CT100" i="1"/>
  <c r="AA26" i="4"/>
  <c r="DN100" i="1"/>
  <c r="DX31" i="1"/>
  <c r="CY31" i="1"/>
  <c r="CY51" i="1"/>
  <c r="DP22" i="1"/>
  <c r="CU22" i="1"/>
  <c r="DX86" i="1"/>
  <c r="CY86" i="1"/>
  <c r="CX88" i="1"/>
  <c r="DV88" i="1"/>
  <c r="CX61" i="1"/>
  <c r="DV61" i="1"/>
  <c r="CY18" i="1"/>
  <c r="DX18" i="1"/>
  <c r="DT203" i="1"/>
  <c r="CW203" i="1"/>
  <c r="CT124" i="1"/>
  <c r="DN124" i="1"/>
  <c r="CY76" i="1"/>
  <c r="DX76" i="1"/>
  <c r="CX9" i="1"/>
  <c r="DV9" i="1"/>
  <c r="BC147" i="1"/>
  <c r="BC146" i="1"/>
  <c r="BC139" i="1"/>
  <c r="BC143" i="1"/>
  <c r="BC154" i="1"/>
  <c r="BC136" i="1"/>
  <c r="BC153" i="1"/>
  <c r="BC135" i="1"/>
  <c r="BC152" i="1"/>
  <c r="BC151" i="1"/>
  <c r="BC140" i="1"/>
  <c r="BC141" i="1"/>
  <c r="BC137" i="1"/>
  <c r="BC138" i="1"/>
  <c r="CG155" i="1"/>
  <c r="BC150" i="1"/>
  <c r="BC144" i="1"/>
  <c r="AD155" i="1"/>
  <c r="BH136" i="1" s="1"/>
  <c r="BC149" i="1"/>
  <c r="BC145" i="1"/>
  <c r="N22" i="4"/>
  <c r="O22" i="4" s="1"/>
  <c r="P22" i="4" s="1"/>
  <c r="M22" i="4"/>
  <c r="DP83" i="1"/>
  <c r="CU83" i="1"/>
  <c r="AM41" i="4"/>
  <c r="AF41" i="4"/>
  <c r="S24" i="4"/>
  <c r="DN59" i="1"/>
  <c r="CT59" i="1"/>
  <c r="DN10" i="1"/>
  <c r="CT10" i="1"/>
  <c r="DV33" i="1"/>
  <c r="CX33" i="1"/>
  <c r="DT77" i="1"/>
  <c r="DX140" i="1"/>
  <c r="CY140" i="1"/>
  <c r="CT102" i="1"/>
  <c r="DN102" i="1"/>
  <c r="CY46" i="1"/>
  <c r="DX46" i="1"/>
  <c r="DX119" i="1"/>
  <c r="CY119" i="1"/>
  <c r="DV147" i="1"/>
  <c r="CX147" i="1"/>
  <c r="DP39" i="1"/>
  <c r="CU39" i="1"/>
  <c r="CU6" i="1"/>
  <c r="DP6" i="1"/>
  <c r="M19" i="4"/>
  <c r="N19" i="4"/>
  <c r="O19" i="4" s="1"/>
  <c r="P19" i="4" s="1"/>
  <c r="CL152" i="1"/>
  <c r="DV121" i="1"/>
  <c r="CX121" i="1"/>
  <c r="CY91" i="1"/>
  <c r="DX91" i="1"/>
  <c r="CY87" i="1"/>
  <c r="DX87" i="1"/>
  <c r="DV69" i="1"/>
  <c r="CX69" i="1"/>
  <c r="CL84" i="1"/>
  <c r="DX7" i="1"/>
  <c r="CY7" i="1"/>
  <c r="DT199" i="1"/>
  <c r="CW199" i="1"/>
  <c r="AT27" i="4"/>
  <c r="AU27" i="4" s="1"/>
  <c r="AV27" i="4" s="1"/>
  <c r="AS27" i="4"/>
  <c r="CT112" i="1"/>
  <c r="DN112" i="1"/>
  <c r="AI25" i="4"/>
  <c r="DX57" i="1"/>
  <c r="CY57" i="1"/>
  <c r="CY77" i="1"/>
  <c r="DP84" i="1"/>
  <c r="CU84" i="1"/>
  <c r="CT136" i="1"/>
  <c r="AQ23" i="4"/>
  <c r="DN136" i="1"/>
  <c r="CT68" i="1"/>
  <c r="DN68" i="1"/>
  <c r="DN69" i="1"/>
  <c r="CT69" i="1"/>
  <c r="C21" i="4"/>
  <c r="DN14" i="1"/>
  <c r="CT14" i="1"/>
  <c r="CX46" i="1"/>
  <c r="DV46" i="1"/>
  <c r="CY143" i="1"/>
  <c r="DX143" i="1"/>
  <c r="DX40" i="1"/>
  <c r="CY40" i="1"/>
  <c r="DX120" i="1"/>
  <c r="CY120" i="1"/>
  <c r="DP40" i="1"/>
  <c r="CU40" i="1"/>
  <c r="DP7" i="1"/>
  <c r="CU7" i="1"/>
  <c r="DX62" i="1"/>
  <c r="CY62" i="1"/>
  <c r="DN5" i="1"/>
  <c r="BA25" i="1"/>
  <c r="CT25" i="1" s="1"/>
  <c r="CT5" i="1"/>
  <c r="DX11" i="1"/>
  <c r="CY11" i="1"/>
  <c r="DX98" i="1"/>
  <c r="CY98" i="1"/>
  <c r="DX88" i="1"/>
  <c r="CY88" i="1"/>
  <c r="DV95" i="1"/>
  <c r="CX95" i="1"/>
  <c r="CX72" i="1"/>
  <c r="DV72" i="1"/>
  <c r="CG103" i="1"/>
  <c r="AD103" i="1"/>
  <c r="BH84" i="1" s="1"/>
  <c r="BC99" i="1"/>
  <c r="BC88" i="1"/>
  <c r="BC87" i="1"/>
  <c r="BC95" i="1"/>
  <c r="BC97" i="1"/>
  <c r="BC98" i="1"/>
  <c r="BC101" i="1"/>
  <c r="BC102" i="1"/>
  <c r="BC91" i="1"/>
  <c r="BC85" i="1"/>
  <c r="BC89" i="1"/>
  <c r="BC94" i="1"/>
  <c r="BC100" i="1"/>
  <c r="BC83" i="1"/>
  <c r="BC93" i="1"/>
  <c r="BC84" i="1"/>
  <c r="BC86" i="1"/>
  <c r="BC92" i="1"/>
  <c r="BF202" i="1"/>
  <c r="BF187" i="1"/>
  <c r="BF189" i="1"/>
  <c r="BF203" i="1"/>
  <c r="BF196" i="1"/>
  <c r="BF190" i="1"/>
  <c r="BF205" i="1"/>
  <c r="BF199" i="1"/>
  <c r="BF206" i="1"/>
  <c r="BF191" i="1"/>
  <c r="BF195" i="1"/>
  <c r="BF204" i="1"/>
  <c r="CJ207" i="1"/>
  <c r="BF197" i="1"/>
  <c r="BF188" i="1"/>
  <c r="BF201" i="1"/>
  <c r="BF192" i="1"/>
  <c r="BF193" i="1"/>
  <c r="BF198" i="1"/>
  <c r="DX9" i="1"/>
  <c r="CY9" i="1"/>
  <c r="DX8" i="1"/>
  <c r="CY8" i="1"/>
  <c r="CX15" i="1"/>
  <c r="DV15" i="1"/>
  <c r="DP85" i="1"/>
  <c r="CU85" i="1"/>
  <c r="AQ18" i="4"/>
  <c r="CT141" i="1"/>
  <c r="DN141" i="1"/>
  <c r="DN73" i="1"/>
  <c r="CT73" i="1"/>
  <c r="DV45" i="1"/>
  <c r="CX45" i="1"/>
  <c r="N20" i="4"/>
  <c r="O20" i="4" s="1"/>
  <c r="P20" i="4" s="1"/>
  <c r="M20" i="4"/>
  <c r="DX136" i="1"/>
  <c r="CY136" i="1"/>
  <c r="AC207" i="1"/>
  <c r="CT85" i="1"/>
  <c r="AA24" i="4"/>
  <c r="DN85" i="1"/>
  <c r="DX47" i="1"/>
  <c r="CY47" i="1"/>
  <c r="DX109" i="1"/>
  <c r="CY109" i="1"/>
  <c r="CX149" i="1"/>
  <c r="DV149" i="1"/>
  <c r="DP42" i="1"/>
  <c r="CU42" i="1"/>
  <c r="AE67" i="4"/>
  <c r="AC67" i="4"/>
  <c r="DX118" i="1"/>
  <c r="CY118" i="1"/>
  <c r="DN72" i="1"/>
  <c r="CT72" i="1"/>
  <c r="CT24" i="1"/>
  <c r="DN24" i="1"/>
  <c r="CX111" i="1"/>
  <c r="DV111" i="1"/>
  <c r="CX109" i="1"/>
  <c r="DV109" i="1"/>
  <c r="DX83" i="1"/>
  <c r="CY83" i="1"/>
  <c r="DV85" i="1"/>
  <c r="CX85" i="1"/>
  <c r="DV63" i="1"/>
  <c r="CX63" i="1"/>
  <c r="BG128" i="1"/>
  <c r="BG109" i="1"/>
  <c r="CK129" i="1"/>
  <c r="BG110" i="1"/>
  <c r="BG111" i="1"/>
  <c r="BG112" i="1"/>
  <c r="BG113" i="1"/>
  <c r="BG114" i="1"/>
  <c r="BG115" i="1"/>
  <c r="BG117" i="1"/>
  <c r="BG118" i="1"/>
  <c r="BG119" i="1"/>
  <c r="BG120" i="1"/>
  <c r="BG121" i="1"/>
  <c r="BG123" i="1"/>
  <c r="BG124" i="1"/>
  <c r="BG125" i="1"/>
  <c r="BG126" i="1"/>
  <c r="BG127" i="1"/>
  <c r="DT187" i="1"/>
  <c r="CW187" i="1"/>
  <c r="CT128" i="1"/>
  <c r="DN128" i="1"/>
  <c r="CY59" i="1"/>
  <c r="DX59" i="1"/>
  <c r="DV16" i="1"/>
  <c r="CX16" i="1"/>
  <c r="AM46" i="4"/>
  <c r="AF46" i="4"/>
  <c r="DP93" i="1"/>
  <c r="CU93" i="1"/>
  <c r="DN147" i="1"/>
  <c r="CT147" i="1"/>
  <c r="CT74" i="1"/>
  <c r="S26" i="4"/>
  <c r="DN74" i="1"/>
  <c r="CT8" i="1"/>
  <c r="C25" i="4"/>
  <c r="DN8" i="1"/>
  <c r="CX41" i="1"/>
  <c r="DV41" i="1"/>
  <c r="AM43" i="4"/>
  <c r="AF43" i="4"/>
  <c r="CY141" i="1"/>
  <c r="DX141" i="1"/>
  <c r="AA25" i="4"/>
  <c r="CT86" i="1"/>
  <c r="DN86" i="1"/>
  <c r="CY48" i="1"/>
  <c r="DX48" i="1"/>
  <c r="CY121" i="1"/>
  <c r="DX121" i="1"/>
  <c r="DV136" i="1"/>
  <c r="CX136" i="1"/>
  <c r="K31" i="4"/>
  <c r="DP47" i="1"/>
  <c r="CU47" i="1"/>
  <c r="DP16" i="1"/>
  <c r="CU16" i="1"/>
  <c r="CL74" i="1"/>
  <c r="CY67" i="1"/>
  <c r="DX67" i="1"/>
  <c r="CX119" i="1"/>
  <c r="DV119" i="1"/>
  <c r="DX84" i="1"/>
  <c r="CY84" i="1"/>
  <c r="DV83" i="1"/>
  <c r="CX83" i="1"/>
  <c r="CX103" i="1"/>
  <c r="DV73" i="1"/>
  <c r="CX73" i="1"/>
  <c r="DX10" i="1"/>
  <c r="CY10" i="1"/>
  <c r="DT206" i="1"/>
  <c r="CW206" i="1"/>
  <c r="DT201" i="1"/>
  <c r="CW201" i="1"/>
  <c r="CT113" i="1"/>
  <c r="DN113" i="1"/>
  <c r="CY63" i="1"/>
  <c r="DX63" i="1"/>
  <c r="DV17" i="1"/>
  <c r="CX17" i="1"/>
  <c r="AA32" i="4"/>
  <c r="CU100" i="1"/>
  <c r="DP100" i="1"/>
  <c r="DN154" i="1"/>
  <c r="CT154" i="1"/>
  <c r="DN75" i="1"/>
  <c r="CT75" i="1"/>
  <c r="BG22" i="1"/>
  <c r="C37" i="4" s="1"/>
  <c r="BG10" i="1"/>
  <c r="BG21" i="1"/>
  <c r="BG9" i="1"/>
  <c r="BG8" i="1"/>
  <c r="CK25" i="1"/>
  <c r="BG17" i="1"/>
  <c r="BG7" i="1"/>
  <c r="BG16" i="1"/>
  <c r="BG6" i="1"/>
  <c r="BG15" i="1"/>
  <c r="BG18" i="1"/>
  <c r="BG14" i="1"/>
  <c r="BG12" i="1"/>
  <c r="BG13" i="1"/>
  <c r="BG24" i="1"/>
  <c r="C39" i="4" s="1"/>
  <c r="BG5" i="1"/>
  <c r="BG23" i="1"/>
  <c r="C38" i="4" s="1"/>
  <c r="BG11" i="1"/>
  <c r="DN16" i="1"/>
  <c r="CT16" i="1"/>
  <c r="DV40" i="1"/>
  <c r="CX40" i="1"/>
  <c r="DX145" i="1"/>
  <c r="CY145" i="1"/>
  <c r="AA20" i="4"/>
  <c r="DN91" i="1"/>
  <c r="CT91" i="1"/>
  <c r="DX49" i="1"/>
  <c r="CY49" i="1"/>
  <c r="CX150" i="1"/>
  <c r="DV150" i="1"/>
  <c r="DP31" i="1"/>
  <c r="CU31" i="1"/>
  <c r="CU24" i="1"/>
  <c r="DP24" i="1"/>
  <c r="DR36" i="1"/>
  <c r="CV36" i="1"/>
  <c r="DP17" i="1"/>
  <c r="CU17" i="1"/>
  <c r="C27" i="4"/>
  <c r="CX124" i="1"/>
  <c r="DV124" i="1"/>
  <c r="DX92" i="1"/>
  <c r="CY92" i="1"/>
  <c r="DV84" i="1"/>
  <c r="CX84" i="1"/>
  <c r="DV59" i="1"/>
  <c r="CX59" i="1"/>
  <c r="CY5" i="1"/>
  <c r="DX5" i="1"/>
  <c r="BF25" i="1"/>
  <c r="CY25" i="1" s="1"/>
  <c r="CW190" i="1"/>
  <c r="DT190" i="1"/>
  <c r="AI22" i="4"/>
  <c r="CT119" i="1"/>
  <c r="DN119" i="1"/>
  <c r="DX60" i="1"/>
  <c r="CY60" i="1"/>
  <c r="N21" i="4"/>
  <c r="O21" i="4" s="1"/>
  <c r="P21" i="4" s="1"/>
  <c r="M21" i="4"/>
  <c r="CU87" i="1"/>
  <c r="DP87" i="1"/>
  <c r="DN140" i="1"/>
  <c r="CT140" i="1"/>
  <c r="DN76" i="1"/>
  <c r="CT76" i="1"/>
  <c r="CT22" i="1"/>
  <c r="DN22" i="1"/>
  <c r="DV47" i="1"/>
  <c r="CX47" i="1"/>
  <c r="CL101" i="1"/>
  <c r="CL12" i="1"/>
  <c r="CY146" i="1"/>
  <c r="DX146" i="1"/>
  <c r="DN94" i="1"/>
  <c r="CT94" i="1"/>
  <c r="CY50" i="1"/>
  <c r="DX50" i="1"/>
  <c r="CY123" i="1"/>
  <c r="DX123" i="1"/>
  <c r="CX151" i="1"/>
  <c r="DV151" i="1"/>
  <c r="DP46" i="1"/>
  <c r="K30" i="4"/>
  <c r="CU46" i="1"/>
  <c r="DP11" i="1"/>
  <c r="CU11" i="1"/>
  <c r="CT152" i="1"/>
  <c r="AQ26" i="4"/>
  <c r="DN152" i="1"/>
  <c r="DP33" i="1"/>
  <c r="CU33" i="1"/>
  <c r="DV24" i="1"/>
  <c r="CX24" i="1"/>
  <c r="AE66" i="4"/>
  <c r="AC66" i="4"/>
  <c r="DP36" i="1"/>
  <c r="CU36" i="1"/>
  <c r="DV125" i="1"/>
  <c r="CX125" i="1"/>
  <c r="DX93" i="1"/>
  <c r="CY93" i="1"/>
  <c r="DV87" i="1"/>
  <c r="CX87" i="1"/>
  <c r="DV74" i="1"/>
  <c r="CX74" i="1"/>
  <c r="CY13" i="1"/>
  <c r="DX13" i="1"/>
  <c r="DT192" i="1"/>
  <c r="CW192" i="1"/>
  <c r="DN123" i="1"/>
  <c r="CT123" i="1"/>
  <c r="DX61" i="1"/>
  <c r="CY61" i="1"/>
  <c r="CT144" i="1"/>
  <c r="AQ21" i="4"/>
  <c r="DN144" i="1"/>
  <c r="DN57" i="1"/>
  <c r="CT57" i="1"/>
  <c r="DN9" i="1"/>
  <c r="CT9" i="1"/>
  <c r="CX31" i="1"/>
  <c r="CX51" i="1"/>
  <c r="DV31" i="1"/>
  <c r="CL137" i="1"/>
  <c r="CY144" i="1"/>
  <c r="DX144" i="1"/>
  <c r="CT95" i="1"/>
  <c r="DN95" i="1"/>
  <c r="DX33" i="1"/>
  <c r="CY33" i="1"/>
  <c r="CY124" i="1"/>
  <c r="DX124" i="1"/>
  <c r="DV152" i="1"/>
  <c r="CX152" i="1"/>
  <c r="DP34" i="1"/>
  <c r="CU34" i="1"/>
  <c r="CU15" i="1"/>
  <c r="DP15" i="1"/>
  <c r="DN71" i="1"/>
  <c r="CT71" i="1"/>
  <c r="DN125" i="1"/>
  <c r="CT125" i="1"/>
  <c r="DV138" i="1"/>
  <c r="CX138" i="1"/>
  <c r="DV128" i="1"/>
  <c r="CX128" i="1"/>
  <c r="DV118" i="1"/>
  <c r="CX118" i="1"/>
  <c r="DX94" i="1"/>
  <c r="CY94" i="1"/>
  <c r="DV98" i="1"/>
  <c r="CX98" i="1"/>
  <c r="DV75" i="1"/>
  <c r="CX75" i="1"/>
  <c r="CW196" i="1"/>
  <c r="DT196" i="1"/>
  <c r="DN109" i="1"/>
  <c r="CT109" i="1"/>
  <c r="N24" i="4"/>
  <c r="O24" i="4" s="1"/>
  <c r="P24" i="4" s="1"/>
  <c r="M24" i="4"/>
  <c r="DX58" i="1"/>
  <c r="CY58" i="1"/>
  <c r="DV22" i="1"/>
  <c r="CX22" i="1"/>
  <c r="CX21" i="1"/>
  <c r="DV21" i="1"/>
  <c r="CL86" i="1"/>
  <c r="CU88" i="1"/>
  <c r="DP88" i="1"/>
  <c r="CT150" i="1"/>
  <c r="DN150" i="1"/>
  <c r="CT61" i="1"/>
  <c r="DN61" i="1"/>
  <c r="DN23" i="1"/>
  <c r="CT23" i="1"/>
  <c r="CX37" i="1"/>
  <c r="DV37" i="1"/>
  <c r="AE62" i="4"/>
  <c r="AC62" i="4"/>
  <c r="AA18" i="4"/>
  <c r="DN89" i="1"/>
  <c r="CT89" i="1"/>
  <c r="BG62" i="1"/>
  <c r="BG63" i="1"/>
  <c r="BG65" i="1"/>
  <c r="CK77" i="1"/>
  <c r="BG66" i="1"/>
  <c r="BG67" i="1"/>
  <c r="BG68" i="1"/>
  <c r="BG69" i="1"/>
  <c r="BG71" i="1"/>
  <c r="BG72" i="1"/>
  <c r="BG73" i="1"/>
  <c r="BG74" i="1"/>
  <c r="BG75" i="1"/>
  <c r="BG76" i="1"/>
  <c r="BG57" i="1"/>
  <c r="BG58" i="1"/>
  <c r="BG59" i="1"/>
  <c r="BG60" i="1"/>
  <c r="BG61" i="1"/>
  <c r="CY35" i="1"/>
  <c r="DX35" i="1"/>
  <c r="CY112" i="1"/>
  <c r="DX112" i="1"/>
  <c r="DV139" i="1"/>
  <c r="CX139" i="1"/>
  <c r="K29" i="4"/>
  <c r="DP45" i="1"/>
  <c r="CU45" i="1"/>
  <c r="AT28" i="4"/>
  <c r="AU28" i="4" s="1"/>
  <c r="AV28" i="4" s="1"/>
  <c r="AS28" i="4"/>
  <c r="DT202" i="1"/>
  <c r="CW202" i="1"/>
  <c r="DV86" i="1"/>
  <c r="CX86" i="1"/>
  <c r="DX95" i="1"/>
  <c r="CY95" i="1"/>
  <c r="CX99" i="1"/>
  <c r="DV99" i="1"/>
  <c r="DV67" i="1"/>
  <c r="CX67" i="1"/>
  <c r="DX14" i="1"/>
  <c r="CY14" i="1"/>
  <c r="CT121" i="1"/>
  <c r="DN121" i="1"/>
  <c r="AI26" i="4"/>
  <c r="CT126" i="1"/>
  <c r="DN126" i="1"/>
  <c r="DV13" i="1"/>
  <c r="CX13" i="1"/>
  <c r="DN139" i="1"/>
  <c r="CT139" i="1"/>
  <c r="CT62" i="1"/>
  <c r="DN62" i="1"/>
  <c r="CT11" i="1"/>
  <c r="C18" i="4"/>
  <c r="DN11" i="1"/>
  <c r="DV48" i="1"/>
  <c r="CX48" i="1"/>
  <c r="CL8" i="1"/>
  <c r="DX147" i="1"/>
  <c r="CY147" i="1"/>
  <c r="N18" i="4"/>
  <c r="O18" i="4" s="1"/>
  <c r="P18" i="4" s="1"/>
  <c r="M18" i="4"/>
  <c r="DN98" i="1"/>
  <c r="CT98" i="1"/>
  <c r="DX34" i="1"/>
  <c r="CY34" i="1"/>
  <c r="CY117" i="1"/>
  <c r="DX117" i="1"/>
  <c r="CX144" i="1"/>
  <c r="DV144" i="1"/>
  <c r="DP32" i="1"/>
  <c r="CU32" i="1"/>
  <c r="CU12" i="1"/>
  <c r="DP12" i="1"/>
  <c r="DV71" i="1"/>
  <c r="CX71" i="1"/>
  <c r="AA30" i="4"/>
  <c r="DP98" i="1"/>
  <c r="CU98" i="1"/>
  <c r="CU13" i="1"/>
  <c r="DP13" i="1"/>
  <c r="AF45" i="4"/>
  <c r="AM45" i="4"/>
  <c r="CX126" i="1"/>
  <c r="DV126" i="1"/>
  <c r="CY89" i="1"/>
  <c r="DX89" i="1"/>
  <c r="DV94" i="1"/>
  <c r="CX94" i="1"/>
  <c r="CL111" i="1"/>
  <c r="CX76" i="1"/>
  <c r="DV76" i="1"/>
  <c r="DX15" i="1"/>
  <c r="CY15" i="1"/>
  <c r="AI24" i="4"/>
  <c r="DN111" i="1"/>
  <c r="CT111" i="1"/>
  <c r="CL75" i="1"/>
  <c r="DX65" i="1"/>
  <c r="CY65" i="1"/>
  <c r="DV11" i="1"/>
  <c r="CX11" i="1"/>
  <c r="CL154" i="1"/>
  <c r="CT143" i="1"/>
  <c r="DN143" i="1"/>
  <c r="AQ20" i="4"/>
  <c r="DN60" i="1"/>
  <c r="S25" i="4"/>
  <c r="CT60" i="1"/>
  <c r="CT15" i="1"/>
  <c r="C22" i="4"/>
  <c r="DN15" i="1"/>
  <c r="CX36" i="1"/>
  <c r="DV36" i="1"/>
  <c r="AE63" i="4"/>
  <c r="AC63" i="4"/>
  <c r="DX149" i="1"/>
  <c r="CY149" i="1"/>
  <c r="AA21" i="4"/>
  <c r="DN92" i="1"/>
  <c r="CT92" i="1"/>
  <c r="CY36" i="1"/>
  <c r="DX36" i="1"/>
  <c r="DX125" i="1"/>
  <c r="CY125" i="1"/>
  <c r="CX153" i="1"/>
  <c r="DV153" i="1"/>
  <c r="K27" i="4"/>
  <c r="DP43" i="1"/>
  <c r="CU43" i="1"/>
  <c r="DP5" i="1"/>
  <c r="BB25" i="1"/>
  <c r="CU25" i="1" s="1"/>
  <c r="CU5" i="1"/>
  <c r="CY17" i="1"/>
  <c r="DX17" i="1"/>
  <c r="CX39" i="1"/>
  <c r="DV39" i="1"/>
  <c r="DV110" i="1"/>
  <c r="CX110" i="1"/>
  <c r="CX127" i="1"/>
  <c r="DV127" i="1"/>
  <c r="DV117" i="1"/>
  <c r="CX117" i="1"/>
  <c r="DV100" i="1"/>
  <c r="CX100" i="1"/>
  <c r="CX62" i="1"/>
  <c r="DV62" i="1"/>
  <c r="DV68" i="1"/>
  <c r="CX68" i="1"/>
  <c r="CY16" i="1"/>
  <c r="DX16" i="1"/>
  <c r="DT198" i="1"/>
  <c r="CW198" i="1"/>
  <c r="DX66" i="1"/>
  <c r="CY66" i="1"/>
  <c r="CX8" i="1"/>
  <c r="DV8" i="1"/>
  <c r="CL59" i="1"/>
  <c r="DP99" i="1"/>
  <c r="AA31" i="4"/>
  <c r="CU99" i="1"/>
  <c r="DN146" i="1"/>
  <c r="CT146" i="1"/>
  <c r="S18" i="4"/>
  <c r="DN63" i="1"/>
  <c r="CT63" i="1"/>
  <c r="CL128" i="1"/>
  <c r="CT21" i="1"/>
  <c r="DN21" i="1"/>
  <c r="CX49" i="1"/>
  <c r="DV49" i="1"/>
  <c r="CL6" i="1"/>
  <c r="DX150" i="1"/>
  <c r="CY150" i="1"/>
  <c r="DN88" i="1"/>
  <c r="CT88" i="1"/>
  <c r="CY37" i="1"/>
  <c r="DX37" i="1"/>
  <c r="DX114" i="1"/>
  <c r="CY114" i="1"/>
  <c r="DV135" i="1"/>
  <c r="CX135" i="1"/>
  <c r="DP50" i="1"/>
  <c r="CU50" i="1"/>
  <c r="CU9" i="1"/>
  <c r="DP9" i="1"/>
  <c r="AA65" i="4" l="1"/>
  <c r="DZ168" i="1"/>
  <c r="DZ181" i="1" s="1"/>
  <c r="BG181" i="1"/>
  <c r="CZ168" i="1"/>
  <c r="CZ181" i="1" s="1"/>
  <c r="BG77" i="1"/>
  <c r="BF207" i="1"/>
  <c r="CY207" i="1" s="1"/>
  <c r="DT207" i="1"/>
  <c r="BE207" i="1"/>
  <c r="CX207" i="1" s="1"/>
  <c r="S36" i="4"/>
  <c r="U36" i="4" s="1"/>
  <c r="CX181" i="1"/>
  <c r="CY181" i="1"/>
  <c r="DV181" i="1"/>
  <c r="DX181" i="1"/>
  <c r="BG51" i="1"/>
  <c r="DV51" i="1"/>
  <c r="BH40" i="1"/>
  <c r="EB40" i="1" s="1"/>
  <c r="BH46" i="1"/>
  <c r="EB46" i="1" s="1"/>
  <c r="DX51" i="1"/>
  <c r="CV34" i="1"/>
  <c r="CV43" i="1"/>
  <c r="CV45" i="1"/>
  <c r="CV41" i="1"/>
  <c r="DV129" i="1"/>
  <c r="BC103" i="1"/>
  <c r="CV103" i="1" s="1"/>
  <c r="DX103" i="1"/>
  <c r="BC77" i="1"/>
  <c r="CV77" i="1" s="1"/>
  <c r="DP129" i="1"/>
  <c r="DX129" i="1"/>
  <c r="BG103" i="1"/>
  <c r="CZ103" i="1" s="1"/>
  <c r="DX155" i="1"/>
  <c r="BC155" i="1"/>
  <c r="CV155" i="1" s="1"/>
  <c r="DN155" i="1"/>
  <c r="BG129" i="1"/>
  <c r="CZ129" i="1" s="1"/>
  <c r="BC129" i="1"/>
  <c r="CV129" i="1" s="1"/>
  <c r="DV103" i="1"/>
  <c r="DN103" i="1"/>
  <c r="DV155" i="1"/>
  <c r="DP103" i="1"/>
  <c r="DP155" i="1"/>
  <c r="DN129" i="1"/>
  <c r="DP51" i="1"/>
  <c r="CZ135" i="1"/>
  <c r="BG155" i="1"/>
  <c r="CZ155" i="1" s="1"/>
  <c r="DR31" i="1"/>
  <c r="BC51" i="1"/>
  <c r="CV51" i="1" s="1"/>
  <c r="DR33" i="1"/>
  <c r="DR35" i="1"/>
  <c r="CV46" i="1"/>
  <c r="DR48" i="1"/>
  <c r="EB20" i="1"/>
  <c r="DA20" i="1"/>
  <c r="DA19" i="1"/>
  <c r="EB19" i="1"/>
  <c r="CZ141" i="1"/>
  <c r="BH35" i="1"/>
  <c r="EB35" i="1" s="1"/>
  <c r="BH45" i="1"/>
  <c r="DA45" i="1" s="1"/>
  <c r="BH47" i="1"/>
  <c r="EB47" i="1" s="1"/>
  <c r="BH36" i="1"/>
  <c r="EB36" i="1" s="1"/>
  <c r="CV32" i="1"/>
  <c r="DR49" i="1"/>
  <c r="CV40" i="1"/>
  <c r="BH39" i="1"/>
  <c r="DA39" i="1" s="1"/>
  <c r="BH43" i="1"/>
  <c r="EB43" i="1" s="1"/>
  <c r="BH49" i="1"/>
  <c r="EB49" i="1" s="1"/>
  <c r="EB32" i="1"/>
  <c r="BH31" i="1"/>
  <c r="EB31" i="1" s="1"/>
  <c r="EB51" i="1" s="1"/>
  <c r="CV39" i="1"/>
  <c r="CV47" i="1"/>
  <c r="BH41" i="1"/>
  <c r="DA41" i="1" s="1"/>
  <c r="DR42" i="1"/>
  <c r="BH48" i="1"/>
  <c r="EB48" i="1" s="1"/>
  <c r="CL51" i="1"/>
  <c r="CV50" i="1"/>
  <c r="DZ135" i="1"/>
  <c r="BH34" i="1"/>
  <c r="EB34" i="1" s="1"/>
  <c r="BH37" i="1"/>
  <c r="EB37" i="1" s="1"/>
  <c r="BH42" i="1"/>
  <c r="DA42" i="1" s="1"/>
  <c r="AT30" i="4"/>
  <c r="AU30" i="4" s="1"/>
  <c r="AV30" i="4" s="1"/>
  <c r="CZ145" i="1"/>
  <c r="CV31" i="1"/>
  <c r="BH50" i="1"/>
  <c r="DA50" i="1" s="1"/>
  <c r="DR37" i="1"/>
  <c r="BH33" i="1"/>
  <c r="EB33" i="1" s="1"/>
  <c r="AS32" i="4"/>
  <c r="AQ38" i="4"/>
  <c r="AT38" i="4" s="1"/>
  <c r="AU38" i="4" s="1"/>
  <c r="AV38" i="4" s="1"/>
  <c r="K36" i="4"/>
  <c r="M36" i="4" s="1"/>
  <c r="AT29" i="4"/>
  <c r="AU29" i="4" s="1"/>
  <c r="AV29" i="4" s="1"/>
  <c r="DZ150" i="1"/>
  <c r="CZ147" i="1"/>
  <c r="DZ149" i="1"/>
  <c r="AI36" i="4"/>
  <c r="AK36" i="4" s="1"/>
  <c r="AA36" i="4"/>
  <c r="AC36" i="4" s="1"/>
  <c r="CZ153" i="1"/>
  <c r="AQ39" i="4"/>
  <c r="AS39" i="4" s="1"/>
  <c r="CZ154" i="1"/>
  <c r="DZ151" i="1"/>
  <c r="DZ152" i="1"/>
  <c r="DZ136" i="1"/>
  <c r="C36" i="4"/>
  <c r="F36" i="4" s="1"/>
  <c r="G36" i="4" s="1"/>
  <c r="H36" i="4" s="1"/>
  <c r="BH6" i="1"/>
  <c r="EB6" i="1" s="1"/>
  <c r="CZ136" i="1"/>
  <c r="BH154" i="1"/>
  <c r="EB154" i="1" s="1"/>
  <c r="AQ35" i="4"/>
  <c r="AT35" i="4" s="1"/>
  <c r="AU35" i="4" s="1"/>
  <c r="AV35" i="4" s="1"/>
  <c r="BH18" i="1"/>
  <c r="EB18" i="1" s="1"/>
  <c r="DZ144" i="1"/>
  <c r="CZ146" i="1"/>
  <c r="CZ143" i="1"/>
  <c r="DZ140" i="1"/>
  <c r="AQ36" i="4"/>
  <c r="BH75" i="1"/>
  <c r="EB75" i="1" s="1"/>
  <c r="AQ37" i="4"/>
  <c r="AT37" i="4" s="1"/>
  <c r="AU37" i="4" s="1"/>
  <c r="AV37" i="4" s="1"/>
  <c r="CZ138" i="1"/>
  <c r="BH128" i="1"/>
  <c r="DA128" i="1" s="1"/>
  <c r="BH111" i="1"/>
  <c r="DA111" i="1" s="1"/>
  <c r="BH74" i="1"/>
  <c r="DA74" i="1" s="1"/>
  <c r="BH59" i="1"/>
  <c r="DA59" i="1" s="1"/>
  <c r="BH12" i="1"/>
  <c r="EB12" i="1" s="1"/>
  <c r="BH8" i="1"/>
  <c r="DA8" i="1" s="1"/>
  <c r="DZ139" i="1"/>
  <c r="CZ140" i="1"/>
  <c r="BH137" i="1"/>
  <c r="DA137" i="1" s="1"/>
  <c r="AK30" i="4"/>
  <c r="AL30" i="4"/>
  <c r="AM30" i="4" s="1"/>
  <c r="AN30" i="4" s="1"/>
  <c r="AL31" i="4"/>
  <c r="AM31" i="4" s="1"/>
  <c r="AN31" i="4" s="1"/>
  <c r="AK31" i="4"/>
  <c r="AL32" i="4"/>
  <c r="AM32" i="4" s="1"/>
  <c r="AN32" i="4" s="1"/>
  <c r="AK32" i="4"/>
  <c r="AK27" i="4"/>
  <c r="AL27" i="4"/>
  <c r="AM27" i="4" s="1"/>
  <c r="AN27" i="4" s="1"/>
  <c r="AL28" i="4"/>
  <c r="AM28" i="4" s="1"/>
  <c r="AN28" i="4" s="1"/>
  <c r="AK28" i="4"/>
  <c r="AK29" i="4"/>
  <c r="AL29" i="4"/>
  <c r="AM29" i="4" s="1"/>
  <c r="AN29" i="4" s="1"/>
  <c r="BH86" i="1"/>
  <c r="EB86" i="1" s="1"/>
  <c r="BH101" i="1"/>
  <c r="EB101" i="1" s="1"/>
  <c r="BH152" i="1"/>
  <c r="EB152" i="1" s="1"/>
  <c r="DZ114" i="1"/>
  <c r="CZ114" i="1"/>
  <c r="DZ14" i="1"/>
  <c r="CZ14" i="1"/>
  <c r="AC32" i="4"/>
  <c r="AD32" i="4"/>
  <c r="AE32" i="4" s="1"/>
  <c r="AF32" i="4" s="1"/>
  <c r="DZ112" i="1"/>
  <c r="CZ112" i="1"/>
  <c r="AI35" i="4"/>
  <c r="AL35" i="4" s="1"/>
  <c r="AD24" i="4"/>
  <c r="AE24" i="4" s="1"/>
  <c r="AF24" i="4" s="1"/>
  <c r="AC24" i="4"/>
  <c r="CV143" i="1"/>
  <c r="DR143" i="1"/>
  <c r="AD26" i="4"/>
  <c r="AE26" i="4" s="1"/>
  <c r="AF26" i="4" s="1"/>
  <c r="AC26" i="4"/>
  <c r="N32" i="4"/>
  <c r="O32" i="4" s="1"/>
  <c r="P32" i="4" s="1"/>
  <c r="M32" i="4"/>
  <c r="DV196" i="1"/>
  <c r="CX196" i="1"/>
  <c r="AL18" i="4"/>
  <c r="AM18" i="4" s="1"/>
  <c r="AN18" i="4" s="1"/>
  <c r="AK18" i="4"/>
  <c r="DZ32" i="1"/>
  <c r="CZ32" i="1"/>
  <c r="K33" i="4"/>
  <c r="N33" i="4" s="1"/>
  <c r="CZ92" i="1"/>
  <c r="DZ92" i="1"/>
  <c r="DR67" i="1"/>
  <c r="CV67" i="1"/>
  <c r="DR125" i="1"/>
  <c r="CV125" i="1"/>
  <c r="U23" i="4"/>
  <c r="V23" i="4"/>
  <c r="W23" i="4" s="1"/>
  <c r="X23" i="4" s="1"/>
  <c r="CV11" i="1"/>
  <c r="DR11" i="1"/>
  <c r="AL25" i="4"/>
  <c r="AM25" i="4" s="1"/>
  <c r="AN25" i="4" s="1"/>
  <c r="AK25" i="4"/>
  <c r="CV136" i="1"/>
  <c r="DR136" i="1"/>
  <c r="CV10" i="1"/>
  <c r="DR10" i="1"/>
  <c r="DA40" i="1"/>
  <c r="CV154" i="1"/>
  <c r="DR154" i="1"/>
  <c r="V18" i="4"/>
  <c r="W18" i="4" s="1"/>
  <c r="X18" i="4" s="1"/>
  <c r="U18" i="4"/>
  <c r="CZ63" i="1"/>
  <c r="DZ63" i="1"/>
  <c r="AT26" i="4"/>
  <c r="AU26" i="4" s="1"/>
  <c r="AV26" i="4" s="1"/>
  <c r="AS26" i="4"/>
  <c r="E39" i="4"/>
  <c r="CZ18" i="1"/>
  <c r="DZ18" i="1"/>
  <c r="CZ111" i="1"/>
  <c r="DZ111" i="1"/>
  <c r="AI34" i="4"/>
  <c r="AL34" i="4" s="1"/>
  <c r="DX206" i="1"/>
  <c r="CY206" i="1"/>
  <c r="CV85" i="1"/>
  <c r="DR85" i="1"/>
  <c r="DR139" i="1"/>
  <c r="CV139" i="1"/>
  <c r="DV193" i="1"/>
  <c r="CX193" i="1"/>
  <c r="DZ31" i="1"/>
  <c r="CZ51" i="1"/>
  <c r="CZ31" i="1"/>
  <c r="CZ91" i="1"/>
  <c r="DZ91" i="1"/>
  <c r="AT24" i="4"/>
  <c r="AU24" i="4" s="1"/>
  <c r="AV24" i="4" s="1"/>
  <c r="AS24" i="4"/>
  <c r="DA112" i="1"/>
  <c r="EB112" i="1"/>
  <c r="CV18" i="1"/>
  <c r="DR18" i="1"/>
  <c r="DZ13" i="1"/>
  <c r="CZ13" i="1"/>
  <c r="CZ12" i="1"/>
  <c r="DZ12" i="1"/>
  <c r="DR14" i="1"/>
  <c r="CV14" i="1"/>
  <c r="AF63" i="4"/>
  <c r="AM63" i="4"/>
  <c r="AL26" i="4"/>
  <c r="AM26" i="4" s="1"/>
  <c r="AN26" i="4" s="1"/>
  <c r="AK26" i="4"/>
  <c r="CZ61" i="1"/>
  <c r="DZ61" i="1"/>
  <c r="CZ62" i="1"/>
  <c r="DZ62" i="1"/>
  <c r="DZ15" i="1"/>
  <c r="CZ15" i="1"/>
  <c r="N31" i="4"/>
  <c r="O31" i="4" s="1"/>
  <c r="P31" i="4" s="1"/>
  <c r="M31" i="4"/>
  <c r="AI33" i="4"/>
  <c r="AL33" i="4" s="1"/>
  <c r="CZ110" i="1"/>
  <c r="DZ110" i="1"/>
  <c r="BG195" i="1"/>
  <c r="BG196" i="1"/>
  <c r="BG197" i="1"/>
  <c r="BG198" i="1"/>
  <c r="BG199" i="1"/>
  <c r="BG201" i="1"/>
  <c r="BG202" i="1"/>
  <c r="BG203" i="1"/>
  <c r="BG204" i="1"/>
  <c r="BG205" i="1"/>
  <c r="BG206" i="1"/>
  <c r="BG187" i="1"/>
  <c r="BG188" i="1"/>
  <c r="BG189" i="1"/>
  <c r="BG190" i="1"/>
  <c r="BG191" i="1"/>
  <c r="BG192" i="1"/>
  <c r="BG193" i="1"/>
  <c r="CK207" i="1"/>
  <c r="DX199" i="1"/>
  <c r="CY199" i="1"/>
  <c r="CV91" i="1"/>
  <c r="DR91" i="1"/>
  <c r="DR145" i="1"/>
  <c r="CV145" i="1"/>
  <c r="CV146" i="1"/>
  <c r="DR146" i="1"/>
  <c r="DA136" i="1"/>
  <c r="EB136" i="1"/>
  <c r="V20" i="4"/>
  <c r="W20" i="4" s="1"/>
  <c r="X20" i="4" s="1"/>
  <c r="U20" i="4"/>
  <c r="CX201" i="1"/>
  <c r="DV201" i="1"/>
  <c r="DZ50" i="1"/>
  <c r="K39" i="4"/>
  <c r="M39" i="4" s="1"/>
  <c r="CZ50" i="1"/>
  <c r="F20" i="4"/>
  <c r="G20" i="4" s="1"/>
  <c r="H20" i="4" s="1"/>
  <c r="E20" i="4"/>
  <c r="CV65" i="1"/>
  <c r="DR65" i="1"/>
  <c r="DA60" i="1"/>
  <c r="EB60" i="1"/>
  <c r="CV111" i="1"/>
  <c r="DR111" i="1"/>
  <c r="CV16" i="1"/>
  <c r="DR16" i="1"/>
  <c r="S35" i="4"/>
  <c r="V35" i="4" s="1"/>
  <c r="DZ60" i="1"/>
  <c r="CZ60" i="1"/>
  <c r="F27" i="4"/>
  <c r="G27" i="4" s="1"/>
  <c r="H27" i="4" s="1"/>
  <c r="E27" i="4"/>
  <c r="CZ6" i="1"/>
  <c r="C33" i="4"/>
  <c r="DZ6" i="1"/>
  <c r="E25" i="4"/>
  <c r="F25" i="4"/>
  <c r="G25" i="4" s="1"/>
  <c r="H25" i="4" s="1"/>
  <c r="F26" i="4"/>
  <c r="G26" i="4" s="1"/>
  <c r="H26" i="4" s="1"/>
  <c r="E26" i="4"/>
  <c r="DA46" i="1"/>
  <c r="CY205" i="1"/>
  <c r="DX205" i="1"/>
  <c r="CV102" i="1"/>
  <c r="DR102" i="1"/>
  <c r="AT23" i="4"/>
  <c r="AU23" i="4" s="1"/>
  <c r="AV23" i="4" s="1"/>
  <c r="AS23" i="4"/>
  <c r="CV149" i="1"/>
  <c r="DR149" i="1"/>
  <c r="CV147" i="1"/>
  <c r="DR147" i="1"/>
  <c r="DV188" i="1"/>
  <c r="CX188" i="1"/>
  <c r="AT19" i="4"/>
  <c r="AU19" i="4" s="1"/>
  <c r="AV19" i="4" s="1"/>
  <c r="AS19" i="4"/>
  <c r="DZ49" i="1"/>
  <c r="K38" i="4"/>
  <c r="N38" i="4" s="1"/>
  <c r="CZ49" i="1"/>
  <c r="AK21" i="4"/>
  <c r="AL21" i="4"/>
  <c r="AM21" i="4" s="1"/>
  <c r="AN21" i="4" s="1"/>
  <c r="DZ89" i="1"/>
  <c r="CZ89" i="1"/>
  <c r="AL20" i="4"/>
  <c r="AM20" i="4" s="1"/>
  <c r="AN20" i="4" s="1"/>
  <c r="AK20" i="4"/>
  <c r="CV61" i="1"/>
  <c r="DR61" i="1"/>
  <c r="F24" i="4"/>
  <c r="G24" i="4" s="1"/>
  <c r="H24" i="4" s="1"/>
  <c r="E24" i="4"/>
  <c r="CV113" i="1"/>
  <c r="DR113" i="1"/>
  <c r="CZ94" i="1"/>
  <c r="DZ94" i="1"/>
  <c r="DP25" i="1"/>
  <c r="S34" i="4"/>
  <c r="V34" i="4" s="1"/>
  <c r="DZ59" i="1"/>
  <c r="CZ59" i="1"/>
  <c r="AD20" i="4"/>
  <c r="AE20" i="4" s="1"/>
  <c r="AF20" i="4" s="1"/>
  <c r="AC20" i="4"/>
  <c r="DZ16" i="1"/>
  <c r="CZ16" i="1"/>
  <c r="CZ109" i="1"/>
  <c r="DZ109" i="1"/>
  <c r="CY190" i="1"/>
  <c r="DX190" i="1"/>
  <c r="CV101" i="1"/>
  <c r="DR101" i="1"/>
  <c r="BH150" i="1"/>
  <c r="BH145" i="1"/>
  <c r="BH151" i="1"/>
  <c r="BH140" i="1"/>
  <c r="BH149" i="1"/>
  <c r="BH147" i="1"/>
  <c r="BH146" i="1"/>
  <c r="BH144" i="1"/>
  <c r="BH141" i="1"/>
  <c r="CL155" i="1"/>
  <c r="BH135" i="1"/>
  <c r="BH143" i="1"/>
  <c r="BH139" i="1"/>
  <c r="BH153" i="1"/>
  <c r="DV199" i="1"/>
  <c r="CX199" i="1"/>
  <c r="DZ48" i="1"/>
  <c r="K37" i="4"/>
  <c r="N37" i="4" s="1"/>
  <c r="CZ48" i="1"/>
  <c r="DZ88" i="1"/>
  <c r="CZ88" i="1"/>
  <c r="CV71" i="1"/>
  <c r="DR71" i="1"/>
  <c r="AK23" i="4"/>
  <c r="AL23" i="4"/>
  <c r="AM23" i="4" s="1"/>
  <c r="AN23" i="4" s="1"/>
  <c r="DR117" i="1"/>
  <c r="CV117" i="1"/>
  <c r="CV5" i="1"/>
  <c r="DR5" i="1"/>
  <c r="BC25" i="1"/>
  <c r="CV25" i="1" s="1"/>
  <c r="CY195" i="1"/>
  <c r="DX195" i="1"/>
  <c r="AD31" i="4"/>
  <c r="AE31" i="4" s="1"/>
  <c r="AF31" i="4" s="1"/>
  <c r="AC31" i="4"/>
  <c r="S33" i="4"/>
  <c r="V33" i="4" s="1"/>
  <c r="DZ58" i="1"/>
  <c r="CZ58" i="1"/>
  <c r="AD18" i="4"/>
  <c r="AE18" i="4" s="1"/>
  <c r="AF18" i="4" s="1"/>
  <c r="AC18" i="4"/>
  <c r="CZ7" i="1"/>
  <c r="C34" i="4"/>
  <c r="DZ7" i="1"/>
  <c r="DZ127" i="1"/>
  <c r="CZ127" i="1"/>
  <c r="AI38" i="4"/>
  <c r="AL38" i="4" s="1"/>
  <c r="CZ128" i="1"/>
  <c r="DZ128" i="1"/>
  <c r="AI39" i="4"/>
  <c r="AK39" i="4" s="1"/>
  <c r="CY196" i="1"/>
  <c r="DX196" i="1"/>
  <c r="CV98" i="1"/>
  <c r="DR98" i="1"/>
  <c r="CV144" i="1"/>
  <c r="DR144" i="1"/>
  <c r="AC29" i="4"/>
  <c r="AD29" i="4"/>
  <c r="AE29" i="4" s="1"/>
  <c r="AF29" i="4" s="1"/>
  <c r="DV187" i="1"/>
  <c r="CX187" i="1"/>
  <c r="DZ47" i="1"/>
  <c r="CZ47" i="1"/>
  <c r="DR69" i="1"/>
  <c r="CV69" i="1"/>
  <c r="DR112" i="1"/>
  <c r="CV112" i="1"/>
  <c r="CV21" i="1"/>
  <c r="DR21" i="1"/>
  <c r="DR119" i="1"/>
  <c r="CV119" i="1"/>
  <c r="F18" i="4"/>
  <c r="G18" i="4" s="1"/>
  <c r="H18" i="4" s="1"/>
  <c r="E18" i="4"/>
  <c r="DZ57" i="1"/>
  <c r="CZ77" i="1"/>
  <c r="CZ57" i="1"/>
  <c r="AL22" i="4"/>
  <c r="AM22" i="4" s="1"/>
  <c r="AN22" i="4" s="1"/>
  <c r="AK22" i="4"/>
  <c r="DZ17" i="1"/>
  <c r="CZ17" i="1"/>
  <c r="V26" i="4"/>
  <c r="W26" i="4" s="1"/>
  <c r="X26" i="4" s="1"/>
  <c r="U26" i="4"/>
  <c r="DZ126" i="1"/>
  <c r="CZ126" i="1"/>
  <c r="AI37" i="4"/>
  <c r="AL37" i="4" s="1"/>
  <c r="DX203" i="1"/>
  <c r="CY203" i="1"/>
  <c r="DR97" i="1"/>
  <c r="CV97" i="1"/>
  <c r="DV203" i="1"/>
  <c r="CX203" i="1"/>
  <c r="DZ46" i="1"/>
  <c r="CZ46" i="1"/>
  <c r="DZ87" i="1"/>
  <c r="CZ87" i="1"/>
  <c r="CV60" i="1"/>
  <c r="DR60" i="1"/>
  <c r="DV77" i="1"/>
  <c r="AM64" i="4"/>
  <c r="AF64" i="4"/>
  <c r="CV126" i="1"/>
  <c r="DR126" i="1"/>
  <c r="CV7" i="1"/>
  <c r="DR7" i="1"/>
  <c r="M27" i="4"/>
  <c r="N27" i="4"/>
  <c r="O27" i="4" s="1"/>
  <c r="P27" i="4" s="1"/>
  <c r="E22" i="4"/>
  <c r="F22" i="4"/>
  <c r="G22" i="4" s="1"/>
  <c r="H22" i="4" s="1"/>
  <c r="DZ76" i="1"/>
  <c r="CZ76" i="1"/>
  <c r="S39" i="4"/>
  <c r="U39" i="4" s="1"/>
  <c r="DZ125" i="1"/>
  <c r="CZ125" i="1"/>
  <c r="CY189" i="1"/>
  <c r="DX189" i="1"/>
  <c r="DR95" i="1"/>
  <c r="CV95" i="1"/>
  <c r="EB84" i="1"/>
  <c r="DA84" i="1"/>
  <c r="DR150" i="1"/>
  <c r="CV150" i="1"/>
  <c r="DZ45" i="1"/>
  <c r="CZ45" i="1"/>
  <c r="DZ86" i="1"/>
  <c r="AA35" i="4"/>
  <c r="AD35" i="4" s="1"/>
  <c r="CZ86" i="1"/>
  <c r="CV75" i="1"/>
  <c r="DR75" i="1"/>
  <c r="DR114" i="1"/>
  <c r="CV114" i="1"/>
  <c r="CV23" i="1"/>
  <c r="DR23" i="1"/>
  <c r="CV74" i="1"/>
  <c r="DR74" i="1"/>
  <c r="E28" i="4"/>
  <c r="F28" i="4"/>
  <c r="G28" i="4" s="1"/>
  <c r="H28" i="4" s="1"/>
  <c r="S38" i="4"/>
  <c r="V38" i="4" s="1"/>
  <c r="DZ75" i="1"/>
  <c r="CZ75" i="1"/>
  <c r="DN77" i="1"/>
  <c r="M30" i="4"/>
  <c r="N30" i="4"/>
  <c r="O30" i="4" s="1"/>
  <c r="P30" i="4" s="1"/>
  <c r="CZ8" i="1"/>
  <c r="C35" i="4"/>
  <c r="DZ8" i="1"/>
  <c r="AD19" i="4"/>
  <c r="AE19" i="4" s="1"/>
  <c r="AF19" i="4" s="1"/>
  <c r="AC19" i="4"/>
  <c r="DZ124" i="1"/>
  <c r="CZ124" i="1"/>
  <c r="DR87" i="1"/>
  <c r="CV87" i="1"/>
  <c r="DV197" i="1"/>
  <c r="CX197" i="1"/>
  <c r="DV205" i="1"/>
  <c r="CX205" i="1"/>
  <c r="DZ84" i="1"/>
  <c r="AA33" i="4"/>
  <c r="AD33" i="4" s="1"/>
  <c r="CZ84" i="1"/>
  <c r="DZ85" i="1"/>
  <c r="AA34" i="4"/>
  <c r="AD34" i="4" s="1"/>
  <c r="CZ85" i="1"/>
  <c r="DR76" i="1"/>
  <c r="CV76" i="1"/>
  <c r="V19" i="4"/>
  <c r="W19" i="4" s="1"/>
  <c r="X19" i="4" s="1"/>
  <c r="U19" i="4"/>
  <c r="DR127" i="1"/>
  <c r="CV127" i="1"/>
  <c r="AD23" i="4"/>
  <c r="AE23" i="4" s="1"/>
  <c r="AF23" i="4" s="1"/>
  <c r="AC23" i="4"/>
  <c r="CV9" i="1"/>
  <c r="DR9" i="1"/>
  <c r="S37" i="4"/>
  <c r="V37" i="4" s="1"/>
  <c r="DZ74" i="1"/>
  <c r="CZ74" i="1"/>
  <c r="CZ123" i="1"/>
  <c r="DZ123" i="1"/>
  <c r="DX187" i="1"/>
  <c r="CY187" i="1"/>
  <c r="CV88" i="1"/>
  <c r="DR88" i="1"/>
  <c r="DR138" i="1"/>
  <c r="CV138" i="1"/>
  <c r="DV198" i="1"/>
  <c r="CX198" i="1"/>
  <c r="DV25" i="1"/>
  <c r="AD27" i="4"/>
  <c r="AE27" i="4" s="1"/>
  <c r="AF27" i="4" s="1"/>
  <c r="AC27" i="4"/>
  <c r="AS25" i="4"/>
  <c r="AT25" i="4"/>
  <c r="AU25" i="4" s="1"/>
  <c r="AV25" i="4" s="1"/>
  <c r="DZ83" i="1"/>
  <c r="CZ83" i="1"/>
  <c r="BH138" i="1"/>
  <c r="CV66" i="1"/>
  <c r="DR66" i="1"/>
  <c r="BH124" i="1"/>
  <c r="BH121" i="1"/>
  <c r="BH117" i="1"/>
  <c r="BH114" i="1"/>
  <c r="BH125" i="1"/>
  <c r="BH120" i="1"/>
  <c r="CL129" i="1"/>
  <c r="BH115" i="1"/>
  <c r="BH123" i="1"/>
  <c r="BH113" i="1"/>
  <c r="BH118" i="1"/>
  <c r="BH109" i="1"/>
  <c r="BH119" i="1"/>
  <c r="BH127" i="1"/>
  <c r="CV120" i="1"/>
  <c r="DR120" i="1"/>
  <c r="CV12" i="1"/>
  <c r="DR12" i="1"/>
  <c r="CV94" i="1"/>
  <c r="DR94" i="1"/>
  <c r="V25" i="4"/>
  <c r="W25" i="4" s="1"/>
  <c r="X25" i="4" s="1"/>
  <c r="U25" i="4"/>
  <c r="AL24" i="4"/>
  <c r="AM24" i="4" s="1"/>
  <c r="AN24" i="4" s="1"/>
  <c r="AK24" i="4"/>
  <c r="CZ73" i="1"/>
  <c r="DZ73" i="1"/>
  <c r="AT21" i="4"/>
  <c r="AU21" i="4" s="1"/>
  <c r="AV21" i="4" s="1"/>
  <c r="AS21" i="4"/>
  <c r="DX25" i="1"/>
  <c r="DZ9" i="1"/>
  <c r="CZ9" i="1"/>
  <c r="DX198" i="1"/>
  <c r="CY198" i="1"/>
  <c r="CY202" i="1"/>
  <c r="DX202" i="1"/>
  <c r="CV99" i="1"/>
  <c r="DR99" i="1"/>
  <c r="DR137" i="1"/>
  <c r="CV137" i="1"/>
  <c r="E30" i="4"/>
  <c r="F30" i="4"/>
  <c r="G30" i="4" s="1"/>
  <c r="H30" i="4" s="1"/>
  <c r="CX190" i="1"/>
  <c r="DV190" i="1"/>
  <c r="AU33" i="4"/>
  <c r="AV33" i="4" s="1"/>
  <c r="AS33" i="4"/>
  <c r="CZ43" i="1"/>
  <c r="DZ43" i="1"/>
  <c r="CZ102" i="1"/>
  <c r="DZ102" i="1"/>
  <c r="AA39" i="4"/>
  <c r="AC39" i="4" s="1"/>
  <c r="CV63" i="1"/>
  <c r="DR63" i="1"/>
  <c r="CV128" i="1"/>
  <c r="DR128" i="1"/>
  <c r="CV6" i="1"/>
  <c r="DR6" i="1"/>
  <c r="CV89" i="1"/>
  <c r="DR89" i="1"/>
  <c r="CZ72" i="1"/>
  <c r="DZ72" i="1"/>
  <c r="AM62" i="4"/>
  <c r="AF62" i="4"/>
  <c r="DZ21" i="1"/>
  <c r="CZ21" i="1"/>
  <c r="AC25" i="4"/>
  <c r="AD25" i="4"/>
  <c r="AE25" i="4" s="1"/>
  <c r="AF25" i="4" s="1"/>
  <c r="CZ121" i="1"/>
  <c r="DZ121" i="1"/>
  <c r="DX193" i="1"/>
  <c r="CY193" i="1"/>
  <c r="CL103" i="1"/>
  <c r="BH98" i="1"/>
  <c r="BH99" i="1"/>
  <c r="BH95" i="1"/>
  <c r="BH89" i="1"/>
  <c r="BH93" i="1"/>
  <c r="BH92" i="1"/>
  <c r="BH97" i="1"/>
  <c r="BH83" i="1"/>
  <c r="BH103" i="1" s="1"/>
  <c r="BH87" i="1"/>
  <c r="BH94" i="1"/>
  <c r="BH91" i="1"/>
  <c r="BH88" i="1"/>
  <c r="BH100" i="1"/>
  <c r="DR141" i="1"/>
  <c r="CV141" i="1"/>
  <c r="BH85" i="1"/>
  <c r="DV191" i="1"/>
  <c r="CX191" i="1"/>
  <c r="DZ42" i="1"/>
  <c r="CZ42" i="1"/>
  <c r="AD22" i="4"/>
  <c r="AE22" i="4" s="1"/>
  <c r="AF22" i="4" s="1"/>
  <c r="AC22" i="4"/>
  <c r="CZ101" i="1"/>
  <c r="DZ101" i="1"/>
  <c r="AA38" i="4"/>
  <c r="AD38" i="4" s="1"/>
  <c r="CL77" i="1"/>
  <c r="BH68" i="1"/>
  <c r="BH73" i="1"/>
  <c r="BH71" i="1"/>
  <c r="BH63" i="1"/>
  <c r="BH65" i="1"/>
  <c r="BH62" i="1"/>
  <c r="BH67" i="1"/>
  <c r="BH69" i="1"/>
  <c r="BH61" i="1"/>
  <c r="BH57" i="1"/>
  <c r="BH72" i="1"/>
  <c r="BH66" i="1"/>
  <c r="BH76" i="1"/>
  <c r="CV121" i="1"/>
  <c r="DR121" i="1"/>
  <c r="F23" i="4"/>
  <c r="G23" i="4" s="1"/>
  <c r="H23" i="4" s="1"/>
  <c r="E23" i="4"/>
  <c r="CV22" i="1"/>
  <c r="DR22" i="1"/>
  <c r="CV73" i="1"/>
  <c r="DR73" i="1"/>
  <c r="AT20" i="4"/>
  <c r="AU20" i="4" s="1"/>
  <c r="AV20" i="4" s="1"/>
  <c r="AS20" i="4"/>
  <c r="N28" i="4"/>
  <c r="O28" i="4" s="1"/>
  <c r="P28" i="4" s="1"/>
  <c r="M28" i="4"/>
  <c r="CZ71" i="1"/>
  <c r="DZ71" i="1"/>
  <c r="F32" i="4"/>
  <c r="G32" i="4" s="1"/>
  <c r="H32" i="4" s="1"/>
  <c r="E32" i="4"/>
  <c r="DZ10" i="1"/>
  <c r="CZ10" i="1"/>
  <c r="CZ120" i="1"/>
  <c r="DZ120" i="1"/>
  <c r="AM67" i="4"/>
  <c r="AF67" i="4"/>
  <c r="DX192" i="1"/>
  <c r="CY192" i="1"/>
  <c r="CV92" i="1"/>
  <c r="DR92" i="1"/>
  <c r="CV140" i="1"/>
  <c r="DR140" i="1"/>
  <c r="CX204" i="1"/>
  <c r="DV204" i="1"/>
  <c r="BH102" i="1"/>
  <c r="DZ41" i="1"/>
  <c r="CZ41" i="1"/>
  <c r="AU34" i="4"/>
  <c r="AV34" i="4" s="1"/>
  <c r="AS34" i="4"/>
  <c r="CZ100" i="1"/>
  <c r="DZ100" i="1"/>
  <c r="AA37" i="4"/>
  <c r="AD37" i="4" s="1"/>
  <c r="DR68" i="1"/>
  <c r="CV68" i="1"/>
  <c r="DR110" i="1"/>
  <c r="CV110" i="1"/>
  <c r="DR13" i="1"/>
  <c r="CV13" i="1"/>
  <c r="AT22" i="4"/>
  <c r="AU22" i="4" s="1"/>
  <c r="AV22" i="4" s="1"/>
  <c r="AS22" i="4"/>
  <c r="CZ34" i="1"/>
  <c r="K35" i="4"/>
  <c r="N35" i="4" s="1"/>
  <c r="DZ34" i="1"/>
  <c r="CZ65" i="1"/>
  <c r="DZ65" i="1"/>
  <c r="DZ113" i="1"/>
  <c r="CZ113" i="1"/>
  <c r="DV189" i="1"/>
  <c r="CX189" i="1"/>
  <c r="CZ33" i="1"/>
  <c r="DZ33" i="1"/>
  <c r="K34" i="4"/>
  <c r="N34" i="4" s="1"/>
  <c r="CZ11" i="1"/>
  <c r="DZ11" i="1"/>
  <c r="DZ22" i="1"/>
  <c r="CZ22" i="1"/>
  <c r="CZ119" i="1"/>
  <c r="DZ119" i="1"/>
  <c r="AT18" i="4"/>
  <c r="AU18" i="4" s="1"/>
  <c r="AV18" i="4" s="1"/>
  <c r="AS18" i="4"/>
  <c r="DX201" i="1"/>
  <c r="CY201" i="1"/>
  <c r="CV86" i="1"/>
  <c r="DR86" i="1"/>
  <c r="DN25" i="1"/>
  <c r="DR151" i="1"/>
  <c r="CV151" i="1"/>
  <c r="DZ40" i="1"/>
  <c r="CZ40" i="1"/>
  <c r="DZ99" i="1"/>
  <c r="CZ99" i="1"/>
  <c r="CV57" i="1"/>
  <c r="DR57" i="1"/>
  <c r="CV115" i="1"/>
  <c r="DR115" i="1"/>
  <c r="BH126" i="1"/>
  <c r="CV17" i="1"/>
  <c r="DR17" i="1"/>
  <c r="DZ69" i="1"/>
  <c r="CZ69" i="1"/>
  <c r="CZ23" i="1"/>
  <c r="DZ23" i="1"/>
  <c r="CZ118" i="1"/>
  <c r="DZ118" i="1"/>
  <c r="DX188" i="1"/>
  <c r="CY188" i="1"/>
  <c r="DR84" i="1"/>
  <c r="CV84" i="1"/>
  <c r="U24" i="4"/>
  <c r="V24" i="4"/>
  <c r="W24" i="4" s="1"/>
  <c r="X24" i="4" s="1"/>
  <c r="CV152" i="1"/>
  <c r="DR152" i="1"/>
  <c r="DV192" i="1"/>
  <c r="CX192" i="1"/>
  <c r="CZ39" i="1"/>
  <c r="DZ39" i="1"/>
  <c r="DZ98" i="1"/>
  <c r="CZ98" i="1"/>
  <c r="CV72" i="1"/>
  <c r="DR72" i="1"/>
  <c r="DR118" i="1"/>
  <c r="CV118" i="1"/>
  <c r="CV15" i="1"/>
  <c r="DR15" i="1"/>
  <c r="M29" i="4"/>
  <c r="N29" i="4"/>
  <c r="O29" i="4" s="1"/>
  <c r="P29" i="4" s="1"/>
  <c r="DZ68" i="1"/>
  <c r="CZ68" i="1"/>
  <c r="AM66" i="4"/>
  <c r="AF66" i="4"/>
  <c r="BG25" i="1"/>
  <c r="CZ25" i="1" s="1"/>
  <c r="CZ5" i="1"/>
  <c r="DZ5" i="1"/>
  <c r="DZ117" i="1"/>
  <c r="CZ117" i="1"/>
  <c r="DX197" i="1"/>
  <c r="CY197" i="1"/>
  <c r="CV93" i="1"/>
  <c r="DR93" i="1"/>
  <c r="DR135" i="1"/>
  <c r="CV135" i="1"/>
  <c r="V21" i="4"/>
  <c r="W21" i="4" s="1"/>
  <c r="X21" i="4" s="1"/>
  <c r="U21" i="4"/>
  <c r="E31" i="4"/>
  <c r="F31" i="4"/>
  <c r="G31" i="4" s="1"/>
  <c r="H31" i="4" s="1"/>
  <c r="CX202" i="1"/>
  <c r="DV202" i="1"/>
  <c r="CZ37" i="1"/>
  <c r="DZ37" i="1"/>
  <c r="DZ97" i="1"/>
  <c r="CZ97" i="1"/>
  <c r="CV62" i="1"/>
  <c r="DR62" i="1"/>
  <c r="F19" i="4"/>
  <c r="G19" i="4" s="1"/>
  <c r="H19" i="4" s="1"/>
  <c r="E19" i="4"/>
  <c r="EB7" i="1"/>
  <c r="DA7" i="1"/>
  <c r="DR123" i="1"/>
  <c r="CV123" i="1"/>
  <c r="BH110" i="1"/>
  <c r="CV24" i="1"/>
  <c r="DR24" i="1"/>
  <c r="CY191" i="1"/>
  <c r="DX191" i="1"/>
  <c r="CZ93" i="1"/>
  <c r="DZ93" i="1"/>
  <c r="AL19" i="4"/>
  <c r="AM19" i="4" s="1"/>
  <c r="AN19" i="4" s="1"/>
  <c r="AK19" i="4"/>
  <c r="AD21" i="4"/>
  <c r="AE21" i="4" s="1"/>
  <c r="AF21" i="4" s="1"/>
  <c r="AC21" i="4"/>
  <c r="AD28" i="4"/>
  <c r="AE28" i="4" s="1"/>
  <c r="AF28" i="4" s="1"/>
  <c r="AC28" i="4"/>
  <c r="AC30" i="4"/>
  <c r="AD30" i="4"/>
  <c r="AE30" i="4" s="1"/>
  <c r="AF30" i="4" s="1"/>
  <c r="CZ67" i="1"/>
  <c r="DZ67" i="1"/>
  <c r="CV83" i="1"/>
  <c r="DR83" i="1"/>
  <c r="DV195" i="1"/>
  <c r="CX195" i="1"/>
  <c r="CZ36" i="1"/>
  <c r="DZ36" i="1"/>
  <c r="DR59" i="1"/>
  <c r="CV59" i="1"/>
  <c r="BH58" i="1"/>
  <c r="DR109" i="1"/>
  <c r="CV109" i="1"/>
  <c r="E29" i="4"/>
  <c r="F29" i="4"/>
  <c r="G29" i="4" s="1"/>
  <c r="H29" i="4" s="1"/>
  <c r="CZ66" i="1"/>
  <c r="DZ66" i="1"/>
  <c r="CZ24" i="1"/>
  <c r="DZ24" i="1"/>
  <c r="DZ115" i="1"/>
  <c r="CZ115" i="1"/>
  <c r="CY204" i="1"/>
  <c r="DX204" i="1"/>
  <c r="CV100" i="1"/>
  <c r="DR100" i="1"/>
  <c r="F21" i="4"/>
  <c r="G21" i="4" s="1"/>
  <c r="H21" i="4" s="1"/>
  <c r="E21" i="4"/>
  <c r="DX77" i="1"/>
  <c r="DR153" i="1"/>
  <c r="CV153" i="1"/>
  <c r="CX206" i="1"/>
  <c r="DV206" i="1"/>
  <c r="CZ35" i="1"/>
  <c r="DZ35" i="1"/>
  <c r="CZ95" i="1"/>
  <c r="DZ95" i="1"/>
  <c r="DR58" i="1"/>
  <c r="CV58" i="1"/>
  <c r="V22" i="4"/>
  <c r="W22" i="4" s="1"/>
  <c r="X22" i="4" s="1"/>
  <c r="U22" i="4"/>
  <c r="CV124" i="1"/>
  <c r="DR124" i="1"/>
  <c r="DR8" i="1"/>
  <c r="CV8" i="1"/>
  <c r="CL25" i="1"/>
  <c r="BH17" i="1"/>
  <c r="BH5" i="1"/>
  <c r="BH15" i="1"/>
  <c r="BH21" i="1"/>
  <c r="BH16" i="1"/>
  <c r="BH23" i="1"/>
  <c r="BH13" i="1"/>
  <c r="BH22" i="1"/>
  <c r="BH9" i="1"/>
  <c r="BH11" i="1"/>
  <c r="BH10" i="1"/>
  <c r="BH14" i="1"/>
  <c r="BH24" i="1"/>
  <c r="AD65" i="4" l="1"/>
  <c r="AE65" i="4" s="1"/>
  <c r="AC65" i="4"/>
  <c r="DV207" i="1"/>
  <c r="BG207" i="1"/>
  <c r="CZ207" i="1" s="1"/>
  <c r="DX207" i="1"/>
  <c r="V36" i="4"/>
  <c r="DZ51" i="1"/>
  <c r="EB39" i="1"/>
  <c r="DA36" i="1"/>
  <c r="DA47" i="1"/>
  <c r="DA37" i="1"/>
  <c r="DR51" i="1"/>
  <c r="DR103" i="1"/>
  <c r="DZ129" i="1"/>
  <c r="DR129" i="1"/>
  <c r="DR155" i="1"/>
  <c r="DA49" i="1"/>
  <c r="DZ103" i="1"/>
  <c r="DZ155" i="1"/>
  <c r="DA48" i="1"/>
  <c r="EB45" i="1"/>
  <c r="DA35" i="1"/>
  <c r="BH51" i="1"/>
  <c r="DA51" i="1" s="1"/>
  <c r="DA31" i="1"/>
  <c r="DA43" i="1"/>
  <c r="EB42" i="1"/>
  <c r="DA6" i="1"/>
  <c r="EB41" i="1"/>
  <c r="DA34" i="1"/>
  <c r="EB50" i="1"/>
  <c r="DA33" i="1"/>
  <c r="N36" i="4"/>
  <c r="O36" i="4" s="1"/>
  <c r="P36" i="4" s="1"/>
  <c r="AS38" i="4"/>
  <c r="AD36" i="4"/>
  <c r="AE36" i="4" s="1"/>
  <c r="AF36" i="4" s="1"/>
  <c r="AL36" i="4"/>
  <c r="AM36" i="4" s="1"/>
  <c r="AN36" i="4" s="1"/>
  <c r="AS35" i="4"/>
  <c r="EB137" i="1"/>
  <c r="EB111" i="1"/>
  <c r="EB128" i="1"/>
  <c r="E36" i="4"/>
  <c r="DA154" i="1"/>
  <c r="DA18" i="1"/>
  <c r="AS36" i="4"/>
  <c r="AT36" i="4"/>
  <c r="AU36" i="4" s="1"/>
  <c r="AV36" i="4" s="1"/>
  <c r="AS37" i="4"/>
  <c r="DA75" i="1"/>
  <c r="EB59" i="1"/>
  <c r="EB74" i="1"/>
  <c r="DA12" i="1"/>
  <c r="EB8" i="1"/>
  <c r="DA86" i="1"/>
  <c r="DA101" i="1"/>
  <c r="DA152" i="1"/>
  <c r="DR25" i="1"/>
  <c r="DA139" i="1"/>
  <c r="EB139" i="1"/>
  <c r="DA143" i="1"/>
  <c r="EB143" i="1"/>
  <c r="EB13" i="1"/>
  <c r="DA13" i="1"/>
  <c r="EB72" i="1"/>
  <c r="DA72" i="1"/>
  <c r="EB93" i="1"/>
  <c r="DA93" i="1"/>
  <c r="EB58" i="1"/>
  <c r="DA58" i="1"/>
  <c r="DZ25" i="1"/>
  <c r="EB102" i="1"/>
  <c r="DA102" i="1"/>
  <c r="EB89" i="1"/>
  <c r="DA89" i="1"/>
  <c r="EB23" i="1"/>
  <c r="DA23" i="1"/>
  <c r="EB95" i="1"/>
  <c r="DA95" i="1"/>
  <c r="CZ195" i="1"/>
  <c r="DZ195" i="1"/>
  <c r="AM35" i="4"/>
  <c r="AN35" i="4" s="1"/>
  <c r="AK35" i="4"/>
  <c r="EB16" i="1"/>
  <c r="DA16" i="1"/>
  <c r="O34" i="4"/>
  <c r="P34" i="4" s="1"/>
  <c r="M34" i="4"/>
  <c r="DA57" i="1"/>
  <c r="BH77" i="1"/>
  <c r="DA77" i="1" s="1"/>
  <c r="EB57" i="1"/>
  <c r="DA99" i="1"/>
  <c r="EB99" i="1"/>
  <c r="EB127" i="1"/>
  <c r="DA127" i="1"/>
  <c r="DZ77" i="1"/>
  <c r="AM38" i="4"/>
  <c r="AN38" i="4" s="1"/>
  <c r="AK38" i="4"/>
  <c r="DA141" i="1"/>
  <c r="EB141" i="1"/>
  <c r="EB21" i="1"/>
  <c r="DA21" i="1"/>
  <c r="EB61" i="1"/>
  <c r="DA61" i="1"/>
  <c r="EB119" i="1"/>
  <c r="DA119" i="1"/>
  <c r="EB138" i="1"/>
  <c r="DA138" i="1"/>
  <c r="AE34" i="4"/>
  <c r="AF34" i="4" s="1"/>
  <c r="AC34" i="4"/>
  <c r="EB144" i="1"/>
  <c r="DA144" i="1"/>
  <c r="DZ193" i="1"/>
  <c r="CZ193" i="1"/>
  <c r="EB92" i="1"/>
  <c r="DA92" i="1"/>
  <c r="EB15" i="1"/>
  <c r="DA15" i="1"/>
  <c r="EB98" i="1"/>
  <c r="DA98" i="1"/>
  <c r="EB109" i="1"/>
  <c r="EB129" i="1" s="1"/>
  <c r="DA109" i="1"/>
  <c r="BH129" i="1"/>
  <c r="DA129" i="1" s="1"/>
  <c r="EB146" i="1"/>
  <c r="DA146" i="1"/>
  <c r="DZ192" i="1"/>
  <c r="CZ192" i="1"/>
  <c r="F38" i="4"/>
  <c r="G38" i="4" s="1"/>
  <c r="H38" i="4" s="1"/>
  <c r="E38" i="4"/>
  <c r="EB9" i="1"/>
  <c r="DA9" i="1"/>
  <c r="CZ197" i="1"/>
  <c r="DZ197" i="1"/>
  <c r="CZ196" i="1"/>
  <c r="DZ196" i="1"/>
  <c r="EB5" i="1"/>
  <c r="DA5" i="1"/>
  <c r="BH25" i="1"/>
  <c r="DA25" i="1" s="1"/>
  <c r="F37" i="4"/>
  <c r="G37" i="4" s="1"/>
  <c r="H37" i="4" s="1"/>
  <c r="E37" i="4"/>
  <c r="EB110" i="1"/>
  <c r="DA110" i="1"/>
  <c r="EB69" i="1"/>
  <c r="DA69" i="1"/>
  <c r="EB118" i="1"/>
  <c r="DA118" i="1"/>
  <c r="F35" i="4"/>
  <c r="G35" i="4" s="1"/>
  <c r="H35" i="4" s="1"/>
  <c r="E35" i="4"/>
  <c r="DA147" i="1"/>
  <c r="EB147" i="1"/>
  <c r="DZ191" i="1"/>
  <c r="CZ191" i="1"/>
  <c r="DA17" i="1"/>
  <c r="EB17" i="1"/>
  <c r="EB67" i="1"/>
  <c r="DA67" i="1"/>
  <c r="EB113" i="1"/>
  <c r="DA113" i="1"/>
  <c r="AE33" i="4"/>
  <c r="AF33" i="4" s="1"/>
  <c r="AC33" i="4"/>
  <c r="F34" i="4"/>
  <c r="G34" i="4" s="1"/>
  <c r="H34" i="4" s="1"/>
  <c r="E34" i="4"/>
  <c r="DA149" i="1"/>
  <c r="EB149" i="1"/>
  <c r="DZ190" i="1"/>
  <c r="CZ190" i="1"/>
  <c r="EB126" i="1"/>
  <c r="DA126" i="1"/>
  <c r="DA62" i="1"/>
  <c r="EB62" i="1"/>
  <c r="EB85" i="1"/>
  <c r="DA85" i="1"/>
  <c r="EB123" i="1"/>
  <c r="DA123" i="1"/>
  <c r="EB140" i="1"/>
  <c r="DA140" i="1"/>
  <c r="W35" i="4"/>
  <c r="X35" i="4" s="1"/>
  <c r="U35" i="4"/>
  <c r="DZ189" i="1"/>
  <c r="CZ189" i="1"/>
  <c r="AM33" i="4"/>
  <c r="AN33" i="4" s="1"/>
  <c r="AK33" i="4"/>
  <c r="EB65" i="1"/>
  <c r="DA65" i="1"/>
  <c r="EB115" i="1"/>
  <c r="DA115" i="1"/>
  <c r="AE35" i="4"/>
  <c r="AF35" i="4" s="1"/>
  <c r="AC35" i="4"/>
  <c r="DA151" i="1"/>
  <c r="EB151" i="1"/>
  <c r="DZ188" i="1"/>
  <c r="CZ188" i="1"/>
  <c r="EB63" i="1"/>
  <c r="DA63" i="1"/>
  <c r="W37" i="4"/>
  <c r="X37" i="4" s="1"/>
  <c r="U37" i="4"/>
  <c r="EB145" i="1"/>
  <c r="DA145" i="1"/>
  <c r="W34" i="4"/>
  <c r="X34" i="4" s="1"/>
  <c r="U34" i="4"/>
  <c r="CZ187" i="1"/>
  <c r="DZ187" i="1"/>
  <c r="EB66" i="1"/>
  <c r="DA66" i="1"/>
  <c r="EB71" i="1"/>
  <c r="DA71" i="1"/>
  <c r="EB100" i="1"/>
  <c r="DA100" i="1"/>
  <c r="EB150" i="1"/>
  <c r="DA150" i="1"/>
  <c r="CZ206" i="1"/>
  <c r="DZ206" i="1"/>
  <c r="DA73" i="1"/>
  <c r="EB73" i="1"/>
  <c r="EB88" i="1"/>
  <c r="DA88" i="1"/>
  <c r="AM37" i="4"/>
  <c r="AN37" i="4" s="1"/>
  <c r="AK37" i="4"/>
  <c r="O37" i="4"/>
  <c r="P37" i="4" s="1"/>
  <c r="M37" i="4"/>
  <c r="CZ205" i="1"/>
  <c r="DZ205" i="1"/>
  <c r="EB24" i="1"/>
  <c r="DA24" i="1"/>
  <c r="EB68" i="1"/>
  <c r="DA68" i="1"/>
  <c r="EB91" i="1"/>
  <c r="DA91" i="1"/>
  <c r="EB120" i="1"/>
  <c r="DA120" i="1"/>
  <c r="W38" i="4"/>
  <c r="X38" i="4" s="1"/>
  <c r="U38" i="4"/>
  <c r="W33" i="4"/>
  <c r="X33" i="4" s="1"/>
  <c r="U33" i="4"/>
  <c r="O38" i="4"/>
  <c r="P38" i="4" s="1"/>
  <c r="M38" i="4"/>
  <c r="DZ204" i="1"/>
  <c r="CZ204" i="1"/>
  <c r="EB14" i="1"/>
  <c r="DA14" i="1"/>
  <c r="DR77" i="1"/>
  <c r="AE37" i="4"/>
  <c r="AF37" i="4" s="1"/>
  <c r="AC37" i="4"/>
  <c r="EB94" i="1"/>
  <c r="DA94" i="1"/>
  <c r="DA125" i="1"/>
  <c r="EB125" i="1"/>
  <c r="DZ203" i="1"/>
  <c r="CZ203" i="1"/>
  <c r="O33" i="4"/>
  <c r="P33" i="4" s="1"/>
  <c r="M33" i="4"/>
  <c r="DA76" i="1"/>
  <c r="EB76" i="1"/>
  <c r="CZ198" i="1"/>
  <c r="DZ198" i="1"/>
  <c r="EB10" i="1"/>
  <c r="DA10" i="1"/>
  <c r="EB87" i="1"/>
  <c r="DA87" i="1"/>
  <c r="EB114" i="1"/>
  <c r="DA114" i="1"/>
  <c r="DZ202" i="1"/>
  <c r="CZ202" i="1"/>
  <c r="AM34" i="4"/>
  <c r="AN34" i="4" s="1"/>
  <c r="AK34" i="4"/>
  <c r="EB22" i="1"/>
  <c r="DA22" i="1"/>
  <c r="DA135" i="1"/>
  <c r="EB135" i="1"/>
  <c r="EB155" i="1" s="1"/>
  <c r="BH155" i="1"/>
  <c r="DA155" i="1" s="1"/>
  <c r="DA83" i="1"/>
  <c r="DA103" i="1"/>
  <c r="EB83" i="1"/>
  <c r="EB103" i="1" s="1"/>
  <c r="EB117" i="1"/>
  <c r="DA117" i="1"/>
  <c r="EB153" i="1"/>
  <c r="DA153" i="1"/>
  <c r="CZ201" i="1"/>
  <c r="DZ201" i="1"/>
  <c r="EB11" i="1"/>
  <c r="DA11" i="1"/>
  <c r="O35" i="4"/>
  <c r="P35" i="4" s="1"/>
  <c r="M35" i="4"/>
  <c r="AE38" i="4"/>
  <c r="AF38" i="4" s="1"/>
  <c r="AC38" i="4"/>
  <c r="EB121" i="1"/>
  <c r="DA121" i="1"/>
  <c r="EB97" i="1"/>
  <c r="DA97" i="1"/>
  <c r="EB124" i="1"/>
  <c r="DA124" i="1"/>
  <c r="F33" i="4"/>
  <c r="G33" i="4" s="1"/>
  <c r="H33" i="4" s="1"/>
  <c r="E33" i="4"/>
  <c r="CZ199" i="1"/>
  <c r="DZ199" i="1"/>
  <c r="AF65" i="4" l="1"/>
  <c r="AM65" i="4"/>
  <c r="DZ207" i="1"/>
  <c r="EB77" i="1"/>
  <c r="EB25" i="1"/>
  <c r="G188" i="1" l="1"/>
  <c r="I188" i="1" s="1"/>
  <c r="G189" i="1"/>
  <c r="I189" i="1" s="1"/>
  <c r="G190" i="1"/>
  <c r="I190" i="1" s="1"/>
  <c r="G181" i="1"/>
  <c r="N162" i="1"/>
  <c r="G192" i="1"/>
  <c r="I192" i="1" s="1"/>
  <c r="N163" i="1"/>
  <c r="N164" i="1"/>
  <c r="W168" i="1" l="1"/>
  <c r="W194" i="1" s="1"/>
  <c r="W174" i="1"/>
  <c r="W200" i="1" s="1"/>
  <c r="W167" i="1"/>
  <c r="CE167" i="1" s="1"/>
  <c r="W179" i="1"/>
  <c r="W171" i="1"/>
  <c r="CE171" i="1" s="1"/>
  <c r="W169" i="1"/>
  <c r="W180" i="1"/>
  <c r="W206" i="1" s="1"/>
  <c r="W166" i="1"/>
  <c r="CE166" i="1" s="1"/>
  <c r="W172" i="1"/>
  <c r="W178" i="1"/>
  <c r="W204" i="1" s="1"/>
  <c r="W165" i="1"/>
  <c r="W164" i="1"/>
  <c r="W162" i="1"/>
  <c r="CE162" i="1" s="1"/>
  <c r="W177" i="1"/>
  <c r="W203" i="1" s="1"/>
  <c r="W163" i="1"/>
  <c r="W175" i="1"/>
  <c r="W201" i="1" s="1"/>
  <c r="W161" i="1"/>
  <c r="W176" i="1"/>
  <c r="W202" i="1" s="1"/>
  <c r="W173" i="1"/>
  <c r="W170" i="1"/>
  <c r="CE170" i="1" s="1"/>
  <c r="G207" i="1"/>
  <c r="N189" i="1"/>
  <c r="N190" i="1"/>
  <c r="CE179" i="1" l="1"/>
  <c r="W205" i="1"/>
  <c r="CE205" i="1" s="1"/>
  <c r="CE174" i="1"/>
  <c r="CE168" i="1"/>
  <c r="CE165" i="1"/>
  <c r="W191" i="1"/>
  <c r="W190" i="1"/>
  <c r="CE164" i="1"/>
  <c r="W196" i="1"/>
  <c r="CE173" i="1"/>
  <c r="W199" i="1"/>
  <c r="CE172" i="1"/>
  <c r="W198" i="1"/>
  <c r="CE176" i="1"/>
  <c r="W192" i="1"/>
  <c r="CE161" i="1"/>
  <c r="W187" i="1"/>
  <c r="CE175" i="1"/>
  <c r="W195" i="1"/>
  <c r="CE169" i="1"/>
  <c r="W189" i="1"/>
  <c r="CE163" i="1"/>
  <c r="W197" i="1"/>
  <c r="CE177" i="1"/>
  <c r="W188" i="1"/>
  <c r="W193" i="1"/>
  <c r="N188" i="1"/>
  <c r="CE178" i="1"/>
  <c r="CE180" i="1"/>
  <c r="W181" i="1"/>
  <c r="BA178" i="1" s="1"/>
  <c r="CE194" i="1" l="1"/>
  <c r="CE200" i="1"/>
  <c r="CE188" i="1"/>
  <c r="BA168" i="1"/>
  <c r="AA48" i="4" s="1"/>
  <c r="CE189" i="1"/>
  <c r="BA174" i="1"/>
  <c r="CE202" i="1"/>
  <c r="CE203" i="1"/>
  <c r="CE201" i="1"/>
  <c r="CE196" i="1"/>
  <c r="CE197" i="1"/>
  <c r="CE193" i="1"/>
  <c r="CE198" i="1"/>
  <c r="CE187" i="1"/>
  <c r="CE199" i="1"/>
  <c r="CE191" i="1"/>
  <c r="CE190" i="1"/>
  <c r="CE195" i="1"/>
  <c r="CE192" i="1"/>
  <c r="CE204" i="1"/>
  <c r="CE206" i="1"/>
  <c r="W207" i="1"/>
  <c r="BA170" i="1"/>
  <c r="BA166" i="1"/>
  <c r="BA163" i="1"/>
  <c r="BA176" i="1"/>
  <c r="BA177" i="1"/>
  <c r="BA161" i="1"/>
  <c r="BA165" i="1"/>
  <c r="BA172" i="1"/>
  <c r="BA173" i="1"/>
  <c r="BA169" i="1"/>
  <c r="BA171" i="1"/>
  <c r="BA164" i="1"/>
  <c r="BA167" i="1"/>
  <c r="BA175" i="1"/>
  <c r="BA162" i="1"/>
  <c r="CE181" i="1"/>
  <c r="DN174" i="1" l="1"/>
  <c r="CT174" i="1"/>
  <c r="DN168" i="1"/>
  <c r="CT168" i="1"/>
  <c r="BA181" i="1"/>
  <c r="CT177" i="1"/>
  <c r="DN177" i="1"/>
  <c r="AA51" i="4"/>
  <c r="CT171" i="1"/>
  <c r="DN171" i="1"/>
  <c r="DN172" i="1"/>
  <c r="CT172" i="1"/>
  <c r="DN176" i="1"/>
  <c r="CT176" i="1"/>
  <c r="AA47" i="4"/>
  <c r="DN167" i="1"/>
  <c r="CT167" i="1"/>
  <c r="DN180" i="1"/>
  <c r="CT180" i="1"/>
  <c r="AA54" i="4"/>
  <c r="DN164" i="1"/>
  <c r="CT164" i="1"/>
  <c r="DN165" i="1"/>
  <c r="CT165" i="1"/>
  <c r="DN163" i="1"/>
  <c r="CT163" i="1"/>
  <c r="AA53" i="4"/>
  <c r="DN166" i="1"/>
  <c r="CT166" i="1"/>
  <c r="CT161" i="1"/>
  <c r="DN161" i="1"/>
  <c r="CT179" i="1"/>
  <c r="DN179" i="1"/>
  <c r="AA52" i="4"/>
  <c r="CT162" i="1"/>
  <c r="DN162" i="1"/>
  <c r="CT170" i="1"/>
  <c r="AA50" i="4"/>
  <c r="DN170" i="1"/>
  <c r="DN175" i="1"/>
  <c r="CT175" i="1"/>
  <c r="AA49" i="4"/>
  <c r="DN169" i="1"/>
  <c r="CT169" i="1"/>
  <c r="AA55" i="4"/>
  <c r="CT178" i="1"/>
  <c r="DN178" i="1"/>
  <c r="DN173" i="1"/>
  <c r="CT173" i="1"/>
  <c r="BA193" i="1"/>
  <c r="BA187" i="1"/>
  <c r="BA206" i="1"/>
  <c r="BA190" i="1"/>
  <c r="BA198" i="1"/>
  <c r="BA197" i="1"/>
  <c r="BA191" i="1"/>
  <c r="BA205" i="1"/>
  <c r="BA201" i="1"/>
  <c r="BA202" i="1"/>
  <c r="BA204" i="1"/>
  <c r="BA189" i="1"/>
  <c r="CE207" i="1"/>
  <c r="BA196" i="1"/>
  <c r="BA188" i="1"/>
  <c r="BA195" i="1"/>
  <c r="BA199" i="1"/>
  <c r="BA192" i="1"/>
  <c r="BA203" i="1"/>
  <c r="AD48" i="4"/>
  <c r="CT181" i="1" l="1"/>
  <c r="BA207" i="1"/>
  <c r="CT207" i="1" s="1"/>
  <c r="DN181" i="1"/>
  <c r="DN187" i="1"/>
  <c r="CT187" i="1"/>
  <c r="CT195" i="1"/>
  <c r="DN195" i="1"/>
  <c r="AC54" i="4"/>
  <c r="AD54" i="4"/>
  <c r="AE54" i="4" s="1"/>
  <c r="AD53" i="4"/>
  <c r="AE53" i="4" s="1"/>
  <c r="AC53" i="4"/>
  <c r="CT192" i="1"/>
  <c r="DN192" i="1"/>
  <c r="AD55" i="4"/>
  <c r="AE55" i="4" s="1"/>
  <c r="AC55" i="4"/>
  <c r="AC49" i="4"/>
  <c r="AD49" i="4"/>
  <c r="AE49" i="4" s="1"/>
  <c r="AD51" i="4"/>
  <c r="AE51" i="4" s="1"/>
  <c r="AC51" i="4"/>
  <c r="AC50" i="4"/>
  <c r="AD50" i="4"/>
  <c r="AE50" i="4" s="1"/>
  <c r="DN205" i="1"/>
  <c r="CT205" i="1"/>
  <c r="CT204" i="1"/>
  <c r="DN204" i="1"/>
  <c r="CT202" i="1"/>
  <c r="DN202" i="1"/>
  <c r="CT191" i="1"/>
  <c r="DN191" i="1"/>
  <c r="AC48" i="4"/>
  <c r="AE48" i="4"/>
  <c r="DN203" i="1"/>
  <c r="CT203" i="1"/>
  <c r="CT193" i="1"/>
  <c r="DN193" i="1"/>
  <c r="CT199" i="1"/>
  <c r="DN199" i="1"/>
  <c r="DN201" i="1"/>
  <c r="CT201" i="1"/>
  <c r="CT197" i="1"/>
  <c r="DN197" i="1"/>
  <c r="CT206" i="1"/>
  <c r="DN206" i="1"/>
  <c r="CT188" i="1"/>
  <c r="DN188" i="1"/>
  <c r="CT189" i="1"/>
  <c r="DN189" i="1"/>
  <c r="CT198" i="1"/>
  <c r="DN198" i="1"/>
  <c r="AD52" i="4"/>
  <c r="AE52" i="4" s="1"/>
  <c r="AC52" i="4"/>
  <c r="DN196" i="1"/>
  <c r="CT196" i="1"/>
  <c r="AC47" i="4"/>
  <c r="AD47" i="4"/>
  <c r="AE47" i="4" s="1"/>
  <c r="CT190" i="1"/>
  <c r="DN190" i="1"/>
  <c r="DN207" i="1" l="1"/>
  <c r="AF48" i="4"/>
  <c r="AM48" i="4"/>
  <c r="AM49" i="4"/>
  <c r="AF49" i="4"/>
  <c r="AF53" i="4"/>
  <c r="AM53" i="4"/>
  <c r="AM51" i="4"/>
  <c r="AF51" i="4"/>
  <c r="AM50" i="4"/>
  <c r="AF50" i="4"/>
  <c r="AF54" i="4"/>
  <c r="AM54" i="4"/>
  <c r="AM47" i="4"/>
  <c r="AF47" i="4"/>
  <c r="AM55" i="4"/>
  <c r="AF55" i="4"/>
  <c r="AF52" i="4"/>
  <c r="AM52" i="4"/>
  <c r="H181" i="1"/>
  <c r="N166" i="1"/>
  <c r="N171" i="1"/>
  <c r="N177" i="1"/>
  <c r="N170" i="1"/>
  <c r="N176" i="1"/>
  <c r="N172" i="1"/>
  <c r="N167" i="1"/>
  <c r="N173" i="1"/>
  <c r="N169" i="1"/>
  <c r="N175" i="1"/>
  <c r="X174" i="1" l="1"/>
  <c r="X200" i="1" s="1"/>
  <c r="X168" i="1"/>
  <c r="X194" i="1" s="1"/>
  <c r="X164" i="1"/>
  <c r="X176" i="1"/>
  <c r="X167" i="1"/>
  <c r="X179" i="1"/>
  <c r="X205" i="1" s="1"/>
  <c r="X165" i="1"/>
  <c r="X177" i="1"/>
  <c r="X203" i="1" s="1"/>
  <c r="X169" i="1"/>
  <c r="X180" i="1"/>
  <c r="X206" i="1" s="1"/>
  <c r="X175" i="1"/>
  <c r="X201" i="1" s="1"/>
  <c r="X173" i="1"/>
  <c r="X171" i="1"/>
  <c r="X161" i="1"/>
  <c r="X178" i="1"/>
  <c r="X204" i="1" s="1"/>
  <c r="X163" i="1"/>
  <c r="X162" i="1"/>
  <c r="X172" i="1"/>
  <c r="X170" i="1"/>
  <c r="X166" i="1"/>
  <c r="N195" i="1"/>
  <c r="N201" i="1"/>
  <c r="N198" i="1"/>
  <c r="N193" i="1"/>
  <c r="N199" i="1"/>
  <c r="N203" i="1"/>
  <c r="N196" i="1"/>
  <c r="N202" i="1"/>
  <c r="I181" i="1"/>
  <c r="N181" i="1" s="1"/>
  <c r="N197" i="1"/>
  <c r="H207" i="1"/>
  <c r="CF176" i="1" l="1"/>
  <c r="X202" i="1"/>
  <c r="CF168" i="1"/>
  <c r="Y168" i="1"/>
  <c r="CG168" i="1" s="1"/>
  <c r="CF174" i="1"/>
  <c r="Y174" i="1"/>
  <c r="CG174" i="1" s="1"/>
  <c r="X199" i="1"/>
  <c r="Y173" i="1"/>
  <c r="CF166" i="1"/>
  <c r="X192" i="1"/>
  <c r="Y166" i="1"/>
  <c r="CG166" i="1" s="1"/>
  <c r="Y177" i="1"/>
  <c r="CF165" i="1"/>
  <c r="X191" i="1"/>
  <c r="Y165" i="1"/>
  <c r="Y201" i="1"/>
  <c r="CG201" i="1" s="1"/>
  <c r="Y175" i="1"/>
  <c r="CF175" i="1"/>
  <c r="Y206" i="1"/>
  <c r="CG206" i="1" s="1"/>
  <c r="Y180" i="1"/>
  <c r="AD180" i="1" s="1"/>
  <c r="CL180" i="1" s="1"/>
  <c r="CF173" i="1"/>
  <c r="CF170" i="1"/>
  <c r="X196" i="1"/>
  <c r="Y170" i="1"/>
  <c r="CF169" i="1"/>
  <c r="X195" i="1"/>
  <c r="Y169" i="1"/>
  <c r="CG169" i="1" s="1"/>
  <c r="X198" i="1"/>
  <c r="Y172" i="1"/>
  <c r="CF162" i="1"/>
  <c r="X188" i="1"/>
  <c r="BB168" i="1" s="1"/>
  <c r="Y162" i="1"/>
  <c r="CF177" i="1"/>
  <c r="CF163" i="1"/>
  <c r="X189" i="1"/>
  <c r="BB174" i="1" s="1"/>
  <c r="AA57" i="4" s="1"/>
  <c r="Y163" i="1"/>
  <c r="Y205" i="1"/>
  <c r="CG205" i="1" s="1"/>
  <c r="Y179" i="1"/>
  <c r="CG179" i="1" s="1"/>
  <c r="CF179" i="1"/>
  <c r="Y204" i="1"/>
  <c r="CG204" i="1" s="1"/>
  <c r="Y178" i="1"/>
  <c r="CG178" i="1" s="1"/>
  <c r="CF167" i="1"/>
  <c r="X193" i="1"/>
  <c r="Y167" i="1"/>
  <c r="CF161" i="1"/>
  <c r="X187" i="1"/>
  <c r="Y161" i="1"/>
  <c r="Y202" i="1"/>
  <c r="CG202" i="1" s="1"/>
  <c r="Y176" i="1"/>
  <c r="CF172" i="1"/>
  <c r="CF171" i="1"/>
  <c r="X197" i="1"/>
  <c r="Y171" i="1"/>
  <c r="CG171" i="1" s="1"/>
  <c r="CF164" i="1"/>
  <c r="X190" i="1"/>
  <c r="Y164" i="1"/>
  <c r="X181" i="1"/>
  <c r="BB176" i="1" s="1"/>
  <c r="CU176" i="1" s="1"/>
  <c r="CF180" i="1"/>
  <c r="CF178" i="1"/>
  <c r="DP180" i="1"/>
  <c r="DP179" i="1"/>
  <c r="I207" i="1"/>
  <c r="N207" i="1" s="1"/>
  <c r="N192" i="1"/>
  <c r="AD174" i="1" l="1"/>
  <c r="CF202" i="1"/>
  <c r="AD202" i="1"/>
  <c r="CL202" i="1" s="1"/>
  <c r="DP174" i="1"/>
  <c r="CU174" i="1"/>
  <c r="AD169" i="1"/>
  <c r="CL169" i="1" s="1"/>
  <c r="BB173" i="1"/>
  <c r="DP173" i="1" s="1"/>
  <c r="BH174" i="1"/>
  <c r="CL174" i="1"/>
  <c r="BB161" i="1"/>
  <c r="CU161" i="1" s="1"/>
  <c r="BB175" i="1"/>
  <c r="DP175" i="1" s="1"/>
  <c r="CF200" i="1"/>
  <c r="Y200" i="1"/>
  <c r="CG200" i="1" s="1"/>
  <c r="DP168" i="1"/>
  <c r="CU168" i="1"/>
  <c r="AD168" i="1"/>
  <c r="CF194" i="1"/>
  <c r="Y194" i="1"/>
  <c r="CG194" i="1" s="1"/>
  <c r="O200" i="1"/>
  <c r="O194" i="1"/>
  <c r="Y181" i="1"/>
  <c r="CG180" i="1"/>
  <c r="CF201" i="1"/>
  <c r="AD201" i="1"/>
  <c r="CL201" i="1" s="1"/>
  <c r="BB166" i="1"/>
  <c r="DP166" i="1" s="1"/>
  <c r="BB169" i="1"/>
  <c r="CU169" i="1" s="1"/>
  <c r="BB162" i="1"/>
  <c r="DP162" i="1" s="1"/>
  <c r="BB165" i="1"/>
  <c r="DP165" i="1" s="1"/>
  <c r="AD178" i="1"/>
  <c r="CL178" i="1" s="1"/>
  <c r="AD179" i="1"/>
  <c r="CL179" i="1" s="1"/>
  <c r="BB172" i="1"/>
  <c r="CF205" i="1"/>
  <c r="AD171" i="1"/>
  <c r="CL171" i="1" s="1"/>
  <c r="AD166" i="1"/>
  <c r="CL166" i="1" s="1"/>
  <c r="BB167" i="1"/>
  <c r="CU167" i="1" s="1"/>
  <c r="CF204" i="1"/>
  <c r="CF206" i="1"/>
  <c r="CG176" i="1"/>
  <c r="AD176" i="1"/>
  <c r="CL176" i="1" s="1"/>
  <c r="CF189" i="1"/>
  <c r="Y189" i="1"/>
  <c r="AD167" i="1"/>
  <c r="CL167" i="1" s="1"/>
  <c r="CG167" i="1"/>
  <c r="CF193" i="1"/>
  <c r="Y193" i="1"/>
  <c r="CG193" i="1" s="1"/>
  <c r="CG177" i="1"/>
  <c r="AD177" i="1"/>
  <c r="CL177" i="1" s="1"/>
  <c r="Y203" i="1"/>
  <c r="CG203" i="1" s="1"/>
  <c r="CF203" i="1"/>
  <c r="CG172" i="1"/>
  <c r="AD172" i="1"/>
  <c r="CL172" i="1" s="1"/>
  <c r="CF192" i="1"/>
  <c r="Y192" i="1"/>
  <c r="BB177" i="1"/>
  <c r="AA60" i="4" s="1"/>
  <c r="AD60" i="4" s="1"/>
  <c r="AE60" i="4" s="1"/>
  <c r="BB170" i="1"/>
  <c r="CF190" i="1"/>
  <c r="Y190" i="1"/>
  <c r="CG190" i="1" s="1"/>
  <c r="CF191" i="1"/>
  <c r="Y191" i="1"/>
  <c r="CG191" i="1" s="1"/>
  <c r="CG175" i="1"/>
  <c r="AD175" i="1"/>
  <c r="CL175" i="1" s="1"/>
  <c r="CG173" i="1"/>
  <c r="AD173" i="1"/>
  <c r="CL173" i="1" s="1"/>
  <c r="CG165" i="1"/>
  <c r="AD165" i="1"/>
  <c r="CL165" i="1" s="1"/>
  <c r="CG170" i="1"/>
  <c r="AD170" i="1"/>
  <c r="CL170" i="1" s="1"/>
  <c r="CF196" i="1"/>
  <c r="Y196" i="1"/>
  <c r="CG196" i="1" s="1"/>
  <c r="CF197" i="1"/>
  <c r="Y197" i="1"/>
  <c r="CG197" i="1" s="1"/>
  <c r="AD162" i="1"/>
  <c r="CL162" i="1" s="1"/>
  <c r="CG162" i="1"/>
  <c r="X207" i="1"/>
  <c r="CF207" i="1" s="1"/>
  <c r="CF188" i="1"/>
  <c r="Y188" i="1"/>
  <c r="Y198" i="1"/>
  <c r="CG198" i="1" s="1"/>
  <c r="CF198" i="1"/>
  <c r="CG161" i="1"/>
  <c r="AD161" i="1"/>
  <c r="CL161" i="1" s="1"/>
  <c r="CF181" i="1"/>
  <c r="CG164" i="1"/>
  <c r="AD164" i="1"/>
  <c r="CL164" i="1" s="1"/>
  <c r="CF187" i="1"/>
  <c r="Y187" i="1"/>
  <c r="CG187" i="1" s="1"/>
  <c r="CG163" i="1"/>
  <c r="AD163" i="1"/>
  <c r="CL163" i="1" s="1"/>
  <c r="CF195" i="1"/>
  <c r="Y195" i="1"/>
  <c r="AD195" i="1" s="1"/>
  <c r="Y199" i="1"/>
  <c r="CG199" i="1" s="1"/>
  <c r="CF199" i="1"/>
  <c r="BB178" i="1"/>
  <c r="CU178" i="1" s="1"/>
  <c r="BB164" i="1"/>
  <c r="DP164" i="1" s="1"/>
  <c r="BB171" i="1"/>
  <c r="BB163" i="1"/>
  <c r="DP176" i="1"/>
  <c r="AA59" i="4"/>
  <c r="AD59" i="4" s="1"/>
  <c r="AE59" i="4" s="1"/>
  <c r="AD57" i="4"/>
  <c r="AE57" i="4" s="1"/>
  <c r="CU180" i="1"/>
  <c r="CU179" i="1"/>
  <c r="AD205" i="1"/>
  <c r="CL205" i="1" s="1"/>
  <c r="AD204" i="1"/>
  <c r="CL204" i="1" s="1"/>
  <c r="O188" i="1"/>
  <c r="O207" i="1"/>
  <c r="O189" i="1"/>
  <c r="O187" i="1"/>
  <c r="O191" i="1"/>
  <c r="O205" i="1"/>
  <c r="O206" i="1"/>
  <c r="O190" i="1"/>
  <c r="O204" i="1"/>
  <c r="O193" i="1"/>
  <c r="O198" i="1"/>
  <c r="O195" i="1"/>
  <c r="O196" i="1"/>
  <c r="O203" i="1"/>
  <c r="O199" i="1"/>
  <c r="O202" i="1"/>
  <c r="O197" i="1"/>
  <c r="O201" i="1"/>
  <c r="O192" i="1"/>
  <c r="AD206" i="1"/>
  <c r="BC170" i="1"/>
  <c r="BC177" i="1"/>
  <c r="BC171" i="1"/>
  <c r="BC172" i="1"/>
  <c r="BC167" i="1"/>
  <c r="BC176" i="1" l="1"/>
  <c r="BC164" i="1"/>
  <c r="CU172" i="1"/>
  <c r="DP172" i="1"/>
  <c r="AD194" i="1"/>
  <c r="BH194" i="1" s="1"/>
  <c r="BC180" i="1"/>
  <c r="CU173" i="1"/>
  <c r="AA58" i="4"/>
  <c r="AD58" i="4" s="1"/>
  <c r="AE58" i="4" s="1"/>
  <c r="DP161" i="1"/>
  <c r="AA56" i="4"/>
  <c r="AD56" i="4" s="1"/>
  <c r="AE56" i="4" s="1"/>
  <c r="AF56" i="4" s="1"/>
  <c r="BC178" i="1"/>
  <c r="DR178" i="1" s="1"/>
  <c r="BB181" i="1"/>
  <c r="DA174" i="1"/>
  <c r="EB174" i="1"/>
  <c r="BH168" i="1"/>
  <c r="CL168" i="1"/>
  <c r="CU175" i="1"/>
  <c r="AD191" i="1"/>
  <c r="CL191" i="1" s="1"/>
  <c r="AD200" i="1"/>
  <c r="CG188" i="1"/>
  <c r="BC168" i="1"/>
  <c r="CG189" i="1"/>
  <c r="BC174" i="1"/>
  <c r="BC161" i="1"/>
  <c r="CV161" i="1" s="1"/>
  <c r="BC165" i="1"/>
  <c r="DR165" i="1" s="1"/>
  <c r="BC166" i="1"/>
  <c r="CV166" i="1" s="1"/>
  <c r="BC173" i="1"/>
  <c r="DR173" i="1" s="1"/>
  <c r="BC179" i="1"/>
  <c r="DR179" i="1" s="1"/>
  <c r="BC175" i="1"/>
  <c r="BC163" i="1"/>
  <c r="DR163" i="1" s="1"/>
  <c r="CG181" i="1"/>
  <c r="BC162" i="1"/>
  <c r="CV162" i="1" s="1"/>
  <c r="BC169" i="1"/>
  <c r="DR169" i="1" s="1"/>
  <c r="AD181" i="1"/>
  <c r="BH177" i="1" s="1"/>
  <c r="CU165" i="1"/>
  <c r="CU162" i="1"/>
  <c r="CU166" i="1"/>
  <c r="DP169" i="1"/>
  <c r="AD198" i="1"/>
  <c r="CL198" i="1" s="1"/>
  <c r="DP178" i="1"/>
  <c r="DP177" i="1"/>
  <c r="AD203" i="1"/>
  <c r="CL203" i="1" s="1"/>
  <c r="DP167" i="1"/>
  <c r="AC60" i="4"/>
  <c r="AD196" i="1"/>
  <c r="CL196" i="1" s="1"/>
  <c r="CU177" i="1"/>
  <c r="AD199" i="1"/>
  <c r="CL199" i="1" s="1"/>
  <c r="BB189" i="1"/>
  <c r="DP189" i="1" s="1"/>
  <c r="BB203" i="1"/>
  <c r="DP203" i="1" s="1"/>
  <c r="BB197" i="1"/>
  <c r="CU197" i="1" s="1"/>
  <c r="BB196" i="1"/>
  <c r="DP196" i="1" s="1"/>
  <c r="BB187" i="1"/>
  <c r="BB201" i="1"/>
  <c r="DP201" i="1" s="1"/>
  <c r="BB193" i="1"/>
  <c r="DP193" i="1" s="1"/>
  <c r="BB192" i="1"/>
  <c r="CU192" i="1" s="1"/>
  <c r="BB190" i="1"/>
  <c r="CU190" i="1" s="1"/>
  <c r="BB204" i="1"/>
  <c r="DP204" i="1" s="1"/>
  <c r="BB188" i="1"/>
  <c r="CU188" i="1" s="1"/>
  <c r="BB191" i="1"/>
  <c r="CU191" i="1" s="1"/>
  <c r="BB202" i="1"/>
  <c r="CU202" i="1" s="1"/>
  <c r="CG195" i="1"/>
  <c r="BB205" i="1"/>
  <c r="CU205" i="1" s="1"/>
  <c r="BB199" i="1"/>
  <c r="DP199" i="1" s="1"/>
  <c r="AD193" i="1"/>
  <c r="CL193" i="1" s="1"/>
  <c r="AD187" i="1"/>
  <c r="CL187" i="1" s="1"/>
  <c r="AA61" i="4"/>
  <c r="AC61" i="4" s="1"/>
  <c r="AD189" i="1"/>
  <c r="CL189" i="1" s="1"/>
  <c r="CG192" i="1"/>
  <c r="AD192" i="1"/>
  <c r="CL192" i="1" s="1"/>
  <c r="CU164" i="1"/>
  <c r="Y207" i="1"/>
  <c r="BC206" i="1" s="1"/>
  <c r="AD188" i="1"/>
  <c r="CL188" i="1" s="1"/>
  <c r="BB198" i="1"/>
  <c r="DP198" i="1" s="1"/>
  <c r="BB206" i="1"/>
  <c r="DP206" i="1" s="1"/>
  <c r="DP170" i="1"/>
  <c r="CU170" i="1"/>
  <c r="AD190" i="1"/>
  <c r="CL190" i="1" s="1"/>
  <c r="BB195" i="1"/>
  <c r="CU195" i="1" s="1"/>
  <c r="AD197" i="1"/>
  <c r="CL197" i="1" s="1"/>
  <c r="DP163" i="1"/>
  <c r="CU163" i="1"/>
  <c r="CU171" i="1"/>
  <c r="DP171" i="1"/>
  <c r="AC59" i="4"/>
  <c r="AC57" i="4"/>
  <c r="CV171" i="1"/>
  <c r="DR171" i="1"/>
  <c r="AF57" i="4"/>
  <c r="AM57" i="4"/>
  <c r="DR170" i="1"/>
  <c r="CV170" i="1"/>
  <c r="CL195" i="1"/>
  <c r="AM60" i="4"/>
  <c r="AF60" i="4"/>
  <c r="CL206" i="1"/>
  <c r="DR167" i="1"/>
  <c r="CV167" i="1"/>
  <c r="CV177" i="1"/>
  <c r="DR177" i="1"/>
  <c r="DR172" i="1"/>
  <c r="CV172" i="1"/>
  <c r="AF59" i="4"/>
  <c r="AM59" i="4"/>
  <c r="CV176" i="1" l="1"/>
  <c r="DR176" i="1"/>
  <c r="DR164" i="1"/>
  <c r="CV164" i="1"/>
  <c r="CV180" i="1"/>
  <c r="DR180" i="1"/>
  <c r="DR175" i="1"/>
  <c r="CV175" i="1"/>
  <c r="AM58" i="4"/>
  <c r="AF58" i="4"/>
  <c r="CL194" i="1"/>
  <c r="AC58" i="4"/>
  <c r="CV178" i="1"/>
  <c r="CV163" i="1"/>
  <c r="CV179" i="1"/>
  <c r="DP181" i="1"/>
  <c r="CU181" i="1"/>
  <c r="AM56" i="4"/>
  <c r="AC56" i="4"/>
  <c r="BC181" i="1"/>
  <c r="EB194" i="1"/>
  <c r="DA194" i="1"/>
  <c r="CV165" i="1"/>
  <c r="CV173" i="1"/>
  <c r="DA168" i="1"/>
  <c r="EB168" i="1"/>
  <c r="BH200" i="1"/>
  <c r="CL200" i="1"/>
  <c r="DR174" i="1"/>
  <c r="CV174" i="1"/>
  <c r="DR168" i="1"/>
  <c r="CV168" i="1"/>
  <c r="DR162" i="1"/>
  <c r="DR166" i="1"/>
  <c r="DR161" i="1"/>
  <c r="CU187" i="1"/>
  <c r="BB207" i="1"/>
  <c r="CU207" i="1" s="1"/>
  <c r="BH165" i="1"/>
  <c r="EB165" i="1" s="1"/>
  <c r="BH173" i="1"/>
  <c r="EB173" i="1" s="1"/>
  <c r="BH171" i="1"/>
  <c r="EB171" i="1" s="1"/>
  <c r="BH163" i="1"/>
  <c r="DA163" i="1" s="1"/>
  <c r="CV169" i="1"/>
  <c r="BH176" i="1"/>
  <c r="EB176" i="1" s="1"/>
  <c r="BH169" i="1"/>
  <c r="EB169" i="1" s="1"/>
  <c r="BH172" i="1"/>
  <c r="DA172" i="1" s="1"/>
  <c r="BH166" i="1"/>
  <c r="EB166" i="1" s="1"/>
  <c r="BH180" i="1"/>
  <c r="EB180" i="1" s="1"/>
  <c r="CL181" i="1"/>
  <c r="BH178" i="1"/>
  <c r="EB178" i="1" s="1"/>
  <c r="BH167" i="1"/>
  <c r="DA167" i="1" s="1"/>
  <c r="BH170" i="1"/>
  <c r="EB170" i="1" s="1"/>
  <c r="BH164" i="1"/>
  <c r="DA164" i="1" s="1"/>
  <c r="BH161" i="1"/>
  <c r="DA161" i="1" s="1"/>
  <c r="DA181" i="1" s="1"/>
  <c r="BH162" i="1"/>
  <c r="DA162" i="1" s="1"/>
  <c r="BH179" i="1"/>
  <c r="EB179" i="1" s="1"/>
  <c r="BH175" i="1"/>
  <c r="DA175" i="1" s="1"/>
  <c r="AD61" i="4"/>
  <c r="AE61" i="4" s="1"/>
  <c r="AM61" i="4" s="1"/>
  <c r="CU203" i="1"/>
  <c r="DP195" i="1"/>
  <c r="DP191" i="1"/>
  <c r="CU189" i="1"/>
  <c r="DP188" i="1"/>
  <c r="AD207" i="1"/>
  <c r="DP202" i="1"/>
  <c r="BC190" i="1"/>
  <c r="CV190" i="1" s="1"/>
  <c r="BC203" i="1"/>
  <c r="CV203" i="1" s="1"/>
  <c r="DP197" i="1"/>
  <c r="CU198" i="1"/>
  <c r="DP190" i="1"/>
  <c r="CU201" i="1"/>
  <c r="BC187" i="1"/>
  <c r="CU199" i="1"/>
  <c r="BC189" i="1"/>
  <c r="CV189" i="1" s="1"/>
  <c r="CU193" i="1"/>
  <c r="BC191" i="1"/>
  <c r="CV191" i="1" s="1"/>
  <c r="CU196" i="1"/>
  <c r="CU206" i="1"/>
  <c r="CU204" i="1"/>
  <c r="DP187" i="1"/>
  <c r="DP192" i="1"/>
  <c r="DP205" i="1"/>
  <c r="BC193" i="1"/>
  <c r="DR193" i="1" s="1"/>
  <c r="BC198" i="1"/>
  <c r="CV198" i="1" s="1"/>
  <c r="BC195" i="1"/>
  <c r="DR195" i="1" s="1"/>
  <c r="BC205" i="1"/>
  <c r="DR205" i="1" s="1"/>
  <c r="BC199" i="1"/>
  <c r="DR199" i="1" s="1"/>
  <c r="BC197" i="1"/>
  <c r="CV197" i="1" s="1"/>
  <c r="BC192" i="1"/>
  <c r="CV192" i="1" s="1"/>
  <c r="BC202" i="1"/>
  <c r="CV202" i="1" s="1"/>
  <c r="CG207" i="1"/>
  <c r="BC196" i="1"/>
  <c r="DR196" i="1" s="1"/>
  <c r="BC201" i="1"/>
  <c r="DR201" i="1" s="1"/>
  <c r="BC188" i="1"/>
  <c r="DR188" i="1" s="1"/>
  <c r="BC204" i="1"/>
  <c r="DR204" i="1" s="1"/>
  <c r="DA177" i="1"/>
  <c r="EB177" i="1"/>
  <c r="DR206" i="1"/>
  <c r="CV206" i="1"/>
  <c r="DA165" i="1" l="1"/>
  <c r="DA171" i="1"/>
  <c r="DR181" i="1"/>
  <c r="DP207" i="1"/>
  <c r="EB200" i="1"/>
  <c r="DA200" i="1"/>
  <c r="DA173" i="1"/>
  <c r="CV181" i="1"/>
  <c r="DR187" i="1"/>
  <c r="BC207" i="1"/>
  <c r="CV207" i="1" s="1"/>
  <c r="EB167" i="1"/>
  <c r="EB163" i="1"/>
  <c r="DA178" i="1"/>
  <c r="AE195" i="1"/>
  <c r="AE200" i="1"/>
  <c r="AE194" i="1"/>
  <c r="EB164" i="1"/>
  <c r="EB172" i="1"/>
  <c r="DA169" i="1"/>
  <c r="DA179" i="1"/>
  <c r="DA176" i="1"/>
  <c r="EB161" i="1"/>
  <c r="EB181" i="1" s="1"/>
  <c r="EB162" i="1"/>
  <c r="EB175" i="1"/>
  <c r="DA180" i="1"/>
  <c r="DA166" i="1"/>
  <c r="DA170" i="1"/>
  <c r="BH181" i="1"/>
  <c r="AE187" i="1"/>
  <c r="AE191" i="1"/>
  <c r="AF61" i="4"/>
  <c r="BH198" i="1"/>
  <c r="DA198" i="1" s="1"/>
  <c r="AE201" i="1"/>
  <c r="BH197" i="1"/>
  <c r="DA197" i="1" s="1"/>
  <c r="AE203" i="1"/>
  <c r="BH192" i="1"/>
  <c r="DA192" i="1" s="1"/>
  <c r="CV188" i="1"/>
  <c r="AE204" i="1"/>
  <c r="AE205" i="1"/>
  <c r="BH195" i="1"/>
  <c r="DA195" i="1" s="1"/>
  <c r="AE188" i="1"/>
  <c r="BH188" i="1"/>
  <c r="EB188" i="1" s="1"/>
  <c r="BH187" i="1"/>
  <c r="DA187" i="1" s="1"/>
  <c r="CV193" i="1"/>
  <c r="BH196" i="1"/>
  <c r="DA196" i="1" s="1"/>
  <c r="DR203" i="1"/>
  <c r="AE206" i="1"/>
  <c r="AE202" i="1"/>
  <c r="BH206" i="1"/>
  <c r="EB206" i="1" s="1"/>
  <c r="BH203" i="1"/>
  <c r="DA203" i="1" s="1"/>
  <c r="BH204" i="1"/>
  <c r="DA204" i="1" s="1"/>
  <c r="AE189" i="1"/>
  <c r="AE192" i="1"/>
  <c r="AE190" i="1"/>
  <c r="AE196" i="1"/>
  <c r="CL207" i="1"/>
  <c r="DR190" i="1"/>
  <c r="AE197" i="1"/>
  <c r="BH199" i="1"/>
  <c r="EB199" i="1" s="1"/>
  <c r="BH189" i="1"/>
  <c r="EB189" i="1" s="1"/>
  <c r="AE193" i="1"/>
  <c r="AE199" i="1"/>
  <c r="AE207" i="1"/>
  <c r="BH201" i="1"/>
  <c r="EB201" i="1" s="1"/>
  <c r="BH202" i="1"/>
  <c r="EB202" i="1" s="1"/>
  <c r="BH191" i="1"/>
  <c r="EB191" i="1" s="1"/>
  <c r="BH193" i="1"/>
  <c r="EB193" i="1" s="1"/>
  <c r="BH205" i="1"/>
  <c r="DA205" i="1" s="1"/>
  <c r="AE198" i="1"/>
  <c r="BH190" i="1"/>
  <c r="DA190" i="1" s="1"/>
  <c r="DR189" i="1"/>
  <c r="CV187" i="1"/>
  <c r="DR192" i="1"/>
  <c r="CV204" i="1"/>
  <c r="DR202" i="1"/>
  <c r="DR191" i="1"/>
  <c r="DR197" i="1"/>
  <c r="CV205" i="1"/>
  <c r="CV199" i="1"/>
  <c r="CV201" i="1"/>
  <c r="DR198" i="1"/>
  <c r="CV196" i="1"/>
  <c r="CV195" i="1"/>
  <c r="DR207" i="1" l="1"/>
  <c r="EB192" i="1"/>
  <c r="EB198" i="1"/>
  <c r="EB197" i="1"/>
  <c r="DA188" i="1"/>
  <c r="EB204" i="1"/>
  <c r="EB195" i="1"/>
  <c r="EB196" i="1"/>
  <c r="EB203" i="1"/>
  <c r="BH207" i="1"/>
  <c r="DA207" i="1" s="1"/>
  <c r="EB187" i="1"/>
  <c r="EB207" i="1" s="1"/>
  <c r="DA206" i="1"/>
  <c r="EB205" i="1"/>
  <c r="DA189" i="1"/>
  <c r="DA199" i="1"/>
  <c r="DA201" i="1"/>
  <c r="DA191" i="1"/>
  <c r="DA202" i="1"/>
  <c r="EB190" i="1"/>
  <c r="DA19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Lisa Zorn</author>
  </authors>
  <commentList>
    <comment ref="Q1" authorId="0" shapeId="0" xr:uid="{65A74A71-4992-48AA-92C9-E6E4E6472873}">
      <text>
        <r>
          <rPr>
            <b/>
            <sz val="9"/>
            <color indexed="81"/>
            <rFont val="Tahoma"/>
            <family val="2"/>
          </rPr>
          <t>Lisa Zorn:</t>
        </r>
        <r>
          <rPr>
            <sz val="9"/>
            <color indexed="81"/>
            <rFont val="Tahoma"/>
            <family val="2"/>
          </rPr>
          <t xml:space="preserve">
Note that transit in orange cells are considered reliable because they incorporate on-board surveys and so they are not scaled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Lisa Zorn</author>
  </authors>
  <commentList>
    <comment ref="A1" authorId="0" shapeId="0" xr:uid="{BB57CF21-BA86-47EA-B255-B02E3D9C1BB7}">
      <text>
        <r>
          <rPr>
            <b/>
            <sz val="9"/>
            <color indexed="81"/>
            <rFont val="Tahoma"/>
            <family val="2"/>
          </rPr>
          <t>Lisa Zorn:</t>
        </r>
        <r>
          <rPr>
            <sz val="9"/>
            <color indexed="81"/>
            <rFont val="Tahoma"/>
            <family val="2"/>
          </rPr>
          <t xml:space="preserve">
Source for this:
Box\Modeling and Surveys\Development\Travel Model 1.5\Calibration\OBS_Summaries\OBS_Summaries_TM1.5 v5.xlsx
(https://mtcdrive.box.com/s/r1vco54lsqp7q5hupszmajxwr4z4gja6)
Worksheet: </t>
        </r>
        <r>
          <rPr>
            <b/>
            <sz val="9"/>
            <color indexed="81"/>
            <rFont val="Tahoma"/>
            <family val="2"/>
          </rPr>
          <t>paste_districtFlow</t>
        </r>
        <r>
          <rPr>
            <sz val="9"/>
            <color indexed="81"/>
            <rFont val="Tahoma"/>
            <family val="2"/>
          </rPr>
          <t xml:space="preserve">
Copied 2019.02.25 11:30a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<sst xmlns="http://schemas.openxmlformats.org/spreadsheetml/2006/main" count="8734" uniqueCount="366">
  <si>
    <t>Tour Mode</t>
  </si>
  <si>
    <t>Trip Mode</t>
  </si>
  <si>
    <t>Walk</t>
  </si>
  <si>
    <t>Bike</t>
  </si>
  <si>
    <t>Drive Alone</t>
  </si>
  <si>
    <t>Walk-Local</t>
  </si>
  <si>
    <t>Taxi</t>
  </si>
  <si>
    <t>Total</t>
  </si>
  <si>
    <t>Description</t>
  </si>
  <si>
    <t>Drive Alone tour mode ASC -- shared ride 2</t>
  </si>
  <si>
    <t>Drive Alone tour mode ASC -- shared ride 3+</t>
  </si>
  <si>
    <t>Drive Alone tour mode ASC -- walk</t>
  </si>
  <si>
    <t>Shared Ride 2 tour mode ASC -- shared ride 2</t>
  </si>
  <si>
    <t>Shared Ride 2 tour mode ASC -- shared ride 3+</t>
  </si>
  <si>
    <t>Shared Ride 2 tour mode ASC -- walk</t>
  </si>
  <si>
    <t>Shared Ride 3+ tour mode ASC -- shared ride 2</t>
  </si>
  <si>
    <t>Shared Ride 3+ tour mode ASC -- shared ride 3+</t>
  </si>
  <si>
    <t>Shared Ride 3+ tour mode ASC -- walk</t>
  </si>
  <si>
    <t>Bike tour mode ASC -- walk</t>
  </si>
  <si>
    <t>Walk to Transit tour mode ASC -- light rail</t>
  </si>
  <si>
    <t>Walk to Transit tour mode ASC -- ferry</t>
  </si>
  <si>
    <t>Walk to Transit tour mode ASC -- express bus</t>
  </si>
  <si>
    <t>Walk to Transit tour mode ASC -- heavy rail</t>
  </si>
  <si>
    <t>Walk to Transit tour mode ASC -- commuter rail</t>
  </si>
  <si>
    <t>Walk to Transit tour mode ASC -- shared ride 2</t>
  </si>
  <si>
    <t>Walk to Transit tour mode ASC -- shared ride 3+</t>
  </si>
  <si>
    <t>Walk to Transit tour mode ASC -- walk</t>
  </si>
  <si>
    <t>Drive to Transit tour mode ASC -- light rail (higher b/c loc d-trn skims differ)</t>
  </si>
  <si>
    <t>Drive to Transit tour mode ASC -- ferry</t>
  </si>
  <si>
    <t>Drive to Transit tour mode ASC -- express bus</t>
  </si>
  <si>
    <t>Drive to Transit tour mode ASC -- heavy rail</t>
  </si>
  <si>
    <t>Drive to Transit tour mode ASC -- commuter rail</t>
  </si>
  <si>
    <t>Work</t>
  </si>
  <si>
    <t>Existing Constant</t>
  </si>
  <si>
    <t>Target Share</t>
  </si>
  <si>
    <t>Model Share</t>
  </si>
  <si>
    <t>Deviation</t>
  </si>
  <si>
    <t>Trip Mode Choice Targets</t>
  </si>
  <si>
    <t>Walk-Transit</t>
  </si>
  <si>
    <t>Drive-Transit</t>
  </si>
  <si>
    <t>Drive-Local</t>
  </si>
  <si>
    <t>SR2</t>
  </si>
  <si>
    <t>SR3+</t>
  </si>
  <si>
    <t>Walk-LRT</t>
  </si>
  <si>
    <t>Walk-Ferry</t>
  </si>
  <si>
    <t>Walk-Express</t>
  </si>
  <si>
    <t>Walk-HeavyR</t>
  </si>
  <si>
    <t>Walk-CommR</t>
  </si>
  <si>
    <t>Drive-LRT</t>
  </si>
  <si>
    <t>Drive-Ferry</t>
  </si>
  <si>
    <t>Drive-Express</t>
  </si>
  <si>
    <t>Drive-HeavyR</t>
  </si>
  <si>
    <t>Drive-CommR</t>
  </si>
  <si>
    <t>All Tour Modes</t>
  </si>
  <si>
    <t>All Trip Modes</t>
  </si>
  <si>
    <t>tour_purpose</t>
  </si>
  <si>
    <t>tour_mode</t>
  </si>
  <si>
    <t>trip_mode</t>
  </si>
  <si>
    <t>num_trips</t>
  </si>
  <si>
    <t>atwork_business</t>
  </si>
  <si>
    <t>atwork_eat</t>
  </si>
  <si>
    <t>atwork_maint</t>
  </si>
  <si>
    <t>eatout</t>
  </si>
  <si>
    <t>escort_kids</t>
  </si>
  <si>
    <t>escort_no kids</t>
  </si>
  <si>
    <t>othdiscr</t>
  </si>
  <si>
    <t>othmaint</t>
  </si>
  <si>
    <t>school_grade</t>
  </si>
  <si>
    <t>school_high</t>
  </si>
  <si>
    <t>shopping</t>
  </si>
  <si>
    <t>social</t>
  </si>
  <si>
    <t>university</t>
  </si>
  <si>
    <t>work_high</t>
  </si>
  <si>
    <t>work_low</t>
  </si>
  <si>
    <t>work_med</t>
  </si>
  <si>
    <t>work_very high</t>
  </si>
  <si>
    <t>Purpose Simple</t>
  </si>
  <si>
    <t>Individual At-Work</t>
  </si>
  <si>
    <t>Individual Discretionary</t>
  </si>
  <si>
    <t>Individual Maintenance</t>
  </si>
  <si>
    <t>School</t>
  </si>
  <si>
    <t>Walk-LRF</t>
  </si>
  <si>
    <t>Walk-HeavyRail</t>
  </si>
  <si>
    <t>University</t>
  </si>
  <si>
    <t>Walk-CommRail</t>
  </si>
  <si>
    <t>Drive-LRF</t>
  </si>
  <si>
    <t>Drive-HeavyRail</t>
  </si>
  <si>
    <t>Drive-CommRail</t>
  </si>
  <si>
    <t>TNC-Single</t>
  </si>
  <si>
    <t>TNC-Shared</t>
  </si>
  <si>
    <t>Tour Mode Long</t>
  </si>
  <si>
    <t>Tour Mode Simple</t>
  </si>
  <si>
    <t>Trip Mode Choice Model Results</t>
  </si>
  <si>
    <t>Change of Constant</t>
  </si>
  <si>
    <t>New Constant</t>
  </si>
  <si>
    <t>Joint</t>
  </si>
  <si>
    <t>indiv_joint</t>
  </si>
  <si>
    <t>indiv</t>
  </si>
  <si>
    <t>joint</t>
  </si>
  <si>
    <t>Equivalent IVT</t>
  </si>
  <si>
    <t>Auto tour mode ASC -- shared ride 2 -- Joint Tours</t>
  </si>
  <si>
    <t>Auto tour mode ASC -- shared ride 3+ -- Joint Tours</t>
  </si>
  <si>
    <t>Auto tour mode ASC -- walk -- Joint Tours</t>
  </si>
  <si>
    <t>Bike tour mode ASC -- walk -- Joint Tours</t>
  </si>
  <si>
    <t>Walk to Transit tour mode ASC -- light rail -- Joint Tours</t>
  </si>
  <si>
    <t>Walk to Transit tour mode ASC -- ferry -- Joint Tours</t>
  </si>
  <si>
    <t>Walk to Transit tour mode ASC -- express bus -- Joint Tours</t>
  </si>
  <si>
    <t>Walk to Transit tour mode ASC -- heavy rail -- Joint Tours</t>
  </si>
  <si>
    <t>Walk to Transit tour mode ASC -- commuter rail -- Joint Tours</t>
  </si>
  <si>
    <t>Walk to Transit tour mode ASC -- shared ride 2 -- Joint Tours</t>
  </si>
  <si>
    <t>Walk to Transit tour mode ASC -- shared ride 3+ -- Joint Tours</t>
  </si>
  <si>
    <t>Walk to Transit tour mode ASC -- walk -- Joint Tours</t>
  </si>
  <si>
    <t>Drive to Transit tour mode ASC -- light rail -- Joint Tours</t>
  </si>
  <si>
    <t>Drive to Transit tour mode ASC -- ferry -- Joint Tours</t>
  </si>
  <si>
    <t>Drive to Transit tour mode ASC -- express bus -- Joint Tours</t>
  </si>
  <si>
    <t>Drive to Transit tour mode ASC -- heavy rail -- Joint Tours</t>
  </si>
  <si>
    <t>Drive to Transit tour mode ASC -- commuter rail -- Joint Tours</t>
  </si>
  <si>
    <t>Auto</t>
  </si>
  <si>
    <t>Trip Mode Choice Targets, Scaled to Modeled Tour Mode Total</t>
  </si>
  <si>
    <t>Trip as a Percent of Tour, Model</t>
  </si>
  <si>
    <t>Trip as a Percent of Tour, Target</t>
  </si>
  <si>
    <t xml:space="preserve">Model minus Target, Trip as a Percent of Tour </t>
  </si>
  <si>
    <t>Model minus Target (Scaled to Model Tour Mode Choice Total), Absolute</t>
  </si>
  <si>
    <t>Shares for Graphing</t>
  </si>
  <si>
    <t>Target</t>
  </si>
  <si>
    <t>Model</t>
  </si>
  <si>
    <t>All</t>
  </si>
  <si>
    <t>Drive Alone tour mode ASC -- ride hail</t>
  </si>
  <si>
    <t>Shared Ride 2 tour mode ASC -- ride hail</t>
  </si>
  <si>
    <t>Shared Ride 3+ tour mode ASC -- ride hail</t>
  </si>
  <si>
    <t>Bike tour mode ASC -- ride hail</t>
  </si>
  <si>
    <t>Walk to Transit tour mode ASC -- ride hail</t>
  </si>
  <si>
    <t>Drive to Transit tour mode ASC -- ride hail</t>
  </si>
  <si>
    <t>Ride Hail tour mode ASC -- shared ride 2</t>
  </si>
  <si>
    <t>Ride Hail tour mode ASC -- shared ride 3+</t>
  </si>
  <si>
    <t>Ride Hail tour mode ASC -- walk</t>
  </si>
  <si>
    <t>Ride Hail tour mode ASC -- walk to transit</t>
  </si>
  <si>
    <t>Auto tour mode ASC -- ride hail -- Joint Tours</t>
  </si>
  <si>
    <t>Bike tour mode ASC -- ride hail -- Joint Tours</t>
  </si>
  <si>
    <t>Walk to Transit tour mode ASC -- ride-hail -- Joint Tours</t>
  </si>
  <si>
    <t>Drive to Transit tour mode ASC --ride hail -- Joint Tours</t>
  </si>
  <si>
    <t>Ride Hail tour mode ASC -- shared ride 2 -- Joint Tours</t>
  </si>
  <si>
    <t>Ride Hail tour mode ASC -- shared ride 3+ -- Joint Tours</t>
  </si>
  <si>
    <t>Ride Hail tour mode ASC -- walk -- Joint Tours</t>
  </si>
  <si>
    <t>Ride Hail tour mode ASC -- walk to transit -- Joint Tours</t>
  </si>
  <si>
    <t>Walk tour mode ASC -- ride hail</t>
  </si>
  <si>
    <t>Walk tour mode ASC -- ride hail -- Joint Tours</t>
  </si>
  <si>
    <t>AYY Tour Modes</t>
  </si>
  <si>
    <t>Transit</t>
  </si>
  <si>
    <t>All Purposes</t>
  </si>
  <si>
    <t>KEY</t>
  </si>
  <si>
    <t>BEST_MODE</t>
  </si>
  <si>
    <t>Orig_SD_NAME</t>
  </si>
  <si>
    <t>Dest_SD_NAME</t>
  </si>
  <si>
    <t>trips</t>
  </si>
  <si>
    <t>tourPurpose</t>
  </si>
  <si>
    <t>paste from OBS_District_TripFlows.csv</t>
  </si>
  <si>
    <t>SD_NAME</t>
  </si>
  <si>
    <t>SD</t>
  </si>
  <si>
    <t>Name</t>
  </si>
  <si>
    <t>CR</t>
  </si>
  <si>
    <t>Antioch and Pittsburg</t>
  </si>
  <si>
    <t>produced by create_OBS_Summaries_TM1.5.R</t>
  </si>
  <si>
    <t>Greater Downtown San Francisco</t>
  </si>
  <si>
    <t>Work, work-related</t>
  </si>
  <si>
    <t>EB</t>
  </si>
  <si>
    <t>San Francisco Richmond District</t>
  </si>
  <si>
    <t>University, college</t>
  </si>
  <si>
    <t>FR</t>
  </si>
  <si>
    <t>San Francisco Mission District</t>
  </si>
  <si>
    <t>School, grade school, high school</t>
  </si>
  <si>
    <t>HR</t>
  </si>
  <si>
    <t>San Francisco Sunset District</t>
  </si>
  <si>
    <t>Escorting, shopping, other maintenace</t>
  </si>
  <si>
    <t>LB</t>
  </si>
  <si>
    <t>Daly City and San Bruno</t>
  </si>
  <si>
    <t>Social recreation, eat out, discretionary</t>
  </si>
  <si>
    <t>LR</t>
  </si>
  <si>
    <t>San Mateo and Burlingame</t>
  </si>
  <si>
    <t>At-work</t>
  </si>
  <si>
    <t>Berkeley and Albany</t>
  </si>
  <si>
    <t>Redwood City and Menlo Park</t>
  </si>
  <si>
    <t>Palo Alto and Los Altos</t>
  </si>
  <si>
    <t>Sunnyvale and Mountain View</t>
  </si>
  <si>
    <t>Cupertino and Saratoga</t>
  </si>
  <si>
    <t>mode</t>
  </si>
  <si>
    <t>Central San Jose</t>
  </si>
  <si>
    <t>Milpitas and East San Jose</t>
  </si>
  <si>
    <t>South San Jose</t>
  </si>
  <si>
    <t>Gilroy and Morgan Hill</t>
  </si>
  <si>
    <t>Livermore and Pleasanton</t>
  </si>
  <si>
    <t>Fremont and Union City</t>
  </si>
  <si>
    <t>Hayward and San Leandro</t>
  </si>
  <si>
    <t>Oakland and Alameda</t>
  </si>
  <si>
    <t>Concord and Martinez</t>
  </si>
  <si>
    <t>Richmond and El Cerrito</t>
  </si>
  <si>
    <t>Walnut Creek</t>
  </si>
  <si>
    <t>Danville and San Ramon</t>
  </si>
  <si>
    <t>Vallejo and Benicia</t>
  </si>
  <si>
    <t>Fairfield and Vacaville</t>
  </si>
  <si>
    <t>Napa</t>
  </si>
  <si>
    <t>St Helena</t>
  </si>
  <si>
    <t>Petaluma and Rohnert Park</t>
  </si>
  <si>
    <t>Santa Rosa and Sebastopol</t>
  </si>
  <si>
    <t>Healdsburg and Cloverdale</t>
  </si>
  <si>
    <t>Novato</t>
  </si>
  <si>
    <t>San Rafael</t>
  </si>
  <si>
    <t>Mill Valley and Sausalito</t>
  </si>
  <si>
    <t>Counts</t>
  </si>
  <si>
    <t>Row Percent</t>
  </si>
  <si>
    <t>Column Percent</t>
  </si>
  <si>
    <t>Destination District</t>
  </si>
  <si>
    <t>Trip Format</t>
  </si>
  <si>
    <t>Origin District</t>
  </si>
  <si>
    <t>Select Purpose</t>
  </si>
  <si>
    <t>Purpose ID</t>
  </si>
  <si>
    <t>Total Trips</t>
  </si>
  <si>
    <t>Select View</t>
  </si>
  <si>
    <t>few trips with missing</t>
  </si>
  <si>
    <t>location info not</t>
  </si>
  <si>
    <t>included</t>
  </si>
  <si>
    <t>Tour Mode defined as</t>
  </si>
  <si>
    <t xml:space="preserve"> highest priority mode</t>
  </si>
  <si>
    <t xml:space="preserve"> for the linked trip</t>
  </si>
  <si>
    <t>Onboard Survey Counts</t>
  </si>
  <si>
    <t>Model Trips</t>
  </si>
  <si>
    <t>Primary Mode</t>
  </si>
  <si>
    <t>Model Tours minus Onboard Survey Counts</t>
  </si>
  <si>
    <t>Model minus Onboard Survey Counts (percentage)</t>
  </si>
  <si>
    <t>purpose code</t>
  </si>
  <si>
    <t>atwork</t>
  </si>
  <si>
    <t>ind_disc</t>
  </si>
  <si>
    <t>ind_maint</t>
  </si>
  <si>
    <t>school</t>
  </si>
  <si>
    <t>work</t>
  </si>
  <si>
    <t>mode code</t>
  </si>
  <si>
    <t>Transit Mode</t>
  </si>
  <si>
    <t>CommRail</t>
  </si>
  <si>
    <t>Express</t>
  </si>
  <si>
    <t>Ferry</t>
  </si>
  <si>
    <t>HeavyRail</t>
  </si>
  <si>
    <t>Local</t>
  </si>
  <si>
    <t>LRT</t>
  </si>
  <si>
    <t>key</t>
  </si>
  <si>
    <t>trn_submode</t>
  </si>
  <si>
    <t>orig_SD</t>
  </si>
  <si>
    <t>dest_SD</t>
  </si>
  <si>
    <t>simple_purpose</t>
  </si>
  <si>
    <t>Select Trip Mode</t>
  </si>
  <si>
    <t>num_boards</t>
  </si>
  <si>
    <t>Model Trip Counts</t>
  </si>
  <si>
    <t>1 board</t>
  </si>
  <si>
    <t>2 boards</t>
  </si>
  <si>
    <t>3 boards</t>
  </si>
  <si>
    <t>4 boards</t>
  </si>
  <si>
    <t>5 boards</t>
  </si>
  <si>
    <t>6 boards</t>
  </si>
  <si>
    <t>Access Mode</t>
  </si>
  <si>
    <t>walk</t>
  </si>
  <si>
    <t>pnr</t>
  </si>
  <si>
    <t>knr</t>
  </si>
  <si>
    <t>Line Haul Mode</t>
  </si>
  <si>
    <t>Onboard Survey Linked Trips</t>
  </si>
  <si>
    <t>Local Bus</t>
  </si>
  <si>
    <t>Express Bus</t>
  </si>
  <si>
    <t>Light Rail</t>
  </si>
  <si>
    <t>Heavy Rail</t>
  </si>
  <si>
    <t>Commuter Rail</t>
  </si>
  <si>
    <t>All Access Modes</t>
  </si>
  <si>
    <t>Walk Access and Egress</t>
  </si>
  <si>
    <t>Drive Access or Egress</t>
  </si>
  <si>
    <t>acc</t>
  </si>
  <si>
    <t>egr</t>
  </si>
  <si>
    <t>first_trn_mode_type</t>
  </si>
  <si>
    <t>wlk</t>
  </si>
  <si>
    <t>drv</t>
  </si>
  <si>
    <t>wlk-1</t>
  </si>
  <si>
    <t>wlk-2</t>
  </si>
  <si>
    <t>wlk-3</t>
  </si>
  <si>
    <t>wlk-4</t>
  </si>
  <si>
    <t>wlk-5</t>
  </si>
  <si>
    <t>wlk-6</t>
  </si>
  <si>
    <t>drv-1</t>
  </si>
  <si>
    <t>wlk_drv_numB</t>
  </si>
  <si>
    <t>first_numB</t>
  </si>
  <si>
    <t>Modeled Transit Trips with Transfers: First Transit Mode</t>
  </si>
  <si>
    <t>First Transit Mode</t>
  </si>
  <si>
    <t>Unknown</t>
  </si>
  <si>
    <t>acc-egr-FM-numB</t>
  </si>
  <si>
    <t>Walk-Transit-Walk</t>
  </si>
  <si>
    <t>Drive-Transit-Walk</t>
  </si>
  <si>
    <t>Walk-Transit-Drive</t>
  </si>
  <si>
    <t>drv-2</t>
  </si>
  <si>
    <t>drv-3</t>
  </si>
  <si>
    <t>drv-4</t>
  </si>
  <si>
    <t>drv-5</t>
  </si>
  <si>
    <t>drv-6</t>
  </si>
  <si>
    <t>Source:</t>
  </si>
  <si>
    <t>accessMode</t>
  </si>
  <si>
    <t>drive</t>
  </si>
  <si>
    <t>Select Access Mode</t>
  </si>
  <si>
    <t>trn_access_mode</t>
  </si>
  <si>
    <t>Total-Total-Central San Jose-Palo Alto and Los Altos-Total</t>
  </si>
  <si>
    <t>Total-Total-Central San Jose-Sunnyvale and Mountain View-Total</t>
  </si>
  <si>
    <t>Within San Francisco</t>
  </si>
  <si>
    <t>From San Francisco</t>
  </si>
  <si>
    <t>To San Francisco</t>
  </si>
  <si>
    <t>total</t>
  </si>
  <si>
    <t>Diff - Pct</t>
  </si>
  <si>
    <t>Diff - Absolute</t>
  </si>
  <si>
    <t>Modeled</t>
  </si>
  <si>
    <t>Observed</t>
  </si>
  <si>
    <t>ridehail_mode</t>
  </si>
  <si>
    <t>orig_COUNTY</t>
  </si>
  <si>
    <t>dest_COUNTY</t>
  </si>
  <si>
    <t>taxiWait</t>
  </si>
  <si>
    <t>singleTNCWait</t>
  </si>
  <si>
    <t>sharedTNCWait</t>
  </si>
  <si>
    <t>active</t>
  </si>
  <si>
    <t>TNC Single</t>
  </si>
  <si>
    <t>TNC Shared</t>
  </si>
  <si>
    <t>auto</t>
  </si>
  <si>
    <t>transit</t>
  </si>
  <si>
    <t>Ride-Hail</t>
  </si>
  <si>
    <t>Ride Hail tour mode ASC -- taxi</t>
  </si>
  <si>
    <t>Ride Hail tour mode ASC -- tnc single</t>
  </si>
  <si>
    <t>Ride Hail tour mode ASC -- tnc shared</t>
  </si>
  <si>
    <t>Ride Hail tour mode ASC -- taxi -- Joint Tours</t>
  </si>
  <si>
    <t>Ride Hail tour mode ASC -- tnc single -- Joint Tours</t>
  </si>
  <si>
    <t>Ride Hail tour mode ASC -- tnc shared -- Joint Tours</t>
  </si>
  <si>
    <t>trip_mode_label</t>
  </si>
  <si>
    <t>Drive alone</t>
  </si>
  <si>
    <t>Shared ride 2</t>
  </si>
  <si>
    <t>Shared ride 3+</t>
  </si>
  <si>
    <t>Walk to local bus</t>
  </si>
  <si>
    <t>Walk to express bus</t>
  </si>
  <si>
    <t>Walk to heavy rail</t>
  </si>
  <si>
    <t>Walk to commuter rail</t>
  </si>
  <si>
    <t>Drive to local bus</t>
  </si>
  <si>
    <t>Drive to express bus</t>
  </si>
  <si>
    <t>Drive to heavy rail</t>
  </si>
  <si>
    <t>Drive to commuter rail</t>
  </si>
  <si>
    <t>TNC - single party</t>
  </si>
  <si>
    <t>TNC - shared</t>
  </si>
  <si>
    <t>Walk-LRT/Ferry</t>
  </si>
  <si>
    <t>Drive-LRT/Ferry</t>
  </si>
  <si>
    <t>Walk to ferry</t>
  </si>
  <si>
    <t>Drive to ferry</t>
  </si>
  <si>
    <t>Source: M:/Development/Travel Model One/Calibration/Version 1.7/2023_BATS_Summaries/pipeline_mt_20260821_NoMon_rmo/ctramp_2023/BATS_Summaries/BATS2023_tour_trip_mode_summary_wide_weighted_all.csv</t>
  </si>
  <si>
    <t>Drive to light rail</t>
  </si>
  <si>
    <t>Walk to light rail</t>
  </si>
  <si>
    <t>Source: M:/Development/Travel Model One/Calibration/Version 1.7/2023_BATS_Summaries/pipeline_mt_20261008_NoMon_rmo/ctramp_2023/BATS_Summaries/BATS2023_tour_trip_mode_summary_wide_unweighted_all.csv</t>
  </si>
  <si>
    <t>Walk to light rail or ferry</t>
  </si>
  <si>
    <t>Drive to light rail or ferry</t>
  </si>
  <si>
    <t>Source: M:/Development/Travel Model One/Calibration/Version 1.7/2023_BATS_Summaries/pipeline_mt_20261008_NoMon_rmo/ctramp_2023/BATS_Summaries/BATS2023_tour_trip_mode_summary_wide_weighted_all.csv</t>
  </si>
  <si>
    <t>all - weighted person-trip (adjusted) - dropping for trips not allowed in the corresponding tour mode based on CTRAMP logic</t>
  </si>
  <si>
    <t>all - unweighted</t>
  </si>
  <si>
    <t>all - weighted</t>
  </si>
  <si>
    <t>Source: M:/Development/Travel Model One/Calibration/Version 1.7/2023_BATS_Summaries/pipeline_mt_20261008_NoMon_rmo/ctramp_2023/BATS_Summaries/BATS2023_tour_trip_mode_summary_wide_unweighted_solano_napa.csv</t>
  </si>
  <si>
    <t>solano_napa - unweighted</t>
  </si>
  <si>
    <t>Source: M:/Development/Travel Model One/Calibration/Version 1.7/2023_BATS_Summaries/pipeline_mt_20261008_NoMon_rmo/ctramp_2023/BATS_Summaries/BATS2023_tour_trip_mode_summary_wide_weighted_solano_napa.csv</t>
  </si>
  <si>
    <t>solano_napa - weighted</t>
  </si>
  <si>
    <t>Source: M:/Development/Travel Model One/Calibration/Version 1.7/2023_BATS_Summaries/pipeline_mt_20261008_NoMon_rmo/ctramp_2023/BATS_Summaries/BATS2023_tour_trip_mode_summary_wide_unweighted_north_bay.csv</t>
  </si>
  <si>
    <t>north_bay - unweighted</t>
  </si>
  <si>
    <t>Source: M:/Development/Travel Model One/Calibration/Version 1.7/2023_BATS_Summaries/pipeline_mt_20261008_NoMon_rmo/ctramp_2023/BATS_Summaries/BATS2023_tour_trip_mode_summary_wide_weighted_north_bay.csv</t>
  </si>
  <si>
    <t>north_bay -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</si>
</sst>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(* #,##0_);_(* \(#,##0\);_(* &quot;-&quot;??_);_(@_)"/>
    <numFmt numFmtId="165" formatCode="#,##0.0000_);[Red]\-#,##0.0000_)"/>
    <numFmt numFmtId="166" formatCode="0.0%"/>
    <numFmt numFmtId="167" formatCode="0%;0%;\-"/>
    <numFmt numFmtId="168" formatCode="0.0"/>
    <numFmt numFmtId="169" formatCode="#,##0;#,##0;\-"/>
    <numFmt numFmtId="170" formatCode="#,##0;[Red]\-#,##0"/>
    <numFmt numFmtId="171" formatCode="#,##0;[Red]\-#,##0;\-"/>
    <numFmt numFmtId="172" formatCode="0%;[Red]\-0%;\-"/>
    <numFmt numFmtId="173" formatCode="#,##0;\-#,##0;\-"/>
    <numFmt numFmtId="174" formatCode="0%;\-0%;\-"/>
    <numFmt numFmtId="175" formatCode="0%;[Red]\-0%"/>
    <numFmt numFmtId="176" formatCode="0.0%;[Red]\-0.0%;\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8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9C650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0"/>
      <color rgb="FF262626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color rgb="FFFA7D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4" fillId="9" borderId="19" applyNumberFormat="0" applyAlignment="0" applyProtection="0"/>
    <xf numFmtId="0" fontId="15" fillId="10" borderId="0" applyNumberFormat="0" applyBorder="0" applyAlignment="0" applyProtection="0"/>
    <xf numFmtId="0" fontId="17" fillId="8" borderId="0" applyNumberFormat="0" applyBorder="0" applyAlignment="0" applyProtection="0"/>
  </cellStyleXfs>
  <cellXfs count="311">
    <xf numFmtId="0" fontId="0" fillId="0" borderId="0" xfId="0"/>
    <xf numFmtId="0" fontId="6" fillId="0" borderId="0" xfId="0" applyFont="1"/>
    <xf numFmtId="0" fontId="2" fillId="0" borderId="0" xfId="0" applyFont="1"/>
    <xf numFmtId="49" fontId="8" fillId="0" borderId="0" xfId="0" applyNumberFormat="1" applyFont="1" applyAlignment="1">
      <alignment horizontal="left"/>
    </xf>
    <xf numFmtId="49" fontId="8" fillId="0" borderId="10" xfId="0" applyNumberFormat="1" applyFont="1" applyBorder="1" applyAlignment="1">
      <alignment horizontal="left"/>
    </xf>
    <xf numFmtId="0" fontId="9" fillId="0" borderId="0" xfId="0" applyFont="1"/>
    <xf numFmtId="0" fontId="10" fillId="2" borderId="0" xfId="0" applyFont="1" applyFill="1"/>
    <xf numFmtId="0" fontId="9" fillId="0" borderId="0" xfId="0" applyFont="1" applyAlignment="1">
      <alignment horizontal="center" wrapText="1"/>
    </xf>
    <xf numFmtId="0" fontId="2" fillId="0" borderId="10" xfId="0" applyFont="1" applyBorder="1"/>
    <xf numFmtId="165" fontId="2" fillId="0" borderId="0" xfId="0" applyNumberFormat="1" applyFont="1"/>
    <xf numFmtId="165" fontId="2" fillId="0" borderId="10" xfId="0" applyNumberFormat="1" applyFont="1" applyBorder="1"/>
    <xf numFmtId="0" fontId="11" fillId="3" borderId="0" xfId="0" applyFont="1" applyFill="1"/>
    <xf numFmtId="0" fontId="2" fillId="3" borderId="0" xfId="0" applyFont="1" applyFill="1"/>
    <xf numFmtId="0" fontId="2" fillId="2" borderId="0" xfId="0" applyFont="1" applyFill="1"/>
    <xf numFmtId="0" fontId="2" fillId="0" borderId="5" xfId="0" applyFont="1" applyBorder="1"/>
    <xf numFmtId="3" fontId="2" fillId="0" borderId="5" xfId="0" applyNumberFormat="1" applyFont="1" applyBorder="1"/>
    <xf numFmtId="3" fontId="2" fillId="0" borderId="7" xfId="0" applyNumberFormat="1" applyFont="1" applyBorder="1"/>
    <xf numFmtId="3" fontId="2" fillId="0" borderId="0" xfId="0" applyNumberFormat="1" applyFont="1"/>
    <xf numFmtId="3" fontId="2" fillId="0" borderId="10" xfId="0" applyNumberFormat="1" applyFont="1" applyBorder="1"/>
    <xf numFmtId="0" fontId="2" fillId="4" borderId="0" xfId="0" applyFont="1" applyFill="1"/>
    <xf numFmtId="0" fontId="9" fillId="4" borderId="0" xfId="0" applyFont="1" applyFill="1"/>
    <xf numFmtId="0" fontId="2" fillId="0" borderId="0" xfId="0" applyFont="1" applyAlignment="1">
      <alignment wrapText="1"/>
    </xf>
    <xf numFmtId="167" fontId="2" fillId="0" borderId="15" xfId="0" applyNumberFormat="1" applyFont="1" applyBorder="1"/>
    <xf numFmtId="167" fontId="2" fillId="0" borderId="5" xfId="0" applyNumberFormat="1" applyFont="1" applyBorder="1"/>
    <xf numFmtId="167" fontId="2" fillId="0" borderId="0" xfId="0" applyNumberFormat="1" applyFont="1"/>
    <xf numFmtId="167" fontId="2" fillId="0" borderId="7" xfId="0" applyNumberFormat="1" applyFont="1" applyBorder="1"/>
    <xf numFmtId="167" fontId="2" fillId="0" borderId="8" xfId="0" applyNumberFormat="1" applyFont="1" applyBorder="1"/>
    <xf numFmtId="167" fontId="2" fillId="0" borderId="16" xfId="0" applyNumberFormat="1" applyFont="1" applyBorder="1"/>
    <xf numFmtId="167" fontId="2" fillId="0" borderId="17" xfId="0" applyNumberFormat="1" applyFont="1" applyBorder="1"/>
    <xf numFmtId="167" fontId="2" fillId="0" borderId="18" xfId="0" applyNumberFormat="1" applyFont="1" applyBorder="1"/>
    <xf numFmtId="167" fontId="2" fillId="0" borderId="10" xfId="0" applyNumberFormat="1" applyFont="1" applyBorder="1"/>
    <xf numFmtId="168" fontId="10" fillId="5" borderId="0" xfId="0" applyNumberFormat="1" applyFont="1" applyFill="1"/>
    <xf numFmtId="166" fontId="2" fillId="0" borderId="0" xfId="3" applyNumberFormat="1" applyFont="1"/>
    <xf numFmtId="166" fontId="2" fillId="0" borderId="10" xfId="3" applyNumberFormat="1" applyFont="1" applyBorder="1"/>
    <xf numFmtId="166" fontId="2" fillId="0" borderId="5" xfId="3" applyNumberFormat="1" applyFont="1" applyBorder="1"/>
    <xf numFmtId="165" fontId="2" fillId="0" borderId="5" xfId="0" applyNumberFormat="1" applyFont="1" applyBorder="1"/>
    <xf numFmtId="169" fontId="2" fillId="0" borderId="15" xfId="0" applyNumberFormat="1" applyFont="1" applyBorder="1"/>
    <xf numFmtId="169" fontId="2" fillId="0" borderId="5" xfId="0" applyNumberFormat="1" applyFont="1" applyBorder="1"/>
    <xf numFmtId="169" fontId="2" fillId="0" borderId="7" xfId="0" applyNumberFormat="1" applyFont="1" applyBorder="1"/>
    <xf numFmtId="169" fontId="2" fillId="0" borderId="16" xfId="0" applyNumberFormat="1" applyFont="1" applyBorder="1"/>
    <xf numFmtId="169" fontId="2" fillId="0" borderId="17" xfId="0" applyNumberFormat="1" applyFont="1" applyBorder="1"/>
    <xf numFmtId="169" fontId="2" fillId="0" borderId="18" xfId="0" applyNumberFormat="1" applyFont="1" applyBorder="1"/>
    <xf numFmtId="169" fontId="2" fillId="0" borderId="9" xfId="0" applyNumberFormat="1" applyFont="1" applyBorder="1"/>
    <xf numFmtId="169" fontId="2" fillId="0" borderId="10" xfId="0" applyNumberFormat="1" applyFont="1" applyBorder="1"/>
    <xf numFmtId="170" fontId="2" fillId="0" borderId="0" xfId="0" applyNumberFormat="1" applyFont="1"/>
    <xf numFmtId="170" fontId="2" fillId="0" borderId="10" xfId="0" applyNumberFormat="1" applyFont="1" applyBorder="1"/>
    <xf numFmtId="49" fontId="8" fillId="0" borderId="5" xfId="0" applyNumberFormat="1" applyFont="1" applyBorder="1" applyAlignment="1">
      <alignment horizontal="left"/>
    </xf>
    <xf numFmtId="170" fontId="2" fillId="0" borderId="5" xfId="0" applyNumberFormat="1" applyFont="1" applyBorder="1"/>
    <xf numFmtId="166" fontId="2" fillId="5" borderId="0" xfId="3" applyNumberFormat="1" applyFont="1" applyFill="1"/>
    <xf numFmtId="0" fontId="2" fillId="6" borderId="0" xfId="0" applyFont="1" applyFill="1"/>
    <xf numFmtId="0" fontId="2" fillId="6" borderId="5" xfId="0" applyFont="1" applyFill="1" applyBorder="1"/>
    <xf numFmtId="0" fontId="2" fillId="6" borderId="10" xfId="0" applyFont="1" applyFill="1" applyBorder="1"/>
    <xf numFmtId="0" fontId="9" fillId="0" borderId="0" xfId="0" applyFont="1" applyAlignment="1">
      <alignment wrapText="1"/>
    </xf>
    <xf numFmtId="171" fontId="2" fillId="0" borderId="5" xfId="0" applyNumberFormat="1" applyFont="1" applyBorder="1"/>
    <xf numFmtId="171" fontId="2" fillId="0" borderId="7" xfId="0" applyNumberFormat="1" applyFont="1" applyBorder="1"/>
    <xf numFmtId="171" fontId="2" fillId="0" borderId="0" xfId="0" applyNumberFormat="1" applyFont="1"/>
    <xf numFmtId="171" fontId="2" fillId="0" borderId="9" xfId="0" applyNumberFormat="1" applyFont="1" applyBorder="1"/>
    <xf numFmtId="171" fontId="2" fillId="0" borderId="10" xfId="0" applyNumberFormat="1" applyFont="1" applyBorder="1"/>
    <xf numFmtId="171" fontId="2" fillId="0" borderId="15" xfId="0" applyNumberFormat="1" applyFont="1" applyBorder="1"/>
    <xf numFmtId="171" fontId="2" fillId="0" borderId="16" xfId="0" applyNumberFormat="1" applyFont="1" applyBorder="1"/>
    <xf numFmtId="171" fontId="2" fillId="0" borderId="17" xfId="0" applyNumberFormat="1" applyFont="1" applyBorder="1"/>
    <xf numFmtId="171" fontId="2" fillId="0" borderId="18" xfId="0" applyNumberFormat="1" applyFont="1" applyBorder="1"/>
    <xf numFmtId="172" fontId="2" fillId="0" borderId="0" xfId="0" applyNumberFormat="1" applyFont="1"/>
    <xf numFmtId="0" fontId="10" fillId="0" borderId="0" xfId="0" applyFont="1"/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166" fontId="2" fillId="5" borderId="5" xfId="3" applyNumberFormat="1" applyFont="1" applyFill="1" applyBorder="1"/>
    <xf numFmtId="49" fontId="8" fillId="0" borderId="2" xfId="0" applyNumberFormat="1" applyFont="1" applyBorder="1" applyAlignment="1">
      <alignment horizontal="left"/>
    </xf>
    <xf numFmtId="165" fontId="2" fillId="0" borderId="2" xfId="0" applyNumberFormat="1" applyFont="1" applyBorder="1"/>
    <xf numFmtId="0" fontId="2" fillId="6" borderId="2" xfId="0" applyFont="1" applyFill="1" applyBorder="1"/>
    <xf numFmtId="0" fontId="2" fillId="4" borderId="0" xfId="0" applyFont="1" applyFill="1" applyAlignment="1">
      <alignment horizontal="center" wrapText="1"/>
    </xf>
    <xf numFmtId="3" fontId="2" fillId="4" borderId="0" xfId="0" applyNumberFormat="1" applyFont="1" applyFill="1"/>
    <xf numFmtId="0" fontId="2" fillId="4" borderId="0" xfId="0" applyFont="1" applyFill="1" applyAlignment="1">
      <alignment wrapText="1"/>
    </xf>
    <xf numFmtId="169" fontId="2" fillId="4" borderId="5" xfId="0" applyNumberFormat="1" applyFont="1" applyFill="1" applyBorder="1"/>
    <xf numFmtId="169" fontId="2" fillId="4" borderId="10" xfId="0" applyNumberFormat="1" applyFont="1" applyFill="1" applyBorder="1"/>
    <xf numFmtId="167" fontId="2" fillId="4" borderId="5" xfId="0" applyNumberFormat="1" applyFont="1" applyFill="1" applyBorder="1"/>
    <xf numFmtId="167" fontId="2" fillId="4" borderId="0" xfId="0" applyNumberFormat="1" applyFont="1" applyFill="1"/>
    <xf numFmtId="167" fontId="2" fillId="4" borderId="10" xfId="0" applyNumberFormat="1" applyFont="1" applyFill="1" applyBorder="1"/>
    <xf numFmtId="0" fontId="16" fillId="3" borderId="0" xfId="0" applyFont="1" applyFill="1"/>
    <xf numFmtId="0" fontId="18" fillId="0" borderId="0" xfId="0" applyFont="1"/>
    <xf numFmtId="0" fontId="19" fillId="0" borderId="0" xfId="0" applyFont="1" applyAlignment="1">
      <alignment wrapText="1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right" wrapText="1"/>
    </xf>
    <xf numFmtId="0" fontId="18" fillId="0" borderId="0" xfId="0" applyFont="1" applyAlignment="1">
      <alignment horizontal="right"/>
    </xf>
    <xf numFmtId="164" fontId="18" fillId="0" borderId="20" xfId="1" applyNumberFormat="1" applyFont="1" applyBorder="1"/>
    <xf numFmtId="164" fontId="18" fillId="0" borderId="21" xfId="1" applyNumberFormat="1" applyFont="1" applyBorder="1"/>
    <xf numFmtId="164" fontId="18" fillId="0" borderId="22" xfId="1" applyNumberFormat="1" applyFont="1" applyBorder="1"/>
    <xf numFmtId="164" fontId="19" fillId="0" borderId="0" xfId="0" applyNumberFormat="1" applyFont="1"/>
    <xf numFmtId="166" fontId="18" fillId="0" borderId="20" xfId="3" applyNumberFormat="1" applyFont="1" applyBorder="1"/>
    <xf numFmtId="166" fontId="18" fillId="0" borderId="21" xfId="3" applyNumberFormat="1" applyFont="1" applyBorder="1"/>
    <xf numFmtId="166" fontId="18" fillId="0" borderId="22" xfId="3" applyNumberFormat="1" applyFont="1" applyBorder="1"/>
    <xf numFmtId="166" fontId="19" fillId="0" borderId="0" xfId="3" applyNumberFormat="1" applyFont="1"/>
    <xf numFmtId="0" fontId="21" fillId="10" borderId="0" xfId="5" applyFont="1"/>
    <xf numFmtId="0" fontId="21" fillId="0" borderId="0" xfId="5" applyFont="1" applyFill="1"/>
    <xf numFmtId="164" fontId="18" fillId="0" borderId="12" xfId="1" applyNumberFormat="1" applyFont="1" applyBorder="1"/>
    <xf numFmtId="164" fontId="18" fillId="0" borderId="0" xfId="1" applyNumberFormat="1" applyFont="1"/>
    <xf numFmtId="164" fontId="18" fillId="0" borderId="13" xfId="1" applyNumberFormat="1" applyFont="1" applyBorder="1"/>
    <xf numFmtId="166" fontId="18" fillId="0" borderId="12" xfId="3" applyNumberFormat="1" applyFont="1" applyBorder="1"/>
    <xf numFmtId="166" fontId="18" fillId="0" borderId="0" xfId="3" applyNumberFormat="1" applyFont="1"/>
    <xf numFmtId="166" fontId="18" fillId="0" borderId="13" xfId="3" applyNumberFormat="1" applyFont="1" applyBorder="1"/>
    <xf numFmtId="0" fontId="22" fillId="9" borderId="23" xfId="4" applyFont="1" applyBorder="1"/>
    <xf numFmtId="0" fontId="22" fillId="0" borderId="0" xfId="4" applyFont="1" applyFill="1" applyBorder="1"/>
    <xf numFmtId="0" fontId="23" fillId="8" borderId="0" xfId="6" applyFont="1"/>
    <xf numFmtId="0" fontId="23" fillId="0" borderId="0" xfId="6" applyFont="1" applyFill="1"/>
    <xf numFmtId="164" fontId="23" fillId="8" borderId="0" xfId="6" applyNumberFormat="1" applyFont="1"/>
    <xf numFmtId="164" fontId="23" fillId="0" borderId="0" xfId="6" applyNumberFormat="1" applyFont="1" applyFill="1"/>
    <xf numFmtId="0" fontId="24" fillId="0" borderId="0" xfId="2" applyFont="1"/>
    <xf numFmtId="164" fontId="18" fillId="0" borderId="24" xfId="1" applyNumberFormat="1" applyFont="1" applyBorder="1"/>
    <xf numFmtId="164" fontId="18" fillId="0" borderId="14" xfId="1" applyNumberFormat="1" applyFont="1" applyBorder="1"/>
    <xf numFmtId="164" fontId="18" fillId="0" borderId="25" xfId="1" applyNumberFormat="1" applyFont="1" applyBorder="1"/>
    <xf numFmtId="166" fontId="18" fillId="0" borderId="24" xfId="3" applyNumberFormat="1" applyFont="1" applyBorder="1"/>
    <xf numFmtId="166" fontId="18" fillId="0" borderId="14" xfId="3" applyNumberFormat="1" applyFont="1" applyBorder="1"/>
    <xf numFmtId="166" fontId="18" fillId="0" borderId="25" xfId="3" applyNumberFormat="1" applyFont="1" applyBorder="1"/>
    <xf numFmtId="0" fontId="19" fillId="0" borderId="0" xfId="0" applyFont="1" applyAlignment="1">
      <alignment horizontal="right"/>
    </xf>
    <xf numFmtId="0" fontId="18" fillId="3" borderId="0" xfId="0" applyFont="1" applyFill="1"/>
    <xf numFmtId="0" fontId="19" fillId="3" borderId="0" xfId="0" applyFont="1" applyFill="1"/>
    <xf numFmtId="173" fontId="18" fillId="0" borderId="20" xfId="1" applyNumberFormat="1" applyFont="1" applyBorder="1"/>
    <xf numFmtId="173" fontId="18" fillId="0" borderId="21" xfId="1" applyNumberFormat="1" applyFont="1" applyBorder="1"/>
    <xf numFmtId="173" fontId="18" fillId="0" borderId="22" xfId="1" applyNumberFormat="1" applyFont="1" applyBorder="1"/>
    <xf numFmtId="173" fontId="19" fillId="0" borderId="0" xfId="0" applyNumberFormat="1" applyFont="1"/>
    <xf numFmtId="173" fontId="18" fillId="0" borderId="12" xfId="1" applyNumberFormat="1" applyFont="1" applyBorder="1"/>
    <xf numFmtId="173" fontId="18" fillId="0" borderId="0" xfId="1" applyNumberFormat="1" applyFont="1"/>
    <xf numFmtId="173" fontId="18" fillId="0" borderId="13" xfId="1" applyNumberFormat="1" applyFont="1" applyBorder="1"/>
    <xf numFmtId="173" fontId="18" fillId="0" borderId="24" xfId="1" applyNumberFormat="1" applyFont="1" applyBorder="1"/>
    <xf numFmtId="173" fontId="18" fillId="0" borderId="14" xfId="1" applyNumberFormat="1" applyFont="1" applyBorder="1"/>
    <xf numFmtId="173" fontId="18" fillId="0" borderId="25" xfId="1" applyNumberFormat="1" applyFont="1" applyBorder="1"/>
    <xf numFmtId="174" fontId="18" fillId="0" borderId="20" xfId="1" applyNumberFormat="1" applyFont="1" applyBorder="1"/>
    <xf numFmtId="174" fontId="18" fillId="0" borderId="21" xfId="1" applyNumberFormat="1" applyFont="1" applyBorder="1"/>
    <xf numFmtId="174" fontId="18" fillId="0" borderId="22" xfId="1" applyNumberFormat="1" applyFont="1" applyBorder="1"/>
    <xf numFmtId="174" fontId="18" fillId="0" borderId="0" xfId="1" applyNumberFormat="1" applyFont="1"/>
    <xf numFmtId="174" fontId="18" fillId="0" borderId="12" xfId="1" applyNumberFormat="1" applyFont="1" applyBorder="1"/>
    <xf numFmtId="174" fontId="18" fillId="0" borderId="13" xfId="1" applyNumberFormat="1" applyFont="1" applyBorder="1"/>
    <xf numFmtId="174" fontId="18" fillId="0" borderId="24" xfId="1" applyNumberFormat="1" applyFont="1" applyBorder="1"/>
    <xf numFmtId="174" fontId="18" fillId="0" borderId="14" xfId="1" applyNumberFormat="1" applyFont="1" applyBorder="1"/>
    <xf numFmtId="174" fontId="18" fillId="0" borderId="25" xfId="1" applyNumberFormat="1" applyFont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5" fillId="0" borderId="0" xfId="0" applyFont="1"/>
    <xf numFmtId="0" fontId="25" fillId="0" borderId="10" xfId="0" applyFont="1" applyBorder="1"/>
    <xf numFmtId="3" fontId="2" fillId="0" borderId="2" xfId="0" applyNumberFormat="1" applyFont="1" applyBorder="1"/>
    <xf numFmtId="166" fontId="2" fillId="0" borderId="2" xfId="0" applyNumberFormat="1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166" fontId="2" fillId="0" borderId="0" xfId="0" applyNumberFormat="1" applyFont="1"/>
    <xf numFmtId="166" fontId="2" fillId="0" borderId="8" xfId="0" applyNumberFormat="1" applyFont="1" applyBorder="1"/>
    <xf numFmtId="0" fontId="2" fillId="0" borderId="1" xfId="0" applyFont="1" applyBorder="1"/>
    <xf numFmtId="166" fontId="2" fillId="0" borderId="3" xfId="0" applyNumberFormat="1" applyFont="1" applyBorder="1"/>
    <xf numFmtId="9" fontId="2" fillId="0" borderId="0" xfId="0" applyNumberFormat="1" applyFont="1"/>
    <xf numFmtId="9" fontId="2" fillId="0" borderId="10" xfId="0" applyNumberFormat="1" applyFont="1" applyBorder="1"/>
    <xf numFmtId="3" fontId="2" fillId="0" borderId="4" xfId="0" applyNumberFormat="1" applyFont="1" applyBorder="1"/>
    <xf numFmtId="3" fontId="2" fillId="0" borderId="1" xfId="0" applyNumberFormat="1" applyFont="1" applyBorder="1"/>
    <xf numFmtId="0" fontId="26" fillId="0" borderId="0" xfId="0" applyFont="1" applyAlignment="1">
      <alignment horizontal="center"/>
    </xf>
    <xf numFmtId="0" fontId="2" fillId="11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10" xfId="0" applyBorder="1"/>
    <xf numFmtId="0" fontId="27" fillId="0" borderId="5" xfId="0" applyFont="1" applyBorder="1"/>
    <xf numFmtId="0" fontId="25" fillId="0" borderId="5" xfId="0" applyFont="1" applyBorder="1"/>
    <xf numFmtId="0" fontId="27" fillId="0" borderId="0" xfId="0" applyFont="1"/>
    <xf numFmtId="0" fontId="27" fillId="0" borderId="10" xfId="0" applyFont="1" applyBorder="1"/>
    <xf numFmtId="0" fontId="9" fillId="0" borderId="2" xfId="0" applyFont="1" applyBorder="1"/>
    <xf numFmtId="3" fontId="9" fillId="0" borderId="2" xfId="0" applyNumberFormat="1" applyFont="1" applyBorder="1"/>
    <xf numFmtId="9" fontId="2" fillId="0" borderId="5" xfId="0" applyNumberFormat="1" applyFont="1" applyBorder="1"/>
    <xf numFmtId="9" fontId="9" fillId="0" borderId="2" xfId="0" applyNumberFormat="1" applyFont="1" applyBorder="1"/>
    <xf numFmtId="0" fontId="28" fillId="9" borderId="19" xfId="4" applyFont="1"/>
    <xf numFmtId="0" fontId="2" fillId="0" borderId="10" xfId="0" applyFont="1" applyBorder="1" applyAlignment="1">
      <alignment wrapText="1"/>
    </xf>
    <xf numFmtId="175" fontId="2" fillId="0" borderId="11" xfId="0" applyNumberFormat="1" applyFont="1" applyBorder="1"/>
    <xf numFmtId="175" fontId="2" fillId="0" borderId="8" xfId="0" applyNumberFormat="1" applyFont="1" applyBorder="1"/>
    <xf numFmtId="170" fontId="2" fillId="5" borderId="10" xfId="0" applyNumberFormat="1" applyFont="1" applyFill="1" applyBorder="1"/>
    <xf numFmtId="175" fontId="2" fillId="0" borderId="6" xfId="0" applyNumberFormat="1" applyFont="1" applyBorder="1"/>
    <xf numFmtId="0" fontId="27" fillId="0" borderId="10" xfId="0" applyFont="1" applyBorder="1" applyAlignment="1">
      <alignment horizontal="center"/>
    </xf>
    <xf numFmtId="0" fontId="27" fillId="0" borderId="0" xfId="0" applyFont="1" applyAlignment="1">
      <alignment horizontal="center"/>
    </xf>
    <xf numFmtId="10" fontId="2" fillId="0" borderId="0" xfId="0" applyNumberFormat="1" applyFo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 indent="1"/>
    </xf>
    <xf numFmtId="169" fontId="2" fillId="4" borderId="6" xfId="0" applyNumberFormat="1" applyFont="1" applyFill="1" applyBorder="1"/>
    <xf numFmtId="169" fontId="2" fillId="4" borderId="8" xfId="0" applyNumberFormat="1" applyFont="1" applyFill="1" applyBorder="1"/>
    <xf numFmtId="167" fontId="2" fillId="4" borderId="6" xfId="0" applyNumberFormat="1" applyFont="1" applyFill="1" applyBorder="1"/>
    <xf numFmtId="167" fontId="2" fillId="4" borderId="8" xfId="0" applyNumberFormat="1" applyFont="1" applyFill="1" applyBorder="1"/>
    <xf numFmtId="167" fontId="2" fillId="4" borderId="11" xfId="0" applyNumberFormat="1" applyFont="1" applyFill="1" applyBorder="1"/>
    <xf numFmtId="167" fontId="2" fillId="4" borderId="16" xfId="0" applyNumberFormat="1" applyFont="1" applyFill="1" applyBorder="1"/>
    <xf numFmtId="167" fontId="2" fillId="4" borderId="17" xfId="0" applyNumberFormat="1" applyFont="1" applyFill="1" applyBorder="1"/>
    <xf numFmtId="167" fontId="2" fillId="4" borderId="18" xfId="0" applyNumberFormat="1" applyFont="1" applyFill="1" applyBorder="1"/>
    <xf numFmtId="166" fontId="2" fillId="0" borderId="0" xfId="3" applyNumberFormat="1" applyFont="1" applyBorder="1"/>
    <xf numFmtId="176" fontId="11" fillId="3" borderId="0" xfId="0" applyNumberFormat="1" applyFont="1" applyFill="1"/>
    <xf numFmtId="176" fontId="2" fillId="3" borderId="0" xfId="0" applyNumberFormat="1" applyFont="1" applyFill="1"/>
    <xf numFmtId="176" fontId="9" fillId="2" borderId="0" xfId="0" applyNumberFormat="1" applyFont="1" applyFill="1"/>
    <xf numFmtId="176" fontId="2" fillId="2" borderId="0" xfId="0" applyNumberFormat="1" applyFont="1" applyFill="1"/>
    <xf numFmtId="176" fontId="2" fillId="0" borderId="0" xfId="0" applyNumberFormat="1" applyFont="1"/>
    <xf numFmtId="176" fontId="2" fillId="0" borderId="0" xfId="0" applyNumberFormat="1" applyFont="1" applyAlignment="1">
      <alignment wrapText="1"/>
    </xf>
    <xf numFmtId="176" fontId="9" fillId="0" borderId="0" xfId="0" applyNumberFormat="1" applyFont="1" applyAlignment="1">
      <alignment wrapText="1"/>
    </xf>
    <xf numFmtId="176" fontId="2" fillId="0" borderId="1" xfId="0" applyNumberFormat="1" applyFont="1" applyBorder="1"/>
    <xf numFmtId="176" fontId="2" fillId="0" borderId="3" xfId="0" applyNumberFormat="1" applyFont="1" applyBorder="1"/>
    <xf numFmtId="176" fontId="2" fillId="0" borderId="4" xfId="0" applyNumberFormat="1" applyFont="1" applyBorder="1"/>
    <xf numFmtId="176" fontId="2" fillId="0" borderId="6" xfId="0" applyNumberFormat="1" applyFont="1" applyBorder="1"/>
    <xf numFmtId="176" fontId="2" fillId="0" borderId="5" xfId="0" applyNumberFormat="1" applyFont="1" applyBorder="1"/>
    <xf numFmtId="176" fontId="2" fillId="0" borderId="7" xfId="0" applyNumberFormat="1" applyFont="1" applyBorder="1"/>
    <xf numFmtId="176" fontId="2" fillId="0" borderId="8" xfId="0" applyNumberFormat="1" applyFont="1" applyBorder="1"/>
    <xf numFmtId="176" fontId="2" fillId="0" borderId="9" xfId="0" applyNumberFormat="1" applyFont="1" applyBorder="1"/>
    <xf numFmtId="176" fontId="2" fillId="0" borderId="11" xfId="0" applyNumberFormat="1" applyFont="1" applyBorder="1"/>
    <xf numFmtId="176" fontId="2" fillId="0" borderId="10" xfId="0" applyNumberFormat="1" applyFont="1" applyBorder="1"/>
    <xf numFmtId="0" fontId="4" fillId="0" borderId="0" xfId="0" applyFont="1"/>
    <xf numFmtId="0" fontId="29" fillId="0" borderId="0" xfId="2" applyFont="1" applyFill="1" applyBorder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164" fontId="4" fillId="0" borderId="0" xfId="1" applyNumberFormat="1" applyFont="1" applyFill="1" applyBorder="1"/>
    <xf numFmtId="3" fontId="5" fillId="0" borderId="0" xfId="0" applyNumberFormat="1" applyFont="1"/>
    <xf numFmtId="2" fontId="5" fillId="0" borderId="0" xfId="1" applyNumberFormat="1" applyFont="1" applyFill="1" applyBorder="1"/>
    <xf numFmtId="4" fontId="5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 vertical="center" wrapText="1"/>
    </xf>
    <xf numFmtId="3" fontId="5" fillId="0" borderId="0" xfId="0" applyNumberFormat="1" applyFont="1" applyAlignment="1">
      <alignment horizontal="left"/>
    </xf>
    <xf numFmtId="0" fontId="4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 wrapText="1"/>
    </xf>
    <xf numFmtId="3" fontId="5" fillId="0" borderId="17" xfId="0" applyNumberFormat="1" applyFont="1" applyBorder="1" applyAlignment="1">
      <alignment horizontal="left"/>
    </xf>
    <xf numFmtId="3" fontId="5" fillId="0" borderId="15" xfId="0" applyNumberFormat="1" applyFont="1" applyBorder="1" applyAlignment="1">
      <alignment horizontal="left"/>
    </xf>
    <xf numFmtId="0" fontId="4" fillId="0" borderId="2" xfId="0" applyFont="1" applyBorder="1"/>
    <xf numFmtId="0" fontId="5" fillId="0" borderId="2" xfId="0" applyFont="1" applyBorder="1"/>
    <xf numFmtId="164" fontId="4" fillId="0" borderId="2" xfId="1" applyNumberFormat="1" applyFont="1" applyFill="1" applyBorder="1"/>
    <xf numFmtId="164" fontId="4" fillId="0" borderId="17" xfId="1" applyNumberFormat="1" applyFont="1" applyFill="1" applyBorder="1"/>
    <xf numFmtId="164" fontId="4" fillId="0" borderId="15" xfId="1" applyNumberFormat="1" applyFont="1" applyFill="1" applyBorder="1"/>
    <xf numFmtId="0" fontId="4" fillId="0" borderId="15" xfId="0" applyFont="1" applyBorder="1" applyAlignment="1">
      <alignment horizontal="left" wrapText="1"/>
    </xf>
    <xf numFmtId="0" fontId="4" fillId="0" borderId="2" xfId="0" applyFont="1" applyBorder="1" applyAlignment="1">
      <alignment wrapText="1"/>
    </xf>
    <xf numFmtId="0" fontId="4" fillId="0" borderId="15" xfId="0" applyFont="1" applyBorder="1" applyAlignment="1">
      <alignment wrapText="1"/>
    </xf>
    <xf numFmtId="164" fontId="4" fillId="0" borderId="0" xfId="0" applyNumberFormat="1" applyFont="1"/>
    <xf numFmtId="164" fontId="5" fillId="0" borderId="0" xfId="0" applyNumberFormat="1" applyFont="1"/>
    <xf numFmtId="164" fontId="5" fillId="0" borderId="0" xfId="0" applyNumberFormat="1" applyFont="1" applyAlignment="1">
      <alignment vertical="center" wrapText="1"/>
    </xf>
    <xf numFmtId="164" fontId="4" fillId="0" borderId="17" xfId="0" applyNumberFormat="1" applyFont="1" applyBorder="1"/>
    <xf numFmtId="164" fontId="5" fillId="0" borderId="17" xfId="0" applyNumberFormat="1" applyFont="1" applyBorder="1" applyAlignment="1">
      <alignment vertical="center" wrapText="1"/>
    </xf>
    <xf numFmtId="0" fontId="30" fillId="0" borderId="0" xfId="0" applyFont="1"/>
    <xf numFmtId="0" fontId="4" fillId="0" borderId="16" xfId="0" applyFont="1" applyBorder="1" applyAlignment="1">
      <alignment horizontal="left"/>
    </xf>
    <xf numFmtId="3" fontId="5" fillId="0" borderId="18" xfId="0" applyNumberFormat="1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167" fontId="2" fillId="0" borderId="7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69" fontId="2" fillId="0" borderId="0" xfId="0" applyNumberFormat="1" applyFont="1"/>
    <xf numFmtId="169" fontId="2" fillId="4" borderId="0" xfId="0" applyNumberFormat="1" applyFont="1" applyFill="1"/>
    <xf numFmtId="169" fontId="2" fillId="4" borderId="11" xfId="0" applyNumberFormat="1" applyFont="1" applyFill="1" applyBorder="1"/>
    <xf numFmtId="171" fontId="2" fillId="4" borderId="5" xfId="0" applyNumberFormat="1" applyFont="1" applyFill="1" applyBorder="1"/>
    <xf numFmtId="171" fontId="2" fillId="4" borderId="0" xfId="0" applyNumberFormat="1" applyFont="1" applyFill="1"/>
    <xf numFmtId="171" fontId="2" fillId="4" borderId="10" xfId="0" applyNumberFormat="1" applyFont="1" applyFill="1" applyBorder="1"/>
    <xf numFmtId="171" fontId="2" fillId="4" borderId="6" xfId="0" applyNumberFormat="1" applyFont="1" applyFill="1" applyBorder="1"/>
    <xf numFmtId="171" fontId="2" fillId="4" borderId="8" xfId="0" applyNumberFormat="1" applyFont="1" applyFill="1" applyBorder="1"/>
    <xf numFmtId="171" fontId="2" fillId="4" borderId="11" xfId="0" applyNumberFormat="1" applyFont="1" applyFill="1" applyBorder="1"/>
    <xf numFmtId="164" fontId="30" fillId="0" borderId="0" xfId="0" applyNumberFormat="1" applyFont="1"/>
    <xf numFmtId="164" fontId="30" fillId="0" borderId="0" xfId="1" applyNumberFormat="1" applyFont="1" applyFill="1" applyBorder="1"/>
    <xf numFmtId="164" fontId="30" fillId="0" borderId="0" xfId="0" applyNumberFormat="1" applyFont="1" applyAlignment="1">
      <alignment vertical="center" wrapText="1"/>
    </xf>
    <xf numFmtId="164" fontId="4" fillId="0" borderId="2" xfId="0" applyNumberFormat="1" applyFont="1" applyBorder="1"/>
    <xf numFmtId="0" fontId="30" fillId="0" borderId="0" xfId="1" applyNumberFormat="1" applyFont="1" applyFill="1" applyBorder="1"/>
    <xf numFmtId="0" fontId="30" fillId="0" borderId="0" xfId="1" applyNumberFormat="1" applyFont="1"/>
    <xf numFmtId="0" fontId="30" fillId="0" borderId="0" xfId="0" applyFont="1" applyAlignment="1">
      <alignment vertical="center" wrapText="1"/>
    </xf>
    <xf numFmtId="164" fontId="31" fillId="0" borderId="0" xfId="1" applyNumberFormat="1" applyFont="1" applyFill="1" applyBorder="1"/>
    <xf numFmtId="0" fontId="19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 textRotation="90" wrapText="1"/>
    </xf>
    <xf numFmtId="0" fontId="20" fillId="7" borderId="0" xfId="0" applyFont="1" applyFill="1" applyAlignment="1">
      <alignment horizontal="center" vertical="center" wrapText="1"/>
    </xf>
    <xf numFmtId="169" fontId="2" fillId="0" borderId="7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169" fontId="2" fillId="0" borderId="4" xfId="0" applyNumberFormat="1" applyFont="1" applyBorder="1" applyAlignment="1">
      <alignment horizontal="center"/>
    </xf>
    <xf numFmtId="169" fontId="2" fillId="0" borderId="5" xfId="0" applyNumberFormat="1" applyFont="1" applyBorder="1" applyAlignment="1">
      <alignment horizontal="center"/>
    </xf>
    <xf numFmtId="169" fontId="2" fillId="0" borderId="6" xfId="0" applyNumberFormat="1" applyFont="1" applyBorder="1" applyAlignment="1">
      <alignment horizontal="center"/>
    </xf>
    <xf numFmtId="169" fontId="2" fillId="0" borderId="8" xfId="0" applyNumberFormat="1" applyFont="1" applyBorder="1" applyAlignment="1">
      <alignment horizontal="center"/>
    </xf>
    <xf numFmtId="169" fontId="2" fillId="0" borderId="9" xfId="0" applyNumberFormat="1" applyFont="1" applyBorder="1" applyAlignment="1">
      <alignment horizontal="center"/>
    </xf>
    <xf numFmtId="169" fontId="2" fillId="0" borderId="10" xfId="0" applyNumberFormat="1" applyFont="1" applyBorder="1" applyAlignment="1">
      <alignment horizontal="center"/>
    </xf>
    <xf numFmtId="169" fontId="2" fillId="0" borderId="1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0" fontId="30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3" fontId="5" fillId="0" borderId="0" xfId="0" applyNumberFormat="1" applyFont="1" applyBorder="1" applyAlignment="1">
      <alignment horizontal="left"/>
    </xf>
    <xf numFmtId="0" fontId="31" fillId="0" borderId="0" xfId="0" applyFont="1" applyBorder="1"/>
    <xf numFmtId="0" fontId="31" fillId="0" borderId="15" xfId="0" applyFont="1" applyBorder="1" applyAlignment="1">
      <alignment horizontal="left" wrapText="1"/>
    </xf>
    <xf numFmtId="0" fontId="31" fillId="0" borderId="2" xfId="0" applyFont="1" applyBorder="1" applyAlignment="1">
      <alignment wrapText="1"/>
    </xf>
    <xf numFmtId="0" fontId="31" fillId="0" borderId="15" xfId="0" applyFont="1" applyBorder="1" applyAlignment="1">
      <alignment wrapText="1"/>
    </xf>
    <xf numFmtId="0" fontId="31" fillId="0" borderId="0" xfId="0" applyFont="1" applyBorder="1" applyAlignment="1">
      <alignment horizontal="left" wrapText="1"/>
    </xf>
    <xf numFmtId="0" fontId="31" fillId="0" borderId="16" xfId="0" applyFont="1" applyBorder="1" applyAlignment="1">
      <alignment horizontal="left"/>
    </xf>
    <xf numFmtId="164" fontId="31" fillId="0" borderId="0" xfId="0" applyNumberFormat="1" applyFont="1"/>
    <xf numFmtId="164" fontId="31" fillId="0" borderId="17" xfId="0" applyNumberFormat="1" applyFont="1" applyBorder="1"/>
    <xf numFmtId="0" fontId="31" fillId="0" borderId="0" xfId="0" applyFont="1" applyBorder="1" applyAlignment="1">
      <alignment horizontal="left"/>
    </xf>
    <xf numFmtId="0" fontId="31" fillId="0" borderId="17" xfId="0" applyFont="1" applyBorder="1" applyAlignment="1">
      <alignment horizontal="left"/>
    </xf>
    <xf numFmtId="0" fontId="31" fillId="0" borderId="17" xfId="0" applyFont="1" applyBorder="1" applyAlignment="1">
      <alignment horizontal="left" wrapText="1"/>
    </xf>
    <xf numFmtId="164" fontId="31" fillId="0" borderId="0" xfId="0" applyNumberFormat="1" applyFont="1" applyAlignment="1">
      <alignment vertical="center" wrapText="1"/>
    </xf>
    <xf numFmtId="164" fontId="31" fillId="0" borderId="17" xfId="0" applyNumberFormat="1" applyFont="1" applyBorder="1" applyAlignment="1">
      <alignment vertical="center" wrapText="1"/>
    </xf>
    <xf numFmtId="3" fontId="31" fillId="0" borderId="17" xfId="0" applyNumberFormat="1" applyFont="1" applyBorder="1" applyAlignment="1">
      <alignment horizontal="left"/>
    </xf>
    <xf numFmtId="164" fontId="31" fillId="0" borderId="17" xfId="1" applyNumberFormat="1" applyFont="1" applyFill="1" applyBorder="1"/>
    <xf numFmtId="3" fontId="31" fillId="0" borderId="0" xfId="0" applyNumberFormat="1" applyFont="1" applyBorder="1" applyAlignment="1">
      <alignment horizontal="left"/>
    </xf>
    <xf numFmtId="3" fontId="31" fillId="0" borderId="15" xfId="0" applyNumberFormat="1" applyFont="1" applyBorder="1" applyAlignment="1">
      <alignment horizontal="left"/>
    </xf>
    <xf numFmtId="0" fontId="31" fillId="0" borderId="2" xfId="0" applyFont="1" applyBorder="1"/>
    <xf numFmtId="164" fontId="31" fillId="0" borderId="2" xfId="1" applyNumberFormat="1" applyFont="1" applyFill="1" applyBorder="1"/>
    <xf numFmtId="164" fontId="31" fillId="0" borderId="15" xfId="1" applyNumberFormat="1" applyFont="1" applyFill="1" applyBorder="1"/>
    <xf numFmtId="3" fontId="31" fillId="0" borderId="0" xfId="0" applyNumberFormat="1" applyFont="1" applyAlignment="1">
      <alignment horizontal="left"/>
    </xf>
    <xf numFmtId="0" fontId="31" fillId="0" borderId="0" xfId="0" applyFont="1"/>
    <xf numFmtId="3" fontId="31" fillId="0" borderId="0" xfId="0" applyNumberFormat="1" applyFont="1"/>
    <xf numFmtId="0" fontId="31" fillId="0" borderId="0" xfId="0" applyFont="1" applyBorder="1" applyAlignment="1">
      <alignment horizontal="right"/>
    </xf>
  </cellXfs>
  <cellStyles count="7">
    <cellStyle name="Accent5" xfId="5" builtinId="45"/>
    <cellStyle name="Calculation" xfId="4" builtinId="22"/>
    <cellStyle name="Comma" xfId="1" builtinId="3"/>
    <cellStyle name="Hyperlink" xfId="2" builtinId="8"/>
    <cellStyle name="Neutral 2" xfId="6" xr:uid="{FE9338EF-D26B-41FF-91A6-CF805B16E72F}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173A59"/>
      <color rgb="FF6A310A"/>
      <color rgb="FFACCCEA"/>
      <color rgb="FFBFD8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OnBoard Survey</a:t>
            </a:r>
            <a:r>
              <a:rPr lang="en-US" sz="1200" baseline="0"/>
              <a:t> Counts, All Access/Egress Modes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Transfers!$A$13</c:f>
              <c:strCache>
                <c:ptCount val="1"/>
                <c:pt idx="0">
                  <c:v>1 board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Transfers!$B$12:$H$12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Transfers!$B$13:$H$13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5-4B43-ABF4-E3B9C22FCA2D}"/>
            </c:ext>
          </c:extLst>
        </c:ser>
        <c:ser>
          <c:idx val="1"/>
          <c:order val="1"/>
          <c:tx>
            <c:strRef>
              <c:f>Transfers!$A$14</c:f>
              <c:strCache>
                <c:ptCount val="1"/>
                <c:pt idx="0">
                  <c:v>2 boards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Transfers!$B$12:$H$12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Transfers!$B$14:$H$14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05-4B43-ABF4-E3B9C22FCA2D}"/>
            </c:ext>
          </c:extLst>
        </c:ser>
        <c:ser>
          <c:idx val="2"/>
          <c:order val="2"/>
          <c:tx>
            <c:strRef>
              <c:f>Transfers!$A$15</c:f>
              <c:strCache>
                <c:ptCount val="1"/>
                <c:pt idx="0">
                  <c:v>3 boards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Transfers!$B$12:$H$12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Transfers!$B$15:$H$15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05-4B43-ABF4-E3B9C22FCA2D}"/>
            </c:ext>
          </c:extLst>
        </c:ser>
        <c:ser>
          <c:idx val="3"/>
          <c:order val="3"/>
          <c:tx>
            <c:strRef>
              <c:f>Transfers!$A$16</c:f>
              <c:strCache>
                <c:ptCount val="1"/>
                <c:pt idx="0">
                  <c:v>4 boards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Transfers!$B$12:$H$12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Transfers!$B$16:$H$16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05-4B43-ABF4-E3B9C22FCA2D}"/>
            </c:ext>
          </c:extLst>
        </c:ser>
        <c:ser>
          <c:idx val="4"/>
          <c:order val="4"/>
          <c:tx>
            <c:strRef>
              <c:f>Transfers!$A$17</c:f>
              <c:strCache>
                <c:ptCount val="1"/>
                <c:pt idx="0">
                  <c:v>5 boards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Transfers!$B$12:$H$12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Transfers!$B$17:$H$17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05-4B43-ABF4-E3B9C22FCA2D}"/>
            </c:ext>
          </c:extLst>
        </c:ser>
        <c:ser>
          <c:idx val="5"/>
          <c:order val="5"/>
          <c:tx>
            <c:strRef>
              <c:f>Transfers!$A$18</c:f>
              <c:strCache>
                <c:ptCount val="1"/>
                <c:pt idx="0">
                  <c:v>6 boards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Transfers!$B$12:$H$12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Transfers!$B$18:$H$18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05-4B43-ABF4-E3B9C22FC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110761071"/>
        <c:axId val="1146876047"/>
      </c:barChart>
      <c:catAx>
        <c:axId val="111076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76047"/>
        <c:crosses val="autoZero"/>
        <c:auto val="1"/>
        <c:lblAlgn val="ctr"/>
        <c:lblOffset val="100"/>
        <c:noMultiLvlLbl val="0"/>
      </c:catAx>
      <c:valAx>
        <c:axId val="11468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6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Modeled,</a:t>
            </a:r>
            <a:r>
              <a:rPr lang="en-US" sz="1200" b="0" i="0" u="none" strike="noStrike" baseline="0">
                <a:effectLst/>
              </a:rPr>
              <a:t> All Access/Egress Modes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Transfers!$K$13</c:f>
              <c:strCache>
                <c:ptCount val="1"/>
                <c:pt idx="0">
                  <c:v>1 board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Transfers!$L$12:$R$12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Transfers!$L$13:$R$13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7-4376-98A7-0A5F7D3D792B}"/>
            </c:ext>
          </c:extLst>
        </c:ser>
        <c:ser>
          <c:idx val="1"/>
          <c:order val="1"/>
          <c:tx>
            <c:strRef>
              <c:f>Transfers!$K$14</c:f>
              <c:strCache>
                <c:ptCount val="1"/>
                <c:pt idx="0">
                  <c:v>2 boards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Transfers!$L$12:$R$12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Transfers!$L$14:$R$14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7-4376-98A7-0A5F7D3D792B}"/>
            </c:ext>
          </c:extLst>
        </c:ser>
        <c:ser>
          <c:idx val="2"/>
          <c:order val="2"/>
          <c:tx>
            <c:strRef>
              <c:f>Transfers!$K$15</c:f>
              <c:strCache>
                <c:ptCount val="1"/>
                <c:pt idx="0">
                  <c:v>3 boards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Transfers!$L$12:$R$12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Transfers!$L$15:$R$15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87-4376-98A7-0A5F7D3D792B}"/>
            </c:ext>
          </c:extLst>
        </c:ser>
        <c:ser>
          <c:idx val="3"/>
          <c:order val="3"/>
          <c:tx>
            <c:strRef>
              <c:f>Transfers!$K$16</c:f>
              <c:strCache>
                <c:ptCount val="1"/>
                <c:pt idx="0">
                  <c:v>4 boards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Transfers!$L$12:$R$12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Transfers!$L$16:$R$16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87-4376-98A7-0A5F7D3D792B}"/>
            </c:ext>
          </c:extLst>
        </c:ser>
        <c:ser>
          <c:idx val="4"/>
          <c:order val="4"/>
          <c:tx>
            <c:strRef>
              <c:f>Transfers!$K$17</c:f>
              <c:strCache>
                <c:ptCount val="1"/>
                <c:pt idx="0">
                  <c:v>5 boards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Transfers!$L$12:$R$12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Transfers!$L$17:$R$17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87-4376-98A7-0A5F7D3D792B}"/>
            </c:ext>
          </c:extLst>
        </c:ser>
        <c:ser>
          <c:idx val="5"/>
          <c:order val="5"/>
          <c:tx>
            <c:strRef>
              <c:f>Transfers!$K$18</c:f>
              <c:strCache>
                <c:ptCount val="1"/>
                <c:pt idx="0">
                  <c:v>6 boards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Transfers!$L$12:$R$12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Transfers!$L$18:$R$18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87-4376-98A7-0A5F7D3D7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110761071"/>
        <c:axId val="1146876047"/>
      </c:barChart>
      <c:catAx>
        <c:axId val="111076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76047"/>
        <c:crosses val="autoZero"/>
        <c:auto val="1"/>
        <c:lblAlgn val="ctr"/>
        <c:lblOffset val="100"/>
        <c:noMultiLvlLbl val="0"/>
      </c:catAx>
      <c:valAx>
        <c:axId val="11468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6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OnBoard Survey</a:t>
            </a:r>
            <a:r>
              <a:rPr lang="en-US" sz="1200" baseline="0"/>
              <a:t> Counts, Walk Access and Egress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Transfers!$A$49</c:f>
              <c:strCache>
                <c:ptCount val="1"/>
                <c:pt idx="0">
                  <c:v>1 board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Transfers!$B$48:$H$48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Transfers!$B$49:$H$49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4-44E3-B993-88937A65A0A8}"/>
            </c:ext>
          </c:extLst>
        </c:ser>
        <c:ser>
          <c:idx val="1"/>
          <c:order val="1"/>
          <c:tx>
            <c:strRef>
              <c:f>Transfers!$A$50</c:f>
              <c:strCache>
                <c:ptCount val="1"/>
                <c:pt idx="0">
                  <c:v>2 boards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Transfers!$B$48:$H$48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Transfers!$B$50:$H$50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4-44E3-B993-88937A65A0A8}"/>
            </c:ext>
          </c:extLst>
        </c:ser>
        <c:ser>
          <c:idx val="2"/>
          <c:order val="2"/>
          <c:tx>
            <c:strRef>
              <c:f>Transfers!$A$51</c:f>
              <c:strCache>
                <c:ptCount val="1"/>
                <c:pt idx="0">
                  <c:v>3 boards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Transfers!$B$48:$H$48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Transfers!$B$51:$H$51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A4-44E3-B993-88937A65A0A8}"/>
            </c:ext>
          </c:extLst>
        </c:ser>
        <c:ser>
          <c:idx val="3"/>
          <c:order val="3"/>
          <c:tx>
            <c:strRef>
              <c:f>Transfers!$A$52</c:f>
              <c:strCache>
                <c:ptCount val="1"/>
                <c:pt idx="0">
                  <c:v>4 boards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Transfers!$B$48:$H$48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Transfers!$B$52:$H$52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A4-44E3-B993-88937A65A0A8}"/>
            </c:ext>
          </c:extLst>
        </c:ser>
        <c:ser>
          <c:idx val="4"/>
          <c:order val="4"/>
          <c:tx>
            <c:strRef>
              <c:f>Transfers!$A$53</c:f>
              <c:strCache>
                <c:ptCount val="1"/>
                <c:pt idx="0">
                  <c:v>5 boards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Transfers!$B$48:$H$48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Transfers!$B$53:$H$53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A4-44E3-B993-88937A65A0A8}"/>
            </c:ext>
          </c:extLst>
        </c:ser>
        <c:ser>
          <c:idx val="5"/>
          <c:order val="5"/>
          <c:tx>
            <c:strRef>
              <c:f>Transfers!$A$54</c:f>
              <c:strCache>
                <c:ptCount val="1"/>
                <c:pt idx="0">
                  <c:v>6 boards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Transfers!$B$48:$H$48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Transfers!$B$54:$H$54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A4-44E3-B993-88937A65A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110761071"/>
        <c:axId val="1146876047"/>
      </c:barChart>
      <c:catAx>
        <c:axId val="111076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76047"/>
        <c:crosses val="autoZero"/>
        <c:auto val="1"/>
        <c:lblAlgn val="ctr"/>
        <c:lblOffset val="100"/>
        <c:noMultiLvlLbl val="0"/>
      </c:catAx>
      <c:valAx>
        <c:axId val="11468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6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Modeled,</a:t>
            </a:r>
            <a:r>
              <a:rPr lang="en-US" sz="1200" b="0" i="0" u="none" strike="noStrike" baseline="0">
                <a:effectLst/>
              </a:rPr>
              <a:t> Walk Access and Egress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Transfers!$K$49</c:f>
              <c:strCache>
                <c:ptCount val="1"/>
                <c:pt idx="0">
                  <c:v>1 board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Transfers!$L$48:$R$48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Transfers!$L$49:$R$49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1-494A-AF1C-5662159975EB}"/>
            </c:ext>
          </c:extLst>
        </c:ser>
        <c:ser>
          <c:idx val="1"/>
          <c:order val="1"/>
          <c:tx>
            <c:strRef>
              <c:f>Transfers!$K$50</c:f>
              <c:strCache>
                <c:ptCount val="1"/>
                <c:pt idx="0">
                  <c:v>2 boards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Transfers!$L$48:$R$48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Transfers!$L$50:$R$50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1-494A-AF1C-5662159975EB}"/>
            </c:ext>
          </c:extLst>
        </c:ser>
        <c:ser>
          <c:idx val="2"/>
          <c:order val="2"/>
          <c:tx>
            <c:strRef>
              <c:f>Transfers!$K$51</c:f>
              <c:strCache>
                <c:ptCount val="1"/>
                <c:pt idx="0">
                  <c:v>3 boards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Transfers!$L$48:$R$48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Transfers!$L$51:$R$51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61-494A-AF1C-5662159975EB}"/>
            </c:ext>
          </c:extLst>
        </c:ser>
        <c:ser>
          <c:idx val="3"/>
          <c:order val="3"/>
          <c:tx>
            <c:strRef>
              <c:f>Transfers!$K$52</c:f>
              <c:strCache>
                <c:ptCount val="1"/>
                <c:pt idx="0">
                  <c:v>4 boards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Transfers!$L$48:$R$48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Transfers!$L$52:$R$52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61-494A-AF1C-5662159975EB}"/>
            </c:ext>
          </c:extLst>
        </c:ser>
        <c:ser>
          <c:idx val="4"/>
          <c:order val="4"/>
          <c:tx>
            <c:strRef>
              <c:f>Transfers!$K$53</c:f>
              <c:strCache>
                <c:ptCount val="1"/>
                <c:pt idx="0">
                  <c:v>5 boards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Transfers!$L$48:$R$48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Transfers!$L$53:$R$53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61-494A-AF1C-5662159975EB}"/>
            </c:ext>
          </c:extLst>
        </c:ser>
        <c:ser>
          <c:idx val="5"/>
          <c:order val="5"/>
          <c:tx>
            <c:strRef>
              <c:f>Transfers!$K$54</c:f>
              <c:strCache>
                <c:ptCount val="1"/>
                <c:pt idx="0">
                  <c:v>6 boards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Transfers!$L$48:$R$48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Transfers!$L$54:$R$54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61-494A-AF1C-566215997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110761071"/>
        <c:axId val="1146876047"/>
      </c:barChart>
      <c:catAx>
        <c:axId val="111076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76047"/>
        <c:crosses val="autoZero"/>
        <c:auto val="1"/>
        <c:lblAlgn val="ctr"/>
        <c:lblOffset val="100"/>
        <c:noMultiLvlLbl val="0"/>
      </c:catAx>
      <c:valAx>
        <c:axId val="11468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6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OnBoard Survey</a:t>
            </a:r>
            <a:r>
              <a:rPr lang="en-US" sz="1200" baseline="0"/>
              <a:t> Counts, Drive Access or Egress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Transfers!$A$84</c:f>
              <c:strCache>
                <c:ptCount val="1"/>
                <c:pt idx="0">
                  <c:v>1 board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Transfers!$B$83:$H$83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Transfers!$B$84:$H$84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5-46A0-AFFD-68FA9F3B4E3D}"/>
            </c:ext>
          </c:extLst>
        </c:ser>
        <c:ser>
          <c:idx val="1"/>
          <c:order val="1"/>
          <c:tx>
            <c:strRef>
              <c:f>Transfers!$A$85</c:f>
              <c:strCache>
                <c:ptCount val="1"/>
                <c:pt idx="0">
                  <c:v>2 boards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Transfers!$B$83:$H$83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Transfers!$B$85:$H$85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5-46A0-AFFD-68FA9F3B4E3D}"/>
            </c:ext>
          </c:extLst>
        </c:ser>
        <c:ser>
          <c:idx val="2"/>
          <c:order val="2"/>
          <c:tx>
            <c:strRef>
              <c:f>Transfers!$A$86</c:f>
              <c:strCache>
                <c:ptCount val="1"/>
                <c:pt idx="0">
                  <c:v>3 boards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Transfers!$B$83:$H$83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Transfers!$B$86:$H$86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55-46A0-AFFD-68FA9F3B4E3D}"/>
            </c:ext>
          </c:extLst>
        </c:ser>
        <c:ser>
          <c:idx val="3"/>
          <c:order val="3"/>
          <c:tx>
            <c:strRef>
              <c:f>Transfers!$A$87</c:f>
              <c:strCache>
                <c:ptCount val="1"/>
                <c:pt idx="0">
                  <c:v>4 boards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Transfers!$B$83:$H$83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Transfers!$B$87:$H$87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55-46A0-AFFD-68FA9F3B4E3D}"/>
            </c:ext>
          </c:extLst>
        </c:ser>
        <c:ser>
          <c:idx val="4"/>
          <c:order val="4"/>
          <c:tx>
            <c:strRef>
              <c:f>Transfers!$A$88</c:f>
              <c:strCache>
                <c:ptCount val="1"/>
                <c:pt idx="0">
                  <c:v>5 boards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Transfers!$B$83:$H$83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Transfers!$B$88:$H$88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55-46A0-AFFD-68FA9F3B4E3D}"/>
            </c:ext>
          </c:extLst>
        </c:ser>
        <c:ser>
          <c:idx val="5"/>
          <c:order val="5"/>
          <c:tx>
            <c:strRef>
              <c:f>Transfers!$A$89</c:f>
              <c:strCache>
                <c:ptCount val="1"/>
                <c:pt idx="0">
                  <c:v>6 boards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Transfers!$B$83:$H$83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Transfers!$B$89:$H$89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55-46A0-AFFD-68FA9F3B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110761071"/>
        <c:axId val="1146876047"/>
      </c:barChart>
      <c:catAx>
        <c:axId val="111076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76047"/>
        <c:crosses val="autoZero"/>
        <c:auto val="1"/>
        <c:lblAlgn val="ctr"/>
        <c:lblOffset val="100"/>
        <c:noMultiLvlLbl val="0"/>
      </c:catAx>
      <c:valAx>
        <c:axId val="11468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6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Modeled,</a:t>
            </a:r>
            <a:r>
              <a:rPr lang="en-US" sz="1200" b="0" i="0" u="none" strike="noStrike" baseline="0">
                <a:effectLst/>
              </a:rPr>
              <a:t> Drive Access or Egress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Transfers!$K$84</c:f>
              <c:strCache>
                <c:ptCount val="1"/>
                <c:pt idx="0">
                  <c:v>1 board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Transfers!$L$83:$R$83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Transfers!$L$84:$R$84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9-4254-99BB-C140BFDCAD63}"/>
            </c:ext>
          </c:extLst>
        </c:ser>
        <c:ser>
          <c:idx val="1"/>
          <c:order val="1"/>
          <c:tx>
            <c:strRef>
              <c:f>Transfers!$K$85</c:f>
              <c:strCache>
                <c:ptCount val="1"/>
                <c:pt idx="0">
                  <c:v>2 boards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Transfers!$L$83:$R$83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Transfers!$L$85:$R$85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9-4254-99BB-C140BFDCAD63}"/>
            </c:ext>
          </c:extLst>
        </c:ser>
        <c:ser>
          <c:idx val="2"/>
          <c:order val="2"/>
          <c:tx>
            <c:strRef>
              <c:f>Transfers!$K$86</c:f>
              <c:strCache>
                <c:ptCount val="1"/>
                <c:pt idx="0">
                  <c:v>3 boards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Transfers!$L$83:$R$83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Transfers!$L$86:$R$86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89-4254-99BB-C140BFDCAD63}"/>
            </c:ext>
          </c:extLst>
        </c:ser>
        <c:ser>
          <c:idx val="3"/>
          <c:order val="3"/>
          <c:tx>
            <c:strRef>
              <c:f>Transfers!$K$87</c:f>
              <c:strCache>
                <c:ptCount val="1"/>
                <c:pt idx="0">
                  <c:v>4 boards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Transfers!$L$83:$R$83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Transfers!$L$87:$R$87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89-4254-99BB-C140BFDCAD63}"/>
            </c:ext>
          </c:extLst>
        </c:ser>
        <c:ser>
          <c:idx val="4"/>
          <c:order val="4"/>
          <c:tx>
            <c:strRef>
              <c:f>Transfers!$K$88</c:f>
              <c:strCache>
                <c:ptCount val="1"/>
                <c:pt idx="0">
                  <c:v>5 boards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Transfers!$L$83:$R$83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Transfers!$L$88:$R$88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89-4254-99BB-C140BFDCAD63}"/>
            </c:ext>
          </c:extLst>
        </c:ser>
        <c:ser>
          <c:idx val="5"/>
          <c:order val="5"/>
          <c:tx>
            <c:strRef>
              <c:f>Transfers!$K$89</c:f>
              <c:strCache>
                <c:ptCount val="1"/>
                <c:pt idx="0">
                  <c:v>6 boards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Transfers!$L$83:$R$83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Transfers!$L$89:$R$89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89-4254-99BB-C140BFDCA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110761071"/>
        <c:axId val="1146876047"/>
      </c:barChart>
      <c:catAx>
        <c:axId val="111076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76047"/>
        <c:crosses val="autoZero"/>
        <c:auto val="1"/>
        <c:lblAlgn val="ctr"/>
        <c:lblOffset val="100"/>
        <c:noMultiLvlLbl val="0"/>
      </c:catAx>
      <c:valAx>
        <c:axId val="11468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6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Modeled 2-Board Transit Trips: </a:t>
            </a:r>
            <a:endParaRPr lang="en-US" sz="1200">
              <a:effectLst/>
            </a:endParaRPr>
          </a:p>
          <a:p>
            <a:pPr>
              <a:defRPr sz="1200"/>
            </a:pPr>
            <a:r>
              <a:rPr lang="en-US" sz="1200" b="0" i="0" baseline="0">
                <a:effectLst/>
              </a:rPr>
              <a:t>First Transit Mode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FirstTransitMode!$C$22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FirstTransitMode!$D$22:$J$22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5-4FF5-B1D3-846241200BF4}"/>
            </c:ext>
          </c:extLst>
        </c:ser>
        <c:ser>
          <c:idx val="1"/>
          <c:order val="1"/>
          <c:tx>
            <c:strRef>
              <c:f>FirstTransitMode!$C$23</c:f>
              <c:strCache>
                <c:ptCount val="1"/>
                <c:pt idx="0">
                  <c:v>Ferry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FirstTransitMode!$D$23:$J$23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5-4FF5-B1D3-846241200BF4}"/>
            </c:ext>
          </c:extLst>
        </c:ser>
        <c:ser>
          <c:idx val="2"/>
          <c:order val="2"/>
          <c:tx>
            <c:strRef>
              <c:f>FirstTransitMode!$C$24</c:f>
              <c:strCache>
                <c:ptCount val="1"/>
                <c:pt idx="0">
                  <c:v>LRT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FirstTransitMode!$D$24:$J$24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45-4FF5-B1D3-846241200BF4}"/>
            </c:ext>
          </c:extLst>
        </c:ser>
        <c:ser>
          <c:idx val="3"/>
          <c:order val="3"/>
          <c:tx>
            <c:strRef>
              <c:f>FirstTransitMode!$C$25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FirstTransitMode!$D$25:$J$25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45-4FF5-B1D3-846241200BF4}"/>
            </c:ext>
          </c:extLst>
        </c:ser>
        <c:ser>
          <c:idx val="4"/>
          <c:order val="4"/>
          <c:tx>
            <c:strRef>
              <c:f>FirstTransitMode!$C$26</c:f>
              <c:strCache>
                <c:ptCount val="1"/>
                <c:pt idx="0">
                  <c:v>HeavyRail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FirstTransitMode!$D$26:$J$26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45-4FF5-B1D3-846241200BF4}"/>
            </c:ext>
          </c:extLst>
        </c:ser>
        <c:ser>
          <c:idx val="5"/>
          <c:order val="5"/>
          <c:tx>
            <c:strRef>
              <c:f>FirstTransitMode!$C$27</c:f>
              <c:strCache>
                <c:ptCount val="1"/>
                <c:pt idx="0">
                  <c:v>CommRail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FirstTransitMode!$D$27:$J$27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45-4FF5-B1D3-846241200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36046928"/>
        <c:axId val="165192464"/>
      </c:barChart>
      <c:catAx>
        <c:axId val="173604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2464"/>
        <c:crosses val="autoZero"/>
        <c:auto val="1"/>
        <c:lblAlgn val="ctr"/>
        <c:lblOffset val="100"/>
        <c:noMultiLvlLbl val="0"/>
      </c:catAx>
      <c:valAx>
        <c:axId val="1651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11715309090642"/>
          <c:y val="0.23391039661708954"/>
          <c:w val="0.21749691544967137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Modeled 3-Board Transit Trips: </a:t>
            </a:r>
            <a:endParaRPr lang="en-US" sz="1200">
              <a:effectLst/>
            </a:endParaRPr>
          </a:p>
          <a:p>
            <a:pPr>
              <a:defRPr sz="1200"/>
            </a:pPr>
            <a:r>
              <a:rPr lang="en-US" sz="1200" b="0" i="0" baseline="0">
                <a:effectLst/>
              </a:rPr>
              <a:t>First Transit Mode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FirstTransitMode!$C$30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FirstTransitMode!$D$30:$J$30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C-4FE9-A83D-2C6D4490AB2A}"/>
            </c:ext>
          </c:extLst>
        </c:ser>
        <c:ser>
          <c:idx val="1"/>
          <c:order val="1"/>
          <c:tx>
            <c:strRef>
              <c:f>FirstTransitMode!$C$31</c:f>
              <c:strCache>
                <c:ptCount val="1"/>
                <c:pt idx="0">
                  <c:v>Ferry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FirstTransitMode!$D$31:$J$31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C-4FE9-A83D-2C6D4490AB2A}"/>
            </c:ext>
          </c:extLst>
        </c:ser>
        <c:ser>
          <c:idx val="2"/>
          <c:order val="2"/>
          <c:tx>
            <c:strRef>
              <c:f>FirstTransitMode!$C$32</c:f>
              <c:strCache>
                <c:ptCount val="1"/>
                <c:pt idx="0">
                  <c:v>LRT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FirstTransitMode!$D$32:$J$32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8C-4FE9-A83D-2C6D4490AB2A}"/>
            </c:ext>
          </c:extLst>
        </c:ser>
        <c:ser>
          <c:idx val="3"/>
          <c:order val="3"/>
          <c:tx>
            <c:strRef>
              <c:f>FirstTransitMode!$C$33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FirstTransitMode!$D$33:$J$33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8C-4FE9-A83D-2C6D4490AB2A}"/>
            </c:ext>
          </c:extLst>
        </c:ser>
        <c:ser>
          <c:idx val="4"/>
          <c:order val="4"/>
          <c:tx>
            <c:strRef>
              <c:f>FirstTransitMode!$C$34</c:f>
              <c:strCache>
                <c:ptCount val="1"/>
                <c:pt idx="0">
                  <c:v>HeavyRail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FirstTransitMode!$D$34:$J$34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8C-4FE9-A83D-2C6D4490AB2A}"/>
            </c:ext>
          </c:extLst>
        </c:ser>
        <c:ser>
          <c:idx val="5"/>
          <c:order val="5"/>
          <c:tx>
            <c:strRef>
              <c:f>FirstTransitMode!$C$35</c:f>
              <c:strCache>
                <c:ptCount val="1"/>
                <c:pt idx="0">
                  <c:v>CommRail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FirstTransitMode!$D$21:$J$21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FirstTransitMode!$D$35:$J$35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8C-4FE9-A83D-2C6D4490A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36046928"/>
        <c:axId val="165192464"/>
      </c:barChart>
      <c:catAx>
        <c:axId val="173604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2464"/>
        <c:crosses val="autoZero"/>
        <c:auto val="1"/>
        <c:lblAlgn val="ctr"/>
        <c:lblOffset val="100"/>
        <c:noMultiLvlLbl val="0"/>
      </c:catAx>
      <c:valAx>
        <c:axId val="1651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4583427071616"/>
          <c:y val="0.23391039661708954"/>
          <c:w val="0.20997555305586804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Modeled 2-Board Wlk-Transit-Wlk Trips: </a:t>
            </a:r>
            <a:endParaRPr lang="en-US" sz="1200">
              <a:effectLst/>
            </a:endParaRPr>
          </a:p>
          <a:p>
            <a:pPr>
              <a:defRPr sz="1200"/>
            </a:pPr>
            <a:r>
              <a:rPr lang="en-US" sz="1200" b="0" i="0" baseline="0">
                <a:effectLst/>
              </a:rPr>
              <a:t>First Transit Mode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FirstTransitMode!$N$22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FirstTransitMode!$O$22:$U$22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7-4324-9516-D1AEF6F24DD6}"/>
            </c:ext>
          </c:extLst>
        </c:ser>
        <c:ser>
          <c:idx val="1"/>
          <c:order val="1"/>
          <c:tx>
            <c:strRef>
              <c:f>FirstTransitMode!$N$23</c:f>
              <c:strCache>
                <c:ptCount val="1"/>
                <c:pt idx="0">
                  <c:v>Ferry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FirstTransitMode!$O$23:$U$23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7-4324-9516-D1AEF6F24DD6}"/>
            </c:ext>
          </c:extLst>
        </c:ser>
        <c:ser>
          <c:idx val="2"/>
          <c:order val="2"/>
          <c:tx>
            <c:strRef>
              <c:f>FirstTransitMode!$N$24</c:f>
              <c:strCache>
                <c:ptCount val="1"/>
                <c:pt idx="0">
                  <c:v>LRT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FirstTransitMode!$O$24:$U$24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7-4324-9516-D1AEF6F24DD6}"/>
            </c:ext>
          </c:extLst>
        </c:ser>
        <c:ser>
          <c:idx val="3"/>
          <c:order val="3"/>
          <c:tx>
            <c:strRef>
              <c:f>FirstTransitMode!$N$25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FirstTransitMode!$O$25:$U$25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67-4324-9516-D1AEF6F24DD6}"/>
            </c:ext>
          </c:extLst>
        </c:ser>
        <c:ser>
          <c:idx val="4"/>
          <c:order val="4"/>
          <c:tx>
            <c:strRef>
              <c:f>FirstTransitMode!$N$26</c:f>
              <c:strCache>
                <c:ptCount val="1"/>
                <c:pt idx="0">
                  <c:v>HeavyRail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FirstTransitMode!$O$26:$U$26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67-4324-9516-D1AEF6F24DD6}"/>
            </c:ext>
          </c:extLst>
        </c:ser>
        <c:ser>
          <c:idx val="5"/>
          <c:order val="5"/>
          <c:tx>
            <c:strRef>
              <c:f>FirstTransitMode!$N$27</c:f>
              <c:strCache>
                <c:ptCount val="1"/>
                <c:pt idx="0">
                  <c:v>CommRail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FirstTransitMode!$O$27:$U$27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67-4324-9516-D1AEF6F24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36046928"/>
        <c:axId val="165192464"/>
      </c:barChart>
      <c:catAx>
        <c:axId val="173604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2464"/>
        <c:crosses val="autoZero"/>
        <c:auto val="1"/>
        <c:lblAlgn val="ctr"/>
        <c:lblOffset val="100"/>
        <c:noMultiLvlLbl val="0"/>
      </c:catAx>
      <c:valAx>
        <c:axId val="1651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42627759765323"/>
          <c:y val="0.21539187809857102"/>
          <c:w val="0.21318746921340714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Modeled 3-Board Wlk-Transit-Wlk Trips: </a:t>
            </a:r>
            <a:endParaRPr lang="en-US" sz="1200">
              <a:effectLst/>
            </a:endParaRPr>
          </a:p>
          <a:p>
            <a:pPr>
              <a:defRPr sz="1200"/>
            </a:pPr>
            <a:r>
              <a:rPr lang="en-US" sz="1200" b="0" i="0" baseline="0">
                <a:effectLst/>
              </a:rPr>
              <a:t>First Transit Mode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FirstTransitMode!$N$30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FirstTransitMode!$O$30:$U$30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2-4762-88B3-7BC8CD7F34C8}"/>
            </c:ext>
          </c:extLst>
        </c:ser>
        <c:ser>
          <c:idx val="1"/>
          <c:order val="1"/>
          <c:tx>
            <c:strRef>
              <c:f>FirstTransitMode!$N$31</c:f>
              <c:strCache>
                <c:ptCount val="1"/>
                <c:pt idx="0">
                  <c:v>Ferry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FirstTransitMode!$O$31:$U$31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2-4762-88B3-7BC8CD7F34C8}"/>
            </c:ext>
          </c:extLst>
        </c:ser>
        <c:ser>
          <c:idx val="2"/>
          <c:order val="2"/>
          <c:tx>
            <c:strRef>
              <c:f>FirstTransitMode!$N$32</c:f>
              <c:strCache>
                <c:ptCount val="1"/>
                <c:pt idx="0">
                  <c:v>LRT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FirstTransitMode!$O$32:$U$32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72-4762-88B3-7BC8CD7F34C8}"/>
            </c:ext>
          </c:extLst>
        </c:ser>
        <c:ser>
          <c:idx val="3"/>
          <c:order val="3"/>
          <c:tx>
            <c:strRef>
              <c:f>FirstTransitMode!$N$33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FirstTransitMode!$O$33:$U$33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72-4762-88B3-7BC8CD7F34C8}"/>
            </c:ext>
          </c:extLst>
        </c:ser>
        <c:ser>
          <c:idx val="4"/>
          <c:order val="4"/>
          <c:tx>
            <c:strRef>
              <c:f>FirstTransitMode!$N$34</c:f>
              <c:strCache>
                <c:ptCount val="1"/>
                <c:pt idx="0">
                  <c:v>HeavyRail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FirstTransitMode!$O$34:$U$34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72-4762-88B3-7BC8CD7F34C8}"/>
            </c:ext>
          </c:extLst>
        </c:ser>
        <c:ser>
          <c:idx val="5"/>
          <c:order val="5"/>
          <c:tx>
            <c:strRef>
              <c:f>FirstTransitMode!$N$35</c:f>
              <c:strCache>
                <c:ptCount val="1"/>
                <c:pt idx="0">
                  <c:v>CommRail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FirstTransitMode!$O$21:$U$21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FirstTransitMode!$O$35:$U$35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72-4762-88B3-7BC8CD7F3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36046928"/>
        <c:axId val="165192464"/>
      </c:barChart>
      <c:catAx>
        <c:axId val="173604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2464"/>
        <c:crosses val="autoZero"/>
        <c:auto val="1"/>
        <c:lblAlgn val="ctr"/>
        <c:lblOffset val="100"/>
        <c:noMultiLvlLbl val="0"/>
      </c:catAx>
      <c:valAx>
        <c:axId val="1651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34222009031614"/>
          <c:y val="0.21539187809857102"/>
          <c:w val="0.21427169571659574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Modeled 2-Board Drv-Transit-Wlk Trips: </a:t>
            </a:r>
            <a:endParaRPr lang="en-US" sz="1200">
              <a:effectLst/>
            </a:endParaRPr>
          </a:p>
          <a:p>
            <a:pPr>
              <a:defRPr sz="1200"/>
            </a:pPr>
            <a:r>
              <a:rPr lang="en-US" sz="1200" b="0" i="0" baseline="0">
                <a:effectLst/>
              </a:rPr>
              <a:t>First Transit Mode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FirstTransitMode!$Y$22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FirstTransitMode!$Z$22:$AF$22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0-47CE-870A-941098EBB076}"/>
            </c:ext>
          </c:extLst>
        </c:ser>
        <c:ser>
          <c:idx val="1"/>
          <c:order val="1"/>
          <c:tx>
            <c:strRef>
              <c:f>FirstTransitMode!$Y$23</c:f>
              <c:strCache>
                <c:ptCount val="1"/>
                <c:pt idx="0">
                  <c:v>Ferry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FirstTransitMode!$Z$23:$AF$23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D0-47CE-870A-941098EBB076}"/>
            </c:ext>
          </c:extLst>
        </c:ser>
        <c:ser>
          <c:idx val="2"/>
          <c:order val="2"/>
          <c:tx>
            <c:strRef>
              <c:f>FirstTransitMode!$Y$24</c:f>
              <c:strCache>
                <c:ptCount val="1"/>
                <c:pt idx="0">
                  <c:v>LRT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FirstTransitMode!$Z$24:$AF$24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D0-47CE-870A-941098EBB076}"/>
            </c:ext>
          </c:extLst>
        </c:ser>
        <c:ser>
          <c:idx val="3"/>
          <c:order val="3"/>
          <c:tx>
            <c:strRef>
              <c:f>FirstTransitMode!$Y$25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FirstTransitMode!$Z$25:$AF$25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D0-47CE-870A-941098EBB076}"/>
            </c:ext>
          </c:extLst>
        </c:ser>
        <c:ser>
          <c:idx val="4"/>
          <c:order val="4"/>
          <c:tx>
            <c:strRef>
              <c:f>FirstTransitMode!$Y$26</c:f>
              <c:strCache>
                <c:ptCount val="1"/>
                <c:pt idx="0">
                  <c:v>HeavyRail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FirstTransitMode!$Z$26:$AF$26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D0-47CE-870A-941098EBB076}"/>
            </c:ext>
          </c:extLst>
        </c:ser>
        <c:ser>
          <c:idx val="5"/>
          <c:order val="5"/>
          <c:tx>
            <c:strRef>
              <c:f>FirstTransitMode!$Y$27</c:f>
              <c:strCache>
                <c:ptCount val="1"/>
                <c:pt idx="0">
                  <c:v>CommRail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FirstTransitMode!$Z$27:$AF$27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D0-47CE-870A-941098EBB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36046928"/>
        <c:axId val="165192464"/>
      </c:barChart>
      <c:catAx>
        <c:axId val="173604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2464"/>
        <c:crosses val="autoZero"/>
        <c:auto val="1"/>
        <c:lblAlgn val="ctr"/>
        <c:lblOffset val="100"/>
        <c:noMultiLvlLbl val="0"/>
      </c:catAx>
      <c:valAx>
        <c:axId val="1651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42627759765323"/>
          <c:y val="0.21539187809857102"/>
          <c:w val="0.21318746921340714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Modeled 3-Board Drv-Transit-Wlk Trips: </a:t>
            </a:r>
            <a:endParaRPr lang="en-US" sz="1200">
              <a:effectLst/>
            </a:endParaRPr>
          </a:p>
          <a:p>
            <a:pPr>
              <a:defRPr sz="1200"/>
            </a:pPr>
            <a:r>
              <a:rPr lang="en-US" sz="1200" b="0" i="0" baseline="0">
                <a:effectLst/>
              </a:rPr>
              <a:t>First Transit Mode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FirstTransitMode!$Y$30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FirstTransitMode!$Z$30:$AF$30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F-4587-8347-0DF91ECA2E9E}"/>
            </c:ext>
          </c:extLst>
        </c:ser>
        <c:ser>
          <c:idx val="1"/>
          <c:order val="1"/>
          <c:tx>
            <c:strRef>
              <c:f>FirstTransitMode!$Y$31</c:f>
              <c:strCache>
                <c:ptCount val="1"/>
                <c:pt idx="0">
                  <c:v>Ferry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FirstTransitMode!$Z$31:$AF$31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F-4587-8347-0DF91ECA2E9E}"/>
            </c:ext>
          </c:extLst>
        </c:ser>
        <c:ser>
          <c:idx val="2"/>
          <c:order val="2"/>
          <c:tx>
            <c:strRef>
              <c:f>FirstTransitMode!$Y$32</c:f>
              <c:strCache>
                <c:ptCount val="1"/>
                <c:pt idx="0">
                  <c:v>LRT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FirstTransitMode!$Z$32:$AF$32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1F-4587-8347-0DF91ECA2E9E}"/>
            </c:ext>
          </c:extLst>
        </c:ser>
        <c:ser>
          <c:idx val="3"/>
          <c:order val="3"/>
          <c:tx>
            <c:strRef>
              <c:f>FirstTransitMode!$Y$33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FirstTransitMode!$Z$33:$AF$33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1F-4587-8347-0DF91ECA2E9E}"/>
            </c:ext>
          </c:extLst>
        </c:ser>
        <c:ser>
          <c:idx val="4"/>
          <c:order val="4"/>
          <c:tx>
            <c:strRef>
              <c:f>FirstTransitMode!$Y$34</c:f>
              <c:strCache>
                <c:ptCount val="1"/>
                <c:pt idx="0">
                  <c:v>HeavyRail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FirstTransitMode!$Z$34:$AF$34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1F-4587-8347-0DF91ECA2E9E}"/>
            </c:ext>
          </c:extLst>
        </c:ser>
        <c:ser>
          <c:idx val="5"/>
          <c:order val="5"/>
          <c:tx>
            <c:strRef>
              <c:f>FirstTransitMode!$Y$35</c:f>
              <c:strCache>
                <c:ptCount val="1"/>
                <c:pt idx="0">
                  <c:v>CommRail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FirstTransitMode!$Z$21:$AF$21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FirstTransitMode!$Z$35:$AF$35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1F-4587-8347-0DF91ECA2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36046928"/>
        <c:axId val="165192464"/>
      </c:barChart>
      <c:catAx>
        <c:axId val="173604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2464"/>
        <c:crosses val="autoZero"/>
        <c:auto val="1"/>
        <c:lblAlgn val="ctr"/>
        <c:lblOffset val="100"/>
        <c:noMultiLvlLbl val="0"/>
      </c:catAx>
      <c:valAx>
        <c:axId val="1651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34222009031614"/>
          <c:y val="0.21539187809857102"/>
          <c:w val="0.21427169571659574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Modeled 2-Board Wlk-Transit-Drv Trips: </a:t>
            </a:r>
            <a:endParaRPr lang="en-US" sz="1200">
              <a:effectLst/>
            </a:endParaRPr>
          </a:p>
          <a:p>
            <a:pPr>
              <a:defRPr sz="1200"/>
            </a:pPr>
            <a:r>
              <a:rPr lang="en-US" sz="1200" b="0" i="0" baseline="0">
                <a:effectLst/>
              </a:rPr>
              <a:t>First Transit Mode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FirstTransitMode!$AJ$22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FirstTransitMode!$AK$22:$AQ$22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D-4A3B-94CD-31F4AD24D773}"/>
            </c:ext>
          </c:extLst>
        </c:ser>
        <c:ser>
          <c:idx val="1"/>
          <c:order val="1"/>
          <c:tx>
            <c:strRef>
              <c:f>FirstTransitMode!$AJ$23</c:f>
              <c:strCache>
                <c:ptCount val="1"/>
                <c:pt idx="0">
                  <c:v>Ferry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FirstTransitMode!$AK$23:$AQ$23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D-4A3B-94CD-31F4AD24D773}"/>
            </c:ext>
          </c:extLst>
        </c:ser>
        <c:ser>
          <c:idx val="2"/>
          <c:order val="2"/>
          <c:tx>
            <c:strRef>
              <c:f>FirstTransitMode!$AJ$24</c:f>
              <c:strCache>
                <c:ptCount val="1"/>
                <c:pt idx="0">
                  <c:v>LRT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FirstTransitMode!$AK$24:$AQ$24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4D-4A3B-94CD-31F4AD24D773}"/>
            </c:ext>
          </c:extLst>
        </c:ser>
        <c:ser>
          <c:idx val="3"/>
          <c:order val="3"/>
          <c:tx>
            <c:strRef>
              <c:f>FirstTransitMode!$AJ$25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FirstTransitMode!$AK$25:$AQ$25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4D-4A3B-94CD-31F4AD24D773}"/>
            </c:ext>
          </c:extLst>
        </c:ser>
        <c:ser>
          <c:idx val="4"/>
          <c:order val="4"/>
          <c:tx>
            <c:strRef>
              <c:f>FirstTransitMode!$AJ$26</c:f>
              <c:strCache>
                <c:ptCount val="1"/>
                <c:pt idx="0">
                  <c:v>HeavyRail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FirstTransitMode!$AK$26:$AQ$26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4D-4A3B-94CD-31F4AD24D773}"/>
            </c:ext>
          </c:extLst>
        </c:ser>
        <c:ser>
          <c:idx val="5"/>
          <c:order val="5"/>
          <c:tx>
            <c:strRef>
              <c:f>FirstTransitMode!$AJ$27</c:f>
              <c:strCache>
                <c:ptCount val="1"/>
                <c:pt idx="0">
                  <c:v>CommRail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FirstTransitMode!$AK$27:$AQ$27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4D-4A3B-94CD-31F4AD24D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36046928"/>
        <c:axId val="165192464"/>
      </c:barChart>
      <c:catAx>
        <c:axId val="173604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2464"/>
        <c:crosses val="autoZero"/>
        <c:auto val="1"/>
        <c:lblAlgn val="ctr"/>
        <c:lblOffset val="100"/>
        <c:noMultiLvlLbl val="0"/>
      </c:catAx>
      <c:valAx>
        <c:axId val="1651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42627759765323"/>
          <c:y val="0.21539187809857102"/>
          <c:w val="0.21318746921340714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Modeled 3-Board Wlk-Transit-Drv Trips: </a:t>
            </a:r>
            <a:endParaRPr lang="en-US" sz="1200">
              <a:effectLst/>
            </a:endParaRPr>
          </a:p>
          <a:p>
            <a:pPr>
              <a:defRPr sz="1200"/>
            </a:pPr>
            <a:r>
              <a:rPr lang="en-US" sz="1200" b="0" i="0" baseline="0">
                <a:effectLst/>
              </a:rPr>
              <a:t>First Transit Mode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FirstTransitMode!$AJ$30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FirstTransitMode!$AK$30:$AQ$30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E-454B-9775-1622AD200AE7}"/>
            </c:ext>
          </c:extLst>
        </c:ser>
        <c:ser>
          <c:idx val="1"/>
          <c:order val="1"/>
          <c:tx>
            <c:strRef>
              <c:f>FirstTransitMode!$AJ$31</c:f>
              <c:strCache>
                <c:ptCount val="1"/>
                <c:pt idx="0">
                  <c:v>Ferry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FirstTransitMode!$AK$31:$AQ$31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E-454B-9775-1622AD200AE7}"/>
            </c:ext>
          </c:extLst>
        </c:ser>
        <c:ser>
          <c:idx val="2"/>
          <c:order val="2"/>
          <c:tx>
            <c:strRef>
              <c:f>FirstTransitMode!$AJ$32</c:f>
              <c:strCache>
                <c:ptCount val="1"/>
                <c:pt idx="0">
                  <c:v>LRT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FirstTransitMode!$AK$32:$AQ$32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DE-454B-9775-1622AD200AE7}"/>
            </c:ext>
          </c:extLst>
        </c:ser>
        <c:ser>
          <c:idx val="3"/>
          <c:order val="3"/>
          <c:tx>
            <c:strRef>
              <c:f>FirstTransitMode!$AJ$33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FirstTransitMode!$AK$33:$AQ$33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DE-454B-9775-1622AD200AE7}"/>
            </c:ext>
          </c:extLst>
        </c:ser>
        <c:ser>
          <c:idx val="4"/>
          <c:order val="4"/>
          <c:tx>
            <c:strRef>
              <c:f>FirstTransitMode!$AJ$34</c:f>
              <c:strCache>
                <c:ptCount val="1"/>
                <c:pt idx="0">
                  <c:v>HeavyRail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FirstTransitMode!$AK$34:$AQ$34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DE-454B-9775-1622AD200AE7}"/>
            </c:ext>
          </c:extLst>
        </c:ser>
        <c:ser>
          <c:idx val="5"/>
          <c:order val="5"/>
          <c:tx>
            <c:strRef>
              <c:f>FirstTransitMode!$AJ$35</c:f>
              <c:strCache>
                <c:ptCount val="1"/>
                <c:pt idx="0">
                  <c:v>CommRail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FirstTransitMode!$AK$21:$AQ$21</c:f>
              <c:strCache>
                <c:ptCount val="7"/>
                <c:pt idx="0">
                  <c:v>Local Bus</c:v>
                </c:pt>
                <c:pt idx="1">
                  <c:v>Ferry</c:v>
                </c:pt>
                <c:pt idx="2">
                  <c:v>Light Rail</c:v>
                </c:pt>
                <c:pt idx="3">
                  <c:v>Express Bus</c:v>
                </c:pt>
                <c:pt idx="4">
                  <c:v>Heavy Rail</c:v>
                </c:pt>
                <c:pt idx="5">
                  <c:v>Commuter Rail</c:v>
                </c:pt>
                <c:pt idx="6">
                  <c:v>Total</c:v>
                </c:pt>
              </c:strCache>
            </c:strRef>
          </c:cat>
          <c:val>
            <c:numRef>
              <c:f>FirstTransitMode!$AK$35:$AQ$35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DE-454B-9775-1622AD200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36046928"/>
        <c:axId val="165192464"/>
      </c:barChart>
      <c:catAx>
        <c:axId val="173604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2464"/>
        <c:crosses val="autoZero"/>
        <c:auto val="1"/>
        <c:lblAlgn val="ctr"/>
        <c:lblOffset val="100"/>
        <c:noMultiLvlLbl val="0"/>
      </c:catAx>
      <c:valAx>
        <c:axId val="1651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34222009031614"/>
          <c:y val="0.21539187809857102"/>
          <c:w val="0.21427169571659574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Work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8864052627228014"/>
          <c:y val="3.4858387799564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84140839377759E-2"/>
          <c:y val="2.6405228758169946E-2"/>
          <c:w val="0.82521491001217528"/>
          <c:h val="0.75248577587932219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calibration!$DC$5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calibration!$DD$5:$EC$5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9-4F83-9CBE-516AEF2A7730}"/>
            </c:ext>
          </c:extLst>
        </c:ser>
        <c:ser>
          <c:idx val="2"/>
          <c:order val="1"/>
          <c:tx>
            <c:strRef>
              <c:f>calibration!$DC$6</c:f>
              <c:strCache>
                <c:ptCount val="1"/>
                <c:pt idx="0">
                  <c:v>SR2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calibration!$DD$6:$EC$6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9-4F83-9CBE-516AEF2A7730}"/>
            </c:ext>
          </c:extLst>
        </c:ser>
        <c:ser>
          <c:idx val="3"/>
          <c:order val="2"/>
          <c:tx>
            <c:strRef>
              <c:f>calibration!$DC$7</c:f>
              <c:strCache>
                <c:ptCount val="1"/>
                <c:pt idx="0">
                  <c:v>SR3+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calibration!$DD$7:$EC$7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79-4F83-9CBE-516AEF2A7730}"/>
            </c:ext>
          </c:extLst>
        </c:ser>
        <c:ser>
          <c:idx val="4"/>
          <c:order val="3"/>
          <c:tx>
            <c:strRef>
              <c:f>calibration!$DC$8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calibration!$DD$8:$EC$8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79-4F83-9CBE-516AEF2A7730}"/>
            </c:ext>
          </c:extLst>
        </c:ser>
        <c:ser>
          <c:idx val="5"/>
          <c:order val="4"/>
          <c:tx>
            <c:strRef>
              <c:f>calibration!$DC$9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calibration!$DD$9:$EC$9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79-4F83-9CBE-516AEF2A7730}"/>
            </c:ext>
          </c:extLst>
        </c:ser>
        <c:ser>
          <c:idx val="6"/>
          <c:order val="5"/>
          <c:tx>
            <c:strRef>
              <c:f>calibration!$DC$10</c:f>
              <c:strCache>
                <c:ptCount val="1"/>
                <c:pt idx="0">
                  <c:v>Walk-Local</c:v>
                </c:pt>
              </c:strCache>
            </c:strRef>
          </c:tx>
          <c:spPr>
            <a:solidFill>
              <a:srgbClr val="173A59"/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calibration!$DD$10:$EC$10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79-4F83-9CBE-516AEF2A7730}"/>
            </c:ext>
          </c:extLst>
        </c:ser>
        <c:ser>
          <c:idx val="7"/>
          <c:order val="6"/>
          <c:tx>
            <c:strRef>
              <c:f>calibration!$DC$11</c:f>
              <c:strCache>
                <c:ptCount val="1"/>
                <c:pt idx="0">
                  <c:v>Walk-LRT/Ferry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calibration!$DD$11:$EC$11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79-4F83-9CBE-516AEF2A7730}"/>
            </c:ext>
          </c:extLst>
        </c:ser>
        <c:ser>
          <c:idx val="8"/>
          <c:order val="7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79-4F83-9CBE-516AEF2A7730}"/>
            </c:ext>
          </c:extLst>
        </c:ser>
        <c:ser>
          <c:idx val="9"/>
          <c:order val="8"/>
          <c:tx>
            <c:strRef>
              <c:f>calibration!$DC$13</c:f>
              <c:strCache>
                <c:ptCount val="1"/>
                <c:pt idx="0">
                  <c:v>Walk-Express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calibration!$DD$13:$EC$13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79-4F83-9CBE-516AEF2A7730}"/>
            </c:ext>
          </c:extLst>
        </c:ser>
        <c:ser>
          <c:idx val="10"/>
          <c:order val="9"/>
          <c:tx>
            <c:strRef>
              <c:f>calibration!$DC$14</c:f>
              <c:strCache>
                <c:ptCount val="1"/>
                <c:pt idx="0">
                  <c:v>Walk-HeavyR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calibration!$DD$14:$EC$14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79-4F83-9CBE-516AEF2A7730}"/>
            </c:ext>
          </c:extLst>
        </c:ser>
        <c:ser>
          <c:idx val="11"/>
          <c:order val="10"/>
          <c:tx>
            <c:strRef>
              <c:f>calibration!$DC$15</c:f>
              <c:strCache>
                <c:ptCount val="1"/>
                <c:pt idx="0">
                  <c:v>Walk-CommR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calibration!$DD$15:$EC$15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79-4F83-9CBE-516AEF2A7730}"/>
            </c:ext>
          </c:extLst>
        </c:ser>
        <c:ser>
          <c:idx val="12"/>
          <c:order val="11"/>
          <c:tx>
            <c:strRef>
              <c:f>calibration!$DC$16</c:f>
              <c:strCache>
                <c:ptCount val="1"/>
                <c:pt idx="0">
                  <c:v>Drive-Local</c:v>
                </c:pt>
              </c:strCache>
            </c:strRef>
          </c:tx>
          <c:spPr>
            <a:solidFill>
              <a:srgbClr val="6A310A"/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calibration!$DD$16:$EC$16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79-4F83-9CBE-516AEF2A7730}"/>
            </c:ext>
          </c:extLst>
        </c:ser>
        <c:ser>
          <c:idx val="13"/>
          <c:order val="12"/>
          <c:tx>
            <c:strRef>
              <c:f>calibration!$DC$17</c:f>
              <c:strCache>
                <c:ptCount val="1"/>
                <c:pt idx="0">
                  <c:v>Drive-LRT/Ferry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calibration!$DD$17:$EC$17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79-4F83-9CBE-516AEF2A7730}"/>
            </c:ext>
          </c:extLst>
        </c:ser>
        <c:ser>
          <c:idx val="14"/>
          <c:order val="13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79-4F83-9CBE-516AEF2A7730}"/>
            </c:ext>
          </c:extLst>
        </c:ser>
        <c:ser>
          <c:idx val="15"/>
          <c:order val="14"/>
          <c:tx>
            <c:strRef>
              <c:f>calibration!$DC$21</c:f>
              <c:strCache>
                <c:ptCount val="1"/>
                <c:pt idx="0">
                  <c:v>Drive-CommR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calibration!$DD$21:$EC$21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79-4F83-9CBE-516AEF2A7730}"/>
            </c:ext>
          </c:extLst>
        </c:ser>
        <c:ser>
          <c:idx val="16"/>
          <c:order val="15"/>
          <c:tx>
            <c:strRef>
              <c:f>calibration!$DC$22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calibration!$DD$22:$EC$22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79-4F83-9CBE-516AEF2A7730}"/>
            </c:ext>
          </c:extLst>
        </c:ser>
        <c:ser>
          <c:idx val="17"/>
          <c:order val="16"/>
          <c:tx>
            <c:strRef>
              <c:f>calibration!$DC$23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calibration!$DD$23:$EC$23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79-4F83-9CBE-516AEF2A7730}"/>
            </c:ext>
          </c:extLst>
        </c:ser>
        <c:ser>
          <c:idx val="18"/>
          <c:order val="17"/>
          <c:tx>
            <c:strRef>
              <c:f>calibration!$DC$24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calibration!$DD$24:$EC$24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79-4F83-9CBE-516AEF2A7730}"/>
            </c:ext>
          </c:extLst>
        </c:ser>
        <c:ser>
          <c:idx val="19"/>
          <c:order val="18"/>
          <c:tx>
            <c:strRef>
              <c:f>calibration!$DC$12</c:f>
              <c:strCache>
                <c:ptCount val="1"/>
                <c:pt idx="0">
                  <c:v>Walk to ferry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calibration!$DD$12:$EC$12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79-4F83-9CBE-516AEF2A7730}"/>
            </c:ext>
          </c:extLst>
        </c:ser>
        <c:ser>
          <c:idx val="20"/>
          <c:order val="19"/>
          <c:tx>
            <c:strRef>
              <c:f>calibration!$DC$18</c:f>
              <c:strCache>
                <c:ptCount val="1"/>
                <c:pt idx="0">
                  <c:v>Drive to ferry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calibration!$DD$3:$EC$4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calibration!$DD$18:$EC$18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79-4F83-9CBE-516AEF2A7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834815904"/>
        <c:axId val="857279855"/>
      </c:barChart>
      <c:catAx>
        <c:axId val="8348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79855"/>
        <c:crosses val="autoZero"/>
        <c:auto val="1"/>
        <c:lblAlgn val="ctr"/>
        <c:lblOffset val="100"/>
        <c:noMultiLvlLbl val="0"/>
      </c:catAx>
      <c:valAx>
        <c:axId val="8572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66584393235193"/>
          <c:y val="0.11768045334202505"/>
          <c:w val="0.10642511214858207"/>
          <c:h val="0.8333391659375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University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8864052627228014"/>
          <c:y val="3.4858387799564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84140839377759E-2"/>
          <c:y val="2.6405228758169946E-2"/>
          <c:w val="0.82521491001217528"/>
          <c:h val="0.75248577587932219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calibration!$DC$31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calibration!$DD$31:$EC$31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9-4F83-9CBE-516AEF2A7730}"/>
            </c:ext>
          </c:extLst>
        </c:ser>
        <c:ser>
          <c:idx val="2"/>
          <c:order val="1"/>
          <c:tx>
            <c:strRef>
              <c:f>calibration!$DC$32</c:f>
              <c:strCache>
                <c:ptCount val="1"/>
                <c:pt idx="0">
                  <c:v>SR2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calibration!$DD$32:$EC$32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9-4F83-9CBE-516AEF2A7730}"/>
            </c:ext>
          </c:extLst>
        </c:ser>
        <c:ser>
          <c:idx val="3"/>
          <c:order val="2"/>
          <c:tx>
            <c:strRef>
              <c:f>calibration!$DC$33</c:f>
              <c:strCache>
                <c:ptCount val="1"/>
                <c:pt idx="0">
                  <c:v>SR3+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calibration!$DD$33:$EC$33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79-4F83-9CBE-516AEF2A7730}"/>
            </c:ext>
          </c:extLst>
        </c:ser>
        <c:ser>
          <c:idx val="4"/>
          <c:order val="3"/>
          <c:tx>
            <c:strRef>
              <c:f>calibration!$DC$34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calibration!$DD$34:$EC$34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79-4F83-9CBE-516AEF2A7730}"/>
            </c:ext>
          </c:extLst>
        </c:ser>
        <c:ser>
          <c:idx val="5"/>
          <c:order val="4"/>
          <c:tx>
            <c:strRef>
              <c:f>calibration!$DC$35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calibration!$DD$35:$EC$35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79-4F83-9CBE-516AEF2A7730}"/>
            </c:ext>
          </c:extLst>
        </c:ser>
        <c:ser>
          <c:idx val="6"/>
          <c:order val="5"/>
          <c:tx>
            <c:strRef>
              <c:f>calibration!$DC$36</c:f>
              <c:strCache>
                <c:ptCount val="1"/>
                <c:pt idx="0">
                  <c:v>Walk-Local</c:v>
                </c:pt>
              </c:strCache>
            </c:strRef>
          </c:tx>
          <c:spPr>
            <a:solidFill>
              <a:srgbClr val="173A59"/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calibration!$DD$36:$EC$36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79-4F83-9CBE-516AEF2A7730}"/>
            </c:ext>
          </c:extLst>
        </c:ser>
        <c:ser>
          <c:idx val="7"/>
          <c:order val="6"/>
          <c:tx>
            <c:strRef>
              <c:f>calibration!$DC$37</c:f>
              <c:strCache>
                <c:ptCount val="1"/>
                <c:pt idx="0">
                  <c:v>Walk-LRT/Ferry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calibration!$DD$37:$EC$37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79-4F83-9CBE-516AEF2A7730}"/>
            </c:ext>
          </c:extLst>
        </c:ser>
        <c:ser>
          <c:idx val="8"/>
          <c:order val="7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79-4F83-9CBE-516AEF2A7730}"/>
            </c:ext>
          </c:extLst>
        </c:ser>
        <c:ser>
          <c:idx val="9"/>
          <c:order val="8"/>
          <c:tx>
            <c:strRef>
              <c:f>calibration!$DC$39</c:f>
              <c:strCache>
                <c:ptCount val="1"/>
                <c:pt idx="0">
                  <c:v>Walk-Express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calibration!$DD$39:$EC$39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79-4F83-9CBE-516AEF2A7730}"/>
            </c:ext>
          </c:extLst>
        </c:ser>
        <c:ser>
          <c:idx val="10"/>
          <c:order val="9"/>
          <c:tx>
            <c:strRef>
              <c:f>calibration!$DC$40</c:f>
              <c:strCache>
                <c:ptCount val="1"/>
                <c:pt idx="0">
                  <c:v>Walk-HeavyR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calibration!$DD$40:$EC$40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79-4F83-9CBE-516AEF2A7730}"/>
            </c:ext>
          </c:extLst>
        </c:ser>
        <c:ser>
          <c:idx val="11"/>
          <c:order val="10"/>
          <c:tx>
            <c:strRef>
              <c:f>calibration!$DC$41</c:f>
              <c:strCache>
                <c:ptCount val="1"/>
                <c:pt idx="0">
                  <c:v>Walk-CommR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calibration!$DD$41:$EC$41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79-4F83-9CBE-516AEF2A7730}"/>
            </c:ext>
          </c:extLst>
        </c:ser>
        <c:ser>
          <c:idx val="12"/>
          <c:order val="11"/>
          <c:tx>
            <c:strRef>
              <c:f>calibration!$DC$42</c:f>
              <c:strCache>
                <c:ptCount val="1"/>
                <c:pt idx="0">
                  <c:v>Drive-Local</c:v>
                </c:pt>
              </c:strCache>
            </c:strRef>
          </c:tx>
          <c:spPr>
            <a:solidFill>
              <a:srgbClr val="6A310A"/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calibration!$DD$42:$EC$42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79-4F83-9CBE-516AEF2A7730}"/>
            </c:ext>
          </c:extLst>
        </c:ser>
        <c:ser>
          <c:idx val="13"/>
          <c:order val="12"/>
          <c:tx>
            <c:strRef>
              <c:f>calibration!$DC$43</c:f>
              <c:strCache>
                <c:ptCount val="1"/>
                <c:pt idx="0">
                  <c:v>Drive-LRT/Ferry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calibration!$DD$43:$EC$43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79-4F83-9CBE-516AEF2A7730}"/>
            </c:ext>
          </c:extLst>
        </c:ser>
        <c:ser>
          <c:idx val="14"/>
          <c:order val="13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79-4F83-9CBE-516AEF2A7730}"/>
            </c:ext>
          </c:extLst>
        </c:ser>
        <c:ser>
          <c:idx val="15"/>
          <c:order val="14"/>
          <c:tx>
            <c:strRef>
              <c:f>calibration!$DC$45</c:f>
              <c:strCache>
                <c:ptCount val="1"/>
                <c:pt idx="0">
                  <c:v>Drive-Express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calibration!$DD$45:$EC$45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79-4F83-9CBE-516AEF2A7730}"/>
            </c:ext>
          </c:extLst>
        </c:ser>
        <c:ser>
          <c:idx val="16"/>
          <c:order val="15"/>
          <c:tx>
            <c:strRef>
              <c:f>calibration!$DC$46</c:f>
              <c:strCache>
                <c:ptCount val="1"/>
                <c:pt idx="0">
                  <c:v>Drive-HeavyR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calibration!$DD$46:$EC$46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79-4F83-9CBE-516AEF2A7730}"/>
            </c:ext>
          </c:extLst>
        </c:ser>
        <c:ser>
          <c:idx val="17"/>
          <c:order val="16"/>
          <c:tx>
            <c:strRef>
              <c:f>calibration!$DC$47</c:f>
              <c:strCache>
                <c:ptCount val="1"/>
                <c:pt idx="0">
                  <c:v>Drive-CommR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calibration!$DD$47:$EC$47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79-4F83-9CBE-516AEF2A7730}"/>
            </c:ext>
          </c:extLst>
        </c:ser>
        <c:ser>
          <c:idx val="18"/>
          <c:order val="17"/>
          <c:tx>
            <c:strRef>
              <c:f>calibration!$DC$48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calibration!$DD$48:$EC$48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79-4F83-9CBE-516AEF2A7730}"/>
            </c:ext>
          </c:extLst>
        </c:ser>
        <c:ser>
          <c:idx val="19"/>
          <c:order val="18"/>
          <c:tx>
            <c:strRef>
              <c:f>calibration!$DC$49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calibration!$DD$49:$EC$49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79-4F83-9CBE-516AEF2A7730}"/>
            </c:ext>
          </c:extLst>
        </c:ser>
        <c:ser>
          <c:idx val="20"/>
          <c:order val="19"/>
          <c:tx>
            <c:strRef>
              <c:f>calibration!$DC$50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calibration!$DD$29:$EC$30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calibration!$DD$50:$EC$50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79-4F83-9CBE-516AEF2A7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834815904"/>
        <c:axId val="857279855"/>
      </c:barChart>
      <c:catAx>
        <c:axId val="8348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79855"/>
        <c:crosses val="autoZero"/>
        <c:auto val="1"/>
        <c:lblAlgn val="ctr"/>
        <c:lblOffset val="100"/>
        <c:noMultiLvlLbl val="0"/>
      </c:catAx>
      <c:valAx>
        <c:axId val="8572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66584393235193"/>
          <c:y val="0.11768045334202505"/>
          <c:w val="0.10642511214858207"/>
          <c:h val="0.8333391659375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School</a:t>
            </a:r>
          </a:p>
        </c:rich>
      </c:tx>
      <c:layout>
        <c:manualLayout>
          <c:xMode val="edge"/>
          <c:yMode val="edge"/>
          <c:x val="0.8864052627228014"/>
          <c:y val="3.4858387799564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84140839377759E-2"/>
          <c:y val="2.6405228758169946E-2"/>
          <c:w val="0.82521491001217528"/>
          <c:h val="0.75248577587932219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calibration!$DC$57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calibration!$DD$57:$EC$57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9-4F83-9CBE-516AEF2A7730}"/>
            </c:ext>
          </c:extLst>
        </c:ser>
        <c:ser>
          <c:idx val="2"/>
          <c:order val="1"/>
          <c:tx>
            <c:strRef>
              <c:f>calibration!$DC$58</c:f>
              <c:strCache>
                <c:ptCount val="1"/>
                <c:pt idx="0">
                  <c:v>SR2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calibration!$DD$58:$EC$58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9-4F83-9CBE-516AEF2A7730}"/>
            </c:ext>
          </c:extLst>
        </c:ser>
        <c:ser>
          <c:idx val="3"/>
          <c:order val="2"/>
          <c:tx>
            <c:strRef>
              <c:f>calibration!$DC$59</c:f>
              <c:strCache>
                <c:ptCount val="1"/>
                <c:pt idx="0">
                  <c:v>SR3+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calibration!$DD$59:$EC$59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79-4F83-9CBE-516AEF2A7730}"/>
            </c:ext>
          </c:extLst>
        </c:ser>
        <c:ser>
          <c:idx val="4"/>
          <c:order val="3"/>
          <c:tx>
            <c:strRef>
              <c:f>calibration!$DC$60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calibration!$DD$60:$EC$60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79-4F83-9CBE-516AEF2A7730}"/>
            </c:ext>
          </c:extLst>
        </c:ser>
        <c:ser>
          <c:idx val="5"/>
          <c:order val="4"/>
          <c:tx>
            <c:strRef>
              <c:f>calibration!$DC$61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calibration!$DD$61:$EC$61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79-4F83-9CBE-516AEF2A7730}"/>
            </c:ext>
          </c:extLst>
        </c:ser>
        <c:ser>
          <c:idx val="6"/>
          <c:order val="5"/>
          <c:tx>
            <c:strRef>
              <c:f>calibration!$DC$62</c:f>
              <c:strCache>
                <c:ptCount val="1"/>
                <c:pt idx="0">
                  <c:v>Walk-Local</c:v>
                </c:pt>
              </c:strCache>
            </c:strRef>
          </c:tx>
          <c:spPr>
            <a:solidFill>
              <a:srgbClr val="173A59"/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calibration!$DD$62:$EC$62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79-4F83-9CBE-516AEF2A7730}"/>
            </c:ext>
          </c:extLst>
        </c:ser>
        <c:ser>
          <c:idx val="7"/>
          <c:order val="6"/>
          <c:tx>
            <c:strRef>
              <c:f>calibration!$DC$63</c:f>
              <c:strCache>
                <c:ptCount val="1"/>
                <c:pt idx="0">
                  <c:v>Walk-LRT/Ferry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calibration!$DD$63:$EC$63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79-4F83-9CBE-516AEF2A7730}"/>
            </c:ext>
          </c:extLst>
        </c:ser>
        <c:ser>
          <c:idx val="8"/>
          <c:order val="7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79-4F83-9CBE-516AEF2A7730}"/>
            </c:ext>
          </c:extLst>
        </c:ser>
        <c:ser>
          <c:idx val="9"/>
          <c:order val="8"/>
          <c:tx>
            <c:strRef>
              <c:f>calibration!$DC$65</c:f>
              <c:strCache>
                <c:ptCount val="1"/>
                <c:pt idx="0">
                  <c:v>Walk-Express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calibration!$DD$65:$EC$65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79-4F83-9CBE-516AEF2A7730}"/>
            </c:ext>
          </c:extLst>
        </c:ser>
        <c:ser>
          <c:idx val="10"/>
          <c:order val="9"/>
          <c:tx>
            <c:strRef>
              <c:f>calibration!$DC$66</c:f>
              <c:strCache>
                <c:ptCount val="1"/>
                <c:pt idx="0">
                  <c:v>Walk-HeavyR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calibration!$DD$66:$EC$66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79-4F83-9CBE-516AEF2A7730}"/>
            </c:ext>
          </c:extLst>
        </c:ser>
        <c:ser>
          <c:idx val="11"/>
          <c:order val="10"/>
          <c:tx>
            <c:strRef>
              <c:f>calibration!$DC$67</c:f>
              <c:strCache>
                <c:ptCount val="1"/>
                <c:pt idx="0">
                  <c:v>Walk-CommR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calibration!$DD$67:$EC$67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79-4F83-9CBE-516AEF2A7730}"/>
            </c:ext>
          </c:extLst>
        </c:ser>
        <c:ser>
          <c:idx val="12"/>
          <c:order val="11"/>
          <c:tx>
            <c:strRef>
              <c:f>calibration!$DC$68</c:f>
              <c:strCache>
                <c:ptCount val="1"/>
                <c:pt idx="0">
                  <c:v>Drive-Local</c:v>
                </c:pt>
              </c:strCache>
            </c:strRef>
          </c:tx>
          <c:spPr>
            <a:solidFill>
              <a:srgbClr val="6A310A"/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calibration!$DD$68:$EC$68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79-4F83-9CBE-516AEF2A7730}"/>
            </c:ext>
          </c:extLst>
        </c:ser>
        <c:ser>
          <c:idx val="13"/>
          <c:order val="12"/>
          <c:tx>
            <c:strRef>
              <c:f>calibration!$DC$69</c:f>
              <c:strCache>
                <c:ptCount val="1"/>
                <c:pt idx="0">
                  <c:v>Drive-LRT/Ferry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calibration!$DD$69:$EC$69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79-4F83-9CBE-516AEF2A7730}"/>
            </c:ext>
          </c:extLst>
        </c:ser>
        <c:ser>
          <c:idx val="14"/>
          <c:order val="13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79-4F83-9CBE-516AEF2A7730}"/>
            </c:ext>
          </c:extLst>
        </c:ser>
        <c:ser>
          <c:idx val="15"/>
          <c:order val="14"/>
          <c:tx>
            <c:strRef>
              <c:f>calibration!$DC$71</c:f>
              <c:strCache>
                <c:ptCount val="1"/>
                <c:pt idx="0">
                  <c:v>Drive-Express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calibration!$DD$71:$EC$71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79-4F83-9CBE-516AEF2A7730}"/>
            </c:ext>
          </c:extLst>
        </c:ser>
        <c:ser>
          <c:idx val="16"/>
          <c:order val="15"/>
          <c:tx>
            <c:strRef>
              <c:f>calibration!$DC$72</c:f>
              <c:strCache>
                <c:ptCount val="1"/>
                <c:pt idx="0">
                  <c:v>Drive-HeavyR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calibration!$DD$72:$EC$72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79-4F83-9CBE-516AEF2A7730}"/>
            </c:ext>
          </c:extLst>
        </c:ser>
        <c:ser>
          <c:idx val="17"/>
          <c:order val="16"/>
          <c:tx>
            <c:strRef>
              <c:f>calibration!$DC$73</c:f>
              <c:strCache>
                <c:ptCount val="1"/>
                <c:pt idx="0">
                  <c:v>Drive-CommR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calibration!$DD$73:$EC$73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79-4F83-9CBE-516AEF2A7730}"/>
            </c:ext>
          </c:extLst>
        </c:ser>
        <c:ser>
          <c:idx val="18"/>
          <c:order val="17"/>
          <c:tx>
            <c:strRef>
              <c:f>calibration!$DC$74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calibration!$DD$74:$EC$74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79-4F83-9CBE-516AEF2A7730}"/>
            </c:ext>
          </c:extLst>
        </c:ser>
        <c:ser>
          <c:idx val="19"/>
          <c:order val="18"/>
          <c:tx>
            <c:strRef>
              <c:f>calibration!$DC$75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calibration!$DD$75:$EC$75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79-4F83-9CBE-516AEF2A7730}"/>
            </c:ext>
          </c:extLst>
        </c:ser>
        <c:ser>
          <c:idx val="20"/>
          <c:order val="19"/>
          <c:tx>
            <c:strRef>
              <c:f>calibration!$DC$76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calibration!$DD$55:$EC$56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calibration!$DD$76:$EC$76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79-4F83-9CBE-516AEF2A7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834815904"/>
        <c:axId val="857279855"/>
      </c:barChart>
      <c:catAx>
        <c:axId val="8348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79855"/>
        <c:crosses val="autoZero"/>
        <c:auto val="1"/>
        <c:lblAlgn val="ctr"/>
        <c:lblOffset val="100"/>
        <c:noMultiLvlLbl val="0"/>
      </c:catAx>
      <c:valAx>
        <c:axId val="8572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66584393235193"/>
          <c:y val="0.11768045334202505"/>
          <c:w val="0.10642511214858207"/>
          <c:h val="0.8333391659375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IndivMaint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8864052627228014"/>
          <c:y val="3.4858387799564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84140839377759E-2"/>
          <c:y val="2.6405228758169946E-2"/>
          <c:w val="0.82521491001217528"/>
          <c:h val="0.75248577587932219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calibration!$DC$83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calibration!$DD$83:$EC$83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9-4F83-9CBE-516AEF2A7730}"/>
            </c:ext>
          </c:extLst>
        </c:ser>
        <c:ser>
          <c:idx val="2"/>
          <c:order val="1"/>
          <c:tx>
            <c:strRef>
              <c:f>calibration!$DC$84</c:f>
              <c:strCache>
                <c:ptCount val="1"/>
                <c:pt idx="0">
                  <c:v>SR2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calibration!$DD$84:$EC$84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9-4F83-9CBE-516AEF2A7730}"/>
            </c:ext>
          </c:extLst>
        </c:ser>
        <c:ser>
          <c:idx val="3"/>
          <c:order val="2"/>
          <c:tx>
            <c:strRef>
              <c:f>calibration!$DC$85</c:f>
              <c:strCache>
                <c:ptCount val="1"/>
                <c:pt idx="0">
                  <c:v>SR3+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calibration!$DD$85:$EC$85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79-4F83-9CBE-516AEF2A7730}"/>
            </c:ext>
          </c:extLst>
        </c:ser>
        <c:ser>
          <c:idx val="4"/>
          <c:order val="3"/>
          <c:tx>
            <c:strRef>
              <c:f>calibration!$DC$86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calibration!$DD$86:$EC$86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79-4F83-9CBE-516AEF2A7730}"/>
            </c:ext>
          </c:extLst>
        </c:ser>
        <c:ser>
          <c:idx val="5"/>
          <c:order val="4"/>
          <c:tx>
            <c:strRef>
              <c:f>calibration!$DC$87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calibration!$DD$87:$EC$87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79-4F83-9CBE-516AEF2A7730}"/>
            </c:ext>
          </c:extLst>
        </c:ser>
        <c:ser>
          <c:idx val="6"/>
          <c:order val="5"/>
          <c:tx>
            <c:strRef>
              <c:f>calibration!$DC$88</c:f>
              <c:strCache>
                <c:ptCount val="1"/>
                <c:pt idx="0">
                  <c:v>Walk-Local</c:v>
                </c:pt>
              </c:strCache>
            </c:strRef>
          </c:tx>
          <c:spPr>
            <a:solidFill>
              <a:srgbClr val="173A59"/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calibration!$DD$88:$EC$88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79-4F83-9CBE-516AEF2A7730}"/>
            </c:ext>
          </c:extLst>
        </c:ser>
        <c:ser>
          <c:idx val="7"/>
          <c:order val="6"/>
          <c:tx>
            <c:strRef>
              <c:f>calibration!$DC$89</c:f>
              <c:strCache>
                <c:ptCount val="1"/>
                <c:pt idx="0">
                  <c:v>Walk-LRT/Ferry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calibration!$DD$89:$EC$89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79-4F83-9CBE-516AEF2A7730}"/>
            </c:ext>
          </c:extLst>
        </c:ser>
        <c:ser>
          <c:idx val="8"/>
          <c:order val="7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79-4F83-9CBE-516AEF2A7730}"/>
            </c:ext>
          </c:extLst>
        </c:ser>
        <c:ser>
          <c:idx val="9"/>
          <c:order val="8"/>
          <c:tx>
            <c:strRef>
              <c:f>calibration!$DC$91</c:f>
              <c:strCache>
                <c:ptCount val="1"/>
                <c:pt idx="0">
                  <c:v>Walk-Express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calibration!$DD$91:$EC$91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79-4F83-9CBE-516AEF2A7730}"/>
            </c:ext>
          </c:extLst>
        </c:ser>
        <c:ser>
          <c:idx val="10"/>
          <c:order val="9"/>
          <c:tx>
            <c:strRef>
              <c:f>calibration!$DC$92</c:f>
              <c:strCache>
                <c:ptCount val="1"/>
                <c:pt idx="0">
                  <c:v>Walk-HeavyR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calibration!$DD$92:$EC$92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79-4F83-9CBE-516AEF2A7730}"/>
            </c:ext>
          </c:extLst>
        </c:ser>
        <c:ser>
          <c:idx val="11"/>
          <c:order val="10"/>
          <c:tx>
            <c:strRef>
              <c:f>calibration!$DC$93</c:f>
              <c:strCache>
                <c:ptCount val="1"/>
                <c:pt idx="0">
                  <c:v>Walk-CommR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calibration!$DD$93:$EC$93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79-4F83-9CBE-516AEF2A7730}"/>
            </c:ext>
          </c:extLst>
        </c:ser>
        <c:ser>
          <c:idx val="12"/>
          <c:order val="11"/>
          <c:tx>
            <c:strRef>
              <c:f>calibration!$DC$94</c:f>
              <c:strCache>
                <c:ptCount val="1"/>
                <c:pt idx="0">
                  <c:v>Drive-Local</c:v>
                </c:pt>
              </c:strCache>
            </c:strRef>
          </c:tx>
          <c:spPr>
            <a:solidFill>
              <a:srgbClr val="6A310A"/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calibration!$DD$94:$EC$94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79-4F83-9CBE-516AEF2A7730}"/>
            </c:ext>
          </c:extLst>
        </c:ser>
        <c:ser>
          <c:idx val="13"/>
          <c:order val="12"/>
          <c:tx>
            <c:strRef>
              <c:f>calibration!$DC$95</c:f>
              <c:strCache>
                <c:ptCount val="1"/>
                <c:pt idx="0">
                  <c:v>Drive-LRT/Ferry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calibration!$DD$95:$EC$95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79-4F83-9CBE-516AEF2A7730}"/>
            </c:ext>
          </c:extLst>
        </c:ser>
        <c:ser>
          <c:idx val="14"/>
          <c:order val="13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79-4F83-9CBE-516AEF2A7730}"/>
            </c:ext>
          </c:extLst>
        </c:ser>
        <c:ser>
          <c:idx val="15"/>
          <c:order val="14"/>
          <c:tx>
            <c:strRef>
              <c:f>calibration!$DC$97</c:f>
              <c:strCache>
                <c:ptCount val="1"/>
                <c:pt idx="0">
                  <c:v>Drive-Express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calibration!$DD$97:$EC$97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79-4F83-9CBE-516AEF2A7730}"/>
            </c:ext>
          </c:extLst>
        </c:ser>
        <c:ser>
          <c:idx val="16"/>
          <c:order val="15"/>
          <c:tx>
            <c:strRef>
              <c:f>calibration!$DC$98</c:f>
              <c:strCache>
                <c:ptCount val="1"/>
                <c:pt idx="0">
                  <c:v>Drive-HeavyR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calibration!$DD$98:$EC$98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79-4F83-9CBE-516AEF2A7730}"/>
            </c:ext>
          </c:extLst>
        </c:ser>
        <c:ser>
          <c:idx val="17"/>
          <c:order val="16"/>
          <c:tx>
            <c:strRef>
              <c:f>calibration!$DC$99</c:f>
              <c:strCache>
                <c:ptCount val="1"/>
                <c:pt idx="0">
                  <c:v>Drive-CommR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calibration!$DD$99:$EC$99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79-4F83-9CBE-516AEF2A7730}"/>
            </c:ext>
          </c:extLst>
        </c:ser>
        <c:ser>
          <c:idx val="18"/>
          <c:order val="17"/>
          <c:tx>
            <c:strRef>
              <c:f>calibration!$DC$100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calibration!$DD$100:$EC$100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79-4F83-9CBE-516AEF2A7730}"/>
            </c:ext>
          </c:extLst>
        </c:ser>
        <c:ser>
          <c:idx val="19"/>
          <c:order val="18"/>
          <c:tx>
            <c:strRef>
              <c:f>calibration!$DC$101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calibration!$DD$101:$EC$101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79-4F83-9CBE-516AEF2A7730}"/>
            </c:ext>
          </c:extLst>
        </c:ser>
        <c:ser>
          <c:idx val="20"/>
          <c:order val="19"/>
          <c:tx>
            <c:strRef>
              <c:f>calibration!$DC$102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calibration!$DD$81:$EC$82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calibration!$DD$102:$EC$102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79-4F83-9CBE-516AEF2A7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834815904"/>
        <c:axId val="857279855"/>
      </c:barChart>
      <c:catAx>
        <c:axId val="8348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79855"/>
        <c:crosses val="autoZero"/>
        <c:auto val="1"/>
        <c:lblAlgn val="ctr"/>
        <c:lblOffset val="100"/>
        <c:noMultiLvlLbl val="0"/>
      </c:catAx>
      <c:valAx>
        <c:axId val="8572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66584393235193"/>
          <c:y val="0.11768045334202505"/>
          <c:w val="0.10642511214858207"/>
          <c:h val="0.8333391659375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IndivDiscr</a:t>
            </a:r>
          </a:p>
        </c:rich>
      </c:tx>
      <c:layout>
        <c:manualLayout>
          <c:xMode val="edge"/>
          <c:yMode val="edge"/>
          <c:x val="0.8864052627228014"/>
          <c:y val="3.4858387799564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84140839377759E-2"/>
          <c:y val="2.6405228758169946E-2"/>
          <c:w val="0.82521491001217528"/>
          <c:h val="0.75248577587932219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calibration!$DC$109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calibration!$DD$109:$EC$109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9-4F83-9CBE-516AEF2A7730}"/>
            </c:ext>
          </c:extLst>
        </c:ser>
        <c:ser>
          <c:idx val="2"/>
          <c:order val="1"/>
          <c:tx>
            <c:strRef>
              <c:f>calibration!$DC$110</c:f>
              <c:strCache>
                <c:ptCount val="1"/>
                <c:pt idx="0">
                  <c:v>SR2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calibration!$DD$110:$EC$110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9-4F83-9CBE-516AEF2A7730}"/>
            </c:ext>
          </c:extLst>
        </c:ser>
        <c:ser>
          <c:idx val="3"/>
          <c:order val="2"/>
          <c:tx>
            <c:strRef>
              <c:f>calibration!$DC$111</c:f>
              <c:strCache>
                <c:ptCount val="1"/>
                <c:pt idx="0">
                  <c:v>SR3+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calibration!$DD$111:$EC$111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79-4F83-9CBE-516AEF2A7730}"/>
            </c:ext>
          </c:extLst>
        </c:ser>
        <c:ser>
          <c:idx val="4"/>
          <c:order val="3"/>
          <c:tx>
            <c:strRef>
              <c:f>calibration!$DC$112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calibration!$DD$112:$EC$112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79-4F83-9CBE-516AEF2A7730}"/>
            </c:ext>
          </c:extLst>
        </c:ser>
        <c:ser>
          <c:idx val="5"/>
          <c:order val="4"/>
          <c:tx>
            <c:strRef>
              <c:f>calibration!$DC$113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calibration!$DD$113:$EC$113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79-4F83-9CBE-516AEF2A7730}"/>
            </c:ext>
          </c:extLst>
        </c:ser>
        <c:ser>
          <c:idx val="6"/>
          <c:order val="5"/>
          <c:tx>
            <c:strRef>
              <c:f>calibration!$DC$114</c:f>
              <c:strCache>
                <c:ptCount val="1"/>
                <c:pt idx="0">
                  <c:v>Walk-Local</c:v>
                </c:pt>
              </c:strCache>
            </c:strRef>
          </c:tx>
          <c:spPr>
            <a:solidFill>
              <a:srgbClr val="173A59"/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calibration!$DD$114:$EC$114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79-4F83-9CBE-516AEF2A7730}"/>
            </c:ext>
          </c:extLst>
        </c:ser>
        <c:ser>
          <c:idx val="7"/>
          <c:order val="6"/>
          <c:tx>
            <c:strRef>
              <c:f>calibration!$DC$115</c:f>
              <c:strCache>
                <c:ptCount val="1"/>
                <c:pt idx="0">
                  <c:v>Walk-LRT/Ferry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calibration!$DD$115:$EC$115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79-4F83-9CBE-516AEF2A7730}"/>
            </c:ext>
          </c:extLst>
        </c:ser>
        <c:ser>
          <c:idx val="8"/>
          <c:order val="7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79-4F83-9CBE-516AEF2A7730}"/>
            </c:ext>
          </c:extLst>
        </c:ser>
        <c:ser>
          <c:idx val="9"/>
          <c:order val="8"/>
          <c:tx>
            <c:strRef>
              <c:f>calibration!$DC$117</c:f>
              <c:strCache>
                <c:ptCount val="1"/>
                <c:pt idx="0">
                  <c:v>Walk-Express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calibration!$DD$117:$EC$117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79-4F83-9CBE-516AEF2A7730}"/>
            </c:ext>
          </c:extLst>
        </c:ser>
        <c:ser>
          <c:idx val="10"/>
          <c:order val="9"/>
          <c:tx>
            <c:strRef>
              <c:f>calibration!$DC$118</c:f>
              <c:strCache>
                <c:ptCount val="1"/>
                <c:pt idx="0">
                  <c:v>Walk-HeavyR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calibration!$DD$118:$EC$118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79-4F83-9CBE-516AEF2A7730}"/>
            </c:ext>
          </c:extLst>
        </c:ser>
        <c:ser>
          <c:idx val="11"/>
          <c:order val="10"/>
          <c:tx>
            <c:strRef>
              <c:f>calibration!$DC$119</c:f>
              <c:strCache>
                <c:ptCount val="1"/>
                <c:pt idx="0">
                  <c:v>Walk-CommR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calibration!$DD$119:$EC$119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79-4F83-9CBE-516AEF2A7730}"/>
            </c:ext>
          </c:extLst>
        </c:ser>
        <c:ser>
          <c:idx val="12"/>
          <c:order val="11"/>
          <c:tx>
            <c:strRef>
              <c:f>calibration!$DC$120</c:f>
              <c:strCache>
                <c:ptCount val="1"/>
                <c:pt idx="0">
                  <c:v>Drive-Local</c:v>
                </c:pt>
              </c:strCache>
            </c:strRef>
          </c:tx>
          <c:spPr>
            <a:solidFill>
              <a:srgbClr val="6A310A"/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calibration!$DD$120:$EC$120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79-4F83-9CBE-516AEF2A7730}"/>
            </c:ext>
          </c:extLst>
        </c:ser>
        <c:ser>
          <c:idx val="13"/>
          <c:order val="12"/>
          <c:tx>
            <c:strRef>
              <c:f>calibration!$DC$121</c:f>
              <c:strCache>
                <c:ptCount val="1"/>
                <c:pt idx="0">
                  <c:v>Drive-LRT/Ferry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calibration!$DD$121:$EC$121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79-4F83-9CBE-516AEF2A7730}"/>
            </c:ext>
          </c:extLst>
        </c:ser>
        <c:ser>
          <c:idx val="14"/>
          <c:order val="13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79-4F83-9CBE-516AEF2A7730}"/>
            </c:ext>
          </c:extLst>
        </c:ser>
        <c:ser>
          <c:idx val="15"/>
          <c:order val="14"/>
          <c:tx>
            <c:strRef>
              <c:f>calibration!$DC$123</c:f>
              <c:strCache>
                <c:ptCount val="1"/>
                <c:pt idx="0">
                  <c:v>Drive-Express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calibration!$DD$123:$EC$123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79-4F83-9CBE-516AEF2A7730}"/>
            </c:ext>
          </c:extLst>
        </c:ser>
        <c:ser>
          <c:idx val="16"/>
          <c:order val="15"/>
          <c:tx>
            <c:strRef>
              <c:f>calibration!$DC$124</c:f>
              <c:strCache>
                <c:ptCount val="1"/>
                <c:pt idx="0">
                  <c:v>Drive-HeavyR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calibration!$DD$124:$EC$124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79-4F83-9CBE-516AEF2A7730}"/>
            </c:ext>
          </c:extLst>
        </c:ser>
        <c:ser>
          <c:idx val="17"/>
          <c:order val="16"/>
          <c:tx>
            <c:strRef>
              <c:f>calibration!$DC$125</c:f>
              <c:strCache>
                <c:ptCount val="1"/>
                <c:pt idx="0">
                  <c:v>Drive-CommR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calibration!$DD$125:$EC$125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79-4F83-9CBE-516AEF2A7730}"/>
            </c:ext>
          </c:extLst>
        </c:ser>
        <c:ser>
          <c:idx val="18"/>
          <c:order val="17"/>
          <c:tx>
            <c:strRef>
              <c:f>calibration!$DC$126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calibration!$DD$126:$EC$126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79-4F83-9CBE-516AEF2A7730}"/>
            </c:ext>
          </c:extLst>
        </c:ser>
        <c:ser>
          <c:idx val="19"/>
          <c:order val="18"/>
          <c:tx>
            <c:strRef>
              <c:f>calibration!$DC$127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calibration!$DD$127:$EC$127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79-4F83-9CBE-516AEF2A7730}"/>
            </c:ext>
          </c:extLst>
        </c:ser>
        <c:ser>
          <c:idx val="20"/>
          <c:order val="19"/>
          <c:tx>
            <c:strRef>
              <c:f>calibration!$DC$128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calibration!$DD$107:$EC$108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calibration!$DD$128:$EC$128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79-4F83-9CBE-516AEF2A7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834815904"/>
        <c:axId val="857279855"/>
      </c:barChart>
      <c:catAx>
        <c:axId val="8348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79855"/>
        <c:crosses val="autoZero"/>
        <c:auto val="1"/>
        <c:lblAlgn val="ctr"/>
        <c:lblOffset val="100"/>
        <c:noMultiLvlLbl val="0"/>
      </c:catAx>
      <c:valAx>
        <c:axId val="8572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66584393235193"/>
          <c:y val="0.11768045334202505"/>
          <c:w val="0.10642511214858207"/>
          <c:h val="0.8333391659375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AtWork</a:t>
            </a:r>
          </a:p>
        </c:rich>
      </c:tx>
      <c:layout>
        <c:manualLayout>
          <c:xMode val="edge"/>
          <c:yMode val="edge"/>
          <c:x val="0.8864052627228014"/>
          <c:y val="3.4858387799564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84140839377759E-2"/>
          <c:y val="2.6405228758169946E-2"/>
          <c:w val="0.82521491001217528"/>
          <c:h val="0.75248577587932219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calibration!$DC$135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calibration!$DD$135:$EC$135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9-4F83-9CBE-516AEF2A7730}"/>
            </c:ext>
          </c:extLst>
        </c:ser>
        <c:ser>
          <c:idx val="2"/>
          <c:order val="1"/>
          <c:tx>
            <c:strRef>
              <c:f>calibration!$DC$136</c:f>
              <c:strCache>
                <c:ptCount val="1"/>
                <c:pt idx="0">
                  <c:v>SR2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calibration!$DD$136:$EC$136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9-4F83-9CBE-516AEF2A7730}"/>
            </c:ext>
          </c:extLst>
        </c:ser>
        <c:ser>
          <c:idx val="3"/>
          <c:order val="2"/>
          <c:tx>
            <c:strRef>
              <c:f>calibration!$DC$137</c:f>
              <c:strCache>
                <c:ptCount val="1"/>
                <c:pt idx="0">
                  <c:v>SR3+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calibration!$DD$137:$EC$137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79-4F83-9CBE-516AEF2A7730}"/>
            </c:ext>
          </c:extLst>
        </c:ser>
        <c:ser>
          <c:idx val="4"/>
          <c:order val="3"/>
          <c:tx>
            <c:strRef>
              <c:f>calibration!$DC$138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calibration!$DD$138:$EC$138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79-4F83-9CBE-516AEF2A7730}"/>
            </c:ext>
          </c:extLst>
        </c:ser>
        <c:ser>
          <c:idx val="5"/>
          <c:order val="4"/>
          <c:tx>
            <c:strRef>
              <c:f>calibration!$DC$139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calibration!$DD$139:$EC$139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79-4F83-9CBE-516AEF2A7730}"/>
            </c:ext>
          </c:extLst>
        </c:ser>
        <c:ser>
          <c:idx val="6"/>
          <c:order val="5"/>
          <c:tx>
            <c:strRef>
              <c:f>calibration!$DC$140</c:f>
              <c:strCache>
                <c:ptCount val="1"/>
                <c:pt idx="0">
                  <c:v>Walk-Local</c:v>
                </c:pt>
              </c:strCache>
            </c:strRef>
          </c:tx>
          <c:spPr>
            <a:solidFill>
              <a:srgbClr val="173A59"/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calibration!$DD$140:$EC$140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79-4F83-9CBE-516AEF2A7730}"/>
            </c:ext>
          </c:extLst>
        </c:ser>
        <c:ser>
          <c:idx val="7"/>
          <c:order val="6"/>
          <c:tx>
            <c:strRef>
              <c:f>calibration!$DC$141</c:f>
              <c:strCache>
                <c:ptCount val="1"/>
                <c:pt idx="0">
                  <c:v>Walk-LRT/Ferry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calibration!$DD$141:$EC$141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79-4F83-9CBE-516AEF2A7730}"/>
            </c:ext>
          </c:extLst>
        </c:ser>
        <c:ser>
          <c:idx val="8"/>
          <c:order val="7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79-4F83-9CBE-516AEF2A7730}"/>
            </c:ext>
          </c:extLst>
        </c:ser>
        <c:ser>
          <c:idx val="9"/>
          <c:order val="8"/>
          <c:tx>
            <c:strRef>
              <c:f>calibration!$DC$143</c:f>
              <c:strCache>
                <c:ptCount val="1"/>
                <c:pt idx="0">
                  <c:v>Walk-Express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calibration!$DD$143:$EC$143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79-4F83-9CBE-516AEF2A7730}"/>
            </c:ext>
          </c:extLst>
        </c:ser>
        <c:ser>
          <c:idx val="10"/>
          <c:order val="9"/>
          <c:tx>
            <c:strRef>
              <c:f>calibration!$DC$144</c:f>
              <c:strCache>
                <c:ptCount val="1"/>
                <c:pt idx="0">
                  <c:v>Walk-HeavyR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calibration!$DD$144:$EC$144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79-4F83-9CBE-516AEF2A7730}"/>
            </c:ext>
          </c:extLst>
        </c:ser>
        <c:ser>
          <c:idx val="11"/>
          <c:order val="10"/>
          <c:tx>
            <c:strRef>
              <c:f>calibration!$DC$145</c:f>
              <c:strCache>
                <c:ptCount val="1"/>
                <c:pt idx="0">
                  <c:v>Walk-CommR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calibration!$DD$145:$EC$145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79-4F83-9CBE-516AEF2A7730}"/>
            </c:ext>
          </c:extLst>
        </c:ser>
        <c:ser>
          <c:idx val="12"/>
          <c:order val="11"/>
          <c:tx>
            <c:strRef>
              <c:f>calibration!$DC$146</c:f>
              <c:strCache>
                <c:ptCount val="1"/>
                <c:pt idx="0">
                  <c:v>Drive-Local</c:v>
                </c:pt>
              </c:strCache>
            </c:strRef>
          </c:tx>
          <c:spPr>
            <a:solidFill>
              <a:srgbClr val="6A310A"/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calibration!$DD$146:$EC$146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79-4F83-9CBE-516AEF2A7730}"/>
            </c:ext>
          </c:extLst>
        </c:ser>
        <c:ser>
          <c:idx val="13"/>
          <c:order val="12"/>
          <c:tx>
            <c:strRef>
              <c:f>calibration!$DC$147</c:f>
              <c:strCache>
                <c:ptCount val="1"/>
                <c:pt idx="0">
                  <c:v>Drive-LRT/Ferry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calibration!$DD$147:$EC$147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79-4F83-9CBE-516AEF2A7730}"/>
            </c:ext>
          </c:extLst>
        </c:ser>
        <c:ser>
          <c:idx val="14"/>
          <c:order val="13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79-4F83-9CBE-516AEF2A7730}"/>
            </c:ext>
          </c:extLst>
        </c:ser>
        <c:ser>
          <c:idx val="15"/>
          <c:order val="14"/>
          <c:tx>
            <c:strRef>
              <c:f>calibration!$DC$149</c:f>
              <c:strCache>
                <c:ptCount val="1"/>
                <c:pt idx="0">
                  <c:v>Drive-Express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calibration!$DD$149:$EC$149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79-4F83-9CBE-516AEF2A7730}"/>
            </c:ext>
          </c:extLst>
        </c:ser>
        <c:ser>
          <c:idx val="16"/>
          <c:order val="15"/>
          <c:tx>
            <c:strRef>
              <c:f>calibration!$DC$150</c:f>
              <c:strCache>
                <c:ptCount val="1"/>
                <c:pt idx="0">
                  <c:v>Drive-HeavyR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calibration!$DD$150:$EC$150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79-4F83-9CBE-516AEF2A7730}"/>
            </c:ext>
          </c:extLst>
        </c:ser>
        <c:ser>
          <c:idx val="17"/>
          <c:order val="16"/>
          <c:tx>
            <c:strRef>
              <c:f>calibration!$DC$151</c:f>
              <c:strCache>
                <c:ptCount val="1"/>
                <c:pt idx="0">
                  <c:v>Drive-CommR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calibration!$DD$151:$EC$151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79-4F83-9CBE-516AEF2A7730}"/>
            </c:ext>
          </c:extLst>
        </c:ser>
        <c:ser>
          <c:idx val="18"/>
          <c:order val="17"/>
          <c:tx>
            <c:strRef>
              <c:f>calibration!$DC$152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calibration!$DD$152:$EC$152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79-4F83-9CBE-516AEF2A7730}"/>
            </c:ext>
          </c:extLst>
        </c:ser>
        <c:ser>
          <c:idx val="19"/>
          <c:order val="18"/>
          <c:tx>
            <c:strRef>
              <c:f>calibration!$DC$153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calibration!$DD$153:$EC$153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79-4F83-9CBE-516AEF2A7730}"/>
            </c:ext>
          </c:extLst>
        </c:ser>
        <c:ser>
          <c:idx val="20"/>
          <c:order val="19"/>
          <c:tx>
            <c:strRef>
              <c:f>calibration!$DC$154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calibration!$DD$133:$EC$134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calibration!$DD$154:$EC$154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79-4F83-9CBE-516AEF2A7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834815904"/>
        <c:axId val="857279855"/>
      </c:barChart>
      <c:catAx>
        <c:axId val="8348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79855"/>
        <c:crosses val="autoZero"/>
        <c:auto val="1"/>
        <c:lblAlgn val="ctr"/>
        <c:lblOffset val="100"/>
        <c:noMultiLvlLbl val="0"/>
      </c:catAx>
      <c:valAx>
        <c:axId val="8572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66584393235193"/>
          <c:y val="0.11768045334202505"/>
          <c:w val="0.10642511214858207"/>
          <c:h val="0.8333391659375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Joint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8864052627228014"/>
          <c:y val="3.4858387799564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84140839377759E-2"/>
          <c:y val="2.6405228758169946E-2"/>
          <c:w val="0.82521491001217528"/>
          <c:h val="0.75248577587932219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calibration!$DC$161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calibration!$DD$161:$EC$161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9-4F83-9CBE-516AEF2A7730}"/>
            </c:ext>
          </c:extLst>
        </c:ser>
        <c:ser>
          <c:idx val="2"/>
          <c:order val="1"/>
          <c:tx>
            <c:strRef>
              <c:f>calibration!$DC$162</c:f>
              <c:strCache>
                <c:ptCount val="1"/>
                <c:pt idx="0">
                  <c:v>SR2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calibration!$DD$162:$EC$162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9-4F83-9CBE-516AEF2A7730}"/>
            </c:ext>
          </c:extLst>
        </c:ser>
        <c:ser>
          <c:idx val="3"/>
          <c:order val="2"/>
          <c:tx>
            <c:strRef>
              <c:f>calibration!$DC$163</c:f>
              <c:strCache>
                <c:ptCount val="1"/>
                <c:pt idx="0">
                  <c:v>SR3+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calibration!$DD$163:$EC$163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79-4F83-9CBE-516AEF2A7730}"/>
            </c:ext>
          </c:extLst>
        </c:ser>
        <c:ser>
          <c:idx val="4"/>
          <c:order val="3"/>
          <c:tx>
            <c:strRef>
              <c:f>calibration!$DC$164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calibration!$DD$164:$EC$164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79-4F83-9CBE-516AEF2A7730}"/>
            </c:ext>
          </c:extLst>
        </c:ser>
        <c:ser>
          <c:idx val="5"/>
          <c:order val="4"/>
          <c:tx>
            <c:strRef>
              <c:f>calibration!$DC$165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calibration!$DD$165:$EC$165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79-4F83-9CBE-516AEF2A7730}"/>
            </c:ext>
          </c:extLst>
        </c:ser>
        <c:ser>
          <c:idx val="6"/>
          <c:order val="5"/>
          <c:tx>
            <c:strRef>
              <c:f>calibration!$DC$166</c:f>
              <c:strCache>
                <c:ptCount val="1"/>
                <c:pt idx="0">
                  <c:v>Walk-Local</c:v>
                </c:pt>
              </c:strCache>
            </c:strRef>
          </c:tx>
          <c:spPr>
            <a:solidFill>
              <a:srgbClr val="173A59"/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calibration!$DD$166:$EC$166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79-4F83-9CBE-516AEF2A7730}"/>
            </c:ext>
          </c:extLst>
        </c:ser>
        <c:ser>
          <c:idx val="7"/>
          <c:order val="6"/>
          <c:tx>
            <c:strRef>
              <c:f>calibration!$DC$167</c:f>
              <c:strCache>
                <c:ptCount val="1"/>
                <c:pt idx="0">
                  <c:v>Walk-LRT/Ferry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calibration!$DD$167:$EC$167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79-4F83-9CBE-516AEF2A7730}"/>
            </c:ext>
          </c:extLst>
        </c:ser>
        <c:ser>
          <c:idx val="8"/>
          <c:order val="7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79-4F83-9CBE-516AEF2A7730}"/>
            </c:ext>
          </c:extLst>
        </c:ser>
        <c:ser>
          <c:idx val="9"/>
          <c:order val="8"/>
          <c:tx>
            <c:strRef>
              <c:f>calibration!$DC$169</c:f>
              <c:strCache>
                <c:ptCount val="1"/>
                <c:pt idx="0">
                  <c:v>Walk-Express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calibration!$DD$169:$EC$169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79-4F83-9CBE-516AEF2A7730}"/>
            </c:ext>
          </c:extLst>
        </c:ser>
        <c:ser>
          <c:idx val="10"/>
          <c:order val="9"/>
          <c:tx>
            <c:strRef>
              <c:f>calibration!$DC$170</c:f>
              <c:strCache>
                <c:ptCount val="1"/>
                <c:pt idx="0">
                  <c:v>Walk-HeavyR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calibration!$DD$170:$EC$170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79-4F83-9CBE-516AEF2A7730}"/>
            </c:ext>
          </c:extLst>
        </c:ser>
        <c:ser>
          <c:idx val="11"/>
          <c:order val="10"/>
          <c:tx>
            <c:strRef>
              <c:f>calibration!$DC$171</c:f>
              <c:strCache>
                <c:ptCount val="1"/>
                <c:pt idx="0">
                  <c:v>Walk-CommR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calibration!$DD$171:$EC$171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79-4F83-9CBE-516AEF2A7730}"/>
            </c:ext>
          </c:extLst>
        </c:ser>
        <c:ser>
          <c:idx val="12"/>
          <c:order val="11"/>
          <c:tx>
            <c:strRef>
              <c:f>calibration!$DC$172</c:f>
              <c:strCache>
                <c:ptCount val="1"/>
                <c:pt idx="0">
                  <c:v>Drive-Local</c:v>
                </c:pt>
              </c:strCache>
            </c:strRef>
          </c:tx>
          <c:spPr>
            <a:solidFill>
              <a:srgbClr val="6A310A"/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calibration!$DD$172:$EC$172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79-4F83-9CBE-516AEF2A7730}"/>
            </c:ext>
          </c:extLst>
        </c:ser>
        <c:ser>
          <c:idx val="13"/>
          <c:order val="12"/>
          <c:tx>
            <c:strRef>
              <c:f>calibration!$DC$173</c:f>
              <c:strCache>
                <c:ptCount val="1"/>
                <c:pt idx="0">
                  <c:v>Drive-LRT/Ferry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calibration!$DD$173:$EC$173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79-4F83-9CBE-516AEF2A7730}"/>
            </c:ext>
          </c:extLst>
        </c:ser>
        <c:ser>
          <c:idx val="14"/>
          <c:order val="13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79-4F83-9CBE-516AEF2A7730}"/>
            </c:ext>
          </c:extLst>
        </c:ser>
        <c:ser>
          <c:idx val="15"/>
          <c:order val="14"/>
          <c:tx>
            <c:strRef>
              <c:f>calibration!$DC$175</c:f>
              <c:strCache>
                <c:ptCount val="1"/>
                <c:pt idx="0">
                  <c:v>Drive-Express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calibration!$DD$175:$EC$175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79-4F83-9CBE-516AEF2A7730}"/>
            </c:ext>
          </c:extLst>
        </c:ser>
        <c:ser>
          <c:idx val="16"/>
          <c:order val="15"/>
          <c:tx>
            <c:strRef>
              <c:f>calibration!$DC$176</c:f>
              <c:strCache>
                <c:ptCount val="1"/>
                <c:pt idx="0">
                  <c:v>Drive-HeavyR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calibration!$DD$176:$EC$176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79-4F83-9CBE-516AEF2A7730}"/>
            </c:ext>
          </c:extLst>
        </c:ser>
        <c:ser>
          <c:idx val="17"/>
          <c:order val="16"/>
          <c:tx>
            <c:strRef>
              <c:f>calibration!$DC$177</c:f>
              <c:strCache>
                <c:ptCount val="1"/>
                <c:pt idx="0">
                  <c:v>Drive-CommR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calibration!$DD$177:$EC$177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79-4F83-9CBE-516AEF2A7730}"/>
            </c:ext>
          </c:extLst>
        </c:ser>
        <c:ser>
          <c:idx val="18"/>
          <c:order val="17"/>
          <c:tx>
            <c:strRef>
              <c:f>calibration!$DC$178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calibration!$DD$178:$EC$178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79-4F83-9CBE-516AEF2A7730}"/>
            </c:ext>
          </c:extLst>
        </c:ser>
        <c:ser>
          <c:idx val="19"/>
          <c:order val="18"/>
          <c:tx>
            <c:strRef>
              <c:f>calibration!$DC$179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calibration!$DD$179:$EC$179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79-4F83-9CBE-516AEF2A7730}"/>
            </c:ext>
          </c:extLst>
        </c:ser>
        <c:ser>
          <c:idx val="20"/>
          <c:order val="19"/>
          <c:tx>
            <c:strRef>
              <c:f>calibration!$DC$180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calibration!$DD$159:$EC$160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calibration!$DD$180:$EC$180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79-4F83-9CBE-516AEF2A7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834815904"/>
        <c:axId val="857279855"/>
      </c:barChart>
      <c:catAx>
        <c:axId val="8348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79855"/>
        <c:crosses val="autoZero"/>
        <c:auto val="1"/>
        <c:lblAlgn val="ctr"/>
        <c:lblOffset val="100"/>
        <c:noMultiLvlLbl val="0"/>
      </c:catAx>
      <c:valAx>
        <c:axId val="8572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66584393235193"/>
          <c:y val="0.11768045334202505"/>
          <c:w val="0.10642511214858207"/>
          <c:h val="0.8333391659375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accent5"/>
                </a:solidFill>
              </a:rPr>
              <a:t>All Purposes</a:t>
            </a:r>
          </a:p>
        </c:rich>
      </c:tx>
      <c:layout>
        <c:manualLayout>
          <c:xMode val="edge"/>
          <c:yMode val="edge"/>
          <c:x val="0.8864052627228014"/>
          <c:y val="3.4858387799564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84140839377759E-2"/>
          <c:y val="2.6405228758169946E-2"/>
          <c:w val="0.82521491001217528"/>
          <c:h val="0.75248577587932219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calibration!$DC$187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calibration!$DD$187:$EC$187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79-4F83-9CBE-516AEF2A7730}"/>
            </c:ext>
          </c:extLst>
        </c:ser>
        <c:ser>
          <c:idx val="2"/>
          <c:order val="1"/>
          <c:tx>
            <c:strRef>
              <c:f>calibration!$DC$188</c:f>
              <c:strCache>
                <c:ptCount val="1"/>
                <c:pt idx="0">
                  <c:v>SR2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calibration!$DD$188:$EC$188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9-4F83-9CBE-516AEF2A7730}"/>
            </c:ext>
          </c:extLst>
        </c:ser>
        <c:ser>
          <c:idx val="3"/>
          <c:order val="2"/>
          <c:tx>
            <c:strRef>
              <c:f>calibration!$DC$189</c:f>
              <c:strCache>
                <c:ptCount val="1"/>
                <c:pt idx="0">
                  <c:v>SR3+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calibration!$DD$189:$EC$189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79-4F83-9CBE-516AEF2A7730}"/>
            </c:ext>
          </c:extLst>
        </c:ser>
        <c:ser>
          <c:idx val="4"/>
          <c:order val="3"/>
          <c:tx>
            <c:strRef>
              <c:f>calibration!$DC$190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calibration!$DD$190:$EC$190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79-4F83-9CBE-516AEF2A7730}"/>
            </c:ext>
          </c:extLst>
        </c:ser>
        <c:ser>
          <c:idx val="5"/>
          <c:order val="4"/>
          <c:tx>
            <c:strRef>
              <c:f>calibration!$DC$191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calibration!$DD$191:$EC$191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79-4F83-9CBE-516AEF2A7730}"/>
            </c:ext>
          </c:extLst>
        </c:ser>
        <c:ser>
          <c:idx val="6"/>
          <c:order val="5"/>
          <c:tx>
            <c:strRef>
              <c:f>calibration!$DC$192</c:f>
              <c:strCache>
                <c:ptCount val="1"/>
                <c:pt idx="0">
                  <c:v>Walk-Local</c:v>
                </c:pt>
              </c:strCache>
            </c:strRef>
          </c:tx>
          <c:spPr>
            <a:solidFill>
              <a:srgbClr val="173A59"/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calibration!$DD$192:$EC$192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79-4F83-9CBE-516AEF2A7730}"/>
            </c:ext>
          </c:extLst>
        </c:ser>
        <c:ser>
          <c:idx val="7"/>
          <c:order val="6"/>
          <c:tx>
            <c:strRef>
              <c:f>calibration!$DC$193</c:f>
              <c:strCache>
                <c:ptCount val="1"/>
                <c:pt idx="0">
                  <c:v>Walk-LRT/Ferry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calibration!$DD$193:$EC$193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79-4F83-9CBE-516AEF2A7730}"/>
            </c:ext>
          </c:extLst>
        </c:ser>
        <c:ser>
          <c:idx val="8"/>
          <c:order val="7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79-4F83-9CBE-516AEF2A7730}"/>
            </c:ext>
          </c:extLst>
        </c:ser>
        <c:ser>
          <c:idx val="9"/>
          <c:order val="8"/>
          <c:tx>
            <c:strRef>
              <c:f>calibration!$DC$195</c:f>
              <c:strCache>
                <c:ptCount val="1"/>
                <c:pt idx="0">
                  <c:v>Walk-Express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calibration!$DD$195:$EC$195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79-4F83-9CBE-516AEF2A7730}"/>
            </c:ext>
          </c:extLst>
        </c:ser>
        <c:ser>
          <c:idx val="10"/>
          <c:order val="9"/>
          <c:tx>
            <c:strRef>
              <c:f>calibration!$DC$196</c:f>
              <c:strCache>
                <c:ptCount val="1"/>
                <c:pt idx="0">
                  <c:v>Walk-HeavyR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calibration!$DD$196:$EC$196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79-4F83-9CBE-516AEF2A7730}"/>
            </c:ext>
          </c:extLst>
        </c:ser>
        <c:ser>
          <c:idx val="11"/>
          <c:order val="10"/>
          <c:tx>
            <c:strRef>
              <c:f>calibration!$DC$197</c:f>
              <c:strCache>
                <c:ptCount val="1"/>
                <c:pt idx="0">
                  <c:v>Walk-CommR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calibration!$DD$197:$EC$197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79-4F83-9CBE-516AEF2A7730}"/>
            </c:ext>
          </c:extLst>
        </c:ser>
        <c:ser>
          <c:idx val="12"/>
          <c:order val="11"/>
          <c:tx>
            <c:strRef>
              <c:f>calibration!$DC$198</c:f>
              <c:strCache>
                <c:ptCount val="1"/>
                <c:pt idx="0">
                  <c:v>Drive-Local</c:v>
                </c:pt>
              </c:strCache>
            </c:strRef>
          </c:tx>
          <c:spPr>
            <a:solidFill>
              <a:srgbClr val="6A310A"/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calibration!$DD$198:$EC$198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79-4F83-9CBE-516AEF2A7730}"/>
            </c:ext>
          </c:extLst>
        </c:ser>
        <c:ser>
          <c:idx val="13"/>
          <c:order val="12"/>
          <c:tx>
            <c:strRef>
              <c:f>calibration!$DC$199</c:f>
              <c:strCache>
                <c:ptCount val="1"/>
                <c:pt idx="0">
                  <c:v>Drive-LRT/Ferry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calibration!$DD$199:$EC$199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79-4F83-9CBE-516AEF2A7730}"/>
            </c:ext>
          </c:extLst>
        </c:ser>
        <c:ser>
          <c:idx val="14"/>
          <c:order val="13"/>
          <c:tx>
            <c:strRef>
              <c:f>calibration!#REF!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79-4F83-9CBE-516AEF2A7730}"/>
            </c:ext>
          </c:extLst>
        </c:ser>
        <c:ser>
          <c:idx val="15"/>
          <c:order val="14"/>
          <c:tx>
            <c:strRef>
              <c:f>calibration!$DC$201</c:f>
              <c:strCache>
                <c:ptCount val="1"/>
                <c:pt idx="0">
                  <c:v>Drive-Express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calibration!$DD$201:$EC$201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79-4F83-9CBE-516AEF2A7730}"/>
            </c:ext>
          </c:extLst>
        </c:ser>
        <c:ser>
          <c:idx val="16"/>
          <c:order val="15"/>
          <c:tx>
            <c:strRef>
              <c:f>calibration!$DC$202</c:f>
              <c:strCache>
                <c:ptCount val="1"/>
                <c:pt idx="0">
                  <c:v>Drive-HeavyR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calibration!$DD$202:$EC$202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79-4F83-9CBE-516AEF2A7730}"/>
            </c:ext>
          </c:extLst>
        </c:ser>
        <c:ser>
          <c:idx val="17"/>
          <c:order val="16"/>
          <c:tx>
            <c:strRef>
              <c:f>calibration!$DC$203</c:f>
              <c:strCache>
                <c:ptCount val="1"/>
                <c:pt idx="0">
                  <c:v>Drive-CommR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calibration!$DD$203:$EC$203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79-4F83-9CBE-516AEF2A7730}"/>
            </c:ext>
          </c:extLst>
        </c:ser>
        <c:ser>
          <c:idx val="18"/>
          <c:order val="17"/>
          <c:tx>
            <c:strRef>
              <c:f>calibration!$DC$204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calibration!$DD$204:$EC$204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79-4F83-9CBE-516AEF2A7730}"/>
            </c:ext>
          </c:extLst>
        </c:ser>
        <c:ser>
          <c:idx val="19"/>
          <c:order val="18"/>
          <c:tx>
            <c:strRef>
              <c:f>calibration!$DC$205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calibration!$DD$205:$EC$205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79-4F83-9CBE-516AEF2A7730}"/>
            </c:ext>
          </c:extLst>
        </c:ser>
        <c:ser>
          <c:idx val="20"/>
          <c:order val="19"/>
          <c:tx>
            <c:strRef>
              <c:f>calibration!$DC$206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calibration!$DD$185:$EC$186</c:f>
              <c:multiLvlStrCache>
                <c:ptCount val="26"/>
                <c:lvl>
                  <c:pt idx="0">
                    <c:v>Drive Alone</c:v>
                  </c:pt>
                  <c:pt idx="1">
                    <c:v>Drive Alone</c:v>
                  </c:pt>
                  <c:pt idx="2">
                    <c:v>SR2</c:v>
                  </c:pt>
                  <c:pt idx="3">
                    <c:v>SR2</c:v>
                  </c:pt>
                  <c:pt idx="4">
                    <c:v>SR3+</c:v>
                  </c:pt>
                  <c:pt idx="5">
                    <c:v>SR3+</c:v>
                  </c:pt>
                  <c:pt idx="6">
                    <c:v>Walk</c:v>
                  </c:pt>
                  <c:pt idx="7">
                    <c:v>Walk</c:v>
                  </c:pt>
                  <c:pt idx="8">
                    <c:v>Bike</c:v>
                  </c:pt>
                  <c:pt idx="9">
                    <c:v>Bike</c:v>
                  </c:pt>
                  <c:pt idx="10">
                    <c:v>Walk-Transit</c:v>
                  </c:pt>
                  <c:pt idx="11">
                    <c:v>Walk-Transit</c:v>
                  </c:pt>
                  <c:pt idx="12">
                    <c:v>Drive-Transit</c:v>
                  </c:pt>
                  <c:pt idx="13">
                    <c:v>Drive-Transit</c:v>
                  </c:pt>
                  <c:pt idx="14">
                    <c:v>Transit</c:v>
                  </c:pt>
                  <c:pt idx="15">
                    <c:v>Transit</c:v>
                  </c:pt>
                  <c:pt idx="16">
                    <c:v>Taxi</c:v>
                  </c:pt>
                  <c:pt idx="17">
                    <c:v>Taxi</c:v>
                  </c:pt>
                  <c:pt idx="18">
                    <c:v>TNC-Single</c:v>
                  </c:pt>
                  <c:pt idx="19">
                    <c:v>TNC-Single</c:v>
                  </c:pt>
                  <c:pt idx="20">
                    <c:v>TNC-Shared</c:v>
                  </c:pt>
                  <c:pt idx="21">
                    <c:v>TNC-Shared</c:v>
                  </c:pt>
                  <c:pt idx="22">
                    <c:v>Ride-Hail</c:v>
                  </c:pt>
                  <c:pt idx="23">
                    <c:v>Ride-Hail</c:v>
                  </c:pt>
                  <c:pt idx="24">
                    <c:v>All</c:v>
                  </c:pt>
                  <c:pt idx="25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  <c:pt idx="8">
                    <c:v>Target</c:v>
                  </c:pt>
                  <c:pt idx="9">
                    <c:v>Model</c:v>
                  </c:pt>
                  <c:pt idx="10">
                    <c:v>Target</c:v>
                  </c:pt>
                  <c:pt idx="11">
                    <c:v>Model</c:v>
                  </c:pt>
                  <c:pt idx="12">
                    <c:v>Target</c:v>
                  </c:pt>
                  <c:pt idx="13">
                    <c:v>Model</c:v>
                  </c:pt>
                  <c:pt idx="14">
                    <c:v>Target</c:v>
                  </c:pt>
                  <c:pt idx="15">
                    <c:v>Model</c:v>
                  </c:pt>
                  <c:pt idx="16">
                    <c:v>Target</c:v>
                  </c:pt>
                  <c:pt idx="17">
                    <c:v>Model</c:v>
                  </c:pt>
                  <c:pt idx="18">
                    <c:v>Target</c:v>
                  </c:pt>
                  <c:pt idx="19">
                    <c:v>Model</c:v>
                  </c:pt>
                  <c:pt idx="20">
                    <c:v>Target</c:v>
                  </c:pt>
                  <c:pt idx="21">
                    <c:v>Model</c:v>
                  </c:pt>
                  <c:pt idx="22">
                    <c:v>Target</c:v>
                  </c:pt>
                  <c:pt idx="23">
                    <c:v>Model</c:v>
                  </c:pt>
                  <c:pt idx="24">
                    <c:v>Target</c:v>
                  </c:pt>
                  <c:pt idx="25">
                    <c:v>Model</c:v>
                  </c:pt>
                </c:lvl>
              </c:multiLvlStrCache>
            </c:multiLvlStrRef>
          </c:cat>
          <c:val>
            <c:numRef>
              <c:f>calibration!$DD$206:$EC$206</c:f>
              <c:numCache>
                <c:formatCode>0.0%;[Red]\-0.0%;\-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79-4F83-9CBE-516AEF2A7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834815904"/>
        <c:axId val="857279855"/>
      </c:barChart>
      <c:catAx>
        <c:axId val="8348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79855"/>
        <c:crosses val="autoZero"/>
        <c:auto val="1"/>
        <c:lblAlgn val="ctr"/>
        <c:lblOffset val="100"/>
        <c:noMultiLvlLbl val="0"/>
      </c:catAx>
      <c:valAx>
        <c:axId val="8572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66584393235193"/>
          <c:y val="0.11768045334202505"/>
          <c:w val="0.10642511214858207"/>
          <c:h val="0.8333391659375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</xdr:colOff>
      <xdr:row>20</xdr:row>
      <xdr:rowOff>33337</xdr:rowOff>
    </xdr:from>
    <xdr:to>
      <xdr:col>8</xdr:col>
      <xdr:colOff>19050</xdr:colOff>
      <xdr:row>34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89D012-7367-443B-8675-3C1A85032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590549</xdr:colOff>
      <xdr:row>20</xdr:row>
      <xdr:rowOff>57150</xdr:rowOff>
    </xdr:from>
    <xdr:to>
      <xdr:col>17</xdr:col>
      <xdr:colOff>542924</xdr:colOff>
      <xdr:row>34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F23A13-CE87-4E36-B268-E5A349110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55</xdr:row>
      <xdr:rowOff>104775</xdr:rowOff>
    </xdr:from>
    <xdr:to>
      <xdr:col>8</xdr:col>
      <xdr:colOff>52388</xdr:colOff>
      <xdr:row>69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EC91AA-9025-4B72-80BE-C0C432987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47625</xdr:colOff>
      <xdr:row>55</xdr:row>
      <xdr:rowOff>85725</xdr:rowOff>
    </xdr:from>
    <xdr:to>
      <xdr:col>18</xdr:col>
      <xdr:colOff>0</xdr:colOff>
      <xdr:row>69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6E979C-F2EA-4E65-A95B-D6218B90B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90</xdr:row>
      <xdr:rowOff>104775</xdr:rowOff>
    </xdr:from>
    <xdr:to>
      <xdr:col>8</xdr:col>
      <xdr:colOff>52388</xdr:colOff>
      <xdr:row>104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A687CB-929C-4269-AC42-F5E715150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47625</xdr:colOff>
      <xdr:row>90</xdr:row>
      <xdr:rowOff>85725</xdr:rowOff>
    </xdr:from>
    <xdr:to>
      <xdr:col>18</xdr:col>
      <xdr:colOff>0</xdr:colOff>
      <xdr:row>104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B80EAE-3C12-496D-8216-5A398471F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123825</xdr:rowOff>
    </xdr:from>
    <xdr:to>
      <xdr:col>4</xdr:col>
      <xdr:colOff>552450</xdr:colOff>
      <xdr:row>52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6755C-DAEA-4615-8317-E3D64B800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590551</xdr:colOff>
      <xdr:row>37</xdr:row>
      <xdr:rowOff>142875</xdr:rowOff>
    </xdr:from>
    <xdr:to>
      <xdr:col>10</xdr:col>
      <xdr:colOff>266701</xdr:colOff>
      <xdr:row>52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8F8413-8773-479B-9C2D-CA47B5F53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523875</xdr:colOff>
      <xdr:row>37</xdr:row>
      <xdr:rowOff>114300</xdr:rowOff>
    </xdr:from>
    <xdr:to>
      <xdr:col>16</xdr:col>
      <xdr:colOff>171450</xdr:colOff>
      <xdr:row>52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AC2A86-41A0-4221-B6BB-295F9352F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242889</xdr:colOff>
      <xdr:row>37</xdr:row>
      <xdr:rowOff>123825</xdr:rowOff>
    </xdr:from>
    <xdr:to>
      <xdr:col>21</xdr:col>
      <xdr:colOff>476251</xdr:colOff>
      <xdr:row>52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26D297-60ED-435A-B917-52B96EC6A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523875</xdr:colOff>
      <xdr:row>37</xdr:row>
      <xdr:rowOff>114300</xdr:rowOff>
    </xdr:from>
    <xdr:to>
      <xdr:col>27</xdr:col>
      <xdr:colOff>171450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2C0151-5DB2-4C82-8398-FCAC8DC76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242889</xdr:colOff>
      <xdr:row>37</xdr:row>
      <xdr:rowOff>123825</xdr:rowOff>
    </xdr:from>
    <xdr:to>
      <xdr:col>32</xdr:col>
      <xdr:colOff>476251</xdr:colOff>
      <xdr:row>52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E09472-4FDA-4824-862C-F340376B2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523875</xdr:colOff>
      <xdr:row>37</xdr:row>
      <xdr:rowOff>114300</xdr:rowOff>
    </xdr:from>
    <xdr:to>
      <xdr:col>38</xdr:col>
      <xdr:colOff>171450</xdr:colOff>
      <xdr:row>52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62AFAA-E3A2-4610-BF33-1C1BE6432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242889</xdr:colOff>
      <xdr:row>37</xdr:row>
      <xdr:rowOff>123825</xdr:rowOff>
    </xdr:from>
    <xdr:to>
      <xdr:col>43</xdr:col>
      <xdr:colOff>476251</xdr:colOff>
      <xdr:row>52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6C9780-8CC0-41A1-909E-35A01961A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138110</xdr:colOff>
      <xdr:row>1</xdr:row>
      <xdr:rowOff>66675</xdr:rowOff>
    </xdr:from>
    <xdr:to>
      <xdr:col>149</xdr:col>
      <xdr:colOff>19050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5A46D-B6D0-44F9-B80D-4F1703CC8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133</xdr:col>
      <xdr:colOff>161925</xdr:colOff>
      <xdr:row>27</xdr:row>
      <xdr:rowOff>114299</xdr:rowOff>
    </xdr:from>
    <xdr:to>
      <xdr:col>149</xdr:col>
      <xdr:colOff>0</xdr:colOff>
      <xdr:row>53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65E543-8FFB-48D3-AD57-7F9F1CF06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133</xdr:col>
      <xdr:colOff>171449</xdr:colOff>
      <xdr:row>53</xdr:row>
      <xdr:rowOff>95250</xdr:rowOff>
    </xdr:from>
    <xdr:to>
      <xdr:col>149</xdr:col>
      <xdr:colOff>9525</xdr:colOff>
      <xdr:row>79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517EED-CAB1-4F68-AC61-DB75E224E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133</xdr:col>
      <xdr:colOff>195261</xdr:colOff>
      <xdr:row>79</xdr:row>
      <xdr:rowOff>142874</xdr:rowOff>
    </xdr:from>
    <xdr:to>
      <xdr:col>149</xdr:col>
      <xdr:colOff>9524</xdr:colOff>
      <xdr:row>105</xdr:row>
      <xdr:rowOff>85724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7CA284-7B47-4D76-94FF-28B174849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133</xdr:col>
      <xdr:colOff>204787</xdr:colOff>
      <xdr:row>105</xdr:row>
      <xdr:rowOff>152399</xdr:rowOff>
    </xdr:from>
    <xdr:to>
      <xdr:col>149</xdr:col>
      <xdr:colOff>9525</xdr:colOff>
      <xdr:row>131</xdr:row>
      <xdr:rowOff>38099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1DE102-A2A5-40CD-B536-329B3B083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133</xdr:col>
      <xdr:colOff>223836</xdr:colOff>
      <xdr:row>131</xdr:row>
      <xdr:rowOff>123825</xdr:rowOff>
    </xdr:from>
    <xdr:to>
      <xdr:col>149</xdr:col>
      <xdr:colOff>19049</xdr:colOff>
      <xdr:row>156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BB6AB4-76D6-4D8E-8DCC-3CBEA4DF8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133</xdr:col>
      <xdr:colOff>242886</xdr:colOff>
      <xdr:row>157</xdr:row>
      <xdr:rowOff>123824</xdr:rowOff>
    </xdr:from>
    <xdr:to>
      <xdr:col>149</xdr:col>
      <xdr:colOff>28575</xdr:colOff>
      <xdr:row>181</xdr:row>
      <xdr:rowOff>66674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34638E-7504-48DC-B664-D891577DE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133</xdr:col>
      <xdr:colOff>190500</xdr:colOff>
      <xdr:row>184</xdr:row>
      <xdr:rowOff>142875</xdr:rowOff>
    </xdr:from>
    <xdr:to>
      <xdr:col>148</xdr:col>
      <xdr:colOff>585789</xdr:colOff>
      <xdr:row>210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3128D7-B900-41F9-8441-7BA502D24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6BBD-E804-4EC4-A372-BF86B501A8E1}">
  <sheetPr>
    <tabColor theme="5"/>
  </sheetPr>
  <dimension ref="A1:DK158"/>
  <sheetViews>
    <sheetView workbookViewId="0">
      <selection activeCell="E10" sqref="E10"/>
    </sheetView>
  </sheetViews>
  <sheetFormatPr defaultRowHeight="11.25" x14ac:dyDescent="0.2"/>
  <cols>
    <col min="1" max="1" width="19.5703125" style="80" bestFit="1" customWidth="1"/>
    <col min="2" max="2" width="4.5703125" style="80" customWidth="1"/>
    <col min="3" max="3" width="4.7109375" style="80" customWidth="1"/>
    <col min="4" max="4" width="22.7109375" style="80" customWidth="1"/>
    <col min="5" max="39" width="8.42578125" style="80" customWidth="1"/>
    <col min="40" max="41" width="9.140625" style="80"/>
    <col min="42" max="42" width="34.140625" style="80" bestFit="1" customWidth="1"/>
    <col min="43" max="77" width="8.42578125" style="80" customWidth="1"/>
    <col min="78" max="79" width="9.140625" style="80"/>
    <col min="80" max="80" width="34.140625" style="80" bestFit="1" customWidth="1"/>
    <col min="81" max="115" width="8.42578125" style="80" customWidth="1"/>
    <col min="116" max="16384" width="9.140625" style="80"/>
  </cols>
  <sheetData>
    <row r="1" spans="1:115" s="115" customFormat="1" ht="12.75" x14ac:dyDescent="0.2">
      <c r="D1" s="11" t="s">
        <v>224</v>
      </c>
      <c r="AP1" s="116" t="s">
        <v>209</v>
      </c>
      <c r="CB1" s="116" t="s">
        <v>210</v>
      </c>
    </row>
    <row r="2" spans="1:115" x14ac:dyDescent="0.2">
      <c r="E2" s="259" t="s">
        <v>211</v>
      </c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Q2" s="259" t="s">
        <v>211</v>
      </c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CC2" s="259" t="s">
        <v>211</v>
      </c>
      <c r="CD2" s="259"/>
      <c r="CE2" s="259"/>
      <c r="CF2" s="259"/>
      <c r="CG2" s="259"/>
      <c r="CH2" s="259"/>
      <c r="CI2" s="259"/>
      <c r="CJ2" s="259"/>
      <c r="CK2" s="259"/>
      <c r="CL2" s="259"/>
      <c r="CM2" s="259"/>
      <c r="CN2" s="259"/>
      <c r="CO2" s="259"/>
      <c r="CP2" s="259"/>
      <c r="CQ2" s="259"/>
      <c r="CR2" s="259"/>
      <c r="CS2" s="259"/>
      <c r="CT2" s="259"/>
      <c r="CU2" s="259"/>
      <c r="CV2" s="259"/>
      <c r="CW2" s="259"/>
      <c r="CX2" s="259"/>
      <c r="CY2" s="259"/>
      <c r="CZ2" s="259"/>
      <c r="DA2" s="259"/>
      <c r="DB2" s="259"/>
      <c r="DC2" s="259"/>
      <c r="DD2" s="259"/>
      <c r="DE2" s="259"/>
      <c r="DF2" s="259"/>
      <c r="DG2" s="259"/>
      <c r="DH2" s="259"/>
      <c r="DI2" s="259"/>
      <c r="DJ2" s="259"/>
      <c r="DK2" s="259"/>
    </row>
    <row r="3" spans="1:115" ht="45.75" thickBot="1" x14ac:dyDescent="0.25">
      <c r="A3" s="81" t="s">
        <v>212</v>
      </c>
      <c r="B3" s="81"/>
      <c r="E3" s="82" t="s">
        <v>163</v>
      </c>
      <c r="F3" s="82" t="s">
        <v>166</v>
      </c>
      <c r="G3" s="82" t="s">
        <v>169</v>
      </c>
      <c r="H3" s="82" t="s">
        <v>172</v>
      </c>
      <c r="I3" s="82" t="s">
        <v>175</v>
      </c>
      <c r="J3" s="82" t="s">
        <v>178</v>
      </c>
      <c r="K3" s="82" t="s">
        <v>181</v>
      </c>
      <c r="L3" s="82" t="s">
        <v>182</v>
      </c>
      <c r="M3" s="82" t="s">
        <v>183</v>
      </c>
      <c r="N3" s="82" t="s">
        <v>184</v>
      </c>
      <c r="O3" s="82" t="s">
        <v>186</v>
      </c>
      <c r="P3" s="82" t="s">
        <v>187</v>
      </c>
      <c r="Q3" s="82" t="s">
        <v>188</v>
      </c>
      <c r="R3" s="82" t="s">
        <v>189</v>
      </c>
      <c r="S3" s="82" t="s">
        <v>190</v>
      </c>
      <c r="T3" s="82" t="s">
        <v>191</v>
      </c>
      <c r="U3" s="82" t="s">
        <v>192</v>
      </c>
      <c r="V3" s="82" t="s">
        <v>193</v>
      </c>
      <c r="W3" s="82" t="s">
        <v>180</v>
      </c>
      <c r="X3" s="82" t="s">
        <v>195</v>
      </c>
      <c r="Y3" s="82" t="s">
        <v>194</v>
      </c>
      <c r="Z3" s="82" t="s">
        <v>196</v>
      </c>
      <c r="AA3" s="82" t="s">
        <v>197</v>
      </c>
      <c r="AB3" s="82" t="s">
        <v>161</v>
      </c>
      <c r="AC3" s="82" t="s">
        <v>198</v>
      </c>
      <c r="AD3" s="82" t="s">
        <v>199</v>
      </c>
      <c r="AE3" s="82" t="s">
        <v>200</v>
      </c>
      <c r="AF3" s="82" t="s">
        <v>201</v>
      </c>
      <c r="AG3" s="82" t="s">
        <v>202</v>
      </c>
      <c r="AH3" s="82" t="s">
        <v>203</v>
      </c>
      <c r="AI3" s="82" t="s">
        <v>204</v>
      </c>
      <c r="AJ3" s="82" t="s">
        <v>205</v>
      </c>
      <c r="AK3" s="82" t="s">
        <v>206</v>
      </c>
      <c r="AL3" s="82" t="s">
        <v>207</v>
      </c>
      <c r="AM3" s="83" t="s">
        <v>7</v>
      </c>
      <c r="AQ3" s="82" t="s">
        <v>163</v>
      </c>
      <c r="AR3" s="82" t="s">
        <v>166</v>
      </c>
      <c r="AS3" s="82" t="s">
        <v>169</v>
      </c>
      <c r="AT3" s="82" t="s">
        <v>172</v>
      </c>
      <c r="AU3" s="82" t="s">
        <v>175</v>
      </c>
      <c r="AV3" s="82" t="s">
        <v>178</v>
      </c>
      <c r="AW3" s="82" t="s">
        <v>181</v>
      </c>
      <c r="AX3" s="82" t="s">
        <v>182</v>
      </c>
      <c r="AY3" s="82" t="s">
        <v>183</v>
      </c>
      <c r="AZ3" s="82" t="s">
        <v>184</v>
      </c>
      <c r="BA3" s="82" t="s">
        <v>186</v>
      </c>
      <c r="BB3" s="82" t="s">
        <v>187</v>
      </c>
      <c r="BC3" s="82" t="s">
        <v>188</v>
      </c>
      <c r="BD3" s="82" t="s">
        <v>189</v>
      </c>
      <c r="BE3" s="82" t="s">
        <v>190</v>
      </c>
      <c r="BF3" s="82" t="s">
        <v>191</v>
      </c>
      <c r="BG3" s="82" t="s">
        <v>192</v>
      </c>
      <c r="BH3" s="82" t="s">
        <v>193</v>
      </c>
      <c r="BI3" s="82" t="s">
        <v>180</v>
      </c>
      <c r="BJ3" s="82" t="s">
        <v>195</v>
      </c>
      <c r="BK3" s="82" t="s">
        <v>194</v>
      </c>
      <c r="BL3" s="82" t="s">
        <v>196</v>
      </c>
      <c r="BM3" s="82" t="s">
        <v>197</v>
      </c>
      <c r="BN3" s="82" t="s">
        <v>161</v>
      </c>
      <c r="BO3" s="82" t="s">
        <v>198</v>
      </c>
      <c r="BP3" s="82" t="s">
        <v>199</v>
      </c>
      <c r="BQ3" s="82" t="s">
        <v>200</v>
      </c>
      <c r="BR3" s="82" t="s">
        <v>201</v>
      </c>
      <c r="BS3" s="82" t="s">
        <v>202</v>
      </c>
      <c r="BT3" s="82" t="s">
        <v>203</v>
      </c>
      <c r="BU3" s="82" t="s">
        <v>204</v>
      </c>
      <c r="BV3" s="82" t="s">
        <v>205</v>
      </c>
      <c r="BW3" s="82" t="s">
        <v>206</v>
      </c>
      <c r="BX3" s="82" t="s">
        <v>207</v>
      </c>
      <c r="BY3" s="83" t="s">
        <v>7</v>
      </c>
      <c r="CC3" s="82" t="s">
        <v>163</v>
      </c>
      <c r="CD3" s="82" t="s">
        <v>166</v>
      </c>
      <c r="CE3" s="82" t="s">
        <v>169</v>
      </c>
      <c r="CF3" s="82" t="s">
        <v>172</v>
      </c>
      <c r="CG3" s="82" t="s">
        <v>175</v>
      </c>
      <c r="CH3" s="82" t="s">
        <v>178</v>
      </c>
      <c r="CI3" s="82" t="s">
        <v>181</v>
      </c>
      <c r="CJ3" s="82" t="s">
        <v>182</v>
      </c>
      <c r="CK3" s="82" t="s">
        <v>183</v>
      </c>
      <c r="CL3" s="82" t="s">
        <v>184</v>
      </c>
      <c r="CM3" s="82" t="s">
        <v>186</v>
      </c>
      <c r="CN3" s="82" t="s">
        <v>187</v>
      </c>
      <c r="CO3" s="82" t="s">
        <v>188</v>
      </c>
      <c r="CP3" s="82" t="s">
        <v>189</v>
      </c>
      <c r="CQ3" s="82" t="s">
        <v>190</v>
      </c>
      <c r="CR3" s="82" t="s">
        <v>191</v>
      </c>
      <c r="CS3" s="82" t="s">
        <v>192</v>
      </c>
      <c r="CT3" s="82" t="s">
        <v>193</v>
      </c>
      <c r="CU3" s="82" t="s">
        <v>180</v>
      </c>
      <c r="CV3" s="82" t="s">
        <v>195</v>
      </c>
      <c r="CW3" s="82" t="s">
        <v>194</v>
      </c>
      <c r="CX3" s="82" t="s">
        <v>196</v>
      </c>
      <c r="CY3" s="82" t="s">
        <v>197</v>
      </c>
      <c r="CZ3" s="82" t="s">
        <v>161</v>
      </c>
      <c r="DA3" s="82" t="s">
        <v>198</v>
      </c>
      <c r="DB3" s="82" t="s">
        <v>199</v>
      </c>
      <c r="DC3" s="82" t="s">
        <v>200</v>
      </c>
      <c r="DD3" s="82" t="s">
        <v>201</v>
      </c>
      <c r="DE3" s="82" t="s">
        <v>202</v>
      </c>
      <c r="DF3" s="82" t="s">
        <v>203</v>
      </c>
      <c r="DG3" s="82" t="s">
        <v>204</v>
      </c>
      <c r="DH3" s="82" t="s">
        <v>205</v>
      </c>
      <c r="DI3" s="82" t="s">
        <v>206</v>
      </c>
      <c r="DJ3" s="82" t="s">
        <v>207</v>
      </c>
      <c r="DK3" s="83" t="s">
        <v>7</v>
      </c>
    </row>
    <row r="4" spans="1:115" x14ac:dyDescent="0.2">
      <c r="C4" s="260" t="s">
        <v>213</v>
      </c>
      <c r="D4" s="84" t="s">
        <v>163</v>
      </c>
      <c r="E4" s="85">
        <f>IFERROR(VLOOKUP(CONCATENATE($A$15,"-",$A$12, "-", $D4, "-", E$3, "-", $A$9), OBS_District_Flows!$A:$G, 6,FALSE),0)</f>
        <v>0</v>
      </c>
      <c r="F4" s="86">
        <f>IFERROR(VLOOKUP(CONCATENATE($A$15,"-",$A$12, "-", $D4, "-", F$3, "-", $A$9), OBS_District_Flows!$A:$G, 6,FALSE),0)</f>
        <v>0</v>
      </c>
      <c r="G4" s="86">
        <f>IFERROR(VLOOKUP(CONCATENATE($A$15,"-",$A$12, "-", $D4, "-", G$3, "-", $A$9), OBS_District_Flows!$A:$G, 6,FALSE),0)</f>
        <v>0</v>
      </c>
      <c r="H4" s="86">
        <f>IFERROR(VLOOKUP(CONCATENATE($A$15,"-",$A$12, "-", $D4, "-", H$3, "-", $A$9), OBS_District_Flows!$A:$G, 6,FALSE),0)</f>
        <v>0</v>
      </c>
      <c r="I4" s="86">
        <f>IFERROR(VLOOKUP(CONCATENATE($A$15,"-",$A$12, "-", $D4, "-", I$3, "-", $A$9), OBS_District_Flows!$A:$G, 6,FALSE),0)</f>
        <v>0</v>
      </c>
      <c r="J4" s="86">
        <f>IFERROR(VLOOKUP(CONCATENATE($A$15,"-",$A$12, "-", $D4, "-", J$3, "-", $A$9), OBS_District_Flows!$A:$G, 6,FALSE),0)</f>
        <v>0</v>
      </c>
      <c r="K4" s="86">
        <f>IFERROR(VLOOKUP(CONCATENATE($A$15,"-",$A$12, "-", $D4, "-", K$3, "-", $A$9), OBS_District_Flows!$A:$G, 6,FALSE),0)</f>
        <v>0</v>
      </c>
      <c r="L4" s="86">
        <f>IFERROR(VLOOKUP(CONCATENATE($A$15,"-",$A$12, "-", $D4, "-", L$3, "-", $A$9), OBS_District_Flows!$A:$G, 6,FALSE),0)</f>
        <v>0</v>
      </c>
      <c r="M4" s="86">
        <f>IFERROR(VLOOKUP(CONCATENATE($A$15,"-",$A$12, "-", $D4, "-", M$3, "-", $A$9), OBS_District_Flows!$A:$G, 6,FALSE),0)</f>
        <v>0</v>
      </c>
      <c r="N4" s="86">
        <f>IFERROR(VLOOKUP(CONCATENATE($A$15,"-",$A$12, "-", $D4, "-", N$3, "-", $A$9), OBS_District_Flows!$A:$G, 6,FALSE),0)</f>
        <v>0</v>
      </c>
      <c r="O4" s="86">
        <f>IFERROR(VLOOKUP(CONCATENATE($A$15,"-",$A$12, "-", $D4, "-", O$3, "-", $A$9), OBS_District_Flows!$A:$G, 6,FALSE),0)</f>
        <v>0</v>
      </c>
      <c r="P4" s="86">
        <f>IFERROR(VLOOKUP(CONCATENATE($A$15,"-",$A$12, "-", $D4, "-", P$3, "-", $A$9), OBS_District_Flows!$A:$G, 6,FALSE),0)</f>
        <v>0</v>
      </c>
      <c r="Q4" s="86">
        <f>IFERROR(VLOOKUP(CONCATENATE($A$15,"-",$A$12, "-", $D4, "-", Q$3, "-", $A$9), OBS_District_Flows!$A:$G, 6,FALSE),0)</f>
        <v>0</v>
      </c>
      <c r="R4" s="86">
        <f>IFERROR(VLOOKUP(CONCATENATE($A$15,"-",$A$12, "-", $D4, "-", R$3, "-", $A$9), OBS_District_Flows!$A:$G, 6,FALSE),0)</f>
        <v>0</v>
      </c>
      <c r="S4" s="86">
        <f>IFERROR(VLOOKUP(CONCATENATE($A$15,"-",$A$12, "-", $D4, "-", S$3, "-", $A$9), OBS_District_Flows!$A:$G, 6,FALSE),0)</f>
        <v>0</v>
      </c>
      <c r="T4" s="86">
        <f>IFERROR(VLOOKUP(CONCATENATE($A$15,"-",$A$12, "-", $D4, "-", T$3, "-", $A$9), OBS_District_Flows!$A:$G, 6,FALSE),0)</f>
        <v>0</v>
      </c>
      <c r="U4" s="86">
        <f>IFERROR(VLOOKUP(CONCATENATE($A$15,"-",$A$12, "-", $D4, "-", U$3, "-", $A$9), OBS_District_Flows!$A:$G, 6,FALSE),0)</f>
        <v>0</v>
      </c>
      <c r="V4" s="86">
        <f>IFERROR(VLOOKUP(CONCATENATE($A$15,"-",$A$12, "-", $D4, "-", V$3, "-", $A$9), OBS_District_Flows!$A:$G, 6,FALSE),0)</f>
        <v>0</v>
      </c>
      <c r="W4" s="86">
        <f>IFERROR(VLOOKUP(CONCATENATE($A$15,"-",$A$12, "-", $D4, "-", W$3, "-", $A$9), OBS_District_Flows!$A:$G, 6,FALSE),0)</f>
        <v>0</v>
      </c>
      <c r="X4" s="86">
        <f>IFERROR(VLOOKUP(CONCATENATE($A$15,"-",$A$12, "-", $D4, "-", X$3, "-", $A$9), OBS_District_Flows!$A:$G, 6,FALSE),0)</f>
        <v>0</v>
      </c>
      <c r="Y4" s="86">
        <f>IFERROR(VLOOKUP(CONCATENATE($A$15,"-",$A$12, "-", $D4, "-", Y$3, "-", $A$9), OBS_District_Flows!$A:$G, 6,FALSE),0)</f>
        <v>0</v>
      </c>
      <c r="Z4" s="86">
        <f>IFERROR(VLOOKUP(CONCATENATE($A$15,"-",$A$12, "-", $D4, "-", Z$3, "-", $A$9), OBS_District_Flows!$A:$G, 6,FALSE),0)</f>
        <v>0</v>
      </c>
      <c r="AA4" s="86">
        <f>IFERROR(VLOOKUP(CONCATENATE($A$15,"-",$A$12, "-", $D4, "-", AA$3, "-", $A$9), OBS_District_Flows!$A:$G, 6,FALSE),0)</f>
        <v>0</v>
      </c>
      <c r="AB4" s="86">
        <f>IFERROR(VLOOKUP(CONCATENATE($A$15,"-",$A$12, "-", $D4, "-", AB$3, "-", $A$9), OBS_District_Flows!$A:$G, 6,FALSE),0)</f>
        <v>0</v>
      </c>
      <c r="AC4" s="86">
        <f>IFERROR(VLOOKUP(CONCATENATE($A$15,"-",$A$12, "-", $D4, "-", AC$3, "-", $A$9), OBS_District_Flows!$A:$G, 6,FALSE),0)</f>
        <v>0</v>
      </c>
      <c r="AD4" s="86">
        <f>IFERROR(VLOOKUP(CONCATENATE($A$15,"-",$A$12, "-", $D4, "-", AD$3, "-", $A$9), OBS_District_Flows!$A:$G, 6,FALSE),0)</f>
        <v>0</v>
      </c>
      <c r="AE4" s="86">
        <f>IFERROR(VLOOKUP(CONCATENATE($A$15,"-",$A$12, "-", $D4, "-", AE$3, "-", $A$9), OBS_District_Flows!$A:$G, 6,FALSE),0)</f>
        <v>0</v>
      </c>
      <c r="AF4" s="86">
        <f>IFERROR(VLOOKUP(CONCATENATE($A$15,"-",$A$12, "-", $D4, "-", AF$3, "-", $A$9), OBS_District_Flows!$A:$G, 6,FALSE),0)</f>
        <v>0</v>
      </c>
      <c r="AG4" s="86">
        <f>IFERROR(VLOOKUP(CONCATENATE($A$15,"-",$A$12, "-", $D4, "-", AG$3, "-", $A$9), OBS_District_Flows!$A:$G, 6,FALSE),0)</f>
        <v>0</v>
      </c>
      <c r="AH4" s="86">
        <f>IFERROR(VLOOKUP(CONCATENATE($A$15,"-",$A$12, "-", $D4, "-", AH$3, "-", $A$9), OBS_District_Flows!$A:$G, 6,FALSE),0)</f>
        <v>0</v>
      </c>
      <c r="AI4" s="86">
        <f>IFERROR(VLOOKUP(CONCATENATE($A$15,"-",$A$12, "-", $D4, "-", AI$3, "-", $A$9), OBS_District_Flows!$A:$G, 6,FALSE),0)</f>
        <v>0</v>
      </c>
      <c r="AJ4" s="86">
        <f>IFERROR(VLOOKUP(CONCATENATE($A$15,"-",$A$12, "-", $D4, "-", AJ$3, "-", $A$9), OBS_District_Flows!$A:$G, 6,FALSE),0)</f>
        <v>0</v>
      </c>
      <c r="AK4" s="86">
        <f>IFERROR(VLOOKUP(CONCATENATE($A$15,"-",$A$12, "-", $D4, "-", AK$3, "-", $A$9), OBS_District_Flows!$A:$G, 6,FALSE),0)</f>
        <v>0</v>
      </c>
      <c r="AL4" s="87">
        <f>IFERROR(VLOOKUP(CONCATENATE($A$15,"-",$A$12, "-", $D4, "-", AL$3, "-", $A$9), OBS_District_Flows!$A:$G, 6,FALSE),0)</f>
        <v>0</v>
      </c>
      <c r="AM4" s="88">
        <f>SUM(E4:AL4)</f>
        <v>0</v>
      </c>
      <c r="AO4" s="261" t="s">
        <v>213</v>
      </c>
      <c r="AP4" s="84" t="s">
        <v>163</v>
      </c>
      <c r="AQ4" s="89" t="str">
        <f>IF($AM4&gt;0,E4/$AM4, "")</f>
        <v/>
      </c>
      <c r="AR4" s="90" t="str">
        <f t="shared" ref="AR4:BG19" si="0">IF($AM4&gt;0,F4/$AM4, "")</f>
        <v/>
      </c>
      <c r="AS4" s="90" t="str">
        <f t="shared" si="0"/>
        <v/>
      </c>
      <c r="AT4" s="90" t="str">
        <f t="shared" si="0"/>
        <v/>
      </c>
      <c r="AU4" s="90" t="str">
        <f t="shared" si="0"/>
        <v/>
      </c>
      <c r="AV4" s="90" t="str">
        <f t="shared" si="0"/>
        <v/>
      </c>
      <c r="AW4" s="90" t="str">
        <f t="shared" si="0"/>
        <v/>
      </c>
      <c r="AX4" s="90" t="str">
        <f t="shared" si="0"/>
        <v/>
      </c>
      <c r="AY4" s="90" t="str">
        <f t="shared" si="0"/>
        <v/>
      </c>
      <c r="AZ4" s="90" t="str">
        <f t="shared" si="0"/>
        <v/>
      </c>
      <c r="BA4" s="90" t="str">
        <f t="shared" si="0"/>
        <v/>
      </c>
      <c r="BB4" s="90" t="str">
        <f t="shared" si="0"/>
        <v/>
      </c>
      <c r="BC4" s="90" t="str">
        <f t="shared" si="0"/>
        <v/>
      </c>
      <c r="BD4" s="90" t="str">
        <f t="shared" si="0"/>
        <v/>
      </c>
      <c r="BE4" s="90" t="str">
        <f t="shared" si="0"/>
        <v/>
      </c>
      <c r="BF4" s="90" t="str">
        <f t="shared" si="0"/>
        <v/>
      </c>
      <c r="BG4" s="90" t="str">
        <f t="shared" si="0"/>
        <v/>
      </c>
      <c r="BH4" s="90" t="str">
        <f t="shared" ref="BH4:BW19" si="1">IF($AM4&gt;0,V4/$AM4, "")</f>
        <v/>
      </c>
      <c r="BI4" s="90" t="str">
        <f t="shared" si="1"/>
        <v/>
      </c>
      <c r="BJ4" s="90" t="str">
        <f t="shared" si="1"/>
        <v/>
      </c>
      <c r="BK4" s="90" t="str">
        <f t="shared" si="1"/>
        <v/>
      </c>
      <c r="BL4" s="90" t="str">
        <f t="shared" si="1"/>
        <v/>
      </c>
      <c r="BM4" s="90" t="str">
        <f t="shared" si="1"/>
        <v/>
      </c>
      <c r="BN4" s="90" t="str">
        <f t="shared" si="1"/>
        <v/>
      </c>
      <c r="BO4" s="90" t="str">
        <f t="shared" si="1"/>
        <v/>
      </c>
      <c r="BP4" s="90" t="str">
        <f t="shared" si="1"/>
        <v/>
      </c>
      <c r="BQ4" s="90" t="str">
        <f t="shared" si="1"/>
        <v/>
      </c>
      <c r="BR4" s="90" t="str">
        <f t="shared" si="1"/>
        <v/>
      </c>
      <c r="BS4" s="90" t="str">
        <f t="shared" si="1"/>
        <v/>
      </c>
      <c r="BT4" s="90" t="str">
        <f t="shared" si="1"/>
        <v/>
      </c>
      <c r="BU4" s="90" t="str">
        <f t="shared" si="1"/>
        <v/>
      </c>
      <c r="BV4" s="90" t="str">
        <f t="shared" si="1"/>
        <v/>
      </c>
      <c r="BW4" s="90" t="str">
        <f t="shared" si="1"/>
        <v/>
      </c>
      <c r="BX4" s="91" t="str">
        <f t="shared" ref="BX4:BY38" si="2">IF($AM4&gt;0,AL4/$AM4, "")</f>
        <v/>
      </c>
      <c r="BY4" s="92" t="str">
        <f t="shared" si="2"/>
        <v/>
      </c>
      <c r="CA4" s="261" t="s">
        <v>213</v>
      </c>
      <c r="CB4" s="84" t="s">
        <v>163</v>
      </c>
      <c r="CC4" s="89" t="str">
        <f>IF(E$38&gt;0, E4/E$38, "")</f>
        <v/>
      </c>
      <c r="CD4" s="90" t="str">
        <f t="shared" ref="CD4:CS19" si="3">IF(F$38&gt;0, F4/F$38, "")</f>
        <v/>
      </c>
      <c r="CE4" s="90" t="str">
        <f t="shared" si="3"/>
        <v/>
      </c>
      <c r="CF4" s="90" t="str">
        <f t="shared" si="3"/>
        <v/>
      </c>
      <c r="CG4" s="90" t="str">
        <f t="shared" si="3"/>
        <v/>
      </c>
      <c r="CH4" s="90" t="str">
        <f t="shared" si="3"/>
        <v/>
      </c>
      <c r="CI4" s="90" t="str">
        <f t="shared" si="3"/>
        <v/>
      </c>
      <c r="CJ4" s="90" t="str">
        <f t="shared" si="3"/>
        <v/>
      </c>
      <c r="CK4" s="90" t="str">
        <f t="shared" si="3"/>
        <v/>
      </c>
      <c r="CL4" s="90" t="str">
        <f t="shared" si="3"/>
        <v/>
      </c>
      <c r="CM4" s="90" t="str">
        <f t="shared" si="3"/>
        <v/>
      </c>
      <c r="CN4" s="90" t="str">
        <f t="shared" si="3"/>
        <v/>
      </c>
      <c r="CO4" s="90" t="str">
        <f t="shared" si="3"/>
        <v/>
      </c>
      <c r="CP4" s="90" t="str">
        <f t="shared" si="3"/>
        <v/>
      </c>
      <c r="CQ4" s="90" t="str">
        <f t="shared" si="3"/>
        <v/>
      </c>
      <c r="CR4" s="90" t="str">
        <f t="shared" si="3"/>
        <v/>
      </c>
      <c r="CS4" s="90" t="str">
        <f t="shared" si="3"/>
        <v/>
      </c>
      <c r="CT4" s="90" t="str">
        <f t="shared" ref="CT4:DI19" si="4">IF(V$38&gt;0, V4/V$38, "")</f>
        <v/>
      </c>
      <c r="CU4" s="90" t="str">
        <f t="shared" si="4"/>
        <v/>
      </c>
      <c r="CV4" s="90" t="str">
        <f t="shared" si="4"/>
        <v/>
      </c>
      <c r="CW4" s="90" t="str">
        <f t="shared" si="4"/>
        <v/>
      </c>
      <c r="CX4" s="90" t="str">
        <f t="shared" si="4"/>
        <v/>
      </c>
      <c r="CY4" s="90" t="str">
        <f t="shared" si="4"/>
        <v/>
      </c>
      <c r="CZ4" s="90" t="str">
        <f t="shared" si="4"/>
        <v/>
      </c>
      <c r="DA4" s="90" t="str">
        <f t="shared" si="4"/>
        <v/>
      </c>
      <c r="DB4" s="90" t="str">
        <f t="shared" si="4"/>
        <v/>
      </c>
      <c r="DC4" s="90" t="str">
        <f t="shared" si="4"/>
        <v/>
      </c>
      <c r="DD4" s="90" t="str">
        <f t="shared" si="4"/>
        <v/>
      </c>
      <c r="DE4" s="90" t="str">
        <f t="shared" si="4"/>
        <v/>
      </c>
      <c r="DF4" s="90" t="str">
        <f t="shared" si="4"/>
        <v/>
      </c>
      <c r="DG4" s="90" t="str">
        <f t="shared" si="4"/>
        <v/>
      </c>
      <c r="DH4" s="90" t="str">
        <f t="shared" si="4"/>
        <v/>
      </c>
      <c r="DI4" s="90" t="str">
        <f t="shared" si="4"/>
        <v/>
      </c>
      <c r="DJ4" s="91" t="str">
        <f t="shared" ref="DJ4:DK38" si="5">IF(AL$38&gt;0, AL4/AL$38, "")</f>
        <v/>
      </c>
      <c r="DK4" s="92" t="str">
        <f t="shared" si="5"/>
        <v/>
      </c>
    </row>
    <row r="5" spans="1:115" x14ac:dyDescent="0.2">
      <c r="A5" s="93" t="s">
        <v>214</v>
      </c>
      <c r="B5" s="94"/>
      <c r="C5" s="260"/>
      <c r="D5" s="84" t="s">
        <v>166</v>
      </c>
      <c r="E5" s="95">
        <f>IFERROR(VLOOKUP(CONCATENATE($A$15,"-",$A$12, "-", $D5, "-", E$3, "-", $A$9), OBS_District_Flows!$A:$G, 6,FALSE),0)</f>
        <v>0</v>
      </c>
      <c r="F5" s="96">
        <f>IFERROR(VLOOKUP(CONCATENATE($A$15,"-",$A$12, "-", $D5, "-", F$3, "-", $A$9), OBS_District_Flows!$A:$G, 6,FALSE),0)</f>
        <v>0</v>
      </c>
      <c r="G5" s="96">
        <f>IFERROR(VLOOKUP(CONCATENATE($A$15,"-",$A$12, "-", $D5, "-", G$3, "-", $A$9), OBS_District_Flows!$A:$G, 6,FALSE),0)</f>
        <v>0</v>
      </c>
      <c r="H5" s="96">
        <f>IFERROR(VLOOKUP(CONCATENATE($A$15,"-",$A$12, "-", $D5, "-", H$3, "-", $A$9), OBS_District_Flows!$A:$G, 6,FALSE),0)</f>
        <v>0</v>
      </c>
      <c r="I5" s="96">
        <f>IFERROR(VLOOKUP(CONCATENATE($A$15,"-",$A$12, "-", $D5, "-", I$3, "-", $A$9), OBS_District_Flows!$A:$G, 6,FALSE),0)</f>
        <v>0</v>
      </c>
      <c r="J5" s="96">
        <f>IFERROR(VLOOKUP(CONCATENATE($A$15,"-",$A$12, "-", $D5, "-", J$3, "-", $A$9), OBS_District_Flows!$A:$G, 6,FALSE),0)</f>
        <v>0</v>
      </c>
      <c r="K5" s="96">
        <f>IFERROR(VLOOKUP(CONCATENATE($A$15,"-",$A$12, "-", $D5, "-", K$3, "-", $A$9), OBS_District_Flows!$A:$G, 6,FALSE),0)</f>
        <v>0</v>
      </c>
      <c r="L5" s="96">
        <f>IFERROR(VLOOKUP(CONCATENATE($A$15,"-",$A$12, "-", $D5, "-", L$3, "-", $A$9), OBS_District_Flows!$A:$G, 6,FALSE),0)</f>
        <v>0</v>
      </c>
      <c r="M5" s="96">
        <f>IFERROR(VLOOKUP(CONCATENATE($A$15,"-",$A$12, "-", $D5, "-", M$3, "-", $A$9), OBS_District_Flows!$A:$G, 6,FALSE),0)</f>
        <v>0</v>
      </c>
      <c r="N5" s="96">
        <f>IFERROR(VLOOKUP(CONCATENATE($A$15,"-",$A$12, "-", $D5, "-", N$3, "-", $A$9), OBS_District_Flows!$A:$G, 6,FALSE),0)</f>
        <v>0</v>
      </c>
      <c r="O5" s="96">
        <f>IFERROR(VLOOKUP(CONCATENATE($A$15,"-",$A$12, "-", $D5, "-", O$3, "-", $A$9), OBS_District_Flows!$A:$G, 6,FALSE),0)</f>
        <v>0</v>
      </c>
      <c r="P5" s="96">
        <f>IFERROR(VLOOKUP(CONCATENATE($A$15,"-",$A$12, "-", $D5, "-", P$3, "-", $A$9), OBS_District_Flows!$A:$G, 6,FALSE),0)</f>
        <v>0</v>
      </c>
      <c r="Q5" s="96">
        <f>IFERROR(VLOOKUP(CONCATENATE($A$15,"-",$A$12, "-", $D5, "-", Q$3, "-", $A$9), OBS_District_Flows!$A:$G, 6,FALSE),0)</f>
        <v>0</v>
      </c>
      <c r="R5" s="96">
        <f>IFERROR(VLOOKUP(CONCATENATE($A$15,"-",$A$12, "-", $D5, "-", R$3, "-", $A$9), OBS_District_Flows!$A:$G, 6,FALSE),0)</f>
        <v>0</v>
      </c>
      <c r="S5" s="96">
        <f>IFERROR(VLOOKUP(CONCATENATE($A$15,"-",$A$12, "-", $D5, "-", S$3, "-", $A$9), OBS_District_Flows!$A:$G, 6,FALSE),0)</f>
        <v>0</v>
      </c>
      <c r="T5" s="96">
        <f>IFERROR(VLOOKUP(CONCATENATE($A$15,"-",$A$12, "-", $D5, "-", T$3, "-", $A$9), OBS_District_Flows!$A:$G, 6,FALSE),0)</f>
        <v>0</v>
      </c>
      <c r="U5" s="96">
        <f>IFERROR(VLOOKUP(CONCATENATE($A$15,"-",$A$12, "-", $D5, "-", U$3, "-", $A$9), OBS_District_Flows!$A:$G, 6,FALSE),0)</f>
        <v>0</v>
      </c>
      <c r="V5" s="96">
        <f>IFERROR(VLOOKUP(CONCATENATE($A$15,"-",$A$12, "-", $D5, "-", V$3, "-", $A$9), OBS_District_Flows!$A:$G, 6,FALSE),0)</f>
        <v>0</v>
      </c>
      <c r="W5" s="96">
        <f>IFERROR(VLOOKUP(CONCATENATE($A$15,"-",$A$12, "-", $D5, "-", W$3, "-", $A$9), OBS_District_Flows!$A:$G, 6,FALSE),0)</f>
        <v>0</v>
      </c>
      <c r="X5" s="96">
        <f>IFERROR(VLOOKUP(CONCATENATE($A$15,"-",$A$12, "-", $D5, "-", X$3, "-", $A$9), OBS_District_Flows!$A:$G, 6,FALSE),0)</f>
        <v>0</v>
      </c>
      <c r="Y5" s="96">
        <f>IFERROR(VLOOKUP(CONCATENATE($A$15,"-",$A$12, "-", $D5, "-", Y$3, "-", $A$9), OBS_District_Flows!$A:$G, 6,FALSE),0)</f>
        <v>0</v>
      </c>
      <c r="Z5" s="96">
        <f>IFERROR(VLOOKUP(CONCATENATE($A$15,"-",$A$12, "-", $D5, "-", Z$3, "-", $A$9), OBS_District_Flows!$A:$G, 6,FALSE),0)</f>
        <v>0</v>
      </c>
      <c r="AA5" s="96">
        <f>IFERROR(VLOOKUP(CONCATENATE($A$15,"-",$A$12, "-", $D5, "-", AA$3, "-", $A$9), OBS_District_Flows!$A:$G, 6,FALSE),0)</f>
        <v>0</v>
      </c>
      <c r="AB5" s="96">
        <f>IFERROR(VLOOKUP(CONCATENATE($A$15,"-",$A$12, "-", $D5, "-", AB$3, "-", $A$9), OBS_District_Flows!$A:$G, 6,FALSE),0)</f>
        <v>0</v>
      </c>
      <c r="AC5" s="96">
        <f>IFERROR(VLOOKUP(CONCATENATE($A$15,"-",$A$12, "-", $D5, "-", AC$3, "-", $A$9), OBS_District_Flows!$A:$G, 6,FALSE),0)</f>
        <v>0</v>
      </c>
      <c r="AD5" s="96">
        <f>IFERROR(VLOOKUP(CONCATENATE($A$15,"-",$A$12, "-", $D5, "-", AD$3, "-", $A$9), OBS_District_Flows!$A:$G, 6,FALSE),0)</f>
        <v>0</v>
      </c>
      <c r="AE5" s="96">
        <f>IFERROR(VLOOKUP(CONCATENATE($A$15,"-",$A$12, "-", $D5, "-", AE$3, "-", $A$9), OBS_District_Flows!$A:$G, 6,FALSE),0)</f>
        <v>0</v>
      </c>
      <c r="AF5" s="96">
        <f>IFERROR(VLOOKUP(CONCATENATE($A$15,"-",$A$12, "-", $D5, "-", AF$3, "-", $A$9), OBS_District_Flows!$A:$G, 6,FALSE),0)</f>
        <v>0</v>
      </c>
      <c r="AG5" s="96">
        <f>IFERROR(VLOOKUP(CONCATENATE($A$15,"-",$A$12, "-", $D5, "-", AG$3, "-", $A$9), OBS_District_Flows!$A:$G, 6,FALSE),0)</f>
        <v>0</v>
      </c>
      <c r="AH5" s="96">
        <f>IFERROR(VLOOKUP(CONCATENATE($A$15,"-",$A$12, "-", $D5, "-", AH$3, "-", $A$9), OBS_District_Flows!$A:$G, 6,FALSE),0)</f>
        <v>0</v>
      </c>
      <c r="AI5" s="96">
        <f>IFERROR(VLOOKUP(CONCATENATE($A$15,"-",$A$12, "-", $D5, "-", AI$3, "-", $A$9), OBS_District_Flows!$A:$G, 6,FALSE),0)</f>
        <v>0</v>
      </c>
      <c r="AJ5" s="96">
        <f>IFERROR(VLOOKUP(CONCATENATE($A$15,"-",$A$12, "-", $D5, "-", AJ$3, "-", $A$9), OBS_District_Flows!$A:$G, 6,FALSE),0)</f>
        <v>0</v>
      </c>
      <c r="AK5" s="96">
        <f>IFERROR(VLOOKUP(CONCATENATE($A$15,"-",$A$12, "-", $D5, "-", AK$3, "-", $A$9), OBS_District_Flows!$A:$G, 6,FALSE),0)</f>
        <v>0</v>
      </c>
      <c r="AL5" s="97">
        <f>IFERROR(VLOOKUP(CONCATENATE($A$15,"-",$A$12, "-", $D5, "-", AL$3, "-", $A$9), OBS_District_Flows!$A:$G, 6,FALSE),0)</f>
        <v>0</v>
      </c>
      <c r="AM5" s="88">
        <f t="shared" ref="AM5:AM37" si="6">SUM(E5:AL5)</f>
        <v>0</v>
      </c>
      <c r="AO5" s="261"/>
      <c r="AP5" s="84" t="s">
        <v>166</v>
      </c>
      <c r="AQ5" s="98" t="str">
        <f t="shared" ref="AQ5:BF34" si="7">IF($AM5&gt;0,E5/$AM5, "")</f>
        <v/>
      </c>
      <c r="AR5" s="99" t="str">
        <f t="shared" si="0"/>
        <v/>
      </c>
      <c r="AS5" s="99" t="str">
        <f t="shared" si="0"/>
        <v/>
      </c>
      <c r="AT5" s="99" t="str">
        <f t="shared" si="0"/>
        <v/>
      </c>
      <c r="AU5" s="99" t="str">
        <f t="shared" si="0"/>
        <v/>
      </c>
      <c r="AV5" s="99" t="str">
        <f t="shared" si="0"/>
        <v/>
      </c>
      <c r="AW5" s="99" t="str">
        <f t="shared" si="0"/>
        <v/>
      </c>
      <c r="AX5" s="99" t="str">
        <f t="shared" si="0"/>
        <v/>
      </c>
      <c r="AY5" s="99" t="str">
        <f t="shared" si="0"/>
        <v/>
      </c>
      <c r="AZ5" s="99" t="str">
        <f t="shared" si="0"/>
        <v/>
      </c>
      <c r="BA5" s="99" t="str">
        <f t="shared" si="0"/>
        <v/>
      </c>
      <c r="BB5" s="99" t="str">
        <f t="shared" si="0"/>
        <v/>
      </c>
      <c r="BC5" s="99" t="str">
        <f t="shared" si="0"/>
        <v/>
      </c>
      <c r="BD5" s="99" t="str">
        <f t="shared" si="0"/>
        <v/>
      </c>
      <c r="BE5" s="99" t="str">
        <f t="shared" si="0"/>
        <v/>
      </c>
      <c r="BF5" s="99" t="str">
        <f t="shared" si="0"/>
        <v/>
      </c>
      <c r="BG5" s="99" t="str">
        <f t="shared" si="0"/>
        <v/>
      </c>
      <c r="BH5" s="99" t="str">
        <f t="shared" si="1"/>
        <v/>
      </c>
      <c r="BI5" s="99" t="str">
        <f t="shared" si="1"/>
        <v/>
      </c>
      <c r="BJ5" s="99" t="str">
        <f t="shared" si="1"/>
        <v/>
      </c>
      <c r="BK5" s="99" t="str">
        <f t="shared" si="1"/>
        <v/>
      </c>
      <c r="BL5" s="99" t="str">
        <f t="shared" si="1"/>
        <v/>
      </c>
      <c r="BM5" s="99" t="str">
        <f t="shared" si="1"/>
        <v/>
      </c>
      <c r="BN5" s="99" t="str">
        <f t="shared" si="1"/>
        <v/>
      </c>
      <c r="BO5" s="99" t="str">
        <f t="shared" si="1"/>
        <v/>
      </c>
      <c r="BP5" s="99" t="str">
        <f t="shared" si="1"/>
        <v/>
      </c>
      <c r="BQ5" s="99" t="str">
        <f t="shared" si="1"/>
        <v/>
      </c>
      <c r="BR5" s="99" t="str">
        <f t="shared" si="1"/>
        <v/>
      </c>
      <c r="BS5" s="99" t="str">
        <f t="shared" si="1"/>
        <v/>
      </c>
      <c r="BT5" s="99" t="str">
        <f t="shared" si="1"/>
        <v/>
      </c>
      <c r="BU5" s="99" t="str">
        <f t="shared" si="1"/>
        <v/>
      </c>
      <c r="BV5" s="99" t="str">
        <f t="shared" si="1"/>
        <v/>
      </c>
      <c r="BW5" s="99" t="str">
        <f t="shared" si="1"/>
        <v/>
      </c>
      <c r="BX5" s="100" t="str">
        <f t="shared" si="2"/>
        <v/>
      </c>
      <c r="BY5" s="92" t="str">
        <f t="shared" si="2"/>
        <v/>
      </c>
      <c r="CA5" s="261"/>
      <c r="CB5" s="84" t="s">
        <v>166</v>
      </c>
      <c r="CC5" s="98" t="str">
        <f t="shared" ref="CC5:CR34" si="8">IF(E$38&gt;0, E5/E$38, "")</f>
        <v/>
      </c>
      <c r="CD5" s="99" t="str">
        <f t="shared" si="3"/>
        <v/>
      </c>
      <c r="CE5" s="99" t="str">
        <f t="shared" si="3"/>
        <v/>
      </c>
      <c r="CF5" s="99" t="str">
        <f t="shared" si="3"/>
        <v/>
      </c>
      <c r="CG5" s="99" t="str">
        <f t="shared" si="3"/>
        <v/>
      </c>
      <c r="CH5" s="99" t="str">
        <f t="shared" si="3"/>
        <v/>
      </c>
      <c r="CI5" s="99" t="str">
        <f t="shared" si="3"/>
        <v/>
      </c>
      <c r="CJ5" s="99" t="str">
        <f t="shared" si="3"/>
        <v/>
      </c>
      <c r="CK5" s="99" t="str">
        <f t="shared" si="3"/>
        <v/>
      </c>
      <c r="CL5" s="99" t="str">
        <f t="shared" si="3"/>
        <v/>
      </c>
      <c r="CM5" s="99" t="str">
        <f t="shared" si="3"/>
        <v/>
      </c>
      <c r="CN5" s="99" t="str">
        <f t="shared" si="3"/>
        <v/>
      </c>
      <c r="CO5" s="99" t="str">
        <f t="shared" si="3"/>
        <v/>
      </c>
      <c r="CP5" s="99" t="str">
        <f t="shared" si="3"/>
        <v/>
      </c>
      <c r="CQ5" s="99" t="str">
        <f t="shared" si="3"/>
        <v/>
      </c>
      <c r="CR5" s="99" t="str">
        <f t="shared" si="3"/>
        <v/>
      </c>
      <c r="CS5" s="99" t="str">
        <f t="shared" si="3"/>
        <v/>
      </c>
      <c r="CT5" s="99" t="str">
        <f t="shared" si="4"/>
        <v/>
      </c>
      <c r="CU5" s="99" t="str">
        <f t="shared" si="4"/>
        <v/>
      </c>
      <c r="CV5" s="99" t="str">
        <f t="shared" si="4"/>
        <v/>
      </c>
      <c r="CW5" s="99" t="str">
        <f t="shared" si="4"/>
        <v/>
      </c>
      <c r="CX5" s="99" t="str">
        <f t="shared" si="4"/>
        <v/>
      </c>
      <c r="CY5" s="99" t="str">
        <f t="shared" si="4"/>
        <v/>
      </c>
      <c r="CZ5" s="99" t="str">
        <f t="shared" si="4"/>
        <v/>
      </c>
      <c r="DA5" s="99" t="str">
        <f t="shared" si="4"/>
        <v/>
      </c>
      <c r="DB5" s="99" t="str">
        <f t="shared" si="4"/>
        <v/>
      </c>
      <c r="DC5" s="99" t="str">
        <f t="shared" si="4"/>
        <v/>
      </c>
      <c r="DD5" s="99" t="str">
        <f t="shared" si="4"/>
        <v/>
      </c>
      <c r="DE5" s="99" t="str">
        <f t="shared" si="4"/>
        <v/>
      </c>
      <c r="DF5" s="99" t="str">
        <f t="shared" si="4"/>
        <v/>
      </c>
      <c r="DG5" s="99" t="str">
        <f t="shared" si="4"/>
        <v/>
      </c>
      <c r="DH5" s="99" t="str">
        <f t="shared" si="4"/>
        <v/>
      </c>
      <c r="DI5" s="99" t="str">
        <f t="shared" si="4"/>
        <v/>
      </c>
      <c r="DJ5" s="100" t="str">
        <f t="shared" si="5"/>
        <v/>
      </c>
      <c r="DK5" s="92" t="str">
        <f t="shared" si="5"/>
        <v/>
      </c>
    </row>
    <row r="6" spans="1:115" x14ac:dyDescent="0.2">
      <c r="A6" s="101" t="s">
        <v>7</v>
      </c>
      <c r="B6" s="102"/>
      <c r="C6" s="260"/>
      <c r="D6" s="84" t="s">
        <v>169</v>
      </c>
      <c r="E6" s="95">
        <f>IFERROR(VLOOKUP(CONCATENATE($A$15,"-",$A$12, "-", $D6, "-", E$3, "-", $A$9), OBS_District_Flows!$A:$G, 6,FALSE),0)</f>
        <v>0</v>
      </c>
      <c r="F6" s="96">
        <f>IFERROR(VLOOKUP(CONCATENATE($A$15,"-",$A$12, "-", $D6, "-", F$3, "-", $A$9), OBS_District_Flows!$A:$G, 6,FALSE),0)</f>
        <v>0</v>
      </c>
      <c r="G6" s="96">
        <f>IFERROR(VLOOKUP(CONCATENATE($A$15,"-",$A$12, "-", $D6, "-", G$3, "-", $A$9), OBS_District_Flows!$A:$G, 6,FALSE),0)</f>
        <v>0</v>
      </c>
      <c r="H6" s="96">
        <f>IFERROR(VLOOKUP(CONCATENATE($A$15,"-",$A$12, "-", $D6, "-", H$3, "-", $A$9), OBS_District_Flows!$A:$G, 6,FALSE),0)</f>
        <v>0</v>
      </c>
      <c r="I6" s="96">
        <f>IFERROR(VLOOKUP(CONCATENATE($A$15,"-",$A$12, "-", $D6, "-", I$3, "-", $A$9), OBS_District_Flows!$A:$G, 6,FALSE),0)</f>
        <v>0</v>
      </c>
      <c r="J6" s="96">
        <f>IFERROR(VLOOKUP(CONCATENATE($A$15,"-",$A$12, "-", $D6, "-", J$3, "-", $A$9), OBS_District_Flows!$A:$G, 6,FALSE),0)</f>
        <v>0</v>
      </c>
      <c r="K6" s="96">
        <f>IFERROR(VLOOKUP(CONCATENATE($A$15,"-",$A$12, "-", $D6, "-", K$3, "-", $A$9), OBS_District_Flows!$A:$G, 6,FALSE),0)</f>
        <v>0</v>
      </c>
      <c r="L6" s="96">
        <f>IFERROR(VLOOKUP(CONCATENATE($A$15,"-",$A$12, "-", $D6, "-", L$3, "-", $A$9), OBS_District_Flows!$A:$G, 6,FALSE),0)</f>
        <v>0</v>
      </c>
      <c r="M6" s="96">
        <f>IFERROR(VLOOKUP(CONCATENATE($A$15,"-",$A$12, "-", $D6, "-", M$3, "-", $A$9), OBS_District_Flows!$A:$G, 6,FALSE),0)</f>
        <v>0</v>
      </c>
      <c r="N6" s="96">
        <f>IFERROR(VLOOKUP(CONCATENATE($A$15,"-",$A$12, "-", $D6, "-", N$3, "-", $A$9), OBS_District_Flows!$A:$G, 6,FALSE),0)</f>
        <v>0</v>
      </c>
      <c r="O6" s="96">
        <f>IFERROR(VLOOKUP(CONCATENATE($A$15,"-",$A$12, "-", $D6, "-", O$3, "-", $A$9), OBS_District_Flows!$A:$G, 6,FALSE),0)</f>
        <v>0</v>
      </c>
      <c r="P6" s="96">
        <f>IFERROR(VLOOKUP(CONCATENATE($A$15,"-",$A$12, "-", $D6, "-", P$3, "-", $A$9), OBS_District_Flows!$A:$G, 6,FALSE),0)</f>
        <v>0</v>
      </c>
      <c r="Q6" s="96">
        <f>IFERROR(VLOOKUP(CONCATENATE($A$15,"-",$A$12, "-", $D6, "-", Q$3, "-", $A$9), OBS_District_Flows!$A:$G, 6,FALSE),0)</f>
        <v>0</v>
      </c>
      <c r="R6" s="96">
        <f>IFERROR(VLOOKUP(CONCATENATE($A$15,"-",$A$12, "-", $D6, "-", R$3, "-", $A$9), OBS_District_Flows!$A:$G, 6,FALSE),0)</f>
        <v>0</v>
      </c>
      <c r="S6" s="96">
        <f>IFERROR(VLOOKUP(CONCATENATE($A$15,"-",$A$12, "-", $D6, "-", S$3, "-", $A$9), OBS_District_Flows!$A:$G, 6,FALSE),0)</f>
        <v>0</v>
      </c>
      <c r="T6" s="96">
        <f>IFERROR(VLOOKUP(CONCATENATE($A$15,"-",$A$12, "-", $D6, "-", T$3, "-", $A$9), OBS_District_Flows!$A:$G, 6,FALSE),0)</f>
        <v>0</v>
      </c>
      <c r="U6" s="96">
        <f>IFERROR(VLOOKUP(CONCATENATE($A$15,"-",$A$12, "-", $D6, "-", U$3, "-", $A$9), OBS_District_Flows!$A:$G, 6,FALSE),0)</f>
        <v>0</v>
      </c>
      <c r="V6" s="96">
        <f>IFERROR(VLOOKUP(CONCATENATE($A$15,"-",$A$12, "-", $D6, "-", V$3, "-", $A$9), OBS_District_Flows!$A:$G, 6,FALSE),0)</f>
        <v>0</v>
      </c>
      <c r="W6" s="96">
        <f>IFERROR(VLOOKUP(CONCATENATE($A$15,"-",$A$12, "-", $D6, "-", W$3, "-", $A$9), OBS_District_Flows!$A:$G, 6,FALSE),0)</f>
        <v>0</v>
      </c>
      <c r="X6" s="96">
        <f>IFERROR(VLOOKUP(CONCATENATE($A$15,"-",$A$12, "-", $D6, "-", X$3, "-", $A$9), OBS_District_Flows!$A:$G, 6,FALSE),0)</f>
        <v>0</v>
      </c>
      <c r="Y6" s="96">
        <f>IFERROR(VLOOKUP(CONCATENATE($A$15,"-",$A$12, "-", $D6, "-", Y$3, "-", $A$9), OBS_District_Flows!$A:$G, 6,FALSE),0)</f>
        <v>0</v>
      </c>
      <c r="Z6" s="96">
        <f>IFERROR(VLOOKUP(CONCATENATE($A$15,"-",$A$12, "-", $D6, "-", Z$3, "-", $A$9), OBS_District_Flows!$A:$G, 6,FALSE),0)</f>
        <v>0</v>
      </c>
      <c r="AA6" s="96">
        <f>IFERROR(VLOOKUP(CONCATENATE($A$15,"-",$A$12, "-", $D6, "-", AA$3, "-", $A$9), OBS_District_Flows!$A:$G, 6,FALSE),0)</f>
        <v>0</v>
      </c>
      <c r="AB6" s="96">
        <f>IFERROR(VLOOKUP(CONCATENATE($A$15,"-",$A$12, "-", $D6, "-", AB$3, "-", $A$9), OBS_District_Flows!$A:$G, 6,FALSE),0)</f>
        <v>0</v>
      </c>
      <c r="AC6" s="96">
        <f>IFERROR(VLOOKUP(CONCATENATE($A$15,"-",$A$12, "-", $D6, "-", AC$3, "-", $A$9), OBS_District_Flows!$A:$G, 6,FALSE),0)</f>
        <v>0</v>
      </c>
      <c r="AD6" s="96">
        <f>IFERROR(VLOOKUP(CONCATENATE($A$15,"-",$A$12, "-", $D6, "-", AD$3, "-", $A$9), OBS_District_Flows!$A:$G, 6,FALSE),0)</f>
        <v>0</v>
      </c>
      <c r="AE6" s="96">
        <f>IFERROR(VLOOKUP(CONCATENATE($A$15,"-",$A$12, "-", $D6, "-", AE$3, "-", $A$9), OBS_District_Flows!$A:$G, 6,FALSE),0)</f>
        <v>0</v>
      </c>
      <c r="AF6" s="96">
        <f>IFERROR(VLOOKUP(CONCATENATE($A$15,"-",$A$12, "-", $D6, "-", AF$3, "-", $A$9), OBS_District_Flows!$A:$G, 6,FALSE),0)</f>
        <v>0</v>
      </c>
      <c r="AG6" s="96">
        <f>IFERROR(VLOOKUP(CONCATENATE($A$15,"-",$A$12, "-", $D6, "-", AG$3, "-", $A$9), OBS_District_Flows!$A:$G, 6,FALSE),0)</f>
        <v>0</v>
      </c>
      <c r="AH6" s="96">
        <f>IFERROR(VLOOKUP(CONCATENATE($A$15,"-",$A$12, "-", $D6, "-", AH$3, "-", $A$9), OBS_District_Flows!$A:$G, 6,FALSE),0)</f>
        <v>0</v>
      </c>
      <c r="AI6" s="96">
        <f>IFERROR(VLOOKUP(CONCATENATE($A$15,"-",$A$12, "-", $D6, "-", AI$3, "-", $A$9), OBS_District_Flows!$A:$G, 6,FALSE),0)</f>
        <v>0</v>
      </c>
      <c r="AJ6" s="96">
        <f>IFERROR(VLOOKUP(CONCATENATE($A$15,"-",$A$12, "-", $D6, "-", AJ$3, "-", $A$9), OBS_District_Flows!$A:$G, 6,FALSE),0)</f>
        <v>0</v>
      </c>
      <c r="AK6" s="96">
        <f>IFERROR(VLOOKUP(CONCATENATE($A$15,"-",$A$12, "-", $D6, "-", AK$3, "-", $A$9), OBS_District_Flows!$A:$G, 6,FALSE),0)</f>
        <v>0</v>
      </c>
      <c r="AL6" s="97">
        <f>IFERROR(VLOOKUP(CONCATENATE($A$15,"-",$A$12, "-", $D6, "-", AL$3, "-", $A$9), OBS_District_Flows!$A:$G, 6,FALSE),0)</f>
        <v>0</v>
      </c>
      <c r="AM6" s="88">
        <f t="shared" si="6"/>
        <v>0</v>
      </c>
      <c r="AO6" s="261"/>
      <c r="AP6" s="84" t="s">
        <v>169</v>
      </c>
      <c r="AQ6" s="98" t="str">
        <f t="shared" si="7"/>
        <v/>
      </c>
      <c r="AR6" s="99" t="str">
        <f t="shared" si="0"/>
        <v/>
      </c>
      <c r="AS6" s="99" t="str">
        <f t="shared" si="0"/>
        <v/>
      </c>
      <c r="AT6" s="99" t="str">
        <f t="shared" si="0"/>
        <v/>
      </c>
      <c r="AU6" s="99" t="str">
        <f t="shared" si="0"/>
        <v/>
      </c>
      <c r="AV6" s="99" t="str">
        <f t="shared" si="0"/>
        <v/>
      </c>
      <c r="AW6" s="99" t="str">
        <f t="shared" si="0"/>
        <v/>
      </c>
      <c r="AX6" s="99" t="str">
        <f t="shared" si="0"/>
        <v/>
      </c>
      <c r="AY6" s="99" t="str">
        <f t="shared" si="0"/>
        <v/>
      </c>
      <c r="AZ6" s="99" t="str">
        <f t="shared" si="0"/>
        <v/>
      </c>
      <c r="BA6" s="99" t="str">
        <f t="shared" si="0"/>
        <v/>
      </c>
      <c r="BB6" s="99" t="str">
        <f t="shared" si="0"/>
        <v/>
      </c>
      <c r="BC6" s="99" t="str">
        <f t="shared" si="0"/>
        <v/>
      </c>
      <c r="BD6" s="99" t="str">
        <f t="shared" si="0"/>
        <v/>
      </c>
      <c r="BE6" s="99" t="str">
        <f t="shared" si="0"/>
        <v/>
      </c>
      <c r="BF6" s="99" t="str">
        <f t="shared" si="0"/>
        <v/>
      </c>
      <c r="BG6" s="99" t="str">
        <f t="shared" si="0"/>
        <v/>
      </c>
      <c r="BH6" s="99" t="str">
        <f t="shared" si="1"/>
        <v/>
      </c>
      <c r="BI6" s="99" t="str">
        <f t="shared" si="1"/>
        <v/>
      </c>
      <c r="BJ6" s="99" t="str">
        <f t="shared" si="1"/>
        <v/>
      </c>
      <c r="BK6" s="99" t="str">
        <f t="shared" si="1"/>
        <v/>
      </c>
      <c r="BL6" s="99" t="str">
        <f t="shared" si="1"/>
        <v/>
      </c>
      <c r="BM6" s="99" t="str">
        <f t="shared" si="1"/>
        <v/>
      </c>
      <c r="BN6" s="99" t="str">
        <f t="shared" si="1"/>
        <v/>
      </c>
      <c r="BO6" s="99" t="str">
        <f t="shared" si="1"/>
        <v/>
      </c>
      <c r="BP6" s="99" t="str">
        <f t="shared" si="1"/>
        <v/>
      </c>
      <c r="BQ6" s="99" t="str">
        <f t="shared" si="1"/>
        <v/>
      </c>
      <c r="BR6" s="99" t="str">
        <f t="shared" si="1"/>
        <v/>
      </c>
      <c r="BS6" s="99" t="str">
        <f t="shared" si="1"/>
        <v/>
      </c>
      <c r="BT6" s="99" t="str">
        <f t="shared" si="1"/>
        <v/>
      </c>
      <c r="BU6" s="99" t="str">
        <f t="shared" si="1"/>
        <v/>
      </c>
      <c r="BV6" s="99" t="str">
        <f t="shared" si="1"/>
        <v/>
      </c>
      <c r="BW6" s="99" t="str">
        <f t="shared" si="1"/>
        <v/>
      </c>
      <c r="BX6" s="100" t="str">
        <f t="shared" si="2"/>
        <v/>
      </c>
      <c r="BY6" s="92" t="str">
        <f t="shared" si="2"/>
        <v/>
      </c>
      <c r="CA6" s="261"/>
      <c r="CB6" s="84" t="s">
        <v>169</v>
      </c>
      <c r="CC6" s="98" t="str">
        <f t="shared" si="8"/>
        <v/>
      </c>
      <c r="CD6" s="99" t="str">
        <f t="shared" si="3"/>
        <v/>
      </c>
      <c r="CE6" s="99" t="str">
        <f t="shared" si="3"/>
        <v/>
      </c>
      <c r="CF6" s="99" t="str">
        <f t="shared" si="3"/>
        <v/>
      </c>
      <c r="CG6" s="99" t="str">
        <f t="shared" si="3"/>
        <v/>
      </c>
      <c r="CH6" s="99" t="str">
        <f t="shared" si="3"/>
        <v/>
      </c>
      <c r="CI6" s="99" t="str">
        <f t="shared" si="3"/>
        <v/>
      </c>
      <c r="CJ6" s="99" t="str">
        <f t="shared" si="3"/>
        <v/>
      </c>
      <c r="CK6" s="99" t="str">
        <f t="shared" si="3"/>
        <v/>
      </c>
      <c r="CL6" s="99" t="str">
        <f t="shared" si="3"/>
        <v/>
      </c>
      <c r="CM6" s="99" t="str">
        <f t="shared" si="3"/>
        <v/>
      </c>
      <c r="CN6" s="99" t="str">
        <f t="shared" si="3"/>
        <v/>
      </c>
      <c r="CO6" s="99" t="str">
        <f t="shared" si="3"/>
        <v/>
      </c>
      <c r="CP6" s="99" t="str">
        <f t="shared" si="3"/>
        <v/>
      </c>
      <c r="CQ6" s="99" t="str">
        <f t="shared" si="3"/>
        <v/>
      </c>
      <c r="CR6" s="99" t="str">
        <f t="shared" si="3"/>
        <v/>
      </c>
      <c r="CS6" s="99" t="str">
        <f t="shared" si="3"/>
        <v/>
      </c>
      <c r="CT6" s="99" t="str">
        <f t="shared" si="4"/>
        <v/>
      </c>
      <c r="CU6" s="99" t="str">
        <f t="shared" si="4"/>
        <v/>
      </c>
      <c r="CV6" s="99" t="str">
        <f t="shared" si="4"/>
        <v/>
      </c>
      <c r="CW6" s="99" t="str">
        <f t="shared" si="4"/>
        <v/>
      </c>
      <c r="CX6" s="99" t="str">
        <f t="shared" si="4"/>
        <v/>
      </c>
      <c r="CY6" s="99" t="str">
        <f t="shared" si="4"/>
        <v/>
      </c>
      <c r="CZ6" s="99" t="str">
        <f t="shared" si="4"/>
        <v/>
      </c>
      <c r="DA6" s="99" t="str">
        <f t="shared" si="4"/>
        <v/>
      </c>
      <c r="DB6" s="99" t="str">
        <f t="shared" si="4"/>
        <v/>
      </c>
      <c r="DC6" s="99" t="str">
        <f t="shared" si="4"/>
        <v/>
      </c>
      <c r="DD6" s="99" t="str">
        <f t="shared" si="4"/>
        <v/>
      </c>
      <c r="DE6" s="99" t="str">
        <f t="shared" si="4"/>
        <v/>
      </c>
      <c r="DF6" s="99" t="str">
        <f t="shared" si="4"/>
        <v/>
      </c>
      <c r="DG6" s="99" t="str">
        <f t="shared" si="4"/>
        <v/>
      </c>
      <c r="DH6" s="99" t="str">
        <f t="shared" si="4"/>
        <v/>
      </c>
      <c r="DI6" s="99" t="str">
        <f t="shared" si="4"/>
        <v/>
      </c>
      <c r="DJ6" s="100" t="str">
        <f t="shared" si="5"/>
        <v/>
      </c>
      <c r="DK6" s="92" t="str">
        <f t="shared" si="5"/>
        <v/>
      </c>
    </row>
    <row r="7" spans="1:115" x14ac:dyDescent="0.2">
      <c r="C7" s="260"/>
      <c r="D7" s="84" t="s">
        <v>172</v>
      </c>
      <c r="E7" s="95">
        <f>IFERROR(VLOOKUP(CONCATENATE($A$15,"-",$A$12, "-", $D7, "-", E$3, "-", $A$9), OBS_District_Flows!$A:$G, 6,FALSE),0)</f>
        <v>0</v>
      </c>
      <c r="F7" s="96">
        <f>IFERROR(VLOOKUP(CONCATENATE($A$15,"-",$A$12, "-", $D7, "-", F$3, "-", $A$9), OBS_District_Flows!$A:$G, 6,FALSE),0)</f>
        <v>0</v>
      </c>
      <c r="G7" s="96">
        <f>IFERROR(VLOOKUP(CONCATENATE($A$15,"-",$A$12, "-", $D7, "-", G$3, "-", $A$9), OBS_District_Flows!$A:$G, 6,FALSE),0)</f>
        <v>0</v>
      </c>
      <c r="H7" s="96">
        <f>IFERROR(VLOOKUP(CONCATENATE($A$15,"-",$A$12, "-", $D7, "-", H$3, "-", $A$9), OBS_District_Flows!$A:$G, 6,FALSE),0)</f>
        <v>0</v>
      </c>
      <c r="I7" s="96">
        <f>IFERROR(VLOOKUP(CONCATENATE($A$15,"-",$A$12, "-", $D7, "-", I$3, "-", $A$9), OBS_District_Flows!$A:$G, 6,FALSE),0)</f>
        <v>0</v>
      </c>
      <c r="J7" s="96">
        <f>IFERROR(VLOOKUP(CONCATENATE($A$15,"-",$A$12, "-", $D7, "-", J$3, "-", $A$9), OBS_District_Flows!$A:$G, 6,FALSE),0)</f>
        <v>0</v>
      </c>
      <c r="K7" s="96">
        <f>IFERROR(VLOOKUP(CONCATENATE($A$15,"-",$A$12, "-", $D7, "-", K$3, "-", $A$9), OBS_District_Flows!$A:$G, 6,FALSE),0)</f>
        <v>0</v>
      </c>
      <c r="L7" s="96">
        <f>IFERROR(VLOOKUP(CONCATENATE($A$15,"-",$A$12, "-", $D7, "-", L$3, "-", $A$9), OBS_District_Flows!$A:$G, 6,FALSE),0)</f>
        <v>0</v>
      </c>
      <c r="M7" s="96">
        <f>IFERROR(VLOOKUP(CONCATENATE($A$15,"-",$A$12, "-", $D7, "-", M$3, "-", $A$9), OBS_District_Flows!$A:$G, 6,FALSE),0)</f>
        <v>0</v>
      </c>
      <c r="N7" s="96">
        <f>IFERROR(VLOOKUP(CONCATENATE($A$15,"-",$A$12, "-", $D7, "-", N$3, "-", $A$9), OBS_District_Flows!$A:$G, 6,FALSE),0)</f>
        <v>0</v>
      </c>
      <c r="O7" s="96">
        <f>IFERROR(VLOOKUP(CONCATENATE($A$15,"-",$A$12, "-", $D7, "-", O$3, "-", $A$9), OBS_District_Flows!$A:$G, 6,FALSE),0)</f>
        <v>0</v>
      </c>
      <c r="P7" s="96">
        <f>IFERROR(VLOOKUP(CONCATENATE($A$15,"-",$A$12, "-", $D7, "-", P$3, "-", $A$9), OBS_District_Flows!$A:$G, 6,FALSE),0)</f>
        <v>0</v>
      </c>
      <c r="Q7" s="96">
        <f>IFERROR(VLOOKUP(CONCATENATE($A$15,"-",$A$12, "-", $D7, "-", Q$3, "-", $A$9), OBS_District_Flows!$A:$G, 6,FALSE),0)</f>
        <v>0</v>
      </c>
      <c r="R7" s="96">
        <f>IFERROR(VLOOKUP(CONCATENATE($A$15,"-",$A$12, "-", $D7, "-", R$3, "-", $A$9), OBS_District_Flows!$A:$G, 6,FALSE),0)</f>
        <v>0</v>
      </c>
      <c r="S7" s="96">
        <f>IFERROR(VLOOKUP(CONCATENATE($A$15,"-",$A$12, "-", $D7, "-", S$3, "-", $A$9), OBS_District_Flows!$A:$G, 6,FALSE),0)</f>
        <v>0</v>
      </c>
      <c r="T7" s="96">
        <f>IFERROR(VLOOKUP(CONCATENATE($A$15,"-",$A$12, "-", $D7, "-", T$3, "-", $A$9), OBS_District_Flows!$A:$G, 6,FALSE),0)</f>
        <v>0</v>
      </c>
      <c r="U7" s="96">
        <f>IFERROR(VLOOKUP(CONCATENATE($A$15,"-",$A$12, "-", $D7, "-", U$3, "-", $A$9), OBS_District_Flows!$A:$G, 6,FALSE),0)</f>
        <v>0</v>
      </c>
      <c r="V7" s="96">
        <f>IFERROR(VLOOKUP(CONCATENATE($A$15,"-",$A$12, "-", $D7, "-", V$3, "-", $A$9), OBS_District_Flows!$A:$G, 6,FALSE),0)</f>
        <v>0</v>
      </c>
      <c r="W7" s="96">
        <f>IFERROR(VLOOKUP(CONCATENATE($A$15,"-",$A$12, "-", $D7, "-", W$3, "-", $A$9), OBS_District_Flows!$A:$G, 6,FALSE),0)</f>
        <v>0</v>
      </c>
      <c r="X7" s="96">
        <f>IFERROR(VLOOKUP(CONCATENATE($A$15,"-",$A$12, "-", $D7, "-", X$3, "-", $A$9), OBS_District_Flows!$A:$G, 6,FALSE),0)</f>
        <v>0</v>
      </c>
      <c r="Y7" s="96">
        <f>IFERROR(VLOOKUP(CONCATENATE($A$15,"-",$A$12, "-", $D7, "-", Y$3, "-", $A$9), OBS_District_Flows!$A:$G, 6,FALSE),0)</f>
        <v>0</v>
      </c>
      <c r="Z7" s="96">
        <f>IFERROR(VLOOKUP(CONCATENATE($A$15,"-",$A$12, "-", $D7, "-", Z$3, "-", $A$9), OBS_District_Flows!$A:$G, 6,FALSE),0)</f>
        <v>0</v>
      </c>
      <c r="AA7" s="96">
        <f>IFERROR(VLOOKUP(CONCATENATE($A$15,"-",$A$12, "-", $D7, "-", AA$3, "-", $A$9), OBS_District_Flows!$A:$G, 6,FALSE),0)</f>
        <v>0</v>
      </c>
      <c r="AB7" s="96">
        <f>IFERROR(VLOOKUP(CONCATENATE($A$15,"-",$A$12, "-", $D7, "-", AB$3, "-", $A$9), OBS_District_Flows!$A:$G, 6,FALSE),0)</f>
        <v>0</v>
      </c>
      <c r="AC7" s="96">
        <f>IFERROR(VLOOKUP(CONCATENATE($A$15,"-",$A$12, "-", $D7, "-", AC$3, "-", $A$9), OBS_District_Flows!$A:$G, 6,FALSE),0)</f>
        <v>0</v>
      </c>
      <c r="AD7" s="96">
        <f>IFERROR(VLOOKUP(CONCATENATE($A$15,"-",$A$12, "-", $D7, "-", AD$3, "-", $A$9), OBS_District_Flows!$A:$G, 6,FALSE),0)</f>
        <v>0</v>
      </c>
      <c r="AE7" s="96">
        <f>IFERROR(VLOOKUP(CONCATENATE($A$15,"-",$A$12, "-", $D7, "-", AE$3, "-", $A$9), OBS_District_Flows!$A:$G, 6,FALSE),0)</f>
        <v>0</v>
      </c>
      <c r="AF7" s="96">
        <f>IFERROR(VLOOKUP(CONCATENATE($A$15,"-",$A$12, "-", $D7, "-", AF$3, "-", $A$9), OBS_District_Flows!$A:$G, 6,FALSE),0)</f>
        <v>0</v>
      </c>
      <c r="AG7" s="96">
        <f>IFERROR(VLOOKUP(CONCATENATE($A$15,"-",$A$12, "-", $D7, "-", AG$3, "-", $A$9), OBS_District_Flows!$A:$G, 6,FALSE),0)</f>
        <v>0</v>
      </c>
      <c r="AH7" s="96">
        <f>IFERROR(VLOOKUP(CONCATENATE($A$15,"-",$A$12, "-", $D7, "-", AH$3, "-", $A$9), OBS_District_Flows!$A:$G, 6,FALSE),0)</f>
        <v>0</v>
      </c>
      <c r="AI7" s="96">
        <f>IFERROR(VLOOKUP(CONCATENATE($A$15,"-",$A$12, "-", $D7, "-", AI$3, "-", $A$9), OBS_District_Flows!$A:$G, 6,FALSE),0)</f>
        <v>0</v>
      </c>
      <c r="AJ7" s="96">
        <f>IFERROR(VLOOKUP(CONCATENATE($A$15,"-",$A$12, "-", $D7, "-", AJ$3, "-", $A$9), OBS_District_Flows!$A:$G, 6,FALSE),0)</f>
        <v>0</v>
      </c>
      <c r="AK7" s="96">
        <f>IFERROR(VLOOKUP(CONCATENATE($A$15,"-",$A$12, "-", $D7, "-", AK$3, "-", $A$9), OBS_District_Flows!$A:$G, 6,FALSE),0)</f>
        <v>0</v>
      </c>
      <c r="AL7" s="97">
        <f>IFERROR(VLOOKUP(CONCATENATE($A$15,"-",$A$12, "-", $D7, "-", AL$3, "-", $A$9), OBS_District_Flows!$A:$G, 6,FALSE),0)</f>
        <v>0</v>
      </c>
      <c r="AM7" s="88">
        <f t="shared" si="6"/>
        <v>0</v>
      </c>
      <c r="AO7" s="261"/>
      <c r="AP7" s="84" t="s">
        <v>172</v>
      </c>
      <c r="AQ7" s="98" t="str">
        <f t="shared" si="7"/>
        <v/>
      </c>
      <c r="AR7" s="99" t="str">
        <f t="shared" si="0"/>
        <v/>
      </c>
      <c r="AS7" s="99" t="str">
        <f t="shared" si="0"/>
        <v/>
      </c>
      <c r="AT7" s="99" t="str">
        <f t="shared" si="0"/>
        <v/>
      </c>
      <c r="AU7" s="99" t="str">
        <f t="shared" si="0"/>
        <v/>
      </c>
      <c r="AV7" s="99" t="str">
        <f t="shared" si="0"/>
        <v/>
      </c>
      <c r="AW7" s="99" t="str">
        <f t="shared" si="0"/>
        <v/>
      </c>
      <c r="AX7" s="99" t="str">
        <f t="shared" si="0"/>
        <v/>
      </c>
      <c r="AY7" s="99" t="str">
        <f t="shared" si="0"/>
        <v/>
      </c>
      <c r="AZ7" s="99" t="str">
        <f t="shared" si="0"/>
        <v/>
      </c>
      <c r="BA7" s="99" t="str">
        <f t="shared" si="0"/>
        <v/>
      </c>
      <c r="BB7" s="99" t="str">
        <f t="shared" si="0"/>
        <v/>
      </c>
      <c r="BC7" s="99" t="str">
        <f t="shared" si="0"/>
        <v/>
      </c>
      <c r="BD7" s="99" t="str">
        <f t="shared" si="0"/>
        <v/>
      </c>
      <c r="BE7" s="99" t="str">
        <f t="shared" si="0"/>
        <v/>
      </c>
      <c r="BF7" s="99" t="str">
        <f t="shared" si="0"/>
        <v/>
      </c>
      <c r="BG7" s="99" t="str">
        <f t="shared" si="0"/>
        <v/>
      </c>
      <c r="BH7" s="99" t="str">
        <f t="shared" si="1"/>
        <v/>
      </c>
      <c r="BI7" s="99" t="str">
        <f t="shared" si="1"/>
        <v/>
      </c>
      <c r="BJ7" s="99" t="str">
        <f t="shared" si="1"/>
        <v/>
      </c>
      <c r="BK7" s="99" t="str">
        <f t="shared" si="1"/>
        <v/>
      </c>
      <c r="BL7" s="99" t="str">
        <f t="shared" si="1"/>
        <v/>
      </c>
      <c r="BM7" s="99" t="str">
        <f t="shared" si="1"/>
        <v/>
      </c>
      <c r="BN7" s="99" t="str">
        <f t="shared" si="1"/>
        <v/>
      </c>
      <c r="BO7" s="99" t="str">
        <f t="shared" si="1"/>
        <v/>
      </c>
      <c r="BP7" s="99" t="str">
        <f t="shared" si="1"/>
        <v/>
      </c>
      <c r="BQ7" s="99" t="str">
        <f t="shared" si="1"/>
        <v/>
      </c>
      <c r="BR7" s="99" t="str">
        <f t="shared" si="1"/>
        <v/>
      </c>
      <c r="BS7" s="99" t="str">
        <f t="shared" si="1"/>
        <v/>
      </c>
      <c r="BT7" s="99" t="str">
        <f t="shared" si="1"/>
        <v/>
      </c>
      <c r="BU7" s="99" t="str">
        <f t="shared" si="1"/>
        <v/>
      </c>
      <c r="BV7" s="99" t="str">
        <f t="shared" si="1"/>
        <v/>
      </c>
      <c r="BW7" s="99" t="str">
        <f t="shared" si="1"/>
        <v/>
      </c>
      <c r="BX7" s="100" t="str">
        <f t="shared" si="2"/>
        <v/>
      </c>
      <c r="BY7" s="92" t="str">
        <f t="shared" si="2"/>
        <v/>
      </c>
      <c r="CA7" s="261"/>
      <c r="CB7" s="84" t="s">
        <v>172</v>
      </c>
      <c r="CC7" s="98" t="str">
        <f t="shared" si="8"/>
        <v/>
      </c>
      <c r="CD7" s="99" t="str">
        <f t="shared" si="3"/>
        <v/>
      </c>
      <c r="CE7" s="99" t="str">
        <f t="shared" si="3"/>
        <v/>
      </c>
      <c r="CF7" s="99" t="str">
        <f t="shared" si="3"/>
        <v/>
      </c>
      <c r="CG7" s="99" t="str">
        <f t="shared" si="3"/>
        <v/>
      </c>
      <c r="CH7" s="99" t="str">
        <f t="shared" si="3"/>
        <v/>
      </c>
      <c r="CI7" s="99" t="str">
        <f t="shared" si="3"/>
        <v/>
      </c>
      <c r="CJ7" s="99" t="str">
        <f t="shared" si="3"/>
        <v/>
      </c>
      <c r="CK7" s="99" t="str">
        <f t="shared" si="3"/>
        <v/>
      </c>
      <c r="CL7" s="99" t="str">
        <f t="shared" si="3"/>
        <v/>
      </c>
      <c r="CM7" s="99" t="str">
        <f t="shared" si="3"/>
        <v/>
      </c>
      <c r="CN7" s="99" t="str">
        <f t="shared" si="3"/>
        <v/>
      </c>
      <c r="CO7" s="99" t="str">
        <f t="shared" si="3"/>
        <v/>
      </c>
      <c r="CP7" s="99" t="str">
        <f t="shared" si="3"/>
        <v/>
      </c>
      <c r="CQ7" s="99" t="str">
        <f t="shared" si="3"/>
        <v/>
      </c>
      <c r="CR7" s="99" t="str">
        <f t="shared" si="3"/>
        <v/>
      </c>
      <c r="CS7" s="99" t="str">
        <f t="shared" si="3"/>
        <v/>
      </c>
      <c r="CT7" s="99" t="str">
        <f t="shared" si="4"/>
        <v/>
      </c>
      <c r="CU7" s="99" t="str">
        <f t="shared" si="4"/>
        <v/>
      </c>
      <c r="CV7" s="99" t="str">
        <f t="shared" si="4"/>
        <v/>
      </c>
      <c r="CW7" s="99" t="str">
        <f t="shared" si="4"/>
        <v/>
      </c>
      <c r="CX7" s="99" t="str">
        <f t="shared" si="4"/>
        <v/>
      </c>
      <c r="CY7" s="99" t="str">
        <f t="shared" si="4"/>
        <v/>
      </c>
      <c r="CZ7" s="99" t="str">
        <f t="shared" si="4"/>
        <v/>
      </c>
      <c r="DA7" s="99" t="str">
        <f t="shared" si="4"/>
        <v/>
      </c>
      <c r="DB7" s="99" t="str">
        <f t="shared" si="4"/>
        <v/>
      </c>
      <c r="DC7" s="99" t="str">
        <f t="shared" si="4"/>
        <v/>
      </c>
      <c r="DD7" s="99" t="str">
        <f t="shared" si="4"/>
        <v/>
      </c>
      <c r="DE7" s="99" t="str">
        <f t="shared" si="4"/>
        <v/>
      </c>
      <c r="DF7" s="99" t="str">
        <f t="shared" si="4"/>
        <v/>
      </c>
      <c r="DG7" s="99" t="str">
        <f t="shared" si="4"/>
        <v/>
      </c>
      <c r="DH7" s="99" t="str">
        <f t="shared" si="4"/>
        <v/>
      </c>
      <c r="DI7" s="99" t="str">
        <f t="shared" si="4"/>
        <v/>
      </c>
      <c r="DJ7" s="100" t="str">
        <f t="shared" si="5"/>
        <v/>
      </c>
      <c r="DK7" s="92" t="str">
        <f t="shared" si="5"/>
        <v/>
      </c>
    </row>
    <row r="8" spans="1:115" x14ac:dyDescent="0.2">
      <c r="A8" s="80" t="s">
        <v>215</v>
      </c>
      <c r="C8" s="260"/>
      <c r="D8" s="84" t="s">
        <v>175</v>
      </c>
      <c r="E8" s="95">
        <f>IFERROR(VLOOKUP(CONCATENATE($A$15,"-",$A$12, "-", $D8, "-", E$3, "-", $A$9), OBS_District_Flows!$A:$G, 6,FALSE),0)</f>
        <v>0</v>
      </c>
      <c r="F8" s="96">
        <f>IFERROR(VLOOKUP(CONCATENATE($A$15,"-",$A$12, "-", $D8, "-", F$3, "-", $A$9), OBS_District_Flows!$A:$G, 6,FALSE),0)</f>
        <v>0</v>
      </c>
      <c r="G8" s="96">
        <f>IFERROR(VLOOKUP(CONCATENATE($A$15,"-",$A$12, "-", $D8, "-", G$3, "-", $A$9), OBS_District_Flows!$A:$G, 6,FALSE),0)</f>
        <v>0</v>
      </c>
      <c r="H8" s="96">
        <f>IFERROR(VLOOKUP(CONCATENATE($A$15,"-",$A$12, "-", $D8, "-", H$3, "-", $A$9), OBS_District_Flows!$A:$G, 6,FALSE),0)</f>
        <v>0</v>
      </c>
      <c r="I8" s="96">
        <f>IFERROR(VLOOKUP(CONCATENATE($A$15,"-",$A$12, "-", $D8, "-", I$3, "-", $A$9), OBS_District_Flows!$A:$G, 6,FALSE),0)</f>
        <v>0</v>
      </c>
      <c r="J8" s="96">
        <f>IFERROR(VLOOKUP(CONCATENATE($A$15,"-",$A$12, "-", $D8, "-", J$3, "-", $A$9), OBS_District_Flows!$A:$G, 6,FALSE),0)</f>
        <v>0</v>
      </c>
      <c r="K8" s="96">
        <f>IFERROR(VLOOKUP(CONCATENATE($A$15,"-",$A$12, "-", $D8, "-", K$3, "-", $A$9), OBS_District_Flows!$A:$G, 6,FALSE),0)</f>
        <v>0</v>
      </c>
      <c r="L8" s="96">
        <f>IFERROR(VLOOKUP(CONCATENATE($A$15,"-",$A$12, "-", $D8, "-", L$3, "-", $A$9), OBS_District_Flows!$A:$G, 6,FALSE),0)</f>
        <v>0</v>
      </c>
      <c r="M8" s="96">
        <f>IFERROR(VLOOKUP(CONCATENATE($A$15,"-",$A$12, "-", $D8, "-", M$3, "-", $A$9), OBS_District_Flows!$A:$G, 6,FALSE),0)</f>
        <v>0</v>
      </c>
      <c r="N8" s="96">
        <f>IFERROR(VLOOKUP(CONCATENATE($A$15,"-",$A$12, "-", $D8, "-", N$3, "-", $A$9), OBS_District_Flows!$A:$G, 6,FALSE),0)</f>
        <v>0</v>
      </c>
      <c r="O8" s="96">
        <f>IFERROR(VLOOKUP(CONCATENATE($A$15,"-",$A$12, "-", $D8, "-", O$3, "-", $A$9), OBS_District_Flows!$A:$G, 6,FALSE),0)</f>
        <v>0</v>
      </c>
      <c r="P8" s="96">
        <f>IFERROR(VLOOKUP(CONCATENATE($A$15,"-",$A$12, "-", $D8, "-", P$3, "-", $A$9), OBS_District_Flows!$A:$G, 6,FALSE),0)</f>
        <v>0</v>
      </c>
      <c r="Q8" s="96">
        <f>IFERROR(VLOOKUP(CONCATENATE($A$15,"-",$A$12, "-", $D8, "-", Q$3, "-", $A$9), OBS_District_Flows!$A:$G, 6,FALSE),0)</f>
        <v>0</v>
      </c>
      <c r="R8" s="96">
        <f>IFERROR(VLOOKUP(CONCATENATE($A$15,"-",$A$12, "-", $D8, "-", R$3, "-", $A$9), OBS_District_Flows!$A:$G, 6,FALSE),0)</f>
        <v>0</v>
      </c>
      <c r="S8" s="96">
        <f>IFERROR(VLOOKUP(CONCATENATE($A$15,"-",$A$12, "-", $D8, "-", S$3, "-", $A$9), OBS_District_Flows!$A:$G, 6,FALSE),0)</f>
        <v>0</v>
      </c>
      <c r="T8" s="96">
        <f>IFERROR(VLOOKUP(CONCATENATE($A$15,"-",$A$12, "-", $D8, "-", T$3, "-", $A$9), OBS_District_Flows!$A:$G, 6,FALSE),0)</f>
        <v>0</v>
      </c>
      <c r="U8" s="96">
        <f>IFERROR(VLOOKUP(CONCATENATE($A$15,"-",$A$12, "-", $D8, "-", U$3, "-", $A$9), OBS_District_Flows!$A:$G, 6,FALSE),0)</f>
        <v>0</v>
      </c>
      <c r="V8" s="96">
        <f>IFERROR(VLOOKUP(CONCATENATE($A$15,"-",$A$12, "-", $D8, "-", V$3, "-", $A$9), OBS_District_Flows!$A:$G, 6,FALSE),0)</f>
        <v>0</v>
      </c>
      <c r="W8" s="96">
        <f>IFERROR(VLOOKUP(CONCATENATE($A$15,"-",$A$12, "-", $D8, "-", W$3, "-", $A$9), OBS_District_Flows!$A:$G, 6,FALSE),0)</f>
        <v>0</v>
      </c>
      <c r="X8" s="96">
        <f>IFERROR(VLOOKUP(CONCATENATE($A$15,"-",$A$12, "-", $D8, "-", X$3, "-", $A$9), OBS_District_Flows!$A:$G, 6,FALSE),0)</f>
        <v>0</v>
      </c>
      <c r="Y8" s="96">
        <f>IFERROR(VLOOKUP(CONCATENATE($A$15,"-",$A$12, "-", $D8, "-", Y$3, "-", $A$9), OBS_District_Flows!$A:$G, 6,FALSE),0)</f>
        <v>0</v>
      </c>
      <c r="Z8" s="96">
        <f>IFERROR(VLOOKUP(CONCATENATE($A$15,"-",$A$12, "-", $D8, "-", Z$3, "-", $A$9), OBS_District_Flows!$A:$G, 6,FALSE),0)</f>
        <v>0</v>
      </c>
      <c r="AA8" s="96">
        <f>IFERROR(VLOOKUP(CONCATENATE($A$15,"-",$A$12, "-", $D8, "-", AA$3, "-", $A$9), OBS_District_Flows!$A:$G, 6,FALSE),0)</f>
        <v>0</v>
      </c>
      <c r="AB8" s="96">
        <f>IFERROR(VLOOKUP(CONCATENATE($A$15,"-",$A$12, "-", $D8, "-", AB$3, "-", $A$9), OBS_District_Flows!$A:$G, 6,FALSE),0)</f>
        <v>0</v>
      </c>
      <c r="AC8" s="96">
        <f>IFERROR(VLOOKUP(CONCATENATE($A$15,"-",$A$12, "-", $D8, "-", AC$3, "-", $A$9), OBS_District_Flows!$A:$G, 6,FALSE),0)</f>
        <v>0</v>
      </c>
      <c r="AD8" s="96">
        <f>IFERROR(VLOOKUP(CONCATENATE($A$15,"-",$A$12, "-", $D8, "-", AD$3, "-", $A$9), OBS_District_Flows!$A:$G, 6,FALSE),0)</f>
        <v>0</v>
      </c>
      <c r="AE8" s="96">
        <f>IFERROR(VLOOKUP(CONCATENATE($A$15,"-",$A$12, "-", $D8, "-", AE$3, "-", $A$9), OBS_District_Flows!$A:$G, 6,FALSE),0)</f>
        <v>0</v>
      </c>
      <c r="AF8" s="96">
        <f>IFERROR(VLOOKUP(CONCATENATE($A$15,"-",$A$12, "-", $D8, "-", AF$3, "-", $A$9), OBS_District_Flows!$A:$G, 6,FALSE),0)</f>
        <v>0</v>
      </c>
      <c r="AG8" s="96">
        <f>IFERROR(VLOOKUP(CONCATENATE($A$15,"-",$A$12, "-", $D8, "-", AG$3, "-", $A$9), OBS_District_Flows!$A:$G, 6,FALSE),0)</f>
        <v>0</v>
      </c>
      <c r="AH8" s="96">
        <f>IFERROR(VLOOKUP(CONCATENATE($A$15,"-",$A$12, "-", $D8, "-", AH$3, "-", $A$9), OBS_District_Flows!$A:$G, 6,FALSE),0)</f>
        <v>0</v>
      </c>
      <c r="AI8" s="96">
        <f>IFERROR(VLOOKUP(CONCATENATE($A$15,"-",$A$12, "-", $D8, "-", AI$3, "-", $A$9), OBS_District_Flows!$A:$G, 6,FALSE),0)</f>
        <v>0</v>
      </c>
      <c r="AJ8" s="96">
        <f>IFERROR(VLOOKUP(CONCATENATE($A$15,"-",$A$12, "-", $D8, "-", AJ$3, "-", $A$9), OBS_District_Flows!$A:$G, 6,FALSE),0)</f>
        <v>0</v>
      </c>
      <c r="AK8" s="96">
        <f>IFERROR(VLOOKUP(CONCATENATE($A$15,"-",$A$12, "-", $D8, "-", AK$3, "-", $A$9), OBS_District_Flows!$A:$G, 6,FALSE),0)</f>
        <v>0</v>
      </c>
      <c r="AL8" s="97">
        <f>IFERROR(VLOOKUP(CONCATENATE($A$15,"-",$A$12, "-", $D8, "-", AL$3, "-", $A$9), OBS_District_Flows!$A:$G, 6,FALSE),0)</f>
        <v>0</v>
      </c>
      <c r="AM8" s="88">
        <f t="shared" si="6"/>
        <v>0</v>
      </c>
      <c r="AO8" s="261"/>
      <c r="AP8" s="84" t="s">
        <v>175</v>
      </c>
      <c r="AQ8" s="98" t="str">
        <f t="shared" si="7"/>
        <v/>
      </c>
      <c r="AR8" s="99" t="str">
        <f t="shared" si="0"/>
        <v/>
      </c>
      <c r="AS8" s="99" t="str">
        <f t="shared" si="0"/>
        <v/>
      </c>
      <c r="AT8" s="99" t="str">
        <f t="shared" si="0"/>
        <v/>
      </c>
      <c r="AU8" s="99" t="str">
        <f t="shared" si="0"/>
        <v/>
      </c>
      <c r="AV8" s="99" t="str">
        <f t="shared" si="0"/>
        <v/>
      </c>
      <c r="AW8" s="99" t="str">
        <f t="shared" si="0"/>
        <v/>
      </c>
      <c r="AX8" s="99" t="str">
        <f t="shared" si="0"/>
        <v/>
      </c>
      <c r="AY8" s="99" t="str">
        <f t="shared" si="0"/>
        <v/>
      </c>
      <c r="AZ8" s="99" t="str">
        <f t="shared" si="0"/>
        <v/>
      </c>
      <c r="BA8" s="99" t="str">
        <f t="shared" si="0"/>
        <v/>
      </c>
      <c r="BB8" s="99" t="str">
        <f t="shared" si="0"/>
        <v/>
      </c>
      <c r="BC8" s="99" t="str">
        <f t="shared" si="0"/>
        <v/>
      </c>
      <c r="BD8" s="99" t="str">
        <f t="shared" si="0"/>
        <v/>
      </c>
      <c r="BE8" s="99" t="str">
        <f t="shared" si="0"/>
        <v/>
      </c>
      <c r="BF8" s="99" t="str">
        <f t="shared" si="0"/>
        <v/>
      </c>
      <c r="BG8" s="99" t="str">
        <f t="shared" si="0"/>
        <v/>
      </c>
      <c r="BH8" s="99" t="str">
        <f t="shared" si="1"/>
        <v/>
      </c>
      <c r="BI8" s="99" t="str">
        <f t="shared" si="1"/>
        <v/>
      </c>
      <c r="BJ8" s="99" t="str">
        <f t="shared" si="1"/>
        <v/>
      </c>
      <c r="BK8" s="99" t="str">
        <f t="shared" si="1"/>
        <v/>
      </c>
      <c r="BL8" s="99" t="str">
        <f t="shared" si="1"/>
        <v/>
      </c>
      <c r="BM8" s="99" t="str">
        <f t="shared" si="1"/>
        <v/>
      </c>
      <c r="BN8" s="99" t="str">
        <f t="shared" si="1"/>
        <v/>
      </c>
      <c r="BO8" s="99" t="str">
        <f t="shared" si="1"/>
        <v/>
      </c>
      <c r="BP8" s="99" t="str">
        <f t="shared" si="1"/>
        <v/>
      </c>
      <c r="BQ8" s="99" t="str">
        <f t="shared" si="1"/>
        <v/>
      </c>
      <c r="BR8" s="99" t="str">
        <f t="shared" si="1"/>
        <v/>
      </c>
      <c r="BS8" s="99" t="str">
        <f t="shared" si="1"/>
        <v/>
      </c>
      <c r="BT8" s="99" t="str">
        <f t="shared" si="1"/>
        <v/>
      </c>
      <c r="BU8" s="99" t="str">
        <f t="shared" si="1"/>
        <v/>
      </c>
      <c r="BV8" s="99" t="str">
        <f t="shared" si="1"/>
        <v/>
      </c>
      <c r="BW8" s="99" t="str">
        <f t="shared" si="1"/>
        <v/>
      </c>
      <c r="BX8" s="100" t="str">
        <f t="shared" si="2"/>
        <v/>
      </c>
      <c r="BY8" s="92" t="str">
        <f t="shared" si="2"/>
        <v/>
      </c>
      <c r="CA8" s="261"/>
      <c r="CB8" s="84" t="s">
        <v>175</v>
      </c>
      <c r="CC8" s="98" t="str">
        <f t="shared" si="8"/>
        <v/>
      </c>
      <c r="CD8" s="99" t="str">
        <f t="shared" si="3"/>
        <v/>
      </c>
      <c r="CE8" s="99" t="str">
        <f t="shared" si="3"/>
        <v/>
      </c>
      <c r="CF8" s="99" t="str">
        <f t="shared" si="3"/>
        <v/>
      </c>
      <c r="CG8" s="99" t="str">
        <f t="shared" si="3"/>
        <v/>
      </c>
      <c r="CH8" s="99" t="str">
        <f t="shared" si="3"/>
        <v/>
      </c>
      <c r="CI8" s="99" t="str">
        <f t="shared" si="3"/>
        <v/>
      </c>
      <c r="CJ8" s="99" t="str">
        <f t="shared" si="3"/>
        <v/>
      </c>
      <c r="CK8" s="99" t="str">
        <f t="shared" si="3"/>
        <v/>
      </c>
      <c r="CL8" s="99" t="str">
        <f t="shared" si="3"/>
        <v/>
      </c>
      <c r="CM8" s="99" t="str">
        <f t="shared" si="3"/>
        <v/>
      </c>
      <c r="CN8" s="99" t="str">
        <f t="shared" si="3"/>
        <v/>
      </c>
      <c r="CO8" s="99" t="str">
        <f t="shared" si="3"/>
        <v/>
      </c>
      <c r="CP8" s="99" t="str">
        <f t="shared" si="3"/>
        <v/>
      </c>
      <c r="CQ8" s="99" t="str">
        <f t="shared" si="3"/>
        <v/>
      </c>
      <c r="CR8" s="99" t="str">
        <f t="shared" si="3"/>
        <v/>
      </c>
      <c r="CS8" s="99" t="str">
        <f t="shared" si="3"/>
        <v/>
      </c>
      <c r="CT8" s="99" t="str">
        <f t="shared" si="4"/>
        <v/>
      </c>
      <c r="CU8" s="99" t="str">
        <f t="shared" si="4"/>
        <v/>
      </c>
      <c r="CV8" s="99" t="str">
        <f t="shared" si="4"/>
        <v/>
      </c>
      <c r="CW8" s="99" t="str">
        <f t="shared" si="4"/>
        <v/>
      </c>
      <c r="CX8" s="99" t="str">
        <f t="shared" si="4"/>
        <v/>
      </c>
      <c r="CY8" s="99" t="str">
        <f t="shared" si="4"/>
        <v/>
      </c>
      <c r="CZ8" s="99" t="str">
        <f t="shared" si="4"/>
        <v/>
      </c>
      <c r="DA8" s="99" t="str">
        <f t="shared" si="4"/>
        <v/>
      </c>
      <c r="DB8" s="99" t="str">
        <f t="shared" si="4"/>
        <v/>
      </c>
      <c r="DC8" s="99" t="str">
        <f t="shared" si="4"/>
        <v/>
      </c>
      <c r="DD8" s="99" t="str">
        <f t="shared" si="4"/>
        <v/>
      </c>
      <c r="DE8" s="99" t="str">
        <f t="shared" si="4"/>
        <v/>
      </c>
      <c r="DF8" s="99" t="str">
        <f t="shared" si="4"/>
        <v/>
      </c>
      <c r="DG8" s="99" t="str">
        <f t="shared" si="4"/>
        <v/>
      </c>
      <c r="DH8" s="99" t="str">
        <f t="shared" si="4"/>
        <v/>
      </c>
      <c r="DI8" s="99" t="str">
        <f t="shared" si="4"/>
        <v/>
      </c>
      <c r="DJ8" s="100" t="str">
        <f t="shared" si="5"/>
        <v/>
      </c>
      <c r="DK8" s="92" t="str">
        <f t="shared" si="5"/>
        <v/>
      </c>
    </row>
    <row r="9" spans="1:115" x14ac:dyDescent="0.2">
      <c r="A9" s="103" t="str">
        <f>VLOOKUP(A6, OBS_District_Flows!$Q$2:$R$8,2,FALSE)</f>
        <v>Total</v>
      </c>
      <c r="B9" s="104"/>
      <c r="C9" s="260"/>
      <c r="D9" s="84" t="s">
        <v>178</v>
      </c>
      <c r="E9" s="95">
        <f>IFERROR(VLOOKUP(CONCATENATE($A$15,"-",$A$12, "-", $D9, "-", E$3, "-", $A$9), OBS_District_Flows!$A:$G, 6,FALSE),0)</f>
        <v>0</v>
      </c>
      <c r="F9" s="96">
        <f>IFERROR(VLOOKUP(CONCATENATE($A$15,"-",$A$12, "-", $D9, "-", F$3, "-", $A$9), OBS_District_Flows!$A:$G, 6,FALSE),0)</f>
        <v>0</v>
      </c>
      <c r="G9" s="96">
        <f>IFERROR(VLOOKUP(CONCATENATE($A$15,"-",$A$12, "-", $D9, "-", G$3, "-", $A$9), OBS_District_Flows!$A:$G, 6,FALSE),0)</f>
        <v>0</v>
      </c>
      <c r="H9" s="96">
        <f>IFERROR(VLOOKUP(CONCATENATE($A$15,"-",$A$12, "-", $D9, "-", H$3, "-", $A$9), OBS_District_Flows!$A:$G, 6,FALSE),0)</f>
        <v>0</v>
      </c>
      <c r="I9" s="96">
        <f>IFERROR(VLOOKUP(CONCATENATE($A$15,"-",$A$12, "-", $D9, "-", I$3, "-", $A$9), OBS_District_Flows!$A:$G, 6,FALSE),0)</f>
        <v>0</v>
      </c>
      <c r="J9" s="96">
        <f>IFERROR(VLOOKUP(CONCATENATE($A$15,"-",$A$12, "-", $D9, "-", J$3, "-", $A$9), OBS_District_Flows!$A:$G, 6,FALSE),0)</f>
        <v>0</v>
      </c>
      <c r="K9" s="96">
        <f>IFERROR(VLOOKUP(CONCATENATE($A$15,"-",$A$12, "-", $D9, "-", K$3, "-", $A$9), OBS_District_Flows!$A:$G, 6,FALSE),0)</f>
        <v>0</v>
      </c>
      <c r="L9" s="96">
        <f>IFERROR(VLOOKUP(CONCATENATE($A$15,"-",$A$12, "-", $D9, "-", L$3, "-", $A$9), OBS_District_Flows!$A:$G, 6,FALSE),0)</f>
        <v>0</v>
      </c>
      <c r="M9" s="96">
        <f>IFERROR(VLOOKUP(CONCATENATE($A$15,"-",$A$12, "-", $D9, "-", M$3, "-", $A$9), OBS_District_Flows!$A:$G, 6,FALSE),0)</f>
        <v>0</v>
      </c>
      <c r="N9" s="96">
        <f>IFERROR(VLOOKUP(CONCATENATE($A$15,"-",$A$12, "-", $D9, "-", N$3, "-", $A$9), OBS_District_Flows!$A:$G, 6,FALSE),0)</f>
        <v>0</v>
      </c>
      <c r="O9" s="96">
        <f>IFERROR(VLOOKUP(CONCATENATE($A$15,"-",$A$12, "-", $D9, "-", O$3, "-", $A$9), OBS_District_Flows!$A:$G, 6,FALSE),0)</f>
        <v>0</v>
      </c>
      <c r="P9" s="96">
        <f>IFERROR(VLOOKUP(CONCATENATE($A$15,"-",$A$12, "-", $D9, "-", P$3, "-", $A$9), OBS_District_Flows!$A:$G, 6,FALSE),0)</f>
        <v>0</v>
      </c>
      <c r="Q9" s="96">
        <f>IFERROR(VLOOKUP(CONCATENATE($A$15,"-",$A$12, "-", $D9, "-", Q$3, "-", $A$9), OBS_District_Flows!$A:$G, 6,FALSE),0)</f>
        <v>0</v>
      </c>
      <c r="R9" s="96">
        <f>IFERROR(VLOOKUP(CONCATENATE($A$15,"-",$A$12, "-", $D9, "-", R$3, "-", $A$9), OBS_District_Flows!$A:$G, 6,FALSE),0)</f>
        <v>0</v>
      </c>
      <c r="S9" s="96">
        <f>IFERROR(VLOOKUP(CONCATENATE($A$15,"-",$A$12, "-", $D9, "-", S$3, "-", $A$9), OBS_District_Flows!$A:$G, 6,FALSE),0)</f>
        <v>0</v>
      </c>
      <c r="T9" s="96">
        <f>IFERROR(VLOOKUP(CONCATENATE($A$15,"-",$A$12, "-", $D9, "-", T$3, "-", $A$9), OBS_District_Flows!$A:$G, 6,FALSE),0)</f>
        <v>0</v>
      </c>
      <c r="U9" s="96">
        <f>IFERROR(VLOOKUP(CONCATENATE($A$15,"-",$A$12, "-", $D9, "-", U$3, "-", $A$9), OBS_District_Flows!$A:$G, 6,FALSE),0)</f>
        <v>0</v>
      </c>
      <c r="V9" s="96">
        <f>IFERROR(VLOOKUP(CONCATENATE($A$15,"-",$A$12, "-", $D9, "-", V$3, "-", $A$9), OBS_District_Flows!$A:$G, 6,FALSE),0)</f>
        <v>0</v>
      </c>
      <c r="W9" s="96">
        <f>IFERROR(VLOOKUP(CONCATENATE($A$15,"-",$A$12, "-", $D9, "-", W$3, "-", $A$9), OBS_District_Flows!$A:$G, 6,FALSE),0)</f>
        <v>0</v>
      </c>
      <c r="X9" s="96">
        <f>IFERROR(VLOOKUP(CONCATENATE($A$15,"-",$A$12, "-", $D9, "-", X$3, "-", $A$9), OBS_District_Flows!$A:$G, 6,FALSE),0)</f>
        <v>0</v>
      </c>
      <c r="Y9" s="96">
        <f>IFERROR(VLOOKUP(CONCATENATE($A$15,"-",$A$12, "-", $D9, "-", Y$3, "-", $A$9), OBS_District_Flows!$A:$G, 6,FALSE),0)</f>
        <v>0</v>
      </c>
      <c r="Z9" s="96">
        <f>IFERROR(VLOOKUP(CONCATENATE($A$15,"-",$A$12, "-", $D9, "-", Z$3, "-", $A$9), OBS_District_Flows!$A:$G, 6,FALSE),0)</f>
        <v>0</v>
      </c>
      <c r="AA9" s="96">
        <f>IFERROR(VLOOKUP(CONCATENATE($A$15,"-",$A$12, "-", $D9, "-", AA$3, "-", $A$9), OBS_District_Flows!$A:$G, 6,FALSE),0)</f>
        <v>0</v>
      </c>
      <c r="AB9" s="96">
        <f>IFERROR(VLOOKUP(CONCATENATE($A$15,"-",$A$12, "-", $D9, "-", AB$3, "-", $A$9), OBS_District_Flows!$A:$G, 6,FALSE),0)</f>
        <v>0</v>
      </c>
      <c r="AC9" s="96">
        <f>IFERROR(VLOOKUP(CONCATENATE($A$15,"-",$A$12, "-", $D9, "-", AC$3, "-", $A$9), OBS_District_Flows!$A:$G, 6,FALSE),0)</f>
        <v>0</v>
      </c>
      <c r="AD9" s="96">
        <f>IFERROR(VLOOKUP(CONCATENATE($A$15,"-",$A$12, "-", $D9, "-", AD$3, "-", $A$9), OBS_District_Flows!$A:$G, 6,FALSE),0)</f>
        <v>0</v>
      </c>
      <c r="AE9" s="96">
        <f>IFERROR(VLOOKUP(CONCATENATE($A$15,"-",$A$12, "-", $D9, "-", AE$3, "-", $A$9), OBS_District_Flows!$A:$G, 6,FALSE),0)</f>
        <v>0</v>
      </c>
      <c r="AF9" s="96">
        <f>IFERROR(VLOOKUP(CONCATENATE($A$15,"-",$A$12, "-", $D9, "-", AF$3, "-", $A$9), OBS_District_Flows!$A:$G, 6,FALSE),0)</f>
        <v>0</v>
      </c>
      <c r="AG9" s="96">
        <f>IFERROR(VLOOKUP(CONCATENATE($A$15,"-",$A$12, "-", $D9, "-", AG$3, "-", $A$9), OBS_District_Flows!$A:$G, 6,FALSE),0)</f>
        <v>0</v>
      </c>
      <c r="AH9" s="96">
        <f>IFERROR(VLOOKUP(CONCATENATE($A$15,"-",$A$12, "-", $D9, "-", AH$3, "-", $A$9), OBS_District_Flows!$A:$G, 6,FALSE),0)</f>
        <v>0</v>
      </c>
      <c r="AI9" s="96">
        <f>IFERROR(VLOOKUP(CONCATENATE($A$15,"-",$A$12, "-", $D9, "-", AI$3, "-", $A$9), OBS_District_Flows!$A:$G, 6,FALSE),0)</f>
        <v>0</v>
      </c>
      <c r="AJ9" s="96">
        <f>IFERROR(VLOOKUP(CONCATENATE($A$15,"-",$A$12, "-", $D9, "-", AJ$3, "-", $A$9), OBS_District_Flows!$A:$G, 6,FALSE),0)</f>
        <v>0</v>
      </c>
      <c r="AK9" s="96">
        <f>IFERROR(VLOOKUP(CONCATENATE($A$15,"-",$A$12, "-", $D9, "-", AK$3, "-", $A$9), OBS_District_Flows!$A:$G, 6,FALSE),0)</f>
        <v>0</v>
      </c>
      <c r="AL9" s="97">
        <f>IFERROR(VLOOKUP(CONCATENATE($A$15,"-",$A$12, "-", $D9, "-", AL$3, "-", $A$9), OBS_District_Flows!$A:$G, 6,FALSE),0)</f>
        <v>0</v>
      </c>
      <c r="AM9" s="88">
        <f t="shared" si="6"/>
        <v>0</v>
      </c>
      <c r="AO9" s="261"/>
      <c r="AP9" s="84" t="s">
        <v>178</v>
      </c>
      <c r="AQ9" s="98" t="str">
        <f t="shared" si="7"/>
        <v/>
      </c>
      <c r="AR9" s="99" t="str">
        <f t="shared" si="0"/>
        <v/>
      </c>
      <c r="AS9" s="99" t="str">
        <f t="shared" si="0"/>
        <v/>
      </c>
      <c r="AT9" s="99" t="str">
        <f t="shared" si="0"/>
        <v/>
      </c>
      <c r="AU9" s="99" t="str">
        <f t="shared" si="0"/>
        <v/>
      </c>
      <c r="AV9" s="99" t="str">
        <f t="shared" si="0"/>
        <v/>
      </c>
      <c r="AW9" s="99" t="str">
        <f t="shared" si="0"/>
        <v/>
      </c>
      <c r="AX9" s="99" t="str">
        <f t="shared" si="0"/>
        <v/>
      </c>
      <c r="AY9" s="99" t="str">
        <f t="shared" si="0"/>
        <v/>
      </c>
      <c r="AZ9" s="99" t="str">
        <f t="shared" si="0"/>
        <v/>
      </c>
      <c r="BA9" s="99" t="str">
        <f t="shared" si="0"/>
        <v/>
      </c>
      <c r="BB9" s="99" t="str">
        <f t="shared" si="0"/>
        <v/>
      </c>
      <c r="BC9" s="99" t="str">
        <f t="shared" si="0"/>
        <v/>
      </c>
      <c r="BD9" s="99" t="str">
        <f t="shared" si="0"/>
        <v/>
      </c>
      <c r="BE9" s="99" t="str">
        <f t="shared" si="0"/>
        <v/>
      </c>
      <c r="BF9" s="99" t="str">
        <f t="shared" si="0"/>
        <v/>
      </c>
      <c r="BG9" s="99" t="str">
        <f t="shared" si="0"/>
        <v/>
      </c>
      <c r="BH9" s="99" t="str">
        <f t="shared" si="1"/>
        <v/>
      </c>
      <c r="BI9" s="99" t="str">
        <f t="shared" si="1"/>
        <v/>
      </c>
      <c r="BJ9" s="99" t="str">
        <f t="shared" si="1"/>
        <v/>
      </c>
      <c r="BK9" s="99" t="str">
        <f t="shared" si="1"/>
        <v/>
      </c>
      <c r="BL9" s="99" t="str">
        <f t="shared" si="1"/>
        <v/>
      </c>
      <c r="BM9" s="99" t="str">
        <f t="shared" si="1"/>
        <v/>
      </c>
      <c r="BN9" s="99" t="str">
        <f t="shared" si="1"/>
        <v/>
      </c>
      <c r="BO9" s="99" t="str">
        <f t="shared" si="1"/>
        <v/>
      </c>
      <c r="BP9" s="99" t="str">
        <f t="shared" si="1"/>
        <v/>
      </c>
      <c r="BQ9" s="99" t="str">
        <f t="shared" si="1"/>
        <v/>
      </c>
      <c r="BR9" s="99" t="str">
        <f t="shared" si="1"/>
        <v/>
      </c>
      <c r="BS9" s="99" t="str">
        <f t="shared" si="1"/>
        <v/>
      </c>
      <c r="BT9" s="99" t="str">
        <f t="shared" si="1"/>
        <v/>
      </c>
      <c r="BU9" s="99" t="str">
        <f t="shared" si="1"/>
        <v/>
      </c>
      <c r="BV9" s="99" t="str">
        <f t="shared" si="1"/>
        <v/>
      </c>
      <c r="BW9" s="99" t="str">
        <f t="shared" si="1"/>
        <v/>
      </c>
      <c r="BX9" s="100" t="str">
        <f t="shared" si="2"/>
        <v/>
      </c>
      <c r="BY9" s="92" t="str">
        <f t="shared" si="2"/>
        <v/>
      </c>
      <c r="CA9" s="261"/>
      <c r="CB9" s="84" t="s">
        <v>178</v>
      </c>
      <c r="CC9" s="98" t="str">
        <f t="shared" si="8"/>
        <v/>
      </c>
      <c r="CD9" s="99" t="str">
        <f t="shared" si="3"/>
        <v/>
      </c>
      <c r="CE9" s="99" t="str">
        <f t="shared" si="3"/>
        <v/>
      </c>
      <c r="CF9" s="99" t="str">
        <f t="shared" si="3"/>
        <v/>
      </c>
      <c r="CG9" s="99" t="str">
        <f t="shared" si="3"/>
        <v/>
      </c>
      <c r="CH9" s="99" t="str">
        <f t="shared" si="3"/>
        <v/>
      </c>
      <c r="CI9" s="99" t="str">
        <f t="shared" si="3"/>
        <v/>
      </c>
      <c r="CJ9" s="99" t="str">
        <f t="shared" si="3"/>
        <v/>
      </c>
      <c r="CK9" s="99" t="str">
        <f t="shared" si="3"/>
        <v/>
      </c>
      <c r="CL9" s="99" t="str">
        <f t="shared" si="3"/>
        <v/>
      </c>
      <c r="CM9" s="99" t="str">
        <f t="shared" si="3"/>
        <v/>
      </c>
      <c r="CN9" s="99" t="str">
        <f t="shared" si="3"/>
        <v/>
      </c>
      <c r="CO9" s="99" t="str">
        <f t="shared" si="3"/>
        <v/>
      </c>
      <c r="CP9" s="99" t="str">
        <f t="shared" si="3"/>
        <v/>
      </c>
      <c r="CQ9" s="99" t="str">
        <f t="shared" si="3"/>
        <v/>
      </c>
      <c r="CR9" s="99" t="str">
        <f t="shared" si="3"/>
        <v/>
      </c>
      <c r="CS9" s="99" t="str">
        <f t="shared" si="3"/>
        <v/>
      </c>
      <c r="CT9" s="99" t="str">
        <f t="shared" si="4"/>
        <v/>
      </c>
      <c r="CU9" s="99" t="str">
        <f t="shared" si="4"/>
        <v/>
      </c>
      <c r="CV9" s="99" t="str">
        <f t="shared" si="4"/>
        <v/>
      </c>
      <c r="CW9" s="99" t="str">
        <f t="shared" si="4"/>
        <v/>
      </c>
      <c r="CX9" s="99" t="str">
        <f t="shared" si="4"/>
        <v/>
      </c>
      <c r="CY9" s="99" t="str">
        <f t="shared" si="4"/>
        <v/>
      </c>
      <c r="CZ9" s="99" t="str">
        <f t="shared" si="4"/>
        <v/>
      </c>
      <c r="DA9" s="99" t="str">
        <f t="shared" si="4"/>
        <v/>
      </c>
      <c r="DB9" s="99" t="str">
        <f t="shared" si="4"/>
        <v/>
      </c>
      <c r="DC9" s="99" t="str">
        <f t="shared" si="4"/>
        <v/>
      </c>
      <c r="DD9" s="99" t="str">
        <f t="shared" si="4"/>
        <v/>
      </c>
      <c r="DE9" s="99" t="str">
        <f t="shared" si="4"/>
        <v/>
      </c>
      <c r="DF9" s="99" t="str">
        <f t="shared" si="4"/>
        <v/>
      </c>
      <c r="DG9" s="99" t="str">
        <f t="shared" si="4"/>
        <v/>
      </c>
      <c r="DH9" s="99" t="str">
        <f t="shared" si="4"/>
        <v/>
      </c>
      <c r="DI9" s="99" t="str">
        <f t="shared" si="4"/>
        <v/>
      </c>
      <c r="DJ9" s="100" t="str">
        <f t="shared" si="5"/>
        <v/>
      </c>
      <c r="DK9" s="92" t="str">
        <f t="shared" si="5"/>
        <v/>
      </c>
    </row>
    <row r="10" spans="1:115" x14ac:dyDescent="0.2">
      <c r="C10" s="260"/>
      <c r="D10" s="84" t="s">
        <v>181</v>
      </c>
      <c r="E10" s="95">
        <f>IFERROR(VLOOKUP(CONCATENATE($A$15,"-",$A$12, "-", $D10, "-", E$3, "-", $A$9), OBS_District_Flows!$A:$G, 6,FALSE),0)</f>
        <v>0</v>
      </c>
      <c r="F10" s="96">
        <f>IFERROR(VLOOKUP(CONCATENATE($A$15,"-",$A$12, "-", $D10, "-", F$3, "-", $A$9), OBS_District_Flows!$A:$G, 6,FALSE),0)</f>
        <v>0</v>
      </c>
      <c r="G10" s="96">
        <f>IFERROR(VLOOKUP(CONCATENATE($A$15,"-",$A$12, "-", $D10, "-", G$3, "-", $A$9), OBS_District_Flows!$A:$G, 6,FALSE),0)</f>
        <v>0</v>
      </c>
      <c r="H10" s="96">
        <f>IFERROR(VLOOKUP(CONCATENATE($A$15,"-",$A$12, "-", $D10, "-", H$3, "-", $A$9), OBS_District_Flows!$A:$G, 6,FALSE),0)</f>
        <v>0</v>
      </c>
      <c r="I10" s="96">
        <f>IFERROR(VLOOKUP(CONCATENATE($A$15,"-",$A$12, "-", $D10, "-", I$3, "-", $A$9), OBS_District_Flows!$A:$G, 6,FALSE),0)</f>
        <v>0</v>
      </c>
      <c r="J10" s="96">
        <f>IFERROR(VLOOKUP(CONCATENATE($A$15,"-",$A$12, "-", $D10, "-", J$3, "-", $A$9), OBS_District_Flows!$A:$G, 6,FALSE),0)</f>
        <v>0</v>
      </c>
      <c r="K10" s="96">
        <f>IFERROR(VLOOKUP(CONCATENATE($A$15,"-",$A$12, "-", $D10, "-", K$3, "-", $A$9), OBS_District_Flows!$A:$G, 6,FALSE),0)</f>
        <v>0</v>
      </c>
      <c r="L10" s="96">
        <f>IFERROR(VLOOKUP(CONCATENATE($A$15,"-",$A$12, "-", $D10, "-", L$3, "-", $A$9), OBS_District_Flows!$A:$G, 6,FALSE),0)</f>
        <v>0</v>
      </c>
      <c r="M10" s="96">
        <f>IFERROR(VLOOKUP(CONCATENATE($A$15,"-",$A$12, "-", $D10, "-", M$3, "-", $A$9), OBS_District_Flows!$A:$G, 6,FALSE),0)</f>
        <v>0</v>
      </c>
      <c r="N10" s="96">
        <f>IFERROR(VLOOKUP(CONCATENATE($A$15,"-",$A$12, "-", $D10, "-", N$3, "-", $A$9), OBS_District_Flows!$A:$G, 6,FALSE),0)</f>
        <v>0</v>
      </c>
      <c r="O10" s="96">
        <f>IFERROR(VLOOKUP(CONCATENATE($A$15,"-",$A$12, "-", $D10, "-", O$3, "-", $A$9), OBS_District_Flows!$A:$G, 6,FALSE),0)</f>
        <v>0</v>
      </c>
      <c r="P10" s="96">
        <f>IFERROR(VLOOKUP(CONCATENATE($A$15,"-",$A$12, "-", $D10, "-", P$3, "-", $A$9), OBS_District_Flows!$A:$G, 6,FALSE),0)</f>
        <v>0</v>
      </c>
      <c r="Q10" s="96">
        <f>IFERROR(VLOOKUP(CONCATENATE($A$15,"-",$A$12, "-", $D10, "-", Q$3, "-", $A$9), OBS_District_Flows!$A:$G, 6,FALSE),0)</f>
        <v>0</v>
      </c>
      <c r="R10" s="96">
        <f>IFERROR(VLOOKUP(CONCATENATE($A$15,"-",$A$12, "-", $D10, "-", R$3, "-", $A$9), OBS_District_Flows!$A:$G, 6,FALSE),0)</f>
        <v>0</v>
      </c>
      <c r="S10" s="96">
        <f>IFERROR(VLOOKUP(CONCATENATE($A$15,"-",$A$12, "-", $D10, "-", S$3, "-", $A$9), OBS_District_Flows!$A:$G, 6,FALSE),0)</f>
        <v>0</v>
      </c>
      <c r="T10" s="96">
        <f>IFERROR(VLOOKUP(CONCATENATE($A$15,"-",$A$12, "-", $D10, "-", T$3, "-", $A$9), OBS_District_Flows!$A:$G, 6,FALSE),0)</f>
        <v>0</v>
      </c>
      <c r="U10" s="96">
        <f>IFERROR(VLOOKUP(CONCATENATE($A$15,"-",$A$12, "-", $D10, "-", U$3, "-", $A$9), OBS_District_Flows!$A:$G, 6,FALSE),0)</f>
        <v>0</v>
      </c>
      <c r="V10" s="96">
        <f>IFERROR(VLOOKUP(CONCATENATE($A$15,"-",$A$12, "-", $D10, "-", V$3, "-", $A$9), OBS_District_Flows!$A:$G, 6,FALSE),0)</f>
        <v>0</v>
      </c>
      <c r="W10" s="96">
        <f>IFERROR(VLOOKUP(CONCATENATE($A$15,"-",$A$12, "-", $D10, "-", W$3, "-", $A$9), OBS_District_Flows!$A:$G, 6,FALSE),0)</f>
        <v>0</v>
      </c>
      <c r="X10" s="96">
        <f>IFERROR(VLOOKUP(CONCATENATE($A$15,"-",$A$12, "-", $D10, "-", X$3, "-", $A$9), OBS_District_Flows!$A:$G, 6,FALSE),0)</f>
        <v>0</v>
      </c>
      <c r="Y10" s="96">
        <f>IFERROR(VLOOKUP(CONCATENATE($A$15,"-",$A$12, "-", $D10, "-", Y$3, "-", $A$9), OBS_District_Flows!$A:$G, 6,FALSE),0)</f>
        <v>0</v>
      </c>
      <c r="Z10" s="96">
        <f>IFERROR(VLOOKUP(CONCATENATE($A$15,"-",$A$12, "-", $D10, "-", Z$3, "-", $A$9), OBS_District_Flows!$A:$G, 6,FALSE),0)</f>
        <v>0</v>
      </c>
      <c r="AA10" s="96">
        <f>IFERROR(VLOOKUP(CONCATENATE($A$15,"-",$A$12, "-", $D10, "-", AA$3, "-", $A$9), OBS_District_Flows!$A:$G, 6,FALSE),0)</f>
        <v>0</v>
      </c>
      <c r="AB10" s="96">
        <f>IFERROR(VLOOKUP(CONCATENATE($A$15,"-",$A$12, "-", $D10, "-", AB$3, "-", $A$9), OBS_District_Flows!$A:$G, 6,FALSE),0)</f>
        <v>0</v>
      </c>
      <c r="AC10" s="96">
        <f>IFERROR(VLOOKUP(CONCATENATE($A$15,"-",$A$12, "-", $D10, "-", AC$3, "-", $A$9), OBS_District_Flows!$A:$G, 6,FALSE),0)</f>
        <v>0</v>
      </c>
      <c r="AD10" s="96">
        <f>IFERROR(VLOOKUP(CONCATENATE($A$15,"-",$A$12, "-", $D10, "-", AD$3, "-", $A$9), OBS_District_Flows!$A:$G, 6,FALSE),0)</f>
        <v>0</v>
      </c>
      <c r="AE10" s="96">
        <f>IFERROR(VLOOKUP(CONCATENATE($A$15,"-",$A$12, "-", $D10, "-", AE$3, "-", $A$9), OBS_District_Flows!$A:$G, 6,FALSE),0)</f>
        <v>0</v>
      </c>
      <c r="AF10" s="96">
        <f>IFERROR(VLOOKUP(CONCATENATE($A$15,"-",$A$12, "-", $D10, "-", AF$3, "-", $A$9), OBS_District_Flows!$A:$G, 6,FALSE),0)</f>
        <v>0</v>
      </c>
      <c r="AG10" s="96">
        <f>IFERROR(VLOOKUP(CONCATENATE($A$15,"-",$A$12, "-", $D10, "-", AG$3, "-", $A$9), OBS_District_Flows!$A:$G, 6,FALSE),0)</f>
        <v>0</v>
      </c>
      <c r="AH10" s="96">
        <f>IFERROR(VLOOKUP(CONCATENATE($A$15,"-",$A$12, "-", $D10, "-", AH$3, "-", $A$9), OBS_District_Flows!$A:$G, 6,FALSE),0)</f>
        <v>0</v>
      </c>
      <c r="AI10" s="96">
        <f>IFERROR(VLOOKUP(CONCATENATE($A$15,"-",$A$12, "-", $D10, "-", AI$3, "-", $A$9), OBS_District_Flows!$A:$G, 6,FALSE),0)</f>
        <v>0</v>
      </c>
      <c r="AJ10" s="96">
        <f>IFERROR(VLOOKUP(CONCATENATE($A$15,"-",$A$12, "-", $D10, "-", AJ$3, "-", $A$9), OBS_District_Flows!$A:$G, 6,FALSE),0)</f>
        <v>0</v>
      </c>
      <c r="AK10" s="96">
        <f>IFERROR(VLOOKUP(CONCATENATE($A$15,"-",$A$12, "-", $D10, "-", AK$3, "-", $A$9), OBS_District_Flows!$A:$G, 6,FALSE),0)</f>
        <v>0</v>
      </c>
      <c r="AL10" s="97">
        <f>IFERROR(VLOOKUP(CONCATENATE($A$15,"-",$A$12, "-", $D10, "-", AL$3, "-", $A$9), OBS_District_Flows!$A:$G, 6,FALSE),0)</f>
        <v>0</v>
      </c>
      <c r="AM10" s="88">
        <f t="shared" si="6"/>
        <v>0</v>
      </c>
      <c r="AO10" s="261"/>
      <c r="AP10" s="84" t="s">
        <v>181</v>
      </c>
      <c r="AQ10" s="98" t="str">
        <f t="shared" si="7"/>
        <v/>
      </c>
      <c r="AR10" s="99" t="str">
        <f t="shared" si="0"/>
        <v/>
      </c>
      <c r="AS10" s="99" t="str">
        <f t="shared" si="0"/>
        <v/>
      </c>
      <c r="AT10" s="99" t="str">
        <f t="shared" si="0"/>
        <v/>
      </c>
      <c r="AU10" s="99" t="str">
        <f t="shared" si="0"/>
        <v/>
      </c>
      <c r="AV10" s="99" t="str">
        <f t="shared" si="0"/>
        <v/>
      </c>
      <c r="AW10" s="99" t="str">
        <f t="shared" si="0"/>
        <v/>
      </c>
      <c r="AX10" s="99" t="str">
        <f t="shared" si="0"/>
        <v/>
      </c>
      <c r="AY10" s="99" t="str">
        <f t="shared" si="0"/>
        <v/>
      </c>
      <c r="AZ10" s="99" t="str">
        <f t="shared" si="0"/>
        <v/>
      </c>
      <c r="BA10" s="99" t="str">
        <f t="shared" si="0"/>
        <v/>
      </c>
      <c r="BB10" s="99" t="str">
        <f t="shared" si="0"/>
        <v/>
      </c>
      <c r="BC10" s="99" t="str">
        <f t="shared" si="0"/>
        <v/>
      </c>
      <c r="BD10" s="99" t="str">
        <f t="shared" si="0"/>
        <v/>
      </c>
      <c r="BE10" s="99" t="str">
        <f t="shared" si="0"/>
        <v/>
      </c>
      <c r="BF10" s="99" t="str">
        <f t="shared" si="0"/>
        <v/>
      </c>
      <c r="BG10" s="99" t="str">
        <f t="shared" si="0"/>
        <v/>
      </c>
      <c r="BH10" s="99" t="str">
        <f t="shared" si="1"/>
        <v/>
      </c>
      <c r="BI10" s="99" t="str">
        <f t="shared" si="1"/>
        <v/>
      </c>
      <c r="BJ10" s="99" t="str">
        <f t="shared" si="1"/>
        <v/>
      </c>
      <c r="BK10" s="99" t="str">
        <f t="shared" si="1"/>
        <v/>
      </c>
      <c r="BL10" s="99" t="str">
        <f t="shared" si="1"/>
        <v/>
      </c>
      <c r="BM10" s="99" t="str">
        <f t="shared" si="1"/>
        <v/>
      </c>
      <c r="BN10" s="99" t="str">
        <f t="shared" si="1"/>
        <v/>
      </c>
      <c r="BO10" s="99" t="str">
        <f t="shared" si="1"/>
        <v/>
      </c>
      <c r="BP10" s="99" t="str">
        <f t="shared" si="1"/>
        <v/>
      </c>
      <c r="BQ10" s="99" t="str">
        <f t="shared" si="1"/>
        <v/>
      </c>
      <c r="BR10" s="99" t="str">
        <f t="shared" si="1"/>
        <v/>
      </c>
      <c r="BS10" s="99" t="str">
        <f t="shared" si="1"/>
        <v/>
      </c>
      <c r="BT10" s="99" t="str">
        <f t="shared" si="1"/>
        <v/>
      </c>
      <c r="BU10" s="99" t="str">
        <f t="shared" si="1"/>
        <v/>
      </c>
      <c r="BV10" s="99" t="str">
        <f t="shared" si="1"/>
        <v/>
      </c>
      <c r="BW10" s="99" t="str">
        <f t="shared" si="1"/>
        <v/>
      </c>
      <c r="BX10" s="100" t="str">
        <f t="shared" si="2"/>
        <v/>
      </c>
      <c r="BY10" s="92" t="str">
        <f t="shared" si="2"/>
        <v/>
      </c>
      <c r="CA10" s="261"/>
      <c r="CB10" s="84" t="s">
        <v>181</v>
      </c>
      <c r="CC10" s="98" t="str">
        <f t="shared" si="8"/>
        <v/>
      </c>
      <c r="CD10" s="99" t="str">
        <f t="shared" si="3"/>
        <v/>
      </c>
      <c r="CE10" s="99" t="str">
        <f t="shared" si="3"/>
        <v/>
      </c>
      <c r="CF10" s="99" t="str">
        <f t="shared" si="3"/>
        <v/>
      </c>
      <c r="CG10" s="99" t="str">
        <f t="shared" si="3"/>
        <v/>
      </c>
      <c r="CH10" s="99" t="str">
        <f t="shared" si="3"/>
        <v/>
      </c>
      <c r="CI10" s="99" t="str">
        <f t="shared" si="3"/>
        <v/>
      </c>
      <c r="CJ10" s="99" t="str">
        <f t="shared" si="3"/>
        <v/>
      </c>
      <c r="CK10" s="99" t="str">
        <f t="shared" si="3"/>
        <v/>
      </c>
      <c r="CL10" s="99" t="str">
        <f t="shared" si="3"/>
        <v/>
      </c>
      <c r="CM10" s="99" t="str">
        <f t="shared" si="3"/>
        <v/>
      </c>
      <c r="CN10" s="99" t="str">
        <f t="shared" si="3"/>
        <v/>
      </c>
      <c r="CO10" s="99" t="str">
        <f t="shared" si="3"/>
        <v/>
      </c>
      <c r="CP10" s="99" t="str">
        <f t="shared" si="3"/>
        <v/>
      </c>
      <c r="CQ10" s="99" t="str">
        <f t="shared" si="3"/>
        <v/>
      </c>
      <c r="CR10" s="99" t="str">
        <f t="shared" si="3"/>
        <v/>
      </c>
      <c r="CS10" s="99" t="str">
        <f t="shared" si="3"/>
        <v/>
      </c>
      <c r="CT10" s="99" t="str">
        <f t="shared" si="4"/>
        <v/>
      </c>
      <c r="CU10" s="99" t="str">
        <f t="shared" si="4"/>
        <v/>
      </c>
      <c r="CV10" s="99" t="str">
        <f t="shared" si="4"/>
        <v/>
      </c>
      <c r="CW10" s="99" t="str">
        <f t="shared" si="4"/>
        <v/>
      </c>
      <c r="CX10" s="99" t="str">
        <f t="shared" si="4"/>
        <v/>
      </c>
      <c r="CY10" s="99" t="str">
        <f t="shared" si="4"/>
        <v/>
      </c>
      <c r="CZ10" s="99" t="str">
        <f t="shared" si="4"/>
        <v/>
      </c>
      <c r="DA10" s="99" t="str">
        <f t="shared" si="4"/>
        <v/>
      </c>
      <c r="DB10" s="99" t="str">
        <f t="shared" si="4"/>
        <v/>
      </c>
      <c r="DC10" s="99" t="str">
        <f t="shared" si="4"/>
        <v/>
      </c>
      <c r="DD10" s="99" t="str">
        <f t="shared" si="4"/>
        <v/>
      </c>
      <c r="DE10" s="99" t="str">
        <f t="shared" si="4"/>
        <v/>
      </c>
      <c r="DF10" s="99" t="str">
        <f t="shared" si="4"/>
        <v/>
      </c>
      <c r="DG10" s="99" t="str">
        <f t="shared" si="4"/>
        <v/>
      </c>
      <c r="DH10" s="99" t="str">
        <f t="shared" si="4"/>
        <v/>
      </c>
      <c r="DI10" s="99" t="str">
        <f t="shared" si="4"/>
        <v/>
      </c>
      <c r="DJ10" s="100" t="str">
        <f t="shared" si="5"/>
        <v/>
      </c>
      <c r="DK10" s="92" t="str">
        <f t="shared" si="5"/>
        <v/>
      </c>
    </row>
    <row r="11" spans="1:115" x14ac:dyDescent="0.2">
      <c r="A11" s="93" t="s">
        <v>248</v>
      </c>
      <c r="B11" s="94"/>
      <c r="C11" s="260"/>
      <c r="D11" s="84" t="s">
        <v>182</v>
      </c>
      <c r="E11" s="95">
        <f>IFERROR(VLOOKUP(CONCATENATE($A$15,"-",$A$12, "-", $D11, "-", E$3, "-", $A$9), OBS_District_Flows!$A:$G, 6,FALSE),0)</f>
        <v>0</v>
      </c>
      <c r="F11" s="96">
        <f>IFERROR(VLOOKUP(CONCATENATE($A$15,"-",$A$12, "-", $D11, "-", F$3, "-", $A$9), OBS_District_Flows!$A:$G, 6,FALSE),0)</f>
        <v>0</v>
      </c>
      <c r="G11" s="96">
        <f>IFERROR(VLOOKUP(CONCATENATE($A$15,"-",$A$12, "-", $D11, "-", G$3, "-", $A$9), OBS_District_Flows!$A:$G, 6,FALSE),0)</f>
        <v>0</v>
      </c>
      <c r="H11" s="96">
        <f>IFERROR(VLOOKUP(CONCATENATE($A$15,"-",$A$12, "-", $D11, "-", H$3, "-", $A$9), OBS_District_Flows!$A:$G, 6,FALSE),0)</f>
        <v>0</v>
      </c>
      <c r="I11" s="96">
        <f>IFERROR(VLOOKUP(CONCATENATE($A$15,"-",$A$12, "-", $D11, "-", I$3, "-", $A$9), OBS_District_Flows!$A:$G, 6,FALSE),0)</f>
        <v>0</v>
      </c>
      <c r="J11" s="96">
        <f>IFERROR(VLOOKUP(CONCATENATE($A$15,"-",$A$12, "-", $D11, "-", J$3, "-", $A$9), OBS_District_Flows!$A:$G, 6,FALSE),0)</f>
        <v>0</v>
      </c>
      <c r="K11" s="96">
        <f>IFERROR(VLOOKUP(CONCATENATE($A$15,"-",$A$12, "-", $D11, "-", K$3, "-", $A$9), OBS_District_Flows!$A:$G, 6,FALSE),0)</f>
        <v>0</v>
      </c>
      <c r="L11" s="96">
        <f>IFERROR(VLOOKUP(CONCATENATE($A$15,"-",$A$12, "-", $D11, "-", L$3, "-", $A$9), OBS_District_Flows!$A:$G, 6,FALSE),0)</f>
        <v>0</v>
      </c>
      <c r="M11" s="96">
        <f>IFERROR(VLOOKUP(CONCATENATE($A$15,"-",$A$12, "-", $D11, "-", M$3, "-", $A$9), OBS_District_Flows!$A:$G, 6,FALSE),0)</f>
        <v>0</v>
      </c>
      <c r="N11" s="96">
        <f>IFERROR(VLOOKUP(CONCATENATE($A$15,"-",$A$12, "-", $D11, "-", N$3, "-", $A$9), OBS_District_Flows!$A:$G, 6,FALSE),0)</f>
        <v>0</v>
      </c>
      <c r="O11" s="96">
        <f>IFERROR(VLOOKUP(CONCATENATE($A$15,"-",$A$12, "-", $D11, "-", O$3, "-", $A$9), OBS_District_Flows!$A:$G, 6,FALSE),0)</f>
        <v>0</v>
      </c>
      <c r="P11" s="96">
        <f>IFERROR(VLOOKUP(CONCATENATE($A$15,"-",$A$12, "-", $D11, "-", P$3, "-", $A$9), OBS_District_Flows!$A:$G, 6,FALSE),0)</f>
        <v>0</v>
      </c>
      <c r="Q11" s="96">
        <f>IFERROR(VLOOKUP(CONCATENATE($A$15,"-",$A$12, "-", $D11, "-", Q$3, "-", $A$9), OBS_District_Flows!$A:$G, 6,FALSE),0)</f>
        <v>0</v>
      </c>
      <c r="R11" s="96">
        <f>IFERROR(VLOOKUP(CONCATENATE($A$15,"-",$A$12, "-", $D11, "-", R$3, "-", $A$9), OBS_District_Flows!$A:$G, 6,FALSE),0)</f>
        <v>0</v>
      </c>
      <c r="S11" s="96">
        <f>IFERROR(VLOOKUP(CONCATENATE($A$15,"-",$A$12, "-", $D11, "-", S$3, "-", $A$9), OBS_District_Flows!$A:$G, 6,FALSE),0)</f>
        <v>0</v>
      </c>
      <c r="T11" s="96">
        <f>IFERROR(VLOOKUP(CONCATENATE($A$15,"-",$A$12, "-", $D11, "-", T$3, "-", $A$9), OBS_District_Flows!$A:$G, 6,FALSE),0)</f>
        <v>0</v>
      </c>
      <c r="U11" s="96">
        <f>IFERROR(VLOOKUP(CONCATENATE($A$15,"-",$A$12, "-", $D11, "-", U$3, "-", $A$9), OBS_District_Flows!$A:$G, 6,FALSE),0)</f>
        <v>0</v>
      </c>
      <c r="V11" s="96">
        <f>IFERROR(VLOOKUP(CONCATENATE($A$15,"-",$A$12, "-", $D11, "-", V$3, "-", $A$9), OBS_District_Flows!$A:$G, 6,FALSE),0)</f>
        <v>0</v>
      </c>
      <c r="W11" s="96">
        <f>IFERROR(VLOOKUP(CONCATENATE($A$15,"-",$A$12, "-", $D11, "-", W$3, "-", $A$9), OBS_District_Flows!$A:$G, 6,FALSE),0)</f>
        <v>0</v>
      </c>
      <c r="X11" s="96">
        <f>IFERROR(VLOOKUP(CONCATENATE($A$15,"-",$A$12, "-", $D11, "-", X$3, "-", $A$9), OBS_District_Flows!$A:$G, 6,FALSE),0)</f>
        <v>0</v>
      </c>
      <c r="Y11" s="96">
        <f>IFERROR(VLOOKUP(CONCATENATE($A$15,"-",$A$12, "-", $D11, "-", Y$3, "-", $A$9), OBS_District_Flows!$A:$G, 6,FALSE),0)</f>
        <v>0</v>
      </c>
      <c r="Z11" s="96">
        <f>IFERROR(VLOOKUP(CONCATENATE($A$15,"-",$A$12, "-", $D11, "-", Z$3, "-", $A$9), OBS_District_Flows!$A:$G, 6,FALSE),0)</f>
        <v>0</v>
      </c>
      <c r="AA11" s="96">
        <f>IFERROR(VLOOKUP(CONCATENATE($A$15,"-",$A$12, "-", $D11, "-", AA$3, "-", $A$9), OBS_District_Flows!$A:$G, 6,FALSE),0)</f>
        <v>0</v>
      </c>
      <c r="AB11" s="96">
        <f>IFERROR(VLOOKUP(CONCATENATE($A$15,"-",$A$12, "-", $D11, "-", AB$3, "-", $A$9), OBS_District_Flows!$A:$G, 6,FALSE),0)</f>
        <v>0</v>
      </c>
      <c r="AC11" s="96">
        <f>IFERROR(VLOOKUP(CONCATENATE($A$15,"-",$A$12, "-", $D11, "-", AC$3, "-", $A$9), OBS_District_Flows!$A:$G, 6,FALSE),0)</f>
        <v>0</v>
      </c>
      <c r="AD11" s="96">
        <f>IFERROR(VLOOKUP(CONCATENATE($A$15,"-",$A$12, "-", $D11, "-", AD$3, "-", $A$9), OBS_District_Flows!$A:$G, 6,FALSE),0)</f>
        <v>0</v>
      </c>
      <c r="AE11" s="96">
        <f>IFERROR(VLOOKUP(CONCATENATE($A$15,"-",$A$12, "-", $D11, "-", AE$3, "-", $A$9), OBS_District_Flows!$A:$G, 6,FALSE),0)</f>
        <v>0</v>
      </c>
      <c r="AF11" s="96">
        <f>IFERROR(VLOOKUP(CONCATENATE($A$15,"-",$A$12, "-", $D11, "-", AF$3, "-", $A$9), OBS_District_Flows!$A:$G, 6,FALSE),0)</f>
        <v>0</v>
      </c>
      <c r="AG11" s="96">
        <f>IFERROR(VLOOKUP(CONCATENATE($A$15,"-",$A$12, "-", $D11, "-", AG$3, "-", $A$9), OBS_District_Flows!$A:$G, 6,FALSE),0)</f>
        <v>0</v>
      </c>
      <c r="AH11" s="96">
        <f>IFERROR(VLOOKUP(CONCATENATE($A$15,"-",$A$12, "-", $D11, "-", AH$3, "-", $A$9), OBS_District_Flows!$A:$G, 6,FALSE),0)</f>
        <v>0</v>
      </c>
      <c r="AI11" s="96">
        <f>IFERROR(VLOOKUP(CONCATENATE($A$15,"-",$A$12, "-", $D11, "-", AI$3, "-", $A$9), OBS_District_Flows!$A:$G, 6,FALSE),0)</f>
        <v>0</v>
      </c>
      <c r="AJ11" s="96">
        <f>IFERROR(VLOOKUP(CONCATENATE($A$15,"-",$A$12, "-", $D11, "-", AJ$3, "-", $A$9), OBS_District_Flows!$A:$G, 6,FALSE),0)</f>
        <v>0</v>
      </c>
      <c r="AK11" s="96">
        <f>IFERROR(VLOOKUP(CONCATENATE($A$15,"-",$A$12, "-", $D11, "-", AK$3, "-", $A$9), OBS_District_Flows!$A:$G, 6,FALSE),0)</f>
        <v>0</v>
      </c>
      <c r="AL11" s="97">
        <f>IFERROR(VLOOKUP(CONCATENATE($A$15,"-",$A$12, "-", $D11, "-", AL$3, "-", $A$9), OBS_District_Flows!$A:$G, 6,FALSE),0)</f>
        <v>0</v>
      </c>
      <c r="AM11" s="88">
        <f t="shared" si="6"/>
        <v>0</v>
      </c>
      <c r="AO11" s="261"/>
      <c r="AP11" s="84" t="s">
        <v>182</v>
      </c>
      <c r="AQ11" s="98" t="str">
        <f t="shared" si="7"/>
        <v/>
      </c>
      <c r="AR11" s="99" t="str">
        <f t="shared" si="0"/>
        <v/>
      </c>
      <c r="AS11" s="99" t="str">
        <f t="shared" si="0"/>
        <v/>
      </c>
      <c r="AT11" s="99" t="str">
        <f t="shared" si="0"/>
        <v/>
      </c>
      <c r="AU11" s="99" t="str">
        <f t="shared" si="0"/>
        <v/>
      </c>
      <c r="AV11" s="99" t="str">
        <f t="shared" si="0"/>
        <v/>
      </c>
      <c r="AW11" s="99" t="str">
        <f t="shared" si="0"/>
        <v/>
      </c>
      <c r="AX11" s="99" t="str">
        <f t="shared" si="0"/>
        <v/>
      </c>
      <c r="AY11" s="99" t="str">
        <f t="shared" si="0"/>
        <v/>
      </c>
      <c r="AZ11" s="99" t="str">
        <f t="shared" si="0"/>
        <v/>
      </c>
      <c r="BA11" s="99" t="str">
        <f t="shared" si="0"/>
        <v/>
      </c>
      <c r="BB11" s="99" t="str">
        <f t="shared" si="0"/>
        <v/>
      </c>
      <c r="BC11" s="99" t="str">
        <f t="shared" si="0"/>
        <v/>
      </c>
      <c r="BD11" s="99" t="str">
        <f t="shared" si="0"/>
        <v/>
      </c>
      <c r="BE11" s="99" t="str">
        <f t="shared" si="0"/>
        <v/>
      </c>
      <c r="BF11" s="99" t="str">
        <f t="shared" si="0"/>
        <v/>
      </c>
      <c r="BG11" s="99" t="str">
        <f t="shared" si="0"/>
        <v/>
      </c>
      <c r="BH11" s="99" t="str">
        <f t="shared" si="1"/>
        <v/>
      </c>
      <c r="BI11" s="99" t="str">
        <f t="shared" si="1"/>
        <v/>
      </c>
      <c r="BJ11" s="99" t="str">
        <f t="shared" si="1"/>
        <v/>
      </c>
      <c r="BK11" s="99" t="str">
        <f t="shared" si="1"/>
        <v/>
      </c>
      <c r="BL11" s="99" t="str">
        <f t="shared" si="1"/>
        <v/>
      </c>
      <c r="BM11" s="99" t="str">
        <f t="shared" si="1"/>
        <v/>
      </c>
      <c r="BN11" s="99" t="str">
        <f t="shared" si="1"/>
        <v/>
      </c>
      <c r="BO11" s="99" t="str">
        <f t="shared" si="1"/>
        <v/>
      </c>
      <c r="BP11" s="99" t="str">
        <f t="shared" si="1"/>
        <v/>
      </c>
      <c r="BQ11" s="99" t="str">
        <f t="shared" si="1"/>
        <v/>
      </c>
      <c r="BR11" s="99" t="str">
        <f t="shared" si="1"/>
        <v/>
      </c>
      <c r="BS11" s="99" t="str">
        <f t="shared" si="1"/>
        <v/>
      </c>
      <c r="BT11" s="99" t="str">
        <f t="shared" si="1"/>
        <v/>
      </c>
      <c r="BU11" s="99" t="str">
        <f t="shared" si="1"/>
        <v/>
      </c>
      <c r="BV11" s="99" t="str">
        <f t="shared" si="1"/>
        <v/>
      </c>
      <c r="BW11" s="99" t="str">
        <f t="shared" si="1"/>
        <v/>
      </c>
      <c r="BX11" s="100" t="str">
        <f t="shared" si="2"/>
        <v/>
      </c>
      <c r="BY11" s="92" t="str">
        <f t="shared" si="2"/>
        <v/>
      </c>
      <c r="CA11" s="261"/>
      <c r="CB11" s="84" t="s">
        <v>182</v>
      </c>
      <c r="CC11" s="98" t="str">
        <f t="shared" si="8"/>
        <v/>
      </c>
      <c r="CD11" s="99" t="str">
        <f t="shared" si="3"/>
        <v/>
      </c>
      <c r="CE11" s="99" t="str">
        <f t="shared" si="3"/>
        <v/>
      </c>
      <c r="CF11" s="99" t="str">
        <f t="shared" si="3"/>
        <v/>
      </c>
      <c r="CG11" s="99" t="str">
        <f t="shared" si="3"/>
        <v/>
      </c>
      <c r="CH11" s="99" t="str">
        <f t="shared" si="3"/>
        <v/>
      </c>
      <c r="CI11" s="99" t="str">
        <f t="shared" si="3"/>
        <v/>
      </c>
      <c r="CJ11" s="99" t="str">
        <f t="shared" si="3"/>
        <v/>
      </c>
      <c r="CK11" s="99" t="str">
        <f t="shared" si="3"/>
        <v/>
      </c>
      <c r="CL11" s="99" t="str">
        <f t="shared" si="3"/>
        <v/>
      </c>
      <c r="CM11" s="99" t="str">
        <f t="shared" si="3"/>
        <v/>
      </c>
      <c r="CN11" s="99" t="str">
        <f t="shared" si="3"/>
        <v/>
      </c>
      <c r="CO11" s="99" t="str">
        <f t="shared" si="3"/>
        <v/>
      </c>
      <c r="CP11" s="99" t="str">
        <f t="shared" si="3"/>
        <v/>
      </c>
      <c r="CQ11" s="99" t="str">
        <f t="shared" si="3"/>
        <v/>
      </c>
      <c r="CR11" s="99" t="str">
        <f t="shared" si="3"/>
        <v/>
      </c>
      <c r="CS11" s="99" t="str">
        <f t="shared" si="3"/>
        <v/>
      </c>
      <c r="CT11" s="99" t="str">
        <f t="shared" si="4"/>
        <v/>
      </c>
      <c r="CU11" s="99" t="str">
        <f t="shared" si="4"/>
        <v/>
      </c>
      <c r="CV11" s="99" t="str">
        <f t="shared" si="4"/>
        <v/>
      </c>
      <c r="CW11" s="99" t="str">
        <f t="shared" si="4"/>
        <v/>
      </c>
      <c r="CX11" s="99" t="str">
        <f t="shared" si="4"/>
        <v/>
      </c>
      <c r="CY11" s="99" t="str">
        <f t="shared" si="4"/>
        <v/>
      </c>
      <c r="CZ11" s="99" t="str">
        <f t="shared" si="4"/>
        <v/>
      </c>
      <c r="DA11" s="99" t="str">
        <f t="shared" si="4"/>
        <v/>
      </c>
      <c r="DB11" s="99" t="str">
        <f t="shared" si="4"/>
        <v/>
      </c>
      <c r="DC11" s="99" t="str">
        <f t="shared" si="4"/>
        <v/>
      </c>
      <c r="DD11" s="99" t="str">
        <f t="shared" si="4"/>
        <v/>
      </c>
      <c r="DE11" s="99" t="str">
        <f t="shared" si="4"/>
        <v/>
      </c>
      <c r="DF11" s="99" t="str">
        <f t="shared" si="4"/>
        <v/>
      </c>
      <c r="DG11" s="99" t="str">
        <f t="shared" si="4"/>
        <v/>
      </c>
      <c r="DH11" s="99" t="str">
        <f t="shared" si="4"/>
        <v/>
      </c>
      <c r="DI11" s="99" t="str">
        <f t="shared" si="4"/>
        <v/>
      </c>
      <c r="DJ11" s="100" t="str">
        <f t="shared" si="5"/>
        <v/>
      </c>
      <c r="DK11" s="92" t="str">
        <f t="shared" si="5"/>
        <v/>
      </c>
    </row>
    <row r="12" spans="1:115" x14ac:dyDescent="0.2">
      <c r="A12" s="101" t="s">
        <v>160</v>
      </c>
      <c r="B12" s="102"/>
      <c r="C12" s="260"/>
      <c r="D12" s="84" t="s">
        <v>183</v>
      </c>
      <c r="E12" s="95">
        <f>IFERROR(VLOOKUP(CONCATENATE($A$15,"-",$A$12, "-", $D12, "-", E$3, "-", $A$9), OBS_District_Flows!$A:$G, 6,FALSE),0)</f>
        <v>0</v>
      </c>
      <c r="F12" s="96">
        <f>IFERROR(VLOOKUP(CONCATENATE($A$15,"-",$A$12, "-", $D12, "-", F$3, "-", $A$9), OBS_District_Flows!$A:$G, 6,FALSE),0)</f>
        <v>0</v>
      </c>
      <c r="G12" s="96">
        <f>IFERROR(VLOOKUP(CONCATENATE($A$15,"-",$A$12, "-", $D12, "-", G$3, "-", $A$9), OBS_District_Flows!$A:$G, 6,FALSE),0)</f>
        <v>0</v>
      </c>
      <c r="H12" s="96">
        <f>IFERROR(VLOOKUP(CONCATENATE($A$15,"-",$A$12, "-", $D12, "-", H$3, "-", $A$9), OBS_District_Flows!$A:$G, 6,FALSE),0)</f>
        <v>0</v>
      </c>
      <c r="I12" s="96">
        <f>IFERROR(VLOOKUP(CONCATENATE($A$15,"-",$A$12, "-", $D12, "-", I$3, "-", $A$9), OBS_District_Flows!$A:$G, 6,FALSE),0)</f>
        <v>0</v>
      </c>
      <c r="J12" s="96">
        <f>IFERROR(VLOOKUP(CONCATENATE($A$15,"-",$A$12, "-", $D12, "-", J$3, "-", $A$9), OBS_District_Flows!$A:$G, 6,FALSE),0)</f>
        <v>0</v>
      </c>
      <c r="K12" s="96">
        <f>IFERROR(VLOOKUP(CONCATENATE($A$15,"-",$A$12, "-", $D12, "-", K$3, "-", $A$9), OBS_District_Flows!$A:$G, 6,FALSE),0)</f>
        <v>0</v>
      </c>
      <c r="L12" s="96">
        <f>IFERROR(VLOOKUP(CONCATENATE($A$15,"-",$A$12, "-", $D12, "-", L$3, "-", $A$9), OBS_District_Flows!$A:$G, 6,FALSE),0)</f>
        <v>0</v>
      </c>
      <c r="M12" s="96">
        <f>IFERROR(VLOOKUP(CONCATENATE($A$15,"-",$A$12, "-", $D12, "-", M$3, "-", $A$9), OBS_District_Flows!$A:$G, 6,FALSE),0)</f>
        <v>0</v>
      </c>
      <c r="N12" s="96">
        <f>IFERROR(VLOOKUP(CONCATENATE($A$15,"-",$A$12, "-", $D12, "-", N$3, "-", $A$9), OBS_District_Flows!$A:$G, 6,FALSE),0)</f>
        <v>0</v>
      </c>
      <c r="O12" s="96">
        <f>IFERROR(VLOOKUP(CONCATENATE($A$15,"-",$A$12, "-", $D12, "-", O$3, "-", $A$9), OBS_District_Flows!$A:$G, 6,FALSE),0)</f>
        <v>0</v>
      </c>
      <c r="P12" s="96">
        <f>IFERROR(VLOOKUP(CONCATENATE($A$15,"-",$A$12, "-", $D12, "-", P$3, "-", $A$9), OBS_District_Flows!$A:$G, 6,FALSE),0)</f>
        <v>0</v>
      </c>
      <c r="Q12" s="96">
        <f>IFERROR(VLOOKUP(CONCATENATE($A$15,"-",$A$12, "-", $D12, "-", Q$3, "-", $A$9), OBS_District_Flows!$A:$G, 6,FALSE),0)</f>
        <v>0</v>
      </c>
      <c r="R12" s="96">
        <f>IFERROR(VLOOKUP(CONCATENATE($A$15,"-",$A$12, "-", $D12, "-", R$3, "-", $A$9), OBS_District_Flows!$A:$G, 6,FALSE),0)</f>
        <v>0</v>
      </c>
      <c r="S12" s="96">
        <f>IFERROR(VLOOKUP(CONCATENATE($A$15,"-",$A$12, "-", $D12, "-", S$3, "-", $A$9), OBS_District_Flows!$A:$G, 6,FALSE),0)</f>
        <v>0</v>
      </c>
      <c r="T12" s="96">
        <f>IFERROR(VLOOKUP(CONCATENATE($A$15,"-",$A$12, "-", $D12, "-", T$3, "-", $A$9), OBS_District_Flows!$A:$G, 6,FALSE),0)</f>
        <v>0</v>
      </c>
      <c r="U12" s="96">
        <f>IFERROR(VLOOKUP(CONCATENATE($A$15,"-",$A$12, "-", $D12, "-", U$3, "-", $A$9), OBS_District_Flows!$A:$G, 6,FALSE),0)</f>
        <v>0</v>
      </c>
      <c r="V12" s="96">
        <f>IFERROR(VLOOKUP(CONCATENATE($A$15,"-",$A$12, "-", $D12, "-", V$3, "-", $A$9), OBS_District_Flows!$A:$G, 6,FALSE),0)</f>
        <v>0</v>
      </c>
      <c r="W12" s="96">
        <f>IFERROR(VLOOKUP(CONCATENATE($A$15,"-",$A$12, "-", $D12, "-", W$3, "-", $A$9), OBS_District_Flows!$A:$G, 6,FALSE),0)</f>
        <v>0</v>
      </c>
      <c r="X12" s="96">
        <f>IFERROR(VLOOKUP(CONCATENATE($A$15,"-",$A$12, "-", $D12, "-", X$3, "-", $A$9), OBS_District_Flows!$A:$G, 6,FALSE),0)</f>
        <v>0</v>
      </c>
      <c r="Y12" s="96">
        <f>IFERROR(VLOOKUP(CONCATENATE($A$15,"-",$A$12, "-", $D12, "-", Y$3, "-", $A$9), OBS_District_Flows!$A:$G, 6,FALSE),0)</f>
        <v>0</v>
      </c>
      <c r="Z12" s="96">
        <f>IFERROR(VLOOKUP(CONCATENATE($A$15,"-",$A$12, "-", $D12, "-", Z$3, "-", $A$9), OBS_District_Flows!$A:$G, 6,FALSE),0)</f>
        <v>0</v>
      </c>
      <c r="AA12" s="96">
        <f>IFERROR(VLOOKUP(CONCATENATE($A$15,"-",$A$12, "-", $D12, "-", AA$3, "-", $A$9), OBS_District_Flows!$A:$G, 6,FALSE),0)</f>
        <v>0</v>
      </c>
      <c r="AB12" s="96">
        <f>IFERROR(VLOOKUP(CONCATENATE($A$15,"-",$A$12, "-", $D12, "-", AB$3, "-", $A$9), OBS_District_Flows!$A:$G, 6,FALSE),0)</f>
        <v>0</v>
      </c>
      <c r="AC12" s="96">
        <f>IFERROR(VLOOKUP(CONCATENATE($A$15,"-",$A$12, "-", $D12, "-", AC$3, "-", $A$9), OBS_District_Flows!$A:$G, 6,FALSE),0)</f>
        <v>0</v>
      </c>
      <c r="AD12" s="96">
        <f>IFERROR(VLOOKUP(CONCATENATE($A$15,"-",$A$12, "-", $D12, "-", AD$3, "-", $A$9), OBS_District_Flows!$A:$G, 6,FALSE),0)</f>
        <v>0</v>
      </c>
      <c r="AE12" s="96">
        <f>IFERROR(VLOOKUP(CONCATENATE($A$15,"-",$A$12, "-", $D12, "-", AE$3, "-", $A$9), OBS_District_Flows!$A:$G, 6,FALSE),0)</f>
        <v>0</v>
      </c>
      <c r="AF12" s="96">
        <f>IFERROR(VLOOKUP(CONCATENATE($A$15,"-",$A$12, "-", $D12, "-", AF$3, "-", $A$9), OBS_District_Flows!$A:$G, 6,FALSE),0)</f>
        <v>0</v>
      </c>
      <c r="AG12" s="96">
        <f>IFERROR(VLOOKUP(CONCATENATE($A$15,"-",$A$12, "-", $D12, "-", AG$3, "-", $A$9), OBS_District_Flows!$A:$G, 6,FALSE),0)</f>
        <v>0</v>
      </c>
      <c r="AH12" s="96">
        <f>IFERROR(VLOOKUP(CONCATENATE($A$15,"-",$A$12, "-", $D12, "-", AH$3, "-", $A$9), OBS_District_Flows!$A:$G, 6,FALSE),0)</f>
        <v>0</v>
      </c>
      <c r="AI12" s="96">
        <f>IFERROR(VLOOKUP(CONCATENATE($A$15,"-",$A$12, "-", $D12, "-", AI$3, "-", $A$9), OBS_District_Flows!$A:$G, 6,FALSE),0)</f>
        <v>0</v>
      </c>
      <c r="AJ12" s="96">
        <f>IFERROR(VLOOKUP(CONCATENATE($A$15,"-",$A$12, "-", $D12, "-", AJ$3, "-", $A$9), OBS_District_Flows!$A:$G, 6,FALSE),0)</f>
        <v>0</v>
      </c>
      <c r="AK12" s="96">
        <f>IFERROR(VLOOKUP(CONCATENATE($A$15,"-",$A$12, "-", $D12, "-", AK$3, "-", $A$9), OBS_District_Flows!$A:$G, 6,FALSE),0)</f>
        <v>0</v>
      </c>
      <c r="AL12" s="97">
        <f>IFERROR(VLOOKUP(CONCATENATE($A$15,"-",$A$12, "-", $D12, "-", AL$3, "-", $A$9), OBS_District_Flows!$A:$G, 6,FALSE),0)</f>
        <v>0</v>
      </c>
      <c r="AM12" s="88">
        <f t="shared" si="6"/>
        <v>0</v>
      </c>
      <c r="AO12" s="261"/>
      <c r="AP12" s="84" t="s">
        <v>183</v>
      </c>
      <c r="AQ12" s="98" t="str">
        <f t="shared" si="7"/>
        <v/>
      </c>
      <c r="AR12" s="99" t="str">
        <f t="shared" si="0"/>
        <v/>
      </c>
      <c r="AS12" s="99" t="str">
        <f t="shared" si="0"/>
        <v/>
      </c>
      <c r="AT12" s="99" t="str">
        <f t="shared" si="0"/>
        <v/>
      </c>
      <c r="AU12" s="99" t="str">
        <f t="shared" si="0"/>
        <v/>
      </c>
      <c r="AV12" s="99" t="str">
        <f t="shared" si="0"/>
        <v/>
      </c>
      <c r="AW12" s="99" t="str">
        <f t="shared" si="0"/>
        <v/>
      </c>
      <c r="AX12" s="99" t="str">
        <f t="shared" si="0"/>
        <v/>
      </c>
      <c r="AY12" s="99" t="str">
        <f t="shared" si="0"/>
        <v/>
      </c>
      <c r="AZ12" s="99" t="str">
        <f t="shared" si="0"/>
        <v/>
      </c>
      <c r="BA12" s="99" t="str">
        <f t="shared" si="0"/>
        <v/>
      </c>
      <c r="BB12" s="99" t="str">
        <f t="shared" si="0"/>
        <v/>
      </c>
      <c r="BC12" s="99" t="str">
        <f t="shared" si="0"/>
        <v/>
      </c>
      <c r="BD12" s="99" t="str">
        <f t="shared" si="0"/>
        <v/>
      </c>
      <c r="BE12" s="99" t="str">
        <f t="shared" si="0"/>
        <v/>
      </c>
      <c r="BF12" s="99" t="str">
        <f t="shared" si="0"/>
        <v/>
      </c>
      <c r="BG12" s="99" t="str">
        <f t="shared" si="0"/>
        <v/>
      </c>
      <c r="BH12" s="99" t="str">
        <f t="shared" si="1"/>
        <v/>
      </c>
      <c r="BI12" s="99" t="str">
        <f t="shared" si="1"/>
        <v/>
      </c>
      <c r="BJ12" s="99" t="str">
        <f t="shared" si="1"/>
        <v/>
      </c>
      <c r="BK12" s="99" t="str">
        <f t="shared" si="1"/>
        <v/>
      </c>
      <c r="BL12" s="99" t="str">
        <f t="shared" si="1"/>
        <v/>
      </c>
      <c r="BM12" s="99" t="str">
        <f t="shared" si="1"/>
        <v/>
      </c>
      <c r="BN12" s="99" t="str">
        <f t="shared" si="1"/>
        <v/>
      </c>
      <c r="BO12" s="99" t="str">
        <f t="shared" si="1"/>
        <v/>
      </c>
      <c r="BP12" s="99" t="str">
        <f t="shared" si="1"/>
        <v/>
      </c>
      <c r="BQ12" s="99" t="str">
        <f t="shared" si="1"/>
        <v/>
      </c>
      <c r="BR12" s="99" t="str">
        <f t="shared" si="1"/>
        <v/>
      </c>
      <c r="BS12" s="99" t="str">
        <f t="shared" si="1"/>
        <v/>
      </c>
      <c r="BT12" s="99" t="str">
        <f t="shared" si="1"/>
        <v/>
      </c>
      <c r="BU12" s="99" t="str">
        <f t="shared" si="1"/>
        <v/>
      </c>
      <c r="BV12" s="99" t="str">
        <f t="shared" si="1"/>
        <v/>
      </c>
      <c r="BW12" s="99" t="str">
        <f t="shared" si="1"/>
        <v/>
      </c>
      <c r="BX12" s="100" t="str">
        <f t="shared" si="2"/>
        <v/>
      </c>
      <c r="BY12" s="92" t="str">
        <f t="shared" si="2"/>
        <v/>
      </c>
      <c r="CA12" s="261"/>
      <c r="CB12" s="84" t="s">
        <v>183</v>
      </c>
      <c r="CC12" s="98" t="str">
        <f t="shared" si="8"/>
        <v/>
      </c>
      <c r="CD12" s="99" t="str">
        <f t="shared" si="3"/>
        <v/>
      </c>
      <c r="CE12" s="99" t="str">
        <f t="shared" si="3"/>
        <v/>
      </c>
      <c r="CF12" s="99" t="str">
        <f t="shared" si="3"/>
        <v/>
      </c>
      <c r="CG12" s="99" t="str">
        <f t="shared" si="3"/>
        <v/>
      </c>
      <c r="CH12" s="99" t="str">
        <f t="shared" si="3"/>
        <v/>
      </c>
      <c r="CI12" s="99" t="str">
        <f t="shared" si="3"/>
        <v/>
      </c>
      <c r="CJ12" s="99" t="str">
        <f t="shared" si="3"/>
        <v/>
      </c>
      <c r="CK12" s="99" t="str">
        <f t="shared" si="3"/>
        <v/>
      </c>
      <c r="CL12" s="99" t="str">
        <f t="shared" si="3"/>
        <v/>
      </c>
      <c r="CM12" s="99" t="str">
        <f t="shared" si="3"/>
        <v/>
      </c>
      <c r="CN12" s="99" t="str">
        <f t="shared" si="3"/>
        <v/>
      </c>
      <c r="CO12" s="99" t="str">
        <f t="shared" si="3"/>
        <v/>
      </c>
      <c r="CP12" s="99" t="str">
        <f t="shared" si="3"/>
        <v/>
      </c>
      <c r="CQ12" s="99" t="str">
        <f t="shared" si="3"/>
        <v/>
      </c>
      <c r="CR12" s="99" t="str">
        <f t="shared" si="3"/>
        <v/>
      </c>
      <c r="CS12" s="99" t="str">
        <f t="shared" si="3"/>
        <v/>
      </c>
      <c r="CT12" s="99" t="str">
        <f t="shared" si="4"/>
        <v/>
      </c>
      <c r="CU12" s="99" t="str">
        <f t="shared" si="4"/>
        <v/>
      </c>
      <c r="CV12" s="99" t="str">
        <f t="shared" si="4"/>
        <v/>
      </c>
      <c r="CW12" s="99" t="str">
        <f t="shared" si="4"/>
        <v/>
      </c>
      <c r="CX12" s="99" t="str">
        <f t="shared" si="4"/>
        <v/>
      </c>
      <c r="CY12" s="99" t="str">
        <f t="shared" si="4"/>
        <v/>
      </c>
      <c r="CZ12" s="99" t="str">
        <f t="shared" si="4"/>
        <v/>
      </c>
      <c r="DA12" s="99" t="str">
        <f t="shared" si="4"/>
        <v/>
      </c>
      <c r="DB12" s="99" t="str">
        <f t="shared" si="4"/>
        <v/>
      </c>
      <c r="DC12" s="99" t="str">
        <f t="shared" si="4"/>
        <v/>
      </c>
      <c r="DD12" s="99" t="str">
        <f t="shared" si="4"/>
        <v/>
      </c>
      <c r="DE12" s="99" t="str">
        <f t="shared" si="4"/>
        <v/>
      </c>
      <c r="DF12" s="99" t="str">
        <f t="shared" si="4"/>
        <v/>
      </c>
      <c r="DG12" s="99" t="str">
        <f t="shared" si="4"/>
        <v/>
      </c>
      <c r="DH12" s="99" t="str">
        <f t="shared" si="4"/>
        <v/>
      </c>
      <c r="DI12" s="99" t="str">
        <f t="shared" si="4"/>
        <v/>
      </c>
      <c r="DJ12" s="100" t="str">
        <f t="shared" si="5"/>
        <v/>
      </c>
      <c r="DK12" s="92" t="str">
        <f t="shared" si="5"/>
        <v/>
      </c>
    </row>
    <row r="13" spans="1:115" x14ac:dyDescent="0.2">
      <c r="C13" s="260"/>
      <c r="D13" s="84" t="s">
        <v>184</v>
      </c>
      <c r="E13" s="95">
        <f>IFERROR(VLOOKUP(CONCATENATE($A$15,"-",$A$12, "-", $D13, "-", E$3, "-", $A$9), OBS_District_Flows!$A:$G, 6,FALSE),0)</f>
        <v>0</v>
      </c>
      <c r="F13" s="96">
        <f>IFERROR(VLOOKUP(CONCATENATE($A$15,"-",$A$12, "-", $D13, "-", F$3, "-", $A$9), OBS_District_Flows!$A:$G, 6,FALSE),0)</f>
        <v>0</v>
      </c>
      <c r="G13" s="96">
        <f>IFERROR(VLOOKUP(CONCATENATE($A$15,"-",$A$12, "-", $D13, "-", G$3, "-", $A$9), OBS_District_Flows!$A:$G, 6,FALSE),0)</f>
        <v>0</v>
      </c>
      <c r="H13" s="96">
        <f>IFERROR(VLOOKUP(CONCATENATE($A$15,"-",$A$12, "-", $D13, "-", H$3, "-", $A$9), OBS_District_Flows!$A:$G, 6,FALSE),0)</f>
        <v>0</v>
      </c>
      <c r="I13" s="96">
        <f>IFERROR(VLOOKUP(CONCATENATE($A$15,"-",$A$12, "-", $D13, "-", I$3, "-", $A$9), OBS_District_Flows!$A:$G, 6,FALSE),0)</f>
        <v>0</v>
      </c>
      <c r="J13" s="96">
        <f>IFERROR(VLOOKUP(CONCATENATE($A$15,"-",$A$12, "-", $D13, "-", J$3, "-", $A$9), OBS_District_Flows!$A:$G, 6,FALSE),0)</f>
        <v>0</v>
      </c>
      <c r="K13" s="96">
        <f>IFERROR(VLOOKUP(CONCATENATE($A$15,"-",$A$12, "-", $D13, "-", K$3, "-", $A$9), OBS_District_Flows!$A:$G, 6,FALSE),0)</f>
        <v>0</v>
      </c>
      <c r="L13" s="96">
        <f>IFERROR(VLOOKUP(CONCATENATE($A$15,"-",$A$12, "-", $D13, "-", L$3, "-", $A$9), OBS_District_Flows!$A:$G, 6,FALSE),0)</f>
        <v>0</v>
      </c>
      <c r="M13" s="96">
        <f>IFERROR(VLOOKUP(CONCATENATE($A$15,"-",$A$12, "-", $D13, "-", M$3, "-", $A$9), OBS_District_Flows!$A:$G, 6,FALSE),0)</f>
        <v>0</v>
      </c>
      <c r="N13" s="96">
        <f>IFERROR(VLOOKUP(CONCATENATE($A$15,"-",$A$12, "-", $D13, "-", N$3, "-", $A$9), OBS_District_Flows!$A:$G, 6,FALSE),0)</f>
        <v>0</v>
      </c>
      <c r="O13" s="96">
        <f>IFERROR(VLOOKUP(CONCATENATE($A$15,"-",$A$12, "-", $D13, "-", O$3, "-", $A$9), OBS_District_Flows!$A:$G, 6,FALSE),0)</f>
        <v>0</v>
      </c>
      <c r="P13" s="96">
        <f>IFERROR(VLOOKUP(CONCATENATE($A$15,"-",$A$12, "-", $D13, "-", P$3, "-", $A$9), OBS_District_Flows!$A:$G, 6,FALSE),0)</f>
        <v>0</v>
      </c>
      <c r="Q13" s="96">
        <f>IFERROR(VLOOKUP(CONCATENATE($A$15,"-",$A$12, "-", $D13, "-", Q$3, "-", $A$9), OBS_District_Flows!$A:$G, 6,FALSE),0)</f>
        <v>0</v>
      </c>
      <c r="R13" s="96">
        <f>IFERROR(VLOOKUP(CONCATENATE($A$15,"-",$A$12, "-", $D13, "-", R$3, "-", $A$9), OBS_District_Flows!$A:$G, 6,FALSE),0)</f>
        <v>0</v>
      </c>
      <c r="S13" s="96">
        <f>IFERROR(VLOOKUP(CONCATENATE($A$15,"-",$A$12, "-", $D13, "-", S$3, "-", $A$9), OBS_District_Flows!$A:$G, 6,FALSE),0)</f>
        <v>0</v>
      </c>
      <c r="T13" s="96">
        <f>IFERROR(VLOOKUP(CONCATENATE($A$15,"-",$A$12, "-", $D13, "-", T$3, "-", $A$9), OBS_District_Flows!$A:$G, 6,FALSE),0)</f>
        <v>0</v>
      </c>
      <c r="U13" s="96">
        <f>IFERROR(VLOOKUP(CONCATENATE($A$15,"-",$A$12, "-", $D13, "-", U$3, "-", $A$9), OBS_District_Flows!$A:$G, 6,FALSE),0)</f>
        <v>0</v>
      </c>
      <c r="V13" s="96">
        <f>IFERROR(VLOOKUP(CONCATENATE($A$15,"-",$A$12, "-", $D13, "-", V$3, "-", $A$9), OBS_District_Flows!$A:$G, 6,FALSE),0)</f>
        <v>0</v>
      </c>
      <c r="W13" s="96">
        <f>IFERROR(VLOOKUP(CONCATENATE($A$15,"-",$A$12, "-", $D13, "-", W$3, "-", $A$9), OBS_District_Flows!$A:$G, 6,FALSE),0)</f>
        <v>0</v>
      </c>
      <c r="X13" s="96">
        <f>IFERROR(VLOOKUP(CONCATENATE($A$15,"-",$A$12, "-", $D13, "-", X$3, "-", $A$9), OBS_District_Flows!$A:$G, 6,FALSE),0)</f>
        <v>0</v>
      </c>
      <c r="Y13" s="96">
        <f>IFERROR(VLOOKUP(CONCATENATE($A$15,"-",$A$12, "-", $D13, "-", Y$3, "-", $A$9), OBS_District_Flows!$A:$G, 6,FALSE),0)</f>
        <v>0</v>
      </c>
      <c r="Z13" s="96">
        <f>IFERROR(VLOOKUP(CONCATENATE($A$15,"-",$A$12, "-", $D13, "-", Z$3, "-", $A$9), OBS_District_Flows!$A:$G, 6,FALSE),0)</f>
        <v>0</v>
      </c>
      <c r="AA13" s="96">
        <f>IFERROR(VLOOKUP(CONCATENATE($A$15,"-",$A$12, "-", $D13, "-", AA$3, "-", $A$9), OBS_District_Flows!$A:$G, 6,FALSE),0)</f>
        <v>0</v>
      </c>
      <c r="AB13" s="96">
        <f>IFERROR(VLOOKUP(CONCATENATE($A$15,"-",$A$12, "-", $D13, "-", AB$3, "-", $A$9), OBS_District_Flows!$A:$G, 6,FALSE),0)</f>
        <v>0</v>
      </c>
      <c r="AC13" s="96">
        <f>IFERROR(VLOOKUP(CONCATENATE($A$15,"-",$A$12, "-", $D13, "-", AC$3, "-", $A$9), OBS_District_Flows!$A:$G, 6,FALSE),0)</f>
        <v>0</v>
      </c>
      <c r="AD13" s="96">
        <f>IFERROR(VLOOKUP(CONCATENATE($A$15,"-",$A$12, "-", $D13, "-", AD$3, "-", $A$9), OBS_District_Flows!$A:$G, 6,FALSE),0)</f>
        <v>0</v>
      </c>
      <c r="AE13" s="96">
        <f>IFERROR(VLOOKUP(CONCATENATE($A$15,"-",$A$12, "-", $D13, "-", AE$3, "-", $A$9), OBS_District_Flows!$A:$G, 6,FALSE),0)</f>
        <v>0</v>
      </c>
      <c r="AF13" s="96">
        <f>IFERROR(VLOOKUP(CONCATENATE($A$15,"-",$A$12, "-", $D13, "-", AF$3, "-", $A$9), OBS_District_Flows!$A:$G, 6,FALSE),0)</f>
        <v>0</v>
      </c>
      <c r="AG13" s="96">
        <f>IFERROR(VLOOKUP(CONCATENATE($A$15,"-",$A$12, "-", $D13, "-", AG$3, "-", $A$9), OBS_District_Flows!$A:$G, 6,FALSE),0)</f>
        <v>0</v>
      </c>
      <c r="AH13" s="96">
        <f>IFERROR(VLOOKUP(CONCATENATE($A$15,"-",$A$12, "-", $D13, "-", AH$3, "-", $A$9), OBS_District_Flows!$A:$G, 6,FALSE),0)</f>
        <v>0</v>
      </c>
      <c r="AI13" s="96">
        <f>IFERROR(VLOOKUP(CONCATENATE($A$15,"-",$A$12, "-", $D13, "-", AI$3, "-", $A$9), OBS_District_Flows!$A:$G, 6,FALSE),0)</f>
        <v>0</v>
      </c>
      <c r="AJ13" s="96">
        <f>IFERROR(VLOOKUP(CONCATENATE($A$15,"-",$A$12, "-", $D13, "-", AJ$3, "-", $A$9), OBS_District_Flows!$A:$G, 6,FALSE),0)</f>
        <v>0</v>
      </c>
      <c r="AK13" s="96">
        <f>IFERROR(VLOOKUP(CONCATENATE($A$15,"-",$A$12, "-", $D13, "-", AK$3, "-", $A$9), OBS_District_Flows!$A:$G, 6,FALSE),0)</f>
        <v>0</v>
      </c>
      <c r="AL13" s="97">
        <f>IFERROR(VLOOKUP(CONCATENATE($A$15,"-",$A$12, "-", $D13, "-", AL$3, "-", $A$9), OBS_District_Flows!$A:$G, 6,FALSE),0)</f>
        <v>0</v>
      </c>
      <c r="AM13" s="88">
        <f t="shared" si="6"/>
        <v>0</v>
      </c>
      <c r="AO13" s="261"/>
      <c r="AP13" s="84" t="s">
        <v>184</v>
      </c>
      <c r="AQ13" s="98" t="str">
        <f t="shared" si="7"/>
        <v/>
      </c>
      <c r="AR13" s="99" t="str">
        <f t="shared" si="0"/>
        <v/>
      </c>
      <c r="AS13" s="99" t="str">
        <f t="shared" si="0"/>
        <v/>
      </c>
      <c r="AT13" s="99" t="str">
        <f t="shared" si="0"/>
        <v/>
      </c>
      <c r="AU13" s="99" t="str">
        <f t="shared" si="0"/>
        <v/>
      </c>
      <c r="AV13" s="99" t="str">
        <f t="shared" si="0"/>
        <v/>
      </c>
      <c r="AW13" s="99" t="str">
        <f t="shared" si="0"/>
        <v/>
      </c>
      <c r="AX13" s="99" t="str">
        <f t="shared" si="0"/>
        <v/>
      </c>
      <c r="AY13" s="99" t="str">
        <f t="shared" si="0"/>
        <v/>
      </c>
      <c r="AZ13" s="99" t="str">
        <f t="shared" si="0"/>
        <v/>
      </c>
      <c r="BA13" s="99" t="str">
        <f t="shared" si="0"/>
        <v/>
      </c>
      <c r="BB13" s="99" t="str">
        <f t="shared" si="0"/>
        <v/>
      </c>
      <c r="BC13" s="99" t="str">
        <f t="shared" si="0"/>
        <v/>
      </c>
      <c r="BD13" s="99" t="str">
        <f t="shared" si="0"/>
        <v/>
      </c>
      <c r="BE13" s="99" t="str">
        <f t="shared" si="0"/>
        <v/>
      </c>
      <c r="BF13" s="99" t="str">
        <f t="shared" si="0"/>
        <v/>
      </c>
      <c r="BG13" s="99" t="str">
        <f t="shared" si="0"/>
        <v/>
      </c>
      <c r="BH13" s="99" t="str">
        <f t="shared" si="1"/>
        <v/>
      </c>
      <c r="BI13" s="99" t="str">
        <f t="shared" si="1"/>
        <v/>
      </c>
      <c r="BJ13" s="99" t="str">
        <f t="shared" si="1"/>
        <v/>
      </c>
      <c r="BK13" s="99" t="str">
        <f t="shared" si="1"/>
        <v/>
      </c>
      <c r="BL13" s="99" t="str">
        <f t="shared" si="1"/>
        <v/>
      </c>
      <c r="BM13" s="99" t="str">
        <f t="shared" si="1"/>
        <v/>
      </c>
      <c r="BN13" s="99" t="str">
        <f t="shared" si="1"/>
        <v/>
      </c>
      <c r="BO13" s="99" t="str">
        <f t="shared" si="1"/>
        <v/>
      </c>
      <c r="BP13" s="99" t="str">
        <f t="shared" si="1"/>
        <v/>
      </c>
      <c r="BQ13" s="99" t="str">
        <f t="shared" si="1"/>
        <v/>
      </c>
      <c r="BR13" s="99" t="str">
        <f t="shared" si="1"/>
        <v/>
      </c>
      <c r="BS13" s="99" t="str">
        <f t="shared" si="1"/>
        <v/>
      </c>
      <c r="BT13" s="99" t="str">
        <f t="shared" si="1"/>
        <v/>
      </c>
      <c r="BU13" s="99" t="str">
        <f t="shared" si="1"/>
        <v/>
      </c>
      <c r="BV13" s="99" t="str">
        <f t="shared" si="1"/>
        <v/>
      </c>
      <c r="BW13" s="99" t="str">
        <f t="shared" si="1"/>
        <v/>
      </c>
      <c r="BX13" s="100" t="str">
        <f t="shared" si="2"/>
        <v/>
      </c>
      <c r="BY13" s="92" t="str">
        <f t="shared" si="2"/>
        <v/>
      </c>
      <c r="CA13" s="261"/>
      <c r="CB13" s="84" t="s">
        <v>184</v>
      </c>
      <c r="CC13" s="98" t="str">
        <f t="shared" si="8"/>
        <v/>
      </c>
      <c r="CD13" s="99" t="str">
        <f t="shared" si="3"/>
        <v/>
      </c>
      <c r="CE13" s="99" t="str">
        <f t="shared" si="3"/>
        <v/>
      </c>
      <c r="CF13" s="99" t="str">
        <f t="shared" si="3"/>
        <v/>
      </c>
      <c r="CG13" s="99" t="str">
        <f t="shared" si="3"/>
        <v/>
      </c>
      <c r="CH13" s="99" t="str">
        <f t="shared" si="3"/>
        <v/>
      </c>
      <c r="CI13" s="99" t="str">
        <f t="shared" si="3"/>
        <v/>
      </c>
      <c r="CJ13" s="99" t="str">
        <f t="shared" si="3"/>
        <v/>
      </c>
      <c r="CK13" s="99" t="str">
        <f t="shared" si="3"/>
        <v/>
      </c>
      <c r="CL13" s="99" t="str">
        <f t="shared" si="3"/>
        <v/>
      </c>
      <c r="CM13" s="99" t="str">
        <f t="shared" si="3"/>
        <v/>
      </c>
      <c r="CN13" s="99" t="str">
        <f t="shared" si="3"/>
        <v/>
      </c>
      <c r="CO13" s="99" t="str">
        <f t="shared" si="3"/>
        <v/>
      </c>
      <c r="CP13" s="99" t="str">
        <f t="shared" si="3"/>
        <v/>
      </c>
      <c r="CQ13" s="99" t="str">
        <f t="shared" si="3"/>
        <v/>
      </c>
      <c r="CR13" s="99" t="str">
        <f t="shared" si="3"/>
        <v/>
      </c>
      <c r="CS13" s="99" t="str">
        <f t="shared" si="3"/>
        <v/>
      </c>
      <c r="CT13" s="99" t="str">
        <f t="shared" si="4"/>
        <v/>
      </c>
      <c r="CU13" s="99" t="str">
        <f t="shared" si="4"/>
        <v/>
      </c>
      <c r="CV13" s="99" t="str">
        <f t="shared" si="4"/>
        <v/>
      </c>
      <c r="CW13" s="99" t="str">
        <f t="shared" si="4"/>
        <v/>
      </c>
      <c r="CX13" s="99" t="str">
        <f t="shared" si="4"/>
        <v/>
      </c>
      <c r="CY13" s="99" t="str">
        <f t="shared" si="4"/>
        <v/>
      </c>
      <c r="CZ13" s="99" t="str">
        <f t="shared" si="4"/>
        <v/>
      </c>
      <c r="DA13" s="99" t="str">
        <f t="shared" si="4"/>
        <v/>
      </c>
      <c r="DB13" s="99" t="str">
        <f t="shared" si="4"/>
        <v/>
      </c>
      <c r="DC13" s="99" t="str">
        <f t="shared" si="4"/>
        <v/>
      </c>
      <c r="DD13" s="99" t="str">
        <f t="shared" si="4"/>
        <v/>
      </c>
      <c r="DE13" s="99" t="str">
        <f t="shared" si="4"/>
        <v/>
      </c>
      <c r="DF13" s="99" t="str">
        <f t="shared" si="4"/>
        <v/>
      </c>
      <c r="DG13" s="99" t="str">
        <f t="shared" si="4"/>
        <v/>
      </c>
      <c r="DH13" s="99" t="str">
        <f t="shared" si="4"/>
        <v/>
      </c>
      <c r="DI13" s="99" t="str">
        <f t="shared" si="4"/>
        <v/>
      </c>
      <c r="DJ13" s="100" t="str">
        <f t="shared" si="5"/>
        <v/>
      </c>
      <c r="DK13" s="92" t="str">
        <f t="shared" si="5"/>
        <v/>
      </c>
    </row>
    <row r="14" spans="1:115" x14ac:dyDescent="0.2">
      <c r="A14" s="93" t="s">
        <v>300</v>
      </c>
      <c r="C14" s="260"/>
      <c r="D14" s="84" t="s">
        <v>186</v>
      </c>
      <c r="E14" s="95">
        <f>IFERROR(VLOOKUP(CONCATENATE($A$15,"-",$A$12, "-", $D14, "-", E$3, "-", $A$9), OBS_District_Flows!$A:$G, 6,FALSE),0)</f>
        <v>0</v>
      </c>
      <c r="F14" s="96">
        <f>IFERROR(VLOOKUP(CONCATENATE($A$15,"-",$A$12, "-", $D14, "-", F$3, "-", $A$9), OBS_District_Flows!$A:$G, 6,FALSE),0)</f>
        <v>0</v>
      </c>
      <c r="G14" s="96">
        <f>IFERROR(VLOOKUP(CONCATENATE($A$15,"-",$A$12, "-", $D14, "-", G$3, "-", $A$9), OBS_District_Flows!$A:$G, 6,FALSE),0)</f>
        <v>0</v>
      </c>
      <c r="H14" s="96">
        <f>IFERROR(VLOOKUP(CONCATENATE($A$15,"-",$A$12, "-", $D14, "-", H$3, "-", $A$9), OBS_District_Flows!$A:$G, 6,FALSE),0)</f>
        <v>0</v>
      </c>
      <c r="I14" s="96">
        <f>IFERROR(VLOOKUP(CONCATENATE($A$15,"-",$A$12, "-", $D14, "-", I$3, "-", $A$9), OBS_District_Flows!$A:$G, 6,FALSE),0)</f>
        <v>0</v>
      </c>
      <c r="J14" s="96">
        <f>IFERROR(VLOOKUP(CONCATENATE($A$15,"-",$A$12, "-", $D14, "-", J$3, "-", $A$9), OBS_District_Flows!$A:$G, 6,FALSE),0)</f>
        <v>0</v>
      </c>
      <c r="K14" s="96">
        <f>IFERROR(VLOOKUP(CONCATENATE($A$15,"-",$A$12, "-", $D14, "-", K$3, "-", $A$9), OBS_District_Flows!$A:$G, 6,FALSE),0)</f>
        <v>0</v>
      </c>
      <c r="L14" s="96">
        <f>IFERROR(VLOOKUP(CONCATENATE($A$15,"-",$A$12, "-", $D14, "-", L$3, "-", $A$9), OBS_District_Flows!$A:$G, 6,FALSE),0)</f>
        <v>0</v>
      </c>
      <c r="M14" s="96">
        <f>IFERROR(VLOOKUP(CONCATENATE($A$15,"-",$A$12, "-", $D14, "-", M$3, "-", $A$9), OBS_District_Flows!$A:$G, 6,FALSE),0)</f>
        <v>0</v>
      </c>
      <c r="N14" s="96">
        <f>IFERROR(VLOOKUP(CONCATENATE($A$15,"-",$A$12, "-", $D14, "-", N$3, "-", $A$9), OBS_District_Flows!$A:$G, 6,FALSE),0)</f>
        <v>0</v>
      </c>
      <c r="O14" s="96">
        <f>IFERROR(VLOOKUP(CONCATENATE($A$15,"-",$A$12, "-", $D14, "-", O$3, "-", $A$9), OBS_District_Flows!$A:$G, 6,FALSE),0)</f>
        <v>0</v>
      </c>
      <c r="P14" s="96">
        <f>IFERROR(VLOOKUP(CONCATENATE($A$15,"-",$A$12, "-", $D14, "-", P$3, "-", $A$9), OBS_District_Flows!$A:$G, 6,FALSE),0)</f>
        <v>0</v>
      </c>
      <c r="Q14" s="96">
        <f>IFERROR(VLOOKUP(CONCATENATE($A$15,"-",$A$12, "-", $D14, "-", Q$3, "-", $A$9), OBS_District_Flows!$A:$G, 6,FALSE),0)</f>
        <v>0</v>
      </c>
      <c r="R14" s="96">
        <f>IFERROR(VLOOKUP(CONCATENATE($A$15,"-",$A$12, "-", $D14, "-", R$3, "-", $A$9), OBS_District_Flows!$A:$G, 6,FALSE),0)</f>
        <v>0</v>
      </c>
      <c r="S14" s="96">
        <f>IFERROR(VLOOKUP(CONCATENATE($A$15,"-",$A$12, "-", $D14, "-", S$3, "-", $A$9), OBS_District_Flows!$A:$G, 6,FALSE),0)</f>
        <v>0</v>
      </c>
      <c r="T14" s="96">
        <f>IFERROR(VLOOKUP(CONCATENATE($A$15,"-",$A$12, "-", $D14, "-", T$3, "-", $A$9), OBS_District_Flows!$A:$G, 6,FALSE),0)</f>
        <v>0</v>
      </c>
      <c r="U14" s="96">
        <f>IFERROR(VLOOKUP(CONCATENATE($A$15,"-",$A$12, "-", $D14, "-", U$3, "-", $A$9), OBS_District_Flows!$A:$G, 6,FALSE),0)</f>
        <v>0</v>
      </c>
      <c r="V14" s="96">
        <f>IFERROR(VLOOKUP(CONCATENATE($A$15,"-",$A$12, "-", $D14, "-", V$3, "-", $A$9), OBS_District_Flows!$A:$G, 6,FALSE),0)</f>
        <v>0</v>
      </c>
      <c r="W14" s="96">
        <f>IFERROR(VLOOKUP(CONCATENATE($A$15,"-",$A$12, "-", $D14, "-", W$3, "-", $A$9), OBS_District_Flows!$A:$G, 6,FALSE),0)</f>
        <v>0</v>
      </c>
      <c r="X14" s="96">
        <f>IFERROR(VLOOKUP(CONCATENATE($A$15,"-",$A$12, "-", $D14, "-", X$3, "-", $A$9), OBS_District_Flows!$A:$G, 6,FALSE),0)</f>
        <v>0</v>
      </c>
      <c r="Y14" s="96">
        <f>IFERROR(VLOOKUP(CONCATENATE($A$15,"-",$A$12, "-", $D14, "-", Y$3, "-", $A$9), OBS_District_Flows!$A:$G, 6,FALSE),0)</f>
        <v>0</v>
      </c>
      <c r="Z14" s="96">
        <f>IFERROR(VLOOKUP(CONCATENATE($A$15,"-",$A$12, "-", $D14, "-", Z$3, "-", $A$9), OBS_District_Flows!$A:$G, 6,FALSE),0)</f>
        <v>0</v>
      </c>
      <c r="AA14" s="96">
        <f>IFERROR(VLOOKUP(CONCATENATE($A$15,"-",$A$12, "-", $D14, "-", AA$3, "-", $A$9), OBS_District_Flows!$A:$G, 6,FALSE),0)</f>
        <v>0</v>
      </c>
      <c r="AB14" s="96">
        <f>IFERROR(VLOOKUP(CONCATENATE($A$15,"-",$A$12, "-", $D14, "-", AB$3, "-", $A$9), OBS_District_Flows!$A:$G, 6,FALSE),0)</f>
        <v>0</v>
      </c>
      <c r="AC14" s="96">
        <f>IFERROR(VLOOKUP(CONCATENATE($A$15,"-",$A$12, "-", $D14, "-", AC$3, "-", $A$9), OBS_District_Flows!$A:$G, 6,FALSE),0)</f>
        <v>0</v>
      </c>
      <c r="AD14" s="96">
        <f>IFERROR(VLOOKUP(CONCATENATE($A$15,"-",$A$12, "-", $D14, "-", AD$3, "-", $A$9), OBS_District_Flows!$A:$G, 6,FALSE),0)</f>
        <v>0</v>
      </c>
      <c r="AE14" s="96">
        <f>IFERROR(VLOOKUP(CONCATENATE($A$15,"-",$A$12, "-", $D14, "-", AE$3, "-", $A$9), OBS_District_Flows!$A:$G, 6,FALSE),0)</f>
        <v>0</v>
      </c>
      <c r="AF14" s="96">
        <f>IFERROR(VLOOKUP(CONCATENATE($A$15,"-",$A$12, "-", $D14, "-", AF$3, "-", $A$9), OBS_District_Flows!$A:$G, 6,FALSE),0)</f>
        <v>0</v>
      </c>
      <c r="AG14" s="96">
        <f>IFERROR(VLOOKUP(CONCATENATE($A$15,"-",$A$12, "-", $D14, "-", AG$3, "-", $A$9), OBS_District_Flows!$A:$G, 6,FALSE),0)</f>
        <v>0</v>
      </c>
      <c r="AH14" s="96">
        <f>IFERROR(VLOOKUP(CONCATENATE($A$15,"-",$A$12, "-", $D14, "-", AH$3, "-", $A$9), OBS_District_Flows!$A:$G, 6,FALSE),0)</f>
        <v>0</v>
      </c>
      <c r="AI14" s="96">
        <f>IFERROR(VLOOKUP(CONCATENATE($A$15,"-",$A$12, "-", $D14, "-", AI$3, "-", $A$9), OBS_District_Flows!$A:$G, 6,FALSE),0)</f>
        <v>0</v>
      </c>
      <c r="AJ14" s="96">
        <f>IFERROR(VLOOKUP(CONCATENATE($A$15,"-",$A$12, "-", $D14, "-", AJ$3, "-", $A$9), OBS_District_Flows!$A:$G, 6,FALSE),0)</f>
        <v>0</v>
      </c>
      <c r="AK14" s="96">
        <f>IFERROR(VLOOKUP(CONCATENATE($A$15,"-",$A$12, "-", $D14, "-", AK$3, "-", $A$9), OBS_District_Flows!$A:$G, 6,FALSE),0)</f>
        <v>0</v>
      </c>
      <c r="AL14" s="97">
        <f>IFERROR(VLOOKUP(CONCATENATE($A$15,"-",$A$12, "-", $D14, "-", AL$3, "-", $A$9), OBS_District_Flows!$A:$G, 6,FALSE),0)</f>
        <v>0</v>
      </c>
      <c r="AM14" s="88">
        <f t="shared" si="6"/>
        <v>0</v>
      </c>
      <c r="AO14" s="261"/>
      <c r="AP14" s="84" t="s">
        <v>186</v>
      </c>
      <c r="AQ14" s="98" t="str">
        <f t="shared" si="7"/>
        <v/>
      </c>
      <c r="AR14" s="99" t="str">
        <f t="shared" si="0"/>
        <v/>
      </c>
      <c r="AS14" s="99" t="str">
        <f t="shared" si="0"/>
        <v/>
      </c>
      <c r="AT14" s="99" t="str">
        <f t="shared" si="0"/>
        <v/>
      </c>
      <c r="AU14" s="99" t="str">
        <f t="shared" si="0"/>
        <v/>
      </c>
      <c r="AV14" s="99" t="str">
        <f t="shared" si="0"/>
        <v/>
      </c>
      <c r="AW14" s="99" t="str">
        <f t="shared" si="0"/>
        <v/>
      </c>
      <c r="AX14" s="99" t="str">
        <f t="shared" si="0"/>
        <v/>
      </c>
      <c r="AY14" s="99" t="str">
        <f t="shared" si="0"/>
        <v/>
      </c>
      <c r="AZ14" s="99" t="str">
        <f t="shared" si="0"/>
        <v/>
      </c>
      <c r="BA14" s="99" t="str">
        <f t="shared" si="0"/>
        <v/>
      </c>
      <c r="BB14" s="99" t="str">
        <f t="shared" si="0"/>
        <v/>
      </c>
      <c r="BC14" s="99" t="str">
        <f t="shared" si="0"/>
        <v/>
      </c>
      <c r="BD14" s="99" t="str">
        <f t="shared" si="0"/>
        <v/>
      </c>
      <c r="BE14" s="99" t="str">
        <f t="shared" si="0"/>
        <v/>
      </c>
      <c r="BF14" s="99" t="str">
        <f t="shared" si="0"/>
        <v/>
      </c>
      <c r="BG14" s="99" t="str">
        <f t="shared" si="0"/>
        <v/>
      </c>
      <c r="BH14" s="99" t="str">
        <f t="shared" si="1"/>
        <v/>
      </c>
      <c r="BI14" s="99" t="str">
        <f t="shared" si="1"/>
        <v/>
      </c>
      <c r="BJ14" s="99" t="str">
        <f t="shared" si="1"/>
        <v/>
      </c>
      <c r="BK14" s="99" t="str">
        <f t="shared" si="1"/>
        <v/>
      </c>
      <c r="BL14" s="99" t="str">
        <f t="shared" si="1"/>
        <v/>
      </c>
      <c r="BM14" s="99" t="str">
        <f t="shared" si="1"/>
        <v/>
      </c>
      <c r="BN14" s="99" t="str">
        <f t="shared" si="1"/>
        <v/>
      </c>
      <c r="BO14" s="99" t="str">
        <f t="shared" si="1"/>
        <v/>
      </c>
      <c r="BP14" s="99" t="str">
        <f t="shared" si="1"/>
        <v/>
      </c>
      <c r="BQ14" s="99" t="str">
        <f t="shared" si="1"/>
        <v/>
      </c>
      <c r="BR14" s="99" t="str">
        <f t="shared" si="1"/>
        <v/>
      </c>
      <c r="BS14" s="99" t="str">
        <f t="shared" si="1"/>
        <v/>
      </c>
      <c r="BT14" s="99" t="str">
        <f t="shared" si="1"/>
        <v/>
      </c>
      <c r="BU14" s="99" t="str">
        <f t="shared" si="1"/>
        <v/>
      </c>
      <c r="BV14" s="99" t="str">
        <f t="shared" si="1"/>
        <v/>
      </c>
      <c r="BW14" s="99" t="str">
        <f t="shared" si="1"/>
        <v/>
      </c>
      <c r="BX14" s="100" t="str">
        <f t="shared" si="2"/>
        <v/>
      </c>
      <c r="BY14" s="92" t="str">
        <f t="shared" si="2"/>
        <v/>
      </c>
      <c r="CA14" s="261"/>
      <c r="CB14" s="84" t="s">
        <v>186</v>
      </c>
      <c r="CC14" s="98" t="str">
        <f t="shared" si="8"/>
        <v/>
      </c>
      <c r="CD14" s="99" t="str">
        <f t="shared" si="3"/>
        <v/>
      </c>
      <c r="CE14" s="99" t="str">
        <f t="shared" si="3"/>
        <v/>
      </c>
      <c r="CF14" s="99" t="str">
        <f t="shared" si="3"/>
        <v/>
      </c>
      <c r="CG14" s="99" t="str">
        <f t="shared" si="3"/>
        <v/>
      </c>
      <c r="CH14" s="99" t="str">
        <f t="shared" si="3"/>
        <v/>
      </c>
      <c r="CI14" s="99" t="str">
        <f t="shared" si="3"/>
        <v/>
      </c>
      <c r="CJ14" s="99" t="str">
        <f t="shared" si="3"/>
        <v/>
      </c>
      <c r="CK14" s="99" t="str">
        <f t="shared" si="3"/>
        <v/>
      </c>
      <c r="CL14" s="99" t="str">
        <f t="shared" si="3"/>
        <v/>
      </c>
      <c r="CM14" s="99" t="str">
        <f t="shared" si="3"/>
        <v/>
      </c>
      <c r="CN14" s="99" t="str">
        <f t="shared" si="3"/>
        <v/>
      </c>
      <c r="CO14" s="99" t="str">
        <f t="shared" si="3"/>
        <v/>
      </c>
      <c r="CP14" s="99" t="str">
        <f t="shared" si="3"/>
        <v/>
      </c>
      <c r="CQ14" s="99" t="str">
        <f t="shared" si="3"/>
        <v/>
      </c>
      <c r="CR14" s="99" t="str">
        <f t="shared" si="3"/>
        <v/>
      </c>
      <c r="CS14" s="99" t="str">
        <f t="shared" si="3"/>
        <v/>
      </c>
      <c r="CT14" s="99" t="str">
        <f t="shared" si="4"/>
        <v/>
      </c>
      <c r="CU14" s="99" t="str">
        <f t="shared" si="4"/>
        <v/>
      </c>
      <c r="CV14" s="99" t="str">
        <f t="shared" si="4"/>
        <v/>
      </c>
      <c r="CW14" s="99" t="str">
        <f t="shared" si="4"/>
        <v/>
      </c>
      <c r="CX14" s="99" t="str">
        <f t="shared" si="4"/>
        <v/>
      </c>
      <c r="CY14" s="99" t="str">
        <f t="shared" si="4"/>
        <v/>
      </c>
      <c r="CZ14" s="99" t="str">
        <f t="shared" si="4"/>
        <v/>
      </c>
      <c r="DA14" s="99" t="str">
        <f t="shared" si="4"/>
        <v/>
      </c>
      <c r="DB14" s="99" t="str">
        <f t="shared" si="4"/>
        <v/>
      </c>
      <c r="DC14" s="99" t="str">
        <f t="shared" si="4"/>
        <v/>
      </c>
      <c r="DD14" s="99" t="str">
        <f t="shared" si="4"/>
        <v/>
      </c>
      <c r="DE14" s="99" t="str">
        <f t="shared" si="4"/>
        <v/>
      </c>
      <c r="DF14" s="99" t="str">
        <f t="shared" si="4"/>
        <v/>
      </c>
      <c r="DG14" s="99" t="str">
        <f t="shared" si="4"/>
        <v/>
      </c>
      <c r="DH14" s="99" t="str">
        <f t="shared" si="4"/>
        <v/>
      </c>
      <c r="DI14" s="99" t="str">
        <f t="shared" si="4"/>
        <v/>
      </c>
      <c r="DJ14" s="100" t="str">
        <f t="shared" si="5"/>
        <v/>
      </c>
      <c r="DK14" s="92" t="str">
        <f t="shared" si="5"/>
        <v/>
      </c>
    </row>
    <row r="15" spans="1:115" x14ac:dyDescent="0.2">
      <c r="A15" s="101" t="s">
        <v>7</v>
      </c>
      <c r="C15" s="260"/>
      <c r="D15" s="84" t="s">
        <v>187</v>
      </c>
      <c r="E15" s="95">
        <f>IFERROR(VLOOKUP(CONCATENATE($A$15,"-",$A$12, "-", $D15, "-", E$3, "-", $A$9), OBS_District_Flows!$A:$G, 6,FALSE),0)</f>
        <v>0</v>
      </c>
      <c r="F15" s="96">
        <f>IFERROR(VLOOKUP(CONCATENATE($A$15,"-",$A$12, "-", $D15, "-", F$3, "-", $A$9), OBS_District_Flows!$A:$G, 6,FALSE),0)</f>
        <v>0</v>
      </c>
      <c r="G15" s="96">
        <f>IFERROR(VLOOKUP(CONCATENATE($A$15,"-",$A$12, "-", $D15, "-", G$3, "-", $A$9), OBS_District_Flows!$A:$G, 6,FALSE),0)</f>
        <v>0</v>
      </c>
      <c r="H15" s="96">
        <f>IFERROR(VLOOKUP(CONCATENATE($A$15,"-",$A$12, "-", $D15, "-", H$3, "-", $A$9), OBS_District_Flows!$A:$G, 6,FALSE),0)</f>
        <v>0</v>
      </c>
      <c r="I15" s="96">
        <f>IFERROR(VLOOKUP(CONCATENATE($A$15,"-",$A$12, "-", $D15, "-", I$3, "-", $A$9), OBS_District_Flows!$A:$G, 6,FALSE),0)</f>
        <v>0</v>
      </c>
      <c r="J15" s="96">
        <f>IFERROR(VLOOKUP(CONCATENATE($A$15,"-",$A$12, "-", $D15, "-", J$3, "-", $A$9), OBS_District_Flows!$A:$G, 6,FALSE),0)</f>
        <v>0</v>
      </c>
      <c r="K15" s="96">
        <f>IFERROR(VLOOKUP(CONCATENATE($A$15,"-",$A$12, "-", $D15, "-", K$3, "-", $A$9), OBS_District_Flows!$A:$G, 6,FALSE),0)</f>
        <v>0</v>
      </c>
      <c r="L15" s="96">
        <f>IFERROR(VLOOKUP(CONCATENATE($A$15,"-",$A$12, "-", $D15, "-", L$3, "-", $A$9), OBS_District_Flows!$A:$G, 6,FALSE),0)</f>
        <v>0</v>
      </c>
      <c r="M15" s="96">
        <f>IFERROR(VLOOKUP(CONCATENATE($A$15,"-",$A$12, "-", $D15, "-", M$3, "-", $A$9), OBS_District_Flows!$A:$G, 6,FALSE),0)</f>
        <v>0</v>
      </c>
      <c r="N15" s="96">
        <f>IFERROR(VLOOKUP(CONCATENATE($A$15,"-",$A$12, "-", $D15, "-", N$3, "-", $A$9), OBS_District_Flows!$A:$G, 6,FALSE),0)</f>
        <v>0</v>
      </c>
      <c r="O15" s="96">
        <f>IFERROR(VLOOKUP(CONCATENATE($A$15,"-",$A$12, "-", $D15, "-", O$3, "-", $A$9), OBS_District_Flows!$A:$G, 6,FALSE),0)</f>
        <v>0</v>
      </c>
      <c r="P15" s="96">
        <f>IFERROR(VLOOKUP(CONCATENATE($A$15,"-",$A$12, "-", $D15, "-", P$3, "-", $A$9), OBS_District_Flows!$A:$G, 6,FALSE),0)</f>
        <v>0</v>
      </c>
      <c r="Q15" s="96">
        <f>IFERROR(VLOOKUP(CONCATENATE($A$15,"-",$A$12, "-", $D15, "-", Q$3, "-", $A$9), OBS_District_Flows!$A:$G, 6,FALSE),0)</f>
        <v>0</v>
      </c>
      <c r="R15" s="96">
        <f>IFERROR(VLOOKUP(CONCATENATE($A$15,"-",$A$12, "-", $D15, "-", R$3, "-", $A$9), OBS_District_Flows!$A:$G, 6,FALSE),0)</f>
        <v>0</v>
      </c>
      <c r="S15" s="96">
        <f>IFERROR(VLOOKUP(CONCATENATE($A$15,"-",$A$12, "-", $D15, "-", S$3, "-", $A$9), OBS_District_Flows!$A:$G, 6,FALSE),0)</f>
        <v>0</v>
      </c>
      <c r="T15" s="96">
        <f>IFERROR(VLOOKUP(CONCATENATE($A$15,"-",$A$12, "-", $D15, "-", T$3, "-", $A$9), OBS_District_Flows!$A:$G, 6,FALSE),0)</f>
        <v>0</v>
      </c>
      <c r="U15" s="96">
        <f>IFERROR(VLOOKUP(CONCATENATE($A$15,"-",$A$12, "-", $D15, "-", U$3, "-", $A$9), OBS_District_Flows!$A:$G, 6,FALSE),0)</f>
        <v>0</v>
      </c>
      <c r="V15" s="96">
        <f>IFERROR(VLOOKUP(CONCATENATE($A$15,"-",$A$12, "-", $D15, "-", V$3, "-", $A$9), OBS_District_Flows!$A:$G, 6,FALSE),0)</f>
        <v>0</v>
      </c>
      <c r="W15" s="96">
        <f>IFERROR(VLOOKUP(CONCATENATE($A$15,"-",$A$12, "-", $D15, "-", W$3, "-", $A$9), OBS_District_Flows!$A:$G, 6,FALSE),0)</f>
        <v>0</v>
      </c>
      <c r="X15" s="96">
        <f>IFERROR(VLOOKUP(CONCATENATE($A$15,"-",$A$12, "-", $D15, "-", X$3, "-", $A$9), OBS_District_Flows!$A:$G, 6,FALSE),0)</f>
        <v>0</v>
      </c>
      <c r="Y15" s="96">
        <f>IFERROR(VLOOKUP(CONCATENATE($A$15,"-",$A$12, "-", $D15, "-", Y$3, "-", $A$9), OBS_District_Flows!$A:$G, 6,FALSE),0)</f>
        <v>0</v>
      </c>
      <c r="Z15" s="96">
        <f>IFERROR(VLOOKUP(CONCATENATE($A$15,"-",$A$12, "-", $D15, "-", Z$3, "-", $A$9), OBS_District_Flows!$A:$G, 6,FALSE),0)</f>
        <v>0</v>
      </c>
      <c r="AA15" s="96">
        <f>IFERROR(VLOOKUP(CONCATENATE($A$15,"-",$A$12, "-", $D15, "-", AA$3, "-", $A$9), OBS_District_Flows!$A:$G, 6,FALSE),0)</f>
        <v>0</v>
      </c>
      <c r="AB15" s="96">
        <f>IFERROR(VLOOKUP(CONCATENATE($A$15,"-",$A$12, "-", $D15, "-", AB$3, "-", $A$9), OBS_District_Flows!$A:$G, 6,FALSE),0)</f>
        <v>0</v>
      </c>
      <c r="AC15" s="96">
        <f>IFERROR(VLOOKUP(CONCATENATE($A$15,"-",$A$12, "-", $D15, "-", AC$3, "-", $A$9), OBS_District_Flows!$A:$G, 6,FALSE),0)</f>
        <v>0</v>
      </c>
      <c r="AD15" s="96">
        <f>IFERROR(VLOOKUP(CONCATENATE($A$15,"-",$A$12, "-", $D15, "-", AD$3, "-", $A$9), OBS_District_Flows!$A:$G, 6,FALSE),0)</f>
        <v>0</v>
      </c>
      <c r="AE15" s="96">
        <f>IFERROR(VLOOKUP(CONCATENATE($A$15,"-",$A$12, "-", $D15, "-", AE$3, "-", $A$9), OBS_District_Flows!$A:$G, 6,FALSE),0)</f>
        <v>0</v>
      </c>
      <c r="AF15" s="96">
        <f>IFERROR(VLOOKUP(CONCATENATE($A$15,"-",$A$12, "-", $D15, "-", AF$3, "-", $A$9), OBS_District_Flows!$A:$G, 6,FALSE),0)</f>
        <v>0</v>
      </c>
      <c r="AG15" s="96">
        <f>IFERROR(VLOOKUP(CONCATENATE($A$15,"-",$A$12, "-", $D15, "-", AG$3, "-", $A$9), OBS_District_Flows!$A:$G, 6,FALSE),0)</f>
        <v>0</v>
      </c>
      <c r="AH15" s="96">
        <f>IFERROR(VLOOKUP(CONCATENATE($A$15,"-",$A$12, "-", $D15, "-", AH$3, "-", $A$9), OBS_District_Flows!$A:$G, 6,FALSE),0)</f>
        <v>0</v>
      </c>
      <c r="AI15" s="96">
        <f>IFERROR(VLOOKUP(CONCATENATE($A$15,"-",$A$12, "-", $D15, "-", AI$3, "-", $A$9), OBS_District_Flows!$A:$G, 6,FALSE),0)</f>
        <v>0</v>
      </c>
      <c r="AJ15" s="96">
        <f>IFERROR(VLOOKUP(CONCATENATE($A$15,"-",$A$12, "-", $D15, "-", AJ$3, "-", $A$9), OBS_District_Flows!$A:$G, 6,FALSE),0)</f>
        <v>0</v>
      </c>
      <c r="AK15" s="96">
        <f>IFERROR(VLOOKUP(CONCATENATE($A$15,"-",$A$12, "-", $D15, "-", AK$3, "-", $A$9), OBS_District_Flows!$A:$G, 6,FALSE),0)</f>
        <v>0</v>
      </c>
      <c r="AL15" s="97">
        <f>IFERROR(VLOOKUP(CONCATENATE($A$15,"-",$A$12, "-", $D15, "-", AL$3, "-", $A$9), OBS_District_Flows!$A:$G, 6,FALSE),0)</f>
        <v>0</v>
      </c>
      <c r="AM15" s="88">
        <f t="shared" si="6"/>
        <v>0</v>
      </c>
      <c r="AO15" s="261"/>
      <c r="AP15" s="84" t="s">
        <v>187</v>
      </c>
      <c r="AQ15" s="98" t="str">
        <f t="shared" si="7"/>
        <v/>
      </c>
      <c r="AR15" s="99" t="str">
        <f t="shared" si="0"/>
        <v/>
      </c>
      <c r="AS15" s="99" t="str">
        <f t="shared" si="0"/>
        <v/>
      </c>
      <c r="AT15" s="99" t="str">
        <f t="shared" si="0"/>
        <v/>
      </c>
      <c r="AU15" s="99" t="str">
        <f t="shared" si="0"/>
        <v/>
      </c>
      <c r="AV15" s="99" t="str">
        <f t="shared" si="0"/>
        <v/>
      </c>
      <c r="AW15" s="99" t="str">
        <f t="shared" si="0"/>
        <v/>
      </c>
      <c r="AX15" s="99" t="str">
        <f t="shared" si="0"/>
        <v/>
      </c>
      <c r="AY15" s="99" t="str">
        <f t="shared" si="0"/>
        <v/>
      </c>
      <c r="AZ15" s="99" t="str">
        <f t="shared" si="0"/>
        <v/>
      </c>
      <c r="BA15" s="99" t="str">
        <f t="shared" si="0"/>
        <v/>
      </c>
      <c r="BB15" s="99" t="str">
        <f t="shared" si="0"/>
        <v/>
      </c>
      <c r="BC15" s="99" t="str">
        <f t="shared" si="0"/>
        <v/>
      </c>
      <c r="BD15" s="99" t="str">
        <f t="shared" si="0"/>
        <v/>
      </c>
      <c r="BE15" s="99" t="str">
        <f t="shared" si="0"/>
        <v/>
      </c>
      <c r="BF15" s="99" t="str">
        <f t="shared" si="0"/>
        <v/>
      </c>
      <c r="BG15" s="99" t="str">
        <f t="shared" si="0"/>
        <v/>
      </c>
      <c r="BH15" s="99" t="str">
        <f t="shared" si="1"/>
        <v/>
      </c>
      <c r="BI15" s="99" t="str">
        <f t="shared" si="1"/>
        <v/>
      </c>
      <c r="BJ15" s="99" t="str">
        <f t="shared" si="1"/>
        <v/>
      </c>
      <c r="BK15" s="99" t="str">
        <f t="shared" si="1"/>
        <v/>
      </c>
      <c r="BL15" s="99" t="str">
        <f t="shared" si="1"/>
        <v/>
      </c>
      <c r="BM15" s="99" t="str">
        <f t="shared" si="1"/>
        <v/>
      </c>
      <c r="BN15" s="99" t="str">
        <f t="shared" si="1"/>
        <v/>
      </c>
      <c r="BO15" s="99" t="str">
        <f t="shared" si="1"/>
        <v/>
      </c>
      <c r="BP15" s="99" t="str">
        <f t="shared" si="1"/>
        <v/>
      </c>
      <c r="BQ15" s="99" t="str">
        <f t="shared" si="1"/>
        <v/>
      </c>
      <c r="BR15" s="99" t="str">
        <f t="shared" si="1"/>
        <v/>
      </c>
      <c r="BS15" s="99" t="str">
        <f t="shared" si="1"/>
        <v/>
      </c>
      <c r="BT15" s="99" t="str">
        <f t="shared" si="1"/>
        <v/>
      </c>
      <c r="BU15" s="99" t="str">
        <f t="shared" si="1"/>
        <v/>
      </c>
      <c r="BV15" s="99" t="str">
        <f t="shared" si="1"/>
        <v/>
      </c>
      <c r="BW15" s="99" t="str">
        <f t="shared" si="1"/>
        <v/>
      </c>
      <c r="BX15" s="100" t="str">
        <f t="shared" si="2"/>
        <v/>
      </c>
      <c r="BY15" s="92" t="str">
        <f t="shared" si="2"/>
        <v/>
      </c>
      <c r="CA15" s="261"/>
      <c r="CB15" s="84" t="s">
        <v>187</v>
      </c>
      <c r="CC15" s="98" t="str">
        <f t="shared" si="8"/>
        <v/>
      </c>
      <c r="CD15" s="99" t="str">
        <f t="shared" si="3"/>
        <v/>
      </c>
      <c r="CE15" s="99" t="str">
        <f t="shared" si="3"/>
        <v/>
      </c>
      <c r="CF15" s="99" t="str">
        <f t="shared" si="3"/>
        <v/>
      </c>
      <c r="CG15" s="99" t="str">
        <f t="shared" si="3"/>
        <v/>
      </c>
      <c r="CH15" s="99" t="str">
        <f t="shared" si="3"/>
        <v/>
      </c>
      <c r="CI15" s="99" t="str">
        <f t="shared" si="3"/>
        <v/>
      </c>
      <c r="CJ15" s="99" t="str">
        <f t="shared" si="3"/>
        <v/>
      </c>
      <c r="CK15" s="99" t="str">
        <f t="shared" si="3"/>
        <v/>
      </c>
      <c r="CL15" s="99" t="str">
        <f t="shared" si="3"/>
        <v/>
      </c>
      <c r="CM15" s="99" t="str">
        <f t="shared" si="3"/>
        <v/>
      </c>
      <c r="CN15" s="99" t="str">
        <f t="shared" si="3"/>
        <v/>
      </c>
      <c r="CO15" s="99" t="str">
        <f t="shared" si="3"/>
        <v/>
      </c>
      <c r="CP15" s="99" t="str">
        <f t="shared" si="3"/>
        <v/>
      </c>
      <c r="CQ15" s="99" t="str">
        <f t="shared" si="3"/>
        <v/>
      </c>
      <c r="CR15" s="99" t="str">
        <f t="shared" si="3"/>
        <v/>
      </c>
      <c r="CS15" s="99" t="str">
        <f t="shared" si="3"/>
        <v/>
      </c>
      <c r="CT15" s="99" t="str">
        <f t="shared" si="4"/>
        <v/>
      </c>
      <c r="CU15" s="99" t="str">
        <f t="shared" si="4"/>
        <v/>
      </c>
      <c r="CV15" s="99" t="str">
        <f t="shared" si="4"/>
        <v/>
      </c>
      <c r="CW15" s="99" t="str">
        <f t="shared" si="4"/>
        <v/>
      </c>
      <c r="CX15" s="99" t="str">
        <f t="shared" si="4"/>
        <v/>
      </c>
      <c r="CY15" s="99" t="str">
        <f t="shared" si="4"/>
        <v/>
      </c>
      <c r="CZ15" s="99" t="str">
        <f t="shared" si="4"/>
        <v/>
      </c>
      <c r="DA15" s="99" t="str">
        <f t="shared" si="4"/>
        <v/>
      </c>
      <c r="DB15" s="99" t="str">
        <f t="shared" si="4"/>
        <v/>
      </c>
      <c r="DC15" s="99" t="str">
        <f t="shared" si="4"/>
        <v/>
      </c>
      <c r="DD15" s="99" t="str">
        <f t="shared" si="4"/>
        <v/>
      </c>
      <c r="DE15" s="99" t="str">
        <f t="shared" si="4"/>
        <v/>
      </c>
      <c r="DF15" s="99" t="str">
        <f t="shared" si="4"/>
        <v/>
      </c>
      <c r="DG15" s="99" t="str">
        <f t="shared" si="4"/>
        <v/>
      </c>
      <c r="DH15" s="99" t="str">
        <f t="shared" si="4"/>
        <v/>
      </c>
      <c r="DI15" s="99" t="str">
        <f t="shared" si="4"/>
        <v/>
      </c>
      <c r="DJ15" s="100" t="str">
        <f t="shared" si="5"/>
        <v/>
      </c>
      <c r="DK15" s="92" t="str">
        <f t="shared" si="5"/>
        <v/>
      </c>
    </row>
    <row r="16" spans="1:115" x14ac:dyDescent="0.2">
      <c r="B16" s="106"/>
      <c r="C16" s="260"/>
      <c r="D16" s="84" t="s">
        <v>188</v>
      </c>
      <c r="E16" s="95">
        <f>IFERROR(VLOOKUP(CONCATENATE($A$15,"-",$A$12, "-", $D16, "-", E$3, "-", $A$9), OBS_District_Flows!$A:$G, 6,FALSE),0)</f>
        <v>0</v>
      </c>
      <c r="F16" s="96">
        <f>IFERROR(VLOOKUP(CONCATENATE($A$15,"-",$A$12, "-", $D16, "-", F$3, "-", $A$9), OBS_District_Flows!$A:$G, 6,FALSE),0)</f>
        <v>0</v>
      </c>
      <c r="G16" s="96">
        <f>IFERROR(VLOOKUP(CONCATENATE($A$15,"-",$A$12, "-", $D16, "-", G$3, "-", $A$9), OBS_District_Flows!$A:$G, 6,FALSE),0)</f>
        <v>0</v>
      </c>
      <c r="H16" s="96">
        <f>IFERROR(VLOOKUP(CONCATENATE($A$15,"-",$A$12, "-", $D16, "-", H$3, "-", $A$9), OBS_District_Flows!$A:$G, 6,FALSE),0)</f>
        <v>0</v>
      </c>
      <c r="I16" s="96">
        <f>IFERROR(VLOOKUP(CONCATENATE($A$15,"-",$A$12, "-", $D16, "-", I$3, "-", $A$9), OBS_District_Flows!$A:$G, 6,FALSE),0)</f>
        <v>0</v>
      </c>
      <c r="J16" s="96">
        <f>IFERROR(VLOOKUP(CONCATENATE($A$15,"-",$A$12, "-", $D16, "-", J$3, "-", $A$9), OBS_District_Flows!$A:$G, 6,FALSE),0)</f>
        <v>0</v>
      </c>
      <c r="K16" s="96">
        <f>IFERROR(VLOOKUP(CONCATENATE($A$15,"-",$A$12, "-", $D16, "-", K$3, "-", $A$9), OBS_District_Flows!$A:$G, 6,FALSE),0)</f>
        <v>0</v>
      </c>
      <c r="L16" s="96">
        <f>IFERROR(VLOOKUP(CONCATENATE($A$15,"-",$A$12, "-", $D16, "-", L$3, "-", $A$9), OBS_District_Flows!$A:$G, 6,FALSE),0)</f>
        <v>0</v>
      </c>
      <c r="M16" s="96">
        <f>IFERROR(VLOOKUP(CONCATENATE($A$15,"-",$A$12, "-", $D16, "-", M$3, "-", $A$9), OBS_District_Flows!$A:$G, 6,FALSE),0)</f>
        <v>0</v>
      </c>
      <c r="N16" s="96">
        <f>IFERROR(VLOOKUP(CONCATENATE($A$15,"-",$A$12, "-", $D16, "-", N$3, "-", $A$9), OBS_District_Flows!$A:$G, 6,FALSE),0)</f>
        <v>0</v>
      </c>
      <c r="O16" s="96">
        <f>IFERROR(VLOOKUP(CONCATENATE($A$15,"-",$A$12, "-", $D16, "-", O$3, "-", $A$9), OBS_District_Flows!$A:$G, 6,FALSE),0)</f>
        <v>0</v>
      </c>
      <c r="P16" s="96">
        <f>IFERROR(VLOOKUP(CONCATENATE($A$15,"-",$A$12, "-", $D16, "-", P$3, "-", $A$9), OBS_District_Flows!$A:$G, 6,FALSE),0)</f>
        <v>0</v>
      </c>
      <c r="Q16" s="96">
        <f>IFERROR(VLOOKUP(CONCATENATE($A$15,"-",$A$12, "-", $D16, "-", Q$3, "-", $A$9), OBS_District_Flows!$A:$G, 6,FALSE),0)</f>
        <v>0</v>
      </c>
      <c r="R16" s="96">
        <f>IFERROR(VLOOKUP(CONCATENATE($A$15,"-",$A$12, "-", $D16, "-", R$3, "-", $A$9), OBS_District_Flows!$A:$G, 6,FALSE),0)</f>
        <v>0</v>
      </c>
      <c r="S16" s="96">
        <f>IFERROR(VLOOKUP(CONCATENATE($A$15,"-",$A$12, "-", $D16, "-", S$3, "-", $A$9), OBS_District_Flows!$A:$G, 6,FALSE),0)</f>
        <v>0</v>
      </c>
      <c r="T16" s="96">
        <f>IFERROR(VLOOKUP(CONCATENATE($A$15,"-",$A$12, "-", $D16, "-", T$3, "-", $A$9), OBS_District_Flows!$A:$G, 6,FALSE),0)</f>
        <v>0</v>
      </c>
      <c r="U16" s="96">
        <f>IFERROR(VLOOKUP(CONCATENATE($A$15,"-",$A$12, "-", $D16, "-", U$3, "-", $A$9), OBS_District_Flows!$A:$G, 6,FALSE),0)</f>
        <v>0</v>
      </c>
      <c r="V16" s="96">
        <f>IFERROR(VLOOKUP(CONCATENATE($A$15,"-",$A$12, "-", $D16, "-", V$3, "-", $A$9), OBS_District_Flows!$A:$G, 6,FALSE),0)</f>
        <v>0</v>
      </c>
      <c r="W16" s="96">
        <f>IFERROR(VLOOKUP(CONCATENATE($A$15,"-",$A$12, "-", $D16, "-", W$3, "-", $A$9), OBS_District_Flows!$A:$G, 6,FALSE),0)</f>
        <v>0</v>
      </c>
      <c r="X16" s="96">
        <f>IFERROR(VLOOKUP(CONCATENATE($A$15,"-",$A$12, "-", $D16, "-", X$3, "-", $A$9), OBS_District_Flows!$A:$G, 6,FALSE),0)</f>
        <v>0</v>
      </c>
      <c r="Y16" s="96">
        <f>IFERROR(VLOOKUP(CONCATENATE($A$15,"-",$A$12, "-", $D16, "-", Y$3, "-", $A$9), OBS_District_Flows!$A:$G, 6,FALSE),0)</f>
        <v>0</v>
      </c>
      <c r="Z16" s="96">
        <f>IFERROR(VLOOKUP(CONCATENATE($A$15,"-",$A$12, "-", $D16, "-", Z$3, "-", $A$9), OBS_District_Flows!$A:$G, 6,FALSE),0)</f>
        <v>0</v>
      </c>
      <c r="AA16" s="96">
        <f>IFERROR(VLOOKUP(CONCATENATE($A$15,"-",$A$12, "-", $D16, "-", AA$3, "-", $A$9), OBS_District_Flows!$A:$G, 6,FALSE),0)</f>
        <v>0</v>
      </c>
      <c r="AB16" s="96">
        <f>IFERROR(VLOOKUP(CONCATENATE($A$15,"-",$A$12, "-", $D16, "-", AB$3, "-", $A$9), OBS_District_Flows!$A:$G, 6,FALSE),0)</f>
        <v>0</v>
      </c>
      <c r="AC16" s="96">
        <f>IFERROR(VLOOKUP(CONCATENATE($A$15,"-",$A$12, "-", $D16, "-", AC$3, "-", $A$9), OBS_District_Flows!$A:$G, 6,FALSE),0)</f>
        <v>0</v>
      </c>
      <c r="AD16" s="96">
        <f>IFERROR(VLOOKUP(CONCATENATE($A$15,"-",$A$12, "-", $D16, "-", AD$3, "-", $A$9), OBS_District_Flows!$A:$G, 6,FALSE),0)</f>
        <v>0</v>
      </c>
      <c r="AE16" s="96">
        <f>IFERROR(VLOOKUP(CONCATENATE($A$15,"-",$A$12, "-", $D16, "-", AE$3, "-", $A$9), OBS_District_Flows!$A:$G, 6,FALSE),0)</f>
        <v>0</v>
      </c>
      <c r="AF16" s="96">
        <f>IFERROR(VLOOKUP(CONCATENATE($A$15,"-",$A$12, "-", $D16, "-", AF$3, "-", $A$9), OBS_District_Flows!$A:$G, 6,FALSE),0)</f>
        <v>0</v>
      </c>
      <c r="AG16" s="96">
        <f>IFERROR(VLOOKUP(CONCATENATE($A$15,"-",$A$12, "-", $D16, "-", AG$3, "-", $A$9), OBS_District_Flows!$A:$G, 6,FALSE),0)</f>
        <v>0</v>
      </c>
      <c r="AH16" s="96">
        <f>IFERROR(VLOOKUP(CONCATENATE($A$15,"-",$A$12, "-", $D16, "-", AH$3, "-", $A$9), OBS_District_Flows!$A:$G, 6,FALSE),0)</f>
        <v>0</v>
      </c>
      <c r="AI16" s="96">
        <f>IFERROR(VLOOKUP(CONCATENATE($A$15,"-",$A$12, "-", $D16, "-", AI$3, "-", $A$9), OBS_District_Flows!$A:$G, 6,FALSE),0)</f>
        <v>0</v>
      </c>
      <c r="AJ16" s="96">
        <f>IFERROR(VLOOKUP(CONCATENATE($A$15,"-",$A$12, "-", $D16, "-", AJ$3, "-", $A$9), OBS_District_Flows!$A:$G, 6,FALSE),0)</f>
        <v>0</v>
      </c>
      <c r="AK16" s="96">
        <f>IFERROR(VLOOKUP(CONCATENATE($A$15,"-",$A$12, "-", $D16, "-", AK$3, "-", $A$9), OBS_District_Flows!$A:$G, 6,FALSE),0)</f>
        <v>0</v>
      </c>
      <c r="AL16" s="97">
        <f>IFERROR(VLOOKUP(CONCATENATE($A$15,"-",$A$12, "-", $D16, "-", AL$3, "-", $A$9), OBS_District_Flows!$A:$G, 6,FALSE),0)</f>
        <v>0</v>
      </c>
      <c r="AM16" s="88">
        <f t="shared" si="6"/>
        <v>0</v>
      </c>
      <c r="AO16" s="261"/>
      <c r="AP16" s="84" t="s">
        <v>188</v>
      </c>
      <c r="AQ16" s="98" t="str">
        <f t="shared" si="7"/>
        <v/>
      </c>
      <c r="AR16" s="99" t="str">
        <f t="shared" si="0"/>
        <v/>
      </c>
      <c r="AS16" s="99" t="str">
        <f t="shared" si="0"/>
        <v/>
      </c>
      <c r="AT16" s="99" t="str">
        <f t="shared" si="0"/>
        <v/>
      </c>
      <c r="AU16" s="99" t="str">
        <f t="shared" si="0"/>
        <v/>
      </c>
      <c r="AV16" s="99" t="str">
        <f t="shared" si="0"/>
        <v/>
      </c>
      <c r="AW16" s="99" t="str">
        <f t="shared" si="0"/>
        <v/>
      </c>
      <c r="AX16" s="99" t="str">
        <f t="shared" si="0"/>
        <v/>
      </c>
      <c r="AY16" s="99" t="str">
        <f t="shared" si="0"/>
        <v/>
      </c>
      <c r="AZ16" s="99" t="str">
        <f t="shared" si="0"/>
        <v/>
      </c>
      <c r="BA16" s="99" t="str">
        <f t="shared" si="0"/>
        <v/>
      </c>
      <c r="BB16" s="99" t="str">
        <f t="shared" si="0"/>
        <v/>
      </c>
      <c r="BC16" s="99" t="str">
        <f t="shared" si="0"/>
        <v/>
      </c>
      <c r="BD16" s="99" t="str">
        <f t="shared" si="0"/>
        <v/>
      </c>
      <c r="BE16" s="99" t="str">
        <f t="shared" si="0"/>
        <v/>
      </c>
      <c r="BF16" s="99" t="str">
        <f t="shared" si="0"/>
        <v/>
      </c>
      <c r="BG16" s="99" t="str">
        <f t="shared" si="0"/>
        <v/>
      </c>
      <c r="BH16" s="99" t="str">
        <f t="shared" si="1"/>
        <v/>
      </c>
      <c r="BI16" s="99" t="str">
        <f t="shared" si="1"/>
        <v/>
      </c>
      <c r="BJ16" s="99" t="str">
        <f t="shared" si="1"/>
        <v/>
      </c>
      <c r="BK16" s="99" t="str">
        <f t="shared" si="1"/>
        <v/>
      </c>
      <c r="BL16" s="99" t="str">
        <f t="shared" si="1"/>
        <v/>
      </c>
      <c r="BM16" s="99" t="str">
        <f t="shared" si="1"/>
        <v/>
      </c>
      <c r="BN16" s="99" t="str">
        <f t="shared" si="1"/>
        <v/>
      </c>
      <c r="BO16" s="99" t="str">
        <f t="shared" si="1"/>
        <v/>
      </c>
      <c r="BP16" s="99" t="str">
        <f t="shared" si="1"/>
        <v/>
      </c>
      <c r="BQ16" s="99" t="str">
        <f t="shared" si="1"/>
        <v/>
      </c>
      <c r="BR16" s="99" t="str">
        <f t="shared" si="1"/>
        <v/>
      </c>
      <c r="BS16" s="99" t="str">
        <f t="shared" si="1"/>
        <v/>
      </c>
      <c r="BT16" s="99" t="str">
        <f t="shared" si="1"/>
        <v/>
      </c>
      <c r="BU16" s="99" t="str">
        <f t="shared" si="1"/>
        <v/>
      </c>
      <c r="BV16" s="99" t="str">
        <f t="shared" si="1"/>
        <v/>
      </c>
      <c r="BW16" s="99" t="str">
        <f t="shared" si="1"/>
        <v/>
      </c>
      <c r="BX16" s="100" t="str">
        <f t="shared" si="2"/>
        <v/>
      </c>
      <c r="BY16" s="92" t="str">
        <f t="shared" si="2"/>
        <v/>
      </c>
      <c r="CA16" s="261"/>
      <c r="CB16" s="84" t="s">
        <v>188</v>
      </c>
      <c r="CC16" s="98" t="str">
        <f t="shared" si="8"/>
        <v/>
      </c>
      <c r="CD16" s="99" t="str">
        <f t="shared" si="3"/>
        <v/>
      </c>
      <c r="CE16" s="99" t="str">
        <f t="shared" si="3"/>
        <v/>
      </c>
      <c r="CF16" s="99" t="str">
        <f t="shared" si="3"/>
        <v/>
      </c>
      <c r="CG16" s="99" t="str">
        <f t="shared" si="3"/>
        <v/>
      </c>
      <c r="CH16" s="99" t="str">
        <f t="shared" si="3"/>
        <v/>
      </c>
      <c r="CI16" s="99" t="str">
        <f t="shared" si="3"/>
        <v/>
      </c>
      <c r="CJ16" s="99" t="str">
        <f t="shared" si="3"/>
        <v/>
      </c>
      <c r="CK16" s="99" t="str">
        <f t="shared" si="3"/>
        <v/>
      </c>
      <c r="CL16" s="99" t="str">
        <f t="shared" si="3"/>
        <v/>
      </c>
      <c r="CM16" s="99" t="str">
        <f t="shared" si="3"/>
        <v/>
      </c>
      <c r="CN16" s="99" t="str">
        <f t="shared" si="3"/>
        <v/>
      </c>
      <c r="CO16" s="99" t="str">
        <f t="shared" si="3"/>
        <v/>
      </c>
      <c r="CP16" s="99" t="str">
        <f t="shared" si="3"/>
        <v/>
      </c>
      <c r="CQ16" s="99" t="str">
        <f t="shared" si="3"/>
        <v/>
      </c>
      <c r="CR16" s="99" t="str">
        <f t="shared" si="3"/>
        <v/>
      </c>
      <c r="CS16" s="99" t="str">
        <f t="shared" si="3"/>
        <v/>
      </c>
      <c r="CT16" s="99" t="str">
        <f t="shared" si="4"/>
        <v/>
      </c>
      <c r="CU16" s="99" t="str">
        <f t="shared" si="4"/>
        <v/>
      </c>
      <c r="CV16" s="99" t="str">
        <f t="shared" si="4"/>
        <v/>
      </c>
      <c r="CW16" s="99" t="str">
        <f t="shared" si="4"/>
        <v/>
      </c>
      <c r="CX16" s="99" t="str">
        <f t="shared" si="4"/>
        <v/>
      </c>
      <c r="CY16" s="99" t="str">
        <f t="shared" si="4"/>
        <v/>
      </c>
      <c r="CZ16" s="99" t="str">
        <f t="shared" si="4"/>
        <v/>
      </c>
      <c r="DA16" s="99" t="str">
        <f t="shared" si="4"/>
        <v/>
      </c>
      <c r="DB16" s="99" t="str">
        <f t="shared" si="4"/>
        <v/>
      </c>
      <c r="DC16" s="99" t="str">
        <f t="shared" si="4"/>
        <v/>
      </c>
      <c r="DD16" s="99" t="str">
        <f t="shared" si="4"/>
        <v/>
      </c>
      <c r="DE16" s="99" t="str">
        <f t="shared" si="4"/>
        <v/>
      </c>
      <c r="DF16" s="99" t="str">
        <f t="shared" si="4"/>
        <v/>
      </c>
      <c r="DG16" s="99" t="str">
        <f t="shared" si="4"/>
        <v/>
      </c>
      <c r="DH16" s="99" t="str">
        <f t="shared" si="4"/>
        <v/>
      </c>
      <c r="DI16" s="99" t="str">
        <f t="shared" si="4"/>
        <v/>
      </c>
      <c r="DJ16" s="100" t="str">
        <f t="shared" si="5"/>
        <v/>
      </c>
      <c r="DK16" s="92" t="str">
        <f t="shared" si="5"/>
        <v/>
      </c>
    </row>
    <row r="17" spans="1:115" x14ac:dyDescent="0.2">
      <c r="C17" s="260"/>
      <c r="D17" s="84" t="s">
        <v>189</v>
      </c>
      <c r="E17" s="95">
        <f>IFERROR(VLOOKUP(CONCATENATE($A$15,"-",$A$12, "-", $D17, "-", E$3, "-", $A$9), OBS_District_Flows!$A:$G, 6,FALSE),0)</f>
        <v>0</v>
      </c>
      <c r="F17" s="96">
        <f>IFERROR(VLOOKUP(CONCATENATE($A$15,"-",$A$12, "-", $D17, "-", F$3, "-", $A$9), OBS_District_Flows!$A:$G, 6,FALSE),0)</f>
        <v>0</v>
      </c>
      <c r="G17" s="96">
        <f>IFERROR(VLOOKUP(CONCATENATE($A$15,"-",$A$12, "-", $D17, "-", G$3, "-", $A$9), OBS_District_Flows!$A:$G, 6,FALSE),0)</f>
        <v>0</v>
      </c>
      <c r="H17" s="96">
        <f>IFERROR(VLOOKUP(CONCATENATE($A$15,"-",$A$12, "-", $D17, "-", H$3, "-", $A$9), OBS_District_Flows!$A:$G, 6,FALSE),0)</f>
        <v>0</v>
      </c>
      <c r="I17" s="96">
        <f>IFERROR(VLOOKUP(CONCATENATE($A$15,"-",$A$12, "-", $D17, "-", I$3, "-", $A$9), OBS_District_Flows!$A:$G, 6,FALSE),0)</f>
        <v>0</v>
      </c>
      <c r="J17" s="96">
        <f>IFERROR(VLOOKUP(CONCATENATE($A$15,"-",$A$12, "-", $D17, "-", J$3, "-", $A$9), OBS_District_Flows!$A:$G, 6,FALSE),0)</f>
        <v>0</v>
      </c>
      <c r="K17" s="96">
        <f>IFERROR(VLOOKUP(CONCATENATE($A$15,"-",$A$12, "-", $D17, "-", K$3, "-", $A$9), OBS_District_Flows!$A:$G, 6,FALSE),0)</f>
        <v>0</v>
      </c>
      <c r="L17" s="96">
        <f>IFERROR(VLOOKUP(CONCATENATE($A$15,"-",$A$12, "-", $D17, "-", L$3, "-", $A$9), OBS_District_Flows!$A:$G, 6,FALSE),0)</f>
        <v>0</v>
      </c>
      <c r="M17" s="96">
        <f>IFERROR(VLOOKUP(CONCATENATE($A$15,"-",$A$12, "-", $D17, "-", M$3, "-", $A$9), OBS_District_Flows!$A:$G, 6,FALSE),0)</f>
        <v>0</v>
      </c>
      <c r="N17" s="96">
        <f>IFERROR(VLOOKUP(CONCATENATE($A$15,"-",$A$12, "-", $D17, "-", N$3, "-", $A$9), OBS_District_Flows!$A:$G, 6,FALSE),0)</f>
        <v>0</v>
      </c>
      <c r="O17" s="96">
        <f>IFERROR(VLOOKUP(CONCATENATE($A$15,"-",$A$12, "-", $D17, "-", O$3, "-", $A$9), OBS_District_Flows!$A:$G, 6,FALSE),0)</f>
        <v>0</v>
      </c>
      <c r="P17" s="96">
        <f>IFERROR(VLOOKUP(CONCATENATE($A$15,"-",$A$12, "-", $D17, "-", P$3, "-", $A$9), OBS_District_Flows!$A:$G, 6,FALSE),0)</f>
        <v>0</v>
      </c>
      <c r="Q17" s="96">
        <f>IFERROR(VLOOKUP(CONCATENATE($A$15,"-",$A$12, "-", $D17, "-", Q$3, "-", $A$9), OBS_District_Flows!$A:$G, 6,FALSE),0)</f>
        <v>0</v>
      </c>
      <c r="R17" s="96">
        <f>IFERROR(VLOOKUP(CONCATENATE($A$15,"-",$A$12, "-", $D17, "-", R$3, "-", $A$9), OBS_District_Flows!$A:$G, 6,FALSE),0)</f>
        <v>0</v>
      </c>
      <c r="S17" s="96">
        <f>IFERROR(VLOOKUP(CONCATENATE($A$15,"-",$A$12, "-", $D17, "-", S$3, "-", $A$9), OBS_District_Flows!$A:$G, 6,FALSE),0)</f>
        <v>0</v>
      </c>
      <c r="T17" s="96">
        <f>IFERROR(VLOOKUP(CONCATENATE($A$15,"-",$A$12, "-", $D17, "-", T$3, "-", $A$9), OBS_District_Flows!$A:$G, 6,FALSE),0)</f>
        <v>0</v>
      </c>
      <c r="U17" s="96">
        <f>IFERROR(VLOOKUP(CONCATENATE($A$15,"-",$A$12, "-", $D17, "-", U$3, "-", $A$9), OBS_District_Flows!$A:$G, 6,FALSE),0)</f>
        <v>0</v>
      </c>
      <c r="V17" s="96">
        <f>IFERROR(VLOOKUP(CONCATENATE($A$15,"-",$A$12, "-", $D17, "-", V$3, "-", $A$9), OBS_District_Flows!$A:$G, 6,FALSE),0)</f>
        <v>0</v>
      </c>
      <c r="W17" s="96">
        <f>IFERROR(VLOOKUP(CONCATENATE($A$15,"-",$A$12, "-", $D17, "-", W$3, "-", $A$9), OBS_District_Flows!$A:$G, 6,FALSE),0)</f>
        <v>0</v>
      </c>
      <c r="X17" s="96">
        <f>IFERROR(VLOOKUP(CONCATENATE($A$15,"-",$A$12, "-", $D17, "-", X$3, "-", $A$9), OBS_District_Flows!$A:$G, 6,FALSE),0)</f>
        <v>0</v>
      </c>
      <c r="Y17" s="96">
        <f>IFERROR(VLOOKUP(CONCATENATE($A$15,"-",$A$12, "-", $D17, "-", Y$3, "-", $A$9), OBS_District_Flows!$A:$G, 6,FALSE),0)</f>
        <v>0</v>
      </c>
      <c r="Z17" s="96">
        <f>IFERROR(VLOOKUP(CONCATENATE($A$15,"-",$A$12, "-", $D17, "-", Z$3, "-", $A$9), OBS_District_Flows!$A:$G, 6,FALSE),0)</f>
        <v>0</v>
      </c>
      <c r="AA17" s="96">
        <f>IFERROR(VLOOKUP(CONCATENATE($A$15,"-",$A$12, "-", $D17, "-", AA$3, "-", $A$9), OBS_District_Flows!$A:$G, 6,FALSE),0)</f>
        <v>0</v>
      </c>
      <c r="AB17" s="96">
        <f>IFERROR(VLOOKUP(CONCATENATE($A$15,"-",$A$12, "-", $D17, "-", AB$3, "-", $A$9), OBS_District_Flows!$A:$G, 6,FALSE),0)</f>
        <v>0</v>
      </c>
      <c r="AC17" s="96">
        <f>IFERROR(VLOOKUP(CONCATENATE($A$15,"-",$A$12, "-", $D17, "-", AC$3, "-", $A$9), OBS_District_Flows!$A:$G, 6,FALSE),0)</f>
        <v>0</v>
      </c>
      <c r="AD17" s="96">
        <f>IFERROR(VLOOKUP(CONCATENATE($A$15,"-",$A$12, "-", $D17, "-", AD$3, "-", $A$9), OBS_District_Flows!$A:$G, 6,FALSE),0)</f>
        <v>0</v>
      </c>
      <c r="AE17" s="96">
        <f>IFERROR(VLOOKUP(CONCATENATE($A$15,"-",$A$12, "-", $D17, "-", AE$3, "-", $A$9), OBS_District_Flows!$A:$G, 6,FALSE),0)</f>
        <v>0</v>
      </c>
      <c r="AF17" s="96">
        <f>IFERROR(VLOOKUP(CONCATENATE($A$15,"-",$A$12, "-", $D17, "-", AF$3, "-", $A$9), OBS_District_Flows!$A:$G, 6,FALSE),0)</f>
        <v>0</v>
      </c>
      <c r="AG17" s="96">
        <f>IFERROR(VLOOKUP(CONCATENATE($A$15,"-",$A$12, "-", $D17, "-", AG$3, "-", $A$9), OBS_District_Flows!$A:$G, 6,FALSE),0)</f>
        <v>0</v>
      </c>
      <c r="AH17" s="96">
        <f>IFERROR(VLOOKUP(CONCATENATE($A$15,"-",$A$12, "-", $D17, "-", AH$3, "-", $A$9), OBS_District_Flows!$A:$G, 6,FALSE),0)</f>
        <v>0</v>
      </c>
      <c r="AI17" s="96">
        <f>IFERROR(VLOOKUP(CONCATENATE($A$15,"-",$A$12, "-", $D17, "-", AI$3, "-", $A$9), OBS_District_Flows!$A:$G, 6,FALSE),0)</f>
        <v>0</v>
      </c>
      <c r="AJ17" s="96">
        <f>IFERROR(VLOOKUP(CONCATENATE($A$15,"-",$A$12, "-", $D17, "-", AJ$3, "-", $A$9), OBS_District_Flows!$A:$G, 6,FALSE),0)</f>
        <v>0</v>
      </c>
      <c r="AK17" s="96">
        <f>IFERROR(VLOOKUP(CONCATENATE($A$15,"-",$A$12, "-", $D17, "-", AK$3, "-", $A$9), OBS_District_Flows!$A:$G, 6,FALSE),0)</f>
        <v>0</v>
      </c>
      <c r="AL17" s="97">
        <f>IFERROR(VLOOKUP(CONCATENATE($A$15,"-",$A$12, "-", $D17, "-", AL$3, "-", $A$9), OBS_District_Flows!$A:$G, 6,FALSE),0)</f>
        <v>0</v>
      </c>
      <c r="AM17" s="88">
        <f t="shared" si="6"/>
        <v>0</v>
      </c>
      <c r="AO17" s="261"/>
      <c r="AP17" s="84" t="s">
        <v>189</v>
      </c>
      <c r="AQ17" s="98" t="str">
        <f t="shared" si="7"/>
        <v/>
      </c>
      <c r="AR17" s="99" t="str">
        <f t="shared" si="0"/>
        <v/>
      </c>
      <c r="AS17" s="99" t="str">
        <f t="shared" si="0"/>
        <v/>
      </c>
      <c r="AT17" s="99" t="str">
        <f t="shared" si="0"/>
        <v/>
      </c>
      <c r="AU17" s="99" t="str">
        <f t="shared" si="0"/>
        <v/>
      </c>
      <c r="AV17" s="99" t="str">
        <f t="shared" si="0"/>
        <v/>
      </c>
      <c r="AW17" s="99" t="str">
        <f t="shared" si="0"/>
        <v/>
      </c>
      <c r="AX17" s="99" t="str">
        <f t="shared" si="0"/>
        <v/>
      </c>
      <c r="AY17" s="99" t="str">
        <f t="shared" si="0"/>
        <v/>
      </c>
      <c r="AZ17" s="99" t="str">
        <f t="shared" si="0"/>
        <v/>
      </c>
      <c r="BA17" s="99" t="str">
        <f t="shared" si="0"/>
        <v/>
      </c>
      <c r="BB17" s="99" t="str">
        <f t="shared" si="0"/>
        <v/>
      </c>
      <c r="BC17" s="99" t="str">
        <f t="shared" si="0"/>
        <v/>
      </c>
      <c r="BD17" s="99" t="str">
        <f t="shared" si="0"/>
        <v/>
      </c>
      <c r="BE17" s="99" t="str">
        <f t="shared" si="0"/>
        <v/>
      </c>
      <c r="BF17" s="99" t="str">
        <f t="shared" si="0"/>
        <v/>
      </c>
      <c r="BG17" s="99" t="str">
        <f t="shared" si="0"/>
        <v/>
      </c>
      <c r="BH17" s="99" t="str">
        <f t="shared" si="1"/>
        <v/>
      </c>
      <c r="BI17" s="99" t="str">
        <f t="shared" si="1"/>
        <v/>
      </c>
      <c r="BJ17" s="99" t="str">
        <f t="shared" si="1"/>
        <v/>
      </c>
      <c r="BK17" s="99" t="str">
        <f t="shared" si="1"/>
        <v/>
      </c>
      <c r="BL17" s="99" t="str">
        <f t="shared" si="1"/>
        <v/>
      </c>
      <c r="BM17" s="99" t="str">
        <f t="shared" si="1"/>
        <v/>
      </c>
      <c r="BN17" s="99" t="str">
        <f t="shared" si="1"/>
        <v/>
      </c>
      <c r="BO17" s="99" t="str">
        <f t="shared" si="1"/>
        <v/>
      </c>
      <c r="BP17" s="99" t="str">
        <f t="shared" si="1"/>
        <v/>
      </c>
      <c r="BQ17" s="99" t="str">
        <f t="shared" si="1"/>
        <v/>
      </c>
      <c r="BR17" s="99" t="str">
        <f t="shared" si="1"/>
        <v/>
      </c>
      <c r="BS17" s="99" t="str">
        <f t="shared" si="1"/>
        <v/>
      </c>
      <c r="BT17" s="99" t="str">
        <f t="shared" si="1"/>
        <v/>
      </c>
      <c r="BU17" s="99" t="str">
        <f t="shared" si="1"/>
        <v/>
      </c>
      <c r="BV17" s="99" t="str">
        <f t="shared" si="1"/>
        <v/>
      </c>
      <c r="BW17" s="99" t="str">
        <f t="shared" si="1"/>
        <v/>
      </c>
      <c r="BX17" s="100" t="str">
        <f t="shared" si="2"/>
        <v/>
      </c>
      <c r="BY17" s="92" t="str">
        <f t="shared" si="2"/>
        <v/>
      </c>
      <c r="CA17" s="261"/>
      <c r="CB17" s="84" t="s">
        <v>189</v>
      </c>
      <c r="CC17" s="98" t="str">
        <f t="shared" si="8"/>
        <v/>
      </c>
      <c r="CD17" s="99" t="str">
        <f t="shared" si="3"/>
        <v/>
      </c>
      <c r="CE17" s="99" t="str">
        <f t="shared" si="3"/>
        <v/>
      </c>
      <c r="CF17" s="99" t="str">
        <f t="shared" si="3"/>
        <v/>
      </c>
      <c r="CG17" s="99" t="str">
        <f t="shared" si="3"/>
        <v/>
      </c>
      <c r="CH17" s="99" t="str">
        <f t="shared" si="3"/>
        <v/>
      </c>
      <c r="CI17" s="99" t="str">
        <f t="shared" si="3"/>
        <v/>
      </c>
      <c r="CJ17" s="99" t="str">
        <f t="shared" si="3"/>
        <v/>
      </c>
      <c r="CK17" s="99" t="str">
        <f t="shared" si="3"/>
        <v/>
      </c>
      <c r="CL17" s="99" t="str">
        <f t="shared" si="3"/>
        <v/>
      </c>
      <c r="CM17" s="99" t="str">
        <f t="shared" si="3"/>
        <v/>
      </c>
      <c r="CN17" s="99" t="str">
        <f t="shared" si="3"/>
        <v/>
      </c>
      <c r="CO17" s="99" t="str">
        <f t="shared" si="3"/>
        <v/>
      </c>
      <c r="CP17" s="99" t="str">
        <f t="shared" si="3"/>
        <v/>
      </c>
      <c r="CQ17" s="99" t="str">
        <f t="shared" si="3"/>
        <v/>
      </c>
      <c r="CR17" s="99" t="str">
        <f t="shared" si="3"/>
        <v/>
      </c>
      <c r="CS17" s="99" t="str">
        <f t="shared" si="3"/>
        <v/>
      </c>
      <c r="CT17" s="99" t="str">
        <f t="shared" si="4"/>
        <v/>
      </c>
      <c r="CU17" s="99" t="str">
        <f t="shared" si="4"/>
        <v/>
      </c>
      <c r="CV17" s="99" t="str">
        <f t="shared" si="4"/>
        <v/>
      </c>
      <c r="CW17" s="99" t="str">
        <f t="shared" si="4"/>
        <v/>
      </c>
      <c r="CX17" s="99" t="str">
        <f t="shared" si="4"/>
        <v/>
      </c>
      <c r="CY17" s="99" t="str">
        <f t="shared" si="4"/>
        <v/>
      </c>
      <c r="CZ17" s="99" t="str">
        <f t="shared" si="4"/>
        <v/>
      </c>
      <c r="DA17" s="99" t="str">
        <f t="shared" si="4"/>
        <v/>
      </c>
      <c r="DB17" s="99" t="str">
        <f t="shared" si="4"/>
        <v/>
      </c>
      <c r="DC17" s="99" t="str">
        <f t="shared" si="4"/>
        <v/>
      </c>
      <c r="DD17" s="99" t="str">
        <f t="shared" si="4"/>
        <v/>
      </c>
      <c r="DE17" s="99" t="str">
        <f t="shared" si="4"/>
        <v/>
      </c>
      <c r="DF17" s="99" t="str">
        <f t="shared" si="4"/>
        <v/>
      </c>
      <c r="DG17" s="99" t="str">
        <f t="shared" si="4"/>
        <v/>
      </c>
      <c r="DH17" s="99" t="str">
        <f t="shared" si="4"/>
        <v/>
      </c>
      <c r="DI17" s="99" t="str">
        <f t="shared" si="4"/>
        <v/>
      </c>
      <c r="DJ17" s="100" t="str">
        <f t="shared" si="5"/>
        <v/>
      </c>
      <c r="DK17" s="92" t="str">
        <f t="shared" si="5"/>
        <v/>
      </c>
    </row>
    <row r="18" spans="1:115" x14ac:dyDescent="0.2">
      <c r="A18" s="80" t="s">
        <v>216</v>
      </c>
      <c r="B18" s="94"/>
      <c r="C18" s="260"/>
      <c r="D18" s="84" t="s">
        <v>190</v>
      </c>
      <c r="E18" s="95">
        <f>IFERROR(VLOOKUP(CONCATENATE($A$15,"-",$A$12, "-", $D18, "-", E$3, "-", $A$9), OBS_District_Flows!$A:$G, 6,FALSE),0)</f>
        <v>0</v>
      </c>
      <c r="F18" s="96">
        <f>IFERROR(VLOOKUP(CONCATENATE($A$15,"-",$A$12, "-", $D18, "-", F$3, "-", $A$9), OBS_District_Flows!$A:$G, 6,FALSE),0)</f>
        <v>0</v>
      </c>
      <c r="G18" s="96">
        <f>IFERROR(VLOOKUP(CONCATENATE($A$15,"-",$A$12, "-", $D18, "-", G$3, "-", $A$9), OBS_District_Flows!$A:$G, 6,FALSE),0)</f>
        <v>0</v>
      </c>
      <c r="H18" s="96">
        <f>IFERROR(VLOOKUP(CONCATENATE($A$15,"-",$A$12, "-", $D18, "-", H$3, "-", $A$9), OBS_District_Flows!$A:$G, 6,FALSE),0)</f>
        <v>0</v>
      </c>
      <c r="I18" s="96">
        <f>IFERROR(VLOOKUP(CONCATENATE($A$15,"-",$A$12, "-", $D18, "-", I$3, "-", $A$9), OBS_District_Flows!$A:$G, 6,FALSE),0)</f>
        <v>0</v>
      </c>
      <c r="J18" s="96">
        <f>IFERROR(VLOOKUP(CONCATENATE($A$15,"-",$A$12, "-", $D18, "-", J$3, "-", $A$9), OBS_District_Flows!$A:$G, 6,FALSE),0)</f>
        <v>0</v>
      </c>
      <c r="K18" s="96">
        <f>IFERROR(VLOOKUP(CONCATENATE($A$15,"-",$A$12, "-", $D18, "-", K$3, "-", $A$9), OBS_District_Flows!$A:$G, 6,FALSE),0)</f>
        <v>0</v>
      </c>
      <c r="L18" s="96">
        <f>IFERROR(VLOOKUP(CONCATENATE($A$15,"-",$A$12, "-", $D18, "-", L$3, "-", $A$9), OBS_District_Flows!$A:$G, 6,FALSE),0)</f>
        <v>0</v>
      </c>
      <c r="M18" s="96">
        <f>IFERROR(VLOOKUP(CONCATENATE($A$15,"-",$A$12, "-", $D18, "-", M$3, "-", $A$9), OBS_District_Flows!$A:$G, 6,FALSE),0)</f>
        <v>0</v>
      </c>
      <c r="N18" s="96">
        <f>IFERROR(VLOOKUP(CONCATENATE($A$15,"-",$A$12, "-", $D18, "-", N$3, "-", $A$9), OBS_District_Flows!$A:$G, 6,FALSE),0)</f>
        <v>0</v>
      </c>
      <c r="O18" s="96">
        <f>IFERROR(VLOOKUP(CONCATENATE($A$15,"-",$A$12, "-", $D18, "-", O$3, "-", $A$9), OBS_District_Flows!$A:$G, 6,FALSE),0)</f>
        <v>0</v>
      </c>
      <c r="P18" s="96">
        <f>IFERROR(VLOOKUP(CONCATENATE($A$15,"-",$A$12, "-", $D18, "-", P$3, "-", $A$9), OBS_District_Flows!$A:$G, 6,FALSE),0)</f>
        <v>0</v>
      </c>
      <c r="Q18" s="96">
        <f>IFERROR(VLOOKUP(CONCATENATE($A$15,"-",$A$12, "-", $D18, "-", Q$3, "-", $A$9), OBS_District_Flows!$A:$G, 6,FALSE),0)</f>
        <v>0</v>
      </c>
      <c r="R18" s="96">
        <f>IFERROR(VLOOKUP(CONCATENATE($A$15,"-",$A$12, "-", $D18, "-", R$3, "-", $A$9), OBS_District_Flows!$A:$G, 6,FALSE),0)</f>
        <v>0</v>
      </c>
      <c r="S18" s="96">
        <f>IFERROR(VLOOKUP(CONCATENATE($A$15,"-",$A$12, "-", $D18, "-", S$3, "-", $A$9), OBS_District_Flows!$A:$G, 6,FALSE),0)</f>
        <v>0</v>
      </c>
      <c r="T18" s="96">
        <f>IFERROR(VLOOKUP(CONCATENATE($A$15,"-",$A$12, "-", $D18, "-", T$3, "-", $A$9), OBS_District_Flows!$A:$G, 6,FALSE),0)</f>
        <v>0</v>
      </c>
      <c r="U18" s="96">
        <f>IFERROR(VLOOKUP(CONCATENATE($A$15,"-",$A$12, "-", $D18, "-", U$3, "-", $A$9), OBS_District_Flows!$A:$G, 6,FALSE),0)</f>
        <v>0</v>
      </c>
      <c r="V18" s="96">
        <f>IFERROR(VLOOKUP(CONCATENATE($A$15,"-",$A$12, "-", $D18, "-", V$3, "-", $A$9), OBS_District_Flows!$A:$G, 6,FALSE),0)</f>
        <v>0</v>
      </c>
      <c r="W18" s="96">
        <f>IFERROR(VLOOKUP(CONCATENATE($A$15,"-",$A$12, "-", $D18, "-", W$3, "-", $A$9), OBS_District_Flows!$A:$G, 6,FALSE),0)</f>
        <v>0</v>
      </c>
      <c r="X18" s="96">
        <f>IFERROR(VLOOKUP(CONCATENATE($A$15,"-",$A$12, "-", $D18, "-", X$3, "-", $A$9), OBS_District_Flows!$A:$G, 6,FALSE),0)</f>
        <v>0</v>
      </c>
      <c r="Y18" s="96">
        <f>IFERROR(VLOOKUP(CONCATENATE($A$15,"-",$A$12, "-", $D18, "-", Y$3, "-", $A$9), OBS_District_Flows!$A:$G, 6,FALSE),0)</f>
        <v>0</v>
      </c>
      <c r="Z18" s="96">
        <f>IFERROR(VLOOKUP(CONCATENATE($A$15,"-",$A$12, "-", $D18, "-", Z$3, "-", $A$9), OBS_District_Flows!$A:$G, 6,FALSE),0)</f>
        <v>0</v>
      </c>
      <c r="AA18" s="96">
        <f>IFERROR(VLOOKUP(CONCATENATE($A$15,"-",$A$12, "-", $D18, "-", AA$3, "-", $A$9), OBS_District_Flows!$A:$G, 6,FALSE),0)</f>
        <v>0</v>
      </c>
      <c r="AB18" s="96">
        <f>IFERROR(VLOOKUP(CONCATENATE($A$15,"-",$A$12, "-", $D18, "-", AB$3, "-", $A$9), OBS_District_Flows!$A:$G, 6,FALSE),0)</f>
        <v>0</v>
      </c>
      <c r="AC18" s="96">
        <f>IFERROR(VLOOKUP(CONCATENATE($A$15,"-",$A$12, "-", $D18, "-", AC$3, "-", $A$9), OBS_District_Flows!$A:$G, 6,FALSE),0)</f>
        <v>0</v>
      </c>
      <c r="AD18" s="96">
        <f>IFERROR(VLOOKUP(CONCATENATE($A$15,"-",$A$12, "-", $D18, "-", AD$3, "-", $A$9), OBS_District_Flows!$A:$G, 6,FALSE),0)</f>
        <v>0</v>
      </c>
      <c r="AE18" s="96">
        <f>IFERROR(VLOOKUP(CONCATENATE($A$15,"-",$A$12, "-", $D18, "-", AE$3, "-", $A$9), OBS_District_Flows!$A:$G, 6,FALSE),0)</f>
        <v>0</v>
      </c>
      <c r="AF18" s="96">
        <f>IFERROR(VLOOKUP(CONCATENATE($A$15,"-",$A$12, "-", $D18, "-", AF$3, "-", $A$9), OBS_District_Flows!$A:$G, 6,FALSE),0)</f>
        <v>0</v>
      </c>
      <c r="AG18" s="96">
        <f>IFERROR(VLOOKUP(CONCATENATE($A$15,"-",$A$12, "-", $D18, "-", AG$3, "-", $A$9), OBS_District_Flows!$A:$G, 6,FALSE),0)</f>
        <v>0</v>
      </c>
      <c r="AH18" s="96">
        <f>IFERROR(VLOOKUP(CONCATENATE($A$15,"-",$A$12, "-", $D18, "-", AH$3, "-", $A$9), OBS_District_Flows!$A:$G, 6,FALSE),0)</f>
        <v>0</v>
      </c>
      <c r="AI18" s="96">
        <f>IFERROR(VLOOKUP(CONCATENATE($A$15,"-",$A$12, "-", $D18, "-", AI$3, "-", $A$9), OBS_District_Flows!$A:$G, 6,FALSE),0)</f>
        <v>0</v>
      </c>
      <c r="AJ18" s="96">
        <f>IFERROR(VLOOKUP(CONCATENATE($A$15,"-",$A$12, "-", $D18, "-", AJ$3, "-", $A$9), OBS_District_Flows!$A:$G, 6,FALSE),0)</f>
        <v>0</v>
      </c>
      <c r="AK18" s="96">
        <f>IFERROR(VLOOKUP(CONCATENATE($A$15,"-",$A$12, "-", $D18, "-", AK$3, "-", $A$9), OBS_District_Flows!$A:$G, 6,FALSE),0)</f>
        <v>0</v>
      </c>
      <c r="AL18" s="97">
        <f>IFERROR(VLOOKUP(CONCATENATE($A$15,"-",$A$12, "-", $D18, "-", AL$3, "-", $A$9), OBS_District_Flows!$A:$G, 6,FALSE),0)</f>
        <v>0</v>
      </c>
      <c r="AM18" s="88">
        <f t="shared" si="6"/>
        <v>0</v>
      </c>
      <c r="AO18" s="261"/>
      <c r="AP18" s="84" t="s">
        <v>190</v>
      </c>
      <c r="AQ18" s="98" t="str">
        <f t="shared" si="7"/>
        <v/>
      </c>
      <c r="AR18" s="99" t="str">
        <f t="shared" si="0"/>
        <v/>
      </c>
      <c r="AS18" s="99" t="str">
        <f t="shared" si="0"/>
        <v/>
      </c>
      <c r="AT18" s="99" t="str">
        <f t="shared" si="0"/>
        <v/>
      </c>
      <c r="AU18" s="99" t="str">
        <f t="shared" si="0"/>
        <v/>
      </c>
      <c r="AV18" s="99" t="str">
        <f t="shared" si="0"/>
        <v/>
      </c>
      <c r="AW18" s="99" t="str">
        <f t="shared" si="0"/>
        <v/>
      </c>
      <c r="AX18" s="99" t="str">
        <f t="shared" si="0"/>
        <v/>
      </c>
      <c r="AY18" s="99" t="str">
        <f t="shared" si="0"/>
        <v/>
      </c>
      <c r="AZ18" s="99" t="str">
        <f t="shared" si="0"/>
        <v/>
      </c>
      <c r="BA18" s="99" t="str">
        <f t="shared" si="0"/>
        <v/>
      </c>
      <c r="BB18" s="99" t="str">
        <f t="shared" si="0"/>
        <v/>
      </c>
      <c r="BC18" s="99" t="str">
        <f t="shared" si="0"/>
        <v/>
      </c>
      <c r="BD18" s="99" t="str">
        <f t="shared" si="0"/>
        <v/>
      </c>
      <c r="BE18" s="99" t="str">
        <f t="shared" si="0"/>
        <v/>
      </c>
      <c r="BF18" s="99" t="str">
        <f t="shared" si="0"/>
        <v/>
      </c>
      <c r="BG18" s="99" t="str">
        <f t="shared" si="0"/>
        <v/>
      </c>
      <c r="BH18" s="99" t="str">
        <f t="shared" si="1"/>
        <v/>
      </c>
      <c r="BI18" s="99" t="str">
        <f t="shared" si="1"/>
        <v/>
      </c>
      <c r="BJ18" s="99" t="str">
        <f t="shared" si="1"/>
        <v/>
      </c>
      <c r="BK18" s="99" t="str">
        <f t="shared" si="1"/>
        <v/>
      </c>
      <c r="BL18" s="99" t="str">
        <f t="shared" si="1"/>
        <v/>
      </c>
      <c r="BM18" s="99" t="str">
        <f t="shared" si="1"/>
        <v/>
      </c>
      <c r="BN18" s="99" t="str">
        <f t="shared" si="1"/>
        <v/>
      </c>
      <c r="BO18" s="99" t="str">
        <f t="shared" si="1"/>
        <v/>
      </c>
      <c r="BP18" s="99" t="str">
        <f t="shared" si="1"/>
        <v/>
      </c>
      <c r="BQ18" s="99" t="str">
        <f t="shared" si="1"/>
        <v/>
      </c>
      <c r="BR18" s="99" t="str">
        <f t="shared" si="1"/>
        <v/>
      </c>
      <c r="BS18" s="99" t="str">
        <f t="shared" si="1"/>
        <v/>
      </c>
      <c r="BT18" s="99" t="str">
        <f t="shared" si="1"/>
        <v/>
      </c>
      <c r="BU18" s="99" t="str">
        <f t="shared" si="1"/>
        <v/>
      </c>
      <c r="BV18" s="99" t="str">
        <f t="shared" si="1"/>
        <v/>
      </c>
      <c r="BW18" s="99" t="str">
        <f t="shared" si="1"/>
        <v/>
      </c>
      <c r="BX18" s="100" t="str">
        <f t="shared" si="2"/>
        <v/>
      </c>
      <c r="BY18" s="92" t="str">
        <f t="shared" si="2"/>
        <v/>
      </c>
      <c r="CA18" s="261"/>
      <c r="CB18" s="84" t="s">
        <v>190</v>
      </c>
      <c r="CC18" s="98" t="str">
        <f t="shared" si="8"/>
        <v/>
      </c>
      <c r="CD18" s="99" t="str">
        <f t="shared" si="3"/>
        <v/>
      </c>
      <c r="CE18" s="99" t="str">
        <f t="shared" si="3"/>
        <v/>
      </c>
      <c r="CF18" s="99" t="str">
        <f t="shared" si="3"/>
        <v/>
      </c>
      <c r="CG18" s="99" t="str">
        <f t="shared" si="3"/>
        <v/>
      </c>
      <c r="CH18" s="99" t="str">
        <f t="shared" si="3"/>
        <v/>
      </c>
      <c r="CI18" s="99" t="str">
        <f t="shared" si="3"/>
        <v/>
      </c>
      <c r="CJ18" s="99" t="str">
        <f t="shared" si="3"/>
        <v/>
      </c>
      <c r="CK18" s="99" t="str">
        <f t="shared" si="3"/>
        <v/>
      </c>
      <c r="CL18" s="99" t="str">
        <f t="shared" si="3"/>
        <v/>
      </c>
      <c r="CM18" s="99" t="str">
        <f t="shared" si="3"/>
        <v/>
      </c>
      <c r="CN18" s="99" t="str">
        <f t="shared" si="3"/>
        <v/>
      </c>
      <c r="CO18" s="99" t="str">
        <f t="shared" si="3"/>
        <v/>
      </c>
      <c r="CP18" s="99" t="str">
        <f t="shared" si="3"/>
        <v/>
      </c>
      <c r="CQ18" s="99" t="str">
        <f t="shared" si="3"/>
        <v/>
      </c>
      <c r="CR18" s="99" t="str">
        <f t="shared" si="3"/>
        <v/>
      </c>
      <c r="CS18" s="99" t="str">
        <f t="shared" si="3"/>
        <v/>
      </c>
      <c r="CT18" s="99" t="str">
        <f t="shared" si="4"/>
        <v/>
      </c>
      <c r="CU18" s="99" t="str">
        <f t="shared" si="4"/>
        <v/>
      </c>
      <c r="CV18" s="99" t="str">
        <f t="shared" si="4"/>
        <v/>
      </c>
      <c r="CW18" s="99" t="str">
        <f t="shared" si="4"/>
        <v/>
      </c>
      <c r="CX18" s="99" t="str">
        <f t="shared" si="4"/>
        <v/>
      </c>
      <c r="CY18" s="99" t="str">
        <f t="shared" si="4"/>
        <v/>
      </c>
      <c r="CZ18" s="99" t="str">
        <f t="shared" si="4"/>
        <v/>
      </c>
      <c r="DA18" s="99" t="str">
        <f t="shared" si="4"/>
        <v/>
      </c>
      <c r="DB18" s="99" t="str">
        <f t="shared" si="4"/>
        <v/>
      </c>
      <c r="DC18" s="99" t="str">
        <f t="shared" si="4"/>
        <v/>
      </c>
      <c r="DD18" s="99" t="str">
        <f t="shared" si="4"/>
        <v/>
      </c>
      <c r="DE18" s="99" t="str">
        <f t="shared" si="4"/>
        <v/>
      </c>
      <c r="DF18" s="99" t="str">
        <f t="shared" si="4"/>
        <v/>
      </c>
      <c r="DG18" s="99" t="str">
        <f t="shared" si="4"/>
        <v/>
      </c>
      <c r="DH18" s="99" t="str">
        <f t="shared" si="4"/>
        <v/>
      </c>
      <c r="DI18" s="99" t="str">
        <f t="shared" si="4"/>
        <v/>
      </c>
      <c r="DJ18" s="100" t="str">
        <f t="shared" si="5"/>
        <v/>
      </c>
      <c r="DK18" s="92" t="str">
        <f t="shared" si="5"/>
        <v/>
      </c>
    </row>
    <row r="19" spans="1:115" x14ac:dyDescent="0.2">
      <c r="A19" s="105">
        <f>AM38</f>
        <v>0</v>
      </c>
      <c r="B19" s="107"/>
      <c r="C19" s="260"/>
      <c r="D19" s="84" t="s">
        <v>191</v>
      </c>
      <c r="E19" s="95">
        <f>IFERROR(VLOOKUP(CONCATENATE($A$15,"-",$A$12, "-", $D19, "-", E$3, "-", $A$9), OBS_District_Flows!$A:$G, 6,FALSE),0)</f>
        <v>0</v>
      </c>
      <c r="F19" s="96">
        <f>IFERROR(VLOOKUP(CONCATENATE($A$15,"-",$A$12, "-", $D19, "-", F$3, "-", $A$9), OBS_District_Flows!$A:$G, 6,FALSE),0)</f>
        <v>0</v>
      </c>
      <c r="G19" s="96">
        <f>IFERROR(VLOOKUP(CONCATENATE($A$15,"-",$A$12, "-", $D19, "-", G$3, "-", $A$9), OBS_District_Flows!$A:$G, 6,FALSE),0)</f>
        <v>0</v>
      </c>
      <c r="H19" s="96">
        <f>IFERROR(VLOOKUP(CONCATENATE($A$15,"-",$A$12, "-", $D19, "-", H$3, "-", $A$9), OBS_District_Flows!$A:$G, 6,FALSE),0)</f>
        <v>0</v>
      </c>
      <c r="I19" s="96">
        <f>IFERROR(VLOOKUP(CONCATENATE($A$15,"-",$A$12, "-", $D19, "-", I$3, "-", $A$9), OBS_District_Flows!$A:$G, 6,FALSE),0)</f>
        <v>0</v>
      </c>
      <c r="J19" s="96">
        <f>IFERROR(VLOOKUP(CONCATENATE($A$15,"-",$A$12, "-", $D19, "-", J$3, "-", $A$9), OBS_District_Flows!$A:$G, 6,FALSE),0)</f>
        <v>0</v>
      </c>
      <c r="K19" s="96">
        <f>IFERROR(VLOOKUP(CONCATENATE($A$15,"-",$A$12, "-", $D19, "-", K$3, "-", $A$9), OBS_District_Flows!$A:$G, 6,FALSE),0)</f>
        <v>0</v>
      </c>
      <c r="L19" s="96">
        <f>IFERROR(VLOOKUP(CONCATENATE($A$15,"-",$A$12, "-", $D19, "-", L$3, "-", $A$9), OBS_District_Flows!$A:$G, 6,FALSE),0)</f>
        <v>0</v>
      </c>
      <c r="M19" s="96">
        <f>IFERROR(VLOOKUP(CONCATENATE($A$15,"-",$A$12, "-", $D19, "-", M$3, "-", $A$9), OBS_District_Flows!$A:$G, 6,FALSE),0)</f>
        <v>0</v>
      </c>
      <c r="N19" s="96">
        <f>IFERROR(VLOOKUP(CONCATENATE($A$15,"-",$A$12, "-", $D19, "-", N$3, "-", $A$9), OBS_District_Flows!$A:$G, 6,FALSE),0)</f>
        <v>0</v>
      </c>
      <c r="O19" s="96">
        <f>IFERROR(VLOOKUP(CONCATENATE($A$15,"-",$A$12, "-", $D19, "-", O$3, "-", $A$9), OBS_District_Flows!$A:$G, 6,FALSE),0)</f>
        <v>0</v>
      </c>
      <c r="P19" s="96">
        <f>IFERROR(VLOOKUP(CONCATENATE($A$15,"-",$A$12, "-", $D19, "-", P$3, "-", $A$9), OBS_District_Flows!$A:$G, 6,FALSE),0)</f>
        <v>0</v>
      </c>
      <c r="Q19" s="96">
        <f>IFERROR(VLOOKUP(CONCATENATE($A$15,"-",$A$12, "-", $D19, "-", Q$3, "-", $A$9), OBS_District_Flows!$A:$G, 6,FALSE),0)</f>
        <v>0</v>
      </c>
      <c r="R19" s="96">
        <f>IFERROR(VLOOKUP(CONCATENATE($A$15,"-",$A$12, "-", $D19, "-", R$3, "-", $A$9), OBS_District_Flows!$A:$G, 6,FALSE),0)</f>
        <v>0</v>
      </c>
      <c r="S19" s="96">
        <f>IFERROR(VLOOKUP(CONCATENATE($A$15,"-",$A$12, "-", $D19, "-", S$3, "-", $A$9), OBS_District_Flows!$A:$G, 6,FALSE),0)</f>
        <v>0</v>
      </c>
      <c r="T19" s="96">
        <f>IFERROR(VLOOKUP(CONCATENATE($A$15,"-",$A$12, "-", $D19, "-", T$3, "-", $A$9), OBS_District_Flows!$A:$G, 6,FALSE),0)</f>
        <v>0</v>
      </c>
      <c r="U19" s="96">
        <f>IFERROR(VLOOKUP(CONCATENATE($A$15,"-",$A$12, "-", $D19, "-", U$3, "-", $A$9), OBS_District_Flows!$A:$G, 6,FALSE),0)</f>
        <v>0</v>
      </c>
      <c r="V19" s="96">
        <f>IFERROR(VLOOKUP(CONCATENATE($A$15,"-",$A$12, "-", $D19, "-", V$3, "-", $A$9), OBS_District_Flows!$A:$G, 6,FALSE),0)</f>
        <v>0</v>
      </c>
      <c r="W19" s="96">
        <f>IFERROR(VLOOKUP(CONCATENATE($A$15,"-",$A$12, "-", $D19, "-", W$3, "-", $A$9), OBS_District_Flows!$A:$G, 6,FALSE),0)</f>
        <v>0</v>
      </c>
      <c r="X19" s="96">
        <f>IFERROR(VLOOKUP(CONCATENATE($A$15,"-",$A$12, "-", $D19, "-", X$3, "-", $A$9), OBS_District_Flows!$A:$G, 6,FALSE),0)</f>
        <v>0</v>
      </c>
      <c r="Y19" s="96">
        <f>IFERROR(VLOOKUP(CONCATENATE($A$15,"-",$A$12, "-", $D19, "-", Y$3, "-", $A$9), OBS_District_Flows!$A:$G, 6,FALSE),0)</f>
        <v>0</v>
      </c>
      <c r="Z19" s="96">
        <f>IFERROR(VLOOKUP(CONCATENATE($A$15,"-",$A$12, "-", $D19, "-", Z$3, "-", $A$9), OBS_District_Flows!$A:$G, 6,FALSE),0)</f>
        <v>0</v>
      </c>
      <c r="AA19" s="96">
        <f>IFERROR(VLOOKUP(CONCATENATE($A$15,"-",$A$12, "-", $D19, "-", AA$3, "-", $A$9), OBS_District_Flows!$A:$G, 6,FALSE),0)</f>
        <v>0</v>
      </c>
      <c r="AB19" s="96">
        <f>IFERROR(VLOOKUP(CONCATENATE($A$15,"-",$A$12, "-", $D19, "-", AB$3, "-", $A$9), OBS_District_Flows!$A:$G, 6,FALSE),0)</f>
        <v>0</v>
      </c>
      <c r="AC19" s="96">
        <f>IFERROR(VLOOKUP(CONCATENATE($A$15,"-",$A$12, "-", $D19, "-", AC$3, "-", $A$9), OBS_District_Flows!$A:$G, 6,FALSE),0)</f>
        <v>0</v>
      </c>
      <c r="AD19" s="96">
        <f>IFERROR(VLOOKUP(CONCATENATE($A$15,"-",$A$12, "-", $D19, "-", AD$3, "-", $A$9), OBS_District_Flows!$A:$G, 6,FALSE),0)</f>
        <v>0</v>
      </c>
      <c r="AE19" s="96">
        <f>IFERROR(VLOOKUP(CONCATENATE($A$15,"-",$A$12, "-", $D19, "-", AE$3, "-", $A$9), OBS_District_Flows!$A:$G, 6,FALSE),0)</f>
        <v>0</v>
      </c>
      <c r="AF19" s="96">
        <f>IFERROR(VLOOKUP(CONCATENATE($A$15,"-",$A$12, "-", $D19, "-", AF$3, "-", $A$9), OBS_District_Flows!$A:$G, 6,FALSE),0)</f>
        <v>0</v>
      </c>
      <c r="AG19" s="96">
        <f>IFERROR(VLOOKUP(CONCATENATE($A$15,"-",$A$12, "-", $D19, "-", AG$3, "-", $A$9), OBS_District_Flows!$A:$G, 6,FALSE),0)</f>
        <v>0</v>
      </c>
      <c r="AH19" s="96">
        <f>IFERROR(VLOOKUP(CONCATENATE($A$15,"-",$A$12, "-", $D19, "-", AH$3, "-", $A$9), OBS_District_Flows!$A:$G, 6,FALSE),0)</f>
        <v>0</v>
      </c>
      <c r="AI19" s="96">
        <f>IFERROR(VLOOKUP(CONCATENATE($A$15,"-",$A$12, "-", $D19, "-", AI$3, "-", $A$9), OBS_District_Flows!$A:$G, 6,FALSE),0)</f>
        <v>0</v>
      </c>
      <c r="AJ19" s="96">
        <f>IFERROR(VLOOKUP(CONCATENATE($A$15,"-",$A$12, "-", $D19, "-", AJ$3, "-", $A$9), OBS_District_Flows!$A:$G, 6,FALSE),0)</f>
        <v>0</v>
      </c>
      <c r="AK19" s="96">
        <f>IFERROR(VLOOKUP(CONCATENATE($A$15,"-",$A$12, "-", $D19, "-", AK$3, "-", $A$9), OBS_District_Flows!$A:$G, 6,FALSE),0)</f>
        <v>0</v>
      </c>
      <c r="AL19" s="97">
        <f>IFERROR(VLOOKUP(CONCATENATE($A$15,"-",$A$12, "-", $D19, "-", AL$3, "-", $A$9), OBS_District_Flows!$A:$G, 6,FALSE),0)</f>
        <v>0</v>
      </c>
      <c r="AM19" s="88">
        <f t="shared" si="6"/>
        <v>0</v>
      </c>
      <c r="AO19" s="261"/>
      <c r="AP19" s="84" t="s">
        <v>191</v>
      </c>
      <c r="AQ19" s="98" t="str">
        <f t="shared" si="7"/>
        <v/>
      </c>
      <c r="AR19" s="99" t="str">
        <f t="shared" si="0"/>
        <v/>
      </c>
      <c r="AS19" s="99" t="str">
        <f t="shared" si="0"/>
        <v/>
      </c>
      <c r="AT19" s="99" t="str">
        <f t="shared" si="0"/>
        <v/>
      </c>
      <c r="AU19" s="99" t="str">
        <f t="shared" si="0"/>
        <v/>
      </c>
      <c r="AV19" s="99" t="str">
        <f t="shared" si="0"/>
        <v/>
      </c>
      <c r="AW19" s="99" t="str">
        <f t="shared" si="0"/>
        <v/>
      </c>
      <c r="AX19" s="99" t="str">
        <f t="shared" si="0"/>
        <v/>
      </c>
      <c r="AY19" s="99" t="str">
        <f t="shared" si="0"/>
        <v/>
      </c>
      <c r="AZ19" s="99" t="str">
        <f t="shared" si="0"/>
        <v/>
      </c>
      <c r="BA19" s="99" t="str">
        <f t="shared" si="0"/>
        <v/>
      </c>
      <c r="BB19" s="99" t="str">
        <f t="shared" si="0"/>
        <v/>
      </c>
      <c r="BC19" s="99" t="str">
        <f t="shared" si="0"/>
        <v/>
      </c>
      <c r="BD19" s="99" t="str">
        <f t="shared" si="0"/>
        <v/>
      </c>
      <c r="BE19" s="99" t="str">
        <f t="shared" si="0"/>
        <v/>
      </c>
      <c r="BF19" s="99" t="str">
        <f t="shared" si="0"/>
        <v/>
      </c>
      <c r="BG19" s="99" t="str">
        <f t="shared" ref="BG19:BV35" si="9">IF($AM19&gt;0,U19/$AM19, "")</f>
        <v/>
      </c>
      <c r="BH19" s="99" t="str">
        <f t="shared" si="1"/>
        <v/>
      </c>
      <c r="BI19" s="99" t="str">
        <f t="shared" si="1"/>
        <v/>
      </c>
      <c r="BJ19" s="99" t="str">
        <f t="shared" si="1"/>
        <v/>
      </c>
      <c r="BK19" s="99" t="str">
        <f t="shared" si="1"/>
        <v/>
      </c>
      <c r="BL19" s="99" t="str">
        <f t="shared" si="1"/>
        <v/>
      </c>
      <c r="BM19" s="99" t="str">
        <f t="shared" si="1"/>
        <v/>
      </c>
      <c r="BN19" s="99" t="str">
        <f t="shared" si="1"/>
        <v/>
      </c>
      <c r="BO19" s="99" t="str">
        <f t="shared" si="1"/>
        <v/>
      </c>
      <c r="BP19" s="99" t="str">
        <f t="shared" si="1"/>
        <v/>
      </c>
      <c r="BQ19" s="99" t="str">
        <f t="shared" si="1"/>
        <v/>
      </c>
      <c r="BR19" s="99" t="str">
        <f t="shared" si="1"/>
        <v/>
      </c>
      <c r="BS19" s="99" t="str">
        <f t="shared" si="1"/>
        <v/>
      </c>
      <c r="BT19" s="99" t="str">
        <f t="shared" si="1"/>
        <v/>
      </c>
      <c r="BU19" s="99" t="str">
        <f t="shared" si="1"/>
        <v/>
      </c>
      <c r="BV19" s="99" t="str">
        <f t="shared" si="1"/>
        <v/>
      </c>
      <c r="BW19" s="99" t="str">
        <f t="shared" ref="BW19:BW38" si="10">IF($AM19&gt;0,AK19/$AM19, "")</f>
        <v/>
      </c>
      <c r="BX19" s="100" t="str">
        <f t="shared" si="2"/>
        <v/>
      </c>
      <c r="BY19" s="92" t="str">
        <f t="shared" si="2"/>
        <v/>
      </c>
      <c r="CA19" s="261"/>
      <c r="CB19" s="84" t="s">
        <v>191</v>
      </c>
      <c r="CC19" s="98" t="str">
        <f t="shared" si="8"/>
        <v/>
      </c>
      <c r="CD19" s="99" t="str">
        <f t="shared" si="3"/>
        <v/>
      </c>
      <c r="CE19" s="99" t="str">
        <f t="shared" si="3"/>
        <v/>
      </c>
      <c r="CF19" s="99" t="str">
        <f t="shared" si="3"/>
        <v/>
      </c>
      <c r="CG19" s="99" t="str">
        <f t="shared" si="3"/>
        <v/>
      </c>
      <c r="CH19" s="99" t="str">
        <f t="shared" si="3"/>
        <v/>
      </c>
      <c r="CI19" s="99" t="str">
        <f t="shared" si="3"/>
        <v/>
      </c>
      <c r="CJ19" s="99" t="str">
        <f t="shared" si="3"/>
        <v/>
      </c>
      <c r="CK19" s="99" t="str">
        <f t="shared" si="3"/>
        <v/>
      </c>
      <c r="CL19" s="99" t="str">
        <f t="shared" si="3"/>
        <v/>
      </c>
      <c r="CM19" s="99" t="str">
        <f t="shared" si="3"/>
        <v/>
      </c>
      <c r="CN19" s="99" t="str">
        <f t="shared" si="3"/>
        <v/>
      </c>
      <c r="CO19" s="99" t="str">
        <f t="shared" si="3"/>
        <v/>
      </c>
      <c r="CP19" s="99" t="str">
        <f t="shared" si="3"/>
        <v/>
      </c>
      <c r="CQ19" s="99" t="str">
        <f t="shared" si="3"/>
        <v/>
      </c>
      <c r="CR19" s="99" t="str">
        <f t="shared" si="3"/>
        <v/>
      </c>
      <c r="CS19" s="99" t="str">
        <f t="shared" ref="CS19:DH35" si="11">IF(U$38&gt;0, U19/U$38, "")</f>
        <v/>
      </c>
      <c r="CT19" s="99" t="str">
        <f t="shared" si="4"/>
        <v/>
      </c>
      <c r="CU19" s="99" t="str">
        <f t="shared" si="4"/>
        <v/>
      </c>
      <c r="CV19" s="99" t="str">
        <f t="shared" si="4"/>
        <v/>
      </c>
      <c r="CW19" s="99" t="str">
        <f t="shared" si="4"/>
        <v/>
      </c>
      <c r="CX19" s="99" t="str">
        <f t="shared" si="4"/>
        <v/>
      </c>
      <c r="CY19" s="99" t="str">
        <f t="shared" si="4"/>
        <v/>
      </c>
      <c r="CZ19" s="99" t="str">
        <f t="shared" si="4"/>
        <v/>
      </c>
      <c r="DA19" s="99" t="str">
        <f t="shared" si="4"/>
        <v/>
      </c>
      <c r="DB19" s="99" t="str">
        <f t="shared" si="4"/>
        <v/>
      </c>
      <c r="DC19" s="99" t="str">
        <f t="shared" si="4"/>
        <v/>
      </c>
      <c r="DD19" s="99" t="str">
        <f t="shared" si="4"/>
        <v/>
      </c>
      <c r="DE19" s="99" t="str">
        <f t="shared" si="4"/>
        <v/>
      </c>
      <c r="DF19" s="99" t="str">
        <f t="shared" si="4"/>
        <v/>
      </c>
      <c r="DG19" s="99" t="str">
        <f t="shared" si="4"/>
        <v/>
      </c>
      <c r="DH19" s="99" t="str">
        <f t="shared" si="4"/>
        <v/>
      </c>
      <c r="DI19" s="99" t="str">
        <f t="shared" ref="DI19:DI38" si="12">IF(AK$38&gt;0, AK19/AK$38, "")</f>
        <v/>
      </c>
      <c r="DJ19" s="100" t="str">
        <f t="shared" si="5"/>
        <v/>
      </c>
      <c r="DK19" s="92" t="str">
        <f t="shared" si="5"/>
        <v/>
      </c>
    </row>
    <row r="20" spans="1:115" x14ac:dyDescent="0.2">
      <c r="B20" s="107"/>
      <c r="C20" s="260"/>
      <c r="D20" s="84" t="s">
        <v>192</v>
      </c>
      <c r="E20" s="95">
        <f>IFERROR(VLOOKUP(CONCATENATE($A$15,"-",$A$12, "-", $D20, "-", E$3, "-", $A$9), OBS_District_Flows!$A:$G, 6,FALSE),0)</f>
        <v>0</v>
      </c>
      <c r="F20" s="96">
        <f>IFERROR(VLOOKUP(CONCATENATE($A$15,"-",$A$12, "-", $D20, "-", F$3, "-", $A$9), OBS_District_Flows!$A:$G, 6,FALSE),0)</f>
        <v>0</v>
      </c>
      <c r="G20" s="96">
        <f>IFERROR(VLOOKUP(CONCATENATE($A$15,"-",$A$12, "-", $D20, "-", G$3, "-", $A$9), OBS_District_Flows!$A:$G, 6,FALSE),0)</f>
        <v>0</v>
      </c>
      <c r="H20" s="96">
        <f>IFERROR(VLOOKUP(CONCATENATE($A$15,"-",$A$12, "-", $D20, "-", H$3, "-", $A$9), OBS_District_Flows!$A:$G, 6,FALSE),0)</f>
        <v>0</v>
      </c>
      <c r="I20" s="96">
        <f>IFERROR(VLOOKUP(CONCATENATE($A$15,"-",$A$12, "-", $D20, "-", I$3, "-", $A$9), OBS_District_Flows!$A:$G, 6,FALSE),0)</f>
        <v>0</v>
      </c>
      <c r="J20" s="96">
        <f>IFERROR(VLOOKUP(CONCATENATE($A$15,"-",$A$12, "-", $D20, "-", J$3, "-", $A$9), OBS_District_Flows!$A:$G, 6,FALSE),0)</f>
        <v>0</v>
      </c>
      <c r="K20" s="96">
        <f>IFERROR(VLOOKUP(CONCATENATE($A$15,"-",$A$12, "-", $D20, "-", K$3, "-", $A$9), OBS_District_Flows!$A:$G, 6,FALSE),0)</f>
        <v>0</v>
      </c>
      <c r="L20" s="96">
        <f>IFERROR(VLOOKUP(CONCATENATE($A$15,"-",$A$12, "-", $D20, "-", L$3, "-", $A$9), OBS_District_Flows!$A:$G, 6,FALSE),0)</f>
        <v>0</v>
      </c>
      <c r="M20" s="96">
        <f>IFERROR(VLOOKUP(CONCATENATE($A$15,"-",$A$12, "-", $D20, "-", M$3, "-", $A$9), OBS_District_Flows!$A:$G, 6,FALSE),0)</f>
        <v>0</v>
      </c>
      <c r="N20" s="96">
        <f>IFERROR(VLOOKUP(CONCATENATE($A$15,"-",$A$12, "-", $D20, "-", N$3, "-", $A$9), OBS_District_Flows!$A:$G, 6,FALSE),0)</f>
        <v>0</v>
      </c>
      <c r="O20" s="96">
        <f>IFERROR(VLOOKUP(CONCATENATE($A$15,"-",$A$12, "-", $D20, "-", O$3, "-", $A$9), OBS_District_Flows!$A:$G, 6,FALSE),0)</f>
        <v>0</v>
      </c>
      <c r="P20" s="96">
        <f>IFERROR(VLOOKUP(CONCATENATE($A$15,"-",$A$12, "-", $D20, "-", P$3, "-", $A$9), OBS_District_Flows!$A:$G, 6,FALSE),0)</f>
        <v>0</v>
      </c>
      <c r="Q20" s="96">
        <f>IFERROR(VLOOKUP(CONCATENATE($A$15,"-",$A$12, "-", $D20, "-", Q$3, "-", $A$9), OBS_District_Flows!$A:$G, 6,FALSE),0)</f>
        <v>0</v>
      </c>
      <c r="R20" s="96">
        <f>IFERROR(VLOOKUP(CONCATENATE($A$15,"-",$A$12, "-", $D20, "-", R$3, "-", $A$9), OBS_District_Flows!$A:$G, 6,FALSE),0)</f>
        <v>0</v>
      </c>
      <c r="S20" s="96">
        <f>IFERROR(VLOOKUP(CONCATENATE($A$15,"-",$A$12, "-", $D20, "-", S$3, "-", $A$9), OBS_District_Flows!$A:$G, 6,FALSE),0)</f>
        <v>0</v>
      </c>
      <c r="T20" s="96">
        <f>IFERROR(VLOOKUP(CONCATENATE($A$15,"-",$A$12, "-", $D20, "-", T$3, "-", $A$9), OBS_District_Flows!$A:$G, 6,FALSE),0)</f>
        <v>0</v>
      </c>
      <c r="U20" s="96">
        <f>IFERROR(VLOOKUP(CONCATENATE($A$15,"-",$A$12, "-", $D20, "-", U$3, "-", $A$9), OBS_District_Flows!$A:$G, 6,FALSE),0)</f>
        <v>0</v>
      </c>
      <c r="V20" s="96">
        <f>IFERROR(VLOOKUP(CONCATENATE($A$15,"-",$A$12, "-", $D20, "-", V$3, "-", $A$9), OBS_District_Flows!$A:$G, 6,FALSE),0)</f>
        <v>0</v>
      </c>
      <c r="W20" s="96">
        <f>IFERROR(VLOOKUP(CONCATENATE($A$15,"-",$A$12, "-", $D20, "-", W$3, "-", $A$9), OBS_District_Flows!$A:$G, 6,FALSE),0)</f>
        <v>0</v>
      </c>
      <c r="X20" s="96">
        <f>IFERROR(VLOOKUP(CONCATENATE($A$15,"-",$A$12, "-", $D20, "-", X$3, "-", $A$9), OBS_District_Flows!$A:$G, 6,FALSE),0)</f>
        <v>0</v>
      </c>
      <c r="Y20" s="96">
        <f>IFERROR(VLOOKUP(CONCATENATE($A$15,"-",$A$12, "-", $D20, "-", Y$3, "-", $A$9), OBS_District_Flows!$A:$G, 6,FALSE),0)</f>
        <v>0</v>
      </c>
      <c r="Z20" s="96">
        <f>IFERROR(VLOOKUP(CONCATENATE($A$15,"-",$A$12, "-", $D20, "-", Z$3, "-", $A$9), OBS_District_Flows!$A:$G, 6,FALSE),0)</f>
        <v>0</v>
      </c>
      <c r="AA20" s="96">
        <f>IFERROR(VLOOKUP(CONCATENATE($A$15,"-",$A$12, "-", $D20, "-", AA$3, "-", $A$9), OBS_District_Flows!$A:$G, 6,FALSE),0)</f>
        <v>0</v>
      </c>
      <c r="AB20" s="96">
        <f>IFERROR(VLOOKUP(CONCATENATE($A$15,"-",$A$12, "-", $D20, "-", AB$3, "-", $A$9), OBS_District_Flows!$A:$G, 6,FALSE),0)</f>
        <v>0</v>
      </c>
      <c r="AC20" s="96">
        <f>IFERROR(VLOOKUP(CONCATENATE($A$15,"-",$A$12, "-", $D20, "-", AC$3, "-", $A$9), OBS_District_Flows!$A:$G, 6,FALSE),0)</f>
        <v>0</v>
      </c>
      <c r="AD20" s="96">
        <f>IFERROR(VLOOKUP(CONCATENATE($A$15,"-",$A$12, "-", $D20, "-", AD$3, "-", $A$9), OBS_District_Flows!$A:$G, 6,FALSE),0)</f>
        <v>0</v>
      </c>
      <c r="AE20" s="96">
        <f>IFERROR(VLOOKUP(CONCATENATE($A$15,"-",$A$12, "-", $D20, "-", AE$3, "-", $A$9), OBS_District_Flows!$A:$G, 6,FALSE),0)</f>
        <v>0</v>
      </c>
      <c r="AF20" s="96">
        <f>IFERROR(VLOOKUP(CONCATENATE($A$15,"-",$A$12, "-", $D20, "-", AF$3, "-", $A$9), OBS_District_Flows!$A:$G, 6,FALSE),0)</f>
        <v>0</v>
      </c>
      <c r="AG20" s="96">
        <f>IFERROR(VLOOKUP(CONCATENATE($A$15,"-",$A$12, "-", $D20, "-", AG$3, "-", $A$9), OBS_District_Flows!$A:$G, 6,FALSE),0)</f>
        <v>0</v>
      </c>
      <c r="AH20" s="96">
        <f>IFERROR(VLOOKUP(CONCATENATE($A$15,"-",$A$12, "-", $D20, "-", AH$3, "-", $A$9), OBS_District_Flows!$A:$G, 6,FALSE),0)</f>
        <v>0</v>
      </c>
      <c r="AI20" s="96">
        <f>IFERROR(VLOOKUP(CONCATENATE($A$15,"-",$A$12, "-", $D20, "-", AI$3, "-", $A$9), OBS_District_Flows!$A:$G, 6,FALSE),0)</f>
        <v>0</v>
      </c>
      <c r="AJ20" s="96">
        <f>IFERROR(VLOOKUP(CONCATENATE($A$15,"-",$A$12, "-", $D20, "-", AJ$3, "-", $A$9), OBS_District_Flows!$A:$G, 6,FALSE),0)</f>
        <v>0</v>
      </c>
      <c r="AK20" s="96">
        <f>IFERROR(VLOOKUP(CONCATENATE($A$15,"-",$A$12, "-", $D20, "-", AK$3, "-", $A$9), OBS_District_Flows!$A:$G, 6,FALSE),0)</f>
        <v>0</v>
      </c>
      <c r="AL20" s="97">
        <f>IFERROR(VLOOKUP(CONCATENATE($A$15,"-",$A$12, "-", $D20, "-", AL$3, "-", $A$9), OBS_District_Flows!$A:$G, 6,FALSE),0)</f>
        <v>0</v>
      </c>
      <c r="AM20" s="88">
        <f t="shared" si="6"/>
        <v>0</v>
      </c>
      <c r="AO20" s="261"/>
      <c r="AP20" s="84" t="s">
        <v>192</v>
      </c>
      <c r="AQ20" s="98" t="str">
        <f t="shared" si="7"/>
        <v/>
      </c>
      <c r="AR20" s="99" t="str">
        <f t="shared" si="7"/>
        <v/>
      </c>
      <c r="AS20" s="99" t="str">
        <f t="shared" si="7"/>
        <v/>
      </c>
      <c r="AT20" s="99" t="str">
        <f t="shared" si="7"/>
        <v/>
      </c>
      <c r="AU20" s="99" t="str">
        <f t="shared" si="7"/>
        <v/>
      </c>
      <c r="AV20" s="99" t="str">
        <f t="shared" si="7"/>
        <v/>
      </c>
      <c r="AW20" s="99" t="str">
        <f t="shared" si="7"/>
        <v/>
      </c>
      <c r="AX20" s="99" t="str">
        <f t="shared" si="7"/>
        <v/>
      </c>
      <c r="AY20" s="99" t="str">
        <f t="shared" si="7"/>
        <v/>
      </c>
      <c r="AZ20" s="99" t="str">
        <f t="shared" si="7"/>
        <v/>
      </c>
      <c r="BA20" s="99" t="str">
        <f t="shared" si="7"/>
        <v/>
      </c>
      <c r="BB20" s="99" t="str">
        <f t="shared" si="7"/>
        <v/>
      </c>
      <c r="BC20" s="99" t="str">
        <f t="shared" si="7"/>
        <v/>
      </c>
      <c r="BD20" s="99" t="str">
        <f t="shared" si="7"/>
        <v/>
      </c>
      <c r="BE20" s="99" t="str">
        <f t="shared" si="7"/>
        <v/>
      </c>
      <c r="BF20" s="99" t="str">
        <f t="shared" si="7"/>
        <v/>
      </c>
      <c r="BG20" s="99" t="str">
        <f t="shared" si="9"/>
        <v/>
      </c>
      <c r="BH20" s="99" t="str">
        <f t="shared" si="9"/>
        <v/>
      </c>
      <c r="BI20" s="99" t="str">
        <f t="shared" si="9"/>
        <v/>
      </c>
      <c r="BJ20" s="99" t="str">
        <f t="shared" si="9"/>
        <v/>
      </c>
      <c r="BK20" s="99" t="str">
        <f t="shared" si="9"/>
        <v/>
      </c>
      <c r="BL20" s="99" t="str">
        <f t="shared" si="9"/>
        <v/>
      </c>
      <c r="BM20" s="99" t="str">
        <f t="shared" si="9"/>
        <v/>
      </c>
      <c r="BN20" s="99" t="str">
        <f t="shared" si="9"/>
        <v/>
      </c>
      <c r="BO20" s="99" t="str">
        <f t="shared" si="9"/>
        <v/>
      </c>
      <c r="BP20" s="99" t="str">
        <f t="shared" si="9"/>
        <v/>
      </c>
      <c r="BQ20" s="99" t="str">
        <f t="shared" si="9"/>
        <v/>
      </c>
      <c r="BR20" s="99" t="str">
        <f t="shared" si="9"/>
        <v/>
      </c>
      <c r="BS20" s="99" t="str">
        <f t="shared" si="9"/>
        <v/>
      </c>
      <c r="BT20" s="99" t="str">
        <f t="shared" si="9"/>
        <v/>
      </c>
      <c r="BU20" s="99" t="str">
        <f t="shared" si="9"/>
        <v/>
      </c>
      <c r="BV20" s="99" t="str">
        <f t="shared" si="9"/>
        <v/>
      </c>
      <c r="BW20" s="99" t="str">
        <f t="shared" si="10"/>
        <v/>
      </c>
      <c r="BX20" s="100" t="str">
        <f t="shared" si="2"/>
        <v/>
      </c>
      <c r="BY20" s="92" t="str">
        <f t="shared" si="2"/>
        <v/>
      </c>
      <c r="CA20" s="261"/>
      <c r="CB20" s="84" t="s">
        <v>192</v>
      </c>
      <c r="CC20" s="98" t="str">
        <f t="shared" si="8"/>
        <v/>
      </c>
      <c r="CD20" s="99" t="str">
        <f t="shared" si="8"/>
        <v/>
      </c>
      <c r="CE20" s="99" t="str">
        <f t="shared" si="8"/>
        <v/>
      </c>
      <c r="CF20" s="99" t="str">
        <f t="shared" si="8"/>
        <v/>
      </c>
      <c r="CG20" s="99" t="str">
        <f t="shared" si="8"/>
        <v/>
      </c>
      <c r="CH20" s="99" t="str">
        <f t="shared" si="8"/>
        <v/>
      </c>
      <c r="CI20" s="99" t="str">
        <f t="shared" si="8"/>
        <v/>
      </c>
      <c r="CJ20" s="99" t="str">
        <f t="shared" si="8"/>
        <v/>
      </c>
      <c r="CK20" s="99" t="str">
        <f t="shared" si="8"/>
        <v/>
      </c>
      <c r="CL20" s="99" t="str">
        <f t="shared" si="8"/>
        <v/>
      </c>
      <c r="CM20" s="99" t="str">
        <f t="shared" si="8"/>
        <v/>
      </c>
      <c r="CN20" s="99" t="str">
        <f t="shared" si="8"/>
        <v/>
      </c>
      <c r="CO20" s="99" t="str">
        <f t="shared" si="8"/>
        <v/>
      </c>
      <c r="CP20" s="99" t="str">
        <f t="shared" si="8"/>
        <v/>
      </c>
      <c r="CQ20" s="99" t="str">
        <f t="shared" si="8"/>
        <v/>
      </c>
      <c r="CR20" s="99" t="str">
        <f t="shared" si="8"/>
        <v/>
      </c>
      <c r="CS20" s="99" t="str">
        <f t="shared" si="11"/>
        <v/>
      </c>
      <c r="CT20" s="99" t="str">
        <f t="shared" si="11"/>
        <v/>
      </c>
      <c r="CU20" s="99" t="str">
        <f t="shared" si="11"/>
        <v/>
      </c>
      <c r="CV20" s="99" t="str">
        <f t="shared" si="11"/>
        <v/>
      </c>
      <c r="CW20" s="99" t="str">
        <f t="shared" si="11"/>
        <v/>
      </c>
      <c r="CX20" s="99" t="str">
        <f t="shared" si="11"/>
        <v/>
      </c>
      <c r="CY20" s="99" t="str">
        <f t="shared" si="11"/>
        <v/>
      </c>
      <c r="CZ20" s="99" t="str">
        <f t="shared" si="11"/>
        <v/>
      </c>
      <c r="DA20" s="99" t="str">
        <f t="shared" si="11"/>
        <v/>
      </c>
      <c r="DB20" s="99" t="str">
        <f t="shared" si="11"/>
        <v/>
      </c>
      <c r="DC20" s="99" t="str">
        <f t="shared" si="11"/>
        <v/>
      </c>
      <c r="DD20" s="99" t="str">
        <f t="shared" si="11"/>
        <v/>
      </c>
      <c r="DE20" s="99" t="str">
        <f t="shared" si="11"/>
        <v/>
      </c>
      <c r="DF20" s="99" t="str">
        <f t="shared" si="11"/>
        <v/>
      </c>
      <c r="DG20" s="99" t="str">
        <f t="shared" si="11"/>
        <v/>
      </c>
      <c r="DH20" s="99" t="str">
        <f t="shared" si="11"/>
        <v/>
      </c>
      <c r="DI20" s="99" t="str">
        <f t="shared" si="12"/>
        <v/>
      </c>
      <c r="DJ20" s="100" t="str">
        <f t="shared" si="5"/>
        <v/>
      </c>
      <c r="DK20" s="92" t="str">
        <f t="shared" si="5"/>
        <v/>
      </c>
    </row>
    <row r="21" spans="1:115" x14ac:dyDescent="0.2">
      <c r="A21" s="93" t="s">
        <v>217</v>
      </c>
      <c r="B21" s="107"/>
      <c r="C21" s="260"/>
      <c r="D21" s="84" t="s">
        <v>193</v>
      </c>
      <c r="E21" s="95">
        <f>IFERROR(VLOOKUP(CONCATENATE($A$15,"-",$A$12, "-", $D21, "-", E$3, "-", $A$9), OBS_District_Flows!$A:$G, 6,FALSE),0)</f>
        <v>0</v>
      </c>
      <c r="F21" s="96">
        <f>IFERROR(VLOOKUP(CONCATENATE($A$15,"-",$A$12, "-", $D21, "-", F$3, "-", $A$9), OBS_District_Flows!$A:$G, 6,FALSE),0)</f>
        <v>0</v>
      </c>
      <c r="G21" s="96">
        <f>IFERROR(VLOOKUP(CONCATENATE($A$15,"-",$A$12, "-", $D21, "-", G$3, "-", $A$9), OBS_District_Flows!$A:$G, 6,FALSE),0)</f>
        <v>0</v>
      </c>
      <c r="H21" s="96">
        <f>IFERROR(VLOOKUP(CONCATENATE($A$15,"-",$A$12, "-", $D21, "-", H$3, "-", $A$9), OBS_District_Flows!$A:$G, 6,FALSE),0)</f>
        <v>0</v>
      </c>
      <c r="I21" s="96">
        <f>IFERROR(VLOOKUP(CONCATENATE($A$15,"-",$A$12, "-", $D21, "-", I$3, "-", $A$9), OBS_District_Flows!$A:$G, 6,FALSE),0)</f>
        <v>0</v>
      </c>
      <c r="J21" s="96">
        <f>IFERROR(VLOOKUP(CONCATENATE($A$15,"-",$A$12, "-", $D21, "-", J$3, "-", $A$9), OBS_District_Flows!$A:$G, 6,FALSE),0)</f>
        <v>0</v>
      </c>
      <c r="K21" s="96">
        <f>IFERROR(VLOOKUP(CONCATENATE($A$15,"-",$A$12, "-", $D21, "-", K$3, "-", $A$9), OBS_District_Flows!$A:$G, 6,FALSE),0)</f>
        <v>0</v>
      </c>
      <c r="L21" s="96">
        <f>IFERROR(VLOOKUP(CONCATENATE($A$15,"-",$A$12, "-", $D21, "-", L$3, "-", $A$9), OBS_District_Flows!$A:$G, 6,FALSE),0)</f>
        <v>0</v>
      </c>
      <c r="M21" s="96">
        <f>IFERROR(VLOOKUP(CONCATENATE($A$15,"-",$A$12, "-", $D21, "-", M$3, "-", $A$9), OBS_District_Flows!$A:$G, 6,FALSE),0)</f>
        <v>0</v>
      </c>
      <c r="N21" s="96">
        <f>IFERROR(VLOOKUP(CONCATENATE($A$15,"-",$A$12, "-", $D21, "-", N$3, "-", $A$9), OBS_District_Flows!$A:$G, 6,FALSE),0)</f>
        <v>0</v>
      </c>
      <c r="O21" s="96">
        <f>IFERROR(VLOOKUP(CONCATENATE($A$15,"-",$A$12, "-", $D21, "-", O$3, "-", $A$9), OBS_District_Flows!$A:$G, 6,FALSE),0)</f>
        <v>0</v>
      </c>
      <c r="P21" s="96">
        <f>IFERROR(VLOOKUP(CONCATENATE($A$15,"-",$A$12, "-", $D21, "-", P$3, "-", $A$9), OBS_District_Flows!$A:$G, 6,FALSE),0)</f>
        <v>0</v>
      </c>
      <c r="Q21" s="96">
        <f>IFERROR(VLOOKUP(CONCATENATE($A$15,"-",$A$12, "-", $D21, "-", Q$3, "-", $A$9), OBS_District_Flows!$A:$G, 6,FALSE),0)</f>
        <v>0</v>
      </c>
      <c r="R21" s="96">
        <f>IFERROR(VLOOKUP(CONCATENATE($A$15,"-",$A$12, "-", $D21, "-", R$3, "-", $A$9), OBS_District_Flows!$A:$G, 6,FALSE),0)</f>
        <v>0</v>
      </c>
      <c r="S21" s="96">
        <f>IFERROR(VLOOKUP(CONCATENATE($A$15,"-",$A$12, "-", $D21, "-", S$3, "-", $A$9), OBS_District_Flows!$A:$G, 6,FALSE),0)</f>
        <v>0</v>
      </c>
      <c r="T21" s="96">
        <f>IFERROR(VLOOKUP(CONCATENATE($A$15,"-",$A$12, "-", $D21, "-", T$3, "-", $A$9), OBS_District_Flows!$A:$G, 6,FALSE),0)</f>
        <v>0</v>
      </c>
      <c r="U21" s="96">
        <f>IFERROR(VLOOKUP(CONCATENATE($A$15,"-",$A$12, "-", $D21, "-", U$3, "-", $A$9), OBS_District_Flows!$A:$G, 6,FALSE),0)</f>
        <v>0</v>
      </c>
      <c r="V21" s="96">
        <f>IFERROR(VLOOKUP(CONCATENATE($A$15,"-",$A$12, "-", $D21, "-", V$3, "-", $A$9), OBS_District_Flows!$A:$G, 6,FALSE),0)</f>
        <v>0</v>
      </c>
      <c r="W21" s="96">
        <f>IFERROR(VLOOKUP(CONCATENATE($A$15,"-",$A$12, "-", $D21, "-", W$3, "-", $A$9), OBS_District_Flows!$A:$G, 6,FALSE),0)</f>
        <v>0</v>
      </c>
      <c r="X21" s="96">
        <f>IFERROR(VLOOKUP(CONCATENATE($A$15,"-",$A$12, "-", $D21, "-", X$3, "-", $A$9), OBS_District_Flows!$A:$G, 6,FALSE),0)</f>
        <v>0</v>
      </c>
      <c r="Y21" s="96">
        <f>IFERROR(VLOOKUP(CONCATENATE($A$15,"-",$A$12, "-", $D21, "-", Y$3, "-", $A$9), OBS_District_Flows!$A:$G, 6,FALSE),0)</f>
        <v>0</v>
      </c>
      <c r="Z21" s="96">
        <f>IFERROR(VLOOKUP(CONCATENATE($A$15,"-",$A$12, "-", $D21, "-", Z$3, "-", $A$9), OBS_District_Flows!$A:$G, 6,FALSE),0)</f>
        <v>0</v>
      </c>
      <c r="AA21" s="96">
        <f>IFERROR(VLOOKUP(CONCATENATE($A$15,"-",$A$12, "-", $D21, "-", AA$3, "-", $A$9), OBS_District_Flows!$A:$G, 6,FALSE),0)</f>
        <v>0</v>
      </c>
      <c r="AB21" s="96">
        <f>IFERROR(VLOOKUP(CONCATENATE($A$15,"-",$A$12, "-", $D21, "-", AB$3, "-", $A$9), OBS_District_Flows!$A:$G, 6,FALSE),0)</f>
        <v>0</v>
      </c>
      <c r="AC21" s="96">
        <f>IFERROR(VLOOKUP(CONCATENATE($A$15,"-",$A$12, "-", $D21, "-", AC$3, "-", $A$9), OBS_District_Flows!$A:$G, 6,FALSE),0)</f>
        <v>0</v>
      </c>
      <c r="AD21" s="96">
        <f>IFERROR(VLOOKUP(CONCATENATE($A$15,"-",$A$12, "-", $D21, "-", AD$3, "-", $A$9), OBS_District_Flows!$A:$G, 6,FALSE),0)</f>
        <v>0</v>
      </c>
      <c r="AE21" s="96">
        <f>IFERROR(VLOOKUP(CONCATENATE($A$15,"-",$A$12, "-", $D21, "-", AE$3, "-", $A$9), OBS_District_Flows!$A:$G, 6,FALSE),0)</f>
        <v>0</v>
      </c>
      <c r="AF21" s="96">
        <f>IFERROR(VLOOKUP(CONCATENATE($A$15,"-",$A$12, "-", $D21, "-", AF$3, "-", $A$9), OBS_District_Flows!$A:$G, 6,FALSE),0)</f>
        <v>0</v>
      </c>
      <c r="AG21" s="96">
        <f>IFERROR(VLOOKUP(CONCATENATE($A$15,"-",$A$12, "-", $D21, "-", AG$3, "-", $A$9), OBS_District_Flows!$A:$G, 6,FALSE),0)</f>
        <v>0</v>
      </c>
      <c r="AH21" s="96">
        <f>IFERROR(VLOOKUP(CONCATENATE($A$15,"-",$A$12, "-", $D21, "-", AH$3, "-", $A$9), OBS_District_Flows!$A:$G, 6,FALSE),0)</f>
        <v>0</v>
      </c>
      <c r="AI21" s="96">
        <f>IFERROR(VLOOKUP(CONCATENATE($A$15,"-",$A$12, "-", $D21, "-", AI$3, "-", $A$9), OBS_District_Flows!$A:$G, 6,FALSE),0)</f>
        <v>0</v>
      </c>
      <c r="AJ21" s="96">
        <f>IFERROR(VLOOKUP(CONCATENATE($A$15,"-",$A$12, "-", $D21, "-", AJ$3, "-", $A$9), OBS_District_Flows!$A:$G, 6,FALSE),0)</f>
        <v>0</v>
      </c>
      <c r="AK21" s="96">
        <f>IFERROR(VLOOKUP(CONCATENATE($A$15,"-",$A$12, "-", $D21, "-", AK$3, "-", $A$9), OBS_District_Flows!$A:$G, 6,FALSE),0)</f>
        <v>0</v>
      </c>
      <c r="AL21" s="97">
        <f>IFERROR(VLOOKUP(CONCATENATE($A$15,"-",$A$12, "-", $D21, "-", AL$3, "-", $A$9), OBS_District_Flows!$A:$G, 6,FALSE),0)</f>
        <v>0</v>
      </c>
      <c r="AM21" s="88">
        <f t="shared" si="6"/>
        <v>0</v>
      </c>
      <c r="AO21" s="261"/>
      <c r="AP21" s="84" t="s">
        <v>193</v>
      </c>
      <c r="AQ21" s="98" t="str">
        <f t="shared" si="7"/>
        <v/>
      </c>
      <c r="AR21" s="99" t="str">
        <f t="shared" si="7"/>
        <v/>
      </c>
      <c r="AS21" s="99" t="str">
        <f t="shared" si="7"/>
        <v/>
      </c>
      <c r="AT21" s="99" t="str">
        <f t="shared" si="7"/>
        <v/>
      </c>
      <c r="AU21" s="99" t="str">
        <f t="shared" si="7"/>
        <v/>
      </c>
      <c r="AV21" s="99" t="str">
        <f t="shared" si="7"/>
        <v/>
      </c>
      <c r="AW21" s="99" t="str">
        <f t="shared" si="7"/>
        <v/>
      </c>
      <c r="AX21" s="99" t="str">
        <f t="shared" si="7"/>
        <v/>
      </c>
      <c r="AY21" s="99" t="str">
        <f t="shared" si="7"/>
        <v/>
      </c>
      <c r="AZ21" s="99" t="str">
        <f t="shared" si="7"/>
        <v/>
      </c>
      <c r="BA21" s="99" t="str">
        <f t="shared" si="7"/>
        <v/>
      </c>
      <c r="BB21" s="99" t="str">
        <f t="shared" si="7"/>
        <v/>
      </c>
      <c r="BC21" s="99" t="str">
        <f t="shared" si="7"/>
        <v/>
      </c>
      <c r="BD21" s="99" t="str">
        <f t="shared" si="7"/>
        <v/>
      </c>
      <c r="BE21" s="99" t="str">
        <f t="shared" si="7"/>
        <v/>
      </c>
      <c r="BF21" s="99" t="str">
        <f t="shared" si="7"/>
        <v/>
      </c>
      <c r="BG21" s="99" t="str">
        <f t="shared" si="9"/>
        <v/>
      </c>
      <c r="BH21" s="99" t="str">
        <f t="shared" si="9"/>
        <v/>
      </c>
      <c r="BI21" s="99" t="str">
        <f t="shared" si="9"/>
        <v/>
      </c>
      <c r="BJ21" s="99" t="str">
        <f t="shared" si="9"/>
        <v/>
      </c>
      <c r="BK21" s="99" t="str">
        <f t="shared" si="9"/>
        <v/>
      </c>
      <c r="BL21" s="99" t="str">
        <f t="shared" si="9"/>
        <v/>
      </c>
      <c r="BM21" s="99" t="str">
        <f t="shared" si="9"/>
        <v/>
      </c>
      <c r="BN21" s="99" t="str">
        <f t="shared" si="9"/>
        <v/>
      </c>
      <c r="BO21" s="99" t="str">
        <f t="shared" si="9"/>
        <v/>
      </c>
      <c r="BP21" s="99" t="str">
        <f t="shared" si="9"/>
        <v/>
      </c>
      <c r="BQ21" s="99" t="str">
        <f t="shared" si="9"/>
        <v/>
      </c>
      <c r="BR21" s="99" t="str">
        <f t="shared" si="9"/>
        <v/>
      </c>
      <c r="BS21" s="99" t="str">
        <f t="shared" si="9"/>
        <v/>
      </c>
      <c r="BT21" s="99" t="str">
        <f t="shared" si="9"/>
        <v/>
      </c>
      <c r="BU21" s="99" t="str">
        <f t="shared" si="9"/>
        <v/>
      </c>
      <c r="BV21" s="99" t="str">
        <f t="shared" si="9"/>
        <v/>
      </c>
      <c r="BW21" s="99" t="str">
        <f t="shared" si="10"/>
        <v/>
      </c>
      <c r="BX21" s="100" t="str">
        <f t="shared" si="2"/>
        <v/>
      </c>
      <c r="BY21" s="92" t="str">
        <f t="shared" si="2"/>
        <v/>
      </c>
      <c r="CA21" s="261"/>
      <c r="CB21" s="84" t="s">
        <v>193</v>
      </c>
      <c r="CC21" s="98" t="str">
        <f t="shared" si="8"/>
        <v/>
      </c>
      <c r="CD21" s="99" t="str">
        <f t="shared" si="8"/>
        <v/>
      </c>
      <c r="CE21" s="99" t="str">
        <f t="shared" si="8"/>
        <v/>
      </c>
      <c r="CF21" s="99" t="str">
        <f t="shared" si="8"/>
        <v/>
      </c>
      <c r="CG21" s="99" t="str">
        <f t="shared" si="8"/>
        <v/>
      </c>
      <c r="CH21" s="99" t="str">
        <f t="shared" si="8"/>
        <v/>
      </c>
      <c r="CI21" s="99" t="str">
        <f t="shared" si="8"/>
        <v/>
      </c>
      <c r="CJ21" s="99" t="str">
        <f t="shared" si="8"/>
        <v/>
      </c>
      <c r="CK21" s="99" t="str">
        <f t="shared" si="8"/>
        <v/>
      </c>
      <c r="CL21" s="99" t="str">
        <f t="shared" si="8"/>
        <v/>
      </c>
      <c r="CM21" s="99" t="str">
        <f t="shared" si="8"/>
        <v/>
      </c>
      <c r="CN21" s="99" t="str">
        <f t="shared" si="8"/>
        <v/>
      </c>
      <c r="CO21" s="99" t="str">
        <f t="shared" si="8"/>
        <v/>
      </c>
      <c r="CP21" s="99" t="str">
        <f t="shared" si="8"/>
        <v/>
      </c>
      <c r="CQ21" s="99" t="str">
        <f t="shared" si="8"/>
        <v/>
      </c>
      <c r="CR21" s="99" t="str">
        <f t="shared" si="8"/>
        <v/>
      </c>
      <c r="CS21" s="99" t="str">
        <f t="shared" si="11"/>
        <v/>
      </c>
      <c r="CT21" s="99" t="str">
        <f t="shared" si="11"/>
        <v/>
      </c>
      <c r="CU21" s="99" t="str">
        <f t="shared" si="11"/>
        <v/>
      </c>
      <c r="CV21" s="99" t="str">
        <f t="shared" si="11"/>
        <v/>
      </c>
      <c r="CW21" s="99" t="str">
        <f t="shared" si="11"/>
        <v/>
      </c>
      <c r="CX21" s="99" t="str">
        <f t="shared" si="11"/>
        <v/>
      </c>
      <c r="CY21" s="99" t="str">
        <f t="shared" si="11"/>
        <v/>
      </c>
      <c r="CZ21" s="99" t="str">
        <f t="shared" si="11"/>
        <v/>
      </c>
      <c r="DA21" s="99" t="str">
        <f t="shared" si="11"/>
        <v/>
      </c>
      <c r="DB21" s="99" t="str">
        <f t="shared" si="11"/>
        <v/>
      </c>
      <c r="DC21" s="99" t="str">
        <f t="shared" si="11"/>
        <v/>
      </c>
      <c r="DD21" s="99" t="str">
        <f t="shared" si="11"/>
        <v/>
      </c>
      <c r="DE21" s="99" t="str">
        <f t="shared" si="11"/>
        <v/>
      </c>
      <c r="DF21" s="99" t="str">
        <f t="shared" si="11"/>
        <v/>
      </c>
      <c r="DG21" s="99" t="str">
        <f t="shared" si="11"/>
        <v/>
      </c>
      <c r="DH21" s="99" t="str">
        <f t="shared" si="11"/>
        <v/>
      </c>
      <c r="DI21" s="99" t="str">
        <f t="shared" si="12"/>
        <v/>
      </c>
      <c r="DJ21" s="100" t="str">
        <f t="shared" si="5"/>
        <v/>
      </c>
      <c r="DK21" s="92" t="str">
        <f t="shared" si="5"/>
        <v/>
      </c>
    </row>
    <row r="22" spans="1:115" x14ac:dyDescent="0.2">
      <c r="A22" s="107" t="s">
        <v>208</v>
      </c>
      <c r="C22" s="260"/>
      <c r="D22" s="84" t="s">
        <v>180</v>
      </c>
      <c r="E22" s="95">
        <f>IFERROR(VLOOKUP(CONCATENATE($A$15,"-",$A$12, "-", $D22, "-", E$3, "-", $A$9), OBS_District_Flows!$A:$G, 6,FALSE),0)</f>
        <v>0</v>
      </c>
      <c r="F22" s="96">
        <f>IFERROR(VLOOKUP(CONCATENATE($A$15,"-",$A$12, "-", $D22, "-", F$3, "-", $A$9), OBS_District_Flows!$A:$G, 6,FALSE),0)</f>
        <v>0</v>
      </c>
      <c r="G22" s="96">
        <f>IFERROR(VLOOKUP(CONCATENATE($A$15,"-",$A$12, "-", $D22, "-", G$3, "-", $A$9), OBS_District_Flows!$A:$G, 6,FALSE),0)</f>
        <v>0</v>
      </c>
      <c r="H22" s="96">
        <f>IFERROR(VLOOKUP(CONCATENATE($A$15,"-",$A$12, "-", $D22, "-", H$3, "-", $A$9), OBS_District_Flows!$A:$G, 6,FALSE),0)</f>
        <v>0</v>
      </c>
      <c r="I22" s="96">
        <f>IFERROR(VLOOKUP(CONCATENATE($A$15,"-",$A$12, "-", $D22, "-", I$3, "-", $A$9), OBS_District_Flows!$A:$G, 6,FALSE),0)</f>
        <v>0</v>
      </c>
      <c r="J22" s="96">
        <f>IFERROR(VLOOKUP(CONCATENATE($A$15,"-",$A$12, "-", $D22, "-", J$3, "-", $A$9), OBS_District_Flows!$A:$G, 6,FALSE),0)</f>
        <v>0</v>
      </c>
      <c r="K22" s="96">
        <f>IFERROR(VLOOKUP(CONCATENATE($A$15,"-",$A$12, "-", $D22, "-", K$3, "-", $A$9), OBS_District_Flows!$A:$G, 6,FALSE),0)</f>
        <v>0</v>
      </c>
      <c r="L22" s="96">
        <f>IFERROR(VLOOKUP(CONCATENATE($A$15,"-",$A$12, "-", $D22, "-", L$3, "-", $A$9), OBS_District_Flows!$A:$G, 6,FALSE),0)</f>
        <v>0</v>
      </c>
      <c r="M22" s="96">
        <f>IFERROR(VLOOKUP(CONCATENATE($A$15,"-",$A$12, "-", $D22, "-", M$3, "-", $A$9), OBS_District_Flows!$A:$G, 6,FALSE),0)</f>
        <v>0</v>
      </c>
      <c r="N22" s="96">
        <f>IFERROR(VLOOKUP(CONCATENATE($A$15,"-",$A$12, "-", $D22, "-", N$3, "-", $A$9), OBS_District_Flows!$A:$G, 6,FALSE),0)</f>
        <v>0</v>
      </c>
      <c r="O22" s="96">
        <f>IFERROR(VLOOKUP(CONCATENATE($A$15,"-",$A$12, "-", $D22, "-", O$3, "-", $A$9), OBS_District_Flows!$A:$G, 6,FALSE),0)</f>
        <v>0</v>
      </c>
      <c r="P22" s="96">
        <f>IFERROR(VLOOKUP(CONCATENATE($A$15,"-",$A$12, "-", $D22, "-", P$3, "-", $A$9), OBS_District_Flows!$A:$G, 6,FALSE),0)</f>
        <v>0</v>
      </c>
      <c r="Q22" s="96">
        <f>IFERROR(VLOOKUP(CONCATENATE($A$15,"-",$A$12, "-", $D22, "-", Q$3, "-", $A$9), OBS_District_Flows!$A:$G, 6,FALSE),0)</f>
        <v>0</v>
      </c>
      <c r="R22" s="96">
        <f>IFERROR(VLOOKUP(CONCATENATE($A$15,"-",$A$12, "-", $D22, "-", R$3, "-", $A$9), OBS_District_Flows!$A:$G, 6,FALSE),0)</f>
        <v>0</v>
      </c>
      <c r="S22" s="96">
        <f>IFERROR(VLOOKUP(CONCATENATE($A$15,"-",$A$12, "-", $D22, "-", S$3, "-", $A$9), OBS_District_Flows!$A:$G, 6,FALSE),0)</f>
        <v>0</v>
      </c>
      <c r="T22" s="96">
        <f>IFERROR(VLOOKUP(CONCATENATE($A$15,"-",$A$12, "-", $D22, "-", T$3, "-", $A$9), OBS_District_Flows!$A:$G, 6,FALSE),0)</f>
        <v>0</v>
      </c>
      <c r="U22" s="96">
        <f>IFERROR(VLOOKUP(CONCATENATE($A$15,"-",$A$12, "-", $D22, "-", U$3, "-", $A$9), OBS_District_Flows!$A:$G, 6,FALSE),0)</f>
        <v>0</v>
      </c>
      <c r="V22" s="96">
        <f>IFERROR(VLOOKUP(CONCATENATE($A$15,"-",$A$12, "-", $D22, "-", V$3, "-", $A$9), OBS_District_Flows!$A:$G, 6,FALSE),0)</f>
        <v>0</v>
      </c>
      <c r="W22" s="96">
        <f>IFERROR(VLOOKUP(CONCATENATE($A$15,"-",$A$12, "-", $D22, "-", W$3, "-", $A$9), OBS_District_Flows!$A:$G, 6,FALSE),0)</f>
        <v>0</v>
      </c>
      <c r="X22" s="96">
        <f>IFERROR(VLOOKUP(CONCATENATE($A$15,"-",$A$12, "-", $D22, "-", X$3, "-", $A$9), OBS_District_Flows!$A:$G, 6,FALSE),0)</f>
        <v>0</v>
      </c>
      <c r="Y22" s="96">
        <f>IFERROR(VLOOKUP(CONCATENATE($A$15,"-",$A$12, "-", $D22, "-", Y$3, "-", $A$9), OBS_District_Flows!$A:$G, 6,FALSE),0)</f>
        <v>0</v>
      </c>
      <c r="Z22" s="96">
        <f>IFERROR(VLOOKUP(CONCATENATE($A$15,"-",$A$12, "-", $D22, "-", Z$3, "-", $A$9), OBS_District_Flows!$A:$G, 6,FALSE),0)</f>
        <v>0</v>
      </c>
      <c r="AA22" s="96">
        <f>IFERROR(VLOOKUP(CONCATENATE($A$15,"-",$A$12, "-", $D22, "-", AA$3, "-", $A$9), OBS_District_Flows!$A:$G, 6,FALSE),0)</f>
        <v>0</v>
      </c>
      <c r="AB22" s="96">
        <f>IFERROR(VLOOKUP(CONCATENATE($A$15,"-",$A$12, "-", $D22, "-", AB$3, "-", $A$9), OBS_District_Flows!$A:$G, 6,FALSE),0)</f>
        <v>0</v>
      </c>
      <c r="AC22" s="96">
        <f>IFERROR(VLOOKUP(CONCATENATE($A$15,"-",$A$12, "-", $D22, "-", AC$3, "-", $A$9), OBS_District_Flows!$A:$G, 6,FALSE),0)</f>
        <v>0</v>
      </c>
      <c r="AD22" s="96">
        <f>IFERROR(VLOOKUP(CONCATENATE($A$15,"-",$A$12, "-", $D22, "-", AD$3, "-", $A$9), OBS_District_Flows!$A:$G, 6,FALSE),0)</f>
        <v>0</v>
      </c>
      <c r="AE22" s="96">
        <f>IFERROR(VLOOKUP(CONCATENATE($A$15,"-",$A$12, "-", $D22, "-", AE$3, "-", $A$9), OBS_District_Flows!$A:$G, 6,FALSE),0)</f>
        <v>0</v>
      </c>
      <c r="AF22" s="96">
        <f>IFERROR(VLOOKUP(CONCATENATE($A$15,"-",$A$12, "-", $D22, "-", AF$3, "-", $A$9), OBS_District_Flows!$A:$G, 6,FALSE),0)</f>
        <v>0</v>
      </c>
      <c r="AG22" s="96">
        <f>IFERROR(VLOOKUP(CONCATENATE($A$15,"-",$A$12, "-", $D22, "-", AG$3, "-", $A$9), OBS_District_Flows!$A:$G, 6,FALSE),0)</f>
        <v>0</v>
      </c>
      <c r="AH22" s="96">
        <f>IFERROR(VLOOKUP(CONCATENATE($A$15,"-",$A$12, "-", $D22, "-", AH$3, "-", $A$9), OBS_District_Flows!$A:$G, 6,FALSE),0)</f>
        <v>0</v>
      </c>
      <c r="AI22" s="96">
        <f>IFERROR(VLOOKUP(CONCATENATE($A$15,"-",$A$12, "-", $D22, "-", AI$3, "-", $A$9), OBS_District_Flows!$A:$G, 6,FALSE),0)</f>
        <v>0</v>
      </c>
      <c r="AJ22" s="96">
        <f>IFERROR(VLOOKUP(CONCATENATE($A$15,"-",$A$12, "-", $D22, "-", AJ$3, "-", $A$9), OBS_District_Flows!$A:$G, 6,FALSE),0)</f>
        <v>0</v>
      </c>
      <c r="AK22" s="96">
        <f>IFERROR(VLOOKUP(CONCATENATE($A$15,"-",$A$12, "-", $D22, "-", AK$3, "-", $A$9), OBS_District_Flows!$A:$G, 6,FALSE),0)</f>
        <v>0</v>
      </c>
      <c r="AL22" s="97">
        <f>IFERROR(VLOOKUP(CONCATENATE($A$15,"-",$A$12, "-", $D22, "-", AL$3, "-", $A$9), OBS_District_Flows!$A:$G, 6,FALSE),0)</f>
        <v>0</v>
      </c>
      <c r="AM22" s="88">
        <f t="shared" si="6"/>
        <v>0</v>
      </c>
      <c r="AO22" s="261"/>
      <c r="AP22" s="84" t="s">
        <v>180</v>
      </c>
      <c r="AQ22" s="98" t="str">
        <f t="shared" si="7"/>
        <v/>
      </c>
      <c r="AR22" s="99" t="str">
        <f t="shared" si="7"/>
        <v/>
      </c>
      <c r="AS22" s="99" t="str">
        <f t="shared" si="7"/>
        <v/>
      </c>
      <c r="AT22" s="99" t="str">
        <f t="shared" si="7"/>
        <v/>
      </c>
      <c r="AU22" s="99" t="str">
        <f t="shared" si="7"/>
        <v/>
      </c>
      <c r="AV22" s="99" t="str">
        <f t="shared" si="7"/>
        <v/>
      </c>
      <c r="AW22" s="99" t="str">
        <f t="shared" si="7"/>
        <v/>
      </c>
      <c r="AX22" s="99" t="str">
        <f t="shared" si="7"/>
        <v/>
      </c>
      <c r="AY22" s="99" t="str">
        <f t="shared" si="7"/>
        <v/>
      </c>
      <c r="AZ22" s="99" t="str">
        <f t="shared" si="7"/>
        <v/>
      </c>
      <c r="BA22" s="99" t="str">
        <f t="shared" si="7"/>
        <v/>
      </c>
      <c r="BB22" s="99" t="str">
        <f t="shared" si="7"/>
        <v/>
      </c>
      <c r="BC22" s="99" t="str">
        <f t="shared" si="7"/>
        <v/>
      </c>
      <c r="BD22" s="99" t="str">
        <f t="shared" si="7"/>
        <v/>
      </c>
      <c r="BE22" s="99" t="str">
        <f t="shared" si="7"/>
        <v/>
      </c>
      <c r="BF22" s="99" t="str">
        <f t="shared" si="7"/>
        <v/>
      </c>
      <c r="BG22" s="99" t="str">
        <f t="shared" si="9"/>
        <v/>
      </c>
      <c r="BH22" s="99" t="str">
        <f t="shared" si="9"/>
        <v/>
      </c>
      <c r="BI22" s="99" t="str">
        <f t="shared" si="9"/>
        <v/>
      </c>
      <c r="BJ22" s="99" t="str">
        <f t="shared" si="9"/>
        <v/>
      </c>
      <c r="BK22" s="99" t="str">
        <f t="shared" si="9"/>
        <v/>
      </c>
      <c r="BL22" s="99" t="str">
        <f t="shared" si="9"/>
        <v/>
      </c>
      <c r="BM22" s="99" t="str">
        <f t="shared" si="9"/>
        <v/>
      </c>
      <c r="BN22" s="99" t="str">
        <f t="shared" si="9"/>
        <v/>
      </c>
      <c r="BO22" s="99" t="str">
        <f t="shared" si="9"/>
        <v/>
      </c>
      <c r="BP22" s="99" t="str">
        <f t="shared" si="9"/>
        <v/>
      </c>
      <c r="BQ22" s="99" t="str">
        <f t="shared" si="9"/>
        <v/>
      </c>
      <c r="BR22" s="99" t="str">
        <f t="shared" si="9"/>
        <v/>
      </c>
      <c r="BS22" s="99" t="str">
        <f t="shared" si="9"/>
        <v/>
      </c>
      <c r="BT22" s="99" t="str">
        <f t="shared" si="9"/>
        <v/>
      </c>
      <c r="BU22" s="99" t="str">
        <f t="shared" si="9"/>
        <v/>
      </c>
      <c r="BV22" s="99" t="str">
        <f t="shared" si="9"/>
        <v/>
      </c>
      <c r="BW22" s="99" t="str">
        <f t="shared" si="10"/>
        <v/>
      </c>
      <c r="BX22" s="100" t="str">
        <f t="shared" si="2"/>
        <v/>
      </c>
      <c r="BY22" s="92" t="str">
        <f t="shared" si="2"/>
        <v/>
      </c>
      <c r="CA22" s="261"/>
      <c r="CB22" s="84" t="s">
        <v>180</v>
      </c>
      <c r="CC22" s="98" t="str">
        <f t="shared" si="8"/>
        <v/>
      </c>
      <c r="CD22" s="99" t="str">
        <f t="shared" si="8"/>
        <v/>
      </c>
      <c r="CE22" s="99" t="str">
        <f t="shared" si="8"/>
        <v/>
      </c>
      <c r="CF22" s="99" t="str">
        <f t="shared" si="8"/>
        <v/>
      </c>
      <c r="CG22" s="99" t="str">
        <f t="shared" si="8"/>
        <v/>
      </c>
      <c r="CH22" s="99" t="str">
        <f t="shared" si="8"/>
        <v/>
      </c>
      <c r="CI22" s="99" t="str">
        <f t="shared" si="8"/>
        <v/>
      </c>
      <c r="CJ22" s="99" t="str">
        <f t="shared" si="8"/>
        <v/>
      </c>
      <c r="CK22" s="99" t="str">
        <f t="shared" si="8"/>
        <v/>
      </c>
      <c r="CL22" s="99" t="str">
        <f t="shared" si="8"/>
        <v/>
      </c>
      <c r="CM22" s="99" t="str">
        <f t="shared" si="8"/>
        <v/>
      </c>
      <c r="CN22" s="99" t="str">
        <f t="shared" si="8"/>
        <v/>
      </c>
      <c r="CO22" s="99" t="str">
        <f t="shared" si="8"/>
        <v/>
      </c>
      <c r="CP22" s="99" t="str">
        <f t="shared" si="8"/>
        <v/>
      </c>
      <c r="CQ22" s="99" t="str">
        <f t="shared" si="8"/>
        <v/>
      </c>
      <c r="CR22" s="99" t="str">
        <f t="shared" si="8"/>
        <v/>
      </c>
      <c r="CS22" s="99" t="str">
        <f t="shared" si="11"/>
        <v/>
      </c>
      <c r="CT22" s="99" t="str">
        <f t="shared" si="11"/>
        <v/>
      </c>
      <c r="CU22" s="99" t="str">
        <f t="shared" si="11"/>
        <v/>
      </c>
      <c r="CV22" s="99" t="str">
        <f t="shared" si="11"/>
        <v/>
      </c>
      <c r="CW22" s="99" t="str">
        <f t="shared" si="11"/>
        <v/>
      </c>
      <c r="CX22" s="99" t="str">
        <f t="shared" si="11"/>
        <v/>
      </c>
      <c r="CY22" s="99" t="str">
        <f t="shared" si="11"/>
        <v/>
      </c>
      <c r="CZ22" s="99" t="str">
        <f t="shared" si="11"/>
        <v/>
      </c>
      <c r="DA22" s="99" t="str">
        <f t="shared" si="11"/>
        <v/>
      </c>
      <c r="DB22" s="99" t="str">
        <f t="shared" si="11"/>
        <v/>
      </c>
      <c r="DC22" s="99" t="str">
        <f t="shared" si="11"/>
        <v/>
      </c>
      <c r="DD22" s="99" t="str">
        <f t="shared" si="11"/>
        <v/>
      </c>
      <c r="DE22" s="99" t="str">
        <f t="shared" si="11"/>
        <v/>
      </c>
      <c r="DF22" s="99" t="str">
        <f t="shared" si="11"/>
        <v/>
      </c>
      <c r="DG22" s="99" t="str">
        <f t="shared" si="11"/>
        <v/>
      </c>
      <c r="DH22" s="99" t="str">
        <f t="shared" si="11"/>
        <v/>
      </c>
      <c r="DI22" s="99" t="str">
        <f t="shared" si="12"/>
        <v/>
      </c>
      <c r="DJ22" s="100" t="str">
        <f t="shared" si="5"/>
        <v/>
      </c>
      <c r="DK22" s="92" t="str">
        <f t="shared" si="5"/>
        <v/>
      </c>
    </row>
    <row r="23" spans="1:115" x14ac:dyDescent="0.2">
      <c r="A23" s="107" t="s">
        <v>209</v>
      </c>
      <c r="C23" s="260"/>
      <c r="D23" s="84" t="s">
        <v>195</v>
      </c>
      <c r="E23" s="95">
        <f>IFERROR(VLOOKUP(CONCATENATE($A$15,"-",$A$12, "-", $D23, "-", E$3, "-", $A$9), OBS_District_Flows!$A:$G, 6,FALSE),0)</f>
        <v>0</v>
      </c>
      <c r="F23" s="96">
        <f>IFERROR(VLOOKUP(CONCATENATE($A$15,"-",$A$12, "-", $D23, "-", F$3, "-", $A$9), OBS_District_Flows!$A:$G, 6,FALSE),0)</f>
        <v>0</v>
      </c>
      <c r="G23" s="96">
        <f>IFERROR(VLOOKUP(CONCATENATE($A$15,"-",$A$12, "-", $D23, "-", G$3, "-", $A$9), OBS_District_Flows!$A:$G, 6,FALSE),0)</f>
        <v>0</v>
      </c>
      <c r="H23" s="96">
        <f>IFERROR(VLOOKUP(CONCATENATE($A$15,"-",$A$12, "-", $D23, "-", H$3, "-", $A$9), OBS_District_Flows!$A:$G, 6,FALSE),0)</f>
        <v>0</v>
      </c>
      <c r="I23" s="96">
        <f>IFERROR(VLOOKUP(CONCATENATE($A$15,"-",$A$12, "-", $D23, "-", I$3, "-", $A$9), OBS_District_Flows!$A:$G, 6,FALSE),0)</f>
        <v>0</v>
      </c>
      <c r="J23" s="96">
        <f>IFERROR(VLOOKUP(CONCATENATE($A$15,"-",$A$12, "-", $D23, "-", J$3, "-", $A$9), OBS_District_Flows!$A:$G, 6,FALSE),0)</f>
        <v>0</v>
      </c>
      <c r="K23" s="96">
        <f>IFERROR(VLOOKUP(CONCATENATE($A$15,"-",$A$12, "-", $D23, "-", K$3, "-", $A$9), OBS_District_Flows!$A:$G, 6,FALSE),0)</f>
        <v>0</v>
      </c>
      <c r="L23" s="96">
        <f>IFERROR(VLOOKUP(CONCATENATE($A$15,"-",$A$12, "-", $D23, "-", L$3, "-", $A$9), OBS_District_Flows!$A:$G, 6,FALSE),0)</f>
        <v>0</v>
      </c>
      <c r="M23" s="96">
        <f>IFERROR(VLOOKUP(CONCATENATE($A$15,"-",$A$12, "-", $D23, "-", M$3, "-", $A$9), OBS_District_Flows!$A:$G, 6,FALSE),0)</f>
        <v>0</v>
      </c>
      <c r="N23" s="96">
        <f>IFERROR(VLOOKUP(CONCATENATE($A$15,"-",$A$12, "-", $D23, "-", N$3, "-", $A$9), OBS_District_Flows!$A:$G, 6,FALSE),0)</f>
        <v>0</v>
      </c>
      <c r="O23" s="96">
        <f>IFERROR(VLOOKUP(CONCATENATE($A$15,"-",$A$12, "-", $D23, "-", O$3, "-", $A$9), OBS_District_Flows!$A:$G, 6,FALSE),0)</f>
        <v>0</v>
      </c>
      <c r="P23" s="96">
        <f>IFERROR(VLOOKUP(CONCATENATE($A$15,"-",$A$12, "-", $D23, "-", P$3, "-", $A$9), OBS_District_Flows!$A:$G, 6,FALSE),0)</f>
        <v>0</v>
      </c>
      <c r="Q23" s="96">
        <f>IFERROR(VLOOKUP(CONCATENATE($A$15,"-",$A$12, "-", $D23, "-", Q$3, "-", $A$9), OBS_District_Flows!$A:$G, 6,FALSE),0)</f>
        <v>0</v>
      </c>
      <c r="R23" s="96">
        <f>IFERROR(VLOOKUP(CONCATENATE($A$15,"-",$A$12, "-", $D23, "-", R$3, "-", $A$9), OBS_District_Flows!$A:$G, 6,FALSE),0)</f>
        <v>0</v>
      </c>
      <c r="S23" s="96">
        <f>IFERROR(VLOOKUP(CONCATENATE($A$15,"-",$A$12, "-", $D23, "-", S$3, "-", $A$9), OBS_District_Flows!$A:$G, 6,FALSE),0)</f>
        <v>0</v>
      </c>
      <c r="T23" s="96">
        <f>IFERROR(VLOOKUP(CONCATENATE($A$15,"-",$A$12, "-", $D23, "-", T$3, "-", $A$9), OBS_District_Flows!$A:$G, 6,FALSE),0)</f>
        <v>0</v>
      </c>
      <c r="U23" s="96">
        <f>IFERROR(VLOOKUP(CONCATENATE($A$15,"-",$A$12, "-", $D23, "-", U$3, "-", $A$9), OBS_District_Flows!$A:$G, 6,FALSE),0)</f>
        <v>0</v>
      </c>
      <c r="V23" s="96">
        <f>IFERROR(VLOOKUP(CONCATENATE($A$15,"-",$A$12, "-", $D23, "-", V$3, "-", $A$9), OBS_District_Flows!$A:$G, 6,FALSE),0)</f>
        <v>0</v>
      </c>
      <c r="W23" s="96">
        <f>IFERROR(VLOOKUP(CONCATENATE($A$15,"-",$A$12, "-", $D23, "-", W$3, "-", $A$9), OBS_District_Flows!$A:$G, 6,FALSE),0)</f>
        <v>0</v>
      </c>
      <c r="X23" s="96">
        <f>IFERROR(VLOOKUP(CONCATENATE($A$15,"-",$A$12, "-", $D23, "-", X$3, "-", $A$9), OBS_District_Flows!$A:$G, 6,FALSE),0)</f>
        <v>0</v>
      </c>
      <c r="Y23" s="96">
        <f>IFERROR(VLOOKUP(CONCATENATE($A$15,"-",$A$12, "-", $D23, "-", Y$3, "-", $A$9), OBS_District_Flows!$A:$G, 6,FALSE),0)</f>
        <v>0</v>
      </c>
      <c r="Z23" s="96">
        <f>IFERROR(VLOOKUP(CONCATENATE($A$15,"-",$A$12, "-", $D23, "-", Z$3, "-", $A$9), OBS_District_Flows!$A:$G, 6,FALSE),0)</f>
        <v>0</v>
      </c>
      <c r="AA23" s="96">
        <f>IFERROR(VLOOKUP(CONCATENATE($A$15,"-",$A$12, "-", $D23, "-", AA$3, "-", $A$9), OBS_District_Flows!$A:$G, 6,FALSE),0)</f>
        <v>0</v>
      </c>
      <c r="AB23" s="96">
        <f>IFERROR(VLOOKUP(CONCATENATE($A$15,"-",$A$12, "-", $D23, "-", AB$3, "-", $A$9), OBS_District_Flows!$A:$G, 6,FALSE),0)</f>
        <v>0</v>
      </c>
      <c r="AC23" s="96">
        <f>IFERROR(VLOOKUP(CONCATENATE($A$15,"-",$A$12, "-", $D23, "-", AC$3, "-", $A$9), OBS_District_Flows!$A:$G, 6,FALSE),0)</f>
        <v>0</v>
      </c>
      <c r="AD23" s="96">
        <f>IFERROR(VLOOKUP(CONCATENATE($A$15,"-",$A$12, "-", $D23, "-", AD$3, "-", $A$9), OBS_District_Flows!$A:$G, 6,FALSE),0)</f>
        <v>0</v>
      </c>
      <c r="AE23" s="96">
        <f>IFERROR(VLOOKUP(CONCATENATE($A$15,"-",$A$12, "-", $D23, "-", AE$3, "-", $A$9), OBS_District_Flows!$A:$G, 6,FALSE),0)</f>
        <v>0</v>
      </c>
      <c r="AF23" s="96">
        <f>IFERROR(VLOOKUP(CONCATENATE($A$15,"-",$A$12, "-", $D23, "-", AF$3, "-", $A$9), OBS_District_Flows!$A:$G, 6,FALSE),0)</f>
        <v>0</v>
      </c>
      <c r="AG23" s="96">
        <f>IFERROR(VLOOKUP(CONCATENATE($A$15,"-",$A$12, "-", $D23, "-", AG$3, "-", $A$9), OBS_District_Flows!$A:$G, 6,FALSE),0)</f>
        <v>0</v>
      </c>
      <c r="AH23" s="96">
        <f>IFERROR(VLOOKUP(CONCATENATE($A$15,"-",$A$12, "-", $D23, "-", AH$3, "-", $A$9), OBS_District_Flows!$A:$G, 6,FALSE),0)</f>
        <v>0</v>
      </c>
      <c r="AI23" s="96">
        <f>IFERROR(VLOOKUP(CONCATENATE($A$15,"-",$A$12, "-", $D23, "-", AI$3, "-", $A$9), OBS_District_Flows!$A:$G, 6,FALSE),0)</f>
        <v>0</v>
      </c>
      <c r="AJ23" s="96">
        <f>IFERROR(VLOOKUP(CONCATENATE($A$15,"-",$A$12, "-", $D23, "-", AJ$3, "-", $A$9), OBS_District_Flows!$A:$G, 6,FALSE),0)</f>
        <v>0</v>
      </c>
      <c r="AK23" s="96">
        <f>IFERROR(VLOOKUP(CONCATENATE($A$15,"-",$A$12, "-", $D23, "-", AK$3, "-", $A$9), OBS_District_Flows!$A:$G, 6,FALSE),0)</f>
        <v>0</v>
      </c>
      <c r="AL23" s="97">
        <f>IFERROR(VLOOKUP(CONCATENATE($A$15,"-",$A$12, "-", $D23, "-", AL$3, "-", $A$9), OBS_District_Flows!$A:$G, 6,FALSE),0)</f>
        <v>0</v>
      </c>
      <c r="AM23" s="88">
        <f t="shared" si="6"/>
        <v>0</v>
      </c>
      <c r="AO23" s="261"/>
      <c r="AP23" s="84" t="s">
        <v>195</v>
      </c>
      <c r="AQ23" s="98" t="str">
        <f t="shared" si="7"/>
        <v/>
      </c>
      <c r="AR23" s="99" t="str">
        <f t="shared" si="7"/>
        <v/>
      </c>
      <c r="AS23" s="99" t="str">
        <f t="shared" si="7"/>
        <v/>
      </c>
      <c r="AT23" s="99" t="str">
        <f t="shared" si="7"/>
        <v/>
      </c>
      <c r="AU23" s="99" t="str">
        <f t="shared" si="7"/>
        <v/>
      </c>
      <c r="AV23" s="99" t="str">
        <f t="shared" si="7"/>
        <v/>
      </c>
      <c r="AW23" s="99" t="str">
        <f t="shared" si="7"/>
        <v/>
      </c>
      <c r="AX23" s="99" t="str">
        <f t="shared" si="7"/>
        <v/>
      </c>
      <c r="AY23" s="99" t="str">
        <f t="shared" si="7"/>
        <v/>
      </c>
      <c r="AZ23" s="99" t="str">
        <f t="shared" si="7"/>
        <v/>
      </c>
      <c r="BA23" s="99" t="str">
        <f t="shared" si="7"/>
        <v/>
      </c>
      <c r="BB23" s="99" t="str">
        <f t="shared" si="7"/>
        <v/>
      </c>
      <c r="BC23" s="99" t="str">
        <f t="shared" si="7"/>
        <v/>
      </c>
      <c r="BD23" s="99" t="str">
        <f t="shared" si="7"/>
        <v/>
      </c>
      <c r="BE23" s="99" t="str">
        <f t="shared" si="7"/>
        <v/>
      </c>
      <c r="BF23" s="99" t="str">
        <f t="shared" si="7"/>
        <v/>
      </c>
      <c r="BG23" s="99" t="str">
        <f t="shared" si="9"/>
        <v/>
      </c>
      <c r="BH23" s="99" t="str">
        <f t="shared" si="9"/>
        <v/>
      </c>
      <c r="BI23" s="99" t="str">
        <f t="shared" si="9"/>
        <v/>
      </c>
      <c r="BJ23" s="99" t="str">
        <f t="shared" si="9"/>
        <v/>
      </c>
      <c r="BK23" s="99" t="str">
        <f t="shared" si="9"/>
        <v/>
      </c>
      <c r="BL23" s="99" t="str">
        <f t="shared" si="9"/>
        <v/>
      </c>
      <c r="BM23" s="99" t="str">
        <f t="shared" si="9"/>
        <v/>
      </c>
      <c r="BN23" s="99" t="str">
        <f t="shared" si="9"/>
        <v/>
      </c>
      <c r="BO23" s="99" t="str">
        <f t="shared" si="9"/>
        <v/>
      </c>
      <c r="BP23" s="99" t="str">
        <f t="shared" si="9"/>
        <v/>
      </c>
      <c r="BQ23" s="99" t="str">
        <f t="shared" si="9"/>
        <v/>
      </c>
      <c r="BR23" s="99" t="str">
        <f t="shared" si="9"/>
        <v/>
      </c>
      <c r="BS23" s="99" t="str">
        <f t="shared" si="9"/>
        <v/>
      </c>
      <c r="BT23" s="99" t="str">
        <f t="shared" si="9"/>
        <v/>
      </c>
      <c r="BU23" s="99" t="str">
        <f t="shared" si="9"/>
        <v/>
      </c>
      <c r="BV23" s="99" t="str">
        <f t="shared" si="9"/>
        <v/>
      </c>
      <c r="BW23" s="99" t="str">
        <f t="shared" si="10"/>
        <v/>
      </c>
      <c r="BX23" s="100" t="str">
        <f t="shared" si="2"/>
        <v/>
      </c>
      <c r="BY23" s="92" t="str">
        <f t="shared" si="2"/>
        <v/>
      </c>
      <c r="CA23" s="261"/>
      <c r="CB23" s="84" t="s">
        <v>195</v>
      </c>
      <c r="CC23" s="98" t="str">
        <f t="shared" si="8"/>
        <v/>
      </c>
      <c r="CD23" s="99" t="str">
        <f t="shared" si="8"/>
        <v/>
      </c>
      <c r="CE23" s="99" t="str">
        <f t="shared" si="8"/>
        <v/>
      </c>
      <c r="CF23" s="99" t="str">
        <f t="shared" si="8"/>
        <v/>
      </c>
      <c r="CG23" s="99" t="str">
        <f t="shared" si="8"/>
        <v/>
      </c>
      <c r="CH23" s="99" t="str">
        <f t="shared" si="8"/>
        <v/>
      </c>
      <c r="CI23" s="99" t="str">
        <f t="shared" si="8"/>
        <v/>
      </c>
      <c r="CJ23" s="99" t="str">
        <f t="shared" si="8"/>
        <v/>
      </c>
      <c r="CK23" s="99" t="str">
        <f t="shared" si="8"/>
        <v/>
      </c>
      <c r="CL23" s="99" t="str">
        <f t="shared" si="8"/>
        <v/>
      </c>
      <c r="CM23" s="99" t="str">
        <f t="shared" si="8"/>
        <v/>
      </c>
      <c r="CN23" s="99" t="str">
        <f t="shared" si="8"/>
        <v/>
      </c>
      <c r="CO23" s="99" t="str">
        <f t="shared" si="8"/>
        <v/>
      </c>
      <c r="CP23" s="99" t="str">
        <f t="shared" si="8"/>
        <v/>
      </c>
      <c r="CQ23" s="99" t="str">
        <f t="shared" si="8"/>
        <v/>
      </c>
      <c r="CR23" s="99" t="str">
        <f t="shared" si="8"/>
        <v/>
      </c>
      <c r="CS23" s="99" t="str">
        <f t="shared" si="11"/>
        <v/>
      </c>
      <c r="CT23" s="99" t="str">
        <f t="shared" si="11"/>
        <v/>
      </c>
      <c r="CU23" s="99" t="str">
        <f t="shared" si="11"/>
        <v/>
      </c>
      <c r="CV23" s="99" t="str">
        <f t="shared" si="11"/>
        <v/>
      </c>
      <c r="CW23" s="99" t="str">
        <f t="shared" si="11"/>
        <v/>
      </c>
      <c r="CX23" s="99" t="str">
        <f t="shared" si="11"/>
        <v/>
      </c>
      <c r="CY23" s="99" t="str">
        <f t="shared" si="11"/>
        <v/>
      </c>
      <c r="CZ23" s="99" t="str">
        <f t="shared" si="11"/>
        <v/>
      </c>
      <c r="DA23" s="99" t="str">
        <f t="shared" si="11"/>
        <v/>
      </c>
      <c r="DB23" s="99" t="str">
        <f t="shared" si="11"/>
        <v/>
      </c>
      <c r="DC23" s="99" t="str">
        <f t="shared" si="11"/>
        <v/>
      </c>
      <c r="DD23" s="99" t="str">
        <f t="shared" si="11"/>
        <v/>
      </c>
      <c r="DE23" s="99" t="str">
        <f t="shared" si="11"/>
        <v/>
      </c>
      <c r="DF23" s="99" t="str">
        <f t="shared" si="11"/>
        <v/>
      </c>
      <c r="DG23" s="99" t="str">
        <f t="shared" si="11"/>
        <v/>
      </c>
      <c r="DH23" s="99" t="str">
        <f t="shared" si="11"/>
        <v/>
      </c>
      <c r="DI23" s="99" t="str">
        <f t="shared" si="12"/>
        <v/>
      </c>
      <c r="DJ23" s="100" t="str">
        <f t="shared" si="5"/>
        <v/>
      </c>
      <c r="DK23" s="92" t="str">
        <f t="shared" si="5"/>
        <v/>
      </c>
    </row>
    <row r="24" spans="1:115" x14ac:dyDescent="0.2">
      <c r="A24" s="107" t="s">
        <v>210</v>
      </c>
      <c r="C24" s="260"/>
      <c r="D24" s="84" t="s">
        <v>194</v>
      </c>
      <c r="E24" s="95">
        <f>IFERROR(VLOOKUP(CONCATENATE($A$15,"-",$A$12, "-", $D24, "-", E$3, "-", $A$9), OBS_District_Flows!$A:$G, 6,FALSE),0)</f>
        <v>0</v>
      </c>
      <c r="F24" s="96">
        <f>IFERROR(VLOOKUP(CONCATENATE($A$15,"-",$A$12, "-", $D24, "-", F$3, "-", $A$9), OBS_District_Flows!$A:$G, 6,FALSE),0)</f>
        <v>0</v>
      </c>
      <c r="G24" s="96">
        <f>IFERROR(VLOOKUP(CONCATENATE($A$15,"-",$A$12, "-", $D24, "-", G$3, "-", $A$9), OBS_District_Flows!$A:$G, 6,FALSE),0)</f>
        <v>0</v>
      </c>
      <c r="H24" s="96">
        <f>IFERROR(VLOOKUP(CONCATENATE($A$15,"-",$A$12, "-", $D24, "-", H$3, "-", $A$9), OBS_District_Flows!$A:$G, 6,FALSE),0)</f>
        <v>0</v>
      </c>
      <c r="I24" s="96">
        <f>IFERROR(VLOOKUP(CONCATENATE($A$15,"-",$A$12, "-", $D24, "-", I$3, "-", $A$9), OBS_District_Flows!$A:$G, 6,FALSE),0)</f>
        <v>0</v>
      </c>
      <c r="J24" s="96">
        <f>IFERROR(VLOOKUP(CONCATENATE($A$15,"-",$A$12, "-", $D24, "-", J$3, "-", $A$9), OBS_District_Flows!$A:$G, 6,FALSE),0)</f>
        <v>0</v>
      </c>
      <c r="K24" s="96">
        <f>IFERROR(VLOOKUP(CONCATENATE($A$15,"-",$A$12, "-", $D24, "-", K$3, "-", $A$9), OBS_District_Flows!$A:$G, 6,FALSE),0)</f>
        <v>0</v>
      </c>
      <c r="L24" s="96">
        <f>IFERROR(VLOOKUP(CONCATENATE($A$15,"-",$A$12, "-", $D24, "-", L$3, "-", $A$9), OBS_District_Flows!$A:$G, 6,FALSE),0)</f>
        <v>0</v>
      </c>
      <c r="M24" s="96">
        <f>IFERROR(VLOOKUP(CONCATENATE($A$15,"-",$A$12, "-", $D24, "-", M$3, "-", $A$9), OBS_District_Flows!$A:$G, 6,FALSE),0)</f>
        <v>0</v>
      </c>
      <c r="N24" s="96">
        <f>IFERROR(VLOOKUP(CONCATENATE($A$15,"-",$A$12, "-", $D24, "-", N$3, "-", $A$9), OBS_District_Flows!$A:$G, 6,FALSE),0)</f>
        <v>0</v>
      </c>
      <c r="O24" s="96">
        <f>IFERROR(VLOOKUP(CONCATENATE($A$15,"-",$A$12, "-", $D24, "-", O$3, "-", $A$9), OBS_District_Flows!$A:$G, 6,FALSE),0)</f>
        <v>0</v>
      </c>
      <c r="P24" s="96">
        <f>IFERROR(VLOOKUP(CONCATENATE($A$15,"-",$A$12, "-", $D24, "-", P$3, "-", $A$9), OBS_District_Flows!$A:$G, 6,FALSE),0)</f>
        <v>0</v>
      </c>
      <c r="Q24" s="96">
        <f>IFERROR(VLOOKUP(CONCATENATE($A$15,"-",$A$12, "-", $D24, "-", Q$3, "-", $A$9), OBS_District_Flows!$A:$G, 6,FALSE),0)</f>
        <v>0</v>
      </c>
      <c r="R24" s="96">
        <f>IFERROR(VLOOKUP(CONCATENATE($A$15,"-",$A$12, "-", $D24, "-", R$3, "-", $A$9), OBS_District_Flows!$A:$G, 6,FALSE),0)</f>
        <v>0</v>
      </c>
      <c r="S24" s="96">
        <f>IFERROR(VLOOKUP(CONCATENATE($A$15,"-",$A$12, "-", $D24, "-", S$3, "-", $A$9), OBS_District_Flows!$A:$G, 6,FALSE),0)</f>
        <v>0</v>
      </c>
      <c r="T24" s="96">
        <f>IFERROR(VLOOKUP(CONCATENATE($A$15,"-",$A$12, "-", $D24, "-", T$3, "-", $A$9), OBS_District_Flows!$A:$G, 6,FALSE),0)</f>
        <v>0</v>
      </c>
      <c r="U24" s="96">
        <f>IFERROR(VLOOKUP(CONCATENATE($A$15,"-",$A$12, "-", $D24, "-", U$3, "-", $A$9), OBS_District_Flows!$A:$G, 6,FALSE),0)</f>
        <v>0</v>
      </c>
      <c r="V24" s="96">
        <f>IFERROR(VLOOKUP(CONCATENATE($A$15,"-",$A$12, "-", $D24, "-", V$3, "-", $A$9), OBS_District_Flows!$A:$G, 6,FALSE),0)</f>
        <v>0</v>
      </c>
      <c r="W24" s="96">
        <f>IFERROR(VLOOKUP(CONCATENATE($A$15,"-",$A$12, "-", $D24, "-", W$3, "-", $A$9), OBS_District_Flows!$A:$G, 6,FALSE),0)</f>
        <v>0</v>
      </c>
      <c r="X24" s="96">
        <f>IFERROR(VLOOKUP(CONCATENATE($A$15,"-",$A$12, "-", $D24, "-", X$3, "-", $A$9), OBS_District_Flows!$A:$G, 6,FALSE),0)</f>
        <v>0</v>
      </c>
      <c r="Y24" s="96">
        <f>IFERROR(VLOOKUP(CONCATENATE($A$15,"-",$A$12, "-", $D24, "-", Y$3, "-", $A$9), OBS_District_Flows!$A:$G, 6,FALSE),0)</f>
        <v>0</v>
      </c>
      <c r="Z24" s="96">
        <f>IFERROR(VLOOKUP(CONCATENATE($A$15,"-",$A$12, "-", $D24, "-", Z$3, "-", $A$9), OBS_District_Flows!$A:$G, 6,FALSE),0)</f>
        <v>0</v>
      </c>
      <c r="AA24" s="96">
        <f>IFERROR(VLOOKUP(CONCATENATE($A$15,"-",$A$12, "-", $D24, "-", AA$3, "-", $A$9), OBS_District_Flows!$A:$G, 6,FALSE),0)</f>
        <v>0</v>
      </c>
      <c r="AB24" s="96">
        <f>IFERROR(VLOOKUP(CONCATENATE($A$15,"-",$A$12, "-", $D24, "-", AB$3, "-", $A$9), OBS_District_Flows!$A:$G, 6,FALSE),0)</f>
        <v>0</v>
      </c>
      <c r="AC24" s="96">
        <f>IFERROR(VLOOKUP(CONCATENATE($A$15,"-",$A$12, "-", $D24, "-", AC$3, "-", $A$9), OBS_District_Flows!$A:$G, 6,FALSE),0)</f>
        <v>0</v>
      </c>
      <c r="AD24" s="96">
        <f>IFERROR(VLOOKUP(CONCATENATE($A$15,"-",$A$12, "-", $D24, "-", AD$3, "-", $A$9), OBS_District_Flows!$A:$G, 6,FALSE),0)</f>
        <v>0</v>
      </c>
      <c r="AE24" s="96">
        <f>IFERROR(VLOOKUP(CONCATENATE($A$15,"-",$A$12, "-", $D24, "-", AE$3, "-", $A$9), OBS_District_Flows!$A:$G, 6,FALSE),0)</f>
        <v>0</v>
      </c>
      <c r="AF24" s="96">
        <f>IFERROR(VLOOKUP(CONCATENATE($A$15,"-",$A$12, "-", $D24, "-", AF$3, "-", $A$9), OBS_District_Flows!$A:$G, 6,FALSE),0)</f>
        <v>0</v>
      </c>
      <c r="AG24" s="96">
        <f>IFERROR(VLOOKUP(CONCATENATE($A$15,"-",$A$12, "-", $D24, "-", AG$3, "-", $A$9), OBS_District_Flows!$A:$G, 6,FALSE),0)</f>
        <v>0</v>
      </c>
      <c r="AH24" s="96">
        <f>IFERROR(VLOOKUP(CONCATENATE($A$15,"-",$A$12, "-", $D24, "-", AH$3, "-", $A$9), OBS_District_Flows!$A:$G, 6,FALSE),0)</f>
        <v>0</v>
      </c>
      <c r="AI24" s="96">
        <f>IFERROR(VLOOKUP(CONCATENATE($A$15,"-",$A$12, "-", $D24, "-", AI$3, "-", $A$9), OBS_District_Flows!$A:$G, 6,FALSE),0)</f>
        <v>0</v>
      </c>
      <c r="AJ24" s="96">
        <f>IFERROR(VLOOKUP(CONCATENATE($A$15,"-",$A$12, "-", $D24, "-", AJ$3, "-", $A$9), OBS_District_Flows!$A:$G, 6,FALSE),0)</f>
        <v>0</v>
      </c>
      <c r="AK24" s="96">
        <f>IFERROR(VLOOKUP(CONCATENATE($A$15,"-",$A$12, "-", $D24, "-", AK$3, "-", $A$9), OBS_District_Flows!$A:$G, 6,FALSE),0)</f>
        <v>0</v>
      </c>
      <c r="AL24" s="97">
        <f>IFERROR(VLOOKUP(CONCATENATE($A$15,"-",$A$12, "-", $D24, "-", AL$3, "-", $A$9), OBS_District_Flows!$A:$G, 6,FALSE),0)</f>
        <v>0</v>
      </c>
      <c r="AM24" s="88">
        <f t="shared" si="6"/>
        <v>0</v>
      </c>
      <c r="AO24" s="261"/>
      <c r="AP24" s="84" t="s">
        <v>194</v>
      </c>
      <c r="AQ24" s="98" t="str">
        <f t="shared" si="7"/>
        <v/>
      </c>
      <c r="AR24" s="99" t="str">
        <f t="shared" si="7"/>
        <v/>
      </c>
      <c r="AS24" s="99" t="str">
        <f t="shared" si="7"/>
        <v/>
      </c>
      <c r="AT24" s="99" t="str">
        <f t="shared" si="7"/>
        <v/>
      </c>
      <c r="AU24" s="99" t="str">
        <f t="shared" si="7"/>
        <v/>
      </c>
      <c r="AV24" s="99" t="str">
        <f t="shared" si="7"/>
        <v/>
      </c>
      <c r="AW24" s="99" t="str">
        <f t="shared" si="7"/>
        <v/>
      </c>
      <c r="AX24" s="99" t="str">
        <f t="shared" si="7"/>
        <v/>
      </c>
      <c r="AY24" s="99" t="str">
        <f t="shared" si="7"/>
        <v/>
      </c>
      <c r="AZ24" s="99" t="str">
        <f t="shared" si="7"/>
        <v/>
      </c>
      <c r="BA24" s="99" t="str">
        <f t="shared" si="7"/>
        <v/>
      </c>
      <c r="BB24" s="99" t="str">
        <f t="shared" si="7"/>
        <v/>
      </c>
      <c r="BC24" s="99" t="str">
        <f t="shared" si="7"/>
        <v/>
      </c>
      <c r="BD24" s="99" t="str">
        <f t="shared" si="7"/>
        <v/>
      </c>
      <c r="BE24" s="99" t="str">
        <f t="shared" si="7"/>
        <v/>
      </c>
      <c r="BF24" s="99" t="str">
        <f t="shared" si="7"/>
        <v/>
      </c>
      <c r="BG24" s="99" t="str">
        <f t="shared" si="9"/>
        <v/>
      </c>
      <c r="BH24" s="99" t="str">
        <f t="shared" si="9"/>
        <v/>
      </c>
      <c r="BI24" s="99" t="str">
        <f t="shared" si="9"/>
        <v/>
      </c>
      <c r="BJ24" s="99" t="str">
        <f t="shared" si="9"/>
        <v/>
      </c>
      <c r="BK24" s="99" t="str">
        <f t="shared" si="9"/>
        <v/>
      </c>
      <c r="BL24" s="99" t="str">
        <f t="shared" si="9"/>
        <v/>
      </c>
      <c r="BM24" s="99" t="str">
        <f t="shared" si="9"/>
        <v/>
      </c>
      <c r="BN24" s="99" t="str">
        <f t="shared" si="9"/>
        <v/>
      </c>
      <c r="BO24" s="99" t="str">
        <f t="shared" si="9"/>
        <v/>
      </c>
      <c r="BP24" s="99" t="str">
        <f t="shared" si="9"/>
        <v/>
      </c>
      <c r="BQ24" s="99" t="str">
        <f t="shared" si="9"/>
        <v/>
      </c>
      <c r="BR24" s="99" t="str">
        <f t="shared" si="9"/>
        <v/>
      </c>
      <c r="BS24" s="99" t="str">
        <f t="shared" si="9"/>
        <v/>
      </c>
      <c r="BT24" s="99" t="str">
        <f t="shared" si="9"/>
        <v/>
      </c>
      <c r="BU24" s="99" t="str">
        <f t="shared" si="9"/>
        <v/>
      </c>
      <c r="BV24" s="99" t="str">
        <f t="shared" si="9"/>
        <v/>
      </c>
      <c r="BW24" s="99" t="str">
        <f t="shared" si="10"/>
        <v/>
      </c>
      <c r="BX24" s="100" t="str">
        <f t="shared" si="2"/>
        <v/>
      </c>
      <c r="BY24" s="92" t="str">
        <f t="shared" si="2"/>
        <v/>
      </c>
      <c r="CA24" s="261"/>
      <c r="CB24" s="84" t="s">
        <v>194</v>
      </c>
      <c r="CC24" s="98" t="str">
        <f t="shared" si="8"/>
        <v/>
      </c>
      <c r="CD24" s="99" t="str">
        <f t="shared" si="8"/>
        <v/>
      </c>
      <c r="CE24" s="99" t="str">
        <f t="shared" si="8"/>
        <v/>
      </c>
      <c r="CF24" s="99" t="str">
        <f t="shared" si="8"/>
        <v/>
      </c>
      <c r="CG24" s="99" t="str">
        <f t="shared" si="8"/>
        <v/>
      </c>
      <c r="CH24" s="99" t="str">
        <f t="shared" si="8"/>
        <v/>
      </c>
      <c r="CI24" s="99" t="str">
        <f t="shared" si="8"/>
        <v/>
      </c>
      <c r="CJ24" s="99" t="str">
        <f t="shared" si="8"/>
        <v/>
      </c>
      <c r="CK24" s="99" t="str">
        <f t="shared" si="8"/>
        <v/>
      </c>
      <c r="CL24" s="99" t="str">
        <f t="shared" si="8"/>
        <v/>
      </c>
      <c r="CM24" s="99" t="str">
        <f t="shared" si="8"/>
        <v/>
      </c>
      <c r="CN24" s="99" t="str">
        <f t="shared" si="8"/>
        <v/>
      </c>
      <c r="CO24" s="99" t="str">
        <f t="shared" si="8"/>
        <v/>
      </c>
      <c r="CP24" s="99" t="str">
        <f t="shared" si="8"/>
        <v/>
      </c>
      <c r="CQ24" s="99" t="str">
        <f t="shared" si="8"/>
        <v/>
      </c>
      <c r="CR24" s="99" t="str">
        <f t="shared" si="8"/>
        <v/>
      </c>
      <c r="CS24" s="99" t="str">
        <f t="shared" si="11"/>
        <v/>
      </c>
      <c r="CT24" s="99" t="str">
        <f t="shared" si="11"/>
        <v/>
      </c>
      <c r="CU24" s="99" t="str">
        <f t="shared" si="11"/>
        <v/>
      </c>
      <c r="CV24" s="99" t="str">
        <f t="shared" si="11"/>
        <v/>
      </c>
      <c r="CW24" s="99" t="str">
        <f t="shared" si="11"/>
        <v/>
      </c>
      <c r="CX24" s="99" t="str">
        <f t="shared" si="11"/>
        <v/>
      </c>
      <c r="CY24" s="99" t="str">
        <f t="shared" si="11"/>
        <v/>
      </c>
      <c r="CZ24" s="99" t="str">
        <f t="shared" si="11"/>
        <v/>
      </c>
      <c r="DA24" s="99" t="str">
        <f t="shared" si="11"/>
        <v/>
      </c>
      <c r="DB24" s="99" t="str">
        <f t="shared" si="11"/>
        <v/>
      </c>
      <c r="DC24" s="99" t="str">
        <f t="shared" si="11"/>
        <v/>
      </c>
      <c r="DD24" s="99" t="str">
        <f t="shared" si="11"/>
        <v/>
      </c>
      <c r="DE24" s="99" t="str">
        <f t="shared" si="11"/>
        <v/>
      </c>
      <c r="DF24" s="99" t="str">
        <f t="shared" si="11"/>
        <v/>
      </c>
      <c r="DG24" s="99" t="str">
        <f t="shared" si="11"/>
        <v/>
      </c>
      <c r="DH24" s="99" t="str">
        <f t="shared" si="11"/>
        <v/>
      </c>
      <c r="DI24" s="99" t="str">
        <f t="shared" si="12"/>
        <v/>
      </c>
      <c r="DJ24" s="100" t="str">
        <f t="shared" si="5"/>
        <v/>
      </c>
      <c r="DK24" s="92" t="str">
        <f t="shared" si="5"/>
        <v/>
      </c>
    </row>
    <row r="25" spans="1:115" x14ac:dyDescent="0.2">
      <c r="C25" s="260"/>
      <c r="D25" s="84" t="s">
        <v>196</v>
      </c>
      <c r="E25" s="95">
        <f>IFERROR(VLOOKUP(CONCATENATE($A$15,"-",$A$12, "-", $D25, "-", E$3, "-", $A$9), OBS_District_Flows!$A:$G, 6,FALSE),0)</f>
        <v>0</v>
      </c>
      <c r="F25" s="96">
        <f>IFERROR(VLOOKUP(CONCATENATE($A$15,"-",$A$12, "-", $D25, "-", F$3, "-", $A$9), OBS_District_Flows!$A:$G, 6,FALSE),0)</f>
        <v>0</v>
      </c>
      <c r="G25" s="96">
        <f>IFERROR(VLOOKUP(CONCATENATE($A$15,"-",$A$12, "-", $D25, "-", G$3, "-", $A$9), OBS_District_Flows!$A:$G, 6,FALSE),0)</f>
        <v>0</v>
      </c>
      <c r="H25" s="96">
        <f>IFERROR(VLOOKUP(CONCATENATE($A$15,"-",$A$12, "-", $D25, "-", H$3, "-", $A$9), OBS_District_Flows!$A:$G, 6,FALSE),0)</f>
        <v>0</v>
      </c>
      <c r="I25" s="96">
        <f>IFERROR(VLOOKUP(CONCATENATE($A$15,"-",$A$12, "-", $D25, "-", I$3, "-", $A$9), OBS_District_Flows!$A:$G, 6,FALSE),0)</f>
        <v>0</v>
      </c>
      <c r="J25" s="96">
        <f>IFERROR(VLOOKUP(CONCATENATE($A$15,"-",$A$12, "-", $D25, "-", J$3, "-", $A$9), OBS_District_Flows!$A:$G, 6,FALSE),0)</f>
        <v>0</v>
      </c>
      <c r="K25" s="96">
        <f>IFERROR(VLOOKUP(CONCATENATE($A$15,"-",$A$12, "-", $D25, "-", K$3, "-", $A$9), OBS_District_Flows!$A:$G, 6,FALSE),0)</f>
        <v>0</v>
      </c>
      <c r="L25" s="96">
        <f>IFERROR(VLOOKUP(CONCATENATE($A$15,"-",$A$12, "-", $D25, "-", L$3, "-", $A$9), OBS_District_Flows!$A:$G, 6,FALSE),0)</f>
        <v>0</v>
      </c>
      <c r="M25" s="96">
        <f>IFERROR(VLOOKUP(CONCATENATE($A$15,"-",$A$12, "-", $D25, "-", M$3, "-", $A$9), OBS_District_Flows!$A:$G, 6,FALSE),0)</f>
        <v>0</v>
      </c>
      <c r="N25" s="96">
        <f>IFERROR(VLOOKUP(CONCATENATE($A$15,"-",$A$12, "-", $D25, "-", N$3, "-", $A$9), OBS_District_Flows!$A:$G, 6,FALSE),0)</f>
        <v>0</v>
      </c>
      <c r="O25" s="96">
        <f>IFERROR(VLOOKUP(CONCATENATE($A$15,"-",$A$12, "-", $D25, "-", O$3, "-", $A$9), OBS_District_Flows!$A:$G, 6,FALSE),0)</f>
        <v>0</v>
      </c>
      <c r="P25" s="96">
        <f>IFERROR(VLOOKUP(CONCATENATE($A$15,"-",$A$12, "-", $D25, "-", P$3, "-", $A$9), OBS_District_Flows!$A:$G, 6,FALSE),0)</f>
        <v>0</v>
      </c>
      <c r="Q25" s="96">
        <f>IFERROR(VLOOKUP(CONCATENATE($A$15,"-",$A$12, "-", $D25, "-", Q$3, "-", $A$9), OBS_District_Flows!$A:$G, 6,FALSE),0)</f>
        <v>0</v>
      </c>
      <c r="R25" s="96">
        <f>IFERROR(VLOOKUP(CONCATENATE($A$15,"-",$A$12, "-", $D25, "-", R$3, "-", $A$9), OBS_District_Flows!$A:$G, 6,FALSE),0)</f>
        <v>0</v>
      </c>
      <c r="S25" s="96">
        <f>IFERROR(VLOOKUP(CONCATENATE($A$15,"-",$A$12, "-", $D25, "-", S$3, "-", $A$9), OBS_District_Flows!$A:$G, 6,FALSE),0)</f>
        <v>0</v>
      </c>
      <c r="T25" s="96">
        <f>IFERROR(VLOOKUP(CONCATENATE($A$15,"-",$A$12, "-", $D25, "-", T$3, "-", $A$9), OBS_District_Flows!$A:$G, 6,FALSE),0)</f>
        <v>0</v>
      </c>
      <c r="U25" s="96">
        <f>IFERROR(VLOOKUP(CONCATENATE($A$15,"-",$A$12, "-", $D25, "-", U$3, "-", $A$9), OBS_District_Flows!$A:$G, 6,FALSE),0)</f>
        <v>0</v>
      </c>
      <c r="V25" s="96">
        <f>IFERROR(VLOOKUP(CONCATENATE($A$15,"-",$A$12, "-", $D25, "-", V$3, "-", $A$9), OBS_District_Flows!$A:$G, 6,FALSE),0)</f>
        <v>0</v>
      </c>
      <c r="W25" s="96">
        <f>IFERROR(VLOOKUP(CONCATENATE($A$15,"-",$A$12, "-", $D25, "-", W$3, "-", $A$9), OBS_District_Flows!$A:$G, 6,FALSE),0)</f>
        <v>0</v>
      </c>
      <c r="X25" s="96">
        <f>IFERROR(VLOOKUP(CONCATENATE($A$15,"-",$A$12, "-", $D25, "-", X$3, "-", $A$9), OBS_District_Flows!$A:$G, 6,FALSE),0)</f>
        <v>0</v>
      </c>
      <c r="Y25" s="96">
        <f>IFERROR(VLOOKUP(CONCATENATE($A$15,"-",$A$12, "-", $D25, "-", Y$3, "-", $A$9), OBS_District_Flows!$A:$G, 6,FALSE),0)</f>
        <v>0</v>
      </c>
      <c r="Z25" s="96">
        <f>IFERROR(VLOOKUP(CONCATENATE($A$15,"-",$A$12, "-", $D25, "-", Z$3, "-", $A$9), OBS_District_Flows!$A:$G, 6,FALSE),0)</f>
        <v>0</v>
      </c>
      <c r="AA25" s="96">
        <f>IFERROR(VLOOKUP(CONCATENATE($A$15,"-",$A$12, "-", $D25, "-", AA$3, "-", $A$9), OBS_District_Flows!$A:$G, 6,FALSE),0)</f>
        <v>0</v>
      </c>
      <c r="AB25" s="96">
        <f>IFERROR(VLOOKUP(CONCATENATE($A$15,"-",$A$12, "-", $D25, "-", AB$3, "-", $A$9), OBS_District_Flows!$A:$G, 6,FALSE),0)</f>
        <v>0</v>
      </c>
      <c r="AC25" s="96">
        <f>IFERROR(VLOOKUP(CONCATENATE($A$15,"-",$A$12, "-", $D25, "-", AC$3, "-", $A$9), OBS_District_Flows!$A:$G, 6,FALSE),0)</f>
        <v>0</v>
      </c>
      <c r="AD25" s="96">
        <f>IFERROR(VLOOKUP(CONCATENATE($A$15,"-",$A$12, "-", $D25, "-", AD$3, "-", $A$9), OBS_District_Flows!$A:$G, 6,FALSE),0)</f>
        <v>0</v>
      </c>
      <c r="AE25" s="96">
        <f>IFERROR(VLOOKUP(CONCATENATE($A$15,"-",$A$12, "-", $D25, "-", AE$3, "-", $A$9), OBS_District_Flows!$A:$G, 6,FALSE),0)</f>
        <v>0</v>
      </c>
      <c r="AF25" s="96">
        <f>IFERROR(VLOOKUP(CONCATENATE($A$15,"-",$A$12, "-", $D25, "-", AF$3, "-", $A$9), OBS_District_Flows!$A:$G, 6,FALSE),0)</f>
        <v>0</v>
      </c>
      <c r="AG25" s="96">
        <f>IFERROR(VLOOKUP(CONCATENATE($A$15,"-",$A$12, "-", $D25, "-", AG$3, "-", $A$9), OBS_District_Flows!$A:$G, 6,FALSE),0)</f>
        <v>0</v>
      </c>
      <c r="AH25" s="96">
        <f>IFERROR(VLOOKUP(CONCATENATE($A$15,"-",$A$12, "-", $D25, "-", AH$3, "-", $A$9), OBS_District_Flows!$A:$G, 6,FALSE),0)</f>
        <v>0</v>
      </c>
      <c r="AI25" s="96">
        <f>IFERROR(VLOOKUP(CONCATENATE($A$15,"-",$A$12, "-", $D25, "-", AI$3, "-", $A$9), OBS_District_Flows!$A:$G, 6,FALSE),0)</f>
        <v>0</v>
      </c>
      <c r="AJ25" s="96">
        <f>IFERROR(VLOOKUP(CONCATENATE($A$15,"-",$A$12, "-", $D25, "-", AJ$3, "-", $A$9), OBS_District_Flows!$A:$G, 6,FALSE),0)</f>
        <v>0</v>
      </c>
      <c r="AK25" s="96">
        <f>IFERROR(VLOOKUP(CONCATENATE($A$15,"-",$A$12, "-", $D25, "-", AK$3, "-", $A$9), OBS_District_Flows!$A:$G, 6,FALSE),0)</f>
        <v>0</v>
      </c>
      <c r="AL25" s="97">
        <f>IFERROR(VLOOKUP(CONCATENATE($A$15,"-",$A$12, "-", $D25, "-", AL$3, "-", $A$9), OBS_District_Flows!$A:$G, 6,FALSE),0)</f>
        <v>0</v>
      </c>
      <c r="AM25" s="88">
        <f t="shared" si="6"/>
        <v>0</v>
      </c>
      <c r="AO25" s="261"/>
      <c r="AP25" s="84" t="s">
        <v>196</v>
      </c>
      <c r="AQ25" s="98" t="str">
        <f t="shared" si="7"/>
        <v/>
      </c>
      <c r="AR25" s="99" t="str">
        <f t="shared" si="7"/>
        <v/>
      </c>
      <c r="AS25" s="99" t="str">
        <f t="shared" si="7"/>
        <v/>
      </c>
      <c r="AT25" s="99" t="str">
        <f t="shared" si="7"/>
        <v/>
      </c>
      <c r="AU25" s="99" t="str">
        <f t="shared" si="7"/>
        <v/>
      </c>
      <c r="AV25" s="99" t="str">
        <f t="shared" si="7"/>
        <v/>
      </c>
      <c r="AW25" s="99" t="str">
        <f t="shared" si="7"/>
        <v/>
      </c>
      <c r="AX25" s="99" t="str">
        <f t="shared" si="7"/>
        <v/>
      </c>
      <c r="AY25" s="99" t="str">
        <f t="shared" si="7"/>
        <v/>
      </c>
      <c r="AZ25" s="99" t="str">
        <f t="shared" si="7"/>
        <v/>
      </c>
      <c r="BA25" s="99" t="str">
        <f t="shared" si="7"/>
        <v/>
      </c>
      <c r="BB25" s="99" t="str">
        <f t="shared" si="7"/>
        <v/>
      </c>
      <c r="BC25" s="99" t="str">
        <f t="shared" si="7"/>
        <v/>
      </c>
      <c r="BD25" s="99" t="str">
        <f t="shared" si="7"/>
        <v/>
      </c>
      <c r="BE25" s="99" t="str">
        <f t="shared" si="7"/>
        <v/>
      </c>
      <c r="BF25" s="99" t="str">
        <f t="shared" si="7"/>
        <v/>
      </c>
      <c r="BG25" s="99" t="str">
        <f t="shared" si="9"/>
        <v/>
      </c>
      <c r="BH25" s="99" t="str">
        <f t="shared" si="9"/>
        <v/>
      </c>
      <c r="BI25" s="99" t="str">
        <f t="shared" si="9"/>
        <v/>
      </c>
      <c r="BJ25" s="99" t="str">
        <f t="shared" si="9"/>
        <v/>
      </c>
      <c r="BK25" s="99" t="str">
        <f t="shared" si="9"/>
        <v/>
      </c>
      <c r="BL25" s="99" t="str">
        <f t="shared" si="9"/>
        <v/>
      </c>
      <c r="BM25" s="99" t="str">
        <f t="shared" si="9"/>
        <v/>
      </c>
      <c r="BN25" s="99" t="str">
        <f t="shared" si="9"/>
        <v/>
      </c>
      <c r="BO25" s="99" t="str">
        <f t="shared" si="9"/>
        <v/>
      </c>
      <c r="BP25" s="99" t="str">
        <f t="shared" si="9"/>
        <v/>
      </c>
      <c r="BQ25" s="99" t="str">
        <f t="shared" si="9"/>
        <v/>
      </c>
      <c r="BR25" s="99" t="str">
        <f t="shared" si="9"/>
        <v/>
      </c>
      <c r="BS25" s="99" t="str">
        <f t="shared" si="9"/>
        <v/>
      </c>
      <c r="BT25" s="99" t="str">
        <f t="shared" si="9"/>
        <v/>
      </c>
      <c r="BU25" s="99" t="str">
        <f t="shared" si="9"/>
        <v/>
      </c>
      <c r="BV25" s="99" t="str">
        <f t="shared" si="9"/>
        <v/>
      </c>
      <c r="BW25" s="99" t="str">
        <f t="shared" si="10"/>
        <v/>
      </c>
      <c r="BX25" s="100" t="str">
        <f t="shared" si="2"/>
        <v/>
      </c>
      <c r="BY25" s="92" t="str">
        <f t="shared" si="2"/>
        <v/>
      </c>
      <c r="CA25" s="261"/>
      <c r="CB25" s="84" t="s">
        <v>196</v>
      </c>
      <c r="CC25" s="98" t="str">
        <f t="shared" si="8"/>
        <v/>
      </c>
      <c r="CD25" s="99" t="str">
        <f t="shared" si="8"/>
        <v/>
      </c>
      <c r="CE25" s="99" t="str">
        <f t="shared" si="8"/>
        <v/>
      </c>
      <c r="CF25" s="99" t="str">
        <f t="shared" si="8"/>
        <v/>
      </c>
      <c r="CG25" s="99" t="str">
        <f t="shared" si="8"/>
        <v/>
      </c>
      <c r="CH25" s="99" t="str">
        <f t="shared" si="8"/>
        <v/>
      </c>
      <c r="CI25" s="99" t="str">
        <f t="shared" si="8"/>
        <v/>
      </c>
      <c r="CJ25" s="99" t="str">
        <f t="shared" si="8"/>
        <v/>
      </c>
      <c r="CK25" s="99" t="str">
        <f t="shared" si="8"/>
        <v/>
      </c>
      <c r="CL25" s="99" t="str">
        <f t="shared" si="8"/>
        <v/>
      </c>
      <c r="CM25" s="99" t="str">
        <f t="shared" si="8"/>
        <v/>
      </c>
      <c r="CN25" s="99" t="str">
        <f t="shared" si="8"/>
        <v/>
      </c>
      <c r="CO25" s="99" t="str">
        <f t="shared" si="8"/>
        <v/>
      </c>
      <c r="CP25" s="99" t="str">
        <f t="shared" si="8"/>
        <v/>
      </c>
      <c r="CQ25" s="99" t="str">
        <f t="shared" si="8"/>
        <v/>
      </c>
      <c r="CR25" s="99" t="str">
        <f t="shared" si="8"/>
        <v/>
      </c>
      <c r="CS25" s="99" t="str">
        <f t="shared" si="11"/>
        <v/>
      </c>
      <c r="CT25" s="99" t="str">
        <f t="shared" si="11"/>
        <v/>
      </c>
      <c r="CU25" s="99" t="str">
        <f t="shared" si="11"/>
        <v/>
      </c>
      <c r="CV25" s="99" t="str">
        <f t="shared" si="11"/>
        <v/>
      </c>
      <c r="CW25" s="99" t="str">
        <f t="shared" si="11"/>
        <v/>
      </c>
      <c r="CX25" s="99" t="str">
        <f t="shared" si="11"/>
        <v/>
      </c>
      <c r="CY25" s="99" t="str">
        <f t="shared" si="11"/>
        <v/>
      </c>
      <c r="CZ25" s="99" t="str">
        <f t="shared" si="11"/>
        <v/>
      </c>
      <c r="DA25" s="99" t="str">
        <f t="shared" si="11"/>
        <v/>
      </c>
      <c r="DB25" s="99" t="str">
        <f t="shared" si="11"/>
        <v/>
      </c>
      <c r="DC25" s="99" t="str">
        <f t="shared" si="11"/>
        <v/>
      </c>
      <c r="DD25" s="99" t="str">
        <f t="shared" si="11"/>
        <v/>
      </c>
      <c r="DE25" s="99" t="str">
        <f t="shared" si="11"/>
        <v/>
      </c>
      <c r="DF25" s="99" t="str">
        <f t="shared" si="11"/>
        <v/>
      </c>
      <c r="DG25" s="99" t="str">
        <f t="shared" si="11"/>
        <v/>
      </c>
      <c r="DH25" s="99" t="str">
        <f t="shared" si="11"/>
        <v/>
      </c>
      <c r="DI25" s="99" t="str">
        <f t="shared" si="12"/>
        <v/>
      </c>
      <c r="DJ25" s="100" t="str">
        <f t="shared" si="5"/>
        <v/>
      </c>
      <c r="DK25" s="92" t="str">
        <f t="shared" si="5"/>
        <v/>
      </c>
    </row>
    <row r="26" spans="1:115" x14ac:dyDescent="0.2">
      <c r="C26" s="260"/>
      <c r="D26" s="84" t="s">
        <v>197</v>
      </c>
      <c r="E26" s="95">
        <f>IFERROR(VLOOKUP(CONCATENATE($A$15,"-",$A$12, "-", $D26, "-", E$3, "-", $A$9), OBS_District_Flows!$A:$G, 6,FALSE),0)</f>
        <v>0</v>
      </c>
      <c r="F26" s="96">
        <f>IFERROR(VLOOKUP(CONCATENATE($A$15,"-",$A$12, "-", $D26, "-", F$3, "-", $A$9), OBS_District_Flows!$A:$G, 6,FALSE),0)</f>
        <v>0</v>
      </c>
      <c r="G26" s="96">
        <f>IFERROR(VLOOKUP(CONCATENATE($A$15,"-",$A$12, "-", $D26, "-", G$3, "-", $A$9), OBS_District_Flows!$A:$G, 6,FALSE),0)</f>
        <v>0</v>
      </c>
      <c r="H26" s="96">
        <f>IFERROR(VLOOKUP(CONCATENATE($A$15,"-",$A$12, "-", $D26, "-", H$3, "-", $A$9), OBS_District_Flows!$A:$G, 6,FALSE),0)</f>
        <v>0</v>
      </c>
      <c r="I26" s="96">
        <f>IFERROR(VLOOKUP(CONCATENATE($A$15,"-",$A$12, "-", $D26, "-", I$3, "-", $A$9), OBS_District_Flows!$A:$G, 6,FALSE),0)</f>
        <v>0</v>
      </c>
      <c r="J26" s="96">
        <f>IFERROR(VLOOKUP(CONCATENATE($A$15,"-",$A$12, "-", $D26, "-", J$3, "-", $A$9), OBS_District_Flows!$A:$G, 6,FALSE),0)</f>
        <v>0</v>
      </c>
      <c r="K26" s="96">
        <f>IFERROR(VLOOKUP(CONCATENATE($A$15,"-",$A$12, "-", $D26, "-", K$3, "-", $A$9), OBS_District_Flows!$A:$G, 6,FALSE),0)</f>
        <v>0</v>
      </c>
      <c r="L26" s="96">
        <f>IFERROR(VLOOKUP(CONCATENATE($A$15,"-",$A$12, "-", $D26, "-", L$3, "-", $A$9), OBS_District_Flows!$A:$G, 6,FALSE),0)</f>
        <v>0</v>
      </c>
      <c r="M26" s="96">
        <f>IFERROR(VLOOKUP(CONCATENATE($A$15,"-",$A$12, "-", $D26, "-", M$3, "-", $A$9), OBS_District_Flows!$A:$G, 6,FALSE),0)</f>
        <v>0</v>
      </c>
      <c r="N26" s="96">
        <f>IFERROR(VLOOKUP(CONCATENATE($A$15,"-",$A$12, "-", $D26, "-", N$3, "-", $A$9), OBS_District_Flows!$A:$G, 6,FALSE),0)</f>
        <v>0</v>
      </c>
      <c r="O26" s="96">
        <f>IFERROR(VLOOKUP(CONCATENATE($A$15,"-",$A$12, "-", $D26, "-", O$3, "-", $A$9), OBS_District_Flows!$A:$G, 6,FALSE),0)</f>
        <v>0</v>
      </c>
      <c r="P26" s="96">
        <f>IFERROR(VLOOKUP(CONCATENATE($A$15,"-",$A$12, "-", $D26, "-", P$3, "-", $A$9), OBS_District_Flows!$A:$G, 6,FALSE),0)</f>
        <v>0</v>
      </c>
      <c r="Q26" s="96">
        <f>IFERROR(VLOOKUP(CONCATENATE($A$15,"-",$A$12, "-", $D26, "-", Q$3, "-", $A$9), OBS_District_Flows!$A:$G, 6,FALSE),0)</f>
        <v>0</v>
      </c>
      <c r="R26" s="96">
        <f>IFERROR(VLOOKUP(CONCATENATE($A$15,"-",$A$12, "-", $D26, "-", R$3, "-", $A$9), OBS_District_Flows!$A:$G, 6,FALSE),0)</f>
        <v>0</v>
      </c>
      <c r="S26" s="96">
        <f>IFERROR(VLOOKUP(CONCATENATE($A$15,"-",$A$12, "-", $D26, "-", S$3, "-", $A$9), OBS_District_Flows!$A:$G, 6,FALSE),0)</f>
        <v>0</v>
      </c>
      <c r="T26" s="96">
        <f>IFERROR(VLOOKUP(CONCATENATE($A$15,"-",$A$12, "-", $D26, "-", T$3, "-", $A$9), OBS_District_Flows!$A:$G, 6,FALSE),0)</f>
        <v>0</v>
      </c>
      <c r="U26" s="96">
        <f>IFERROR(VLOOKUP(CONCATENATE($A$15,"-",$A$12, "-", $D26, "-", U$3, "-", $A$9), OBS_District_Flows!$A:$G, 6,FALSE),0)</f>
        <v>0</v>
      </c>
      <c r="V26" s="96">
        <f>IFERROR(VLOOKUP(CONCATENATE($A$15,"-",$A$12, "-", $D26, "-", V$3, "-", $A$9), OBS_District_Flows!$A:$G, 6,FALSE),0)</f>
        <v>0</v>
      </c>
      <c r="W26" s="96">
        <f>IFERROR(VLOOKUP(CONCATENATE($A$15,"-",$A$12, "-", $D26, "-", W$3, "-", $A$9), OBS_District_Flows!$A:$G, 6,FALSE),0)</f>
        <v>0</v>
      </c>
      <c r="X26" s="96">
        <f>IFERROR(VLOOKUP(CONCATENATE($A$15,"-",$A$12, "-", $D26, "-", X$3, "-", $A$9), OBS_District_Flows!$A:$G, 6,FALSE),0)</f>
        <v>0</v>
      </c>
      <c r="Y26" s="96">
        <f>IFERROR(VLOOKUP(CONCATENATE($A$15,"-",$A$12, "-", $D26, "-", Y$3, "-", $A$9), OBS_District_Flows!$A:$G, 6,FALSE),0)</f>
        <v>0</v>
      </c>
      <c r="Z26" s="96">
        <f>IFERROR(VLOOKUP(CONCATENATE($A$15,"-",$A$12, "-", $D26, "-", Z$3, "-", $A$9), OBS_District_Flows!$A:$G, 6,FALSE),0)</f>
        <v>0</v>
      </c>
      <c r="AA26" s="96">
        <f>IFERROR(VLOOKUP(CONCATENATE($A$15,"-",$A$12, "-", $D26, "-", AA$3, "-", $A$9), OBS_District_Flows!$A:$G, 6,FALSE),0)</f>
        <v>0</v>
      </c>
      <c r="AB26" s="96">
        <f>IFERROR(VLOOKUP(CONCATENATE($A$15,"-",$A$12, "-", $D26, "-", AB$3, "-", $A$9), OBS_District_Flows!$A:$G, 6,FALSE),0)</f>
        <v>0</v>
      </c>
      <c r="AC26" s="96">
        <f>IFERROR(VLOOKUP(CONCATENATE($A$15,"-",$A$12, "-", $D26, "-", AC$3, "-", $A$9), OBS_District_Flows!$A:$G, 6,FALSE),0)</f>
        <v>0</v>
      </c>
      <c r="AD26" s="96">
        <f>IFERROR(VLOOKUP(CONCATENATE($A$15,"-",$A$12, "-", $D26, "-", AD$3, "-", $A$9), OBS_District_Flows!$A:$G, 6,FALSE),0)</f>
        <v>0</v>
      </c>
      <c r="AE26" s="96">
        <f>IFERROR(VLOOKUP(CONCATENATE($A$15,"-",$A$12, "-", $D26, "-", AE$3, "-", $A$9), OBS_District_Flows!$A:$G, 6,FALSE),0)</f>
        <v>0</v>
      </c>
      <c r="AF26" s="96">
        <f>IFERROR(VLOOKUP(CONCATENATE($A$15,"-",$A$12, "-", $D26, "-", AF$3, "-", $A$9), OBS_District_Flows!$A:$G, 6,FALSE),0)</f>
        <v>0</v>
      </c>
      <c r="AG26" s="96">
        <f>IFERROR(VLOOKUP(CONCATENATE($A$15,"-",$A$12, "-", $D26, "-", AG$3, "-", $A$9), OBS_District_Flows!$A:$G, 6,FALSE),0)</f>
        <v>0</v>
      </c>
      <c r="AH26" s="96">
        <f>IFERROR(VLOOKUP(CONCATENATE($A$15,"-",$A$12, "-", $D26, "-", AH$3, "-", $A$9), OBS_District_Flows!$A:$G, 6,FALSE),0)</f>
        <v>0</v>
      </c>
      <c r="AI26" s="96">
        <f>IFERROR(VLOOKUP(CONCATENATE($A$15,"-",$A$12, "-", $D26, "-", AI$3, "-", $A$9), OBS_District_Flows!$A:$G, 6,FALSE),0)</f>
        <v>0</v>
      </c>
      <c r="AJ26" s="96">
        <f>IFERROR(VLOOKUP(CONCATENATE($A$15,"-",$A$12, "-", $D26, "-", AJ$3, "-", $A$9), OBS_District_Flows!$A:$G, 6,FALSE),0)</f>
        <v>0</v>
      </c>
      <c r="AK26" s="96">
        <f>IFERROR(VLOOKUP(CONCATENATE($A$15,"-",$A$12, "-", $D26, "-", AK$3, "-", $A$9), OBS_District_Flows!$A:$G, 6,FALSE),0)</f>
        <v>0</v>
      </c>
      <c r="AL26" s="97">
        <f>IFERROR(VLOOKUP(CONCATENATE($A$15,"-",$A$12, "-", $D26, "-", AL$3, "-", $A$9), OBS_District_Flows!$A:$G, 6,FALSE),0)</f>
        <v>0</v>
      </c>
      <c r="AM26" s="88">
        <f t="shared" si="6"/>
        <v>0</v>
      </c>
      <c r="AO26" s="261"/>
      <c r="AP26" s="84" t="s">
        <v>197</v>
      </c>
      <c r="AQ26" s="98" t="str">
        <f t="shared" si="7"/>
        <v/>
      </c>
      <c r="AR26" s="99" t="str">
        <f t="shared" si="7"/>
        <v/>
      </c>
      <c r="AS26" s="99" t="str">
        <f t="shared" si="7"/>
        <v/>
      </c>
      <c r="AT26" s="99" t="str">
        <f t="shared" si="7"/>
        <v/>
      </c>
      <c r="AU26" s="99" t="str">
        <f t="shared" si="7"/>
        <v/>
      </c>
      <c r="AV26" s="99" t="str">
        <f t="shared" si="7"/>
        <v/>
      </c>
      <c r="AW26" s="99" t="str">
        <f t="shared" si="7"/>
        <v/>
      </c>
      <c r="AX26" s="99" t="str">
        <f t="shared" si="7"/>
        <v/>
      </c>
      <c r="AY26" s="99" t="str">
        <f t="shared" si="7"/>
        <v/>
      </c>
      <c r="AZ26" s="99" t="str">
        <f t="shared" si="7"/>
        <v/>
      </c>
      <c r="BA26" s="99" t="str">
        <f t="shared" si="7"/>
        <v/>
      </c>
      <c r="BB26" s="99" t="str">
        <f t="shared" si="7"/>
        <v/>
      </c>
      <c r="BC26" s="99" t="str">
        <f t="shared" si="7"/>
        <v/>
      </c>
      <c r="BD26" s="99" t="str">
        <f t="shared" si="7"/>
        <v/>
      </c>
      <c r="BE26" s="99" t="str">
        <f t="shared" si="7"/>
        <v/>
      </c>
      <c r="BF26" s="99" t="str">
        <f t="shared" si="7"/>
        <v/>
      </c>
      <c r="BG26" s="99" t="str">
        <f t="shared" si="9"/>
        <v/>
      </c>
      <c r="BH26" s="99" t="str">
        <f t="shared" si="9"/>
        <v/>
      </c>
      <c r="BI26" s="99" t="str">
        <f t="shared" si="9"/>
        <v/>
      </c>
      <c r="BJ26" s="99" t="str">
        <f t="shared" si="9"/>
        <v/>
      </c>
      <c r="BK26" s="99" t="str">
        <f t="shared" si="9"/>
        <v/>
      </c>
      <c r="BL26" s="99" t="str">
        <f t="shared" si="9"/>
        <v/>
      </c>
      <c r="BM26" s="99" t="str">
        <f t="shared" si="9"/>
        <v/>
      </c>
      <c r="BN26" s="99" t="str">
        <f t="shared" si="9"/>
        <v/>
      </c>
      <c r="BO26" s="99" t="str">
        <f t="shared" si="9"/>
        <v/>
      </c>
      <c r="BP26" s="99" t="str">
        <f t="shared" si="9"/>
        <v/>
      </c>
      <c r="BQ26" s="99" t="str">
        <f t="shared" si="9"/>
        <v/>
      </c>
      <c r="BR26" s="99" t="str">
        <f t="shared" si="9"/>
        <v/>
      </c>
      <c r="BS26" s="99" t="str">
        <f t="shared" si="9"/>
        <v/>
      </c>
      <c r="BT26" s="99" t="str">
        <f t="shared" si="9"/>
        <v/>
      </c>
      <c r="BU26" s="99" t="str">
        <f t="shared" si="9"/>
        <v/>
      </c>
      <c r="BV26" s="99" t="str">
        <f t="shared" si="9"/>
        <v/>
      </c>
      <c r="BW26" s="99" t="str">
        <f t="shared" si="10"/>
        <v/>
      </c>
      <c r="BX26" s="100" t="str">
        <f t="shared" si="2"/>
        <v/>
      </c>
      <c r="BY26" s="92" t="str">
        <f t="shared" si="2"/>
        <v/>
      </c>
      <c r="CA26" s="261"/>
      <c r="CB26" s="84" t="s">
        <v>197</v>
      </c>
      <c r="CC26" s="98" t="str">
        <f t="shared" si="8"/>
        <v/>
      </c>
      <c r="CD26" s="99" t="str">
        <f t="shared" si="8"/>
        <v/>
      </c>
      <c r="CE26" s="99" t="str">
        <f t="shared" si="8"/>
        <v/>
      </c>
      <c r="CF26" s="99" t="str">
        <f t="shared" si="8"/>
        <v/>
      </c>
      <c r="CG26" s="99" t="str">
        <f t="shared" si="8"/>
        <v/>
      </c>
      <c r="CH26" s="99" t="str">
        <f t="shared" si="8"/>
        <v/>
      </c>
      <c r="CI26" s="99" t="str">
        <f t="shared" si="8"/>
        <v/>
      </c>
      <c r="CJ26" s="99" t="str">
        <f t="shared" si="8"/>
        <v/>
      </c>
      <c r="CK26" s="99" t="str">
        <f t="shared" si="8"/>
        <v/>
      </c>
      <c r="CL26" s="99" t="str">
        <f t="shared" si="8"/>
        <v/>
      </c>
      <c r="CM26" s="99" t="str">
        <f t="shared" si="8"/>
        <v/>
      </c>
      <c r="CN26" s="99" t="str">
        <f t="shared" si="8"/>
        <v/>
      </c>
      <c r="CO26" s="99" t="str">
        <f t="shared" si="8"/>
        <v/>
      </c>
      <c r="CP26" s="99" t="str">
        <f t="shared" si="8"/>
        <v/>
      </c>
      <c r="CQ26" s="99" t="str">
        <f t="shared" si="8"/>
        <v/>
      </c>
      <c r="CR26" s="99" t="str">
        <f t="shared" si="8"/>
        <v/>
      </c>
      <c r="CS26" s="99" t="str">
        <f t="shared" si="11"/>
        <v/>
      </c>
      <c r="CT26" s="99" t="str">
        <f t="shared" si="11"/>
        <v/>
      </c>
      <c r="CU26" s="99" t="str">
        <f t="shared" si="11"/>
        <v/>
      </c>
      <c r="CV26" s="99" t="str">
        <f t="shared" si="11"/>
        <v/>
      </c>
      <c r="CW26" s="99" t="str">
        <f t="shared" si="11"/>
        <v/>
      </c>
      <c r="CX26" s="99" t="str">
        <f t="shared" si="11"/>
        <v/>
      </c>
      <c r="CY26" s="99" t="str">
        <f t="shared" si="11"/>
        <v/>
      </c>
      <c r="CZ26" s="99" t="str">
        <f t="shared" si="11"/>
        <v/>
      </c>
      <c r="DA26" s="99" t="str">
        <f t="shared" si="11"/>
        <v/>
      </c>
      <c r="DB26" s="99" t="str">
        <f t="shared" si="11"/>
        <v/>
      </c>
      <c r="DC26" s="99" t="str">
        <f t="shared" si="11"/>
        <v/>
      </c>
      <c r="DD26" s="99" t="str">
        <f t="shared" si="11"/>
        <v/>
      </c>
      <c r="DE26" s="99" t="str">
        <f t="shared" si="11"/>
        <v/>
      </c>
      <c r="DF26" s="99" t="str">
        <f t="shared" si="11"/>
        <v/>
      </c>
      <c r="DG26" s="99" t="str">
        <f t="shared" si="11"/>
        <v/>
      </c>
      <c r="DH26" s="99" t="str">
        <f t="shared" si="11"/>
        <v/>
      </c>
      <c r="DI26" s="99" t="str">
        <f t="shared" si="12"/>
        <v/>
      </c>
      <c r="DJ26" s="100" t="str">
        <f t="shared" si="5"/>
        <v/>
      </c>
      <c r="DK26" s="92" t="str">
        <f t="shared" si="5"/>
        <v/>
      </c>
    </row>
    <row r="27" spans="1:115" x14ac:dyDescent="0.2">
      <c r="A27" s="80" t="s">
        <v>218</v>
      </c>
      <c r="C27" s="260"/>
      <c r="D27" s="84" t="s">
        <v>161</v>
      </c>
      <c r="E27" s="95">
        <f>IFERROR(VLOOKUP(CONCATENATE($A$15,"-",$A$12, "-", $D27, "-", E$3, "-", $A$9), OBS_District_Flows!$A:$G, 6,FALSE),0)</f>
        <v>0</v>
      </c>
      <c r="F27" s="96">
        <f>IFERROR(VLOOKUP(CONCATENATE($A$15,"-",$A$12, "-", $D27, "-", F$3, "-", $A$9), OBS_District_Flows!$A:$G, 6,FALSE),0)</f>
        <v>0</v>
      </c>
      <c r="G27" s="96">
        <f>IFERROR(VLOOKUP(CONCATENATE($A$15,"-",$A$12, "-", $D27, "-", G$3, "-", $A$9), OBS_District_Flows!$A:$G, 6,FALSE),0)</f>
        <v>0</v>
      </c>
      <c r="H27" s="96">
        <f>IFERROR(VLOOKUP(CONCATENATE($A$15,"-",$A$12, "-", $D27, "-", H$3, "-", $A$9), OBS_District_Flows!$A:$G, 6,FALSE),0)</f>
        <v>0</v>
      </c>
      <c r="I27" s="96">
        <f>IFERROR(VLOOKUP(CONCATENATE($A$15,"-",$A$12, "-", $D27, "-", I$3, "-", $A$9), OBS_District_Flows!$A:$G, 6,FALSE),0)</f>
        <v>0</v>
      </c>
      <c r="J27" s="96">
        <f>IFERROR(VLOOKUP(CONCATENATE($A$15,"-",$A$12, "-", $D27, "-", J$3, "-", $A$9), OBS_District_Flows!$A:$G, 6,FALSE),0)</f>
        <v>0</v>
      </c>
      <c r="K27" s="96">
        <f>IFERROR(VLOOKUP(CONCATENATE($A$15,"-",$A$12, "-", $D27, "-", K$3, "-", $A$9), OBS_District_Flows!$A:$G, 6,FALSE),0)</f>
        <v>0</v>
      </c>
      <c r="L27" s="96">
        <f>IFERROR(VLOOKUP(CONCATENATE($A$15,"-",$A$12, "-", $D27, "-", L$3, "-", $A$9), OBS_District_Flows!$A:$G, 6,FALSE),0)</f>
        <v>0</v>
      </c>
      <c r="M27" s="96">
        <f>IFERROR(VLOOKUP(CONCATENATE($A$15,"-",$A$12, "-", $D27, "-", M$3, "-", $A$9), OBS_District_Flows!$A:$G, 6,FALSE),0)</f>
        <v>0</v>
      </c>
      <c r="N27" s="96">
        <f>IFERROR(VLOOKUP(CONCATENATE($A$15,"-",$A$12, "-", $D27, "-", N$3, "-", $A$9), OBS_District_Flows!$A:$G, 6,FALSE),0)</f>
        <v>0</v>
      </c>
      <c r="O27" s="96">
        <f>IFERROR(VLOOKUP(CONCATENATE($A$15,"-",$A$12, "-", $D27, "-", O$3, "-", $A$9), OBS_District_Flows!$A:$G, 6,FALSE),0)</f>
        <v>0</v>
      </c>
      <c r="P27" s="96">
        <f>IFERROR(VLOOKUP(CONCATENATE($A$15,"-",$A$12, "-", $D27, "-", P$3, "-", $A$9), OBS_District_Flows!$A:$G, 6,FALSE),0)</f>
        <v>0</v>
      </c>
      <c r="Q27" s="96">
        <f>IFERROR(VLOOKUP(CONCATENATE($A$15,"-",$A$12, "-", $D27, "-", Q$3, "-", $A$9), OBS_District_Flows!$A:$G, 6,FALSE),0)</f>
        <v>0</v>
      </c>
      <c r="R27" s="96">
        <f>IFERROR(VLOOKUP(CONCATENATE($A$15,"-",$A$12, "-", $D27, "-", R$3, "-", $A$9), OBS_District_Flows!$A:$G, 6,FALSE),0)</f>
        <v>0</v>
      </c>
      <c r="S27" s="96">
        <f>IFERROR(VLOOKUP(CONCATENATE($A$15,"-",$A$12, "-", $D27, "-", S$3, "-", $A$9), OBS_District_Flows!$A:$G, 6,FALSE),0)</f>
        <v>0</v>
      </c>
      <c r="T27" s="96">
        <f>IFERROR(VLOOKUP(CONCATENATE($A$15,"-",$A$12, "-", $D27, "-", T$3, "-", $A$9), OBS_District_Flows!$A:$G, 6,FALSE),0)</f>
        <v>0</v>
      </c>
      <c r="U27" s="96">
        <f>IFERROR(VLOOKUP(CONCATENATE($A$15,"-",$A$12, "-", $D27, "-", U$3, "-", $A$9), OBS_District_Flows!$A:$G, 6,FALSE),0)</f>
        <v>0</v>
      </c>
      <c r="V27" s="96">
        <f>IFERROR(VLOOKUP(CONCATENATE($A$15,"-",$A$12, "-", $D27, "-", V$3, "-", $A$9), OBS_District_Flows!$A:$G, 6,FALSE),0)</f>
        <v>0</v>
      </c>
      <c r="W27" s="96">
        <f>IFERROR(VLOOKUP(CONCATENATE($A$15,"-",$A$12, "-", $D27, "-", W$3, "-", $A$9), OBS_District_Flows!$A:$G, 6,FALSE),0)</f>
        <v>0</v>
      </c>
      <c r="X27" s="96">
        <f>IFERROR(VLOOKUP(CONCATENATE($A$15,"-",$A$12, "-", $D27, "-", X$3, "-", $A$9), OBS_District_Flows!$A:$G, 6,FALSE),0)</f>
        <v>0</v>
      </c>
      <c r="Y27" s="96">
        <f>IFERROR(VLOOKUP(CONCATENATE($A$15,"-",$A$12, "-", $D27, "-", Y$3, "-", $A$9), OBS_District_Flows!$A:$G, 6,FALSE),0)</f>
        <v>0</v>
      </c>
      <c r="Z27" s="96">
        <f>IFERROR(VLOOKUP(CONCATENATE($A$15,"-",$A$12, "-", $D27, "-", Z$3, "-", $A$9), OBS_District_Flows!$A:$G, 6,FALSE),0)</f>
        <v>0</v>
      </c>
      <c r="AA27" s="96">
        <f>IFERROR(VLOOKUP(CONCATENATE($A$15,"-",$A$12, "-", $D27, "-", AA$3, "-", $A$9), OBS_District_Flows!$A:$G, 6,FALSE),0)</f>
        <v>0</v>
      </c>
      <c r="AB27" s="96">
        <f>IFERROR(VLOOKUP(CONCATENATE($A$15,"-",$A$12, "-", $D27, "-", AB$3, "-", $A$9), OBS_District_Flows!$A:$G, 6,FALSE),0)</f>
        <v>0</v>
      </c>
      <c r="AC27" s="96">
        <f>IFERROR(VLOOKUP(CONCATENATE($A$15,"-",$A$12, "-", $D27, "-", AC$3, "-", $A$9), OBS_District_Flows!$A:$G, 6,FALSE),0)</f>
        <v>0</v>
      </c>
      <c r="AD27" s="96">
        <f>IFERROR(VLOOKUP(CONCATENATE($A$15,"-",$A$12, "-", $D27, "-", AD$3, "-", $A$9), OBS_District_Flows!$A:$G, 6,FALSE),0)</f>
        <v>0</v>
      </c>
      <c r="AE27" s="96">
        <f>IFERROR(VLOOKUP(CONCATENATE($A$15,"-",$A$12, "-", $D27, "-", AE$3, "-", $A$9), OBS_District_Flows!$A:$G, 6,FALSE),0)</f>
        <v>0</v>
      </c>
      <c r="AF27" s="96">
        <f>IFERROR(VLOOKUP(CONCATENATE($A$15,"-",$A$12, "-", $D27, "-", AF$3, "-", $A$9), OBS_District_Flows!$A:$G, 6,FALSE),0)</f>
        <v>0</v>
      </c>
      <c r="AG27" s="96">
        <f>IFERROR(VLOOKUP(CONCATENATE($A$15,"-",$A$12, "-", $D27, "-", AG$3, "-", $A$9), OBS_District_Flows!$A:$G, 6,FALSE),0)</f>
        <v>0</v>
      </c>
      <c r="AH27" s="96">
        <f>IFERROR(VLOOKUP(CONCATENATE($A$15,"-",$A$12, "-", $D27, "-", AH$3, "-", $A$9), OBS_District_Flows!$A:$G, 6,FALSE),0)</f>
        <v>0</v>
      </c>
      <c r="AI27" s="96">
        <f>IFERROR(VLOOKUP(CONCATENATE($A$15,"-",$A$12, "-", $D27, "-", AI$3, "-", $A$9), OBS_District_Flows!$A:$G, 6,FALSE),0)</f>
        <v>0</v>
      </c>
      <c r="AJ27" s="96">
        <f>IFERROR(VLOOKUP(CONCATENATE($A$15,"-",$A$12, "-", $D27, "-", AJ$3, "-", $A$9), OBS_District_Flows!$A:$G, 6,FALSE),0)</f>
        <v>0</v>
      </c>
      <c r="AK27" s="96">
        <f>IFERROR(VLOOKUP(CONCATENATE($A$15,"-",$A$12, "-", $D27, "-", AK$3, "-", $A$9), OBS_District_Flows!$A:$G, 6,FALSE),0)</f>
        <v>0</v>
      </c>
      <c r="AL27" s="97">
        <f>IFERROR(VLOOKUP(CONCATENATE($A$15,"-",$A$12, "-", $D27, "-", AL$3, "-", $A$9), OBS_District_Flows!$A:$G, 6,FALSE),0)</f>
        <v>0</v>
      </c>
      <c r="AM27" s="88">
        <f t="shared" si="6"/>
        <v>0</v>
      </c>
      <c r="AO27" s="261"/>
      <c r="AP27" s="84" t="s">
        <v>161</v>
      </c>
      <c r="AQ27" s="98" t="str">
        <f t="shared" si="7"/>
        <v/>
      </c>
      <c r="AR27" s="99" t="str">
        <f t="shared" si="7"/>
        <v/>
      </c>
      <c r="AS27" s="99" t="str">
        <f t="shared" si="7"/>
        <v/>
      </c>
      <c r="AT27" s="99" t="str">
        <f t="shared" si="7"/>
        <v/>
      </c>
      <c r="AU27" s="99" t="str">
        <f t="shared" si="7"/>
        <v/>
      </c>
      <c r="AV27" s="99" t="str">
        <f t="shared" si="7"/>
        <v/>
      </c>
      <c r="AW27" s="99" t="str">
        <f t="shared" si="7"/>
        <v/>
      </c>
      <c r="AX27" s="99" t="str">
        <f t="shared" si="7"/>
        <v/>
      </c>
      <c r="AY27" s="99" t="str">
        <f t="shared" si="7"/>
        <v/>
      </c>
      <c r="AZ27" s="99" t="str">
        <f t="shared" si="7"/>
        <v/>
      </c>
      <c r="BA27" s="99" t="str">
        <f t="shared" si="7"/>
        <v/>
      </c>
      <c r="BB27" s="99" t="str">
        <f t="shared" si="7"/>
        <v/>
      </c>
      <c r="BC27" s="99" t="str">
        <f t="shared" si="7"/>
        <v/>
      </c>
      <c r="BD27" s="99" t="str">
        <f t="shared" si="7"/>
        <v/>
      </c>
      <c r="BE27" s="99" t="str">
        <f t="shared" si="7"/>
        <v/>
      </c>
      <c r="BF27" s="99" t="str">
        <f t="shared" si="7"/>
        <v/>
      </c>
      <c r="BG27" s="99" t="str">
        <f t="shared" si="9"/>
        <v/>
      </c>
      <c r="BH27" s="99" t="str">
        <f t="shared" si="9"/>
        <v/>
      </c>
      <c r="BI27" s="99" t="str">
        <f t="shared" si="9"/>
        <v/>
      </c>
      <c r="BJ27" s="99" t="str">
        <f t="shared" si="9"/>
        <v/>
      </c>
      <c r="BK27" s="99" t="str">
        <f t="shared" si="9"/>
        <v/>
      </c>
      <c r="BL27" s="99" t="str">
        <f t="shared" si="9"/>
        <v/>
      </c>
      <c r="BM27" s="99" t="str">
        <f t="shared" si="9"/>
        <v/>
      </c>
      <c r="BN27" s="99" t="str">
        <f t="shared" si="9"/>
        <v/>
      </c>
      <c r="BO27" s="99" t="str">
        <f t="shared" si="9"/>
        <v/>
      </c>
      <c r="BP27" s="99" t="str">
        <f t="shared" si="9"/>
        <v/>
      </c>
      <c r="BQ27" s="99" t="str">
        <f t="shared" si="9"/>
        <v/>
      </c>
      <c r="BR27" s="99" t="str">
        <f t="shared" si="9"/>
        <v/>
      </c>
      <c r="BS27" s="99" t="str">
        <f t="shared" si="9"/>
        <v/>
      </c>
      <c r="BT27" s="99" t="str">
        <f t="shared" si="9"/>
        <v/>
      </c>
      <c r="BU27" s="99" t="str">
        <f t="shared" si="9"/>
        <v/>
      </c>
      <c r="BV27" s="99" t="str">
        <f t="shared" si="9"/>
        <v/>
      </c>
      <c r="BW27" s="99" t="str">
        <f t="shared" si="10"/>
        <v/>
      </c>
      <c r="BX27" s="100" t="str">
        <f t="shared" si="2"/>
        <v/>
      </c>
      <c r="BY27" s="92" t="str">
        <f t="shared" si="2"/>
        <v/>
      </c>
      <c r="CA27" s="261"/>
      <c r="CB27" s="84" t="s">
        <v>161</v>
      </c>
      <c r="CC27" s="98" t="str">
        <f t="shared" si="8"/>
        <v/>
      </c>
      <c r="CD27" s="99" t="str">
        <f t="shared" si="8"/>
        <v/>
      </c>
      <c r="CE27" s="99" t="str">
        <f t="shared" si="8"/>
        <v/>
      </c>
      <c r="CF27" s="99" t="str">
        <f t="shared" si="8"/>
        <v/>
      </c>
      <c r="CG27" s="99" t="str">
        <f t="shared" si="8"/>
        <v/>
      </c>
      <c r="CH27" s="99" t="str">
        <f t="shared" si="8"/>
        <v/>
      </c>
      <c r="CI27" s="99" t="str">
        <f t="shared" si="8"/>
        <v/>
      </c>
      <c r="CJ27" s="99" t="str">
        <f t="shared" si="8"/>
        <v/>
      </c>
      <c r="CK27" s="99" t="str">
        <f t="shared" si="8"/>
        <v/>
      </c>
      <c r="CL27" s="99" t="str">
        <f t="shared" si="8"/>
        <v/>
      </c>
      <c r="CM27" s="99" t="str">
        <f t="shared" si="8"/>
        <v/>
      </c>
      <c r="CN27" s="99" t="str">
        <f t="shared" si="8"/>
        <v/>
      </c>
      <c r="CO27" s="99" t="str">
        <f t="shared" si="8"/>
        <v/>
      </c>
      <c r="CP27" s="99" t="str">
        <f t="shared" si="8"/>
        <v/>
      </c>
      <c r="CQ27" s="99" t="str">
        <f t="shared" si="8"/>
        <v/>
      </c>
      <c r="CR27" s="99" t="str">
        <f t="shared" si="8"/>
        <v/>
      </c>
      <c r="CS27" s="99" t="str">
        <f t="shared" si="11"/>
        <v/>
      </c>
      <c r="CT27" s="99" t="str">
        <f t="shared" si="11"/>
        <v/>
      </c>
      <c r="CU27" s="99" t="str">
        <f t="shared" si="11"/>
        <v/>
      </c>
      <c r="CV27" s="99" t="str">
        <f t="shared" si="11"/>
        <v/>
      </c>
      <c r="CW27" s="99" t="str">
        <f t="shared" si="11"/>
        <v/>
      </c>
      <c r="CX27" s="99" t="str">
        <f t="shared" si="11"/>
        <v/>
      </c>
      <c r="CY27" s="99" t="str">
        <f t="shared" si="11"/>
        <v/>
      </c>
      <c r="CZ27" s="99" t="str">
        <f t="shared" si="11"/>
        <v/>
      </c>
      <c r="DA27" s="99" t="str">
        <f t="shared" si="11"/>
        <v/>
      </c>
      <c r="DB27" s="99" t="str">
        <f t="shared" si="11"/>
        <v/>
      </c>
      <c r="DC27" s="99" t="str">
        <f t="shared" si="11"/>
        <v/>
      </c>
      <c r="DD27" s="99" t="str">
        <f t="shared" si="11"/>
        <v/>
      </c>
      <c r="DE27" s="99" t="str">
        <f t="shared" si="11"/>
        <v/>
      </c>
      <c r="DF27" s="99" t="str">
        <f t="shared" si="11"/>
        <v/>
      </c>
      <c r="DG27" s="99" t="str">
        <f t="shared" si="11"/>
        <v/>
      </c>
      <c r="DH27" s="99" t="str">
        <f t="shared" si="11"/>
        <v/>
      </c>
      <c r="DI27" s="99" t="str">
        <f t="shared" si="12"/>
        <v/>
      </c>
      <c r="DJ27" s="100" t="str">
        <f t="shared" si="5"/>
        <v/>
      </c>
      <c r="DK27" s="92" t="str">
        <f t="shared" si="5"/>
        <v/>
      </c>
    </row>
    <row r="28" spans="1:115" x14ac:dyDescent="0.2">
      <c r="A28" s="80" t="s">
        <v>219</v>
      </c>
      <c r="C28" s="260"/>
      <c r="D28" s="84" t="s">
        <v>198</v>
      </c>
      <c r="E28" s="95">
        <f>IFERROR(VLOOKUP(CONCATENATE($A$15,"-",$A$12, "-", $D28, "-", E$3, "-", $A$9), OBS_District_Flows!$A:$G, 6,FALSE),0)</f>
        <v>0</v>
      </c>
      <c r="F28" s="96">
        <f>IFERROR(VLOOKUP(CONCATENATE($A$15,"-",$A$12, "-", $D28, "-", F$3, "-", $A$9), OBS_District_Flows!$A:$G, 6,FALSE),0)</f>
        <v>0</v>
      </c>
      <c r="G28" s="96">
        <f>IFERROR(VLOOKUP(CONCATENATE($A$15,"-",$A$12, "-", $D28, "-", G$3, "-", $A$9), OBS_District_Flows!$A:$G, 6,FALSE),0)</f>
        <v>0</v>
      </c>
      <c r="H28" s="96">
        <f>IFERROR(VLOOKUP(CONCATENATE($A$15,"-",$A$12, "-", $D28, "-", H$3, "-", $A$9), OBS_District_Flows!$A:$G, 6,FALSE),0)</f>
        <v>0</v>
      </c>
      <c r="I28" s="96">
        <f>IFERROR(VLOOKUP(CONCATENATE($A$15,"-",$A$12, "-", $D28, "-", I$3, "-", $A$9), OBS_District_Flows!$A:$G, 6,FALSE),0)</f>
        <v>0</v>
      </c>
      <c r="J28" s="96">
        <f>IFERROR(VLOOKUP(CONCATENATE($A$15,"-",$A$12, "-", $D28, "-", J$3, "-", $A$9), OBS_District_Flows!$A:$G, 6,FALSE),0)</f>
        <v>0</v>
      </c>
      <c r="K28" s="96">
        <f>IFERROR(VLOOKUP(CONCATENATE($A$15,"-",$A$12, "-", $D28, "-", K$3, "-", $A$9), OBS_District_Flows!$A:$G, 6,FALSE),0)</f>
        <v>0</v>
      </c>
      <c r="L28" s="96">
        <f>IFERROR(VLOOKUP(CONCATENATE($A$15,"-",$A$12, "-", $D28, "-", L$3, "-", $A$9), OBS_District_Flows!$A:$G, 6,FALSE),0)</f>
        <v>0</v>
      </c>
      <c r="M28" s="96">
        <f>IFERROR(VLOOKUP(CONCATENATE($A$15,"-",$A$12, "-", $D28, "-", M$3, "-", $A$9), OBS_District_Flows!$A:$G, 6,FALSE),0)</f>
        <v>0</v>
      </c>
      <c r="N28" s="96">
        <f>IFERROR(VLOOKUP(CONCATENATE($A$15,"-",$A$12, "-", $D28, "-", N$3, "-", $A$9), OBS_District_Flows!$A:$G, 6,FALSE),0)</f>
        <v>0</v>
      </c>
      <c r="O28" s="96">
        <f>IFERROR(VLOOKUP(CONCATENATE($A$15,"-",$A$12, "-", $D28, "-", O$3, "-", $A$9), OBS_District_Flows!$A:$G, 6,FALSE),0)</f>
        <v>0</v>
      </c>
      <c r="P28" s="96">
        <f>IFERROR(VLOOKUP(CONCATENATE($A$15,"-",$A$12, "-", $D28, "-", P$3, "-", $A$9), OBS_District_Flows!$A:$G, 6,FALSE),0)</f>
        <v>0</v>
      </c>
      <c r="Q28" s="96">
        <f>IFERROR(VLOOKUP(CONCATENATE($A$15,"-",$A$12, "-", $D28, "-", Q$3, "-", $A$9), OBS_District_Flows!$A:$G, 6,FALSE),0)</f>
        <v>0</v>
      </c>
      <c r="R28" s="96">
        <f>IFERROR(VLOOKUP(CONCATENATE($A$15,"-",$A$12, "-", $D28, "-", R$3, "-", $A$9), OBS_District_Flows!$A:$G, 6,FALSE),0)</f>
        <v>0</v>
      </c>
      <c r="S28" s="96">
        <f>IFERROR(VLOOKUP(CONCATENATE($A$15,"-",$A$12, "-", $D28, "-", S$3, "-", $A$9), OBS_District_Flows!$A:$G, 6,FALSE),0)</f>
        <v>0</v>
      </c>
      <c r="T28" s="96">
        <f>IFERROR(VLOOKUP(CONCATENATE($A$15,"-",$A$12, "-", $D28, "-", T$3, "-", $A$9), OBS_District_Flows!$A:$G, 6,FALSE),0)</f>
        <v>0</v>
      </c>
      <c r="U28" s="96">
        <f>IFERROR(VLOOKUP(CONCATENATE($A$15,"-",$A$12, "-", $D28, "-", U$3, "-", $A$9), OBS_District_Flows!$A:$G, 6,FALSE),0)</f>
        <v>0</v>
      </c>
      <c r="V28" s="96">
        <f>IFERROR(VLOOKUP(CONCATENATE($A$15,"-",$A$12, "-", $D28, "-", V$3, "-", $A$9), OBS_District_Flows!$A:$G, 6,FALSE),0)</f>
        <v>0</v>
      </c>
      <c r="W28" s="96">
        <f>IFERROR(VLOOKUP(CONCATENATE($A$15,"-",$A$12, "-", $D28, "-", W$3, "-", $A$9), OBS_District_Flows!$A:$G, 6,FALSE),0)</f>
        <v>0</v>
      </c>
      <c r="X28" s="96">
        <f>IFERROR(VLOOKUP(CONCATENATE($A$15,"-",$A$12, "-", $D28, "-", X$3, "-", $A$9), OBS_District_Flows!$A:$G, 6,FALSE),0)</f>
        <v>0</v>
      </c>
      <c r="Y28" s="96">
        <f>IFERROR(VLOOKUP(CONCATENATE($A$15,"-",$A$12, "-", $D28, "-", Y$3, "-", $A$9), OBS_District_Flows!$A:$G, 6,FALSE),0)</f>
        <v>0</v>
      </c>
      <c r="Z28" s="96">
        <f>IFERROR(VLOOKUP(CONCATENATE($A$15,"-",$A$12, "-", $D28, "-", Z$3, "-", $A$9), OBS_District_Flows!$A:$G, 6,FALSE),0)</f>
        <v>0</v>
      </c>
      <c r="AA28" s="96">
        <f>IFERROR(VLOOKUP(CONCATENATE($A$15,"-",$A$12, "-", $D28, "-", AA$3, "-", $A$9), OBS_District_Flows!$A:$G, 6,FALSE),0)</f>
        <v>0</v>
      </c>
      <c r="AB28" s="96">
        <f>IFERROR(VLOOKUP(CONCATENATE($A$15,"-",$A$12, "-", $D28, "-", AB$3, "-", $A$9), OBS_District_Flows!$A:$G, 6,FALSE),0)</f>
        <v>0</v>
      </c>
      <c r="AC28" s="96">
        <f>IFERROR(VLOOKUP(CONCATENATE($A$15,"-",$A$12, "-", $D28, "-", AC$3, "-", $A$9), OBS_District_Flows!$A:$G, 6,FALSE),0)</f>
        <v>0</v>
      </c>
      <c r="AD28" s="96">
        <f>IFERROR(VLOOKUP(CONCATENATE($A$15,"-",$A$12, "-", $D28, "-", AD$3, "-", $A$9), OBS_District_Flows!$A:$G, 6,FALSE),0)</f>
        <v>0</v>
      </c>
      <c r="AE28" s="96">
        <f>IFERROR(VLOOKUP(CONCATENATE($A$15,"-",$A$12, "-", $D28, "-", AE$3, "-", $A$9), OBS_District_Flows!$A:$G, 6,FALSE),0)</f>
        <v>0</v>
      </c>
      <c r="AF28" s="96">
        <f>IFERROR(VLOOKUP(CONCATENATE($A$15,"-",$A$12, "-", $D28, "-", AF$3, "-", $A$9), OBS_District_Flows!$A:$G, 6,FALSE),0)</f>
        <v>0</v>
      </c>
      <c r="AG28" s="96">
        <f>IFERROR(VLOOKUP(CONCATENATE($A$15,"-",$A$12, "-", $D28, "-", AG$3, "-", $A$9), OBS_District_Flows!$A:$G, 6,FALSE),0)</f>
        <v>0</v>
      </c>
      <c r="AH28" s="96">
        <f>IFERROR(VLOOKUP(CONCATENATE($A$15,"-",$A$12, "-", $D28, "-", AH$3, "-", $A$9), OBS_District_Flows!$A:$G, 6,FALSE),0)</f>
        <v>0</v>
      </c>
      <c r="AI28" s="96">
        <f>IFERROR(VLOOKUP(CONCATENATE($A$15,"-",$A$12, "-", $D28, "-", AI$3, "-", $A$9), OBS_District_Flows!$A:$G, 6,FALSE),0)</f>
        <v>0</v>
      </c>
      <c r="AJ28" s="96">
        <f>IFERROR(VLOOKUP(CONCATENATE($A$15,"-",$A$12, "-", $D28, "-", AJ$3, "-", $A$9), OBS_District_Flows!$A:$G, 6,FALSE),0)</f>
        <v>0</v>
      </c>
      <c r="AK28" s="96">
        <f>IFERROR(VLOOKUP(CONCATENATE($A$15,"-",$A$12, "-", $D28, "-", AK$3, "-", $A$9), OBS_District_Flows!$A:$G, 6,FALSE),0)</f>
        <v>0</v>
      </c>
      <c r="AL28" s="97">
        <f>IFERROR(VLOOKUP(CONCATENATE($A$15,"-",$A$12, "-", $D28, "-", AL$3, "-", $A$9), OBS_District_Flows!$A:$G, 6,FALSE),0)</f>
        <v>0</v>
      </c>
      <c r="AM28" s="88">
        <f t="shared" si="6"/>
        <v>0</v>
      </c>
      <c r="AO28" s="261"/>
      <c r="AP28" s="84" t="s">
        <v>198</v>
      </c>
      <c r="AQ28" s="98" t="str">
        <f t="shared" si="7"/>
        <v/>
      </c>
      <c r="AR28" s="99" t="str">
        <f t="shared" si="7"/>
        <v/>
      </c>
      <c r="AS28" s="99" t="str">
        <f t="shared" si="7"/>
        <v/>
      </c>
      <c r="AT28" s="99" t="str">
        <f t="shared" si="7"/>
        <v/>
      </c>
      <c r="AU28" s="99" t="str">
        <f t="shared" si="7"/>
        <v/>
      </c>
      <c r="AV28" s="99" t="str">
        <f t="shared" si="7"/>
        <v/>
      </c>
      <c r="AW28" s="99" t="str">
        <f t="shared" si="7"/>
        <v/>
      </c>
      <c r="AX28" s="99" t="str">
        <f t="shared" si="7"/>
        <v/>
      </c>
      <c r="AY28" s="99" t="str">
        <f t="shared" si="7"/>
        <v/>
      </c>
      <c r="AZ28" s="99" t="str">
        <f t="shared" si="7"/>
        <v/>
      </c>
      <c r="BA28" s="99" t="str">
        <f t="shared" si="7"/>
        <v/>
      </c>
      <c r="BB28" s="99" t="str">
        <f t="shared" si="7"/>
        <v/>
      </c>
      <c r="BC28" s="99" t="str">
        <f t="shared" si="7"/>
        <v/>
      </c>
      <c r="BD28" s="99" t="str">
        <f t="shared" si="7"/>
        <v/>
      </c>
      <c r="BE28" s="99" t="str">
        <f t="shared" si="7"/>
        <v/>
      </c>
      <c r="BF28" s="99" t="str">
        <f t="shared" si="7"/>
        <v/>
      </c>
      <c r="BG28" s="99" t="str">
        <f t="shared" si="9"/>
        <v/>
      </c>
      <c r="BH28" s="99" t="str">
        <f t="shared" si="9"/>
        <v/>
      </c>
      <c r="BI28" s="99" t="str">
        <f t="shared" si="9"/>
        <v/>
      </c>
      <c r="BJ28" s="99" t="str">
        <f t="shared" si="9"/>
        <v/>
      </c>
      <c r="BK28" s="99" t="str">
        <f t="shared" si="9"/>
        <v/>
      </c>
      <c r="BL28" s="99" t="str">
        <f t="shared" si="9"/>
        <v/>
      </c>
      <c r="BM28" s="99" t="str">
        <f t="shared" si="9"/>
        <v/>
      </c>
      <c r="BN28" s="99" t="str">
        <f t="shared" si="9"/>
        <v/>
      </c>
      <c r="BO28" s="99" t="str">
        <f t="shared" si="9"/>
        <v/>
      </c>
      <c r="BP28" s="99" t="str">
        <f t="shared" si="9"/>
        <v/>
      </c>
      <c r="BQ28" s="99" t="str">
        <f t="shared" si="9"/>
        <v/>
      </c>
      <c r="BR28" s="99" t="str">
        <f t="shared" si="9"/>
        <v/>
      </c>
      <c r="BS28" s="99" t="str">
        <f t="shared" si="9"/>
        <v/>
      </c>
      <c r="BT28" s="99" t="str">
        <f t="shared" si="9"/>
        <v/>
      </c>
      <c r="BU28" s="99" t="str">
        <f t="shared" si="9"/>
        <v/>
      </c>
      <c r="BV28" s="99" t="str">
        <f t="shared" si="9"/>
        <v/>
      </c>
      <c r="BW28" s="99" t="str">
        <f t="shared" si="10"/>
        <v/>
      </c>
      <c r="BX28" s="100" t="str">
        <f t="shared" si="2"/>
        <v/>
      </c>
      <c r="BY28" s="92" t="str">
        <f t="shared" si="2"/>
        <v/>
      </c>
      <c r="CA28" s="261"/>
      <c r="CB28" s="84" t="s">
        <v>198</v>
      </c>
      <c r="CC28" s="98" t="str">
        <f t="shared" si="8"/>
        <v/>
      </c>
      <c r="CD28" s="99" t="str">
        <f t="shared" si="8"/>
        <v/>
      </c>
      <c r="CE28" s="99" t="str">
        <f t="shared" si="8"/>
        <v/>
      </c>
      <c r="CF28" s="99" t="str">
        <f t="shared" si="8"/>
        <v/>
      </c>
      <c r="CG28" s="99" t="str">
        <f t="shared" si="8"/>
        <v/>
      </c>
      <c r="CH28" s="99" t="str">
        <f t="shared" si="8"/>
        <v/>
      </c>
      <c r="CI28" s="99" t="str">
        <f t="shared" si="8"/>
        <v/>
      </c>
      <c r="CJ28" s="99" t="str">
        <f t="shared" si="8"/>
        <v/>
      </c>
      <c r="CK28" s="99" t="str">
        <f t="shared" si="8"/>
        <v/>
      </c>
      <c r="CL28" s="99" t="str">
        <f t="shared" si="8"/>
        <v/>
      </c>
      <c r="CM28" s="99" t="str">
        <f t="shared" si="8"/>
        <v/>
      </c>
      <c r="CN28" s="99" t="str">
        <f t="shared" si="8"/>
        <v/>
      </c>
      <c r="CO28" s="99" t="str">
        <f t="shared" si="8"/>
        <v/>
      </c>
      <c r="CP28" s="99" t="str">
        <f t="shared" si="8"/>
        <v/>
      </c>
      <c r="CQ28" s="99" t="str">
        <f t="shared" si="8"/>
        <v/>
      </c>
      <c r="CR28" s="99" t="str">
        <f t="shared" si="8"/>
        <v/>
      </c>
      <c r="CS28" s="99" t="str">
        <f t="shared" si="11"/>
        <v/>
      </c>
      <c r="CT28" s="99" t="str">
        <f t="shared" si="11"/>
        <v/>
      </c>
      <c r="CU28" s="99" t="str">
        <f t="shared" si="11"/>
        <v/>
      </c>
      <c r="CV28" s="99" t="str">
        <f t="shared" si="11"/>
        <v/>
      </c>
      <c r="CW28" s="99" t="str">
        <f t="shared" si="11"/>
        <v/>
      </c>
      <c r="CX28" s="99" t="str">
        <f t="shared" si="11"/>
        <v/>
      </c>
      <c r="CY28" s="99" t="str">
        <f t="shared" si="11"/>
        <v/>
      </c>
      <c r="CZ28" s="99" t="str">
        <f t="shared" si="11"/>
        <v/>
      </c>
      <c r="DA28" s="99" t="str">
        <f t="shared" si="11"/>
        <v/>
      </c>
      <c r="DB28" s="99" t="str">
        <f t="shared" si="11"/>
        <v/>
      </c>
      <c r="DC28" s="99" t="str">
        <f t="shared" si="11"/>
        <v/>
      </c>
      <c r="DD28" s="99" t="str">
        <f t="shared" si="11"/>
        <v/>
      </c>
      <c r="DE28" s="99" t="str">
        <f t="shared" si="11"/>
        <v/>
      </c>
      <c r="DF28" s="99" t="str">
        <f t="shared" si="11"/>
        <v/>
      </c>
      <c r="DG28" s="99" t="str">
        <f t="shared" si="11"/>
        <v/>
      </c>
      <c r="DH28" s="99" t="str">
        <f t="shared" si="11"/>
        <v/>
      </c>
      <c r="DI28" s="99" t="str">
        <f t="shared" si="12"/>
        <v/>
      </c>
      <c r="DJ28" s="100" t="str">
        <f t="shared" si="5"/>
        <v/>
      </c>
      <c r="DK28" s="92" t="str">
        <f t="shared" si="5"/>
        <v/>
      </c>
    </row>
    <row r="29" spans="1:115" x14ac:dyDescent="0.2">
      <c r="A29" s="80" t="s">
        <v>220</v>
      </c>
      <c r="C29" s="260"/>
      <c r="D29" s="84" t="s">
        <v>199</v>
      </c>
      <c r="E29" s="95">
        <f>IFERROR(VLOOKUP(CONCATENATE($A$15,"-",$A$12, "-", $D29, "-", E$3, "-", $A$9), OBS_District_Flows!$A:$G, 6,FALSE),0)</f>
        <v>0</v>
      </c>
      <c r="F29" s="96">
        <f>IFERROR(VLOOKUP(CONCATENATE($A$15,"-",$A$12, "-", $D29, "-", F$3, "-", $A$9), OBS_District_Flows!$A:$G, 6,FALSE),0)</f>
        <v>0</v>
      </c>
      <c r="G29" s="96">
        <f>IFERROR(VLOOKUP(CONCATENATE($A$15,"-",$A$12, "-", $D29, "-", G$3, "-", $A$9), OBS_District_Flows!$A:$G, 6,FALSE),0)</f>
        <v>0</v>
      </c>
      <c r="H29" s="96">
        <f>IFERROR(VLOOKUP(CONCATENATE($A$15,"-",$A$12, "-", $D29, "-", H$3, "-", $A$9), OBS_District_Flows!$A:$G, 6,FALSE),0)</f>
        <v>0</v>
      </c>
      <c r="I29" s="96">
        <f>IFERROR(VLOOKUP(CONCATENATE($A$15,"-",$A$12, "-", $D29, "-", I$3, "-", $A$9), OBS_District_Flows!$A:$G, 6,FALSE),0)</f>
        <v>0</v>
      </c>
      <c r="J29" s="96">
        <f>IFERROR(VLOOKUP(CONCATENATE($A$15,"-",$A$12, "-", $D29, "-", J$3, "-", $A$9), OBS_District_Flows!$A:$G, 6,FALSE),0)</f>
        <v>0</v>
      </c>
      <c r="K29" s="96">
        <f>IFERROR(VLOOKUP(CONCATENATE($A$15,"-",$A$12, "-", $D29, "-", K$3, "-", $A$9), OBS_District_Flows!$A:$G, 6,FALSE),0)</f>
        <v>0</v>
      </c>
      <c r="L29" s="96">
        <f>IFERROR(VLOOKUP(CONCATENATE($A$15,"-",$A$12, "-", $D29, "-", L$3, "-", $A$9), OBS_District_Flows!$A:$G, 6,FALSE),0)</f>
        <v>0</v>
      </c>
      <c r="M29" s="96">
        <f>IFERROR(VLOOKUP(CONCATENATE($A$15,"-",$A$12, "-", $D29, "-", M$3, "-", $A$9), OBS_District_Flows!$A:$G, 6,FALSE),0)</f>
        <v>0</v>
      </c>
      <c r="N29" s="96">
        <f>IFERROR(VLOOKUP(CONCATENATE($A$15,"-",$A$12, "-", $D29, "-", N$3, "-", $A$9), OBS_District_Flows!$A:$G, 6,FALSE),0)</f>
        <v>0</v>
      </c>
      <c r="O29" s="96">
        <f>IFERROR(VLOOKUP(CONCATENATE($A$15,"-",$A$12, "-", $D29, "-", O$3, "-", $A$9), OBS_District_Flows!$A:$G, 6,FALSE),0)</f>
        <v>0</v>
      </c>
      <c r="P29" s="96">
        <f>IFERROR(VLOOKUP(CONCATENATE($A$15,"-",$A$12, "-", $D29, "-", P$3, "-", $A$9), OBS_District_Flows!$A:$G, 6,FALSE),0)</f>
        <v>0</v>
      </c>
      <c r="Q29" s="96">
        <f>IFERROR(VLOOKUP(CONCATENATE($A$15,"-",$A$12, "-", $D29, "-", Q$3, "-", $A$9), OBS_District_Flows!$A:$G, 6,FALSE),0)</f>
        <v>0</v>
      </c>
      <c r="R29" s="96">
        <f>IFERROR(VLOOKUP(CONCATENATE($A$15,"-",$A$12, "-", $D29, "-", R$3, "-", $A$9), OBS_District_Flows!$A:$G, 6,FALSE),0)</f>
        <v>0</v>
      </c>
      <c r="S29" s="96">
        <f>IFERROR(VLOOKUP(CONCATENATE($A$15,"-",$A$12, "-", $D29, "-", S$3, "-", $A$9), OBS_District_Flows!$A:$G, 6,FALSE),0)</f>
        <v>0</v>
      </c>
      <c r="T29" s="96">
        <f>IFERROR(VLOOKUP(CONCATENATE($A$15,"-",$A$12, "-", $D29, "-", T$3, "-", $A$9), OBS_District_Flows!$A:$G, 6,FALSE),0)</f>
        <v>0</v>
      </c>
      <c r="U29" s="96">
        <f>IFERROR(VLOOKUP(CONCATENATE($A$15,"-",$A$12, "-", $D29, "-", U$3, "-", $A$9), OBS_District_Flows!$A:$G, 6,FALSE),0)</f>
        <v>0</v>
      </c>
      <c r="V29" s="96">
        <f>IFERROR(VLOOKUP(CONCATENATE($A$15,"-",$A$12, "-", $D29, "-", V$3, "-", $A$9), OBS_District_Flows!$A:$G, 6,FALSE),0)</f>
        <v>0</v>
      </c>
      <c r="W29" s="96">
        <f>IFERROR(VLOOKUP(CONCATENATE($A$15,"-",$A$12, "-", $D29, "-", W$3, "-", $A$9), OBS_District_Flows!$A:$G, 6,FALSE),0)</f>
        <v>0</v>
      </c>
      <c r="X29" s="96">
        <f>IFERROR(VLOOKUP(CONCATENATE($A$15,"-",$A$12, "-", $D29, "-", X$3, "-", $A$9), OBS_District_Flows!$A:$G, 6,FALSE),0)</f>
        <v>0</v>
      </c>
      <c r="Y29" s="96">
        <f>IFERROR(VLOOKUP(CONCATENATE($A$15,"-",$A$12, "-", $D29, "-", Y$3, "-", $A$9), OBS_District_Flows!$A:$G, 6,FALSE),0)</f>
        <v>0</v>
      </c>
      <c r="Z29" s="96">
        <f>IFERROR(VLOOKUP(CONCATENATE($A$15,"-",$A$12, "-", $D29, "-", Z$3, "-", $A$9), OBS_District_Flows!$A:$G, 6,FALSE),0)</f>
        <v>0</v>
      </c>
      <c r="AA29" s="96">
        <f>IFERROR(VLOOKUP(CONCATENATE($A$15,"-",$A$12, "-", $D29, "-", AA$3, "-", $A$9), OBS_District_Flows!$A:$G, 6,FALSE),0)</f>
        <v>0</v>
      </c>
      <c r="AB29" s="96">
        <f>IFERROR(VLOOKUP(CONCATENATE($A$15,"-",$A$12, "-", $D29, "-", AB$3, "-", $A$9), OBS_District_Flows!$A:$G, 6,FALSE),0)</f>
        <v>0</v>
      </c>
      <c r="AC29" s="96">
        <f>IFERROR(VLOOKUP(CONCATENATE($A$15,"-",$A$12, "-", $D29, "-", AC$3, "-", $A$9), OBS_District_Flows!$A:$G, 6,FALSE),0)</f>
        <v>0</v>
      </c>
      <c r="AD29" s="96">
        <f>IFERROR(VLOOKUP(CONCATENATE($A$15,"-",$A$12, "-", $D29, "-", AD$3, "-", $A$9), OBS_District_Flows!$A:$G, 6,FALSE),0)</f>
        <v>0</v>
      </c>
      <c r="AE29" s="96">
        <f>IFERROR(VLOOKUP(CONCATENATE($A$15,"-",$A$12, "-", $D29, "-", AE$3, "-", $A$9), OBS_District_Flows!$A:$G, 6,FALSE),0)</f>
        <v>0</v>
      </c>
      <c r="AF29" s="96">
        <f>IFERROR(VLOOKUP(CONCATENATE($A$15,"-",$A$12, "-", $D29, "-", AF$3, "-", $A$9), OBS_District_Flows!$A:$G, 6,FALSE),0)</f>
        <v>0</v>
      </c>
      <c r="AG29" s="96">
        <f>IFERROR(VLOOKUP(CONCATENATE($A$15,"-",$A$12, "-", $D29, "-", AG$3, "-", $A$9), OBS_District_Flows!$A:$G, 6,FALSE),0)</f>
        <v>0</v>
      </c>
      <c r="AH29" s="96">
        <f>IFERROR(VLOOKUP(CONCATENATE($A$15,"-",$A$12, "-", $D29, "-", AH$3, "-", $A$9), OBS_District_Flows!$A:$G, 6,FALSE),0)</f>
        <v>0</v>
      </c>
      <c r="AI29" s="96">
        <f>IFERROR(VLOOKUP(CONCATENATE($A$15,"-",$A$12, "-", $D29, "-", AI$3, "-", $A$9), OBS_District_Flows!$A:$G, 6,FALSE),0)</f>
        <v>0</v>
      </c>
      <c r="AJ29" s="96">
        <f>IFERROR(VLOOKUP(CONCATENATE($A$15,"-",$A$12, "-", $D29, "-", AJ$3, "-", $A$9), OBS_District_Flows!$A:$G, 6,FALSE),0)</f>
        <v>0</v>
      </c>
      <c r="AK29" s="96">
        <f>IFERROR(VLOOKUP(CONCATENATE($A$15,"-",$A$12, "-", $D29, "-", AK$3, "-", $A$9), OBS_District_Flows!$A:$G, 6,FALSE),0)</f>
        <v>0</v>
      </c>
      <c r="AL29" s="97">
        <f>IFERROR(VLOOKUP(CONCATENATE($A$15,"-",$A$12, "-", $D29, "-", AL$3, "-", $A$9), OBS_District_Flows!$A:$G, 6,FALSE),0)</f>
        <v>0</v>
      </c>
      <c r="AM29" s="88">
        <f t="shared" si="6"/>
        <v>0</v>
      </c>
      <c r="AO29" s="261"/>
      <c r="AP29" s="84" t="s">
        <v>199</v>
      </c>
      <c r="AQ29" s="98" t="str">
        <f t="shared" si="7"/>
        <v/>
      </c>
      <c r="AR29" s="99" t="str">
        <f t="shared" si="7"/>
        <v/>
      </c>
      <c r="AS29" s="99" t="str">
        <f t="shared" si="7"/>
        <v/>
      </c>
      <c r="AT29" s="99" t="str">
        <f t="shared" si="7"/>
        <v/>
      </c>
      <c r="AU29" s="99" t="str">
        <f t="shared" si="7"/>
        <v/>
      </c>
      <c r="AV29" s="99" t="str">
        <f t="shared" si="7"/>
        <v/>
      </c>
      <c r="AW29" s="99" t="str">
        <f t="shared" si="7"/>
        <v/>
      </c>
      <c r="AX29" s="99" t="str">
        <f t="shared" si="7"/>
        <v/>
      </c>
      <c r="AY29" s="99" t="str">
        <f t="shared" si="7"/>
        <v/>
      </c>
      <c r="AZ29" s="99" t="str">
        <f t="shared" si="7"/>
        <v/>
      </c>
      <c r="BA29" s="99" t="str">
        <f t="shared" si="7"/>
        <v/>
      </c>
      <c r="BB29" s="99" t="str">
        <f t="shared" si="7"/>
        <v/>
      </c>
      <c r="BC29" s="99" t="str">
        <f t="shared" si="7"/>
        <v/>
      </c>
      <c r="BD29" s="99" t="str">
        <f t="shared" si="7"/>
        <v/>
      </c>
      <c r="BE29" s="99" t="str">
        <f t="shared" si="7"/>
        <v/>
      </c>
      <c r="BF29" s="99" t="str">
        <f t="shared" si="7"/>
        <v/>
      </c>
      <c r="BG29" s="99" t="str">
        <f t="shared" si="9"/>
        <v/>
      </c>
      <c r="BH29" s="99" t="str">
        <f t="shared" si="9"/>
        <v/>
      </c>
      <c r="BI29" s="99" t="str">
        <f t="shared" si="9"/>
        <v/>
      </c>
      <c r="BJ29" s="99" t="str">
        <f t="shared" si="9"/>
        <v/>
      </c>
      <c r="BK29" s="99" t="str">
        <f t="shared" si="9"/>
        <v/>
      </c>
      <c r="BL29" s="99" t="str">
        <f t="shared" si="9"/>
        <v/>
      </c>
      <c r="BM29" s="99" t="str">
        <f t="shared" si="9"/>
        <v/>
      </c>
      <c r="BN29" s="99" t="str">
        <f t="shared" si="9"/>
        <v/>
      </c>
      <c r="BO29" s="99" t="str">
        <f t="shared" si="9"/>
        <v/>
      </c>
      <c r="BP29" s="99" t="str">
        <f t="shared" si="9"/>
        <v/>
      </c>
      <c r="BQ29" s="99" t="str">
        <f t="shared" si="9"/>
        <v/>
      </c>
      <c r="BR29" s="99" t="str">
        <f t="shared" si="9"/>
        <v/>
      </c>
      <c r="BS29" s="99" t="str">
        <f t="shared" si="9"/>
        <v/>
      </c>
      <c r="BT29" s="99" t="str">
        <f t="shared" si="9"/>
        <v/>
      </c>
      <c r="BU29" s="99" t="str">
        <f t="shared" si="9"/>
        <v/>
      </c>
      <c r="BV29" s="99" t="str">
        <f t="shared" si="9"/>
        <v/>
      </c>
      <c r="BW29" s="99" t="str">
        <f t="shared" si="10"/>
        <v/>
      </c>
      <c r="BX29" s="100" t="str">
        <f t="shared" si="2"/>
        <v/>
      </c>
      <c r="BY29" s="92" t="str">
        <f t="shared" si="2"/>
        <v/>
      </c>
      <c r="CA29" s="261"/>
      <c r="CB29" s="84" t="s">
        <v>199</v>
      </c>
      <c r="CC29" s="98" t="str">
        <f t="shared" si="8"/>
        <v/>
      </c>
      <c r="CD29" s="99" t="str">
        <f t="shared" si="8"/>
        <v/>
      </c>
      <c r="CE29" s="99" t="str">
        <f t="shared" si="8"/>
        <v/>
      </c>
      <c r="CF29" s="99" t="str">
        <f t="shared" si="8"/>
        <v/>
      </c>
      <c r="CG29" s="99" t="str">
        <f t="shared" si="8"/>
        <v/>
      </c>
      <c r="CH29" s="99" t="str">
        <f t="shared" si="8"/>
        <v/>
      </c>
      <c r="CI29" s="99" t="str">
        <f t="shared" si="8"/>
        <v/>
      </c>
      <c r="CJ29" s="99" t="str">
        <f t="shared" si="8"/>
        <v/>
      </c>
      <c r="CK29" s="99" t="str">
        <f t="shared" si="8"/>
        <v/>
      </c>
      <c r="CL29" s="99" t="str">
        <f t="shared" si="8"/>
        <v/>
      </c>
      <c r="CM29" s="99" t="str">
        <f t="shared" si="8"/>
        <v/>
      </c>
      <c r="CN29" s="99" t="str">
        <f t="shared" si="8"/>
        <v/>
      </c>
      <c r="CO29" s="99" t="str">
        <f t="shared" si="8"/>
        <v/>
      </c>
      <c r="CP29" s="99" t="str">
        <f t="shared" si="8"/>
        <v/>
      </c>
      <c r="CQ29" s="99" t="str">
        <f t="shared" si="8"/>
        <v/>
      </c>
      <c r="CR29" s="99" t="str">
        <f t="shared" si="8"/>
        <v/>
      </c>
      <c r="CS29" s="99" t="str">
        <f t="shared" si="11"/>
        <v/>
      </c>
      <c r="CT29" s="99" t="str">
        <f t="shared" si="11"/>
        <v/>
      </c>
      <c r="CU29" s="99" t="str">
        <f t="shared" si="11"/>
        <v/>
      </c>
      <c r="CV29" s="99" t="str">
        <f t="shared" si="11"/>
        <v/>
      </c>
      <c r="CW29" s="99" t="str">
        <f t="shared" si="11"/>
        <v/>
      </c>
      <c r="CX29" s="99" t="str">
        <f t="shared" si="11"/>
        <v/>
      </c>
      <c r="CY29" s="99" t="str">
        <f t="shared" si="11"/>
        <v/>
      </c>
      <c r="CZ29" s="99" t="str">
        <f t="shared" si="11"/>
        <v/>
      </c>
      <c r="DA29" s="99" t="str">
        <f t="shared" si="11"/>
        <v/>
      </c>
      <c r="DB29" s="99" t="str">
        <f t="shared" si="11"/>
        <v/>
      </c>
      <c r="DC29" s="99" t="str">
        <f t="shared" si="11"/>
        <v/>
      </c>
      <c r="DD29" s="99" t="str">
        <f t="shared" si="11"/>
        <v/>
      </c>
      <c r="DE29" s="99" t="str">
        <f t="shared" si="11"/>
        <v/>
      </c>
      <c r="DF29" s="99" t="str">
        <f t="shared" si="11"/>
        <v/>
      </c>
      <c r="DG29" s="99" t="str">
        <f t="shared" si="11"/>
        <v/>
      </c>
      <c r="DH29" s="99" t="str">
        <f t="shared" si="11"/>
        <v/>
      </c>
      <c r="DI29" s="99" t="str">
        <f t="shared" si="12"/>
        <v/>
      </c>
      <c r="DJ29" s="100" t="str">
        <f t="shared" si="5"/>
        <v/>
      </c>
      <c r="DK29" s="92" t="str">
        <f t="shared" si="5"/>
        <v/>
      </c>
    </row>
    <row r="30" spans="1:115" x14ac:dyDescent="0.2">
      <c r="C30" s="260"/>
      <c r="D30" s="84" t="s">
        <v>200</v>
      </c>
      <c r="E30" s="95">
        <f>IFERROR(VLOOKUP(CONCATENATE($A$15,"-",$A$12, "-", $D30, "-", E$3, "-", $A$9), OBS_District_Flows!$A:$G, 6,FALSE),0)</f>
        <v>0</v>
      </c>
      <c r="F30" s="96">
        <f>IFERROR(VLOOKUP(CONCATENATE($A$15,"-",$A$12, "-", $D30, "-", F$3, "-", $A$9), OBS_District_Flows!$A:$G, 6,FALSE),0)</f>
        <v>0</v>
      </c>
      <c r="G30" s="96">
        <f>IFERROR(VLOOKUP(CONCATENATE($A$15,"-",$A$12, "-", $D30, "-", G$3, "-", $A$9), OBS_District_Flows!$A:$G, 6,FALSE),0)</f>
        <v>0</v>
      </c>
      <c r="H30" s="96">
        <f>IFERROR(VLOOKUP(CONCATENATE($A$15,"-",$A$12, "-", $D30, "-", H$3, "-", $A$9), OBS_District_Flows!$A:$G, 6,FALSE),0)</f>
        <v>0</v>
      </c>
      <c r="I30" s="96">
        <f>IFERROR(VLOOKUP(CONCATENATE($A$15,"-",$A$12, "-", $D30, "-", I$3, "-", $A$9), OBS_District_Flows!$A:$G, 6,FALSE),0)</f>
        <v>0</v>
      </c>
      <c r="J30" s="96">
        <f>IFERROR(VLOOKUP(CONCATENATE($A$15,"-",$A$12, "-", $D30, "-", J$3, "-", $A$9), OBS_District_Flows!$A:$G, 6,FALSE),0)</f>
        <v>0</v>
      </c>
      <c r="K30" s="96">
        <f>IFERROR(VLOOKUP(CONCATENATE($A$15,"-",$A$12, "-", $D30, "-", K$3, "-", $A$9), OBS_District_Flows!$A:$G, 6,FALSE),0)</f>
        <v>0</v>
      </c>
      <c r="L30" s="96">
        <f>IFERROR(VLOOKUP(CONCATENATE($A$15,"-",$A$12, "-", $D30, "-", L$3, "-", $A$9), OBS_District_Flows!$A:$G, 6,FALSE),0)</f>
        <v>0</v>
      </c>
      <c r="M30" s="96">
        <f>IFERROR(VLOOKUP(CONCATENATE($A$15,"-",$A$12, "-", $D30, "-", M$3, "-", $A$9), OBS_District_Flows!$A:$G, 6,FALSE),0)</f>
        <v>0</v>
      </c>
      <c r="N30" s="96">
        <f>IFERROR(VLOOKUP(CONCATENATE($A$15,"-",$A$12, "-", $D30, "-", N$3, "-", $A$9), OBS_District_Flows!$A:$G, 6,FALSE),0)</f>
        <v>0</v>
      </c>
      <c r="O30" s="96">
        <f>IFERROR(VLOOKUP(CONCATENATE($A$15,"-",$A$12, "-", $D30, "-", O$3, "-", $A$9), OBS_District_Flows!$A:$G, 6,FALSE),0)</f>
        <v>0</v>
      </c>
      <c r="P30" s="96">
        <f>IFERROR(VLOOKUP(CONCATENATE($A$15,"-",$A$12, "-", $D30, "-", P$3, "-", $A$9), OBS_District_Flows!$A:$G, 6,FALSE),0)</f>
        <v>0</v>
      </c>
      <c r="Q30" s="96">
        <f>IFERROR(VLOOKUP(CONCATENATE($A$15,"-",$A$12, "-", $D30, "-", Q$3, "-", $A$9), OBS_District_Flows!$A:$G, 6,FALSE),0)</f>
        <v>0</v>
      </c>
      <c r="R30" s="96">
        <f>IFERROR(VLOOKUP(CONCATENATE($A$15,"-",$A$12, "-", $D30, "-", R$3, "-", $A$9), OBS_District_Flows!$A:$G, 6,FALSE),0)</f>
        <v>0</v>
      </c>
      <c r="S30" s="96">
        <f>IFERROR(VLOOKUP(CONCATENATE($A$15,"-",$A$12, "-", $D30, "-", S$3, "-", $A$9), OBS_District_Flows!$A:$G, 6,FALSE),0)</f>
        <v>0</v>
      </c>
      <c r="T30" s="96">
        <f>IFERROR(VLOOKUP(CONCATENATE($A$15,"-",$A$12, "-", $D30, "-", T$3, "-", $A$9), OBS_District_Flows!$A:$G, 6,FALSE),0)</f>
        <v>0</v>
      </c>
      <c r="U30" s="96">
        <f>IFERROR(VLOOKUP(CONCATENATE($A$15,"-",$A$12, "-", $D30, "-", U$3, "-", $A$9), OBS_District_Flows!$A:$G, 6,FALSE),0)</f>
        <v>0</v>
      </c>
      <c r="V30" s="96">
        <f>IFERROR(VLOOKUP(CONCATENATE($A$15,"-",$A$12, "-", $D30, "-", V$3, "-", $A$9), OBS_District_Flows!$A:$G, 6,FALSE),0)</f>
        <v>0</v>
      </c>
      <c r="W30" s="96">
        <f>IFERROR(VLOOKUP(CONCATENATE($A$15,"-",$A$12, "-", $D30, "-", W$3, "-", $A$9), OBS_District_Flows!$A:$G, 6,FALSE),0)</f>
        <v>0</v>
      </c>
      <c r="X30" s="96">
        <f>IFERROR(VLOOKUP(CONCATENATE($A$15,"-",$A$12, "-", $D30, "-", X$3, "-", $A$9), OBS_District_Flows!$A:$G, 6,FALSE),0)</f>
        <v>0</v>
      </c>
      <c r="Y30" s="96">
        <f>IFERROR(VLOOKUP(CONCATENATE($A$15,"-",$A$12, "-", $D30, "-", Y$3, "-", $A$9), OBS_District_Flows!$A:$G, 6,FALSE),0)</f>
        <v>0</v>
      </c>
      <c r="Z30" s="96">
        <f>IFERROR(VLOOKUP(CONCATENATE($A$15,"-",$A$12, "-", $D30, "-", Z$3, "-", $A$9), OBS_District_Flows!$A:$G, 6,FALSE),0)</f>
        <v>0</v>
      </c>
      <c r="AA30" s="96">
        <f>IFERROR(VLOOKUP(CONCATENATE($A$15,"-",$A$12, "-", $D30, "-", AA$3, "-", $A$9), OBS_District_Flows!$A:$G, 6,FALSE),0)</f>
        <v>0</v>
      </c>
      <c r="AB30" s="96">
        <f>IFERROR(VLOOKUP(CONCATENATE($A$15,"-",$A$12, "-", $D30, "-", AB$3, "-", $A$9), OBS_District_Flows!$A:$G, 6,FALSE),0)</f>
        <v>0</v>
      </c>
      <c r="AC30" s="96">
        <f>IFERROR(VLOOKUP(CONCATENATE($A$15,"-",$A$12, "-", $D30, "-", AC$3, "-", $A$9), OBS_District_Flows!$A:$G, 6,FALSE),0)</f>
        <v>0</v>
      </c>
      <c r="AD30" s="96">
        <f>IFERROR(VLOOKUP(CONCATENATE($A$15,"-",$A$12, "-", $D30, "-", AD$3, "-", $A$9), OBS_District_Flows!$A:$G, 6,FALSE),0)</f>
        <v>0</v>
      </c>
      <c r="AE30" s="96">
        <f>IFERROR(VLOOKUP(CONCATENATE($A$15,"-",$A$12, "-", $D30, "-", AE$3, "-", $A$9), OBS_District_Flows!$A:$G, 6,FALSE),0)</f>
        <v>0</v>
      </c>
      <c r="AF30" s="96">
        <f>IFERROR(VLOOKUP(CONCATENATE($A$15,"-",$A$12, "-", $D30, "-", AF$3, "-", $A$9), OBS_District_Flows!$A:$G, 6,FALSE),0)</f>
        <v>0</v>
      </c>
      <c r="AG30" s="96">
        <f>IFERROR(VLOOKUP(CONCATENATE($A$15,"-",$A$12, "-", $D30, "-", AG$3, "-", $A$9), OBS_District_Flows!$A:$G, 6,FALSE),0)</f>
        <v>0</v>
      </c>
      <c r="AH30" s="96">
        <f>IFERROR(VLOOKUP(CONCATENATE($A$15,"-",$A$12, "-", $D30, "-", AH$3, "-", $A$9), OBS_District_Flows!$A:$G, 6,FALSE),0)</f>
        <v>0</v>
      </c>
      <c r="AI30" s="96">
        <f>IFERROR(VLOOKUP(CONCATENATE($A$15,"-",$A$12, "-", $D30, "-", AI$3, "-", $A$9), OBS_District_Flows!$A:$G, 6,FALSE),0)</f>
        <v>0</v>
      </c>
      <c r="AJ30" s="96">
        <f>IFERROR(VLOOKUP(CONCATENATE($A$15,"-",$A$12, "-", $D30, "-", AJ$3, "-", $A$9), OBS_District_Flows!$A:$G, 6,FALSE),0)</f>
        <v>0</v>
      </c>
      <c r="AK30" s="96">
        <f>IFERROR(VLOOKUP(CONCATENATE($A$15,"-",$A$12, "-", $D30, "-", AK$3, "-", $A$9), OBS_District_Flows!$A:$G, 6,FALSE),0)</f>
        <v>0</v>
      </c>
      <c r="AL30" s="97">
        <f>IFERROR(VLOOKUP(CONCATENATE($A$15,"-",$A$12, "-", $D30, "-", AL$3, "-", $A$9), OBS_District_Flows!$A:$G, 6,FALSE),0)</f>
        <v>0</v>
      </c>
      <c r="AM30" s="88">
        <f t="shared" si="6"/>
        <v>0</v>
      </c>
      <c r="AO30" s="261"/>
      <c r="AP30" s="84" t="s">
        <v>200</v>
      </c>
      <c r="AQ30" s="98" t="str">
        <f t="shared" si="7"/>
        <v/>
      </c>
      <c r="AR30" s="99" t="str">
        <f t="shared" si="7"/>
        <v/>
      </c>
      <c r="AS30" s="99" t="str">
        <f t="shared" si="7"/>
        <v/>
      </c>
      <c r="AT30" s="99" t="str">
        <f t="shared" si="7"/>
        <v/>
      </c>
      <c r="AU30" s="99" t="str">
        <f t="shared" si="7"/>
        <v/>
      </c>
      <c r="AV30" s="99" t="str">
        <f t="shared" si="7"/>
        <v/>
      </c>
      <c r="AW30" s="99" t="str">
        <f t="shared" si="7"/>
        <v/>
      </c>
      <c r="AX30" s="99" t="str">
        <f t="shared" si="7"/>
        <v/>
      </c>
      <c r="AY30" s="99" t="str">
        <f t="shared" si="7"/>
        <v/>
      </c>
      <c r="AZ30" s="99" t="str">
        <f t="shared" si="7"/>
        <v/>
      </c>
      <c r="BA30" s="99" t="str">
        <f t="shared" si="7"/>
        <v/>
      </c>
      <c r="BB30" s="99" t="str">
        <f t="shared" si="7"/>
        <v/>
      </c>
      <c r="BC30" s="99" t="str">
        <f t="shared" si="7"/>
        <v/>
      </c>
      <c r="BD30" s="99" t="str">
        <f t="shared" si="7"/>
        <v/>
      </c>
      <c r="BE30" s="99" t="str">
        <f t="shared" si="7"/>
        <v/>
      </c>
      <c r="BF30" s="99" t="str">
        <f t="shared" si="7"/>
        <v/>
      </c>
      <c r="BG30" s="99" t="str">
        <f t="shared" si="9"/>
        <v/>
      </c>
      <c r="BH30" s="99" t="str">
        <f t="shared" si="9"/>
        <v/>
      </c>
      <c r="BI30" s="99" t="str">
        <f t="shared" si="9"/>
        <v/>
      </c>
      <c r="BJ30" s="99" t="str">
        <f t="shared" si="9"/>
        <v/>
      </c>
      <c r="BK30" s="99" t="str">
        <f t="shared" si="9"/>
        <v/>
      </c>
      <c r="BL30" s="99" t="str">
        <f t="shared" si="9"/>
        <v/>
      </c>
      <c r="BM30" s="99" t="str">
        <f t="shared" si="9"/>
        <v/>
      </c>
      <c r="BN30" s="99" t="str">
        <f t="shared" si="9"/>
        <v/>
      </c>
      <c r="BO30" s="99" t="str">
        <f t="shared" si="9"/>
        <v/>
      </c>
      <c r="BP30" s="99" t="str">
        <f t="shared" si="9"/>
        <v/>
      </c>
      <c r="BQ30" s="99" t="str">
        <f t="shared" si="9"/>
        <v/>
      </c>
      <c r="BR30" s="99" t="str">
        <f t="shared" si="9"/>
        <v/>
      </c>
      <c r="BS30" s="99" t="str">
        <f t="shared" si="9"/>
        <v/>
      </c>
      <c r="BT30" s="99" t="str">
        <f t="shared" si="9"/>
        <v/>
      </c>
      <c r="BU30" s="99" t="str">
        <f t="shared" si="9"/>
        <v/>
      </c>
      <c r="BV30" s="99" t="str">
        <f t="shared" si="9"/>
        <v/>
      </c>
      <c r="BW30" s="99" t="str">
        <f t="shared" si="10"/>
        <v/>
      </c>
      <c r="BX30" s="100" t="str">
        <f t="shared" si="2"/>
        <v/>
      </c>
      <c r="BY30" s="92" t="str">
        <f t="shared" si="2"/>
        <v/>
      </c>
      <c r="CA30" s="261"/>
      <c r="CB30" s="84" t="s">
        <v>200</v>
      </c>
      <c r="CC30" s="98" t="str">
        <f t="shared" si="8"/>
        <v/>
      </c>
      <c r="CD30" s="99" t="str">
        <f t="shared" si="8"/>
        <v/>
      </c>
      <c r="CE30" s="99" t="str">
        <f t="shared" si="8"/>
        <v/>
      </c>
      <c r="CF30" s="99" t="str">
        <f t="shared" si="8"/>
        <v/>
      </c>
      <c r="CG30" s="99" t="str">
        <f t="shared" si="8"/>
        <v/>
      </c>
      <c r="CH30" s="99" t="str">
        <f t="shared" si="8"/>
        <v/>
      </c>
      <c r="CI30" s="99" t="str">
        <f t="shared" si="8"/>
        <v/>
      </c>
      <c r="CJ30" s="99" t="str">
        <f t="shared" si="8"/>
        <v/>
      </c>
      <c r="CK30" s="99" t="str">
        <f t="shared" si="8"/>
        <v/>
      </c>
      <c r="CL30" s="99" t="str">
        <f t="shared" si="8"/>
        <v/>
      </c>
      <c r="CM30" s="99" t="str">
        <f t="shared" si="8"/>
        <v/>
      </c>
      <c r="CN30" s="99" t="str">
        <f t="shared" si="8"/>
        <v/>
      </c>
      <c r="CO30" s="99" t="str">
        <f t="shared" si="8"/>
        <v/>
      </c>
      <c r="CP30" s="99" t="str">
        <f t="shared" si="8"/>
        <v/>
      </c>
      <c r="CQ30" s="99" t="str">
        <f t="shared" si="8"/>
        <v/>
      </c>
      <c r="CR30" s="99" t="str">
        <f t="shared" si="8"/>
        <v/>
      </c>
      <c r="CS30" s="99" t="str">
        <f t="shared" si="11"/>
        <v/>
      </c>
      <c r="CT30" s="99" t="str">
        <f t="shared" si="11"/>
        <v/>
      </c>
      <c r="CU30" s="99" t="str">
        <f t="shared" si="11"/>
        <v/>
      </c>
      <c r="CV30" s="99" t="str">
        <f t="shared" si="11"/>
        <v/>
      </c>
      <c r="CW30" s="99" t="str">
        <f t="shared" si="11"/>
        <v/>
      </c>
      <c r="CX30" s="99" t="str">
        <f t="shared" si="11"/>
        <v/>
      </c>
      <c r="CY30" s="99" t="str">
        <f t="shared" si="11"/>
        <v/>
      </c>
      <c r="CZ30" s="99" t="str">
        <f t="shared" si="11"/>
        <v/>
      </c>
      <c r="DA30" s="99" t="str">
        <f t="shared" si="11"/>
        <v/>
      </c>
      <c r="DB30" s="99" t="str">
        <f t="shared" si="11"/>
        <v/>
      </c>
      <c r="DC30" s="99" t="str">
        <f t="shared" si="11"/>
        <v/>
      </c>
      <c r="DD30" s="99" t="str">
        <f t="shared" si="11"/>
        <v/>
      </c>
      <c r="DE30" s="99" t="str">
        <f t="shared" si="11"/>
        <v/>
      </c>
      <c r="DF30" s="99" t="str">
        <f t="shared" si="11"/>
        <v/>
      </c>
      <c r="DG30" s="99" t="str">
        <f t="shared" si="11"/>
        <v/>
      </c>
      <c r="DH30" s="99" t="str">
        <f t="shared" si="11"/>
        <v/>
      </c>
      <c r="DI30" s="99" t="str">
        <f t="shared" si="12"/>
        <v/>
      </c>
      <c r="DJ30" s="100" t="str">
        <f t="shared" si="5"/>
        <v/>
      </c>
      <c r="DK30" s="92" t="str">
        <f t="shared" si="5"/>
        <v/>
      </c>
    </row>
    <row r="31" spans="1:115" x14ac:dyDescent="0.2">
      <c r="C31" s="260"/>
      <c r="D31" s="84" t="s">
        <v>201</v>
      </c>
      <c r="E31" s="95">
        <f>IFERROR(VLOOKUP(CONCATENATE($A$15,"-",$A$12, "-", $D31, "-", E$3, "-", $A$9), OBS_District_Flows!$A:$G, 6,FALSE),0)</f>
        <v>0</v>
      </c>
      <c r="F31" s="96">
        <f>IFERROR(VLOOKUP(CONCATENATE($A$15,"-",$A$12, "-", $D31, "-", F$3, "-", $A$9), OBS_District_Flows!$A:$G, 6,FALSE),0)</f>
        <v>0</v>
      </c>
      <c r="G31" s="96">
        <f>IFERROR(VLOOKUP(CONCATENATE($A$15,"-",$A$12, "-", $D31, "-", G$3, "-", $A$9), OBS_District_Flows!$A:$G, 6,FALSE),0)</f>
        <v>0</v>
      </c>
      <c r="H31" s="96">
        <f>IFERROR(VLOOKUP(CONCATENATE($A$15,"-",$A$12, "-", $D31, "-", H$3, "-", $A$9), OBS_District_Flows!$A:$G, 6,FALSE),0)</f>
        <v>0</v>
      </c>
      <c r="I31" s="96">
        <f>IFERROR(VLOOKUP(CONCATENATE($A$15,"-",$A$12, "-", $D31, "-", I$3, "-", $A$9), OBS_District_Flows!$A:$G, 6,FALSE),0)</f>
        <v>0</v>
      </c>
      <c r="J31" s="96">
        <f>IFERROR(VLOOKUP(CONCATENATE($A$15,"-",$A$12, "-", $D31, "-", J$3, "-", $A$9), OBS_District_Flows!$A:$G, 6,FALSE),0)</f>
        <v>0</v>
      </c>
      <c r="K31" s="96">
        <f>IFERROR(VLOOKUP(CONCATENATE($A$15,"-",$A$12, "-", $D31, "-", K$3, "-", $A$9), OBS_District_Flows!$A:$G, 6,FALSE),0)</f>
        <v>0</v>
      </c>
      <c r="L31" s="96">
        <f>IFERROR(VLOOKUP(CONCATENATE($A$15,"-",$A$12, "-", $D31, "-", L$3, "-", $A$9), OBS_District_Flows!$A:$G, 6,FALSE),0)</f>
        <v>0</v>
      </c>
      <c r="M31" s="96">
        <f>IFERROR(VLOOKUP(CONCATENATE($A$15,"-",$A$12, "-", $D31, "-", M$3, "-", $A$9), OBS_District_Flows!$A:$G, 6,FALSE),0)</f>
        <v>0</v>
      </c>
      <c r="N31" s="96">
        <f>IFERROR(VLOOKUP(CONCATENATE($A$15,"-",$A$12, "-", $D31, "-", N$3, "-", $A$9), OBS_District_Flows!$A:$G, 6,FALSE),0)</f>
        <v>0</v>
      </c>
      <c r="O31" s="96">
        <f>IFERROR(VLOOKUP(CONCATENATE($A$15,"-",$A$12, "-", $D31, "-", O$3, "-", $A$9), OBS_District_Flows!$A:$G, 6,FALSE),0)</f>
        <v>0</v>
      </c>
      <c r="P31" s="96">
        <f>IFERROR(VLOOKUP(CONCATENATE($A$15,"-",$A$12, "-", $D31, "-", P$3, "-", $A$9), OBS_District_Flows!$A:$G, 6,FALSE),0)</f>
        <v>0</v>
      </c>
      <c r="Q31" s="96">
        <f>IFERROR(VLOOKUP(CONCATENATE($A$15,"-",$A$12, "-", $D31, "-", Q$3, "-", $A$9), OBS_District_Flows!$A:$G, 6,FALSE),0)</f>
        <v>0</v>
      </c>
      <c r="R31" s="96">
        <f>IFERROR(VLOOKUP(CONCATENATE($A$15,"-",$A$12, "-", $D31, "-", R$3, "-", $A$9), OBS_District_Flows!$A:$G, 6,FALSE),0)</f>
        <v>0</v>
      </c>
      <c r="S31" s="96">
        <f>IFERROR(VLOOKUP(CONCATENATE($A$15,"-",$A$12, "-", $D31, "-", S$3, "-", $A$9), OBS_District_Flows!$A:$G, 6,FALSE),0)</f>
        <v>0</v>
      </c>
      <c r="T31" s="96">
        <f>IFERROR(VLOOKUP(CONCATENATE($A$15,"-",$A$12, "-", $D31, "-", T$3, "-", $A$9), OBS_District_Flows!$A:$G, 6,FALSE),0)</f>
        <v>0</v>
      </c>
      <c r="U31" s="96">
        <f>IFERROR(VLOOKUP(CONCATENATE($A$15,"-",$A$12, "-", $D31, "-", U$3, "-", $A$9), OBS_District_Flows!$A:$G, 6,FALSE),0)</f>
        <v>0</v>
      </c>
      <c r="V31" s="96">
        <f>IFERROR(VLOOKUP(CONCATENATE($A$15,"-",$A$12, "-", $D31, "-", V$3, "-", $A$9), OBS_District_Flows!$A:$G, 6,FALSE),0)</f>
        <v>0</v>
      </c>
      <c r="W31" s="96">
        <f>IFERROR(VLOOKUP(CONCATENATE($A$15,"-",$A$12, "-", $D31, "-", W$3, "-", $A$9), OBS_District_Flows!$A:$G, 6,FALSE),0)</f>
        <v>0</v>
      </c>
      <c r="X31" s="96">
        <f>IFERROR(VLOOKUP(CONCATENATE($A$15,"-",$A$12, "-", $D31, "-", X$3, "-", $A$9), OBS_District_Flows!$A:$G, 6,FALSE),0)</f>
        <v>0</v>
      </c>
      <c r="Y31" s="96">
        <f>IFERROR(VLOOKUP(CONCATENATE($A$15,"-",$A$12, "-", $D31, "-", Y$3, "-", $A$9), OBS_District_Flows!$A:$G, 6,FALSE),0)</f>
        <v>0</v>
      </c>
      <c r="Z31" s="96">
        <f>IFERROR(VLOOKUP(CONCATENATE($A$15,"-",$A$12, "-", $D31, "-", Z$3, "-", $A$9), OBS_District_Flows!$A:$G, 6,FALSE),0)</f>
        <v>0</v>
      </c>
      <c r="AA31" s="96">
        <f>IFERROR(VLOOKUP(CONCATENATE($A$15,"-",$A$12, "-", $D31, "-", AA$3, "-", $A$9), OBS_District_Flows!$A:$G, 6,FALSE),0)</f>
        <v>0</v>
      </c>
      <c r="AB31" s="96">
        <f>IFERROR(VLOOKUP(CONCATENATE($A$15,"-",$A$12, "-", $D31, "-", AB$3, "-", $A$9), OBS_District_Flows!$A:$G, 6,FALSE),0)</f>
        <v>0</v>
      </c>
      <c r="AC31" s="96">
        <f>IFERROR(VLOOKUP(CONCATENATE($A$15,"-",$A$12, "-", $D31, "-", AC$3, "-", $A$9), OBS_District_Flows!$A:$G, 6,FALSE),0)</f>
        <v>0</v>
      </c>
      <c r="AD31" s="96">
        <f>IFERROR(VLOOKUP(CONCATENATE($A$15,"-",$A$12, "-", $D31, "-", AD$3, "-", $A$9), OBS_District_Flows!$A:$G, 6,FALSE),0)</f>
        <v>0</v>
      </c>
      <c r="AE31" s="96">
        <f>IFERROR(VLOOKUP(CONCATENATE($A$15,"-",$A$12, "-", $D31, "-", AE$3, "-", $A$9), OBS_District_Flows!$A:$G, 6,FALSE),0)</f>
        <v>0</v>
      </c>
      <c r="AF31" s="96">
        <f>IFERROR(VLOOKUP(CONCATENATE($A$15,"-",$A$12, "-", $D31, "-", AF$3, "-", $A$9), OBS_District_Flows!$A:$G, 6,FALSE),0)</f>
        <v>0</v>
      </c>
      <c r="AG31" s="96">
        <f>IFERROR(VLOOKUP(CONCATENATE($A$15,"-",$A$12, "-", $D31, "-", AG$3, "-", $A$9), OBS_District_Flows!$A:$G, 6,FALSE),0)</f>
        <v>0</v>
      </c>
      <c r="AH31" s="96">
        <f>IFERROR(VLOOKUP(CONCATENATE($A$15,"-",$A$12, "-", $D31, "-", AH$3, "-", $A$9), OBS_District_Flows!$A:$G, 6,FALSE),0)</f>
        <v>0</v>
      </c>
      <c r="AI31" s="96">
        <f>IFERROR(VLOOKUP(CONCATENATE($A$15,"-",$A$12, "-", $D31, "-", AI$3, "-", $A$9), OBS_District_Flows!$A:$G, 6,FALSE),0)</f>
        <v>0</v>
      </c>
      <c r="AJ31" s="96">
        <f>IFERROR(VLOOKUP(CONCATENATE($A$15,"-",$A$12, "-", $D31, "-", AJ$3, "-", $A$9), OBS_District_Flows!$A:$G, 6,FALSE),0)</f>
        <v>0</v>
      </c>
      <c r="AK31" s="96">
        <f>IFERROR(VLOOKUP(CONCATENATE($A$15,"-",$A$12, "-", $D31, "-", AK$3, "-", $A$9), OBS_District_Flows!$A:$G, 6,FALSE),0)</f>
        <v>0</v>
      </c>
      <c r="AL31" s="97">
        <f>IFERROR(VLOOKUP(CONCATENATE($A$15,"-",$A$12, "-", $D31, "-", AL$3, "-", $A$9), OBS_District_Flows!$A:$G, 6,FALSE),0)</f>
        <v>0</v>
      </c>
      <c r="AM31" s="88">
        <f t="shared" si="6"/>
        <v>0</v>
      </c>
      <c r="AO31" s="261"/>
      <c r="AP31" s="84" t="s">
        <v>201</v>
      </c>
      <c r="AQ31" s="98" t="str">
        <f t="shared" si="7"/>
        <v/>
      </c>
      <c r="AR31" s="99" t="str">
        <f t="shared" si="7"/>
        <v/>
      </c>
      <c r="AS31" s="99" t="str">
        <f t="shared" si="7"/>
        <v/>
      </c>
      <c r="AT31" s="99" t="str">
        <f t="shared" si="7"/>
        <v/>
      </c>
      <c r="AU31" s="99" t="str">
        <f t="shared" si="7"/>
        <v/>
      </c>
      <c r="AV31" s="99" t="str">
        <f t="shared" si="7"/>
        <v/>
      </c>
      <c r="AW31" s="99" t="str">
        <f t="shared" si="7"/>
        <v/>
      </c>
      <c r="AX31" s="99" t="str">
        <f t="shared" si="7"/>
        <v/>
      </c>
      <c r="AY31" s="99" t="str">
        <f t="shared" si="7"/>
        <v/>
      </c>
      <c r="AZ31" s="99" t="str">
        <f t="shared" si="7"/>
        <v/>
      </c>
      <c r="BA31" s="99" t="str">
        <f t="shared" si="7"/>
        <v/>
      </c>
      <c r="BB31" s="99" t="str">
        <f t="shared" si="7"/>
        <v/>
      </c>
      <c r="BC31" s="99" t="str">
        <f t="shared" si="7"/>
        <v/>
      </c>
      <c r="BD31" s="99" t="str">
        <f t="shared" si="7"/>
        <v/>
      </c>
      <c r="BE31" s="99" t="str">
        <f t="shared" si="7"/>
        <v/>
      </c>
      <c r="BF31" s="99" t="str">
        <f t="shared" si="7"/>
        <v/>
      </c>
      <c r="BG31" s="99" t="str">
        <f t="shared" si="9"/>
        <v/>
      </c>
      <c r="BH31" s="99" t="str">
        <f t="shared" si="9"/>
        <v/>
      </c>
      <c r="BI31" s="99" t="str">
        <f t="shared" si="9"/>
        <v/>
      </c>
      <c r="BJ31" s="99" t="str">
        <f t="shared" si="9"/>
        <v/>
      </c>
      <c r="BK31" s="99" t="str">
        <f t="shared" si="9"/>
        <v/>
      </c>
      <c r="BL31" s="99" t="str">
        <f t="shared" si="9"/>
        <v/>
      </c>
      <c r="BM31" s="99" t="str">
        <f t="shared" si="9"/>
        <v/>
      </c>
      <c r="BN31" s="99" t="str">
        <f t="shared" si="9"/>
        <v/>
      </c>
      <c r="BO31" s="99" t="str">
        <f t="shared" si="9"/>
        <v/>
      </c>
      <c r="BP31" s="99" t="str">
        <f t="shared" si="9"/>
        <v/>
      </c>
      <c r="BQ31" s="99" t="str">
        <f t="shared" si="9"/>
        <v/>
      </c>
      <c r="BR31" s="99" t="str">
        <f t="shared" si="9"/>
        <v/>
      </c>
      <c r="BS31" s="99" t="str">
        <f t="shared" si="9"/>
        <v/>
      </c>
      <c r="BT31" s="99" t="str">
        <f t="shared" si="9"/>
        <v/>
      </c>
      <c r="BU31" s="99" t="str">
        <f t="shared" si="9"/>
        <v/>
      </c>
      <c r="BV31" s="99" t="str">
        <f t="shared" si="9"/>
        <v/>
      </c>
      <c r="BW31" s="99" t="str">
        <f t="shared" si="10"/>
        <v/>
      </c>
      <c r="BX31" s="100" t="str">
        <f t="shared" si="2"/>
        <v/>
      </c>
      <c r="BY31" s="92" t="str">
        <f t="shared" si="2"/>
        <v/>
      </c>
      <c r="CA31" s="261"/>
      <c r="CB31" s="84" t="s">
        <v>201</v>
      </c>
      <c r="CC31" s="98" t="str">
        <f t="shared" si="8"/>
        <v/>
      </c>
      <c r="CD31" s="99" t="str">
        <f t="shared" si="8"/>
        <v/>
      </c>
      <c r="CE31" s="99" t="str">
        <f t="shared" si="8"/>
        <v/>
      </c>
      <c r="CF31" s="99" t="str">
        <f t="shared" si="8"/>
        <v/>
      </c>
      <c r="CG31" s="99" t="str">
        <f t="shared" si="8"/>
        <v/>
      </c>
      <c r="CH31" s="99" t="str">
        <f t="shared" si="8"/>
        <v/>
      </c>
      <c r="CI31" s="99" t="str">
        <f t="shared" si="8"/>
        <v/>
      </c>
      <c r="CJ31" s="99" t="str">
        <f t="shared" si="8"/>
        <v/>
      </c>
      <c r="CK31" s="99" t="str">
        <f t="shared" si="8"/>
        <v/>
      </c>
      <c r="CL31" s="99" t="str">
        <f t="shared" si="8"/>
        <v/>
      </c>
      <c r="CM31" s="99" t="str">
        <f t="shared" si="8"/>
        <v/>
      </c>
      <c r="CN31" s="99" t="str">
        <f t="shared" si="8"/>
        <v/>
      </c>
      <c r="CO31" s="99" t="str">
        <f t="shared" si="8"/>
        <v/>
      </c>
      <c r="CP31" s="99" t="str">
        <f t="shared" si="8"/>
        <v/>
      </c>
      <c r="CQ31" s="99" t="str">
        <f t="shared" si="8"/>
        <v/>
      </c>
      <c r="CR31" s="99" t="str">
        <f t="shared" si="8"/>
        <v/>
      </c>
      <c r="CS31" s="99" t="str">
        <f t="shared" si="11"/>
        <v/>
      </c>
      <c r="CT31" s="99" t="str">
        <f t="shared" si="11"/>
        <v/>
      </c>
      <c r="CU31" s="99" t="str">
        <f t="shared" si="11"/>
        <v/>
      </c>
      <c r="CV31" s="99" t="str">
        <f t="shared" si="11"/>
        <v/>
      </c>
      <c r="CW31" s="99" t="str">
        <f t="shared" si="11"/>
        <v/>
      </c>
      <c r="CX31" s="99" t="str">
        <f t="shared" si="11"/>
        <v/>
      </c>
      <c r="CY31" s="99" t="str">
        <f t="shared" si="11"/>
        <v/>
      </c>
      <c r="CZ31" s="99" t="str">
        <f t="shared" si="11"/>
        <v/>
      </c>
      <c r="DA31" s="99" t="str">
        <f t="shared" si="11"/>
        <v/>
      </c>
      <c r="DB31" s="99" t="str">
        <f t="shared" si="11"/>
        <v/>
      </c>
      <c r="DC31" s="99" t="str">
        <f t="shared" si="11"/>
        <v/>
      </c>
      <c r="DD31" s="99" t="str">
        <f t="shared" si="11"/>
        <v/>
      </c>
      <c r="DE31" s="99" t="str">
        <f t="shared" si="11"/>
        <v/>
      </c>
      <c r="DF31" s="99" t="str">
        <f t="shared" si="11"/>
        <v/>
      </c>
      <c r="DG31" s="99" t="str">
        <f t="shared" si="11"/>
        <v/>
      </c>
      <c r="DH31" s="99" t="str">
        <f t="shared" si="11"/>
        <v/>
      </c>
      <c r="DI31" s="99" t="str">
        <f t="shared" si="12"/>
        <v/>
      </c>
      <c r="DJ31" s="100" t="str">
        <f t="shared" si="5"/>
        <v/>
      </c>
      <c r="DK31" s="92" t="str">
        <f t="shared" si="5"/>
        <v/>
      </c>
    </row>
    <row r="32" spans="1:115" x14ac:dyDescent="0.2">
      <c r="A32" s="80" t="s">
        <v>221</v>
      </c>
      <c r="C32" s="260"/>
      <c r="D32" s="84" t="s">
        <v>202</v>
      </c>
      <c r="E32" s="95">
        <f>IFERROR(VLOOKUP(CONCATENATE($A$15,"-",$A$12, "-", $D32, "-", E$3, "-", $A$9), OBS_District_Flows!$A:$G, 6,FALSE),0)</f>
        <v>0</v>
      </c>
      <c r="F32" s="96">
        <f>IFERROR(VLOOKUP(CONCATENATE($A$15,"-",$A$12, "-", $D32, "-", F$3, "-", $A$9), OBS_District_Flows!$A:$G, 6,FALSE),0)</f>
        <v>0</v>
      </c>
      <c r="G32" s="96">
        <f>IFERROR(VLOOKUP(CONCATENATE($A$15,"-",$A$12, "-", $D32, "-", G$3, "-", $A$9), OBS_District_Flows!$A:$G, 6,FALSE),0)</f>
        <v>0</v>
      </c>
      <c r="H32" s="96">
        <f>IFERROR(VLOOKUP(CONCATENATE($A$15,"-",$A$12, "-", $D32, "-", H$3, "-", $A$9), OBS_District_Flows!$A:$G, 6,FALSE),0)</f>
        <v>0</v>
      </c>
      <c r="I32" s="96">
        <f>IFERROR(VLOOKUP(CONCATENATE($A$15,"-",$A$12, "-", $D32, "-", I$3, "-", $A$9), OBS_District_Flows!$A:$G, 6,FALSE),0)</f>
        <v>0</v>
      </c>
      <c r="J32" s="96">
        <f>IFERROR(VLOOKUP(CONCATENATE($A$15,"-",$A$12, "-", $D32, "-", J$3, "-", $A$9), OBS_District_Flows!$A:$G, 6,FALSE),0)</f>
        <v>0</v>
      </c>
      <c r="K32" s="96">
        <f>IFERROR(VLOOKUP(CONCATENATE($A$15,"-",$A$12, "-", $D32, "-", K$3, "-", $A$9), OBS_District_Flows!$A:$G, 6,FALSE),0)</f>
        <v>0</v>
      </c>
      <c r="L32" s="96">
        <f>IFERROR(VLOOKUP(CONCATENATE($A$15,"-",$A$12, "-", $D32, "-", L$3, "-", $A$9), OBS_District_Flows!$A:$G, 6,FALSE),0)</f>
        <v>0</v>
      </c>
      <c r="M32" s="96">
        <f>IFERROR(VLOOKUP(CONCATENATE($A$15,"-",$A$12, "-", $D32, "-", M$3, "-", $A$9), OBS_District_Flows!$A:$G, 6,FALSE),0)</f>
        <v>0</v>
      </c>
      <c r="N32" s="96">
        <f>IFERROR(VLOOKUP(CONCATENATE($A$15,"-",$A$12, "-", $D32, "-", N$3, "-", $A$9), OBS_District_Flows!$A:$G, 6,FALSE),0)</f>
        <v>0</v>
      </c>
      <c r="O32" s="96">
        <f>IFERROR(VLOOKUP(CONCATENATE($A$15,"-",$A$12, "-", $D32, "-", O$3, "-", $A$9), OBS_District_Flows!$A:$G, 6,FALSE),0)</f>
        <v>0</v>
      </c>
      <c r="P32" s="96">
        <f>IFERROR(VLOOKUP(CONCATENATE($A$15,"-",$A$12, "-", $D32, "-", P$3, "-", $A$9), OBS_District_Flows!$A:$G, 6,FALSE),0)</f>
        <v>0</v>
      </c>
      <c r="Q32" s="96">
        <f>IFERROR(VLOOKUP(CONCATENATE($A$15,"-",$A$12, "-", $D32, "-", Q$3, "-", $A$9), OBS_District_Flows!$A:$G, 6,FALSE),0)</f>
        <v>0</v>
      </c>
      <c r="R32" s="96">
        <f>IFERROR(VLOOKUP(CONCATENATE($A$15,"-",$A$12, "-", $D32, "-", R$3, "-", $A$9), OBS_District_Flows!$A:$G, 6,FALSE),0)</f>
        <v>0</v>
      </c>
      <c r="S32" s="96">
        <f>IFERROR(VLOOKUP(CONCATENATE($A$15,"-",$A$12, "-", $D32, "-", S$3, "-", $A$9), OBS_District_Flows!$A:$G, 6,FALSE),0)</f>
        <v>0</v>
      </c>
      <c r="T32" s="96">
        <f>IFERROR(VLOOKUP(CONCATENATE($A$15,"-",$A$12, "-", $D32, "-", T$3, "-", $A$9), OBS_District_Flows!$A:$G, 6,FALSE),0)</f>
        <v>0</v>
      </c>
      <c r="U32" s="96">
        <f>IFERROR(VLOOKUP(CONCATENATE($A$15,"-",$A$12, "-", $D32, "-", U$3, "-", $A$9), OBS_District_Flows!$A:$G, 6,FALSE),0)</f>
        <v>0</v>
      </c>
      <c r="V32" s="96">
        <f>IFERROR(VLOOKUP(CONCATENATE($A$15,"-",$A$12, "-", $D32, "-", V$3, "-", $A$9), OBS_District_Flows!$A:$G, 6,FALSE),0)</f>
        <v>0</v>
      </c>
      <c r="W32" s="96">
        <f>IFERROR(VLOOKUP(CONCATENATE($A$15,"-",$A$12, "-", $D32, "-", W$3, "-", $A$9), OBS_District_Flows!$A:$G, 6,FALSE),0)</f>
        <v>0</v>
      </c>
      <c r="X32" s="96">
        <f>IFERROR(VLOOKUP(CONCATENATE($A$15,"-",$A$12, "-", $D32, "-", X$3, "-", $A$9), OBS_District_Flows!$A:$G, 6,FALSE),0)</f>
        <v>0</v>
      </c>
      <c r="Y32" s="96">
        <f>IFERROR(VLOOKUP(CONCATENATE($A$15,"-",$A$12, "-", $D32, "-", Y$3, "-", $A$9), OBS_District_Flows!$A:$G, 6,FALSE),0)</f>
        <v>0</v>
      </c>
      <c r="Z32" s="96">
        <f>IFERROR(VLOOKUP(CONCATENATE($A$15,"-",$A$12, "-", $D32, "-", Z$3, "-", $A$9), OBS_District_Flows!$A:$G, 6,FALSE),0)</f>
        <v>0</v>
      </c>
      <c r="AA32" s="96">
        <f>IFERROR(VLOOKUP(CONCATENATE($A$15,"-",$A$12, "-", $D32, "-", AA$3, "-", $A$9), OBS_District_Flows!$A:$G, 6,FALSE),0)</f>
        <v>0</v>
      </c>
      <c r="AB32" s="96">
        <f>IFERROR(VLOOKUP(CONCATENATE($A$15,"-",$A$12, "-", $D32, "-", AB$3, "-", $A$9), OBS_District_Flows!$A:$G, 6,FALSE),0)</f>
        <v>0</v>
      </c>
      <c r="AC32" s="96">
        <f>IFERROR(VLOOKUP(CONCATENATE($A$15,"-",$A$12, "-", $D32, "-", AC$3, "-", $A$9), OBS_District_Flows!$A:$G, 6,FALSE),0)</f>
        <v>0</v>
      </c>
      <c r="AD32" s="96">
        <f>IFERROR(VLOOKUP(CONCATENATE($A$15,"-",$A$12, "-", $D32, "-", AD$3, "-", $A$9), OBS_District_Flows!$A:$G, 6,FALSE),0)</f>
        <v>0</v>
      </c>
      <c r="AE32" s="96">
        <f>IFERROR(VLOOKUP(CONCATENATE($A$15,"-",$A$12, "-", $D32, "-", AE$3, "-", $A$9), OBS_District_Flows!$A:$G, 6,FALSE),0)</f>
        <v>0</v>
      </c>
      <c r="AF32" s="96">
        <f>IFERROR(VLOOKUP(CONCATENATE($A$15,"-",$A$12, "-", $D32, "-", AF$3, "-", $A$9), OBS_District_Flows!$A:$G, 6,FALSE),0)</f>
        <v>0</v>
      </c>
      <c r="AG32" s="96">
        <f>IFERROR(VLOOKUP(CONCATENATE($A$15,"-",$A$12, "-", $D32, "-", AG$3, "-", $A$9), OBS_District_Flows!$A:$G, 6,FALSE),0)</f>
        <v>0</v>
      </c>
      <c r="AH32" s="96">
        <f>IFERROR(VLOOKUP(CONCATENATE($A$15,"-",$A$12, "-", $D32, "-", AH$3, "-", $A$9), OBS_District_Flows!$A:$G, 6,FALSE),0)</f>
        <v>0</v>
      </c>
      <c r="AI32" s="96">
        <f>IFERROR(VLOOKUP(CONCATENATE($A$15,"-",$A$12, "-", $D32, "-", AI$3, "-", $A$9), OBS_District_Flows!$A:$G, 6,FALSE),0)</f>
        <v>0</v>
      </c>
      <c r="AJ32" s="96">
        <f>IFERROR(VLOOKUP(CONCATENATE($A$15,"-",$A$12, "-", $D32, "-", AJ$3, "-", $A$9), OBS_District_Flows!$A:$G, 6,FALSE),0)</f>
        <v>0</v>
      </c>
      <c r="AK32" s="96">
        <f>IFERROR(VLOOKUP(CONCATENATE($A$15,"-",$A$12, "-", $D32, "-", AK$3, "-", $A$9), OBS_District_Flows!$A:$G, 6,FALSE),0)</f>
        <v>0</v>
      </c>
      <c r="AL32" s="97">
        <f>IFERROR(VLOOKUP(CONCATENATE($A$15,"-",$A$12, "-", $D32, "-", AL$3, "-", $A$9), OBS_District_Flows!$A:$G, 6,FALSE),0)</f>
        <v>0</v>
      </c>
      <c r="AM32" s="88">
        <f t="shared" si="6"/>
        <v>0</v>
      </c>
      <c r="AO32" s="261"/>
      <c r="AP32" s="84" t="s">
        <v>202</v>
      </c>
      <c r="AQ32" s="98" t="str">
        <f t="shared" si="7"/>
        <v/>
      </c>
      <c r="AR32" s="99" t="str">
        <f t="shared" si="7"/>
        <v/>
      </c>
      <c r="AS32" s="99" t="str">
        <f t="shared" si="7"/>
        <v/>
      </c>
      <c r="AT32" s="99" t="str">
        <f t="shared" si="7"/>
        <v/>
      </c>
      <c r="AU32" s="99" t="str">
        <f t="shared" si="7"/>
        <v/>
      </c>
      <c r="AV32" s="99" t="str">
        <f t="shared" si="7"/>
        <v/>
      </c>
      <c r="AW32" s="99" t="str">
        <f t="shared" si="7"/>
        <v/>
      </c>
      <c r="AX32" s="99" t="str">
        <f t="shared" si="7"/>
        <v/>
      </c>
      <c r="AY32" s="99" t="str">
        <f t="shared" si="7"/>
        <v/>
      </c>
      <c r="AZ32" s="99" t="str">
        <f t="shared" si="7"/>
        <v/>
      </c>
      <c r="BA32" s="99" t="str">
        <f t="shared" si="7"/>
        <v/>
      </c>
      <c r="BB32" s="99" t="str">
        <f t="shared" si="7"/>
        <v/>
      </c>
      <c r="BC32" s="99" t="str">
        <f t="shared" si="7"/>
        <v/>
      </c>
      <c r="BD32" s="99" t="str">
        <f t="shared" si="7"/>
        <v/>
      </c>
      <c r="BE32" s="99" t="str">
        <f t="shared" si="7"/>
        <v/>
      </c>
      <c r="BF32" s="99" t="str">
        <f t="shared" si="7"/>
        <v/>
      </c>
      <c r="BG32" s="99" t="str">
        <f t="shared" si="9"/>
        <v/>
      </c>
      <c r="BH32" s="99" t="str">
        <f t="shared" si="9"/>
        <v/>
      </c>
      <c r="BI32" s="99" t="str">
        <f t="shared" si="9"/>
        <v/>
      </c>
      <c r="BJ32" s="99" t="str">
        <f t="shared" si="9"/>
        <v/>
      </c>
      <c r="BK32" s="99" t="str">
        <f t="shared" si="9"/>
        <v/>
      </c>
      <c r="BL32" s="99" t="str">
        <f t="shared" si="9"/>
        <v/>
      </c>
      <c r="BM32" s="99" t="str">
        <f t="shared" si="9"/>
        <v/>
      </c>
      <c r="BN32" s="99" t="str">
        <f t="shared" si="9"/>
        <v/>
      </c>
      <c r="BO32" s="99" t="str">
        <f t="shared" si="9"/>
        <v/>
      </c>
      <c r="BP32" s="99" t="str">
        <f t="shared" si="9"/>
        <v/>
      </c>
      <c r="BQ32" s="99" t="str">
        <f t="shared" si="9"/>
        <v/>
      </c>
      <c r="BR32" s="99" t="str">
        <f t="shared" si="9"/>
        <v/>
      </c>
      <c r="BS32" s="99" t="str">
        <f t="shared" si="9"/>
        <v/>
      </c>
      <c r="BT32" s="99" t="str">
        <f t="shared" si="9"/>
        <v/>
      </c>
      <c r="BU32" s="99" t="str">
        <f t="shared" si="9"/>
        <v/>
      </c>
      <c r="BV32" s="99" t="str">
        <f t="shared" si="9"/>
        <v/>
      </c>
      <c r="BW32" s="99" t="str">
        <f t="shared" si="10"/>
        <v/>
      </c>
      <c r="BX32" s="100" t="str">
        <f t="shared" si="2"/>
        <v/>
      </c>
      <c r="BY32" s="92" t="str">
        <f t="shared" si="2"/>
        <v/>
      </c>
      <c r="CA32" s="261"/>
      <c r="CB32" s="84" t="s">
        <v>202</v>
      </c>
      <c r="CC32" s="98" t="str">
        <f t="shared" si="8"/>
        <v/>
      </c>
      <c r="CD32" s="99" t="str">
        <f t="shared" si="8"/>
        <v/>
      </c>
      <c r="CE32" s="99" t="str">
        <f t="shared" si="8"/>
        <v/>
      </c>
      <c r="CF32" s="99" t="str">
        <f t="shared" si="8"/>
        <v/>
      </c>
      <c r="CG32" s="99" t="str">
        <f t="shared" si="8"/>
        <v/>
      </c>
      <c r="CH32" s="99" t="str">
        <f t="shared" si="8"/>
        <v/>
      </c>
      <c r="CI32" s="99" t="str">
        <f t="shared" si="8"/>
        <v/>
      </c>
      <c r="CJ32" s="99" t="str">
        <f t="shared" si="8"/>
        <v/>
      </c>
      <c r="CK32" s="99" t="str">
        <f t="shared" si="8"/>
        <v/>
      </c>
      <c r="CL32" s="99" t="str">
        <f t="shared" si="8"/>
        <v/>
      </c>
      <c r="CM32" s="99" t="str">
        <f t="shared" si="8"/>
        <v/>
      </c>
      <c r="CN32" s="99" t="str">
        <f t="shared" si="8"/>
        <v/>
      </c>
      <c r="CO32" s="99" t="str">
        <f t="shared" si="8"/>
        <v/>
      </c>
      <c r="CP32" s="99" t="str">
        <f t="shared" si="8"/>
        <v/>
      </c>
      <c r="CQ32" s="99" t="str">
        <f t="shared" si="8"/>
        <v/>
      </c>
      <c r="CR32" s="99" t="str">
        <f t="shared" si="8"/>
        <v/>
      </c>
      <c r="CS32" s="99" t="str">
        <f t="shared" si="11"/>
        <v/>
      </c>
      <c r="CT32" s="99" t="str">
        <f t="shared" si="11"/>
        <v/>
      </c>
      <c r="CU32" s="99" t="str">
        <f t="shared" si="11"/>
        <v/>
      </c>
      <c r="CV32" s="99" t="str">
        <f t="shared" si="11"/>
        <v/>
      </c>
      <c r="CW32" s="99" t="str">
        <f t="shared" si="11"/>
        <v/>
      </c>
      <c r="CX32" s="99" t="str">
        <f t="shared" si="11"/>
        <v/>
      </c>
      <c r="CY32" s="99" t="str">
        <f t="shared" si="11"/>
        <v/>
      </c>
      <c r="CZ32" s="99" t="str">
        <f t="shared" si="11"/>
        <v/>
      </c>
      <c r="DA32" s="99" t="str">
        <f t="shared" si="11"/>
        <v/>
      </c>
      <c r="DB32" s="99" t="str">
        <f t="shared" si="11"/>
        <v/>
      </c>
      <c r="DC32" s="99" t="str">
        <f t="shared" si="11"/>
        <v/>
      </c>
      <c r="DD32" s="99" t="str">
        <f t="shared" si="11"/>
        <v/>
      </c>
      <c r="DE32" s="99" t="str">
        <f t="shared" si="11"/>
        <v/>
      </c>
      <c r="DF32" s="99" t="str">
        <f t="shared" si="11"/>
        <v/>
      </c>
      <c r="DG32" s="99" t="str">
        <f t="shared" si="11"/>
        <v/>
      </c>
      <c r="DH32" s="99" t="str">
        <f t="shared" si="11"/>
        <v/>
      </c>
      <c r="DI32" s="99" t="str">
        <f t="shared" si="12"/>
        <v/>
      </c>
      <c r="DJ32" s="100" t="str">
        <f t="shared" si="5"/>
        <v/>
      </c>
      <c r="DK32" s="92" t="str">
        <f t="shared" si="5"/>
        <v/>
      </c>
    </row>
    <row r="33" spans="1:115" x14ac:dyDescent="0.2">
      <c r="A33" s="80" t="s">
        <v>222</v>
      </c>
      <c r="C33" s="260"/>
      <c r="D33" s="84" t="s">
        <v>203</v>
      </c>
      <c r="E33" s="95">
        <f>IFERROR(VLOOKUP(CONCATENATE($A$15,"-",$A$12, "-", $D33, "-", E$3, "-", $A$9), OBS_District_Flows!$A:$G, 6,FALSE),0)</f>
        <v>0</v>
      </c>
      <c r="F33" s="96">
        <f>IFERROR(VLOOKUP(CONCATENATE($A$15,"-",$A$12, "-", $D33, "-", F$3, "-", $A$9), OBS_District_Flows!$A:$G, 6,FALSE),0)</f>
        <v>0</v>
      </c>
      <c r="G33" s="96">
        <f>IFERROR(VLOOKUP(CONCATENATE($A$15,"-",$A$12, "-", $D33, "-", G$3, "-", $A$9), OBS_District_Flows!$A:$G, 6,FALSE),0)</f>
        <v>0</v>
      </c>
      <c r="H33" s="96">
        <f>IFERROR(VLOOKUP(CONCATENATE($A$15,"-",$A$12, "-", $D33, "-", H$3, "-", $A$9), OBS_District_Flows!$A:$G, 6,FALSE),0)</f>
        <v>0</v>
      </c>
      <c r="I33" s="96">
        <f>IFERROR(VLOOKUP(CONCATENATE($A$15,"-",$A$12, "-", $D33, "-", I$3, "-", $A$9), OBS_District_Flows!$A:$G, 6,FALSE),0)</f>
        <v>0</v>
      </c>
      <c r="J33" s="96">
        <f>IFERROR(VLOOKUP(CONCATENATE($A$15,"-",$A$12, "-", $D33, "-", J$3, "-", $A$9), OBS_District_Flows!$A:$G, 6,FALSE),0)</f>
        <v>0</v>
      </c>
      <c r="K33" s="96">
        <f>IFERROR(VLOOKUP(CONCATENATE($A$15,"-",$A$12, "-", $D33, "-", K$3, "-", $A$9), OBS_District_Flows!$A:$G, 6,FALSE),0)</f>
        <v>0</v>
      </c>
      <c r="L33" s="96">
        <f>IFERROR(VLOOKUP(CONCATENATE($A$15,"-",$A$12, "-", $D33, "-", L$3, "-", $A$9), OBS_District_Flows!$A:$G, 6,FALSE),0)</f>
        <v>0</v>
      </c>
      <c r="M33" s="96">
        <f>IFERROR(VLOOKUP(CONCATENATE($A$15,"-",$A$12, "-", $D33, "-", M$3, "-", $A$9), OBS_District_Flows!$A:$G, 6,FALSE),0)</f>
        <v>0</v>
      </c>
      <c r="N33" s="96">
        <f>IFERROR(VLOOKUP(CONCATENATE($A$15,"-",$A$12, "-", $D33, "-", N$3, "-", $A$9), OBS_District_Flows!$A:$G, 6,FALSE),0)</f>
        <v>0</v>
      </c>
      <c r="O33" s="96">
        <f>IFERROR(VLOOKUP(CONCATENATE($A$15,"-",$A$12, "-", $D33, "-", O$3, "-", $A$9), OBS_District_Flows!$A:$G, 6,FALSE),0)</f>
        <v>0</v>
      </c>
      <c r="P33" s="96">
        <f>IFERROR(VLOOKUP(CONCATENATE($A$15,"-",$A$12, "-", $D33, "-", P$3, "-", $A$9), OBS_District_Flows!$A:$G, 6,FALSE),0)</f>
        <v>0</v>
      </c>
      <c r="Q33" s="96">
        <f>IFERROR(VLOOKUP(CONCATENATE($A$15,"-",$A$12, "-", $D33, "-", Q$3, "-", $A$9), OBS_District_Flows!$A:$G, 6,FALSE),0)</f>
        <v>0</v>
      </c>
      <c r="R33" s="96">
        <f>IFERROR(VLOOKUP(CONCATENATE($A$15,"-",$A$12, "-", $D33, "-", R$3, "-", $A$9), OBS_District_Flows!$A:$G, 6,FALSE),0)</f>
        <v>0</v>
      </c>
      <c r="S33" s="96">
        <f>IFERROR(VLOOKUP(CONCATENATE($A$15,"-",$A$12, "-", $D33, "-", S$3, "-", $A$9), OBS_District_Flows!$A:$G, 6,FALSE),0)</f>
        <v>0</v>
      </c>
      <c r="T33" s="96">
        <f>IFERROR(VLOOKUP(CONCATENATE($A$15,"-",$A$12, "-", $D33, "-", T$3, "-", $A$9), OBS_District_Flows!$A:$G, 6,FALSE),0)</f>
        <v>0</v>
      </c>
      <c r="U33" s="96">
        <f>IFERROR(VLOOKUP(CONCATENATE($A$15,"-",$A$12, "-", $D33, "-", U$3, "-", $A$9), OBS_District_Flows!$A:$G, 6,FALSE),0)</f>
        <v>0</v>
      </c>
      <c r="V33" s="96">
        <f>IFERROR(VLOOKUP(CONCATENATE($A$15,"-",$A$12, "-", $D33, "-", V$3, "-", $A$9), OBS_District_Flows!$A:$G, 6,FALSE),0)</f>
        <v>0</v>
      </c>
      <c r="W33" s="96">
        <f>IFERROR(VLOOKUP(CONCATENATE($A$15,"-",$A$12, "-", $D33, "-", W$3, "-", $A$9), OBS_District_Flows!$A:$G, 6,FALSE),0)</f>
        <v>0</v>
      </c>
      <c r="X33" s="96">
        <f>IFERROR(VLOOKUP(CONCATENATE($A$15,"-",$A$12, "-", $D33, "-", X$3, "-", $A$9), OBS_District_Flows!$A:$G, 6,FALSE),0)</f>
        <v>0</v>
      </c>
      <c r="Y33" s="96">
        <f>IFERROR(VLOOKUP(CONCATENATE($A$15,"-",$A$12, "-", $D33, "-", Y$3, "-", $A$9), OBS_District_Flows!$A:$G, 6,FALSE),0)</f>
        <v>0</v>
      </c>
      <c r="Z33" s="96">
        <f>IFERROR(VLOOKUP(CONCATENATE($A$15,"-",$A$12, "-", $D33, "-", Z$3, "-", $A$9), OBS_District_Flows!$A:$G, 6,FALSE),0)</f>
        <v>0</v>
      </c>
      <c r="AA33" s="96">
        <f>IFERROR(VLOOKUP(CONCATENATE($A$15,"-",$A$12, "-", $D33, "-", AA$3, "-", $A$9), OBS_District_Flows!$A:$G, 6,FALSE),0)</f>
        <v>0</v>
      </c>
      <c r="AB33" s="96">
        <f>IFERROR(VLOOKUP(CONCATENATE($A$15,"-",$A$12, "-", $D33, "-", AB$3, "-", $A$9), OBS_District_Flows!$A:$G, 6,FALSE),0)</f>
        <v>0</v>
      </c>
      <c r="AC33" s="96">
        <f>IFERROR(VLOOKUP(CONCATENATE($A$15,"-",$A$12, "-", $D33, "-", AC$3, "-", $A$9), OBS_District_Flows!$A:$G, 6,FALSE),0)</f>
        <v>0</v>
      </c>
      <c r="AD33" s="96">
        <f>IFERROR(VLOOKUP(CONCATENATE($A$15,"-",$A$12, "-", $D33, "-", AD$3, "-", $A$9), OBS_District_Flows!$A:$G, 6,FALSE),0)</f>
        <v>0</v>
      </c>
      <c r="AE33" s="96">
        <f>IFERROR(VLOOKUP(CONCATENATE($A$15,"-",$A$12, "-", $D33, "-", AE$3, "-", $A$9), OBS_District_Flows!$A:$G, 6,FALSE),0)</f>
        <v>0</v>
      </c>
      <c r="AF33" s="96">
        <f>IFERROR(VLOOKUP(CONCATENATE($A$15,"-",$A$12, "-", $D33, "-", AF$3, "-", $A$9), OBS_District_Flows!$A:$G, 6,FALSE),0)</f>
        <v>0</v>
      </c>
      <c r="AG33" s="96">
        <f>IFERROR(VLOOKUP(CONCATENATE($A$15,"-",$A$12, "-", $D33, "-", AG$3, "-", $A$9), OBS_District_Flows!$A:$G, 6,FALSE),0)</f>
        <v>0</v>
      </c>
      <c r="AH33" s="96">
        <f>IFERROR(VLOOKUP(CONCATENATE($A$15,"-",$A$12, "-", $D33, "-", AH$3, "-", $A$9), OBS_District_Flows!$A:$G, 6,FALSE),0)</f>
        <v>0</v>
      </c>
      <c r="AI33" s="96">
        <f>IFERROR(VLOOKUP(CONCATENATE($A$15,"-",$A$12, "-", $D33, "-", AI$3, "-", $A$9), OBS_District_Flows!$A:$G, 6,FALSE),0)</f>
        <v>0</v>
      </c>
      <c r="AJ33" s="96">
        <f>IFERROR(VLOOKUP(CONCATENATE($A$15,"-",$A$12, "-", $D33, "-", AJ$3, "-", $A$9), OBS_District_Flows!$A:$G, 6,FALSE),0)</f>
        <v>0</v>
      </c>
      <c r="AK33" s="96">
        <f>IFERROR(VLOOKUP(CONCATENATE($A$15,"-",$A$12, "-", $D33, "-", AK$3, "-", $A$9), OBS_District_Flows!$A:$G, 6,FALSE),0)</f>
        <v>0</v>
      </c>
      <c r="AL33" s="97">
        <f>IFERROR(VLOOKUP(CONCATENATE($A$15,"-",$A$12, "-", $D33, "-", AL$3, "-", $A$9), OBS_District_Flows!$A:$G, 6,FALSE),0)</f>
        <v>0</v>
      </c>
      <c r="AM33" s="88">
        <f t="shared" si="6"/>
        <v>0</v>
      </c>
      <c r="AO33" s="261"/>
      <c r="AP33" s="84" t="s">
        <v>203</v>
      </c>
      <c r="AQ33" s="98" t="str">
        <f t="shared" si="7"/>
        <v/>
      </c>
      <c r="AR33" s="99" t="str">
        <f t="shared" si="7"/>
        <v/>
      </c>
      <c r="AS33" s="99" t="str">
        <f t="shared" si="7"/>
        <v/>
      </c>
      <c r="AT33" s="99" t="str">
        <f t="shared" si="7"/>
        <v/>
      </c>
      <c r="AU33" s="99" t="str">
        <f t="shared" si="7"/>
        <v/>
      </c>
      <c r="AV33" s="99" t="str">
        <f t="shared" si="7"/>
        <v/>
      </c>
      <c r="AW33" s="99" t="str">
        <f t="shared" si="7"/>
        <v/>
      </c>
      <c r="AX33" s="99" t="str">
        <f t="shared" si="7"/>
        <v/>
      </c>
      <c r="AY33" s="99" t="str">
        <f t="shared" si="7"/>
        <v/>
      </c>
      <c r="AZ33" s="99" t="str">
        <f t="shared" si="7"/>
        <v/>
      </c>
      <c r="BA33" s="99" t="str">
        <f t="shared" si="7"/>
        <v/>
      </c>
      <c r="BB33" s="99" t="str">
        <f t="shared" si="7"/>
        <v/>
      </c>
      <c r="BC33" s="99" t="str">
        <f t="shared" si="7"/>
        <v/>
      </c>
      <c r="BD33" s="99" t="str">
        <f t="shared" si="7"/>
        <v/>
      </c>
      <c r="BE33" s="99" t="str">
        <f t="shared" si="7"/>
        <v/>
      </c>
      <c r="BF33" s="99" t="str">
        <f t="shared" si="7"/>
        <v/>
      </c>
      <c r="BG33" s="99" t="str">
        <f t="shared" si="9"/>
        <v/>
      </c>
      <c r="BH33" s="99" t="str">
        <f t="shared" si="9"/>
        <v/>
      </c>
      <c r="BI33" s="99" t="str">
        <f t="shared" si="9"/>
        <v/>
      </c>
      <c r="BJ33" s="99" t="str">
        <f t="shared" si="9"/>
        <v/>
      </c>
      <c r="BK33" s="99" t="str">
        <f t="shared" si="9"/>
        <v/>
      </c>
      <c r="BL33" s="99" t="str">
        <f t="shared" si="9"/>
        <v/>
      </c>
      <c r="BM33" s="99" t="str">
        <f t="shared" si="9"/>
        <v/>
      </c>
      <c r="BN33" s="99" t="str">
        <f t="shared" si="9"/>
        <v/>
      </c>
      <c r="BO33" s="99" t="str">
        <f t="shared" si="9"/>
        <v/>
      </c>
      <c r="BP33" s="99" t="str">
        <f t="shared" si="9"/>
        <v/>
      </c>
      <c r="BQ33" s="99" t="str">
        <f t="shared" si="9"/>
        <v/>
      </c>
      <c r="BR33" s="99" t="str">
        <f t="shared" si="9"/>
        <v/>
      </c>
      <c r="BS33" s="99" t="str">
        <f t="shared" si="9"/>
        <v/>
      </c>
      <c r="BT33" s="99" t="str">
        <f t="shared" si="9"/>
        <v/>
      </c>
      <c r="BU33" s="99" t="str">
        <f t="shared" si="9"/>
        <v/>
      </c>
      <c r="BV33" s="99" t="str">
        <f t="shared" si="9"/>
        <v/>
      </c>
      <c r="BW33" s="99" t="str">
        <f t="shared" si="10"/>
        <v/>
      </c>
      <c r="BX33" s="100" t="str">
        <f t="shared" si="2"/>
        <v/>
      </c>
      <c r="BY33" s="92" t="str">
        <f t="shared" si="2"/>
        <v/>
      </c>
      <c r="CA33" s="261"/>
      <c r="CB33" s="84" t="s">
        <v>203</v>
      </c>
      <c r="CC33" s="98" t="str">
        <f t="shared" si="8"/>
        <v/>
      </c>
      <c r="CD33" s="99" t="str">
        <f t="shared" si="8"/>
        <v/>
      </c>
      <c r="CE33" s="99" t="str">
        <f t="shared" si="8"/>
        <v/>
      </c>
      <c r="CF33" s="99" t="str">
        <f t="shared" si="8"/>
        <v/>
      </c>
      <c r="CG33" s="99" t="str">
        <f t="shared" si="8"/>
        <v/>
      </c>
      <c r="CH33" s="99" t="str">
        <f t="shared" si="8"/>
        <v/>
      </c>
      <c r="CI33" s="99" t="str">
        <f t="shared" si="8"/>
        <v/>
      </c>
      <c r="CJ33" s="99" t="str">
        <f t="shared" si="8"/>
        <v/>
      </c>
      <c r="CK33" s="99" t="str">
        <f t="shared" si="8"/>
        <v/>
      </c>
      <c r="CL33" s="99" t="str">
        <f t="shared" si="8"/>
        <v/>
      </c>
      <c r="CM33" s="99" t="str">
        <f t="shared" si="8"/>
        <v/>
      </c>
      <c r="CN33" s="99" t="str">
        <f t="shared" si="8"/>
        <v/>
      </c>
      <c r="CO33" s="99" t="str">
        <f t="shared" si="8"/>
        <v/>
      </c>
      <c r="CP33" s="99" t="str">
        <f t="shared" si="8"/>
        <v/>
      </c>
      <c r="CQ33" s="99" t="str">
        <f t="shared" si="8"/>
        <v/>
      </c>
      <c r="CR33" s="99" t="str">
        <f t="shared" si="8"/>
        <v/>
      </c>
      <c r="CS33" s="99" t="str">
        <f t="shared" si="11"/>
        <v/>
      </c>
      <c r="CT33" s="99" t="str">
        <f t="shared" si="11"/>
        <v/>
      </c>
      <c r="CU33" s="99" t="str">
        <f t="shared" si="11"/>
        <v/>
      </c>
      <c r="CV33" s="99" t="str">
        <f t="shared" si="11"/>
        <v/>
      </c>
      <c r="CW33" s="99" t="str">
        <f t="shared" si="11"/>
        <v/>
      </c>
      <c r="CX33" s="99" t="str">
        <f t="shared" si="11"/>
        <v/>
      </c>
      <c r="CY33" s="99" t="str">
        <f t="shared" si="11"/>
        <v/>
      </c>
      <c r="CZ33" s="99" t="str">
        <f t="shared" si="11"/>
        <v/>
      </c>
      <c r="DA33" s="99" t="str">
        <f t="shared" si="11"/>
        <v/>
      </c>
      <c r="DB33" s="99" t="str">
        <f t="shared" si="11"/>
        <v/>
      </c>
      <c r="DC33" s="99" t="str">
        <f t="shared" si="11"/>
        <v/>
      </c>
      <c r="DD33" s="99" t="str">
        <f t="shared" si="11"/>
        <v/>
      </c>
      <c r="DE33" s="99" t="str">
        <f t="shared" si="11"/>
        <v/>
      </c>
      <c r="DF33" s="99" t="str">
        <f t="shared" si="11"/>
        <v/>
      </c>
      <c r="DG33" s="99" t="str">
        <f t="shared" si="11"/>
        <v/>
      </c>
      <c r="DH33" s="99" t="str">
        <f t="shared" si="11"/>
        <v/>
      </c>
      <c r="DI33" s="99" t="str">
        <f t="shared" si="12"/>
        <v/>
      </c>
      <c r="DJ33" s="100" t="str">
        <f t="shared" si="5"/>
        <v/>
      </c>
      <c r="DK33" s="92" t="str">
        <f t="shared" si="5"/>
        <v/>
      </c>
    </row>
    <row r="34" spans="1:115" x14ac:dyDescent="0.2">
      <c r="A34" s="80" t="s">
        <v>223</v>
      </c>
      <c r="C34" s="260"/>
      <c r="D34" s="84" t="s">
        <v>204</v>
      </c>
      <c r="E34" s="95">
        <f>IFERROR(VLOOKUP(CONCATENATE($A$15,"-",$A$12, "-", $D34, "-", E$3, "-", $A$9), OBS_District_Flows!$A:$G, 6,FALSE),0)</f>
        <v>0</v>
      </c>
      <c r="F34" s="96">
        <f>IFERROR(VLOOKUP(CONCATENATE($A$15,"-",$A$12, "-", $D34, "-", F$3, "-", $A$9), OBS_District_Flows!$A:$G, 6,FALSE),0)</f>
        <v>0</v>
      </c>
      <c r="G34" s="96">
        <f>IFERROR(VLOOKUP(CONCATENATE($A$15,"-",$A$12, "-", $D34, "-", G$3, "-", $A$9), OBS_District_Flows!$A:$G, 6,FALSE),0)</f>
        <v>0</v>
      </c>
      <c r="H34" s="96">
        <f>IFERROR(VLOOKUP(CONCATENATE($A$15,"-",$A$12, "-", $D34, "-", H$3, "-", $A$9), OBS_District_Flows!$A:$G, 6,FALSE),0)</f>
        <v>0</v>
      </c>
      <c r="I34" s="96">
        <f>IFERROR(VLOOKUP(CONCATENATE($A$15,"-",$A$12, "-", $D34, "-", I$3, "-", $A$9), OBS_District_Flows!$A:$G, 6,FALSE),0)</f>
        <v>0</v>
      </c>
      <c r="J34" s="96">
        <f>IFERROR(VLOOKUP(CONCATENATE($A$15,"-",$A$12, "-", $D34, "-", J$3, "-", $A$9), OBS_District_Flows!$A:$G, 6,FALSE),0)</f>
        <v>0</v>
      </c>
      <c r="K34" s="96">
        <f>IFERROR(VLOOKUP(CONCATENATE($A$15,"-",$A$12, "-", $D34, "-", K$3, "-", $A$9), OBS_District_Flows!$A:$G, 6,FALSE),0)</f>
        <v>0</v>
      </c>
      <c r="L34" s="96">
        <f>IFERROR(VLOOKUP(CONCATENATE($A$15,"-",$A$12, "-", $D34, "-", L$3, "-", $A$9), OBS_District_Flows!$A:$G, 6,FALSE),0)</f>
        <v>0</v>
      </c>
      <c r="M34" s="96">
        <f>IFERROR(VLOOKUP(CONCATENATE($A$15,"-",$A$12, "-", $D34, "-", M$3, "-", $A$9), OBS_District_Flows!$A:$G, 6,FALSE),0)</f>
        <v>0</v>
      </c>
      <c r="N34" s="96">
        <f>IFERROR(VLOOKUP(CONCATENATE($A$15,"-",$A$12, "-", $D34, "-", N$3, "-", $A$9), OBS_District_Flows!$A:$G, 6,FALSE),0)</f>
        <v>0</v>
      </c>
      <c r="O34" s="96">
        <f>IFERROR(VLOOKUP(CONCATENATE($A$15,"-",$A$12, "-", $D34, "-", O$3, "-", $A$9), OBS_District_Flows!$A:$G, 6,FALSE),0)</f>
        <v>0</v>
      </c>
      <c r="P34" s="96">
        <f>IFERROR(VLOOKUP(CONCATENATE($A$15,"-",$A$12, "-", $D34, "-", P$3, "-", $A$9), OBS_District_Flows!$A:$G, 6,FALSE),0)</f>
        <v>0</v>
      </c>
      <c r="Q34" s="96">
        <f>IFERROR(VLOOKUP(CONCATENATE($A$15,"-",$A$12, "-", $D34, "-", Q$3, "-", $A$9), OBS_District_Flows!$A:$G, 6,FALSE),0)</f>
        <v>0</v>
      </c>
      <c r="R34" s="96">
        <f>IFERROR(VLOOKUP(CONCATENATE($A$15,"-",$A$12, "-", $D34, "-", R$3, "-", $A$9), OBS_District_Flows!$A:$G, 6,FALSE),0)</f>
        <v>0</v>
      </c>
      <c r="S34" s="96">
        <f>IFERROR(VLOOKUP(CONCATENATE($A$15,"-",$A$12, "-", $D34, "-", S$3, "-", $A$9), OBS_District_Flows!$A:$G, 6,FALSE),0)</f>
        <v>0</v>
      </c>
      <c r="T34" s="96">
        <f>IFERROR(VLOOKUP(CONCATENATE($A$15,"-",$A$12, "-", $D34, "-", T$3, "-", $A$9), OBS_District_Flows!$A:$G, 6,FALSE),0)</f>
        <v>0</v>
      </c>
      <c r="U34" s="96">
        <f>IFERROR(VLOOKUP(CONCATENATE($A$15,"-",$A$12, "-", $D34, "-", U$3, "-", $A$9), OBS_District_Flows!$A:$G, 6,FALSE),0)</f>
        <v>0</v>
      </c>
      <c r="V34" s="96">
        <f>IFERROR(VLOOKUP(CONCATENATE($A$15,"-",$A$12, "-", $D34, "-", V$3, "-", $A$9), OBS_District_Flows!$A:$G, 6,FALSE),0)</f>
        <v>0</v>
      </c>
      <c r="W34" s="96">
        <f>IFERROR(VLOOKUP(CONCATENATE($A$15,"-",$A$12, "-", $D34, "-", W$3, "-", $A$9), OBS_District_Flows!$A:$G, 6,FALSE),0)</f>
        <v>0</v>
      </c>
      <c r="X34" s="96">
        <f>IFERROR(VLOOKUP(CONCATENATE($A$15,"-",$A$12, "-", $D34, "-", X$3, "-", $A$9), OBS_District_Flows!$A:$G, 6,FALSE),0)</f>
        <v>0</v>
      </c>
      <c r="Y34" s="96">
        <f>IFERROR(VLOOKUP(CONCATENATE($A$15,"-",$A$12, "-", $D34, "-", Y$3, "-", $A$9), OBS_District_Flows!$A:$G, 6,FALSE),0)</f>
        <v>0</v>
      </c>
      <c r="Z34" s="96">
        <f>IFERROR(VLOOKUP(CONCATENATE($A$15,"-",$A$12, "-", $D34, "-", Z$3, "-", $A$9), OBS_District_Flows!$A:$G, 6,FALSE),0)</f>
        <v>0</v>
      </c>
      <c r="AA34" s="96">
        <f>IFERROR(VLOOKUP(CONCATENATE($A$15,"-",$A$12, "-", $D34, "-", AA$3, "-", $A$9), OBS_District_Flows!$A:$G, 6,FALSE),0)</f>
        <v>0</v>
      </c>
      <c r="AB34" s="96">
        <f>IFERROR(VLOOKUP(CONCATENATE($A$15,"-",$A$12, "-", $D34, "-", AB$3, "-", $A$9), OBS_District_Flows!$A:$G, 6,FALSE),0)</f>
        <v>0</v>
      </c>
      <c r="AC34" s="96">
        <f>IFERROR(VLOOKUP(CONCATENATE($A$15,"-",$A$12, "-", $D34, "-", AC$3, "-", $A$9), OBS_District_Flows!$A:$G, 6,FALSE),0)</f>
        <v>0</v>
      </c>
      <c r="AD34" s="96">
        <f>IFERROR(VLOOKUP(CONCATENATE($A$15,"-",$A$12, "-", $D34, "-", AD$3, "-", $A$9), OBS_District_Flows!$A:$G, 6,FALSE),0)</f>
        <v>0</v>
      </c>
      <c r="AE34" s="96">
        <f>IFERROR(VLOOKUP(CONCATENATE($A$15,"-",$A$12, "-", $D34, "-", AE$3, "-", $A$9), OBS_District_Flows!$A:$G, 6,FALSE),0)</f>
        <v>0</v>
      </c>
      <c r="AF34" s="96">
        <f>IFERROR(VLOOKUP(CONCATENATE($A$15,"-",$A$12, "-", $D34, "-", AF$3, "-", $A$9), OBS_District_Flows!$A:$G, 6,FALSE),0)</f>
        <v>0</v>
      </c>
      <c r="AG34" s="96">
        <f>IFERROR(VLOOKUP(CONCATENATE($A$15,"-",$A$12, "-", $D34, "-", AG$3, "-", $A$9), OBS_District_Flows!$A:$G, 6,FALSE),0)</f>
        <v>0</v>
      </c>
      <c r="AH34" s="96">
        <f>IFERROR(VLOOKUP(CONCATENATE($A$15,"-",$A$12, "-", $D34, "-", AH$3, "-", $A$9), OBS_District_Flows!$A:$G, 6,FALSE),0)</f>
        <v>0</v>
      </c>
      <c r="AI34" s="96">
        <f>IFERROR(VLOOKUP(CONCATENATE($A$15,"-",$A$12, "-", $D34, "-", AI$3, "-", $A$9), OBS_District_Flows!$A:$G, 6,FALSE),0)</f>
        <v>0</v>
      </c>
      <c r="AJ34" s="96">
        <f>IFERROR(VLOOKUP(CONCATENATE($A$15,"-",$A$12, "-", $D34, "-", AJ$3, "-", $A$9), OBS_District_Flows!$A:$G, 6,FALSE),0)</f>
        <v>0</v>
      </c>
      <c r="AK34" s="96">
        <f>IFERROR(VLOOKUP(CONCATENATE($A$15,"-",$A$12, "-", $D34, "-", AK$3, "-", $A$9), OBS_District_Flows!$A:$G, 6,FALSE),0)</f>
        <v>0</v>
      </c>
      <c r="AL34" s="97">
        <f>IFERROR(VLOOKUP(CONCATENATE($A$15,"-",$A$12, "-", $D34, "-", AL$3, "-", $A$9), OBS_District_Flows!$A:$G, 6,FALSE),0)</f>
        <v>0</v>
      </c>
      <c r="AM34" s="88">
        <f t="shared" si="6"/>
        <v>0</v>
      </c>
      <c r="AO34" s="261"/>
      <c r="AP34" s="84" t="s">
        <v>204</v>
      </c>
      <c r="AQ34" s="98" t="str">
        <f t="shared" si="7"/>
        <v/>
      </c>
      <c r="AR34" s="99" t="str">
        <f t="shared" si="7"/>
        <v/>
      </c>
      <c r="AS34" s="99" t="str">
        <f t="shared" si="7"/>
        <v/>
      </c>
      <c r="AT34" s="99" t="str">
        <f t="shared" si="7"/>
        <v/>
      </c>
      <c r="AU34" s="99" t="str">
        <f t="shared" si="7"/>
        <v/>
      </c>
      <c r="AV34" s="99" t="str">
        <f t="shared" si="7"/>
        <v/>
      </c>
      <c r="AW34" s="99" t="str">
        <f t="shared" si="7"/>
        <v/>
      </c>
      <c r="AX34" s="99" t="str">
        <f t="shared" si="7"/>
        <v/>
      </c>
      <c r="AY34" s="99" t="str">
        <f t="shared" si="7"/>
        <v/>
      </c>
      <c r="AZ34" s="99" t="str">
        <f t="shared" si="7"/>
        <v/>
      </c>
      <c r="BA34" s="99" t="str">
        <f t="shared" si="7"/>
        <v/>
      </c>
      <c r="BB34" s="99" t="str">
        <f t="shared" si="7"/>
        <v/>
      </c>
      <c r="BC34" s="99" t="str">
        <f t="shared" si="7"/>
        <v/>
      </c>
      <c r="BD34" s="99" t="str">
        <f t="shared" si="7"/>
        <v/>
      </c>
      <c r="BE34" s="99" t="str">
        <f t="shared" si="7"/>
        <v/>
      </c>
      <c r="BF34" s="99" t="str">
        <f t="shared" si="7"/>
        <v/>
      </c>
      <c r="BG34" s="99" t="str">
        <f t="shared" si="9"/>
        <v/>
      </c>
      <c r="BH34" s="99" t="str">
        <f t="shared" si="9"/>
        <v/>
      </c>
      <c r="BI34" s="99" t="str">
        <f t="shared" si="9"/>
        <v/>
      </c>
      <c r="BJ34" s="99" t="str">
        <f t="shared" si="9"/>
        <v/>
      </c>
      <c r="BK34" s="99" t="str">
        <f t="shared" si="9"/>
        <v/>
      </c>
      <c r="BL34" s="99" t="str">
        <f t="shared" si="9"/>
        <v/>
      </c>
      <c r="BM34" s="99" t="str">
        <f t="shared" si="9"/>
        <v/>
      </c>
      <c r="BN34" s="99" t="str">
        <f t="shared" si="9"/>
        <v/>
      </c>
      <c r="BO34" s="99" t="str">
        <f t="shared" si="9"/>
        <v/>
      </c>
      <c r="BP34" s="99" t="str">
        <f t="shared" si="9"/>
        <v/>
      </c>
      <c r="BQ34" s="99" t="str">
        <f t="shared" si="9"/>
        <v/>
      </c>
      <c r="BR34" s="99" t="str">
        <f t="shared" si="9"/>
        <v/>
      </c>
      <c r="BS34" s="99" t="str">
        <f t="shared" si="9"/>
        <v/>
      </c>
      <c r="BT34" s="99" t="str">
        <f t="shared" si="9"/>
        <v/>
      </c>
      <c r="BU34" s="99" t="str">
        <f t="shared" si="9"/>
        <v/>
      </c>
      <c r="BV34" s="99" t="str">
        <f t="shared" si="9"/>
        <v/>
      </c>
      <c r="BW34" s="99" t="str">
        <f t="shared" si="10"/>
        <v/>
      </c>
      <c r="BX34" s="100" t="str">
        <f t="shared" si="2"/>
        <v/>
      </c>
      <c r="BY34" s="92" t="str">
        <f t="shared" si="2"/>
        <v/>
      </c>
      <c r="CA34" s="261"/>
      <c r="CB34" s="84" t="s">
        <v>204</v>
      </c>
      <c r="CC34" s="98" t="str">
        <f t="shared" si="8"/>
        <v/>
      </c>
      <c r="CD34" s="99" t="str">
        <f t="shared" si="8"/>
        <v/>
      </c>
      <c r="CE34" s="99" t="str">
        <f t="shared" si="8"/>
        <v/>
      </c>
      <c r="CF34" s="99" t="str">
        <f t="shared" si="8"/>
        <v/>
      </c>
      <c r="CG34" s="99" t="str">
        <f t="shared" si="8"/>
        <v/>
      </c>
      <c r="CH34" s="99" t="str">
        <f t="shared" si="8"/>
        <v/>
      </c>
      <c r="CI34" s="99" t="str">
        <f t="shared" si="8"/>
        <v/>
      </c>
      <c r="CJ34" s="99" t="str">
        <f t="shared" si="8"/>
        <v/>
      </c>
      <c r="CK34" s="99" t="str">
        <f t="shared" si="8"/>
        <v/>
      </c>
      <c r="CL34" s="99" t="str">
        <f t="shared" si="8"/>
        <v/>
      </c>
      <c r="CM34" s="99" t="str">
        <f t="shared" si="8"/>
        <v/>
      </c>
      <c r="CN34" s="99" t="str">
        <f t="shared" si="8"/>
        <v/>
      </c>
      <c r="CO34" s="99" t="str">
        <f t="shared" si="8"/>
        <v/>
      </c>
      <c r="CP34" s="99" t="str">
        <f t="shared" si="8"/>
        <v/>
      </c>
      <c r="CQ34" s="99" t="str">
        <f t="shared" si="8"/>
        <v/>
      </c>
      <c r="CR34" s="99" t="str">
        <f t="shared" si="8"/>
        <v/>
      </c>
      <c r="CS34" s="99" t="str">
        <f t="shared" si="11"/>
        <v/>
      </c>
      <c r="CT34" s="99" t="str">
        <f t="shared" si="11"/>
        <v/>
      </c>
      <c r="CU34" s="99" t="str">
        <f t="shared" si="11"/>
        <v/>
      </c>
      <c r="CV34" s="99" t="str">
        <f t="shared" si="11"/>
        <v/>
      </c>
      <c r="CW34" s="99" t="str">
        <f t="shared" si="11"/>
        <v/>
      </c>
      <c r="CX34" s="99" t="str">
        <f t="shared" si="11"/>
        <v/>
      </c>
      <c r="CY34" s="99" t="str">
        <f t="shared" si="11"/>
        <v/>
      </c>
      <c r="CZ34" s="99" t="str">
        <f t="shared" si="11"/>
        <v/>
      </c>
      <c r="DA34" s="99" t="str">
        <f t="shared" si="11"/>
        <v/>
      </c>
      <c r="DB34" s="99" t="str">
        <f t="shared" si="11"/>
        <v/>
      </c>
      <c r="DC34" s="99" t="str">
        <f t="shared" si="11"/>
        <v/>
      </c>
      <c r="DD34" s="99" t="str">
        <f t="shared" si="11"/>
        <v/>
      </c>
      <c r="DE34" s="99" t="str">
        <f t="shared" si="11"/>
        <v/>
      </c>
      <c r="DF34" s="99" t="str">
        <f t="shared" si="11"/>
        <v/>
      </c>
      <c r="DG34" s="99" t="str">
        <f t="shared" si="11"/>
        <v/>
      </c>
      <c r="DH34" s="99" t="str">
        <f t="shared" si="11"/>
        <v/>
      </c>
      <c r="DI34" s="99" t="str">
        <f t="shared" si="12"/>
        <v/>
      </c>
      <c r="DJ34" s="100" t="str">
        <f t="shared" si="5"/>
        <v/>
      </c>
      <c r="DK34" s="92" t="str">
        <f t="shared" si="5"/>
        <v/>
      </c>
    </row>
    <row r="35" spans="1:115" x14ac:dyDescent="0.2">
      <c r="C35" s="260"/>
      <c r="D35" s="84" t="s">
        <v>205</v>
      </c>
      <c r="E35" s="95">
        <f>IFERROR(VLOOKUP(CONCATENATE($A$15,"-",$A$12, "-", $D35, "-", E$3, "-", $A$9), OBS_District_Flows!$A:$G, 6,FALSE),0)</f>
        <v>0</v>
      </c>
      <c r="F35" s="96">
        <f>IFERROR(VLOOKUP(CONCATENATE($A$15,"-",$A$12, "-", $D35, "-", F$3, "-", $A$9), OBS_District_Flows!$A:$G, 6,FALSE),0)</f>
        <v>0</v>
      </c>
      <c r="G35" s="96">
        <f>IFERROR(VLOOKUP(CONCATENATE($A$15,"-",$A$12, "-", $D35, "-", G$3, "-", $A$9), OBS_District_Flows!$A:$G, 6,FALSE),0)</f>
        <v>0</v>
      </c>
      <c r="H35" s="96">
        <f>IFERROR(VLOOKUP(CONCATENATE($A$15,"-",$A$12, "-", $D35, "-", H$3, "-", $A$9), OBS_District_Flows!$A:$G, 6,FALSE),0)</f>
        <v>0</v>
      </c>
      <c r="I35" s="96">
        <f>IFERROR(VLOOKUP(CONCATENATE($A$15,"-",$A$12, "-", $D35, "-", I$3, "-", $A$9), OBS_District_Flows!$A:$G, 6,FALSE),0)</f>
        <v>0</v>
      </c>
      <c r="J35" s="96">
        <f>IFERROR(VLOOKUP(CONCATENATE($A$15,"-",$A$12, "-", $D35, "-", J$3, "-", $A$9), OBS_District_Flows!$A:$G, 6,FALSE),0)</f>
        <v>0</v>
      </c>
      <c r="K35" s="96">
        <f>IFERROR(VLOOKUP(CONCATENATE($A$15,"-",$A$12, "-", $D35, "-", K$3, "-", $A$9), OBS_District_Flows!$A:$G, 6,FALSE),0)</f>
        <v>0</v>
      </c>
      <c r="L35" s="96">
        <f>IFERROR(VLOOKUP(CONCATENATE($A$15,"-",$A$12, "-", $D35, "-", L$3, "-", $A$9), OBS_District_Flows!$A:$G, 6,FALSE),0)</f>
        <v>0</v>
      </c>
      <c r="M35" s="96">
        <f>IFERROR(VLOOKUP(CONCATENATE($A$15,"-",$A$12, "-", $D35, "-", M$3, "-", $A$9), OBS_District_Flows!$A:$G, 6,FALSE),0)</f>
        <v>0</v>
      </c>
      <c r="N35" s="96">
        <f>IFERROR(VLOOKUP(CONCATENATE($A$15,"-",$A$12, "-", $D35, "-", N$3, "-", $A$9), OBS_District_Flows!$A:$G, 6,FALSE),0)</f>
        <v>0</v>
      </c>
      <c r="O35" s="96">
        <f>IFERROR(VLOOKUP(CONCATENATE($A$15,"-",$A$12, "-", $D35, "-", O$3, "-", $A$9), OBS_District_Flows!$A:$G, 6,FALSE),0)</f>
        <v>0</v>
      </c>
      <c r="P35" s="96">
        <f>IFERROR(VLOOKUP(CONCATENATE($A$15,"-",$A$12, "-", $D35, "-", P$3, "-", $A$9), OBS_District_Flows!$A:$G, 6,FALSE),0)</f>
        <v>0</v>
      </c>
      <c r="Q35" s="96">
        <f>IFERROR(VLOOKUP(CONCATENATE($A$15,"-",$A$12, "-", $D35, "-", Q$3, "-", $A$9), OBS_District_Flows!$A:$G, 6,FALSE),0)</f>
        <v>0</v>
      </c>
      <c r="R35" s="96">
        <f>IFERROR(VLOOKUP(CONCATENATE($A$15,"-",$A$12, "-", $D35, "-", R$3, "-", $A$9), OBS_District_Flows!$A:$G, 6,FALSE),0)</f>
        <v>0</v>
      </c>
      <c r="S35" s="96">
        <f>IFERROR(VLOOKUP(CONCATENATE($A$15,"-",$A$12, "-", $D35, "-", S$3, "-", $A$9), OBS_District_Flows!$A:$G, 6,FALSE),0)</f>
        <v>0</v>
      </c>
      <c r="T35" s="96">
        <f>IFERROR(VLOOKUP(CONCATENATE($A$15,"-",$A$12, "-", $D35, "-", T$3, "-", $A$9), OBS_District_Flows!$A:$G, 6,FALSE),0)</f>
        <v>0</v>
      </c>
      <c r="U35" s="96">
        <f>IFERROR(VLOOKUP(CONCATENATE($A$15,"-",$A$12, "-", $D35, "-", U$3, "-", $A$9), OBS_District_Flows!$A:$G, 6,FALSE),0)</f>
        <v>0</v>
      </c>
      <c r="V35" s="96">
        <f>IFERROR(VLOOKUP(CONCATENATE($A$15,"-",$A$12, "-", $D35, "-", V$3, "-", $A$9), OBS_District_Flows!$A:$G, 6,FALSE),0)</f>
        <v>0</v>
      </c>
      <c r="W35" s="96">
        <f>IFERROR(VLOOKUP(CONCATENATE($A$15,"-",$A$12, "-", $D35, "-", W$3, "-", $A$9), OBS_District_Flows!$A:$G, 6,FALSE),0)</f>
        <v>0</v>
      </c>
      <c r="X35" s="96">
        <f>IFERROR(VLOOKUP(CONCATENATE($A$15,"-",$A$12, "-", $D35, "-", X$3, "-", $A$9), OBS_District_Flows!$A:$G, 6,FALSE),0)</f>
        <v>0</v>
      </c>
      <c r="Y35" s="96">
        <f>IFERROR(VLOOKUP(CONCATENATE($A$15,"-",$A$12, "-", $D35, "-", Y$3, "-", $A$9), OBS_District_Flows!$A:$G, 6,FALSE),0)</f>
        <v>0</v>
      </c>
      <c r="Z35" s="96">
        <f>IFERROR(VLOOKUP(CONCATENATE($A$15,"-",$A$12, "-", $D35, "-", Z$3, "-", $A$9), OBS_District_Flows!$A:$G, 6,FALSE),0)</f>
        <v>0</v>
      </c>
      <c r="AA35" s="96">
        <f>IFERROR(VLOOKUP(CONCATENATE($A$15,"-",$A$12, "-", $D35, "-", AA$3, "-", $A$9), OBS_District_Flows!$A:$G, 6,FALSE),0)</f>
        <v>0</v>
      </c>
      <c r="AB35" s="96">
        <f>IFERROR(VLOOKUP(CONCATENATE($A$15,"-",$A$12, "-", $D35, "-", AB$3, "-", $A$9), OBS_District_Flows!$A:$G, 6,FALSE),0)</f>
        <v>0</v>
      </c>
      <c r="AC35" s="96">
        <f>IFERROR(VLOOKUP(CONCATENATE($A$15,"-",$A$12, "-", $D35, "-", AC$3, "-", $A$9), OBS_District_Flows!$A:$G, 6,FALSE),0)</f>
        <v>0</v>
      </c>
      <c r="AD35" s="96">
        <f>IFERROR(VLOOKUP(CONCATENATE($A$15,"-",$A$12, "-", $D35, "-", AD$3, "-", $A$9), OBS_District_Flows!$A:$G, 6,FALSE),0)</f>
        <v>0</v>
      </c>
      <c r="AE35" s="96">
        <f>IFERROR(VLOOKUP(CONCATENATE($A$15,"-",$A$12, "-", $D35, "-", AE$3, "-", $A$9), OBS_District_Flows!$A:$G, 6,FALSE),0)</f>
        <v>0</v>
      </c>
      <c r="AF35" s="96">
        <f>IFERROR(VLOOKUP(CONCATENATE($A$15,"-",$A$12, "-", $D35, "-", AF$3, "-", $A$9), OBS_District_Flows!$A:$G, 6,FALSE),0)</f>
        <v>0</v>
      </c>
      <c r="AG35" s="96">
        <f>IFERROR(VLOOKUP(CONCATENATE($A$15,"-",$A$12, "-", $D35, "-", AG$3, "-", $A$9), OBS_District_Flows!$A:$G, 6,FALSE),0)</f>
        <v>0</v>
      </c>
      <c r="AH35" s="96">
        <f>IFERROR(VLOOKUP(CONCATENATE($A$15,"-",$A$12, "-", $D35, "-", AH$3, "-", $A$9), OBS_District_Flows!$A:$G, 6,FALSE),0)</f>
        <v>0</v>
      </c>
      <c r="AI35" s="96">
        <f>IFERROR(VLOOKUP(CONCATENATE($A$15,"-",$A$12, "-", $D35, "-", AI$3, "-", $A$9), OBS_District_Flows!$A:$G, 6,FALSE),0)</f>
        <v>0</v>
      </c>
      <c r="AJ35" s="96">
        <f>IFERROR(VLOOKUP(CONCATENATE($A$15,"-",$A$12, "-", $D35, "-", AJ$3, "-", $A$9), OBS_District_Flows!$A:$G, 6,FALSE),0)</f>
        <v>0</v>
      </c>
      <c r="AK35" s="96">
        <f>IFERROR(VLOOKUP(CONCATENATE($A$15,"-",$A$12, "-", $D35, "-", AK$3, "-", $A$9), OBS_District_Flows!$A:$G, 6,FALSE),0)</f>
        <v>0</v>
      </c>
      <c r="AL35" s="97">
        <f>IFERROR(VLOOKUP(CONCATENATE($A$15,"-",$A$12, "-", $D35, "-", AL$3, "-", $A$9), OBS_District_Flows!$A:$G, 6,FALSE),0)</f>
        <v>0</v>
      </c>
      <c r="AM35" s="88">
        <f t="shared" si="6"/>
        <v>0</v>
      </c>
      <c r="AO35" s="261"/>
      <c r="AP35" s="84" t="s">
        <v>205</v>
      </c>
      <c r="AQ35" s="98" t="str">
        <f t="shared" ref="AQ35:BF38" si="13">IF($AM35&gt;0,E35/$AM35, "")</f>
        <v/>
      </c>
      <c r="AR35" s="99" t="str">
        <f t="shared" si="13"/>
        <v/>
      </c>
      <c r="AS35" s="99" t="str">
        <f t="shared" si="13"/>
        <v/>
      </c>
      <c r="AT35" s="99" t="str">
        <f t="shared" si="13"/>
        <v/>
      </c>
      <c r="AU35" s="99" t="str">
        <f t="shared" si="13"/>
        <v/>
      </c>
      <c r="AV35" s="99" t="str">
        <f t="shared" si="13"/>
        <v/>
      </c>
      <c r="AW35" s="99" t="str">
        <f t="shared" si="13"/>
        <v/>
      </c>
      <c r="AX35" s="99" t="str">
        <f t="shared" si="13"/>
        <v/>
      </c>
      <c r="AY35" s="99" t="str">
        <f t="shared" si="13"/>
        <v/>
      </c>
      <c r="AZ35" s="99" t="str">
        <f t="shared" si="13"/>
        <v/>
      </c>
      <c r="BA35" s="99" t="str">
        <f t="shared" si="13"/>
        <v/>
      </c>
      <c r="BB35" s="99" t="str">
        <f t="shared" si="13"/>
        <v/>
      </c>
      <c r="BC35" s="99" t="str">
        <f t="shared" si="13"/>
        <v/>
      </c>
      <c r="BD35" s="99" t="str">
        <f t="shared" si="13"/>
        <v/>
      </c>
      <c r="BE35" s="99" t="str">
        <f t="shared" si="13"/>
        <v/>
      </c>
      <c r="BF35" s="99" t="str">
        <f t="shared" si="13"/>
        <v/>
      </c>
      <c r="BG35" s="99" t="str">
        <f t="shared" si="9"/>
        <v/>
      </c>
      <c r="BH35" s="99" t="str">
        <f t="shared" si="9"/>
        <v/>
      </c>
      <c r="BI35" s="99" t="str">
        <f t="shared" si="9"/>
        <v/>
      </c>
      <c r="BJ35" s="99" t="str">
        <f t="shared" si="9"/>
        <v/>
      </c>
      <c r="BK35" s="99" t="str">
        <f t="shared" si="9"/>
        <v/>
      </c>
      <c r="BL35" s="99" t="str">
        <f t="shared" si="9"/>
        <v/>
      </c>
      <c r="BM35" s="99" t="str">
        <f t="shared" si="9"/>
        <v/>
      </c>
      <c r="BN35" s="99" t="str">
        <f t="shared" si="9"/>
        <v/>
      </c>
      <c r="BO35" s="99" t="str">
        <f t="shared" si="9"/>
        <v/>
      </c>
      <c r="BP35" s="99" t="str">
        <f t="shared" si="9"/>
        <v/>
      </c>
      <c r="BQ35" s="99" t="str">
        <f t="shared" si="9"/>
        <v/>
      </c>
      <c r="BR35" s="99" t="str">
        <f t="shared" si="9"/>
        <v/>
      </c>
      <c r="BS35" s="99" t="str">
        <f t="shared" si="9"/>
        <v/>
      </c>
      <c r="BT35" s="99" t="str">
        <f t="shared" si="9"/>
        <v/>
      </c>
      <c r="BU35" s="99" t="str">
        <f t="shared" ref="BU35:BV38" si="14">IF($AM35&gt;0,AI35/$AM35, "")</f>
        <v/>
      </c>
      <c r="BV35" s="99" t="str">
        <f t="shared" si="14"/>
        <v/>
      </c>
      <c r="BW35" s="99" t="str">
        <f t="shared" si="10"/>
        <v/>
      </c>
      <c r="BX35" s="100" t="str">
        <f t="shared" si="2"/>
        <v/>
      </c>
      <c r="BY35" s="92" t="str">
        <f t="shared" si="2"/>
        <v/>
      </c>
      <c r="CA35" s="261"/>
      <c r="CB35" s="84" t="s">
        <v>205</v>
      </c>
      <c r="CC35" s="98" t="str">
        <f t="shared" ref="CC35:CR38" si="15">IF(E$38&gt;0, E35/E$38, "")</f>
        <v/>
      </c>
      <c r="CD35" s="99" t="str">
        <f t="shared" si="15"/>
        <v/>
      </c>
      <c r="CE35" s="99" t="str">
        <f t="shared" si="15"/>
        <v/>
      </c>
      <c r="CF35" s="99" t="str">
        <f t="shared" si="15"/>
        <v/>
      </c>
      <c r="CG35" s="99" t="str">
        <f t="shared" si="15"/>
        <v/>
      </c>
      <c r="CH35" s="99" t="str">
        <f t="shared" si="15"/>
        <v/>
      </c>
      <c r="CI35" s="99" t="str">
        <f t="shared" si="15"/>
        <v/>
      </c>
      <c r="CJ35" s="99" t="str">
        <f t="shared" si="15"/>
        <v/>
      </c>
      <c r="CK35" s="99" t="str">
        <f t="shared" si="15"/>
        <v/>
      </c>
      <c r="CL35" s="99" t="str">
        <f t="shared" si="15"/>
        <v/>
      </c>
      <c r="CM35" s="99" t="str">
        <f t="shared" si="15"/>
        <v/>
      </c>
      <c r="CN35" s="99" t="str">
        <f t="shared" si="15"/>
        <v/>
      </c>
      <c r="CO35" s="99" t="str">
        <f t="shared" si="15"/>
        <v/>
      </c>
      <c r="CP35" s="99" t="str">
        <f t="shared" si="15"/>
        <v/>
      </c>
      <c r="CQ35" s="99" t="str">
        <f t="shared" si="15"/>
        <v/>
      </c>
      <c r="CR35" s="99" t="str">
        <f t="shared" si="15"/>
        <v/>
      </c>
      <c r="CS35" s="99" t="str">
        <f t="shared" si="11"/>
        <v/>
      </c>
      <c r="CT35" s="99" t="str">
        <f t="shared" si="11"/>
        <v/>
      </c>
      <c r="CU35" s="99" t="str">
        <f t="shared" si="11"/>
        <v/>
      </c>
      <c r="CV35" s="99" t="str">
        <f t="shared" si="11"/>
        <v/>
      </c>
      <c r="CW35" s="99" t="str">
        <f t="shared" si="11"/>
        <v/>
      </c>
      <c r="CX35" s="99" t="str">
        <f t="shared" si="11"/>
        <v/>
      </c>
      <c r="CY35" s="99" t="str">
        <f t="shared" si="11"/>
        <v/>
      </c>
      <c r="CZ35" s="99" t="str">
        <f t="shared" si="11"/>
        <v/>
      </c>
      <c r="DA35" s="99" t="str">
        <f t="shared" si="11"/>
        <v/>
      </c>
      <c r="DB35" s="99" t="str">
        <f t="shared" si="11"/>
        <v/>
      </c>
      <c r="DC35" s="99" t="str">
        <f t="shared" si="11"/>
        <v/>
      </c>
      <c r="DD35" s="99" t="str">
        <f t="shared" si="11"/>
        <v/>
      </c>
      <c r="DE35" s="99" t="str">
        <f t="shared" si="11"/>
        <v/>
      </c>
      <c r="DF35" s="99" t="str">
        <f t="shared" si="11"/>
        <v/>
      </c>
      <c r="DG35" s="99" t="str">
        <f t="shared" ref="DG35:DH38" si="16">IF(AI$38&gt;0, AI35/AI$38, "")</f>
        <v/>
      </c>
      <c r="DH35" s="99" t="str">
        <f t="shared" si="16"/>
        <v/>
      </c>
      <c r="DI35" s="99" t="str">
        <f t="shared" si="12"/>
        <v/>
      </c>
      <c r="DJ35" s="100" t="str">
        <f t="shared" si="5"/>
        <v/>
      </c>
      <c r="DK35" s="92" t="str">
        <f t="shared" si="5"/>
        <v/>
      </c>
    </row>
    <row r="36" spans="1:115" x14ac:dyDescent="0.2">
      <c r="C36" s="260"/>
      <c r="D36" s="84" t="s">
        <v>206</v>
      </c>
      <c r="E36" s="95">
        <f>IFERROR(VLOOKUP(CONCATENATE($A$15,"-",$A$12, "-", $D36, "-", E$3, "-", $A$9), OBS_District_Flows!$A:$G, 6,FALSE),0)</f>
        <v>0</v>
      </c>
      <c r="F36" s="96">
        <f>IFERROR(VLOOKUP(CONCATENATE($A$15,"-",$A$12, "-", $D36, "-", F$3, "-", $A$9), OBS_District_Flows!$A:$G, 6,FALSE),0)</f>
        <v>0</v>
      </c>
      <c r="G36" s="96">
        <f>IFERROR(VLOOKUP(CONCATENATE($A$15,"-",$A$12, "-", $D36, "-", G$3, "-", $A$9), OBS_District_Flows!$A:$G, 6,FALSE),0)</f>
        <v>0</v>
      </c>
      <c r="H36" s="96">
        <f>IFERROR(VLOOKUP(CONCATENATE($A$15,"-",$A$12, "-", $D36, "-", H$3, "-", $A$9), OBS_District_Flows!$A:$G, 6,FALSE),0)</f>
        <v>0</v>
      </c>
      <c r="I36" s="96">
        <f>IFERROR(VLOOKUP(CONCATENATE($A$15,"-",$A$12, "-", $D36, "-", I$3, "-", $A$9), OBS_District_Flows!$A:$G, 6,FALSE),0)</f>
        <v>0</v>
      </c>
      <c r="J36" s="96">
        <f>IFERROR(VLOOKUP(CONCATENATE($A$15,"-",$A$12, "-", $D36, "-", J$3, "-", $A$9), OBS_District_Flows!$A:$G, 6,FALSE),0)</f>
        <v>0</v>
      </c>
      <c r="K36" s="96">
        <f>IFERROR(VLOOKUP(CONCATENATE($A$15,"-",$A$12, "-", $D36, "-", K$3, "-", $A$9), OBS_District_Flows!$A:$G, 6,FALSE),0)</f>
        <v>0</v>
      </c>
      <c r="L36" s="96">
        <f>IFERROR(VLOOKUP(CONCATENATE($A$15,"-",$A$12, "-", $D36, "-", L$3, "-", $A$9), OBS_District_Flows!$A:$G, 6,FALSE),0)</f>
        <v>0</v>
      </c>
      <c r="M36" s="96">
        <f>IFERROR(VLOOKUP(CONCATENATE($A$15,"-",$A$12, "-", $D36, "-", M$3, "-", $A$9), OBS_District_Flows!$A:$G, 6,FALSE),0)</f>
        <v>0</v>
      </c>
      <c r="N36" s="96">
        <f>IFERROR(VLOOKUP(CONCATENATE($A$15,"-",$A$12, "-", $D36, "-", N$3, "-", $A$9), OBS_District_Flows!$A:$G, 6,FALSE),0)</f>
        <v>0</v>
      </c>
      <c r="O36" s="96">
        <f>IFERROR(VLOOKUP(CONCATENATE($A$15,"-",$A$12, "-", $D36, "-", O$3, "-", $A$9), OBS_District_Flows!$A:$G, 6,FALSE),0)</f>
        <v>0</v>
      </c>
      <c r="P36" s="96">
        <f>IFERROR(VLOOKUP(CONCATENATE($A$15,"-",$A$12, "-", $D36, "-", P$3, "-", $A$9), OBS_District_Flows!$A:$G, 6,FALSE),0)</f>
        <v>0</v>
      </c>
      <c r="Q36" s="96">
        <f>IFERROR(VLOOKUP(CONCATENATE($A$15,"-",$A$12, "-", $D36, "-", Q$3, "-", $A$9), OBS_District_Flows!$A:$G, 6,FALSE),0)</f>
        <v>0</v>
      </c>
      <c r="R36" s="96">
        <f>IFERROR(VLOOKUP(CONCATENATE($A$15,"-",$A$12, "-", $D36, "-", R$3, "-", $A$9), OBS_District_Flows!$A:$G, 6,FALSE),0)</f>
        <v>0</v>
      </c>
      <c r="S36" s="96">
        <f>IFERROR(VLOOKUP(CONCATENATE($A$15,"-",$A$12, "-", $D36, "-", S$3, "-", $A$9), OBS_District_Flows!$A:$G, 6,FALSE),0)</f>
        <v>0</v>
      </c>
      <c r="T36" s="96">
        <f>IFERROR(VLOOKUP(CONCATENATE($A$15,"-",$A$12, "-", $D36, "-", T$3, "-", $A$9), OBS_District_Flows!$A:$G, 6,FALSE),0)</f>
        <v>0</v>
      </c>
      <c r="U36" s="96">
        <f>IFERROR(VLOOKUP(CONCATENATE($A$15,"-",$A$12, "-", $D36, "-", U$3, "-", $A$9), OBS_District_Flows!$A:$G, 6,FALSE),0)</f>
        <v>0</v>
      </c>
      <c r="V36" s="96">
        <f>IFERROR(VLOOKUP(CONCATENATE($A$15,"-",$A$12, "-", $D36, "-", V$3, "-", $A$9), OBS_District_Flows!$A:$G, 6,FALSE),0)</f>
        <v>0</v>
      </c>
      <c r="W36" s="96">
        <f>IFERROR(VLOOKUP(CONCATENATE($A$15,"-",$A$12, "-", $D36, "-", W$3, "-", $A$9), OBS_District_Flows!$A:$G, 6,FALSE),0)</f>
        <v>0</v>
      </c>
      <c r="X36" s="96">
        <f>IFERROR(VLOOKUP(CONCATENATE($A$15,"-",$A$12, "-", $D36, "-", X$3, "-", $A$9), OBS_District_Flows!$A:$G, 6,FALSE),0)</f>
        <v>0</v>
      </c>
      <c r="Y36" s="96">
        <f>IFERROR(VLOOKUP(CONCATENATE($A$15,"-",$A$12, "-", $D36, "-", Y$3, "-", $A$9), OBS_District_Flows!$A:$G, 6,FALSE),0)</f>
        <v>0</v>
      </c>
      <c r="Z36" s="96">
        <f>IFERROR(VLOOKUP(CONCATENATE($A$15,"-",$A$12, "-", $D36, "-", Z$3, "-", $A$9), OBS_District_Flows!$A:$G, 6,FALSE),0)</f>
        <v>0</v>
      </c>
      <c r="AA36" s="96">
        <f>IFERROR(VLOOKUP(CONCATENATE($A$15,"-",$A$12, "-", $D36, "-", AA$3, "-", $A$9), OBS_District_Flows!$A:$G, 6,FALSE),0)</f>
        <v>0</v>
      </c>
      <c r="AB36" s="96">
        <f>IFERROR(VLOOKUP(CONCATENATE($A$15,"-",$A$12, "-", $D36, "-", AB$3, "-", $A$9), OBS_District_Flows!$A:$G, 6,FALSE),0)</f>
        <v>0</v>
      </c>
      <c r="AC36" s="96">
        <f>IFERROR(VLOOKUP(CONCATENATE($A$15,"-",$A$12, "-", $D36, "-", AC$3, "-", $A$9), OBS_District_Flows!$A:$G, 6,FALSE),0)</f>
        <v>0</v>
      </c>
      <c r="AD36" s="96">
        <f>IFERROR(VLOOKUP(CONCATENATE($A$15,"-",$A$12, "-", $D36, "-", AD$3, "-", $A$9), OBS_District_Flows!$A:$G, 6,FALSE),0)</f>
        <v>0</v>
      </c>
      <c r="AE36" s="96">
        <f>IFERROR(VLOOKUP(CONCATENATE($A$15,"-",$A$12, "-", $D36, "-", AE$3, "-", $A$9), OBS_District_Flows!$A:$G, 6,FALSE),0)</f>
        <v>0</v>
      </c>
      <c r="AF36" s="96">
        <f>IFERROR(VLOOKUP(CONCATENATE($A$15,"-",$A$12, "-", $D36, "-", AF$3, "-", $A$9), OBS_District_Flows!$A:$G, 6,FALSE),0)</f>
        <v>0</v>
      </c>
      <c r="AG36" s="96">
        <f>IFERROR(VLOOKUP(CONCATENATE($A$15,"-",$A$12, "-", $D36, "-", AG$3, "-", $A$9), OBS_District_Flows!$A:$G, 6,FALSE),0)</f>
        <v>0</v>
      </c>
      <c r="AH36" s="96">
        <f>IFERROR(VLOOKUP(CONCATENATE($A$15,"-",$A$12, "-", $D36, "-", AH$3, "-", $A$9), OBS_District_Flows!$A:$G, 6,FALSE),0)</f>
        <v>0</v>
      </c>
      <c r="AI36" s="96">
        <f>IFERROR(VLOOKUP(CONCATENATE($A$15,"-",$A$12, "-", $D36, "-", AI$3, "-", $A$9), OBS_District_Flows!$A:$G, 6,FALSE),0)</f>
        <v>0</v>
      </c>
      <c r="AJ36" s="96">
        <f>IFERROR(VLOOKUP(CONCATENATE($A$15,"-",$A$12, "-", $D36, "-", AJ$3, "-", $A$9), OBS_District_Flows!$A:$G, 6,FALSE),0)</f>
        <v>0</v>
      </c>
      <c r="AK36" s="96">
        <f>IFERROR(VLOOKUP(CONCATENATE($A$15,"-",$A$12, "-", $D36, "-", AK$3, "-", $A$9), OBS_District_Flows!$A:$G, 6,FALSE),0)</f>
        <v>0</v>
      </c>
      <c r="AL36" s="97">
        <f>IFERROR(VLOOKUP(CONCATENATE($A$15,"-",$A$12, "-", $D36, "-", AL$3, "-", $A$9), OBS_District_Flows!$A:$G, 6,FALSE),0)</f>
        <v>0</v>
      </c>
      <c r="AM36" s="88">
        <f t="shared" si="6"/>
        <v>0</v>
      </c>
      <c r="AO36" s="261"/>
      <c r="AP36" s="84" t="s">
        <v>206</v>
      </c>
      <c r="AQ36" s="98" t="str">
        <f t="shared" si="13"/>
        <v/>
      </c>
      <c r="AR36" s="99" t="str">
        <f t="shared" si="13"/>
        <v/>
      </c>
      <c r="AS36" s="99" t="str">
        <f t="shared" si="13"/>
        <v/>
      </c>
      <c r="AT36" s="99" t="str">
        <f t="shared" si="13"/>
        <v/>
      </c>
      <c r="AU36" s="99" t="str">
        <f t="shared" si="13"/>
        <v/>
      </c>
      <c r="AV36" s="99" t="str">
        <f t="shared" si="13"/>
        <v/>
      </c>
      <c r="AW36" s="99" t="str">
        <f t="shared" si="13"/>
        <v/>
      </c>
      <c r="AX36" s="99" t="str">
        <f t="shared" si="13"/>
        <v/>
      </c>
      <c r="AY36" s="99" t="str">
        <f t="shared" si="13"/>
        <v/>
      </c>
      <c r="AZ36" s="99" t="str">
        <f t="shared" si="13"/>
        <v/>
      </c>
      <c r="BA36" s="99" t="str">
        <f t="shared" si="13"/>
        <v/>
      </c>
      <c r="BB36" s="99" t="str">
        <f t="shared" si="13"/>
        <v/>
      </c>
      <c r="BC36" s="99" t="str">
        <f t="shared" si="13"/>
        <v/>
      </c>
      <c r="BD36" s="99" t="str">
        <f t="shared" si="13"/>
        <v/>
      </c>
      <c r="BE36" s="99" t="str">
        <f t="shared" si="13"/>
        <v/>
      </c>
      <c r="BF36" s="99" t="str">
        <f t="shared" si="13"/>
        <v/>
      </c>
      <c r="BG36" s="99" t="str">
        <f t="shared" ref="BG36:BT38" si="17">IF($AM36&gt;0,U36/$AM36, "")</f>
        <v/>
      </c>
      <c r="BH36" s="99" t="str">
        <f t="shared" si="17"/>
        <v/>
      </c>
      <c r="BI36" s="99" t="str">
        <f t="shared" si="17"/>
        <v/>
      </c>
      <c r="BJ36" s="99" t="str">
        <f t="shared" si="17"/>
        <v/>
      </c>
      <c r="BK36" s="99" t="str">
        <f t="shared" si="17"/>
        <v/>
      </c>
      <c r="BL36" s="99" t="str">
        <f t="shared" si="17"/>
        <v/>
      </c>
      <c r="BM36" s="99" t="str">
        <f t="shared" si="17"/>
        <v/>
      </c>
      <c r="BN36" s="99" t="str">
        <f t="shared" si="17"/>
        <v/>
      </c>
      <c r="BO36" s="99" t="str">
        <f t="shared" si="17"/>
        <v/>
      </c>
      <c r="BP36" s="99" t="str">
        <f t="shared" si="17"/>
        <v/>
      </c>
      <c r="BQ36" s="99" t="str">
        <f t="shared" si="17"/>
        <v/>
      </c>
      <c r="BR36" s="99" t="str">
        <f t="shared" si="17"/>
        <v/>
      </c>
      <c r="BS36" s="99" t="str">
        <f t="shared" si="17"/>
        <v/>
      </c>
      <c r="BT36" s="99" t="str">
        <f t="shared" si="17"/>
        <v/>
      </c>
      <c r="BU36" s="99" t="str">
        <f t="shared" si="14"/>
        <v/>
      </c>
      <c r="BV36" s="99" t="str">
        <f t="shared" si="14"/>
        <v/>
      </c>
      <c r="BW36" s="99" t="str">
        <f t="shared" si="10"/>
        <v/>
      </c>
      <c r="BX36" s="100" t="str">
        <f t="shared" si="2"/>
        <v/>
      </c>
      <c r="BY36" s="92" t="str">
        <f t="shared" si="2"/>
        <v/>
      </c>
      <c r="CA36" s="261"/>
      <c r="CB36" s="84" t="s">
        <v>206</v>
      </c>
      <c r="CC36" s="98" t="str">
        <f t="shared" si="15"/>
        <v/>
      </c>
      <c r="CD36" s="99" t="str">
        <f t="shared" si="15"/>
        <v/>
      </c>
      <c r="CE36" s="99" t="str">
        <f t="shared" si="15"/>
        <v/>
      </c>
      <c r="CF36" s="99" t="str">
        <f t="shared" si="15"/>
        <v/>
      </c>
      <c r="CG36" s="99" t="str">
        <f t="shared" si="15"/>
        <v/>
      </c>
      <c r="CH36" s="99" t="str">
        <f t="shared" si="15"/>
        <v/>
      </c>
      <c r="CI36" s="99" t="str">
        <f t="shared" si="15"/>
        <v/>
      </c>
      <c r="CJ36" s="99" t="str">
        <f t="shared" si="15"/>
        <v/>
      </c>
      <c r="CK36" s="99" t="str">
        <f t="shared" si="15"/>
        <v/>
      </c>
      <c r="CL36" s="99" t="str">
        <f t="shared" si="15"/>
        <v/>
      </c>
      <c r="CM36" s="99" t="str">
        <f t="shared" si="15"/>
        <v/>
      </c>
      <c r="CN36" s="99" t="str">
        <f t="shared" si="15"/>
        <v/>
      </c>
      <c r="CO36" s="99" t="str">
        <f t="shared" si="15"/>
        <v/>
      </c>
      <c r="CP36" s="99" t="str">
        <f t="shared" si="15"/>
        <v/>
      </c>
      <c r="CQ36" s="99" t="str">
        <f t="shared" si="15"/>
        <v/>
      </c>
      <c r="CR36" s="99" t="str">
        <f t="shared" si="15"/>
        <v/>
      </c>
      <c r="CS36" s="99" t="str">
        <f t="shared" ref="CS36:DF38" si="18">IF(U$38&gt;0, U36/U$38, "")</f>
        <v/>
      </c>
      <c r="CT36" s="99" t="str">
        <f t="shared" si="18"/>
        <v/>
      </c>
      <c r="CU36" s="99" t="str">
        <f t="shared" si="18"/>
        <v/>
      </c>
      <c r="CV36" s="99" t="str">
        <f t="shared" si="18"/>
        <v/>
      </c>
      <c r="CW36" s="99" t="str">
        <f t="shared" si="18"/>
        <v/>
      </c>
      <c r="CX36" s="99" t="str">
        <f t="shared" si="18"/>
        <v/>
      </c>
      <c r="CY36" s="99" t="str">
        <f t="shared" si="18"/>
        <v/>
      </c>
      <c r="CZ36" s="99" t="str">
        <f t="shared" si="18"/>
        <v/>
      </c>
      <c r="DA36" s="99" t="str">
        <f t="shared" si="18"/>
        <v/>
      </c>
      <c r="DB36" s="99" t="str">
        <f t="shared" si="18"/>
        <v/>
      </c>
      <c r="DC36" s="99" t="str">
        <f t="shared" si="18"/>
        <v/>
      </c>
      <c r="DD36" s="99" t="str">
        <f t="shared" si="18"/>
        <v/>
      </c>
      <c r="DE36" s="99" t="str">
        <f t="shared" si="18"/>
        <v/>
      </c>
      <c r="DF36" s="99" t="str">
        <f t="shared" si="18"/>
        <v/>
      </c>
      <c r="DG36" s="99" t="str">
        <f t="shared" si="16"/>
        <v/>
      </c>
      <c r="DH36" s="99" t="str">
        <f t="shared" si="16"/>
        <v/>
      </c>
      <c r="DI36" s="99" t="str">
        <f t="shared" si="12"/>
        <v/>
      </c>
      <c r="DJ36" s="100" t="str">
        <f t="shared" si="5"/>
        <v/>
      </c>
      <c r="DK36" s="92" t="str">
        <f t="shared" si="5"/>
        <v/>
      </c>
    </row>
    <row r="37" spans="1:115" ht="12" thickBot="1" x14ac:dyDescent="0.25">
      <c r="C37" s="260"/>
      <c r="D37" s="84" t="s">
        <v>207</v>
      </c>
      <c r="E37" s="108">
        <f>IFERROR(VLOOKUP(CONCATENATE($A$15,"-",$A$12, "-", $D37, "-", E$3, "-", $A$9), OBS_District_Flows!$A:$G, 6,FALSE),0)</f>
        <v>0</v>
      </c>
      <c r="F37" s="109">
        <f>IFERROR(VLOOKUP(CONCATENATE($A$15,"-",$A$12, "-", $D37, "-", F$3, "-", $A$9), OBS_District_Flows!$A:$G, 6,FALSE),0)</f>
        <v>0</v>
      </c>
      <c r="G37" s="109">
        <f>IFERROR(VLOOKUP(CONCATENATE($A$15,"-",$A$12, "-", $D37, "-", G$3, "-", $A$9), OBS_District_Flows!$A:$G, 6,FALSE),0)</f>
        <v>0</v>
      </c>
      <c r="H37" s="109">
        <f>IFERROR(VLOOKUP(CONCATENATE($A$15,"-",$A$12, "-", $D37, "-", H$3, "-", $A$9), OBS_District_Flows!$A:$G, 6,FALSE),0)</f>
        <v>0</v>
      </c>
      <c r="I37" s="109">
        <f>IFERROR(VLOOKUP(CONCATENATE($A$15,"-",$A$12, "-", $D37, "-", I$3, "-", $A$9), OBS_District_Flows!$A:$G, 6,FALSE),0)</f>
        <v>0</v>
      </c>
      <c r="J37" s="109">
        <f>IFERROR(VLOOKUP(CONCATENATE($A$15,"-",$A$12, "-", $D37, "-", J$3, "-", $A$9), OBS_District_Flows!$A:$G, 6,FALSE),0)</f>
        <v>0</v>
      </c>
      <c r="K37" s="109">
        <f>IFERROR(VLOOKUP(CONCATENATE($A$15,"-",$A$12, "-", $D37, "-", K$3, "-", $A$9), OBS_District_Flows!$A:$G, 6,FALSE),0)</f>
        <v>0</v>
      </c>
      <c r="L37" s="109">
        <f>IFERROR(VLOOKUP(CONCATENATE($A$15,"-",$A$12, "-", $D37, "-", L$3, "-", $A$9), OBS_District_Flows!$A:$G, 6,FALSE),0)</f>
        <v>0</v>
      </c>
      <c r="M37" s="109">
        <f>IFERROR(VLOOKUP(CONCATENATE($A$15,"-",$A$12, "-", $D37, "-", M$3, "-", $A$9), OBS_District_Flows!$A:$G, 6,FALSE),0)</f>
        <v>0</v>
      </c>
      <c r="N37" s="109">
        <f>IFERROR(VLOOKUP(CONCATENATE($A$15,"-",$A$12, "-", $D37, "-", N$3, "-", $A$9), OBS_District_Flows!$A:$G, 6,FALSE),0)</f>
        <v>0</v>
      </c>
      <c r="O37" s="109">
        <f>IFERROR(VLOOKUP(CONCATENATE($A$15,"-",$A$12, "-", $D37, "-", O$3, "-", $A$9), OBS_District_Flows!$A:$G, 6,FALSE),0)</f>
        <v>0</v>
      </c>
      <c r="P37" s="109">
        <f>IFERROR(VLOOKUP(CONCATENATE($A$15,"-",$A$12, "-", $D37, "-", P$3, "-", $A$9), OBS_District_Flows!$A:$G, 6,FALSE),0)</f>
        <v>0</v>
      </c>
      <c r="Q37" s="109">
        <f>IFERROR(VLOOKUP(CONCATENATE($A$15,"-",$A$12, "-", $D37, "-", Q$3, "-", $A$9), OBS_District_Flows!$A:$G, 6,FALSE),0)</f>
        <v>0</v>
      </c>
      <c r="R37" s="109">
        <f>IFERROR(VLOOKUP(CONCATENATE($A$15,"-",$A$12, "-", $D37, "-", R$3, "-", $A$9), OBS_District_Flows!$A:$G, 6,FALSE),0)</f>
        <v>0</v>
      </c>
      <c r="S37" s="109">
        <f>IFERROR(VLOOKUP(CONCATENATE($A$15,"-",$A$12, "-", $D37, "-", S$3, "-", $A$9), OBS_District_Flows!$A:$G, 6,FALSE),0)</f>
        <v>0</v>
      </c>
      <c r="T37" s="109">
        <f>IFERROR(VLOOKUP(CONCATENATE($A$15,"-",$A$12, "-", $D37, "-", T$3, "-", $A$9), OBS_District_Flows!$A:$G, 6,FALSE),0)</f>
        <v>0</v>
      </c>
      <c r="U37" s="109">
        <f>IFERROR(VLOOKUP(CONCATENATE($A$15,"-",$A$12, "-", $D37, "-", U$3, "-", $A$9), OBS_District_Flows!$A:$G, 6,FALSE),0)</f>
        <v>0</v>
      </c>
      <c r="V37" s="109">
        <f>IFERROR(VLOOKUP(CONCATENATE($A$15,"-",$A$12, "-", $D37, "-", V$3, "-", $A$9), OBS_District_Flows!$A:$G, 6,FALSE),0)</f>
        <v>0</v>
      </c>
      <c r="W37" s="109">
        <f>IFERROR(VLOOKUP(CONCATENATE($A$15,"-",$A$12, "-", $D37, "-", W$3, "-", $A$9), OBS_District_Flows!$A:$G, 6,FALSE),0)</f>
        <v>0</v>
      </c>
      <c r="X37" s="109">
        <f>IFERROR(VLOOKUP(CONCATENATE($A$15,"-",$A$12, "-", $D37, "-", X$3, "-", $A$9), OBS_District_Flows!$A:$G, 6,FALSE),0)</f>
        <v>0</v>
      </c>
      <c r="Y37" s="109">
        <f>IFERROR(VLOOKUP(CONCATENATE($A$15,"-",$A$12, "-", $D37, "-", Y$3, "-", $A$9), OBS_District_Flows!$A:$G, 6,FALSE),0)</f>
        <v>0</v>
      </c>
      <c r="Z37" s="109">
        <f>IFERROR(VLOOKUP(CONCATENATE($A$15,"-",$A$12, "-", $D37, "-", Z$3, "-", $A$9), OBS_District_Flows!$A:$G, 6,FALSE),0)</f>
        <v>0</v>
      </c>
      <c r="AA37" s="109">
        <f>IFERROR(VLOOKUP(CONCATENATE($A$15,"-",$A$12, "-", $D37, "-", AA$3, "-", $A$9), OBS_District_Flows!$A:$G, 6,FALSE),0)</f>
        <v>0</v>
      </c>
      <c r="AB37" s="109">
        <f>IFERROR(VLOOKUP(CONCATENATE($A$15,"-",$A$12, "-", $D37, "-", AB$3, "-", $A$9), OBS_District_Flows!$A:$G, 6,FALSE),0)</f>
        <v>0</v>
      </c>
      <c r="AC37" s="109">
        <f>IFERROR(VLOOKUP(CONCATENATE($A$15,"-",$A$12, "-", $D37, "-", AC$3, "-", $A$9), OBS_District_Flows!$A:$G, 6,FALSE),0)</f>
        <v>0</v>
      </c>
      <c r="AD37" s="109">
        <f>IFERROR(VLOOKUP(CONCATENATE($A$15,"-",$A$12, "-", $D37, "-", AD$3, "-", $A$9), OBS_District_Flows!$A:$G, 6,FALSE),0)</f>
        <v>0</v>
      </c>
      <c r="AE37" s="109">
        <f>IFERROR(VLOOKUP(CONCATENATE($A$15,"-",$A$12, "-", $D37, "-", AE$3, "-", $A$9), OBS_District_Flows!$A:$G, 6,FALSE),0)</f>
        <v>0</v>
      </c>
      <c r="AF37" s="109">
        <f>IFERROR(VLOOKUP(CONCATENATE($A$15,"-",$A$12, "-", $D37, "-", AF$3, "-", $A$9), OBS_District_Flows!$A:$G, 6,FALSE),0)</f>
        <v>0</v>
      </c>
      <c r="AG37" s="109">
        <f>IFERROR(VLOOKUP(CONCATENATE($A$15,"-",$A$12, "-", $D37, "-", AG$3, "-", $A$9), OBS_District_Flows!$A:$G, 6,FALSE),0)</f>
        <v>0</v>
      </c>
      <c r="AH37" s="109">
        <f>IFERROR(VLOOKUP(CONCATENATE($A$15,"-",$A$12, "-", $D37, "-", AH$3, "-", $A$9), OBS_District_Flows!$A:$G, 6,FALSE),0)</f>
        <v>0</v>
      </c>
      <c r="AI37" s="109">
        <f>IFERROR(VLOOKUP(CONCATENATE($A$15,"-",$A$12, "-", $D37, "-", AI$3, "-", $A$9), OBS_District_Flows!$A:$G, 6,FALSE),0)</f>
        <v>0</v>
      </c>
      <c r="AJ37" s="109">
        <f>IFERROR(VLOOKUP(CONCATENATE($A$15,"-",$A$12, "-", $D37, "-", AJ$3, "-", $A$9), OBS_District_Flows!$A:$G, 6,FALSE),0)</f>
        <v>0</v>
      </c>
      <c r="AK37" s="109">
        <f>IFERROR(VLOOKUP(CONCATENATE($A$15,"-",$A$12, "-", $D37, "-", AK$3, "-", $A$9), OBS_District_Flows!$A:$G, 6,FALSE),0)</f>
        <v>0</v>
      </c>
      <c r="AL37" s="110">
        <f>IFERROR(VLOOKUP(CONCATENATE($A$15,"-",$A$12, "-", $D37, "-", AL$3, "-", $A$9), OBS_District_Flows!$A:$G, 6,FALSE),0)</f>
        <v>0</v>
      </c>
      <c r="AM37" s="88">
        <f t="shared" si="6"/>
        <v>0</v>
      </c>
      <c r="AO37" s="261"/>
      <c r="AP37" s="84" t="s">
        <v>207</v>
      </c>
      <c r="AQ37" s="111" t="str">
        <f t="shared" si="13"/>
        <v/>
      </c>
      <c r="AR37" s="112" t="str">
        <f t="shared" si="13"/>
        <v/>
      </c>
      <c r="AS37" s="112" t="str">
        <f t="shared" si="13"/>
        <v/>
      </c>
      <c r="AT37" s="112" t="str">
        <f t="shared" si="13"/>
        <v/>
      </c>
      <c r="AU37" s="112" t="str">
        <f t="shared" si="13"/>
        <v/>
      </c>
      <c r="AV37" s="112" t="str">
        <f t="shared" si="13"/>
        <v/>
      </c>
      <c r="AW37" s="112" t="str">
        <f t="shared" si="13"/>
        <v/>
      </c>
      <c r="AX37" s="112" t="str">
        <f t="shared" si="13"/>
        <v/>
      </c>
      <c r="AY37" s="112" t="str">
        <f t="shared" si="13"/>
        <v/>
      </c>
      <c r="AZ37" s="112" t="str">
        <f t="shared" si="13"/>
        <v/>
      </c>
      <c r="BA37" s="112" t="str">
        <f t="shared" si="13"/>
        <v/>
      </c>
      <c r="BB37" s="112" t="str">
        <f t="shared" si="13"/>
        <v/>
      </c>
      <c r="BC37" s="112" t="str">
        <f t="shared" si="13"/>
        <v/>
      </c>
      <c r="BD37" s="112" t="str">
        <f t="shared" si="13"/>
        <v/>
      </c>
      <c r="BE37" s="112" t="str">
        <f t="shared" si="13"/>
        <v/>
      </c>
      <c r="BF37" s="112" t="str">
        <f t="shared" si="13"/>
        <v/>
      </c>
      <c r="BG37" s="112" t="str">
        <f t="shared" si="17"/>
        <v/>
      </c>
      <c r="BH37" s="112" t="str">
        <f t="shared" si="17"/>
        <v/>
      </c>
      <c r="BI37" s="112" t="str">
        <f t="shared" si="17"/>
        <v/>
      </c>
      <c r="BJ37" s="112" t="str">
        <f t="shared" si="17"/>
        <v/>
      </c>
      <c r="BK37" s="112" t="str">
        <f t="shared" si="17"/>
        <v/>
      </c>
      <c r="BL37" s="112" t="str">
        <f t="shared" si="17"/>
        <v/>
      </c>
      <c r="BM37" s="112" t="str">
        <f t="shared" si="17"/>
        <v/>
      </c>
      <c r="BN37" s="112" t="str">
        <f t="shared" si="17"/>
        <v/>
      </c>
      <c r="BO37" s="112" t="str">
        <f t="shared" si="17"/>
        <v/>
      </c>
      <c r="BP37" s="112" t="str">
        <f t="shared" si="17"/>
        <v/>
      </c>
      <c r="BQ37" s="112" t="str">
        <f t="shared" si="17"/>
        <v/>
      </c>
      <c r="BR37" s="112" t="str">
        <f t="shared" si="17"/>
        <v/>
      </c>
      <c r="BS37" s="112" t="str">
        <f t="shared" si="17"/>
        <v/>
      </c>
      <c r="BT37" s="112" t="str">
        <f t="shared" si="17"/>
        <v/>
      </c>
      <c r="BU37" s="112" t="str">
        <f t="shared" si="14"/>
        <v/>
      </c>
      <c r="BV37" s="112" t="str">
        <f t="shared" si="14"/>
        <v/>
      </c>
      <c r="BW37" s="112" t="str">
        <f t="shared" si="10"/>
        <v/>
      </c>
      <c r="BX37" s="113" t="str">
        <f t="shared" si="2"/>
        <v/>
      </c>
      <c r="BY37" s="92" t="str">
        <f t="shared" si="2"/>
        <v/>
      </c>
      <c r="CA37" s="261"/>
      <c r="CB37" s="84" t="s">
        <v>207</v>
      </c>
      <c r="CC37" s="111" t="str">
        <f t="shared" si="15"/>
        <v/>
      </c>
      <c r="CD37" s="112" t="str">
        <f t="shared" si="15"/>
        <v/>
      </c>
      <c r="CE37" s="112" t="str">
        <f t="shared" si="15"/>
        <v/>
      </c>
      <c r="CF37" s="112" t="str">
        <f t="shared" si="15"/>
        <v/>
      </c>
      <c r="CG37" s="112" t="str">
        <f t="shared" si="15"/>
        <v/>
      </c>
      <c r="CH37" s="112" t="str">
        <f t="shared" si="15"/>
        <v/>
      </c>
      <c r="CI37" s="112" t="str">
        <f t="shared" si="15"/>
        <v/>
      </c>
      <c r="CJ37" s="112" t="str">
        <f t="shared" si="15"/>
        <v/>
      </c>
      <c r="CK37" s="112" t="str">
        <f t="shared" si="15"/>
        <v/>
      </c>
      <c r="CL37" s="112" t="str">
        <f t="shared" si="15"/>
        <v/>
      </c>
      <c r="CM37" s="112" t="str">
        <f t="shared" si="15"/>
        <v/>
      </c>
      <c r="CN37" s="112" t="str">
        <f t="shared" si="15"/>
        <v/>
      </c>
      <c r="CO37" s="112" t="str">
        <f t="shared" si="15"/>
        <v/>
      </c>
      <c r="CP37" s="112" t="str">
        <f t="shared" si="15"/>
        <v/>
      </c>
      <c r="CQ37" s="112" t="str">
        <f t="shared" si="15"/>
        <v/>
      </c>
      <c r="CR37" s="112" t="str">
        <f t="shared" si="15"/>
        <v/>
      </c>
      <c r="CS37" s="112" t="str">
        <f t="shared" si="18"/>
        <v/>
      </c>
      <c r="CT37" s="112" t="str">
        <f t="shared" si="18"/>
        <v/>
      </c>
      <c r="CU37" s="112" t="str">
        <f t="shared" si="18"/>
        <v/>
      </c>
      <c r="CV37" s="112" t="str">
        <f t="shared" si="18"/>
        <v/>
      </c>
      <c r="CW37" s="112" t="str">
        <f t="shared" si="18"/>
        <v/>
      </c>
      <c r="CX37" s="112" t="str">
        <f t="shared" si="18"/>
        <v/>
      </c>
      <c r="CY37" s="112" t="str">
        <f t="shared" si="18"/>
        <v/>
      </c>
      <c r="CZ37" s="112" t="str">
        <f t="shared" si="18"/>
        <v/>
      </c>
      <c r="DA37" s="112" t="str">
        <f t="shared" si="18"/>
        <v/>
      </c>
      <c r="DB37" s="112" t="str">
        <f t="shared" si="18"/>
        <v/>
      </c>
      <c r="DC37" s="112" t="str">
        <f t="shared" si="18"/>
        <v/>
      </c>
      <c r="DD37" s="112" t="str">
        <f t="shared" si="18"/>
        <v/>
      </c>
      <c r="DE37" s="112" t="str">
        <f t="shared" si="18"/>
        <v/>
      </c>
      <c r="DF37" s="112" t="str">
        <f t="shared" si="18"/>
        <v/>
      </c>
      <c r="DG37" s="112" t="str">
        <f t="shared" si="16"/>
        <v/>
      </c>
      <c r="DH37" s="112" t="str">
        <f t="shared" si="16"/>
        <v/>
      </c>
      <c r="DI37" s="112" t="str">
        <f t="shared" si="12"/>
        <v/>
      </c>
      <c r="DJ37" s="113" t="str">
        <f t="shared" si="5"/>
        <v/>
      </c>
      <c r="DK37" s="92" t="str">
        <f t="shared" si="5"/>
        <v/>
      </c>
    </row>
    <row r="38" spans="1:115" x14ac:dyDescent="0.2">
      <c r="C38" s="260"/>
      <c r="D38" s="114" t="s">
        <v>7</v>
      </c>
      <c r="E38" s="88">
        <f>SUM(E4:E37)</f>
        <v>0</v>
      </c>
      <c r="F38" s="88">
        <f t="shared" ref="F38:AM38" si="19">SUM(F4:F37)</f>
        <v>0</v>
      </c>
      <c r="G38" s="88">
        <f t="shared" si="19"/>
        <v>0</v>
      </c>
      <c r="H38" s="88">
        <f t="shared" si="19"/>
        <v>0</v>
      </c>
      <c r="I38" s="88">
        <f t="shared" si="19"/>
        <v>0</v>
      </c>
      <c r="J38" s="88">
        <f t="shared" si="19"/>
        <v>0</v>
      </c>
      <c r="K38" s="88">
        <f t="shared" si="19"/>
        <v>0</v>
      </c>
      <c r="L38" s="88">
        <f t="shared" si="19"/>
        <v>0</v>
      </c>
      <c r="M38" s="88">
        <f t="shared" si="19"/>
        <v>0</v>
      </c>
      <c r="N38" s="88">
        <f t="shared" si="19"/>
        <v>0</v>
      </c>
      <c r="O38" s="88">
        <f t="shared" si="19"/>
        <v>0</v>
      </c>
      <c r="P38" s="88">
        <f t="shared" si="19"/>
        <v>0</v>
      </c>
      <c r="Q38" s="88">
        <f t="shared" si="19"/>
        <v>0</v>
      </c>
      <c r="R38" s="88">
        <f t="shared" si="19"/>
        <v>0</v>
      </c>
      <c r="S38" s="88">
        <f t="shared" si="19"/>
        <v>0</v>
      </c>
      <c r="T38" s="88">
        <f t="shared" si="19"/>
        <v>0</v>
      </c>
      <c r="U38" s="88">
        <f t="shared" si="19"/>
        <v>0</v>
      </c>
      <c r="V38" s="88">
        <f t="shared" si="19"/>
        <v>0</v>
      </c>
      <c r="W38" s="88">
        <f t="shared" si="19"/>
        <v>0</v>
      </c>
      <c r="X38" s="88">
        <f t="shared" si="19"/>
        <v>0</v>
      </c>
      <c r="Y38" s="88">
        <f t="shared" si="19"/>
        <v>0</v>
      </c>
      <c r="Z38" s="88">
        <f t="shared" si="19"/>
        <v>0</v>
      </c>
      <c r="AA38" s="88">
        <f t="shared" si="19"/>
        <v>0</v>
      </c>
      <c r="AB38" s="88">
        <f t="shared" si="19"/>
        <v>0</v>
      </c>
      <c r="AC38" s="88">
        <f t="shared" si="19"/>
        <v>0</v>
      </c>
      <c r="AD38" s="88">
        <f t="shared" si="19"/>
        <v>0</v>
      </c>
      <c r="AE38" s="88">
        <f t="shared" si="19"/>
        <v>0</v>
      </c>
      <c r="AF38" s="88">
        <f t="shared" si="19"/>
        <v>0</v>
      </c>
      <c r="AG38" s="88">
        <f t="shared" si="19"/>
        <v>0</v>
      </c>
      <c r="AH38" s="88">
        <f t="shared" si="19"/>
        <v>0</v>
      </c>
      <c r="AI38" s="88">
        <f t="shared" si="19"/>
        <v>0</v>
      </c>
      <c r="AJ38" s="88">
        <f t="shared" si="19"/>
        <v>0</v>
      </c>
      <c r="AK38" s="88">
        <f t="shared" si="19"/>
        <v>0</v>
      </c>
      <c r="AL38" s="88">
        <f t="shared" si="19"/>
        <v>0</v>
      </c>
      <c r="AM38" s="88">
        <f t="shared" si="19"/>
        <v>0</v>
      </c>
      <c r="AO38" s="261"/>
      <c r="AP38" s="114" t="s">
        <v>7</v>
      </c>
      <c r="AQ38" s="92" t="str">
        <f t="shared" si="13"/>
        <v/>
      </c>
      <c r="AR38" s="92" t="str">
        <f t="shared" si="13"/>
        <v/>
      </c>
      <c r="AS38" s="92" t="str">
        <f t="shared" si="13"/>
        <v/>
      </c>
      <c r="AT38" s="92" t="str">
        <f t="shared" si="13"/>
        <v/>
      </c>
      <c r="AU38" s="92" t="str">
        <f t="shared" si="13"/>
        <v/>
      </c>
      <c r="AV38" s="92" t="str">
        <f t="shared" si="13"/>
        <v/>
      </c>
      <c r="AW38" s="92" t="str">
        <f t="shared" si="13"/>
        <v/>
      </c>
      <c r="AX38" s="92" t="str">
        <f t="shared" si="13"/>
        <v/>
      </c>
      <c r="AY38" s="92" t="str">
        <f t="shared" si="13"/>
        <v/>
      </c>
      <c r="AZ38" s="92" t="str">
        <f t="shared" si="13"/>
        <v/>
      </c>
      <c r="BA38" s="92" t="str">
        <f t="shared" si="13"/>
        <v/>
      </c>
      <c r="BB38" s="92" t="str">
        <f t="shared" si="13"/>
        <v/>
      </c>
      <c r="BC38" s="92" t="str">
        <f t="shared" si="13"/>
        <v/>
      </c>
      <c r="BD38" s="92" t="str">
        <f t="shared" si="13"/>
        <v/>
      </c>
      <c r="BE38" s="92" t="str">
        <f t="shared" si="13"/>
        <v/>
      </c>
      <c r="BF38" s="92" t="str">
        <f t="shared" si="13"/>
        <v/>
      </c>
      <c r="BG38" s="92" t="str">
        <f t="shared" si="17"/>
        <v/>
      </c>
      <c r="BH38" s="92" t="str">
        <f t="shared" si="17"/>
        <v/>
      </c>
      <c r="BI38" s="92" t="str">
        <f t="shared" si="17"/>
        <v/>
      </c>
      <c r="BJ38" s="92" t="str">
        <f t="shared" si="17"/>
        <v/>
      </c>
      <c r="BK38" s="92" t="str">
        <f t="shared" si="17"/>
        <v/>
      </c>
      <c r="BL38" s="92" t="str">
        <f t="shared" si="17"/>
        <v/>
      </c>
      <c r="BM38" s="92" t="str">
        <f t="shared" si="17"/>
        <v/>
      </c>
      <c r="BN38" s="92" t="str">
        <f t="shared" si="17"/>
        <v/>
      </c>
      <c r="BO38" s="92" t="str">
        <f t="shared" si="17"/>
        <v/>
      </c>
      <c r="BP38" s="92" t="str">
        <f t="shared" si="17"/>
        <v/>
      </c>
      <c r="BQ38" s="92" t="str">
        <f t="shared" si="17"/>
        <v/>
      </c>
      <c r="BR38" s="92" t="str">
        <f t="shared" si="17"/>
        <v/>
      </c>
      <c r="BS38" s="92" t="str">
        <f t="shared" si="17"/>
        <v/>
      </c>
      <c r="BT38" s="92" t="str">
        <f t="shared" si="17"/>
        <v/>
      </c>
      <c r="BU38" s="92" t="str">
        <f t="shared" si="14"/>
        <v/>
      </c>
      <c r="BV38" s="92" t="str">
        <f t="shared" si="14"/>
        <v/>
      </c>
      <c r="BW38" s="92" t="str">
        <f t="shared" si="10"/>
        <v/>
      </c>
      <c r="BX38" s="92" t="str">
        <f t="shared" si="2"/>
        <v/>
      </c>
      <c r="BY38" s="92" t="str">
        <f t="shared" si="2"/>
        <v/>
      </c>
      <c r="CA38" s="261"/>
      <c r="CB38" s="114" t="s">
        <v>7</v>
      </c>
      <c r="CC38" s="92" t="str">
        <f t="shared" si="15"/>
        <v/>
      </c>
      <c r="CD38" s="92" t="str">
        <f t="shared" si="15"/>
        <v/>
      </c>
      <c r="CE38" s="92" t="str">
        <f t="shared" si="15"/>
        <v/>
      </c>
      <c r="CF38" s="92" t="str">
        <f t="shared" si="15"/>
        <v/>
      </c>
      <c r="CG38" s="92" t="str">
        <f t="shared" si="15"/>
        <v/>
      </c>
      <c r="CH38" s="92" t="str">
        <f t="shared" si="15"/>
        <v/>
      </c>
      <c r="CI38" s="92" t="str">
        <f t="shared" si="15"/>
        <v/>
      </c>
      <c r="CJ38" s="92" t="str">
        <f t="shared" si="15"/>
        <v/>
      </c>
      <c r="CK38" s="92" t="str">
        <f t="shared" si="15"/>
        <v/>
      </c>
      <c r="CL38" s="92" t="str">
        <f t="shared" si="15"/>
        <v/>
      </c>
      <c r="CM38" s="92" t="str">
        <f t="shared" si="15"/>
        <v/>
      </c>
      <c r="CN38" s="92" t="str">
        <f t="shared" si="15"/>
        <v/>
      </c>
      <c r="CO38" s="92" t="str">
        <f t="shared" si="15"/>
        <v/>
      </c>
      <c r="CP38" s="92" t="str">
        <f t="shared" si="15"/>
        <v/>
      </c>
      <c r="CQ38" s="92" t="str">
        <f t="shared" si="15"/>
        <v/>
      </c>
      <c r="CR38" s="92" t="str">
        <f t="shared" si="15"/>
        <v/>
      </c>
      <c r="CS38" s="92" t="str">
        <f t="shared" si="18"/>
        <v/>
      </c>
      <c r="CT38" s="92" t="str">
        <f t="shared" si="18"/>
        <v/>
      </c>
      <c r="CU38" s="92" t="str">
        <f t="shared" si="18"/>
        <v/>
      </c>
      <c r="CV38" s="92" t="str">
        <f t="shared" si="18"/>
        <v/>
      </c>
      <c r="CW38" s="92" t="str">
        <f t="shared" si="18"/>
        <v/>
      </c>
      <c r="CX38" s="92" t="str">
        <f t="shared" si="18"/>
        <v/>
      </c>
      <c r="CY38" s="92" t="str">
        <f t="shared" si="18"/>
        <v/>
      </c>
      <c r="CZ38" s="92" t="str">
        <f t="shared" si="18"/>
        <v/>
      </c>
      <c r="DA38" s="92" t="str">
        <f t="shared" si="18"/>
        <v/>
      </c>
      <c r="DB38" s="92" t="str">
        <f t="shared" si="18"/>
        <v/>
      </c>
      <c r="DC38" s="92" t="str">
        <f t="shared" si="18"/>
        <v/>
      </c>
      <c r="DD38" s="92" t="str">
        <f t="shared" si="18"/>
        <v/>
      </c>
      <c r="DE38" s="92" t="str">
        <f t="shared" si="18"/>
        <v/>
      </c>
      <c r="DF38" s="92" t="str">
        <f t="shared" si="18"/>
        <v/>
      </c>
      <c r="DG38" s="92" t="str">
        <f t="shared" si="16"/>
        <v/>
      </c>
      <c r="DH38" s="92" t="str">
        <f t="shared" si="16"/>
        <v/>
      </c>
      <c r="DI38" s="92" t="str">
        <f t="shared" si="12"/>
        <v/>
      </c>
      <c r="DJ38" s="92" t="str">
        <f t="shared" si="5"/>
        <v/>
      </c>
      <c r="DK38" s="92" t="str">
        <f t="shared" si="5"/>
        <v/>
      </c>
    </row>
    <row r="41" spans="1:115" ht="12.75" x14ac:dyDescent="0.2">
      <c r="A41" s="115"/>
      <c r="B41" s="115"/>
      <c r="C41" s="115"/>
      <c r="D41" s="11" t="s">
        <v>225</v>
      </c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</row>
    <row r="42" spans="1:115" x14ac:dyDescent="0.2">
      <c r="E42" s="259" t="s">
        <v>211</v>
      </c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</row>
    <row r="43" spans="1:115" ht="45.75" thickBot="1" x14ac:dyDescent="0.25">
      <c r="E43" s="82" t="s">
        <v>163</v>
      </c>
      <c r="F43" s="82" t="s">
        <v>166</v>
      </c>
      <c r="G43" s="82" t="s">
        <v>169</v>
      </c>
      <c r="H43" s="82" t="s">
        <v>172</v>
      </c>
      <c r="I43" s="82" t="s">
        <v>175</v>
      </c>
      <c r="J43" s="82" t="s">
        <v>178</v>
      </c>
      <c r="K43" s="82" t="s">
        <v>181</v>
      </c>
      <c r="L43" s="82" t="s">
        <v>182</v>
      </c>
      <c r="M43" s="82" t="s">
        <v>183</v>
      </c>
      <c r="N43" s="82" t="s">
        <v>184</v>
      </c>
      <c r="O43" s="82" t="s">
        <v>186</v>
      </c>
      <c r="P43" s="82" t="s">
        <v>187</v>
      </c>
      <c r="Q43" s="82" t="s">
        <v>188</v>
      </c>
      <c r="R43" s="82" t="s">
        <v>189</v>
      </c>
      <c r="S43" s="82" t="s">
        <v>190</v>
      </c>
      <c r="T43" s="82" t="s">
        <v>191</v>
      </c>
      <c r="U43" s="82" t="s">
        <v>192</v>
      </c>
      <c r="V43" s="82" t="s">
        <v>193</v>
      </c>
      <c r="W43" s="82" t="s">
        <v>180</v>
      </c>
      <c r="X43" s="82" t="s">
        <v>195</v>
      </c>
      <c r="Y43" s="82" t="s">
        <v>194</v>
      </c>
      <c r="Z43" s="82" t="s">
        <v>196</v>
      </c>
      <c r="AA43" s="82" t="s">
        <v>197</v>
      </c>
      <c r="AB43" s="82" t="s">
        <v>161</v>
      </c>
      <c r="AC43" s="82" t="s">
        <v>198</v>
      </c>
      <c r="AD43" s="82" t="s">
        <v>199</v>
      </c>
      <c r="AE43" s="82" t="s">
        <v>200</v>
      </c>
      <c r="AF43" s="82" t="s">
        <v>201</v>
      </c>
      <c r="AG43" s="82" t="s">
        <v>202</v>
      </c>
      <c r="AH43" s="82" t="s">
        <v>203</v>
      </c>
      <c r="AI43" s="82" t="s">
        <v>204</v>
      </c>
      <c r="AJ43" s="82" t="s">
        <v>205</v>
      </c>
      <c r="AK43" s="82" t="s">
        <v>206</v>
      </c>
      <c r="AL43" s="82" t="s">
        <v>207</v>
      </c>
      <c r="AM43" s="83" t="s">
        <v>7</v>
      </c>
    </row>
    <row r="44" spans="1:115" x14ac:dyDescent="0.2">
      <c r="A44" s="80" t="s">
        <v>215</v>
      </c>
      <c r="C44" s="260" t="s">
        <v>213</v>
      </c>
      <c r="D44" s="84" t="s">
        <v>163</v>
      </c>
      <c r="E44" s="85">
        <f t="shared" ref="E44:N53" si="20">IFERROR(VLOOKUP(CONCATENATE($A$51,"-",$A$48, "-", $D44, "-", E$43, "-", $A$45),model_trn_trips,7,FALSE),0)</f>
        <v>0</v>
      </c>
      <c r="F44" s="86">
        <f t="shared" si="20"/>
        <v>0</v>
      </c>
      <c r="G44" s="86">
        <f t="shared" si="20"/>
        <v>0</v>
      </c>
      <c r="H44" s="86">
        <f t="shared" si="20"/>
        <v>0</v>
      </c>
      <c r="I44" s="86">
        <f t="shared" si="20"/>
        <v>0</v>
      </c>
      <c r="J44" s="86">
        <f t="shared" si="20"/>
        <v>0</v>
      </c>
      <c r="K44" s="86">
        <f t="shared" si="20"/>
        <v>0</v>
      </c>
      <c r="L44" s="86">
        <f t="shared" si="20"/>
        <v>0</v>
      </c>
      <c r="M44" s="86">
        <f t="shared" si="20"/>
        <v>0</v>
      </c>
      <c r="N44" s="86">
        <f t="shared" si="20"/>
        <v>0</v>
      </c>
      <c r="O44" s="86">
        <f t="shared" ref="O44:X53" si="21">IFERROR(VLOOKUP(CONCATENATE($A$51,"-",$A$48, "-", $D44, "-", O$43, "-", $A$45),model_trn_trips,7,FALSE),0)</f>
        <v>0</v>
      </c>
      <c r="P44" s="86">
        <f t="shared" si="21"/>
        <v>0</v>
      </c>
      <c r="Q44" s="86">
        <f t="shared" si="21"/>
        <v>0</v>
      </c>
      <c r="R44" s="86">
        <f t="shared" si="21"/>
        <v>0</v>
      </c>
      <c r="S44" s="86">
        <f t="shared" si="21"/>
        <v>0</v>
      </c>
      <c r="T44" s="86">
        <f t="shared" si="21"/>
        <v>0</v>
      </c>
      <c r="U44" s="86">
        <f t="shared" si="21"/>
        <v>0</v>
      </c>
      <c r="V44" s="86">
        <f t="shared" si="21"/>
        <v>0</v>
      </c>
      <c r="W44" s="86">
        <f t="shared" si="21"/>
        <v>0</v>
      </c>
      <c r="X44" s="86">
        <f t="shared" si="21"/>
        <v>0</v>
      </c>
      <c r="Y44" s="86">
        <f t="shared" ref="Y44:AL53" si="22">IFERROR(VLOOKUP(CONCATENATE($A$51,"-",$A$48, "-", $D44, "-", Y$43, "-", $A$45),model_trn_trips,7,FALSE),0)</f>
        <v>0</v>
      </c>
      <c r="Z44" s="86">
        <f t="shared" si="22"/>
        <v>0</v>
      </c>
      <c r="AA44" s="86">
        <f t="shared" si="22"/>
        <v>0</v>
      </c>
      <c r="AB44" s="86">
        <f t="shared" si="22"/>
        <v>0</v>
      </c>
      <c r="AC44" s="86">
        <f t="shared" si="22"/>
        <v>0</v>
      </c>
      <c r="AD44" s="86">
        <f t="shared" si="22"/>
        <v>0</v>
      </c>
      <c r="AE44" s="86">
        <f t="shared" si="22"/>
        <v>0</v>
      </c>
      <c r="AF44" s="86">
        <f t="shared" si="22"/>
        <v>0</v>
      </c>
      <c r="AG44" s="86">
        <f t="shared" si="22"/>
        <v>0</v>
      </c>
      <c r="AH44" s="86">
        <f t="shared" si="22"/>
        <v>0</v>
      </c>
      <c r="AI44" s="86">
        <f t="shared" si="22"/>
        <v>0</v>
      </c>
      <c r="AJ44" s="86">
        <f t="shared" si="22"/>
        <v>0</v>
      </c>
      <c r="AK44" s="86">
        <f t="shared" si="22"/>
        <v>0</v>
      </c>
      <c r="AL44" s="87">
        <f t="shared" si="22"/>
        <v>0</v>
      </c>
      <c r="AM44" s="88">
        <f t="shared" ref="AM44:AM77" si="23">SUM(E44:AL44)</f>
        <v>0</v>
      </c>
    </row>
    <row r="45" spans="1:115" x14ac:dyDescent="0.2">
      <c r="A45" s="103" t="str">
        <f>VLOOKUP(A9,simple_purposes,2,FALSE)</f>
        <v>Total</v>
      </c>
      <c r="C45" s="260"/>
      <c r="D45" s="84" t="s">
        <v>166</v>
      </c>
      <c r="E45" s="95">
        <f t="shared" si="20"/>
        <v>0</v>
      </c>
      <c r="F45" s="96">
        <f t="shared" si="20"/>
        <v>0</v>
      </c>
      <c r="G45" s="96">
        <f t="shared" si="20"/>
        <v>0</v>
      </c>
      <c r="H45" s="96">
        <f t="shared" si="20"/>
        <v>0</v>
      </c>
      <c r="I45" s="96">
        <f t="shared" si="20"/>
        <v>0</v>
      </c>
      <c r="J45" s="96">
        <f t="shared" si="20"/>
        <v>0</v>
      </c>
      <c r="K45" s="96">
        <f t="shared" si="20"/>
        <v>0</v>
      </c>
      <c r="L45" s="96">
        <f t="shared" si="20"/>
        <v>0</v>
      </c>
      <c r="M45" s="96">
        <f t="shared" si="20"/>
        <v>0</v>
      </c>
      <c r="N45" s="96">
        <f t="shared" si="20"/>
        <v>0</v>
      </c>
      <c r="O45" s="96">
        <f t="shared" si="21"/>
        <v>0</v>
      </c>
      <c r="P45" s="96">
        <f t="shared" si="21"/>
        <v>0</v>
      </c>
      <c r="Q45" s="96">
        <f t="shared" si="21"/>
        <v>0</v>
      </c>
      <c r="R45" s="96">
        <f t="shared" si="21"/>
        <v>0</v>
      </c>
      <c r="S45" s="96">
        <f t="shared" si="21"/>
        <v>0</v>
      </c>
      <c r="T45" s="96">
        <f t="shared" si="21"/>
        <v>0</v>
      </c>
      <c r="U45" s="96">
        <f t="shared" si="21"/>
        <v>0</v>
      </c>
      <c r="V45" s="96">
        <f t="shared" si="21"/>
        <v>0</v>
      </c>
      <c r="W45" s="96">
        <f t="shared" si="21"/>
        <v>0</v>
      </c>
      <c r="X45" s="96">
        <f t="shared" si="21"/>
        <v>0</v>
      </c>
      <c r="Y45" s="96">
        <f t="shared" si="22"/>
        <v>0</v>
      </c>
      <c r="Z45" s="96">
        <f t="shared" si="22"/>
        <v>0</v>
      </c>
      <c r="AA45" s="96">
        <f t="shared" si="22"/>
        <v>0</v>
      </c>
      <c r="AB45" s="96">
        <f t="shared" si="22"/>
        <v>0</v>
      </c>
      <c r="AC45" s="96">
        <f t="shared" si="22"/>
        <v>0</v>
      </c>
      <c r="AD45" s="96">
        <f t="shared" si="22"/>
        <v>0</v>
      </c>
      <c r="AE45" s="96">
        <f t="shared" si="22"/>
        <v>0</v>
      </c>
      <c r="AF45" s="96">
        <f t="shared" si="22"/>
        <v>0</v>
      </c>
      <c r="AG45" s="96">
        <f t="shared" si="22"/>
        <v>0</v>
      </c>
      <c r="AH45" s="96">
        <f t="shared" si="22"/>
        <v>0</v>
      </c>
      <c r="AI45" s="96">
        <f t="shared" si="22"/>
        <v>0</v>
      </c>
      <c r="AJ45" s="96">
        <f t="shared" si="22"/>
        <v>0</v>
      </c>
      <c r="AK45" s="96">
        <f t="shared" si="22"/>
        <v>0</v>
      </c>
      <c r="AL45" s="97">
        <f t="shared" si="22"/>
        <v>0</v>
      </c>
      <c r="AM45" s="88">
        <f t="shared" si="23"/>
        <v>0</v>
      </c>
    </row>
    <row r="46" spans="1:115" x14ac:dyDescent="0.2">
      <c r="C46" s="260"/>
      <c r="D46" s="84" t="s">
        <v>169</v>
      </c>
      <c r="E46" s="95">
        <f t="shared" si="20"/>
        <v>0</v>
      </c>
      <c r="F46" s="96">
        <f t="shared" si="20"/>
        <v>0</v>
      </c>
      <c r="G46" s="96">
        <f t="shared" si="20"/>
        <v>0</v>
      </c>
      <c r="H46" s="96">
        <f t="shared" si="20"/>
        <v>0</v>
      </c>
      <c r="I46" s="96">
        <f t="shared" si="20"/>
        <v>0</v>
      </c>
      <c r="J46" s="96">
        <f t="shared" si="20"/>
        <v>0</v>
      </c>
      <c r="K46" s="96">
        <f t="shared" si="20"/>
        <v>0</v>
      </c>
      <c r="L46" s="96">
        <f t="shared" si="20"/>
        <v>0</v>
      </c>
      <c r="M46" s="96">
        <f t="shared" si="20"/>
        <v>0</v>
      </c>
      <c r="N46" s="96">
        <f t="shared" si="20"/>
        <v>0</v>
      </c>
      <c r="O46" s="96">
        <f t="shared" si="21"/>
        <v>0</v>
      </c>
      <c r="P46" s="96">
        <f t="shared" si="21"/>
        <v>0</v>
      </c>
      <c r="Q46" s="96">
        <f t="shared" si="21"/>
        <v>0</v>
      </c>
      <c r="R46" s="96">
        <f t="shared" si="21"/>
        <v>0</v>
      </c>
      <c r="S46" s="96">
        <f t="shared" si="21"/>
        <v>0</v>
      </c>
      <c r="T46" s="96">
        <f t="shared" si="21"/>
        <v>0</v>
      </c>
      <c r="U46" s="96">
        <f t="shared" si="21"/>
        <v>0</v>
      </c>
      <c r="V46" s="96">
        <f t="shared" si="21"/>
        <v>0</v>
      </c>
      <c r="W46" s="96">
        <f t="shared" si="21"/>
        <v>0</v>
      </c>
      <c r="X46" s="96">
        <f t="shared" si="21"/>
        <v>0</v>
      </c>
      <c r="Y46" s="96">
        <f t="shared" si="22"/>
        <v>0</v>
      </c>
      <c r="Z46" s="96">
        <f t="shared" si="22"/>
        <v>0</v>
      </c>
      <c r="AA46" s="96">
        <f t="shared" si="22"/>
        <v>0</v>
      </c>
      <c r="AB46" s="96">
        <f t="shared" si="22"/>
        <v>0</v>
      </c>
      <c r="AC46" s="96">
        <f t="shared" si="22"/>
        <v>0</v>
      </c>
      <c r="AD46" s="96">
        <f t="shared" si="22"/>
        <v>0</v>
      </c>
      <c r="AE46" s="96">
        <f t="shared" si="22"/>
        <v>0</v>
      </c>
      <c r="AF46" s="96">
        <f t="shared" si="22"/>
        <v>0</v>
      </c>
      <c r="AG46" s="96">
        <f t="shared" si="22"/>
        <v>0</v>
      </c>
      <c r="AH46" s="96">
        <f t="shared" si="22"/>
        <v>0</v>
      </c>
      <c r="AI46" s="96">
        <f t="shared" si="22"/>
        <v>0</v>
      </c>
      <c r="AJ46" s="96">
        <f t="shared" si="22"/>
        <v>0</v>
      </c>
      <c r="AK46" s="96">
        <f t="shared" si="22"/>
        <v>0</v>
      </c>
      <c r="AL46" s="97">
        <f t="shared" si="22"/>
        <v>0</v>
      </c>
      <c r="AM46" s="88">
        <f t="shared" si="23"/>
        <v>0</v>
      </c>
    </row>
    <row r="47" spans="1:115" x14ac:dyDescent="0.2">
      <c r="A47" s="80" t="s">
        <v>226</v>
      </c>
      <c r="C47" s="260"/>
      <c r="D47" s="84" t="s">
        <v>172</v>
      </c>
      <c r="E47" s="95">
        <f t="shared" si="20"/>
        <v>0</v>
      </c>
      <c r="F47" s="96">
        <f t="shared" si="20"/>
        <v>0</v>
      </c>
      <c r="G47" s="96">
        <f t="shared" si="20"/>
        <v>0</v>
      </c>
      <c r="H47" s="96">
        <f t="shared" si="20"/>
        <v>0</v>
      </c>
      <c r="I47" s="96">
        <f t="shared" si="20"/>
        <v>0</v>
      </c>
      <c r="J47" s="96">
        <f t="shared" si="20"/>
        <v>0</v>
      </c>
      <c r="K47" s="96">
        <f t="shared" si="20"/>
        <v>0</v>
      </c>
      <c r="L47" s="96">
        <f t="shared" si="20"/>
        <v>0</v>
      </c>
      <c r="M47" s="96">
        <f t="shared" si="20"/>
        <v>0</v>
      </c>
      <c r="N47" s="96">
        <f t="shared" si="20"/>
        <v>0</v>
      </c>
      <c r="O47" s="96">
        <f t="shared" si="21"/>
        <v>0</v>
      </c>
      <c r="P47" s="96">
        <f t="shared" si="21"/>
        <v>0</v>
      </c>
      <c r="Q47" s="96">
        <f t="shared" si="21"/>
        <v>0</v>
      </c>
      <c r="R47" s="96">
        <f t="shared" si="21"/>
        <v>0</v>
      </c>
      <c r="S47" s="96">
        <f t="shared" si="21"/>
        <v>0</v>
      </c>
      <c r="T47" s="96">
        <f t="shared" si="21"/>
        <v>0</v>
      </c>
      <c r="U47" s="96">
        <f t="shared" si="21"/>
        <v>0</v>
      </c>
      <c r="V47" s="96">
        <f t="shared" si="21"/>
        <v>0</v>
      </c>
      <c r="W47" s="96">
        <f t="shared" si="21"/>
        <v>0</v>
      </c>
      <c r="X47" s="96">
        <f t="shared" si="21"/>
        <v>0</v>
      </c>
      <c r="Y47" s="96">
        <f t="shared" si="22"/>
        <v>0</v>
      </c>
      <c r="Z47" s="96">
        <f t="shared" si="22"/>
        <v>0</v>
      </c>
      <c r="AA47" s="96">
        <f t="shared" si="22"/>
        <v>0</v>
      </c>
      <c r="AB47" s="96">
        <f t="shared" si="22"/>
        <v>0</v>
      </c>
      <c r="AC47" s="96">
        <f t="shared" si="22"/>
        <v>0</v>
      </c>
      <c r="AD47" s="96">
        <f t="shared" si="22"/>
        <v>0</v>
      </c>
      <c r="AE47" s="96">
        <f t="shared" si="22"/>
        <v>0</v>
      </c>
      <c r="AF47" s="96">
        <f t="shared" si="22"/>
        <v>0</v>
      </c>
      <c r="AG47" s="96">
        <f t="shared" si="22"/>
        <v>0</v>
      </c>
      <c r="AH47" s="96">
        <f t="shared" si="22"/>
        <v>0</v>
      </c>
      <c r="AI47" s="96">
        <f t="shared" si="22"/>
        <v>0</v>
      </c>
      <c r="AJ47" s="96">
        <f t="shared" si="22"/>
        <v>0</v>
      </c>
      <c r="AK47" s="96">
        <f t="shared" si="22"/>
        <v>0</v>
      </c>
      <c r="AL47" s="97">
        <f t="shared" si="22"/>
        <v>0</v>
      </c>
      <c r="AM47" s="88">
        <f t="shared" si="23"/>
        <v>0</v>
      </c>
    </row>
    <row r="48" spans="1:115" x14ac:dyDescent="0.2">
      <c r="A48" s="103" t="str">
        <f>VLOOKUP(A12,trn_modes,2,FALSE)</f>
        <v>CommRail</v>
      </c>
      <c r="C48" s="260"/>
      <c r="D48" s="84" t="s">
        <v>175</v>
      </c>
      <c r="E48" s="95">
        <f t="shared" si="20"/>
        <v>0</v>
      </c>
      <c r="F48" s="96">
        <f t="shared" si="20"/>
        <v>0</v>
      </c>
      <c r="G48" s="96">
        <f t="shared" si="20"/>
        <v>0</v>
      </c>
      <c r="H48" s="96">
        <f t="shared" si="20"/>
        <v>0</v>
      </c>
      <c r="I48" s="96">
        <f t="shared" si="20"/>
        <v>0</v>
      </c>
      <c r="J48" s="96">
        <f t="shared" si="20"/>
        <v>0</v>
      </c>
      <c r="K48" s="96">
        <f t="shared" si="20"/>
        <v>0</v>
      </c>
      <c r="L48" s="96">
        <f t="shared" si="20"/>
        <v>0</v>
      </c>
      <c r="M48" s="96">
        <f t="shared" si="20"/>
        <v>0</v>
      </c>
      <c r="N48" s="96">
        <f t="shared" si="20"/>
        <v>0</v>
      </c>
      <c r="O48" s="96">
        <f t="shared" si="21"/>
        <v>0</v>
      </c>
      <c r="P48" s="96">
        <f t="shared" si="21"/>
        <v>0</v>
      </c>
      <c r="Q48" s="96">
        <f t="shared" si="21"/>
        <v>0</v>
      </c>
      <c r="R48" s="96">
        <f t="shared" si="21"/>
        <v>0</v>
      </c>
      <c r="S48" s="96">
        <f t="shared" si="21"/>
        <v>0</v>
      </c>
      <c r="T48" s="96">
        <f t="shared" si="21"/>
        <v>0</v>
      </c>
      <c r="U48" s="96">
        <f t="shared" si="21"/>
        <v>0</v>
      </c>
      <c r="V48" s="96">
        <f t="shared" si="21"/>
        <v>0</v>
      </c>
      <c r="W48" s="96">
        <f t="shared" si="21"/>
        <v>0</v>
      </c>
      <c r="X48" s="96">
        <f t="shared" si="21"/>
        <v>0</v>
      </c>
      <c r="Y48" s="96">
        <f t="shared" si="22"/>
        <v>0</v>
      </c>
      <c r="Z48" s="96">
        <f t="shared" si="22"/>
        <v>0</v>
      </c>
      <c r="AA48" s="96">
        <f t="shared" si="22"/>
        <v>0</v>
      </c>
      <c r="AB48" s="96">
        <f t="shared" si="22"/>
        <v>0</v>
      </c>
      <c r="AC48" s="96">
        <f t="shared" si="22"/>
        <v>0</v>
      </c>
      <c r="AD48" s="96">
        <f t="shared" si="22"/>
        <v>0</v>
      </c>
      <c r="AE48" s="96">
        <f t="shared" si="22"/>
        <v>0</v>
      </c>
      <c r="AF48" s="96">
        <f t="shared" si="22"/>
        <v>0</v>
      </c>
      <c r="AG48" s="96">
        <f t="shared" si="22"/>
        <v>0</v>
      </c>
      <c r="AH48" s="96">
        <f t="shared" si="22"/>
        <v>0</v>
      </c>
      <c r="AI48" s="96">
        <f t="shared" si="22"/>
        <v>0</v>
      </c>
      <c r="AJ48" s="96">
        <f t="shared" si="22"/>
        <v>0</v>
      </c>
      <c r="AK48" s="96">
        <f t="shared" si="22"/>
        <v>0</v>
      </c>
      <c r="AL48" s="97">
        <f t="shared" si="22"/>
        <v>0</v>
      </c>
      <c r="AM48" s="88">
        <f t="shared" si="23"/>
        <v>0</v>
      </c>
    </row>
    <row r="49" spans="1:39" x14ac:dyDescent="0.2">
      <c r="C49" s="260"/>
      <c r="D49" s="84" t="s">
        <v>178</v>
      </c>
      <c r="E49" s="95">
        <f t="shared" si="20"/>
        <v>0</v>
      </c>
      <c r="F49" s="96">
        <f t="shared" si="20"/>
        <v>0</v>
      </c>
      <c r="G49" s="96">
        <f t="shared" si="20"/>
        <v>0</v>
      </c>
      <c r="H49" s="96">
        <f t="shared" si="20"/>
        <v>0</v>
      </c>
      <c r="I49" s="96">
        <f t="shared" si="20"/>
        <v>0</v>
      </c>
      <c r="J49" s="96">
        <f t="shared" si="20"/>
        <v>0</v>
      </c>
      <c r="K49" s="96">
        <f t="shared" si="20"/>
        <v>0</v>
      </c>
      <c r="L49" s="96">
        <f t="shared" si="20"/>
        <v>0</v>
      </c>
      <c r="M49" s="96">
        <f t="shared" si="20"/>
        <v>0</v>
      </c>
      <c r="N49" s="96">
        <f t="shared" si="20"/>
        <v>0</v>
      </c>
      <c r="O49" s="96">
        <f t="shared" si="21"/>
        <v>0</v>
      </c>
      <c r="P49" s="96">
        <f t="shared" si="21"/>
        <v>0</v>
      </c>
      <c r="Q49" s="96">
        <f t="shared" si="21"/>
        <v>0</v>
      </c>
      <c r="R49" s="96">
        <f t="shared" si="21"/>
        <v>0</v>
      </c>
      <c r="S49" s="96">
        <f t="shared" si="21"/>
        <v>0</v>
      </c>
      <c r="T49" s="96">
        <f t="shared" si="21"/>
        <v>0</v>
      </c>
      <c r="U49" s="96">
        <f t="shared" si="21"/>
        <v>0</v>
      </c>
      <c r="V49" s="96">
        <f t="shared" si="21"/>
        <v>0</v>
      </c>
      <c r="W49" s="96">
        <f t="shared" si="21"/>
        <v>0</v>
      </c>
      <c r="X49" s="96">
        <f t="shared" si="21"/>
        <v>0</v>
      </c>
      <c r="Y49" s="96">
        <f t="shared" si="22"/>
        <v>0</v>
      </c>
      <c r="Z49" s="96">
        <f t="shared" si="22"/>
        <v>0</v>
      </c>
      <c r="AA49" s="96">
        <f t="shared" si="22"/>
        <v>0</v>
      </c>
      <c r="AB49" s="96">
        <f t="shared" si="22"/>
        <v>0</v>
      </c>
      <c r="AC49" s="96">
        <f t="shared" si="22"/>
        <v>0</v>
      </c>
      <c r="AD49" s="96">
        <f t="shared" si="22"/>
        <v>0</v>
      </c>
      <c r="AE49" s="96">
        <f t="shared" si="22"/>
        <v>0</v>
      </c>
      <c r="AF49" s="96">
        <f t="shared" si="22"/>
        <v>0</v>
      </c>
      <c r="AG49" s="96">
        <f t="shared" si="22"/>
        <v>0</v>
      </c>
      <c r="AH49" s="96">
        <f t="shared" si="22"/>
        <v>0</v>
      </c>
      <c r="AI49" s="96">
        <f t="shared" si="22"/>
        <v>0</v>
      </c>
      <c r="AJ49" s="96">
        <f t="shared" si="22"/>
        <v>0</v>
      </c>
      <c r="AK49" s="96">
        <f t="shared" si="22"/>
        <v>0</v>
      </c>
      <c r="AL49" s="97">
        <f t="shared" si="22"/>
        <v>0</v>
      </c>
      <c r="AM49" s="88">
        <f t="shared" si="23"/>
        <v>0</v>
      </c>
    </row>
    <row r="50" spans="1:39" x14ac:dyDescent="0.2">
      <c r="A50" s="80" t="s">
        <v>257</v>
      </c>
      <c r="C50" s="260"/>
      <c r="D50" s="84" t="s">
        <v>181</v>
      </c>
      <c r="E50" s="95">
        <f t="shared" si="20"/>
        <v>0</v>
      </c>
      <c r="F50" s="96">
        <f t="shared" si="20"/>
        <v>0</v>
      </c>
      <c r="G50" s="96">
        <f t="shared" si="20"/>
        <v>0</v>
      </c>
      <c r="H50" s="96">
        <f t="shared" si="20"/>
        <v>0</v>
      </c>
      <c r="I50" s="96">
        <f t="shared" si="20"/>
        <v>0</v>
      </c>
      <c r="J50" s="96">
        <f t="shared" si="20"/>
        <v>0</v>
      </c>
      <c r="K50" s="96">
        <f t="shared" si="20"/>
        <v>0</v>
      </c>
      <c r="L50" s="96">
        <f t="shared" si="20"/>
        <v>0</v>
      </c>
      <c r="M50" s="96">
        <f t="shared" si="20"/>
        <v>0</v>
      </c>
      <c r="N50" s="96">
        <f t="shared" si="20"/>
        <v>0</v>
      </c>
      <c r="O50" s="96">
        <f t="shared" si="21"/>
        <v>0</v>
      </c>
      <c r="P50" s="96">
        <f t="shared" si="21"/>
        <v>0</v>
      </c>
      <c r="Q50" s="96">
        <f t="shared" si="21"/>
        <v>0</v>
      </c>
      <c r="R50" s="96">
        <f t="shared" si="21"/>
        <v>0</v>
      </c>
      <c r="S50" s="96">
        <f t="shared" si="21"/>
        <v>0</v>
      </c>
      <c r="T50" s="96">
        <f t="shared" si="21"/>
        <v>0</v>
      </c>
      <c r="U50" s="96">
        <f t="shared" si="21"/>
        <v>0</v>
      </c>
      <c r="V50" s="96">
        <f t="shared" si="21"/>
        <v>0</v>
      </c>
      <c r="W50" s="96">
        <f t="shared" si="21"/>
        <v>0</v>
      </c>
      <c r="X50" s="96">
        <f t="shared" si="21"/>
        <v>0</v>
      </c>
      <c r="Y50" s="96">
        <f t="shared" si="22"/>
        <v>0</v>
      </c>
      <c r="Z50" s="96">
        <f t="shared" si="22"/>
        <v>0</v>
      </c>
      <c r="AA50" s="96">
        <f t="shared" si="22"/>
        <v>0</v>
      </c>
      <c r="AB50" s="96">
        <f t="shared" si="22"/>
        <v>0</v>
      </c>
      <c r="AC50" s="96">
        <f t="shared" si="22"/>
        <v>0</v>
      </c>
      <c r="AD50" s="96">
        <f t="shared" si="22"/>
        <v>0</v>
      </c>
      <c r="AE50" s="96">
        <f t="shared" si="22"/>
        <v>0</v>
      </c>
      <c r="AF50" s="96">
        <f t="shared" si="22"/>
        <v>0</v>
      </c>
      <c r="AG50" s="96">
        <f t="shared" si="22"/>
        <v>0</v>
      </c>
      <c r="AH50" s="96">
        <f t="shared" si="22"/>
        <v>0</v>
      </c>
      <c r="AI50" s="96">
        <f t="shared" si="22"/>
        <v>0</v>
      </c>
      <c r="AJ50" s="96">
        <f t="shared" si="22"/>
        <v>0</v>
      </c>
      <c r="AK50" s="96">
        <f t="shared" si="22"/>
        <v>0</v>
      </c>
      <c r="AL50" s="97">
        <f t="shared" si="22"/>
        <v>0</v>
      </c>
      <c r="AM50" s="88">
        <f t="shared" si="23"/>
        <v>0</v>
      </c>
    </row>
    <row r="51" spans="1:39" x14ac:dyDescent="0.2">
      <c r="A51" s="103" t="str">
        <f>A15</f>
        <v>Total</v>
      </c>
      <c r="C51" s="260"/>
      <c r="D51" s="84" t="s">
        <v>182</v>
      </c>
      <c r="E51" s="95">
        <f t="shared" si="20"/>
        <v>0</v>
      </c>
      <c r="F51" s="96">
        <f t="shared" si="20"/>
        <v>0</v>
      </c>
      <c r="G51" s="96">
        <f t="shared" si="20"/>
        <v>0</v>
      </c>
      <c r="H51" s="96">
        <f t="shared" si="20"/>
        <v>0</v>
      </c>
      <c r="I51" s="96">
        <f t="shared" si="20"/>
        <v>0</v>
      </c>
      <c r="J51" s="96">
        <f t="shared" si="20"/>
        <v>0</v>
      </c>
      <c r="K51" s="96">
        <f t="shared" si="20"/>
        <v>0</v>
      </c>
      <c r="L51" s="96">
        <f t="shared" si="20"/>
        <v>0</v>
      </c>
      <c r="M51" s="96">
        <f t="shared" si="20"/>
        <v>0</v>
      </c>
      <c r="N51" s="96">
        <f t="shared" si="20"/>
        <v>0</v>
      </c>
      <c r="O51" s="96">
        <f t="shared" si="21"/>
        <v>0</v>
      </c>
      <c r="P51" s="96">
        <f t="shared" si="21"/>
        <v>0</v>
      </c>
      <c r="Q51" s="96">
        <f t="shared" si="21"/>
        <v>0</v>
      </c>
      <c r="R51" s="96">
        <f t="shared" si="21"/>
        <v>0</v>
      </c>
      <c r="S51" s="96">
        <f t="shared" si="21"/>
        <v>0</v>
      </c>
      <c r="T51" s="96">
        <f t="shared" si="21"/>
        <v>0</v>
      </c>
      <c r="U51" s="96">
        <f t="shared" si="21"/>
        <v>0</v>
      </c>
      <c r="V51" s="96">
        <f t="shared" si="21"/>
        <v>0</v>
      </c>
      <c r="W51" s="96">
        <f t="shared" si="21"/>
        <v>0</v>
      </c>
      <c r="X51" s="96">
        <f t="shared" si="21"/>
        <v>0</v>
      </c>
      <c r="Y51" s="96">
        <f t="shared" si="22"/>
        <v>0</v>
      </c>
      <c r="Z51" s="96">
        <f t="shared" si="22"/>
        <v>0</v>
      </c>
      <c r="AA51" s="96">
        <f t="shared" si="22"/>
        <v>0</v>
      </c>
      <c r="AB51" s="96">
        <f t="shared" si="22"/>
        <v>0</v>
      </c>
      <c r="AC51" s="96">
        <f t="shared" si="22"/>
        <v>0</v>
      </c>
      <c r="AD51" s="96">
        <f t="shared" si="22"/>
        <v>0</v>
      </c>
      <c r="AE51" s="96">
        <f t="shared" si="22"/>
        <v>0</v>
      </c>
      <c r="AF51" s="96">
        <f t="shared" si="22"/>
        <v>0</v>
      </c>
      <c r="AG51" s="96">
        <f t="shared" si="22"/>
        <v>0</v>
      </c>
      <c r="AH51" s="96">
        <f t="shared" si="22"/>
        <v>0</v>
      </c>
      <c r="AI51" s="96">
        <f t="shared" si="22"/>
        <v>0</v>
      </c>
      <c r="AJ51" s="96">
        <f t="shared" si="22"/>
        <v>0</v>
      </c>
      <c r="AK51" s="96">
        <f t="shared" si="22"/>
        <v>0</v>
      </c>
      <c r="AL51" s="97">
        <f t="shared" si="22"/>
        <v>0</v>
      </c>
      <c r="AM51" s="88">
        <f t="shared" si="23"/>
        <v>0</v>
      </c>
    </row>
    <row r="52" spans="1:39" x14ac:dyDescent="0.2">
      <c r="C52" s="260"/>
      <c r="D52" s="84" t="s">
        <v>183</v>
      </c>
      <c r="E52" s="95">
        <f t="shared" si="20"/>
        <v>0</v>
      </c>
      <c r="F52" s="96">
        <f t="shared" si="20"/>
        <v>0</v>
      </c>
      <c r="G52" s="96">
        <f t="shared" si="20"/>
        <v>0</v>
      </c>
      <c r="H52" s="96">
        <f t="shared" si="20"/>
        <v>0</v>
      </c>
      <c r="I52" s="96">
        <f t="shared" si="20"/>
        <v>0</v>
      </c>
      <c r="J52" s="96">
        <f t="shared" si="20"/>
        <v>0</v>
      </c>
      <c r="K52" s="96">
        <f t="shared" si="20"/>
        <v>0</v>
      </c>
      <c r="L52" s="96">
        <f t="shared" si="20"/>
        <v>0</v>
      </c>
      <c r="M52" s="96">
        <f t="shared" si="20"/>
        <v>0</v>
      </c>
      <c r="N52" s="96">
        <f t="shared" si="20"/>
        <v>0</v>
      </c>
      <c r="O52" s="96">
        <f t="shared" si="21"/>
        <v>0</v>
      </c>
      <c r="P52" s="96">
        <f t="shared" si="21"/>
        <v>0</v>
      </c>
      <c r="Q52" s="96">
        <f t="shared" si="21"/>
        <v>0</v>
      </c>
      <c r="R52" s="96">
        <f t="shared" si="21"/>
        <v>0</v>
      </c>
      <c r="S52" s="96">
        <f t="shared" si="21"/>
        <v>0</v>
      </c>
      <c r="T52" s="96">
        <f t="shared" si="21"/>
        <v>0</v>
      </c>
      <c r="U52" s="96">
        <f t="shared" si="21"/>
        <v>0</v>
      </c>
      <c r="V52" s="96">
        <f t="shared" si="21"/>
        <v>0</v>
      </c>
      <c r="W52" s="96">
        <f t="shared" si="21"/>
        <v>0</v>
      </c>
      <c r="X52" s="96">
        <f t="shared" si="21"/>
        <v>0</v>
      </c>
      <c r="Y52" s="96">
        <f t="shared" si="22"/>
        <v>0</v>
      </c>
      <c r="Z52" s="96">
        <f t="shared" si="22"/>
        <v>0</v>
      </c>
      <c r="AA52" s="96">
        <f t="shared" si="22"/>
        <v>0</v>
      </c>
      <c r="AB52" s="96">
        <f t="shared" si="22"/>
        <v>0</v>
      </c>
      <c r="AC52" s="96">
        <f t="shared" si="22"/>
        <v>0</v>
      </c>
      <c r="AD52" s="96">
        <f t="shared" si="22"/>
        <v>0</v>
      </c>
      <c r="AE52" s="96">
        <f t="shared" si="22"/>
        <v>0</v>
      </c>
      <c r="AF52" s="96">
        <f t="shared" si="22"/>
        <v>0</v>
      </c>
      <c r="AG52" s="96">
        <f t="shared" si="22"/>
        <v>0</v>
      </c>
      <c r="AH52" s="96">
        <f t="shared" si="22"/>
        <v>0</v>
      </c>
      <c r="AI52" s="96">
        <f t="shared" si="22"/>
        <v>0</v>
      </c>
      <c r="AJ52" s="96">
        <f t="shared" si="22"/>
        <v>0</v>
      </c>
      <c r="AK52" s="96">
        <f t="shared" si="22"/>
        <v>0</v>
      </c>
      <c r="AL52" s="97">
        <f t="shared" si="22"/>
        <v>0</v>
      </c>
      <c r="AM52" s="88">
        <f t="shared" si="23"/>
        <v>0</v>
      </c>
    </row>
    <row r="53" spans="1:39" x14ac:dyDescent="0.2">
      <c r="A53" s="80" t="s">
        <v>216</v>
      </c>
      <c r="C53" s="260"/>
      <c r="D53" s="84" t="s">
        <v>184</v>
      </c>
      <c r="E53" s="95">
        <f t="shared" si="20"/>
        <v>0</v>
      </c>
      <c r="F53" s="96">
        <f t="shared" si="20"/>
        <v>0</v>
      </c>
      <c r="G53" s="96">
        <f t="shared" si="20"/>
        <v>0</v>
      </c>
      <c r="H53" s="96">
        <f t="shared" si="20"/>
        <v>0</v>
      </c>
      <c r="I53" s="96">
        <f t="shared" si="20"/>
        <v>0</v>
      </c>
      <c r="J53" s="96">
        <f t="shared" si="20"/>
        <v>0</v>
      </c>
      <c r="K53" s="96">
        <f t="shared" si="20"/>
        <v>0</v>
      </c>
      <c r="L53" s="96">
        <f t="shared" si="20"/>
        <v>0</v>
      </c>
      <c r="M53" s="96">
        <f t="shared" si="20"/>
        <v>0</v>
      </c>
      <c r="N53" s="96">
        <f t="shared" si="20"/>
        <v>0</v>
      </c>
      <c r="O53" s="96">
        <f t="shared" si="21"/>
        <v>0</v>
      </c>
      <c r="P53" s="96">
        <f t="shared" si="21"/>
        <v>0</v>
      </c>
      <c r="Q53" s="96">
        <f t="shared" si="21"/>
        <v>0</v>
      </c>
      <c r="R53" s="96">
        <f t="shared" si="21"/>
        <v>0</v>
      </c>
      <c r="S53" s="96">
        <f t="shared" si="21"/>
        <v>0</v>
      </c>
      <c r="T53" s="96">
        <f t="shared" si="21"/>
        <v>0</v>
      </c>
      <c r="U53" s="96">
        <f t="shared" si="21"/>
        <v>0</v>
      </c>
      <c r="V53" s="96">
        <f t="shared" si="21"/>
        <v>0</v>
      </c>
      <c r="W53" s="96">
        <f t="shared" si="21"/>
        <v>0</v>
      </c>
      <c r="X53" s="96">
        <f t="shared" si="21"/>
        <v>0</v>
      </c>
      <c r="Y53" s="96">
        <f t="shared" si="22"/>
        <v>0</v>
      </c>
      <c r="Z53" s="96">
        <f t="shared" si="22"/>
        <v>0</v>
      </c>
      <c r="AA53" s="96">
        <f t="shared" si="22"/>
        <v>0</v>
      </c>
      <c r="AB53" s="96">
        <f t="shared" si="22"/>
        <v>0</v>
      </c>
      <c r="AC53" s="96">
        <f t="shared" si="22"/>
        <v>0</v>
      </c>
      <c r="AD53" s="96">
        <f t="shared" si="22"/>
        <v>0</v>
      </c>
      <c r="AE53" s="96">
        <f t="shared" si="22"/>
        <v>0</v>
      </c>
      <c r="AF53" s="96">
        <f t="shared" si="22"/>
        <v>0</v>
      </c>
      <c r="AG53" s="96">
        <f t="shared" si="22"/>
        <v>0</v>
      </c>
      <c r="AH53" s="96">
        <f t="shared" si="22"/>
        <v>0</v>
      </c>
      <c r="AI53" s="96">
        <f t="shared" si="22"/>
        <v>0</v>
      </c>
      <c r="AJ53" s="96">
        <f t="shared" si="22"/>
        <v>0</v>
      </c>
      <c r="AK53" s="96">
        <f t="shared" si="22"/>
        <v>0</v>
      </c>
      <c r="AL53" s="97">
        <f t="shared" si="22"/>
        <v>0</v>
      </c>
      <c r="AM53" s="88">
        <f t="shared" si="23"/>
        <v>0</v>
      </c>
    </row>
    <row r="54" spans="1:39" x14ac:dyDescent="0.2">
      <c r="A54" s="105">
        <f>AM78</f>
        <v>0</v>
      </c>
      <c r="C54" s="260"/>
      <c r="D54" s="84" t="s">
        <v>186</v>
      </c>
      <c r="E54" s="95">
        <f t="shared" ref="E54:N63" si="24">IFERROR(VLOOKUP(CONCATENATE($A$51,"-",$A$48, "-", $D54, "-", E$43, "-", $A$45),model_trn_trips,7,FALSE),0)</f>
        <v>0</v>
      </c>
      <c r="F54" s="96">
        <f t="shared" si="24"/>
        <v>0</v>
      </c>
      <c r="G54" s="96">
        <f t="shared" si="24"/>
        <v>0</v>
      </c>
      <c r="H54" s="96">
        <f t="shared" si="24"/>
        <v>0</v>
      </c>
      <c r="I54" s="96">
        <f t="shared" si="24"/>
        <v>0</v>
      </c>
      <c r="J54" s="96">
        <f t="shared" si="24"/>
        <v>0</v>
      </c>
      <c r="K54" s="96">
        <f t="shared" si="24"/>
        <v>0</v>
      </c>
      <c r="L54" s="96">
        <f t="shared" si="24"/>
        <v>0</v>
      </c>
      <c r="M54" s="96">
        <f t="shared" si="24"/>
        <v>0</v>
      </c>
      <c r="N54" s="96">
        <f t="shared" si="24"/>
        <v>0</v>
      </c>
      <c r="O54" s="96">
        <f t="shared" ref="O54:X63" si="25">IFERROR(VLOOKUP(CONCATENATE($A$51,"-",$A$48, "-", $D54, "-", O$43, "-", $A$45),model_trn_trips,7,FALSE),0)</f>
        <v>0</v>
      </c>
      <c r="P54" s="96">
        <f t="shared" si="25"/>
        <v>0</v>
      </c>
      <c r="Q54" s="96">
        <f t="shared" si="25"/>
        <v>0</v>
      </c>
      <c r="R54" s="96">
        <f t="shared" si="25"/>
        <v>0</v>
      </c>
      <c r="S54" s="96">
        <f t="shared" si="25"/>
        <v>0</v>
      </c>
      <c r="T54" s="96">
        <f t="shared" si="25"/>
        <v>0</v>
      </c>
      <c r="U54" s="96">
        <f t="shared" si="25"/>
        <v>0</v>
      </c>
      <c r="V54" s="96">
        <f t="shared" si="25"/>
        <v>0</v>
      </c>
      <c r="W54" s="96">
        <f t="shared" si="25"/>
        <v>0</v>
      </c>
      <c r="X54" s="96">
        <f t="shared" si="25"/>
        <v>0</v>
      </c>
      <c r="Y54" s="96">
        <f t="shared" ref="Y54:AL63" si="26">IFERROR(VLOOKUP(CONCATENATE($A$51,"-",$A$48, "-", $D54, "-", Y$43, "-", $A$45),model_trn_trips,7,FALSE),0)</f>
        <v>0</v>
      </c>
      <c r="Z54" s="96">
        <f t="shared" si="26"/>
        <v>0</v>
      </c>
      <c r="AA54" s="96">
        <f t="shared" si="26"/>
        <v>0</v>
      </c>
      <c r="AB54" s="96">
        <f t="shared" si="26"/>
        <v>0</v>
      </c>
      <c r="AC54" s="96">
        <f t="shared" si="26"/>
        <v>0</v>
      </c>
      <c r="AD54" s="96">
        <f t="shared" si="26"/>
        <v>0</v>
      </c>
      <c r="AE54" s="96">
        <f t="shared" si="26"/>
        <v>0</v>
      </c>
      <c r="AF54" s="96">
        <f t="shared" si="26"/>
        <v>0</v>
      </c>
      <c r="AG54" s="96">
        <f t="shared" si="26"/>
        <v>0</v>
      </c>
      <c r="AH54" s="96">
        <f t="shared" si="26"/>
        <v>0</v>
      </c>
      <c r="AI54" s="96">
        <f t="shared" si="26"/>
        <v>0</v>
      </c>
      <c r="AJ54" s="96">
        <f t="shared" si="26"/>
        <v>0</v>
      </c>
      <c r="AK54" s="96">
        <f t="shared" si="26"/>
        <v>0</v>
      </c>
      <c r="AL54" s="97">
        <f t="shared" si="26"/>
        <v>0</v>
      </c>
      <c r="AM54" s="88">
        <f t="shared" si="23"/>
        <v>0</v>
      </c>
    </row>
    <row r="55" spans="1:39" x14ac:dyDescent="0.2">
      <c r="C55" s="260"/>
      <c r="D55" s="84" t="s">
        <v>187</v>
      </c>
      <c r="E55" s="95">
        <f t="shared" si="24"/>
        <v>0</v>
      </c>
      <c r="F55" s="96">
        <f t="shared" si="24"/>
        <v>0</v>
      </c>
      <c r="G55" s="96">
        <f t="shared" si="24"/>
        <v>0</v>
      </c>
      <c r="H55" s="96">
        <f t="shared" si="24"/>
        <v>0</v>
      </c>
      <c r="I55" s="96">
        <f t="shared" si="24"/>
        <v>0</v>
      </c>
      <c r="J55" s="96">
        <f t="shared" si="24"/>
        <v>0</v>
      </c>
      <c r="K55" s="96">
        <f t="shared" si="24"/>
        <v>0</v>
      </c>
      <c r="L55" s="96">
        <f t="shared" si="24"/>
        <v>0</v>
      </c>
      <c r="M55" s="96">
        <f t="shared" si="24"/>
        <v>0</v>
      </c>
      <c r="N55" s="96">
        <f t="shared" si="24"/>
        <v>0</v>
      </c>
      <c r="O55" s="96">
        <f t="shared" si="25"/>
        <v>0</v>
      </c>
      <c r="P55" s="96">
        <f t="shared" si="25"/>
        <v>0</v>
      </c>
      <c r="Q55" s="96">
        <f t="shared" si="25"/>
        <v>0</v>
      </c>
      <c r="R55" s="96">
        <f t="shared" si="25"/>
        <v>0</v>
      </c>
      <c r="S55" s="96">
        <f t="shared" si="25"/>
        <v>0</v>
      </c>
      <c r="T55" s="96">
        <f t="shared" si="25"/>
        <v>0</v>
      </c>
      <c r="U55" s="96">
        <f t="shared" si="25"/>
        <v>0</v>
      </c>
      <c r="V55" s="96">
        <f t="shared" si="25"/>
        <v>0</v>
      </c>
      <c r="W55" s="96">
        <f t="shared" si="25"/>
        <v>0</v>
      </c>
      <c r="X55" s="96">
        <f t="shared" si="25"/>
        <v>0</v>
      </c>
      <c r="Y55" s="96">
        <f t="shared" si="26"/>
        <v>0</v>
      </c>
      <c r="Z55" s="96">
        <f t="shared" si="26"/>
        <v>0</v>
      </c>
      <c r="AA55" s="96">
        <f t="shared" si="26"/>
        <v>0</v>
      </c>
      <c r="AB55" s="96">
        <f t="shared" si="26"/>
        <v>0</v>
      </c>
      <c r="AC55" s="96">
        <f t="shared" si="26"/>
        <v>0</v>
      </c>
      <c r="AD55" s="96">
        <f t="shared" si="26"/>
        <v>0</v>
      </c>
      <c r="AE55" s="96">
        <f t="shared" si="26"/>
        <v>0</v>
      </c>
      <c r="AF55" s="96">
        <f t="shared" si="26"/>
        <v>0</v>
      </c>
      <c r="AG55" s="96">
        <f t="shared" si="26"/>
        <v>0</v>
      </c>
      <c r="AH55" s="96">
        <f t="shared" si="26"/>
        <v>0</v>
      </c>
      <c r="AI55" s="96">
        <f t="shared" si="26"/>
        <v>0</v>
      </c>
      <c r="AJ55" s="96">
        <f t="shared" si="26"/>
        <v>0</v>
      </c>
      <c r="AK55" s="96">
        <f t="shared" si="26"/>
        <v>0</v>
      </c>
      <c r="AL55" s="97">
        <f t="shared" si="26"/>
        <v>0</v>
      </c>
      <c r="AM55" s="88">
        <f t="shared" si="23"/>
        <v>0</v>
      </c>
    </row>
    <row r="56" spans="1:39" x14ac:dyDescent="0.2">
      <c r="C56" s="260"/>
      <c r="D56" s="84" t="s">
        <v>188</v>
      </c>
      <c r="E56" s="95">
        <f t="shared" si="24"/>
        <v>0</v>
      </c>
      <c r="F56" s="96">
        <f t="shared" si="24"/>
        <v>0</v>
      </c>
      <c r="G56" s="96">
        <f t="shared" si="24"/>
        <v>0</v>
      </c>
      <c r="H56" s="96">
        <f t="shared" si="24"/>
        <v>0</v>
      </c>
      <c r="I56" s="96">
        <f t="shared" si="24"/>
        <v>0</v>
      </c>
      <c r="J56" s="96">
        <f t="shared" si="24"/>
        <v>0</v>
      </c>
      <c r="K56" s="96">
        <f t="shared" si="24"/>
        <v>0</v>
      </c>
      <c r="L56" s="96">
        <f t="shared" si="24"/>
        <v>0</v>
      </c>
      <c r="M56" s="96">
        <f t="shared" si="24"/>
        <v>0</v>
      </c>
      <c r="N56" s="96">
        <f t="shared" si="24"/>
        <v>0</v>
      </c>
      <c r="O56" s="96">
        <f t="shared" si="25"/>
        <v>0</v>
      </c>
      <c r="P56" s="96">
        <f t="shared" si="25"/>
        <v>0</v>
      </c>
      <c r="Q56" s="96">
        <f t="shared" si="25"/>
        <v>0</v>
      </c>
      <c r="R56" s="96">
        <f t="shared" si="25"/>
        <v>0</v>
      </c>
      <c r="S56" s="96">
        <f t="shared" si="25"/>
        <v>0</v>
      </c>
      <c r="T56" s="96">
        <f t="shared" si="25"/>
        <v>0</v>
      </c>
      <c r="U56" s="96">
        <f t="shared" si="25"/>
        <v>0</v>
      </c>
      <c r="V56" s="96">
        <f t="shared" si="25"/>
        <v>0</v>
      </c>
      <c r="W56" s="96">
        <f t="shared" si="25"/>
        <v>0</v>
      </c>
      <c r="X56" s="96">
        <f t="shared" si="25"/>
        <v>0</v>
      </c>
      <c r="Y56" s="96">
        <f t="shared" si="26"/>
        <v>0</v>
      </c>
      <c r="Z56" s="96">
        <f t="shared" si="26"/>
        <v>0</v>
      </c>
      <c r="AA56" s="96">
        <f t="shared" si="26"/>
        <v>0</v>
      </c>
      <c r="AB56" s="96">
        <f t="shared" si="26"/>
        <v>0</v>
      </c>
      <c r="AC56" s="96">
        <f t="shared" si="26"/>
        <v>0</v>
      </c>
      <c r="AD56" s="96">
        <f t="shared" si="26"/>
        <v>0</v>
      </c>
      <c r="AE56" s="96">
        <f t="shared" si="26"/>
        <v>0</v>
      </c>
      <c r="AF56" s="96">
        <f t="shared" si="26"/>
        <v>0</v>
      </c>
      <c r="AG56" s="96">
        <f t="shared" si="26"/>
        <v>0</v>
      </c>
      <c r="AH56" s="96">
        <f t="shared" si="26"/>
        <v>0</v>
      </c>
      <c r="AI56" s="96">
        <f t="shared" si="26"/>
        <v>0</v>
      </c>
      <c r="AJ56" s="96">
        <f t="shared" si="26"/>
        <v>0</v>
      </c>
      <c r="AK56" s="96">
        <f t="shared" si="26"/>
        <v>0</v>
      </c>
      <c r="AL56" s="97">
        <f t="shared" si="26"/>
        <v>0</v>
      </c>
      <c r="AM56" s="88">
        <f t="shared" si="23"/>
        <v>0</v>
      </c>
    </row>
    <row r="57" spans="1:39" x14ac:dyDescent="0.2">
      <c r="C57" s="260"/>
      <c r="D57" s="84" t="s">
        <v>189</v>
      </c>
      <c r="E57" s="95">
        <f t="shared" si="24"/>
        <v>0</v>
      </c>
      <c r="F57" s="96">
        <f t="shared" si="24"/>
        <v>0</v>
      </c>
      <c r="G57" s="96">
        <f t="shared" si="24"/>
        <v>0</v>
      </c>
      <c r="H57" s="96">
        <f t="shared" si="24"/>
        <v>0</v>
      </c>
      <c r="I57" s="96">
        <f t="shared" si="24"/>
        <v>0</v>
      </c>
      <c r="J57" s="96">
        <f t="shared" si="24"/>
        <v>0</v>
      </c>
      <c r="K57" s="96">
        <f t="shared" si="24"/>
        <v>0</v>
      </c>
      <c r="L57" s="96">
        <f t="shared" si="24"/>
        <v>0</v>
      </c>
      <c r="M57" s="96">
        <f t="shared" si="24"/>
        <v>0</v>
      </c>
      <c r="N57" s="96">
        <f t="shared" si="24"/>
        <v>0</v>
      </c>
      <c r="O57" s="96">
        <f t="shared" si="25"/>
        <v>0</v>
      </c>
      <c r="P57" s="96">
        <f t="shared" si="25"/>
        <v>0</v>
      </c>
      <c r="Q57" s="96">
        <f t="shared" si="25"/>
        <v>0</v>
      </c>
      <c r="R57" s="96">
        <f t="shared" si="25"/>
        <v>0</v>
      </c>
      <c r="S57" s="96">
        <f t="shared" si="25"/>
        <v>0</v>
      </c>
      <c r="T57" s="96">
        <f t="shared" si="25"/>
        <v>0</v>
      </c>
      <c r="U57" s="96">
        <f t="shared" si="25"/>
        <v>0</v>
      </c>
      <c r="V57" s="96">
        <f t="shared" si="25"/>
        <v>0</v>
      </c>
      <c r="W57" s="96">
        <f t="shared" si="25"/>
        <v>0</v>
      </c>
      <c r="X57" s="96">
        <f t="shared" si="25"/>
        <v>0</v>
      </c>
      <c r="Y57" s="96">
        <f t="shared" si="26"/>
        <v>0</v>
      </c>
      <c r="Z57" s="96">
        <f t="shared" si="26"/>
        <v>0</v>
      </c>
      <c r="AA57" s="96">
        <f t="shared" si="26"/>
        <v>0</v>
      </c>
      <c r="AB57" s="96">
        <f t="shared" si="26"/>
        <v>0</v>
      </c>
      <c r="AC57" s="96">
        <f t="shared" si="26"/>
        <v>0</v>
      </c>
      <c r="AD57" s="96">
        <f t="shared" si="26"/>
        <v>0</v>
      </c>
      <c r="AE57" s="96">
        <f t="shared" si="26"/>
        <v>0</v>
      </c>
      <c r="AF57" s="96">
        <f t="shared" si="26"/>
        <v>0</v>
      </c>
      <c r="AG57" s="96">
        <f t="shared" si="26"/>
        <v>0</v>
      </c>
      <c r="AH57" s="96">
        <f t="shared" si="26"/>
        <v>0</v>
      </c>
      <c r="AI57" s="96">
        <f t="shared" si="26"/>
        <v>0</v>
      </c>
      <c r="AJ57" s="96">
        <f t="shared" si="26"/>
        <v>0</v>
      </c>
      <c r="AK57" s="96">
        <f t="shared" si="26"/>
        <v>0</v>
      </c>
      <c r="AL57" s="97">
        <f t="shared" si="26"/>
        <v>0</v>
      </c>
      <c r="AM57" s="88">
        <f t="shared" si="23"/>
        <v>0</v>
      </c>
    </row>
    <row r="58" spans="1:39" x14ac:dyDescent="0.2">
      <c r="C58" s="260"/>
      <c r="D58" s="84" t="s">
        <v>190</v>
      </c>
      <c r="E58" s="95">
        <f t="shared" si="24"/>
        <v>0</v>
      </c>
      <c r="F58" s="96">
        <f t="shared" si="24"/>
        <v>0</v>
      </c>
      <c r="G58" s="96">
        <f t="shared" si="24"/>
        <v>0</v>
      </c>
      <c r="H58" s="96">
        <f t="shared" si="24"/>
        <v>0</v>
      </c>
      <c r="I58" s="96">
        <f t="shared" si="24"/>
        <v>0</v>
      </c>
      <c r="J58" s="96">
        <f t="shared" si="24"/>
        <v>0</v>
      </c>
      <c r="K58" s="96">
        <f t="shared" si="24"/>
        <v>0</v>
      </c>
      <c r="L58" s="96">
        <f t="shared" si="24"/>
        <v>0</v>
      </c>
      <c r="M58" s="96">
        <f t="shared" si="24"/>
        <v>0</v>
      </c>
      <c r="N58" s="96">
        <f t="shared" si="24"/>
        <v>0</v>
      </c>
      <c r="O58" s="96">
        <f t="shared" si="25"/>
        <v>0</v>
      </c>
      <c r="P58" s="96">
        <f t="shared" si="25"/>
        <v>0</v>
      </c>
      <c r="Q58" s="96">
        <f t="shared" si="25"/>
        <v>0</v>
      </c>
      <c r="R58" s="96">
        <f t="shared" si="25"/>
        <v>0</v>
      </c>
      <c r="S58" s="96">
        <f t="shared" si="25"/>
        <v>0</v>
      </c>
      <c r="T58" s="96">
        <f t="shared" si="25"/>
        <v>0</v>
      </c>
      <c r="U58" s="96">
        <f t="shared" si="25"/>
        <v>0</v>
      </c>
      <c r="V58" s="96">
        <f t="shared" si="25"/>
        <v>0</v>
      </c>
      <c r="W58" s="96">
        <f t="shared" si="25"/>
        <v>0</v>
      </c>
      <c r="X58" s="96">
        <f t="shared" si="25"/>
        <v>0</v>
      </c>
      <c r="Y58" s="96">
        <f t="shared" si="26"/>
        <v>0</v>
      </c>
      <c r="Z58" s="96">
        <f t="shared" si="26"/>
        <v>0</v>
      </c>
      <c r="AA58" s="96">
        <f t="shared" si="26"/>
        <v>0</v>
      </c>
      <c r="AB58" s="96">
        <f t="shared" si="26"/>
        <v>0</v>
      </c>
      <c r="AC58" s="96">
        <f t="shared" si="26"/>
        <v>0</v>
      </c>
      <c r="AD58" s="96">
        <f t="shared" si="26"/>
        <v>0</v>
      </c>
      <c r="AE58" s="96">
        <f t="shared" si="26"/>
        <v>0</v>
      </c>
      <c r="AF58" s="96">
        <f t="shared" si="26"/>
        <v>0</v>
      </c>
      <c r="AG58" s="96">
        <f t="shared" si="26"/>
        <v>0</v>
      </c>
      <c r="AH58" s="96">
        <f t="shared" si="26"/>
        <v>0</v>
      </c>
      <c r="AI58" s="96">
        <f t="shared" si="26"/>
        <v>0</v>
      </c>
      <c r="AJ58" s="96">
        <f t="shared" si="26"/>
        <v>0</v>
      </c>
      <c r="AK58" s="96">
        <f t="shared" si="26"/>
        <v>0</v>
      </c>
      <c r="AL58" s="97">
        <f t="shared" si="26"/>
        <v>0</v>
      </c>
      <c r="AM58" s="88">
        <f t="shared" si="23"/>
        <v>0</v>
      </c>
    </row>
    <row r="59" spans="1:39" x14ac:dyDescent="0.2">
      <c r="C59" s="260"/>
      <c r="D59" s="84" t="s">
        <v>191</v>
      </c>
      <c r="E59" s="95">
        <f t="shared" si="24"/>
        <v>0</v>
      </c>
      <c r="F59" s="96">
        <f t="shared" si="24"/>
        <v>0</v>
      </c>
      <c r="G59" s="96">
        <f t="shared" si="24"/>
        <v>0</v>
      </c>
      <c r="H59" s="96">
        <f t="shared" si="24"/>
        <v>0</v>
      </c>
      <c r="I59" s="96">
        <f t="shared" si="24"/>
        <v>0</v>
      </c>
      <c r="J59" s="96">
        <f t="shared" si="24"/>
        <v>0</v>
      </c>
      <c r="K59" s="96">
        <f t="shared" si="24"/>
        <v>0</v>
      </c>
      <c r="L59" s="96">
        <f t="shared" si="24"/>
        <v>0</v>
      </c>
      <c r="M59" s="96">
        <f t="shared" si="24"/>
        <v>0</v>
      </c>
      <c r="N59" s="96">
        <f t="shared" si="24"/>
        <v>0</v>
      </c>
      <c r="O59" s="96">
        <f t="shared" si="25"/>
        <v>0</v>
      </c>
      <c r="P59" s="96">
        <f t="shared" si="25"/>
        <v>0</v>
      </c>
      <c r="Q59" s="96">
        <f t="shared" si="25"/>
        <v>0</v>
      </c>
      <c r="R59" s="96">
        <f t="shared" si="25"/>
        <v>0</v>
      </c>
      <c r="S59" s="96">
        <f t="shared" si="25"/>
        <v>0</v>
      </c>
      <c r="T59" s="96">
        <f t="shared" si="25"/>
        <v>0</v>
      </c>
      <c r="U59" s="96">
        <f t="shared" si="25"/>
        <v>0</v>
      </c>
      <c r="V59" s="96">
        <f t="shared" si="25"/>
        <v>0</v>
      </c>
      <c r="W59" s="96">
        <f t="shared" si="25"/>
        <v>0</v>
      </c>
      <c r="X59" s="96">
        <f t="shared" si="25"/>
        <v>0</v>
      </c>
      <c r="Y59" s="96">
        <f t="shared" si="26"/>
        <v>0</v>
      </c>
      <c r="Z59" s="96">
        <f t="shared" si="26"/>
        <v>0</v>
      </c>
      <c r="AA59" s="96">
        <f t="shared" si="26"/>
        <v>0</v>
      </c>
      <c r="AB59" s="96">
        <f t="shared" si="26"/>
        <v>0</v>
      </c>
      <c r="AC59" s="96">
        <f t="shared" si="26"/>
        <v>0</v>
      </c>
      <c r="AD59" s="96">
        <f t="shared" si="26"/>
        <v>0</v>
      </c>
      <c r="AE59" s="96">
        <f t="shared" si="26"/>
        <v>0</v>
      </c>
      <c r="AF59" s="96">
        <f t="shared" si="26"/>
        <v>0</v>
      </c>
      <c r="AG59" s="96">
        <f t="shared" si="26"/>
        <v>0</v>
      </c>
      <c r="AH59" s="96">
        <f t="shared" si="26"/>
        <v>0</v>
      </c>
      <c r="AI59" s="96">
        <f t="shared" si="26"/>
        <v>0</v>
      </c>
      <c r="AJ59" s="96">
        <f t="shared" si="26"/>
        <v>0</v>
      </c>
      <c r="AK59" s="96">
        <f t="shared" si="26"/>
        <v>0</v>
      </c>
      <c r="AL59" s="97">
        <f t="shared" si="26"/>
        <v>0</v>
      </c>
      <c r="AM59" s="88">
        <f t="shared" si="23"/>
        <v>0</v>
      </c>
    </row>
    <row r="60" spans="1:39" x14ac:dyDescent="0.2">
      <c r="C60" s="260"/>
      <c r="D60" s="84" t="s">
        <v>192</v>
      </c>
      <c r="E60" s="95">
        <f t="shared" si="24"/>
        <v>0</v>
      </c>
      <c r="F60" s="96">
        <f t="shared" si="24"/>
        <v>0</v>
      </c>
      <c r="G60" s="96">
        <f t="shared" si="24"/>
        <v>0</v>
      </c>
      <c r="H60" s="96">
        <f t="shared" si="24"/>
        <v>0</v>
      </c>
      <c r="I60" s="96">
        <f t="shared" si="24"/>
        <v>0</v>
      </c>
      <c r="J60" s="96">
        <f t="shared" si="24"/>
        <v>0</v>
      </c>
      <c r="K60" s="96">
        <f t="shared" si="24"/>
        <v>0</v>
      </c>
      <c r="L60" s="96">
        <f t="shared" si="24"/>
        <v>0</v>
      </c>
      <c r="M60" s="96">
        <f t="shared" si="24"/>
        <v>0</v>
      </c>
      <c r="N60" s="96">
        <f t="shared" si="24"/>
        <v>0</v>
      </c>
      <c r="O60" s="96">
        <f t="shared" si="25"/>
        <v>0</v>
      </c>
      <c r="P60" s="96">
        <f t="shared" si="25"/>
        <v>0</v>
      </c>
      <c r="Q60" s="96">
        <f t="shared" si="25"/>
        <v>0</v>
      </c>
      <c r="R60" s="96">
        <f t="shared" si="25"/>
        <v>0</v>
      </c>
      <c r="S60" s="96">
        <f t="shared" si="25"/>
        <v>0</v>
      </c>
      <c r="T60" s="96">
        <f t="shared" si="25"/>
        <v>0</v>
      </c>
      <c r="U60" s="96">
        <f t="shared" si="25"/>
        <v>0</v>
      </c>
      <c r="V60" s="96">
        <f t="shared" si="25"/>
        <v>0</v>
      </c>
      <c r="W60" s="96">
        <f t="shared" si="25"/>
        <v>0</v>
      </c>
      <c r="X60" s="96">
        <f t="shared" si="25"/>
        <v>0</v>
      </c>
      <c r="Y60" s="96">
        <f t="shared" si="26"/>
        <v>0</v>
      </c>
      <c r="Z60" s="96">
        <f t="shared" si="26"/>
        <v>0</v>
      </c>
      <c r="AA60" s="96">
        <f t="shared" si="26"/>
        <v>0</v>
      </c>
      <c r="AB60" s="96">
        <f t="shared" si="26"/>
        <v>0</v>
      </c>
      <c r="AC60" s="96">
        <f t="shared" si="26"/>
        <v>0</v>
      </c>
      <c r="AD60" s="96">
        <f t="shared" si="26"/>
        <v>0</v>
      </c>
      <c r="AE60" s="96">
        <f t="shared" si="26"/>
        <v>0</v>
      </c>
      <c r="AF60" s="96">
        <f t="shared" si="26"/>
        <v>0</v>
      </c>
      <c r="AG60" s="96">
        <f t="shared" si="26"/>
        <v>0</v>
      </c>
      <c r="AH60" s="96">
        <f t="shared" si="26"/>
        <v>0</v>
      </c>
      <c r="AI60" s="96">
        <f t="shared" si="26"/>
        <v>0</v>
      </c>
      <c r="AJ60" s="96">
        <f t="shared" si="26"/>
        <v>0</v>
      </c>
      <c r="AK60" s="96">
        <f t="shared" si="26"/>
        <v>0</v>
      </c>
      <c r="AL60" s="97">
        <f t="shared" si="26"/>
        <v>0</v>
      </c>
      <c r="AM60" s="88">
        <f t="shared" si="23"/>
        <v>0</v>
      </c>
    </row>
    <row r="61" spans="1:39" x14ac:dyDescent="0.2">
      <c r="C61" s="260"/>
      <c r="D61" s="84" t="s">
        <v>193</v>
      </c>
      <c r="E61" s="95">
        <f t="shared" si="24"/>
        <v>0</v>
      </c>
      <c r="F61" s="96">
        <f t="shared" si="24"/>
        <v>0</v>
      </c>
      <c r="G61" s="96">
        <f t="shared" si="24"/>
        <v>0</v>
      </c>
      <c r="H61" s="96">
        <f t="shared" si="24"/>
        <v>0</v>
      </c>
      <c r="I61" s="96">
        <f t="shared" si="24"/>
        <v>0</v>
      </c>
      <c r="J61" s="96">
        <f t="shared" si="24"/>
        <v>0</v>
      </c>
      <c r="K61" s="96">
        <f t="shared" si="24"/>
        <v>0</v>
      </c>
      <c r="L61" s="96">
        <f t="shared" si="24"/>
        <v>0</v>
      </c>
      <c r="M61" s="96">
        <f t="shared" si="24"/>
        <v>0</v>
      </c>
      <c r="N61" s="96">
        <f t="shared" si="24"/>
        <v>0</v>
      </c>
      <c r="O61" s="96">
        <f t="shared" si="25"/>
        <v>0</v>
      </c>
      <c r="P61" s="96">
        <f t="shared" si="25"/>
        <v>0</v>
      </c>
      <c r="Q61" s="96">
        <f t="shared" si="25"/>
        <v>0</v>
      </c>
      <c r="R61" s="96">
        <f t="shared" si="25"/>
        <v>0</v>
      </c>
      <c r="S61" s="96">
        <f t="shared" si="25"/>
        <v>0</v>
      </c>
      <c r="T61" s="96">
        <f t="shared" si="25"/>
        <v>0</v>
      </c>
      <c r="U61" s="96">
        <f t="shared" si="25"/>
        <v>0</v>
      </c>
      <c r="V61" s="96">
        <f t="shared" si="25"/>
        <v>0</v>
      </c>
      <c r="W61" s="96">
        <f t="shared" si="25"/>
        <v>0</v>
      </c>
      <c r="X61" s="96">
        <f t="shared" si="25"/>
        <v>0</v>
      </c>
      <c r="Y61" s="96">
        <f t="shared" si="26"/>
        <v>0</v>
      </c>
      <c r="Z61" s="96">
        <f t="shared" si="26"/>
        <v>0</v>
      </c>
      <c r="AA61" s="96">
        <f t="shared" si="26"/>
        <v>0</v>
      </c>
      <c r="AB61" s="96">
        <f t="shared" si="26"/>
        <v>0</v>
      </c>
      <c r="AC61" s="96">
        <f t="shared" si="26"/>
        <v>0</v>
      </c>
      <c r="AD61" s="96">
        <f t="shared" si="26"/>
        <v>0</v>
      </c>
      <c r="AE61" s="96">
        <f t="shared" si="26"/>
        <v>0</v>
      </c>
      <c r="AF61" s="96">
        <f t="shared" si="26"/>
        <v>0</v>
      </c>
      <c r="AG61" s="96">
        <f t="shared" si="26"/>
        <v>0</v>
      </c>
      <c r="AH61" s="96">
        <f t="shared" si="26"/>
        <v>0</v>
      </c>
      <c r="AI61" s="96">
        <f t="shared" si="26"/>
        <v>0</v>
      </c>
      <c r="AJ61" s="96">
        <f t="shared" si="26"/>
        <v>0</v>
      </c>
      <c r="AK61" s="96">
        <f t="shared" si="26"/>
        <v>0</v>
      </c>
      <c r="AL61" s="97">
        <f t="shared" si="26"/>
        <v>0</v>
      </c>
      <c r="AM61" s="88">
        <f t="shared" si="23"/>
        <v>0</v>
      </c>
    </row>
    <row r="62" spans="1:39" x14ac:dyDescent="0.2">
      <c r="C62" s="260"/>
      <c r="D62" s="84" t="s">
        <v>180</v>
      </c>
      <c r="E62" s="95">
        <f t="shared" si="24"/>
        <v>0</v>
      </c>
      <c r="F62" s="96">
        <f t="shared" si="24"/>
        <v>0</v>
      </c>
      <c r="G62" s="96">
        <f t="shared" si="24"/>
        <v>0</v>
      </c>
      <c r="H62" s="96">
        <f t="shared" si="24"/>
        <v>0</v>
      </c>
      <c r="I62" s="96">
        <f t="shared" si="24"/>
        <v>0</v>
      </c>
      <c r="J62" s="96">
        <f t="shared" si="24"/>
        <v>0</v>
      </c>
      <c r="K62" s="96">
        <f t="shared" si="24"/>
        <v>0</v>
      </c>
      <c r="L62" s="96">
        <f t="shared" si="24"/>
        <v>0</v>
      </c>
      <c r="M62" s="96">
        <f t="shared" si="24"/>
        <v>0</v>
      </c>
      <c r="N62" s="96">
        <f t="shared" si="24"/>
        <v>0</v>
      </c>
      <c r="O62" s="96">
        <f t="shared" si="25"/>
        <v>0</v>
      </c>
      <c r="P62" s="96">
        <f t="shared" si="25"/>
        <v>0</v>
      </c>
      <c r="Q62" s="96">
        <f t="shared" si="25"/>
        <v>0</v>
      </c>
      <c r="R62" s="96">
        <f t="shared" si="25"/>
        <v>0</v>
      </c>
      <c r="S62" s="96">
        <f t="shared" si="25"/>
        <v>0</v>
      </c>
      <c r="T62" s="96">
        <f t="shared" si="25"/>
        <v>0</v>
      </c>
      <c r="U62" s="96">
        <f t="shared" si="25"/>
        <v>0</v>
      </c>
      <c r="V62" s="96">
        <f t="shared" si="25"/>
        <v>0</v>
      </c>
      <c r="W62" s="96">
        <f t="shared" si="25"/>
        <v>0</v>
      </c>
      <c r="X62" s="96">
        <f t="shared" si="25"/>
        <v>0</v>
      </c>
      <c r="Y62" s="96">
        <f t="shared" si="26"/>
        <v>0</v>
      </c>
      <c r="Z62" s="96">
        <f t="shared" si="26"/>
        <v>0</v>
      </c>
      <c r="AA62" s="96">
        <f t="shared" si="26"/>
        <v>0</v>
      </c>
      <c r="AB62" s="96">
        <f t="shared" si="26"/>
        <v>0</v>
      </c>
      <c r="AC62" s="96">
        <f t="shared" si="26"/>
        <v>0</v>
      </c>
      <c r="AD62" s="96">
        <f t="shared" si="26"/>
        <v>0</v>
      </c>
      <c r="AE62" s="96">
        <f t="shared" si="26"/>
        <v>0</v>
      </c>
      <c r="AF62" s="96">
        <f t="shared" si="26"/>
        <v>0</v>
      </c>
      <c r="AG62" s="96">
        <f t="shared" si="26"/>
        <v>0</v>
      </c>
      <c r="AH62" s="96">
        <f t="shared" si="26"/>
        <v>0</v>
      </c>
      <c r="AI62" s="96">
        <f t="shared" si="26"/>
        <v>0</v>
      </c>
      <c r="AJ62" s="96">
        <f t="shared" si="26"/>
        <v>0</v>
      </c>
      <c r="AK62" s="96">
        <f t="shared" si="26"/>
        <v>0</v>
      </c>
      <c r="AL62" s="97">
        <f t="shared" si="26"/>
        <v>0</v>
      </c>
      <c r="AM62" s="88">
        <f t="shared" si="23"/>
        <v>0</v>
      </c>
    </row>
    <row r="63" spans="1:39" x14ac:dyDescent="0.2">
      <c r="C63" s="260"/>
      <c r="D63" s="84" t="s">
        <v>195</v>
      </c>
      <c r="E63" s="95">
        <f t="shared" si="24"/>
        <v>0</v>
      </c>
      <c r="F63" s="96">
        <f t="shared" si="24"/>
        <v>0</v>
      </c>
      <c r="G63" s="96">
        <f t="shared" si="24"/>
        <v>0</v>
      </c>
      <c r="H63" s="96">
        <f t="shared" si="24"/>
        <v>0</v>
      </c>
      <c r="I63" s="96">
        <f t="shared" si="24"/>
        <v>0</v>
      </c>
      <c r="J63" s="96">
        <f t="shared" si="24"/>
        <v>0</v>
      </c>
      <c r="K63" s="96">
        <f t="shared" si="24"/>
        <v>0</v>
      </c>
      <c r="L63" s="96">
        <f t="shared" si="24"/>
        <v>0</v>
      </c>
      <c r="M63" s="96">
        <f t="shared" si="24"/>
        <v>0</v>
      </c>
      <c r="N63" s="96">
        <f t="shared" si="24"/>
        <v>0</v>
      </c>
      <c r="O63" s="96">
        <f t="shared" si="25"/>
        <v>0</v>
      </c>
      <c r="P63" s="96">
        <f t="shared" si="25"/>
        <v>0</v>
      </c>
      <c r="Q63" s="96">
        <f t="shared" si="25"/>
        <v>0</v>
      </c>
      <c r="R63" s="96">
        <f t="shared" si="25"/>
        <v>0</v>
      </c>
      <c r="S63" s="96">
        <f t="shared" si="25"/>
        <v>0</v>
      </c>
      <c r="T63" s="96">
        <f t="shared" si="25"/>
        <v>0</v>
      </c>
      <c r="U63" s="96">
        <f t="shared" si="25"/>
        <v>0</v>
      </c>
      <c r="V63" s="96">
        <f t="shared" si="25"/>
        <v>0</v>
      </c>
      <c r="W63" s="96">
        <f t="shared" si="25"/>
        <v>0</v>
      </c>
      <c r="X63" s="96">
        <f t="shared" si="25"/>
        <v>0</v>
      </c>
      <c r="Y63" s="96">
        <f t="shared" si="26"/>
        <v>0</v>
      </c>
      <c r="Z63" s="96">
        <f t="shared" si="26"/>
        <v>0</v>
      </c>
      <c r="AA63" s="96">
        <f t="shared" si="26"/>
        <v>0</v>
      </c>
      <c r="AB63" s="96">
        <f t="shared" si="26"/>
        <v>0</v>
      </c>
      <c r="AC63" s="96">
        <f t="shared" si="26"/>
        <v>0</v>
      </c>
      <c r="AD63" s="96">
        <f t="shared" si="26"/>
        <v>0</v>
      </c>
      <c r="AE63" s="96">
        <f t="shared" si="26"/>
        <v>0</v>
      </c>
      <c r="AF63" s="96">
        <f t="shared" si="26"/>
        <v>0</v>
      </c>
      <c r="AG63" s="96">
        <f t="shared" si="26"/>
        <v>0</v>
      </c>
      <c r="AH63" s="96">
        <f t="shared" si="26"/>
        <v>0</v>
      </c>
      <c r="AI63" s="96">
        <f t="shared" si="26"/>
        <v>0</v>
      </c>
      <c r="AJ63" s="96">
        <f t="shared" si="26"/>
        <v>0</v>
      </c>
      <c r="AK63" s="96">
        <f t="shared" si="26"/>
        <v>0</v>
      </c>
      <c r="AL63" s="97">
        <f t="shared" si="26"/>
        <v>0</v>
      </c>
      <c r="AM63" s="88">
        <f t="shared" si="23"/>
        <v>0</v>
      </c>
    </row>
    <row r="64" spans="1:39" x14ac:dyDescent="0.2">
      <c r="C64" s="260"/>
      <c r="D64" s="84" t="s">
        <v>194</v>
      </c>
      <c r="E64" s="95">
        <f t="shared" ref="E64:N77" si="27">IFERROR(VLOOKUP(CONCATENATE($A$51,"-",$A$48, "-", $D64, "-", E$43, "-", $A$45),model_trn_trips,7,FALSE),0)</f>
        <v>0</v>
      </c>
      <c r="F64" s="96">
        <f t="shared" si="27"/>
        <v>0</v>
      </c>
      <c r="G64" s="96">
        <f t="shared" si="27"/>
        <v>0</v>
      </c>
      <c r="H64" s="96">
        <f t="shared" si="27"/>
        <v>0</v>
      </c>
      <c r="I64" s="96">
        <f t="shared" si="27"/>
        <v>0</v>
      </c>
      <c r="J64" s="96">
        <f t="shared" si="27"/>
        <v>0</v>
      </c>
      <c r="K64" s="96">
        <f t="shared" si="27"/>
        <v>0</v>
      </c>
      <c r="L64" s="96">
        <f t="shared" si="27"/>
        <v>0</v>
      </c>
      <c r="M64" s="96">
        <f t="shared" si="27"/>
        <v>0</v>
      </c>
      <c r="N64" s="96">
        <f t="shared" si="27"/>
        <v>0</v>
      </c>
      <c r="O64" s="96">
        <f t="shared" ref="O64:X77" si="28">IFERROR(VLOOKUP(CONCATENATE($A$51,"-",$A$48, "-", $D64, "-", O$43, "-", $A$45),model_trn_trips,7,FALSE),0)</f>
        <v>0</v>
      </c>
      <c r="P64" s="96">
        <f t="shared" si="28"/>
        <v>0</v>
      </c>
      <c r="Q64" s="96">
        <f t="shared" si="28"/>
        <v>0</v>
      </c>
      <c r="R64" s="96">
        <f t="shared" si="28"/>
        <v>0</v>
      </c>
      <c r="S64" s="96">
        <f t="shared" si="28"/>
        <v>0</v>
      </c>
      <c r="T64" s="96">
        <f t="shared" si="28"/>
        <v>0</v>
      </c>
      <c r="U64" s="96">
        <f t="shared" si="28"/>
        <v>0</v>
      </c>
      <c r="V64" s="96">
        <f t="shared" si="28"/>
        <v>0</v>
      </c>
      <c r="W64" s="96">
        <f t="shared" si="28"/>
        <v>0</v>
      </c>
      <c r="X64" s="96">
        <f t="shared" si="28"/>
        <v>0</v>
      </c>
      <c r="Y64" s="96">
        <f t="shared" ref="Y64:AL77" si="29">IFERROR(VLOOKUP(CONCATENATE($A$51,"-",$A$48, "-", $D64, "-", Y$43, "-", $A$45),model_trn_trips,7,FALSE),0)</f>
        <v>0</v>
      </c>
      <c r="Z64" s="96">
        <f t="shared" si="29"/>
        <v>0</v>
      </c>
      <c r="AA64" s="96">
        <f t="shared" si="29"/>
        <v>0</v>
      </c>
      <c r="AB64" s="96">
        <f t="shared" si="29"/>
        <v>0</v>
      </c>
      <c r="AC64" s="96">
        <f t="shared" si="29"/>
        <v>0</v>
      </c>
      <c r="AD64" s="96">
        <f t="shared" si="29"/>
        <v>0</v>
      </c>
      <c r="AE64" s="96">
        <f t="shared" si="29"/>
        <v>0</v>
      </c>
      <c r="AF64" s="96">
        <f t="shared" si="29"/>
        <v>0</v>
      </c>
      <c r="AG64" s="96">
        <f t="shared" si="29"/>
        <v>0</v>
      </c>
      <c r="AH64" s="96">
        <f t="shared" si="29"/>
        <v>0</v>
      </c>
      <c r="AI64" s="96">
        <f t="shared" si="29"/>
        <v>0</v>
      </c>
      <c r="AJ64" s="96">
        <f t="shared" si="29"/>
        <v>0</v>
      </c>
      <c r="AK64" s="96">
        <f t="shared" si="29"/>
        <v>0</v>
      </c>
      <c r="AL64" s="97">
        <f t="shared" si="29"/>
        <v>0</v>
      </c>
      <c r="AM64" s="88">
        <f t="shared" si="23"/>
        <v>0</v>
      </c>
    </row>
    <row r="65" spans="3:39" x14ac:dyDescent="0.2">
      <c r="C65" s="260"/>
      <c r="D65" s="84" t="s">
        <v>196</v>
      </c>
      <c r="E65" s="95">
        <f t="shared" si="27"/>
        <v>0</v>
      </c>
      <c r="F65" s="96">
        <f t="shared" si="27"/>
        <v>0</v>
      </c>
      <c r="G65" s="96">
        <f t="shared" si="27"/>
        <v>0</v>
      </c>
      <c r="H65" s="96">
        <f t="shared" si="27"/>
        <v>0</v>
      </c>
      <c r="I65" s="96">
        <f t="shared" si="27"/>
        <v>0</v>
      </c>
      <c r="J65" s="96">
        <f t="shared" si="27"/>
        <v>0</v>
      </c>
      <c r="K65" s="96">
        <f t="shared" si="27"/>
        <v>0</v>
      </c>
      <c r="L65" s="96">
        <f t="shared" si="27"/>
        <v>0</v>
      </c>
      <c r="M65" s="96">
        <f t="shared" si="27"/>
        <v>0</v>
      </c>
      <c r="N65" s="96">
        <f t="shared" si="27"/>
        <v>0</v>
      </c>
      <c r="O65" s="96">
        <f t="shared" si="28"/>
        <v>0</v>
      </c>
      <c r="P65" s="96">
        <f t="shared" si="28"/>
        <v>0</v>
      </c>
      <c r="Q65" s="96">
        <f t="shared" si="28"/>
        <v>0</v>
      </c>
      <c r="R65" s="96">
        <f t="shared" si="28"/>
        <v>0</v>
      </c>
      <c r="S65" s="96">
        <f t="shared" si="28"/>
        <v>0</v>
      </c>
      <c r="T65" s="96">
        <f t="shared" si="28"/>
        <v>0</v>
      </c>
      <c r="U65" s="96">
        <f t="shared" si="28"/>
        <v>0</v>
      </c>
      <c r="V65" s="96">
        <f t="shared" si="28"/>
        <v>0</v>
      </c>
      <c r="W65" s="96">
        <f t="shared" si="28"/>
        <v>0</v>
      </c>
      <c r="X65" s="96">
        <f t="shared" si="28"/>
        <v>0</v>
      </c>
      <c r="Y65" s="96">
        <f t="shared" si="29"/>
        <v>0</v>
      </c>
      <c r="Z65" s="96">
        <f t="shared" si="29"/>
        <v>0</v>
      </c>
      <c r="AA65" s="96">
        <f t="shared" si="29"/>
        <v>0</v>
      </c>
      <c r="AB65" s="96">
        <f t="shared" si="29"/>
        <v>0</v>
      </c>
      <c r="AC65" s="96">
        <f t="shared" si="29"/>
        <v>0</v>
      </c>
      <c r="AD65" s="96">
        <f t="shared" si="29"/>
        <v>0</v>
      </c>
      <c r="AE65" s="96">
        <f t="shared" si="29"/>
        <v>0</v>
      </c>
      <c r="AF65" s="96">
        <f t="shared" si="29"/>
        <v>0</v>
      </c>
      <c r="AG65" s="96">
        <f t="shared" si="29"/>
        <v>0</v>
      </c>
      <c r="AH65" s="96">
        <f t="shared" si="29"/>
        <v>0</v>
      </c>
      <c r="AI65" s="96">
        <f t="shared" si="29"/>
        <v>0</v>
      </c>
      <c r="AJ65" s="96">
        <f t="shared" si="29"/>
        <v>0</v>
      </c>
      <c r="AK65" s="96">
        <f t="shared" si="29"/>
        <v>0</v>
      </c>
      <c r="AL65" s="97">
        <f t="shared" si="29"/>
        <v>0</v>
      </c>
      <c r="AM65" s="88">
        <f t="shared" si="23"/>
        <v>0</v>
      </c>
    </row>
    <row r="66" spans="3:39" x14ac:dyDescent="0.2">
      <c r="C66" s="260"/>
      <c r="D66" s="84" t="s">
        <v>197</v>
      </c>
      <c r="E66" s="95">
        <f t="shared" si="27"/>
        <v>0</v>
      </c>
      <c r="F66" s="96">
        <f t="shared" si="27"/>
        <v>0</v>
      </c>
      <c r="G66" s="96">
        <f t="shared" si="27"/>
        <v>0</v>
      </c>
      <c r="H66" s="96">
        <f t="shared" si="27"/>
        <v>0</v>
      </c>
      <c r="I66" s="96">
        <f t="shared" si="27"/>
        <v>0</v>
      </c>
      <c r="J66" s="96">
        <f t="shared" si="27"/>
        <v>0</v>
      </c>
      <c r="K66" s="96">
        <f t="shared" si="27"/>
        <v>0</v>
      </c>
      <c r="L66" s="96">
        <f t="shared" si="27"/>
        <v>0</v>
      </c>
      <c r="M66" s="96">
        <f t="shared" si="27"/>
        <v>0</v>
      </c>
      <c r="N66" s="96">
        <f t="shared" si="27"/>
        <v>0</v>
      </c>
      <c r="O66" s="96">
        <f t="shared" si="28"/>
        <v>0</v>
      </c>
      <c r="P66" s="96">
        <f t="shared" si="28"/>
        <v>0</v>
      </c>
      <c r="Q66" s="96">
        <f t="shared" si="28"/>
        <v>0</v>
      </c>
      <c r="R66" s="96">
        <f t="shared" si="28"/>
        <v>0</v>
      </c>
      <c r="S66" s="96">
        <f t="shared" si="28"/>
        <v>0</v>
      </c>
      <c r="T66" s="96">
        <f t="shared" si="28"/>
        <v>0</v>
      </c>
      <c r="U66" s="96">
        <f t="shared" si="28"/>
        <v>0</v>
      </c>
      <c r="V66" s="96">
        <f t="shared" si="28"/>
        <v>0</v>
      </c>
      <c r="W66" s="96">
        <f t="shared" si="28"/>
        <v>0</v>
      </c>
      <c r="X66" s="96">
        <f t="shared" si="28"/>
        <v>0</v>
      </c>
      <c r="Y66" s="96">
        <f t="shared" si="29"/>
        <v>0</v>
      </c>
      <c r="Z66" s="96">
        <f t="shared" si="29"/>
        <v>0</v>
      </c>
      <c r="AA66" s="96">
        <f t="shared" si="29"/>
        <v>0</v>
      </c>
      <c r="AB66" s="96">
        <f t="shared" si="29"/>
        <v>0</v>
      </c>
      <c r="AC66" s="96">
        <f t="shared" si="29"/>
        <v>0</v>
      </c>
      <c r="AD66" s="96">
        <f t="shared" si="29"/>
        <v>0</v>
      </c>
      <c r="AE66" s="96">
        <f t="shared" si="29"/>
        <v>0</v>
      </c>
      <c r="AF66" s="96">
        <f t="shared" si="29"/>
        <v>0</v>
      </c>
      <c r="AG66" s="96">
        <f t="shared" si="29"/>
        <v>0</v>
      </c>
      <c r="AH66" s="96">
        <f t="shared" si="29"/>
        <v>0</v>
      </c>
      <c r="AI66" s="96">
        <f t="shared" si="29"/>
        <v>0</v>
      </c>
      <c r="AJ66" s="96">
        <f t="shared" si="29"/>
        <v>0</v>
      </c>
      <c r="AK66" s="96">
        <f t="shared" si="29"/>
        <v>0</v>
      </c>
      <c r="AL66" s="97">
        <f t="shared" si="29"/>
        <v>0</v>
      </c>
      <c r="AM66" s="88">
        <f t="shared" si="23"/>
        <v>0</v>
      </c>
    </row>
    <row r="67" spans="3:39" x14ac:dyDescent="0.2">
      <c r="C67" s="260"/>
      <c r="D67" s="84" t="s">
        <v>161</v>
      </c>
      <c r="E67" s="95">
        <f t="shared" si="27"/>
        <v>0</v>
      </c>
      <c r="F67" s="96">
        <f t="shared" si="27"/>
        <v>0</v>
      </c>
      <c r="G67" s="96">
        <f t="shared" si="27"/>
        <v>0</v>
      </c>
      <c r="H67" s="96">
        <f t="shared" si="27"/>
        <v>0</v>
      </c>
      <c r="I67" s="96">
        <f t="shared" si="27"/>
        <v>0</v>
      </c>
      <c r="J67" s="96">
        <f t="shared" si="27"/>
        <v>0</v>
      </c>
      <c r="K67" s="96">
        <f t="shared" si="27"/>
        <v>0</v>
      </c>
      <c r="L67" s="96">
        <f t="shared" si="27"/>
        <v>0</v>
      </c>
      <c r="M67" s="96">
        <f t="shared" si="27"/>
        <v>0</v>
      </c>
      <c r="N67" s="96">
        <f t="shared" si="27"/>
        <v>0</v>
      </c>
      <c r="O67" s="96">
        <f t="shared" si="28"/>
        <v>0</v>
      </c>
      <c r="P67" s="96">
        <f t="shared" si="28"/>
        <v>0</v>
      </c>
      <c r="Q67" s="96">
        <f t="shared" si="28"/>
        <v>0</v>
      </c>
      <c r="R67" s="96">
        <f t="shared" si="28"/>
        <v>0</v>
      </c>
      <c r="S67" s="96">
        <f t="shared" si="28"/>
        <v>0</v>
      </c>
      <c r="T67" s="96">
        <f t="shared" si="28"/>
        <v>0</v>
      </c>
      <c r="U67" s="96">
        <f t="shared" si="28"/>
        <v>0</v>
      </c>
      <c r="V67" s="96">
        <f t="shared" si="28"/>
        <v>0</v>
      </c>
      <c r="W67" s="96">
        <f t="shared" si="28"/>
        <v>0</v>
      </c>
      <c r="X67" s="96">
        <f t="shared" si="28"/>
        <v>0</v>
      </c>
      <c r="Y67" s="96">
        <f t="shared" si="29"/>
        <v>0</v>
      </c>
      <c r="Z67" s="96">
        <f t="shared" si="29"/>
        <v>0</v>
      </c>
      <c r="AA67" s="96">
        <f t="shared" si="29"/>
        <v>0</v>
      </c>
      <c r="AB67" s="96">
        <f t="shared" si="29"/>
        <v>0</v>
      </c>
      <c r="AC67" s="96">
        <f t="shared" si="29"/>
        <v>0</v>
      </c>
      <c r="AD67" s="96">
        <f t="shared" si="29"/>
        <v>0</v>
      </c>
      <c r="AE67" s="96">
        <f t="shared" si="29"/>
        <v>0</v>
      </c>
      <c r="AF67" s="96">
        <f t="shared" si="29"/>
        <v>0</v>
      </c>
      <c r="AG67" s="96">
        <f t="shared" si="29"/>
        <v>0</v>
      </c>
      <c r="AH67" s="96">
        <f t="shared" si="29"/>
        <v>0</v>
      </c>
      <c r="AI67" s="96">
        <f t="shared" si="29"/>
        <v>0</v>
      </c>
      <c r="AJ67" s="96">
        <f t="shared" si="29"/>
        <v>0</v>
      </c>
      <c r="AK67" s="96">
        <f t="shared" si="29"/>
        <v>0</v>
      </c>
      <c r="AL67" s="97">
        <f t="shared" si="29"/>
        <v>0</v>
      </c>
      <c r="AM67" s="88">
        <f t="shared" si="23"/>
        <v>0</v>
      </c>
    </row>
    <row r="68" spans="3:39" x14ac:dyDescent="0.2">
      <c r="C68" s="260"/>
      <c r="D68" s="84" t="s">
        <v>198</v>
      </c>
      <c r="E68" s="95">
        <f t="shared" si="27"/>
        <v>0</v>
      </c>
      <c r="F68" s="96">
        <f t="shared" si="27"/>
        <v>0</v>
      </c>
      <c r="G68" s="96">
        <f t="shared" si="27"/>
        <v>0</v>
      </c>
      <c r="H68" s="96">
        <f t="shared" si="27"/>
        <v>0</v>
      </c>
      <c r="I68" s="96">
        <f t="shared" si="27"/>
        <v>0</v>
      </c>
      <c r="J68" s="96">
        <f t="shared" si="27"/>
        <v>0</v>
      </c>
      <c r="K68" s="96">
        <f t="shared" si="27"/>
        <v>0</v>
      </c>
      <c r="L68" s="96">
        <f t="shared" si="27"/>
        <v>0</v>
      </c>
      <c r="M68" s="96">
        <f t="shared" si="27"/>
        <v>0</v>
      </c>
      <c r="N68" s="96">
        <f t="shared" si="27"/>
        <v>0</v>
      </c>
      <c r="O68" s="96">
        <f t="shared" si="28"/>
        <v>0</v>
      </c>
      <c r="P68" s="96">
        <f t="shared" si="28"/>
        <v>0</v>
      </c>
      <c r="Q68" s="96">
        <f t="shared" si="28"/>
        <v>0</v>
      </c>
      <c r="R68" s="96">
        <f t="shared" si="28"/>
        <v>0</v>
      </c>
      <c r="S68" s="96">
        <f t="shared" si="28"/>
        <v>0</v>
      </c>
      <c r="T68" s="96">
        <f t="shared" si="28"/>
        <v>0</v>
      </c>
      <c r="U68" s="96">
        <f t="shared" si="28"/>
        <v>0</v>
      </c>
      <c r="V68" s="96">
        <f t="shared" si="28"/>
        <v>0</v>
      </c>
      <c r="W68" s="96">
        <f t="shared" si="28"/>
        <v>0</v>
      </c>
      <c r="X68" s="96">
        <f t="shared" si="28"/>
        <v>0</v>
      </c>
      <c r="Y68" s="96">
        <f t="shared" si="29"/>
        <v>0</v>
      </c>
      <c r="Z68" s="96">
        <f t="shared" si="29"/>
        <v>0</v>
      </c>
      <c r="AA68" s="96">
        <f t="shared" si="29"/>
        <v>0</v>
      </c>
      <c r="AB68" s="96">
        <f t="shared" si="29"/>
        <v>0</v>
      </c>
      <c r="AC68" s="96">
        <f t="shared" si="29"/>
        <v>0</v>
      </c>
      <c r="AD68" s="96">
        <f t="shared" si="29"/>
        <v>0</v>
      </c>
      <c r="AE68" s="96">
        <f t="shared" si="29"/>
        <v>0</v>
      </c>
      <c r="AF68" s="96">
        <f t="shared" si="29"/>
        <v>0</v>
      </c>
      <c r="AG68" s="96">
        <f t="shared" si="29"/>
        <v>0</v>
      </c>
      <c r="AH68" s="96">
        <f t="shared" si="29"/>
        <v>0</v>
      </c>
      <c r="AI68" s="96">
        <f t="shared" si="29"/>
        <v>0</v>
      </c>
      <c r="AJ68" s="96">
        <f t="shared" si="29"/>
        <v>0</v>
      </c>
      <c r="AK68" s="96">
        <f t="shared" si="29"/>
        <v>0</v>
      </c>
      <c r="AL68" s="97">
        <f t="shared" si="29"/>
        <v>0</v>
      </c>
      <c r="AM68" s="88">
        <f t="shared" si="23"/>
        <v>0</v>
      </c>
    </row>
    <row r="69" spans="3:39" x14ac:dyDescent="0.2">
      <c r="C69" s="260"/>
      <c r="D69" s="84" t="s">
        <v>199</v>
      </c>
      <c r="E69" s="95">
        <f t="shared" si="27"/>
        <v>0</v>
      </c>
      <c r="F69" s="96">
        <f t="shared" si="27"/>
        <v>0</v>
      </c>
      <c r="G69" s="96">
        <f t="shared" si="27"/>
        <v>0</v>
      </c>
      <c r="H69" s="96">
        <f t="shared" si="27"/>
        <v>0</v>
      </c>
      <c r="I69" s="96">
        <f t="shared" si="27"/>
        <v>0</v>
      </c>
      <c r="J69" s="96">
        <f t="shared" si="27"/>
        <v>0</v>
      </c>
      <c r="K69" s="96">
        <f t="shared" si="27"/>
        <v>0</v>
      </c>
      <c r="L69" s="96">
        <f t="shared" si="27"/>
        <v>0</v>
      </c>
      <c r="M69" s="96">
        <f t="shared" si="27"/>
        <v>0</v>
      </c>
      <c r="N69" s="96">
        <f t="shared" si="27"/>
        <v>0</v>
      </c>
      <c r="O69" s="96">
        <f t="shared" si="28"/>
        <v>0</v>
      </c>
      <c r="P69" s="96">
        <f t="shared" si="28"/>
        <v>0</v>
      </c>
      <c r="Q69" s="96">
        <f t="shared" si="28"/>
        <v>0</v>
      </c>
      <c r="R69" s="96">
        <f t="shared" si="28"/>
        <v>0</v>
      </c>
      <c r="S69" s="96">
        <f t="shared" si="28"/>
        <v>0</v>
      </c>
      <c r="T69" s="96">
        <f t="shared" si="28"/>
        <v>0</v>
      </c>
      <c r="U69" s="96">
        <f t="shared" si="28"/>
        <v>0</v>
      </c>
      <c r="V69" s="96">
        <f t="shared" si="28"/>
        <v>0</v>
      </c>
      <c r="W69" s="96">
        <f t="shared" si="28"/>
        <v>0</v>
      </c>
      <c r="X69" s="96">
        <f t="shared" si="28"/>
        <v>0</v>
      </c>
      <c r="Y69" s="96">
        <f t="shared" si="29"/>
        <v>0</v>
      </c>
      <c r="Z69" s="96">
        <f t="shared" si="29"/>
        <v>0</v>
      </c>
      <c r="AA69" s="96">
        <f t="shared" si="29"/>
        <v>0</v>
      </c>
      <c r="AB69" s="96">
        <f t="shared" si="29"/>
        <v>0</v>
      </c>
      <c r="AC69" s="96">
        <f t="shared" si="29"/>
        <v>0</v>
      </c>
      <c r="AD69" s="96">
        <f t="shared" si="29"/>
        <v>0</v>
      </c>
      <c r="AE69" s="96">
        <f t="shared" si="29"/>
        <v>0</v>
      </c>
      <c r="AF69" s="96">
        <f t="shared" si="29"/>
        <v>0</v>
      </c>
      <c r="AG69" s="96">
        <f t="shared" si="29"/>
        <v>0</v>
      </c>
      <c r="AH69" s="96">
        <f t="shared" si="29"/>
        <v>0</v>
      </c>
      <c r="AI69" s="96">
        <f t="shared" si="29"/>
        <v>0</v>
      </c>
      <c r="AJ69" s="96">
        <f t="shared" si="29"/>
        <v>0</v>
      </c>
      <c r="AK69" s="96">
        <f t="shared" si="29"/>
        <v>0</v>
      </c>
      <c r="AL69" s="97">
        <f t="shared" si="29"/>
        <v>0</v>
      </c>
      <c r="AM69" s="88">
        <f t="shared" si="23"/>
        <v>0</v>
      </c>
    </row>
    <row r="70" spans="3:39" x14ac:dyDescent="0.2">
      <c r="C70" s="260"/>
      <c r="D70" s="84" t="s">
        <v>200</v>
      </c>
      <c r="E70" s="95">
        <f t="shared" si="27"/>
        <v>0</v>
      </c>
      <c r="F70" s="96">
        <f t="shared" si="27"/>
        <v>0</v>
      </c>
      <c r="G70" s="96">
        <f t="shared" si="27"/>
        <v>0</v>
      </c>
      <c r="H70" s="96">
        <f t="shared" si="27"/>
        <v>0</v>
      </c>
      <c r="I70" s="96">
        <f t="shared" si="27"/>
        <v>0</v>
      </c>
      <c r="J70" s="96">
        <f t="shared" si="27"/>
        <v>0</v>
      </c>
      <c r="K70" s="96">
        <f t="shared" si="27"/>
        <v>0</v>
      </c>
      <c r="L70" s="96">
        <f t="shared" si="27"/>
        <v>0</v>
      </c>
      <c r="M70" s="96">
        <f t="shared" si="27"/>
        <v>0</v>
      </c>
      <c r="N70" s="96">
        <f t="shared" si="27"/>
        <v>0</v>
      </c>
      <c r="O70" s="96">
        <f t="shared" si="28"/>
        <v>0</v>
      </c>
      <c r="P70" s="96">
        <f t="shared" si="28"/>
        <v>0</v>
      </c>
      <c r="Q70" s="96">
        <f t="shared" si="28"/>
        <v>0</v>
      </c>
      <c r="R70" s="96">
        <f t="shared" si="28"/>
        <v>0</v>
      </c>
      <c r="S70" s="96">
        <f t="shared" si="28"/>
        <v>0</v>
      </c>
      <c r="T70" s="96">
        <f t="shared" si="28"/>
        <v>0</v>
      </c>
      <c r="U70" s="96">
        <f t="shared" si="28"/>
        <v>0</v>
      </c>
      <c r="V70" s="96">
        <f t="shared" si="28"/>
        <v>0</v>
      </c>
      <c r="W70" s="96">
        <f t="shared" si="28"/>
        <v>0</v>
      </c>
      <c r="X70" s="96">
        <f t="shared" si="28"/>
        <v>0</v>
      </c>
      <c r="Y70" s="96">
        <f t="shared" si="29"/>
        <v>0</v>
      </c>
      <c r="Z70" s="96">
        <f t="shared" si="29"/>
        <v>0</v>
      </c>
      <c r="AA70" s="96">
        <f t="shared" si="29"/>
        <v>0</v>
      </c>
      <c r="AB70" s="96">
        <f t="shared" si="29"/>
        <v>0</v>
      </c>
      <c r="AC70" s="96">
        <f t="shared" si="29"/>
        <v>0</v>
      </c>
      <c r="AD70" s="96">
        <f t="shared" si="29"/>
        <v>0</v>
      </c>
      <c r="AE70" s="96">
        <f t="shared" si="29"/>
        <v>0</v>
      </c>
      <c r="AF70" s="96">
        <f t="shared" si="29"/>
        <v>0</v>
      </c>
      <c r="AG70" s="96">
        <f t="shared" si="29"/>
        <v>0</v>
      </c>
      <c r="AH70" s="96">
        <f t="shared" si="29"/>
        <v>0</v>
      </c>
      <c r="AI70" s="96">
        <f t="shared" si="29"/>
        <v>0</v>
      </c>
      <c r="AJ70" s="96">
        <f t="shared" si="29"/>
        <v>0</v>
      </c>
      <c r="AK70" s="96">
        <f t="shared" si="29"/>
        <v>0</v>
      </c>
      <c r="AL70" s="97">
        <f t="shared" si="29"/>
        <v>0</v>
      </c>
      <c r="AM70" s="88">
        <f t="shared" si="23"/>
        <v>0</v>
      </c>
    </row>
    <row r="71" spans="3:39" x14ac:dyDescent="0.2">
      <c r="C71" s="260"/>
      <c r="D71" s="84" t="s">
        <v>201</v>
      </c>
      <c r="E71" s="95">
        <f t="shared" si="27"/>
        <v>0</v>
      </c>
      <c r="F71" s="96">
        <f t="shared" si="27"/>
        <v>0</v>
      </c>
      <c r="G71" s="96">
        <f t="shared" si="27"/>
        <v>0</v>
      </c>
      <c r="H71" s="96">
        <f t="shared" si="27"/>
        <v>0</v>
      </c>
      <c r="I71" s="96">
        <f t="shared" si="27"/>
        <v>0</v>
      </c>
      <c r="J71" s="96">
        <f t="shared" si="27"/>
        <v>0</v>
      </c>
      <c r="K71" s="96">
        <f t="shared" si="27"/>
        <v>0</v>
      </c>
      <c r="L71" s="96">
        <f t="shared" si="27"/>
        <v>0</v>
      </c>
      <c r="M71" s="96">
        <f t="shared" si="27"/>
        <v>0</v>
      </c>
      <c r="N71" s="96">
        <f t="shared" si="27"/>
        <v>0</v>
      </c>
      <c r="O71" s="96">
        <f t="shared" si="28"/>
        <v>0</v>
      </c>
      <c r="P71" s="96">
        <f t="shared" si="28"/>
        <v>0</v>
      </c>
      <c r="Q71" s="96">
        <f t="shared" si="28"/>
        <v>0</v>
      </c>
      <c r="R71" s="96">
        <f t="shared" si="28"/>
        <v>0</v>
      </c>
      <c r="S71" s="96">
        <f t="shared" si="28"/>
        <v>0</v>
      </c>
      <c r="T71" s="96">
        <f t="shared" si="28"/>
        <v>0</v>
      </c>
      <c r="U71" s="96">
        <f t="shared" si="28"/>
        <v>0</v>
      </c>
      <c r="V71" s="96">
        <f t="shared" si="28"/>
        <v>0</v>
      </c>
      <c r="W71" s="96">
        <f t="shared" si="28"/>
        <v>0</v>
      </c>
      <c r="X71" s="96">
        <f t="shared" si="28"/>
        <v>0</v>
      </c>
      <c r="Y71" s="96">
        <f t="shared" si="29"/>
        <v>0</v>
      </c>
      <c r="Z71" s="96">
        <f t="shared" si="29"/>
        <v>0</v>
      </c>
      <c r="AA71" s="96">
        <f t="shared" si="29"/>
        <v>0</v>
      </c>
      <c r="AB71" s="96">
        <f t="shared" si="29"/>
        <v>0</v>
      </c>
      <c r="AC71" s="96">
        <f t="shared" si="29"/>
        <v>0</v>
      </c>
      <c r="AD71" s="96">
        <f t="shared" si="29"/>
        <v>0</v>
      </c>
      <c r="AE71" s="96">
        <f t="shared" si="29"/>
        <v>0</v>
      </c>
      <c r="AF71" s="96">
        <f t="shared" si="29"/>
        <v>0</v>
      </c>
      <c r="AG71" s="96">
        <f t="shared" si="29"/>
        <v>0</v>
      </c>
      <c r="AH71" s="96">
        <f t="shared" si="29"/>
        <v>0</v>
      </c>
      <c r="AI71" s="96">
        <f t="shared" si="29"/>
        <v>0</v>
      </c>
      <c r="AJ71" s="96">
        <f t="shared" si="29"/>
        <v>0</v>
      </c>
      <c r="AK71" s="96">
        <f t="shared" si="29"/>
        <v>0</v>
      </c>
      <c r="AL71" s="97">
        <f t="shared" si="29"/>
        <v>0</v>
      </c>
      <c r="AM71" s="88">
        <f t="shared" si="23"/>
        <v>0</v>
      </c>
    </row>
    <row r="72" spans="3:39" x14ac:dyDescent="0.2">
      <c r="C72" s="260"/>
      <c r="D72" s="84" t="s">
        <v>202</v>
      </c>
      <c r="E72" s="95">
        <f t="shared" si="27"/>
        <v>0</v>
      </c>
      <c r="F72" s="96">
        <f t="shared" si="27"/>
        <v>0</v>
      </c>
      <c r="G72" s="96">
        <f t="shared" si="27"/>
        <v>0</v>
      </c>
      <c r="H72" s="96">
        <f t="shared" si="27"/>
        <v>0</v>
      </c>
      <c r="I72" s="96">
        <f t="shared" si="27"/>
        <v>0</v>
      </c>
      <c r="J72" s="96">
        <f t="shared" si="27"/>
        <v>0</v>
      </c>
      <c r="K72" s="96">
        <f t="shared" si="27"/>
        <v>0</v>
      </c>
      <c r="L72" s="96">
        <f t="shared" si="27"/>
        <v>0</v>
      </c>
      <c r="M72" s="96">
        <f t="shared" si="27"/>
        <v>0</v>
      </c>
      <c r="N72" s="96">
        <f t="shared" si="27"/>
        <v>0</v>
      </c>
      <c r="O72" s="96">
        <f t="shared" si="28"/>
        <v>0</v>
      </c>
      <c r="P72" s="96">
        <f t="shared" si="28"/>
        <v>0</v>
      </c>
      <c r="Q72" s="96">
        <f t="shared" si="28"/>
        <v>0</v>
      </c>
      <c r="R72" s="96">
        <f t="shared" si="28"/>
        <v>0</v>
      </c>
      <c r="S72" s="96">
        <f t="shared" si="28"/>
        <v>0</v>
      </c>
      <c r="T72" s="96">
        <f t="shared" si="28"/>
        <v>0</v>
      </c>
      <c r="U72" s="96">
        <f t="shared" si="28"/>
        <v>0</v>
      </c>
      <c r="V72" s="96">
        <f t="shared" si="28"/>
        <v>0</v>
      </c>
      <c r="W72" s="96">
        <f t="shared" si="28"/>
        <v>0</v>
      </c>
      <c r="X72" s="96">
        <f t="shared" si="28"/>
        <v>0</v>
      </c>
      <c r="Y72" s="96">
        <f t="shared" si="29"/>
        <v>0</v>
      </c>
      <c r="Z72" s="96">
        <f t="shared" si="29"/>
        <v>0</v>
      </c>
      <c r="AA72" s="96">
        <f t="shared" si="29"/>
        <v>0</v>
      </c>
      <c r="AB72" s="96">
        <f t="shared" si="29"/>
        <v>0</v>
      </c>
      <c r="AC72" s="96">
        <f t="shared" si="29"/>
        <v>0</v>
      </c>
      <c r="AD72" s="96">
        <f t="shared" si="29"/>
        <v>0</v>
      </c>
      <c r="AE72" s="96">
        <f t="shared" si="29"/>
        <v>0</v>
      </c>
      <c r="AF72" s="96">
        <f t="shared" si="29"/>
        <v>0</v>
      </c>
      <c r="AG72" s="96">
        <f t="shared" si="29"/>
        <v>0</v>
      </c>
      <c r="AH72" s="96">
        <f t="shared" si="29"/>
        <v>0</v>
      </c>
      <c r="AI72" s="96">
        <f t="shared" si="29"/>
        <v>0</v>
      </c>
      <c r="AJ72" s="96">
        <f t="shared" si="29"/>
        <v>0</v>
      </c>
      <c r="AK72" s="96">
        <f t="shared" si="29"/>
        <v>0</v>
      </c>
      <c r="AL72" s="97">
        <f t="shared" si="29"/>
        <v>0</v>
      </c>
      <c r="AM72" s="88">
        <f t="shared" si="23"/>
        <v>0</v>
      </c>
    </row>
    <row r="73" spans="3:39" x14ac:dyDescent="0.2">
      <c r="C73" s="260"/>
      <c r="D73" s="84" t="s">
        <v>203</v>
      </c>
      <c r="E73" s="95">
        <f t="shared" si="27"/>
        <v>0</v>
      </c>
      <c r="F73" s="96">
        <f t="shared" si="27"/>
        <v>0</v>
      </c>
      <c r="G73" s="96">
        <f t="shared" si="27"/>
        <v>0</v>
      </c>
      <c r="H73" s="96">
        <f t="shared" si="27"/>
        <v>0</v>
      </c>
      <c r="I73" s="96">
        <f t="shared" si="27"/>
        <v>0</v>
      </c>
      <c r="J73" s="96">
        <f t="shared" si="27"/>
        <v>0</v>
      </c>
      <c r="K73" s="96">
        <f t="shared" si="27"/>
        <v>0</v>
      </c>
      <c r="L73" s="96">
        <f t="shared" si="27"/>
        <v>0</v>
      </c>
      <c r="M73" s="96">
        <f t="shared" si="27"/>
        <v>0</v>
      </c>
      <c r="N73" s="96">
        <f t="shared" si="27"/>
        <v>0</v>
      </c>
      <c r="O73" s="96">
        <f t="shared" si="28"/>
        <v>0</v>
      </c>
      <c r="P73" s="96">
        <f t="shared" si="28"/>
        <v>0</v>
      </c>
      <c r="Q73" s="96">
        <f t="shared" si="28"/>
        <v>0</v>
      </c>
      <c r="R73" s="96">
        <f t="shared" si="28"/>
        <v>0</v>
      </c>
      <c r="S73" s="96">
        <f t="shared" si="28"/>
        <v>0</v>
      </c>
      <c r="T73" s="96">
        <f t="shared" si="28"/>
        <v>0</v>
      </c>
      <c r="U73" s="96">
        <f t="shared" si="28"/>
        <v>0</v>
      </c>
      <c r="V73" s="96">
        <f t="shared" si="28"/>
        <v>0</v>
      </c>
      <c r="W73" s="96">
        <f t="shared" si="28"/>
        <v>0</v>
      </c>
      <c r="X73" s="96">
        <f t="shared" si="28"/>
        <v>0</v>
      </c>
      <c r="Y73" s="96">
        <f t="shared" si="29"/>
        <v>0</v>
      </c>
      <c r="Z73" s="96">
        <f t="shared" si="29"/>
        <v>0</v>
      </c>
      <c r="AA73" s="96">
        <f t="shared" si="29"/>
        <v>0</v>
      </c>
      <c r="AB73" s="96">
        <f t="shared" si="29"/>
        <v>0</v>
      </c>
      <c r="AC73" s="96">
        <f t="shared" si="29"/>
        <v>0</v>
      </c>
      <c r="AD73" s="96">
        <f t="shared" si="29"/>
        <v>0</v>
      </c>
      <c r="AE73" s="96">
        <f t="shared" si="29"/>
        <v>0</v>
      </c>
      <c r="AF73" s="96">
        <f t="shared" si="29"/>
        <v>0</v>
      </c>
      <c r="AG73" s="96">
        <f t="shared" si="29"/>
        <v>0</v>
      </c>
      <c r="AH73" s="96">
        <f t="shared" si="29"/>
        <v>0</v>
      </c>
      <c r="AI73" s="96">
        <f t="shared" si="29"/>
        <v>0</v>
      </c>
      <c r="AJ73" s="96">
        <f t="shared" si="29"/>
        <v>0</v>
      </c>
      <c r="AK73" s="96">
        <f t="shared" si="29"/>
        <v>0</v>
      </c>
      <c r="AL73" s="97">
        <f t="shared" si="29"/>
        <v>0</v>
      </c>
      <c r="AM73" s="88">
        <f t="shared" si="23"/>
        <v>0</v>
      </c>
    </row>
    <row r="74" spans="3:39" x14ac:dyDescent="0.2">
      <c r="C74" s="260"/>
      <c r="D74" s="84" t="s">
        <v>204</v>
      </c>
      <c r="E74" s="95">
        <f t="shared" si="27"/>
        <v>0</v>
      </c>
      <c r="F74" s="96">
        <f t="shared" si="27"/>
        <v>0</v>
      </c>
      <c r="G74" s="96">
        <f t="shared" si="27"/>
        <v>0</v>
      </c>
      <c r="H74" s="96">
        <f t="shared" si="27"/>
        <v>0</v>
      </c>
      <c r="I74" s="96">
        <f t="shared" si="27"/>
        <v>0</v>
      </c>
      <c r="J74" s="96">
        <f t="shared" si="27"/>
        <v>0</v>
      </c>
      <c r="K74" s="96">
        <f t="shared" si="27"/>
        <v>0</v>
      </c>
      <c r="L74" s="96">
        <f t="shared" si="27"/>
        <v>0</v>
      </c>
      <c r="M74" s="96">
        <f t="shared" si="27"/>
        <v>0</v>
      </c>
      <c r="N74" s="96">
        <f t="shared" si="27"/>
        <v>0</v>
      </c>
      <c r="O74" s="96">
        <f t="shared" si="28"/>
        <v>0</v>
      </c>
      <c r="P74" s="96">
        <f t="shared" si="28"/>
        <v>0</v>
      </c>
      <c r="Q74" s="96">
        <f t="shared" si="28"/>
        <v>0</v>
      </c>
      <c r="R74" s="96">
        <f t="shared" si="28"/>
        <v>0</v>
      </c>
      <c r="S74" s="96">
        <f t="shared" si="28"/>
        <v>0</v>
      </c>
      <c r="T74" s="96">
        <f t="shared" si="28"/>
        <v>0</v>
      </c>
      <c r="U74" s="96">
        <f t="shared" si="28"/>
        <v>0</v>
      </c>
      <c r="V74" s="96">
        <f t="shared" si="28"/>
        <v>0</v>
      </c>
      <c r="W74" s="96">
        <f t="shared" si="28"/>
        <v>0</v>
      </c>
      <c r="X74" s="96">
        <f t="shared" si="28"/>
        <v>0</v>
      </c>
      <c r="Y74" s="96">
        <f t="shared" si="29"/>
        <v>0</v>
      </c>
      <c r="Z74" s="96">
        <f t="shared" si="29"/>
        <v>0</v>
      </c>
      <c r="AA74" s="96">
        <f t="shared" si="29"/>
        <v>0</v>
      </c>
      <c r="AB74" s="96">
        <f t="shared" si="29"/>
        <v>0</v>
      </c>
      <c r="AC74" s="96">
        <f t="shared" si="29"/>
        <v>0</v>
      </c>
      <c r="AD74" s="96">
        <f t="shared" si="29"/>
        <v>0</v>
      </c>
      <c r="AE74" s="96">
        <f t="shared" si="29"/>
        <v>0</v>
      </c>
      <c r="AF74" s="96">
        <f t="shared" si="29"/>
        <v>0</v>
      </c>
      <c r="AG74" s="96">
        <f t="shared" si="29"/>
        <v>0</v>
      </c>
      <c r="AH74" s="96">
        <f t="shared" si="29"/>
        <v>0</v>
      </c>
      <c r="AI74" s="96">
        <f t="shared" si="29"/>
        <v>0</v>
      </c>
      <c r="AJ74" s="96">
        <f t="shared" si="29"/>
        <v>0</v>
      </c>
      <c r="AK74" s="96">
        <f t="shared" si="29"/>
        <v>0</v>
      </c>
      <c r="AL74" s="97">
        <f t="shared" si="29"/>
        <v>0</v>
      </c>
      <c r="AM74" s="88">
        <f t="shared" si="23"/>
        <v>0</v>
      </c>
    </row>
    <row r="75" spans="3:39" x14ac:dyDescent="0.2">
      <c r="C75" s="260"/>
      <c r="D75" s="84" t="s">
        <v>205</v>
      </c>
      <c r="E75" s="95">
        <f t="shared" si="27"/>
        <v>0</v>
      </c>
      <c r="F75" s="96">
        <f t="shared" si="27"/>
        <v>0</v>
      </c>
      <c r="G75" s="96">
        <f t="shared" si="27"/>
        <v>0</v>
      </c>
      <c r="H75" s="96">
        <f t="shared" si="27"/>
        <v>0</v>
      </c>
      <c r="I75" s="96">
        <f t="shared" si="27"/>
        <v>0</v>
      </c>
      <c r="J75" s="96">
        <f t="shared" si="27"/>
        <v>0</v>
      </c>
      <c r="K75" s="96">
        <f t="shared" si="27"/>
        <v>0</v>
      </c>
      <c r="L75" s="96">
        <f t="shared" si="27"/>
        <v>0</v>
      </c>
      <c r="M75" s="96">
        <f t="shared" si="27"/>
        <v>0</v>
      </c>
      <c r="N75" s="96">
        <f t="shared" si="27"/>
        <v>0</v>
      </c>
      <c r="O75" s="96">
        <f t="shared" si="28"/>
        <v>0</v>
      </c>
      <c r="P75" s="96">
        <f t="shared" si="28"/>
        <v>0</v>
      </c>
      <c r="Q75" s="96">
        <f t="shared" si="28"/>
        <v>0</v>
      </c>
      <c r="R75" s="96">
        <f t="shared" si="28"/>
        <v>0</v>
      </c>
      <c r="S75" s="96">
        <f t="shared" si="28"/>
        <v>0</v>
      </c>
      <c r="T75" s="96">
        <f t="shared" si="28"/>
        <v>0</v>
      </c>
      <c r="U75" s="96">
        <f t="shared" si="28"/>
        <v>0</v>
      </c>
      <c r="V75" s="96">
        <f t="shared" si="28"/>
        <v>0</v>
      </c>
      <c r="W75" s="96">
        <f t="shared" si="28"/>
        <v>0</v>
      </c>
      <c r="X75" s="96">
        <f t="shared" si="28"/>
        <v>0</v>
      </c>
      <c r="Y75" s="96">
        <f t="shared" si="29"/>
        <v>0</v>
      </c>
      <c r="Z75" s="96">
        <f t="shared" si="29"/>
        <v>0</v>
      </c>
      <c r="AA75" s="96">
        <f t="shared" si="29"/>
        <v>0</v>
      </c>
      <c r="AB75" s="96">
        <f t="shared" si="29"/>
        <v>0</v>
      </c>
      <c r="AC75" s="96">
        <f t="shared" si="29"/>
        <v>0</v>
      </c>
      <c r="AD75" s="96">
        <f t="shared" si="29"/>
        <v>0</v>
      </c>
      <c r="AE75" s="96">
        <f t="shared" si="29"/>
        <v>0</v>
      </c>
      <c r="AF75" s="96">
        <f t="shared" si="29"/>
        <v>0</v>
      </c>
      <c r="AG75" s="96">
        <f t="shared" si="29"/>
        <v>0</v>
      </c>
      <c r="AH75" s="96">
        <f t="shared" si="29"/>
        <v>0</v>
      </c>
      <c r="AI75" s="96">
        <f t="shared" si="29"/>
        <v>0</v>
      </c>
      <c r="AJ75" s="96">
        <f t="shared" si="29"/>
        <v>0</v>
      </c>
      <c r="AK75" s="96">
        <f t="shared" si="29"/>
        <v>0</v>
      </c>
      <c r="AL75" s="97">
        <f t="shared" si="29"/>
        <v>0</v>
      </c>
      <c r="AM75" s="88">
        <f t="shared" si="23"/>
        <v>0</v>
      </c>
    </row>
    <row r="76" spans="3:39" x14ac:dyDescent="0.2">
      <c r="C76" s="260"/>
      <c r="D76" s="84" t="s">
        <v>206</v>
      </c>
      <c r="E76" s="95">
        <f t="shared" si="27"/>
        <v>0</v>
      </c>
      <c r="F76" s="96">
        <f t="shared" si="27"/>
        <v>0</v>
      </c>
      <c r="G76" s="96">
        <f t="shared" si="27"/>
        <v>0</v>
      </c>
      <c r="H76" s="96">
        <f t="shared" si="27"/>
        <v>0</v>
      </c>
      <c r="I76" s="96">
        <f t="shared" si="27"/>
        <v>0</v>
      </c>
      <c r="J76" s="96">
        <f t="shared" si="27"/>
        <v>0</v>
      </c>
      <c r="K76" s="96">
        <f t="shared" si="27"/>
        <v>0</v>
      </c>
      <c r="L76" s="96">
        <f t="shared" si="27"/>
        <v>0</v>
      </c>
      <c r="M76" s="96">
        <f t="shared" si="27"/>
        <v>0</v>
      </c>
      <c r="N76" s="96">
        <f t="shared" si="27"/>
        <v>0</v>
      </c>
      <c r="O76" s="96">
        <f t="shared" si="28"/>
        <v>0</v>
      </c>
      <c r="P76" s="96">
        <f t="shared" si="28"/>
        <v>0</v>
      </c>
      <c r="Q76" s="96">
        <f t="shared" si="28"/>
        <v>0</v>
      </c>
      <c r="R76" s="96">
        <f t="shared" si="28"/>
        <v>0</v>
      </c>
      <c r="S76" s="96">
        <f t="shared" si="28"/>
        <v>0</v>
      </c>
      <c r="T76" s="96">
        <f t="shared" si="28"/>
        <v>0</v>
      </c>
      <c r="U76" s="96">
        <f t="shared" si="28"/>
        <v>0</v>
      </c>
      <c r="V76" s="96">
        <f t="shared" si="28"/>
        <v>0</v>
      </c>
      <c r="W76" s="96">
        <f t="shared" si="28"/>
        <v>0</v>
      </c>
      <c r="X76" s="96">
        <f t="shared" si="28"/>
        <v>0</v>
      </c>
      <c r="Y76" s="96">
        <f t="shared" si="29"/>
        <v>0</v>
      </c>
      <c r="Z76" s="96">
        <f t="shared" si="29"/>
        <v>0</v>
      </c>
      <c r="AA76" s="96">
        <f t="shared" si="29"/>
        <v>0</v>
      </c>
      <c r="AB76" s="96">
        <f t="shared" si="29"/>
        <v>0</v>
      </c>
      <c r="AC76" s="96">
        <f t="shared" si="29"/>
        <v>0</v>
      </c>
      <c r="AD76" s="96">
        <f t="shared" si="29"/>
        <v>0</v>
      </c>
      <c r="AE76" s="96">
        <f t="shared" si="29"/>
        <v>0</v>
      </c>
      <c r="AF76" s="96">
        <f t="shared" si="29"/>
        <v>0</v>
      </c>
      <c r="AG76" s="96">
        <f t="shared" si="29"/>
        <v>0</v>
      </c>
      <c r="AH76" s="96">
        <f t="shared" si="29"/>
        <v>0</v>
      </c>
      <c r="AI76" s="96">
        <f t="shared" si="29"/>
        <v>0</v>
      </c>
      <c r="AJ76" s="96">
        <f t="shared" si="29"/>
        <v>0</v>
      </c>
      <c r="AK76" s="96">
        <f t="shared" si="29"/>
        <v>0</v>
      </c>
      <c r="AL76" s="97">
        <f t="shared" si="29"/>
        <v>0</v>
      </c>
      <c r="AM76" s="88">
        <f t="shared" si="23"/>
        <v>0</v>
      </c>
    </row>
    <row r="77" spans="3:39" ht="12" thickBot="1" x14ac:dyDescent="0.25">
      <c r="C77" s="260"/>
      <c r="D77" s="84" t="s">
        <v>207</v>
      </c>
      <c r="E77" s="108">
        <f t="shared" si="27"/>
        <v>0</v>
      </c>
      <c r="F77" s="109">
        <f t="shared" si="27"/>
        <v>0</v>
      </c>
      <c r="G77" s="109">
        <f t="shared" si="27"/>
        <v>0</v>
      </c>
      <c r="H77" s="109">
        <f t="shared" si="27"/>
        <v>0</v>
      </c>
      <c r="I77" s="109">
        <f t="shared" si="27"/>
        <v>0</v>
      </c>
      <c r="J77" s="109">
        <f t="shared" si="27"/>
        <v>0</v>
      </c>
      <c r="K77" s="109">
        <f t="shared" si="27"/>
        <v>0</v>
      </c>
      <c r="L77" s="109">
        <f t="shared" si="27"/>
        <v>0</v>
      </c>
      <c r="M77" s="109">
        <f t="shared" si="27"/>
        <v>0</v>
      </c>
      <c r="N77" s="109">
        <f t="shared" si="27"/>
        <v>0</v>
      </c>
      <c r="O77" s="109">
        <f t="shared" si="28"/>
        <v>0</v>
      </c>
      <c r="P77" s="109">
        <f t="shared" si="28"/>
        <v>0</v>
      </c>
      <c r="Q77" s="109">
        <f t="shared" si="28"/>
        <v>0</v>
      </c>
      <c r="R77" s="109">
        <f t="shared" si="28"/>
        <v>0</v>
      </c>
      <c r="S77" s="109">
        <f t="shared" si="28"/>
        <v>0</v>
      </c>
      <c r="T77" s="109">
        <f t="shared" si="28"/>
        <v>0</v>
      </c>
      <c r="U77" s="109">
        <f t="shared" si="28"/>
        <v>0</v>
      </c>
      <c r="V77" s="109">
        <f t="shared" si="28"/>
        <v>0</v>
      </c>
      <c r="W77" s="109">
        <f t="shared" si="28"/>
        <v>0</v>
      </c>
      <c r="X77" s="109">
        <f t="shared" si="28"/>
        <v>0</v>
      </c>
      <c r="Y77" s="109">
        <f t="shared" si="29"/>
        <v>0</v>
      </c>
      <c r="Z77" s="109">
        <f t="shared" si="29"/>
        <v>0</v>
      </c>
      <c r="AA77" s="109">
        <f t="shared" si="29"/>
        <v>0</v>
      </c>
      <c r="AB77" s="109">
        <f t="shared" si="29"/>
        <v>0</v>
      </c>
      <c r="AC77" s="109">
        <f t="shared" si="29"/>
        <v>0</v>
      </c>
      <c r="AD77" s="109">
        <f t="shared" si="29"/>
        <v>0</v>
      </c>
      <c r="AE77" s="109">
        <f t="shared" si="29"/>
        <v>0</v>
      </c>
      <c r="AF77" s="109">
        <f t="shared" si="29"/>
        <v>0</v>
      </c>
      <c r="AG77" s="109">
        <f t="shared" si="29"/>
        <v>0</v>
      </c>
      <c r="AH77" s="109">
        <f t="shared" si="29"/>
        <v>0</v>
      </c>
      <c r="AI77" s="109">
        <f t="shared" si="29"/>
        <v>0</v>
      </c>
      <c r="AJ77" s="109">
        <f t="shared" si="29"/>
        <v>0</v>
      </c>
      <c r="AK77" s="109">
        <f t="shared" si="29"/>
        <v>0</v>
      </c>
      <c r="AL77" s="110">
        <f t="shared" si="29"/>
        <v>0</v>
      </c>
      <c r="AM77" s="88">
        <f t="shared" si="23"/>
        <v>0</v>
      </c>
    </row>
    <row r="78" spans="3:39" x14ac:dyDescent="0.2">
      <c r="C78" s="260"/>
      <c r="D78" s="114" t="s">
        <v>7</v>
      </c>
      <c r="E78" s="88">
        <f t="shared" ref="E78:AM78" si="30">SUM(E44:E77)</f>
        <v>0</v>
      </c>
      <c r="F78" s="88">
        <f t="shared" si="30"/>
        <v>0</v>
      </c>
      <c r="G78" s="88">
        <f t="shared" si="30"/>
        <v>0</v>
      </c>
      <c r="H78" s="88">
        <f t="shared" si="30"/>
        <v>0</v>
      </c>
      <c r="I78" s="88">
        <f t="shared" si="30"/>
        <v>0</v>
      </c>
      <c r="J78" s="88">
        <f t="shared" si="30"/>
        <v>0</v>
      </c>
      <c r="K78" s="88">
        <f t="shared" si="30"/>
        <v>0</v>
      </c>
      <c r="L78" s="88">
        <f t="shared" si="30"/>
        <v>0</v>
      </c>
      <c r="M78" s="88">
        <f t="shared" si="30"/>
        <v>0</v>
      </c>
      <c r="N78" s="88">
        <f t="shared" si="30"/>
        <v>0</v>
      </c>
      <c r="O78" s="88">
        <f t="shared" si="30"/>
        <v>0</v>
      </c>
      <c r="P78" s="88">
        <f t="shared" si="30"/>
        <v>0</v>
      </c>
      <c r="Q78" s="88">
        <f t="shared" si="30"/>
        <v>0</v>
      </c>
      <c r="R78" s="88">
        <f t="shared" si="30"/>
        <v>0</v>
      </c>
      <c r="S78" s="88">
        <f t="shared" si="30"/>
        <v>0</v>
      </c>
      <c r="T78" s="88">
        <f t="shared" si="30"/>
        <v>0</v>
      </c>
      <c r="U78" s="88">
        <f t="shared" si="30"/>
        <v>0</v>
      </c>
      <c r="V78" s="88">
        <f t="shared" si="30"/>
        <v>0</v>
      </c>
      <c r="W78" s="88">
        <f t="shared" si="30"/>
        <v>0</v>
      </c>
      <c r="X78" s="88">
        <f t="shared" si="30"/>
        <v>0</v>
      </c>
      <c r="Y78" s="88">
        <f t="shared" si="30"/>
        <v>0</v>
      </c>
      <c r="Z78" s="88">
        <f t="shared" si="30"/>
        <v>0</v>
      </c>
      <c r="AA78" s="88">
        <f t="shared" si="30"/>
        <v>0</v>
      </c>
      <c r="AB78" s="88">
        <f t="shared" si="30"/>
        <v>0</v>
      </c>
      <c r="AC78" s="88">
        <f t="shared" si="30"/>
        <v>0</v>
      </c>
      <c r="AD78" s="88">
        <f t="shared" si="30"/>
        <v>0</v>
      </c>
      <c r="AE78" s="88">
        <f t="shared" si="30"/>
        <v>0</v>
      </c>
      <c r="AF78" s="88">
        <f t="shared" si="30"/>
        <v>0</v>
      </c>
      <c r="AG78" s="88">
        <f t="shared" si="30"/>
        <v>0</v>
      </c>
      <c r="AH78" s="88">
        <f t="shared" si="30"/>
        <v>0</v>
      </c>
      <c r="AI78" s="88">
        <f t="shared" si="30"/>
        <v>0</v>
      </c>
      <c r="AJ78" s="88">
        <f t="shared" si="30"/>
        <v>0</v>
      </c>
      <c r="AK78" s="88">
        <f t="shared" si="30"/>
        <v>0</v>
      </c>
      <c r="AL78" s="88">
        <f t="shared" si="30"/>
        <v>0</v>
      </c>
      <c r="AM78" s="88">
        <f t="shared" si="30"/>
        <v>0</v>
      </c>
    </row>
    <row r="81" spans="1:39" ht="12.75" x14ac:dyDescent="0.2">
      <c r="A81" s="115"/>
      <c r="B81" s="115"/>
      <c r="C81" s="115"/>
      <c r="D81" s="11" t="s">
        <v>227</v>
      </c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</row>
    <row r="82" spans="1:39" x14ac:dyDescent="0.2">
      <c r="E82" s="259" t="s">
        <v>211</v>
      </c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</row>
    <row r="83" spans="1:39" ht="45.75" thickBot="1" x14ac:dyDescent="0.25">
      <c r="E83" s="82" t="s">
        <v>163</v>
      </c>
      <c r="F83" s="82" t="s">
        <v>166</v>
      </c>
      <c r="G83" s="82" t="s">
        <v>169</v>
      </c>
      <c r="H83" s="82" t="s">
        <v>172</v>
      </c>
      <c r="I83" s="82" t="s">
        <v>175</v>
      </c>
      <c r="J83" s="82" t="s">
        <v>178</v>
      </c>
      <c r="K83" s="82" t="s">
        <v>181</v>
      </c>
      <c r="L83" s="82" t="s">
        <v>182</v>
      </c>
      <c r="M83" s="82" t="s">
        <v>183</v>
      </c>
      <c r="N83" s="82" t="s">
        <v>184</v>
      </c>
      <c r="O83" s="82" t="s">
        <v>186</v>
      </c>
      <c r="P83" s="82" t="s">
        <v>187</v>
      </c>
      <c r="Q83" s="82" t="s">
        <v>188</v>
      </c>
      <c r="R83" s="82" t="s">
        <v>189</v>
      </c>
      <c r="S83" s="82" t="s">
        <v>190</v>
      </c>
      <c r="T83" s="82" t="s">
        <v>191</v>
      </c>
      <c r="U83" s="82" t="s">
        <v>192</v>
      </c>
      <c r="V83" s="82" t="s">
        <v>193</v>
      </c>
      <c r="W83" s="82" t="s">
        <v>180</v>
      </c>
      <c r="X83" s="82" t="s">
        <v>195</v>
      </c>
      <c r="Y83" s="82" t="s">
        <v>194</v>
      </c>
      <c r="Z83" s="82" t="s">
        <v>196</v>
      </c>
      <c r="AA83" s="82" t="s">
        <v>197</v>
      </c>
      <c r="AB83" s="82" t="s">
        <v>161</v>
      </c>
      <c r="AC83" s="82" t="s">
        <v>198</v>
      </c>
      <c r="AD83" s="82" t="s">
        <v>199</v>
      </c>
      <c r="AE83" s="82" t="s">
        <v>200</v>
      </c>
      <c r="AF83" s="82" t="s">
        <v>201</v>
      </c>
      <c r="AG83" s="82" t="s">
        <v>202</v>
      </c>
      <c r="AH83" s="82" t="s">
        <v>203</v>
      </c>
      <c r="AI83" s="82" t="s">
        <v>204</v>
      </c>
      <c r="AJ83" s="82" t="s">
        <v>205</v>
      </c>
      <c r="AK83" s="82" t="s">
        <v>206</v>
      </c>
      <c r="AL83" s="82" t="s">
        <v>207</v>
      </c>
      <c r="AM83" s="83" t="s">
        <v>7</v>
      </c>
    </row>
    <row r="84" spans="1:39" x14ac:dyDescent="0.2">
      <c r="C84" s="260" t="s">
        <v>213</v>
      </c>
      <c r="D84" s="84" t="s">
        <v>163</v>
      </c>
      <c r="E84" s="117">
        <f>E44-E4</f>
        <v>0</v>
      </c>
      <c r="F84" s="118">
        <f t="shared" ref="F84:AM84" si="31">F44-F4</f>
        <v>0</v>
      </c>
      <c r="G84" s="118">
        <f t="shared" si="31"/>
        <v>0</v>
      </c>
      <c r="H84" s="118">
        <f t="shared" si="31"/>
        <v>0</v>
      </c>
      <c r="I84" s="118">
        <f t="shared" si="31"/>
        <v>0</v>
      </c>
      <c r="J84" s="118">
        <f t="shared" si="31"/>
        <v>0</v>
      </c>
      <c r="K84" s="118">
        <f t="shared" si="31"/>
        <v>0</v>
      </c>
      <c r="L84" s="118">
        <f t="shared" si="31"/>
        <v>0</v>
      </c>
      <c r="M84" s="118">
        <f t="shared" si="31"/>
        <v>0</v>
      </c>
      <c r="N84" s="118">
        <f t="shared" si="31"/>
        <v>0</v>
      </c>
      <c r="O84" s="118">
        <f t="shared" si="31"/>
        <v>0</v>
      </c>
      <c r="P84" s="118">
        <f t="shared" si="31"/>
        <v>0</v>
      </c>
      <c r="Q84" s="118">
        <f t="shared" si="31"/>
        <v>0</v>
      </c>
      <c r="R84" s="118">
        <f t="shared" si="31"/>
        <v>0</v>
      </c>
      <c r="S84" s="118">
        <f t="shared" si="31"/>
        <v>0</v>
      </c>
      <c r="T84" s="118">
        <f t="shared" si="31"/>
        <v>0</v>
      </c>
      <c r="U84" s="118">
        <f t="shared" si="31"/>
        <v>0</v>
      </c>
      <c r="V84" s="118">
        <f t="shared" si="31"/>
        <v>0</v>
      </c>
      <c r="W84" s="118">
        <f t="shared" si="31"/>
        <v>0</v>
      </c>
      <c r="X84" s="118">
        <f t="shared" si="31"/>
        <v>0</v>
      </c>
      <c r="Y84" s="118">
        <f t="shared" si="31"/>
        <v>0</v>
      </c>
      <c r="Z84" s="118">
        <f t="shared" si="31"/>
        <v>0</v>
      </c>
      <c r="AA84" s="118">
        <f t="shared" si="31"/>
        <v>0</v>
      </c>
      <c r="AB84" s="118">
        <f t="shared" si="31"/>
        <v>0</v>
      </c>
      <c r="AC84" s="118">
        <f t="shared" si="31"/>
        <v>0</v>
      </c>
      <c r="AD84" s="118">
        <f t="shared" si="31"/>
        <v>0</v>
      </c>
      <c r="AE84" s="118">
        <f t="shared" si="31"/>
        <v>0</v>
      </c>
      <c r="AF84" s="118">
        <f t="shared" si="31"/>
        <v>0</v>
      </c>
      <c r="AG84" s="118">
        <f t="shared" si="31"/>
        <v>0</v>
      </c>
      <c r="AH84" s="118">
        <f t="shared" si="31"/>
        <v>0</v>
      </c>
      <c r="AI84" s="118">
        <f t="shared" si="31"/>
        <v>0</v>
      </c>
      <c r="AJ84" s="118">
        <f t="shared" si="31"/>
        <v>0</v>
      </c>
      <c r="AK84" s="118">
        <f t="shared" si="31"/>
        <v>0</v>
      </c>
      <c r="AL84" s="119">
        <f t="shared" si="31"/>
        <v>0</v>
      </c>
      <c r="AM84" s="120">
        <f t="shared" si="31"/>
        <v>0</v>
      </c>
    </row>
    <row r="85" spans="1:39" x14ac:dyDescent="0.2">
      <c r="A85" s="104"/>
      <c r="C85" s="260"/>
      <c r="D85" s="84" t="s">
        <v>166</v>
      </c>
      <c r="E85" s="121">
        <f t="shared" ref="E85:AM92" si="32">E45-E5</f>
        <v>0</v>
      </c>
      <c r="F85" s="122">
        <f t="shared" si="32"/>
        <v>0</v>
      </c>
      <c r="G85" s="122">
        <f t="shared" si="32"/>
        <v>0</v>
      </c>
      <c r="H85" s="122">
        <f t="shared" si="32"/>
        <v>0</v>
      </c>
      <c r="I85" s="122">
        <f t="shared" si="32"/>
        <v>0</v>
      </c>
      <c r="J85" s="122">
        <f t="shared" si="32"/>
        <v>0</v>
      </c>
      <c r="K85" s="122">
        <f t="shared" si="32"/>
        <v>0</v>
      </c>
      <c r="L85" s="122">
        <f t="shared" si="32"/>
        <v>0</v>
      </c>
      <c r="M85" s="122">
        <f t="shared" si="32"/>
        <v>0</v>
      </c>
      <c r="N85" s="122">
        <f t="shared" si="32"/>
        <v>0</v>
      </c>
      <c r="O85" s="122">
        <f t="shared" si="32"/>
        <v>0</v>
      </c>
      <c r="P85" s="122">
        <f t="shared" si="32"/>
        <v>0</v>
      </c>
      <c r="Q85" s="122">
        <f t="shared" si="32"/>
        <v>0</v>
      </c>
      <c r="R85" s="122">
        <f t="shared" si="32"/>
        <v>0</v>
      </c>
      <c r="S85" s="122">
        <f t="shared" si="32"/>
        <v>0</v>
      </c>
      <c r="T85" s="122">
        <f t="shared" si="32"/>
        <v>0</v>
      </c>
      <c r="U85" s="122">
        <f t="shared" si="32"/>
        <v>0</v>
      </c>
      <c r="V85" s="122">
        <f t="shared" si="32"/>
        <v>0</v>
      </c>
      <c r="W85" s="122">
        <f t="shared" si="32"/>
        <v>0</v>
      </c>
      <c r="X85" s="122">
        <f t="shared" si="32"/>
        <v>0</v>
      </c>
      <c r="Y85" s="122">
        <f t="shared" si="32"/>
        <v>0</v>
      </c>
      <c r="Z85" s="122">
        <f t="shared" si="32"/>
        <v>0</v>
      </c>
      <c r="AA85" s="122">
        <f t="shared" si="32"/>
        <v>0</v>
      </c>
      <c r="AB85" s="122">
        <f t="shared" si="32"/>
        <v>0</v>
      </c>
      <c r="AC85" s="122">
        <f t="shared" si="32"/>
        <v>0</v>
      </c>
      <c r="AD85" s="122">
        <f t="shared" si="32"/>
        <v>0</v>
      </c>
      <c r="AE85" s="122">
        <f t="shared" si="32"/>
        <v>0</v>
      </c>
      <c r="AF85" s="122">
        <f t="shared" si="32"/>
        <v>0</v>
      </c>
      <c r="AG85" s="122">
        <f t="shared" si="32"/>
        <v>0</v>
      </c>
      <c r="AH85" s="122">
        <f t="shared" si="32"/>
        <v>0</v>
      </c>
      <c r="AI85" s="122">
        <f t="shared" si="32"/>
        <v>0</v>
      </c>
      <c r="AJ85" s="122">
        <f t="shared" si="32"/>
        <v>0</v>
      </c>
      <c r="AK85" s="122">
        <f t="shared" si="32"/>
        <v>0</v>
      </c>
      <c r="AL85" s="123">
        <f t="shared" si="32"/>
        <v>0</v>
      </c>
      <c r="AM85" s="120">
        <f t="shared" si="32"/>
        <v>0</v>
      </c>
    </row>
    <row r="86" spans="1:39" x14ac:dyDescent="0.2">
      <c r="C86" s="260"/>
      <c r="D86" s="84" t="s">
        <v>169</v>
      </c>
      <c r="E86" s="121">
        <f t="shared" si="32"/>
        <v>0</v>
      </c>
      <c r="F86" s="122">
        <f t="shared" si="32"/>
        <v>0</v>
      </c>
      <c r="G86" s="122">
        <f t="shared" si="32"/>
        <v>0</v>
      </c>
      <c r="H86" s="122">
        <f t="shared" si="32"/>
        <v>0</v>
      </c>
      <c r="I86" s="122">
        <f t="shared" si="32"/>
        <v>0</v>
      </c>
      <c r="J86" s="122">
        <f t="shared" si="32"/>
        <v>0</v>
      </c>
      <c r="K86" s="122">
        <f t="shared" si="32"/>
        <v>0</v>
      </c>
      <c r="L86" s="122">
        <f t="shared" si="32"/>
        <v>0</v>
      </c>
      <c r="M86" s="122">
        <f t="shared" si="32"/>
        <v>0</v>
      </c>
      <c r="N86" s="122">
        <f t="shared" si="32"/>
        <v>0</v>
      </c>
      <c r="O86" s="122">
        <f t="shared" si="32"/>
        <v>0</v>
      </c>
      <c r="P86" s="122">
        <f t="shared" si="32"/>
        <v>0</v>
      </c>
      <c r="Q86" s="122">
        <f t="shared" si="32"/>
        <v>0</v>
      </c>
      <c r="R86" s="122">
        <f t="shared" si="32"/>
        <v>0</v>
      </c>
      <c r="S86" s="122">
        <f t="shared" si="32"/>
        <v>0</v>
      </c>
      <c r="T86" s="122">
        <f t="shared" si="32"/>
        <v>0</v>
      </c>
      <c r="U86" s="122">
        <f t="shared" si="32"/>
        <v>0</v>
      </c>
      <c r="V86" s="122">
        <f t="shared" si="32"/>
        <v>0</v>
      </c>
      <c r="W86" s="122">
        <f t="shared" si="32"/>
        <v>0</v>
      </c>
      <c r="X86" s="122">
        <f t="shared" si="32"/>
        <v>0</v>
      </c>
      <c r="Y86" s="122">
        <f t="shared" si="32"/>
        <v>0</v>
      </c>
      <c r="Z86" s="122">
        <f t="shared" si="32"/>
        <v>0</v>
      </c>
      <c r="AA86" s="122">
        <f t="shared" si="32"/>
        <v>0</v>
      </c>
      <c r="AB86" s="122">
        <f t="shared" si="32"/>
        <v>0</v>
      </c>
      <c r="AC86" s="122">
        <f t="shared" si="32"/>
        <v>0</v>
      </c>
      <c r="AD86" s="122">
        <f t="shared" si="32"/>
        <v>0</v>
      </c>
      <c r="AE86" s="122">
        <f t="shared" si="32"/>
        <v>0</v>
      </c>
      <c r="AF86" s="122">
        <f t="shared" si="32"/>
        <v>0</v>
      </c>
      <c r="AG86" s="122">
        <f t="shared" si="32"/>
        <v>0</v>
      </c>
      <c r="AH86" s="122">
        <f t="shared" si="32"/>
        <v>0</v>
      </c>
      <c r="AI86" s="122">
        <f t="shared" si="32"/>
        <v>0</v>
      </c>
      <c r="AJ86" s="122">
        <f t="shared" si="32"/>
        <v>0</v>
      </c>
      <c r="AK86" s="122">
        <f t="shared" si="32"/>
        <v>0</v>
      </c>
      <c r="AL86" s="123">
        <f t="shared" si="32"/>
        <v>0</v>
      </c>
      <c r="AM86" s="120">
        <f t="shared" si="32"/>
        <v>0</v>
      </c>
    </row>
    <row r="87" spans="1:39" x14ac:dyDescent="0.2">
      <c r="C87" s="260"/>
      <c r="D87" s="84" t="s">
        <v>172</v>
      </c>
      <c r="E87" s="121">
        <f t="shared" si="32"/>
        <v>0</v>
      </c>
      <c r="F87" s="122">
        <f t="shared" si="32"/>
        <v>0</v>
      </c>
      <c r="G87" s="122">
        <f t="shared" si="32"/>
        <v>0</v>
      </c>
      <c r="H87" s="122">
        <f t="shared" si="32"/>
        <v>0</v>
      </c>
      <c r="I87" s="122">
        <f t="shared" si="32"/>
        <v>0</v>
      </c>
      <c r="J87" s="122">
        <f t="shared" si="32"/>
        <v>0</v>
      </c>
      <c r="K87" s="122">
        <f t="shared" si="32"/>
        <v>0</v>
      </c>
      <c r="L87" s="122">
        <f t="shared" si="32"/>
        <v>0</v>
      </c>
      <c r="M87" s="122">
        <f t="shared" si="32"/>
        <v>0</v>
      </c>
      <c r="N87" s="122">
        <f t="shared" si="32"/>
        <v>0</v>
      </c>
      <c r="O87" s="122">
        <f t="shared" si="32"/>
        <v>0</v>
      </c>
      <c r="P87" s="122">
        <f t="shared" si="32"/>
        <v>0</v>
      </c>
      <c r="Q87" s="122">
        <f t="shared" si="32"/>
        <v>0</v>
      </c>
      <c r="R87" s="122">
        <f t="shared" si="32"/>
        <v>0</v>
      </c>
      <c r="S87" s="122">
        <f t="shared" si="32"/>
        <v>0</v>
      </c>
      <c r="T87" s="122">
        <f t="shared" si="32"/>
        <v>0</v>
      </c>
      <c r="U87" s="122">
        <f t="shared" si="32"/>
        <v>0</v>
      </c>
      <c r="V87" s="122">
        <f t="shared" si="32"/>
        <v>0</v>
      </c>
      <c r="W87" s="122">
        <f t="shared" si="32"/>
        <v>0</v>
      </c>
      <c r="X87" s="122">
        <f t="shared" si="32"/>
        <v>0</v>
      </c>
      <c r="Y87" s="122">
        <f t="shared" si="32"/>
        <v>0</v>
      </c>
      <c r="Z87" s="122">
        <f t="shared" si="32"/>
        <v>0</v>
      </c>
      <c r="AA87" s="122">
        <f t="shared" si="32"/>
        <v>0</v>
      </c>
      <c r="AB87" s="122">
        <f t="shared" si="32"/>
        <v>0</v>
      </c>
      <c r="AC87" s="122">
        <f t="shared" si="32"/>
        <v>0</v>
      </c>
      <c r="AD87" s="122">
        <f t="shared" si="32"/>
        <v>0</v>
      </c>
      <c r="AE87" s="122">
        <f t="shared" si="32"/>
        <v>0</v>
      </c>
      <c r="AF87" s="122">
        <f t="shared" si="32"/>
        <v>0</v>
      </c>
      <c r="AG87" s="122">
        <f t="shared" si="32"/>
        <v>0</v>
      </c>
      <c r="AH87" s="122">
        <f t="shared" si="32"/>
        <v>0</v>
      </c>
      <c r="AI87" s="122">
        <f t="shared" si="32"/>
        <v>0</v>
      </c>
      <c r="AJ87" s="122">
        <f t="shared" si="32"/>
        <v>0</v>
      </c>
      <c r="AK87" s="122">
        <f t="shared" si="32"/>
        <v>0</v>
      </c>
      <c r="AL87" s="123">
        <f t="shared" si="32"/>
        <v>0</v>
      </c>
      <c r="AM87" s="120">
        <f t="shared" si="32"/>
        <v>0</v>
      </c>
    </row>
    <row r="88" spans="1:39" x14ac:dyDescent="0.2">
      <c r="A88" s="104"/>
      <c r="C88" s="260"/>
      <c r="D88" s="84" t="s">
        <v>175</v>
      </c>
      <c r="E88" s="121">
        <f t="shared" si="32"/>
        <v>0</v>
      </c>
      <c r="F88" s="122">
        <f t="shared" si="32"/>
        <v>0</v>
      </c>
      <c r="G88" s="122">
        <f t="shared" si="32"/>
        <v>0</v>
      </c>
      <c r="H88" s="122">
        <f t="shared" si="32"/>
        <v>0</v>
      </c>
      <c r="I88" s="122">
        <f t="shared" si="32"/>
        <v>0</v>
      </c>
      <c r="J88" s="122">
        <f t="shared" si="32"/>
        <v>0</v>
      </c>
      <c r="K88" s="122">
        <f t="shared" si="32"/>
        <v>0</v>
      </c>
      <c r="L88" s="122">
        <f t="shared" si="32"/>
        <v>0</v>
      </c>
      <c r="M88" s="122">
        <f t="shared" si="32"/>
        <v>0</v>
      </c>
      <c r="N88" s="122">
        <f t="shared" si="32"/>
        <v>0</v>
      </c>
      <c r="O88" s="122">
        <f t="shared" si="32"/>
        <v>0</v>
      </c>
      <c r="P88" s="122">
        <f t="shared" si="32"/>
        <v>0</v>
      </c>
      <c r="Q88" s="122">
        <f t="shared" si="32"/>
        <v>0</v>
      </c>
      <c r="R88" s="122">
        <f t="shared" si="32"/>
        <v>0</v>
      </c>
      <c r="S88" s="122">
        <f t="shared" si="32"/>
        <v>0</v>
      </c>
      <c r="T88" s="122">
        <f t="shared" si="32"/>
        <v>0</v>
      </c>
      <c r="U88" s="122">
        <f t="shared" si="32"/>
        <v>0</v>
      </c>
      <c r="V88" s="122">
        <f t="shared" si="32"/>
        <v>0</v>
      </c>
      <c r="W88" s="122">
        <f t="shared" si="32"/>
        <v>0</v>
      </c>
      <c r="X88" s="122">
        <f t="shared" si="32"/>
        <v>0</v>
      </c>
      <c r="Y88" s="122">
        <f t="shared" si="32"/>
        <v>0</v>
      </c>
      <c r="Z88" s="122">
        <f t="shared" si="32"/>
        <v>0</v>
      </c>
      <c r="AA88" s="122">
        <f t="shared" si="32"/>
        <v>0</v>
      </c>
      <c r="AB88" s="122">
        <f t="shared" si="32"/>
        <v>0</v>
      </c>
      <c r="AC88" s="122">
        <f t="shared" si="32"/>
        <v>0</v>
      </c>
      <c r="AD88" s="122">
        <f t="shared" si="32"/>
        <v>0</v>
      </c>
      <c r="AE88" s="122">
        <f t="shared" si="32"/>
        <v>0</v>
      </c>
      <c r="AF88" s="122">
        <f t="shared" si="32"/>
        <v>0</v>
      </c>
      <c r="AG88" s="122">
        <f t="shared" si="32"/>
        <v>0</v>
      </c>
      <c r="AH88" s="122">
        <f t="shared" si="32"/>
        <v>0</v>
      </c>
      <c r="AI88" s="122">
        <f t="shared" si="32"/>
        <v>0</v>
      </c>
      <c r="AJ88" s="122">
        <f t="shared" si="32"/>
        <v>0</v>
      </c>
      <c r="AK88" s="122">
        <f t="shared" si="32"/>
        <v>0</v>
      </c>
      <c r="AL88" s="123">
        <f t="shared" si="32"/>
        <v>0</v>
      </c>
      <c r="AM88" s="120">
        <f t="shared" si="32"/>
        <v>0</v>
      </c>
    </row>
    <row r="89" spans="1:39" x14ac:dyDescent="0.2">
      <c r="C89" s="260"/>
      <c r="D89" s="84" t="s">
        <v>178</v>
      </c>
      <c r="E89" s="121">
        <f t="shared" si="32"/>
        <v>0</v>
      </c>
      <c r="F89" s="122">
        <f t="shared" si="32"/>
        <v>0</v>
      </c>
      <c r="G89" s="122">
        <f t="shared" si="32"/>
        <v>0</v>
      </c>
      <c r="H89" s="122">
        <f t="shared" si="32"/>
        <v>0</v>
      </c>
      <c r="I89" s="122">
        <f t="shared" si="32"/>
        <v>0</v>
      </c>
      <c r="J89" s="122">
        <f t="shared" si="32"/>
        <v>0</v>
      </c>
      <c r="K89" s="122">
        <f t="shared" si="32"/>
        <v>0</v>
      </c>
      <c r="L89" s="122">
        <f t="shared" si="32"/>
        <v>0</v>
      </c>
      <c r="M89" s="122">
        <f t="shared" si="32"/>
        <v>0</v>
      </c>
      <c r="N89" s="122">
        <f t="shared" si="32"/>
        <v>0</v>
      </c>
      <c r="O89" s="122">
        <f t="shared" si="32"/>
        <v>0</v>
      </c>
      <c r="P89" s="122">
        <f t="shared" si="32"/>
        <v>0</v>
      </c>
      <c r="Q89" s="122">
        <f t="shared" si="32"/>
        <v>0</v>
      </c>
      <c r="R89" s="122">
        <f t="shared" si="32"/>
        <v>0</v>
      </c>
      <c r="S89" s="122">
        <f t="shared" si="32"/>
        <v>0</v>
      </c>
      <c r="T89" s="122">
        <f t="shared" si="32"/>
        <v>0</v>
      </c>
      <c r="U89" s="122">
        <f t="shared" si="32"/>
        <v>0</v>
      </c>
      <c r="V89" s="122">
        <f t="shared" si="32"/>
        <v>0</v>
      </c>
      <c r="W89" s="122">
        <f t="shared" si="32"/>
        <v>0</v>
      </c>
      <c r="X89" s="122">
        <f t="shared" si="32"/>
        <v>0</v>
      </c>
      <c r="Y89" s="122">
        <f t="shared" si="32"/>
        <v>0</v>
      </c>
      <c r="Z89" s="122">
        <f t="shared" si="32"/>
        <v>0</v>
      </c>
      <c r="AA89" s="122">
        <f t="shared" si="32"/>
        <v>0</v>
      </c>
      <c r="AB89" s="122">
        <f t="shared" si="32"/>
        <v>0</v>
      </c>
      <c r="AC89" s="122">
        <f t="shared" si="32"/>
        <v>0</v>
      </c>
      <c r="AD89" s="122">
        <f t="shared" si="32"/>
        <v>0</v>
      </c>
      <c r="AE89" s="122">
        <f t="shared" si="32"/>
        <v>0</v>
      </c>
      <c r="AF89" s="122">
        <f t="shared" si="32"/>
        <v>0</v>
      </c>
      <c r="AG89" s="122">
        <f t="shared" si="32"/>
        <v>0</v>
      </c>
      <c r="AH89" s="122">
        <f t="shared" si="32"/>
        <v>0</v>
      </c>
      <c r="AI89" s="122">
        <f t="shared" si="32"/>
        <v>0</v>
      </c>
      <c r="AJ89" s="122">
        <f t="shared" si="32"/>
        <v>0</v>
      </c>
      <c r="AK89" s="122">
        <f t="shared" si="32"/>
        <v>0</v>
      </c>
      <c r="AL89" s="123">
        <f t="shared" si="32"/>
        <v>0</v>
      </c>
      <c r="AM89" s="120">
        <f t="shared" si="32"/>
        <v>0</v>
      </c>
    </row>
    <row r="90" spans="1:39" x14ac:dyDescent="0.2">
      <c r="C90" s="260"/>
      <c r="D90" s="84" t="s">
        <v>181</v>
      </c>
      <c r="E90" s="121">
        <f t="shared" si="32"/>
        <v>0</v>
      </c>
      <c r="F90" s="122">
        <f t="shared" si="32"/>
        <v>0</v>
      </c>
      <c r="G90" s="122">
        <f t="shared" si="32"/>
        <v>0</v>
      </c>
      <c r="H90" s="122">
        <f t="shared" si="32"/>
        <v>0</v>
      </c>
      <c r="I90" s="122">
        <f t="shared" si="32"/>
        <v>0</v>
      </c>
      <c r="J90" s="122">
        <f t="shared" si="32"/>
        <v>0</v>
      </c>
      <c r="K90" s="122">
        <f t="shared" si="32"/>
        <v>0</v>
      </c>
      <c r="L90" s="122">
        <f t="shared" si="32"/>
        <v>0</v>
      </c>
      <c r="M90" s="122">
        <f t="shared" si="32"/>
        <v>0</v>
      </c>
      <c r="N90" s="122">
        <f t="shared" si="32"/>
        <v>0</v>
      </c>
      <c r="O90" s="122">
        <f t="shared" si="32"/>
        <v>0</v>
      </c>
      <c r="P90" s="122">
        <f t="shared" si="32"/>
        <v>0</v>
      </c>
      <c r="Q90" s="122">
        <f t="shared" si="32"/>
        <v>0</v>
      </c>
      <c r="R90" s="122">
        <f t="shared" si="32"/>
        <v>0</v>
      </c>
      <c r="S90" s="122">
        <f t="shared" si="32"/>
        <v>0</v>
      </c>
      <c r="T90" s="122">
        <f t="shared" si="32"/>
        <v>0</v>
      </c>
      <c r="U90" s="122">
        <f t="shared" si="32"/>
        <v>0</v>
      </c>
      <c r="V90" s="122">
        <f t="shared" si="32"/>
        <v>0</v>
      </c>
      <c r="W90" s="122">
        <f t="shared" si="32"/>
        <v>0</v>
      </c>
      <c r="X90" s="122">
        <f t="shared" si="32"/>
        <v>0</v>
      </c>
      <c r="Y90" s="122">
        <f t="shared" si="32"/>
        <v>0</v>
      </c>
      <c r="Z90" s="122">
        <f t="shared" si="32"/>
        <v>0</v>
      </c>
      <c r="AA90" s="122">
        <f t="shared" si="32"/>
        <v>0</v>
      </c>
      <c r="AB90" s="122">
        <f t="shared" si="32"/>
        <v>0</v>
      </c>
      <c r="AC90" s="122">
        <f t="shared" si="32"/>
        <v>0</v>
      </c>
      <c r="AD90" s="122">
        <f t="shared" si="32"/>
        <v>0</v>
      </c>
      <c r="AE90" s="122">
        <f t="shared" si="32"/>
        <v>0</v>
      </c>
      <c r="AF90" s="122">
        <f t="shared" si="32"/>
        <v>0</v>
      </c>
      <c r="AG90" s="122">
        <f t="shared" si="32"/>
        <v>0</v>
      </c>
      <c r="AH90" s="122">
        <f t="shared" si="32"/>
        <v>0</v>
      </c>
      <c r="AI90" s="122">
        <f t="shared" si="32"/>
        <v>0</v>
      </c>
      <c r="AJ90" s="122">
        <f t="shared" si="32"/>
        <v>0</v>
      </c>
      <c r="AK90" s="122">
        <f t="shared" si="32"/>
        <v>0</v>
      </c>
      <c r="AL90" s="123">
        <f t="shared" si="32"/>
        <v>0</v>
      </c>
      <c r="AM90" s="120">
        <f t="shared" si="32"/>
        <v>0</v>
      </c>
    </row>
    <row r="91" spans="1:39" x14ac:dyDescent="0.2">
      <c r="C91" s="260"/>
      <c r="D91" s="84" t="s">
        <v>182</v>
      </c>
      <c r="E91" s="121">
        <f t="shared" si="32"/>
        <v>0</v>
      </c>
      <c r="F91" s="122">
        <f t="shared" si="32"/>
        <v>0</v>
      </c>
      <c r="G91" s="122">
        <f t="shared" si="32"/>
        <v>0</v>
      </c>
      <c r="H91" s="122">
        <f t="shared" si="32"/>
        <v>0</v>
      </c>
      <c r="I91" s="122">
        <f t="shared" si="32"/>
        <v>0</v>
      </c>
      <c r="J91" s="122">
        <f t="shared" si="32"/>
        <v>0</v>
      </c>
      <c r="K91" s="122">
        <f t="shared" si="32"/>
        <v>0</v>
      </c>
      <c r="L91" s="122">
        <f t="shared" si="32"/>
        <v>0</v>
      </c>
      <c r="M91" s="122">
        <f t="shared" si="32"/>
        <v>0</v>
      </c>
      <c r="N91" s="122">
        <f t="shared" si="32"/>
        <v>0</v>
      </c>
      <c r="O91" s="122">
        <f t="shared" si="32"/>
        <v>0</v>
      </c>
      <c r="P91" s="122">
        <f t="shared" si="32"/>
        <v>0</v>
      </c>
      <c r="Q91" s="122">
        <f t="shared" si="32"/>
        <v>0</v>
      </c>
      <c r="R91" s="122">
        <f t="shared" si="32"/>
        <v>0</v>
      </c>
      <c r="S91" s="122">
        <f t="shared" si="32"/>
        <v>0</v>
      </c>
      <c r="T91" s="122">
        <f t="shared" si="32"/>
        <v>0</v>
      </c>
      <c r="U91" s="122">
        <f t="shared" si="32"/>
        <v>0</v>
      </c>
      <c r="V91" s="122">
        <f t="shared" si="32"/>
        <v>0</v>
      </c>
      <c r="W91" s="122">
        <f t="shared" si="32"/>
        <v>0</v>
      </c>
      <c r="X91" s="122">
        <f t="shared" si="32"/>
        <v>0</v>
      </c>
      <c r="Y91" s="122">
        <f t="shared" si="32"/>
        <v>0</v>
      </c>
      <c r="Z91" s="122">
        <f t="shared" si="32"/>
        <v>0</v>
      </c>
      <c r="AA91" s="122">
        <f t="shared" si="32"/>
        <v>0</v>
      </c>
      <c r="AB91" s="122">
        <f t="shared" si="32"/>
        <v>0</v>
      </c>
      <c r="AC91" s="122">
        <f t="shared" si="32"/>
        <v>0</v>
      </c>
      <c r="AD91" s="122">
        <f t="shared" si="32"/>
        <v>0</v>
      </c>
      <c r="AE91" s="122">
        <f t="shared" si="32"/>
        <v>0</v>
      </c>
      <c r="AF91" s="122">
        <f t="shared" si="32"/>
        <v>0</v>
      </c>
      <c r="AG91" s="122">
        <f t="shared" si="32"/>
        <v>0</v>
      </c>
      <c r="AH91" s="122">
        <f t="shared" si="32"/>
        <v>0</v>
      </c>
      <c r="AI91" s="122">
        <f t="shared" si="32"/>
        <v>0</v>
      </c>
      <c r="AJ91" s="122">
        <f t="shared" si="32"/>
        <v>0</v>
      </c>
      <c r="AK91" s="122">
        <f t="shared" si="32"/>
        <v>0</v>
      </c>
      <c r="AL91" s="123">
        <f t="shared" si="32"/>
        <v>0</v>
      </c>
      <c r="AM91" s="120">
        <f t="shared" si="32"/>
        <v>0</v>
      </c>
    </row>
    <row r="92" spans="1:39" x14ac:dyDescent="0.2">
      <c r="A92" s="106"/>
      <c r="C92" s="260"/>
      <c r="D92" s="84" t="s">
        <v>183</v>
      </c>
      <c r="E92" s="121">
        <f t="shared" si="32"/>
        <v>0</v>
      </c>
      <c r="F92" s="122">
        <f t="shared" si="32"/>
        <v>0</v>
      </c>
      <c r="G92" s="122">
        <f t="shared" si="32"/>
        <v>0</v>
      </c>
      <c r="H92" s="122">
        <f t="shared" si="32"/>
        <v>0</v>
      </c>
      <c r="I92" s="122">
        <f t="shared" si="32"/>
        <v>0</v>
      </c>
      <c r="J92" s="122">
        <f t="shared" si="32"/>
        <v>0</v>
      </c>
      <c r="K92" s="122">
        <f t="shared" si="32"/>
        <v>0</v>
      </c>
      <c r="L92" s="122">
        <f t="shared" si="32"/>
        <v>0</v>
      </c>
      <c r="M92" s="122">
        <f t="shared" si="32"/>
        <v>0</v>
      </c>
      <c r="N92" s="122">
        <f t="shared" si="32"/>
        <v>0</v>
      </c>
      <c r="O92" s="122">
        <f t="shared" ref="O92:AM92" si="33">O52-O12</f>
        <v>0</v>
      </c>
      <c r="P92" s="122">
        <f t="shared" si="33"/>
        <v>0</v>
      </c>
      <c r="Q92" s="122">
        <f t="shared" si="33"/>
        <v>0</v>
      </c>
      <c r="R92" s="122">
        <f t="shared" si="33"/>
        <v>0</v>
      </c>
      <c r="S92" s="122">
        <f t="shared" si="33"/>
        <v>0</v>
      </c>
      <c r="T92" s="122">
        <f t="shared" si="33"/>
        <v>0</v>
      </c>
      <c r="U92" s="122">
        <f t="shared" si="33"/>
        <v>0</v>
      </c>
      <c r="V92" s="122">
        <f t="shared" si="33"/>
        <v>0</v>
      </c>
      <c r="W92" s="122">
        <f t="shared" si="33"/>
        <v>0</v>
      </c>
      <c r="X92" s="122">
        <f t="shared" si="33"/>
        <v>0</v>
      </c>
      <c r="Y92" s="122">
        <f t="shared" si="33"/>
        <v>0</v>
      </c>
      <c r="Z92" s="122">
        <f t="shared" si="33"/>
        <v>0</v>
      </c>
      <c r="AA92" s="122">
        <f t="shared" si="33"/>
        <v>0</v>
      </c>
      <c r="AB92" s="122">
        <f t="shared" si="33"/>
        <v>0</v>
      </c>
      <c r="AC92" s="122">
        <f t="shared" si="33"/>
        <v>0</v>
      </c>
      <c r="AD92" s="122">
        <f t="shared" si="33"/>
        <v>0</v>
      </c>
      <c r="AE92" s="122">
        <f t="shared" si="33"/>
        <v>0</v>
      </c>
      <c r="AF92" s="122">
        <f t="shared" si="33"/>
        <v>0</v>
      </c>
      <c r="AG92" s="122">
        <f t="shared" si="33"/>
        <v>0</v>
      </c>
      <c r="AH92" s="122">
        <f t="shared" si="33"/>
        <v>0</v>
      </c>
      <c r="AI92" s="122">
        <f t="shared" si="33"/>
        <v>0</v>
      </c>
      <c r="AJ92" s="122">
        <f t="shared" si="33"/>
        <v>0</v>
      </c>
      <c r="AK92" s="122">
        <f t="shared" si="33"/>
        <v>0</v>
      </c>
      <c r="AL92" s="123">
        <f t="shared" si="33"/>
        <v>0</v>
      </c>
      <c r="AM92" s="120">
        <f t="shared" si="33"/>
        <v>0</v>
      </c>
    </row>
    <row r="93" spans="1:39" x14ac:dyDescent="0.2">
      <c r="C93" s="260"/>
      <c r="D93" s="84" t="s">
        <v>184</v>
      </c>
      <c r="E93" s="121">
        <f t="shared" ref="E93:AM100" si="34">E53-E13</f>
        <v>0</v>
      </c>
      <c r="F93" s="122">
        <f t="shared" si="34"/>
        <v>0</v>
      </c>
      <c r="G93" s="122">
        <f t="shared" si="34"/>
        <v>0</v>
      </c>
      <c r="H93" s="122">
        <f t="shared" si="34"/>
        <v>0</v>
      </c>
      <c r="I93" s="122">
        <f t="shared" si="34"/>
        <v>0</v>
      </c>
      <c r="J93" s="122">
        <f t="shared" si="34"/>
        <v>0</v>
      </c>
      <c r="K93" s="122">
        <f t="shared" si="34"/>
        <v>0</v>
      </c>
      <c r="L93" s="122">
        <f t="shared" si="34"/>
        <v>0</v>
      </c>
      <c r="M93" s="122">
        <f t="shared" si="34"/>
        <v>0</v>
      </c>
      <c r="N93" s="122">
        <f t="shared" si="34"/>
        <v>0</v>
      </c>
      <c r="O93" s="122">
        <f t="shared" si="34"/>
        <v>0</v>
      </c>
      <c r="P93" s="122">
        <f t="shared" si="34"/>
        <v>0</v>
      </c>
      <c r="Q93" s="122">
        <f t="shared" si="34"/>
        <v>0</v>
      </c>
      <c r="R93" s="122">
        <f t="shared" si="34"/>
        <v>0</v>
      </c>
      <c r="S93" s="122">
        <f t="shared" si="34"/>
        <v>0</v>
      </c>
      <c r="T93" s="122">
        <f t="shared" si="34"/>
        <v>0</v>
      </c>
      <c r="U93" s="122">
        <f t="shared" si="34"/>
        <v>0</v>
      </c>
      <c r="V93" s="122">
        <f t="shared" si="34"/>
        <v>0</v>
      </c>
      <c r="W93" s="122">
        <f t="shared" si="34"/>
        <v>0</v>
      </c>
      <c r="X93" s="122">
        <f t="shared" si="34"/>
        <v>0</v>
      </c>
      <c r="Y93" s="122">
        <f t="shared" si="34"/>
        <v>0</v>
      </c>
      <c r="Z93" s="122">
        <f t="shared" si="34"/>
        <v>0</v>
      </c>
      <c r="AA93" s="122">
        <f t="shared" si="34"/>
        <v>0</v>
      </c>
      <c r="AB93" s="122">
        <f t="shared" si="34"/>
        <v>0</v>
      </c>
      <c r="AC93" s="122">
        <f t="shared" si="34"/>
        <v>0</v>
      </c>
      <c r="AD93" s="122">
        <f t="shared" si="34"/>
        <v>0</v>
      </c>
      <c r="AE93" s="122">
        <f t="shared" si="34"/>
        <v>0</v>
      </c>
      <c r="AF93" s="122">
        <f t="shared" si="34"/>
        <v>0</v>
      </c>
      <c r="AG93" s="122">
        <f t="shared" si="34"/>
        <v>0</v>
      </c>
      <c r="AH93" s="122">
        <f t="shared" si="34"/>
        <v>0</v>
      </c>
      <c r="AI93" s="122">
        <f t="shared" si="34"/>
        <v>0</v>
      </c>
      <c r="AJ93" s="122">
        <f t="shared" si="34"/>
        <v>0</v>
      </c>
      <c r="AK93" s="122">
        <f t="shared" si="34"/>
        <v>0</v>
      </c>
      <c r="AL93" s="123">
        <f t="shared" si="34"/>
        <v>0</v>
      </c>
      <c r="AM93" s="120">
        <f t="shared" si="34"/>
        <v>0</v>
      </c>
    </row>
    <row r="94" spans="1:39" x14ac:dyDescent="0.2">
      <c r="C94" s="260"/>
      <c r="D94" s="84" t="s">
        <v>186</v>
      </c>
      <c r="E94" s="121">
        <f t="shared" si="34"/>
        <v>0</v>
      </c>
      <c r="F94" s="122">
        <f t="shared" si="34"/>
        <v>0</v>
      </c>
      <c r="G94" s="122">
        <f t="shared" si="34"/>
        <v>0</v>
      </c>
      <c r="H94" s="122">
        <f t="shared" si="34"/>
        <v>0</v>
      </c>
      <c r="I94" s="122">
        <f t="shared" si="34"/>
        <v>0</v>
      </c>
      <c r="J94" s="122">
        <f t="shared" si="34"/>
        <v>0</v>
      </c>
      <c r="K94" s="122">
        <f t="shared" si="34"/>
        <v>0</v>
      </c>
      <c r="L94" s="122">
        <f t="shared" si="34"/>
        <v>0</v>
      </c>
      <c r="M94" s="122">
        <f t="shared" si="34"/>
        <v>0</v>
      </c>
      <c r="N94" s="122">
        <f t="shared" si="34"/>
        <v>0</v>
      </c>
      <c r="O94" s="122">
        <f t="shared" si="34"/>
        <v>0</v>
      </c>
      <c r="P94" s="122">
        <f t="shared" si="34"/>
        <v>0</v>
      </c>
      <c r="Q94" s="122">
        <f t="shared" si="34"/>
        <v>0</v>
      </c>
      <c r="R94" s="122">
        <f t="shared" si="34"/>
        <v>0</v>
      </c>
      <c r="S94" s="122">
        <f t="shared" si="34"/>
        <v>0</v>
      </c>
      <c r="T94" s="122">
        <f t="shared" si="34"/>
        <v>0</v>
      </c>
      <c r="U94" s="122">
        <f t="shared" si="34"/>
        <v>0</v>
      </c>
      <c r="V94" s="122">
        <f t="shared" si="34"/>
        <v>0</v>
      </c>
      <c r="W94" s="122">
        <f t="shared" si="34"/>
        <v>0</v>
      </c>
      <c r="X94" s="122">
        <f t="shared" si="34"/>
        <v>0</v>
      </c>
      <c r="Y94" s="122">
        <f t="shared" si="34"/>
        <v>0</v>
      </c>
      <c r="Z94" s="122">
        <f t="shared" si="34"/>
        <v>0</v>
      </c>
      <c r="AA94" s="122">
        <f t="shared" si="34"/>
        <v>0</v>
      </c>
      <c r="AB94" s="122">
        <f t="shared" si="34"/>
        <v>0</v>
      </c>
      <c r="AC94" s="122">
        <f t="shared" si="34"/>
        <v>0</v>
      </c>
      <c r="AD94" s="122">
        <f t="shared" si="34"/>
        <v>0</v>
      </c>
      <c r="AE94" s="122">
        <f t="shared" si="34"/>
        <v>0</v>
      </c>
      <c r="AF94" s="122">
        <f t="shared" si="34"/>
        <v>0</v>
      </c>
      <c r="AG94" s="122">
        <f t="shared" si="34"/>
        <v>0</v>
      </c>
      <c r="AH94" s="122">
        <f t="shared" si="34"/>
        <v>0</v>
      </c>
      <c r="AI94" s="122">
        <f t="shared" si="34"/>
        <v>0</v>
      </c>
      <c r="AJ94" s="122">
        <f t="shared" si="34"/>
        <v>0</v>
      </c>
      <c r="AK94" s="122">
        <f t="shared" si="34"/>
        <v>0</v>
      </c>
      <c r="AL94" s="123">
        <f t="shared" si="34"/>
        <v>0</v>
      </c>
      <c r="AM94" s="120">
        <f t="shared" si="34"/>
        <v>0</v>
      </c>
    </row>
    <row r="95" spans="1:39" x14ac:dyDescent="0.2">
      <c r="C95" s="260"/>
      <c r="D95" s="84" t="s">
        <v>187</v>
      </c>
      <c r="E95" s="121">
        <f t="shared" si="34"/>
        <v>0</v>
      </c>
      <c r="F95" s="122">
        <f t="shared" si="34"/>
        <v>0</v>
      </c>
      <c r="G95" s="122">
        <f t="shared" si="34"/>
        <v>0</v>
      </c>
      <c r="H95" s="122">
        <f t="shared" si="34"/>
        <v>0</v>
      </c>
      <c r="I95" s="122">
        <f t="shared" si="34"/>
        <v>0</v>
      </c>
      <c r="J95" s="122">
        <f t="shared" si="34"/>
        <v>0</v>
      </c>
      <c r="K95" s="122">
        <f t="shared" si="34"/>
        <v>0</v>
      </c>
      <c r="L95" s="122">
        <f t="shared" si="34"/>
        <v>0</v>
      </c>
      <c r="M95" s="122">
        <f t="shared" si="34"/>
        <v>0</v>
      </c>
      <c r="N95" s="122">
        <f t="shared" si="34"/>
        <v>0</v>
      </c>
      <c r="O95" s="122">
        <f t="shared" si="34"/>
        <v>0</v>
      </c>
      <c r="P95" s="122">
        <f t="shared" si="34"/>
        <v>0</v>
      </c>
      <c r="Q95" s="122">
        <f t="shared" si="34"/>
        <v>0</v>
      </c>
      <c r="R95" s="122">
        <f t="shared" si="34"/>
        <v>0</v>
      </c>
      <c r="S95" s="122">
        <f t="shared" si="34"/>
        <v>0</v>
      </c>
      <c r="T95" s="122">
        <f t="shared" si="34"/>
        <v>0</v>
      </c>
      <c r="U95" s="122">
        <f t="shared" si="34"/>
        <v>0</v>
      </c>
      <c r="V95" s="122">
        <f t="shared" si="34"/>
        <v>0</v>
      </c>
      <c r="W95" s="122">
        <f t="shared" si="34"/>
        <v>0</v>
      </c>
      <c r="X95" s="122">
        <f t="shared" si="34"/>
        <v>0</v>
      </c>
      <c r="Y95" s="122">
        <f t="shared" si="34"/>
        <v>0</v>
      </c>
      <c r="Z95" s="122">
        <f t="shared" si="34"/>
        <v>0</v>
      </c>
      <c r="AA95" s="122">
        <f t="shared" si="34"/>
        <v>0</v>
      </c>
      <c r="AB95" s="122">
        <f t="shared" si="34"/>
        <v>0</v>
      </c>
      <c r="AC95" s="122">
        <f t="shared" si="34"/>
        <v>0</v>
      </c>
      <c r="AD95" s="122">
        <f t="shared" si="34"/>
        <v>0</v>
      </c>
      <c r="AE95" s="122">
        <f t="shared" si="34"/>
        <v>0</v>
      </c>
      <c r="AF95" s="122">
        <f t="shared" si="34"/>
        <v>0</v>
      </c>
      <c r="AG95" s="122">
        <f t="shared" si="34"/>
        <v>0</v>
      </c>
      <c r="AH95" s="122">
        <f t="shared" si="34"/>
        <v>0</v>
      </c>
      <c r="AI95" s="122">
        <f t="shared" si="34"/>
        <v>0</v>
      </c>
      <c r="AJ95" s="122">
        <f t="shared" si="34"/>
        <v>0</v>
      </c>
      <c r="AK95" s="122">
        <f t="shared" si="34"/>
        <v>0</v>
      </c>
      <c r="AL95" s="123">
        <f t="shared" si="34"/>
        <v>0</v>
      </c>
      <c r="AM95" s="120">
        <f t="shared" si="34"/>
        <v>0</v>
      </c>
    </row>
    <row r="96" spans="1:39" x14ac:dyDescent="0.2">
      <c r="C96" s="260"/>
      <c r="D96" s="84" t="s">
        <v>188</v>
      </c>
      <c r="E96" s="121">
        <f t="shared" si="34"/>
        <v>0</v>
      </c>
      <c r="F96" s="122">
        <f t="shared" si="34"/>
        <v>0</v>
      </c>
      <c r="G96" s="122">
        <f t="shared" si="34"/>
        <v>0</v>
      </c>
      <c r="H96" s="122">
        <f t="shared" si="34"/>
        <v>0</v>
      </c>
      <c r="I96" s="122">
        <f t="shared" si="34"/>
        <v>0</v>
      </c>
      <c r="J96" s="122">
        <f t="shared" si="34"/>
        <v>0</v>
      </c>
      <c r="K96" s="122">
        <f t="shared" si="34"/>
        <v>0</v>
      </c>
      <c r="L96" s="122">
        <f t="shared" si="34"/>
        <v>0</v>
      </c>
      <c r="M96" s="122">
        <f t="shared" si="34"/>
        <v>0</v>
      </c>
      <c r="N96" s="122">
        <f t="shared" si="34"/>
        <v>0</v>
      </c>
      <c r="O96" s="122">
        <f t="shared" si="34"/>
        <v>0</v>
      </c>
      <c r="P96" s="122">
        <f t="shared" si="34"/>
        <v>0</v>
      </c>
      <c r="Q96" s="122">
        <f t="shared" si="34"/>
        <v>0</v>
      </c>
      <c r="R96" s="122">
        <f t="shared" si="34"/>
        <v>0</v>
      </c>
      <c r="S96" s="122">
        <f t="shared" si="34"/>
        <v>0</v>
      </c>
      <c r="T96" s="122">
        <f t="shared" si="34"/>
        <v>0</v>
      </c>
      <c r="U96" s="122">
        <f t="shared" si="34"/>
        <v>0</v>
      </c>
      <c r="V96" s="122">
        <f t="shared" si="34"/>
        <v>0</v>
      </c>
      <c r="W96" s="122">
        <f t="shared" si="34"/>
        <v>0</v>
      </c>
      <c r="X96" s="122">
        <f t="shared" si="34"/>
        <v>0</v>
      </c>
      <c r="Y96" s="122">
        <f t="shared" si="34"/>
        <v>0</v>
      </c>
      <c r="Z96" s="122">
        <f t="shared" si="34"/>
        <v>0</v>
      </c>
      <c r="AA96" s="122">
        <f t="shared" si="34"/>
        <v>0</v>
      </c>
      <c r="AB96" s="122">
        <f t="shared" si="34"/>
        <v>0</v>
      </c>
      <c r="AC96" s="122">
        <f t="shared" si="34"/>
        <v>0</v>
      </c>
      <c r="AD96" s="122">
        <f t="shared" si="34"/>
        <v>0</v>
      </c>
      <c r="AE96" s="122">
        <f t="shared" si="34"/>
        <v>0</v>
      </c>
      <c r="AF96" s="122">
        <f t="shared" si="34"/>
        <v>0</v>
      </c>
      <c r="AG96" s="122">
        <f t="shared" si="34"/>
        <v>0</v>
      </c>
      <c r="AH96" s="122">
        <f t="shared" si="34"/>
        <v>0</v>
      </c>
      <c r="AI96" s="122">
        <f t="shared" si="34"/>
        <v>0</v>
      </c>
      <c r="AJ96" s="122">
        <f t="shared" si="34"/>
        <v>0</v>
      </c>
      <c r="AK96" s="122">
        <f t="shared" si="34"/>
        <v>0</v>
      </c>
      <c r="AL96" s="123">
        <f t="shared" si="34"/>
        <v>0</v>
      </c>
      <c r="AM96" s="120">
        <f t="shared" si="34"/>
        <v>0</v>
      </c>
    </row>
    <row r="97" spans="3:39" x14ac:dyDescent="0.2">
      <c r="C97" s="260"/>
      <c r="D97" s="84" t="s">
        <v>189</v>
      </c>
      <c r="E97" s="121">
        <f t="shared" si="34"/>
        <v>0</v>
      </c>
      <c r="F97" s="122">
        <f t="shared" si="34"/>
        <v>0</v>
      </c>
      <c r="G97" s="122">
        <f t="shared" si="34"/>
        <v>0</v>
      </c>
      <c r="H97" s="122">
        <f t="shared" si="34"/>
        <v>0</v>
      </c>
      <c r="I97" s="122">
        <f t="shared" si="34"/>
        <v>0</v>
      </c>
      <c r="J97" s="122">
        <f t="shared" si="34"/>
        <v>0</v>
      </c>
      <c r="K97" s="122">
        <f t="shared" si="34"/>
        <v>0</v>
      </c>
      <c r="L97" s="122">
        <f t="shared" si="34"/>
        <v>0</v>
      </c>
      <c r="M97" s="122">
        <f t="shared" si="34"/>
        <v>0</v>
      </c>
      <c r="N97" s="122">
        <f t="shared" si="34"/>
        <v>0</v>
      </c>
      <c r="O97" s="122">
        <f t="shared" si="34"/>
        <v>0</v>
      </c>
      <c r="P97" s="122">
        <f t="shared" si="34"/>
        <v>0</v>
      </c>
      <c r="Q97" s="122">
        <f t="shared" si="34"/>
        <v>0</v>
      </c>
      <c r="R97" s="122">
        <f t="shared" si="34"/>
        <v>0</v>
      </c>
      <c r="S97" s="122">
        <f t="shared" si="34"/>
        <v>0</v>
      </c>
      <c r="T97" s="122">
        <f t="shared" si="34"/>
        <v>0</v>
      </c>
      <c r="U97" s="122">
        <f t="shared" si="34"/>
        <v>0</v>
      </c>
      <c r="V97" s="122">
        <f t="shared" si="34"/>
        <v>0</v>
      </c>
      <c r="W97" s="122">
        <f t="shared" si="34"/>
        <v>0</v>
      </c>
      <c r="X97" s="122">
        <f t="shared" si="34"/>
        <v>0</v>
      </c>
      <c r="Y97" s="122">
        <f t="shared" si="34"/>
        <v>0</v>
      </c>
      <c r="Z97" s="122">
        <f t="shared" si="34"/>
        <v>0</v>
      </c>
      <c r="AA97" s="122">
        <f t="shared" si="34"/>
        <v>0</v>
      </c>
      <c r="AB97" s="122">
        <f t="shared" si="34"/>
        <v>0</v>
      </c>
      <c r="AC97" s="122">
        <f t="shared" si="34"/>
        <v>0</v>
      </c>
      <c r="AD97" s="122">
        <f t="shared" si="34"/>
        <v>0</v>
      </c>
      <c r="AE97" s="122">
        <f t="shared" si="34"/>
        <v>0</v>
      </c>
      <c r="AF97" s="122">
        <f t="shared" si="34"/>
        <v>0</v>
      </c>
      <c r="AG97" s="122">
        <f t="shared" si="34"/>
        <v>0</v>
      </c>
      <c r="AH97" s="122">
        <f t="shared" si="34"/>
        <v>0</v>
      </c>
      <c r="AI97" s="122">
        <f t="shared" si="34"/>
        <v>0</v>
      </c>
      <c r="AJ97" s="122">
        <f t="shared" si="34"/>
        <v>0</v>
      </c>
      <c r="AK97" s="122">
        <f t="shared" si="34"/>
        <v>0</v>
      </c>
      <c r="AL97" s="123">
        <f t="shared" si="34"/>
        <v>0</v>
      </c>
      <c r="AM97" s="120">
        <f t="shared" si="34"/>
        <v>0</v>
      </c>
    </row>
    <row r="98" spans="3:39" x14ac:dyDescent="0.2">
      <c r="C98" s="260"/>
      <c r="D98" s="84" t="s">
        <v>190</v>
      </c>
      <c r="E98" s="121">
        <f t="shared" si="34"/>
        <v>0</v>
      </c>
      <c r="F98" s="122">
        <f t="shared" si="34"/>
        <v>0</v>
      </c>
      <c r="G98" s="122">
        <f t="shared" si="34"/>
        <v>0</v>
      </c>
      <c r="H98" s="122">
        <f t="shared" si="34"/>
        <v>0</v>
      </c>
      <c r="I98" s="122">
        <f t="shared" si="34"/>
        <v>0</v>
      </c>
      <c r="J98" s="122">
        <f t="shared" si="34"/>
        <v>0</v>
      </c>
      <c r="K98" s="122">
        <f t="shared" si="34"/>
        <v>0</v>
      </c>
      <c r="L98" s="122">
        <f t="shared" si="34"/>
        <v>0</v>
      </c>
      <c r="M98" s="122">
        <f t="shared" si="34"/>
        <v>0</v>
      </c>
      <c r="N98" s="122">
        <f t="shared" si="34"/>
        <v>0</v>
      </c>
      <c r="O98" s="122">
        <f t="shared" si="34"/>
        <v>0</v>
      </c>
      <c r="P98" s="122">
        <f t="shared" si="34"/>
        <v>0</v>
      </c>
      <c r="Q98" s="122">
        <f t="shared" si="34"/>
        <v>0</v>
      </c>
      <c r="R98" s="122">
        <f t="shared" si="34"/>
        <v>0</v>
      </c>
      <c r="S98" s="122">
        <f t="shared" si="34"/>
        <v>0</v>
      </c>
      <c r="T98" s="122">
        <f t="shared" si="34"/>
        <v>0</v>
      </c>
      <c r="U98" s="122">
        <f t="shared" si="34"/>
        <v>0</v>
      </c>
      <c r="V98" s="122">
        <f t="shared" si="34"/>
        <v>0</v>
      </c>
      <c r="W98" s="122">
        <f t="shared" si="34"/>
        <v>0</v>
      </c>
      <c r="X98" s="122">
        <f t="shared" si="34"/>
        <v>0</v>
      </c>
      <c r="Y98" s="122">
        <f t="shared" si="34"/>
        <v>0</v>
      </c>
      <c r="Z98" s="122">
        <f t="shared" si="34"/>
        <v>0</v>
      </c>
      <c r="AA98" s="122">
        <f t="shared" si="34"/>
        <v>0</v>
      </c>
      <c r="AB98" s="122">
        <f t="shared" si="34"/>
        <v>0</v>
      </c>
      <c r="AC98" s="122">
        <f t="shared" si="34"/>
        <v>0</v>
      </c>
      <c r="AD98" s="122">
        <f t="shared" si="34"/>
        <v>0</v>
      </c>
      <c r="AE98" s="122">
        <f t="shared" si="34"/>
        <v>0</v>
      </c>
      <c r="AF98" s="122">
        <f t="shared" si="34"/>
        <v>0</v>
      </c>
      <c r="AG98" s="122">
        <f t="shared" si="34"/>
        <v>0</v>
      </c>
      <c r="AH98" s="122">
        <f t="shared" si="34"/>
        <v>0</v>
      </c>
      <c r="AI98" s="122">
        <f t="shared" si="34"/>
        <v>0</v>
      </c>
      <c r="AJ98" s="122">
        <f t="shared" si="34"/>
        <v>0</v>
      </c>
      <c r="AK98" s="122">
        <f t="shared" si="34"/>
        <v>0</v>
      </c>
      <c r="AL98" s="123">
        <f t="shared" si="34"/>
        <v>0</v>
      </c>
      <c r="AM98" s="120">
        <f t="shared" si="34"/>
        <v>0</v>
      </c>
    </row>
    <row r="99" spans="3:39" x14ac:dyDescent="0.2">
      <c r="C99" s="260"/>
      <c r="D99" s="84" t="s">
        <v>191</v>
      </c>
      <c r="E99" s="121">
        <f t="shared" si="34"/>
        <v>0</v>
      </c>
      <c r="F99" s="122">
        <f t="shared" si="34"/>
        <v>0</v>
      </c>
      <c r="G99" s="122">
        <f t="shared" si="34"/>
        <v>0</v>
      </c>
      <c r="H99" s="122">
        <f t="shared" si="34"/>
        <v>0</v>
      </c>
      <c r="I99" s="122">
        <f t="shared" si="34"/>
        <v>0</v>
      </c>
      <c r="J99" s="122">
        <f t="shared" si="34"/>
        <v>0</v>
      </c>
      <c r="K99" s="122">
        <f t="shared" si="34"/>
        <v>0</v>
      </c>
      <c r="L99" s="122">
        <f t="shared" si="34"/>
        <v>0</v>
      </c>
      <c r="M99" s="122">
        <f t="shared" si="34"/>
        <v>0</v>
      </c>
      <c r="N99" s="122">
        <f t="shared" si="34"/>
        <v>0</v>
      </c>
      <c r="O99" s="122">
        <f t="shared" si="34"/>
        <v>0</v>
      </c>
      <c r="P99" s="122">
        <f t="shared" si="34"/>
        <v>0</v>
      </c>
      <c r="Q99" s="122">
        <f t="shared" si="34"/>
        <v>0</v>
      </c>
      <c r="R99" s="122">
        <f t="shared" si="34"/>
        <v>0</v>
      </c>
      <c r="S99" s="122">
        <f t="shared" si="34"/>
        <v>0</v>
      </c>
      <c r="T99" s="122">
        <f t="shared" si="34"/>
        <v>0</v>
      </c>
      <c r="U99" s="122">
        <f t="shared" si="34"/>
        <v>0</v>
      </c>
      <c r="V99" s="122">
        <f t="shared" si="34"/>
        <v>0</v>
      </c>
      <c r="W99" s="122">
        <f t="shared" si="34"/>
        <v>0</v>
      </c>
      <c r="X99" s="122">
        <f t="shared" si="34"/>
        <v>0</v>
      </c>
      <c r="Y99" s="122">
        <f t="shared" si="34"/>
        <v>0</v>
      </c>
      <c r="Z99" s="122">
        <f t="shared" si="34"/>
        <v>0</v>
      </c>
      <c r="AA99" s="122">
        <f t="shared" si="34"/>
        <v>0</v>
      </c>
      <c r="AB99" s="122">
        <f t="shared" si="34"/>
        <v>0</v>
      </c>
      <c r="AC99" s="122">
        <f t="shared" si="34"/>
        <v>0</v>
      </c>
      <c r="AD99" s="122">
        <f t="shared" si="34"/>
        <v>0</v>
      </c>
      <c r="AE99" s="122">
        <f t="shared" si="34"/>
        <v>0</v>
      </c>
      <c r="AF99" s="122">
        <f t="shared" si="34"/>
        <v>0</v>
      </c>
      <c r="AG99" s="122">
        <f t="shared" si="34"/>
        <v>0</v>
      </c>
      <c r="AH99" s="122">
        <f t="shared" si="34"/>
        <v>0</v>
      </c>
      <c r="AI99" s="122">
        <f t="shared" si="34"/>
        <v>0</v>
      </c>
      <c r="AJ99" s="122">
        <f t="shared" si="34"/>
        <v>0</v>
      </c>
      <c r="AK99" s="122">
        <f t="shared" si="34"/>
        <v>0</v>
      </c>
      <c r="AL99" s="123">
        <f t="shared" si="34"/>
        <v>0</v>
      </c>
      <c r="AM99" s="120">
        <f t="shared" si="34"/>
        <v>0</v>
      </c>
    </row>
    <row r="100" spans="3:39" x14ac:dyDescent="0.2">
      <c r="C100" s="260"/>
      <c r="D100" s="84" t="s">
        <v>192</v>
      </c>
      <c r="E100" s="121">
        <f t="shared" si="34"/>
        <v>0</v>
      </c>
      <c r="F100" s="122">
        <f t="shared" si="34"/>
        <v>0</v>
      </c>
      <c r="G100" s="122">
        <f t="shared" si="34"/>
        <v>0</v>
      </c>
      <c r="H100" s="122">
        <f t="shared" si="34"/>
        <v>0</v>
      </c>
      <c r="I100" s="122">
        <f t="shared" si="34"/>
        <v>0</v>
      </c>
      <c r="J100" s="122">
        <f t="shared" si="34"/>
        <v>0</v>
      </c>
      <c r="K100" s="122">
        <f t="shared" si="34"/>
        <v>0</v>
      </c>
      <c r="L100" s="122">
        <f t="shared" si="34"/>
        <v>0</v>
      </c>
      <c r="M100" s="122">
        <f t="shared" si="34"/>
        <v>0</v>
      </c>
      <c r="N100" s="122">
        <f t="shared" si="34"/>
        <v>0</v>
      </c>
      <c r="O100" s="122">
        <f t="shared" ref="O100:AM100" si="35">O60-O20</f>
        <v>0</v>
      </c>
      <c r="P100" s="122">
        <f t="shared" si="35"/>
        <v>0</v>
      </c>
      <c r="Q100" s="122">
        <f t="shared" si="35"/>
        <v>0</v>
      </c>
      <c r="R100" s="122">
        <f t="shared" si="35"/>
        <v>0</v>
      </c>
      <c r="S100" s="122">
        <f t="shared" si="35"/>
        <v>0</v>
      </c>
      <c r="T100" s="122">
        <f t="shared" si="35"/>
        <v>0</v>
      </c>
      <c r="U100" s="122">
        <f t="shared" si="35"/>
        <v>0</v>
      </c>
      <c r="V100" s="122">
        <f t="shared" si="35"/>
        <v>0</v>
      </c>
      <c r="W100" s="122">
        <f t="shared" si="35"/>
        <v>0</v>
      </c>
      <c r="X100" s="122">
        <f t="shared" si="35"/>
        <v>0</v>
      </c>
      <c r="Y100" s="122">
        <f t="shared" si="35"/>
        <v>0</v>
      </c>
      <c r="Z100" s="122">
        <f t="shared" si="35"/>
        <v>0</v>
      </c>
      <c r="AA100" s="122">
        <f t="shared" si="35"/>
        <v>0</v>
      </c>
      <c r="AB100" s="122">
        <f t="shared" si="35"/>
        <v>0</v>
      </c>
      <c r="AC100" s="122">
        <f t="shared" si="35"/>
        <v>0</v>
      </c>
      <c r="AD100" s="122">
        <f t="shared" si="35"/>
        <v>0</v>
      </c>
      <c r="AE100" s="122">
        <f t="shared" si="35"/>
        <v>0</v>
      </c>
      <c r="AF100" s="122">
        <f t="shared" si="35"/>
        <v>0</v>
      </c>
      <c r="AG100" s="122">
        <f t="shared" si="35"/>
        <v>0</v>
      </c>
      <c r="AH100" s="122">
        <f t="shared" si="35"/>
        <v>0</v>
      </c>
      <c r="AI100" s="122">
        <f t="shared" si="35"/>
        <v>0</v>
      </c>
      <c r="AJ100" s="122">
        <f t="shared" si="35"/>
        <v>0</v>
      </c>
      <c r="AK100" s="122">
        <f t="shared" si="35"/>
        <v>0</v>
      </c>
      <c r="AL100" s="123">
        <f t="shared" si="35"/>
        <v>0</v>
      </c>
      <c r="AM100" s="120">
        <f t="shared" si="35"/>
        <v>0</v>
      </c>
    </row>
    <row r="101" spans="3:39" x14ac:dyDescent="0.2">
      <c r="C101" s="260"/>
      <c r="D101" s="84" t="s">
        <v>193</v>
      </c>
      <c r="E101" s="121">
        <f t="shared" ref="E101:AM108" si="36">E61-E21</f>
        <v>0</v>
      </c>
      <c r="F101" s="122">
        <f t="shared" si="36"/>
        <v>0</v>
      </c>
      <c r="G101" s="122">
        <f t="shared" si="36"/>
        <v>0</v>
      </c>
      <c r="H101" s="122">
        <f t="shared" si="36"/>
        <v>0</v>
      </c>
      <c r="I101" s="122">
        <f t="shared" si="36"/>
        <v>0</v>
      </c>
      <c r="J101" s="122">
        <f t="shared" si="36"/>
        <v>0</v>
      </c>
      <c r="K101" s="122">
        <f t="shared" si="36"/>
        <v>0</v>
      </c>
      <c r="L101" s="122">
        <f t="shared" si="36"/>
        <v>0</v>
      </c>
      <c r="M101" s="122">
        <f t="shared" si="36"/>
        <v>0</v>
      </c>
      <c r="N101" s="122">
        <f t="shared" si="36"/>
        <v>0</v>
      </c>
      <c r="O101" s="122">
        <f t="shared" si="36"/>
        <v>0</v>
      </c>
      <c r="P101" s="122">
        <f t="shared" si="36"/>
        <v>0</v>
      </c>
      <c r="Q101" s="122">
        <f t="shared" si="36"/>
        <v>0</v>
      </c>
      <c r="R101" s="122">
        <f t="shared" si="36"/>
        <v>0</v>
      </c>
      <c r="S101" s="122">
        <f t="shared" si="36"/>
        <v>0</v>
      </c>
      <c r="T101" s="122">
        <f t="shared" si="36"/>
        <v>0</v>
      </c>
      <c r="U101" s="122">
        <f t="shared" si="36"/>
        <v>0</v>
      </c>
      <c r="V101" s="122">
        <f t="shared" si="36"/>
        <v>0</v>
      </c>
      <c r="W101" s="122">
        <f t="shared" si="36"/>
        <v>0</v>
      </c>
      <c r="X101" s="122">
        <f t="shared" si="36"/>
        <v>0</v>
      </c>
      <c r="Y101" s="122">
        <f t="shared" si="36"/>
        <v>0</v>
      </c>
      <c r="Z101" s="122">
        <f t="shared" si="36"/>
        <v>0</v>
      </c>
      <c r="AA101" s="122">
        <f t="shared" si="36"/>
        <v>0</v>
      </c>
      <c r="AB101" s="122">
        <f t="shared" si="36"/>
        <v>0</v>
      </c>
      <c r="AC101" s="122">
        <f t="shared" si="36"/>
        <v>0</v>
      </c>
      <c r="AD101" s="122">
        <f t="shared" si="36"/>
        <v>0</v>
      </c>
      <c r="AE101" s="122">
        <f t="shared" si="36"/>
        <v>0</v>
      </c>
      <c r="AF101" s="122">
        <f t="shared" si="36"/>
        <v>0</v>
      </c>
      <c r="AG101" s="122">
        <f t="shared" si="36"/>
        <v>0</v>
      </c>
      <c r="AH101" s="122">
        <f t="shared" si="36"/>
        <v>0</v>
      </c>
      <c r="AI101" s="122">
        <f t="shared" si="36"/>
        <v>0</v>
      </c>
      <c r="AJ101" s="122">
        <f t="shared" si="36"/>
        <v>0</v>
      </c>
      <c r="AK101" s="122">
        <f t="shared" si="36"/>
        <v>0</v>
      </c>
      <c r="AL101" s="123">
        <f t="shared" si="36"/>
        <v>0</v>
      </c>
      <c r="AM101" s="120">
        <f t="shared" si="36"/>
        <v>0</v>
      </c>
    </row>
    <row r="102" spans="3:39" x14ac:dyDescent="0.2">
      <c r="C102" s="260"/>
      <c r="D102" s="84" t="s">
        <v>180</v>
      </c>
      <c r="E102" s="121">
        <f t="shared" si="36"/>
        <v>0</v>
      </c>
      <c r="F102" s="122">
        <f t="shared" si="36"/>
        <v>0</v>
      </c>
      <c r="G102" s="122">
        <f t="shared" si="36"/>
        <v>0</v>
      </c>
      <c r="H102" s="122">
        <f t="shared" si="36"/>
        <v>0</v>
      </c>
      <c r="I102" s="122">
        <f t="shared" si="36"/>
        <v>0</v>
      </c>
      <c r="J102" s="122">
        <f t="shared" si="36"/>
        <v>0</v>
      </c>
      <c r="K102" s="122">
        <f t="shared" si="36"/>
        <v>0</v>
      </c>
      <c r="L102" s="122">
        <f t="shared" si="36"/>
        <v>0</v>
      </c>
      <c r="M102" s="122">
        <f t="shared" si="36"/>
        <v>0</v>
      </c>
      <c r="N102" s="122">
        <f t="shared" si="36"/>
        <v>0</v>
      </c>
      <c r="O102" s="122">
        <f t="shared" si="36"/>
        <v>0</v>
      </c>
      <c r="P102" s="122">
        <f t="shared" si="36"/>
        <v>0</v>
      </c>
      <c r="Q102" s="122">
        <f t="shared" si="36"/>
        <v>0</v>
      </c>
      <c r="R102" s="122">
        <f t="shared" si="36"/>
        <v>0</v>
      </c>
      <c r="S102" s="122">
        <f t="shared" si="36"/>
        <v>0</v>
      </c>
      <c r="T102" s="122">
        <f t="shared" si="36"/>
        <v>0</v>
      </c>
      <c r="U102" s="122">
        <f t="shared" si="36"/>
        <v>0</v>
      </c>
      <c r="V102" s="122">
        <f t="shared" si="36"/>
        <v>0</v>
      </c>
      <c r="W102" s="122">
        <f t="shared" si="36"/>
        <v>0</v>
      </c>
      <c r="X102" s="122">
        <f t="shared" si="36"/>
        <v>0</v>
      </c>
      <c r="Y102" s="122">
        <f t="shared" si="36"/>
        <v>0</v>
      </c>
      <c r="Z102" s="122">
        <f t="shared" si="36"/>
        <v>0</v>
      </c>
      <c r="AA102" s="122">
        <f t="shared" si="36"/>
        <v>0</v>
      </c>
      <c r="AB102" s="122">
        <f t="shared" si="36"/>
        <v>0</v>
      </c>
      <c r="AC102" s="122">
        <f t="shared" si="36"/>
        <v>0</v>
      </c>
      <c r="AD102" s="122">
        <f t="shared" si="36"/>
        <v>0</v>
      </c>
      <c r="AE102" s="122">
        <f t="shared" si="36"/>
        <v>0</v>
      </c>
      <c r="AF102" s="122">
        <f t="shared" si="36"/>
        <v>0</v>
      </c>
      <c r="AG102" s="122">
        <f t="shared" si="36"/>
        <v>0</v>
      </c>
      <c r="AH102" s="122">
        <f t="shared" si="36"/>
        <v>0</v>
      </c>
      <c r="AI102" s="122">
        <f t="shared" si="36"/>
        <v>0</v>
      </c>
      <c r="AJ102" s="122">
        <f t="shared" si="36"/>
        <v>0</v>
      </c>
      <c r="AK102" s="122">
        <f t="shared" si="36"/>
        <v>0</v>
      </c>
      <c r="AL102" s="123">
        <f t="shared" si="36"/>
        <v>0</v>
      </c>
      <c r="AM102" s="120">
        <f t="shared" si="36"/>
        <v>0</v>
      </c>
    </row>
    <row r="103" spans="3:39" x14ac:dyDescent="0.2">
      <c r="C103" s="260"/>
      <c r="D103" s="84" t="s">
        <v>195</v>
      </c>
      <c r="E103" s="121">
        <f t="shared" si="36"/>
        <v>0</v>
      </c>
      <c r="F103" s="122">
        <f t="shared" si="36"/>
        <v>0</v>
      </c>
      <c r="G103" s="122">
        <f t="shared" si="36"/>
        <v>0</v>
      </c>
      <c r="H103" s="122">
        <f t="shared" si="36"/>
        <v>0</v>
      </c>
      <c r="I103" s="122">
        <f t="shared" si="36"/>
        <v>0</v>
      </c>
      <c r="J103" s="122">
        <f t="shared" si="36"/>
        <v>0</v>
      </c>
      <c r="K103" s="122">
        <f t="shared" si="36"/>
        <v>0</v>
      </c>
      <c r="L103" s="122">
        <f t="shared" si="36"/>
        <v>0</v>
      </c>
      <c r="M103" s="122">
        <f t="shared" si="36"/>
        <v>0</v>
      </c>
      <c r="N103" s="122">
        <f t="shared" si="36"/>
        <v>0</v>
      </c>
      <c r="O103" s="122">
        <f t="shared" si="36"/>
        <v>0</v>
      </c>
      <c r="P103" s="122">
        <f t="shared" si="36"/>
        <v>0</v>
      </c>
      <c r="Q103" s="122">
        <f t="shared" si="36"/>
        <v>0</v>
      </c>
      <c r="R103" s="122">
        <f t="shared" si="36"/>
        <v>0</v>
      </c>
      <c r="S103" s="122">
        <f t="shared" si="36"/>
        <v>0</v>
      </c>
      <c r="T103" s="122">
        <f t="shared" si="36"/>
        <v>0</v>
      </c>
      <c r="U103" s="122">
        <f t="shared" si="36"/>
        <v>0</v>
      </c>
      <c r="V103" s="122">
        <f t="shared" si="36"/>
        <v>0</v>
      </c>
      <c r="W103" s="122">
        <f t="shared" si="36"/>
        <v>0</v>
      </c>
      <c r="X103" s="122">
        <f t="shared" si="36"/>
        <v>0</v>
      </c>
      <c r="Y103" s="122">
        <f t="shared" si="36"/>
        <v>0</v>
      </c>
      <c r="Z103" s="122">
        <f t="shared" si="36"/>
        <v>0</v>
      </c>
      <c r="AA103" s="122">
        <f t="shared" si="36"/>
        <v>0</v>
      </c>
      <c r="AB103" s="122">
        <f t="shared" si="36"/>
        <v>0</v>
      </c>
      <c r="AC103" s="122">
        <f t="shared" si="36"/>
        <v>0</v>
      </c>
      <c r="AD103" s="122">
        <f t="shared" si="36"/>
        <v>0</v>
      </c>
      <c r="AE103" s="122">
        <f t="shared" si="36"/>
        <v>0</v>
      </c>
      <c r="AF103" s="122">
        <f t="shared" si="36"/>
        <v>0</v>
      </c>
      <c r="AG103" s="122">
        <f t="shared" si="36"/>
        <v>0</v>
      </c>
      <c r="AH103" s="122">
        <f t="shared" si="36"/>
        <v>0</v>
      </c>
      <c r="AI103" s="122">
        <f t="shared" si="36"/>
        <v>0</v>
      </c>
      <c r="AJ103" s="122">
        <f t="shared" si="36"/>
        <v>0</v>
      </c>
      <c r="AK103" s="122">
        <f t="shared" si="36"/>
        <v>0</v>
      </c>
      <c r="AL103" s="123">
        <f t="shared" si="36"/>
        <v>0</v>
      </c>
      <c r="AM103" s="120">
        <f t="shared" si="36"/>
        <v>0</v>
      </c>
    </row>
    <row r="104" spans="3:39" x14ac:dyDescent="0.2">
      <c r="C104" s="260"/>
      <c r="D104" s="84" t="s">
        <v>194</v>
      </c>
      <c r="E104" s="121">
        <f t="shared" si="36"/>
        <v>0</v>
      </c>
      <c r="F104" s="122">
        <f t="shared" si="36"/>
        <v>0</v>
      </c>
      <c r="G104" s="122">
        <f t="shared" si="36"/>
        <v>0</v>
      </c>
      <c r="H104" s="122">
        <f t="shared" si="36"/>
        <v>0</v>
      </c>
      <c r="I104" s="122">
        <f t="shared" si="36"/>
        <v>0</v>
      </c>
      <c r="J104" s="122">
        <f t="shared" si="36"/>
        <v>0</v>
      </c>
      <c r="K104" s="122">
        <f t="shared" si="36"/>
        <v>0</v>
      </c>
      <c r="L104" s="122">
        <f t="shared" si="36"/>
        <v>0</v>
      </c>
      <c r="M104" s="122">
        <f t="shared" si="36"/>
        <v>0</v>
      </c>
      <c r="N104" s="122">
        <f t="shared" si="36"/>
        <v>0</v>
      </c>
      <c r="O104" s="122">
        <f t="shared" si="36"/>
        <v>0</v>
      </c>
      <c r="P104" s="122">
        <f t="shared" si="36"/>
        <v>0</v>
      </c>
      <c r="Q104" s="122">
        <f t="shared" si="36"/>
        <v>0</v>
      </c>
      <c r="R104" s="122">
        <f t="shared" si="36"/>
        <v>0</v>
      </c>
      <c r="S104" s="122">
        <f t="shared" si="36"/>
        <v>0</v>
      </c>
      <c r="T104" s="122">
        <f t="shared" si="36"/>
        <v>0</v>
      </c>
      <c r="U104" s="122">
        <f t="shared" si="36"/>
        <v>0</v>
      </c>
      <c r="V104" s="122">
        <f t="shared" si="36"/>
        <v>0</v>
      </c>
      <c r="W104" s="122">
        <f t="shared" si="36"/>
        <v>0</v>
      </c>
      <c r="X104" s="122">
        <f t="shared" si="36"/>
        <v>0</v>
      </c>
      <c r="Y104" s="122">
        <f t="shared" si="36"/>
        <v>0</v>
      </c>
      <c r="Z104" s="122">
        <f t="shared" si="36"/>
        <v>0</v>
      </c>
      <c r="AA104" s="122">
        <f t="shared" si="36"/>
        <v>0</v>
      </c>
      <c r="AB104" s="122">
        <f t="shared" si="36"/>
        <v>0</v>
      </c>
      <c r="AC104" s="122">
        <f t="shared" si="36"/>
        <v>0</v>
      </c>
      <c r="AD104" s="122">
        <f t="shared" si="36"/>
        <v>0</v>
      </c>
      <c r="AE104" s="122">
        <f t="shared" si="36"/>
        <v>0</v>
      </c>
      <c r="AF104" s="122">
        <f t="shared" si="36"/>
        <v>0</v>
      </c>
      <c r="AG104" s="122">
        <f t="shared" si="36"/>
        <v>0</v>
      </c>
      <c r="AH104" s="122">
        <f t="shared" si="36"/>
        <v>0</v>
      </c>
      <c r="AI104" s="122">
        <f t="shared" si="36"/>
        <v>0</v>
      </c>
      <c r="AJ104" s="122">
        <f t="shared" si="36"/>
        <v>0</v>
      </c>
      <c r="AK104" s="122">
        <f t="shared" si="36"/>
        <v>0</v>
      </c>
      <c r="AL104" s="123">
        <f t="shared" si="36"/>
        <v>0</v>
      </c>
      <c r="AM104" s="120">
        <f t="shared" si="36"/>
        <v>0</v>
      </c>
    </row>
    <row r="105" spans="3:39" x14ac:dyDescent="0.2">
      <c r="C105" s="260"/>
      <c r="D105" s="84" t="s">
        <v>196</v>
      </c>
      <c r="E105" s="121">
        <f t="shared" si="36"/>
        <v>0</v>
      </c>
      <c r="F105" s="122">
        <f t="shared" si="36"/>
        <v>0</v>
      </c>
      <c r="G105" s="122">
        <f t="shared" si="36"/>
        <v>0</v>
      </c>
      <c r="H105" s="122">
        <f t="shared" si="36"/>
        <v>0</v>
      </c>
      <c r="I105" s="122">
        <f t="shared" si="36"/>
        <v>0</v>
      </c>
      <c r="J105" s="122">
        <f t="shared" si="36"/>
        <v>0</v>
      </c>
      <c r="K105" s="122">
        <f t="shared" si="36"/>
        <v>0</v>
      </c>
      <c r="L105" s="122">
        <f t="shared" si="36"/>
        <v>0</v>
      </c>
      <c r="M105" s="122">
        <f t="shared" si="36"/>
        <v>0</v>
      </c>
      <c r="N105" s="122">
        <f t="shared" si="36"/>
        <v>0</v>
      </c>
      <c r="O105" s="122">
        <f t="shared" si="36"/>
        <v>0</v>
      </c>
      <c r="P105" s="122">
        <f t="shared" si="36"/>
        <v>0</v>
      </c>
      <c r="Q105" s="122">
        <f t="shared" si="36"/>
        <v>0</v>
      </c>
      <c r="R105" s="122">
        <f t="shared" si="36"/>
        <v>0</v>
      </c>
      <c r="S105" s="122">
        <f t="shared" si="36"/>
        <v>0</v>
      </c>
      <c r="T105" s="122">
        <f t="shared" si="36"/>
        <v>0</v>
      </c>
      <c r="U105" s="122">
        <f t="shared" si="36"/>
        <v>0</v>
      </c>
      <c r="V105" s="122">
        <f t="shared" si="36"/>
        <v>0</v>
      </c>
      <c r="W105" s="122">
        <f t="shared" si="36"/>
        <v>0</v>
      </c>
      <c r="X105" s="122">
        <f t="shared" si="36"/>
        <v>0</v>
      </c>
      <c r="Y105" s="122">
        <f t="shared" si="36"/>
        <v>0</v>
      </c>
      <c r="Z105" s="122">
        <f t="shared" si="36"/>
        <v>0</v>
      </c>
      <c r="AA105" s="122">
        <f t="shared" si="36"/>
        <v>0</v>
      </c>
      <c r="AB105" s="122">
        <f t="shared" si="36"/>
        <v>0</v>
      </c>
      <c r="AC105" s="122">
        <f t="shared" si="36"/>
        <v>0</v>
      </c>
      <c r="AD105" s="122">
        <f t="shared" si="36"/>
        <v>0</v>
      </c>
      <c r="AE105" s="122">
        <f t="shared" si="36"/>
        <v>0</v>
      </c>
      <c r="AF105" s="122">
        <f t="shared" si="36"/>
        <v>0</v>
      </c>
      <c r="AG105" s="122">
        <f t="shared" si="36"/>
        <v>0</v>
      </c>
      <c r="AH105" s="122">
        <f t="shared" si="36"/>
        <v>0</v>
      </c>
      <c r="AI105" s="122">
        <f t="shared" si="36"/>
        <v>0</v>
      </c>
      <c r="AJ105" s="122">
        <f t="shared" si="36"/>
        <v>0</v>
      </c>
      <c r="AK105" s="122">
        <f t="shared" si="36"/>
        <v>0</v>
      </c>
      <c r="AL105" s="123">
        <f t="shared" si="36"/>
        <v>0</v>
      </c>
      <c r="AM105" s="120">
        <f t="shared" si="36"/>
        <v>0</v>
      </c>
    </row>
    <row r="106" spans="3:39" x14ac:dyDescent="0.2">
      <c r="C106" s="260"/>
      <c r="D106" s="84" t="s">
        <v>197</v>
      </c>
      <c r="E106" s="121">
        <f t="shared" si="36"/>
        <v>0</v>
      </c>
      <c r="F106" s="122">
        <f t="shared" si="36"/>
        <v>0</v>
      </c>
      <c r="G106" s="122">
        <f t="shared" si="36"/>
        <v>0</v>
      </c>
      <c r="H106" s="122">
        <f t="shared" si="36"/>
        <v>0</v>
      </c>
      <c r="I106" s="122">
        <f t="shared" si="36"/>
        <v>0</v>
      </c>
      <c r="J106" s="122">
        <f t="shared" si="36"/>
        <v>0</v>
      </c>
      <c r="K106" s="122">
        <f t="shared" si="36"/>
        <v>0</v>
      </c>
      <c r="L106" s="122">
        <f t="shared" si="36"/>
        <v>0</v>
      </c>
      <c r="M106" s="122">
        <f t="shared" si="36"/>
        <v>0</v>
      </c>
      <c r="N106" s="122">
        <f t="shared" si="36"/>
        <v>0</v>
      </c>
      <c r="O106" s="122">
        <f t="shared" si="36"/>
        <v>0</v>
      </c>
      <c r="P106" s="122">
        <f t="shared" si="36"/>
        <v>0</v>
      </c>
      <c r="Q106" s="122">
        <f t="shared" si="36"/>
        <v>0</v>
      </c>
      <c r="R106" s="122">
        <f t="shared" si="36"/>
        <v>0</v>
      </c>
      <c r="S106" s="122">
        <f t="shared" si="36"/>
        <v>0</v>
      </c>
      <c r="T106" s="122">
        <f t="shared" si="36"/>
        <v>0</v>
      </c>
      <c r="U106" s="122">
        <f t="shared" si="36"/>
        <v>0</v>
      </c>
      <c r="V106" s="122">
        <f t="shared" si="36"/>
        <v>0</v>
      </c>
      <c r="W106" s="122">
        <f t="shared" si="36"/>
        <v>0</v>
      </c>
      <c r="X106" s="122">
        <f t="shared" si="36"/>
        <v>0</v>
      </c>
      <c r="Y106" s="122">
        <f t="shared" si="36"/>
        <v>0</v>
      </c>
      <c r="Z106" s="122">
        <f t="shared" si="36"/>
        <v>0</v>
      </c>
      <c r="AA106" s="122">
        <f t="shared" si="36"/>
        <v>0</v>
      </c>
      <c r="AB106" s="122">
        <f t="shared" si="36"/>
        <v>0</v>
      </c>
      <c r="AC106" s="122">
        <f t="shared" si="36"/>
        <v>0</v>
      </c>
      <c r="AD106" s="122">
        <f t="shared" si="36"/>
        <v>0</v>
      </c>
      <c r="AE106" s="122">
        <f t="shared" si="36"/>
        <v>0</v>
      </c>
      <c r="AF106" s="122">
        <f t="shared" si="36"/>
        <v>0</v>
      </c>
      <c r="AG106" s="122">
        <f t="shared" si="36"/>
        <v>0</v>
      </c>
      <c r="AH106" s="122">
        <f t="shared" si="36"/>
        <v>0</v>
      </c>
      <c r="AI106" s="122">
        <f t="shared" si="36"/>
        <v>0</v>
      </c>
      <c r="AJ106" s="122">
        <f t="shared" si="36"/>
        <v>0</v>
      </c>
      <c r="AK106" s="122">
        <f t="shared" si="36"/>
        <v>0</v>
      </c>
      <c r="AL106" s="123">
        <f t="shared" si="36"/>
        <v>0</v>
      </c>
      <c r="AM106" s="120">
        <f t="shared" si="36"/>
        <v>0</v>
      </c>
    </row>
    <row r="107" spans="3:39" x14ac:dyDescent="0.2">
      <c r="C107" s="260"/>
      <c r="D107" s="84" t="s">
        <v>161</v>
      </c>
      <c r="E107" s="121">
        <f t="shared" si="36"/>
        <v>0</v>
      </c>
      <c r="F107" s="122">
        <f t="shared" si="36"/>
        <v>0</v>
      </c>
      <c r="G107" s="122">
        <f t="shared" si="36"/>
        <v>0</v>
      </c>
      <c r="H107" s="122">
        <f t="shared" si="36"/>
        <v>0</v>
      </c>
      <c r="I107" s="122">
        <f t="shared" si="36"/>
        <v>0</v>
      </c>
      <c r="J107" s="122">
        <f t="shared" si="36"/>
        <v>0</v>
      </c>
      <c r="K107" s="122">
        <f t="shared" si="36"/>
        <v>0</v>
      </c>
      <c r="L107" s="122">
        <f t="shared" si="36"/>
        <v>0</v>
      </c>
      <c r="M107" s="122">
        <f t="shared" si="36"/>
        <v>0</v>
      </c>
      <c r="N107" s="122">
        <f t="shared" si="36"/>
        <v>0</v>
      </c>
      <c r="O107" s="122">
        <f t="shared" si="36"/>
        <v>0</v>
      </c>
      <c r="P107" s="122">
        <f t="shared" si="36"/>
        <v>0</v>
      </c>
      <c r="Q107" s="122">
        <f t="shared" si="36"/>
        <v>0</v>
      </c>
      <c r="R107" s="122">
        <f t="shared" si="36"/>
        <v>0</v>
      </c>
      <c r="S107" s="122">
        <f t="shared" si="36"/>
        <v>0</v>
      </c>
      <c r="T107" s="122">
        <f t="shared" si="36"/>
        <v>0</v>
      </c>
      <c r="U107" s="122">
        <f t="shared" si="36"/>
        <v>0</v>
      </c>
      <c r="V107" s="122">
        <f t="shared" si="36"/>
        <v>0</v>
      </c>
      <c r="W107" s="122">
        <f t="shared" si="36"/>
        <v>0</v>
      </c>
      <c r="X107" s="122">
        <f t="shared" si="36"/>
        <v>0</v>
      </c>
      <c r="Y107" s="122">
        <f t="shared" si="36"/>
        <v>0</v>
      </c>
      <c r="Z107" s="122">
        <f t="shared" si="36"/>
        <v>0</v>
      </c>
      <c r="AA107" s="122">
        <f t="shared" si="36"/>
        <v>0</v>
      </c>
      <c r="AB107" s="122">
        <f t="shared" si="36"/>
        <v>0</v>
      </c>
      <c r="AC107" s="122">
        <f t="shared" si="36"/>
        <v>0</v>
      </c>
      <c r="AD107" s="122">
        <f t="shared" si="36"/>
        <v>0</v>
      </c>
      <c r="AE107" s="122">
        <f t="shared" si="36"/>
        <v>0</v>
      </c>
      <c r="AF107" s="122">
        <f t="shared" si="36"/>
        <v>0</v>
      </c>
      <c r="AG107" s="122">
        <f t="shared" si="36"/>
        <v>0</v>
      </c>
      <c r="AH107" s="122">
        <f t="shared" si="36"/>
        <v>0</v>
      </c>
      <c r="AI107" s="122">
        <f t="shared" si="36"/>
        <v>0</v>
      </c>
      <c r="AJ107" s="122">
        <f t="shared" si="36"/>
        <v>0</v>
      </c>
      <c r="AK107" s="122">
        <f t="shared" si="36"/>
        <v>0</v>
      </c>
      <c r="AL107" s="123">
        <f t="shared" si="36"/>
        <v>0</v>
      </c>
      <c r="AM107" s="120">
        <f t="shared" si="36"/>
        <v>0</v>
      </c>
    </row>
    <row r="108" spans="3:39" x14ac:dyDescent="0.2">
      <c r="C108" s="260"/>
      <c r="D108" s="84" t="s">
        <v>198</v>
      </c>
      <c r="E108" s="121">
        <f t="shared" si="36"/>
        <v>0</v>
      </c>
      <c r="F108" s="122">
        <f t="shared" si="36"/>
        <v>0</v>
      </c>
      <c r="G108" s="122">
        <f t="shared" si="36"/>
        <v>0</v>
      </c>
      <c r="H108" s="122">
        <f t="shared" si="36"/>
        <v>0</v>
      </c>
      <c r="I108" s="122">
        <f t="shared" si="36"/>
        <v>0</v>
      </c>
      <c r="J108" s="122">
        <f t="shared" si="36"/>
        <v>0</v>
      </c>
      <c r="K108" s="122">
        <f t="shared" si="36"/>
        <v>0</v>
      </c>
      <c r="L108" s="122">
        <f t="shared" si="36"/>
        <v>0</v>
      </c>
      <c r="M108" s="122">
        <f t="shared" si="36"/>
        <v>0</v>
      </c>
      <c r="N108" s="122">
        <f t="shared" si="36"/>
        <v>0</v>
      </c>
      <c r="O108" s="122">
        <f t="shared" ref="O108:AM108" si="37">O68-O28</f>
        <v>0</v>
      </c>
      <c r="P108" s="122">
        <f t="shared" si="37"/>
        <v>0</v>
      </c>
      <c r="Q108" s="122">
        <f t="shared" si="37"/>
        <v>0</v>
      </c>
      <c r="R108" s="122">
        <f t="shared" si="37"/>
        <v>0</v>
      </c>
      <c r="S108" s="122">
        <f t="shared" si="37"/>
        <v>0</v>
      </c>
      <c r="T108" s="122">
        <f t="shared" si="37"/>
        <v>0</v>
      </c>
      <c r="U108" s="122">
        <f t="shared" si="37"/>
        <v>0</v>
      </c>
      <c r="V108" s="122">
        <f t="shared" si="37"/>
        <v>0</v>
      </c>
      <c r="W108" s="122">
        <f t="shared" si="37"/>
        <v>0</v>
      </c>
      <c r="X108" s="122">
        <f t="shared" si="37"/>
        <v>0</v>
      </c>
      <c r="Y108" s="122">
        <f t="shared" si="37"/>
        <v>0</v>
      </c>
      <c r="Z108" s="122">
        <f t="shared" si="37"/>
        <v>0</v>
      </c>
      <c r="AA108" s="122">
        <f t="shared" si="37"/>
        <v>0</v>
      </c>
      <c r="AB108" s="122">
        <f t="shared" si="37"/>
        <v>0</v>
      </c>
      <c r="AC108" s="122">
        <f t="shared" si="37"/>
        <v>0</v>
      </c>
      <c r="AD108" s="122">
        <f t="shared" si="37"/>
        <v>0</v>
      </c>
      <c r="AE108" s="122">
        <f t="shared" si="37"/>
        <v>0</v>
      </c>
      <c r="AF108" s="122">
        <f t="shared" si="37"/>
        <v>0</v>
      </c>
      <c r="AG108" s="122">
        <f t="shared" si="37"/>
        <v>0</v>
      </c>
      <c r="AH108" s="122">
        <f t="shared" si="37"/>
        <v>0</v>
      </c>
      <c r="AI108" s="122">
        <f t="shared" si="37"/>
        <v>0</v>
      </c>
      <c r="AJ108" s="122">
        <f t="shared" si="37"/>
        <v>0</v>
      </c>
      <c r="AK108" s="122">
        <f t="shared" si="37"/>
        <v>0</v>
      </c>
      <c r="AL108" s="123">
        <f t="shared" si="37"/>
        <v>0</v>
      </c>
      <c r="AM108" s="120">
        <f t="shared" si="37"/>
        <v>0</v>
      </c>
    </row>
    <row r="109" spans="3:39" x14ac:dyDescent="0.2">
      <c r="C109" s="260"/>
      <c r="D109" s="84" t="s">
        <v>199</v>
      </c>
      <c r="E109" s="121">
        <f t="shared" ref="E109:AM116" si="38">E69-E29</f>
        <v>0</v>
      </c>
      <c r="F109" s="122">
        <f t="shared" si="38"/>
        <v>0</v>
      </c>
      <c r="G109" s="122">
        <f t="shared" si="38"/>
        <v>0</v>
      </c>
      <c r="H109" s="122">
        <f t="shared" si="38"/>
        <v>0</v>
      </c>
      <c r="I109" s="122">
        <f t="shared" si="38"/>
        <v>0</v>
      </c>
      <c r="J109" s="122">
        <f t="shared" si="38"/>
        <v>0</v>
      </c>
      <c r="K109" s="122">
        <f t="shared" si="38"/>
        <v>0</v>
      </c>
      <c r="L109" s="122">
        <f t="shared" si="38"/>
        <v>0</v>
      </c>
      <c r="M109" s="122">
        <f t="shared" si="38"/>
        <v>0</v>
      </c>
      <c r="N109" s="122">
        <f t="shared" si="38"/>
        <v>0</v>
      </c>
      <c r="O109" s="122">
        <f t="shared" si="38"/>
        <v>0</v>
      </c>
      <c r="P109" s="122">
        <f t="shared" si="38"/>
        <v>0</v>
      </c>
      <c r="Q109" s="122">
        <f t="shared" si="38"/>
        <v>0</v>
      </c>
      <c r="R109" s="122">
        <f t="shared" si="38"/>
        <v>0</v>
      </c>
      <c r="S109" s="122">
        <f t="shared" si="38"/>
        <v>0</v>
      </c>
      <c r="T109" s="122">
        <f t="shared" si="38"/>
        <v>0</v>
      </c>
      <c r="U109" s="122">
        <f t="shared" si="38"/>
        <v>0</v>
      </c>
      <c r="V109" s="122">
        <f t="shared" si="38"/>
        <v>0</v>
      </c>
      <c r="W109" s="122">
        <f t="shared" si="38"/>
        <v>0</v>
      </c>
      <c r="X109" s="122">
        <f t="shared" si="38"/>
        <v>0</v>
      </c>
      <c r="Y109" s="122">
        <f t="shared" si="38"/>
        <v>0</v>
      </c>
      <c r="Z109" s="122">
        <f t="shared" si="38"/>
        <v>0</v>
      </c>
      <c r="AA109" s="122">
        <f t="shared" si="38"/>
        <v>0</v>
      </c>
      <c r="AB109" s="122">
        <f t="shared" si="38"/>
        <v>0</v>
      </c>
      <c r="AC109" s="122">
        <f t="shared" si="38"/>
        <v>0</v>
      </c>
      <c r="AD109" s="122">
        <f t="shared" si="38"/>
        <v>0</v>
      </c>
      <c r="AE109" s="122">
        <f t="shared" si="38"/>
        <v>0</v>
      </c>
      <c r="AF109" s="122">
        <f t="shared" si="38"/>
        <v>0</v>
      </c>
      <c r="AG109" s="122">
        <f t="shared" si="38"/>
        <v>0</v>
      </c>
      <c r="AH109" s="122">
        <f t="shared" si="38"/>
        <v>0</v>
      </c>
      <c r="AI109" s="122">
        <f t="shared" si="38"/>
        <v>0</v>
      </c>
      <c r="AJ109" s="122">
        <f t="shared" si="38"/>
        <v>0</v>
      </c>
      <c r="AK109" s="122">
        <f t="shared" si="38"/>
        <v>0</v>
      </c>
      <c r="AL109" s="123">
        <f t="shared" si="38"/>
        <v>0</v>
      </c>
      <c r="AM109" s="120">
        <f t="shared" si="38"/>
        <v>0</v>
      </c>
    </row>
    <row r="110" spans="3:39" x14ac:dyDescent="0.2">
      <c r="C110" s="260"/>
      <c r="D110" s="84" t="s">
        <v>200</v>
      </c>
      <c r="E110" s="121">
        <f t="shared" si="38"/>
        <v>0</v>
      </c>
      <c r="F110" s="122">
        <f t="shared" si="38"/>
        <v>0</v>
      </c>
      <c r="G110" s="122">
        <f t="shared" si="38"/>
        <v>0</v>
      </c>
      <c r="H110" s="122">
        <f t="shared" si="38"/>
        <v>0</v>
      </c>
      <c r="I110" s="122">
        <f t="shared" si="38"/>
        <v>0</v>
      </c>
      <c r="J110" s="122">
        <f t="shared" si="38"/>
        <v>0</v>
      </c>
      <c r="K110" s="122">
        <f t="shared" si="38"/>
        <v>0</v>
      </c>
      <c r="L110" s="122">
        <f t="shared" si="38"/>
        <v>0</v>
      </c>
      <c r="M110" s="122">
        <f t="shared" si="38"/>
        <v>0</v>
      </c>
      <c r="N110" s="122">
        <f t="shared" si="38"/>
        <v>0</v>
      </c>
      <c r="O110" s="122">
        <f t="shared" si="38"/>
        <v>0</v>
      </c>
      <c r="P110" s="122">
        <f t="shared" si="38"/>
        <v>0</v>
      </c>
      <c r="Q110" s="122">
        <f t="shared" si="38"/>
        <v>0</v>
      </c>
      <c r="R110" s="122">
        <f t="shared" si="38"/>
        <v>0</v>
      </c>
      <c r="S110" s="122">
        <f t="shared" si="38"/>
        <v>0</v>
      </c>
      <c r="T110" s="122">
        <f t="shared" si="38"/>
        <v>0</v>
      </c>
      <c r="U110" s="122">
        <f t="shared" si="38"/>
        <v>0</v>
      </c>
      <c r="V110" s="122">
        <f t="shared" si="38"/>
        <v>0</v>
      </c>
      <c r="W110" s="122">
        <f t="shared" si="38"/>
        <v>0</v>
      </c>
      <c r="X110" s="122">
        <f t="shared" si="38"/>
        <v>0</v>
      </c>
      <c r="Y110" s="122">
        <f t="shared" si="38"/>
        <v>0</v>
      </c>
      <c r="Z110" s="122">
        <f t="shared" si="38"/>
        <v>0</v>
      </c>
      <c r="AA110" s="122">
        <f t="shared" si="38"/>
        <v>0</v>
      </c>
      <c r="AB110" s="122">
        <f t="shared" si="38"/>
        <v>0</v>
      </c>
      <c r="AC110" s="122">
        <f t="shared" si="38"/>
        <v>0</v>
      </c>
      <c r="AD110" s="122">
        <f t="shared" si="38"/>
        <v>0</v>
      </c>
      <c r="AE110" s="122">
        <f t="shared" si="38"/>
        <v>0</v>
      </c>
      <c r="AF110" s="122">
        <f t="shared" si="38"/>
        <v>0</v>
      </c>
      <c r="AG110" s="122">
        <f t="shared" si="38"/>
        <v>0</v>
      </c>
      <c r="AH110" s="122">
        <f t="shared" si="38"/>
        <v>0</v>
      </c>
      <c r="AI110" s="122">
        <f t="shared" si="38"/>
        <v>0</v>
      </c>
      <c r="AJ110" s="122">
        <f t="shared" si="38"/>
        <v>0</v>
      </c>
      <c r="AK110" s="122">
        <f t="shared" si="38"/>
        <v>0</v>
      </c>
      <c r="AL110" s="123">
        <f t="shared" si="38"/>
        <v>0</v>
      </c>
      <c r="AM110" s="120">
        <f t="shared" si="38"/>
        <v>0</v>
      </c>
    </row>
    <row r="111" spans="3:39" x14ac:dyDescent="0.2">
      <c r="C111" s="260"/>
      <c r="D111" s="84" t="s">
        <v>201</v>
      </c>
      <c r="E111" s="121">
        <f t="shared" si="38"/>
        <v>0</v>
      </c>
      <c r="F111" s="122">
        <f t="shared" si="38"/>
        <v>0</v>
      </c>
      <c r="G111" s="122">
        <f t="shared" si="38"/>
        <v>0</v>
      </c>
      <c r="H111" s="122">
        <f t="shared" si="38"/>
        <v>0</v>
      </c>
      <c r="I111" s="122">
        <f t="shared" si="38"/>
        <v>0</v>
      </c>
      <c r="J111" s="122">
        <f t="shared" si="38"/>
        <v>0</v>
      </c>
      <c r="K111" s="122">
        <f t="shared" si="38"/>
        <v>0</v>
      </c>
      <c r="L111" s="122">
        <f t="shared" si="38"/>
        <v>0</v>
      </c>
      <c r="M111" s="122">
        <f t="shared" si="38"/>
        <v>0</v>
      </c>
      <c r="N111" s="122">
        <f t="shared" si="38"/>
        <v>0</v>
      </c>
      <c r="O111" s="122">
        <f t="shared" si="38"/>
        <v>0</v>
      </c>
      <c r="P111" s="122">
        <f t="shared" si="38"/>
        <v>0</v>
      </c>
      <c r="Q111" s="122">
        <f t="shared" si="38"/>
        <v>0</v>
      </c>
      <c r="R111" s="122">
        <f t="shared" si="38"/>
        <v>0</v>
      </c>
      <c r="S111" s="122">
        <f t="shared" si="38"/>
        <v>0</v>
      </c>
      <c r="T111" s="122">
        <f t="shared" si="38"/>
        <v>0</v>
      </c>
      <c r="U111" s="122">
        <f t="shared" si="38"/>
        <v>0</v>
      </c>
      <c r="V111" s="122">
        <f t="shared" si="38"/>
        <v>0</v>
      </c>
      <c r="W111" s="122">
        <f t="shared" si="38"/>
        <v>0</v>
      </c>
      <c r="X111" s="122">
        <f t="shared" si="38"/>
        <v>0</v>
      </c>
      <c r="Y111" s="122">
        <f t="shared" si="38"/>
        <v>0</v>
      </c>
      <c r="Z111" s="122">
        <f t="shared" si="38"/>
        <v>0</v>
      </c>
      <c r="AA111" s="122">
        <f t="shared" si="38"/>
        <v>0</v>
      </c>
      <c r="AB111" s="122">
        <f t="shared" si="38"/>
        <v>0</v>
      </c>
      <c r="AC111" s="122">
        <f t="shared" si="38"/>
        <v>0</v>
      </c>
      <c r="AD111" s="122">
        <f t="shared" si="38"/>
        <v>0</v>
      </c>
      <c r="AE111" s="122">
        <f t="shared" si="38"/>
        <v>0</v>
      </c>
      <c r="AF111" s="122">
        <f t="shared" si="38"/>
        <v>0</v>
      </c>
      <c r="AG111" s="122">
        <f t="shared" si="38"/>
        <v>0</v>
      </c>
      <c r="AH111" s="122">
        <f t="shared" si="38"/>
        <v>0</v>
      </c>
      <c r="AI111" s="122">
        <f t="shared" si="38"/>
        <v>0</v>
      </c>
      <c r="AJ111" s="122">
        <f t="shared" si="38"/>
        <v>0</v>
      </c>
      <c r="AK111" s="122">
        <f t="shared" si="38"/>
        <v>0</v>
      </c>
      <c r="AL111" s="123">
        <f t="shared" si="38"/>
        <v>0</v>
      </c>
      <c r="AM111" s="120">
        <f t="shared" si="38"/>
        <v>0</v>
      </c>
    </row>
    <row r="112" spans="3:39" x14ac:dyDescent="0.2">
      <c r="C112" s="260"/>
      <c r="D112" s="84" t="s">
        <v>202</v>
      </c>
      <c r="E112" s="121">
        <f t="shared" si="38"/>
        <v>0</v>
      </c>
      <c r="F112" s="122">
        <f t="shared" si="38"/>
        <v>0</v>
      </c>
      <c r="G112" s="122">
        <f t="shared" si="38"/>
        <v>0</v>
      </c>
      <c r="H112" s="122">
        <f t="shared" si="38"/>
        <v>0</v>
      </c>
      <c r="I112" s="122">
        <f t="shared" si="38"/>
        <v>0</v>
      </c>
      <c r="J112" s="122">
        <f t="shared" si="38"/>
        <v>0</v>
      </c>
      <c r="K112" s="122">
        <f t="shared" si="38"/>
        <v>0</v>
      </c>
      <c r="L112" s="122">
        <f t="shared" si="38"/>
        <v>0</v>
      </c>
      <c r="M112" s="122">
        <f t="shared" si="38"/>
        <v>0</v>
      </c>
      <c r="N112" s="122">
        <f t="shared" si="38"/>
        <v>0</v>
      </c>
      <c r="O112" s="122">
        <f t="shared" si="38"/>
        <v>0</v>
      </c>
      <c r="P112" s="122">
        <f t="shared" si="38"/>
        <v>0</v>
      </c>
      <c r="Q112" s="122">
        <f t="shared" si="38"/>
        <v>0</v>
      </c>
      <c r="R112" s="122">
        <f t="shared" si="38"/>
        <v>0</v>
      </c>
      <c r="S112" s="122">
        <f t="shared" si="38"/>
        <v>0</v>
      </c>
      <c r="T112" s="122">
        <f t="shared" si="38"/>
        <v>0</v>
      </c>
      <c r="U112" s="122">
        <f t="shared" si="38"/>
        <v>0</v>
      </c>
      <c r="V112" s="122">
        <f t="shared" si="38"/>
        <v>0</v>
      </c>
      <c r="W112" s="122">
        <f t="shared" si="38"/>
        <v>0</v>
      </c>
      <c r="X112" s="122">
        <f t="shared" si="38"/>
        <v>0</v>
      </c>
      <c r="Y112" s="122">
        <f t="shared" si="38"/>
        <v>0</v>
      </c>
      <c r="Z112" s="122">
        <f t="shared" si="38"/>
        <v>0</v>
      </c>
      <c r="AA112" s="122">
        <f t="shared" si="38"/>
        <v>0</v>
      </c>
      <c r="AB112" s="122">
        <f t="shared" si="38"/>
        <v>0</v>
      </c>
      <c r="AC112" s="122">
        <f t="shared" si="38"/>
        <v>0</v>
      </c>
      <c r="AD112" s="122">
        <f t="shared" si="38"/>
        <v>0</v>
      </c>
      <c r="AE112" s="122">
        <f t="shared" si="38"/>
        <v>0</v>
      </c>
      <c r="AF112" s="122">
        <f t="shared" si="38"/>
        <v>0</v>
      </c>
      <c r="AG112" s="122">
        <f t="shared" si="38"/>
        <v>0</v>
      </c>
      <c r="AH112" s="122">
        <f t="shared" si="38"/>
        <v>0</v>
      </c>
      <c r="AI112" s="122">
        <f t="shared" si="38"/>
        <v>0</v>
      </c>
      <c r="AJ112" s="122">
        <f t="shared" si="38"/>
        <v>0</v>
      </c>
      <c r="AK112" s="122">
        <f t="shared" si="38"/>
        <v>0</v>
      </c>
      <c r="AL112" s="123">
        <f t="shared" si="38"/>
        <v>0</v>
      </c>
      <c r="AM112" s="120">
        <f t="shared" si="38"/>
        <v>0</v>
      </c>
    </row>
    <row r="113" spans="1:39" x14ac:dyDescent="0.2">
      <c r="C113" s="260"/>
      <c r="D113" s="84" t="s">
        <v>203</v>
      </c>
      <c r="E113" s="121">
        <f t="shared" si="38"/>
        <v>0</v>
      </c>
      <c r="F113" s="122">
        <f t="shared" si="38"/>
        <v>0</v>
      </c>
      <c r="G113" s="122">
        <f t="shared" si="38"/>
        <v>0</v>
      </c>
      <c r="H113" s="122">
        <f t="shared" si="38"/>
        <v>0</v>
      </c>
      <c r="I113" s="122">
        <f t="shared" si="38"/>
        <v>0</v>
      </c>
      <c r="J113" s="122">
        <f t="shared" si="38"/>
        <v>0</v>
      </c>
      <c r="K113" s="122">
        <f t="shared" si="38"/>
        <v>0</v>
      </c>
      <c r="L113" s="122">
        <f t="shared" si="38"/>
        <v>0</v>
      </c>
      <c r="M113" s="122">
        <f t="shared" si="38"/>
        <v>0</v>
      </c>
      <c r="N113" s="122">
        <f t="shared" si="38"/>
        <v>0</v>
      </c>
      <c r="O113" s="122">
        <f t="shared" si="38"/>
        <v>0</v>
      </c>
      <c r="P113" s="122">
        <f t="shared" si="38"/>
        <v>0</v>
      </c>
      <c r="Q113" s="122">
        <f t="shared" si="38"/>
        <v>0</v>
      </c>
      <c r="R113" s="122">
        <f t="shared" si="38"/>
        <v>0</v>
      </c>
      <c r="S113" s="122">
        <f t="shared" si="38"/>
        <v>0</v>
      </c>
      <c r="T113" s="122">
        <f t="shared" si="38"/>
        <v>0</v>
      </c>
      <c r="U113" s="122">
        <f t="shared" si="38"/>
        <v>0</v>
      </c>
      <c r="V113" s="122">
        <f t="shared" si="38"/>
        <v>0</v>
      </c>
      <c r="W113" s="122">
        <f t="shared" si="38"/>
        <v>0</v>
      </c>
      <c r="X113" s="122">
        <f t="shared" si="38"/>
        <v>0</v>
      </c>
      <c r="Y113" s="122">
        <f t="shared" si="38"/>
        <v>0</v>
      </c>
      <c r="Z113" s="122">
        <f t="shared" si="38"/>
        <v>0</v>
      </c>
      <c r="AA113" s="122">
        <f t="shared" si="38"/>
        <v>0</v>
      </c>
      <c r="AB113" s="122">
        <f t="shared" si="38"/>
        <v>0</v>
      </c>
      <c r="AC113" s="122">
        <f t="shared" si="38"/>
        <v>0</v>
      </c>
      <c r="AD113" s="122">
        <f t="shared" si="38"/>
        <v>0</v>
      </c>
      <c r="AE113" s="122">
        <f t="shared" si="38"/>
        <v>0</v>
      </c>
      <c r="AF113" s="122">
        <f t="shared" si="38"/>
        <v>0</v>
      </c>
      <c r="AG113" s="122">
        <f t="shared" si="38"/>
        <v>0</v>
      </c>
      <c r="AH113" s="122">
        <f t="shared" si="38"/>
        <v>0</v>
      </c>
      <c r="AI113" s="122">
        <f t="shared" si="38"/>
        <v>0</v>
      </c>
      <c r="AJ113" s="122">
        <f t="shared" si="38"/>
        <v>0</v>
      </c>
      <c r="AK113" s="122">
        <f t="shared" si="38"/>
        <v>0</v>
      </c>
      <c r="AL113" s="123">
        <f t="shared" si="38"/>
        <v>0</v>
      </c>
      <c r="AM113" s="120">
        <f t="shared" si="38"/>
        <v>0</v>
      </c>
    </row>
    <row r="114" spans="1:39" x14ac:dyDescent="0.2">
      <c r="C114" s="260"/>
      <c r="D114" s="84" t="s">
        <v>204</v>
      </c>
      <c r="E114" s="121">
        <f t="shared" si="38"/>
        <v>0</v>
      </c>
      <c r="F114" s="122">
        <f t="shared" si="38"/>
        <v>0</v>
      </c>
      <c r="G114" s="122">
        <f t="shared" si="38"/>
        <v>0</v>
      </c>
      <c r="H114" s="122">
        <f t="shared" si="38"/>
        <v>0</v>
      </c>
      <c r="I114" s="122">
        <f t="shared" si="38"/>
        <v>0</v>
      </c>
      <c r="J114" s="122">
        <f t="shared" si="38"/>
        <v>0</v>
      </c>
      <c r="K114" s="122">
        <f t="shared" si="38"/>
        <v>0</v>
      </c>
      <c r="L114" s="122">
        <f t="shared" si="38"/>
        <v>0</v>
      </c>
      <c r="M114" s="122">
        <f t="shared" si="38"/>
        <v>0</v>
      </c>
      <c r="N114" s="122">
        <f t="shared" si="38"/>
        <v>0</v>
      </c>
      <c r="O114" s="122">
        <f t="shared" si="38"/>
        <v>0</v>
      </c>
      <c r="P114" s="122">
        <f t="shared" si="38"/>
        <v>0</v>
      </c>
      <c r="Q114" s="122">
        <f t="shared" si="38"/>
        <v>0</v>
      </c>
      <c r="R114" s="122">
        <f t="shared" si="38"/>
        <v>0</v>
      </c>
      <c r="S114" s="122">
        <f t="shared" si="38"/>
        <v>0</v>
      </c>
      <c r="T114" s="122">
        <f t="shared" si="38"/>
        <v>0</v>
      </c>
      <c r="U114" s="122">
        <f t="shared" si="38"/>
        <v>0</v>
      </c>
      <c r="V114" s="122">
        <f t="shared" si="38"/>
        <v>0</v>
      </c>
      <c r="W114" s="122">
        <f t="shared" si="38"/>
        <v>0</v>
      </c>
      <c r="X114" s="122">
        <f t="shared" si="38"/>
        <v>0</v>
      </c>
      <c r="Y114" s="122">
        <f t="shared" si="38"/>
        <v>0</v>
      </c>
      <c r="Z114" s="122">
        <f t="shared" si="38"/>
        <v>0</v>
      </c>
      <c r="AA114" s="122">
        <f t="shared" si="38"/>
        <v>0</v>
      </c>
      <c r="AB114" s="122">
        <f t="shared" si="38"/>
        <v>0</v>
      </c>
      <c r="AC114" s="122">
        <f t="shared" si="38"/>
        <v>0</v>
      </c>
      <c r="AD114" s="122">
        <f t="shared" si="38"/>
        <v>0</v>
      </c>
      <c r="AE114" s="122">
        <f t="shared" si="38"/>
        <v>0</v>
      </c>
      <c r="AF114" s="122">
        <f t="shared" si="38"/>
        <v>0</v>
      </c>
      <c r="AG114" s="122">
        <f t="shared" si="38"/>
        <v>0</v>
      </c>
      <c r="AH114" s="122">
        <f t="shared" si="38"/>
        <v>0</v>
      </c>
      <c r="AI114" s="122">
        <f t="shared" si="38"/>
        <v>0</v>
      </c>
      <c r="AJ114" s="122">
        <f t="shared" si="38"/>
        <v>0</v>
      </c>
      <c r="AK114" s="122">
        <f t="shared" si="38"/>
        <v>0</v>
      </c>
      <c r="AL114" s="123">
        <f t="shared" si="38"/>
        <v>0</v>
      </c>
      <c r="AM114" s="120">
        <f t="shared" si="38"/>
        <v>0</v>
      </c>
    </row>
    <row r="115" spans="1:39" x14ac:dyDescent="0.2">
      <c r="C115" s="260"/>
      <c r="D115" s="84" t="s">
        <v>205</v>
      </c>
      <c r="E115" s="121">
        <f t="shared" si="38"/>
        <v>0</v>
      </c>
      <c r="F115" s="122">
        <f t="shared" si="38"/>
        <v>0</v>
      </c>
      <c r="G115" s="122">
        <f t="shared" si="38"/>
        <v>0</v>
      </c>
      <c r="H115" s="122">
        <f t="shared" si="38"/>
        <v>0</v>
      </c>
      <c r="I115" s="122">
        <f t="shared" si="38"/>
        <v>0</v>
      </c>
      <c r="J115" s="122">
        <f t="shared" si="38"/>
        <v>0</v>
      </c>
      <c r="K115" s="122">
        <f t="shared" si="38"/>
        <v>0</v>
      </c>
      <c r="L115" s="122">
        <f t="shared" si="38"/>
        <v>0</v>
      </c>
      <c r="M115" s="122">
        <f t="shared" si="38"/>
        <v>0</v>
      </c>
      <c r="N115" s="122">
        <f t="shared" si="38"/>
        <v>0</v>
      </c>
      <c r="O115" s="122">
        <f t="shared" si="38"/>
        <v>0</v>
      </c>
      <c r="P115" s="122">
        <f t="shared" si="38"/>
        <v>0</v>
      </c>
      <c r="Q115" s="122">
        <f t="shared" si="38"/>
        <v>0</v>
      </c>
      <c r="R115" s="122">
        <f t="shared" si="38"/>
        <v>0</v>
      </c>
      <c r="S115" s="122">
        <f t="shared" si="38"/>
        <v>0</v>
      </c>
      <c r="T115" s="122">
        <f t="shared" si="38"/>
        <v>0</v>
      </c>
      <c r="U115" s="122">
        <f t="shared" si="38"/>
        <v>0</v>
      </c>
      <c r="V115" s="122">
        <f t="shared" si="38"/>
        <v>0</v>
      </c>
      <c r="W115" s="122">
        <f t="shared" si="38"/>
        <v>0</v>
      </c>
      <c r="X115" s="122">
        <f t="shared" si="38"/>
        <v>0</v>
      </c>
      <c r="Y115" s="122">
        <f t="shared" si="38"/>
        <v>0</v>
      </c>
      <c r="Z115" s="122">
        <f t="shared" si="38"/>
        <v>0</v>
      </c>
      <c r="AA115" s="122">
        <f t="shared" si="38"/>
        <v>0</v>
      </c>
      <c r="AB115" s="122">
        <f t="shared" si="38"/>
        <v>0</v>
      </c>
      <c r="AC115" s="122">
        <f t="shared" si="38"/>
        <v>0</v>
      </c>
      <c r="AD115" s="122">
        <f t="shared" si="38"/>
        <v>0</v>
      </c>
      <c r="AE115" s="122">
        <f t="shared" si="38"/>
        <v>0</v>
      </c>
      <c r="AF115" s="122">
        <f t="shared" si="38"/>
        <v>0</v>
      </c>
      <c r="AG115" s="122">
        <f t="shared" si="38"/>
        <v>0</v>
      </c>
      <c r="AH115" s="122">
        <f t="shared" si="38"/>
        <v>0</v>
      </c>
      <c r="AI115" s="122">
        <f t="shared" si="38"/>
        <v>0</v>
      </c>
      <c r="AJ115" s="122">
        <f t="shared" si="38"/>
        <v>0</v>
      </c>
      <c r="AK115" s="122">
        <f t="shared" si="38"/>
        <v>0</v>
      </c>
      <c r="AL115" s="123">
        <f t="shared" si="38"/>
        <v>0</v>
      </c>
      <c r="AM115" s="120">
        <f t="shared" si="38"/>
        <v>0</v>
      </c>
    </row>
    <row r="116" spans="1:39" x14ac:dyDescent="0.2">
      <c r="C116" s="260"/>
      <c r="D116" s="84" t="s">
        <v>206</v>
      </c>
      <c r="E116" s="121">
        <f t="shared" si="38"/>
        <v>0</v>
      </c>
      <c r="F116" s="122">
        <f t="shared" si="38"/>
        <v>0</v>
      </c>
      <c r="G116" s="122">
        <f t="shared" si="38"/>
        <v>0</v>
      </c>
      <c r="H116" s="122">
        <f t="shared" si="38"/>
        <v>0</v>
      </c>
      <c r="I116" s="122">
        <f t="shared" si="38"/>
        <v>0</v>
      </c>
      <c r="J116" s="122">
        <f t="shared" si="38"/>
        <v>0</v>
      </c>
      <c r="K116" s="122">
        <f t="shared" si="38"/>
        <v>0</v>
      </c>
      <c r="L116" s="122">
        <f t="shared" si="38"/>
        <v>0</v>
      </c>
      <c r="M116" s="122">
        <f t="shared" si="38"/>
        <v>0</v>
      </c>
      <c r="N116" s="122">
        <f t="shared" si="38"/>
        <v>0</v>
      </c>
      <c r="O116" s="122">
        <f t="shared" ref="O116:AM116" si="39">O76-O36</f>
        <v>0</v>
      </c>
      <c r="P116" s="122">
        <f t="shared" si="39"/>
        <v>0</v>
      </c>
      <c r="Q116" s="122">
        <f t="shared" si="39"/>
        <v>0</v>
      </c>
      <c r="R116" s="122">
        <f t="shared" si="39"/>
        <v>0</v>
      </c>
      <c r="S116" s="122">
        <f t="shared" si="39"/>
        <v>0</v>
      </c>
      <c r="T116" s="122">
        <f t="shared" si="39"/>
        <v>0</v>
      </c>
      <c r="U116" s="122">
        <f t="shared" si="39"/>
        <v>0</v>
      </c>
      <c r="V116" s="122">
        <f t="shared" si="39"/>
        <v>0</v>
      </c>
      <c r="W116" s="122">
        <f t="shared" si="39"/>
        <v>0</v>
      </c>
      <c r="X116" s="122">
        <f t="shared" si="39"/>
        <v>0</v>
      </c>
      <c r="Y116" s="122">
        <f t="shared" si="39"/>
        <v>0</v>
      </c>
      <c r="Z116" s="122">
        <f t="shared" si="39"/>
        <v>0</v>
      </c>
      <c r="AA116" s="122">
        <f t="shared" si="39"/>
        <v>0</v>
      </c>
      <c r="AB116" s="122">
        <f t="shared" si="39"/>
        <v>0</v>
      </c>
      <c r="AC116" s="122">
        <f t="shared" si="39"/>
        <v>0</v>
      </c>
      <c r="AD116" s="122">
        <f t="shared" si="39"/>
        <v>0</v>
      </c>
      <c r="AE116" s="122">
        <f t="shared" si="39"/>
        <v>0</v>
      </c>
      <c r="AF116" s="122">
        <f t="shared" si="39"/>
        <v>0</v>
      </c>
      <c r="AG116" s="122">
        <f t="shared" si="39"/>
        <v>0</v>
      </c>
      <c r="AH116" s="122">
        <f t="shared" si="39"/>
        <v>0</v>
      </c>
      <c r="AI116" s="122">
        <f t="shared" si="39"/>
        <v>0</v>
      </c>
      <c r="AJ116" s="122">
        <f t="shared" si="39"/>
        <v>0</v>
      </c>
      <c r="AK116" s="122">
        <f t="shared" si="39"/>
        <v>0</v>
      </c>
      <c r="AL116" s="123">
        <f t="shared" si="39"/>
        <v>0</v>
      </c>
      <c r="AM116" s="120">
        <f t="shared" si="39"/>
        <v>0</v>
      </c>
    </row>
    <row r="117" spans="1:39" ht="12" thickBot="1" x14ac:dyDescent="0.25">
      <c r="C117" s="260"/>
      <c r="D117" s="84" t="s">
        <v>207</v>
      </c>
      <c r="E117" s="124">
        <f t="shared" ref="E117:AM118" si="40">E77-E37</f>
        <v>0</v>
      </c>
      <c r="F117" s="125">
        <f t="shared" si="40"/>
        <v>0</v>
      </c>
      <c r="G117" s="125">
        <f t="shared" si="40"/>
        <v>0</v>
      </c>
      <c r="H117" s="125">
        <f t="shared" si="40"/>
        <v>0</v>
      </c>
      <c r="I117" s="125">
        <f t="shared" si="40"/>
        <v>0</v>
      </c>
      <c r="J117" s="125">
        <f t="shared" si="40"/>
        <v>0</v>
      </c>
      <c r="K117" s="125">
        <f t="shared" si="40"/>
        <v>0</v>
      </c>
      <c r="L117" s="125">
        <f t="shared" si="40"/>
        <v>0</v>
      </c>
      <c r="M117" s="125">
        <f t="shared" si="40"/>
        <v>0</v>
      </c>
      <c r="N117" s="125">
        <f t="shared" si="40"/>
        <v>0</v>
      </c>
      <c r="O117" s="125">
        <f t="shared" si="40"/>
        <v>0</v>
      </c>
      <c r="P117" s="125">
        <f t="shared" si="40"/>
        <v>0</v>
      </c>
      <c r="Q117" s="125">
        <f t="shared" si="40"/>
        <v>0</v>
      </c>
      <c r="R117" s="125">
        <f t="shared" si="40"/>
        <v>0</v>
      </c>
      <c r="S117" s="125">
        <f t="shared" si="40"/>
        <v>0</v>
      </c>
      <c r="T117" s="125">
        <f t="shared" si="40"/>
        <v>0</v>
      </c>
      <c r="U117" s="125">
        <f t="shared" si="40"/>
        <v>0</v>
      </c>
      <c r="V117" s="125">
        <f t="shared" si="40"/>
        <v>0</v>
      </c>
      <c r="W117" s="125">
        <f t="shared" si="40"/>
        <v>0</v>
      </c>
      <c r="X117" s="125">
        <f t="shared" si="40"/>
        <v>0</v>
      </c>
      <c r="Y117" s="125">
        <f t="shared" si="40"/>
        <v>0</v>
      </c>
      <c r="Z117" s="125">
        <f t="shared" si="40"/>
        <v>0</v>
      </c>
      <c r="AA117" s="125">
        <f t="shared" si="40"/>
        <v>0</v>
      </c>
      <c r="AB117" s="125">
        <f t="shared" si="40"/>
        <v>0</v>
      </c>
      <c r="AC117" s="125">
        <f t="shared" si="40"/>
        <v>0</v>
      </c>
      <c r="AD117" s="125">
        <f t="shared" si="40"/>
        <v>0</v>
      </c>
      <c r="AE117" s="125">
        <f t="shared" si="40"/>
        <v>0</v>
      </c>
      <c r="AF117" s="125">
        <f t="shared" si="40"/>
        <v>0</v>
      </c>
      <c r="AG117" s="125">
        <f t="shared" si="40"/>
        <v>0</v>
      </c>
      <c r="AH117" s="125">
        <f t="shared" si="40"/>
        <v>0</v>
      </c>
      <c r="AI117" s="125">
        <f t="shared" si="40"/>
        <v>0</v>
      </c>
      <c r="AJ117" s="125">
        <f t="shared" si="40"/>
        <v>0</v>
      </c>
      <c r="AK117" s="125">
        <f t="shared" si="40"/>
        <v>0</v>
      </c>
      <c r="AL117" s="126">
        <f t="shared" si="40"/>
        <v>0</v>
      </c>
      <c r="AM117" s="120">
        <f t="shared" si="40"/>
        <v>0</v>
      </c>
    </row>
    <row r="118" spans="1:39" x14ac:dyDescent="0.2">
      <c r="C118" s="260"/>
      <c r="D118" s="114" t="s">
        <v>7</v>
      </c>
      <c r="E118" s="120">
        <f t="shared" si="40"/>
        <v>0</v>
      </c>
      <c r="F118" s="120">
        <f t="shared" si="40"/>
        <v>0</v>
      </c>
      <c r="G118" s="120">
        <f t="shared" si="40"/>
        <v>0</v>
      </c>
      <c r="H118" s="120">
        <f t="shared" si="40"/>
        <v>0</v>
      </c>
      <c r="I118" s="120">
        <f t="shared" si="40"/>
        <v>0</v>
      </c>
      <c r="J118" s="120">
        <f t="shared" si="40"/>
        <v>0</v>
      </c>
      <c r="K118" s="120">
        <f t="shared" si="40"/>
        <v>0</v>
      </c>
      <c r="L118" s="120">
        <f t="shared" si="40"/>
        <v>0</v>
      </c>
      <c r="M118" s="120">
        <f t="shared" si="40"/>
        <v>0</v>
      </c>
      <c r="N118" s="120">
        <f t="shared" si="40"/>
        <v>0</v>
      </c>
      <c r="O118" s="120">
        <f t="shared" si="40"/>
        <v>0</v>
      </c>
      <c r="P118" s="120">
        <f t="shared" si="40"/>
        <v>0</v>
      </c>
      <c r="Q118" s="120">
        <f t="shared" si="40"/>
        <v>0</v>
      </c>
      <c r="R118" s="120">
        <f t="shared" si="40"/>
        <v>0</v>
      </c>
      <c r="S118" s="120">
        <f t="shared" si="40"/>
        <v>0</v>
      </c>
      <c r="T118" s="120">
        <f t="shared" si="40"/>
        <v>0</v>
      </c>
      <c r="U118" s="120">
        <f t="shared" si="40"/>
        <v>0</v>
      </c>
      <c r="V118" s="120">
        <f t="shared" si="40"/>
        <v>0</v>
      </c>
      <c r="W118" s="120">
        <f t="shared" si="40"/>
        <v>0</v>
      </c>
      <c r="X118" s="120">
        <f t="shared" si="40"/>
        <v>0</v>
      </c>
      <c r="Y118" s="120">
        <f t="shared" si="40"/>
        <v>0</v>
      </c>
      <c r="Z118" s="120">
        <f t="shared" si="40"/>
        <v>0</v>
      </c>
      <c r="AA118" s="120">
        <f t="shared" si="40"/>
        <v>0</v>
      </c>
      <c r="AB118" s="120">
        <f t="shared" si="40"/>
        <v>0</v>
      </c>
      <c r="AC118" s="120">
        <f t="shared" si="40"/>
        <v>0</v>
      </c>
      <c r="AD118" s="120">
        <f t="shared" si="40"/>
        <v>0</v>
      </c>
      <c r="AE118" s="120">
        <f t="shared" si="40"/>
        <v>0</v>
      </c>
      <c r="AF118" s="120">
        <f t="shared" si="40"/>
        <v>0</v>
      </c>
      <c r="AG118" s="120">
        <f t="shared" si="40"/>
        <v>0</v>
      </c>
      <c r="AH118" s="120">
        <f t="shared" si="40"/>
        <v>0</v>
      </c>
      <c r="AI118" s="120">
        <f t="shared" si="40"/>
        <v>0</v>
      </c>
      <c r="AJ118" s="120">
        <f t="shared" si="40"/>
        <v>0</v>
      </c>
      <c r="AK118" s="120">
        <f t="shared" si="40"/>
        <v>0</v>
      </c>
      <c r="AL118" s="120">
        <f t="shared" si="40"/>
        <v>0</v>
      </c>
      <c r="AM118" s="120">
        <f t="shared" si="40"/>
        <v>0</v>
      </c>
    </row>
    <row r="121" spans="1:39" ht="12.75" x14ac:dyDescent="0.2">
      <c r="A121" s="115"/>
      <c r="B121" s="115"/>
      <c r="C121" s="115"/>
      <c r="D121" s="11" t="s">
        <v>228</v>
      </c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  <c r="AK121" s="115"/>
      <c r="AL121" s="115"/>
      <c r="AM121" s="115"/>
    </row>
    <row r="122" spans="1:39" x14ac:dyDescent="0.2">
      <c r="E122" s="259" t="s">
        <v>211</v>
      </c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</row>
    <row r="123" spans="1:39" ht="45.75" thickBot="1" x14ac:dyDescent="0.25">
      <c r="E123" s="82" t="s">
        <v>163</v>
      </c>
      <c r="F123" s="82" t="s">
        <v>166</v>
      </c>
      <c r="G123" s="82" t="s">
        <v>169</v>
      </c>
      <c r="H123" s="82" t="s">
        <v>172</v>
      </c>
      <c r="I123" s="82" t="s">
        <v>175</v>
      </c>
      <c r="J123" s="82" t="s">
        <v>178</v>
      </c>
      <c r="K123" s="82" t="s">
        <v>181</v>
      </c>
      <c r="L123" s="82" t="s">
        <v>182</v>
      </c>
      <c r="M123" s="82" t="s">
        <v>183</v>
      </c>
      <c r="N123" s="82" t="s">
        <v>184</v>
      </c>
      <c r="O123" s="82" t="s">
        <v>186</v>
      </c>
      <c r="P123" s="82" t="s">
        <v>187</v>
      </c>
      <c r="Q123" s="82" t="s">
        <v>188</v>
      </c>
      <c r="R123" s="82" t="s">
        <v>189</v>
      </c>
      <c r="S123" s="82" t="s">
        <v>190</v>
      </c>
      <c r="T123" s="82" t="s">
        <v>191</v>
      </c>
      <c r="U123" s="82" t="s">
        <v>192</v>
      </c>
      <c r="V123" s="82" t="s">
        <v>193</v>
      </c>
      <c r="W123" s="82" t="s">
        <v>180</v>
      </c>
      <c r="X123" s="82" t="s">
        <v>195</v>
      </c>
      <c r="Y123" s="82" t="s">
        <v>194</v>
      </c>
      <c r="Z123" s="82" t="s">
        <v>196</v>
      </c>
      <c r="AA123" s="82" t="s">
        <v>197</v>
      </c>
      <c r="AB123" s="82" t="s">
        <v>161</v>
      </c>
      <c r="AC123" s="82" t="s">
        <v>198</v>
      </c>
      <c r="AD123" s="82" t="s">
        <v>199</v>
      </c>
      <c r="AE123" s="82" t="s">
        <v>200</v>
      </c>
      <c r="AF123" s="82" t="s">
        <v>201</v>
      </c>
      <c r="AG123" s="82" t="s">
        <v>202</v>
      </c>
      <c r="AH123" s="82" t="s">
        <v>203</v>
      </c>
      <c r="AI123" s="82" t="s">
        <v>204</v>
      </c>
      <c r="AJ123" s="82" t="s">
        <v>205</v>
      </c>
      <c r="AK123" s="82" t="s">
        <v>206</v>
      </c>
      <c r="AL123" s="82" t="s">
        <v>207</v>
      </c>
      <c r="AM123" s="83" t="s">
        <v>7</v>
      </c>
    </row>
    <row r="124" spans="1:39" x14ac:dyDescent="0.2">
      <c r="C124" s="260" t="s">
        <v>213</v>
      </c>
      <c r="D124" s="84" t="s">
        <v>163</v>
      </c>
      <c r="E124" s="127">
        <f>IF(ABS(E4)&gt;100,E84/E4,0)</f>
        <v>0</v>
      </c>
      <c r="F124" s="128">
        <f t="shared" ref="F124:AM124" si="41">IF(ABS(F4)&gt;100,F84/F4,0)</f>
        <v>0</v>
      </c>
      <c r="G124" s="128">
        <f t="shared" si="41"/>
        <v>0</v>
      </c>
      <c r="H124" s="128">
        <f t="shared" si="41"/>
        <v>0</v>
      </c>
      <c r="I124" s="128">
        <f t="shared" si="41"/>
        <v>0</v>
      </c>
      <c r="J124" s="128">
        <f t="shared" si="41"/>
        <v>0</v>
      </c>
      <c r="K124" s="128">
        <f t="shared" si="41"/>
        <v>0</v>
      </c>
      <c r="L124" s="128">
        <f t="shared" si="41"/>
        <v>0</v>
      </c>
      <c r="M124" s="128">
        <f t="shared" si="41"/>
        <v>0</v>
      </c>
      <c r="N124" s="128">
        <f t="shared" si="41"/>
        <v>0</v>
      </c>
      <c r="O124" s="128">
        <f t="shared" si="41"/>
        <v>0</v>
      </c>
      <c r="P124" s="128">
        <f t="shared" si="41"/>
        <v>0</v>
      </c>
      <c r="Q124" s="128">
        <f t="shared" si="41"/>
        <v>0</v>
      </c>
      <c r="R124" s="128">
        <f t="shared" si="41"/>
        <v>0</v>
      </c>
      <c r="S124" s="128">
        <f t="shared" si="41"/>
        <v>0</v>
      </c>
      <c r="T124" s="128">
        <f t="shared" si="41"/>
        <v>0</v>
      </c>
      <c r="U124" s="128">
        <f t="shared" si="41"/>
        <v>0</v>
      </c>
      <c r="V124" s="128">
        <f t="shared" si="41"/>
        <v>0</v>
      </c>
      <c r="W124" s="128">
        <f t="shared" si="41"/>
        <v>0</v>
      </c>
      <c r="X124" s="128">
        <f t="shared" si="41"/>
        <v>0</v>
      </c>
      <c r="Y124" s="128">
        <f t="shared" si="41"/>
        <v>0</v>
      </c>
      <c r="Z124" s="128">
        <f t="shared" si="41"/>
        <v>0</v>
      </c>
      <c r="AA124" s="128">
        <f t="shared" si="41"/>
        <v>0</v>
      </c>
      <c r="AB124" s="128">
        <f t="shared" si="41"/>
        <v>0</v>
      </c>
      <c r="AC124" s="128">
        <f t="shared" si="41"/>
        <v>0</v>
      </c>
      <c r="AD124" s="128">
        <f t="shared" si="41"/>
        <v>0</v>
      </c>
      <c r="AE124" s="128">
        <f t="shared" si="41"/>
        <v>0</v>
      </c>
      <c r="AF124" s="128">
        <f t="shared" si="41"/>
        <v>0</v>
      </c>
      <c r="AG124" s="128">
        <f t="shared" si="41"/>
        <v>0</v>
      </c>
      <c r="AH124" s="128">
        <f t="shared" si="41"/>
        <v>0</v>
      </c>
      <c r="AI124" s="128">
        <f t="shared" si="41"/>
        <v>0</v>
      </c>
      <c r="AJ124" s="128">
        <f t="shared" si="41"/>
        <v>0</v>
      </c>
      <c r="AK124" s="128">
        <f t="shared" si="41"/>
        <v>0</v>
      </c>
      <c r="AL124" s="129">
        <f t="shared" si="41"/>
        <v>0</v>
      </c>
      <c r="AM124" s="130">
        <f t="shared" si="41"/>
        <v>0</v>
      </c>
    </row>
    <row r="125" spans="1:39" x14ac:dyDescent="0.2">
      <c r="C125" s="260"/>
      <c r="D125" s="84" t="s">
        <v>166</v>
      </c>
      <c r="E125" s="131">
        <f t="shared" ref="E125:AM132" si="42">IF(ABS(E5)&gt;100,E85/E5,0)</f>
        <v>0</v>
      </c>
      <c r="F125" s="130">
        <f t="shared" si="42"/>
        <v>0</v>
      </c>
      <c r="G125" s="130">
        <f t="shared" si="42"/>
        <v>0</v>
      </c>
      <c r="H125" s="130">
        <f t="shared" si="42"/>
        <v>0</v>
      </c>
      <c r="I125" s="130">
        <f t="shared" si="42"/>
        <v>0</v>
      </c>
      <c r="J125" s="130">
        <f t="shared" si="42"/>
        <v>0</v>
      </c>
      <c r="K125" s="130">
        <f t="shared" si="42"/>
        <v>0</v>
      </c>
      <c r="L125" s="130">
        <f t="shared" si="42"/>
        <v>0</v>
      </c>
      <c r="M125" s="130">
        <f t="shared" si="42"/>
        <v>0</v>
      </c>
      <c r="N125" s="130">
        <f t="shared" si="42"/>
        <v>0</v>
      </c>
      <c r="O125" s="130">
        <f t="shared" si="42"/>
        <v>0</v>
      </c>
      <c r="P125" s="130">
        <f t="shared" si="42"/>
        <v>0</v>
      </c>
      <c r="Q125" s="130">
        <f t="shared" si="42"/>
        <v>0</v>
      </c>
      <c r="R125" s="130">
        <f t="shared" si="42"/>
        <v>0</v>
      </c>
      <c r="S125" s="130">
        <f t="shared" si="42"/>
        <v>0</v>
      </c>
      <c r="T125" s="130">
        <f t="shared" si="42"/>
        <v>0</v>
      </c>
      <c r="U125" s="130">
        <f t="shared" si="42"/>
        <v>0</v>
      </c>
      <c r="V125" s="130">
        <f t="shared" si="42"/>
        <v>0</v>
      </c>
      <c r="W125" s="130">
        <f t="shared" si="42"/>
        <v>0</v>
      </c>
      <c r="X125" s="130">
        <f t="shared" si="42"/>
        <v>0</v>
      </c>
      <c r="Y125" s="130">
        <f t="shared" si="42"/>
        <v>0</v>
      </c>
      <c r="Z125" s="130">
        <f t="shared" si="42"/>
        <v>0</v>
      </c>
      <c r="AA125" s="130">
        <f t="shared" si="42"/>
        <v>0</v>
      </c>
      <c r="AB125" s="130">
        <f t="shared" si="42"/>
        <v>0</v>
      </c>
      <c r="AC125" s="130">
        <f t="shared" si="42"/>
        <v>0</v>
      </c>
      <c r="AD125" s="130">
        <f t="shared" si="42"/>
        <v>0</v>
      </c>
      <c r="AE125" s="130">
        <f t="shared" si="42"/>
        <v>0</v>
      </c>
      <c r="AF125" s="130">
        <f t="shared" si="42"/>
        <v>0</v>
      </c>
      <c r="AG125" s="130">
        <f t="shared" si="42"/>
        <v>0</v>
      </c>
      <c r="AH125" s="130">
        <f t="shared" si="42"/>
        <v>0</v>
      </c>
      <c r="AI125" s="130">
        <f t="shared" si="42"/>
        <v>0</v>
      </c>
      <c r="AJ125" s="130">
        <f t="shared" si="42"/>
        <v>0</v>
      </c>
      <c r="AK125" s="130">
        <f t="shared" si="42"/>
        <v>0</v>
      </c>
      <c r="AL125" s="132">
        <f t="shared" si="42"/>
        <v>0</v>
      </c>
      <c r="AM125" s="130">
        <f t="shared" si="42"/>
        <v>0</v>
      </c>
    </row>
    <row r="126" spans="1:39" x14ac:dyDescent="0.2">
      <c r="C126" s="260"/>
      <c r="D126" s="84" t="s">
        <v>169</v>
      </c>
      <c r="E126" s="131">
        <f t="shared" si="42"/>
        <v>0</v>
      </c>
      <c r="F126" s="130">
        <f t="shared" si="42"/>
        <v>0</v>
      </c>
      <c r="G126" s="130">
        <f t="shared" si="42"/>
        <v>0</v>
      </c>
      <c r="H126" s="130">
        <f t="shared" si="42"/>
        <v>0</v>
      </c>
      <c r="I126" s="130">
        <f t="shared" si="42"/>
        <v>0</v>
      </c>
      <c r="J126" s="130">
        <f t="shared" si="42"/>
        <v>0</v>
      </c>
      <c r="K126" s="130">
        <f t="shared" si="42"/>
        <v>0</v>
      </c>
      <c r="L126" s="130">
        <f t="shared" si="42"/>
        <v>0</v>
      </c>
      <c r="M126" s="130">
        <f t="shared" si="42"/>
        <v>0</v>
      </c>
      <c r="N126" s="130">
        <f t="shared" si="42"/>
        <v>0</v>
      </c>
      <c r="O126" s="130">
        <f t="shared" si="42"/>
        <v>0</v>
      </c>
      <c r="P126" s="130">
        <f t="shared" si="42"/>
        <v>0</v>
      </c>
      <c r="Q126" s="130">
        <f t="shared" si="42"/>
        <v>0</v>
      </c>
      <c r="R126" s="130">
        <f t="shared" si="42"/>
        <v>0</v>
      </c>
      <c r="S126" s="130">
        <f t="shared" si="42"/>
        <v>0</v>
      </c>
      <c r="T126" s="130">
        <f t="shared" si="42"/>
        <v>0</v>
      </c>
      <c r="U126" s="130">
        <f t="shared" si="42"/>
        <v>0</v>
      </c>
      <c r="V126" s="130">
        <f t="shared" si="42"/>
        <v>0</v>
      </c>
      <c r="W126" s="130">
        <f t="shared" si="42"/>
        <v>0</v>
      </c>
      <c r="X126" s="130">
        <f t="shared" si="42"/>
        <v>0</v>
      </c>
      <c r="Y126" s="130">
        <f t="shared" si="42"/>
        <v>0</v>
      </c>
      <c r="Z126" s="130">
        <f t="shared" si="42"/>
        <v>0</v>
      </c>
      <c r="AA126" s="130">
        <f t="shared" si="42"/>
        <v>0</v>
      </c>
      <c r="AB126" s="130">
        <f t="shared" si="42"/>
        <v>0</v>
      </c>
      <c r="AC126" s="130">
        <f t="shared" si="42"/>
        <v>0</v>
      </c>
      <c r="AD126" s="130">
        <f t="shared" si="42"/>
        <v>0</v>
      </c>
      <c r="AE126" s="130">
        <f t="shared" si="42"/>
        <v>0</v>
      </c>
      <c r="AF126" s="130">
        <f t="shared" si="42"/>
        <v>0</v>
      </c>
      <c r="AG126" s="130">
        <f t="shared" si="42"/>
        <v>0</v>
      </c>
      <c r="AH126" s="130">
        <f t="shared" si="42"/>
        <v>0</v>
      </c>
      <c r="AI126" s="130">
        <f t="shared" si="42"/>
        <v>0</v>
      </c>
      <c r="AJ126" s="130">
        <f t="shared" si="42"/>
        <v>0</v>
      </c>
      <c r="AK126" s="130">
        <f t="shared" si="42"/>
        <v>0</v>
      </c>
      <c r="AL126" s="132">
        <f t="shared" si="42"/>
        <v>0</v>
      </c>
      <c r="AM126" s="130">
        <f t="shared" si="42"/>
        <v>0</v>
      </c>
    </row>
    <row r="127" spans="1:39" x14ac:dyDescent="0.2">
      <c r="C127" s="260"/>
      <c r="D127" s="84" t="s">
        <v>172</v>
      </c>
      <c r="E127" s="131">
        <f t="shared" si="42"/>
        <v>0</v>
      </c>
      <c r="F127" s="130">
        <f t="shared" si="42"/>
        <v>0</v>
      </c>
      <c r="G127" s="130">
        <f t="shared" si="42"/>
        <v>0</v>
      </c>
      <c r="H127" s="130">
        <f t="shared" si="42"/>
        <v>0</v>
      </c>
      <c r="I127" s="130">
        <f t="shared" si="42"/>
        <v>0</v>
      </c>
      <c r="J127" s="130">
        <f t="shared" si="42"/>
        <v>0</v>
      </c>
      <c r="K127" s="130">
        <f t="shared" si="42"/>
        <v>0</v>
      </c>
      <c r="L127" s="130">
        <f t="shared" si="42"/>
        <v>0</v>
      </c>
      <c r="M127" s="130">
        <f t="shared" si="42"/>
        <v>0</v>
      </c>
      <c r="N127" s="130">
        <f t="shared" si="42"/>
        <v>0</v>
      </c>
      <c r="O127" s="130">
        <f t="shared" si="42"/>
        <v>0</v>
      </c>
      <c r="P127" s="130">
        <f t="shared" si="42"/>
        <v>0</v>
      </c>
      <c r="Q127" s="130">
        <f t="shared" si="42"/>
        <v>0</v>
      </c>
      <c r="R127" s="130">
        <f t="shared" si="42"/>
        <v>0</v>
      </c>
      <c r="S127" s="130">
        <f t="shared" si="42"/>
        <v>0</v>
      </c>
      <c r="T127" s="130">
        <f t="shared" si="42"/>
        <v>0</v>
      </c>
      <c r="U127" s="130">
        <f t="shared" si="42"/>
        <v>0</v>
      </c>
      <c r="V127" s="130">
        <f t="shared" si="42"/>
        <v>0</v>
      </c>
      <c r="W127" s="130">
        <f t="shared" si="42"/>
        <v>0</v>
      </c>
      <c r="X127" s="130">
        <f t="shared" si="42"/>
        <v>0</v>
      </c>
      <c r="Y127" s="130">
        <f t="shared" si="42"/>
        <v>0</v>
      </c>
      <c r="Z127" s="130">
        <f t="shared" si="42"/>
        <v>0</v>
      </c>
      <c r="AA127" s="130">
        <f t="shared" si="42"/>
        <v>0</v>
      </c>
      <c r="AB127" s="130">
        <f t="shared" si="42"/>
        <v>0</v>
      </c>
      <c r="AC127" s="130">
        <f t="shared" si="42"/>
        <v>0</v>
      </c>
      <c r="AD127" s="130">
        <f t="shared" si="42"/>
        <v>0</v>
      </c>
      <c r="AE127" s="130">
        <f t="shared" si="42"/>
        <v>0</v>
      </c>
      <c r="AF127" s="130">
        <f t="shared" si="42"/>
        <v>0</v>
      </c>
      <c r="AG127" s="130">
        <f t="shared" si="42"/>
        <v>0</v>
      </c>
      <c r="AH127" s="130">
        <f t="shared" si="42"/>
        <v>0</v>
      </c>
      <c r="AI127" s="130">
        <f t="shared" si="42"/>
        <v>0</v>
      </c>
      <c r="AJ127" s="130">
        <f t="shared" si="42"/>
        <v>0</v>
      </c>
      <c r="AK127" s="130">
        <f t="shared" si="42"/>
        <v>0</v>
      </c>
      <c r="AL127" s="132">
        <f t="shared" si="42"/>
        <v>0</v>
      </c>
      <c r="AM127" s="130">
        <f t="shared" si="42"/>
        <v>0</v>
      </c>
    </row>
    <row r="128" spans="1:39" x14ac:dyDescent="0.2">
      <c r="C128" s="260"/>
      <c r="D128" s="84" t="s">
        <v>175</v>
      </c>
      <c r="E128" s="131">
        <f t="shared" si="42"/>
        <v>0</v>
      </c>
      <c r="F128" s="130">
        <f t="shared" si="42"/>
        <v>0</v>
      </c>
      <c r="G128" s="130">
        <f t="shared" si="42"/>
        <v>0</v>
      </c>
      <c r="H128" s="130">
        <f t="shared" si="42"/>
        <v>0</v>
      </c>
      <c r="I128" s="130">
        <f t="shared" si="42"/>
        <v>0</v>
      </c>
      <c r="J128" s="130">
        <f t="shared" si="42"/>
        <v>0</v>
      </c>
      <c r="K128" s="130">
        <f t="shared" si="42"/>
        <v>0</v>
      </c>
      <c r="L128" s="130">
        <f t="shared" si="42"/>
        <v>0</v>
      </c>
      <c r="M128" s="130">
        <f t="shared" si="42"/>
        <v>0</v>
      </c>
      <c r="N128" s="130">
        <f t="shared" si="42"/>
        <v>0</v>
      </c>
      <c r="O128" s="130">
        <f t="shared" si="42"/>
        <v>0</v>
      </c>
      <c r="P128" s="130">
        <f t="shared" si="42"/>
        <v>0</v>
      </c>
      <c r="Q128" s="130">
        <f t="shared" si="42"/>
        <v>0</v>
      </c>
      <c r="R128" s="130">
        <f t="shared" si="42"/>
        <v>0</v>
      </c>
      <c r="S128" s="130">
        <f t="shared" si="42"/>
        <v>0</v>
      </c>
      <c r="T128" s="130">
        <f t="shared" si="42"/>
        <v>0</v>
      </c>
      <c r="U128" s="130">
        <f t="shared" si="42"/>
        <v>0</v>
      </c>
      <c r="V128" s="130">
        <f t="shared" si="42"/>
        <v>0</v>
      </c>
      <c r="W128" s="130">
        <f t="shared" si="42"/>
        <v>0</v>
      </c>
      <c r="X128" s="130">
        <f t="shared" si="42"/>
        <v>0</v>
      </c>
      <c r="Y128" s="130">
        <f t="shared" si="42"/>
        <v>0</v>
      </c>
      <c r="Z128" s="130">
        <f t="shared" si="42"/>
        <v>0</v>
      </c>
      <c r="AA128" s="130">
        <f t="shared" si="42"/>
        <v>0</v>
      </c>
      <c r="AB128" s="130">
        <f t="shared" si="42"/>
        <v>0</v>
      </c>
      <c r="AC128" s="130">
        <f t="shared" si="42"/>
        <v>0</v>
      </c>
      <c r="AD128" s="130">
        <f t="shared" si="42"/>
        <v>0</v>
      </c>
      <c r="AE128" s="130">
        <f t="shared" si="42"/>
        <v>0</v>
      </c>
      <c r="AF128" s="130">
        <f t="shared" si="42"/>
        <v>0</v>
      </c>
      <c r="AG128" s="130">
        <f t="shared" si="42"/>
        <v>0</v>
      </c>
      <c r="AH128" s="130">
        <f t="shared" si="42"/>
        <v>0</v>
      </c>
      <c r="AI128" s="130">
        <f t="shared" si="42"/>
        <v>0</v>
      </c>
      <c r="AJ128" s="130">
        <f t="shared" si="42"/>
        <v>0</v>
      </c>
      <c r="AK128" s="130">
        <f t="shared" si="42"/>
        <v>0</v>
      </c>
      <c r="AL128" s="132">
        <f t="shared" si="42"/>
        <v>0</v>
      </c>
      <c r="AM128" s="130">
        <f t="shared" si="42"/>
        <v>0</v>
      </c>
    </row>
    <row r="129" spans="3:39" x14ac:dyDescent="0.2">
      <c r="C129" s="260"/>
      <c r="D129" s="84" t="s">
        <v>178</v>
      </c>
      <c r="E129" s="131">
        <f t="shared" si="42"/>
        <v>0</v>
      </c>
      <c r="F129" s="130">
        <f t="shared" si="42"/>
        <v>0</v>
      </c>
      <c r="G129" s="130">
        <f t="shared" si="42"/>
        <v>0</v>
      </c>
      <c r="H129" s="130">
        <f t="shared" si="42"/>
        <v>0</v>
      </c>
      <c r="I129" s="130">
        <f t="shared" si="42"/>
        <v>0</v>
      </c>
      <c r="J129" s="130">
        <f t="shared" si="42"/>
        <v>0</v>
      </c>
      <c r="K129" s="130">
        <f t="shared" si="42"/>
        <v>0</v>
      </c>
      <c r="L129" s="130">
        <f t="shared" si="42"/>
        <v>0</v>
      </c>
      <c r="M129" s="130">
        <f t="shared" si="42"/>
        <v>0</v>
      </c>
      <c r="N129" s="130">
        <f t="shared" si="42"/>
        <v>0</v>
      </c>
      <c r="O129" s="130">
        <f t="shared" si="42"/>
        <v>0</v>
      </c>
      <c r="P129" s="130">
        <f t="shared" si="42"/>
        <v>0</v>
      </c>
      <c r="Q129" s="130">
        <f t="shared" si="42"/>
        <v>0</v>
      </c>
      <c r="R129" s="130">
        <f t="shared" si="42"/>
        <v>0</v>
      </c>
      <c r="S129" s="130">
        <f t="shared" si="42"/>
        <v>0</v>
      </c>
      <c r="T129" s="130">
        <f t="shared" si="42"/>
        <v>0</v>
      </c>
      <c r="U129" s="130">
        <f t="shared" si="42"/>
        <v>0</v>
      </c>
      <c r="V129" s="130">
        <f t="shared" si="42"/>
        <v>0</v>
      </c>
      <c r="W129" s="130">
        <f t="shared" si="42"/>
        <v>0</v>
      </c>
      <c r="X129" s="130">
        <f t="shared" si="42"/>
        <v>0</v>
      </c>
      <c r="Y129" s="130">
        <f t="shared" si="42"/>
        <v>0</v>
      </c>
      <c r="Z129" s="130">
        <f t="shared" si="42"/>
        <v>0</v>
      </c>
      <c r="AA129" s="130">
        <f t="shared" si="42"/>
        <v>0</v>
      </c>
      <c r="AB129" s="130">
        <f t="shared" si="42"/>
        <v>0</v>
      </c>
      <c r="AC129" s="130">
        <f t="shared" si="42"/>
        <v>0</v>
      </c>
      <c r="AD129" s="130">
        <f t="shared" si="42"/>
        <v>0</v>
      </c>
      <c r="AE129" s="130">
        <f t="shared" si="42"/>
        <v>0</v>
      </c>
      <c r="AF129" s="130">
        <f t="shared" si="42"/>
        <v>0</v>
      </c>
      <c r="AG129" s="130">
        <f t="shared" si="42"/>
        <v>0</v>
      </c>
      <c r="AH129" s="130">
        <f t="shared" si="42"/>
        <v>0</v>
      </c>
      <c r="AI129" s="130">
        <f t="shared" si="42"/>
        <v>0</v>
      </c>
      <c r="AJ129" s="130">
        <f t="shared" si="42"/>
        <v>0</v>
      </c>
      <c r="AK129" s="130">
        <f t="shared" si="42"/>
        <v>0</v>
      </c>
      <c r="AL129" s="132">
        <f t="shared" si="42"/>
        <v>0</v>
      </c>
      <c r="AM129" s="130">
        <f t="shared" si="42"/>
        <v>0</v>
      </c>
    </row>
    <row r="130" spans="3:39" x14ac:dyDescent="0.2">
      <c r="C130" s="260"/>
      <c r="D130" s="84" t="s">
        <v>181</v>
      </c>
      <c r="E130" s="131">
        <f t="shared" si="42"/>
        <v>0</v>
      </c>
      <c r="F130" s="130">
        <f t="shared" si="42"/>
        <v>0</v>
      </c>
      <c r="G130" s="130">
        <f t="shared" si="42"/>
        <v>0</v>
      </c>
      <c r="H130" s="130">
        <f t="shared" si="42"/>
        <v>0</v>
      </c>
      <c r="I130" s="130">
        <f t="shared" si="42"/>
        <v>0</v>
      </c>
      <c r="J130" s="130">
        <f t="shared" si="42"/>
        <v>0</v>
      </c>
      <c r="K130" s="130">
        <f t="shared" si="42"/>
        <v>0</v>
      </c>
      <c r="L130" s="130">
        <f t="shared" si="42"/>
        <v>0</v>
      </c>
      <c r="M130" s="130">
        <f t="shared" si="42"/>
        <v>0</v>
      </c>
      <c r="N130" s="130">
        <f t="shared" si="42"/>
        <v>0</v>
      </c>
      <c r="O130" s="130">
        <f t="shared" si="42"/>
        <v>0</v>
      </c>
      <c r="P130" s="130">
        <f t="shared" si="42"/>
        <v>0</v>
      </c>
      <c r="Q130" s="130">
        <f t="shared" si="42"/>
        <v>0</v>
      </c>
      <c r="R130" s="130">
        <f t="shared" si="42"/>
        <v>0</v>
      </c>
      <c r="S130" s="130">
        <f t="shared" si="42"/>
        <v>0</v>
      </c>
      <c r="T130" s="130">
        <f t="shared" si="42"/>
        <v>0</v>
      </c>
      <c r="U130" s="130">
        <f t="shared" si="42"/>
        <v>0</v>
      </c>
      <c r="V130" s="130">
        <f t="shared" si="42"/>
        <v>0</v>
      </c>
      <c r="W130" s="130">
        <f t="shared" si="42"/>
        <v>0</v>
      </c>
      <c r="X130" s="130">
        <f t="shared" si="42"/>
        <v>0</v>
      </c>
      <c r="Y130" s="130">
        <f t="shared" si="42"/>
        <v>0</v>
      </c>
      <c r="Z130" s="130">
        <f t="shared" si="42"/>
        <v>0</v>
      </c>
      <c r="AA130" s="130">
        <f t="shared" si="42"/>
        <v>0</v>
      </c>
      <c r="AB130" s="130">
        <f t="shared" si="42"/>
        <v>0</v>
      </c>
      <c r="AC130" s="130">
        <f t="shared" si="42"/>
        <v>0</v>
      </c>
      <c r="AD130" s="130">
        <f t="shared" si="42"/>
        <v>0</v>
      </c>
      <c r="AE130" s="130">
        <f t="shared" si="42"/>
        <v>0</v>
      </c>
      <c r="AF130" s="130">
        <f t="shared" si="42"/>
        <v>0</v>
      </c>
      <c r="AG130" s="130">
        <f t="shared" si="42"/>
        <v>0</v>
      </c>
      <c r="AH130" s="130">
        <f t="shared" si="42"/>
        <v>0</v>
      </c>
      <c r="AI130" s="130">
        <f t="shared" si="42"/>
        <v>0</v>
      </c>
      <c r="AJ130" s="130">
        <f t="shared" si="42"/>
        <v>0</v>
      </c>
      <c r="AK130" s="130">
        <f t="shared" si="42"/>
        <v>0</v>
      </c>
      <c r="AL130" s="132">
        <f t="shared" si="42"/>
        <v>0</v>
      </c>
      <c r="AM130" s="130">
        <f t="shared" si="42"/>
        <v>0</v>
      </c>
    </row>
    <row r="131" spans="3:39" x14ac:dyDescent="0.2">
      <c r="C131" s="260"/>
      <c r="D131" s="84" t="s">
        <v>182</v>
      </c>
      <c r="E131" s="131">
        <f t="shared" si="42"/>
        <v>0</v>
      </c>
      <c r="F131" s="130">
        <f t="shared" si="42"/>
        <v>0</v>
      </c>
      <c r="G131" s="130">
        <f t="shared" si="42"/>
        <v>0</v>
      </c>
      <c r="H131" s="130">
        <f t="shared" si="42"/>
        <v>0</v>
      </c>
      <c r="I131" s="130">
        <f t="shared" si="42"/>
        <v>0</v>
      </c>
      <c r="J131" s="130">
        <f t="shared" si="42"/>
        <v>0</v>
      </c>
      <c r="K131" s="130">
        <f t="shared" si="42"/>
        <v>0</v>
      </c>
      <c r="L131" s="130">
        <f t="shared" si="42"/>
        <v>0</v>
      </c>
      <c r="M131" s="130">
        <f t="shared" si="42"/>
        <v>0</v>
      </c>
      <c r="N131" s="130">
        <f t="shared" si="42"/>
        <v>0</v>
      </c>
      <c r="O131" s="130">
        <f t="shared" si="42"/>
        <v>0</v>
      </c>
      <c r="P131" s="130">
        <f t="shared" si="42"/>
        <v>0</v>
      </c>
      <c r="Q131" s="130">
        <f t="shared" si="42"/>
        <v>0</v>
      </c>
      <c r="R131" s="130">
        <f t="shared" si="42"/>
        <v>0</v>
      </c>
      <c r="S131" s="130">
        <f t="shared" si="42"/>
        <v>0</v>
      </c>
      <c r="T131" s="130">
        <f t="shared" si="42"/>
        <v>0</v>
      </c>
      <c r="U131" s="130">
        <f t="shared" si="42"/>
        <v>0</v>
      </c>
      <c r="V131" s="130">
        <f t="shared" si="42"/>
        <v>0</v>
      </c>
      <c r="W131" s="130">
        <f t="shared" si="42"/>
        <v>0</v>
      </c>
      <c r="X131" s="130">
        <f t="shared" si="42"/>
        <v>0</v>
      </c>
      <c r="Y131" s="130">
        <f t="shared" si="42"/>
        <v>0</v>
      </c>
      <c r="Z131" s="130">
        <f t="shared" si="42"/>
        <v>0</v>
      </c>
      <c r="AA131" s="130">
        <f t="shared" si="42"/>
        <v>0</v>
      </c>
      <c r="AB131" s="130">
        <f t="shared" si="42"/>
        <v>0</v>
      </c>
      <c r="AC131" s="130">
        <f t="shared" si="42"/>
        <v>0</v>
      </c>
      <c r="AD131" s="130">
        <f t="shared" si="42"/>
        <v>0</v>
      </c>
      <c r="AE131" s="130">
        <f t="shared" si="42"/>
        <v>0</v>
      </c>
      <c r="AF131" s="130">
        <f t="shared" si="42"/>
        <v>0</v>
      </c>
      <c r="AG131" s="130">
        <f t="shared" si="42"/>
        <v>0</v>
      </c>
      <c r="AH131" s="130">
        <f t="shared" si="42"/>
        <v>0</v>
      </c>
      <c r="AI131" s="130">
        <f t="shared" si="42"/>
        <v>0</v>
      </c>
      <c r="AJ131" s="130">
        <f t="shared" si="42"/>
        <v>0</v>
      </c>
      <c r="AK131" s="130">
        <f t="shared" si="42"/>
        <v>0</v>
      </c>
      <c r="AL131" s="132">
        <f t="shared" si="42"/>
        <v>0</v>
      </c>
      <c r="AM131" s="130">
        <f t="shared" si="42"/>
        <v>0</v>
      </c>
    </row>
    <row r="132" spans="3:39" x14ac:dyDescent="0.2">
      <c r="C132" s="260"/>
      <c r="D132" s="84" t="s">
        <v>183</v>
      </c>
      <c r="E132" s="131">
        <f t="shared" si="42"/>
        <v>0</v>
      </c>
      <c r="F132" s="130">
        <f t="shared" si="42"/>
        <v>0</v>
      </c>
      <c r="G132" s="130">
        <f t="shared" si="42"/>
        <v>0</v>
      </c>
      <c r="H132" s="130">
        <f t="shared" si="42"/>
        <v>0</v>
      </c>
      <c r="I132" s="130">
        <f t="shared" si="42"/>
        <v>0</v>
      </c>
      <c r="J132" s="130">
        <f t="shared" si="42"/>
        <v>0</v>
      </c>
      <c r="K132" s="130">
        <f t="shared" si="42"/>
        <v>0</v>
      </c>
      <c r="L132" s="130">
        <f t="shared" si="42"/>
        <v>0</v>
      </c>
      <c r="M132" s="130">
        <f t="shared" si="42"/>
        <v>0</v>
      </c>
      <c r="N132" s="130">
        <f t="shared" si="42"/>
        <v>0</v>
      </c>
      <c r="O132" s="130">
        <f t="shared" ref="O132:AM132" si="43">IF(ABS(O12)&gt;100,O92/O12,0)</f>
        <v>0</v>
      </c>
      <c r="P132" s="130">
        <f t="shared" si="43"/>
        <v>0</v>
      </c>
      <c r="Q132" s="130">
        <f t="shared" si="43"/>
        <v>0</v>
      </c>
      <c r="R132" s="130">
        <f t="shared" si="43"/>
        <v>0</v>
      </c>
      <c r="S132" s="130">
        <f t="shared" si="43"/>
        <v>0</v>
      </c>
      <c r="T132" s="130">
        <f t="shared" si="43"/>
        <v>0</v>
      </c>
      <c r="U132" s="130">
        <f t="shared" si="43"/>
        <v>0</v>
      </c>
      <c r="V132" s="130">
        <f t="shared" si="43"/>
        <v>0</v>
      </c>
      <c r="W132" s="130">
        <f t="shared" si="43"/>
        <v>0</v>
      </c>
      <c r="X132" s="130">
        <f t="shared" si="43"/>
        <v>0</v>
      </c>
      <c r="Y132" s="130">
        <f t="shared" si="43"/>
        <v>0</v>
      </c>
      <c r="Z132" s="130">
        <f t="shared" si="43"/>
        <v>0</v>
      </c>
      <c r="AA132" s="130">
        <f t="shared" si="43"/>
        <v>0</v>
      </c>
      <c r="AB132" s="130">
        <f t="shared" si="43"/>
        <v>0</v>
      </c>
      <c r="AC132" s="130">
        <f t="shared" si="43"/>
        <v>0</v>
      </c>
      <c r="AD132" s="130">
        <f t="shared" si="43"/>
        <v>0</v>
      </c>
      <c r="AE132" s="130">
        <f t="shared" si="43"/>
        <v>0</v>
      </c>
      <c r="AF132" s="130">
        <f t="shared" si="43"/>
        <v>0</v>
      </c>
      <c r="AG132" s="130">
        <f t="shared" si="43"/>
        <v>0</v>
      </c>
      <c r="AH132" s="130">
        <f t="shared" si="43"/>
        <v>0</v>
      </c>
      <c r="AI132" s="130">
        <f t="shared" si="43"/>
        <v>0</v>
      </c>
      <c r="AJ132" s="130">
        <f t="shared" si="43"/>
        <v>0</v>
      </c>
      <c r="AK132" s="130">
        <f t="shared" si="43"/>
        <v>0</v>
      </c>
      <c r="AL132" s="132">
        <f t="shared" si="43"/>
        <v>0</v>
      </c>
      <c r="AM132" s="130">
        <f t="shared" si="43"/>
        <v>0</v>
      </c>
    </row>
    <row r="133" spans="3:39" x14ac:dyDescent="0.2">
      <c r="C133" s="260"/>
      <c r="D133" s="84" t="s">
        <v>184</v>
      </c>
      <c r="E133" s="131">
        <f t="shared" ref="E133:AM140" si="44">IF(ABS(E13)&gt;100,E93/E13,0)</f>
        <v>0</v>
      </c>
      <c r="F133" s="130">
        <f t="shared" si="44"/>
        <v>0</v>
      </c>
      <c r="G133" s="130">
        <f t="shared" si="44"/>
        <v>0</v>
      </c>
      <c r="H133" s="130">
        <f t="shared" si="44"/>
        <v>0</v>
      </c>
      <c r="I133" s="130">
        <f t="shared" si="44"/>
        <v>0</v>
      </c>
      <c r="J133" s="130">
        <f t="shared" si="44"/>
        <v>0</v>
      </c>
      <c r="K133" s="130">
        <f t="shared" si="44"/>
        <v>0</v>
      </c>
      <c r="L133" s="130">
        <f t="shared" si="44"/>
        <v>0</v>
      </c>
      <c r="M133" s="130">
        <f t="shared" si="44"/>
        <v>0</v>
      </c>
      <c r="N133" s="130">
        <f t="shared" si="44"/>
        <v>0</v>
      </c>
      <c r="O133" s="130">
        <f t="shared" si="44"/>
        <v>0</v>
      </c>
      <c r="P133" s="130">
        <f t="shared" si="44"/>
        <v>0</v>
      </c>
      <c r="Q133" s="130">
        <f t="shared" si="44"/>
        <v>0</v>
      </c>
      <c r="R133" s="130">
        <f t="shared" si="44"/>
        <v>0</v>
      </c>
      <c r="S133" s="130">
        <f t="shared" si="44"/>
        <v>0</v>
      </c>
      <c r="T133" s="130">
        <f t="shared" si="44"/>
        <v>0</v>
      </c>
      <c r="U133" s="130">
        <f t="shared" si="44"/>
        <v>0</v>
      </c>
      <c r="V133" s="130">
        <f t="shared" si="44"/>
        <v>0</v>
      </c>
      <c r="W133" s="130">
        <f t="shared" si="44"/>
        <v>0</v>
      </c>
      <c r="X133" s="130">
        <f t="shared" si="44"/>
        <v>0</v>
      </c>
      <c r="Y133" s="130">
        <f t="shared" si="44"/>
        <v>0</v>
      </c>
      <c r="Z133" s="130">
        <f t="shared" si="44"/>
        <v>0</v>
      </c>
      <c r="AA133" s="130">
        <f t="shared" si="44"/>
        <v>0</v>
      </c>
      <c r="AB133" s="130">
        <f t="shared" si="44"/>
        <v>0</v>
      </c>
      <c r="AC133" s="130">
        <f t="shared" si="44"/>
        <v>0</v>
      </c>
      <c r="AD133" s="130">
        <f t="shared" si="44"/>
        <v>0</v>
      </c>
      <c r="AE133" s="130">
        <f t="shared" si="44"/>
        <v>0</v>
      </c>
      <c r="AF133" s="130">
        <f t="shared" si="44"/>
        <v>0</v>
      </c>
      <c r="AG133" s="130">
        <f t="shared" si="44"/>
        <v>0</v>
      </c>
      <c r="AH133" s="130">
        <f t="shared" si="44"/>
        <v>0</v>
      </c>
      <c r="AI133" s="130">
        <f t="shared" si="44"/>
        <v>0</v>
      </c>
      <c r="AJ133" s="130">
        <f t="shared" si="44"/>
        <v>0</v>
      </c>
      <c r="AK133" s="130">
        <f t="shared" si="44"/>
        <v>0</v>
      </c>
      <c r="AL133" s="132">
        <f t="shared" si="44"/>
        <v>0</v>
      </c>
      <c r="AM133" s="130">
        <f t="shared" si="44"/>
        <v>0</v>
      </c>
    </row>
    <row r="134" spans="3:39" x14ac:dyDescent="0.2">
      <c r="C134" s="260"/>
      <c r="D134" s="84" t="s">
        <v>186</v>
      </c>
      <c r="E134" s="131">
        <f t="shared" si="44"/>
        <v>0</v>
      </c>
      <c r="F134" s="130">
        <f t="shared" si="44"/>
        <v>0</v>
      </c>
      <c r="G134" s="130">
        <f t="shared" si="44"/>
        <v>0</v>
      </c>
      <c r="H134" s="130">
        <f t="shared" si="44"/>
        <v>0</v>
      </c>
      <c r="I134" s="130">
        <f t="shared" si="44"/>
        <v>0</v>
      </c>
      <c r="J134" s="130">
        <f t="shared" si="44"/>
        <v>0</v>
      </c>
      <c r="K134" s="130">
        <f t="shared" si="44"/>
        <v>0</v>
      </c>
      <c r="L134" s="130">
        <f t="shared" si="44"/>
        <v>0</v>
      </c>
      <c r="M134" s="130">
        <f t="shared" si="44"/>
        <v>0</v>
      </c>
      <c r="N134" s="130">
        <f t="shared" si="44"/>
        <v>0</v>
      </c>
      <c r="O134" s="130">
        <f t="shared" si="44"/>
        <v>0</v>
      </c>
      <c r="P134" s="130">
        <f t="shared" si="44"/>
        <v>0</v>
      </c>
      <c r="Q134" s="130">
        <f t="shared" si="44"/>
        <v>0</v>
      </c>
      <c r="R134" s="130">
        <f t="shared" si="44"/>
        <v>0</v>
      </c>
      <c r="S134" s="130">
        <f t="shared" si="44"/>
        <v>0</v>
      </c>
      <c r="T134" s="130">
        <f t="shared" si="44"/>
        <v>0</v>
      </c>
      <c r="U134" s="130">
        <f t="shared" si="44"/>
        <v>0</v>
      </c>
      <c r="V134" s="130">
        <f t="shared" si="44"/>
        <v>0</v>
      </c>
      <c r="W134" s="130">
        <f t="shared" si="44"/>
        <v>0</v>
      </c>
      <c r="X134" s="130">
        <f t="shared" si="44"/>
        <v>0</v>
      </c>
      <c r="Y134" s="130">
        <f t="shared" si="44"/>
        <v>0</v>
      </c>
      <c r="Z134" s="130">
        <f t="shared" si="44"/>
        <v>0</v>
      </c>
      <c r="AA134" s="130">
        <f t="shared" si="44"/>
        <v>0</v>
      </c>
      <c r="AB134" s="130">
        <f t="shared" si="44"/>
        <v>0</v>
      </c>
      <c r="AC134" s="130">
        <f t="shared" si="44"/>
        <v>0</v>
      </c>
      <c r="AD134" s="130">
        <f t="shared" si="44"/>
        <v>0</v>
      </c>
      <c r="AE134" s="130">
        <f t="shared" si="44"/>
        <v>0</v>
      </c>
      <c r="AF134" s="130">
        <f t="shared" si="44"/>
        <v>0</v>
      </c>
      <c r="AG134" s="130">
        <f t="shared" si="44"/>
        <v>0</v>
      </c>
      <c r="AH134" s="130">
        <f t="shared" si="44"/>
        <v>0</v>
      </c>
      <c r="AI134" s="130">
        <f t="shared" si="44"/>
        <v>0</v>
      </c>
      <c r="AJ134" s="130">
        <f t="shared" si="44"/>
        <v>0</v>
      </c>
      <c r="AK134" s="130">
        <f t="shared" si="44"/>
        <v>0</v>
      </c>
      <c r="AL134" s="132">
        <f t="shared" si="44"/>
        <v>0</v>
      </c>
      <c r="AM134" s="130">
        <f t="shared" si="44"/>
        <v>0</v>
      </c>
    </row>
    <row r="135" spans="3:39" x14ac:dyDescent="0.2">
      <c r="C135" s="260"/>
      <c r="D135" s="84" t="s">
        <v>187</v>
      </c>
      <c r="E135" s="131">
        <f t="shared" si="44"/>
        <v>0</v>
      </c>
      <c r="F135" s="130">
        <f t="shared" si="44"/>
        <v>0</v>
      </c>
      <c r="G135" s="130">
        <f t="shared" si="44"/>
        <v>0</v>
      </c>
      <c r="H135" s="130">
        <f t="shared" si="44"/>
        <v>0</v>
      </c>
      <c r="I135" s="130">
        <f t="shared" si="44"/>
        <v>0</v>
      </c>
      <c r="J135" s="130">
        <f t="shared" si="44"/>
        <v>0</v>
      </c>
      <c r="K135" s="130">
        <f t="shared" si="44"/>
        <v>0</v>
      </c>
      <c r="L135" s="130">
        <f t="shared" si="44"/>
        <v>0</v>
      </c>
      <c r="M135" s="130">
        <f t="shared" si="44"/>
        <v>0</v>
      </c>
      <c r="N135" s="130">
        <f t="shared" si="44"/>
        <v>0</v>
      </c>
      <c r="O135" s="130">
        <f t="shared" si="44"/>
        <v>0</v>
      </c>
      <c r="P135" s="130">
        <f t="shared" si="44"/>
        <v>0</v>
      </c>
      <c r="Q135" s="130">
        <f t="shared" si="44"/>
        <v>0</v>
      </c>
      <c r="R135" s="130">
        <f t="shared" si="44"/>
        <v>0</v>
      </c>
      <c r="S135" s="130">
        <f t="shared" si="44"/>
        <v>0</v>
      </c>
      <c r="T135" s="130">
        <f t="shared" si="44"/>
        <v>0</v>
      </c>
      <c r="U135" s="130">
        <f t="shared" si="44"/>
        <v>0</v>
      </c>
      <c r="V135" s="130">
        <f t="shared" si="44"/>
        <v>0</v>
      </c>
      <c r="W135" s="130">
        <f t="shared" si="44"/>
        <v>0</v>
      </c>
      <c r="X135" s="130">
        <f t="shared" si="44"/>
        <v>0</v>
      </c>
      <c r="Y135" s="130">
        <f t="shared" si="44"/>
        <v>0</v>
      </c>
      <c r="Z135" s="130">
        <f t="shared" si="44"/>
        <v>0</v>
      </c>
      <c r="AA135" s="130">
        <f t="shared" si="44"/>
        <v>0</v>
      </c>
      <c r="AB135" s="130">
        <f t="shared" si="44"/>
        <v>0</v>
      </c>
      <c r="AC135" s="130">
        <f t="shared" si="44"/>
        <v>0</v>
      </c>
      <c r="AD135" s="130">
        <f t="shared" si="44"/>
        <v>0</v>
      </c>
      <c r="AE135" s="130">
        <f t="shared" si="44"/>
        <v>0</v>
      </c>
      <c r="AF135" s="130">
        <f t="shared" si="44"/>
        <v>0</v>
      </c>
      <c r="AG135" s="130">
        <f t="shared" si="44"/>
        <v>0</v>
      </c>
      <c r="AH135" s="130">
        <f t="shared" si="44"/>
        <v>0</v>
      </c>
      <c r="AI135" s="130">
        <f t="shared" si="44"/>
        <v>0</v>
      </c>
      <c r="AJ135" s="130">
        <f t="shared" si="44"/>
        <v>0</v>
      </c>
      <c r="AK135" s="130">
        <f t="shared" si="44"/>
        <v>0</v>
      </c>
      <c r="AL135" s="132">
        <f t="shared" si="44"/>
        <v>0</v>
      </c>
      <c r="AM135" s="130">
        <f t="shared" si="44"/>
        <v>0</v>
      </c>
    </row>
    <row r="136" spans="3:39" x14ac:dyDescent="0.2">
      <c r="C136" s="260"/>
      <c r="D136" s="84" t="s">
        <v>188</v>
      </c>
      <c r="E136" s="131">
        <f t="shared" si="44"/>
        <v>0</v>
      </c>
      <c r="F136" s="130">
        <f t="shared" si="44"/>
        <v>0</v>
      </c>
      <c r="G136" s="130">
        <f t="shared" si="44"/>
        <v>0</v>
      </c>
      <c r="H136" s="130">
        <f t="shared" si="44"/>
        <v>0</v>
      </c>
      <c r="I136" s="130">
        <f t="shared" si="44"/>
        <v>0</v>
      </c>
      <c r="J136" s="130">
        <f t="shared" si="44"/>
        <v>0</v>
      </c>
      <c r="K136" s="130">
        <f t="shared" si="44"/>
        <v>0</v>
      </c>
      <c r="L136" s="130">
        <f t="shared" si="44"/>
        <v>0</v>
      </c>
      <c r="M136" s="130">
        <f t="shared" si="44"/>
        <v>0</v>
      </c>
      <c r="N136" s="130">
        <f t="shared" si="44"/>
        <v>0</v>
      </c>
      <c r="O136" s="130">
        <f t="shared" si="44"/>
        <v>0</v>
      </c>
      <c r="P136" s="130">
        <f t="shared" si="44"/>
        <v>0</v>
      </c>
      <c r="Q136" s="130">
        <f t="shared" si="44"/>
        <v>0</v>
      </c>
      <c r="R136" s="130">
        <f t="shared" si="44"/>
        <v>0</v>
      </c>
      <c r="S136" s="130">
        <f t="shared" si="44"/>
        <v>0</v>
      </c>
      <c r="T136" s="130">
        <f t="shared" si="44"/>
        <v>0</v>
      </c>
      <c r="U136" s="130">
        <f t="shared" si="44"/>
        <v>0</v>
      </c>
      <c r="V136" s="130">
        <f t="shared" si="44"/>
        <v>0</v>
      </c>
      <c r="W136" s="130">
        <f t="shared" si="44"/>
        <v>0</v>
      </c>
      <c r="X136" s="130">
        <f t="shared" si="44"/>
        <v>0</v>
      </c>
      <c r="Y136" s="130">
        <f t="shared" si="44"/>
        <v>0</v>
      </c>
      <c r="Z136" s="130">
        <f t="shared" si="44"/>
        <v>0</v>
      </c>
      <c r="AA136" s="130">
        <f t="shared" si="44"/>
        <v>0</v>
      </c>
      <c r="AB136" s="130">
        <f t="shared" si="44"/>
        <v>0</v>
      </c>
      <c r="AC136" s="130">
        <f t="shared" si="44"/>
        <v>0</v>
      </c>
      <c r="AD136" s="130">
        <f t="shared" si="44"/>
        <v>0</v>
      </c>
      <c r="AE136" s="130">
        <f t="shared" si="44"/>
        <v>0</v>
      </c>
      <c r="AF136" s="130">
        <f t="shared" si="44"/>
        <v>0</v>
      </c>
      <c r="AG136" s="130">
        <f t="shared" si="44"/>
        <v>0</v>
      </c>
      <c r="AH136" s="130">
        <f t="shared" si="44"/>
        <v>0</v>
      </c>
      <c r="AI136" s="130">
        <f t="shared" si="44"/>
        <v>0</v>
      </c>
      <c r="AJ136" s="130">
        <f t="shared" si="44"/>
        <v>0</v>
      </c>
      <c r="AK136" s="130">
        <f t="shared" si="44"/>
        <v>0</v>
      </c>
      <c r="AL136" s="132">
        <f t="shared" si="44"/>
        <v>0</v>
      </c>
      <c r="AM136" s="130">
        <f t="shared" si="44"/>
        <v>0</v>
      </c>
    </row>
    <row r="137" spans="3:39" x14ac:dyDescent="0.2">
      <c r="C137" s="260"/>
      <c r="D137" s="84" t="s">
        <v>189</v>
      </c>
      <c r="E137" s="131">
        <f t="shared" si="44"/>
        <v>0</v>
      </c>
      <c r="F137" s="130">
        <f t="shared" si="44"/>
        <v>0</v>
      </c>
      <c r="G137" s="130">
        <f t="shared" si="44"/>
        <v>0</v>
      </c>
      <c r="H137" s="130">
        <f t="shared" si="44"/>
        <v>0</v>
      </c>
      <c r="I137" s="130">
        <f t="shared" si="44"/>
        <v>0</v>
      </c>
      <c r="J137" s="130">
        <f t="shared" si="44"/>
        <v>0</v>
      </c>
      <c r="K137" s="130">
        <f t="shared" si="44"/>
        <v>0</v>
      </c>
      <c r="L137" s="130">
        <f t="shared" si="44"/>
        <v>0</v>
      </c>
      <c r="M137" s="130">
        <f t="shared" si="44"/>
        <v>0</v>
      </c>
      <c r="N137" s="130">
        <f t="shared" si="44"/>
        <v>0</v>
      </c>
      <c r="O137" s="130">
        <f t="shared" si="44"/>
        <v>0</v>
      </c>
      <c r="P137" s="130">
        <f t="shared" si="44"/>
        <v>0</v>
      </c>
      <c r="Q137" s="130">
        <f t="shared" si="44"/>
        <v>0</v>
      </c>
      <c r="R137" s="130">
        <f t="shared" si="44"/>
        <v>0</v>
      </c>
      <c r="S137" s="130">
        <f t="shared" si="44"/>
        <v>0</v>
      </c>
      <c r="T137" s="130">
        <f t="shared" si="44"/>
        <v>0</v>
      </c>
      <c r="U137" s="130">
        <f t="shared" si="44"/>
        <v>0</v>
      </c>
      <c r="V137" s="130">
        <f t="shared" si="44"/>
        <v>0</v>
      </c>
      <c r="W137" s="130">
        <f t="shared" si="44"/>
        <v>0</v>
      </c>
      <c r="X137" s="130">
        <f t="shared" si="44"/>
        <v>0</v>
      </c>
      <c r="Y137" s="130">
        <f t="shared" si="44"/>
        <v>0</v>
      </c>
      <c r="Z137" s="130">
        <f t="shared" si="44"/>
        <v>0</v>
      </c>
      <c r="AA137" s="130">
        <f t="shared" si="44"/>
        <v>0</v>
      </c>
      <c r="AB137" s="130">
        <f t="shared" si="44"/>
        <v>0</v>
      </c>
      <c r="AC137" s="130">
        <f t="shared" si="44"/>
        <v>0</v>
      </c>
      <c r="AD137" s="130">
        <f t="shared" si="44"/>
        <v>0</v>
      </c>
      <c r="AE137" s="130">
        <f t="shared" si="44"/>
        <v>0</v>
      </c>
      <c r="AF137" s="130">
        <f t="shared" si="44"/>
        <v>0</v>
      </c>
      <c r="AG137" s="130">
        <f t="shared" si="44"/>
        <v>0</v>
      </c>
      <c r="AH137" s="130">
        <f t="shared" si="44"/>
        <v>0</v>
      </c>
      <c r="AI137" s="130">
        <f t="shared" si="44"/>
        <v>0</v>
      </c>
      <c r="AJ137" s="130">
        <f t="shared" si="44"/>
        <v>0</v>
      </c>
      <c r="AK137" s="130">
        <f t="shared" si="44"/>
        <v>0</v>
      </c>
      <c r="AL137" s="132">
        <f t="shared" si="44"/>
        <v>0</v>
      </c>
      <c r="AM137" s="130">
        <f t="shared" si="44"/>
        <v>0</v>
      </c>
    </row>
    <row r="138" spans="3:39" x14ac:dyDescent="0.2">
      <c r="C138" s="260"/>
      <c r="D138" s="84" t="s">
        <v>190</v>
      </c>
      <c r="E138" s="131">
        <f t="shared" si="44"/>
        <v>0</v>
      </c>
      <c r="F138" s="130">
        <f t="shared" si="44"/>
        <v>0</v>
      </c>
      <c r="G138" s="130">
        <f t="shared" si="44"/>
        <v>0</v>
      </c>
      <c r="H138" s="130">
        <f t="shared" si="44"/>
        <v>0</v>
      </c>
      <c r="I138" s="130">
        <f t="shared" si="44"/>
        <v>0</v>
      </c>
      <c r="J138" s="130">
        <f t="shared" si="44"/>
        <v>0</v>
      </c>
      <c r="K138" s="130">
        <f t="shared" si="44"/>
        <v>0</v>
      </c>
      <c r="L138" s="130">
        <f t="shared" si="44"/>
        <v>0</v>
      </c>
      <c r="M138" s="130">
        <f t="shared" si="44"/>
        <v>0</v>
      </c>
      <c r="N138" s="130">
        <f t="shared" si="44"/>
        <v>0</v>
      </c>
      <c r="O138" s="130">
        <f t="shared" si="44"/>
        <v>0</v>
      </c>
      <c r="P138" s="130">
        <f t="shared" si="44"/>
        <v>0</v>
      </c>
      <c r="Q138" s="130">
        <f t="shared" si="44"/>
        <v>0</v>
      </c>
      <c r="R138" s="130">
        <f t="shared" si="44"/>
        <v>0</v>
      </c>
      <c r="S138" s="130">
        <f t="shared" si="44"/>
        <v>0</v>
      </c>
      <c r="T138" s="130">
        <f t="shared" si="44"/>
        <v>0</v>
      </c>
      <c r="U138" s="130">
        <f t="shared" si="44"/>
        <v>0</v>
      </c>
      <c r="V138" s="130">
        <f t="shared" si="44"/>
        <v>0</v>
      </c>
      <c r="W138" s="130">
        <f t="shared" si="44"/>
        <v>0</v>
      </c>
      <c r="X138" s="130">
        <f t="shared" si="44"/>
        <v>0</v>
      </c>
      <c r="Y138" s="130">
        <f t="shared" si="44"/>
        <v>0</v>
      </c>
      <c r="Z138" s="130">
        <f t="shared" si="44"/>
        <v>0</v>
      </c>
      <c r="AA138" s="130">
        <f t="shared" si="44"/>
        <v>0</v>
      </c>
      <c r="AB138" s="130">
        <f t="shared" si="44"/>
        <v>0</v>
      </c>
      <c r="AC138" s="130">
        <f t="shared" si="44"/>
        <v>0</v>
      </c>
      <c r="AD138" s="130">
        <f t="shared" si="44"/>
        <v>0</v>
      </c>
      <c r="AE138" s="130">
        <f t="shared" si="44"/>
        <v>0</v>
      </c>
      <c r="AF138" s="130">
        <f t="shared" si="44"/>
        <v>0</v>
      </c>
      <c r="AG138" s="130">
        <f t="shared" si="44"/>
        <v>0</v>
      </c>
      <c r="AH138" s="130">
        <f t="shared" si="44"/>
        <v>0</v>
      </c>
      <c r="AI138" s="130">
        <f t="shared" si="44"/>
        <v>0</v>
      </c>
      <c r="AJ138" s="130">
        <f t="shared" si="44"/>
        <v>0</v>
      </c>
      <c r="AK138" s="130">
        <f t="shared" si="44"/>
        <v>0</v>
      </c>
      <c r="AL138" s="132">
        <f t="shared" si="44"/>
        <v>0</v>
      </c>
      <c r="AM138" s="130">
        <f t="shared" si="44"/>
        <v>0</v>
      </c>
    </row>
    <row r="139" spans="3:39" x14ac:dyDescent="0.2">
      <c r="C139" s="260"/>
      <c r="D139" s="84" t="s">
        <v>191</v>
      </c>
      <c r="E139" s="131">
        <f t="shared" si="44"/>
        <v>0</v>
      </c>
      <c r="F139" s="130">
        <f t="shared" si="44"/>
        <v>0</v>
      </c>
      <c r="G139" s="130">
        <f t="shared" si="44"/>
        <v>0</v>
      </c>
      <c r="H139" s="130">
        <f t="shared" si="44"/>
        <v>0</v>
      </c>
      <c r="I139" s="130">
        <f t="shared" si="44"/>
        <v>0</v>
      </c>
      <c r="J139" s="130">
        <f t="shared" si="44"/>
        <v>0</v>
      </c>
      <c r="K139" s="130">
        <f t="shared" si="44"/>
        <v>0</v>
      </c>
      <c r="L139" s="130">
        <f t="shared" si="44"/>
        <v>0</v>
      </c>
      <c r="M139" s="130">
        <f t="shared" si="44"/>
        <v>0</v>
      </c>
      <c r="N139" s="130">
        <f t="shared" si="44"/>
        <v>0</v>
      </c>
      <c r="O139" s="130">
        <f t="shared" si="44"/>
        <v>0</v>
      </c>
      <c r="P139" s="130">
        <f t="shared" si="44"/>
        <v>0</v>
      </c>
      <c r="Q139" s="130">
        <f t="shared" si="44"/>
        <v>0</v>
      </c>
      <c r="R139" s="130">
        <f t="shared" si="44"/>
        <v>0</v>
      </c>
      <c r="S139" s="130">
        <f t="shared" si="44"/>
        <v>0</v>
      </c>
      <c r="T139" s="130">
        <f t="shared" si="44"/>
        <v>0</v>
      </c>
      <c r="U139" s="130">
        <f t="shared" si="44"/>
        <v>0</v>
      </c>
      <c r="V139" s="130">
        <f t="shared" si="44"/>
        <v>0</v>
      </c>
      <c r="W139" s="130">
        <f t="shared" si="44"/>
        <v>0</v>
      </c>
      <c r="X139" s="130">
        <f t="shared" si="44"/>
        <v>0</v>
      </c>
      <c r="Y139" s="130">
        <f t="shared" si="44"/>
        <v>0</v>
      </c>
      <c r="Z139" s="130">
        <f t="shared" si="44"/>
        <v>0</v>
      </c>
      <c r="AA139" s="130">
        <f t="shared" si="44"/>
        <v>0</v>
      </c>
      <c r="AB139" s="130">
        <f t="shared" si="44"/>
        <v>0</v>
      </c>
      <c r="AC139" s="130">
        <f t="shared" si="44"/>
        <v>0</v>
      </c>
      <c r="AD139" s="130">
        <f t="shared" si="44"/>
        <v>0</v>
      </c>
      <c r="AE139" s="130">
        <f t="shared" si="44"/>
        <v>0</v>
      </c>
      <c r="AF139" s="130">
        <f t="shared" si="44"/>
        <v>0</v>
      </c>
      <c r="AG139" s="130">
        <f t="shared" si="44"/>
        <v>0</v>
      </c>
      <c r="AH139" s="130">
        <f t="shared" si="44"/>
        <v>0</v>
      </c>
      <c r="AI139" s="130">
        <f t="shared" si="44"/>
        <v>0</v>
      </c>
      <c r="AJ139" s="130">
        <f t="shared" si="44"/>
        <v>0</v>
      </c>
      <c r="AK139" s="130">
        <f t="shared" si="44"/>
        <v>0</v>
      </c>
      <c r="AL139" s="132">
        <f t="shared" si="44"/>
        <v>0</v>
      </c>
      <c r="AM139" s="130">
        <f t="shared" si="44"/>
        <v>0</v>
      </c>
    </row>
    <row r="140" spans="3:39" x14ac:dyDescent="0.2">
      <c r="C140" s="260"/>
      <c r="D140" s="84" t="s">
        <v>192</v>
      </c>
      <c r="E140" s="131">
        <f t="shared" si="44"/>
        <v>0</v>
      </c>
      <c r="F140" s="130">
        <f t="shared" si="44"/>
        <v>0</v>
      </c>
      <c r="G140" s="130">
        <f t="shared" si="44"/>
        <v>0</v>
      </c>
      <c r="H140" s="130">
        <f t="shared" si="44"/>
        <v>0</v>
      </c>
      <c r="I140" s="130">
        <f t="shared" si="44"/>
        <v>0</v>
      </c>
      <c r="J140" s="130">
        <f t="shared" si="44"/>
        <v>0</v>
      </c>
      <c r="K140" s="130">
        <f t="shared" si="44"/>
        <v>0</v>
      </c>
      <c r="L140" s="130">
        <f t="shared" si="44"/>
        <v>0</v>
      </c>
      <c r="M140" s="130">
        <f t="shared" si="44"/>
        <v>0</v>
      </c>
      <c r="N140" s="130">
        <f t="shared" si="44"/>
        <v>0</v>
      </c>
      <c r="O140" s="130">
        <f t="shared" ref="O140:AM140" si="45">IF(ABS(O20)&gt;100,O100/O20,0)</f>
        <v>0</v>
      </c>
      <c r="P140" s="130">
        <f t="shared" si="45"/>
        <v>0</v>
      </c>
      <c r="Q140" s="130">
        <f t="shared" si="45"/>
        <v>0</v>
      </c>
      <c r="R140" s="130">
        <f t="shared" si="45"/>
        <v>0</v>
      </c>
      <c r="S140" s="130">
        <f t="shared" si="45"/>
        <v>0</v>
      </c>
      <c r="T140" s="130">
        <f t="shared" si="45"/>
        <v>0</v>
      </c>
      <c r="U140" s="130">
        <f t="shared" si="45"/>
        <v>0</v>
      </c>
      <c r="V140" s="130">
        <f t="shared" si="45"/>
        <v>0</v>
      </c>
      <c r="W140" s="130">
        <f t="shared" si="45"/>
        <v>0</v>
      </c>
      <c r="X140" s="130">
        <f t="shared" si="45"/>
        <v>0</v>
      </c>
      <c r="Y140" s="130">
        <f t="shared" si="45"/>
        <v>0</v>
      </c>
      <c r="Z140" s="130">
        <f t="shared" si="45"/>
        <v>0</v>
      </c>
      <c r="AA140" s="130">
        <f t="shared" si="45"/>
        <v>0</v>
      </c>
      <c r="AB140" s="130">
        <f t="shared" si="45"/>
        <v>0</v>
      </c>
      <c r="AC140" s="130">
        <f t="shared" si="45"/>
        <v>0</v>
      </c>
      <c r="AD140" s="130">
        <f t="shared" si="45"/>
        <v>0</v>
      </c>
      <c r="AE140" s="130">
        <f t="shared" si="45"/>
        <v>0</v>
      </c>
      <c r="AF140" s="130">
        <f t="shared" si="45"/>
        <v>0</v>
      </c>
      <c r="AG140" s="130">
        <f t="shared" si="45"/>
        <v>0</v>
      </c>
      <c r="AH140" s="130">
        <f t="shared" si="45"/>
        <v>0</v>
      </c>
      <c r="AI140" s="130">
        <f t="shared" si="45"/>
        <v>0</v>
      </c>
      <c r="AJ140" s="130">
        <f t="shared" si="45"/>
        <v>0</v>
      </c>
      <c r="AK140" s="130">
        <f t="shared" si="45"/>
        <v>0</v>
      </c>
      <c r="AL140" s="132">
        <f t="shared" si="45"/>
        <v>0</v>
      </c>
      <c r="AM140" s="130">
        <f t="shared" si="45"/>
        <v>0</v>
      </c>
    </row>
    <row r="141" spans="3:39" x14ac:dyDescent="0.2">
      <c r="C141" s="260"/>
      <c r="D141" s="84" t="s">
        <v>193</v>
      </c>
      <c r="E141" s="131">
        <f t="shared" ref="E141:AM148" si="46">IF(ABS(E21)&gt;100,E101/E21,0)</f>
        <v>0</v>
      </c>
      <c r="F141" s="130">
        <f t="shared" si="46"/>
        <v>0</v>
      </c>
      <c r="G141" s="130">
        <f t="shared" si="46"/>
        <v>0</v>
      </c>
      <c r="H141" s="130">
        <f t="shared" si="46"/>
        <v>0</v>
      </c>
      <c r="I141" s="130">
        <f t="shared" si="46"/>
        <v>0</v>
      </c>
      <c r="J141" s="130">
        <f t="shared" si="46"/>
        <v>0</v>
      </c>
      <c r="K141" s="130">
        <f t="shared" si="46"/>
        <v>0</v>
      </c>
      <c r="L141" s="130">
        <f t="shared" si="46"/>
        <v>0</v>
      </c>
      <c r="M141" s="130">
        <f t="shared" si="46"/>
        <v>0</v>
      </c>
      <c r="N141" s="130">
        <f t="shared" si="46"/>
        <v>0</v>
      </c>
      <c r="O141" s="130">
        <f t="shared" si="46"/>
        <v>0</v>
      </c>
      <c r="P141" s="130">
        <f t="shared" si="46"/>
        <v>0</v>
      </c>
      <c r="Q141" s="130">
        <f t="shared" si="46"/>
        <v>0</v>
      </c>
      <c r="R141" s="130">
        <f t="shared" si="46"/>
        <v>0</v>
      </c>
      <c r="S141" s="130">
        <f t="shared" si="46"/>
        <v>0</v>
      </c>
      <c r="T141" s="130">
        <f t="shared" si="46"/>
        <v>0</v>
      </c>
      <c r="U141" s="130">
        <f t="shared" si="46"/>
        <v>0</v>
      </c>
      <c r="V141" s="130">
        <f t="shared" si="46"/>
        <v>0</v>
      </c>
      <c r="W141" s="130">
        <f t="shared" si="46"/>
        <v>0</v>
      </c>
      <c r="X141" s="130">
        <f t="shared" si="46"/>
        <v>0</v>
      </c>
      <c r="Y141" s="130">
        <f t="shared" si="46"/>
        <v>0</v>
      </c>
      <c r="Z141" s="130">
        <f t="shared" si="46"/>
        <v>0</v>
      </c>
      <c r="AA141" s="130">
        <f t="shared" si="46"/>
        <v>0</v>
      </c>
      <c r="AB141" s="130">
        <f t="shared" si="46"/>
        <v>0</v>
      </c>
      <c r="AC141" s="130">
        <f t="shared" si="46"/>
        <v>0</v>
      </c>
      <c r="AD141" s="130">
        <f t="shared" si="46"/>
        <v>0</v>
      </c>
      <c r="AE141" s="130">
        <f t="shared" si="46"/>
        <v>0</v>
      </c>
      <c r="AF141" s="130">
        <f t="shared" si="46"/>
        <v>0</v>
      </c>
      <c r="AG141" s="130">
        <f t="shared" si="46"/>
        <v>0</v>
      </c>
      <c r="AH141" s="130">
        <f t="shared" si="46"/>
        <v>0</v>
      </c>
      <c r="AI141" s="130">
        <f t="shared" si="46"/>
        <v>0</v>
      </c>
      <c r="AJ141" s="130">
        <f t="shared" si="46"/>
        <v>0</v>
      </c>
      <c r="AK141" s="130">
        <f t="shared" si="46"/>
        <v>0</v>
      </c>
      <c r="AL141" s="132">
        <f t="shared" si="46"/>
        <v>0</v>
      </c>
      <c r="AM141" s="130">
        <f t="shared" si="46"/>
        <v>0</v>
      </c>
    </row>
    <row r="142" spans="3:39" x14ac:dyDescent="0.2">
      <c r="C142" s="260"/>
      <c r="D142" s="84" t="s">
        <v>180</v>
      </c>
      <c r="E142" s="131">
        <f t="shared" si="46"/>
        <v>0</v>
      </c>
      <c r="F142" s="130">
        <f t="shared" si="46"/>
        <v>0</v>
      </c>
      <c r="G142" s="130">
        <f t="shared" si="46"/>
        <v>0</v>
      </c>
      <c r="H142" s="130">
        <f t="shared" si="46"/>
        <v>0</v>
      </c>
      <c r="I142" s="130">
        <f t="shared" si="46"/>
        <v>0</v>
      </c>
      <c r="J142" s="130">
        <f t="shared" si="46"/>
        <v>0</v>
      </c>
      <c r="K142" s="130">
        <f t="shared" si="46"/>
        <v>0</v>
      </c>
      <c r="L142" s="130">
        <f t="shared" si="46"/>
        <v>0</v>
      </c>
      <c r="M142" s="130">
        <f t="shared" si="46"/>
        <v>0</v>
      </c>
      <c r="N142" s="130">
        <f t="shared" si="46"/>
        <v>0</v>
      </c>
      <c r="O142" s="130">
        <f t="shared" si="46"/>
        <v>0</v>
      </c>
      <c r="P142" s="130">
        <f t="shared" si="46"/>
        <v>0</v>
      </c>
      <c r="Q142" s="130">
        <f t="shared" si="46"/>
        <v>0</v>
      </c>
      <c r="R142" s="130">
        <f t="shared" si="46"/>
        <v>0</v>
      </c>
      <c r="S142" s="130">
        <f t="shared" si="46"/>
        <v>0</v>
      </c>
      <c r="T142" s="130">
        <f t="shared" si="46"/>
        <v>0</v>
      </c>
      <c r="U142" s="130">
        <f t="shared" si="46"/>
        <v>0</v>
      </c>
      <c r="V142" s="130">
        <f t="shared" si="46"/>
        <v>0</v>
      </c>
      <c r="W142" s="130">
        <f t="shared" si="46"/>
        <v>0</v>
      </c>
      <c r="X142" s="130">
        <f t="shared" si="46"/>
        <v>0</v>
      </c>
      <c r="Y142" s="130">
        <f t="shared" si="46"/>
        <v>0</v>
      </c>
      <c r="Z142" s="130">
        <f t="shared" si="46"/>
        <v>0</v>
      </c>
      <c r="AA142" s="130">
        <f t="shared" si="46"/>
        <v>0</v>
      </c>
      <c r="AB142" s="130">
        <f t="shared" si="46"/>
        <v>0</v>
      </c>
      <c r="AC142" s="130">
        <f t="shared" si="46"/>
        <v>0</v>
      </c>
      <c r="AD142" s="130">
        <f t="shared" si="46"/>
        <v>0</v>
      </c>
      <c r="AE142" s="130">
        <f t="shared" si="46"/>
        <v>0</v>
      </c>
      <c r="AF142" s="130">
        <f t="shared" si="46"/>
        <v>0</v>
      </c>
      <c r="AG142" s="130">
        <f t="shared" si="46"/>
        <v>0</v>
      </c>
      <c r="AH142" s="130">
        <f t="shared" si="46"/>
        <v>0</v>
      </c>
      <c r="AI142" s="130">
        <f t="shared" si="46"/>
        <v>0</v>
      </c>
      <c r="AJ142" s="130">
        <f t="shared" si="46"/>
        <v>0</v>
      </c>
      <c r="AK142" s="130">
        <f t="shared" si="46"/>
        <v>0</v>
      </c>
      <c r="AL142" s="132">
        <f t="shared" si="46"/>
        <v>0</v>
      </c>
      <c r="AM142" s="130">
        <f t="shared" si="46"/>
        <v>0</v>
      </c>
    </row>
    <row r="143" spans="3:39" x14ac:dyDescent="0.2">
      <c r="C143" s="260"/>
      <c r="D143" s="84" t="s">
        <v>195</v>
      </c>
      <c r="E143" s="131">
        <f t="shared" si="46"/>
        <v>0</v>
      </c>
      <c r="F143" s="130">
        <f t="shared" si="46"/>
        <v>0</v>
      </c>
      <c r="G143" s="130">
        <f t="shared" si="46"/>
        <v>0</v>
      </c>
      <c r="H143" s="130">
        <f t="shared" si="46"/>
        <v>0</v>
      </c>
      <c r="I143" s="130">
        <f t="shared" si="46"/>
        <v>0</v>
      </c>
      <c r="J143" s="130">
        <f t="shared" si="46"/>
        <v>0</v>
      </c>
      <c r="K143" s="130">
        <f t="shared" si="46"/>
        <v>0</v>
      </c>
      <c r="L143" s="130">
        <f t="shared" si="46"/>
        <v>0</v>
      </c>
      <c r="M143" s="130">
        <f t="shared" si="46"/>
        <v>0</v>
      </c>
      <c r="N143" s="130">
        <f t="shared" si="46"/>
        <v>0</v>
      </c>
      <c r="O143" s="130">
        <f t="shared" si="46"/>
        <v>0</v>
      </c>
      <c r="P143" s="130">
        <f t="shared" si="46"/>
        <v>0</v>
      </c>
      <c r="Q143" s="130">
        <f t="shared" si="46"/>
        <v>0</v>
      </c>
      <c r="R143" s="130">
        <f t="shared" si="46"/>
        <v>0</v>
      </c>
      <c r="S143" s="130">
        <f t="shared" si="46"/>
        <v>0</v>
      </c>
      <c r="T143" s="130">
        <f t="shared" si="46"/>
        <v>0</v>
      </c>
      <c r="U143" s="130">
        <f t="shared" si="46"/>
        <v>0</v>
      </c>
      <c r="V143" s="130">
        <f t="shared" si="46"/>
        <v>0</v>
      </c>
      <c r="W143" s="130">
        <f t="shared" si="46"/>
        <v>0</v>
      </c>
      <c r="X143" s="130">
        <f t="shared" si="46"/>
        <v>0</v>
      </c>
      <c r="Y143" s="130">
        <f t="shared" si="46"/>
        <v>0</v>
      </c>
      <c r="Z143" s="130">
        <f t="shared" si="46"/>
        <v>0</v>
      </c>
      <c r="AA143" s="130">
        <f t="shared" si="46"/>
        <v>0</v>
      </c>
      <c r="AB143" s="130">
        <f t="shared" si="46"/>
        <v>0</v>
      </c>
      <c r="AC143" s="130">
        <f t="shared" si="46"/>
        <v>0</v>
      </c>
      <c r="AD143" s="130">
        <f t="shared" si="46"/>
        <v>0</v>
      </c>
      <c r="AE143" s="130">
        <f t="shared" si="46"/>
        <v>0</v>
      </c>
      <c r="AF143" s="130">
        <f t="shared" si="46"/>
        <v>0</v>
      </c>
      <c r="AG143" s="130">
        <f t="shared" si="46"/>
        <v>0</v>
      </c>
      <c r="AH143" s="130">
        <f t="shared" si="46"/>
        <v>0</v>
      </c>
      <c r="AI143" s="130">
        <f t="shared" si="46"/>
        <v>0</v>
      </c>
      <c r="AJ143" s="130">
        <f t="shared" si="46"/>
        <v>0</v>
      </c>
      <c r="AK143" s="130">
        <f t="shared" si="46"/>
        <v>0</v>
      </c>
      <c r="AL143" s="132">
        <f t="shared" si="46"/>
        <v>0</v>
      </c>
      <c r="AM143" s="130">
        <f t="shared" si="46"/>
        <v>0</v>
      </c>
    </row>
    <row r="144" spans="3:39" x14ac:dyDescent="0.2">
      <c r="C144" s="260"/>
      <c r="D144" s="84" t="s">
        <v>194</v>
      </c>
      <c r="E144" s="131">
        <f t="shared" si="46"/>
        <v>0</v>
      </c>
      <c r="F144" s="130">
        <f t="shared" si="46"/>
        <v>0</v>
      </c>
      <c r="G144" s="130">
        <f t="shared" si="46"/>
        <v>0</v>
      </c>
      <c r="H144" s="130">
        <f t="shared" si="46"/>
        <v>0</v>
      </c>
      <c r="I144" s="130">
        <f t="shared" si="46"/>
        <v>0</v>
      </c>
      <c r="J144" s="130">
        <f t="shared" si="46"/>
        <v>0</v>
      </c>
      <c r="K144" s="130">
        <f t="shared" si="46"/>
        <v>0</v>
      </c>
      <c r="L144" s="130">
        <f t="shared" si="46"/>
        <v>0</v>
      </c>
      <c r="M144" s="130">
        <f t="shared" si="46"/>
        <v>0</v>
      </c>
      <c r="N144" s="130">
        <f t="shared" si="46"/>
        <v>0</v>
      </c>
      <c r="O144" s="130">
        <f t="shared" si="46"/>
        <v>0</v>
      </c>
      <c r="P144" s="130">
        <f t="shared" si="46"/>
        <v>0</v>
      </c>
      <c r="Q144" s="130">
        <f t="shared" si="46"/>
        <v>0</v>
      </c>
      <c r="R144" s="130">
        <f t="shared" si="46"/>
        <v>0</v>
      </c>
      <c r="S144" s="130">
        <f t="shared" si="46"/>
        <v>0</v>
      </c>
      <c r="T144" s="130">
        <f t="shared" si="46"/>
        <v>0</v>
      </c>
      <c r="U144" s="130">
        <f t="shared" si="46"/>
        <v>0</v>
      </c>
      <c r="V144" s="130">
        <f t="shared" si="46"/>
        <v>0</v>
      </c>
      <c r="W144" s="130">
        <f t="shared" si="46"/>
        <v>0</v>
      </c>
      <c r="X144" s="130">
        <f t="shared" si="46"/>
        <v>0</v>
      </c>
      <c r="Y144" s="130">
        <f t="shared" si="46"/>
        <v>0</v>
      </c>
      <c r="Z144" s="130">
        <f t="shared" si="46"/>
        <v>0</v>
      </c>
      <c r="AA144" s="130">
        <f t="shared" si="46"/>
        <v>0</v>
      </c>
      <c r="AB144" s="130">
        <f t="shared" si="46"/>
        <v>0</v>
      </c>
      <c r="AC144" s="130">
        <f t="shared" si="46"/>
        <v>0</v>
      </c>
      <c r="AD144" s="130">
        <f t="shared" si="46"/>
        <v>0</v>
      </c>
      <c r="AE144" s="130">
        <f t="shared" si="46"/>
        <v>0</v>
      </c>
      <c r="AF144" s="130">
        <f t="shared" si="46"/>
        <v>0</v>
      </c>
      <c r="AG144" s="130">
        <f t="shared" si="46"/>
        <v>0</v>
      </c>
      <c r="AH144" s="130">
        <f t="shared" si="46"/>
        <v>0</v>
      </c>
      <c r="AI144" s="130">
        <f t="shared" si="46"/>
        <v>0</v>
      </c>
      <c r="AJ144" s="130">
        <f t="shared" si="46"/>
        <v>0</v>
      </c>
      <c r="AK144" s="130">
        <f t="shared" si="46"/>
        <v>0</v>
      </c>
      <c r="AL144" s="132">
        <f t="shared" si="46"/>
        <v>0</v>
      </c>
      <c r="AM144" s="130">
        <f t="shared" si="46"/>
        <v>0</v>
      </c>
    </row>
    <row r="145" spans="3:39" x14ac:dyDescent="0.2">
      <c r="C145" s="260"/>
      <c r="D145" s="84" t="s">
        <v>196</v>
      </c>
      <c r="E145" s="131">
        <f t="shared" si="46"/>
        <v>0</v>
      </c>
      <c r="F145" s="130">
        <f t="shared" si="46"/>
        <v>0</v>
      </c>
      <c r="G145" s="130">
        <f t="shared" si="46"/>
        <v>0</v>
      </c>
      <c r="H145" s="130">
        <f t="shared" si="46"/>
        <v>0</v>
      </c>
      <c r="I145" s="130">
        <f t="shared" si="46"/>
        <v>0</v>
      </c>
      <c r="J145" s="130">
        <f t="shared" si="46"/>
        <v>0</v>
      </c>
      <c r="K145" s="130">
        <f t="shared" si="46"/>
        <v>0</v>
      </c>
      <c r="L145" s="130">
        <f t="shared" si="46"/>
        <v>0</v>
      </c>
      <c r="M145" s="130">
        <f t="shared" si="46"/>
        <v>0</v>
      </c>
      <c r="N145" s="130">
        <f t="shared" si="46"/>
        <v>0</v>
      </c>
      <c r="O145" s="130">
        <f t="shared" si="46"/>
        <v>0</v>
      </c>
      <c r="P145" s="130">
        <f t="shared" si="46"/>
        <v>0</v>
      </c>
      <c r="Q145" s="130">
        <f t="shared" si="46"/>
        <v>0</v>
      </c>
      <c r="R145" s="130">
        <f t="shared" si="46"/>
        <v>0</v>
      </c>
      <c r="S145" s="130">
        <f t="shared" si="46"/>
        <v>0</v>
      </c>
      <c r="T145" s="130">
        <f t="shared" si="46"/>
        <v>0</v>
      </c>
      <c r="U145" s="130">
        <f t="shared" si="46"/>
        <v>0</v>
      </c>
      <c r="V145" s="130">
        <f t="shared" si="46"/>
        <v>0</v>
      </c>
      <c r="W145" s="130">
        <f t="shared" si="46"/>
        <v>0</v>
      </c>
      <c r="X145" s="130">
        <f t="shared" si="46"/>
        <v>0</v>
      </c>
      <c r="Y145" s="130">
        <f t="shared" si="46"/>
        <v>0</v>
      </c>
      <c r="Z145" s="130">
        <f t="shared" si="46"/>
        <v>0</v>
      </c>
      <c r="AA145" s="130">
        <f t="shared" si="46"/>
        <v>0</v>
      </c>
      <c r="AB145" s="130">
        <f t="shared" si="46"/>
        <v>0</v>
      </c>
      <c r="AC145" s="130">
        <f t="shared" si="46"/>
        <v>0</v>
      </c>
      <c r="AD145" s="130">
        <f t="shared" si="46"/>
        <v>0</v>
      </c>
      <c r="AE145" s="130">
        <f t="shared" si="46"/>
        <v>0</v>
      </c>
      <c r="AF145" s="130">
        <f t="shared" si="46"/>
        <v>0</v>
      </c>
      <c r="AG145" s="130">
        <f t="shared" si="46"/>
        <v>0</v>
      </c>
      <c r="AH145" s="130">
        <f t="shared" si="46"/>
        <v>0</v>
      </c>
      <c r="AI145" s="130">
        <f t="shared" si="46"/>
        <v>0</v>
      </c>
      <c r="AJ145" s="130">
        <f t="shared" si="46"/>
        <v>0</v>
      </c>
      <c r="AK145" s="130">
        <f t="shared" si="46"/>
        <v>0</v>
      </c>
      <c r="AL145" s="132">
        <f t="shared" si="46"/>
        <v>0</v>
      </c>
      <c r="AM145" s="130">
        <f t="shared" si="46"/>
        <v>0</v>
      </c>
    </row>
    <row r="146" spans="3:39" x14ac:dyDescent="0.2">
      <c r="C146" s="260"/>
      <c r="D146" s="84" t="s">
        <v>197</v>
      </c>
      <c r="E146" s="131">
        <f t="shared" si="46"/>
        <v>0</v>
      </c>
      <c r="F146" s="130">
        <f t="shared" si="46"/>
        <v>0</v>
      </c>
      <c r="G146" s="130">
        <f t="shared" si="46"/>
        <v>0</v>
      </c>
      <c r="H146" s="130">
        <f t="shared" si="46"/>
        <v>0</v>
      </c>
      <c r="I146" s="130">
        <f t="shared" si="46"/>
        <v>0</v>
      </c>
      <c r="J146" s="130">
        <f t="shared" si="46"/>
        <v>0</v>
      </c>
      <c r="K146" s="130">
        <f t="shared" si="46"/>
        <v>0</v>
      </c>
      <c r="L146" s="130">
        <f t="shared" si="46"/>
        <v>0</v>
      </c>
      <c r="M146" s="130">
        <f t="shared" si="46"/>
        <v>0</v>
      </c>
      <c r="N146" s="130">
        <f t="shared" si="46"/>
        <v>0</v>
      </c>
      <c r="O146" s="130">
        <f t="shared" si="46"/>
        <v>0</v>
      </c>
      <c r="P146" s="130">
        <f t="shared" si="46"/>
        <v>0</v>
      </c>
      <c r="Q146" s="130">
        <f t="shared" si="46"/>
        <v>0</v>
      </c>
      <c r="R146" s="130">
        <f t="shared" si="46"/>
        <v>0</v>
      </c>
      <c r="S146" s="130">
        <f t="shared" si="46"/>
        <v>0</v>
      </c>
      <c r="T146" s="130">
        <f t="shared" si="46"/>
        <v>0</v>
      </c>
      <c r="U146" s="130">
        <f t="shared" si="46"/>
        <v>0</v>
      </c>
      <c r="V146" s="130">
        <f t="shared" si="46"/>
        <v>0</v>
      </c>
      <c r="W146" s="130">
        <f t="shared" si="46"/>
        <v>0</v>
      </c>
      <c r="X146" s="130">
        <f t="shared" si="46"/>
        <v>0</v>
      </c>
      <c r="Y146" s="130">
        <f t="shared" si="46"/>
        <v>0</v>
      </c>
      <c r="Z146" s="130">
        <f t="shared" si="46"/>
        <v>0</v>
      </c>
      <c r="AA146" s="130">
        <f t="shared" si="46"/>
        <v>0</v>
      </c>
      <c r="AB146" s="130">
        <f t="shared" si="46"/>
        <v>0</v>
      </c>
      <c r="AC146" s="130">
        <f t="shared" si="46"/>
        <v>0</v>
      </c>
      <c r="AD146" s="130">
        <f t="shared" si="46"/>
        <v>0</v>
      </c>
      <c r="AE146" s="130">
        <f t="shared" si="46"/>
        <v>0</v>
      </c>
      <c r="AF146" s="130">
        <f t="shared" si="46"/>
        <v>0</v>
      </c>
      <c r="AG146" s="130">
        <f t="shared" si="46"/>
        <v>0</v>
      </c>
      <c r="AH146" s="130">
        <f t="shared" si="46"/>
        <v>0</v>
      </c>
      <c r="AI146" s="130">
        <f t="shared" si="46"/>
        <v>0</v>
      </c>
      <c r="AJ146" s="130">
        <f t="shared" si="46"/>
        <v>0</v>
      </c>
      <c r="AK146" s="130">
        <f t="shared" si="46"/>
        <v>0</v>
      </c>
      <c r="AL146" s="132">
        <f t="shared" si="46"/>
        <v>0</v>
      </c>
      <c r="AM146" s="130">
        <f t="shared" si="46"/>
        <v>0</v>
      </c>
    </row>
    <row r="147" spans="3:39" x14ac:dyDescent="0.2">
      <c r="C147" s="260"/>
      <c r="D147" s="84" t="s">
        <v>161</v>
      </c>
      <c r="E147" s="131">
        <f t="shared" si="46"/>
        <v>0</v>
      </c>
      <c r="F147" s="130">
        <f t="shared" si="46"/>
        <v>0</v>
      </c>
      <c r="G147" s="130">
        <f t="shared" si="46"/>
        <v>0</v>
      </c>
      <c r="H147" s="130">
        <f t="shared" si="46"/>
        <v>0</v>
      </c>
      <c r="I147" s="130">
        <f t="shared" si="46"/>
        <v>0</v>
      </c>
      <c r="J147" s="130">
        <f t="shared" si="46"/>
        <v>0</v>
      </c>
      <c r="K147" s="130">
        <f t="shared" si="46"/>
        <v>0</v>
      </c>
      <c r="L147" s="130">
        <f t="shared" si="46"/>
        <v>0</v>
      </c>
      <c r="M147" s="130">
        <f t="shared" si="46"/>
        <v>0</v>
      </c>
      <c r="N147" s="130">
        <f t="shared" si="46"/>
        <v>0</v>
      </c>
      <c r="O147" s="130">
        <f t="shared" si="46"/>
        <v>0</v>
      </c>
      <c r="P147" s="130">
        <f t="shared" si="46"/>
        <v>0</v>
      </c>
      <c r="Q147" s="130">
        <f t="shared" si="46"/>
        <v>0</v>
      </c>
      <c r="R147" s="130">
        <f t="shared" si="46"/>
        <v>0</v>
      </c>
      <c r="S147" s="130">
        <f t="shared" si="46"/>
        <v>0</v>
      </c>
      <c r="T147" s="130">
        <f t="shared" si="46"/>
        <v>0</v>
      </c>
      <c r="U147" s="130">
        <f t="shared" si="46"/>
        <v>0</v>
      </c>
      <c r="V147" s="130">
        <f t="shared" si="46"/>
        <v>0</v>
      </c>
      <c r="W147" s="130">
        <f t="shared" si="46"/>
        <v>0</v>
      </c>
      <c r="X147" s="130">
        <f t="shared" si="46"/>
        <v>0</v>
      </c>
      <c r="Y147" s="130">
        <f t="shared" si="46"/>
        <v>0</v>
      </c>
      <c r="Z147" s="130">
        <f t="shared" si="46"/>
        <v>0</v>
      </c>
      <c r="AA147" s="130">
        <f t="shared" si="46"/>
        <v>0</v>
      </c>
      <c r="AB147" s="130">
        <f t="shared" si="46"/>
        <v>0</v>
      </c>
      <c r="AC147" s="130">
        <f t="shared" si="46"/>
        <v>0</v>
      </c>
      <c r="AD147" s="130">
        <f t="shared" si="46"/>
        <v>0</v>
      </c>
      <c r="AE147" s="130">
        <f t="shared" si="46"/>
        <v>0</v>
      </c>
      <c r="AF147" s="130">
        <f t="shared" si="46"/>
        <v>0</v>
      </c>
      <c r="AG147" s="130">
        <f t="shared" si="46"/>
        <v>0</v>
      </c>
      <c r="AH147" s="130">
        <f t="shared" si="46"/>
        <v>0</v>
      </c>
      <c r="AI147" s="130">
        <f t="shared" si="46"/>
        <v>0</v>
      </c>
      <c r="AJ147" s="130">
        <f t="shared" si="46"/>
        <v>0</v>
      </c>
      <c r="AK147" s="130">
        <f t="shared" si="46"/>
        <v>0</v>
      </c>
      <c r="AL147" s="132">
        <f t="shared" si="46"/>
        <v>0</v>
      </c>
      <c r="AM147" s="130">
        <f t="shared" si="46"/>
        <v>0</v>
      </c>
    </row>
    <row r="148" spans="3:39" x14ac:dyDescent="0.2">
      <c r="C148" s="260"/>
      <c r="D148" s="84" t="s">
        <v>198</v>
      </c>
      <c r="E148" s="131">
        <f t="shared" si="46"/>
        <v>0</v>
      </c>
      <c r="F148" s="130">
        <f t="shared" si="46"/>
        <v>0</v>
      </c>
      <c r="G148" s="130">
        <f t="shared" si="46"/>
        <v>0</v>
      </c>
      <c r="H148" s="130">
        <f t="shared" si="46"/>
        <v>0</v>
      </c>
      <c r="I148" s="130">
        <f t="shared" si="46"/>
        <v>0</v>
      </c>
      <c r="J148" s="130">
        <f t="shared" si="46"/>
        <v>0</v>
      </c>
      <c r="K148" s="130">
        <f t="shared" si="46"/>
        <v>0</v>
      </c>
      <c r="L148" s="130">
        <f t="shared" si="46"/>
        <v>0</v>
      </c>
      <c r="M148" s="130">
        <f t="shared" si="46"/>
        <v>0</v>
      </c>
      <c r="N148" s="130">
        <f t="shared" si="46"/>
        <v>0</v>
      </c>
      <c r="O148" s="130">
        <f t="shared" ref="O148:AM148" si="47">IF(ABS(O28)&gt;100,O108/O28,0)</f>
        <v>0</v>
      </c>
      <c r="P148" s="130">
        <f t="shared" si="47"/>
        <v>0</v>
      </c>
      <c r="Q148" s="130">
        <f t="shared" si="47"/>
        <v>0</v>
      </c>
      <c r="R148" s="130">
        <f t="shared" si="47"/>
        <v>0</v>
      </c>
      <c r="S148" s="130">
        <f t="shared" si="47"/>
        <v>0</v>
      </c>
      <c r="T148" s="130">
        <f t="shared" si="47"/>
        <v>0</v>
      </c>
      <c r="U148" s="130">
        <f t="shared" si="47"/>
        <v>0</v>
      </c>
      <c r="V148" s="130">
        <f t="shared" si="47"/>
        <v>0</v>
      </c>
      <c r="W148" s="130">
        <f t="shared" si="47"/>
        <v>0</v>
      </c>
      <c r="X148" s="130">
        <f t="shared" si="47"/>
        <v>0</v>
      </c>
      <c r="Y148" s="130">
        <f t="shared" si="47"/>
        <v>0</v>
      </c>
      <c r="Z148" s="130">
        <f t="shared" si="47"/>
        <v>0</v>
      </c>
      <c r="AA148" s="130">
        <f t="shared" si="47"/>
        <v>0</v>
      </c>
      <c r="AB148" s="130">
        <f t="shared" si="47"/>
        <v>0</v>
      </c>
      <c r="AC148" s="130">
        <f t="shared" si="47"/>
        <v>0</v>
      </c>
      <c r="AD148" s="130">
        <f t="shared" si="47"/>
        <v>0</v>
      </c>
      <c r="AE148" s="130">
        <f t="shared" si="47"/>
        <v>0</v>
      </c>
      <c r="AF148" s="130">
        <f t="shared" si="47"/>
        <v>0</v>
      </c>
      <c r="AG148" s="130">
        <f t="shared" si="47"/>
        <v>0</v>
      </c>
      <c r="AH148" s="130">
        <f t="shared" si="47"/>
        <v>0</v>
      </c>
      <c r="AI148" s="130">
        <f t="shared" si="47"/>
        <v>0</v>
      </c>
      <c r="AJ148" s="130">
        <f t="shared" si="47"/>
        <v>0</v>
      </c>
      <c r="AK148" s="130">
        <f t="shared" si="47"/>
        <v>0</v>
      </c>
      <c r="AL148" s="132">
        <f t="shared" si="47"/>
        <v>0</v>
      </c>
      <c r="AM148" s="130">
        <f t="shared" si="47"/>
        <v>0</v>
      </c>
    </row>
    <row r="149" spans="3:39" x14ac:dyDescent="0.2">
      <c r="C149" s="260"/>
      <c r="D149" s="84" t="s">
        <v>199</v>
      </c>
      <c r="E149" s="131">
        <f t="shared" ref="E149:AM156" si="48">IF(ABS(E29)&gt;100,E109/E29,0)</f>
        <v>0</v>
      </c>
      <c r="F149" s="130">
        <f t="shared" si="48"/>
        <v>0</v>
      </c>
      <c r="G149" s="130">
        <f t="shared" si="48"/>
        <v>0</v>
      </c>
      <c r="H149" s="130">
        <f t="shared" si="48"/>
        <v>0</v>
      </c>
      <c r="I149" s="130">
        <f t="shared" si="48"/>
        <v>0</v>
      </c>
      <c r="J149" s="130">
        <f t="shared" si="48"/>
        <v>0</v>
      </c>
      <c r="K149" s="130">
        <f t="shared" si="48"/>
        <v>0</v>
      </c>
      <c r="L149" s="130">
        <f t="shared" si="48"/>
        <v>0</v>
      </c>
      <c r="M149" s="130">
        <f t="shared" si="48"/>
        <v>0</v>
      </c>
      <c r="N149" s="130">
        <f t="shared" si="48"/>
        <v>0</v>
      </c>
      <c r="O149" s="130">
        <f t="shared" si="48"/>
        <v>0</v>
      </c>
      <c r="P149" s="130">
        <f t="shared" si="48"/>
        <v>0</v>
      </c>
      <c r="Q149" s="130">
        <f t="shared" si="48"/>
        <v>0</v>
      </c>
      <c r="R149" s="130">
        <f t="shared" si="48"/>
        <v>0</v>
      </c>
      <c r="S149" s="130">
        <f t="shared" si="48"/>
        <v>0</v>
      </c>
      <c r="T149" s="130">
        <f t="shared" si="48"/>
        <v>0</v>
      </c>
      <c r="U149" s="130">
        <f t="shared" si="48"/>
        <v>0</v>
      </c>
      <c r="V149" s="130">
        <f t="shared" si="48"/>
        <v>0</v>
      </c>
      <c r="W149" s="130">
        <f t="shared" si="48"/>
        <v>0</v>
      </c>
      <c r="X149" s="130">
        <f t="shared" si="48"/>
        <v>0</v>
      </c>
      <c r="Y149" s="130">
        <f t="shared" si="48"/>
        <v>0</v>
      </c>
      <c r="Z149" s="130">
        <f t="shared" si="48"/>
        <v>0</v>
      </c>
      <c r="AA149" s="130">
        <f t="shared" si="48"/>
        <v>0</v>
      </c>
      <c r="AB149" s="130">
        <f t="shared" si="48"/>
        <v>0</v>
      </c>
      <c r="AC149" s="130">
        <f t="shared" si="48"/>
        <v>0</v>
      </c>
      <c r="AD149" s="130">
        <f t="shared" si="48"/>
        <v>0</v>
      </c>
      <c r="AE149" s="130">
        <f t="shared" si="48"/>
        <v>0</v>
      </c>
      <c r="AF149" s="130">
        <f t="shared" si="48"/>
        <v>0</v>
      </c>
      <c r="AG149" s="130">
        <f t="shared" si="48"/>
        <v>0</v>
      </c>
      <c r="AH149" s="130">
        <f t="shared" si="48"/>
        <v>0</v>
      </c>
      <c r="AI149" s="130">
        <f t="shared" si="48"/>
        <v>0</v>
      </c>
      <c r="AJ149" s="130">
        <f t="shared" si="48"/>
        <v>0</v>
      </c>
      <c r="AK149" s="130">
        <f t="shared" si="48"/>
        <v>0</v>
      </c>
      <c r="AL149" s="132">
        <f t="shared" si="48"/>
        <v>0</v>
      </c>
      <c r="AM149" s="130">
        <f t="shared" si="48"/>
        <v>0</v>
      </c>
    </row>
    <row r="150" spans="3:39" x14ac:dyDescent="0.2">
      <c r="C150" s="260"/>
      <c r="D150" s="84" t="s">
        <v>200</v>
      </c>
      <c r="E150" s="131">
        <f t="shared" si="48"/>
        <v>0</v>
      </c>
      <c r="F150" s="130">
        <f t="shared" si="48"/>
        <v>0</v>
      </c>
      <c r="G150" s="130">
        <f t="shared" si="48"/>
        <v>0</v>
      </c>
      <c r="H150" s="130">
        <f t="shared" si="48"/>
        <v>0</v>
      </c>
      <c r="I150" s="130">
        <f t="shared" si="48"/>
        <v>0</v>
      </c>
      <c r="J150" s="130">
        <f t="shared" si="48"/>
        <v>0</v>
      </c>
      <c r="K150" s="130">
        <f t="shared" si="48"/>
        <v>0</v>
      </c>
      <c r="L150" s="130">
        <f t="shared" si="48"/>
        <v>0</v>
      </c>
      <c r="M150" s="130">
        <f t="shared" si="48"/>
        <v>0</v>
      </c>
      <c r="N150" s="130">
        <f t="shared" si="48"/>
        <v>0</v>
      </c>
      <c r="O150" s="130">
        <f t="shared" si="48"/>
        <v>0</v>
      </c>
      <c r="P150" s="130">
        <f t="shared" si="48"/>
        <v>0</v>
      </c>
      <c r="Q150" s="130">
        <f t="shared" si="48"/>
        <v>0</v>
      </c>
      <c r="R150" s="130">
        <f t="shared" si="48"/>
        <v>0</v>
      </c>
      <c r="S150" s="130">
        <f t="shared" si="48"/>
        <v>0</v>
      </c>
      <c r="T150" s="130">
        <f t="shared" si="48"/>
        <v>0</v>
      </c>
      <c r="U150" s="130">
        <f t="shared" si="48"/>
        <v>0</v>
      </c>
      <c r="V150" s="130">
        <f t="shared" si="48"/>
        <v>0</v>
      </c>
      <c r="W150" s="130">
        <f t="shared" si="48"/>
        <v>0</v>
      </c>
      <c r="X150" s="130">
        <f t="shared" si="48"/>
        <v>0</v>
      </c>
      <c r="Y150" s="130">
        <f t="shared" si="48"/>
        <v>0</v>
      </c>
      <c r="Z150" s="130">
        <f t="shared" si="48"/>
        <v>0</v>
      </c>
      <c r="AA150" s="130">
        <f t="shared" si="48"/>
        <v>0</v>
      </c>
      <c r="AB150" s="130">
        <f t="shared" si="48"/>
        <v>0</v>
      </c>
      <c r="AC150" s="130">
        <f t="shared" si="48"/>
        <v>0</v>
      </c>
      <c r="AD150" s="130">
        <f t="shared" si="48"/>
        <v>0</v>
      </c>
      <c r="AE150" s="130">
        <f t="shared" si="48"/>
        <v>0</v>
      </c>
      <c r="AF150" s="130">
        <f t="shared" si="48"/>
        <v>0</v>
      </c>
      <c r="AG150" s="130">
        <f t="shared" si="48"/>
        <v>0</v>
      </c>
      <c r="AH150" s="130">
        <f t="shared" si="48"/>
        <v>0</v>
      </c>
      <c r="AI150" s="130">
        <f t="shared" si="48"/>
        <v>0</v>
      </c>
      <c r="AJ150" s="130">
        <f t="shared" si="48"/>
        <v>0</v>
      </c>
      <c r="AK150" s="130">
        <f t="shared" si="48"/>
        <v>0</v>
      </c>
      <c r="AL150" s="132">
        <f t="shared" si="48"/>
        <v>0</v>
      </c>
      <c r="AM150" s="130">
        <f t="shared" si="48"/>
        <v>0</v>
      </c>
    </row>
    <row r="151" spans="3:39" x14ac:dyDescent="0.2">
      <c r="C151" s="260"/>
      <c r="D151" s="84" t="s">
        <v>201</v>
      </c>
      <c r="E151" s="131">
        <f t="shared" si="48"/>
        <v>0</v>
      </c>
      <c r="F151" s="130">
        <f t="shared" si="48"/>
        <v>0</v>
      </c>
      <c r="G151" s="130">
        <f t="shared" si="48"/>
        <v>0</v>
      </c>
      <c r="H151" s="130">
        <f t="shared" si="48"/>
        <v>0</v>
      </c>
      <c r="I151" s="130">
        <f t="shared" si="48"/>
        <v>0</v>
      </c>
      <c r="J151" s="130">
        <f t="shared" si="48"/>
        <v>0</v>
      </c>
      <c r="K151" s="130">
        <f t="shared" si="48"/>
        <v>0</v>
      </c>
      <c r="L151" s="130">
        <f t="shared" si="48"/>
        <v>0</v>
      </c>
      <c r="M151" s="130">
        <f t="shared" si="48"/>
        <v>0</v>
      </c>
      <c r="N151" s="130">
        <f t="shared" si="48"/>
        <v>0</v>
      </c>
      <c r="O151" s="130">
        <f t="shared" si="48"/>
        <v>0</v>
      </c>
      <c r="P151" s="130">
        <f t="shared" si="48"/>
        <v>0</v>
      </c>
      <c r="Q151" s="130">
        <f t="shared" si="48"/>
        <v>0</v>
      </c>
      <c r="R151" s="130">
        <f t="shared" si="48"/>
        <v>0</v>
      </c>
      <c r="S151" s="130">
        <f t="shared" si="48"/>
        <v>0</v>
      </c>
      <c r="T151" s="130">
        <f t="shared" si="48"/>
        <v>0</v>
      </c>
      <c r="U151" s="130">
        <f t="shared" si="48"/>
        <v>0</v>
      </c>
      <c r="V151" s="130">
        <f t="shared" si="48"/>
        <v>0</v>
      </c>
      <c r="W151" s="130">
        <f t="shared" si="48"/>
        <v>0</v>
      </c>
      <c r="X151" s="130">
        <f t="shared" si="48"/>
        <v>0</v>
      </c>
      <c r="Y151" s="130">
        <f t="shared" si="48"/>
        <v>0</v>
      </c>
      <c r="Z151" s="130">
        <f t="shared" si="48"/>
        <v>0</v>
      </c>
      <c r="AA151" s="130">
        <f t="shared" si="48"/>
        <v>0</v>
      </c>
      <c r="AB151" s="130">
        <f t="shared" si="48"/>
        <v>0</v>
      </c>
      <c r="AC151" s="130">
        <f t="shared" si="48"/>
        <v>0</v>
      </c>
      <c r="AD151" s="130">
        <f t="shared" si="48"/>
        <v>0</v>
      </c>
      <c r="AE151" s="130">
        <f t="shared" si="48"/>
        <v>0</v>
      </c>
      <c r="AF151" s="130">
        <f t="shared" si="48"/>
        <v>0</v>
      </c>
      <c r="AG151" s="130">
        <f t="shared" si="48"/>
        <v>0</v>
      </c>
      <c r="AH151" s="130">
        <f t="shared" si="48"/>
        <v>0</v>
      </c>
      <c r="AI151" s="130">
        <f t="shared" si="48"/>
        <v>0</v>
      </c>
      <c r="AJ151" s="130">
        <f t="shared" si="48"/>
        <v>0</v>
      </c>
      <c r="AK151" s="130">
        <f t="shared" si="48"/>
        <v>0</v>
      </c>
      <c r="AL151" s="132">
        <f t="shared" si="48"/>
        <v>0</v>
      </c>
      <c r="AM151" s="130">
        <f t="shared" si="48"/>
        <v>0</v>
      </c>
    </row>
    <row r="152" spans="3:39" x14ac:dyDescent="0.2">
      <c r="C152" s="260"/>
      <c r="D152" s="84" t="s">
        <v>202</v>
      </c>
      <c r="E152" s="131">
        <f t="shared" si="48"/>
        <v>0</v>
      </c>
      <c r="F152" s="130">
        <f t="shared" si="48"/>
        <v>0</v>
      </c>
      <c r="G152" s="130">
        <f t="shared" si="48"/>
        <v>0</v>
      </c>
      <c r="H152" s="130">
        <f t="shared" si="48"/>
        <v>0</v>
      </c>
      <c r="I152" s="130">
        <f t="shared" si="48"/>
        <v>0</v>
      </c>
      <c r="J152" s="130">
        <f t="shared" si="48"/>
        <v>0</v>
      </c>
      <c r="K152" s="130">
        <f t="shared" si="48"/>
        <v>0</v>
      </c>
      <c r="L152" s="130">
        <f t="shared" si="48"/>
        <v>0</v>
      </c>
      <c r="M152" s="130">
        <f t="shared" si="48"/>
        <v>0</v>
      </c>
      <c r="N152" s="130">
        <f t="shared" si="48"/>
        <v>0</v>
      </c>
      <c r="O152" s="130">
        <f t="shared" si="48"/>
        <v>0</v>
      </c>
      <c r="P152" s="130">
        <f t="shared" si="48"/>
        <v>0</v>
      </c>
      <c r="Q152" s="130">
        <f t="shared" si="48"/>
        <v>0</v>
      </c>
      <c r="R152" s="130">
        <f t="shared" si="48"/>
        <v>0</v>
      </c>
      <c r="S152" s="130">
        <f t="shared" si="48"/>
        <v>0</v>
      </c>
      <c r="T152" s="130">
        <f t="shared" si="48"/>
        <v>0</v>
      </c>
      <c r="U152" s="130">
        <f t="shared" si="48"/>
        <v>0</v>
      </c>
      <c r="V152" s="130">
        <f t="shared" si="48"/>
        <v>0</v>
      </c>
      <c r="W152" s="130">
        <f t="shared" si="48"/>
        <v>0</v>
      </c>
      <c r="X152" s="130">
        <f t="shared" si="48"/>
        <v>0</v>
      </c>
      <c r="Y152" s="130">
        <f t="shared" si="48"/>
        <v>0</v>
      </c>
      <c r="Z152" s="130">
        <f t="shared" si="48"/>
        <v>0</v>
      </c>
      <c r="AA152" s="130">
        <f t="shared" si="48"/>
        <v>0</v>
      </c>
      <c r="AB152" s="130">
        <f t="shared" si="48"/>
        <v>0</v>
      </c>
      <c r="AC152" s="130">
        <f t="shared" si="48"/>
        <v>0</v>
      </c>
      <c r="AD152" s="130">
        <f t="shared" si="48"/>
        <v>0</v>
      </c>
      <c r="AE152" s="130">
        <f t="shared" si="48"/>
        <v>0</v>
      </c>
      <c r="AF152" s="130">
        <f t="shared" si="48"/>
        <v>0</v>
      </c>
      <c r="AG152" s="130">
        <f t="shared" si="48"/>
        <v>0</v>
      </c>
      <c r="AH152" s="130">
        <f t="shared" si="48"/>
        <v>0</v>
      </c>
      <c r="AI152" s="130">
        <f t="shared" si="48"/>
        <v>0</v>
      </c>
      <c r="AJ152" s="130">
        <f t="shared" si="48"/>
        <v>0</v>
      </c>
      <c r="AK152" s="130">
        <f t="shared" si="48"/>
        <v>0</v>
      </c>
      <c r="AL152" s="132">
        <f t="shared" si="48"/>
        <v>0</v>
      </c>
      <c r="AM152" s="130">
        <f t="shared" si="48"/>
        <v>0</v>
      </c>
    </row>
    <row r="153" spans="3:39" x14ac:dyDescent="0.2">
      <c r="C153" s="260"/>
      <c r="D153" s="84" t="s">
        <v>203</v>
      </c>
      <c r="E153" s="131">
        <f t="shared" si="48"/>
        <v>0</v>
      </c>
      <c r="F153" s="130">
        <f t="shared" si="48"/>
        <v>0</v>
      </c>
      <c r="G153" s="130">
        <f t="shared" si="48"/>
        <v>0</v>
      </c>
      <c r="H153" s="130">
        <f t="shared" si="48"/>
        <v>0</v>
      </c>
      <c r="I153" s="130">
        <f t="shared" si="48"/>
        <v>0</v>
      </c>
      <c r="J153" s="130">
        <f t="shared" si="48"/>
        <v>0</v>
      </c>
      <c r="K153" s="130">
        <f t="shared" si="48"/>
        <v>0</v>
      </c>
      <c r="L153" s="130">
        <f t="shared" si="48"/>
        <v>0</v>
      </c>
      <c r="M153" s="130">
        <f t="shared" si="48"/>
        <v>0</v>
      </c>
      <c r="N153" s="130">
        <f t="shared" si="48"/>
        <v>0</v>
      </c>
      <c r="O153" s="130">
        <f t="shared" si="48"/>
        <v>0</v>
      </c>
      <c r="P153" s="130">
        <f t="shared" si="48"/>
        <v>0</v>
      </c>
      <c r="Q153" s="130">
        <f t="shared" si="48"/>
        <v>0</v>
      </c>
      <c r="R153" s="130">
        <f t="shared" si="48"/>
        <v>0</v>
      </c>
      <c r="S153" s="130">
        <f t="shared" si="48"/>
        <v>0</v>
      </c>
      <c r="T153" s="130">
        <f t="shared" si="48"/>
        <v>0</v>
      </c>
      <c r="U153" s="130">
        <f t="shared" si="48"/>
        <v>0</v>
      </c>
      <c r="V153" s="130">
        <f t="shared" si="48"/>
        <v>0</v>
      </c>
      <c r="W153" s="130">
        <f t="shared" si="48"/>
        <v>0</v>
      </c>
      <c r="X153" s="130">
        <f t="shared" si="48"/>
        <v>0</v>
      </c>
      <c r="Y153" s="130">
        <f t="shared" si="48"/>
        <v>0</v>
      </c>
      <c r="Z153" s="130">
        <f t="shared" si="48"/>
        <v>0</v>
      </c>
      <c r="AA153" s="130">
        <f t="shared" si="48"/>
        <v>0</v>
      </c>
      <c r="AB153" s="130">
        <f t="shared" si="48"/>
        <v>0</v>
      </c>
      <c r="AC153" s="130">
        <f t="shared" si="48"/>
        <v>0</v>
      </c>
      <c r="AD153" s="130">
        <f t="shared" si="48"/>
        <v>0</v>
      </c>
      <c r="AE153" s="130">
        <f t="shared" si="48"/>
        <v>0</v>
      </c>
      <c r="AF153" s="130">
        <f t="shared" si="48"/>
        <v>0</v>
      </c>
      <c r="AG153" s="130">
        <f t="shared" si="48"/>
        <v>0</v>
      </c>
      <c r="AH153" s="130">
        <f t="shared" si="48"/>
        <v>0</v>
      </c>
      <c r="AI153" s="130">
        <f t="shared" si="48"/>
        <v>0</v>
      </c>
      <c r="AJ153" s="130">
        <f t="shared" si="48"/>
        <v>0</v>
      </c>
      <c r="AK153" s="130">
        <f t="shared" si="48"/>
        <v>0</v>
      </c>
      <c r="AL153" s="132">
        <f t="shared" si="48"/>
        <v>0</v>
      </c>
      <c r="AM153" s="130">
        <f t="shared" si="48"/>
        <v>0</v>
      </c>
    </row>
    <row r="154" spans="3:39" x14ac:dyDescent="0.2">
      <c r="C154" s="260"/>
      <c r="D154" s="84" t="s">
        <v>204</v>
      </c>
      <c r="E154" s="131">
        <f t="shared" si="48"/>
        <v>0</v>
      </c>
      <c r="F154" s="130">
        <f t="shared" si="48"/>
        <v>0</v>
      </c>
      <c r="G154" s="130">
        <f t="shared" si="48"/>
        <v>0</v>
      </c>
      <c r="H154" s="130">
        <f t="shared" si="48"/>
        <v>0</v>
      </c>
      <c r="I154" s="130">
        <f t="shared" si="48"/>
        <v>0</v>
      </c>
      <c r="J154" s="130">
        <f t="shared" si="48"/>
        <v>0</v>
      </c>
      <c r="K154" s="130">
        <f t="shared" si="48"/>
        <v>0</v>
      </c>
      <c r="L154" s="130">
        <f t="shared" si="48"/>
        <v>0</v>
      </c>
      <c r="M154" s="130">
        <f t="shared" si="48"/>
        <v>0</v>
      </c>
      <c r="N154" s="130">
        <f t="shared" si="48"/>
        <v>0</v>
      </c>
      <c r="O154" s="130">
        <f t="shared" si="48"/>
        <v>0</v>
      </c>
      <c r="P154" s="130">
        <f t="shared" si="48"/>
        <v>0</v>
      </c>
      <c r="Q154" s="130">
        <f t="shared" si="48"/>
        <v>0</v>
      </c>
      <c r="R154" s="130">
        <f t="shared" si="48"/>
        <v>0</v>
      </c>
      <c r="S154" s="130">
        <f t="shared" si="48"/>
        <v>0</v>
      </c>
      <c r="T154" s="130">
        <f t="shared" si="48"/>
        <v>0</v>
      </c>
      <c r="U154" s="130">
        <f t="shared" si="48"/>
        <v>0</v>
      </c>
      <c r="V154" s="130">
        <f t="shared" si="48"/>
        <v>0</v>
      </c>
      <c r="W154" s="130">
        <f t="shared" si="48"/>
        <v>0</v>
      </c>
      <c r="X154" s="130">
        <f t="shared" si="48"/>
        <v>0</v>
      </c>
      <c r="Y154" s="130">
        <f t="shared" si="48"/>
        <v>0</v>
      </c>
      <c r="Z154" s="130">
        <f t="shared" si="48"/>
        <v>0</v>
      </c>
      <c r="AA154" s="130">
        <f t="shared" si="48"/>
        <v>0</v>
      </c>
      <c r="AB154" s="130">
        <f t="shared" si="48"/>
        <v>0</v>
      </c>
      <c r="AC154" s="130">
        <f t="shared" si="48"/>
        <v>0</v>
      </c>
      <c r="AD154" s="130">
        <f t="shared" si="48"/>
        <v>0</v>
      </c>
      <c r="AE154" s="130">
        <f t="shared" si="48"/>
        <v>0</v>
      </c>
      <c r="AF154" s="130">
        <f t="shared" si="48"/>
        <v>0</v>
      </c>
      <c r="AG154" s="130">
        <f t="shared" si="48"/>
        <v>0</v>
      </c>
      <c r="AH154" s="130">
        <f t="shared" si="48"/>
        <v>0</v>
      </c>
      <c r="AI154" s="130">
        <f t="shared" si="48"/>
        <v>0</v>
      </c>
      <c r="AJ154" s="130">
        <f t="shared" si="48"/>
        <v>0</v>
      </c>
      <c r="AK154" s="130">
        <f t="shared" si="48"/>
        <v>0</v>
      </c>
      <c r="AL154" s="132">
        <f t="shared" si="48"/>
        <v>0</v>
      </c>
      <c r="AM154" s="130">
        <f t="shared" si="48"/>
        <v>0</v>
      </c>
    </row>
    <row r="155" spans="3:39" x14ac:dyDescent="0.2">
      <c r="C155" s="260"/>
      <c r="D155" s="84" t="s">
        <v>205</v>
      </c>
      <c r="E155" s="131">
        <f t="shared" si="48"/>
        <v>0</v>
      </c>
      <c r="F155" s="130">
        <f t="shared" si="48"/>
        <v>0</v>
      </c>
      <c r="G155" s="130">
        <f t="shared" si="48"/>
        <v>0</v>
      </c>
      <c r="H155" s="130">
        <f t="shared" si="48"/>
        <v>0</v>
      </c>
      <c r="I155" s="130">
        <f t="shared" si="48"/>
        <v>0</v>
      </c>
      <c r="J155" s="130">
        <f t="shared" si="48"/>
        <v>0</v>
      </c>
      <c r="K155" s="130">
        <f t="shared" si="48"/>
        <v>0</v>
      </c>
      <c r="L155" s="130">
        <f t="shared" si="48"/>
        <v>0</v>
      </c>
      <c r="M155" s="130">
        <f t="shared" si="48"/>
        <v>0</v>
      </c>
      <c r="N155" s="130">
        <f t="shared" si="48"/>
        <v>0</v>
      </c>
      <c r="O155" s="130">
        <f t="shared" si="48"/>
        <v>0</v>
      </c>
      <c r="P155" s="130">
        <f t="shared" si="48"/>
        <v>0</v>
      </c>
      <c r="Q155" s="130">
        <f t="shared" si="48"/>
        <v>0</v>
      </c>
      <c r="R155" s="130">
        <f t="shared" si="48"/>
        <v>0</v>
      </c>
      <c r="S155" s="130">
        <f t="shared" si="48"/>
        <v>0</v>
      </c>
      <c r="T155" s="130">
        <f t="shared" si="48"/>
        <v>0</v>
      </c>
      <c r="U155" s="130">
        <f t="shared" si="48"/>
        <v>0</v>
      </c>
      <c r="V155" s="130">
        <f t="shared" si="48"/>
        <v>0</v>
      </c>
      <c r="W155" s="130">
        <f t="shared" si="48"/>
        <v>0</v>
      </c>
      <c r="X155" s="130">
        <f t="shared" si="48"/>
        <v>0</v>
      </c>
      <c r="Y155" s="130">
        <f t="shared" si="48"/>
        <v>0</v>
      </c>
      <c r="Z155" s="130">
        <f t="shared" si="48"/>
        <v>0</v>
      </c>
      <c r="AA155" s="130">
        <f t="shared" si="48"/>
        <v>0</v>
      </c>
      <c r="AB155" s="130">
        <f t="shared" si="48"/>
        <v>0</v>
      </c>
      <c r="AC155" s="130">
        <f t="shared" si="48"/>
        <v>0</v>
      </c>
      <c r="AD155" s="130">
        <f t="shared" si="48"/>
        <v>0</v>
      </c>
      <c r="AE155" s="130">
        <f t="shared" si="48"/>
        <v>0</v>
      </c>
      <c r="AF155" s="130">
        <f t="shared" si="48"/>
        <v>0</v>
      </c>
      <c r="AG155" s="130">
        <f t="shared" si="48"/>
        <v>0</v>
      </c>
      <c r="AH155" s="130">
        <f t="shared" si="48"/>
        <v>0</v>
      </c>
      <c r="AI155" s="130">
        <f t="shared" si="48"/>
        <v>0</v>
      </c>
      <c r="AJ155" s="130">
        <f t="shared" si="48"/>
        <v>0</v>
      </c>
      <c r="AK155" s="130">
        <f t="shared" si="48"/>
        <v>0</v>
      </c>
      <c r="AL155" s="132">
        <f t="shared" si="48"/>
        <v>0</v>
      </c>
      <c r="AM155" s="130">
        <f t="shared" si="48"/>
        <v>0</v>
      </c>
    </row>
    <row r="156" spans="3:39" x14ac:dyDescent="0.2">
      <c r="C156" s="260"/>
      <c r="D156" s="84" t="s">
        <v>206</v>
      </c>
      <c r="E156" s="131">
        <f t="shared" si="48"/>
        <v>0</v>
      </c>
      <c r="F156" s="130">
        <f t="shared" si="48"/>
        <v>0</v>
      </c>
      <c r="G156" s="130">
        <f t="shared" si="48"/>
        <v>0</v>
      </c>
      <c r="H156" s="130">
        <f t="shared" si="48"/>
        <v>0</v>
      </c>
      <c r="I156" s="130">
        <f t="shared" si="48"/>
        <v>0</v>
      </c>
      <c r="J156" s="130">
        <f t="shared" si="48"/>
        <v>0</v>
      </c>
      <c r="K156" s="130">
        <f t="shared" si="48"/>
        <v>0</v>
      </c>
      <c r="L156" s="130">
        <f t="shared" si="48"/>
        <v>0</v>
      </c>
      <c r="M156" s="130">
        <f t="shared" si="48"/>
        <v>0</v>
      </c>
      <c r="N156" s="130">
        <f t="shared" si="48"/>
        <v>0</v>
      </c>
      <c r="O156" s="130">
        <f t="shared" ref="O156:AM156" si="49">IF(ABS(O36)&gt;100,O116/O36,0)</f>
        <v>0</v>
      </c>
      <c r="P156" s="130">
        <f t="shared" si="49"/>
        <v>0</v>
      </c>
      <c r="Q156" s="130">
        <f t="shared" si="49"/>
        <v>0</v>
      </c>
      <c r="R156" s="130">
        <f t="shared" si="49"/>
        <v>0</v>
      </c>
      <c r="S156" s="130">
        <f t="shared" si="49"/>
        <v>0</v>
      </c>
      <c r="T156" s="130">
        <f t="shared" si="49"/>
        <v>0</v>
      </c>
      <c r="U156" s="130">
        <f t="shared" si="49"/>
        <v>0</v>
      </c>
      <c r="V156" s="130">
        <f t="shared" si="49"/>
        <v>0</v>
      </c>
      <c r="W156" s="130">
        <f t="shared" si="49"/>
        <v>0</v>
      </c>
      <c r="X156" s="130">
        <f t="shared" si="49"/>
        <v>0</v>
      </c>
      <c r="Y156" s="130">
        <f t="shared" si="49"/>
        <v>0</v>
      </c>
      <c r="Z156" s="130">
        <f t="shared" si="49"/>
        <v>0</v>
      </c>
      <c r="AA156" s="130">
        <f t="shared" si="49"/>
        <v>0</v>
      </c>
      <c r="AB156" s="130">
        <f t="shared" si="49"/>
        <v>0</v>
      </c>
      <c r="AC156" s="130">
        <f t="shared" si="49"/>
        <v>0</v>
      </c>
      <c r="AD156" s="130">
        <f t="shared" si="49"/>
        <v>0</v>
      </c>
      <c r="AE156" s="130">
        <f t="shared" si="49"/>
        <v>0</v>
      </c>
      <c r="AF156" s="130">
        <f t="shared" si="49"/>
        <v>0</v>
      </c>
      <c r="AG156" s="130">
        <f t="shared" si="49"/>
        <v>0</v>
      </c>
      <c r="AH156" s="130">
        <f t="shared" si="49"/>
        <v>0</v>
      </c>
      <c r="AI156" s="130">
        <f t="shared" si="49"/>
        <v>0</v>
      </c>
      <c r="AJ156" s="130">
        <f t="shared" si="49"/>
        <v>0</v>
      </c>
      <c r="AK156" s="130">
        <f t="shared" si="49"/>
        <v>0</v>
      </c>
      <c r="AL156" s="132">
        <f t="shared" si="49"/>
        <v>0</v>
      </c>
      <c r="AM156" s="130">
        <f t="shared" si="49"/>
        <v>0</v>
      </c>
    </row>
    <row r="157" spans="3:39" ht="12" thickBot="1" x14ac:dyDescent="0.25">
      <c r="C157" s="260"/>
      <c r="D157" s="84" t="s">
        <v>207</v>
      </c>
      <c r="E157" s="133">
        <f t="shared" ref="E157:AM158" si="50">IF(ABS(E37)&gt;100,E117/E37,0)</f>
        <v>0</v>
      </c>
      <c r="F157" s="134">
        <f t="shared" si="50"/>
        <v>0</v>
      </c>
      <c r="G157" s="134">
        <f t="shared" si="50"/>
        <v>0</v>
      </c>
      <c r="H157" s="134">
        <f t="shared" si="50"/>
        <v>0</v>
      </c>
      <c r="I157" s="134">
        <f t="shared" si="50"/>
        <v>0</v>
      </c>
      <c r="J157" s="134">
        <f t="shared" si="50"/>
        <v>0</v>
      </c>
      <c r="K157" s="134">
        <f t="shared" si="50"/>
        <v>0</v>
      </c>
      <c r="L157" s="134">
        <f t="shared" si="50"/>
        <v>0</v>
      </c>
      <c r="M157" s="134">
        <f t="shared" si="50"/>
        <v>0</v>
      </c>
      <c r="N157" s="134">
        <f t="shared" si="50"/>
        <v>0</v>
      </c>
      <c r="O157" s="134">
        <f t="shared" si="50"/>
        <v>0</v>
      </c>
      <c r="P157" s="134">
        <f t="shared" si="50"/>
        <v>0</v>
      </c>
      <c r="Q157" s="134">
        <f t="shared" si="50"/>
        <v>0</v>
      </c>
      <c r="R157" s="134">
        <f t="shared" si="50"/>
        <v>0</v>
      </c>
      <c r="S157" s="134">
        <f t="shared" si="50"/>
        <v>0</v>
      </c>
      <c r="T157" s="134">
        <f t="shared" si="50"/>
        <v>0</v>
      </c>
      <c r="U157" s="134">
        <f t="shared" si="50"/>
        <v>0</v>
      </c>
      <c r="V157" s="134">
        <f t="shared" si="50"/>
        <v>0</v>
      </c>
      <c r="W157" s="134">
        <f t="shared" si="50"/>
        <v>0</v>
      </c>
      <c r="X157" s="134">
        <f t="shared" si="50"/>
        <v>0</v>
      </c>
      <c r="Y157" s="134">
        <f t="shared" si="50"/>
        <v>0</v>
      </c>
      <c r="Z157" s="134">
        <f t="shared" si="50"/>
        <v>0</v>
      </c>
      <c r="AA157" s="134">
        <f t="shared" si="50"/>
        <v>0</v>
      </c>
      <c r="AB157" s="134">
        <f t="shared" si="50"/>
        <v>0</v>
      </c>
      <c r="AC157" s="134">
        <f t="shared" si="50"/>
        <v>0</v>
      </c>
      <c r="AD157" s="134">
        <f t="shared" si="50"/>
        <v>0</v>
      </c>
      <c r="AE157" s="134">
        <f t="shared" si="50"/>
        <v>0</v>
      </c>
      <c r="AF157" s="134">
        <f t="shared" si="50"/>
        <v>0</v>
      </c>
      <c r="AG157" s="134">
        <f t="shared" si="50"/>
        <v>0</v>
      </c>
      <c r="AH157" s="134">
        <f t="shared" si="50"/>
        <v>0</v>
      </c>
      <c r="AI157" s="134">
        <f t="shared" si="50"/>
        <v>0</v>
      </c>
      <c r="AJ157" s="134">
        <f t="shared" si="50"/>
        <v>0</v>
      </c>
      <c r="AK157" s="134">
        <f t="shared" si="50"/>
        <v>0</v>
      </c>
      <c r="AL157" s="135">
        <f t="shared" si="50"/>
        <v>0</v>
      </c>
      <c r="AM157" s="130">
        <f t="shared" si="50"/>
        <v>0</v>
      </c>
    </row>
    <row r="158" spans="3:39" x14ac:dyDescent="0.2">
      <c r="C158" s="260"/>
      <c r="D158" s="114" t="s">
        <v>7</v>
      </c>
      <c r="E158" s="130">
        <f t="shared" si="50"/>
        <v>0</v>
      </c>
      <c r="F158" s="130">
        <f t="shared" si="50"/>
        <v>0</v>
      </c>
      <c r="G158" s="130">
        <f t="shared" si="50"/>
        <v>0</v>
      </c>
      <c r="H158" s="130">
        <f t="shared" si="50"/>
        <v>0</v>
      </c>
      <c r="I158" s="130">
        <f t="shared" si="50"/>
        <v>0</v>
      </c>
      <c r="J158" s="130">
        <f t="shared" si="50"/>
        <v>0</v>
      </c>
      <c r="K158" s="130">
        <f t="shared" si="50"/>
        <v>0</v>
      </c>
      <c r="L158" s="130">
        <f t="shared" si="50"/>
        <v>0</v>
      </c>
      <c r="M158" s="130">
        <f t="shared" si="50"/>
        <v>0</v>
      </c>
      <c r="N158" s="130">
        <f t="shared" si="50"/>
        <v>0</v>
      </c>
      <c r="O158" s="130">
        <f t="shared" si="50"/>
        <v>0</v>
      </c>
      <c r="P158" s="130">
        <f t="shared" si="50"/>
        <v>0</v>
      </c>
      <c r="Q158" s="130">
        <f t="shared" si="50"/>
        <v>0</v>
      </c>
      <c r="R158" s="130">
        <f t="shared" si="50"/>
        <v>0</v>
      </c>
      <c r="S158" s="130">
        <f t="shared" si="50"/>
        <v>0</v>
      </c>
      <c r="T158" s="130">
        <f t="shared" si="50"/>
        <v>0</v>
      </c>
      <c r="U158" s="130">
        <f t="shared" si="50"/>
        <v>0</v>
      </c>
      <c r="V158" s="130">
        <f t="shared" si="50"/>
        <v>0</v>
      </c>
      <c r="W158" s="130">
        <f t="shared" si="50"/>
        <v>0</v>
      </c>
      <c r="X158" s="130">
        <f t="shared" si="50"/>
        <v>0</v>
      </c>
      <c r="Y158" s="130">
        <f t="shared" si="50"/>
        <v>0</v>
      </c>
      <c r="Z158" s="130">
        <f t="shared" si="50"/>
        <v>0</v>
      </c>
      <c r="AA158" s="130">
        <f t="shared" si="50"/>
        <v>0</v>
      </c>
      <c r="AB158" s="130">
        <f t="shared" si="50"/>
        <v>0</v>
      </c>
      <c r="AC158" s="130">
        <f t="shared" si="50"/>
        <v>0</v>
      </c>
      <c r="AD158" s="130">
        <f t="shared" si="50"/>
        <v>0</v>
      </c>
      <c r="AE158" s="130">
        <f t="shared" si="50"/>
        <v>0</v>
      </c>
      <c r="AF158" s="130">
        <f t="shared" si="50"/>
        <v>0</v>
      </c>
      <c r="AG158" s="130">
        <f t="shared" si="50"/>
        <v>0</v>
      </c>
      <c r="AH158" s="130">
        <f t="shared" si="50"/>
        <v>0</v>
      </c>
      <c r="AI158" s="130">
        <f t="shared" si="50"/>
        <v>0</v>
      </c>
      <c r="AJ158" s="130">
        <f t="shared" si="50"/>
        <v>0</v>
      </c>
      <c r="AK158" s="130">
        <f t="shared" si="50"/>
        <v>0</v>
      </c>
      <c r="AL158" s="130">
        <f t="shared" si="50"/>
        <v>0</v>
      </c>
      <c r="AM158" s="130">
        <f t="shared" si="50"/>
        <v>0</v>
      </c>
    </row>
  </sheetData>
  <mergeCells count="12">
    <mergeCell ref="C124:C158"/>
    <mergeCell ref="E42:AM42"/>
    <mergeCell ref="C44:C78"/>
    <mergeCell ref="E82:AM82"/>
    <mergeCell ref="C84:C118"/>
    <mergeCell ref="E122:AM122"/>
    <mergeCell ref="E2:AM2"/>
    <mergeCell ref="AQ2:BY2"/>
    <mergeCell ref="CC2:DK2"/>
    <mergeCell ref="C4:C38"/>
    <mergeCell ref="AO4:AO38"/>
    <mergeCell ref="CA4:CA38"/>
  </mergeCells>
  <conditionalFormatting sqref="E4:AL37">
    <cfRule type="colorScale" priority="80">
      <colorScale>
        <cfvo type="min"/>
        <cfvo type="max"/>
        <color rgb="FFFCFCFF"/>
        <color rgb="FF63BE7B"/>
      </colorScale>
    </cfRule>
  </conditionalFormatting>
  <conditionalFormatting sqref="E38:AL38">
    <cfRule type="colorScale" priority="79">
      <colorScale>
        <cfvo type="min"/>
        <cfvo type="max"/>
        <color rgb="FFFCFCFF"/>
        <color rgb="FF63BE7B"/>
      </colorScale>
    </cfRule>
  </conditionalFormatting>
  <conditionalFormatting sqref="E44:AL77">
    <cfRule type="colorScale" priority="7">
      <colorScale>
        <cfvo type="min"/>
        <cfvo type="max"/>
        <color rgb="FFFCFCFF"/>
        <color rgb="FF63BE7B"/>
      </colorScale>
    </cfRule>
  </conditionalFormatting>
  <conditionalFormatting sqref="E78:AL78">
    <cfRule type="colorScale" priority="6">
      <colorScale>
        <cfvo type="min"/>
        <cfvo type="max"/>
        <color rgb="FFFCFCFF"/>
        <color rgb="FF63BE7B"/>
      </colorScale>
    </cfRule>
  </conditionalFormatting>
  <conditionalFormatting sqref="E124:AL157">
    <cfRule type="colorScale" priority="4">
      <colorScale>
        <cfvo type="num" val="-20000"/>
        <cfvo type="num" val="0"/>
        <cfvo type="num" val="20000"/>
        <color rgb="FFFF0000"/>
        <color theme="0"/>
        <color rgb="FF00B050"/>
      </colorScale>
    </cfRule>
  </conditionalFormatting>
  <conditionalFormatting sqref="E84:AM118">
    <cfRule type="colorScale" priority="1">
      <colorScale>
        <cfvo type="num" val="-15000"/>
        <cfvo type="num" val="0"/>
        <cfvo type="num" val="15000"/>
        <color rgb="FFF8696B"/>
        <color rgb="FFFCFCFF"/>
        <color rgb="FF63BE7B"/>
      </colorScale>
    </cfRule>
  </conditionalFormatting>
  <conditionalFormatting sqref="E158:AM158">
    <cfRule type="colorScale" priority="3">
      <colorScale>
        <cfvo type="num" val="-20000"/>
        <cfvo type="num" val="0"/>
        <cfvo type="num" val="20000"/>
        <color rgb="FFFF0000"/>
        <color theme="0"/>
        <color rgb="FF00B050"/>
      </colorScale>
    </cfRule>
  </conditionalFormatting>
  <conditionalFormatting sqref="AM4:AM37">
    <cfRule type="colorScale" priority="78">
      <colorScale>
        <cfvo type="min"/>
        <cfvo type="max"/>
        <color rgb="FFFCFCFF"/>
        <color rgb="FF63BE7B"/>
      </colorScale>
    </cfRule>
  </conditionalFormatting>
  <conditionalFormatting sqref="AM44:AM77">
    <cfRule type="colorScale" priority="5">
      <colorScale>
        <cfvo type="min"/>
        <cfvo type="max"/>
        <color rgb="FFFCFCFF"/>
        <color rgb="FF63BE7B"/>
      </colorScale>
    </cfRule>
  </conditionalFormatting>
  <conditionalFormatting sqref="AM124:AM157">
    <cfRule type="colorScale" priority="2">
      <colorScale>
        <cfvo type="num" val="-20000"/>
        <cfvo type="num" val="0"/>
        <cfvo type="num" val="20000"/>
        <color rgb="FFFF0000"/>
        <color theme="0"/>
        <color rgb="FF00B050"/>
      </colorScale>
    </cfRule>
  </conditionalFormatting>
  <conditionalFormatting sqref="AQ4:BX4">
    <cfRule type="colorScale" priority="77">
      <colorScale>
        <cfvo type="min"/>
        <cfvo type="max"/>
        <color rgb="FFFCFCFF"/>
        <color rgb="FF63BE7B"/>
      </colorScale>
    </cfRule>
  </conditionalFormatting>
  <conditionalFormatting sqref="AQ5:BX5">
    <cfRule type="colorScale" priority="76">
      <colorScale>
        <cfvo type="min"/>
        <cfvo type="max"/>
        <color rgb="FFFCFCFF"/>
        <color rgb="FF63BE7B"/>
      </colorScale>
    </cfRule>
  </conditionalFormatting>
  <conditionalFormatting sqref="AQ6:BX6">
    <cfRule type="colorScale" priority="75">
      <colorScale>
        <cfvo type="min"/>
        <cfvo type="max"/>
        <color rgb="FFFCFCFF"/>
        <color rgb="FF63BE7B"/>
      </colorScale>
    </cfRule>
  </conditionalFormatting>
  <conditionalFormatting sqref="AQ7:BX7">
    <cfRule type="colorScale" priority="74">
      <colorScale>
        <cfvo type="min"/>
        <cfvo type="max"/>
        <color rgb="FFFCFCFF"/>
        <color rgb="FF63BE7B"/>
      </colorScale>
    </cfRule>
  </conditionalFormatting>
  <conditionalFormatting sqref="AQ8:BX8">
    <cfRule type="colorScale" priority="73">
      <colorScale>
        <cfvo type="min"/>
        <cfvo type="max"/>
        <color rgb="FFFCFCFF"/>
        <color rgb="FF63BE7B"/>
      </colorScale>
    </cfRule>
  </conditionalFormatting>
  <conditionalFormatting sqref="AQ9:BX9">
    <cfRule type="colorScale" priority="72">
      <colorScale>
        <cfvo type="min"/>
        <cfvo type="max"/>
        <color rgb="FFFCFCFF"/>
        <color rgb="FF63BE7B"/>
      </colorScale>
    </cfRule>
  </conditionalFormatting>
  <conditionalFormatting sqref="AQ10:BX10">
    <cfRule type="colorScale" priority="71">
      <colorScale>
        <cfvo type="min"/>
        <cfvo type="max"/>
        <color rgb="FFFCFCFF"/>
        <color rgb="FF63BE7B"/>
      </colorScale>
    </cfRule>
  </conditionalFormatting>
  <conditionalFormatting sqref="AQ11:BX11">
    <cfRule type="colorScale" priority="70">
      <colorScale>
        <cfvo type="min"/>
        <cfvo type="max"/>
        <color rgb="FFFCFCFF"/>
        <color rgb="FF63BE7B"/>
      </colorScale>
    </cfRule>
  </conditionalFormatting>
  <conditionalFormatting sqref="AQ12:BX12">
    <cfRule type="colorScale" priority="69">
      <colorScale>
        <cfvo type="min"/>
        <cfvo type="max"/>
        <color rgb="FFFCFCFF"/>
        <color rgb="FF63BE7B"/>
      </colorScale>
    </cfRule>
  </conditionalFormatting>
  <conditionalFormatting sqref="AQ13:BX13">
    <cfRule type="colorScale" priority="68">
      <colorScale>
        <cfvo type="min"/>
        <cfvo type="max"/>
        <color rgb="FFFCFCFF"/>
        <color rgb="FF63BE7B"/>
      </colorScale>
    </cfRule>
  </conditionalFormatting>
  <conditionalFormatting sqref="AQ14:BX14">
    <cfRule type="colorScale" priority="67">
      <colorScale>
        <cfvo type="min"/>
        <cfvo type="max"/>
        <color rgb="FFFCFCFF"/>
        <color rgb="FF63BE7B"/>
      </colorScale>
    </cfRule>
  </conditionalFormatting>
  <conditionalFormatting sqref="AQ15:BX15">
    <cfRule type="colorScale" priority="66">
      <colorScale>
        <cfvo type="min"/>
        <cfvo type="max"/>
        <color rgb="FFFCFCFF"/>
        <color rgb="FF63BE7B"/>
      </colorScale>
    </cfRule>
  </conditionalFormatting>
  <conditionalFormatting sqref="AQ16:BX16">
    <cfRule type="colorScale" priority="65">
      <colorScale>
        <cfvo type="min"/>
        <cfvo type="max"/>
        <color rgb="FFFCFCFF"/>
        <color rgb="FF63BE7B"/>
      </colorScale>
    </cfRule>
  </conditionalFormatting>
  <conditionalFormatting sqref="AQ17:BX17">
    <cfRule type="colorScale" priority="64">
      <colorScale>
        <cfvo type="min"/>
        <cfvo type="max"/>
        <color rgb="FFFCFCFF"/>
        <color rgb="FF63BE7B"/>
      </colorScale>
    </cfRule>
  </conditionalFormatting>
  <conditionalFormatting sqref="AQ18:BX18">
    <cfRule type="colorScale" priority="63">
      <colorScale>
        <cfvo type="min"/>
        <cfvo type="max"/>
        <color rgb="FFFCFCFF"/>
        <color rgb="FF63BE7B"/>
      </colorScale>
    </cfRule>
  </conditionalFormatting>
  <conditionalFormatting sqref="AQ19:BX19">
    <cfRule type="colorScale" priority="62">
      <colorScale>
        <cfvo type="min"/>
        <cfvo type="max"/>
        <color rgb="FFFCFCFF"/>
        <color rgb="FF63BE7B"/>
      </colorScale>
    </cfRule>
  </conditionalFormatting>
  <conditionalFormatting sqref="AQ20:BX20">
    <cfRule type="colorScale" priority="61">
      <colorScale>
        <cfvo type="min"/>
        <cfvo type="max"/>
        <color rgb="FFFCFCFF"/>
        <color rgb="FF63BE7B"/>
      </colorScale>
    </cfRule>
  </conditionalFormatting>
  <conditionalFormatting sqref="AQ21:BX21">
    <cfRule type="colorScale" priority="60">
      <colorScale>
        <cfvo type="min"/>
        <cfvo type="max"/>
        <color rgb="FFFCFCFF"/>
        <color rgb="FF63BE7B"/>
      </colorScale>
    </cfRule>
  </conditionalFormatting>
  <conditionalFormatting sqref="AQ22:BX22">
    <cfRule type="colorScale" priority="59">
      <colorScale>
        <cfvo type="min"/>
        <cfvo type="max"/>
        <color rgb="FFFCFCFF"/>
        <color rgb="FF63BE7B"/>
      </colorScale>
    </cfRule>
  </conditionalFormatting>
  <conditionalFormatting sqref="AQ23:BX23">
    <cfRule type="colorScale" priority="58">
      <colorScale>
        <cfvo type="min"/>
        <cfvo type="max"/>
        <color rgb="FFFCFCFF"/>
        <color rgb="FF63BE7B"/>
      </colorScale>
    </cfRule>
  </conditionalFormatting>
  <conditionalFormatting sqref="AQ24:BX24">
    <cfRule type="colorScale" priority="57">
      <colorScale>
        <cfvo type="min"/>
        <cfvo type="max"/>
        <color rgb="FFFCFCFF"/>
        <color rgb="FF63BE7B"/>
      </colorScale>
    </cfRule>
  </conditionalFormatting>
  <conditionalFormatting sqref="AQ25:BX25">
    <cfRule type="colorScale" priority="56">
      <colorScale>
        <cfvo type="min"/>
        <cfvo type="max"/>
        <color rgb="FFFCFCFF"/>
        <color rgb="FF63BE7B"/>
      </colorScale>
    </cfRule>
  </conditionalFormatting>
  <conditionalFormatting sqref="AQ26:BX26">
    <cfRule type="colorScale" priority="55">
      <colorScale>
        <cfvo type="min"/>
        <cfvo type="max"/>
        <color rgb="FFFCFCFF"/>
        <color rgb="FF63BE7B"/>
      </colorScale>
    </cfRule>
  </conditionalFormatting>
  <conditionalFormatting sqref="AQ27:BX27">
    <cfRule type="colorScale" priority="54">
      <colorScale>
        <cfvo type="min"/>
        <cfvo type="max"/>
        <color rgb="FFFCFCFF"/>
        <color rgb="FF63BE7B"/>
      </colorScale>
    </cfRule>
  </conditionalFormatting>
  <conditionalFormatting sqref="AQ28:BX28">
    <cfRule type="colorScale" priority="53">
      <colorScale>
        <cfvo type="min"/>
        <cfvo type="max"/>
        <color rgb="FFFCFCFF"/>
        <color rgb="FF63BE7B"/>
      </colorScale>
    </cfRule>
  </conditionalFormatting>
  <conditionalFormatting sqref="AQ29:BX29">
    <cfRule type="colorScale" priority="52">
      <colorScale>
        <cfvo type="min"/>
        <cfvo type="max"/>
        <color rgb="FFFCFCFF"/>
        <color rgb="FF63BE7B"/>
      </colorScale>
    </cfRule>
  </conditionalFormatting>
  <conditionalFormatting sqref="AQ30:BX30">
    <cfRule type="colorScale" priority="51">
      <colorScale>
        <cfvo type="min"/>
        <cfvo type="max"/>
        <color rgb="FFFCFCFF"/>
        <color rgb="FF63BE7B"/>
      </colorScale>
    </cfRule>
  </conditionalFormatting>
  <conditionalFormatting sqref="AQ31:BX31">
    <cfRule type="colorScale" priority="50">
      <colorScale>
        <cfvo type="min"/>
        <cfvo type="max"/>
        <color rgb="FFFCFCFF"/>
        <color rgb="FF63BE7B"/>
      </colorScale>
    </cfRule>
  </conditionalFormatting>
  <conditionalFormatting sqref="AQ32:BX32">
    <cfRule type="colorScale" priority="49">
      <colorScale>
        <cfvo type="min"/>
        <cfvo type="max"/>
        <color rgb="FFFCFCFF"/>
        <color rgb="FF63BE7B"/>
      </colorScale>
    </cfRule>
  </conditionalFormatting>
  <conditionalFormatting sqref="AQ33:BX33">
    <cfRule type="colorScale" priority="48">
      <colorScale>
        <cfvo type="min"/>
        <cfvo type="max"/>
        <color rgb="FFFCFCFF"/>
        <color rgb="FF63BE7B"/>
      </colorScale>
    </cfRule>
  </conditionalFormatting>
  <conditionalFormatting sqref="AQ34:BX34">
    <cfRule type="colorScale" priority="47">
      <colorScale>
        <cfvo type="min"/>
        <cfvo type="max"/>
        <color rgb="FFFCFCFF"/>
        <color rgb="FF63BE7B"/>
      </colorScale>
    </cfRule>
  </conditionalFormatting>
  <conditionalFormatting sqref="AQ35:BX35">
    <cfRule type="colorScale" priority="46">
      <colorScale>
        <cfvo type="min"/>
        <cfvo type="max"/>
        <color rgb="FFFCFCFF"/>
        <color rgb="FF63BE7B"/>
      </colorScale>
    </cfRule>
  </conditionalFormatting>
  <conditionalFormatting sqref="AQ36:BX36">
    <cfRule type="colorScale" priority="45">
      <colorScale>
        <cfvo type="min"/>
        <cfvo type="max"/>
        <color rgb="FFFCFCFF"/>
        <color rgb="FF63BE7B"/>
      </colorScale>
    </cfRule>
  </conditionalFormatting>
  <conditionalFormatting sqref="AQ37:BX37">
    <cfRule type="colorScale" priority="44">
      <colorScale>
        <cfvo type="min"/>
        <cfvo type="max"/>
        <color rgb="FFFCFCFF"/>
        <color rgb="FF63BE7B"/>
      </colorScale>
    </cfRule>
  </conditionalFormatting>
  <conditionalFormatting sqref="AQ38:BX38">
    <cfRule type="colorScale" priority="43">
      <colorScale>
        <cfvo type="min"/>
        <cfvo type="max"/>
        <color rgb="FFFCFCFF"/>
        <color rgb="FF63BE7B"/>
      </colorScale>
    </cfRule>
  </conditionalFormatting>
  <conditionalFormatting sqref="CC4:CC37">
    <cfRule type="colorScale" priority="42">
      <colorScale>
        <cfvo type="min"/>
        <cfvo type="max"/>
        <color rgb="FFFCFCFF"/>
        <color rgb="FF63BE7B"/>
      </colorScale>
    </cfRule>
  </conditionalFormatting>
  <conditionalFormatting sqref="CD4:CD37">
    <cfRule type="colorScale" priority="41">
      <colorScale>
        <cfvo type="min"/>
        <cfvo type="max"/>
        <color rgb="FFFCFCFF"/>
        <color rgb="FF63BE7B"/>
      </colorScale>
    </cfRule>
  </conditionalFormatting>
  <conditionalFormatting sqref="CE4:CE37">
    <cfRule type="colorScale" priority="40">
      <colorScale>
        <cfvo type="min"/>
        <cfvo type="max"/>
        <color rgb="FFFCFCFF"/>
        <color rgb="FF63BE7B"/>
      </colorScale>
    </cfRule>
  </conditionalFormatting>
  <conditionalFormatting sqref="CF4:CF37">
    <cfRule type="colorScale" priority="39">
      <colorScale>
        <cfvo type="min"/>
        <cfvo type="max"/>
        <color rgb="FFFCFCFF"/>
        <color rgb="FF63BE7B"/>
      </colorScale>
    </cfRule>
  </conditionalFormatting>
  <conditionalFormatting sqref="CG4:CG37">
    <cfRule type="colorScale" priority="38">
      <colorScale>
        <cfvo type="min"/>
        <cfvo type="max"/>
        <color rgb="FFFCFCFF"/>
        <color rgb="FF63BE7B"/>
      </colorScale>
    </cfRule>
  </conditionalFormatting>
  <conditionalFormatting sqref="CH4:CH37">
    <cfRule type="colorScale" priority="37">
      <colorScale>
        <cfvo type="min"/>
        <cfvo type="max"/>
        <color rgb="FFFCFCFF"/>
        <color rgb="FF63BE7B"/>
      </colorScale>
    </cfRule>
  </conditionalFormatting>
  <conditionalFormatting sqref="CI4:CI37">
    <cfRule type="colorScale" priority="36">
      <colorScale>
        <cfvo type="min"/>
        <cfvo type="max"/>
        <color rgb="FFFCFCFF"/>
        <color rgb="FF63BE7B"/>
      </colorScale>
    </cfRule>
  </conditionalFormatting>
  <conditionalFormatting sqref="CJ4:CJ37">
    <cfRule type="colorScale" priority="35">
      <colorScale>
        <cfvo type="min"/>
        <cfvo type="max"/>
        <color rgb="FFFCFCFF"/>
        <color rgb="FF63BE7B"/>
      </colorScale>
    </cfRule>
  </conditionalFormatting>
  <conditionalFormatting sqref="CK4:CK37">
    <cfRule type="colorScale" priority="34">
      <colorScale>
        <cfvo type="min"/>
        <cfvo type="max"/>
        <color rgb="FFFCFCFF"/>
        <color rgb="FF63BE7B"/>
      </colorScale>
    </cfRule>
  </conditionalFormatting>
  <conditionalFormatting sqref="CL4:CL37">
    <cfRule type="colorScale" priority="33">
      <colorScale>
        <cfvo type="min"/>
        <cfvo type="max"/>
        <color rgb="FFFCFCFF"/>
        <color rgb="FF63BE7B"/>
      </colorScale>
    </cfRule>
  </conditionalFormatting>
  <conditionalFormatting sqref="CM4:CM37">
    <cfRule type="colorScale" priority="32">
      <colorScale>
        <cfvo type="min"/>
        <cfvo type="max"/>
        <color rgb="FFFCFCFF"/>
        <color rgb="FF63BE7B"/>
      </colorScale>
    </cfRule>
  </conditionalFormatting>
  <conditionalFormatting sqref="CN4:CN37">
    <cfRule type="colorScale" priority="31">
      <colorScale>
        <cfvo type="min"/>
        <cfvo type="max"/>
        <color rgb="FFFCFCFF"/>
        <color rgb="FF63BE7B"/>
      </colorScale>
    </cfRule>
  </conditionalFormatting>
  <conditionalFormatting sqref="CO4:CO37">
    <cfRule type="colorScale" priority="30">
      <colorScale>
        <cfvo type="min"/>
        <cfvo type="max"/>
        <color rgb="FFFCFCFF"/>
        <color rgb="FF63BE7B"/>
      </colorScale>
    </cfRule>
  </conditionalFormatting>
  <conditionalFormatting sqref="CP4:CP37">
    <cfRule type="colorScale" priority="29">
      <colorScale>
        <cfvo type="min"/>
        <cfvo type="max"/>
        <color rgb="FFFCFCFF"/>
        <color rgb="FF63BE7B"/>
      </colorScale>
    </cfRule>
  </conditionalFormatting>
  <conditionalFormatting sqref="CQ4:CQ37">
    <cfRule type="colorScale" priority="28">
      <colorScale>
        <cfvo type="min"/>
        <cfvo type="max"/>
        <color rgb="FFFCFCFF"/>
        <color rgb="FF63BE7B"/>
      </colorScale>
    </cfRule>
  </conditionalFormatting>
  <conditionalFormatting sqref="CR4:CR37">
    <cfRule type="colorScale" priority="27">
      <colorScale>
        <cfvo type="min"/>
        <cfvo type="max"/>
        <color rgb="FFFCFCFF"/>
        <color rgb="FF63BE7B"/>
      </colorScale>
    </cfRule>
  </conditionalFormatting>
  <conditionalFormatting sqref="CS4:CS37">
    <cfRule type="colorScale" priority="26">
      <colorScale>
        <cfvo type="min"/>
        <cfvo type="max"/>
        <color rgb="FFFCFCFF"/>
        <color rgb="FF63BE7B"/>
      </colorScale>
    </cfRule>
  </conditionalFormatting>
  <conditionalFormatting sqref="CT4:CT37">
    <cfRule type="colorScale" priority="25">
      <colorScale>
        <cfvo type="min"/>
        <cfvo type="max"/>
        <color rgb="FFFCFCFF"/>
        <color rgb="FF63BE7B"/>
      </colorScale>
    </cfRule>
  </conditionalFormatting>
  <conditionalFormatting sqref="CU4:CU37">
    <cfRule type="colorScale" priority="24">
      <colorScale>
        <cfvo type="min"/>
        <cfvo type="max"/>
        <color rgb="FFFCFCFF"/>
        <color rgb="FF63BE7B"/>
      </colorScale>
    </cfRule>
  </conditionalFormatting>
  <conditionalFormatting sqref="CV4:CV37">
    <cfRule type="colorScale" priority="23">
      <colorScale>
        <cfvo type="min"/>
        <cfvo type="max"/>
        <color rgb="FFFCFCFF"/>
        <color rgb="FF63BE7B"/>
      </colorScale>
    </cfRule>
  </conditionalFormatting>
  <conditionalFormatting sqref="CW4:CW37">
    <cfRule type="colorScale" priority="22">
      <colorScale>
        <cfvo type="min"/>
        <cfvo type="max"/>
        <color rgb="FFFCFCFF"/>
        <color rgb="FF63BE7B"/>
      </colorScale>
    </cfRule>
  </conditionalFormatting>
  <conditionalFormatting sqref="CX4:CX37">
    <cfRule type="colorScale" priority="21">
      <colorScale>
        <cfvo type="min"/>
        <cfvo type="max"/>
        <color rgb="FFFCFCFF"/>
        <color rgb="FF63BE7B"/>
      </colorScale>
    </cfRule>
  </conditionalFormatting>
  <conditionalFormatting sqref="CY4:CY37">
    <cfRule type="colorScale" priority="20">
      <colorScale>
        <cfvo type="min"/>
        <cfvo type="max"/>
        <color rgb="FFFCFCFF"/>
        <color rgb="FF63BE7B"/>
      </colorScale>
    </cfRule>
  </conditionalFormatting>
  <conditionalFormatting sqref="CZ4:CZ37">
    <cfRule type="colorScale" priority="19">
      <colorScale>
        <cfvo type="min"/>
        <cfvo type="max"/>
        <color rgb="FFFCFCFF"/>
        <color rgb="FF63BE7B"/>
      </colorScale>
    </cfRule>
  </conditionalFormatting>
  <conditionalFormatting sqref="DA4:DA37">
    <cfRule type="colorScale" priority="18">
      <colorScale>
        <cfvo type="min"/>
        <cfvo type="max"/>
        <color rgb="FFFCFCFF"/>
        <color rgb="FF63BE7B"/>
      </colorScale>
    </cfRule>
  </conditionalFormatting>
  <conditionalFormatting sqref="DB4:DB37">
    <cfRule type="colorScale" priority="17">
      <colorScale>
        <cfvo type="min"/>
        <cfvo type="max"/>
        <color rgb="FFFCFCFF"/>
        <color rgb="FF63BE7B"/>
      </colorScale>
    </cfRule>
  </conditionalFormatting>
  <conditionalFormatting sqref="DC4:DC37">
    <cfRule type="colorScale" priority="16">
      <colorScale>
        <cfvo type="min"/>
        <cfvo type="max"/>
        <color rgb="FFFCFCFF"/>
        <color rgb="FF63BE7B"/>
      </colorScale>
    </cfRule>
  </conditionalFormatting>
  <conditionalFormatting sqref="DD4:DD37">
    <cfRule type="colorScale" priority="15">
      <colorScale>
        <cfvo type="min"/>
        <cfvo type="max"/>
        <color rgb="FFFCFCFF"/>
        <color rgb="FF63BE7B"/>
      </colorScale>
    </cfRule>
  </conditionalFormatting>
  <conditionalFormatting sqref="DE4:DE37">
    <cfRule type="colorScale" priority="14">
      <colorScale>
        <cfvo type="min"/>
        <cfvo type="max"/>
        <color rgb="FFFCFCFF"/>
        <color rgb="FF63BE7B"/>
      </colorScale>
    </cfRule>
  </conditionalFormatting>
  <conditionalFormatting sqref="DF4:DF37">
    <cfRule type="colorScale" priority="13">
      <colorScale>
        <cfvo type="min"/>
        <cfvo type="max"/>
        <color rgb="FFFCFCFF"/>
        <color rgb="FF63BE7B"/>
      </colorScale>
    </cfRule>
  </conditionalFormatting>
  <conditionalFormatting sqref="DG4:DG37">
    <cfRule type="colorScale" priority="12">
      <colorScale>
        <cfvo type="min"/>
        <cfvo type="max"/>
        <color rgb="FFFCFCFF"/>
        <color rgb="FF63BE7B"/>
      </colorScale>
    </cfRule>
  </conditionalFormatting>
  <conditionalFormatting sqref="DH4:DH37">
    <cfRule type="colorScale" priority="11">
      <colorScale>
        <cfvo type="min"/>
        <cfvo type="max"/>
        <color rgb="FFFCFCFF"/>
        <color rgb="FF63BE7B"/>
      </colorScale>
    </cfRule>
  </conditionalFormatting>
  <conditionalFormatting sqref="DI4:DI37">
    <cfRule type="colorScale" priority="10">
      <colorScale>
        <cfvo type="min"/>
        <cfvo type="max"/>
        <color rgb="FFFCFCFF"/>
        <color rgb="FF63BE7B"/>
      </colorScale>
    </cfRule>
  </conditionalFormatting>
  <conditionalFormatting sqref="DJ4:DJ37">
    <cfRule type="colorScale" priority="9">
      <colorScale>
        <cfvo type="min"/>
        <cfvo type="max"/>
        <color rgb="FFFCFCFF"/>
        <color rgb="FF63BE7B"/>
      </colorScale>
    </cfRule>
  </conditionalFormatting>
  <conditionalFormatting sqref="DK4:DK37">
    <cfRule type="colorScale" priority="8">
      <colorScale>
        <cfvo type="min"/>
        <cfvo type="max"/>
        <color rgb="FFFCFCFF"/>
        <color rgb="FF63BE7B"/>
      </colorScale>
    </cfRule>
  </conditionalFormatting>
  <hyperlinks>
    <hyperlink ref="A22" location="DistrictFlows!B1" display="Counts" xr:uid="{1720D94D-2F49-4BEE-B69A-B37D4C2DDE84}"/>
    <hyperlink ref="A23" location="DistrictFlows!BK1" display="Row Percent" xr:uid="{4CB4DD9F-5742-4C6F-8F84-AF46AC77374E}"/>
    <hyperlink ref="A24" location="DistrictFlows!CW1" display="Column Percent" xr:uid="{E5DFFFE8-2826-4D5F-B28B-959011EE27CC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13DF7D7-4344-413A-A321-41C961AAF594}">
          <x14:formula1>
            <xm:f>OBS_District_Flows!$Q$2:$Q$8</xm:f>
          </x14:formula1>
          <xm:sqref>A6</xm:sqref>
        </x14:dataValidation>
        <x14:dataValidation type="list" allowBlank="1" showInputMessage="1" showErrorMessage="1" xr:uid="{A623F9D9-DD03-46C6-969B-D1139F4BE5F9}">
          <x14:formula1>
            <xm:f>OBS_District_Flows!$Q$12:$Q$18</xm:f>
          </x14:formula1>
          <xm:sqref>A12</xm:sqref>
        </x14:dataValidation>
        <x14:dataValidation type="list" allowBlank="1" showInputMessage="1" showErrorMessage="1" xr:uid="{62E13C99-9641-4682-B785-3D76DD963E4D}">
          <x14:formula1>
            <xm:f>OBS_District_Flows!$Q$21:$Q$23</xm:f>
          </x14:formula1>
          <xm:sqref>A15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86F2-D767-4E1E-BB01-931D632532B9}">
  <sheetPr>
    <tabColor theme="5"/>
  </sheetPr>
  <dimension ref="A1:R90"/>
  <sheetViews>
    <sheetView workbookViewId="0">
      <selection activeCell="C12" sqref="C12"/>
    </sheetView>
  </sheetViews>
  <sheetFormatPr defaultRowHeight="15" x14ac:dyDescent="0.25"/>
  <cols>
    <col min="10" max="10" width="5.140625" customWidth="1"/>
  </cols>
  <sheetData>
    <row r="1" spans="1:18" x14ac:dyDescent="0.25">
      <c r="A1" s="11" t="s">
        <v>268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5">
      <c r="A2" s="6" t="s">
        <v>262</v>
      </c>
      <c r="B2" s="6"/>
      <c r="C2" s="6"/>
      <c r="D2" s="6"/>
      <c r="E2" s="6"/>
      <c r="F2" s="6"/>
      <c r="G2" s="6"/>
      <c r="H2" s="6"/>
      <c r="I2" s="6"/>
      <c r="J2" s="6"/>
      <c r="K2" s="6" t="s">
        <v>250</v>
      </c>
      <c r="L2" s="6"/>
      <c r="M2" s="6"/>
      <c r="N2" s="6"/>
      <c r="O2" s="6"/>
      <c r="P2" s="6"/>
      <c r="Q2" s="6"/>
      <c r="R2" s="6"/>
    </row>
    <row r="3" spans="1:18" x14ac:dyDescent="0.25">
      <c r="A3" s="140"/>
      <c r="B3" s="8" t="s">
        <v>263</v>
      </c>
      <c r="C3" s="8" t="s">
        <v>239</v>
      </c>
      <c r="D3" s="8" t="s">
        <v>265</v>
      </c>
      <c r="E3" s="8" t="s">
        <v>264</v>
      </c>
      <c r="F3" s="8" t="s">
        <v>266</v>
      </c>
      <c r="G3" s="8" t="s">
        <v>267</v>
      </c>
      <c r="H3" s="8" t="s">
        <v>7</v>
      </c>
      <c r="K3" s="140"/>
      <c r="L3" s="8" t="s">
        <v>263</v>
      </c>
      <c r="M3" s="8" t="s">
        <v>239</v>
      </c>
      <c r="N3" s="8" t="s">
        <v>265</v>
      </c>
      <c r="O3" s="8" t="s">
        <v>264</v>
      </c>
      <c r="P3" s="8" t="s">
        <v>266</v>
      </c>
      <c r="Q3" s="8" t="s">
        <v>267</v>
      </c>
      <c r="R3" s="8" t="s">
        <v>7</v>
      </c>
    </row>
    <row r="4" spans="1:18" x14ac:dyDescent="0.25">
      <c r="A4" s="139" t="s">
        <v>251</v>
      </c>
      <c r="B4" s="17">
        <f>OBS_Transfers!J6</f>
        <v>0</v>
      </c>
      <c r="C4" s="17">
        <f>OBS_Transfers!J20</f>
        <v>0</v>
      </c>
      <c r="D4" s="17">
        <f>OBS_Transfers!J27</f>
        <v>0</v>
      </c>
      <c r="E4" s="17">
        <f>OBS_Transfers!J13</f>
        <v>0</v>
      </c>
      <c r="F4" s="17">
        <f>OBS_Transfers!J34</f>
        <v>0</v>
      </c>
      <c r="G4" s="17">
        <f>OBS_Transfers!J41</f>
        <v>0</v>
      </c>
      <c r="H4" s="17">
        <f t="shared" ref="H4:H9" si="0">SUM(B4:G4)</f>
        <v>0</v>
      </c>
      <c r="J4" s="154">
        <v>1</v>
      </c>
      <c r="K4" s="139" t="s">
        <v>251</v>
      </c>
      <c r="L4" s="17">
        <f>SUMIF(modeldata!$U:$U,Transfers!$J4,modeldata!V:V)</f>
        <v>3</v>
      </c>
      <c r="M4" s="17">
        <f>SUMIF(modeldata!$U:$U,Transfers!$J4,modeldata!W:W)</f>
        <v>3</v>
      </c>
      <c r="N4" s="17">
        <f>SUMIF(modeldata!$U:$U,Transfers!$J4,modeldata!X:X)</f>
        <v>3</v>
      </c>
      <c r="O4" s="17">
        <f>SUMIF(modeldata!$U:$U,Transfers!$J4,modeldata!Y:Y)</f>
        <v>3</v>
      </c>
      <c r="P4" s="17">
        <f>SUMIF(modeldata!$U:$U,Transfers!$J4,modeldata!Z:Z)</f>
        <v>3</v>
      </c>
      <c r="Q4" s="17">
        <f>SUMIF(modeldata!$U:$U,Transfers!$J4,modeldata!AA:AA)</f>
        <v>3</v>
      </c>
      <c r="R4" s="17">
        <f t="shared" ref="R4:R9" si="1">SUM(L4:Q4)</f>
        <v>18</v>
      </c>
    </row>
    <row r="5" spans="1:18" x14ac:dyDescent="0.25">
      <c r="A5" s="139" t="s">
        <v>252</v>
      </c>
      <c r="B5" s="17">
        <f>OBS_Transfers!J7</f>
        <v>0</v>
      </c>
      <c r="C5" s="17">
        <f>OBS_Transfers!J21</f>
        <v>0</v>
      </c>
      <c r="D5" s="17">
        <f>OBS_Transfers!J28</f>
        <v>0</v>
      </c>
      <c r="E5" s="17">
        <f>OBS_Transfers!J14</f>
        <v>0</v>
      </c>
      <c r="F5" s="17">
        <f>OBS_Transfers!J35</f>
        <v>0</v>
      </c>
      <c r="G5" s="17">
        <f>OBS_Transfers!J42</f>
        <v>0</v>
      </c>
      <c r="H5" s="17">
        <f t="shared" si="0"/>
        <v>0</v>
      </c>
      <c r="J5" s="154">
        <v>2</v>
      </c>
      <c r="K5" s="139" t="s">
        <v>252</v>
      </c>
      <c r="L5" s="17">
        <f>SUMIF(modeldata!$U:$U,Transfers!$J5,modeldata!V:V)</f>
        <v>3</v>
      </c>
      <c r="M5" s="17">
        <f>SUMIF(modeldata!$U:$U,Transfers!$J5,modeldata!W:W)</f>
        <v>3</v>
      </c>
      <c r="N5" s="17">
        <f>SUMIF(modeldata!$U:$U,Transfers!$J5,modeldata!X:X)</f>
        <v>3</v>
      </c>
      <c r="O5" s="17">
        <f>SUMIF(modeldata!$U:$U,Transfers!$J5,modeldata!Y:Y)</f>
        <v>3</v>
      </c>
      <c r="P5" s="17">
        <f>SUMIF(modeldata!$U:$U,Transfers!$J5,modeldata!Z:Z)</f>
        <v>3</v>
      </c>
      <c r="Q5" s="17">
        <f>SUMIF(modeldata!$U:$U,Transfers!$J5,modeldata!AA:AA)</f>
        <v>3</v>
      </c>
      <c r="R5" s="17">
        <f t="shared" si="1"/>
        <v>18</v>
      </c>
    </row>
    <row r="6" spans="1:18" x14ac:dyDescent="0.25">
      <c r="A6" s="139" t="s">
        <v>253</v>
      </c>
      <c r="B6" s="17">
        <f>OBS_Transfers!J8</f>
        <v>0</v>
      </c>
      <c r="C6" s="17">
        <f>OBS_Transfers!J22</f>
        <v>0</v>
      </c>
      <c r="D6" s="17">
        <f>OBS_Transfers!J29</f>
        <v>0</v>
      </c>
      <c r="E6" s="17">
        <f>OBS_Transfers!J15</f>
        <v>0</v>
      </c>
      <c r="F6" s="17">
        <f>OBS_Transfers!J36</f>
        <v>0</v>
      </c>
      <c r="G6" s="17">
        <f>OBS_Transfers!J43</f>
        <v>0</v>
      </c>
      <c r="H6" s="17">
        <f t="shared" si="0"/>
        <v>0</v>
      </c>
      <c r="J6" s="154">
        <v>3</v>
      </c>
      <c r="K6" s="139" t="s">
        <v>253</v>
      </c>
      <c r="L6" s="17">
        <f>SUMIF(modeldata!$U:$U,Transfers!$J6,modeldata!V:V)</f>
        <v>3</v>
      </c>
      <c r="M6" s="17">
        <f>SUMIF(modeldata!$U:$U,Transfers!$J6,modeldata!W:W)</f>
        <v>3</v>
      </c>
      <c r="N6" s="17">
        <f>SUMIF(modeldata!$U:$U,Transfers!$J6,modeldata!X:X)</f>
        <v>3</v>
      </c>
      <c r="O6" s="17">
        <f>SUMIF(modeldata!$U:$U,Transfers!$J6,modeldata!Y:Y)</f>
        <v>3</v>
      </c>
      <c r="P6" s="17">
        <f>SUMIF(modeldata!$U:$U,Transfers!$J6,modeldata!Z:Z)</f>
        <v>3</v>
      </c>
      <c r="Q6" s="17">
        <f>SUMIF(modeldata!$U:$U,Transfers!$J6,modeldata!AA:AA)</f>
        <v>3</v>
      </c>
      <c r="R6" s="17">
        <f t="shared" si="1"/>
        <v>18</v>
      </c>
    </row>
    <row r="7" spans="1:18" x14ac:dyDescent="0.25">
      <c r="A7" s="139" t="s">
        <v>254</v>
      </c>
      <c r="B7" s="17">
        <f>OBS_Transfers!J9</f>
        <v>0</v>
      </c>
      <c r="C7" s="17">
        <f>OBS_Transfers!J23</f>
        <v>0</v>
      </c>
      <c r="D7" s="17">
        <f>OBS_Transfers!J30</f>
        <v>0</v>
      </c>
      <c r="E7" s="17">
        <f>OBS_Transfers!J16</f>
        <v>0</v>
      </c>
      <c r="F7" s="17">
        <f>OBS_Transfers!J37</f>
        <v>0</v>
      </c>
      <c r="G7" s="17">
        <f>OBS_Transfers!J44</f>
        <v>0</v>
      </c>
      <c r="H7" s="17">
        <f t="shared" si="0"/>
        <v>0</v>
      </c>
      <c r="J7" s="154">
        <v>4</v>
      </c>
      <c r="K7" s="139" t="s">
        <v>254</v>
      </c>
      <c r="L7" s="17">
        <f>SUMIF(modeldata!$U:$U,Transfers!$J7,modeldata!V:V)</f>
        <v>3</v>
      </c>
      <c r="M7" s="17">
        <f>SUMIF(modeldata!$U:$U,Transfers!$J7,modeldata!W:W)</f>
        <v>3</v>
      </c>
      <c r="N7" s="17">
        <f>SUMIF(modeldata!$U:$U,Transfers!$J7,modeldata!X:X)</f>
        <v>3</v>
      </c>
      <c r="O7" s="17">
        <f>SUMIF(modeldata!$U:$U,Transfers!$J7,modeldata!Y:Y)</f>
        <v>3</v>
      </c>
      <c r="P7" s="17">
        <f>SUMIF(modeldata!$U:$U,Transfers!$J7,modeldata!Z:Z)</f>
        <v>3</v>
      </c>
      <c r="Q7" s="17">
        <f>SUMIF(modeldata!$U:$U,Transfers!$J7,modeldata!AA:AA)</f>
        <v>3</v>
      </c>
      <c r="R7" s="17">
        <f t="shared" si="1"/>
        <v>18</v>
      </c>
    </row>
    <row r="8" spans="1:18" x14ac:dyDescent="0.25">
      <c r="A8" s="139" t="s">
        <v>255</v>
      </c>
      <c r="B8" s="17">
        <f>OBS_Transfers!J10</f>
        <v>0</v>
      </c>
      <c r="C8" s="17">
        <f>OBS_Transfers!J24</f>
        <v>0</v>
      </c>
      <c r="D8" s="17">
        <f>OBS_Transfers!J31</f>
        <v>0</v>
      </c>
      <c r="E8" s="17">
        <f>OBS_Transfers!J17</f>
        <v>0</v>
      </c>
      <c r="F8" s="17">
        <f>OBS_Transfers!J38</f>
        <v>0</v>
      </c>
      <c r="G8" s="17">
        <f>OBS_Transfers!J45</f>
        <v>0</v>
      </c>
      <c r="H8" s="17">
        <f t="shared" si="0"/>
        <v>0</v>
      </c>
      <c r="J8" s="154">
        <v>5</v>
      </c>
      <c r="K8" s="139" t="s">
        <v>255</v>
      </c>
      <c r="L8" s="17">
        <f>SUMIF(modeldata!$U:$U,Transfers!$J8,modeldata!V:V)</f>
        <v>3</v>
      </c>
      <c r="M8" s="17">
        <f>SUMIF(modeldata!$U:$U,Transfers!$J8,modeldata!W:W)</f>
        <v>3</v>
      </c>
      <c r="N8" s="17">
        <f>SUMIF(modeldata!$U:$U,Transfers!$J8,modeldata!X:X)</f>
        <v>3</v>
      </c>
      <c r="O8" s="17">
        <f>SUMIF(modeldata!$U:$U,Transfers!$J8,modeldata!Y:Y)</f>
        <v>3</v>
      </c>
      <c r="P8" s="17">
        <f>SUMIF(modeldata!$U:$U,Transfers!$J8,modeldata!Z:Z)</f>
        <v>3</v>
      </c>
      <c r="Q8" s="17">
        <f>SUMIF(modeldata!$U:$U,Transfers!$J8,modeldata!AA:AA)</f>
        <v>3</v>
      </c>
      <c r="R8" s="17">
        <f t="shared" si="1"/>
        <v>18</v>
      </c>
    </row>
    <row r="9" spans="1:18" x14ac:dyDescent="0.25">
      <c r="A9" s="140" t="s">
        <v>256</v>
      </c>
      <c r="B9" s="18">
        <f>OBS_Transfers!J11</f>
        <v>0</v>
      </c>
      <c r="C9" s="18">
        <f>OBS_Transfers!J25</f>
        <v>0</v>
      </c>
      <c r="D9" s="18">
        <f>OBS_Transfers!J32</f>
        <v>0</v>
      </c>
      <c r="E9" s="18">
        <f>OBS_Transfers!J18</f>
        <v>0</v>
      </c>
      <c r="F9" s="18">
        <f>OBS_Transfers!J39</f>
        <v>0</v>
      </c>
      <c r="G9" s="18">
        <f>OBS_Transfers!J46</f>
        <v>0</v>
      </c>
      <c r="H9" s="18">
        <f t="shared" si="0"/>
        <v>0</v>
      </c>
      <c r="J9" s="154">
        <v>6</v>
      </c>
      <c r="K9" s="140" t="s">
        <v>256</v>
      </c>
      <c r="L9" s="18">
        <f>SUMIF(modeldata!$U:$U,Transfers!$J9,modeldata!V:V)</f>
        <v>3</v>
      </c>
      <c r="M9" s="18">
        <f>SUMIF(modeldata!$U:$U,Transfers!$J9,modeldata!W:W)</f>
        <v>3</v>
      </c>
      <c r="N9" s="18">
        <f>SUMIF(modeldata!$U:$U,Transfers!$J9,modeldata!X:X)</f>
        <v>3</v>
      </c>
      <c r="O9" s="18">
        <f>SUMIF(modeldata!$U:$U,Transfers!$J9,modeldata!Y:Y)</f>
        <v>3</v>
      </c>
      <c r="P9" s="18">
        <f>SUMIF(modeldata!$U:$U,Transfers!$J9,modeldata!Z:Z)</f>
        <v>3</v>
      </c>
      <c r="Q9" s="18">
        <f>SUMIF(modeldata!$U:$U,Transfers!$J9,modeldata!AA:AA)</f>
        <v>3</v>
      </c>
      <c r="R9" s="18">
        <f t="shared" si="1"/>
        <v>18</v>
      </c>
    </row>
    <row r="10" spans="1:18" x14ac:dyDescent="0.25">
      <c r="A10" s="139" t="s">
        <v>7</v>
      </c>
      <c r="B10" s="17">
        <f t="shared" ref="B10:H10" si="2">SUM(B4:B9)</f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K10" s="139" t="s">
        <v>7</v>
      </c>
      <c r="L10" s="17">
        <f t="shared" ref="L10:R10" si="3">SUM(L4:L9)</f>
        <v>18</v>
      </c>
      <c r="M10" s="17">
        <f t="shared" si="3"/>
        <v>18</v>
      </c>
      <c r="N10" s="17">
        <f t="shared" si="3"/>
        <v>18</v>
      </c>
      <c r="O10" s="17">
        <f t="shared" si="3"/>
        <v>18</v>
      </c>
      <c r="P10" s="17">
        <f t="shared" si="3"/>
        <v>18</v>
      </c>
      <c r="Q10" s="17">
        <f t="shared" si="3"/>
        <v>18</v>
      </c>
      <c r="R10" s="17">
        <f t="shared" si="3"/>
        <v>108</v>
      </c>
    </row>
    <row r="12" spans="1:18" x14ac:dyDescent="0.25">
      <c r="A12" s="140"/>
      <c r="B12" s="8" t="s">
        <v>263</v>
      </c>
      <c r="C12" s="8" t="s">
        <v>239</v>
      </c>
      <c r="D12" s="8" t="s">
        <v>265</v>
      </c>
      <c r="E12" s="8" t="s">
        <v>264</v>
      </c>
      <c r="F12" s="8" t="s">
        <v>266</v>
      </c>
      <c r="G12" s="8" t="s">
        <v>267</v>
      </c>
      <c r="H12" s="8" t="s">
        <v>7</v>
      </c>
      <c r="K12" s="140"/>
      <c r="L12" s="8" t="s">
        <v>263</v>
      </c>
      <c r="M12" s="8" t="s">
        <v>239</v>
      </c>
      <c r="N12" s="8" t="s">
        <v>265</v>
      </c>
      <c r="O12" s="8" t="s">
        <v>264</v>
      </c>
      <c r="P12" s="8" t="s">
        <v>266</v>
      </c>
      <c r="Q12" s="8" t="s">
        <v>267</v>
      </c>
      <c r="R12" s="8" t="s">
        <v>7</v>
      </c>
    </row>
    <row r="13" spans="1:18" x14ac:dyDescent="0.25">
      <c r="A13" s="139" t="s">
        <v>251</v>
      </c>
      <c r="B13" s="150" t="e">
        <f t="shared" ref="B13:H19" si="4">B4/B$10</f>
        <v>#DIV/0!</v>
      </c>
      <c r="C13" s="150" t="e">
        <f t="shared" si="4"/>
        <v>#DIV/0!</v>
      </c>
      <c r="D13" s="150" t="e">
        <f t="shared" si="4"/>
        <v>#DIV/0!</v>
      </c>
      <c r="E13" s="150" t="e">
        <f t="shared" si="4"/>
        <v>#DIV/0!</v>
      </c>
      <c r="F13" s="150" t="e">
        <f t="shared" si="4"/>
        <v>#DIV/0!</v>
      </c>
      <c r="G13" s="150" t="e">
        <f t="shared" si="4"/>
        <v>#DIV/0!</v>
      </c>
      <c r="H13" s="150" t="e">
        <f t="shared" si="4"/>
        <v>#DIV/0!</v>
      </c>
      <c r="K13" s="139" t="s">
        <v>251</v>
      </c>
      <c r="L13" s="150">
        <f t="shared" ref="L13:R19" si="5">L4/L$10</f>
        <v>0.16666666666666666</v>
      </c>
      <c r="M13" s="150">
        <f t="shared" si="5"/>
        <v>0.16666666666666666</v>
      </c>
      <c r="N13" s="150">
        <f t="shared" si="5"/>
        <v>0.16666666666666666</v>
      </c>
      <c r="O13" s="150">
        <f t="shared" si="5"/>
        <v>0.16666666666666666</v>
      </c>
      <c r="P13" s="150">
        <f t="shared" si="5"/>
        <v>0.16666666666666666</v>
      </c>
      <c r="Q13" s="150">
        <f t="shared" si="5"/>
        <v>0.16666666666666666</v>
      </c>
      <c r="R13" s="150">
        <f t="shared" si="5"/>
        <v>0.16666666666666666</v>
      </c>
    </row>
    <row r="14" spans="1:18" x14ac:dyDescent="0.25">
      <c r="A14" s="139" t="s">
        <v>252</v>
      </c>
      <c r="B14" s="150" t="e">
        <f t="shared" si="4"/>
        <v>#DIV/0!</v>
      </c>
      <c r="C14" s="150" t="e">
        <f t="shared" si="4"/>
        <v>#DIV/0!</v>
      </c>
      <c r="D14" s="150" t="e">
        <f t="shared" si="4"/>
        <v>#DIV/0!</v>
      </c>
      <c r="E14" s="150" t="e">
        <f t="shared" si="4"/>
        <v>#DIV/0!</v>
      </c>
      <c r="F14" s="150" t="e">
        <f t="shared" si="4"/>
        <v>#DIV/0!</v>
      </c>
      <c r="G14" s="150" t="e">
        <f t="shared" si="4"/>
        <v>#DIV/0!</v>
      </c>
      <c r="H14" s="150" t="e">
        <f t="shared" si="4"/>
        <v>#DIV/0!</v>
      </c>
      <c r="K14" s="139" t="s">
        <v>252</v>
      </c>
      <c r="L14" s="150">
        <f t="shared" si="5"/>
        <v>0.16666666666666666</v>
      </c>
      <c r="M14" s="150">
        <f t="shared" si="5"/>
        <v>0.16666666666666666</v>
      </c>
      <c r="N14" s="150">
        <f t="shared" si="5"/>
        <v>0.16666666666666666</v>
      </c>
      <c r="O14" s="150">
        <f t="shared" si="5"/>
        <v>0.16666666666666666</v>
      </c>
      <c r="P14" s="150">
        <f t="shared" si="5"/>
        <v>0.16666666666666666</v>
      </c>
      <c r="Q14" s="150">
        <f t="shared" si="5"/>
        <v>0.16666666666666666</v>
      </c>
      <c r="R14" s="150">
        <f t="shared" si="5"/>
        <v>0.16666666666666666</v>
      </c>
    </row>
    <row r="15" spans="1:18" x14ac:dyDescent="0.25">
      <c r="A15" s="139" t="s">
        <v>253</v>
      </c>
      <c r="B15" s="150" t="e">
        <f t="shared" si="4"/>
        <v>#DIV/0!</v>
      </c>
      <c r="C15" s="150" t="e">
        <f t="shared" si="4"/>
        <v>#DIV/0!</v>
      </c>
      <c r="D15" s="150" t="e">
        <f t="shared" si="4"/>
        <v>#DIV/0!</v>
      </c>
      <c r="E15" s="150" t="e">
        <f t="shared" si="4"/>
        <v>#DIV/0!</v>
      </c>
      <c r="F15" s="150" t="e">
        <f t="shared" si="4"/>
        <v>#DIV/0!</v>
      </c>
      <c r="G15" s="150" t="e">
        <f t="shared" si="4"/>
        <v>#DIV/0!</v>
      </c>
      <c r="H15" s="150" t="e">
        <f t="shared" si="4"/>
        <v>#DIV/0!</v>
      </c>
      <c r="K15" s="139" t="s">
        <v>253</v>
      </c>
      <c r="L15" s="150">
        <f t="shared" si="5"/>
        <v>0.16666666666666666</v>
      </c>
      <c r="M15" s="150">
        <f t="shared" si="5"/>
        <v>0.16666666666666666</v>
      </c>
      <c r="N15" s="150">
        <f t="shared" si="5"/>
        <v>0.16666666666666666</v>
      </c>
      <c r="O15" s="150">
        <f t="shared" si="5"/>
        <v>0.16666666666666666</v>
      </c>
      <c r="P15" s="150">
        <f t="shared" si="5"/>
        <v>0.16666666666666666</v>
      </c>
      <c r="Q15" s="150">
        <f t="shared" si="5"/>
        <v>0.16666666666666666</v>
      </c>
      <c r="R15" s="150">
        <f t="shared" si="5"/>
        <v>0.16666666666666666</v>
      </c>
    </row>
    <row r="16" spans="1:18" x14ac:dyDescent="0.25">
      <c r="A16" s="139" t="s">
        <v>254</v>
      </c>
      <c r="B16" s="150" t="e">
        <f t="shared" si="4"/>
        <v>#DIV/0!</v>
      </c>
      <c r="C16" s="150" t="e">
        <f t="shared" si="4"/>
        <v>#DIV/0!</v>
      </c>
      <c r="D16" s="150" t="e">
        <f t="shared" si="4"/>
        <v>#DIV/0!</v>
      </c>
      <c r="E16" s="150" t="e">
        <f t="shared" si="4"/>
        <v>#DIV/0!</v>
      </c>
      <c r="F16" s="150" t="e">
        <f t="shared" si="4"/>
        <v>#DIV/0!</v>
      </c>
      <c r="G16" s="150" t="e">
        <f t="shared" si="4"/>
        <v>#DIV/0!</v>
      </c>
      <c r="H16" s="150" t="e">
        <f t="shared" si="4"/>
        <v>#DIV/0!</v>
      </c>
      <c r="K16" s="139" t="s">
        <v>254</v>
      </c>
      <c r="L16" s="150">
        <f t="shared" si="5"/>
        <v>0.16666666666666666</v>
      </c>
      <c r="M16" s="150">
        <f t="shared" si="5"/>
        <v>0.16666666666666666</v>
      </c>
      <c r="N16" s="150">
        <f t="shared" si="5"/>
        <v>0.16666666666666666</v>
      </c>
      <c r="O16" s="150">
        <f t="shared" si="5"/>
        <v>0.16666666666666666</v>
      </c>
      <c r="P16" s="150">
        <f t="shared" si="5"/>
        <v>0.16666666666666666</v>
      </c>
      <c r="Q16" s="150">
        <f t="shared" si="5"/>
        <v>0.16666666666666666</v>
      </c>
      <c r="R16" s="150">
        <f t="shared" si="5"/>
        <v>0.16666666666666666</v>
      </c>
    </row>
    <row r="17" spans="1:18" x14ac:dyDescent="0.25">
      <c r="A17" s="139" t="s">
        <v>255</v>
      </c>
      <c r="B17" s="150" t="e">
        <f t="shared" si="4"/>
        <v>#DIV/0!</v>
      </c>
      <c r="C17" s="150" t="e">
        <f t="shared" si="4"/>
        <v>#DIV/0!</v>
      </c>
      <c r="D17" s="150" t="e">
        <f t="shared" si="4"/>
        <v>#DIV/0!</v>
      </c>
      <c r="E17" s="150" t="e">
        <f t="shared" si="4"/>
        <v>#DIV/0!</v>
      </c>
      <c r="F17" s="150" t="e">
        <f t="shared" si="4"/>
        <v>#DIV/0!</v>
      </c>
      <c r="G17" s="150" t="e">
        <f t="shared" si="4"/>
        <v>#DIV/0!</v>
      </c>
      <c r="H17" s="150" t="e">
        <f t="shared" si="4"/>
        <v>#DIV/0!</v>
      </c>
      <c r="K17" s="139" t="s">
        <v>255</v>
      </c>
      <c r="L17" s="150">
        <f t="shared" si="5"/>
        <v>0.16666666666666666</v>
      </c>
      <c r="M17" s="150">
        <f t="shared" si="5"/>
        <v>0.16666666666666666</v>
      </c>
      <c r="N17" s="150">
        <f t="shared" si="5"/>
        <v>0.16666666666666666</v>
      </c>
      <c r="O17" s="150">
        <f t="shared" si="5"/>
        <v>0.16666666666666666</v>
      </c>
      <c r="P17" s="150">
        <f t="shared" si="5"/>
        <v>0.16666666666666666</v>
      </c>
      <c r="Q17" s="150">
        <f t="shared" si="5"/>
        <v>0.16666666666666666</v>
      </c>
      <c r="R17" s="150">
        <f t="shared" si="5"/>
        <v>0.16666666666666666</v>
      </c>
    </row>
    <row r="18" spans="1:18" x14ac:dyDescent="0.25">
      <c r="A18" s="140" t="s">
        <v>256</v>
      </c>
      <c r="B18" s="151" t="e">
        <f t="shared" si="4"/>
        <v>#DIV/0!</v>
      </c>
      <c r="C18" s="151" t="e">
        <f t="shared" si="4"/>
        <v>#DIV/0!</v>
      </c>
      <c r="D18" s="151" t="e">
        <f t="shared" si="4"/>
        <v>#DIV/0!</v>
      </c>
      <c r="E18" s="151" t="e">
        <f t="shared" si="4"/>
        <v>#DIV/0!</v>
      </c>
      <c r="F18" s="151" t="e">
        <f t="shared" si="4"/>
        <v>#DIV/0!</v>
      </c>
      <c r="G18" s="151" t="e">
        <f t="shared" si="4"/>
        <v>#DIV/0!</v>
      </c>
      <c r="H18" s="151" t="e">
        <f t="shared" si="4"/>
        <v>#DIV/0!</v>
      </c>
      <c r="K18" s="140" t="s">
        <v>256</v>
      </c>
      <c r="L18" s="151">
        <f t="shared" si="5"/>
        <v>0.16666666666666666</v>
      </c>
      <c r="M18" s="151">
        <f t="shared" si="5"/>
        <v>0.16666666666666666</v>
      </c>
      <c r="N18" s="151">
        <f t="shared" si="5"/>
        <v>0.16666666666666666</v>
      </c>
      <c r="O18" s="151">
        <f t="shared" si="5"/>
        <v>0.16666666666666666</v>
      </c>
      <c r="P18" s="151">
        <f t="shared" si="5"/>
        <v>0.16666666666666666</v>
      </c>
      <c r="Q18" s="151">
        <f t="shared" si="5"/>
        <v>0.16666666666666666</v>
      </c>
      <c r="R18" s="151">
        <f t="shared" si="5"/>
        <v>0.16666666666666666</v>
      </c>
    </row>
    <row r="19" spans="1:18" x14ac:dyDescent="0.25">
      <c r="A19" s="139" t="s">
        <v>7</v>
      </c>
      <c r="B19" s="150" t="e">
        <f t="shared" si="4"/>
        <v>#DIV/0!</v>
      </c>
      <c r="C19" s="150" t="e">
        <f t="shared" si="4"/>
        <v>#DIV/0!</v>
      </c>
      <c r="D19" s="150" t="e">
        <f t="shared" si="4"/>
        <v>#DIV/0!</v>
      </c>
      <c r="E19" s="150" t="e">
        <f t="shared" si="4"/>
        <v>#DIV/0!</v>
      </c>
      <c r="F19" s="150" t="e">
        <f t="shared" si="4"/>
        <v>#DIV/0!</v>
      </c>
      <c r="G19" s="150" t="e">
        <f t="shared" si="4"/>
        <v>#DIV/0!</v>
      </c>
      <c r="H19" s="150" t="e">
        <f t="shared" si="4"/>
        <v>#DIV/0!</v>
      </c>
      <c r="K19" s="139" t="s">
        <v>7</v>
      </c>
      <c r="L19" s="150">
        <f t="shared" si="5"/>
        <v>1</v>
      </c>
      <c r="M19" s="150">
        <f t="shared" si="5"/>
        <v>1</v>
      </c>
      <c r="N19" s="150">
        <f t="shared" si="5"/>
        <v>1</v>
      </c>
      <c r="O19" s="150">
        <f t="shared" si="5"/>
        <v>1</v>
      </c>
      <c r="P19" s="150">
        <f t="shared" si="5"/>
        <v>1</v>
      </c>
      <c r="Q19" s="150">
        <f t="shared" si="5"/>
        <v>1</v>
      </c>
      <c r="R19" s="150">
        <f t="shared" si="5"/>
        <v>1</v>
      </c>
    </row>
    <row r="37" spans="1:18" x14ac:dyDescent="0.25">
      <c r="A37" s="11" t="s">
        <v>269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5">
      <c r="A38" s="6" t="s">
        <v>262</v>
      </c>
      <c r="B38" s="6"/>
      <c r="C38" s="6"/>
      <c r="D38" s="6"/>
      <c r="E38" s="6"/>
      <c r="F38" s="6"/>
      <c r="G38" s="6"/>
      <c r="H38" s="6"/>
      <c r="I38" s="6"/>
      <c r="J38" s="6"/>
      <c r="K38" s="6" t="s">
        <v>250</v>
      </c>
      <c r="L38" s="6"/>
      <c r="M38" s="6"/>
      <c r="N38" s="6"/>
      <c r="O38" s="6"/>
      <c r="P38" s="6"/>
      <c r="Q38" s="6"/>
      <c r="R38" s="6"/>
    </row>
    <row r="39" spans="1:18" x14ac:dyDescent="0.25">
      <c r="A39" s="140"/>
      <c r="B39" s="8" t="s">
        <v>263</v>
      </c>
      <c r="C39" s="8" t="s">
        <v>239</v>
      </c>
      <c r="D39" s="8" t="s">
        <v>265</v>
      </c>
      <c r="E39" s="8" t="s">
        <v>264</v>
      </c>
      <c r="F39" s="8" t="s">
        <v>266</v>
      </c>
      <c r="G39" s="8" t="s">
        <v>267</v>
      </c>
      <c r="H39" s="8" t="s">
        <v>7</v>
      </c>
      <c r="K39" s="140"/>
      <c r="L39" s="8" t="s">
        <v>263</v>
      </c>
      <c r="M39" s="8" t="s">
        <v>239</v>
      </c>
      <c r="N39" s="8" t="s">
        <v>265</v>
      </c>
      <c r="O39" s="8" t="s">
        <v>264</v>
      </c>
      <c r="P39" s="8" t="s">
        <v>266</v>
      </c>
      <c r="Q39" s="8" t="s">
        <v>267</v>
      </c>
      <c r="R39" s="8" t="s">
        <v>7</v>
      </c>
    </row>
    <row r="40" spans="1:18" x14ac:dyDescent="0.25">
      <c r="A40" s="139" t="s">
        <v>251</v>
      </c>
      <c r="B40" s="17">
        <f>OBS_Transfers!D6</f>
        <v>0</v>
      </c>
      <c r="C40" s="17">
        <f>OBS_Transfers!D20</f>
        <v>0</v>
      </c>
      <c r="D40" s="17">
        <f>OBS_Transfers!D27</f>
        <v>0</v>
      </c>
      <c r="E40" s="17">
        <f>OBS_Transfers!D13</f>
        <v>0</v>
      </c>
      <c r="F40" s="17">
        <f>OBS_Transfers!D34</f>
        <v>0</v>
      </c>
      <c r="G40" s="17">
        <f>OBS_Transfers!D41</f>
        <v>0</v>
      </c>
      <c r="H40" s="17">
        <f t="shared" ref="H40:H45" si="6">SUM(B40:G40)</f>
        <v>0</v>
      </c>
      <c r="J40" s="154" t="s">
        <v>276</v>
      </c>
      <c r="K40" s="139" t="s">
        <v>251</v>
      </c>
      <c r="L40" s="17">
        <f>SUMIF(modeldata!$AB:$AB,Transfers!$J40,modeldata!V:V)</f>
        <v>1</v>
      </c>
      <c r="M40" s="17">
        <f>SUMIF(modeldata!$AB:$AB,Transfers!$J40,modeldata!W:W)</f>
        <v>1</v>
      </c>
      <c r="N40" s="17">
        <f>SUMIF(modeldata!$AB:$AB,Transfers!$J40,modeldata!X:X)</f>
        <v>1</v>
      </c>
      <c r="O40" s="17">
        <f>SUMIF(modeldata!$AB:$AB,Transfers!$J40,modeldata!Y:Y)</f>
        <v>1</v>
      </c>
      <c r="P40" s="17">
        <f>SUMIF(modeldata!$AB:$AB,Transfers!$J40,modeldata!Z:Z)</f>
        <v>1</v>
      </c>
      <c r="Q40" s="17">
        <f>SUMIF(modeldata!$AB:$AB,Transfers!$J40,modeldata!AA:AA)</f>
        <v>1</v>
      </c>
      <c r="R40" s="17">
        <f t="shared" ref="R40:R45" si="7">SUM(L40:Q40)</f>
        <v>6</v>
      </c>
    </row>
    <row r="41" spans="1:18" x14ac:dyDescent="0.25">
      <c r="A41" s="139" t="s">
        <v>252</v>
      </c>
      <c r="B41" s="17">
        <f>OBS_Transfers!D7</f>
        <v>0</v>
      </c>
      <c r="C41" s="17">
        <f>OBS_Transfers!D21</f>
        <v>0</v>
      </c>
      <c r="D41" s="17">
        <f>OBS_Transfers!D28</f>
        <v>0</v>
      </c>
      <c r="E41" s="17">
        <f>OBS_Transfers!D14</f>
        <v>0</v>
      </c>
      <c r="F41" s="17">
        <f>OBS_Transfers!D35</f>
        <v>0</v>
      </c>
      <c r="G41" s="17">
        <f>OBS_Transfers!D42</f>
        <v>0</v>
      </c>
      <c r="H41" s="17">
        <f t="shared" si="6"/>
        <v>0</v>
      </c>
      <c r="J41" s="154" t="s">
        <v>277</v>
      </c>
      <c r="K41" s="139" t="s">
        <v>252</v>
      </c>
      <c r="L41" s="17">
        <f>SUMIF(modeldata!$AB:$AB,Transfers!$J41,modeldata!V:V)</f>
        <v>1</v>
      </c>
      <c r="M41" s="17">
        <f>SUMIF(modeldata!$AB:$AB,Transfers!$J41,modeldata!W:W)</f>
        <v>1</v>
      </c>
      <c r="N41" s="17">
        <f>SUMIF(modeldata!$AB:$AB,Transfers!$J41,modeldata!X:X)</f>
        <v>1</v>
      </c>
      <c r="O41" s="17">
        <f>SUMIF(modeldata!$AB:$AB,Transfers!$J41,modeldata!Y:Y)</f>
        <v>1</v>
      </c>
      <c r="P41" s="17">
        <f>SUMIF(modeldata!$AB:$AB,Transfers!$J41,modeldata!Z:Z)</f>
        <v>1</v>
      </c>
      <c r="Q41" s="17">
        <f>SUMIF(modeldata!$AB:$AB,Transfers!$J41,modeldata!AA:AA)</f>
        <v>1</v>
      </c>
      <c r="R41" s="17">
        <f t="shared" si="7"/>
        <v>6</v>
      </c>
    </row>
    <row r="42" spans="1:18" x14ac:dyDescent="0.25">
      <c r="A42" s="139" t="s">
        <v>253</v>
      </c>
      <c r="B42" s="17">
        <f>OBS_Transfers!D8</f>
        <v>0</v>
      </c>
      <c r="C42" s="17">
        <f>OBS_Transfers!D22</f>
        <v>0</v>
      </c>
      <c r="D42" s="17">
        <f>OBS_Transfers!D29</f>
        <v>0</v>
      </c>
      <c r="E42" s="17">
        <f>OBS_Transfers!D15</f>
        <v>0</v>
      </c>
      <c r="F42" s="17">
        <f>OBS_Transfers!D36</f>
        <v>0</v>
      </c>
      <c r="G42" s="17">
        <f>OBS_Transfers!D43</f>
        <v>0</v>
      </c>
      <c r="H42" s="17">
        <f t="shared" si="6"/>
        <v>0</v>
      </c>
      <c r="J42" s="154" t="s">
        <v>278</v>
      </c>
      <c r="K42" s="139" t="s">
        <v>253</v>
      </c>
      <c r="L42" s="17">
        <f>SUMIF(modeldata!$AB:$AB,Transfers!$J42,modeldata!V:V)</f>
        <v>1</v>
      </c>
      <c r="M42" s="17">
        <f>SUMIF(modeldata!$AB:$AB,Transfers!$J42,modeldata!W:W)</f>
        <v>1</v>
      </c>
      <c r="N42" s="17">
        <f>SUMIF(modeldata!$AB:$AB,Transfers!$J42,modeldata!X:X)</f>
        <v>1</v>
      </c>
      <c r="O42" s="17">
        <f>SUMIF(modeldata!$AB:$AB,Transfers!$J42,modeldata!Y:Y)</f>
        <v>1</v>
      </c>
      <c r="P42" s="17">
        <f>SUMIF(modeldata!$AB:$AB,Transfers!$J42,modeldata!Z:Z)</f>
        <v>1</v>
      </c>
      <c r="Q42" s="17">
        <f>SUMIF(modeldata!$AB:$AB,Transfers!$J42,modeldata!AA:AA)</f>
        <v>1</v>
      </c>
      <c r="R42" s="17">
        <f t="shared" si="7"/>
        <v>6</v>
      </c>
    </row>
    <row r="43" spans="1:18" x14ac:dyDescent="0.25">
      <c r="A43" s="139" t="s">
        <v>254</v>
      </c>
      <c r="B43" s="17">
        <f>OBS_Transfers!D9</f>
        <v>0</v>
      </c>
      <c r="C43" s="17">
        <f>OBS_Transfers!D23</f>
        <v>0</v>
      </c>
      <c r="D43" s="17">
        <f>OBS_Transfers!D30</f>
        <v>0</v>
      </c>
      <c r="E43" s="17">
        <f>OBS_Transfers!D16</f>
        <v>0</v>
      </c>
      <c r="F43" s="17">
        <f>OBS_Transfers!D37</f>
        <v>0</v>
      </c>
      <c r="G43" s="17">
        <f>OBS_Transfers!D44</f>
        <v>0</v>
      </c>
      <c r="H43" s="17">
        <f t="shared" si="6"/>
        <v>0</v>
      </c>
      <c r="J43" s="154" t="s">
        <v>279</v>
      </c>
      <c r="K43" s="139" t="s">
        <v>254</v>
      </c>
      <c r="L43" s="17">
        <f>SUMIF(modeldata!$AB:$AB,Transfers!$J43,modeldata!V:V)</f>
        <v>1</v>
      </c>
      <c r="M43" s="17">
        <f>SUMIF(modeldata!$AB:$AB,Transfers!$J43,modeldata!W:W)</f>
        <v>1</v>
      </c>
      <c r="N43" s="17">
        <f>SUMIF(modeldata!$AB:$AB,Transfers!$J43,modeldata!X:X)</f>
        <v>1</v>
      </c>
      <c r="O43" s="17">
        <f>SUMIF(modeldata!$AB:$AB,Transfers!$J43,modeldata!Y:Y)</f>
        <v>1</v>
      </c>
      <c r="P43" s="17">
        <f>SUMIF(modeldata!$AB:$AB,Transfers!$J43,modeldata!Z:Z)</f>
        <v>1</v>
      </c>
      <c r="Q43" s="17">
        <f>SUMIF(modeldata!$AB:$AB,Transfers!$J43,modeldata!AA:AA)</f>
        <v>1</v>
      </c>
      <c r="R43" s="17">
        <f t="shared" si="7"/>
        <v>6</v>
      </c>
    </row>
    <row r="44" spans="1:18" x14ac:dyDescent="0.25">
      <c r="A44" s="139" t="s">
        <v>255</v>
      </c>
      <c r="B44" s="17">
        <f>OBS_Transfers!D10</f>
        <v>0</v>
      </c>
      <c r="C44" s="17">
        <f>OBS_Transfers!D24</f>
        <v>0</v>
      </c>
      <c r="D44" s="17">
        <f>OBS_Transfers!D31</f>
        <v>0</v>
      </c>
      <c r="E44" s="17">
        <f>OBS_Transfers!D17</f>
        <v>0</v>
      </c>
      <c r="F44" s="17">
        <f>OBS_Transfers!D38</f>
        <v>0</v>
      </c>
      <c r="G44" s="17">
        <f>OBS_Transfers!D45</f>
        <v>0</v>
      </c>
      <c r="H44" s="17">
        <f t="shared" si="6"/>
        <v>0</v>
      </c>
      <c r="J44" s="154" t="s">
        <v>280</v>
      </c>
      <c r="K44" s="139" t="s">
        <v>255</v>
      </c>
      <c r="L44" s="17">
        <f>SUMIF(modeldata!$AB:$AB,Transfers!$J44,modeldata!V:V)</f>
        <v>1</v>
      </c>
      <c r="M44" s="17">
        <f>SUMIF(modeldata!$AB:$AB,Transfers!$J44,modeldata!W:W)</f>
        <v>1</v>
      </c>
      <c r="N44" s="17">
        <f>SUMIF(modeldata!$AB:$AB,Transfers!$J44,modeldata!X:X)</f>
        <v>1</v>
      </c>
      <c r="O44" s="17">
        <f>SUMIF(modeldata!$AB:$AB,Transfers!$J44,modeldata!Y:Y)</f>
        <v>1</v>
      </c>
      <c r="P44" s="17">
        <f>SUMIF(modeldata!$AB:$AB,Transfers!$J44,modeldata!Z:Z)</f>
        <v>1</v>
      </c>
      <c r="Q44" s="17">
        <f>SUMIF(modeldata!$AB:$AB,Transfers!$J44,modeldata!AA:AA)</f>
        <v>1</v>
      </c>
      <c r="R44" s="17">
        <f t="shared" si="7"/>
        <v>6</v>
      </c>
    </row>
    <row r="45" spans="1:18" x14ac:dyDescent="0.25">
      <c r="A45" s="140" t="s">
        <v>256</v>
      </c>
      <c r="B45" s="18">
        <f>OBS_Transfers!D11</f>
        <v>0</v>
      </c>
      <c r="C45" s="18">
        <f>OBS_Transfers!D25</f>
        <v>0</v>
      </c>
      <c r="D45" s="18">
        <f>OBS_Transfers!D32</f>
        <v>0</v>
      </c>
      <c r="E45" s="18">
        <f>OBS_Transfers!D18</f>
        <v>0</v>
      </c>
      <c r="F45" s="18">
        <f>OBS_Transfers!D39</f>
        <v>0</v>
      </c>
      <c r="G45" s="18">
        <f>OBS_Transfers!D46</f>
        <v>0</v>
      </c>
      <c r="H45" s="18">
        <f t="shared" si="6"/>
        <v>0</v>
      </c>
      <c r="J45" s="154" t="s">
        <v>281</v>
      </c>
      <c r="K45" s="140" t="s">
        <v>256</v>
      </c>
      <c r="L45" s="18">
        <f>SUMIF(modeldata!$AB:$AB,Transfers!$J45,modeldata!V:V)</f>
        <v>1</v>
      </c>
      <c r="M45" s="18">
        <f>SUMIF(modeldata!$AB:$AB,Transfers!$J45,modeldata!W:W)</f>
        <v>1</v>
      </c>
      <c r="N45" s="18">
        <f>SUMIF(modeldata!$AB:$AB,Transfers!$J45,modeldata!X:X)</f>
        <v>1</v>
      </c>
      <c r="O45" s="18">
        <f>SUMIF(modeldata!$AB:$AB,Transfers!$J45,modeldata!Y:Y)</f>
        <v>1</v>
      </c>
      <c r="P45" s="18">
        <f>SUMIF(modeldata!$AB:$AB,Transfers!$J45,modeldata!Z:Z)</f>
        <v>1</v>
      </c>
      <c r="Q45" s="18">
        <f>SUMIF(modeldata!$AB:$AB,Transfers!$J45,modeldata!AA:AA)</f>
        <v>1</v>
      </c>
      <c r="R45" s="18">
        <f t="shared" si="7"/>
        <v>6</v>
      </c>
    </row>
    <row r="46" spans="1:18" x14ac:dyDescent="0.25">
      <c r="A46" s="139" t="s">
        <v>7</v>
      </c>
      <c r="B46" s="17">
        <f t="shared" ref="B46:H46" si="8">SUM(B40:B45)</f>
        <v>0</v>
      </c>
      <c r="C46" s="17">
        <f t="shared" si="8"/>
        <v>0</v>
      </c>
      <c r="D46" s="17">
        <f t="shared" si="8"/>
        <v>0</v>
      </c>
      <c r="E46" s="17">
        <f t="shared" si="8"/>
        <v>0</v>
      </c>
      <c r="F46" s="17">
        <f t="shared" si="8"/>
        <v>0</v>
      </c>
      <c r="G46" s="17">
        <f t="shared" si="8"/>
        <v>0</v>
      </c>
      <c r="H46" s="17">
        <f t="shared" si="8"/>
        <v>0</v>
      </c>
      <c r="K46" s="139" t="s">
        <v>7</v>
      </c>
      <c r="L46" s="17">
        <f t="shared" ref="L46:R46" si="9">SUM(L40:L45)</f>
        <v>6</v>
      </c>
      <c r="M46" s="17">
        <f t="shared" si="9"/>
        <v>6</v>
      </c>
      <c r="N46" s="17">
        <f t="shared" si="9"/>
        <v>6</v>
      </c>
      <c r="O46" s="17">
        <f t="shared" si="9"/>
        <v>6</v>
      </c>
      <c r="P46" s="17">
        <f t="shared" si="9"/>
        <v>6</v>
      </c>
      <c r="Q46" s="17">
        <f t="shared" si="9"/>
        <v>6</v>
      </c>
      <c r="R46" s="17">
        <f t="shared" si="9"/>
        <v>36</v>
      </c>
    </row>
    <row r="48" spans="1:18" x14ac:dyDescent="0.25">
      <c r="A48" s="140"/>
      <c r="B48" s="8" t="s">
        <v>263</v>
      </c>
      <c r="C48" s="8" t="s">
        <v>239</v>
      </c>
      <c r="D48" s="8" t="s">
        <v>265</v>
      </c>
      <c r="E48" s="8" t="s">
        <v>264</v>
      </c>
      <c r="F48" s="8" t="s">
        <v>266</v>
      </c>
      <c r="G48" s="8" t="s">
        <v>267</v>
      </c>
      <c r="H48" s="8" t="s">
        <v>7</v>
      </c>
      <c r="K48" s="140"/>
      <c r="L48" s="8" t="s">
        <v>263</v>
      </c>
      <c r="M48" s="8" t="s">
        <v>239</v>
      </c>
      <c r="N48" s="8" t="s">
        <v>265</v>
      </c>
      <c r="O48" s="8" t="s">
        <v>264</v>
      </c>
      <c r="P48" s="8" t="s">
        <v>266</v>
      </c>
      <c r="Q48" s="8" t="s">
        <v>267</v>
      </c>
      <c r="R48" s="8" t="s">
        <v>7</v>
      </c>
    </row>
    <row r="49" spans="1:18" x14ac:dyDescent="0.25">
      <c r="A49" s="139" t="s">
        <v>251</v>
      </c>
      <c r="B49" s="150" t="e">
        <f t="shared" ref="B49:H55" si="10">B40/B$46</f>
        <v>#DIV/0!</v>
      </c>
      <c r="C49" s="150" t="e">
        <f t="shared" si="10"/>
        <v>#DIV/0!</v>
      </c>
      <c r="D49" s="150" t="e">
        <f t="shared" si="10"/>
        <v>#DIV/0!</v>
      </c>
      <c r="E49" s="150" t="e">
        <f t="shared" si="10"/>
        <v>#DIV/0!</v>
      </c>
      <c r="F49" s="150" t="e">
        <f t="shared" si="10"/>
        <v>#DIV/0!</v>
      </c>
      <c r="G49" s="150" t="e">
        <f t="shared" si="10"/>
        <v>#DIV/0!</v>
      </c>
      <c r="H49" s="150" t="e">
        <f t="shared" si="10"/>
        <v>#DIV/0!</v>
      </c>
      <c r="K49" s="139" t="s">
        <v>251</v>
      </c>
      <c r="L49" s="150">
        <f t="shared" ref="L49:R55" si="11">L40/L$46</f>
        <v>0.16666666666666666</v>
      </c>
      <c r="M49" s="150">
        <f t="shared" si="11"/>
        <v>0.16666666666666666</v>
      </c>
      <c r="N49" s="150">
        <f t="shared" si="11"/>
        <v>0.16666666666666666</v>
      </c>
      <c r="O49" s="150">
        <f t="shared" si="11"/>
        <v>0.16666666666666666</v>
      </c>
      <c r="P49" s="150">
        <f t="shared" si="11"/>
        <v>0.16666666666666666</v>
      </c>
      <c r="Q49" s="150">
        <f t="shared" si="11"/>
        <v>0.16666666666666666</v>
      </c>
      <c r="R49" s="150">
        <f t="shared" si="11"/>
        <v>0.16666666666666666</v>
      </c>
    </row>
    <row r="50" spans="1:18" x14ac:dyDescent="0.25">
      <c r="A50" s="139" t="s">
        <v>252</v>
      </c>
      <c r="B50" s="150" t="e">
        <f t="shared" si="10"/>
        <v>#DIV/0!</v>
      </c>
      <c r="C50" s="150" t="e">
        <f t="shared" si="10"/>
        <v>#DIV/0!</v>
      </c>
      <c r="D50" s="150" t="e">
        <f t="shared" si="10"/>
        <v>#DIV/0!</v>
      </c>
      <c r="E50" s="150" t="e">
        <f t="shared" si="10"/>
        <v>#DIV/0!</v>
      </c>
      <c r="F50" s="150" t="e">
        <f t="shared" si="10"/>
        <v>#DIV/0!</v>
      </c>
      <c r="G50" s="150" t="e">
        <f t="shared" si="10"/>
        <v>#DIV/0!</v>
      </c>
      <c r="H50" s="150" t="e">
        <f t="shared" si="10"/>
        <v>#DIV/0!</v>
      </c>
      <c r="K50" s="139" t="s">
        <v>252</v>
      </c>
      <c r="L50" s="150">
        <f t="shared" si="11"/>
        <v>0.16666666666666666</v>
      </c>
      <c r="M50" s="150">
        <f t="shared" si="11"/>
        <v>0.16666666666666666</v>
      </c>
      <c r="N50" s="150">
        <f t="shared" si="11"/>
        <v>0.16666666666666666</v>
      </c>
      <c r="O50" s="150">
        <f t="shared" si="11"/>
        <v>0.16666666666666666</v>
      </c>
      <c r="P50" s="150">
        <f t="shared" si="11"/>
        <v>0.16666666666666666</v>
      </c>
      <c r="Q50" s="150">
        <f t="shared" si="11"/>
        <v>0.16666666666666666</v>
      </c>
      <c r="R50" s="150">
        <f t="shared" si="11"/>
        <v>0.16666666666666666</v>
      </c>
    </row>
    <row r="51" spans="1:18" x14ac:dyDescent="0.25">
      <c r="A51" s="139" t="s">
        <v>253</v>
      </c>
      <c r="B51" s="150" t="e">
        <f t="shared" si="10"/>
        <v>#DIV/0!</v>
      </c>
      <c r="C51" s="150" t="e">
        <f t="shared" si="10"/>
        <v>#DIV/0!</v>
      </c>
      <c r="D51" s="150" t="e">
        <f t="shared" si="10"/>
        <v>#DIV/0!</v>
      </c>
      <c r="E51" s="150" t="e">
        <f t="shared" si="10"/>
        <v>#DIV/0!</v>
      </c>
      <c r="F51" s="150" t="e">
        <f t="shared" si="10"/>
        <v>#DIV/0!</v>
      </c>
      <c r="G51" s="150" t="e">
        <f t="shared" si="10"/>
        <v>#DIV/0!</v>
      </c>
      <c r="H51" s="150" t="e">
        <f t="shared" si="10"/>
        <v>#DIV/0!</v>
      </c>
      <c r="K51" s="139" t="s">
        <v>253</v>
      </c>
      <c r="L51" s="150">
        <f t="shared" si="11"/>
        <v>0.16666666666666666</v>
      </c>
      <c r="M51" s="150">
        <f t="shared" si="11"/>
        <v>0.16666666666666666</v>
      </c>
      <c r="N51" s="150">
        <f t="shared" si="11"/>
        <v>0.16666666666666666</v>
      </c>
      <c r="O51" s="150">
        <f t="shared" si="11"/>
        <v>0.16666666666666666</v>
      </c>
      <c r="P51" s="150">
        <f t="shared" si="11"/>
        <v>0.16666666666666666</v>
      </c>
      <c r="Q51" s="150">
        <f t="shared" si="11"/>
        <v>0.16666666666666666</v>
      </c>
      <c r="R51" s="150">
        <f t="shared" si="11"/>
        <v>0.16666666666666666</v>
      </c>
    </row>
    <row r="52" spans="1:18" x14ac:dyDescent="0.25">
      <c r="A52" s="139" t="s">
        <v>254</v>
      </c>
      <c r="B52" s="150" t="e">
        <f t="shared" si="10"/>
        <v>#DIV/0!</v>
      </c>
      <c r="C52" s="150" t="e">
        <f t="shared" si="10"/>
        <v>#DIV/0!</v>
      </c>
      <c r="D52" s="150" t="e">
        <f t="shared" si="10"/>
        <v>#DIV/0!</v>
      </c>
      <c r="E52" s="150" t="e">
        <f t="shared" si="10"/>
        <v>#DIV/0!</v>
      </c>
      <c r="F52" s="150" t="e">
        <f t="shared" si="10"/>
        <v>#DIV/0!</v>
      </c>
      <c r="G52" s="150" t="e">
        <f t="shared" si="10"/>
        <v>#DIV/0!</v>
      </c>
      <c r="H52" s="150" t="e">
        <f t="shared" si="10"/>
        <v>#DIV/0!</v>
      </c>
      <c r="K52" s="139" t="s">
        <v>254</v>
      </c>
      <c r="L52" s="150">
        <f t="shared" si="11"/>
        <v>0.16666666666666666</v>
      </c>
      <c r="M52" s="150">
        <f t="shared" si="11"/>
        <v>0.16666666666666666</v>
      </c>
      <c r="N52" s="150">
        <f t="shared" si="11"/>
        <v>0.16666666666666666</v>
      </c>
      <c r="O52" s="150">
        <f t="shared" si="11"/>
        <v>0.16666666666666666</v>
      </c>
      <c r="P52" s="150">
        <f t="shared" si="11"/>
        <v>0.16666666666666666</v>
      </c>
      <c r="Q52" s="150">
        <f t="shared" si="11"/>
        <v>0.16666666666666666</v>
      </c>
      <c r="R52" s="150">
        <f t="shared" si="11"/>
        <v>0.16666666666666666</v>
      </c>
    </row>
    <row r="53" spans="1:18" x14ac:dyDescent="0.25">
      <c r="A53" s="139" t="s">
        <v>255</v>
      </c>
      <c r="B53" s="150" t="e">
        <f t="shared" si="10"/>
        <v>#DIV/0!</v>
      </c>
      <c r="C53" s="150" t="e">
        <f t="shared" si="10"/>
        <v>#DIV/0!</v>
      </c>
      <c r="D53" s="150" t="e">
        <f t="shared" si="10"/>
        <v>#DIV/0!</v>
      </c>
      <c r="E53" s="150" t="e">
        <f t="shared" si="10"/>
        <v>#DIV/0!</v>
      </c>
      <c r="F53" s="150" t="e">
        <f t="shared" si="10"/>
        <v>#DIV/0!</v>
      </c>
      <c r="G53" s="150" t="e">
        <f t="shared" si="10"/>
        <v>#DIV/0!</v>
      </c>
      <c r="H53" s="150" t="e">
        <f t="shared" si="10"/>
        <v>#DIV/0!</v>
      </c>
      <c r="K53" s="139" t="s">
        <v>255</v>
      </c>
      <c r="L53" s="150">
        <f t="shared" si="11"/>
        <v>0.16666666666666666</v>
      </c>
      <c r="M53" s="150">
        <f t="shared" si="11"/>
        <v>0.16666666666666666</v>
      </c>
      <c r="N53" s="150">
        <f t="shared" si="11"/>
        <v>0.16666666666666666</v>
      </c>
      <c r="O53" s="150">
        <f t="shared" si="11"/>
        <v>0.16666666666666666</v>
      </c>
      <c r="P53" s="150">
        <f t="shared" si="11"/>
        <v>0.16666666666666666</v>
      </c>
      <c r="Q53" s="150">
        <f t="shared" si="11"/>
        <v>0.16666666666666666</v>
      </c>
      <c r="R53" s="150">
        <f t="shared" si="11"/>
        <v>0.16666666666666666</v>
      </c>
    </row>
    <row r="54" spans="1:18" x14ac:dyDescent="0.25">
      <c r="A54" s="140" t="s">
        <v>256</v>
      </c>
      <c r="B54" s="151" t="e">
        <f t="shared" si="10"/>
        <v>#DIV/0!</v>
      </c>
      <c r="C54" s="151" t="e">
        <f t="shared" si="10"/>
        <v>#DIV/0!</v>
      </c>
      <c r="D54" s="151" t="e">
        <f t="shared" si="10"/>
        <v>#DIV/0!</v>
      </c>
      <c r="E54" s="151" t="e">
        <f t="shared" si="10"/>
        <v>#DIV/0!</v>
      </c>
      <c r="F54" s="151" t="e">
        <f t="shared" si="10"/>
        <v>#DIV/0!</v>
      </c>
      <c r="G54" s="151" t="e">
        <f t="shared" si="10"/>
        <v>#DIV/0!</v>
      </c>
      <c r="H54" s="151" t="e">
        <f t="shared" si="10"/>
        <v>#DIV/0!</v>
      </c>
      <c r="K54" s="140" t="s">
        <v>256</v>
      </c>
      <c r="L54" s="151">
        <f t="shared" si="11"/>
        <v>0.16666666666666666</v>
      </c>
      <c r="M54" s="151">
        <f t="shared" si="11"/>
        <v>0.16666666666666666</v>
      </c>
      <c r="N54" s="151">
        <f t="shared" si="11"/>
        <v>0.16666666666666666</v>
      </c>
      <c r="O54" s="151">
        <f t="shared" si="11"/>
        <v>0.16666666666666666</v>
      </c>
      <c r="P54" s="151">
        <f t="shared" si="11"/>
        <v>0.16666666666666666</v>
      </c>
      <c r="Q54" s="151">
        <f t="shared" si="11"/>
        <v>0.16666666666666666</v>
      </c>
      <c r="R54" s="151">
        <f t="shared" si="11"/>
        <v>0.16666666666666666</v>
      </c>
    </row>
    <row r="55" spans="1:18" x14ac:dyDescent="0.25">
      <c r="A55" s="139" t="s">
        <v>7</v>
      </c>
      <c r="B55" s="150" t="e">
        <f t="shared" si="10"/>
        <v>#DIV/0!</v>
      </c>
      <c r="C55" s="150" t="e">
        <f t="shared" si="10"/>
        <v>#DIV/0!</v>
      </c>
      <c r="D55" s="150" t="e">
        <f t="shared" si="10"/>
        <v>#DIV/0!</v>
      </c>
      <c r="E55" s="150" t="e">
        <f t="shared" si="10"/>
        <v>#DIV/0!</v>
      </c>
      <c r="F55" s="150" t="e">
        <f t="shared" si="10"/>
        <v>#DIV/0!</v>
      </c>
      <c r="G55" s="150" t="e">
        <f t="shared" si="10"/>
        <v>#DIV/0!</v>
      </c>
      <c r="H55" s="150" t="e">
        <f t="shared" si="10"/>
        <v>#DIV/0!</v>
      </c>
      <c r="K55" s="139" t="s">
        <v>7</v>
      </c>
      <c r="L55" s="150">
        <f t="shared" si="11"/>
        <v>1</v>
      </c>
      <c r="M55" s="150">
        <f t="shared" si="11"/>
        <v>1</v>
      </c>
      <c r="N55" s="150">
        <f t="shared" si="11"/>
        <v>1</v>
      </c>
      <c r="O55" s="150">
        <f t="shared" si="11"/>
        <v>1</v>
      </c>
      <c r="P55" s="150">
        <f t="shared" si="11"/>
        <v>1</v>
      </c>
      <c r="Q55" s="150">
        <f t="shared" si="11"/>
        <v>1</v>
      </c>
      <c r="R55" s="150">
        <f t="shared" si="11"/>
        <v>1</v>
      </c>
    </row>
    <row r="72" spans="1:18" x14ac:dyDescent="0.25">
      <c r="A72" s="11" t="s">
        <v>270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x14ac:dyDescent="0.25">
      <c r="A73" s="6" t="s">
        <v>262</v>
      </c>
      <c r="B73" s="6"/>
      <c r="C73" s="6"/>
      <c r="D73" s="6"/>
      <c r="E73" s="6"/>
      <c r="F73" s="6"/>
      <c r="G73" s="6"/>
      <c r="H73" s="6"/>
      <c r="I73" s="6"/>
      <c r="J73" s="6"/>
      <c r="K73" s="6" t="s">
        <v>250</v>
      </c>
      <c r="L73" s="6"/>
      <c r="M73" s="6"/>
      <c r="N73" s="6"/>
      <c r="O73" s="6"/>
      <c r="P73" s="6"/>
      <c r="Q73" s="6"/>
      <c r="R73" s="6"/>
    </row>
    <row r="74" spans="1:18" x14ac:dyDescent="0.25">
      <c r="A74" s="140"/>
      <c r="B74" s="8" t="s">
        <v>263</v>
      </c>
      <c r="C74" s="8" t="s">
        <v>239</v>
      </c>
      <c r="D74" s="8" t="s">
        <v>265</v>
      </c>
      <c r="E74" s="8" t="s">
        <v>264</v>
      </c>
      <c r="F74" s="8" t="s">
        <v>266</v>
      </c>
      <c r="G74" s="8" t="s">
        <v>267</v>
      </c>
      <c r="H74" s="8" t="s">
        <v>7</v>
      </c>
      <c r="K74" s="140"/>
      <c r="L74" s="8" t="s">
        <v>263</v>
      </c>
      <c r="M74" s="8" t="s">
        <v>239</v>
      </c>
      <c r="N74" s="8" t="s">
        <v>265</v>
      </c>
      <c r="O74" s="8" t="s">
        <v>264</v>
      </c>
      <c r="P74" s="8" t="s">
        <v>266</v>
      </c>
      <c r="Q74" s="8" t="s">
        <v>267</v>
      </c>
      <c r="R74" s="8" t="s">
        <v>7</v>
      </c>
    </row>
    <row r="75" spans="1:18" x14ac:dyDescent="0.25">
      <c r="A75" s="139" t="s">
        <v>251</v>
      </c>
      <c r="B75" s="17">
        <f>OBS_Transfers!F6+OBS_Transfers!H6</f>
        <v>0</v>
      </c>
      <c r="C75" s="17">
        <f>OBS_Transfers!F20+OBS_Transfers!H20</f>
        <v>0</v>
      </c>
      <c r="D75" s="17">
        <f>OBS_Transfers!F27+OBS_Transfers!H27</f>
        <v>0</v>
      </c>
      <c r="E75" s="17">
        <f>OBS_Transfers!F13+OBS_Transfers!H13</f>
        <v>0</v>
      </c>
      <c r="F75" s="17">
        <f>OBS_Transfers!F34+OBS_Transfers!H34</f>
        <v>0</v>
      </c>
      <c r="G75" s="17">
        <f>OBS_Transfers!F41+OBS_Transfers!H41</f>
        <v>0</v>
      </c>
      <c r="H75" s="17">
        <f t="shared" ref="H75:H80" si="12">SUM(B75:G75)</f>
        <v>0</v>
      </c>
      <c r="J75" s="154" t="s">
        <v>282</v>
      </c>
      <c r="K75" s="139" t="s">
        <v>251</v>
      </c>
      <c r="L75" s="17">
        <f>SUMIF(modeldata!$AB:$AB,Transfers!$J75,modeldata!V:V)</f>
        <v>2</v>
      </c>
      <c r="M75" s="17">
        <f>SUMIF(modeldata!$AB:$AB,Transfers!$J75,modeldata!W:W)</f>
        <v>2</v>
      </c>
      <c r="N75" s="17">
        <f>SUMIF(modeldata!$AB:$AB,Transfers!$J75,modeldata!X:X)</f>
        <v>2</v>
      </c>
      <c r="O75" s="17">
        <f>SUMIF(modeldata!$AB:$AB,Transfers!$J75,modeldata!Y:Y)</f>
        <v>2</v>
      </c>
      <c r="P75" s="17">
        <f>SUMIF(modeldata!$AB:$AB,Transfers!$J75,modeldata!Z:Z)</f>
        <v>2</v>
      </c>
      <c r="Q75" s="17">
        <f>SUMIF(modeldata!$AB:$AB,Transfers!$J75,modeldata!AA:AA)</f>
        <v>2</v>
      </c>
      <c r="R75" s="17">
        <f t="shared" ref="R75:R80" si="13">SUM(L75:Q75)</f>
        <v>12</v>
      </c>
    </row>
    <row r="76" spans="1:18" x14ac:dyDescent="0.25">
      <c r="A76" s="139" t="s">
        <v>252</v>
      </c>
      <c r="B76" s="17">
        <f>OBS_Transfers!F7+OBS_Transfers!H7</f>
        <v>0</v>
      </c>
      <c r="C76" s="17">
        <f>OBS_Transfers!F21+OBS_Transfers!H21</f>
        <v>0</v>
      </c>
      <c r="D76" s="17">
        <f>OBS_Transfers!F28+OBS_Transfers!H28</f>
        <v>0</v>
      </c>
      <c r="E76" s="17">
        <f>OBS_Transfers!F14+OBS_Transfers!H14</f>
        <v>0</v>
      </c>
      <c r="F76" s="17">
        <f>OBS_Transfers!F35+OBS_Transfers!H35</f>
        <v>0</v>
      </c>
      <c r="G76" s="17">
        <f>OBS_Transfers!F42+OBS_Transfers!H42</f>
        <v>0</v>
      </c>
      <c r="H76" s="17">
        <f t="shared" si="12"/>
        <v>0</v>
      </c>
      <c r="J76" s="154" t="s">
        <v>292</v>
      </c>
      <c r="K76" s="139" t="s">
        <v>252</v>
      </c>
      <c r="L76" s="17">
        <f>SUMIF(modeldata!$AB:$AB,Transfers!$J76,modeldata!V:V)</f>
        <v>2</v>
      </c>
      <c r="M76" s="17">
        <f>SUMIF(modeldata!$AB:$AB,Transfers!$J76,modeldata!W:W)</f>
        <v>2</v>
      </c>
      <c r="N76" s="17">
        <f>SUMIF(modeldata!$AB:$AB,Transfers!$J76,modeldata!X:X)</f>
        <v>2</v>
      </c>
      <c r="O76" s="17">
        <f>SUMIF(modeldata!$AB:$AB,Transfers!$J76,modeldata!Y:Y)</f>
        <v>2</v>
      </c>
      <c r="P76" s="17">
        <f>SUMIF(modeldata!$AB:$AB,Transfers!$J76,modeldata!Z:Z)</f>
        <v>2</v>
      </c>
      <c r="Q76" s="17">
        <f>SUMIF(modeldata!$AB:$AB,Transfers!$J76,modeldata!AA:AA)</f>
        <v>2</v>
      </c>
      <c r="R76" s="17">
        <f t="shared" si="13"/>
        <v>12</v>
      </c>
    </row>
    <row r="77" spans="1:18" x14ac:dyDescent="0.25">
      <c r="A77" s="139" t="s">
        <v>253</v>
      </c>
      <c r="B77" s="17">
        <f>OBS_Transfers!F8+OBS_Transfers!H8</f>
        <v>0</v>
      </c>
      <c r="C77" s="17">
        <f>OBS_Transfers!F22+OBS_Transfers!H22</f>
        <v>0</v>
      </c>
      <c r="D77" s="17">
        <f>OBS_Transfers!F29+OBS_Transfers!H29</f>
        <v>0</v>
      </c>
      <c r="E77" s="17">
        <f>OBS_Transfers!F15+OBS_Transfers!H15</f>
        <v>0</v>
      </c>
      <c r="F77" s="17">
        <f>OBS_Transfers!F36+OBS_Transfers!H36</f>
        <v>0</v>
      </c>
      <c r="G77" s="17">
        <f>OBS_Transfers!F43+OBS_Transfers!H43</f>
        <v>0</v>
      </c>
      <c r="H77" s="17">
        <f t="shared" si="12"/>
        <v>0</v>
      </c>
      <c r="J77" s="154" t="s">
        <v>293</v>
      </c>
      <c r="K77" s="139" t="s">
        <v>253</v>
      </c>
      <c r="L77" s="17">
        <f>SUMIF(modeldata!$AB:$AB,Transfers!$J77,modeldata!V:V)</f>
        <v>2</v>
      </c>
      <c r="M77" s="17">
        <f>SUMIF(modeldata!$AB:$AB,Transfers!$J77,modeldata!W:W)</f>
        <v>2</v>
      </c>
      <c r="N77" s="17">
        <f>SUMIF(modeldata!$AB:$AB,Transfers!$J77,modeldata!X:X)</f>
        <v>2</v>
      </c>
      <c r="O77" s="17">
        <f>SUMIF(modeldata!$AB:$AB,Transfers!$J77,modeldata!Y:Y)</f>
        <v>2</v>
      </c>
      <c r="P77" s="17">
        <f>SUMIF(modeldata!$AB:$AB,Transfers!$J77,modeldata!Z:Z)</f>
        <v>2</v>
      </c>
      <c r="Q77" s="17">
        <f>SUMIF(modeldata!$AB:$AB,Transfers!$J77,modeldata!AA:AA)</f>
        <v>2</v>
      </c>
      <c r="R77" s="17">
        <f t="shared" si="13"/>
        <v>12</v>
      </c>
    </row>
    <row r="78" spans="1:18" x14ac:dyDescent="0.25">
      <c r="A78" s="139" t="s">
        <v>254</v>
      </c>
      <c r="B78" s="17">
        <f>OBS_Transfers!F9+OBS_Transfers!H9</f>
        <v>0</v>
      </c>
      <c r="C78" s="17">
        <f>OBS_Transfers!F23+OBS_Transfers!H23</f>
        <v>0</v>
      </c>
      <c r="D78" s="17">
        <f>OBS_Transfers!F30+OBS_Transfers!H30</f>
        <v>0</v>
      </c>
      <c r="E78" s="17">
        <f>OBS_Transfers!F16+OBS_Transfers!H16</f>
        <v>0</v>
      </c>
      <c r="F78" s="17">
        <f>OBS_Transfers!F37+OBS_Transfers!H37</f>
        <v>0</v>
      </c>
      <c r="G78" s="17">
        <f>OBS_Transfers!F44+OBS_Transfers!H44</f>
        <v>0</v>
      </c>
      <c r="H78" s="17">
        <f t="shared" si="12"/>
        <v>0</v>
      </c>
      <c r="J78" s="154" t="s">
        <v>294</v>
      </c>
      <c r="K78" s="139" t="s">
        <v>254</v>
      </c>
      <c r="L78" s="17">
        <f>SUMIF(modeldata!$AB:$AB,Transfers!$J78,modeldata!V:V)</f>
        <v>2</v>
      </c>
      <c r="M78" s="17">
        <f>SUMIF(modeldata!$AB:$AB,Transfers!$J78,modeldata!W:W)</f>
        <v>2</v>
      </c>
      <c r="N78" s="17">
        <f>SUMIF(modeldata!$AB:$AB,Transfers!$J78,modeldata!X:X)</f>
        <v>2</v>
      </c>
      <c r="O78" s="17">
        <f>SUMIF(modeldata!$AB:$AB,Transfers!$J78,modeldata!Y:Y)</f>
        <v>2</v>
      </c>
      <c r="P78" s="17">
        <f>SUMIF(modeldata!$AB:$AB,Transfers!$J78,modeldata!Z:Z)</f>
        <v>2</v>
      </c>
      <c r="Q78" s="17">
        <f>SUMIF(modeldata!$AB:$AB,Transfers!$J78,modeldata!AA:AA)</f>
        <v>2</v>
      </c>
      <c r="R78" s="17">
        <f t="shared" si="13"/>
        <v>12</v>
      </c>
    </row>
    <row r="79" spans="1:18" x14ac:dyDescent="0.25">
      <c r="A79" s="139" t="s">
        <v>255</v>
      </c>
      <c r="B79" s="17">
        <f>OBS_Transfers!F10+OBS_Transfers!H10</f>
        <v>0</v>
      </c>
      <c r="C79" s="17">
        <f>OBS_Transfers!F24+OBS_Transfers!H24</f>
        <v>0</v>
      </c>
      <c r="D79" s="17">
        <f>OBS_Transfers!F31+OBS_Transfers!H31</f>
        <v>0</v>
      </c>
      <c r="E79" s="17">
        <f>OBS_Transfers!F17+OBS_Transfers!H17</f>
        <v>0</v>
      </c>
      <c r="F79" s="17">
        <f>OBS_Transfers!F38+OBS_Transfers!H38</f>
        <v>0</v>
      </c>
      <c r="G79" s="17">
        <f>OBS_Transfers!F45+OBS_Transfers!H45</f>
        <v>0</v>
      </c>
      <c r="H79" s="17">
        <f t="shared" si="12"/>
        <v>0</v>
      </c>
      <c r="J79" s="154" t="s">
        <v>295</v>
      </c>
      <c r="K79" s="139" t="s">
        <v>255</v>
      </c>
      <c r="L79" s="17">
        <f>SUMIF(modeldata!$AB:$AB,Transfers!$J79,modeldata!V:V)</f>
        <v>2</v>
      </c>
      <c r="M79" s="17">
        <f>SUMIF(modeldata!$AB:$AB,Transfers!$J79,modeldata!W:W)</f>
        <v>2</v>
      </c>
      <c r="N79" s="17">
        <f>SUMIF(modeldata!$AB:$AB,Transfers!$J79,modeldata!X:X)</f>
        <v>2</v>
      </c>
      <c r="O79" s="17">
        <f>SUMIF(modeldata!$AB:$AB,Transfers!$J79,modeldata!Y:Y)</f>
        <v>2</v>
      </c>
      <c r="P79" s="17">
        <f>SUMIF(modeldata!$AB:$AB,Transfers!$J79,modeldata!Z:Z)</f>
        <v>2</v>
      </c>
      <c r="Q79" s="17">
        <f>SUMIF(modeldata!$AB:$AB,Transfers!$J79,modeldata!AA:AA)</f>
        <v>2</v>
      </c>
      <c r="R79" s="17">
        <f t="shared" si="13"/>
        <v>12</v>
      </c>
    </row>
    <row r="80" spans="1:18" x14ac:dyDescent="0.25">
      <c r="A80" s="140" t="s">
        <v>256</v>
      </c>
      <c r="B80" s="18">
        <f>OBS_Transfers!F11+OBS_Transfers!H11</f>
        <v>0</v>
      </c>
      <c r="C80" s="18">
        <f>OBS_Transfers!F25+OBS_Transfers!H25</f>
        <v>0</v>
      </c>
      <c r="D80" s="18">
        <f>OBS_Transfers!F32+OBS_Transfers!H32</f>
        <v>0</v>
      </c>
      <c r="E80" s="18">
        <f>OBS_Transfers!F18+OBS_Transfers!H18</f>
        <v>0</v>
      </c>
      <c r="F80" s="18">
        <f>OBS_Transfers!F39+OBS_Transfers!H39</f>
        <v>0</v>
      </c>
      <c r="G80" s="18">
        <f>OBS_Transfers!F46+OBS_Transfers!H46</f>
        <v>0</v>
      </c>
      <c r="H80" s="18">
        <f t="shared" si="12"/>
        <v>0</v>
      </c>
      <c r="J80" s="154" t="s">
        <v>296</v>
      </c>
      <c r="K80" s="140" t="s">
        <v>256</v>
      </c>
      <c r="L80" s="18">
        <f>SUMIF(modeldata!$AB:$AB,Transfers!$J80,modeldata!V:V)</f>
        <v>2</v>
      </c>
      <c r="M80" s="18">
        <f>SUMIF(modeldata!$AB:$AB,Transfers!$J80,modeldata!W:W)</f>
        <v>2</v>
      </c>
      <c r="N80" s="18">
        <f>SUMIF(modeldata!$AB:$AB,Transfers!$J80,modeldata!X:X)</f>
        <v>2</v>
      </c>
      <c r="O80" s="18">
        <f>SUMIF(modeldata!$AB:$AB,Transfers!$J80,modeldata!Y:Y)</f>
        <v>2</v>
      </c>
      <c r="P80" s="18">
        <f>SUMIF(modeldata!$AB:$AB,Transfers!$J80,modeldata!Z:Z)</f>
        <v>2</v>
      </c>
      <c r="Q80" s="18">
        <f>SUMIF(modeldata!$AB:$AB,Transfers!$J80,modeldata!AA:AA)</f>
        <v>2</v>
      </c>
      <c r="R80" s="18">
        <f t="shared" si="13"/>
        <v>12</v>
      </c>
    </row>
    <row r="81" spans="1:18" x14ac:dyDescent="0.25">
      <c r="A81" s="139" t="s">
        <v>7</v>
      </c>
      <c r="B81" s="17">
        <f t="shared" ref="B81:H81" si="14">SUM(B75:B80)</f>
        <v>0</v>
      </c>
      <c r="C81" s="17">
        <f t="shared" si="14"/>
        <v>0</v>
      </c>
      <c r="D81" s="17">
        <f t="shared" si="14"/>
        <v>0</v>
      </c>
      <c r="E81" s="17">
        <f t="shared" si="14"/>
        <v>0</v>
      </c>
      <c r="F81" s="17">
        <f t="shared" si="14"/>
        <v>0</v>
      </c>
      <c r="G81" s="17">
        <f t="shared" si="14"/>
        <v>0</v>
      </c>
      <c r="H81" s="17">
        <f t="shared" si="14"/>
        <v>0</v>
      </c>
      <c r="K81" s="139" t="s">
        <v>7</v>
      </c>
      <c r="L81" s="17">
        <f t="shared" ref="L81:R81" si="15">SUM(L75:L80)</f>
        <v>12</v>
      </c>
      <c r="M81" s="17">
        <f t="shared" si="15"/>
        <v>12</v>
      </c>
      <c r="N81" s="17">
        <f t="shared" si="15"/>
        <v>12</v>
      </c>
      <c r="O81" s="17">
        <f t="shared" si="15"/>
        <v>12</v>
      </c>
      <c r="P81" s="17">
        <f t="shared" si="15"/>
        <v>12</v>
      </c>
      <c r="Q81" s="17">
        <f t="shared" si="15"/>
        <v>12</v>
      </c>
      <c r="R81" s="17">
        <f t="shared" si="15"/>
        <v>72</v>
      </c>
    </row>
    <row r="83" spans="1:18" x14ac:dyDescent="0.25">
      <c r="A83" s="140"/>
      <c r="B83" s="8" t="s">
        <v>263</v>
      </c>
      <c r="C83" s="8" t="s">
        <v>239</v>
      </c>
      <c r="D83" s="8" t="s">
        <v>265</v>
      </c>
      <c r="E83" s="8" t="s">
        <v>264</v>
      </c>
      <c r="F83" s="8" t="s">
        <v>266</v>
      </c>
      <c r="G83" s="8" t="s">
        <v>267</v>
      </c>
      <c r="H83" s="8" t="s">
        <v>7</v>
      </c>
      <c r="K83" s="140"/>
      <c r="L83" s="8" t="s">
        <v>263</v>
      </c>
      <c r="M83" s="8" t="s">
        <v>239</v>
      </c>
      <c r="N83" s="8" t="s">
        <v>265</v>
      </c>
      <c r="O83" s="8" t="s">
        <v>264</v>
      </c>
      <c r="P83" s="8" t="s">
        <v>266</v>
      </c>
      <c r="Q83" s="8" t="s">
        <v>267</v>
      </c>
      <c r="R83" s="8" t="s">
        <v>7</v>
      </c>
    </row>
    <row r="84" spans="1:18" x14ac:dyDescent="0.25">
      <c r="A84" s="139" t="s">
        <v>251</v>
      </c>
      <c r="B84" s="150" t="e">
        <f t="shared" ref="B84:H90" si="16">B75/B$81</f>
        <v>#DIV/0!</v>
      </c>
      <c r="C84" s="150" t="e">
        <f t="shared" si="16"/>
        <v>#DIV/0!</v>
      </c>
      <c r="D84" s="150" t="e">
        <f t="shared" si="16"/>
        <v>#DIV/0!</v>
      </c>
      <c r="E84" s="150" t="e">
        <f t="shared" si="16"/>
        <v>#DIV/0!</v>
      </c>
      <c r="F84" s="150" t="e">
        <f t="shared" si="16"/>
        <v>#DIV/0!</v>
      </c>
      <c r="G84" s="150" t="e">
        <f t="shared" si="16"/>
        <v>#DIV/0!</v>
      </c>
      <c r="H84" s="150" t="e">
        <f t="shared" si="16"/>
        <v>#DIV/0!</v>
      </c>
      <c r="K84" s="139" t="s">
        <v>251</v>
      </c>
      <c r="L84" s="150">
        <f t="shared" ref="L84:R90" si="17">L75/L$81</f>
        <v>0.16666666666666666</v>
      </c>
      <c r="M84" s="150">
        <f t="shared" si="17"/>
        <v>0.16666666666666666</v>
      </c>
      <c r="N84" s="150">
        <f t="shared" si="17"/>
        <v>0.16666666666666666</v>
      </c>
      <c r="O84" s="150">
        <f t="shared" si="17"/>
        <v>0.16666666666666666</v>
      </c>
      <c r="P84" s="150">
        <f t="shared" si="17"/>
        <v>0.16666666666666666</v>
      </c>
      <c r="Q84" s="150">
        <f t="shared" si="17"/>
        <v>0.16666666666666666</v>
      </c>
      <c r="R84" s="150">
        <f t="shared" si="17"/>
        <v>0.16666666666666666</v>
      </c>
    </row>
    <row r="85" spans="1:18" x14ac:dyDescent="0.25">
      <c r="A85" s="139" t="s">
        <v>252</v>
      </c>
      <c r="B85" s="150" t="e">
        <f t="shared" si="16"/>
        <v>#DIV/0!</v>
      </c>
      <c r="C85" s="150" t="e">
        <f t="shared" si="16"/>
        <v>#DIV/0!</v>
      </c>
      <c r="D85" s="150" t="e">
        <f t="shared" si="16"/>
        <v>#DIV/0!</v>
      </c>
      <c r="E85" s="150" t="e">
        <f t="shared" si="16"/>
        <v>#DIV/0!</v>
      </c>
      <c r="F85" s="150" t="e">
        <f t="shared" si="16"/>
        <v>#DIV/0!</v>
      </c>
      <c r="G85" s="150" t="e">
        <f t="shared" si="16"/>
        <v>#DIV/0!</v>
      </c>
      <c r="H85" s="150" t="e">
        <f t="shared" si="16"/>
        <v>#DIV/0!</v>
      </c>
      <c r="K85" s="139" t="s">
        <v>252</v>
      </c>
      <c r="L85" s="150">
        <f t="shared" si="17"/>
        <v>0.16666666666666666</v>
      </c>
      <c r="M85" s="150">
        <f t="shared" si="17"/>
        <v>0.16666666666666666</v>
      </c>
      <c r="N85" s="150">
        <f t="shared" si="17"/>
        <v>0.16666666666666666</v>
      </c>
      <c r="O85" s="150">
        <f t="shared" si="17"/>
        <v>0.16666666666666666</v>
      </c>
      <c r="P85" s="150">
        <f t="shared" si="17"/>
        <v>0.16666666666666666</v>
      </c>
      <c r="Q85" s="150">
        <f t="shared" si="17"/>
        <v>0.16666666666666666</v>
      </c>
      <c r="R85" s="150">
        <f t="shared" si="17"/>
        <v>0.16666666666666666</v>
      </c>
    </row>
    <row r="86" spans="1:18" x14ac:dyDescent="0.25">
      <c r="A86" s="139" t="s">
        <v>253</v>
      </c>
      <c r="B86" s="150" t="e">
        <f t="shared" si="16"/>
        <v>#DIV/0!</v>
      </c>
      <c r="C86" s="150" t="e">
        <f t="shared" si="16"/>
        <v>#DIV/0!</v>
      </c>
      <c r="D86" s="150" t="e">
        <f t="shared" si="16"/>
        <v>#DIV/0!</v>
      </c>
      <c r="E86" s="150" t="e">
        <f t="shared" si="16"/>
        <v>#DIV/0!</v>
      </c>
      <c r="F86" s="150" t="e">
        <f t="shared" si="16"/>
        <v>#DIV/0!</v>
      </c>
      <c r="G86" s="150" t="e">
        <f t="shared" si="16"/>
        <v>#DIV/0!</v>
      </c>
      <c r="H86" s="150" t="e">
        <f t="shared" si="16"/>
        <v>#DIV/0!</v>
      </c>
      <c r="K86" s="139" t="s">
        <v>253</v>
      </c>
      <c r="L86" s="150">
        <f t="shared" si="17"/>
        <v>0.16666666666666666</v>
      </c>
      <c r="M86" s="150">
        <f t="shared" si="17"/>
        <v>0.16666666666666666</v>
      </c>
      <c r="N86" s="150">
        <f t="shared" si="17"/>
        <v>0.16666666666666666</v>
      </c>
      <c r="O86" s="150">
        <f t="shared" si="17"/>
        <v>0.16666666666666666</v>
      </c>
      <c r="P86" s="150">
        <f t="shared" si="17"/>
        <v>0.16666666666666666</v>
      </c>
      <c r="Q86" s="150">
        <f t="shared" si="17"/>
        <v>0.16666666666666666</v>
      </c>
      <c r="R86" s="150">
        <f t="shared" si="17"/>
        <v>0.16666666666666666</v>
      </c>
    </row>
    <row r="87" spans="1:18" x14ac:dyDescent="0.25">
      <c r="A87" s="139" t="s">
        <v>254</v>
      </c>
      <c r="B87" s="150" t="e">
        <f t="shared" si="16"/>
        <v>#DIV/0!</v>
      </c>
      <c r="C87" s="150" t="e">
        <f t="shared" si="16"/>
        <v>#DIV/0!</v>
      </c>
      <c r="D87" s="150" t="e">
        <f t="shared" si="16"/>
        <v>#DIV/0!</v>
      </c>
      <c r="E87" s="150" t="e">
        <f t="shared" si="16"/>
        <v>#DIV/0!</v>
      </c>
      <c r="F87" s="150" t="e">
        <f t="shared" si="16"/>
        <v>#DIV/0!</v>
      </c>
      <c r="G87" s="150" t="e">
        <f t="shared" si="16"/>
        <v>#DIV/0!</v>
      </c>
      <c r="H87" s="150" t="e">
        <f t="shared" si="16"/>
        <v>#DIV/0!</v>
      </c>
      <c r="K87" s="139" t="s">
        <v>254</v>
      </c>
      <c r="L87" s="150">
        <f t="shared" si="17"/>
        <v>0.16666666666666666</v>
      </c>
      <c r="M87" s="150">
        <f t="shared" si="17"/>
        <v>0.16666666666666666</v>
      </c>
      <c r="N87" s="150">
        <f t="shared" si="17"/>
        <v>0.16666666666666666</v>
      </c>
      <c r="O87" s="150">
        <f t="shared" si="17"/>
        <v>0.16666666666666666</v>
      </c>
      <c r="P87" s="150">
        <f t="shared" si="17"/>
        <v>0.16666666666666666</v>
      </c>
      <c r="Q87" s="150">
        <f t="shared" si="17"/>
        <v>0.16666666666666666</v>
      </c>
      <c r="R87" s="150">
        <f t="shared" si="17"/>
        <v>0.16666666666666666</v>
      </c>
    </row>
    <row r="88" spans="1:18" x14ac:dyDescent="0.25">
      <c r="A88" s="139" t="s">
        <v>255</v>
      </c>
      <c r="B88" s="150" t="e">
        <f t="shared" si="16"/>
        <v>#DIV/0!</v>
      </c>
      <c r="C88" s="150" t="e">
        <f t="shared" si="16"/>
        <v>#DIV/0!</v>
      </c>
      <c r="D88" s="150" t="e">
        <f t="shared" si="16"/>
        <v>#DIV/0!</v>
      </c>
      <c r="E88" s="150" t="e">
        <f t="shared" si="16"/>
        <v>#DIV/0!</v>
      </c>
      <c r="F88" s="150" t="e">
        <f t="shared" si="16"/>
        <v>#DIV/0!</v>
      </c>
      <c r="G88" s="150" t="e">
        <f t="shared" si="16"/>
        <v>#DIV/0!</v>
      </c>
      <c r="H88" s="150" t="e">
        <f t="shared" si="16"/>
        <v>#DIV/0!</v>
      </c>
      <c r="K88" s="139" t="s">
        <v>255</v>
      </c>
      <c r="L88" s="150">
        <f t="shared" si="17"/>
        <v>0.16666666666666666</v>
      </c>
      <c r="M88" s="150">
        <f t="shared" si="17"/>
        <v>0.16666666666666666</v>
      </c>
      <c r="N88" s="150">
        <f t="shared" si="17"/>
        <v>0.16666666666666666</v>
      </c>
      <c r="O88" s="150">
        <f t="shared" si="17"/>
        <v>0.16666666666666666</v>
      </c>
      <c r="P88" s="150">
        <f t="shared" si="17"/>
        <v>0.16666666666666666</v>
      </c>
      <c r="Q88" s="150">
        <f t="shared" si="17"/>
        <v>0.16666666666666666</v>
      </c>
      <c r="R88" s="150">
        <f t="shared" si="17"/>
        <v>0.16666666666666666</v>
      </c>
    </row>
    <row r="89" spans="1:18" x14ac:dyDescent="0.25">
      <c r="A89" s="140" t="s">
        <v>256</v>
      </c>
      <c r="B89" s="151" t="e">
        <f t="shared" si="16"/>
        <v>#DIV/0!</v>
      </c>
      <c r="C89" s="151" t="e">
        <f t="shared" si="16"/>
        <v>#DIV/0!</v>
      </c>
      <c r="D89" s="151" t="e">
        <f t="shared" si="16"/>
        <v>#DIV/0!</v>
      </c>
      <c r="E89" s="151" t="e">
        <f t="shared" si="16"/>
        <v>#DIV/0!</v>
      </c>
      <c r="F89" s="151" t="e">
        <f t="shared" si="16"/>
        <v>#DIV/0!</v>
      </c>
      <c r="G89" s="151" t="e">
        <f t="shared" si="16"/>
        <v>#DIV/0!</v>
      </c>
      <c r="H89" s="151" t="e">
        <f t="shared" si="16"/>
        <v>#DIV/0!</v>
      </c>
      <c r="K89" s="140" t="s">
        <v>256</v>
      </c>
      <c r="L89" s="151">
        <f t="shared" si="17"/>
        <v>0.16666666666666666</v>
      </c>
      <c r="M89" s="151">
        <f t="shared" si="17"/>
        <v>0.16666666666666666</v>
      </c>
      <c r="N89" s="151">
        <f t="shared" si="17"/>
        <v>0.16666666666666666</v>
      </c>
      <c r="O89" s="151">
        <f t="shared" si="17"/>
        <v>0.16666666666666666</v>
      </c>
      <c r="P89" s="151">
        <f t="shared" si="17"/>
        <v>0.16666666666666666</v>
      </c>
      <c r="Q89" s="151">
        <f t="shared" si="17"/>
        <v>0.16666666666666666</v>
      </c>
      <c r="R89" s="151">
        <f t="shared" si="17"/>
        <v>0.16666666666666666</v>
      </c>
    </row>
    <row r="90" spans="1:18" x14ac:dyDescent="0.25">
      <c r="A90" s="139" t="s">
        <v>7</v>
      </c>
      <c r="B90" s="150" t="e">
        <f t="shared" si="16"/>
        <v>#DIV/0!</v>
      </c>
      <c r="C90" s="150" t="e">
        <f t="shared" si="16"/>
        <v>#DIV/0!</v>
      </c>
      <c r="D90" s="150" t="e">
        <f t="shared" si="16"/>
        <v>#DIV/0!</v>
      </c>
      <c r="E90" s="150" t="e">
        <f t="shared" si="16"/>
        <v>#DIV/0!</v>
      </c>
      <c r="F90" s="150" t="e">
        <f t="shared" si="16"/>
        <v>#DIV/0!</v>
      </c>
      <c r="G90" s="150" t="e">
        <f t="shared" si="16"/>
        <v>#DIV/0!</v>
      </c>
      <c r="H90" s="150" t="e">
        <f t="shared" si="16"/>
        <v>#DIV/0!</v>
      </c>
      <c r="K90" s="139" t="s">
        <v>7</v>
      </c>
      <c r="L90" s="150">
        <f t="shared" si="17"/>
        <v>1</v>
      </c>
      <c r="M90" s="150">
        <f t="shared" si="17"/>
        <v>1</v>
      </c>
      <c r="N90" s="150">
        <f t="shared" si="17"/>
        <v>1</v>
      </c>
      <c r="O90" s="150">
        <f t="shared" si="17"/>
        <v>1</v>
      </c>
      <c r="P90" s="150">
        <f t="shared" si="17"/>
        <v>1</v>
      </c>
      <c r="Q90" s="150">
        <f t="shared" si="17"/>
        <v>1</v>
      </c>
      <c r="R90" s="150">
        <f t="shared" si="17"/>
        <v>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2D86-BBEC-4DD0-BEB1-1CC0BD9D5D0F}">
  <sheetPr>
    <tabColor theme="5"/>
  </sheetPr>
  <dimension ref="A1:AQ37"/>
  <sheetViews>
    <sheetView workbookViewId="0">
      <selection activeCell="D35" sqref="D35"/>
    </sheetView>
  </sheetViews>
  <sheetFormatPr defaultRowHeight="15" x14ac:dyDescent="0.25"/>
  <cols>
    <col min="1" max="1" width="12" customWidth="1"/>
    <col min="2" max="2" width="9.5703125" customWidth="1"/>
    <col min="3" max="3" width="11.140625" customWidth="1"/>
    <col min="12" max="12" width="17.28515625" customWidth="1"/>
    <col min="13" max="13" width="9.5703125" customWidth="1"/>
    <col min="14" max="14" width="11.140625" customWidth="1"/>
    <col min="23" max="23" width="17.28515625" customWidth="1"/>
    <col min="24" max="24" width="9.5703125" customWidth="1"/>
    <col min="25" max="25" width="11.140625" customWidth="1"/>
    <col min="34" max="34" width="17.28515625" customWidth="1"/>
    <col min="35" max="35" width="9.5703125" customWidth="1"/>
    <col min="36" max="36" width="11.140625" customWidth="1"/>
  </cols>
  <sheetData>
    <row r="1" spans="1:43" x14ac:dyDescent="0.25">
      <c r="B1" s="11" t="s">
        <v>268</v>
      </c>
      <c r="C1" s="11"/>
      <c r="D1" s="11"/>
      <c r="E1" s="11"/>
      <c r="F1" s="11"/>
      <c r="G1" s="11"/>
      <c r="H1" s="11"/>
      <c r="I1" s="11"/>
      <c r="J1" s="11"/>
      <c r="M1" s="11" t="s">
        <v>289</v>
      </c>
      <c r="N1" s="11"/>
      <c r="O1" s="11"/>
      <c r="P1" s="11"/>
      <c r="Q1" s="11"/>
      <c r="R1" s="11"/>
      <c r="S1" s="11"/>
      <c r="T1" s="11"/>
      <c r="U1" s="11"/>
      <c r="X1" s="11" t="s">
        <v>290</v>
      </c>
      <c r="Y1" s="11"/>
      <c r="Z1" s="11"/>
      <c r="AA1" s="11"/>
      <c r="AB1" s="11"/>
      <c r="AC1" s="11"/>
      <c r="AD1" s="11"/>
      <c r="AE1" s="11"/>
      <c r="AF1" s="11"/>
      <c r="AI1" s="11" t="s">
        <v>291</v>
      </c>
      <c r="AJ1" s="11"/>
      <c r="AK1" s="11"/>
      <c r="AL1" s="11"/>
      <c r="AM1" s="11"/>
      <c r="AN1" s="11"/>
      <c r="AO1" s="11"/>
      <c r="AP1" s="11"/>
      <c r="AQ1" s="11"/>
    </row>
    <row r="2" spans="1:43" x14ac:dyDescent="0.25">
      <c r="B2" s="6" t="s">
        <v>285</v>
      </c>
      <c r="C2" s="6"/>
      <c r="D2" s="6"/>
      <c r="E2" s="6"/>
      <c r="F2" s="6"/>
      <c r="G2" s="6"/>
      <c r="H2" s="6"/>
      <c r="I2" s="6"/>
      <c r="J2" s="6"/>
      <c r="M2" s="6" t="s">
        <v>285</v>
      </c>
      <c r="N2" s="6"/>
      <c r="O2" s="6"/>
      <c r="P2" s="6"/>
      <c r="Q2" s="6"/>
      <c r="R2" s="6"/>
      <c r="S2" s="6"/>
      <c r="T2" s="6"/>
      <c r="U2" s="6"/>
      <c r="X2" s="6" t="s">
        <v>285</v>
      </c>
      <c r="Y2" s="6"/>
      <c r="Z2" s="6"/>
      <c r="AA2" s="6"/>
      <c r="AB2" s="6"/>
      <c r="AC2" s="6"/>
      <c r="AD2" s="6"/>
      <c r="AE2" s="6"/>
      <c r="AF2" s="6"/>
      <c r="AI2" s="6" t="s">
        <v>285</v>
      </c>
      <c r="AJ2" s="6"/>
      <c r="AK2" s="6"/>
      <c r="AL2" s="6"/>
      <c r="AM2" s="6"/>
      <c r="AN2" s="6"/>
      <c r="AO2" s="6"/>
      <c r="AP2" s="6"/>
      <c r="AQ2" s="6"/>
    </row>
    <row r="3" spans="1:43" x14ac:dyDescent="0.25">
      <c r="A3" s="157"/>
      <c r="B3" s="157"/>
      <c r="C3" s="8" t="s">
        <v>286</v>
      </c>
      <c r="D3" s="8" t="s">
        <v>263</v>
      </c>
      <c r="E3" s="8" t="s">
        <v>239</v>
      </c>
      <c r="F3" s="8" t="s">
        <v>265</v>
      </c>
      <c r="G3" s="8" t="s">
        <v>264</v>
      </c>
      <c r="H3" s="8" t="s">
        <v>266</v>
      </c>
      <c r="I3" s="8" t="s">
        <v>267</v>
      </c>
      <c r="J3" s="8" t="s">
        <v>7</v>
      </c>
      <c r="L3" s="157"/>
      <c r="M3" s="157"/>
      <c r="N3" s="8" t="s">
        <v>286</v>
      </c>
      <c r="O3" s="8" t="s">
        <v>263</v>
      </c>
      <c r="P3" s="8" t="s">
        <v>239</v>
      </c>
      <c r="Q3" s="8" t="s">
        <v>265</v>
      </c>
      <c r="R3" s="8" t="s">
        <v>264</v>
      </c>
      <c r="S3" s="8" t="s">
        <v>266</v>
      </c>
      <c r="T3" s="8" t="s">
        <v>267</v>
      </c>
      <c r="U3" s="8" t="s">
        <v>7</v>
      </c>
      <c r="W3" s="157"/>
      <c r="X3" s="157"/>
      <c r="Y3" s="8" t="s">
        <v>286</v>
      </c>
      <c r="Z3" s="8" t="s">
        <v>263</v>
      </c>
      <c r="AA3" s="8" t="s">
        <v>239</v>
      </c>
      <c r="AB3" s="8" t="s">
        <v>265</v>
      </c>
      <c r="AC3" s="8" t="s">
        <v>264</v>
      </c>
      <c r="AD3" s="8" t="s">
        <v>266</v>
      </c>
      <c r="AE3" s="8" t="s">
        <v>267</v>
      </c>
      <c r="AF3" s="8" t="s">
        <v>7</v>
      </c>
      <c r="AH3" s="157"/>
      <c r="AI3" s="157"/>
      <c r="AJ3" s="8" t="s">
        <v>286</v>
      </c>
      <c r="AK3" s="8" t="s">
        <v>263</v>
      </c>
      <c r="AL3" s="8" t="s">
        <v>239</v>
      </c>
      <c r="AM3" s="8" t="s">
        <v>265</v>
      </c>
      <c r="AN3" s="8" t="s">
        <v>264</v>
      </c>
      <c r="AO3" s="8" t="s">
        <v>266</v>
      </c>
      <c r="AP3" s="8" t="s">
        <v>267</v>
      </c>
      <c r="AQ3" s="8" t="s">
        <v>7</v>
      </c>
    </row>
    <row r="4" spans="1:43" x14ac:dyDescent="0.25">
      <c r="A4" s="158" t="str">
        <f t="shared" ref="A4:A10" si="0">CONCATENATE(C4,"-2")</f>
        <v>Local-2</v>
      </c>
      <c r="B4" s="159" t="s">
        <v>252</v>
      </c>
      <c r="C4" s="159" t="s">
        <v>241</v>
      </c>
      <c r="D4" s="15">
        <f>SUMIF(modeldata!$AC:$AC,FirstTransitMode!$A4,modeldata!V:V)</f>
        <v>3</v>
      </c>
      <c r="E4" s="15">
        <f>SUMIF(modeldata!$AC:$AC,FirstTransitMode!$A4,modeldata!X:X)</f>
        <v>3</v>
      </c>
      <c r="F4" s="15">
        <f>SUMIF(modeldata!$AC:$AC,FirstTransitMode!$A4,modeldata!Y:Y)</f>
        <v>3</v>
      </c>
      <c r="G4" s="15">
        <f>SUMIF(modeldata!$AC:$AC,FirstTransitMode!$A4,modeldata!W:W)</f>
        <v>3</v>
      </c>
      <c r="H4" s="15">
        <f>SUMIF(modeldata!$AC:$AC,FirstTransitMode!$A4,modeldata!Z:Z)</f>
        <v>3</v>
      </c>
      <c r="I4" s="15">
        <f>SUMIF(modeldata!$AC:$AC,FirstTransitMode!$A4,modeldata!AA:AA)</f>
        <v>3</v>
      </c>
      <c r="J4" s="15">
        <f t="shared" ref="J4:J10" si="1">SUM(D4:I4)</f>
        <v>18</v>
      </c>
      <c r="L4" s="158" t="str">
        <f>CONCATENATE("wlk-wlk-",N4,"-2")</f>
        <v>wlk-wlk-Local-2</v>
      </c>
      <c r="M4" s="159" t="s">
        <v>252</v>
      </c>
      <c r="N4" s="159" t="s">
        <v>241</v>
      </c>
      <c r="O4" s="15">
        <f>SUMIF(modeldata!$AD:$AD,FirstTransitMode!$L4,modeldata!V:V)</f>
        <v>1</v>
      </c>
      <c r="P4" s="15">
        <f>SUMIF(modeldata!$AD:$AD,FirstTransitMode!$L4,modeldata!W:W)</f>
        <v>1</v>
      </c>
      <c r="Q4" s="15">
        <f>SUMIF(modeldata!$AD:$AD,FirstTransitMode!$L4,modeldata!X:X)</f>
        <v>1</v>
      </c>
      <c r="R4" s="15">
        <f>SUMIF(modeldata!$AD:$AD,FirstTransitMode!$L4,modeldata!Y:Y)</f>
        <v>1</v>
      </c>
      <c r="S4" s="15">
        <f>SUMIF(modeldata!$AD:$AD,FirstTransitMode!$L4,modeldata!Z:Z)</f>
        <v>1</v>
      </c>
      <c r="T4" s="15">
        <f>SUMIF(modeldata!$AD:$AD,FirstTransitMode!$L4,modeldata!AA:AA)</f>
        <v>1</v>
      </c>
      <c r="U4" s="15">
        <f t="shared" ref="U4:U10" si="2">SUM(O4:T4)</f>
        <v>6</v>
      </c>
      <c r="W4" s="158" t="str">
        <f t="shared" ref="W4:W10" si="3">CONCATENATE("drv-wlk-",Y4,"-2")</f>
        <v>drv-wlk-Local-2</v>
      </c>
      <c r="X4" s="159" t="s">
        <v>252</v>
      </c>
      <c r="Y4" s="159" t="s">
        <v>241</v>
      </c>
      <c r="Z4" s="15">
        <f>SUMIF(modeldata!$AD:$AD,FirstTransitMode!$W4,modeldata!V:V)</f>
        <v>1</v>
      </c>
      <c r="AA4" s="15">
        <f>SUMIF(modeldata!$AD:$AD,FirstTransitMode!$W4,modeldata!W:W)</f>
        <v>1</v>
      </c>
      <c r="AB4" s="15">
        <f>SUMIF(modeldata!$AD:$AD,FirstTransitMode!$W4,modeldata!X:X)</f>
        <v>1</v>
      </c>
      <c r="AC4" s="15">
        <f>SUMIF(modeldata!$AD:$AD,FirstTransitMode!$W4,modeldata!Y:Y)</f>
        <v>1</v>
      </c>
      <c r="AD4" s="15">
        <f>SUMIF(modeldata!$AD:$AD,FirstTransitMode!$W4,modeldata!Z:Z)</f>
        <v>1</v>
      </c>
      <c r="AE4" s="15">
        <f>SUMIF(modeldata!$AD:$AD,FirstTransitMode!$W4,modeldata!AA:AA)</f>
        <v>1</v>
      </c>
      <c r="AF4" s="15">
        <f t="shared" ref="AF4:AF10" si="4">SUM(Z4:AE4)</f>
        <v>6</v>
      </c>
      <c r="AH4" s="158" t="str">
        <f t="shared" ref="AH4:AH10" si="5">CONCATENATE("wlk-drv-",AJ4,"-2")</f>
        <v>wlk-drv-Local-2</v>
      </c>
      <c r="AI4" s="159" t="s">
        <v>252</v>
      </c>
      <c r="AJ4" s="159" t="s">
        <v>241</v>
      </c>
      <c r="AK4" s="15">
        <f>SUMIF(modeldata!$AD:$AD,FirstTransitMode!$AH4,modeldata!V:V)</f>
        <v>1</v>
      </c>
      <c r="AL4" s="15">
        <f>SUMIF(modeldata!$AD:$AD,FirstTransitMode!$AH4,modeldata!W:W)</f>
        <v>1</v>
      </c>
      <c r="AM4" s="15">
        <f>SUMIF(modeldata!$AD:$AD,FirstTransitMode!$AH4,modeldata!X:X)</f>
        <v>1</v>
      </c>
      <c r="AN4" s="15">
        <f>SUMIF(modeldata!$AD:$AD,FirstTransitMode!$AH4,modeldata!Y:Y)</f>
        <v>1</v>
      </c>
      <c r="AO4" s="15">
        <f>SUMIF(modeldata!$AD:$AD,FirstTransitMode!$AH4,modeldata!Z:Z)</f>
        <v>1</v>
      </c>
      <c r="AP4" s="15">
        <f>SUMIF(modeldata!$AD:$AD,FirstTransitMode!$AH4,modeldata!AA:AA)</f>
        <v>1</v>
      </c>
      <c r="AQ4" s="15">
        <f t="shared" ref="AQ4:AQ10" si="6">SUM(AK4:AP4)</f>
        <v>6</v>
      </c>
    </row>
    <row r="5" spans="1:43" x14ac:dyDescent="0.25">
      <c r="A5" s="160" t="str">
        <f t="shared" si="0"/>
        <v>Ferry-2</v>
      </c>
      <c r="C5" s="2" t="s">
        <v>239</v>
      </c>
      <c r="D5" s="17">
        <f>SUMIF(modeldata!$AC:$AC,FirstTransitMode!$A5,modeldata!V:V)</f>
        <v>0</v>
      </c>
      <c r="E5" s="17">
        <f>SUMIF(modeldata!$AC:$AC,FirstTransitMode!$A5,modeldata!X:X)</f>
        <v>0</v>
      </c>
      <c r="F5" s="17">
        <f>SUMIF(modeldata!$AC:$AC,FirstTransitMode!$A5,modeldata!Y:Y)</f>
        <v>0</v>
      </c>
      <c r="G5" s="17">
        <f>SUMIF(modeldata!$AC:$AC,FirstTransitMode!$A5,modeldata!W:W)</f>
        <v>0</v>
      </c>
      <c r="H5" s="17">
        <f>SUMIF(modeldata!$AC:$AC,FirstTransitMode!$A5,modeldata!Z:Z)</f>
        <v>0</v>
      </c>
      <c r="I5" s="17">
        <f>SUMIF(modeldata!$AC:$AC,FirstTransitMode!$A5,modeldata!AA:AA)</f>
        <v>0</v>
      </c>
      <c r="J5" s="17">
        <f t="shared" si="1"/>
        <v>0</v>
      </c>
      <c r="L5" s="160" t="str">
        <f t="shared" ref="L5:L10" si="7">CONCATENATE("wlk-wlk-",N5,"-2")</f>
        <v>wlk-wlk-Ferry-2</v>
      </c>
      <c r="N5" s="2" t="s">
        <v>239</v>
      </c>
      <c r="O5" s="17">
        <f>SUMIF(modeldata!$AD:$AD,FirstTransitMode!$L5,modeldata!V:V)</f>
        <v>0</v>
      </c>
      <c r="P5" s="17">
        <f>SUMIF(modeldata!$AD:$AD,FirstTransitMode!$L5,modeldata!W:W)</f>
        <v>0</v>
      </c>
      <c r="Q5" s="17">
        <f>SUMIF(modeldata!$AD:$AD,FirstTransitMode!$L5,modeldata!X:X)</f>
        <v>0</v>
      </c>
      <c r="R5" s="17">
        <f>SUMIF(modeldata!$AD:$AD,FirstTransitMode!$L5,modeldata!Y:Y)</f>
        <v>0</v>
      </c>
      <c r="S5" s="17">
        <f>SUMIF(modeldata!$AD:$AD,FirstTransitMode!$L5,modeldata!Z:Z)</f>
        <v>0</v>
      </c>
      <c r="T5" s="17">
        <f>SUMIF(modeldata!$AD:$AD,FirstTransitMode!$L5,modeldata!AA:AA)</f>
        <v>0</v>
      </c>
      <c r="U5" s="17">
        <f t="shared" si="2"/>
        <v>0</v>
      </c>
      <c r="W5" s="160" t="str">
        <f t="shared" si="3"/>
        <v>drv-wlk-Ferry-2</v>
      </c>
      <c r="Y5" s="2" t="s">
        <v>239</v>
      </c>
      <c r="Z5" s="17">
        <f>SUMIF(modeldata!$AD:$AD,FirstTransitMode!$W5,modeldata!V:V)</f>
        <v>0</v>
      </c>
      <c r="AA5" s="17">
        <f>SUMIF(modeldata!$AD:$AD,FirstTransitMode!$W5,modeldata!W:W)</f>
        <v>0</v>
      </c>
      <c r="AB5" s="17">
        <f>SUMIF(modeldata!$AD:$AD,FirstTransitMode!$W5,modeldata!X:X)</f>
        <v>0</v>
      </c>
      <c r="AC5" s="17">
        <f>SUMIF(modeldata!$AD:$AD,FirstTransitMode!$W5,modeldata!Y:Y)</f>
        <v>0</v>
      </c>
      <c r="AD5" s="17">
        <f>SUMIF(modeldata!$AD:$AD,FirstTransitMode!$W5,modeldata!Z:Z)</f>
        <v>0</v>
      </c>
      <c r="AE5" s="17">
        <f>SUMIF(modeldata!$AD:$AD,FirstTransitMode!$W5,modeldata!AA:AA)</f>
        <v>0</v>
      </c>
      <c r="AF5" s="17">
        <f t="shared" si="4"/>
        <v>0</v>
      </c>
      <c r="AH5" s="160" t="str">
        <f t="shared" si="5"/>
        <v>wlk-drv-Ferry-2</v>
      </c>
      <c r="AJ5" s="2" t="s">
        <v>239</v>
      </c>
      <c r="AK5" s="17">
        <f>SUMIF(modeldata!$AD:$AD,FirstTransitMode!$AH5,modeldata!V:V)</f>
        <v>0</v>
      </c>
      <c r="AL5" s="17">
        <f>SUMIF(modeldata!$AD:$AD,FirstTransitMode!$AH5,modeldata!W:W)</f>
        <v>0</v>
      </c>
      <c r="AM5" s="17">
        <f>SUMIF(modeldata!$AD:$AD,FirstTransitMode!$AH5,modeldata!X:X)</f>
        <v>0</v>
      </c>
      <c r="AN5" s="17">
        <f>SUMIF(modeldata!$AD:$AD,FirstTransitMode!$AH5,modeldata!Y:Y)</f>
        <v>0</v>
      </c>
      <c r="AO5" s="17">
        <f>SUMIF(modeldata!$AD:$AD,FirstTransitMode!$AH5,modeldata!Z:Z)</f>
        <v>0</v>
      </c>
      <c r="AP5" s="17">
        <f>SUMIF(modeldata!$AD:$AD,FirstTransitMode!$AH5,modeldata!AA:AA)</f>
        <v>0</v>
      </c>
      <c r="AQ5" s="17">
        <f t="shared" si="6"/>
        <v>0</v>
      </c>
    </row>
    <row r="6" spans="1:43" x14ac:dyDescent="0.25">
      <c r="A6" s="160" t="str">
        <f t="shared" si="0"/>
        <v>LRT-2</v>
      </c>
      <c r="C6" s="2" t="s">
        <v>242</v>
      </c>
      <c r="D6" s="17">
        <f>SUMIF(modeldata!$AC:$AC,FirstTransitMode!$A6,modeldata!V:V)</f>
        <v>0</v>
      </c>
      <c r="E6" s="17">
        <f>SUMIF(modeldata!$AC:$AC,FirstTransitMode!$A6,modeldata!X:X)</f>
        <v>0</v>
      </c>
      <c r="F6" s="17">
        <f>SUMIF(modeldata!$AC:$AC,FirstTransitMode!$A6,modeldata!Y:Y)</f>
        <v>0</v>
      </c>
      <c r="G6" s="17">
        <f>SUMIF(modeldata!$AC:$AC,FirstTransitMode!$A6,modeldata!W:W)</f>
        <v>0</v>
      </c>
      <c r="H6" s="17">
        <f>SUMIF(modeldata!$AC:$AC,FirstTransitMode!$A6,modeldata!Z:Z)</f>
        <v>0</v>
      </c>
      <c r="I6" s="17">
        <f>SUMIF(modeldata!$AC:$AC,FirstTransitMode!$A6,modeldata!AA:AA)</f>
        <v>0</v>
      </c>
      <c r="J6" s="17">
        <f t="shared" si="1"/>
        <v>0</v>
      </c>
      <c r="L6" s="160" t="str">
        <f t="shared" si="7"/>
        <v>wlk-wlk-LRT-2</v>
      </c>
      <c r="N6" s="2" t="s">
        <v>242</v>
      </c>
      <c r="O6" s="17">
        <f>SUMIF(modeldata!$AD:$AD,FirstTransitMode!$L6,modeldata!V:V)</f>
        <v>0</v>
      </c>
      <c r="P6" s="17">
        <f>SUMIF(modeldata!$AD:$AD,FirstTransitMode!$L6,modeldata!W:W)</f>
        <v>0</v>
      </c>
      <c r="Q6" s="17">
        <f>SUMIF(modeldata!$AD:$AD,FirstTransitMode!$L6,modeldata!X:X)</f>
        <v>0</v>
      </c>
      <c r="R6" s="17">
        <f>SUMIF(modeldata!$AD:$AD,FirstTransitMode!$L6,modeldata!Y:Y)</f>
        <v>0</v>
      </c>
      <c r="S6" s="17">
        <f>SUMIF(modeldata!$AD:$AD,FirstTransitMode!$L6,modeldata!Z:Z)</f>
        <v>0</v>
      </c>
      <c r="T6" s="17">
        <f>SUMIF(modeldata!$AD:$AD,FirstTransitMode!$L6,modeldata!AA:AA)</f>
        <v>0</v>
      </c>
      <c r="U6" s="17">
        <f t="shared" si="2"/>
        <v>0</v>
      </c>
      <c r="W6" s="160" t="str">
        <f t="shared" si="3"/>
        <v>drv-wlk-LRT-2</v>
      </c>
      <c r="Y6" s="2" t="s">
        <v>242</v>
      </c>
      <c r="Z6" s="17">
        <f>SUMIF(modeldata!$AD:$AD,FirstTransitMode!$W6,modeldata!V:V)</f>
        <v>0</v>
      </c>
      <c r="AA6" s="17">
        <f>SUMIF(modeldata!$AD:$AD,FirstTransitMode!$W6,modeldata!W:W)</f>
        <v>0</v>
      </c>
      <c r="AB6" s="17">
        <f>SUMIF(modeldata!$AD:$AD,FirstTransitMode!$W6,modeldata!X:X)</f>
        <v>0</v>
      </c>
      <c r="AC6" s="17">
        <f>SUMIF(modeldata!$AD:$AD,FirstTransitMode!$W6,modeldata!Y:Y)</f>
        <v>0</v>
      </c>
      <c r="AD6" s="17">
        <f>SUMIF(modeldata!$AD:$AD,FirstTransitMode!$W6,modeldata!Z:Z)</f>
        <v>0</v>
      </c>
      <c r="AE6" s="17">
        <f>SUMIF(modeldata!$AD:$AD,FirstTransitMode!$W6,modeldata!AA:AA)</f>
        <v>0</v>
      </c>
      <c r="AF6" s="17">
        <f t="shared" si="4"/>
        <v>0</v>
      </c>
      <c r="AH6" s="160" t="str">
        <f t="shared" si="5"/>
        <v>wlk-drv-LRT-2</v>
      </c>
      <c r="AJ6" s="2" t="s">
        <v>242</v>
      </c>
      <c r="AK6" s="17">
        <f>SUMIF(modeldata!$AD:$AD,FirstTransitMode!$AH6,modeldata!V:V)</f>
        <v>0</v>
      </c>
      <c r="AL6" s="17">
        <f>SUMIF(modeldata!$AD:$AD,FirstTransitMode!$AH6,modeldata!W:W)</f>
        <v>0</v>
      </c>
      <c r="AM6" s="17">
        <f>SUMIF(modeldata!$AD:$AD,FirstTransitMode!$AH6,modeldata!X:X)</f>
        <v>0</v>
      </c>
      <c r="AN6" s="17">
        <f>SUMIF(modeldata!$AD:$AD,FirstTransitMode!$AH6,modeldata!Y:Y)</f>
        <v>0</v>
      </c>
      <c r="AO6" s="17">
        <f>SUMIF(modeldata!$AD:$AD,FirstTransitMode!$AH6,modeldata!Z:Z)</f>
        <v>0</v>
      </c>
      <c r="AP6" s="17">
        <f>SUMIF(modeldata!$AD:$AD,FirstTransitMode!$AH6,modeldata!AA:AA)</f>
        <v>0</v>
      </c>
      <c r="AQ6" s="17">
        <f t="shared" si="6"/>
        <v>0</v>
      </c>
    </row>
    <row r="7" spans="1:43" x14ac:dyDescent="0.25">
      <c r="A7" s="160" t="str">
        <f t="shared" si="0"/>
        <v>Express-2</v>
      </c>
      <c r="C7" s="139" t="s">
        <v>238</v>
      </c>
      <c r="D7" s="17">
        <f>SUMIF(modeldata!$AC:$AC,FirstTransitMode!$A7,modeldata!V:V)</f>
        <v>0</v>
      </c>
      <c r="E7" s="17">
        <f>SUMIF(modeldata!$AC:$AC,FirstTransitMode!$A7,modeldata!X:X)</f>
        <v>0</v>
      </c>
      <c r="F7" s="17">
        <f>SUMIF(modeldata!$AC:$AC,FirstTransitMode!$A7,modeldata!Y:Y)</f>
        <v>0</v>
      </c>
      <c r="G7" s="17">
        <f>SUMIF(modeldata!$AC:$AC,FirstTransitMode!$A7,modeldata!W:W)</f>
        <v>0</v>
      </c>
      <c r="H7" s="17">
        <f>SUMIF(modeldata!$AC:$AC,FirstTransitMode!$A7,modeldata!Z:Z)</f>
        <v>0</v>
      </c>
      <c r="I7" s="17">
        <f>SUMIF(modeldata!$AC:$AC,FirstTransitMode!$A7,modeldata!AA:AA)</f>
        <v>0</v>
      </c>
      <c r="J7" s="17">
        <f t="shared" si="1"/>
        <v>0</v>
      </c>
      <c r="L7" s="160" t="str">
        <f t="shared" si="7"/>
        <v>wlk-wlk-Express-2</v>
      </c>
      <c r="N7" s="139" t="s">
        <v>238</v>
      </c>
      <c r="O7" s="17">
        <f>SUMIF(modeldata!$AD:$AD,FirstTransitMode!$L7,modeldata!V:V)</f>
        <v>0</v>
      </c>
      <c r="P7" s="17">
        <f>SUMIF(modeldata!$AD:$AD,FirstTransitMode!$L7,modeldata!W:W)</f>
        <v>0</v>
      </c>
      <c r="Q7" s="17">
        <f>SUMIF(modeldata!$AD:$AD,FirstTransitMode!$L7,modeldata!X:X)</f>
        <v>0</v>
      </c>
      <c r="R7" s="17">
        <f>SUMIF(modeldata!$AD:$AD,FirstTransitMode!$L7,modeldata!Y:Y)</f>
        <v>0</v>
      </c>
      <c r="S7" s="17">
        <f>SUMIF(modeldata!$AD:$AD,FirstTransitMode!$L7,modeldata!Z:Z)</f>
        <v>0</v>
      </c>
      <c r="T7" s="17">
        <f>SUMIF(modeldata!$AD:$AD,FirstTransitMode!$L7,modeldata!AA:AA)</f>
        <v>0</v>
      </c>
      <c r="U7" s="17">
        <f t="shared" si="2"/>
        <v>0</v>
      </c>
      <c r="W7" s="160" t="str">
        <f t="shared" si="3"/>
        <v>drv-wlk-Express-2</v>
      </c>
      <c r="Y7" s="139" t="s">
        <v>238</v>
      </c>
      <c r="Z7" s="17">
        <f>SUMIF(modeldata!$AD:$AD,FirstTransitMode!$W7,modeldata!V:V)</f>
        <v>0</v>
      </c>
      <c r="AA7" s="17">
        <f>SUMIF(modeldata!$AD:$AD,FirstTransitMode!$W7,modeldata!W:W)</f>
        <v>0</v>
      </c>
      <c r="AB7" s="17">
        <f>SUMIF(modeldata!$AD:$AD,FirstTransitMode!$W7,modeldata!X:X)</f>
        <v>0</v>
      </c>
      <c r="AC7" s="17">
        <f>SUMIF(modeldata!$AD:$AD,FirstTransitMode!$W7,modeldata!Y:Y)</f>
        <v>0</v>
      </c>
      <c r="AD7" s="17">
        <f>SUMIF(modeldata!$AD:$AD,FirstTransitMode!$W7,modeldata!Z:Z)</f>
        <v>0</v>
      </c>
      <c r="AE7" s="17">
        <f>SUMIF(modeldata!$AD:$AD,FirstTransitMode!$W7,modeldata!AA:AA)</f>
        <v>0</v>
      </c>
      <c r="AF7" s="17">
        <f t="shared" si="4"/>
        <v>0</v>
      </c>
      <c r="AH7" s="160" t="str">
        <f t="shared" si="5"/>
        <v>wlk-drv-Express-2</v>
      </c>
      <c r="AJ7" s="139" t="s">
        <v>238</v>
      </c>
      <c r="AK7" s="17">
        <f>SUMIF(modeldata!$AD:$AD,FirstTransitMode!$AH7,modeldata!V:V)</f>
        <v>0</v>
      </c>
      <c r="AL7" s="17">
        <f>SUMIF(modeldata!$AD:$AD,FirstTransitMode!$AH7,modeldata!W:W)</f>
        <v>0</v>
      </c>
      <c r="AM7" s="17">
        <f>SUMIF(modeldata!$AD:$AD,FirstTransitMode!$AH7,modeldata!X:X)</f>
        <v>0</v>
      </c>
      <c r="AN7" s="17">
        <f>SUMIF(modeldata!$AD:$AD,FirstTransitMode!$AH7,modeldata!Y:Y)</f>
        <v>0</v>
      </c>
      <c r="AO7" s="17">
        <f>SUMIF(modeldata!$AD:$AD,FirstTransitMode!$AH7,modeldata!Z:Z)</f>
        <v>0</v>
      </c>
      <c r="AP7" s="17">
        <f>SUMIF(modeldata!$AD:$AD,FirstTransitMode!$AH7,modeldata!AA:AA)</f>
        <v>0</v>
      </c>
      <c r="AQ7" s="17">
        <f t="shared" si="6"/>
        <v>0</v>
      </c>
    </row>
    <row r="8" spans="1:43" x14ac:dyDescent="0.25">
      <c r="A8" s="160" t="str">
        <f t="shared" si="0"/>
        <v>HeavyRail-2</v>
      </c>
      <c r="C8" s="2" t="s">
        <v>240</v>
      </c>
      <c r="D8" s="17">
        <f>SUMIF(modeldata!$AC:$AC,FirstTransitMode!$A8,modeldata!V:V)</f>
        <v>0</v>
      </c>
      <c r="E8" s="17">
        <f>SUMIF(modeldata!$AC:$AC,FirstTransitMode!$A8,modeldata!X:X)</f>
        <v>0</v>
      </c>
      <c r="F8" s="17">
        <f>SUMIF(modeldata!$AC:$AC,FirstTransitMode!$A8,modeldata!Y:Y)</f>
        <v>0</v>
      </c>
      <c r="G8" s="17">
        <f>SUMIF(modeldata!$AC:$AC,FirstTransitMode!$A8,modeldata!W:W)</f>
        <v>0</v>
      </c>
      <c r="H8" s="17">
        <f>SUMIF(modeldata!$AC:$AC,FirstTransitMode!$A8,modeldata!Z:Z)</f>
        <v>0</v>
      </c>
      <c r="I8" s="17">
        <f>SUMIF(modeldata!$AC:$AC,FirstTransitMode!$A8,modeldata!AA:AA)</f>
        <v>0</v>
      </c>
      <c r="J8" s="17">
        <f t="shared" si="1"/>
        <v>0</v>
      </c>
      <c r="L8" s="160" t="str">
        <f t="shared" si="7"/>
        <v>wlk-wlk-HeavyRail-2</v>
      </c>
      <c r="N8" s="2" t="s">
        <v>240</v>
      </c>
      <c r="O8" s="17">
        <f>SUMIF(modeldata!$AD:$AD,FirstTransitMode!$L8,modeldata!V:V)</f>
        <v>0</v>
      </c>
      <c r="P8" s="17">
        <f>SUMIF(modeldata!$AD:$AD,FirstTransitMode!$L8,modeldata!W:W)</f>
        <v>0</v>
      </c>
      <c r="Q8" s="17">
        <f>SUMIF(modeldata!$AD:$AD,FirstTransitMode!$L8,modeldata!X:X)</f>
        <v>0</v>
      </c>
      <c r="R8" s="17">
        <f>SUMIF(modeldata!$AD:$AD,FirstTransitMode!$L8,modeldata!Y:Y)</f>
        <v>0</v>
      </c>
      <c r="S8" s="17">
        <f>SUMIF(modeldata!$AD:$AD,FirstTransitMode!$L8,modeldata!Z:Z)</f>
        <v>0</v>
      </c>
      <c r="T8" s="17">
        <f>SUMIF(modeldata!$AD:$AD,FirstTransitMode!$L8,modeldata!AA:AA)</f>
        <v>0</v>
      </c>
      <c r="U8" s="17">
        <f t="shared" si="2"/>
        <v>0</v>
      </c>
      <c r="W8" s="160" t="str">
        <f t="shared" si="3"/>
        <v>drv-wlk-HeavyRail-2</v>
      </c>
      <c r="Y8" s="2" t="s">
        <v>240</v>
      </c>
      <c r="Z8" s="17">
        <f>SUMIF(modeldata!$AD:$AD,FirstTransitMode!$W8,modeldata!V:V)</f>
        <v>0</v>
      </c>
      <c r="AA8" s="17">
        <f>SUMIF(modeldata!$AD:$AD,FirstTransitMode!$W8,modeldata!W:W)</f>
        <v>0</v>
      </c>
      <c r="AB8" s="17">
        <f>SUMIF(modeldata!$AD:$AD,FirstTransitMode!$W8,modeldata!X:X)</f>
        <v>0</v>
      </c>
      <c r="AC8" s="17">
        <f>SUMIF(modeldata!$AD:$AD,FirstTransitMode!$W8,modeldata!Y:Y)</f>
        <v>0</v>
      </c>
      <c r="AD8" s="17">
        <f>SUMIF(modeldata!$AD:$AD,FirstTransitMode!$W8,modeldata!Z:Z)</f>
        <v>0</v>
      </c>
      <c r="AE8" s="17">
        <f>SUMIF(modeldata!$AD:$AD,FirstTransitMode!$W8,modeldata!AA:AA)</f>
        <v>0</v>
      </c>
      <c r="AF8" s="17">
        <f t="shared" si="4"/>
        <v>0</v>
      </c>
      <c r="AH8" s="160" t="str">
        <f t="shared" si="5"/>
        <v>wlk-drv-HeavyRail-2</v>
      </c>
      <c r="AJ8" s="2" t="s">
        <v>240</v>
      </c>
      <c r="AK8" s="17">
        <f>SUMIF(modeldata!$AD:$AD,FirstTransitMode!$AH8,modeldata!V:V)</f>
        <v>0</v>
      </c>
      <c r="AL8" s="17">
        <f>SUMIF(modeldata!$AD:$AD,FirstTransitMode!$AH8,modeldata!W:W)</f>
        <v>0</v>
      </c>
      <c r="AM8" s="17">
        <f>SUMIF(modeldata!$AD:$AD,FirstTransitMode!$AH8,modeldata!X:X)</f>
        <v>0</v>
      </c>
      <c r="AN8" s="17">
        <f>SUMIF(modeldata!$AD:$AD,FirstTransitMode!$AH8,modeldata!Y:Y)</f>
        <v>0</v>
      </c>
      <c r="AO8" s="17">
        <f>SUMIF(modeldata!$AD:$AD,FirstTransitMode!$AH8,modeldata!Z:Z)</f>
        <v>0</v>
      </c>
      <c r="AP8" s="17">
        <f>SUMIF(modeldata!$AD:$AD,FirstTransitMode!$AH8,modeldata!AA:AA)</f>
        <v>0</v>
      </c>
      <c r="AQ8" s="17">
        <f t="shared" si="6"/>
        <v>0</v>
      </c>
    </row>
    <row r="9" spans="1:43" x14ac:dyDescent="0.25">
      <c r="A9" s="160" t="str">
        <f t="shared" si="0"/>
        <v>CommRail-2</v>
      </c>
      <c r="C9" s="2" t="s">
        <v>237</v>
      </c>
      <c r="D9" s="17">
        <f>SUMIF(modeldata!$AC:$AC,FirstTransitMode!$A9,modeldata!V:V)</f>
        <v>0</v>
      </c>
      <c r="E9" s="17">
        <f>SUMIF(modeldata!$AC:$AC,FirstTransitMode!$A9,modeldata!X:X)</f>
        <v>0</v>
      </c>
      <c r="F9" s="17">
        <f>SUMIF(modeldata!$AC:$AC,FirstTransitMode!$A9,modeldata!Y:Y)</f>
        <v>0</v>
      </c>
      <c r="G9" s="17">
        <f>SUMIF(modeldata!$AC:$AC,FirstTransitMode!$A9,modeldata!W:W)</f>
        <v>0</v>
      </c>
      <c r="H9" s="17">
        <f>SUMIF(modeldata!$AC:$AC,FirstTransitMode!$A9,modeldata!Z:Z)</f>
        <v>0</v>
      </c>
      <c r="I9" s="17">
        <f>SUMIF(modeldata!$AC:$AC,FirstTransitMode!$A9,modeldata!AA:AA)</f>
        <v>0</v>
      </c>
      <c r="J9" s="17">
        <f t="shared" si="1"/>
        <v>0</v>
      </c>
      <c r="L9" s="160" t="str">
        <f t="shared" si="7"/>
        <v>wlk-wlk-CommRail-2</v>
      </c>
      <c r="N9" s="2" t="s">
        <v>237</v>
      </c>
      <c r="O9" s="17">
        <f>SUMIF(modeldata!$AD:$AD,FirstTransitMode!$L9,modeldata!V:V)</f>
        <v>0</v>
      </c>
      <c r="P9" s="17">
        <f>SUMIF(modeldata!$AD:$AD,FirstTransitMode!$L9,modeldata!W:W)</f>
        <v>0</v>
      </c>
      <c r="Q9" s="17">
        <f>SUMIF(modeldata!$AD:$AD,FirstTransitMode!$L9,modeldata!X:X)</f>
        <v>0</v>
      </c>
      <c r="R9" s="17">
        <f>SUMIF(modeldata!$AD:$AD,FirstTransitMode!$L9,modeldata!Y:Y)</f>
        <v>0</v>
      </c>
      <c r="S9" s="17">
        <f>SUMIF(modeldata!$AD:$AD,FirstTransitMode!$L9,modeldata!Z:Z)</f>
        <v>0</v>
      </c>
      <c r="T9" s="17">
        <f>SUMIF(modeldata!$AD:$AD,FirstTransitMode!$L9,modeldata!AA:AA)</f>
        <v>0</v>
      </c>
      <c r="U9" s="17">
        <f t="shared" si="2"/>
        <v>0</v>
      </c>
      <c r="W9" s="160" t="str">
        <f t="shared" si="3"/>
        <v>drv-wlk-CommRail-2</v>
      </c>
      <c r="Y9" s="2" t="s">
        <v>237</v>
      </c>
      <c r="Z9" s="17">
        <f>SUMIF(modeldata!$AD:$AD,FirstTransitMode!$W9,modeldata!V:V)</f>
        <v>0</v>
      </c>
      <c r="AA9" s="17">
        <f>SUMIF(modeldata!$AD:$AD,FirstTransitMode!$W9,modeldata!W:W)</f>
        <v>0</v>
      </c>
      <c r="AB9" s="17">
        <f>SUMIF(modeldata!$AD:$AD,FirstTransitMode!$W9,modeldata!X:X)</f>
        <v>0</v>
      </c>
      <c r="AC9" s="17">
        <f>SUMIF(modeldata!$AD:$AD,FirstTransitMode!$W9,modeldata!Y:Y)</f>
        <v>0</v>
      </c>
      <c r="AD9" s="17">
        <f>SUMIF(modeldata!$AD:$AD,FirstTransitMode!$W9,modeldata!Z:Z)</f>
        <v>0</v>
      </c>
      <c r="AE9" s="17">
        <f>SUMIF(modeldata!$AD:$AD,FirstTransitMode!$W9,modeldata!AA:AA)</f>
        <v>0</v>
      </c>
      <c r="AF9" s="17">
        <f t="shared" si="4"/>
        <v>0</v>
      </c>
      <c r="AH9" s="160" t="str">
        <f t="shared" si="5"/>
        <v>wlk-drv-CommRail-2</v>
      </c>
      <c r="AJ9" s="2" t="s">
        <v>237</v>
      </c>
      <c r="AK9" s="17">
        <f>SUMIF(modeldata!$AD:$AD,FirstTransitMode!$AH9,modeldata!V:V)</f>
        <v>0</v>
      </c>
      <c r="AL9" s="17">
        <f>SUMIF(modeldata!$AD:$AD,FirstTransitMode!$AH9,modeldata!W:W)</f>
        <v>0</v>
      </c>
      <c r="AM9" s="17">
        <f>SUMIF(modeldata!$AD:$AD,FirstTransitMode!$AH9,modeldata!X:X)</f>
        <v>0</v>
      </c>
      <c r="AN9" s="17">
        <f>SUMIF(modeldata!$AD:$AD,FirstTransitMode!$AH9,modeldata!Y:Y)</f>
        <v>0</v>
      </c>
      <c r="AO9" s="17">
        <f>SUMIF(modeldata!$AD:$AD,FirstTransitMode!$AH9,modeldata!Z:Z)</f>
        <v>0</v>
      </c>
      <c r="AP9" s="17">
        <f>SUMIF(modeldata!$AD:$AD,FirstTransitMode!$AH9,modeldata!AA:AA)</f>
        <v>0</v>
      </c>
      <c r="AQ9" s="17">
        <f t="shared" si="6"/>
        <v>0</v>
      </c>
    </row>
    <row r="10" spans="1:43" x14ac:dyDescent="0.25">
      <c r="A10" s="160" t="str">
        <f t="shared" si="0"/>
        <v>Unknown-2</v>
      </c>
      <c r="C10" s="8" t="s">
        <v>287</v>
      </c>
      <c r="D10" s="18">
        <f>SUMIF(modeldata!$AC:$AC,FirstTransitMode!$A10,modeldata!V:V)</f>
        <v>0</v>
      </c>
      <c r="E10" s="18">
        <f>SUMIF(modeldata!$AC:$AC,FirstTransitMode!$A10,modeldata!X:X)</f>
        <v>0</v>
      </c>
      <c r="F10" s="18">
        <f>SUMIF(modeldata!$AC:$AC,FirstTransitMode!$A10,modeldata!Y:Y)</f>
        <v>0</v>
      </c>
      <c r="G10" s="18">
        <f>SUMIF(modeldata!$AC:$AC,FirstTransitMode!$A10,modeldata!W:W)</f>
        <v>0</v>
      </c>
      <c r="H10" s="18">
        <f>SUMIF(modeldata!$AC:$AC,FirstTransitMode!$A10,modeldata!Z:Z)</f>
        <v>0</v>
      </c>
      <c r="I10" s="18">
        <f>SUMIF(modeldata!$AC:$AC,FirstTransitMode!$A10,modeldata!AA:AA)</f>
        <v>0</v>
      </c>
      <c r="J10" s="18">
        <f t="shared" si="1"/>
        <v>0</v>
      </c>
      <c r="L10" s="160" t="str">
        <f t="shared" si="7"/>
        <v>wlk-wlk-Unknown-2</v>
      </c>
      <c r="N10" s="8" t="s">
        <v>287</v>
      </c>
      <c r="O10" s="18">
        <f>SUMIF(modeldata!$AD:$AD,FirstTransitMode!$L10,modeldata!V:V)</f>
        <v>0</v>
      </c>
      <c r="P10" s="18">
        <f>SUMIF(modeldata!$AD:$AD,FirstTransitMode!$L10,modeldata!W:W)</f>
        <v>0</v>
      </c>
      <c r="Q10" s="18">
        <f>SUMIF(modeldata!$AD:$AD,FirstTransitMode!$L10,modeldata!X:X)</f>
        <v>0</v>
      </c>
      <c r="R10" s="18">
        <f>SUMIF(modeldata!$AD:$AD,FirstTransitMode!$L10,modeldata!Y:Y)</f>
        <v>0</v>
      </c>
      <c r="S10" s="18">
        <f>SUMIF(modeldata!$AD:$AD,FirstTransitMode!$L10,modeldata!Z:Z)</f>
        <v>0</v>
      </c>
      <c r="T10" s="18">
        <f>SUMIF(modeldata!$AD:$AD,FirstTransitMode!$L10,modeldata!AA:AA)</f>
        <v>0</v>
      </c>
      <c r="U10" s="18">
        <f t="shared" si="2"/>
        <v>0</v>
      </c>
      <c r="W10" s="160" t="str">
        <f t="shared" si="3"/>
        <v>drv-wlk-Unknown-2</v>
      </c>
      <c r="Y10" s="8" t="s">
        <v>287</v>
      </c>
      <c r="Z10" s="18">
        <f>SUMIF(modeldata!$AD:$AD,FirstTransitMode!$W10,modeldata!V:V)</f>
        <v>0</v>
      </c>
      <c r="AA10" s="18">
        <f>SUMIF(modeldata!$AD:$AD,FirstTransitMode!$W10,modeldata!W:W)</f>
        <v>0</v>
      </c>
      <c r="AB10" s="18">
        <f>SUMIF(modeldata!$AD:$AD,FirstTransitMode!$W10,modeldata!X:X)</f>
        <v>0</v>
      </c>
      <c r="AC10" s="18">
        <f>SUMIF(modeldata!$AD:$AD,FirstTransitMode!$W10,modeldata!Y:Y)</f>
        <v>0</v>
      </c>
      <c r="AD10" s="18">
        <f>SUMIF(modeldata!$AD:$AD,FirstTransitMode!$W10,modeldata!Z:Z)</f>
        <v>0</v>
      </c>
      <c r="AE10" s="18">
        <f>SUMIF(modeldata!$AD:$AD,FirstTransitMode!$W10,modeldata!AA:AA)</f>
        <v>0</v>
      </c>
      <c r="AF10" s="18">
        <f t="shared" si="4"/>
        <v>0</v>
      </c>
      <c r="AH10" s="160" t="str">
        <f t="shared" si="5"/>
        <v>wlk-drv-Unknown-2</v>
      </c>
      <c r="AJ10" s="8" t="s">
        <v>287</v>
      </c>
      <c r="AK10" s="18">
        <f>SUMIF(modeldata!$AD:$AD,FirstTransitMode!$AH10,modeldata!V:V)</f>
        <v>0</v>
      </c>
      <c r="AL10" s="18">
        <f>SUMIF(modeldata!$AD:$AD,FirstTransitMode!$AH10,modeldata!W:W)</f>
        <v>0</v>
      </c>
      <c r="AM10" s="18">
        <f>SUMIF(modeldata!$AD:$AD,FirstTransitMode!$AH10,modeldata!X:X)</f>
        <v>0</v>
      </c>
      <c r="AN10" s="18">
        <f>SUMIF(modeldata!$AD:$AD,FirstTransitMode!$AH10,modeldata!Y:Y)</f>
        <v>0</v>
      </c>
      <c r="AO10" s="18">
        <f>SUMIF(modeldata!$AD:$AD,FirstTransitMode!$AH10,modeldata!Z:Z)</f>
        <v>0</v>
      </c>
      <c r="AP10" s="18">
        <f>SUMIF(modeldata!$AD:$AD,FirstTransitMode!$AH10,modeldata!AA:AA)</f>
        <v>0</v>
      </c>
      <c r="AQ10" s="18">
        <f t="shared" si="6"/>
        <v>0</v>
      </c>
    </row>
    <row r="11" spans="1:43" x14ac:dyDescent="0.25">
      <c r="A11" s="161"/>
      <c r="B11" s="157"/>
      <c r="C11" s="162" t="s">
        <v>7</v>
      </c>
      <c r="D11" s="163">
        <f t="shared" ref="D11:J11" si="8">SUM(D4:D10)</f>
        <v>3</v>
      </c>
      <c r="E11" s="163">
        <f t="shared" si="8"/>
        <v>3</v>
      </c>
      <c r="F11" s="163">
        <f t="shared" si="8"/>
        <v>3</v>
      </c>
      <c r="G11" s="163">
        <f t="shared" si="8"/>
        <v>3</v>
      </c>
      <c r="H11" s="163">
        <f t="shared" si="8"/>
        <v>3</v>
      </c>
      <c r="I11" s="163">
        <f t="shared" si="8"/>
        <v>3</v>
      </c>
      <c r="J11" s="163">
        <f t="shared" si="8"/>
        <v>18</v>
      </c>
      <c r="L11" s="161"/>
      <c r="M11" s="157"/>
      <c r="N11" s="162" t="s">
        <v>7</v>
      </c>
      <c r="O11" s="163">
        <f t="shared" ref="O11:U11" si="9">SUM(O4:O10)</f>
        <v>1</v>
      </c>
      <c r="P11" s="163">
        <f t="shared" si="9"/>
        <v>1</v>
      </c>
      <c r="Q11" s="163">
        <f t="shared" si="9"/>
        <v>1</v>
      </c>
      <c r="R11" s="163">
        <f t="shared" si="9"/>
        <v>1</v>
      </c>
      <c r="S11" s="163">
        <f t="shared" si="9"/>
        <v>1</v>
      </c>
      <c r="T11" s="163">
        <f t="shared" si="9"/>
        <v>1</v>
      </c>
      <c r="U11" s="163">
        <f t="shared" si="9"/>
        <v>6</v>
      </c>
      <c r="W11" s="161"/>
      <c r="X11" s="157"/>
      <c r="Y11" s="162" t="s">
        <v>7</v>
      </c>
      <c r="Z11" s="163">
        <f t="shared" ref="Z11:AF11" si="10">SUM(Z4:Z10)</f>
        <v>1</v>
      </c>
      <c r="AA11" s="163">
        <f t="shared" si="10"/>
        <v>1</v>
      </c>
      <c r="AB11" s="163">
        <f t="shared" si="10"/>
        <v>1</v>
      </c>
      <c r="AC11" s="163">
        <f t="shared" si="10"/>
        <v>1</v>
      </c>
      <c r="AD11" s="163">
        <f t="shared" si="10"/>
        <v>1</v>
      </c>
      <c r="AE11" s="163">
        <f t="shared" si="10"/>
        <v>1</v>
      </c>
      <c r="AF11" s="163">
        <f t="shared" si="10"/>
        <v>6</v>
      </c>
      <c r="AH11" s="161"/>
      <c r="AI11" s="157"/>
      <c r="AJ11" s="162" t="s">
        <v>7</v>
      </c>
      <c r="AK11" s="163">
        <f t="shared" ref="AK11:AQ11" si="11">SUM(AK4:AK10)</f>
        <v>1</v>
      </c>
      <c r="AL11" s="163">
        <f t="shared" si="11"/>
        <v>1</v>
      </c>
      <c r="AM11" s="163">
        <f t="shared" si="11"/>
        <v>1</v>
      </c>
      <c r="AN11" s="163">
        <f t="shared" si="11"/>
        <v>1</v>
      </c>
      <c r="AO11" s="163">
        <f t="shared" si="11"/>
        <v>1</v>
      </c>
      <c r="AP11" s="163">
        <f t="shared" si="11"/>
        <v>1</v>
      </c>
      <c r="AQ11" s="163">
        <f t="shared" si="11"/>
        <v>6</v>
      </c>
    </row>
    <row r="12" spans="1:43" x14ac:dyDescent="0.25">
      <c r="A12" s="160" t="str">
        <f t="shared" ref="A12:A18" si="12">CONCATENATE(C12,"-3")</f>
        <v>Local-3</v>
      </c>
      <c r="B12" s="2" t="s">
        <v>253</v>
      </c>
      <c r="C12" s="139" t="s">
        <v>241</v>
      </c>
      <c r="D12" s="17">
        <f>SUMIF(modeldata!$AC:$AC,FirstTransitMode!$A12,modeldata!V:V)</f>
        <v>3</v>
      </c>
      <c r="E12" s="17">
        <f>SUMIF(modeldata!$AC:$AC,FirstTransitMode!$A12,modeldata!X:X)</f>
        <v>3</v>
      </c>
      <c r="F12" s="17">
        <f>SUMIF(modeldata!$AC:$AC,FirstTransitMode!$A12,modeldata!Y:Y)</f>
        <v>3</v>
      </c>
      <c r="G12" s="17">
        <f>SUMIF(modeldata!$AC:$AC,FirstTransitMode!$A12,modeldata!W:W)</f>
        <v>3</v>
      </c>
      <c r="H12" s="17">
        <f>SUMIF(modeldata!$AC:$AC,FirstTransitMode!$A12,modeldata!Z:Z)</f>
        <v>3</v>
      </c>
      <c r="I12" s="17">
        <f>SUMIF(modeldata!$AC:$AC,FirstTransitMode!$A12,modeldata!AA:AA)</f>
        <v>3</v>
      </c>
      <c r="J12" s="17">
        <f t="shared" ref="J12:J18" si="13">SUM(D12:I12)</f>
        <v>18</v>
      </c>
      <c r="L12" s="158" t="str">
        <f>CONCATENATE("wlk-wlk-",N12,"-3")</f>
        <v>wlk-wlk-Local-3</v>
      </c>
      <c r="M12" s="2" t="s">
        <v>253</v>
      </c>
      <c r="N12" s="139" t="s">
        <v>241</v>
      </c>
      <c r="O12" s="17">
        <f>SUMIF(modeldata!$AD:$AD,FirstTransitMode!$L12,modeldata!V:V)</f>
        <v>1</v>
      </c>
      <c r="P12" s="17">
        <f>SUMIF(modeldata!$AD:$AD,FirstTransitMode!$L12,modeldata!W:W)</f>
        <v>1</v>
      </c>
      <c r="Q12" s="17">
        <f>SUMIF(modeldata!$AD:$AD,FirstTransitMode!$L12,modeldata!X:X)</f>
        <v>1</v>
      </c>
      <c r="R12" s="17">
        <f>SUMIF(modeldata!$AD:$AD,FirstTransitMode!$L12,modeldata!Y:Y)</f>
        <v>1</v>
      </c>
      <c r="S12" s="17">
        <f>SUMIF(modeldata!$AD:$AD,FirstTransitMode!$L12,modeldata!Z:Z)</f>
        <v>1</v>
      </c>
      <c r="T12" s="17">
        <f>SUMIF(modeldata!$AD:$AD,FirstTransitMode!$L12,modeldata!AA:AA)</f>
        <v>1</v>
      </c>
      <c r="U12" s="17">
        <f t="shared" ref="U12:U18" si="14">SUM(O12:T12)</f>
        <v>6</v>
      </c>
      <c r="W12" s="158" t="str">
        <f t="shared" ref="W12:W18" si="15">CONCATENATE("drv-wlk-",Y12,"-3")</f>
        <v>drv-wlk-Local-3</v>
      </c>
      <c r="X12" s="2" t="s">
        <v>253</v>
      </c>
      <c r="Y12" s="139" t="s">
        <v>241</v>
      </c>
      <c r="Z12" s="15">
        <f>SUMIF(modeldata!$AD:$AD,FirstTransitMode!$W12,modeldata!V:V)</f>
        <v>1</v>
      </c>
      <c r="AA12" s="15">
        <f>SUMIF(modeldata!$AD:$AD,FirstTransitMode!$W12,modeldata!W:W)</f>
        <v>1</v>
      </c>
      <c r="AB12" s="15">
        <f>SUMIF(modeldata!$AD:$AD,FirstTransitMode!$W12,modeldata!X:X)</f>
        <v>1</v>
      </c>
      <c r="AC12" s="15">
        <f>SUMIF(modeldata!$AD:$AD,FirstTransitMode!$W12,modeldata!Y:Y)</f>
        <v>1</v>
      </c>
      <c r="AD12" s="15">
        <f>SUMIF(modeldata!$AD:$AD,FirstTransitMode!$W12,modeldata!Z:Z)</f>
        <v>1</v>
      </c>
      <c r="AE12" s="15">
        <f>SUMIF(modeldata!$AD:$AD,FirstTransitMode!$W12,modeldata!AA:AA)</f>
        <v>1</v>
      </c>
      <c r="AF12" s="17">
        <f t="shared" ref="AF12:AF18" si="16">SUM(Z12:AE12)</f>
        <v>6</v>
      </c>
      <c r="AH12" s="158" t="str">
        <f t="shared" ref="AH12:AH18" si="17">CONCATENATE("wlk-drv-",AJ12,"-3")</f>
        <v>wlk-drv-Local-3</v>
      </c>
      <c r="AI12" s="2" t="s">
        <v>253</v>
      </c>
      <c r="AJ12" s="139" t="s">
        <v>241</v>
      </c>
      <c r="AK12" s="15">
        <f>SUMIF(modeldata!$AD:$AD,FirstTransitMode!$AH12,modeldata!V:V)</f>
        <v>1</v>
      </c>
      <c r="AL12" s="15">
        <f>SUMIF(modeldata!$AD:$AD,FirstTransitMode!$AH12,modeldata!W:W)</f>
        <v>1</v>
      </c>
      <c r="AM12" s="15">
        <f>SUMIF(modeldata!$AD:$AD,FirstTransitMode!$AH12,modeldata!X:X)</f>
        <v>1</v>
      </c>
      <c r="AN12" s="15">
        <f>SUMIF(modeldata!$AD:$AD,FirstTransitMode!$AH12,modeldata!Y:Y)</f>
        <v>1</v>
      </c>
      <c r="AO12" s="15">
        <f>SUMIF(modeldata!$AD:$AD,FirstTransitMode!$AH12,modeldata!Z:Z)</f>
        <v>1</v>
      </c>
      <c r="AP12" s="15">
        <f>SUMIF(modeldata!$AD:$AD,FirstTransitMode!$AH12,modeldata!AA:AA)</f>
        <v>1</v>
      </c>
      <c r="AQ12" s="17">
        <f t="shared" ref="AQ12:AQ18" si="18">SUM(AK12:AP12)</f>
        <v>6</v>
      </c>
    </row>
    <row r="13" spans="1:43" x14ac:dyDescent="0.25">
      <c r="A13" s="160" t="str">
        <f t="shared" si="12"/>
        <v>Ferry-3</v>
      </c>
      <c r="C13" s="2" t="s">
        <v>239</v>
      </c>
      <c r="D13" s="17">
        <f>SUMIF(modeldata!$AC:$AC,FirstTransitMode!$A13,modeldata!V:V)</f>
        <v>0</v>
      </c>
      <c r="E13" s="17">
        <f>SUMIF(modeldata!$AC:$AC,FirstTransitMode!$A13,modeldata!X:X)</f>
        <v>0</v>
      </c>
      <c r="F13" s="17">
        <f>SUMIF(modeldata!$AC:$AC,FirstTransitMode!$A13,modeldata!Y:Y)</f>
        <v>0</v>
      </c>
      <c r="G13" s="17">
        <f>SUMIF(modeldata!$AC:$AC,FirstTransitMode!$A13,modeldata!W:W)</f>
        <v>0</v>
      </c>
      <c r="H13" s="17">
        <f>SUMIF(modeldata!$AC:$AC,FirstTransitMode!$A13,modeldata!Z:Z)</f>
        <v>0</v>
      </c>
      <c r="I13" s="17">
        <f>SUMIF(modeldata!$AC:$AC,FirstTransitMode!$A13,modeldata!AA:AA)</f>
        <v>0</v>
      </c>
      <c r="J13" s="17">
        <f t="shared" si="13"/>
        <v>0</v>
      </c>
      <c r="L13" s="160" t="str">
        <f t="shared" ref="L13:L18" si="19">CONCATENATE("wlk-wlk-",N13,"-3")</f>
        <v>wlk-wlk-Ferry-3</v>
      </c>
      <c r="N13" s="2" t="s">
        <v>239</v>
      </c>
      <c r="O13" s="17">
        <f>SUMIF(modeldata!$AD:$AD,FirstTransitMode!$L13,modeldata!V:V)</f>
        <v>0</v>
      </c>
      <c r="P13" s="17">
        <f>SUMIF(modeldata!$AD:$AD,FirstTransitMode!$L13,modeldata!W:W)</f>
        <v>0</v>
      </c>
      <c r="Q13" s="17">
        <f>SUMIF(modeldata!$AD:$AD,FirstTransitMode!$L13,modeldata!X:X)</f>
        <v>0</v>
      </c>
      <c r="R13" s="17">
        <f>SUMIF(modeldata!$AD:$AD,FirstTransitMode!$L13,modeldata!Y:Y)</f>
        <v>0</v>
      </c>
      <c r="S13" s="17">
        <f>SUMIF(modeldata!$AD:$AD,FirstTransitMode!$L13,modeldata!Z:Z)</f>
        <v>0</v>
      </c>
      <c r="T13" s="17">
        <f>SUMIF(modeldata!$AD:$AD,FirstTransitMode!$L13,modeldata!AA:AA)</f>
        <v>0</v>
      </c>
      <c r="U13" s="17">
        <f t="shared" si="14"/>
        <v>0</v>
      </c>
      <c r="W13" s="160" t="str">
        <f t="shared" si="15"/>
        <v>drv-wlk-Ferry-3</v>
      </c>
      <c r="Y13" s="2" t="s">
        <v>239</v>
      </c>
      <c r="Z13" s="17">
        <f>SUMIF(modeldata!$AD:$AD,FirstTransitMode!$W13,modeldata!V:V)</f>
        <v>0</v>
      </c>
      <c r="AA13" s="17">
        <f>SUMIF(modeldata!$AD:$AD,FirstTransitMode!$W13,modeldata!W:W)</f>
        <v>0</v>
      </c>
      <c r="AB13" s="17">
        <f>SUMIF(modeldata!$AD:$AD,FirstTransitMode!$W13,modeldata!X:X)</f>
        <v>0</v>
      </c>
      <c r="AC13" s="17">
        <f>SUMIF(modeldata!$AD:$AD,FirstTransitMode!$W13,modeldata!Y:Y)</f>
        <v>0</v>
      </c>
      <c r="AD13" s="17">
        <f>SUMIF(modeldata!$AD:$AD,FirstTransitMode!$W13,modeldata!Z:Z)</f>
        <v>0</v>
      </c>
      <c r="AE13" s="17">
        <f>SUMIF(modeldata!$AD:$AD,FirstTransitMode!$W13,modeldata!AA:AA)</f>
        <v>0</v>
      </c>
      <c r="AF13" s="17">
        <f t="shared" si="16"/>
        <v>0</v>
      </c>
      <c r="AH13" s="160" t="str">
        <f t="shared" si="17"/>
        <v>wlk-drv-Ferry-3</v>
      </c>
      <c r="AJ13" s="2" t="s">
        <v>239</v>
      </c>
      <c r="AK13" s="17">
        <f>SUMIF(modeldata!$AD:$AD,FirstTransitMode!$AH13,modeldata!V:V)</f>
        <v>0</v>
      </c>
      <c r="AL13" s="17">
        <f>SUMIF(modeldata!$AD:$AD,FirstTransitMode!$AH13,modeldata!W:W)</f>
        <v>0</v>
      </c>
      <c r="AM13" s="17">
        <f>SUMIF(modeldata!$AD:$AD,FirstTransitMode!$AH13,modeldata!X:X)</f>
        <v>0</v>
      </c>
      <c r="AN13" s="17">
        <f>SUMIF(modeldata!$AD:$AD,FirstTransitMode!$AH13,modeldata!Y:Y)</f>
        <v>0</v>
      </c>
      <c r="AO13" s="17">
        <f>SUMIF(modeldata!$AD:$AD,FirstTransitMode!$AH13,modeldata!Z:Z)</f>
        <v>0</v>
      </c>
      <c r="AP13" s="17">
        <f>SUMIF(modeldata!$AD:$AD,FirstTransitMode!$AH13,modeldata!AA:AA)</f>
        <v>0</v>
      </c>
      <c r="AQ13" s="17">
        <f t="shared" si="18"/>
        <v>0</v>
      </c>
    </row>
    <row r="14" spans="1:43" x14ac:dyDescent="0.25">
      <c r="A14" s="160" t="str">
        <f t="shared" si="12"/>
        <v>LRT-3</v>
      </c>
      <c r="C14" s="2" t="s">
        <v>242</v>
      </c>
      <c r="D14" s="17">
        <f>SUMIF(modeldata!$AC:$AC,FirstTransitMode!$A14,modeldata!V:V)</f>
        <v>0</v>
      </c>
      <c r="E14" s="17">
        <f>SUMIF(modeldata!$AC:$AC,FirstTransitMode!$A14,modeldata!X:X)</f>
        <v>0</v>
      </c>
      <c r="F14" s="17">
        <f>SUMIF(modeldata!$AC:$AC,FirstTransitMode!$A14,modeldata!Y:Y)</f>
        <v>0</v>
      </c>
      <c r="G14" s="17">
        <f>SUMIF(modeldata!$AC:$AC,FirstTransitMode!$A14,modeldata!W:W)</f>
        <v>0</v>
      </c>
      <c r="H14" s="17">
        <f>SUMIF(modeldata!$AC:$AC,FirstTransitMode!$A14,modeldata!Z:Z)</f>
        <v>0</v>
      </c>
      <c r="I14" s="17">
        <f>SUMIF(modeldata!$AC:$AC,FirstTransitMode!$A14,modeldata!AA:AA)</f>
        <v>0</v>
      </c>
      <c r="J14" s="17">
        <f t="shared" si="13"/>
        <v>0</v>
      </c>
      <c r="L14" s="160" t="str">
        <f t="shared" si="19"/>
        <v>wlk-wlk-LRT-3</v>
      </c>
      <c r="N14" s="2" t="s">
        <v>242</v>
      </c>
      <c r="O14" s="17">
        <f>SUMIF(modeldata!$AD:$AD,FirstTransitMode!$L14,modeldata!V:V)</f>
        <v>0</v>
      </c>
      <c r="P14" s="17">
        <f>SUMIF(modeldata!$AD:$AD,FirstTransitMode!$L14,modeldata!W:W)</f>
        <v>0</v>
      </c>
      <c r="Q14" s="17">
        <f>SUMIF(modeldata!$AD:$AD,FirstTransitMode!$L14,modeldata!X:X)</f>
        <v>0</v>
      </c>
      <c r="R14" s="17">
        <f>SUMIF(modeldata!$AD:$AD,FirstTransitMode!$L14,modeldata!Y:Y)</f>
        <v>0</v>
      </c>
      <c r="S14" s="17">
        <f>SUMIF(modeldata!$AD:$AD,FirstTransitMode!$L14,modeldata!Z:Z)</f>
        <v>0</v>
      </c>
      <c r="T14" s="17">
        <f>SUMIF(modeldata!$AD:$AD,FirstTransitMode!$L14,modeldata!AA:AA)</f>
        <v>0</v>
      </c>
      <c r="U14" s="17">
        <f t="shared" si="14"/>
        <v>0</v>
      </c>
      <c r="W14" s="160" t="str">
        <f t="shared" si="15"/>
        <v>drv-wlk-LRT-3</v>
      </c>
      <c r="Y14" s="2" t="s">
        <v>242</v>
      </c>
      <c r="Z14" s="17">
        <f>SUMIF(modeldata!$AD:$AD,FirstTransitMode!$W14,modeldata!V:V)</f>
        <v>0</v>
      </c>
      <c r="AA14" s="17">
        <f>SUMIF(modeldata!$AD:$AD,FirstTransitMode!$W14,modeldata!W:W)</f>
        <v>0</v>
      </c>
      <c r="AB14" s="17">
        <f>SUMIF(modeldata!$AD:$AD,FirstTransitMode!$W14,modeldata!X:X)</f>
        <v>0</v>
      </c>
      <c r="AC14" s="17">
        <f>SUMIF(modeldata!$AD:$AD,FirstTransitMode!$W14,modeldata!Y:Y)</f>
        <v>0</v>
      </c>
      <c r="AD14" s="17">
        <f>SUMIF(modeldata!$AD:$AD,FirstTransitMode!$W14,modeldata!Z:Z)</f>
        <v>0</v>
      </c>
      <c r="AE14" s="17">
        <f>SUMIF(modeldata!$AD:$AD,FirstTransitMode!$W14,modeldata!AA:AA)</f>
        <v>0</v>
      </c>
      <c r="AF14" s="17">
        <f t="shared" si="16"/>
        <v>0</v>
      </c>
      <c r="AH14" s="160" t="str">
        <f t="shared" si="17"/>
        <v>wlk-drv-LRT-3</v>
      </c>
      <c r="AJ14" s="2" t="s">
        <v>242</v>
      </c>
      <c r="AK14" s="17">
        <f>SUMIF(modeldata!$AD:$AD,FirstTransitMode!$AH14,modeldata!V:V)</f>
        <v>0</v>
      </c>
      <c r="AL14" s="17">
        <f>SUMIF(modeldata!$AD:$AD,FirstTransitMode!$AH14,modeldata!W:W)</f>
        <v>0</v>
      </c>
      <c r="AM14" s="17">
        <f>SUMIF(modeldata!$AD:$AD,FirstTransitMode!$AH14,modeldata!X:X)</f>
        <v>0</v>
      </c>
      <c r="AN14" s="17">
        <f>SUMIF(modeldata!$AD:$AD,FirstTransitMode!$AH14,modeldata!Y:Y)</f>
        <v>0</v>
      </c>
      <c r="AO14" s="17">
        <f>SUMIF(modeldata!$AD:$AD,FirstTransitMode!$AH14,modeldata!Z:Z)</f>
        <v>0</v>
      </c>
      <c r="AP14" s="17">
        <f>SUMIF(modeldata!$AD:$AD,FirstTransitMode!$AH14,modeldata!AA:AA)</f>
        <v>0</v>
      </c>
      <c r="AQ14" s="17">
        <f t="shared" si="18"/>
        <v>0</v>
      </c>
    </row>
    <row r="15" spans="1:43" x14ac:dyDescent="0.25">
      <c r="A15" s="160" t="str">
        <f t="shared" si="12"/>
        <v>Express-3</v>
      </c>
      <c r="C15" s="139" t="s">
        <v>238</v>
      </c>
      <c r="D15" s="17">
        <f>SUMIF(modeldata!$AC:$AC,FirstTransitMode!$A15,modeldata!V:V)</f>
        <v>0</v>
      </c>
      <c r="E15" s="17">
        <f>SUMIF(modeldata!$AC:$AC,FirstTransitMode!$A15,modeldata!X:X)</f>
        <v>0</v>
      </c>
      <c r="F15" s="17">
        <f>SUMIF(modeldata!$AC:$AC,FirstTransitMode!$A15,modeldata!Y:Y)</f>
        <v>0</v>
      </c>
      <c r="G15" s="17">
        <f>SUMIF(modeldata!$AC:$AC,FirstTransitMode!$A15,modeldata!W:W)</f>
        <v>0</v>
      </c>
      <c r="H15" s="17">
        <f>SUMIF(modeldata!$AC:$AC,FirstTransitMode!$A15,modeldata!Z:Z)</f>
        <v>0</v>
      </c>
      <c r="I15" s="17">
        <f>SUMIF(modeldata!$AC:$AC,FirstTransitMode!$A15,modeldata!AA:AA)</f>
        <v>0</v>
      </c>
      <c r="J15" s="17">
        <f t="shared" si="13"/>
        <v>0</v>
      </c>
      <c r="L15" s="160" t="str">
        <f t="shared" si="19"/>
        <v>wlk-wlk-Express-3</v>
      </c>
      <c r="N15" s="139" t="s">
        <v>238</v>
      </c>
      <c r="O15" s="17">
        <f>SUMIF(modeldata!$AD:$AD,FirstTransitMode!$L15,modeldata!V:V)</f>
        <v>0</v>
      </c>
      <c r="P15" s="17">
        <f>SUMIF(modeldata!$AD:$AD,FirstTransitMode!$L15,modeldata!W:W)</f>
        <v>0</v>
      </c>
      <c r="Q15" s="17">
        <f>SUMIF(modeldata!$AD:$AD,FirstTransitMode!$L15,modeldata!X:X)</f>
        <v>0</v>
      </c>
      <c r="R15" s="17">
        <f>SUMIF(modeldata!$AD:$AD,FirstTransitMode!$L15,modeldata!Y:Y)</f>
        <v>0</v>
      </c>
      <c r="S15" s="17">
        <f>SUMIF(modeldata!$AD:$AD,FirstTransitMode!$L15,modeldata!Z:Z)</f>
        <v>0</v>
      </c>
      <c r="T15" s="17">
        <f>SUMIF(modeldata!$AD:$AD,FirstTransitMode!$L15,modeldata!AA:AA)</f>
        <v>0</v>
      </c>
      <c r="U15" s="17">
        <f t="shared" si="14"/>
        <v>0</v>
      </c>
      <c r="W15" s="160" t="str">
        <f t="shared" si="15"/>
        <v>drv-wlk-Express-3</v>
      </c>
      <c r="Y15" s="139" t="s">
        <v>238</v>
      </c>
      <c r="Z15" s="17">
        <f>SUMIF(modeldata!$AD:$AD,FirstTransitMode!$W15,modeldata!V:V)</f>
        <v>0</v>
      </c>
      <c r="AA15" s="17">
        <f>SUMIF(modeldata!$AD:$AD,FirstTransitMode!$W15,modeldata!W:W)</f>
        <v>0</v>
      </c>
      <c r="AB15" s="17">
        <f>SUMIF(modeldata!$AD:$AD,FirstTransitMode!$W15,modeldata!X:X)</f>
        <v>0</v>
      </c>
      <c r="AC15" s="17">
        <f>SUMIF(modeldata!$AD:$AD,FirstTransitMode!$W15,modeldata!Y:Y)</f>
        <v>0</v>
      </c>
      <c r="AD15" s="17">
        <f>SUMIF(modeldata!$AD:$AD,FirstTransitMode!$W15,modeldata!Z:Z)</f>
        <v>0</v>
      </c>
      <c r="AE15" s="17">
        <f>SUMIF(modeldata!$AD:$AD,FirstTransitMode!$W15,modeldata!AA:AA)</f>
        <v>0</v>
      </c>
      <c r="AF15" s="17">
        <f t="shared" si="16"/>
        <v>0</v>
      </c>
      <c r="AH15" s="160" t="str">
        <f t="shared" si="17"/>
        <v>wlk-drv-Express-3</v>
      </c>
      <c r="AJ15" s="139" t="s">
        <v>238</v>
      </c>
      <c r="AK15" s="17">
        <f>SUMIF(modeldata!$AD:$AD,FirstTransitMode!$AH15,modeldata!V:V)</f>
        <v>0</v>
      </c>
      <c r="AL15" s="17">
        <f>SUMIF(modeldata!$AD:$AD,FirstTransitMode!$AH15,modeldata!W:W)</f>
        <v>0</v>
      </c>
      <c r="AM15" s="17">
        <f>SUMIF(modeldata!$AD:$AD,FirstTransitMode!$AH15,modeldata!X:X)</f>
        <v>0</v>
      </c>
      <c r="AN15" s="17">
        <f>SUMIF(modeldata!$AD:$AD,FirstTransitMode!$AH15,modeldata!Y:Y)</f>
        <v>0</v>
      </c>
      <c r="AO15" s="17">
        <f>SUMIF(modeldata!$AD:$AD,FirstTransitMode!$AH15,modeldata!Z:Z)</f>
        <v>0</v>
      </c>
      <c r="AP15" s="17">
        <f>SUMIF(modeldata!$AD:$AD,FirstTransitMode!$AH15,modeldata!AA:AA)</f>
        <v>0</v>
      </c>
      <c r="AQ15" s="17">
        <f t="shared" si="18"/>
        <v>0</v>
      </c>
    </row>
    <row r="16" spans="1:43" x14ac:dyDescent="0.25">
      <c r="A16" s="160" t="str">
        <f t="shared" si="12"/>
        <v>HeavyRail-3</v>
      </c>
      <c r="C16" s="2" t="s">
        <v>240</v>
      </c>
      <c r="D16" s="17">
        <f>SUMIF(modeldata!$AC:$AC,FirstTransitMode!$A16,modeldata!V:V)</f>
        <v>0</v>
      </c>
      <c r="E16" s="17">
        <f>SUMIF(modeldata!$AC:$AC,FirstTransitMode!$A16,modeldata!X:X)</f>
        <v>0</v>
      </c>
      <c r="F16" s="17">
        <f>SUMIF(modeldata!$AC:$AC,FirstTransitMode!$A16,modeldata!Y:Y)</f>
        <v>0</v>
      </c>
      <c r="G16" s="17">
        <f>SUMIF(modeldata!$AC:$AC,FirstTransitMode!$A16,modeldata!W:W)</f>
        <v>0</v>
      </c>
      <c r="H16" s="17">
        <f>SUMIF(modeldata!$AC:$AC,FirstTransitMode!$A16,modeldata!Z:Z)</f>
        <v>0</v>
      </c>
      <c r="I16" s="17">
        <f>SUMIF(modeldata!$AC:$AC,FirstTransitMode!$A16,modeldata!AA:AA)</f>
        <v>0</v>
      </c>
      <c r="J16" s="17">
        <f t="shared" si="13"/>
        <v>0</v>
      </c>
      <c r="L16" s="160" t="str">
        <f t="shared" si="19"/>
        <v>wlk-wlk-HeavyRail-3</v>
      </c>
      <c r="N16" s="2" t="s">
        <v>240</v>
      </c>
      <c r="O16" s="17">
        <f>SUMIF(modeldata!$AD:$AD,FirstTransitMode!$L16,modeldata!V:V)</f>
        <v>0</v>
      </c>
      <c r="P16" s="17">
        <f>SUMIF(modeldata!$AD:$AD,FirstTransitMode!$L16,modeldata!W:W)</f>
        <v>0</v>
      </c>
      <c r="Q16" s="17">
        <f>SUMIF(modeldata!$AD:$AD,FirstTransitMode!$L16,modeldata!X:X)</f>
        <v>0</v>
      </c>
      <c r="R16" s="17">
        <f>SUMIF(modeldata!$AD:$AD,FirstTransitMode!$L16,modeldata!Y:Y)</f>
        <v>0</v>
      </c>
      <c r="S16" s="17">
        <f>SUMIF(modeldata!$AD:$AD,FirstTransitMode!$L16,modeldata!Z:Z)</f>
        <v>0</v>
      </c>
      <c r="T16" s="17">
        <f>SUMIF(modeldata!$AD:$AD,FirstTransitMode!$L16,modeldata!AA:AA)</f>
        <v>0</v>
      </c>
      <c r="U16" s="17">
        <f t="shared" si="14"/>
        <v>0</v>
      </c>
      <c r="W16" s="160" t="str">
        <f t="shared" si="15"/>
        <v>drv-wlk-HeavyRail-3</v>
      </c>
      <c r="Y16" s="2" t="s">
        <v>240</v>
      </c>
      <c r="Z16" s="17">
        <f>SUMIF(modeldata!$AD:$AD,FirstTransitMode!$W16,modeldata!V:V)</f>
        <v>0</v>
      </c>
      <c r="AA16" s="17">
        <f>SUMIF(modeldata!$AD:$AD,FirstTransitMode!$W16,modeldata!W:W)</f>
        <v>0</v>
      </c>
      <c r="AB16" s="17">
        <f>SUMIF(modeldata!$AD:$AD,FirstTransitMode!$W16,modeldata!X:X)</f>
        <v>0</v>
      </c>
      <c r="AC16" s="17">
        <f>SUMIF(modeldata!$AD:$AD,FirstTransitMode!$W16,modeldata!Y:Y)</f>
        <v>0</v>
      </c>
      <c r="AD16" s="17">
        <f>SUMIF(modeldata!$AD:$AD,FirstTransitMode!$W16,modeldata!Z:Z)</f>
        <v>0</v>
      </c>
      <c r="AE16" s="17">
        <f>SUMIF(modeldata!$AD:$AD,FirstTransitMode!$W16,modeldata!AA:AA)</f>
        <v>0</v>
      </c>
      <c r="AF16" s="17">
        <f t="shared" si="16"/>
        <v>0</v>
      </c>
      <c r="AH16" s="160" t="str">
        <f t="shared" si="17"/>
        <v>wlk-drv-HeavyRail-3</v>
      </c>
      <c r="AJ16" s="2" t="s">
        <v>240</v>
      </c>
      <c r="AK16" s="17">
        <f>SUMIF(modeldata!$AD:$AD,FirstTransitMode!$AH16,modeldata!V:V)</f>
        <v>0</v>
      </c>
      <c r="AL16" s="17">
        <f>SUMIF(modeldata!$AD:$AD,FirstTransitMode!$AH16,modeldata!W:W)</f>
        <v>0</v>
      </c>
      <c r="AM16" s="17">
        <f>SUMIF(modeldata!$AD:$AD,FirstTransitMode!$AH16,modeldata!X:X)</f>
        <v>0</v>
      </c>
      <c r="AN16" s="17">
        <f>SUMIF(modeldata!$AD:$AD,FirstTransitMode!$AH16,modeldata!Y:Y)</f>
        <v>0</v>
      </c>
      <c r="AO16" s="17">
        <f>SUMIF(modeldata!$AD:$AD,FirstTransitMode!$AH16,modeldata!Z:Z)</f>
        <v>0</v>
      </c>
      <c r="AP16" s="17">
        <f>SUMIF(modeldata!$AD:$AD,FirstTransitMode!$AH16,modeldata!AA:AA)</f>
        <v>0</v>
      </c>
      <c r="AQ16" s="17">
        <f t="shared" si="18"/>
        <v>0</v>
      </c>
    </row>
    <row r="17" spans="1:43" x14ac:dyDescent="0.25">
      <c r="A17" s="160" t="str">
        <f t="shared" si="12"/>
        <v>CommRail-3</v>
      </c>
      <c r="C17" s="2" t="s">
        <v>237</v>
      </c>
      <c r="D17" s="17">
        <f>SUMIF(modeldata!$AC:$AC,FirstTransitMode!$A17,modeldata!V:V)</f>
        <v>0</v>
      </c>
      <c r="E17" s="17">
        <f>SUMIF(modeldata!$AC:$AC,FirstTransitMode!$A17,modeldata!X:X)</f>
        <v>0</v>
      </c>
      <c r="F17" s="17">
        <f>SUMIF(modeldata!$AC:$AC,FirstTransitMode!$A17,modeldata!Y:Y)</f>
        <v>0</v>
      </c>
      <c r="G17" s="17">
        <f>SUMIF(modeldata!$AC:$AC,FirstTransitMode!$A17,modeldata!W:W)</f>
        <v>0</v>
      </c>
      <c r="H17" s="17">
        <f>SUMIF(modeldata!$AC:$AC,FirstTransitMode!$A17,modeldata!Z:Z)</f>
        <v>0</v>
      </c>
      <c r="I17" s="17">
        <f>SUMIF(modeldata!$AC:$AC,FirstTransitMode!$A17,modeldata!AA:AA)</f>
        <v>0</v>
      </c>
      <c r="J17" s="17">
        <f t="shared" si="13"/>
        <v>0</v>
      </c>
      <c r="L17" s="160" t="str">
        <f t="shared" si="19"/>
        <v>wlk-wlk-CommRail-3</v>
      </c>
      <c r="N17" s="2" t="s">
        <v>237</v>
      </c>
      <c r="O17" s="17">
        <f>SUMIF(modeldata!$AD:$AD,FirstTransitMode!$L17,modeldata!V:V)</f>
        <v>0</v>
      </c>
      <c r="P17" s="17">
        <f>SUMIF(modeldata!$AD:$AD,FirstTransitMode!$L17,modeldata!W:W)</f>
        <v>0</v>
      </c>
      <c r="Q17" s="17">
        <f>SUMIF(modeldata!$AD:$AD,FirstTransitMode!$L17,modeldata!X:X)</f>
        <v>0</v>
      </c>
      <c r="R17" s="17">
        <f>SUMIF(modeldata!$AD:$AD,FirstTransitMode!$L17,modeldata!Y:Y)</f>
        <v>0</v>
      </c>
      <c r="S17" s="17">
        <f>SUMIF(modeldata!$AD:$AD,FirstTransitMode!$L17,modeldata!Z:Z)</f>
        <v>0</v>
      </c>
      <c r="T17" s="17">
        <f>SUMIF(modeldata!$AD:$AD,FirstTransitMode!$L17,modeldata!AA:AA)</f>
        <v>0</v>
      </c>
      <c r="U17" s="17">
        <f t="shared" si="14"/>
        <v>0</v>
      </c>
      <c r="W17" s="160" t="str">
        <f t="shared" si="15"/>
        <v>drv-wlk-CommRail-3</v>
      </c>
      <c r="Y17" s="2" t="s">
        <v>237</v>
      </c>
      <c r="Z17" s="17">
        <f>SUMIF(modeldata!$AD:$AD,FirstTransitMode!$W17,modeldata!V:V)</f>
        <v>0</v>
      </c>
      <c r="AA17" s="17">
        <f>SUMIF(modeldata!$AD:$AD,FirstTransitMode!$W17,modeldata!W:W)</f>
        <v>0</v>
      </c>
      <c r="AB17" s="17">
        <f>SUMIF(modeldata!$AD:$AD,FirstTransitMode!$W17,modeldata!X:X)</f>
        <v>0</v>
      </c>
      <c r="AC17" s="17">
        <f>SUMIF(modeldata!$AD:$AD,FirstTransitMode!$W17,modeldata!Y:Y)</f>
        <v>0</v>
      </c>
      <c r="AD17" s="17">
        <f>SUMIF(modeldata!$AD:$AD,FirstTransitMode!$W17,modeldata!Z:Z)</f>
        <v>0</v>
      </c>
      <c r="AE17" s="17">
        <f>SUMIF(modeldata!$AD:$AD,FirstTransitMode!$W17,modeldata!AA:AA)</f>
        <v>0</v>
      </c>
      <c r="AF17" s="17">
        <f t="shared" si="16"/>
        <v>0</v>
      </c>
      <c r="AH17" s="160" t="str">
        <f t="shared" si="17"/>
        <v>wlk-drv-CommRail-3</v>
      </c>
      <c r="AJ17" s="2" t="s">
        <v>237</v>
      </c>
      <c r="AK17" s="17">
        <f>SUMIF(modeldata!$AD:$AD,FirstTransitMode!$AH17,modeldata!V:V)</f>
        <v>0</v>
      </c>
      <c r="AL17" s="17">
        <f>SUMIF(modeldata!$AD:$AD,FirstTransitMode!$AH17,modeldata!W:W)</f>
        <v>0</v>
      </c>
      <c r="AM17" s="17">
        <f>SUMIF(modeldata!$AD:$AD,FirstTransitMode!$AH17,modeldata!X:X)</f>
        <v>0</v>
      </c>
      <c r="AN17" s="17">
        <f>SUMIF(modeldata!$AD:$AD,FirstTransitMode!$AH17,modeldata!Y:Y)</f>
        <v>0</v>
      </c>
      <c r="AO17" s="17">
        <f>SUMIF(modeldata!$AD:$AD,FirstTransitMode!$AH17,modeldata!Z:Z)</f>
        <v>0</v>
      </c>
      <c r="AP17" s="17">
        <f>SUMIF(modeldata!$AD:$AD,FirstTransitMode!$AH17,modeldata!AA:AA)</f>
        <v>0</v>
      </c>
      <c r="AQ17" s="17">
        <f t="shared" si="18"/>
        <v>0</v>
      </c>
    </row>
    <row r="18" spans="1:43" x14ac:dyDescent="0.25">
      <c r="A18" s="160" t="str">
        <f t="shared" si="12"/>
        <v>Unknown-3</v>
      </c>
      <c r="C18" s="8" t="s">
        <v>287</v>
      </c>
      <c r="D18" s="18">
        <f>SUMIF(modeldata!$AC:$AC,FirstTransitMode!$A18,modeldata!V:V)</f>
        <v>0</v>
      </c>
      <c r="E18" s="18">
        <f>SUMIF(modeldata!$AC:$AC,FirstTransitMode!$A18,modeldata!X:X)</f>
        <v>0</v>
      </c>
      <c r="F18" s="18">
        <f>SUMIF(modeldata!$AC:$AC,FirstTransitMode!$A18,modeldata!Y:Y)</f>
        <v>0</v>
      </c>
      <c r="G18" s="18">
        <f>SUMIF(modeldata!$AC:$AC,FirstTransitMode!$A18,modeldata!W:W)</f>
        <v>0</v>
      </c>
      <c r="H18" s="18">
        <f>SUMIF(modeldata!$AC:$AC,FirstTransitMode!$A18,modeldata!Z:Z)</f>
        <v>0</v>
      </c>
      <c r="I18" s="18">
        <f>SUMIF(modeldata!$AC:$AC,FirstTransitMode!$A18,modeldata!AA:AA)</f>
        <v>0</v>
      </c>
      <c r="J18" s="18">
        <f t="shared" si="13"/>
        <v>0</v>
      </c>
      <c r="L18" s="160" t="str">
        <f t="shared" si="19"/>
        <v>wlk-wlk-Unknown-3</v>
      </c>
      <c r="N18" s="8" t="s">
        <v>287</v>
      </c>
      <c r="O18" s="18">
        <f>SUMIF(modeldata!$AD:$AD,FirstTransitMode!$L18,modeldata!V:V)</f>
        <v>0</v>
      </c>
      <c r="P18" s="18">
        <f>SUMIF(modeldata!$AD:$AD,FirstTransitMode!$L18,modeldata!W:W)</f>
        <v>0</v>
      </c>
      <c r="Q18" s="18">
        <f>SUMIF(modeldata!$AD:$AD,FirstTransitMode!$L18,modeldata!X:X)</f>
        <v>0</v>
      </c>
      <c r="R18" s="18">
        <f>SUMIF(modeldata!$AD:$AD,FirstTransitMode!$L18,modeldata!Y:Y)</f>
        <v>0</v>
      </c>
      <c r="S18" s="18">
        <f>SUMIF(modeldata!$AD:$AD,FirstTransitMode!$L18,modeldata!Z:Z)</f>
        <v>0</v>
      </c>
      <c r="T18" s="18">
        <f>SUMIF(modeldata!$AD:$AD,FirstTransitMode!$L18,modeldata!AA:AA)</f>
        <v>0</v>
      </c>
      <c r="U18" s="18">
        <f t="shared" si="14"/>
        <v>0</v>
      </c>
      <c r="W18" s="160" t="str">
        <f t="shared" si="15"/>
        <v>drv-wlk-Unknown-3</v>
      </c>
      <c r="Y18" s="8" t="s">
        <v>287</v>
      </c>
      <c r="Z18" s="18">
        <f>SUMIF(modeldata!$AD:$AD,FirstTransitMode!$W18,modeldata!V:V)</f>
        <v>0</v>
      </c>
      <c r="AA18" s="18">
        <f>SUMIF(modeldata!$AD:$AD,FirstTransitMode!$W18,modeldata!W:W)</f>
        <v>0</v>
      </c>
      <c r="AB18" s="18">
        <f>SUMIF(modeldata!$AD:$AD,FirstTransitMode!$W18,modeldata!X:X)</f>
        <v>0</v>
      </c>
      <c r="AC18" s="18">
        <f>SUMIF(modeldata!$AD:$AD,FirstTransitMode!$W18,modeldata!Y:Y)</f>
        <v>0</v>
      </c>
      <c r="AD18" s="18">
        <f>SUMIF(modeldata!$AD:$AD,FirstTransitMode!$W18,modeldata!Z:Z)</f>
        <v>0</v>
      </c>
      <c r="AE18" s="18">
        <f>SUMIF(modeldata!$AD:$AD,FirstTransitMode!$W18,modeldata!AA:AA)</f>
        <v>0</v>
      </c>
      <c r="AF18" s="18">
        <f t="shared" si="16"/>
        <v>0</v>
      </c>
      <c r="AH18" s="160" t="str">
        <f t="shared" si="17"/>
        <v>wlk-drv-Unknown-3</v>
      </c>
      <c r="AJ18" s="8" t="s">
        <v>287</v>
      </c>
      <c r="AK18" s="18">
        <f>SUMIF(modeldata!$AD:$AD,FirstTransitMode!$AH18,modeldata!V:V)</f>
        <v>0</v>
      </c>
      <c r="AL18" s="18">
        <f>SUMIF(modeldata!$AD:$AD,FirstTransitMode!$AH18,modeldata!W:W)</f>
        <v>0</v>
      </c>
      <c r="AM18" s="18">
        <f>SUMIF(modeldata!$AD:$AD,FirstTransitMode!$AH18,modeldata!X:X)</f>
        <v>0</v>
      </c>
      <c r="AN18" s="18">
        <f>SUMIF(modeldata!$AD:$AD,FirstTransitMode!$AH18,modeldata!Y:Y)</f>
        <v>0</v>
      </c>
      <c r="AO18" s="18">
        <f>SUMIF(modeldata!$AD:$AD,FirstTransitMode!$AH18,modeldata!Z:Z)</f>
        <v>0</v>
      </c>
      <c r="AP18" s="18">
        <f>SUMIF(modeldata!$AD:$AD,FirstTransitMode!$AH18,modeldata!AA:AA)</f>
        <v>0</v>
      </c>
      <c r="AQ18" s="18">
        <f t="shared" si="18"/>
        <v>0</v>
      </c>
    </row>
    <row r="19" spans="1:43" x14ac:dyDescent="0.25">
      <c r="A19" s="161"/>
      <c r="B19" s="157"/>
      <c r="C19" s="162" t="s">
        <v>7</v>
      </c>
      <c r="D19" s="163">
        <f t="shared" ref="D19:J19" si="20">SUM(D12:D18)</f>
        <v>3</v>
      </c>
      <c r="E19" s="163">
        <f t="shared" si="20"/>
        <v>3</v>
      </c>
      <c r="F19" s="163">
        <f t="shared" si="20"/>
        <v>3</v>
      </c>
      <c r="G19" s="163">
        <f t="shared" si="20"/>
        <v>3</v>
      </c>
      <c r="H19" s="163">
        <f t="shared" si="20"/>
        <v>3</v>
      </c>
      <c r="I19" s="163">
        <f t="shared" si="20"/>
        <v>3</v>
      </c>
      <c r="J19" s="163">
        <f t="shared" si="20"/>
        <v>18</v>
      </c>
      <c r="L19" s="161"/>
      <c r="M19" s="157"/>
      <c r="N19" s="162" t="s">
        <v>7</v>
      </c>
      <c r="O19" s="163">
        <f t="shared" ref="O19:U19" si="21">SUM(O12:O18)</f>
        <v>1</v>
      </c>
      <c r="P19" s="163">
        <f t="shared" si="21"/>
        <v>1</v>
      </c>
      <c r="Q19" s="163">
        <f t="shared" si="21"/>
        <v>1</v>
      </c>
      <c r="R19" s="163">
        <f t="shared" si="21"/>
        <v>1</v>
      </c>
      <c r="S19" s="163">
        <f t="shared" si="21"/>
        <v>1</v>
      </c>
      <c r="T19" s="163">
        <f t="shared" si="21"/>
        <v>1</v>
      </c>
      <c r="U19" s="163">
        <f t="shared" si="21"/>
        <v>6</v>
      </c>
      <c r="W19" s="161"/>
      <c r="X19" s="157"/>
      <c r="Y19" s="162" t="s">
        <v>7</v>
      </c>
      <c r="Z19" s="163">
        <f t="shared" ref="Z19:AF19" si="22">SUM(Z12:Z18)</f>
        <v>1</v>
      </c>
      <c r="AA19" s="163">
        <f t="shared" si="22"/>
        <v>1</v>
      </c>
      <c r="AB19" s="163">
        <f t="shared" si="22"/>
        <v>1</v>
      </c>
      <c r="AC19" s="163">
        <f t="shared" si="22"/>
        <v>1</v>
      </c>
      <c r="AD19" s="163">
        <f t="shared" si="22"/>
        <v>1</v>
      </c>
      <c r="AE19" s="163">
        <f t="shared" si="22"/>
        <v>1</v>
      </c>
      <c r="AF19" s="163">
        <f t="shared" si="22"/>
        <v>6</v>
      </c>
      <c r="AH19" s="161"/>
      <c r="AI19" s="157"/>
      <c r="AJ19" s="162" t="s">
        <v>7</v>
      </c>
      <c r="AK19" s="163">
        <f t="shared" ref="AK19:AQ19" si="23">SUM(AK12:AK18)</f>
        <v>1</v>
      </c>
      <c r="AL19" s="163">
        <f t="shared" si="23"/>
        <v>1</v>
      </c>
      <c r="AM19" s="163">
        <f t="shared" si="23"/>
        <v>1</v>
      </c>
      <c r="AN19" s="163">
        <f t="shared" si="23"/>
        <v>1</v>
      </c>
      <c r="AO19" s="163">
        <f t="shared" si="23"/>
        <v>1</v>
      </c>
      <c r="AP19" s="163">
        <f t="shared" si="23"/>
        <v>1</v>
      </c>
      <c r="AQ19" s="163">
        <f t="shared" si="23"/>
        <v>6</v>
      </c>
    </row>
    <row r="21" spans="1:43" x14ac:dyDescent="0.25">
      <c r="B21" s="157"/>
      <c r="C21" s="8" t="s">
        <v>286</v>
      </c>
      <c r="D21" s="8" t="s">
        <v>263</v>
      </c>
      <c r="E21" s="8" t="s">
        <v>239</v>
      </c>
      <c r="F21" s="8" t="s">
        <v>265</v>
      </c>
      <c r="G21" s="8" t="s">
        <v>264</v>
      </c>
      <c r="H21" s="8" t="s">
        <v>266</v>
      </c>
      <c r="I21" s="8" t="s">
        <v>267</v>
      </c>
      <c r="J21" s="8" t="s">
        <v>7</v>
      </c>
      <c r="M21" s="157"/>
      <c r="N21" s="8" t="s">
        <v>286</v>
      </c>
      <c r="O21" s="8" t="s">
        <v>263</v>
      </c>
      <c r="P21" s="8" t="s">
        <v>239</v>
      </c>
      <c r="Q21" s="8" t="s">
        <v>265</v>
      </c>
      <c r="R21" s="8" t="s">
        <v>264</v>
      </c>
      <c r="S21" s="8" t="s">
        <v>266</v>
      </c>
      <c r="T21" s="8" t="s">
        <v>267</v>
      </c>
      <c r="U21" s="8" t="s">
        <v>7</v>
      </c>
      <c r="X21" s="157"/>
      <c r="Y21" s="8" t="s">
        <v>286</v>
      </c>
      <c r="Z21" s="8" t="s">
        <v>263</v>
      </c>
      <c r="AA21" s="8" t="s">
        <v>239</v>
      </c>
      <c r="AB21" s="8" t="s">
        <v>265</v>
      </c>
      <c r="AC21" s="8" t="s">
        <v>264</v>
      </c>
      <c r="AD21" s="8" t="s">
        <v>266</v>
      </c>
      <c r="AE21" s="8" t="s">
        <v>267</v>
      </c>
      <c r="AF21" s="8" t="s">
        <v>7</v>
      </c>
      <c r="AI21" s="157"/>
      <c r="AJ21" s="8" t="s">
        <v>286</v>
      </c>
      <c r="AK21" s="8" t="s">
        <v>263</v>
      </c>
      <c r="AL21" s="8" t="s">
        <v>239</v>
      </c>
      <c r="AM21" s="8" t="s">
        <v>265</v>
      </c>
      <c r="AN21" s="8" t="s">
        <v>264</v>
      </c>
      <c r="AO21" s="8" t="s">
        <v>266</v>
      </c>
      <c r="AP21" s="8" t="s">
        <v>267</v>
      </c>
      <c r="AQ21" s="8" t="s">
        <v>7</v>
      </c>
    </row>
    <row r="22" spans="1:43" x14ac:dyDescent="0.25">
      <c r="A22" s="160"/>
      <c r="B22" s="159" t="s">
        <v>252</v>
      </c>
      <c r="C22" s="159" t="s">
        <v>241</v>
      </c>
      <c r="D22" s="164">
        <f t="shared" ref="D22:J28" si="24">D4/D$11</f>
        <v>1</v>
      </c>
      <c r="E22" s="164">
        <f t="shared" si="24"/>
        <v>1</v>
      </c>
      <c r="F22" s="164">
        <f t="shared" si="24"/>
        <v>1</v>
      </c>
      <c r="G22" s="164">
        <f t="shared" si="24"/>
        <v>1</v>
      </c>
      <c r="H22" s="164">
        <f t="shared" si="24"/>
        <v>1</v>
      </c>
      <c r="I22" s="164">
        <f t="shared" si="24"/>
        <v>1</v>
      </c>
      <c r="J22" s="164">
        <f t="shared" si="24"/>
        <v>1</v>
      </c>
      <c r="L22" s="160"/>
      <c r="M22" s="159" t="s">
        <v>252</v>
      </c>
      <c r="N22" s="159" t="s">
        <v>241</v>
      </c>
      <c r="O22" s="164">
        <f t="shared" ref="O22:U28" si="25">O4/O$11</f>
        <v>1</v>
      </c>
      <c r="P22" s="164">
        <f t="shared" si="25"/>
        <v>1</v>
      </c>
      <c r="Q22" s="164">
        <f t="shared" si="25"/>
        <v>1</v>
      </c>
      <c r="R22" s="164">
        <f t="shared" si="25"/>
        <v>1</v>
      </c>
      <c r="S22" s="164">
        <f t="shared" si="25"/>
        <v>1</v>
      </c>
      <c r="T22" s="164">
        <f t="shared" si="25"/>
        <v>1</v>
      </c>
      <c r="U22" s="164">
        <f t="shared" si="25"/>
        <v>1</v>
      </c>
      <c r="W22" s="160"/>
      <c r="X22" s="159" t="s">
        <v>252</v>
      </c>
      <c r="Y22" s="159" t="s">
        <v>241</v>
      </c>
      <c r="Z22" s="164">
        <f t="shared" ref="Z22:AF28" si="26">Z4/Z$11</f>
        <v>1</v>
      </c>
      <c r="AA22" s="164">
        <f t="shared" si="26"/>
        <v>1</v>
      </c>
      <c r="AB22" s="164">
        <f t="shared" si="26"/>
        <v>1</v>
      </c>
      <c r="AC22" s="164">
        <f t="shared" si="26"/>
        <v>1</v>
      </c>
      <c r="AD22" s="164">
        <f t="shared" si="26"/>
        <v>1</v>
      </c>
      <c r="AE22" s="164">
        <f t="shared" si="26"/>
        <v>1</v>
      </c>
      <c r="AF22" s="164">
        <f t="shared" si="26"/>
        <v>1</v>
      </c>
      <c r="AH22" s="160"/>
      <c r="AI22" s="159" t="s">
        <v>252</v>
      </c>
      <c r="AJ22" s="159" t="s">
        <v>241</v>
      </c>
      <c r="AK22" s="164">
        <f t="shared" ref="AK22:AQ28" si="27">AK4/AK$11</f>
        <v>1</v>
      </c>
      <c r="AL22" s="164">
        <f t="shared" si="27"/>
        <v>1</v>
      </c>
      <c r="AM22" s="164">
        <f t="shared" si="27"/>
        <v>1</v>
      </c>
      <c r="AN22" s="164">
        <f t="shared" si="27"/>
        <v>1</v>
      </c>
      <c r="AO22" s="164">
        <f t="shared" si="27"/>
        <v>1</v>
      </c>
      <c r="AP22" s="164">
        <f t="shared" si="27"/>
        <v>1</v>
      </c>
      <c r="AQ22" s="164">
        <f t="shared" si="27"/>
        <v>1</v>
      </c>
    </row>
    <row r="23" spans="1:43" x14ac:dyDescent="0.25">
      <c r="A23" s="160"/>
      <c r="C23" s="2" t="s">
        <v>239</v>
      </c>
      <c r="D23" s="150">
        <f t="shared" si="24"/>
        <v>0</v>
      </c>
      <c r="E23" s="150">
        <f t="shared" si="24"/>
        <v>0</v>
      </c>
      <c r="F23" s="150">
        <f t="shared" si="24"/>
        <v>0</v>
      </c>
      <c r="G23" s="150">
        <f t="shared" si="24"/>
        <v>0</v>
      </c>
      <c r="H23" s="150">
        <f t="shared" si="24"/>
        <v>0</v>
      </c>
      <c r="I23" s="150">
        <f t="shared" si="24"/>
        <v>0</v>
      </c>
      <c r="J23" s="150">
        <f t="shared" si="24"/>
        <v>0</v>
      </c>
      <c r="L23" s="160"/>
      <c r="N23" s="2" t="s">
        <v>239</v>
      </c>
      <c r="O23" s="150">
        <f t="shared" si="25"/>
        <v>0</v>
      </c>
      <c r="P23" s="150">
        <f t="shared" si="25"/>
        <v>0</v>
      </c>
      <c r="Q23" s="150">
        <f t="shared" si="25"/>
        <v>0</v>
      </c>
      <c r="R23" s="150">
        <f t="shared" si="25"/>
        <v>0</v>
      </c>
      <c r="S23" s="150">
        <f t="shared" si="25"/>
        <v>0</v>
      </c>
      <c r="T23" s="150">
        <f t="shared" si="25"/>
        <v>0</v>
      </c>
      <c r="U23" s="150">
        <f t="shared" si="25"/>
        <v>0</v>
      </c>
      <c r="W23" s="160"/>
      <c r="Y23" s="2" t="s">
        <v>239</v>
      </c>
      <c r="Z23" s="150">
        <f t="shared" si="26"/>
        <v>0</v>
      </c>
      <c r="AA23" s="150">
        <f t="shared" si="26"/>
        <v>0</v>
      </c>
      <c r="AB23" s="150">
        <f t="shared" si="26"/>
        <v>0</v>
      </c>
      <c r="AC23" s="150">
        <f t="shared" si="26"/>
        <v>0</v>
      </c>
      <c r="AD23" s="150">
        <f t="shared" si="26"/>
        <v>0</v>
      </c>
      <c r="AE23" s="150">
        <f t="shared" si="26"/>
        <v>0</v>
      </c>
      <c r="AF23" s="150">
        <f t="shared" si="26"/>
        <v>0</v>
      </c>
      <c r="AH23" s="160"/>
      <c r="AJ23" s="2" t="s">
        <v>239</v>
      </c>
      <c r="AK23" s="150">
        <f t="shared" si="27"/>
        <v>0</v>
      </c>
      <c r="AL23" s="150">
        <f t="shared" si="27"/>
        <v>0</v>
      </c>
      <c r="AM23" s="150">
        <f t="shared" si="27"/>
        <v>0</v>
      </c>
      <c r="AN23" s="150">
        <f t="shared" si="27"/>
        <v>0</v>
      </c>
      <c r="AO23" s="150">
        <f t="shared" si="27"/>
        <v>0</v>
      </c>
      <c r="AP23" s="150">
        <f t="shared" si="27"/>
        <v>0</v>
      </c>
      <c r="AQ23" s="150">
        <f t="shared" si="27"/>
        <v>0</v>
      </c>
    </row>
    <row r="24" spans="1:43" x14ac:dyDescent="0.25">
      <c r="A24" s="160"/>
      <c r="C24" s="2" t="s">
        <v>242</v>
      </c>
      <c r="D24" s="150">
        <f t="shared" si="24"/>
        <v>0</v>
      </c>
      <c r="E24" s="150">
        <f t="shared" si="24"/>
        <v>0</v>
      </c>
      <c r="F24" s="150">
        <f t="shared" si="24"/>
        <v>0</v>
      </c>
      <c r="G24" s="150">
        <f t="shared" si="24"/>
        <v>0</v>
      </c>
      <c r="H24" s="150">
        <f t="shared" si="24"/>
        <v>0</v>
      </c>
      <c r="I24" s="150">
        <f t="shared" si="24"/>
        <v>0</v>
      </c>
      <c r="J24" s="150">
        <f t="shared" si="24"/>
        <v>0</v>
      </c>
      <c r="L24" s="160"/>
      <c r="N24" s="2" t="s">
        <v>242</v>
      </c>
      <c r="O24" s="150">
        <f t="shared" si="25"/>
        <v>0</v>
      </c>
      <c r="P24" s="150">
        <f t="shared" si="25"/>
        <v>0</v>
      </c>
      <c r="Q24" s="150">
        <f t="shared" si="25"/>
        <v>0</v>
      </c>
      <c r="R24" s="150">
        <f t="shared" si="25"/>
        <v>0</v>
      </c>
      <c r="S24" s="150">
        <f t="shared" si="25"/>
        <v>0</v>
      </c>
      <c r="T24" s="150">
        <f t="shared" si="25"/>
        <v>0</v>
      </c>
      <c r="U24" s="150">
        <f t="shared" si="25"/>
        <v>0</v>
      </c>
      <c r="W24" s="160"/>
      <c r="Y24" s="2" t="s">
        <v>242</v>
      </c>
      <c r="Z24" s="150">
        <f t="shared" si="26"/>
        <v>0</v>
      </c>
      <c r="AA24" s="150">
        <f t="shared" si="26"/>
        <v>0</v>
      </c>
      <c r="AB24" s="150">
        <f t="shared" si="26"/>
        <v>0</v>
      </c>
      <c r="AC24" s="150">
        <f t="shared" si="26"/>
        <v>0</v>
      </c>
      <c r="AD24" s="150">
        <f t="shared" si="26"/>
        <v>0</v>
      </c>
      <c r="AE24" s="150">
        <f t="shared" si="26"/>
        <v>0</v>
      </c>
      <c r="AF24" s="150">
        <f t="shared" si="26"/>
        <v>0</v>
      </c>
      <c r="AH24" s="160"/>
      <c r="AJ24" s="2" t="s">
        <v>242</v>
      </c>
      <c r="AK24" s="150">
        <f t="shared" si="27"/>
        <v>0</v>
      </c>
      <c r="AL24" s="150">
        <f t="shared" si="27"/>
        <v>0</v>
      </c>
      <c r="AM24" s="150">
        <f t="shared" si="27"/>
        <v>0</v>
      </c>
      <c r="AN24" s="150">
        <f t="shared" si="27"/>
        <v>0</v>
      </c>
      <c r="AO24" s="150">
        <f t="shared" si="27"/>
        <v>0</v>
      </c>
      <c r="AP24" s="150">
        <f t="shared" si="27"/>
        <v>0</v>
      </c>
      <c r="AQ24" s="150">
        <f t="shared" si="27"/>
        <v>0</v>
      </c>
    </row>
    <row r="25" spans="1:43" x14ac:dyDescent="0.25">
      <c r="A25" s="160"/>
      <c r="C25" s="139" t="s">
        <v>238</v>
      </c>
      <c r="D25" s="150">
        <f t="shared" si="24"/>
        <v>0</v>
      </c>
      <c r="E25" s="150">
        <f t="shared" si="24"/>
        <v>0</v>
      </c>
      <c r="F25" s="150">
        <f t="shared" si="24"/>
        <v>0</v>
      </c>
      <c r="G25" s="150">
        <f t="shared" si="24"/>
        <v>0</v>
      </c>
      <c r="H25" s="150">
        <f t="shared" si="24"/>
        <v>0</v>
      </c>
      <c r="I25" s="150">
        <f t="shared" si="24"/>
        <v>0</v>
      </c>
      <c r="J25" s="150">
        <f t="shared" si="24"/>
        <v>0</v>
      </c>
      <c r="L25" s="160"/>
      <c r="N25" s="139" t="s">
        <v>238</v>
      </c>
      <c r="O25" s="150">
        <f t="shared" si="25"/>
        <v>0</v>
      </c>
      <c r="P25" s="150">
        <f t="shared" si="25"/>
        <v>0</v>
      </c>
      <c r="Q25" s="150">
        <f t="shared" si="25"/>
        <v>0</v>
      </c>
      <c r="R25" s="150">
        <f t="shared" si="25"/>
        <v>0</v>
      </c>
      <c r="S25" s="150">
        <f t="shared" si="25"/>
        <v>0</v>
      </c>
      <c r="T25" s="150">
        <f t="shared" si="25"/>
        <v>0</v>
      </c>
      <c r="U25" s="150">
        <f t="shared" si="25"/>
        <v>0</v>
      </c>
      <c r="W25" s="160"/>
      <c r="Y25" s="139" t="s">
        <v>238</v>
      </c>
      <c r="Z25" s="150">
        <f t="shared" si="26"/>
        <v>0</v>
      </c>
      <c r="AA25" s="150">
        <f t="shared" si="26"/>
        <v>0</v>
      </c>
      <c r="AB25" s="150">
        <f t="shared" si="26"/>
        <v>0</v>
      </c>
      <c r="AC25" s="150">
        <f t="shared" si="26"/>
        <v>0</v>
      </c>
      <c r="AD25" s="150">
        <f t="shared" si="26"/>
        <v>0</v>
      </c>
      <c r="AE25" s="150">
        <f t="shared" si="26"/>
        <v>0</v>
      </c>
      <c r="AF25" s="150">
        <f t="shared" si="26"/>
        <v>0</v>
      </c>
      <c r="AH25" s="160"/>
      <c r="AJ25" s="139" t="s">
        <v>238</v>
      </c>
      <c r="AK25" s="150">
        <f t="shared" si="27"/>
        <v>0</v>
      </c>
      <c r="AL25" s="150">
        <f t="shared" si="27"/>
        <v>0</v>
      </c>
      <c r="AM25" s="150">
        <f t="shared" si="27"/>
        <v>0</v>
      </c>
      <c r="AN25" s="150">
        <f t="shared" si="27"/>
        <v>0</v>
      </c>
      <c r="AO25" s="150">
        <f t="shared" si="27"/>
        <v>0</v>
      </c>
      <c r="AP25" s="150">
        <f t="shared" si="27"/>
        <v>0</v>
      </c>
      <c r="AQ25" s="150">
        <f t="shared" si="27"/>
        <v>0</v>
      </c>
    </row>
    <row r="26" spans="1:43" x14ac:dyDescent="0.25">
      <c r="A26" s="160"/>
      <c r="C26" s="2" t="s">
        <v>240</v>
      </c>
      <c r="D26" s="150">
        <f t="shared" si="24"/>
        <v>0</v>
      </c>
      <c r="E26" s="150">
        <f t="shared" si="24"/>
        <v>0</v>
      </c>
      <c r="F26" s="150">
        <f t="shared" si="24"/>
        <v>0</v>
      </c>
      <c r="G26" s="150">
        <f t="shared" si="24"/>
        <v>0</v>
      </c>
      <c r="H26" s="150">
        <f t="shared" si="24"/>
        <v>0</v>
      </c>
      <c r="I26" s="150">
        <f t="shared" si="24"/>
        <v>0</v>
      </c>
      <c r="J26" s="150">
        <f t="shared" si="24"/>
        <v>0</v>
      </c>
      <c r="L26" s="160"/>
      <c r="N26" s="2" t="s">
        <v>240</v>
      </c>
      <c r="O26" s="150">
        <f t="shared" si="25"/>
        <v>0</v>
      </c>
      <c r="P26" s="150">
        <f t="shared" si="25"/>
        <v>0</v>
      </c>
      <c r="Q26" s="150">
        <f t="shared" si="25"/>
        <v>0</v>
      </c>
      <c r="R26" s="150">
        <f t="shared" si="25"/>
        <v>0</v>
      </c>
      <c r="S26" s="150">
        <f t="shared" si="25"/>
        <v>0</v>
      </c>
      <c r="T26" s="150">
        <f t="shared" si="25"/>
        <v>0</v>
      </c>
      <c r="U26" s="150">
        <f t="shared" si="25"/>
        <v>0</v>
      </c>
      <c r="W26" s="160"/>
      <c r="Y26" s="2" t="s">
        <v>240</v>
      </c>
      <c r="Z26" s="150">
        <f t="shared" si="26"/>
        <v>0</v>
      </c>
      <c r="AA26" s="150">
        <f t="shared" si="26"/>
        <v>0</v>
      </c>
      <c r="AB26" s="150">
        <f t="shared" si="26"/>
        <v>0</v>
      </c>
      <c r="AC26" s="150">
        <f t="shared" si="26"/>
        <v>0</v>
      </c>
      <c r="AD26" s="150">
        <f t="shared" si="26"/>
        <v>0</v>
      </c>
      <c r="AE26" s="150">
        <f t="shared" si="26"/>
        <v>0</v>
      </c>
      <c r="AF26" s="150">
        <f t="shared" si="26"/>
        <v>0</v>
      </c>
      <c r="AH26" s="160"/>
      <c r="AJ26" s="2" t="s">
        <v>240</v>
      </c>
      <c r="AK26" s="150">
        <f t="shared" si="27"/>
        <v>0</v>
      </c>
      <c r="AL26" s="150">
        <f t="shared" si="27"/>
        <v>0</v>
      </c>
      <c r="AM26" s="150">
        <f t="shared" si="27"/>
        <v>0</v>
      </c>
      <c r="AN26" s="150">
        <f t="shared" si="27"/>
        <v>0</v>
      </c>
      <c r="AO26" s="150">
        <f t="shared" si="27"/>
        <v>0</v>
      </c>
      <c r="AP26" s="150">
        <f t="shared" si="27"/>
        <v>0</v>
      </c>
      <c r="AQ26" s="150">
        <f t="shared" si="27"/>
        <v>0</v>
      </c>
    </row>
    <row r="27" spans="1:43" x14ac:dyDescent="0.25">
      <c r="A27" s="160"/>
      <c r="C27" s="2" t="s">
        <v>237</v>
      </c>
      <c r="D27" s="150">
        <f t="shared" si="24"/>
        <v>0</v>
      </c>
      <c r="E27" s="150">
        <f t="shared" si="24"/>
        <v>0</v>
      </c>
      <c r="F27" s="150">
        <f t="shared" si="24"/>
        <v>0</v>
      </c>
      <c r="G27" s="150">
        <f t="shared" si="24"/>
        <v>0</v>
      </c>
      <c r="H27" s="150">
        <f t="shared" si="24"/>
        <v>0</v>
      </c>
      <c r="I27" s="150">
        <f t="shared" si="24"/>
        <v>0</v>
      </c>
      <c r="J27" s="150">
        <f t="shared" si="24"/>
        <v>0</v>
      </c>
      <c r="L27" s="160"/>
      <c r="N27" s="2" t="s">
        <v>237</v>
      </c>
      <c r="O27" s="150">
        <f t="shared" si="25"/>
        <v>0</v>
      </c>
      <c r="P27" s="150">
        <f t="shared" si="25"/>
        <v>0</v>
      </c>
      <c r="Q27" s="150">
        <f t="shared" si="25"/>
        <v>0</v>
      </c>
      <c r="R27" s="150">
        <f t="shared" si="25"/>
        <v>0</v>
      </c>
      <c r="S27" s="150">
        <f t="shared" si="25"/>
        <v>0</v>
      </c>
      <c r="T27" s="150">
        <f t="shared" si="25"/>
        <v>0</v>
      </c>
      <c r="U27" s="150">
        <f t="shared" si="25"/>
        <v>0</v>
      </c>
      <c r="W27" s="160"/>
      <c r="Y27" s="2" t="s">
        <v>237</v>
      </c>
      <c r="Z27" s="150">
        <f t="shared" si="26"/>
        <v>0</v>
      </c>
      <c r="AA27" s="150">
        <f t="shared" si="26"/>
        <v>0</v>
      </c>
      <c r="AB27" s="150">
        <f t="shared" si="26"/>
        <v>0</v>
      </c>
      <c r="AC27" s="150">
        <f t="shared" si="26"/>
        <v>0</v>
      </c>
      <c r="AD27" s="150">
        <f t="shared" si="26"/>
        <v>0</v>
      </c>
      <c r="AE27" s="150">
        <f t="shared" si="26"/>
        <v>0</v>
      </c>
      <c r="AF27" s="150">
        <f t="shared" si="26"/>
        <v>0</v>
      </c>
      <c r="AH27" s="160"/>
      <c r="AJ27" s="2" t="s">
        <v>237</v>
      </c>
      <c r="AK27" s="150">
        <f t="shared" si="27"/>
        <v>0</v>
      </c>
      <c r="AL27" s="150">
        <f t="shared" si="27"/>
        <v>0</v>
      </c>
      <c r="AM27" s="150">
        <f t="shared" si="27"/>
        <v>0</v>
      </c>
      <c r="AN27" s="150">
        <f t="shared" si="27"/>
        <v>0</v>
      </c>
      <c r="AO27" s="150">
        <f t="shared" si="27"/>
        <v>0</v>
      </c>
      <c r="AP27" s="150">
        <f t="shared" si="27"/>
        <v>0</v>
      </c>
      <c r="AQ27" s="150">
        <f t="shared" si="27"/>
        <v>0</v>
      </c>
    </row>
    <row r="28" spans="1:43" x14ac:dyDescent="0.25">
      <c r="A28" s="160"/>
      <c r="C28" s="8" t="s">
        <v>287</v>
      </c>
      <c r="D28" s="151">
        <f t="shared" si="24"/>
        <v>0</v>
      </c>
      <c r="E28" s="151">
        <f t="shared" si="24"/>
        <v>0</v>
      </c>
      <c r="F28" s="151">
        <f t="shared" si="24"/>
        <v>0</v>
      </c>
      <c r="G28" s="151">
        <f t="shared" si="24"/>
        <v>0</v>
      </c>
      <c r="H28" s="151">
        <f t="shared" si="24"/>
        <v>0</v>
      </c>
      <c r="I28" s="151">
        <f t="shared" si="24"/>
        <v>0</v>
      </c>
      <c r="J28" s="151">
        <f t="shared" si="24"/>
        <v>0</v>
      </c>
      <c r="L28" s="160"/>
      <c r="N28" s="8" t="s">
        <v>287</v>
      </c>
      <c r="O28" s="151">
        <f t="shared" si="25"/>
        <v>0</v>
      </c>
      <c r="P28" s="151">
        <f t="shared" si="25"/>
        <v>0</v>
      </c>
      <c r="Q28" s="151">
        <f t="shared" si="25"/>
        <v>0</v>
      </c>
      <c r="R28" s="151">
        <f t="shared" si="25"/>
        <v>0</v>
      </c>
      <c r="S28" s="151">
        <f t="shared" si="25"/>
        <v>0</v>
      </c>
      <c r="T28" s="151">
        <f t="shared" si="25"/>
        <v>0</v>
      </c>
      <c r="U28" s="151">
        <f t="shared" si="25"/>
        <v>0</v>
      </c>
      <c r="W28" s="160"/>
      <c r="Y28" s="8" t="s">
        <v>287</v>
      </c>
      <c r="Z28" s="151">
        <f t="shared" si="26"/>
        <v>0</v>
      </c>
      <c r="AA28" s="151">
        <f t="shared" si="26"/>
        <v>0</v>
      </c>
      <c r="AB28" s="151">
        <f t="shared" si="26"/>
        <v>0</v>
      </c>
      <c r="AC28" s="151">
        <f t="shared" si="26"/>
        <v>0</v>
      </c>
      <c r="AD28" s="151">
        <f t="shared" si="26"/>
        <v>0</v>
      </c>
      <c r="AE28" s="151">
        <f t="shared" si="26"/>
        <v>0</v>
      </c>
      <c r="AF28" s="151">
        <f t="shared" si="26"/>
        <v>0</v>
      </c>
      <c r="AH28" s="160"/>
      <c r="AJ28" s="8" t="s">
        <v>287</v>
      </c>
      <c r="AK28" s="151">
        <f t="shared" si="27"/>
        <v>0</v>
      </c>
      <c r="AL28" s="151">
        <f t="shared" si="27"/>
        <v>0</v>
      </c>
      <c r="AM28" s="151">
        <f t="shared" si="27"/>
        <v>0</v>
      </c>
      <c r="AN28" s="151">
        <f t="shared" si="27"/>
        <v>0</v>
      </c>
      <c r="AO28" s="151">
        <f t="shared" si="27"/>
        <v>0</v>
      </c>
      <c r="AP28" s="151">
        <f t="shared" si="27"/>
        <v>0</v>
      </c>
      <c r="AQ28" s="151">
        <f t="shared" si="27"/>
        <v>0</v>
      </c>
    </row>
    <row r="29" spans="1:43" x14ac:dyDescent="0.25">
      <c r="A29" s="160"/>
      <c r="B29" s="157"/>
      <c r="C29" s="162" t="s">
        <v>7</v>
      </c>
      <c r="D29" s="165">
        <f t="shared" ref="D29:J29" si="28">SUM(D22:D28)</f>
        <v>1</v>
      </c>
      <c r="E29" s="165">
        <f t="shared" si="28"/>
        <v>1</v>
      </c>
      <c r="F29" s="165">
        <f t="shared" si="28"/>
        <v>1</v>
      </c>
      <c r="G29" s="165">
        <f t="shared" si="28"/>
        <v>1</v>
      </c>
      <c r="H29" s="165">
        <f t="shared" si="28"/>
        <v>1</v>
      </c>
      <c r="I29" s="165">
        <f t="shared" si="28"/>
        <v>1</v>
      </c>
      <c r="J29" s="165">
        <f t="shared" si="28"/>
        <v>1</v>
      </c>
      <c r="L29" s="160"/>
      <c r="M29" s="157"/>
      <c r="N29" s="162" t="s">
        <v>7</v>
      </c>
      <c r="O29" s="165">
        <f t="shared" ref="O29:U29" si="29">SUM(O22:O28)</f>
        <v>1</v>
      </c>
      <c r="P29" s="165">
        <f t="shared" si="29"/>
        <v>1</v>
      </c>
      <c r="Q29" s="165">
        <f t="shared" si="29"/>
        <v>1</v>
      </c>
      <c r="R29" s="165">
        <f t="shared" si="29"/>
        <v>1</v>
      </c>
      <c r="S29" s="165">
        <f t="shared" si="29"/>
        <v>1</v>
      </c>
      <c r="T29" s="165">
        <f t="shared" si="29"/>
        <v>1</v>
      </c>
      <c r="U29" s="165">
        <f t="shared" si="29"/>
        <v>1</v>
      </c>
      <c r="W29" s="160"/>
      <c r="X29" s="157"/>
      <c r="Y29" s="162" t="s">
        <v>7</v>
      </c>
      <c r="Z29" s="165">
        <f t="shared" ref="Z29:AF29" si="30">SUM(Z22:Z28)</f>
        <v>1</v>
      </c>
      <c r="AA29" s="165">
        <f t="shared" si="30"/>
        <v>1</v>
      </c>
      <c r="AB29" s="165">
        <f t="shared" si="30"/>
        <v>1</v>
      </c>
      <c r="AC29" s="165">
        <f t="shared" si="30"/>
        <v>1</v>
      </c>
      <c r="AD29" s="165">
        <f t="shared" si="30"/>
        <v>1</v>
      </c>
      <c r="AE29" s="165">
        <f t="shared" si="30"/>
        <v>1</v>
      </c>
      <c r="AF29" s="165">
        <f t="shared" si="30"/>
        <v>1</v>
      </c>
      <c r="AH29" s="160"/>
      <c r="AI29" s="157"/>
      <c r="AJ29" s="162" t="s">
        <v>7</v>
      </c>
      <c r="AK29" s="165">
        <f t="shared" ref="AK29:AQ29" si="31">SUM(AK22:AK28)</f>
        <v>1</v>
      </c>
      <c r="AL29" s="165">
        <f t="shared" si="31"/>
        <v>1</v>
      </c>
      <c r="AM29" s="165">
        <f t="shared" si="31"/>
        <v>1</v>
      </c>
      <c r="AN29" s="165">
        <f t="shared" si="31"/>
        <v>1</v>
      </c>
      <c r="AO29" s="165">
        <f t="shared" si="31"/>
        <v>1</v>
      </c>
      <c r="AP29" s="165">
        <f t="shared" si="31"/>
        <v>1</v>
      </c>
      <c r="AQ29" s="165">
        <f t="shared" si="31"/>
        <v>1</v>
      </c>
    </row>
    <row r="30" spans="1:43" x14ac:dyDescent="0.25">
      <c r="A30" s="160"/>
      <c r="B30" s="2" t="s">
        <v>253</v>
      </c>
      <c r="C30" s="139" t="s">
        <v>241</v>
      </c>
      <c r="D30" s="164">
        <f t="shared" ref="D30:J37" si="32">D12/D$19</f>
        <v>1</v>
      </c>
      <c r="E30" s="164">
        <f t="shared" si="32"/>
        <v>1</v>
      </c>
      <c r="F30" s="164">
        <f t="shared" si="32"/>
        <v>1</v>
      </c>
      <c r="G30" s="164">
        <f t="shared" si="32"/>
        <v>1</v>
      </c>
      <c r="H30" s="164">
        <f t="shared" si="32"/>
        <v>1</v>
      </c>
      <c r="I30" s="164">
        <f t="shared" si="32"/>
        <v>1</v>
      </c>
      <c r="J30" s="164">
        <f t="shared" si="32"/>
        <v>1</v>
      </c>
      <c r="L30" s="160"/>
      <c r="M30" s="2" t="s">
        <v>253</v>
      </c>
      <c r="N30" s="139" t="s">
        <v>241</v>
      </c>
      <c r="O30" s="164">
        <f t="shared" ref="O30:U37" si="33">O12/O$19</f>
        <v>1</v>
      </c>
      <c r="P30" s="164">
        <f t="shared" si="33"/>
        <v>1</v>
      </c>
      <c r="Q30" s="164">
        <f t="shared" si="33"/>
        <v>1</v>
      </c>
      <c r="R30" s="164">
        <f t="shared" si="33"/>
        <v>1</v>
      </c>
      <c r="S30" s="164">
        <f t="shared" si="33"/>
        <v>1</v>
      </c>
      <c r="T30" s="164">
        <f t="shared" si="33"/>
        <v>1</v>
      </c>
      <c r="U30" s="164">
        <f t="shared" si="33"/>
        <v>1</v>
      </c>
      <c r="W30" s="160"/>
      <c r="X30" s="2" t="s">
        <v>253</v>
      </c>
      <c r="Y30" s="139" t="s">
        <v>241</v>
      </c>
      <c r="Z30" s="164">
        <f t="shared" ref="Z30:AF37" si="34">Z12/Z$19</f>
        <v>1</v>
      </c>
      <c r="AA30" s="164">
        <f t="shared" si="34"/>
        <v>1</v>
      </c>
      <c r="AB30" s="164">
        <f t="shared" si="34"/>
        <v>1</v>
      </c>
      <c r="AC30" s="164">
        <f t="shared" si="34"/>
        <v>1</v>
      </c>
      <c r="AD30" s="164">
        <f t="shared" si="34"/>
        <v>1</v>
      </c>
      <c r="AE30" s="164">
        <f t="shared" si="34"/>
        <v>1</v>
      </c>
      <c r="AF30" s="164">
        <f t="shared" si="34"/>
        <v>1</v>
      </c>
      <c r="AH30" s="160"/>
      <c r="AI30" s="2" t="s">
        <v>253</v>
      </c>
      <c r="AJ30" s="139" t="s">
        <v>241</v>
      </c>
      <c r="AK30" s="164">
        <f t="shared" ref="AK30:AQ37" si="35">AK12/AK$19</f>
        <v>1</v>
      </c>
      <c r="AL30" s="164">
        <f t="shared" si="35"/>
        <v>1</v>
      </c>
      <c r="AM30" s="164">
        <f t="shared" si="35"/>
        <v>1</v>
      </c>
      <c r="AN30" s="164">
        <f t="shared" si="35"/>
        <v>1</v>
      </c>
      <c r="AO30" s="164">
        <f t="shared" si="35"/>
        <v>1</v>
      </c>
      <c r="AP30" s="164">
        <f t="shared" si="35"/>
        <v>1</v>
      </c>
      <c r="AQ30" s="164">
        <f t="shared" si="35"/>
        <v>1</v>
      </c>
    </row>
    <row r="31" spans="1:43" x14ac:dyDescent="0.25">
      <c r="A31" s="160"/>
      <c r="C31" s="2" t="s">
        <v>239</v>
      </c>
      <c r="D31" s="150">
        <f t="shared" si="32"/>
        <v>0</v>
      </c>
      <c r="E31" s="150">
        <f t="shared" si="32"/>
        <v>0</v>
      </c>
      <c r="F31" s="150">
        <f t="shared" si="32"/>
        <v>0</v>
      </c>
      <c r="G31" s="150">
        <f t="shared" si="32"/>
        <v>0</v>
      </c>
      <c r="H31" s="150">
        <f t="shared" si="32"/>
        <v>0</v>
      </c>
      <c r="I31" s="150">
        <f t="shared" si="32"/>
        <v>0</v>
      </c>
      <c r="J31" s="150">
        <f t="shared" si="32"/>
        <v>0</v>
      </c>
      <c r="L31" s="160"/>
      <c r="N31" s="2" t="s">
        <v>239</v>
      </c>
      <c r="O31" s="150">
        <f t="shared" si="33"/>
        <v>0</v>
      </c>
      <c r="P31" s="150">
        <f t="shared" si="33"/>
        <v>0</v>
      </c>
      <c r="Q31" s="150">
        <f t="shared" si="33"/>
        <v>0</v>
      </c>
      <c r="R31" s="150">
        <f t="shared" si="33"/>
        <v>0</v>
      </c>
      <c r="S31" s="150">
        <f t="shared" si="33"/>
        <v>0</v>
      </c>
      <c r="T31" s="150">
        <f t="shared" si="33"/>
        <v>0</v>
      </c>
      <c r="U31" s="150">
        <f t="shared" si="33"/>
        <v>0</v>
      </c>
      <c r="W31" s="160"/>
      <c r="Y31" s="2" t="s">
        <v>239</v>
      </c>
      <c r="Z31" s="150">
        <f t="shared" si="34"/>
        <v>0</v>
      </c>
      <c r="AA31" s="150">
        <f t="shared" si="34"/>
        <v>0</v>
      </c>
      <c r="AB31" s="150">
        <f t="shared" si="34"/>
        <v>0</v>
      </c>
      <c r="AC31" s="150">
        <f t="shared" si="34"/>
        <v>0</v>
      </c>
      <c r="AD31" s="150">
        <f t="shared" si="34"/>
        <v>0</v>
      </c>
      <c r="AE31" s="150">
        <f t="shared" si="34"/>
        <v>0</v>
      </c>
      <c r="AF31" s="150">
        <f t="shared" si="34"/>
        <v>0</v>
      </c>
      <c r="AH31" s="160"/>
      <c r="AJ31" s="2" t="s">
        <v>239</v>
      </c>
      <c r="AK31" s="150">
        <f t="shared" si="35"/>
        <v>0</v>
      </c>
      <c r="AL31" s="150">
        <f t="shared" si="35"/>
        <v>0</v>
      </c>
      <c r="AM31" s="150">
        <f t="shared" si="35"/>
        <v>0</v>
      </c>
      <c r="AN31" s="150">
        <f t="shared" si="35"/>
        <v>0</v>
      </c>
      <c r="AO31" s="150">
        <f t="shared" si="35"/>
        <v>0</v>
      </c>
      <c r="AP31" s="150">
        <f t="shared" si="35"/>
        <v>0</v>
      </c>
      <c r="AQ31" s="150">
        <f t="shared" si="35"/>
        <v>0</v>
      </c>
    </row>
    <row r="32" spans="1:43" x14ac:dyDescent="0.25">
      <c r="A32" s="160"/>
      <c r="C32" s="2" t="s">
        <v>242</v>
      </c>
      <c r="D32" s="150">
        <f t="shared" si="32"/>
        <v>0</v>
      </c>
      <c r="E32" s="150">
        <f t="shared" si="32"/>
        <v>0</v>
      </c>
      <c r="F32" s="150">
        <f t="shared" si="32"/>
        <v>0</v>
      </c>
      <c r="G32" s="150">
        <f t="shared" si="32"/>
        <v>0</v>
      </c>
      <c r="H32" s="150">
        <f t="shared" si="32"/>
        <v>0</v>
      </c>
      <c r="I32" s="150">
        <f t="shared" si="32"/>
        <v>0</v>
      </c>
      <c r="J32" s="150">
        <f t="shared" si="32"/>
        <v>0</v>
      </c>
      <c r="L32" s="160"/>
      <c r="N32" s="2" t="s">
        <v>242</v>
      </c>
      <c r="O32" s="150">
        <f t="shared" si="33"/>
        <v>0</v>
      </c>
      <c r="P32" s="150">
        <f t="shared" si="33"/>
        <v>0</v>
      </c>
      <c r="Q32" s="150">
        <f t="shared" si="33"/>
        <v>0</v>
      </c>
      <c r="R32" s="150">
        <f t="shared" si="33"/>
        <v>0</v>
      </c>
      <c r="S32" s="150">
        <f t="shared" si="33"/>
        <v>0</v>
      </c>
      <c r="T32" s="150">
        <f t="shared" si="33"/>
        <v>0</v>
      </c>
      <c r="U32" s="150">
        <f t="shared" si="33"/>
        <v>0</v>
      </c>
      <c r="W32" s="160"/>
      <c r="Y32" s="2" t="s">
        <v>242</v>
      </c>
      <c r="Z32" s="150">
        <f t="shared" si="34"/>
        <v>0</v>
      </c>
      <c r="AA32" s="150">
        <f t="shared" si="34"/>
        <v>0</v>
      </c>
      <c r="AB32" s="150">
        <f t="shared" si="34"/>
        <v>0</v>
      </c>
      <c r="AC32" s="150">
        <f t="shared" si="34"/>
        <v>0</v>
      </c>
      <c r="AD32" s="150">
        <f t="shared" si="34"/>
        <v>0</v>
      </c>
      <c r="AE32" s="150">
        <f t="shared" si="34"/>
        <v>0</v>
      </c>
      <c r="AF32" s="150">
        <f t="shared" si="34"/>
        <v>0</v>
      </c>
      <c r="AH32" s="160"/>
      <c r="AJ32" s="2" t="s">
        <v>242</v>
      </c>
      <c r="AK32" s="150">
        <f t="shared" si="35"/>
        <v>0</v>
      </c>
      <c r="AL32" s="150">
        <f t="shared" si="35"/>
        <v>0</v>
      </c>
      <c r="AM32" s="150">
        <f t="shared" si="35"/>
        <v>0</v>
      </c>
      <c r="AN32" s="150">
        <f t="shared" si="35"/>
        <v>0</v>
      </c>
      <c r="AO32" s="150">
        <f t="shared" si="35"/>
        <v>0</v>
      </c>
      <c r="AP32" s="150">
        <f t="shared" si="35"/>
        <v>0</v>
      </c>
      <c r="AQ32" s="150">
        <f t="shared" si="35"/>
        <v>0</v>
      </c>
    </row>
    <row r="33" spans="1:43" x14ac:dyDescent="0.25">
      <c r="A33" s="160"/>
      <c r="C33" s="139" t="s">
        <v>238</v>
      </c>
      <c r="D33" s="150">
        <f t="shared" si="32"/>
        <v>0</v>
      </c>
      <c r="E33" s="150">
        <f t="shared" si="32"/>
        <v>0</v>
      </c>
      <c r="F33" s="150">
        <f t="shared" si="32"/>
        <v>0</v>
      </c>
      <c r="G33" s="150">
        <f t="shared" si="32"/>
        <v>0</v>
      </c>
      <c r="H33" s="150">
        <f t="shared" si="32"/>
        <v>0</v>
      </c>
      <c r="I33" s="150">
        <f t="shared" si="32"/>
        <v>0</v>
      </c>
      <c r="J33" s="150">
        <f t="shared" si="32"/>
        <v>0</v>
      </c>
      <c r="L33" s="160"/>
      <c r="N33" s="139" t="s">
        <v>238</v>
      </c>
      <c r="O33" s="150">
        <f t="shared" si="33"/>
        <v>0</v>
      </c>
      <c r="P33" s="150">
        <f t="shared" si="33"/>
        <v>0</v>
      </c>
      <c r="Q33" s="150">
        <f t="shared" si="33"/>
        <v>0</v>
      </c>
      <c r="R33" s="150">
        <f t="shared" si="33"/>
        <v>0</v>
      </c>
      <c r="S33" s="150">
        <f t="shared" si="33"/>
        <v>0</v>
      </c>
      <c r="T33" s="150">
        <f t="shared" si="33"/>
        <v>0</v>
      </c>
      <c r="U33" s="150">
        <f t="shared" si="33"/>
        <v>0</v>
      </c>
      <c r="W33" s="160"/>
      <c r="Y33" s="139" t="s">
        <v>238</v>
      </c>
      <c r="Z33" s="150">
        <f t="shared" si="34"/>
        <v>0</v>
      </c>
      <c r="AA33" s="150">
        <f t="shared" si="34"/>
        <v>0</v>
      </c>
      <c r="AB33" s="150">
        <f t="shared" si="34"/>
        <v>0</v>
      </c>
      <c r="AC33" s="150">
        <f t="shared" si="34"/>
        <v>0</v>
      </c>
      <c r="AD33" s="150">
        <f t="shared" si="34"/>
        <v>0</v>
      </c>
      <c r="AE33" s="150">
        <f t="shared" si="34"/>
        <v>0</v>
      </c>
      <c r="AF33" s="150">
        <f t="shared" si="34"/>
        <v>0</v>
      </c>
      <c r="AH33" s="160"/>
      <c r="AJ33" s="139" t="s">
        <v>238</v>
      </c>
      <c r="AK33" s="150">
        <f t="shared" si="35"/>
        <v>0</v>
      </c>
      <c r="AL33" s="150">
        <f t="shared" si="35"/>
        <v>0</v>
      </c>
      <c r="AM33" s="150">
        <f t="shared" si="35"/>
        <v>0</v>
      </c>
      <c r="AN33" s="150">
        <f t="shared" si="35"/>
        <v>0</v>
      </c>
      <c r="AO33" s="150">
        <f t="shared" si="35"/>
        <v>0</v>
      </c>
      <c r="AP33" s="150">
        <f t="shared" si="35"/>
        <v>0</v>
      </c>
      <c r="AQ33" s="150">
        <f t="shared" si="35"/>
        <v>0</v>
      </c>
    </row>
    <row r="34" spans="1:43" x14ac:dyDescent="0.25">
      <c r="A34" s="160"/>
      <c r="C34" s="2" t="s">
        <v>240</v>
      </c>
      <c r="D34" s="150">
        <f t="shared" si="32"/>
        <v>0</v>
      </c>
      <c r="E34" s="150">
        <f t="shared" si="32"/>
        <v>0</v>
      </c>
      <c r="F34" s="150">
        <f t="shared" si="32"/>
        <v>0</v>
      </c>
      <c r="G34" s="150">
        <f t="shared" si="32"/>
        <v>0</v>
      </c>
      <c r="H34" s="150">
        <f t="shared" si="32"/>
        <v>0</v>
      </c>
      <c r="I34" s="150">
        <f t="shared" si="32"/>
        <v>0</v>
      </c>
      <c r="J34" s="150">
        <f t="shared" si="32"/>
        <v>0</v>
      </c>
      <c r="L34" s="160"/>
      <c r="N34" s="2" t="s">
        <v>240</v>
      </c>
      <c r="O34" s="150">
        <f t="shared" si="33"/>
        <v>0</v>
      </c>
      <c r="P34" s="150">
        <f t="shared" si="33"/>
        <v>0</v>
      </c>
      <c r="Q34" s="150">
        <f t="shared" si="33"/>
        <v>0</v>
      </c>
      <c r="R34" s="150">
        <f t="shared" si="33"/>
        <v>0</v>
      </c>
      <c r="S34" s="150">
        <f t="shared" si="33"/>
        <v>0</v>
      </c>
      <c r="T34" s="150">
        <f t="shared" si="33"/>
        <v>0</v>
      </c>
      <c r="U34" s="150">
        <f t="shared" si="33"/>
        <v>0</v>
      </c>
      <c r="W34" s="160"/>
      <c r="Y34" s="2" t="s">
        <v>240</v>
      </c>
      <c r="Z34" s="150">
        <f t="shared" si="34"/>
        <v>0</v>
      </c>
      <c r="AA34" s="150">
        <f t="shared" si="34"/>
        <v>0</v>
      </c>
      <c r="AB34" s="150">
        <f t="shared" si="34"/>
        <v>0</v>
      </c>
      <c r="AC34" s="150">
        <f t="shared" si="34"/>
        <v>0</v>
      </c>
      <c r="AD34" s="150">
        <f t="shared" si="34"/>
        <v>0</v>
      </c>
      <c r="AE34" s="150">
        <f t="shared" si="34"/>
        <v>0</v>
      </c>
      <c r="AF34" s="150">
        <f t="shared" si="34"/>
        <v>0</v>
      </c>
      <c r="AH34" s="160"/>
      <c r="AJ34" s="2" t="s">
        <v>240</v>
      </c>
      <c r="AK34" s="150">
        <f t="shared" si="35"/>
        <v>0</v>
      </c>
      <c r="AL34" s="150">
        <f t="shared" si="35"/>
        <v>0</v>
      </c>
      <c r="AM34" s="150">
        <f t="shared" si="35"/>
        <v>0</v>
      </c>
      <c r="AN34" s="150">
        <f t="shared" si="35"/>
        <v>0</v>
      </c>
      <c r="AO34" s="150">
        <f t="shared" si="35"/>
        <v>0</v>
      </c>
      <c r="AP34" s="150">
        <f t="shared" si="35"/>
        <v>0</v>
      </c>
      <c r="AQ34" s="150">
        <f t="shared" si="35"/>
        <v>0</v>
      </c>
    </row>
    <row r="35" spans="1:43" x14ac:dyDescent="0.25">
      <c r="A35" s="160"/>
      <c r="C35" s="2" t="s">
        <v>237</v>
      </c>
      <c r="D35" s="150">
        <f t="shared" si="32"/>
        <v>0</v>
      </c>
      <c r="E35" s="150">
        <f t="shared" si="32"/>
        <v>0</v>
      </c>
      <c r="F35" s="150">
        <f t="shared" si="32"/>
        <v>0</v>
      </c>
      <c r="G35" s="150">
        <f t="shared" si="32"/>
        <v>0</v>
      </c>
      <c r="H35" s="150">
        <f t="shared" si="32"/>
        <v>0</v>
      </c>
      <c r="I35" s="150">
        <f t="shared" si="32"/>
        <v>0</v>
      </c>
      <c r="J35" s="150">
        <f t="shared" si="32"/>
        <v>0</v>
      </c>
      <c r="L35" s="160"/>
      <c r="N35" s="2" t="s">
        <v>237</v>
      </c>
      <c r="O35" s="150">
        <f t="shared" si="33"/>
        <v>0</v>
      </c>
      <c r="P35" s="150">
        <f t="shared" si="33"/>
        <v>0</v>
      </c>
      <c r="Q35" s="150">
        <f t="shared" si="33"/>
        <v>0</v>
      </c>
      <c r="R35" s="150">
        <f t="shared" si="33"/>
        <v>0</v>
      </c>
      <c r="S35" s="150">
        <f t="shared" si="33"/>
        <v>0</v>
      </c>
      <c r="T35" s="150">
        <f t="shared" si="33"/>
        <v>0</v>
      </c>
      <c r="U35" s="150">
        <f t="shared" si="33"/>
        <v>0</v>
      </c>
      <c r="W35" s="160"/>
      <c r="Y35" s="2" t="s">
        <v>237</v>
      </c>
      <c r="Z35" s="150">
        <f t="shared" si="34"/>
        <v>0</v>
      </c>
      <c r="AA35" s="150">
        <f t="shared" si="34"/>
        <v>0</v>
      </c>
      <c r="AB35" s="150">
        <f t="shared" si="34"/>
        <v>0</v>
      </c>
      <c r="AC35" s="150">
        <f t="shared" si="34"/>
        <v>0</v>
      </c>
      <c r="AD35" s="150">
        <f t="shared" si="34"/>
        <v>0</v>
      </c>
      <c r="AE35" s="150">
        <f t="shared" si="34"/>
        <v>0</v>
      </c>
      <c r="AF35" s="150">
        <f t="shared" si="34"/>
        <v>0</v>
      </c>
      <c r="AH35" s="160"/>
      <c r="AJ35" s="2" t="s">
        <v>237</v>
      </c>
      <c r="AK35" s="150">
        <f t="shared" si="35"/>
        <v>0</v>
      </c>
      <c r="AL35" s="150">
        <f t="shared" si="35"/>
        <v>0</v>
      </c>
      <c r="AM35" s="150">
        <f t="shared" si="35"/>
        <v>0</v>
      </c>
      <c r="AN35" s="150">
        <f t="shared" si="35"/>
        <v>0</v>
      </c>
      <c r="AO35" s="150">
        <f t="shared" si="35"/>
        <v>0</v>
      </c>
      <c r="AP35" s="150">
        <f t="shared" si="35"/>
        <v>0</v>
      </c>
      <c r="AQ35" s="150">
        <f t="shared" si="35"/>
        <v>0</v>
      </c>
    </row>
    <row r="36" spans="1:43" x14ac:dyDescent="0.25">
      <c r="A36" s="160"/>
      <c r="C36" s="8" t="s">
        <v>287</v>
      </c>
      <c r="D36" s="151">
        <f t="shared" si="32"/>
        <v>0</v>
      </c>
      <c r="E36" s="151">
        <f t="shared" si="32"/>
        <v>0</v>
      </c>
      <c r="F36" s="151">
        <f t="shared" si="32"/>
        <v>0</v>
      </c>
      <c r="G36" s="151">
        <f t="shared" si="32"/>
        <v>0</v>
      </c>
      <c r="H36" s="151">
        <f t="shared" si="32"/>
        <v>0</v>
      </c>
      <c r="I36" s="151">
        <f t="shared" si="32"/>
        <v>0</v>
      </c>
      <c r="J36" s="151">
        <f t="shared" si="32"/>
        <v>0</v>
      </c>
      <c r="L36" s="160"/>
      <c r="N36" s="8" t="s">
        <v>287</v>
      </c>
      <c r="O36" s="151">
        <f t="shared" si="33"/>
        <v>0</v>
      </c>
      <c r="P36" s="151">
        <f t="shared" si="33"/>
        <v>0</v>
      </c>
      <c r="Q36" s="151">
        <f t="shared" si="33"/>
        <v>0</v>
      </c>
      <c r="R36" s="151">
        <f t="shared" si="33"/>
        <v>0</v>
      </c>
      <c r="S36" s="151">
        <f t="shared" si="33"/>
        <v>0</v>
      </c>
      <c r="T36" s="151">
        <f t="shared" si="33"/>
        <v>0</v>
      </c>
      <c r="U36" s="151">
        <f t="shared" si="33"/>
        <v>0</v>
      </c>
      <c r="W36" s="160"/>
      <c r="Y36" s="8" t="s">
        <v>287</v>
      </c>
      <c r="Z36" s="151">
        <f t="shared" si="34"/>
        <v>0</v>
      </c>
      <c r="AA36" s="151">
        <f t="shared" si="34"/>
        <v>0</v>
      </c>
      <c r="AB36" s="151">
        <f t="shared" si="34"/>
        <v>0</v>
      </c>
      <c r="AC36" s="151">
        <f t="shared" si="34"/>
        <v>0</v>
      </c>
      <c r="AD36" s="151">
        <f t="shared" si="34"/>
        <v>0</v>
      </c>
      <c r="AE36" s="151">
        <f t="shared" si="34"/>
        <v>0</v>
      </c>
      <c r="AF36" s="151">
        <f t="shared" si="34"/>
        <v>0</v>
      </c>
      <c r="AH36" s="160"/>
      <c r="AJ36" s="8" t="s">
        <v>287</v>
      </c>
      <c r="AK36" s="151">
        <f t="shared" si="35"/>
        <v>0</v>
      </c>
      <c r="AL36" s="151">
        <f t="shared" si="35"/>
        <v>0</v>
      </c>
      <c r="AM36" s="151">
        <f t="shared" si="35"/>
        <v>0</v>
      </c>
      <c r="AN36" s="151">
        <f t="shared" si="35"/>
        <v>0</v>
      </c>
      <c r="AO36" s="151">
        <f t="shared" si="35"/>
        <v>0</v>
      </c>
      <c r="AP36" s="151">
        <f t="shared" si="35"/>
        <v>0</v>
      </c>
      <c r="AQ36" s="151">
        <f t="shared" si="35"/>
        <v>0</v>
      </c>
    </row>
    <row r="37" spans="1:43" x14ac:dyDescent="0.25">
      <c r="A37" s="160"/>
      <c r="B37" s="157"/>
      <c r="C37" s="162" t="s">
        <v>7</v>
      </c>
      <c r="D37" s="165">
        <f t="shared" si="32"/>
        <v>1</v>
      </c>
      <c r="E37" s="165">
        <f t="shared" si="32"/>
        <v>1</v>
      </c>
      <c r="F37" s="165">
        <f t="shared" si="32"/>
        <v>1</v>
      </c>
      <c r="G37" s="165">
        <f t="shared" si="32"/>
        <v>1</v>
      </c>
      <c r="H37" s="165">
        <f t="shared" si="32"/>
        <v>1</v>
      </c>
      <c r="I37" s="165">
        <f t="shared" si="32"/>
        <v>1</v>
      </c>
      <c r="J37" s="165">
        <f t="shared" si="32"/>
        <v>1</v>
      </c>
      <c r="L37" s="160"/>
      <c r="M37" s="157"/>
      <c r="N37" s="162" t="s">
        <v>7</v>
      </c>
      <c r="O37" s="165">
        <f t="shared" si="33"/>
        <v>1</v>
      </c>
      <c r="P37" s="165">
        <f t="shared" si="33"/>
        <v>1</v>
      </c>
      <c r="Q37" s="165">
        <f t="shared" si="33"/>
        <v>1</v>
      </c>
      <c r="R37" s="165">
        <f t="shared" si="33"/>
        <v>1</v>
      </c>
      <c r="S37" s="165">
        <f t="shared" si="33"/>
        <v>1</v>
      </c>
      <c r="T37" s="165">
        <f t="shared" si="33"/>
        <v>1</v>
      </c>
      <c r="U37" s="165">
        <f t="shared" si="33"/>
        <v>1</v>
      </c>
      <c r="W37" s="160"/>
      <c r="X37" s="157"/>
      <c r="Y37" s="162" t="s">
        <v>7</v>
      </c>
      <c r="Z37" s="165">
        <f t="shared" si="34"/>
        <v>1</v>
      </c>
      <c r="AA37" s="165">
        <f t="shared" si="34"/>
        <v>1</v>
      </c>
      <c r="AB37" s="165">
        <f t="shared" si="34"/>
        <v>1</v>
      </c>
      <c r="AC37" s="165">
        <f t="shared" si="34"/>
        <v>1</v>
      </c>
      <c r="AD37" s="165">
        <f t="shared" si="34"/>
        <v>1</v>
      </c>
      <c r="AE37" s="165">
        <f t="shared" si="34"/>
        <v>1</v>
      </c>
      <c r="AF37" s="165">
        <f t="shared" si="34"/>
        <v>1</v>
      </c>
      <c r="AH37" s="160"/>
      <c r="AI37" s="157"/>
      <c r="AJ37" s="162" t="s">
        <v>7</v>
      </c>
      <c r="AK37" s="165">
        <f t="shared" si="35"/>
        <v>1</v>
      </c>
      <c r="AL37" s="165">
        <f t="shared" si="35"/>
        <v>1</v>
      </c>
      <c r="AM37" s="165">
        <f t="shared" si="35"/>
        <v>1</v>
      </c>
      <c r="AN37" s="165">
        <f t="shared" si="35"/>
        <v>1</v>
      </c>
      <c r="AO37" s="165">
        <f t="shared" si="35"/>
        <v>1</v>
      </c>
      <c r="AP37" s="165">
        <f t="shared" si="35"/>
        <v>1</v>
      </c>
      <c r="AQ37" s="165">
        <f t="shared" si="35"/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16DF-CDEC-41FF-B2F0-F0F25EF80100}">
  <sheetPr>
    <tabColor theme="1"/>
  </sheetPr>
  <dimension ref="A2:H45"/>
  <sheetViews>
    <sheetView topLeftCell="A18" workbookViewId="0">
      <selection activeCell="G34" sqref="G34"/>
    </sheetView>
  </sheetViews>
  <sheetFormatPr defaultRowHeight="12.75" x14ac:dyDescent="0.2"/>
  <cols>
    <col min="1" max="1" width="8.42578125" style="2" customWidth="1"/>
    <col min="2" max="2" width="5.140625" style="2" customWidth="1"/>
    <col min="3" max="3" width="8.5703125" style="2" customWidth="1"/>
    <col min="4" max="4" width="21.42578125" style="2" customWidth="1"/>
    <col min="5" max="16384" width="9.140625" style="2"/>
  </cols>
  <sheetData>
    <row r="2" spans="1:8" ht="25.5" x14ac:dyDescent="0.2">
      <c r="B2" s="8"/>
      <c r="C2" s="8"/>
      <c r="D2" s="8"/>
      <c r="E2" s="167" t="s">
        <v>311</v>
      </c>
      <c r="F2" s="167" t="s">
        <v>310</v>
      </c>
      <c r="G2" s="167" t="s">
        <v>309</v>
      </c>
      <c r="H2" s="167" t="s">
        <v>308</v>
      </c>
    </row>
    <row r="3" spans="1:8" x14ac:dyDescent="0.2">
      <c r="A3" s="14" t="s">
        <v>234</v>
      </c>
      <c r="B3" s="173">
        <v>1</v>
      </c>
      <c r="C3" s="2" t="s">
        <v>258</v>
      </c>
      <c r="D3" s="2" t="s">
        <v>306</v>
      </c>
      <c r="E3" s="17">
        <f t="array" ref="E3">SUM(IF((OBS_District_Flows!$B:$B=$C3)*(OBS_District_Flows!$C:$C="Total")*(IFERROR(FIND("San Francisco",OBS_District_Flows!$E:$E),-1)&gt;=0)*(IFERROR(FIND("San Francisco",OBS_District_Flows!$D:$D),-1)=-1)*(OBS_District_Flows!$G:$G=$B3),OBS_District_Flows!$F:$F,0))</f>
        <v>0</v>
      </c>
      <c r="F3" s="17">
        <f t="array" ref="F3">SUM(IF((modeldata!$K:$K=$C3)*(modeldata!$L:$L="Total")*(IFERROR(FIND("San Francisco",modeldata!$N:$N),-1)&gt;=0)*(IFERROR(FIND("San Francisco",modeldata!$M:$M),-1)=-1)*(modeldata!$O:$O=$A3),modeldata!$P:$P,0))</f>
        <v>0</v>
      </c>
      <c r="G3" s="47">
        <f t="shared" ref="G3:G38" si="0">F3-E3</f>
        <v>0</v>
      </c>
      <c r="H3" s="171" t="e">
        <f t="shared" ref="H3:H35" si="1">G3/E3</f>
        <v>#DIV/0!</v>
      </c>
    </row>
    <row r="4" spans="1:8" x14ac:dyDescent="0.2">
      <c r="B4" s="173"/>
      <c r="D4" s="2" t="s">
        <v>305</v>
      </c>
      <c r="E4" s="17">
        <f t="array" ref="E4">SUM(IF((OBS_District_Flows!$B:$B=$C3)*(OBS_District_Flows!$C:$C="Total")*(IFERROR(FIND("San Francisco",OBS_District_Flows!$E:$E),-1)=-1)*(IFERROR(FIND("San Francisco",OBS_District_Flows!$D:$D),-1)&gt;=0)*(OBS_District_Flows!$G:$G=$B3),OBS_District_Flows!$F:$F,0))</f>
        <v>0</v>
      </c>
      <c r="F4" s="17">
        <f t="array" ref="F4">SUM(IF((modeldata!$K:$K=$C3)*(modeldata!$L:$L="Total")*(IFERROR(FIND("San Francisco",modeldata!$N:$N),-1)=-1)*(IFERROR(FIND("San Francisco",modeldata!$M:$M),-1)&gt;=0)*(modeldata!$O:$O=$A3),modeldata!$P:$P,0))</f>
        <v>0</v>
      </c>
      <c r="G4" s="44">
        <f t="shared" si="0"/>
        <v>0</v>
      </c>
      <c r="H4" s="169" t="e">
        <f t="shared" si="1"/>
        <v>#DIV/0!</v>
      </c>
    </row>
    <row r="5" spans="1:8" x14ac:dyDescent="0.2">
      <c r="B5" s="172"/>
      <c r="C5" s="8"/>
      <c r="D5" s="8" t="s">
        <v>304</v>
      </c>
      <c r="E5" s="18">
        <f t="array" ref="E5">SUM(IF((OBS_District_Flows!$B:$B=$C3)*(OBS_District_Flows!$C:$C="Total")*(IFERROR(FIND("San Francisco",OBS_District_Flows!$E:$E),-1)&gt;=0)*(IFERROR(FIND("San Francisco",OBS_District_Flows!$D:$D),-1)&gt;=0)*(OBS_District_Flows!$G:$G=$B3),OBS_District_Flows!$F:$F,0))</f>
        <v>0</v>
      </c>
      <c r="F5" s="18">
        <f t="array" ref="F5">SUM(IF((modeldata!$K:$K=$C3)*(modeldata!$L:$L="Total")*(IFERROR(FIND("San Francisco",modeldata!$N:$N),-1)&gt;=0)*(IFERROR(FIND("San Francisco",modeldata!$M:$M),-1)&gt;=0)*(modeldata!$O:$O=$A3),modeldata!$P:$P,0))</f>
        <v>0</v>
      </c>
      <c r="G5" s="44">
        <f t="shared" si="0"/>
        <v>0</v>
      </c>
      <c r="H5" s="169" t="e">
        <f t="shared" si="1"/>
        <v>#DIV/0!</v>
      </c>
    </row>
    <row r="6" spans="1:8" x14ac:dyDescent="0.2">
      <c r="A6" s="2" t="s">
        <v>234</v>
      </c>
      <c r="B6" s="173">
        <v>1</v>
      </c>
      <c r="C6" s="2" t="s">
        <v>299</v>
      </c>
      <c r="D6" s="2" t="s">
        <v>306</v>
      </c>
      <c r="E6" s="17">
        <f t="array" ref="E6">SUM(IF((OBS_District_Flows!$B:$B=$C6)*(OBS_District_Flows!$C:$C="Total")*(IFERROR(FIND("San Francisco",OBS_District_Flows!$E:$E),-1)&gt;=0)*(IFERROR(FIND("San Francisco",OBS_District_Flows!$D:$D),-1)=-1)*(OBS_District_Flows!$G:$G=$B6),OBS_District_Flows!$F:$F,0))</f>
        <v>0</v>
      </c>
      <c r="F6" s="17">
        <f t="array" ref="F6">SUM(IF((modeldata!$K:$K=$C6)*(modeldata!$L:$L="Total")*(IFERROR(FIND("San Francisco",modeldata!$N:$N),-1)&gt;=0)*(IFERROR(FIND("San Francisco",modeldata!$M:$M),-1)=-1)*(modeldata!$O:$O=$A6),modeldata!$P:$P,0))</f>
        <v>0</v>
      </c>
      <c r="G6" s="47">
        <f t="shared" si="0"/>
        <v>0</v>
      </c>
      <c r="H6" s="171" t="e">
        <f t="shared" si="1"/>
        <v>#DIV/0!</v>
      </c>
    </row>
    <row r="7" spans="1:8" x14ac:dyDescent="0.2">
      <c r="B7" s="173"/>
      <c r="D7" s="2" t="s">
        <v>305</v>
      </c>
      <c r="E7" s="17">
        <f t="array" ref="E7">SUM(IF((OBS_District_Flows!$B:$B=$C6)*(OBS_District_Flows!$C:$C="Total")*(IFERROR(FIND("San Francisco",OBS_District_Flows!$E:$E),-1)=-1)*(IFERROR(FIND("San Francisco",OBS_District_Flows!$D:$D),-1)&gt;=0)*(OBS_District_Flows!$G:$G=$B6),OBS_District_Flows!$F:$F,0))</f>
        <v>0</v>
      </c>
      <c r="F7" s="17">
        <f t="array" ref="F7">SUM(IF((modeldata!$K:$K=$C6)*(modeldata!$L:$L="Total")*(IFERROR(FIND("San Francisco",modeldata!$N:$N),-1)=-1)*(IFERROR(FIND("San Francisco",modeldata!$M:$M),-1)&gt;=0)*(modeldata!$O:$O=$A6),modeldata!$P:$P,0))</f>
        <v>0</v>
      </c>
      <c r="G7" s="44">
        <f t="shared" si="0"/>
        <v>0</v>
      </c>
      <c r="H7" s="169" t="e">
        <f t="shared" si="1"/>
        <v>#DIV/0!</v>
      </c>
    </row>
    <row r="8" spans="1:8" x14ac:dyDescent="0.2">
      <c r="A8" s="8"/>
      <c r="B8" s="172"/>
      <c r="C8" s="8"/>
      <c r="D8" s="8" t="s">
        <v>304</v>
      </c>
      <c r="E8" s="18">
        <f t="array" ref="E8">SUM(IF((OBS_District_Flows!$B:$B=$C6)*(OBS_District_Flows!$C:$C="Total")*(IFERROR(FIND("San Francisco",OBS_District_Flows!$E:$E),-1)&gt;=0)*(IFERROR(FIND("San Francisco",OBS_District_Flows!$D:$D),-1)&gt;=0)*(OBS_District_Flows!$G:$G=$B6),OBS_District_Flows!$F:$F,0))</f>
        <v>0</v>
      </c>
      <c r="F8" s="18">
        <f t="array" ref="F8">SUM(IF((modeldata!$K:$K=$C6)*(modeldata!$L:$L="Total")*(IFERROR(FIND("San Francisco",modeldata!$N:$N),-1)&gt;=0)*(IFERROR(FIND("San Francisco",modeldata!$M:$M),-1)&gt;=0)*(modeldata!$O:$O=$A6),modeldata!$P:$P,0))</f>
        <v>0</v>
      </c>
      <c r="G8" s="45">
        <f t="shared" si="0"/>
        <v>0</v>
      </c>
      <c r="H8" s="168" t="e">
        <f t="shared" si="1"/>
        <v>#DIV/0!</v>
      </c>
    </row>
    <row r="9" spans="1:8" x14ac:dyDescent="0.2">
      <c r="A9" s="14" t="s">
        <v>71</v>
      </c>
      <c r="B9" s="173">
        <v>2</v>
      </c>
      <c r="C9" s="2" t="s">
        <v>258</v>
      </c>
      <c r="D9" s="2" t="s">
        <v>306</v>
      </c>
      <c r="E9" s="17">
        <f t="array" ref="E9">SUM(IF((OBS_District_Flows!$B:$B=$C9)*(OBS_District_Flows!$C:$C="Total")*(IFERROR(FIND("San Francisco",OBS_District_Flows!$E:$E),-1)&gt;=0)*(IFERROR(FIND("San Francisco",OBS_District_Flows!$D:$D),-1)=-1)*(OBS_District_Flows!$G:$G=$B9),OBS_District_Flows!$F:$F,0))</f>
        <v>0</v>
      </c>
      <c r="F9" s="17">
        <f t="array" ref="F9">SUM(IF((modeldata!$K:$K=$C9)*(modeldata!$L:$L="Total")*(IFERROR(FIND("San Francisco",modeldata!$N:$N),-1)&gt;=0)*(IFERROR(FIND("San Francisco",modeldata!$M:$M),-1)=-1)*(modeldata!$O:$O=$A9),modeldata!$P:$P,0))</f>
        <v>0</v>
      </c>
      <c r="G9" s="47">
        <f t="shared" si="0"/>
        <v>0</v>
      </c>
      <c r="H9" s="171" t="e">
        <f t="shared" si="1"/>
        <v>#DIV/0!</v>
      </c>
    </row>
    <row r="10" spans="1:8" x14ac:dyDescent="0.2">
      <c r="B10" s="173"/>
      <c r="D10" s="2" t="s">
        <v>305</v>
      </c>
      <c r="E10" s="17">
        <f t="array" ref="E10">SUM(IF((OBS_District_Flows!$B:$B=$C9)*(OBS_District_Flows!$C:$C="Total")*(IFERROR(FIND("San Francisco",OBS_District_Flows!$E:$E),-1)=-1)*(IFERROR(FIND("San Francisco",OBS_District_Flows!$D:$D),-1)&gt;=0)*(OBS_District_Flows!$G:$G=$B9),OBS_District_Flows!$F:$F,0))</f>
        <v>0</v>
      </c>
      <c r="F10" s="17">
        <f t="array" ref="F10">SUM(IF((modeldata!$K:$K=$C9)*(modeldata!$L:$L="Total")*(IFERROR(FIND("San Francisco",modeldata!$N:$N),-1)=-1)*(IFERROR(FIND("San Francisco",modeldata!$M:$M),-1)&gt;=0)*(modeldata!$O:$O=$A9),modeldata!$P:$P,0))</f>
        <v>0</v>
      </c>
      <c r="G10" s="44">
        <f t="shared" si="0"/>
        <v>0</v>
      </c>
      <c r="H10" s="169" t="e">
        <f t="shared" si="1"/>
        <v>#DIV/0!</v>
      </c>
    </row>
    <row r="11" spans="1:8" x14ac:dyDescent="0.2">
      <c r="B11" s="172"/>
      <c r="C11" s="8"/>
      <c r="D11" s="8" t="s">
        <v>304</v>
      </c>
      <c r="E11" s="18">
        <f t="array" ref="E11">SUM(IF((OBS_District_Flows!$B:$B=$C9)*(OBS_District_Flows!$C:$C="Total")*(IFERROR(FIND("San Francisco",OBS_District_Flows!$E:$E),-1)&gt;=0)*(IFERROR(FIND("San Francisco",OBS_District_Flows!$D:$D),-1)&gt;=0)*(OBS_District_Flows!$G:$G=$B9),OBS_District_Flows!$F:$F,0))</f>
        <v>0</v>
      </c>
      <c r="F11" s="18">
        <f t="array" ref="F11">SUM(IF((modeldata!$K:$K=$C9)*(modeldata!$L:$L="Total")*(IFERROR(FIND("San Francisco",modeldata!$N:$N),-1)&gt;=0)*(IFERROR(FIND("San Francisco",modeldata!$M:$M),-1)&gt;=0)*(modeldata!$O:$O=$A9),modeldata!$P:$P,0))</f>
        <v>0</v>
      </c>
      <c r="G11" s="44">
        <f t="shared" si="0"/>
        <v>0</v>
      </c>
      <c r="H11" s="169" t="e">
        <f t="shared" si="1"/>
        <v>#DIV/0!</v>
      </c>
    </row>
    <row r="12" spans="1:8" x14ac:dyDescent="0.2">
      <c r="A12" s="2" t="s">
        <v>71</v>
      </c>
      <c r="B12" s="173">
        <v>2</v>
      </c>
      <c r="C12" s="2" t="s">
        <v>299</v>
      </c>
      <c r="D12" s="2" t="s">
        <v>306</v>
      </c>
      <c r="E12" s="17">
        <f t="array" ref="E12">SUM(IF((OBS_District_Flows!$B:$B=$C12)*(OBS_District_Flows!$C:$C="Total")*(IFERROR(FIND("San Francisco",OBS_District_Flows!$E:$E),-1)&gt;=0)*(IFERROR(FIND("San Francisco",OBS_District_Flows!$D:$D),-1)=-1)*(OBS_District_Flows!$G:$G=$B12),OBS_District_Flows!$F:$F,0))</f>
        <v>0</v>
      </c>
      <c r="F12" s="17">
        <f t="array" ref="F12">SUM(IF((modeldata!$K:$K=$C12)*(modeldata!$L:$L="Total")*(IFERROR(FIND("San Francisco",modeldata!$N:$N),-1)&gt;=0)*(IFERROR(FIND("San Francisco",modeldata!$M:$M),-1)=-1)*(modeldata!$O:$O=$A12),modeldata!$P:$P,0))</f>
        <v>0</v>
      </c>
      <c r="G12" s="47">
        <f t="shared" si="0"/>
        <v>0</v>
      </c>
      <c r="H12" s="171" t="e">
        <f t="shared" si="1"/>
        <v>#DIV/0!</v>
      </c>
    </row>
    <row r="13" spans="1:8" x14ac:dyDescent="0.2">
      <c r="B13" s="173"/>
      <c r="D13" s="2" t="s">
        <v>305</v>
      </c>
      <c r="E13" s="17">
        <f t="array" ref="E13">SUM(IF((OBS_District_Flows!$B:$B=$C12)*(OBS_District_Flows!$C:$C="Total")*(IFERROR(FIND("San Francisco",OBS_District_Flows!$E:$E),-1)=-1)*(IFERROR(FIND("San Francisco",OBS_District_Flows!$D:$D),-1)&gt;=0)*(OBS_District_Flows!$G:$G=$B12),OBS_District_Flows!$F:$F,0))</f>
        <v>0</v>
      </c>
      <c r="F13" s="17">
        <f t="array" ref="F13">SUM(IF((modeldata!$K:$K=$C12)*(modeldata!$L:$L="Total")*(IFERROR(FIND("San Francisco",modeldata!$N:$N),-1)=-1)*(IFERROR(FIND("San Francisco",modeldata!$M:$M),-1)&gt;=0)*(modeldata!$O:$O=$A12),modeldata!$P:$P,0))</f>
        <v>0</v>
      </c>
      <c r="G13" s="44">
        <f t="shared" si="0"/>
        <v>0</v>
      </c>
      <c r="H13" s="169" t="e">
        <f t="shared" si="1"/>
        <v>#DIV/0!</v>
      </c>
    </row>
    <row r="14" spans="1:8" x14ac:dyDescent="0.2">
      <c r="A14" s="8"/>
      <c r="B14" s="172"/>
      <c r="C14" s="8"/>
      <c r="D14" s="8" t="s">
        <v>304</v>
      </c>
      <c r="E14" s="18">
        <f t="array" ref="E14">SUM(IF((OBS_District_Flows!$B:$B=$C12)*(OBS_District_Flows!$C:$C="Total")*(IFERROR(FIND("San Francisco",OBS_District_Flows!$E:$E),-1)&gt;=0)*(IFERROR(FIND("San Francisco",OBS_District_Flows!$D:$D),-1)&gt;=0)*(OBS_District_Flows!$G:$G=$B12),OBS_District_Flows!$F:$F,0))</f>
        <v>0</v>
      </c>
      <c r="F14" s="18">
        <f t="array" ref="F14">SUM(IF((modeldata!$K:$K=$C12)*(modeldata!$L:$L="Total")*(IFERROR(FIND("San Francisco",modeldata!$N:$N),-1)&gt;=0)*(IFERROR(FIND("San Francisco",modeldata!$M:$M),-1)&gt;=0)*(modeldata!$O:$O=$A12),modeldata!$P:$P,0))</f>
        <v>0</v>
      </c>
      <c r="G14" s="45">
        <f t="shared" si="0"/>
        <v>0</v>
      </c>
      <c r="H14" s="168" t="e">
        <f t="shared" si="1"/>
        <v>#DIV/0!</v>
      </c>
    </row>
    <row r="15" spans="1:8" x14ac:dyDescent="0.2">
      <c r="A15" s="14" t="s">
        <v>233</v>
      </c>
      <c r="B15" s="173">
        <v>3</v>
      </c>
      <c r="C15" s="2" t="s">
        <v>258</v>
      </c>
      <c r="D15" s="2" t="s">
        <v>306</v>
      </c>
      <c r="E15" s="17">
        <f t="array" ref="E15">SUM(IF((OBS_District_Flows!$B:$B=$C15)*(OBS_District_Flows!$C:$C="Total")*(IFERROR(FIND("San Francisco",OBS_District_Flows!$E:$E),-1)&gt;=0)*(IFERROR(FIND("San Francisco",OBS_District_Flows!$D:$D),-1)=-1)*(OBS_District_Flows!$G:$G=$B15),OBS_District_Flows!$F:$F,0))</f>
        <v>0</v>
      </c>
      <c r="F15" s="17">
        <f t="array" ref="F15">SUM(IF((modeldata!$K:$K=$C15)*(modeldata!$L:$L="Total")*(IFERROR(FIND("San Francisco",modeldata!$N:$N),-1)&gt;=0)*(IFERROR(FIND("San Francisco",modeldata!$M:$M),-1)=-1)*(modeldata!$O:$O=$A15),modeldata!$P:$P,0))</f>
        <v>0</v>
      </c>
      <c r="G15" s="47">
        <f t="shared" si="0"/>
        <v>0</v>
      </c>
      <c r="H15" s="171" t="e">
        <f t="shared" si="1"/>
        <v>#DIV/0!</v>
      </c>
    </row>
    <row r="16" spans="1:8" x14ac:dyDescent="0.2">
      <c r="B16" s="173"/>
      <c r="D16" s="2" t="s">
        <v>305</v>
      </c>
      <c r="E16" s="17">
        <f t="array" ref="E16">SUM(IF((OBS_District_Flows!$B:$B=$C15)*(OBS_District_Flows!$C:$C="Total")*(IFERROR(FIND("San Francisco",OBS_District_Flows!$E:$E),-1)=-1)*(IFERROR(FIND("San Francisco",OBS_District_Flows!$D:$D),-1)&gt;=0)*(OBS_District_Flows!$G:$G=$B15),OBS_District_Flows!$F:$F,0))</f>
        <v>0</v>
      </c>
      <c r="F16" s="17">
        <f t="array" ref="F16">SUM(IF((modeldata!$K:$K=$C15)*(modeldata!$L:$L="Total")*(IFERROR(FIND("San Francisco",modeldata!$N:$N),-1)=-1)*(IFERROR(FIND("San Francisco",modeldata!$M:$M),-1)&gt;=0)*(modeldata!$O:$O=$A15),modeldata!$P:$P,0))</f>
        <v>0</v>
      </c>
      <c r="G16" s="44">
        <f t="shared" si="0"/>
        <v>0</v>
      </c>
      <c r="H16" s="169" t="e">
        <f t="shared" si="1"/>
        <v>#DIV/0!</v>
      </c>
    </row>
    <row r="17" spans="1:8" x14ac:dyDescent="0.2">
      <c r="B17" s="172"/>
      <c r="C17" s="8"/>
      <c r="D17" s="8" t="s">
        <v>304</v>
      </c>
      <c r="E17" s="18">
        <f t="array" ref="E17">SUM(IF((OBS_District_Flows!$B:$B=$C15)*(OBS_District_Flows!$C:$C="Total")*(IFERROR(FIND("San Francisco",OBS_District_Flows!$E:$E),-1)&gt;=0)*(IFERROR(FIND("San Francisco",OBS_District_Flows!$D:$D),-1)&gt;=0)*(OBS_District_Flows!$G:$G=$B15),OBS_District_Flows!$F:$F,0))</f>
        <v>0</v>
      </c>
      <c r="F17" s="18">
        <f t="array" ref="F17">SUM(IF((modeldata!$K:$K=$C15)*(modeldata!$L:$L="Total")*(IFERROR(FIND("San Francisco",modeldata!$N:$N),-1)&gt;=0)*(IFERROR(FIND("San Francisco",modeldata!$M:$M),-1)&gt;=0)*(modeldata!$O:$O=$A15),modeldata!$P:$P,0))</f>
        <v>0</v>
      </c>
      <c r="G17" s="44">
        <f t="shared" si="0"/>
        <v>0</v>
      </c>
      <c r="H17" s="169" t="e">
        <f t="shared" si="1"/>
        <v>#DIV/0!</v>
      </c>
    </row>
    <row r="18" spans="1:8" x14ac:dyDescent="0.2">
      <c r="A18" s="2" t="s">
        <v>233</v>
      </c>
      <c r="B18" s="173">
        <v>3</v>
      </c>
      <c r="C18" s="2" t="s">
        <v>299</v>
      </c>
      <c r="D18" s="2" t="s">
        <v>306</v>
      </c>
      <c r="E18" s="17">
        <f t="array" ref="E18">SUM(IF((OBS_District_Flows!$B:$B=$C18)*(OBS_District_Flows!$C:$C="Total")*(IFERROR(FIND("San Francisco",OBS_District_Flows!$E:$E),-1)&gt;=0)*(IFERROR(FIND("San Francisco",OBS_District_Flows!$D:$D),-1)=-1)*(OBS_District_Flows!$G:$G=$B18),OBS_District_Flows!$F:$F,0))</f>
        <v>0</v>
      </c>
      <c r="F18" s="17">
        <f t="array" ref="F18">SUM(IF((modeldata!$K:$K=$C18)*(modeldata!$L:$L="Total")*(IFERROR(FIND("San Francisco",modeldata!$N:$N),-1)&gt;=0)*(IFERROR(FIND("San Francisco",modeldata!$M:$M),-1)=-1)*(modeldata!$O:$O=$A18),modeldata!$P:$P,0))</f>
        <v>0</v>
      </c>
      <c r="G18" s="47">
        <f t="shared" si="0"/>
        <v>0</v>
      </c>
      <c r="H18" s="171" t="e">
        <f t="shared" si="1"/>
        <v>#DIV/0!</v>
      </c>
    </row>
    <row r="19" spans="1:8" x14ac:dyDescent="0.2">
      <c r="B19" s="173"/>
      <c r="D19" s="2" t="s">
        <v>305</v>
      </c>
      <c r="E19" s="17">
        <f t="array" ref="E19">SUM(IF((OBS_District_Flows!$B:$B=$C18)*(OBS_District_Flows!$C:$C="Total")*(IFERROR(FIND("San Francisco",OBS_District_Flows!$E:$E),-1)=-1)*(IFERROR(FIND("San Francisco",OBS_District_Flows!$D:$D),-1)&gt;=0)*(OBS_District_Flows!$G:$G=$B18),OBS_District_Flows!$F:$F,0))</f>
        <v>0</v>
      </c>
      <c r="F19" s="17">
        <f t="array" ref="F19">SUM(IF((modeldata!$K:$K=$C18)*(modeldata!$L:$L="Total")*(IFERROR(FIND("San Francisco",modeldata!$N:$N),-1)=-1)*(IFERROR(FIND("San Francisco",modeldata!$M:$M),-1)&gt;=0)*(modeldata!$O:$O=$A18),modeldata!$P:$P,0))</f>
        <v>0</v>
      </c>
      <c r="G19" s="44">
        <f t="shared" si="0"/>
        <v>0</v>
      </c>
      <c r="H19" s="169" t="e">
        <f t="shared" si="1"/>
        <v>#DIV/0!</v>
      </c>
    </row>
    <row r="20" spans="1:8" x14ac:dyDescent="0.2">
      <c r="A20" s="8"/>
      <c r="B20" s="172"/>
      <c r="C20" s="8"/>
      <c r="D20" s="8" t="s">
        <v>304</v>
      </c>
      <c r="E20" s="18">
        <f t="array" ref="E20">SUM(IF((OBS_District_Flows!$B:$B=$C18)*(OBS_District_Flows!$C:$C="Total")*(IFERROR(FIND("San Francisco",OBS_District_Flows!$E:$E),-1)&gt;=0)*(IFERROR(FIND("San Francisco",OBS_District_Flows!$D:$D),-1)&gt;=0)*(OBS_District_Flows!$G:$G=$B18),OBS_District_Flows!$F:$F,0))</f>
        <v>0</v>
      </c>
      <c r="F20" s="18">
        <f t="array" ref="F20">SUM(IF((modeldata!$K:$K=$C18)*(modeldata!$L:$L="Total")*(IFERROR(FIND("San Francisco",modeldata!$N:$N),-1)&gt;=0)*(IFERROR(FIND("San Francisco",modeldata!$M:$M),-1)&gt;=0)*(modeldata!$O:$O=$A18),modeldata!$P:$P,0))</f>
        <v>0</v>
      </c>
      <c r="G20" s="45">
        <f t="shared" si="0"/>
        <v>0</v>
      </c>
      <c r="H20" s="168" t="e">
        <f t="shared" si="1"/>
        <v>#DIV/0!</v>
      </c>
    </row>
    <row r="21" spans="1:8" x14ac:dyDescent="0.2">
      <c r="A21" s="14" t="s">
        <v>232</v>
      </c>
      <c r="B21" s="173">
        <v>4</v>
      </c>
      <c r="C21" s="2" t="s">
        <v>258</v>
      </c>
      <c r="D21" s="2" t="s">
        <v>306</v>
      </c>
      <c r="E21" s="17">
        <f t="array" ref="E21">SUM(IF((OBS_District_Flows!$B:$B=$C21)*(OBS_District_Flows!$C:$C="Total")*(IFERROR(FIND("San Francisco",OBS_District_Flows!$E:$E),-1)&gt;=0)*(IFERROR(FIND("San Francisco",OBS_District_Flows!$D:$D),-1)=-1)*(OBS_District_Flows!$G:$G=$B21),OBS_District_Flows!$F:$F,0))</f>
        <v>0</v>
      </c>
      <c r="F21" s="17">
        <f t="array" ref="F21">SUM(IF((modeldata!$K:$K=$C21)*(modeldata!$L:$L="Total")*(IFERROR(FIND("San Francisco",modeldata!$N:$N),-1)&gt;=0)*(IFERROR(FIND("San Francisco",modeldata!$M:$M),-1)=-1)*(modeldata!$O:$O=$A21),modeldata!$P:$P,0))</f>
        <v>0</v>
      </c>
      <c r="G21" s="47">
        <f t="shared" si="0"/>
        <v>0</v>
      </c>
      <c r="H21" s="171" t="e">
        <f t="shared" si="1"/>
        <v>#DIV/0!</v>
      </c>
    </row>
    <row r="22" spans="1:8" x14ac:dyDescent="0.2">
      <c r="B22" s="173"/>
      <c r="D22" s="2" t="s">
        <v>305</v>
      </c>
      <c r="E22" s="17">
        <f t="array" ref="E22">SUM(IF((OBS_District_Flows!$B:$B=$C21)*(OBS_District_Flows!$C:$C="Total")*(IFERROR(FIND("San Francisco",OBS_District_Flows!$E:$E),-1)=-1)*(IFERROR(FIND("San Francisco",OBS_District_Flows!$D:$D),-1)&gt;=0)*(OBS_District_Flows!$G:$G=$B21),OBS_District_Flows!$F:$F,0))</f>
        <v>0</v>
      </c>
      <c r="F22" s="17">
        <f t="array" ref="F22">SUM(IF((modeldata!$K:$K=$C21)*(modeldata!$L:$L="Total")*(IFERROR(FIND("San Francisco",modeldata!$N:$N),-1)=-1)*(IFERROR(FIND("San Francisco",modeldata!$M:$M),-1)&gt;=0)*(modeldata!$O:$O=$A21),modeldata!$P:$P,0))</f>
        <v>0</v>
      </c>
      <c r="G22" s="44">
        <f t="shared" si="0"/>
        <v>0</v>
      </c>
      <c r="H22" s="169" t="e">
        <f t="shared" si="1"/>
        <v>#DIV/0!</v>
      </c>
    </row>
    <row r="23" spans="1:8" x14ac:dyDescent="0.2">
      <c r="B23" s="172"/>
      <c r="C23" s="8"/>
      <c r="D23" s="8" t="s">
        <v>304</v>
      </c>
      <c r="E23" s="18">
        <f t="array" ref="E23">SUM(IF((OBS_District_Flows!$B:$B=$C21)*(OBS_District_Flows!$C:$C="Total")*(IFERROR(FIND("San Francisco",OBS_District_Flows!$E:$E),-1)&gt;=0)*(IFERROR(FIND("San Francisco",OBS_District_Flows!$D:$D),-1)&gt;=0)*(OBS_District_Flows!$G:$G=$B21),OBS_District_Flows!$F:$F,0))</f>
        <v>0</v>
      </c>
      <c r="F23" s="18">
        <f t="array" ref="F23">SUM(IF((modeldata!$K:$K=$C21)*(modeldata!$L:$L="Total")*(IFERROR(FIND("San Francisco",modeldata!$N:$N),-1)&gt;=0)*(IFERROR(FIND("San Francisco",modeldata!$M:$M),-1)&gt;=0)*(modeldata!$O:$O=$A21),modeldata!$P:$P,0))</f>
        <v>0</v>
      </c>
      <c r="G23" s="44">
        <f t="shared" si="0"/>
        <v>0</v>
      </c>
      <c r="H23" s="169" t="e">
        <f t="shared" si="1"/>
        <v>#DIV/0!</v>
      </c>
    </row>
    <row r="24" spans="1:8" x14ac:dyDescent="0.2">
      <c r="A24" s="2" t="s">
        <v>232</v>
      </c>
      <c r="B24" s="173">
        <v>4</v>
      </c>
      <c r="C24" s="2" t="s">
        <v>299</v>
      </c>
      <c r="D24" s="2" t="s">
        <v>306</v>
      </c>
      <c r="E24" s="17">
        <f t="array" ref="E24">SUM(IF((OBS_District_Flows!$B:$B=$C24)*(OBS_District_Flows!$C:$C="Total")*(IFERROR(FIND("San Francisco",OBS_District_Flows!$E:$E),-1)&gt;=0)*(IFERROR(FIND("San Francisco",OBS_District_Flows!$D:$D),-1)=-1)*(OBS_District_Flows!$G:$G=$B24),OBS_District_Flows!$F:$F,0))</f>
        <v>0</v>
      </c>
      <c r="F24" s="17">
        <f t="array" ref="F24">SUM(IF((modeldata!$K:$K=$C24)*(modeldata!$L:$L="Total")*(IFERROR(FIND("San Francisco",modeldata!$N:$N),-1)&gt;=0)*(IFERROR(FIND("San Francisco",modeldata!$M:$M),-1)=-1)*(modeldata!$O:$O=$A24),modeldata!$P:$P,0))</f>
        <v>0</v>
      </c>
      <c r="G24" s="47">
        <f t="shared" si="0"/>
        <v>0</v>
      </c>
      <c r="H24" s="171" t="e">
        <f t="shared" si="1"/>
        <v>#DIV/0!</v>
      </c>
    </row>
    <row r="25" spans="1:8" x14ac:dyDescent="0.2">
      <c r="B25" s="173"/>
      <c r="D25" s="2" t="s">
        <v>305</v>
      </c>
      <c r="E25" s="17">
        <f t="array" ref="E25">SUM(IF((OBS_District_Flows!$B:$B=$C24)*(OBS_District_Flows!$C:$C="Total")*(IFERROR(FIND("San Francisco",OBS_District_Flows!$E:$E),-1)=-1)*(IFERROR(FIND("San Francisco",OBS_District_Flows!$D:$D),-1)&gt;=0)*(OBS_District_Flows!$G:$G=$B24),OBS_District_Flows!$F:$F,0))</f>
        <v>0</v>
      </c>
      <c r="F25" s="17">
        <f t="array" ref="F25">SUM(IF((modeldata!$K:$K=$C24)*(modeldata!$L:$L="Total")*(IFERROR(FIND("San Francisco",modeldata!$N:$N),-1)=-1)*(IFERROR(FIND("San Francisco",modeldata!$M:$M),-1)&gt;=0)*(modeldata!$O:$O=$A24),modeldata!$P:$P,0))</f>
        <v>0</v>
      </c>
      <c r="G25" s="44">
        <f t="shared" si="0"/>
        <v>0</v>
      </c>
      <c r="H25" s="169" t="e">
        <f t="shared" si="1"/>
        <v>#DIV/0!</v>
      </c>
    </row>
    <row r="26" spans="1:8" x14ac:dyDescent="0.2">
      <c r="A26" s="8"/>
      <c r="B26" s="172"/>
      <c r="C26" s="8"/>
      <c r="D26" s="8" t="s">
        <v>304</v>
      </c>
      <c r="E26" s="18">
        <f t="array" ref="E26">SUM(IF((OBS_District_Flows!$B:$B=$C24)*(OBS_District_Flows!$C:$C="Total")*(IFERROR(FIND("San Francisco",OBS_District_Flows!$E:$E),-1)&gt;=0)*(IFERROR(FIND("San Francisco",OBS_District_Flows!$D:$D),-1)&gt;=0)*(OBS_District_Flows!$G:$G=$B24),OBS_District_Flows!$F:$F,0))</f>
        <v>0</v>
      </c>
      <c r="F26" s="18">
        <f t="array" ref="F26">SUM(IF((modeldata!$K:$K=$C24)*(modeldata!$L:$L="Total")*(IFERROR(FIND("San Francisco",modeldata!$N:$N),-1)&gt;=0)*(IFERROR(FIND("San Francisco",modeldata!$M:$M),-1)&gt;=0)*(modeldata!$O:$O=$A24),modeldata!$P:$P,0))</f>
        <v>0</v>
      </c>
      <c r="G26" s="45">
        <f t="shared" si="0"/>
        <v>0</v>
      </c>
      <c r="H26" s="168" t="e">
        <f t="shared" si="1"/>
        <v>#DIV/0!</v>
      </c>
    </row>
    <row r="27" spans="1:8" x14ac:dyDescent="0.2">
      <c r="A27" s="14" t="s">
        <v>231</v>
      </c>
      <c r="B27" s="173">
        <v>5</v>
      </c>
      <c r="C27" s="2" t="s">
        <v>258</v>
      </c>
      <c r="D27" s="2" t="s">
        <v>306</v>
      </c>
      <c r="E27" s="17">
        <f t="array" ref="E27">SUM(IF((OBS_District_Flows!$B:$B=$C27)*(OBS_District_Flows!$C:$C="Total")*(IFERROR(FIND("San Francisco",OBS_District_Flows!$E:$E),-1)&gt;=0)*(IFERROR(FIND("San Francisco",OBS_District_Flows!$D:$D),-1)=-1)*(OBS_District_Flows!$G:$G=$B27),OBS_District_Flows!$F:$F,0))</f>
        <v>0</v>
      </c>
      <c r="F27" s="17">
        <f t="array" ref="F27">SUM(IF((modeldata!$K:$K=$C27)*(modeldata!$L:$L="Total")*(IFERROR(FIND("San Francisco",modeldata!$N:$N),-1)&gt;=0)*(IFERROR(FIND("San Francisco",modeldata!$M:$M),-1)=-1)*(modeldata!$O:$O=$A27),modeldata!$P:$P,0))</f>
        <v>0</v>
      </c>
      <c r="G27" s="47">
        <f t="shared" si="0"/>
        <v>0</v>
      </c>
      <c r="H27" s="171" t="e">
        <f t="shared" si="1"/>
        <v>#DIV/0!</v>
      </c>
    </row>
    <row r="28" spans="1:8" x14ac:dyDescent="0.2">
      <c r="B28" s="173"/>
      <c r="D28" s="2" t="s">
        <v>305</v>
      </c>
      <c r="E28" s="17">
        <f t="array" ref="E28">SUM(IF((OBS_District_Flows!$B:$B=$C27)*(OBS_District_Flows!$C:$C="Total")*(IFERROR(FIND("San Francisco",OBS_District_Flows!$E:$E),-1)=-1)*(IFERROR(FIND("San Francisco",OBS_District_Flows!$D:$D),-1)&gt;=0)*(OBS_District_Flows!$G:$G=$B27),OBS_District_Flows!$F:$F,0))</f>
        <v>0</v>
      </c>
      <c r="F28" s="17">
        <f t="array" ref="F28">SUM(IF((modeldata!$K:$K=$C27)*(modeldata!$L:$L="Total")*(IFERROR(FIND("San Francisco",modeldata!$N:$N),-1)=-1)*(IFERROR(FIND("San Francisco",modeldata!$M:$M),-1)&gt;=0)*(modeldata!$O:$O=$A27),modeldata!$P:$P,0))</f>
        <v>0</v>
      </c>
      <c r="G28" s="44">
        <f t="shared" si="0"/>
        <v>0</v>
      </c>
      <c r="H28" s="169" t="e">
        <f t="shared" si="1"/>
        <v>#DIV/0!</v>
      </c>
    </row>
    <row r="29" spans="1:8" x14ac:dyDescent="0.2">
      <c r="B29" s="172"/>
      <c r="C29" s="8"/>
      <c r="D29" s="8" t="s">
        <v>304</v>
      </c>
      <c r="E29" s="18">
        <f t="array" ref="E29">SUM(IF((OBS_District_Flows!$B:$B=$C27)*(OBS_District_Flows!$C:$C="Total")*(IFERROR(FIND("San Francisco",OBS_District_Flows!$E:$E),-1)&gt;=0)*(IFERROR(FIND("San Francisco",OBS_District_Flows!$D:$D),-1)&gt;=0)*(OBS_District_Flows!$G:$G=$B27),OBS_District_Flows!$F:$F,0))</f>
        <v>0</v>
      </c>
      <c r="F29" s="18">
        <f t="array" ref="F29">SUM(IF((modeldata!$K:$K=$C27)*(modeldata!$L:$L="Total")*(IFERROR(FIND("San Francisco",modeldata!$N:$N),-1)&gt;=0)*(IFERROR(FIND("San Francisco",modeldata!$M:$M),-1)&gt;=0)*(modeldata!$O:$O=$A27),modeldata!$P:$P,0))</f>
        <v>0</v>
      </c>
      <c r="G29" s="44">
        <f t="shared" si="0"/>
        <v>0</v>
      </c>
      <c r="H29" s="169" t="e">
        <f t="shared" si="1"/>
        <v>#DIV/0!</v>
      </c>
    </row>
    <row r="30" spans="1:8" x14ac:dyDescent="0.2">
      <c r="A30" s="2" t="s">
        <v>231</v>
      </c>
      <c r="B30" s="173">
        <v>5</v>
      </c>
      <c r="C30" s="2" t="s">
        <v>299</v>
      </c>
      <c r="D30" s="2" t="s">
        <v>306</v>
      </c>
      <c r="E30" s="17">
        <f t="array" ref="E30">SUM(IF((OBS_District_Flows!$B:$B=$C30)*(OBS_District_Flows!$C:$C="Total")*(IFERROR(FIND("San Francisco",OBS_District_Flows!$E:$E),-1)&gt;=0)*(IFERROR(FIND("San Francisco",OBS_District_Flows!$D:$D),-1)=-1)*(OBS_District_Flows!$G:$G=$B30),OBS_District_Flows!$F:$F,0))</f>
        <v>0</v>
      </c>
      <c r="F30" s="17">
        <f t="array" ref="F30">SUM(IF((modeldata!$K:$K=$C30)*(modeldata!$L:$L="Total")*(IFERROR(FIND("San Francisco",modeldata!$N:$N),-1)&gt;=0)*(IFERROR(FIND("San Francisco",modeldata!$M:$M),-1)=-1)*(modeldata!$O:$O=$A30),modeldata!$P:$P,0))</f>
        <v>0</v>
      </c>
      <c r="G30" s="47">
        <f t="shared" si="0"/>
        <v>0</v>
      </c>
      <c r="H30" s="171" t="e">
        <f t="shared" si="1"/>
        <v>#DIV/0!</v>
      </c>
    </row>
    <row r="31" spans="1:8" x14ac:dyDescent="0.2">
      <c r="B31" s="173"/>
      <c r="D31" s="2" t="s">
        <v>305</v>
      </c>
      <c r="E31" s="17">
        <f t="array" ref="E31">SUM(IF((OBS_District_Flows!$B:$B=$C30)*(OBS_District_Flows!$C:$C="Total")*(IFERROR(FIND("San Francisco",OBS_District_Flows!$E:$E),-1)=-1)*(IFERROR(FIND("San Francisco",OBS_District_Flows!$D:$D),-1)&gt;=0)*(OBS_District_Flows!$G:$G=$B30),OBS_District_Flows!$F:$F,0))</f>
        <v>0</v>
      </c>
      <c r="F31" s="17">
        <f t="array" ref="F31">SUM(IF((modeldata!$K:$K=$C30)*(modeldata!$L:$L="Total")*(IFERROR(FIND("San Francisco",modeldata!$N:$N),-1)=-1)*(IFERROR(FIND("San Francisco",modeldata!$M:$M),-1)&gt;=0)*(modeldata!$O:$O=$A30),modeldata!$P:$P,0))</f>
        <v>0</v>
      </c>
      <c r="G31" s="44">
        <f t="shared" si="0"/>
        <v>0</v>
      </c>
      <c r="H31" s="169" t="e">
        <f t="shared" si="1"/>
        <v>#DIV/0!</v>
      </c>
    </row>
    <row r="32" spans="1:8" x14ac:dyDescent="0.2">
      <c r="A32" s="8"/>
      <c r="B32" s="172"/>
      <c r="C32" s="8"/>
      <c r="D32" s="8" t="s">
        <v>304</v>
      </c>
      <c r="E32" s="18">
        <f t="array" ref="E32">SUM(IF((OBS_District_Flows!$B:$B=$C30)*(OBS_District_Flows!$C:$C="Total")*(IFERROR(FIND("San Francisco",OBS_District_Flows!$E:$E),-1)&gt;=0)*(IFERROR(FIND("San Francisco",OBS_District_Flows!$D:$D),-1)&gt;=0)*(OBS_District_Flows!$G:$G=$B30),OBS_District_Flows!$F:$F,0))</f>
        <v>0</v>
      </c>
      <c r="F32" s="18">
        <f t="array" ref="F32">SUM(IF((modeldata!$K:$K=$C30)*(modeldata!$L:$L="Total")*(IFERROR(FIND("San Francisco",modeldata!$N:$N),-1)&gt;=0)*(IFERROR(FIND("San Francisco",modeldata!$M:$M),-1)&gt;=0)*(modeldata!$O:$O=$A30),modeldata!$P:$P,0))</f>
        <v>0</v>
      </c>
      <c r="G32" s="45">
        <f t="shared" si="0"/>
        <v>0</v>
      </c>
      <c r="H32" s="168" t="e">
        <f t="shared" si="1"/>
        <v>#DIV/0!</v>
      </c>
    </row>
    <row r="33" spans="1:8" x14ac:dyDescent="0.2">
      <c r="A33" s="14" t="s">
        <v>230</v>
      </c>
      <c r="B33" s="173">
        <v>6</v>
      </c>
      <c r="C33" s="2" t="s">
        <v>258</v>
      </c>
      <c r="D33" s="2" t="s">
        <v>306</v>
      </c>
      <c r="E33" s="17">
        <f t="array" ref="E33">SUM(IF((OBS_District_Flows!$B:$B=$C33)*(OBS_District_Flows!$C:$C="Total")*(IFERROR(FIND("San Francisco",OBS_District_Flows!$E:$E),-1)&gt;=0)*(IFERROR(FIND("San Francisco",OBS_District_Flows!$D:$D),-1)=-1)*(OBS_District_Flows!$G:$G=$B33),OBS_District_Flows!$F:$F,0))</f>
        <v>0</v>
      </c>
      <c r="F33" s="17">
        <f t="array" ref="F33">SUM(IF((modeldata!$K:$K=$C33)*(modeldata!$L:$L="Total")*(IFERROR(FIND("San Francisco",modeldata!$N:$N),-1)&gt;=0)*(IFERROR(FIND("San Francisco",modeldata!$M:$M),-1)=-1)*(modeldata!$O:$O=$A33),modeldata!$P:$P,0))</f>
        <v>0</v>
      </c>
      <c r="G33" s="47">
        <f t="shared" si="0"/>
        <v>0</v>
      </c>
      <c r="H33" s="171" t="e">
        <f t="shared" si="1"/>
        <v>#DIV/0!</v>
      </c>
    </row>
    <row r="34" spans="1:8" x14ac:dyDescent="0.2">
      <c r="B34" s="173"/>
      <c r="D34" s="2" t="s">
        <v>305</v>
      </c>
      <c r="E34" s="17">
        <f t="array" ref="E34">SUM(IF((OBS_District_Flows!$B:$B=$C33)*(OBS_District_Flows!$C:$C="Total")*(IFERROR(FIND("San Francisco",OBS_District_Flows!$E:$E),-1)=-1)*(IFERROR(FIND("San Francisco",OBS_District_Flows!$D:$D),-1)&gt;=0)*(OBS_District_Flows!$G:$G=$B33),OBS_District_Flows!$F:$F,0))</f>
        <v>0</v>
      </c>
      <c r="F34" s="17">
        <f t="array" ref="F34">SUM(IF((modeldata!$K:$K=$C33)*(modeldata!$L:$L="Total")*(IFERROR(FIND("San Francisco",modeldata!$N:$N),-1)=-1)*(IFERROR(FIND("San Francisco",modeldata!$M:$M),-1)&gt;=0)*(modeldata!$O:$O=$A33),modeldata!$P:$P,0))</f>
        <v>0</v>
      </c>
      <c r="G34" s="44">
        <f t="shared" si="0"/>
        <v>0</v>
      </c>
      <c r="H34" s="169" t="e">
        <f t="shared" si="1"/>
        <v>#DIV/0!</v>
      </c>
    </row>
    <row r="35" spans="1:8" x14ac:dyDescent="0.2">
      <c r="B35" s="172"/>
      <c r="C35" s="8"/>
      <c r="D35" s="8" t="s">
        <v>304</v>
      </c>
      <c r="E35" s="18">
        <f t="array" ref="E35">SUM(IF((OBS_District_Flows!$B:$B=$C33)*(OBS_District_Flows!$C:$C="Total")*(IFERROR(FIND("San Francisco",OBS_District_Flows!$E:$E),-1)&gt;=0)*(IFERROR(FIND("San Francisco",OBS_District_Flows!$D:$D),-1)&gt;=0)*(OBS_District_Flows!$G:$G=$B33),OBS_District_Flows!$F:$F,0))</f>
        <v>0</v>
      </c>
      <c r="F35" s="18">
        <f t="array" ref="F35">SUM(IF((modeldata!$K:$K=$C33)*(modeldata!$L:$L="Total")*(IFERROR(FIND("San Francisco",modeldata!$N:$N),-1)&gt;=0)*(IFERROR(FIND("San Francisco",modeldata!$M:$M),-1)&gt;=0)*(modeldata!$O:$O=$A33),modeldata!$P:$P,0))</f>
        <v>0</v>
      </c>
      <c r="G35" s="44">
        <f t="shared" si="0"/>
        <v>0</v>
      </c>
      <c r="H35" s="169" t="e">
        <f t="shared" si="1"/>
        <v>#DIV/0!</v>
      </c>
    </row>
    <row r="36" spans="1:8" x14ac:dyDescent="0.2">
      <c r="A36" s="2" t="s">
        <v>230</v>
      </c>
      <c r="B36" s="173">
        <v>6</v>
      </c>
      <c r="C36" s="2" t="s">
        <v>299</v>
      </c>
      <c r="D36" s="2" t="s">
        <v>306</v>
      </c>
      <c r="E36" s="17">
        <f t="array" ref="E36">SUM(IF((OBS_District_Flows!$B:$B=$C36)*(OBS_District_Flows!$C:$C="Total")*(IFERROR(FIND("San Francisco",OBS_District_Flows!$E:$E),-1)&gt;=0)*(IFERROR(FIND("San Francisco",OBS_District_Flows!$D:$D),-1)=-1)*(OBS_District_Flows!$G:$G=$B36),OBS_District_Flows!$F:$F,0))</f>
        <v>0</v>
      </c>
      <c r="F36" s="17">
        <f t="array" ref="F36">SUM(IF((modeldata!$K:$K=$C36)*(modeldata!$L:$L="Total")*(IFERROR(FIND("San Francisco",modeldata!$N:$N),-1)&gt;=0)*(IFERROR(FIND("San Francisco",modeldata!$M:$M),-1)=-1)*(modeldata!$O:$O=$A36),modeldata!$P:$P,0))</f>
        <v>0</v>
      </c>
      <c r="G36" s="47">
        <f t="shared" si="0"/>
        <v>0</v>
      </c>
      <c r="H36" s="171"/>
    </row>
    <row r="37" spans="1:8" x14ac:dyDescent="0.2">
      <c r="B37" s="173"/>
      <c r="D37" s="2" t="s">
        <v>305</v>
      </c>
      <c r="E37" s="17">
        <f t="array" ref="E37">SUM(IF((OBS_District_Flows!$B:$B=$C36)*(OBS_District_Flows!$C:$C="Total")*(IFERROR(FIND("San Francisco",OBS_District_Flows!$E:$E),-1)=-1)*(IFERROR(FIND("San Francisco",OBS_District_Flows!$D:$D),-1)&gt;=0)*(OBS_District_Flows!$G:$G=$B36),OBS_District_Flows!$F:$F,0))</f>
        <v>0</v>
      </c>
      <c r="F37" s="17">
        <f t="array" ref="F37">SUM(IF((modeldata!$K:$K=$C36)*(modeldata!$L:$L="Total")*(IFERROR(FIND("San Francisco",modeldata!$N:$N),-1)=-1)*(IFERROR(FIND("San Francisco",modeldata!$M:$M),-1)&gt;=0)*(modeldata!$O:$O=$A36),modeldata!$P:$P,0))</f>
        <v>0</v>
      </c>
      <c r="G37" s="44">
        <f t="shared" si="0"/>
        <v>0</v>
      </c>
      <c r="H37" s="169"/>
    </row>
    <row r="38" spans="1:8" x14ac:dyDescent="0.2">
      <c r="A38" s="8"/>
      <c r="B38" s="172"/>
      <c r="C38" s="8"/>
      <c r="D38" s="8" t="s">
        <v>304</v>
      </c>
      <c r="E38" s="18">
        <f t="array" ref="E38">SUM(IF((OBS_District_Flows!$B:$B=$C36)*(OBS_District_Flows!$C:$C="Total")*(IFERROR(FIND("San Francisco",OBS_District_Flows!$E:$E),-1)&gt;=0)*(IFERROR(FIND("San Francisco",OBS_District_Flows!$D:$D),-1)&gt;=0)*(OBS_District_Flows!$G:$G=$B36),OBS_District_Flows!$F:$F,0))</f>
        <v>0</v>
      </c>
      <c r="F38" s="18">
        <f t="array" ref="F38">SUM(IF((modeldata!$K:$K=$C36)*(modeldata!$L:$L="Total")*(IFERROR(FIND("San Francisco",modeldata!$N:$N),-1)&gt;=0)*(IFERROR(FIND("San Francisco",modeldata!$M:$M),-1)&gt;=0)*(modeldata!$O:$O=$A36),modeldata!$P:$P,0))</f>
        <v>0</v>
      </c>
      <c r="G38" s="45">
        <f t="shared" si="0"/>
        <v>0</v>
      </c>
      <c r="H38" s="168"/>
    </row>
    <row r="40" spans="1:8" x14ac:dyDescent="0.2">
      <c r="A40" s="14" t="s">
        <v>307</v>
      </c>
      <c r="B40" s="14"/>
      <c r="C40" s="14" t="s">
        <v>258</v>
      </c>
      <c r="D40" s="14" t="s">
        <v>306</v>
      </c>
      <c r="E40" s="15">
        <f t="shared" ref="E40:F45" si="2">SUM(E3,E9,E15,E21,E27,E33)</f>
        <v>0</v>
      </c>
      <c r="F40" s="15">
        <f t="shared" si="2"/>
        <v>0</v>
      </c>
      <c r="G40" s="47">
        <f t="shared" ref="G40:G45" si="3">F40-E40</f>
        <v>0</v>
      </c>
      <c r="H40" s="171" t="e">
        <f t="shared" ref="H40:H45" si="4">G40/E40</f>
        <v>#DIV/0!</v>
      </c>
    </row>
    <row r="41" spans="1:8" x14ac:dyDescent="0.2">
      <c r="D41" s="2" t="s">
        <v>305</v>
      </c>
      <c r="E41" s="17">
        <f t="shared" si="2"/>
        <v>0</v>
      </c>
      <c r="F41" s="17">
        <f t="shared" si="2"/>
        <v>0</v>
      </c>
      <c r="G41" s="44">
        <f t="shared" si="3"/>
        <v>0</v>
      </c>
      <c r="H41" s="169" t="e">
        <f t="shared" si="4"/>
        <v>#DIV/0!</v>
      </c>
    </row>
    <row r="42" spans="1:8" x14ac:dyDescent="0.2">
      <c r="C42" s="8"/>
      <c r="D42" s="8" t="s">
        <v>304</v>
      </c>
      <c r="E42" s="18">
        <f t="shared" si="2"/>
        <v>0</v>
      </c>
      <c r="F42" s="18">
        <f t="shared" si="2"/>
        <v>0</v>
      </c>
      <c r="G42" s="170">
        <f t="shared" si="3"/>
        <v>0</v>
      </c>
      <c r="H42" s="168" t="e">
        <f t="shared" si="4"/>
        <v>#DIV/0!</v>
      </c>
    </row>
    <row r="43" spans="1:8" x14ac:dyDescent="0.2">
      <c r="C43" s="2" t="s">
        <v>299</v>
      </c>
      <c r="D43" s="2" t="s">
        <v>306</v>
      </c>
      <c r="E43" s="17">
        <f t="shared" si="2"/>
        <v>0</v>
      </c>
      <c r="F43" s="17">
        <f t="shared" si="2"/>
        <v>0</v>
      </c>
      <c r="G43" s="44">
        <f t="shared" si="3"/>
        <v>0</v>
      </c>
      <c r="H43" s="169" t="e">
        <f t="shared" si="4"/>
        <v>#DIV/0!</v>
      </c>
    </row>
    <row r="44" spans="1:8" x14ac:dyDescent="0.2">
      <c r="D44" s="2" t="s">
        <v>305</v>
      </c>
      <c r="E44" s="17">
        <f t="shared" si="2"/>
        <v>0</v>
      </c>
      <c r="F44" s="17">
        <f t="shared" si="2"/>
        <v>0</v>
      </c>
      <c r="G44" s="44">
        <f t="shared" si="3"/>
        <v>0</v>
      </c>
      <c r="H44" s="169" t="e">
        <f t="shared" si="4"/>
        <v>#DIV/0!</v>
      </c>
    </row>
    <row r="45" spans="1:8" x14ac:dyDescent="0.2">
      <c r="A45" s="8"/>
      <c r="B45" s="8"/>
      <c r="C45" s="8"/>
      <c r="D45" s="8" t="s">
        <v>304</v>
      </c>
      <c r="E45" s="18">
        <f t="shared" si="2"/>
        <v>0</v>
      </c>
      <c r="F45" s="18">
        <f t="shared" si="2"/>
        <v>0</v>
      </c>
      <c r="G45" s="45">
        <f t="shared" si="3"/>
        <v>0</v>
      </c>
      <c r="H45" s="168" t="e">
        <f t="shared" si="4"/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EC222"/>
  <sheetViews>
    <sheetView topLeftCell="BT1" zoomScale="80" zoomScaleNormal="80" workbookViewId="0">
      <pane ySplit="1" topLeftCell="A2" activePane="bottomLeft" state="frozen"/>
      <selection activeCell="BA1" sqref="BA1"/>
      <selection pane="bottomLeft" activeCell="DC5" sqref="DC5:DC24"/>
    </sheetView>
  </sheetViews>
  <sheetFormatPr defaultRowHeight="12.75" x14ac:dyDescent="0.2"/>
  <cols>
    <col min="1" max="1" width="14.28515625" style="2" customWidth="1"/>
    <col min="2" max="13" width="9.140625" style="2"/>
    <col min="14" max="15" width="9.5703125" style="2" customWidth="1"/>
    <col min="16" max="16" width="4.7109375" style="2" customWidth="1"/>
    <col min="17" max="17" width="13.85546875" style="2" customWidth="1"/>
    <col min="18" max="23" width="9.140625" style="2"/>
    <col min="24" max="25" width="9.140625" style="2" customWidth="1"/>
    <col min="26" max="30" width="9.140625" style="2"/>
    <col min="31" max="31" width="9.7109375" style="2" customWidth="1"/>
    <col min="32" max="32" width="13" style="2" customWidth="1"/>
    <col min="33" max="45" width="9.140625" style="2"/>
    <col min="46" max="46" width="3.28515625" style="2" customWidth="1"/>
    <col min="47" max="47" width="13.85546875" style="2" customWidth="1"/>
    <col min="48" max="60" width="7.7109375" style="2" customWidth="1"/>
    <col min="61" max="61" width="5.140625" style="2" customWidth="1"/>
    <col min="62" max="62" width="11.7109375" style="2" customWidth="1"/>
    <col min="63" max="76" width="7.7109375" style="2" customWidth="1"/>
    <col min="77" max="77" width="12.42578125" style="2" customWidth="1"/>
    <col min="78" max="90" width="8.7109375" style="2" customWidth="1"/>
    <col min="91" max="91" width="4.5703125" style="2" customWidth="1"/>
    <col min="92" max="92" width="12.7109375" style="2" customWidth="1"/>
    <col min="93" max="105" width="7.7109375" style="2" customWidth="1"/>
    <col min="106" max="106" width="4.5703125" style="2" customWidth="1"/>
    <col min="107" max="107" width="13.28515625" style="190" customWidth="1"/>
    <col min="108" max="133" width="6.7109375" style="190" customWidth="1"/>
    <col min="134" max="16384" width="9.140625" style="2"/>
  </cols>
  <sheetData>
    <row r="1" spans="1:133" s="12" customFormat="1" x14ac:dyDescent="0.2">
      <c r="A1" s="11" t="s">
        <v>37</v>
      </c>
      <c r="Q1" s="11" t="s">
        <v>118</v>
      </c>
      <c r="AF1" s="11" t="s">
        <v>92</v>
      </c>
      <c r="AU1" s="11" t="s">
        <v>120</v>
      </c>
      <c r="BJ1" s="11" t="s">
        <v>119</v>
      </c>
      <c r="BY1" s="11" t="s">
        <v>122</v>
      </c>
      <c r="CN1" s="11" t="s">
        <v>121</v>
      </c>
      <c r="DC1" s="186" t="s">
        <v>123</v>
      </c>
      <c r="DD1" s="187"/>
      <c r="DE1" s="187"/>
      <c r="DF1" s="187"/>
      <c r="DG1" s="187"/>
      <c r="DH1" s="187"/>
      <c r="DI1" s="187"/>
      <c r="DJ1" s="187"/>
      <c r="DK1" s="187"/>
      <c r="DL1" s="187"/>
      <c r="DM1" s="187"/>
      <c r="DN1" s="187"/>
      <c r="DO1" s="187"/>
      <c r="DP1" s="187"/>
      <c r="DQ1" s="187"/>
      <c r="DR1" s="187"/>
      <c r="DS1" s="187"/>
      <c r="DT1" s="187"/>
      <c r="DU1" s="187"/>
      <c r="DV1" s="187"/>
      <c r="DW1" s="187"/>
      <c r="DX1" s="187"/>
      <c r="DY1" s="187"/>
      <c r="DZ1" s="187"/>
      <c r="EA1" s="187"/>
      <c r="EB1" s="187"/>
      <c r="EC1" s="187"/>
    </row>
    <row r="2" spans="1:133" s="13" customFormat="1" x14ac:dyDescent="0.2">
      <c r="A2" s="6" t="s">
        <v>32</v>
      </c>
      <c r="Q2" s="6" t="s">
        <v>32</v>
      </c>
      <c r="AF2" s="6" t="s">
        <v>32</v>
      </c>
      <c r="AU2" s="6" t="s">
        <v>32</v>
      </c>
      <c r="BJ2" s="6" t="s">
        <v>32</v>
      </c>
      <c r="BY2" s="6" t="s">
        <v>32</v>
      </c>
      <c r="CN2" s="6" t="s">
        <v>32</v>
      </c>
      <c r="DC2" s="6" t="s">
        <v>32</v>
      </c>
      <c r="DD2" s="188" t="s">
        <v>0</v>
      </c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</row>
    <row r="3" spans="1:133" x14ac:dyDescent="0.2">
      <c r="A3" s="63"/>
      <c r="B3" s="5" t="s">
        <v>0</v>
      </c>
      <c r="Q3" s="63"/>
      <c r="R3" s="5" t="s">
        <v>0</v>
      </c>
      <c r="AF3" s="63"/>
      <c r="AG3" s="5" t="s">
        <v>0</v>
      </c>
      <c r="AU3" s="63"/>
      <c r="AV3" s="5" t="s">
        <v>0</v>
      </c>
      <c r="BJ3" s="63"/>
      <c r="BK3" s="5" t="s">
        <v>0</v>
      </c>
      <c r="BY3" s="63"/>
      <c r="BZ3" s="5" t="s">
        <v>0</v>
      </c>
      <c r="CN3" s="63"/>
      <c r="CO3" s="5" t="s">
        <v>0</v>
      </c>
      <c r="DC3" s="63"/>
      <c r="DD3" s="190" t="s">
        <v>124</v>
      </c>
      <c r="DE3" s="190" t="s">
        <v>125</v>
      </c>
      <c r="DF3" s="190" t="s">
        <v>124</v>
      </c>
      <c r="DG3" s="190" t="s">
        <v>125</v>
      </c>
      <c r="DH3" s="190" t="s">
        <v>124</v>
      </c>
      <c r="DI3" s="190" t="s">
        <v>125</v>
      </c>
      <c r="DJ3" s="190" t="s">
        <v>124</v>
      </c>
      <c r="DK3" s="190" t="s">
        <v>125</v>
      </c>
      <c r="DL3" s="190" t="s">
        <v>124</v>
      </c>
      <c r="DM3" s="190" t="s">
        <v>125</v>
      </c>
      <c r="DN3" s="190" t="s">
        <v>124</v>
      </c>
      <c r="DO3" s="190" t="s">
        <v>125</v>
      </c>
      <c r="DP3" s="190" t="s">
        <v>124</v>
      </c>
      <c r="DQ3" s="190" t="s">
        <v>125</v>
      </c>
      <c r="DR3" s="190" t="s">
        <v>124</v>
      </c>
      <c r="DS3" s="190" t="s">
        <v>125</v>
      </c>
      <c r="DT3" s="190" t="s">
        <v>124</v>
      </c>
      <c r="DU3" s="190" t="s">
        <v>125</v>
      </c>
      <c r="DV3" s="190" t="s">
        <v>124</v>
      </c>
      <c r="DW3" s="190" t="s">
        <v>125</v>
      </c>
      <c r="DX3" s="190" t="s">
        <v>124</v>
      </c>
      <c r="DY3" s="190" t="s">
        <v>125</v>
      </c>
      <c r="DZ3" s="190" t="s">
        <v>124</v>
      </c>
      <c r="EA3" s="190" t="s">
        <v>125</v>
      </c>
      <c r="EB3" s="190" t="s">
        <v>124</v>
      </c>
      <c r="EC3" s="190" t="s">
        <v>125</v>
      </c>
    </row>
    <row r="4" spans="1:133" ht="25.5" x14ac:dyDescent="0.2">
      <c r="A4" s="5" t="s">
        <v>1</v>
      </c>
      <c r="B4" s="21" t="s">
        <v>4</v>
      </c>
      <c r="C4" s="21" t="s">
        <v>41</v>
      </c>
      <c r="D4" s="21" t="s">
        <v>42</v>
      </c>
      <c r="E4" s="21" t="s">
        <v>2</v>
      </c>
      <c r="F4" s="21" t="s">
        <v>3</v>
      </c>
      <c r="G4" s="21" t="s">
        <v>38</v>
      </c>
      <c r="H4" s="21" t="s">
        <v>39</v>
      </c>
      <c r="I4" s="71" t="s">
        <v>148</v>
      </c>
      <c r="J4" s="21" t="s">
        <v>6</v>
      </c>
      <c r="K4" s="21" t="s">
        <v>88</v>
      </c>
      <c r="L4" s="21" t="s">
        <v>89</v>
      </c>
      <c r="M4" s="73" t="s">
        <v>323</v>
      </c>
      <c r="N4" s="52" t="s">
        <v>53</v>
      </c>
      <c r="O4" s="52"/>
      <c r="P4" s="52"/>
      <c r="Q4" s="5" t="s">
        <v>1</v>
      </c>
      <c r="R4" s="21" t="s">
        <v>4</v>
      </c>
      <c r="S4" s="21" t="s">
        <v>41</v>
      </c>
      <c r="T4" s="21" t="s">
        <v>42</v>
      </c>
      <c r="U4" s="21" t="s">
        <v>2</v>
      </c>
      <c r="V4" s="21" t="s">
        <v>3</v>
      </c>
      <c r="W4" s="21" t="s">
        <v>38</v>
      </c>
      <c r="X4" s="21" t="s">
        <v>39</v>
      </c>
      <c r="Y4" s="71" t="s">
        <v>148</v>
      </c>
      <c r="Z4" s="21" t="s">
        <v>6</v>
      </c>
      <c r="AA4" s="21" t="s">
        <v>88</v>
      </c>
      <c r="AB4" s="21" t="s">
        <v>89</v>
      </c>
      <c r="AC4" s="73" t="s">
        <v>323</v>
      </c>
      <c r="AD4" s="52" t="s">
        <v>53</v>
      </c>
      <c r="AF4" s="5" t="s">
        <v>1</v>
      </c>
      <c r="AG4" s="21" t="s">
        <v>4</v>
      </c>
      <c r="AH4" s="21" t="s">
        <v>41</v>
      </c>
      <c r="AI4" s="21" t="s">
        <v>42</v>
      </c>
      <c r="AJ4" s="21" t="s">
        <v>2</v>
      </c>
      <c r="AK4" s="21" t="s">
        <v>3</v>
      </c>
      <c r="AL4" s="21" t="s">
        <v>38</v>
      </c>
      <c r="AM4" s="21" t="s">
        <v>39</v>
      </c>
      <c r="AN4" s="73" t="s">
        <v>148</v>
      </c>
      <c r="AO4" s="21" t="s">
        <v>6</v>
      </c>
      <c r="AP4" s="21" t="s">
        <v>88</v>
      </c>
      <c r="AQ4" s="21" t="s">
        <v>89</v>
      </c>
      <c r="AR4" s="73" t="s">
        <v>323</v>
      </c>
      <c r="AS4" s="52" t="s">
        <v>53</v>
      </c>
      <c r="AU4" s="5" t="s">
        <v>1</v>
      </c>
      <c r="AV4" s="21" t="s">
        <v>4</v>
      </c>
      <c r="AW4" s="21" t="s">
        <v>41</v>
      </c>
      <c r="AX4" s="21" t="s">
        <v>42</v>
      </c>
      <c r="AY4" s="21" t="s">
        <v>2</v>
      </c>
      <c r="AZ4" s="21" t="s">
        <v>3</v>
      </c>
      <c r="BA4" s="21" t="s">
        <v>38</v>
      </c>
      <c r="BB4" s="21" t="s">
        <v>39</v>
      </c>
      <c r="BC4" s="73" t="s">
        <v>148</v>
      </c>
      <c r="BD4" s="21" t="s">
        <v>6</v>
      </c>
      <c r="BE4" s="21" t="s">
        <v>88</v>
      </c>
      <c r="BF4" s="21" t="s">
        <v>89</v>
      </c>
      <c r="BG4" s="73" t="s">
        <v>323</v>
      </c>
      <c r="BH4" s="52" t="s">
        <v>53</v>
      </c>
      <c r="BJ4" s="5" t="s">
        <v>1</v>
      </c>
      <c r="BK4" s="21" t="s">
        <v>4</v>
      </c>
      <c r="BL4" s="21" t="s">
        <v>41</v>
      </c>
      <c r="BM4" s="21" t="s">
        <v>42</v>
      </c>
      <c r="BN4" s="21" t="s">
        <v>2</v>
      </c>
      <c r="BO4" s="21" t="s">
        <v>3</v>
      </c>
      <c r="BP4" s="21" t="s">
        <v>38</v>
      </c>
      <c r="BQ4" s="21" t="s">
        <v>39</v>
      </c>
      <c r="BR4" s="73" t="s">
        <v>148</v>
      </c>
      <c r="BS4" s="21" t="s">
        <v>6</v>
      </c>
      <c r="BT4" s="21" t="s">
        <v>88</v>
      </c>
      <c r="BU4" s="21" t="s">
        <v>89</v>
      </c>
      <c r="BV4" s="73" t="s">
        <v>323</v>
      </c>
      <c r="BW4" s="21" t="s">
        <v>53</v>
      </c>
      <c r="BX4" s="21"/>
      <c r="BY4" s="5" t="s">
        <v>1</v>
      </c>
      <c r="BZ4" s="21" t="s">
        <v>4</v>
      </c>
      <c r="CA4" s="21" t="s">
        <v>41</v>
      </c>
      <c r="CB4" s="21" t="s">
        <v>42</v>
      </c>
      <c r="CC4" s="21" t="s">
        <v>2</v>
      </c>
      <c r="CD4" s="21" t="s">
        <v>3</v>
      </c>
      <c r="CE4" s="21" t="s">
        <v>38</v>
      </c>
      <c r="CF4" s="21" t="s">
        <v>39</v>
      </c>
      <c r="CG4" s="21" t="s">
        <v>148</v>
      </c>
      <c r="CH4" s="21" t="s">
        <v>6</v>
      </c>
      <c r="CI4" s="21" t="s">
        <v>88</v>
      </c>
      <c r="CJ4" s="21" t="s">
        <v>89</v>
      </c>
      <c r="CK4" s="21" t="s">
        <v>323</v>
      </c>
      <c r="CL4" s="21" t="s">
        <v>53</v>
      </c>
      <c r="CN4" s="5" t="s">
        <v>1</v>
      </c>
      <c r="CO4" s="21" t="s">
        <v>4</v>
      </c>
      <c r="CP4" s="21" t="s">
        <v>41</v>
      </c>
      <c r="CQ4" s="21" t="s">
        <v>42</v>
      </c>
      <c r="CR4" s="21" t="s">
        <v>2</v>
      </c>
      <c r="CS4" s="21" t="s">
        <v>3</v>
      </c>
      <c r="CT4" s="21" t="s">
        <v>38</v>
      </c>
      <c r="CU4" s="21" t="s">
        <v>39</v>
      </c>
      <c r="CV4" s="21" t="s">
        <v>148</v>
      </c>
      <c r="CW4" s="21" t="s">
        <v>6</v>
      </c>
      <c r="CX4" s="21" t="s">
        <v>88</v>
      </c>
      <c r="CY4" s="21" t="s">
        <v>89</v>
      </c>
      <c r="CZ4" s="21" t="s">
        <v>323</v>
      </c>
      <c r="DA4" s="21" t="s">
        <v>53</v>
      </c>
      <c r="DC4" s="5" t="s">
        <v>1</v>
      </c>
      <c r="DD4" s="191" t="s">
        <v>4</v>
      </c>
      <c r="DE4" s="191" t="s">
        <v>4</v>
      </c>
      <c r="DF4" s="191" t="s">
        <v>41</v>
      </c>
      <c r="DG4" s="191" t="s">
        <v>41</v>
      </c>
      <c r="DH4" s="191" t="s">
        <v>42</v>
      </c>
      <c r="DI4" s="191" t="s">
        <v>42</v>
      </c>
      <c r="DJ4" s="191" t="s">
        <v>2</v>
      </c>
      <c r="DK4" s="191" t="s">
        <v>2</v>
      </c>
      <c r="DL4" s="191" t="s">
        <v>3</v>
      </c>
      <c r="DM4" s="191" t="s">
        <v>3</v>
      </c>
      <c r="DN4" s="191" t="s">
        <v>38</v>
      </c>
      <c r="DO4" s="191" t="s">
        <v>38</v>
      </c>
      <c r="DP4" s="191" t="s">
        <v>39</v>
      </c>
      <c r="DQ4" s="191" t="s">
        <v>39</v>
      </c>
      <c r="DR4" s="191" t="s">
        <v>148</v>
      </c>
      <c r="DS4" s="191" t="s">
        <v>148</v>
      </c>
      <c r="DT4" s="191" t="s">
        <v>6</v>
      </c>
      <c r="DU4" s="191" t="s">
        <v>6</v>
      </c>
      <c r="DV4" s="191" t="s">
        <v>88</v>
      </c>
      <c r="DW4" s="191" t="s">
        <v>88</v>
      </c>
      <c r="DX4" s="191" t="s">
        <v>89</v>
      </c>
      <c r="DY4" s="191" t="s">
        <v>89</v>
      </c>
      <c r="DZ4" s="191" t="s">
        <v>323</v>
      </c>
      <c r="EA4" s="191" t="s">
        <v>323</v>
      </c>
      <c r="EB4" s="192" t="s">
        <v>126</v>
      </c>
      <c r="EC4" s="192" t="s">
        <v>126</v>
      </c>
    </row>
    <row r="5" spans="1:133" x14ac:dyDescent="0.2">
      <c r="A5" s="66" t="s">
        <v>4</v>
      </c>
      <c r="B5" s="36">
        <f>targets!AW6</f>
        <v>3332311.4513948937</v>
      </c>
      <c r="C5" s="37">
        <f>targets!AX6</f>
        <v>725185.40543504339</v>
      </c>
      <c r="D5" s="37">
        <f>targets!AY6</f>
        <v>242994.71201380601</v>
      </c>
      <c r="E5" s="37">
        <f>targets!AZ6</f>
        <v>0</v>
      </c>
      <c r="F5" s="37">
        <f>targets!BA6</f>
        <v>0</v>
      </c>
      <c r="G5" s="37">
        <f>SUM(targets!BB6:BG6)</f>
        <v>0</v>
      </c>
      <c r="H5" s="37">
        <f>SUM(targets!BH6:BM6)</f>
        <v>0</v>
      </c>
      <c r="I5" s="74">
        <f>SUM(G5:H5)</f>
        <v>0</v>
      </c>
      <c r="J5" s="37">
        <f>targets!BN6</f>
        <v>0</v>
      </c>
      <c r="K5" s="37">
        <f>targets!BO6</f>
        <v>0</v>
      </c>
      <c r="L5" s="37">
        <f>targets!BP6</f>
        <v>0</v>
      </c>
      <c r="M5" s="177">
        <f>SUM(J5:L5)</f>
        <v>0</v>
      </c>
      <c r="N5" s="17">
        <f>SUM(B5:L5)-I5</f>
        <v>4300491.5688437428</v>
      </c>
      <c r="O5" s="17"/>
      <c r="P5" s="17"/>
      <c r="Q5" s="66" t="s">
        <v>4</v>
      </c>
      <c r="R5" s="36">
        <f>B5*(AG25/B25)</f>
        <v>0</v>
      </c>
      <c r="S5" s="37">
        <f t="shared" ref="S5:S24" si="0">C5*(AH$25/C$25)</f>
        <v>0</v>
      </c>
      <c r="T5" s="37">
        <f t="shared" ref="T5:T24" si="1">D5*(AI$25/D$25)</f>
        <v>0</v>
      </c>
      <c r="U5" s="37">
        <f t="shared" ref="U5:U24" si="2">E5*(AJ$25/E$25)</f>
        <v>0</v>
      </c>
      <c r="V5" s="37">
        <f t="shared" ref="V5:V24" si="3">F5*(AK$25/F$25)</f>
        <v>0</v>
      </c>
      <c r="W5" s="37">
        <f t="shared" ref="W5:W24" si="4">G5*(AL$25/G$25)</f>
        <v>0</v>
      </c>
      <c r="X5" s="37">
        <f t="shared" ref="X5:X24" si="5">H5*(AM$25/H$25)</f>
        <v>0</v>
      </c>
      <c r="Y5" s="74">
        <f>SUM(W5:X5)</f>
        <v>0</v>
      </c>
      <c r="Z5" s="37">
        <f t="shared" ref="Z5:Z24" si="6">J5*(AO$25/J$25)</f>
        <v>0</v>
      </c>
      <c r="AA5" s="37">
        <f t="shared" ref="AA5:AA24" si="7">K5*(AP$25/K$25)</f>
        <v>0</v>
      </c>
      <c r="AB5" s="37">
        <f t="shared" ref="AB5:AB24" si="8">L5*(AQ$25/L$25)</f>
        <v>0</v>
      </c>
      <c r="AC5" s="177">
        <f>SUM(Z5:AB5)</f>
        <v>0</v>
      </c>
      <c r="AD5" s="17">
        <f>SUM(R5:AB5)-Y5</f>
        <v>0</v>
      </c>
      <c r="AF5" s="66" t="s">
        <v>4</v>
      </c>
      <c r="AG5" s="36" cm="1">
        <f t="array" ref="AG5">SUM(IF((modeldata!$F:$F=calibration!$AF$2)*(modeldata!$G:$G=calibration!AG$4)*(modeldata!$H:$H=calibration!$AF5),modeldata!$E:$E,0))</f>
        <v>0</v>
      </c>
      <c r="AH5" s="37">
        <f t="array" ref="AH5">SUM(IF((modeldata!$F:$F=calibration!$AF$2)*(modeldata!$G:$G=calibration!AH$4)*(modeldata!$H:$H=calibration!$AF5),modeldata!$E:$E,0))</f>
        <v>0</v>
      </c>
      <c r="AI5" s="37">
        <f t="array" ref="AI5">SUM(IF((modeldata!$F:$F=calibration!$AF$2)*(modeldata!$G:$G=calibration!AI$4)*(modeldata!$H:$H=calibration!$AF5),modeldata!$E:$E,0))</f>
        <v>0</v>
      </c>
      <c r="AJ5" s="37">
        <f t="array" ref="AJ5">SUM(IF((modeldata!$F:$F=calibration!$AF$2)*(modeldata!$G:$G=calibration!AJ$4)*(modeldata!$H:$H=calibration!$AF5),modeldata!$E:$E,0))</f>
        <v>0</v>
      </c>
      <c r="AK5" s="37">
        <f t="array" ref="AK5">SUM(IF((modeldata!$F:$F=calibration!$AF$2)*(modeldata!$G:$G=calibration!AK$4)*(modeldata!$H:$H=calibration!$AF5),modeldata!$E:$E,0))</f>
        <v>0</v>
      </c>
      <c r="AL5" s="37">
        <f t="array" ref="AL5">SUM(IF((modeldata!$F:$F=calibration!$AF$2)*(modeldata!$G:$G=calibration!AL$4)*(modeldata!$H:$H=calibration!$AF5),modeldata!$E:$E,0))</f>
        <v>0</v>
      </c>
      <c r="AM5" s="37">
        <f t="array" ref="AM5">SUM(IF((modeldata!$F:$F=calibration!$AF$2)*(modeldata!$G:$G=calibration!AM$4)*(modeldata!$H:$H=calibration!$AF5),modeldata!$E:$E,0))</f>
        <v>0</v>
      </c>
      <c r="AN5" s="74">
        <f>AL5+AM5</f>
        <v>0</v>
      </c>
      <c r="AO5" s="37">
        <f t="array" ref="AO5">SUM(IF((modeldata!$F:$F=calibration!$AF$2)*(modeldata!$G:$G=calibration!AO$4)*(modeldata!$H:$H=calibration!$AF5),modeldata!$E:$E,0))</f>
        <v>0</v>
      </c>
      <c r="AP5" s="37">
        <f>SUM(IF((modeldata!$F:$F=calibration!$AF$2)*(modeldata!$G:$G=calibration!AP$4)*(modeldata!$H:$H=calibration!$AF5),modeldata!$E:$E,0))</f>
        <v>0</v>
      </c>
      <c r="AQ5" s="37">
        <f t="array" ref="AQ5">SUM(IF((modeldata!$F:$F=calibration!$AF$2)*(modeldata!$G:$G=calibration!AQ$4)*(modeldata!$H:$H=calibration!$AF5),modeldata!$E:$E,0))</f>
        <v>0</v>
      </c>
      <c r="AR5" s="177"/>
      <c r="AS5" s="17">
        <f>SUM(AG5:AQ5)-AN5</f>
        <v>0</v>
      </c>
      <c r="AU5" s="66" t="s">
        <v>4</v>
      </c>
      <c r="AV5" s="36">
        <f t="shared" ref="AV5:BG5" si="9">IF(R25&gt;0,R5/R25,0)</f>
        <v>0</v>
      </c>
      <c r="AW5" s="37">
        <f t="shared" si="9"/>
        <v>0</v>
      </c>
      <c r="AX5" s="37">
        <f t="shared" si="9"/>
        <v>0</v>
      </c>
      <c r="AY5" s="37">
        <f t="shared" si="9"/>
        <v>0</v>
      </c>
      <c r="AZ5" s="37">
        <f t="shared" si="9"/>
        <v>0</v>
      </c>
      <c r="BA5" s="37">
        <f t="shared" si="9"/>
        <v>0</v>
      </c>
      <c r="BB5" s="37">
        <f t="shared" si="9"/>
        <v>0</v>
      </c>
      <c r="BC5" s="74">
        <f t="shared" si="9"/>
        <v>0</v>
      </c>
      <c r="BD5" s="37">
        <f t="shared" si="9"/>
        <v>0</v>
      </c>
      <c r="BE5" s="37">
        <f t="shared" si="9"/>
        <v>0</v>
      </c>
      <c r="BF5" s="37">
        <f t="shared" si="9"/>
        <v>0</v>
      </c>
      <c r="BG5" s="177">
        <f t="shared" si="9"/>
        <v>0</v>
      </c>
      <c r="BH5" s="24" t="e">
        <f>AD5/AD25</f>
        <v>#DIV/0!</v>
      </c>
      <c r="BJ5" s="66" t="s">
        <v>4</v>
      </c>
      <c r="BK5" s="36">
        <f t="shared" ref="BK5:BV5" si="10">IF(AG25&gt;0,AG5/AG25,0)</f>
        <v>0</v>
      </c>
      <c r="BL5" s="37">
        <f t="shared" si="10"/>
        <v>0</v>
      </c>
      <c r="BM5" s="37">
        <f t="shared" si="10"/>
        <v>0</v>
      </c>
      <c r="BN5" s="37">
        <f t="shared" si="10"/>
        <v>0</v>
      </c>
      <c r="BO5" s="37">
        <f t="shared" si="10"/>
        <v>0</v>
      </c>
      <c r="BP5" s="37">
        <f t="shared" si="10"/>
        <v>0</v>
      </c>
      <c r="BQ5" s="37">
        <f t="shared" si="10"/>
        <v>0</v>
      </c>
      <c r="BR5" s="74">
        <f t="shared" si="10"/>
        <v>0</v>
      </c>
      <c r="BS5" s="37">
        <f t="shared" si="10"/>
        <v>0</v>
      </c>
      <c r="BT5" s="37">
        <f t="shared" si="10"/>
        <v>0</v>
      </c>
      <c r="BU5" s="37">
        <f t="shared" si="10"/>
        <v>0</v>
      </c>
      <c r="BV5" s="177">
        <f t="shared" si="10"/>
        <v>0</v>
      </c>
      <c r="BW5" s="24" t="e">
        <f>AS5/AS25</f>
        <v>#DIV/0!</v>
      </c>
      <c r="BX5" s="24"/>
      <c r="BY5" s="66" t="s">
        <v>4</v>
      </c>
      <c r="BZ5" s="58">
        <f t="shared" ref="BZ5:CK5" si="11">AG5-R5</f>
        <v>0</v>
      </c>
      <c r="CA5" s="53">
        <f t="shared" si="11"/>
        <v>0</v>
      </c>
      <c r="CB5" s="53">
        <f t="shared" si="11"/>
        <v>0</v>
      </c>
      <c r="CC5" s="53">
        <f t="shared" si="11"/>
        <v>0</v>
      </c>
      <c r="CD5" s="53">
        <f t="shared" si="11"/>
        <v>0</v>
      </c>
      <c r="CE5" s="53">
        <f t="shared" si="11"/>
        <v>0</v>
      </c>
      <c r="CF5" s="53">
        <f t="shared" si="11"/>
        <v>0</v>
      </c>
      <c r="CG5" s="53">
        <f t="shared" si="11"/>
        <v>0</v>
      </c>
      <c r="CH5" s="53">
        <f t="shared" si="11"/>
        <v>0</v>
      </c>
      <c r="CI5" s="53">
        <f t="shared" si="11"/>
        <v>0</v>
      </c>
      <c r="CJ5" s="53">
        <f t="shared" si="11"/>
        <v>0</v>
      </c>
      <c r="CK5" s="248">
        <f t="shared" si="11"/>
        <v>0</v>
      </c>
      <c r="CL5" s="55">
        <f t="shared" ref="CL5" si="12">AS5-AD5</f>
        <v>0</v>
      </c>
      <c r="CN5" s="66" t="s">
        <v>4</v>
      </c>
      <c r="CO5" s="58">
        <f>BK5-AV5</f>
        <v>0</v>
      </c>
      <c r="CP5" s="53">
        <f t="shared" ref="CP5:CP25" si="13">BL5-AW5</f>
        <v>0</v>
      </c>
      <c r="CQ5" s="53">
        <f t="shared" ref="CQ5:CQ25" si="14">BM5-AX5</f>
        <v>0</v>
      </c>
      <c r="CR5" s="53">
        <f t="shared" ref="CR5:CR25" si="15">BN5-AY5</f>
        <v>0</v>
      </c>
      <c r="CS5" s="53">
        <f t="shared" ref="CS5:CS25" si="16">BO5-AZ5</f>
        <v>0</v>
      </c>
      <c r="CT5" s="53">
        <f t="shared" ref="CT5:CT25" si="17">BP5-BA5</f>
        <v>0</v>
      </c>
      <c r="CU5" s="53">
        <f t="shared" ref="CU5:DA5" si="18">BQ5-BB5</f>
        <v>0</v>
      </c>
      <c r="CV5" s="53">
        <f t="shared" si="18"/>
        <v>0</v>
      </c>
      <c r="CW5" s="53">
        <f t="shared" si="18"/>
        <v>0</v>
      </c>
      <c r="CX5" s="53">
        <f t="shared" si="18"/>
        <v>0</v>
      </c>
      <c r="CY5" s="53">
        <f t="shared" si="18"/>
        <v>0</v>
      </c>
      <c r="CZ5" s="248">
        <f t="shared" si="18"/>
        <v>0</v>
      </c>
      <c r="DA5" s="62" t="e">
        <f t="shared" si="18"/>
        <v>#DIV/0!</v>
      </c>
      <c r="DC5" s="66" t="s">
        <v>4</v>
      </c>
      <c r="DD5" s="193">
        <f>AV5</f>
        <v>0</v>
      </c>
      <c r="DE5" s="194">
        <f>BK5</f>
        <v>0</v>
      </c>
      <c r="DF5" s="195">
        <f>AW5</f>
        <v>0</v>
      </c>
      <c r="DG5" s="196">
        <f>BL5</f>
        <v>0</v>
      </c>
      <c r="DH5" s="195">
        <f>AX5</f>
        <v>0</v>
      </c>
      <c r="DI5" s="196">
        <f>BM5</f>
        <v>0</v>
      </c>
      <c r="DJ5" s="195">
        <f>AY5</f>
        <v>0</v>
      </c>
      <c r="DK5" s="196">
        <f>BN5</f>
        <v>0</v>
      </c>
      <c r="DL5" s="195">
        <f>AZ5</f>
        <v>0</v>
      </c>
      <c r="DM5" s="196">
        <f>BO5</f>
        <v>0</v>
      </c>
      <c r="DN5" s="195">
        <f>BA5</f>
        <v>0</v>
      </c>
      <c r="DO5" s="196">
        <f>BP5</f>
        <v>0</v>
      </c>
      <c r="DP5" s="195">
        <f>BB5</f>
        <v>0</v>
      </c>
      <c r="DQ5" s="196">
        <f>BQ5</f>
        <v>0</v>
      </c>
      <c r="DR5" s="195">
        <f>BC5</f>
        <v>0</v>
      </c>
      <c r="DS5" s="196">
        <f>BR5</f>
        <v>0</v>
      </c>
      <c r="DT5" s="195">
        <f>BD5</f>
        <v>0</v>
      </c>
      <c r="DU5" s="196">
        <f>BS5</f>
        <v>0</v>
      </c>
      <c r="DV5" s="195">
        <f>BE5</f>
        <v>0</v>
      </c>
      <c r="DW5" s="196">
        <f>BT5</f>
        <v>0</v>
      </c>
      <c r="DX5" s="195">
        <f>BF5</f>
        <v>0</v>
      </c>
      <c r="DY5" s="196">
        <f>BU5</f>
        <v>0</v>
      </c>
      <c r="DZ5" s="197">
        <f>BG5</f>
        <v>0</v>
      </c>
      <c r="EA5" s="196">
        <f t="shared" ref="EA5:EA24" si="19">BV5</f>
        <v>0</v>
      </c>
      <c r="EB5" s="190" t="e">
        <f>BH5</f>
        <v>#DIV/0!</v>
      </c>
      <c r="EC5" s="190" t="e">
        <f>BW5</f>
        <v>#DIV/0!</v>
      </c>
    </row>
    <row r="6" spans="1:133" x14ac:dyDescent="0.2">
      <c r="A6" s="66" t="s">
        <v>41</v>
      </c>
      <c r="B6" s="38">
        <f>targets!AW7</f>
        <v>0</v>
      </c>
      <c r="C6" s="36">
        <f>targets!AX7</f>
        <v>751361.29816830868</v>
      </c>
      <c r="D6" s="242">
        <f>targets!AY7</f>
        <v>194636.38825454755</v>
      </c>
      <c r="E6" s="242">
        <f>targets!AZ7</f>
        <v>0</v>
      </c>
      <c r="F6" s="242">
        <f>targets!BA7</f>
        <v>0</v>
      </c>
      <c r="G6" s="242">
        <f>SUM(targets!BB7:BG7)</f>
        <v>16081.362384421001</v>
      </c>
      <c r="H6" s="242">
        <f>SUM(targets!BH7:BM7)</f>
        <v>0</v>
      </c>
      <c r="I6" s="243">
        <f t="shared" ref="I6:I24" si="20">SUM(G6:H6)</f>
        <v>16081.362384421001</v>
      </c>
      <c r="J6" s="242">
        <f>targets!BN7</f>
        <v>58.232230567648529</v>
      </c>
      <c r="K6" s="242">
        <f>targets!BO7</f>
        <v>1756.6019153564737</v>
      </c>
      <c r="L6" s="242">
        <f>targets!BP7</f>
        <v>126.48739801308695</v>
      </c>
      <c r="M6" s="178">
        <f t="shared" ref="M6:M24" si="21">SUM(J6:L6)</f>
        <v>1941.3215439372091</v>
      </c>
      <c r="N6" s="17">
        <f t="shared" ref="N6:N24" si="22">SUM(B6:L6)-I6</f>
        <v>964020.37035121454</v>
      </c>
      <c r="O6" s="17"/>
      <c r="P6" s="17"/>
      <c r="Q6" s="66" t="s">
        <v>41</v>
      </c>
      <c r="R6" s="38">
        <f t="shared" ref="R6:R24" si="23">B6*(AG$25/B$25)</f>
        <v>0</v>
      </c>
      <c r="S6" s="36">
        <f t="shared" si="0"/>
        <v>0</v>
      </c>
      <c r="T6" s="242">
        <f t="shared" si="1"/>
        <v>0</v>
      </c>
      <c r="U6" s="242">
        <f t="shared" si="2"/>
        <v>0</v>
      </c>
      <c r="V6" s="242">
        <f t="shared" si="3"/>
        <v>0</v>
      </c>
      <c r="W6" s="242">
        <f t="shared" si="4"/>
        <v>0</v>
      </c>
      <c r="X6" s="242">
        <f t="shared" si="5"/>
        <v>0</v>
      </c>
      <c r="Y6" s="243">
        <f t="shared" ref="Y6:Y24" si="24">SUM(W6:X6)</f>
        <v>0</v>
      </c>
      <c r="Z6" s="242">
        <f t="shared" si="6"/>
        <v>0</v>
      </c>
      <c r="AA6" s="242">
        <f t="shared" si="7"/>
        <v>0</v>
      </c>
      <c r="AB6" s="242">
        <f t="shared" si="8"/>
        <v>0</v>
      </c>
      <c r="AC6" s="178">
        <f>SUM(Z6:AB6)</f>
        <v>0</v>
      </c>
      <c r="AD6" s="17">
        <f t="shared" ref="AD6:AD25" si="25">SUM(R6:AB6)-Y6</f>
        <v>0</v>
      </c>
      <c r="AF6" s="66" t="s">
        <v>41</v>
      </c>
      <c r="AG6" s="38">
        <f t="array" ref="AG6">SUM(IF((modeldata!$F:$F=calibration!$AF$2)*(modeldata!$G:$G=calibration!AG$4)*(modeldata!$H:$H=calibration!$AF6),modeldata!$E:$E,0))</f>
        <v>0</v>
      </c>
      <c r="AH6" s="36">
        <f t="array" ref="AH6">SUM(IF((modeldata!$F:$F=calibration!$AF$2)*(modeldata!$G:$G=calibration!AH$4)*(modeldata!$H:$H=calibration!$AF6),modeldata!$E:$E,0))</f>
        <v>0</v>
      </c>
      <c r="AI6" s="242">
        <f t="array" ref="AI6">SUM(IF((modeldata!$F:$F=calibration!$AF$2)*(modeldata!$G:$G=calibration!AI$4)*(modeldata!$H:$H=calibration!$AF6),modeldata!$E:$E,0))</f>
        <v>0</v>
      </c>
      <c r="AJ6" s="242">
        <f t="array" ref="AJ6">SUM(IF((modeldata!$F:$F=calibration!$AF$2)*(modeldata!$G:$G=calibration!AJ$4)*(modeldata!$H:$H=calibration!$AF6),modeldata!$E:$E,0))</f>
        <v>0</v>
      </c>
      <c r="AK6" s="242">
        <f t="array" ref="AK6">SUM(IF((modeldata!$F:$F=calibration!$AF$2)*(modeldata!$G:$G=calibration!AK$4)*(modeldata!$H:$H=calibration!$AF6),modeldata!$E:$E,0))</f>
        <v>0</v>
      </c>
      <c r="AL6" s="242">
        <f t="array" ref="AL6">SUM(IF((modeldata!$F:$F=calibration!$AF$2)*(modeldata!$G:$G=calibration!AL$4)*(modeldata!$H:$H=calibration!$AF6),modeldata!$E:$E,0))</f>
        <v>0</v>
      </c>
      <c r="AM6" s="242">
        <f t="array" ref="AM6">SUM(IF((modeldata!$F:$F=calibration!$AF$2)*(modeldata!$G:$G=calibration!AM$4)*(modeldata!$H:$H=calibration!$AF6),modeldata!$E:$E,0))</f>
        <v>0</v>
      </c>
      <c r="AN6" s="243">
        <f t="shared" ref="AN6:AN24" si="26">AL6+AM6</f>
        <v>0</v>
      </c>
      <c r="AO6" s="242">
        <f t="array" ref="AO6">SUM(IF((modeldata!$F:$F=calibration!$AF$2)*(modeldata!$G:$G=calibration!AO$4)*(modeldata!$H:$H=calibration!$AF6),modeldata!$E:$E,0))</f>
        <v>0</v>
      </c>
      <c r="AP6" s="242">
        <f t="array" ref="AP6">SUM(IF((modeldata!$F:$F=calibration!$AF$2)*(modeldata!$G:$G=calibration!AP$4)*(modeldata!$H:$H=calibration!$AF6),modeldata!$E:$E,0))</f>
        <v>0</v>
      </c>
      <c r="AQ6" s="242">
        <f t="array" ref="AQ6">SUM(IF((modeldata!$F:$F=calibration!$AF$2)*(modeldata!$G:$G=calibration!AQ$4)*(modeldata!$H:$H=calibration!$AF6),modeldata!$E:$E,0))</f>
        <v>0</v>
      </c>
      <c r="AR6" s="178">
        <f>SUM(AO6:AQ6)</f>
        <v>0</v>
      </c>
      <c r="AS6" s="17">
        <f t="shared" ref="AS6:AS25" si="27">SUM(AG6:AQ6)-AN6</f>
        <v>0</v>
      </c>
      <c r="AU6" s="66" t="s">
        <v>41</v>
      </c>
      <c r="AV6" s="38">
        <f t="shared" ref="AV6:BG6" si="28">IF(R25&gt;0,R6/R25,0)</f>
        <v>0</v>
      </c>
      <c r="AW6" s="36">
        <f t="shared" si="28"/>
        <v>0</v>
      </c>
      <c r="AX6" s="242">
        <f t="shared" si="28"/>
        <v>0</v>
      </c>
      <c r="AY6" s="242">
        <f t="shared" si="28"/>
        <v>0</v>
      </c>
      <c r="AZ6" s="242">
        <f t="shared" si="28"/>
        <v>0</v>
      </c>
      <c r="BA6" s="242">
        <f t="shared" si="28"/>
        <v>0</v>
      </c>
      <c r="BB6" s="242">
        <f t="shared" si="28"/>
        <v>0</v>
      </c>
      <c r="BC6" s="243">
        <f t="shared" si="28"/>
        <v>0</v>
      </c>
      <c r="BD6" s="242">
        <f t="shared" si="28"/>
        <v>0</v>
      </c>
      <c r="BE6" s="242">
        <f t="shared" si="28"/>
        <v>0</v>
      </c>
      <c r="BF6" s="242">
        <f t="shared" si="28"/>
        <v>0</v>
      </c>
      <c r="BG6" s="178">
        <f t="shared" si="28"/>
        <v>0</v>
      </c>
      <c r="BH6" s="24" t="e">
        <f>AD6/AD25</f>
        <v>#DIV/0!</v>
      </c>
      <c r="BJ6" s="66" t="s">
        <v>41</v>
      </c>
      <c r="BK6" s="38">
        <f t="shared" ref="BK6:BV6" si="29">IF(AG25&gt;0,AG6/AG25,0)</f>
        <v>0</v>
      </c>
      <c r="BL6" s="36">
        <f t="shared" si="29"/>
        <v>0</v>
      </c>
      <c r="BM6" s="242">
        <f t="shared" si="29"/>
        <v>0</v>
      </c>
      <c r="BN6" s="242">
        <f t="shared" si="29"/>
        <v>0</v>
      </c>
      <c r="BO6" s="242">
        <f t="shared" si="29"/>
        <v>0</v>
      </c>
      <c r="BP6" s="242">
        <f t="shared" si="29"/>
        <v>0</v>
      </c>
      <c r="BQ6" s="242">
        <f t="shared" si="29"/>
        <v>0</v>
      </c>
      <c r="BR6" s="243">
        <f t="shared" si="29"/>
        <v>0</v>
      </c>
      <c r="BS6" s="242">
        <f t="shared" si="29"/>
        <v>0</v>
      </c>
      <c r="BT6" s="242">
        <f t="shared" si="29"/>
        <v>0</v>
      </c>
      <c r="BU6" s="242">
        <f t="shared" si="29"/>
        <v>0</v>
      </c>
      <c r="BV6" s="178">
        <f t="shared" si="29"/>
        <v>0</v>
      </c>
      <c r="BW6" s="24" t="e">
        <f>AS6/AS25</f>
        <v>#DIV/0!</v>
      </c>
      <c r="BX6" s="24"/>
      <c r="BY6" s="66" t="s">
        <v>41</v>
      </c>
      <c r="BZ6" s="54">
        <f t="shared" ref="BZ6:BZ25" si="30">AG6-R6</f>
        <v>0</v>
      </c>
      <c r="CA6" s="58">
        <f t="shared" ref="CA6:CA22" si="31">AH6-S6</f>
        <v>0</v>
      </c>
      <c r="CB6" s="55">
        <f t="shared" ref="CB6:CB22" si="32">AI6-T6</f>
        <v>0</v>
      </c>
      <c r="CC6" s="55">
        <f t="shared" ref="CC6:CC22" si="33">AJ6-U6</f>
        <v>0</v>
      </c>
      <c r="CD6" s="55">
        <f t="shared" ref="CD6:CD22" si="34">AK6-V6</f>
        <v>0</v>
      </c>
      <c r="CE6" s="55">
        <f t="shared" ref="CE6:CE22" si="35">AL6-W6</f>
        <v>0</v>
      </c>
      <c r="CF6" s="55">
        <f t="shared" ref="CF6:CF22" si="36">AM6-X6</f>
        <v>0</v>
      </c>
      <c r="CG6" s="55">
        <f t="shared" ref="CG6:CG22" si="37">AN6-Y6</f>
        <v>0</v>
      </c>
      <c r="CH6" s="55">
        <f t="shared" ref="CH6:CH22" si="38">AO6-Z6</f>
        <v>0</v>
      </c>
      <c r="CI6" s="55">
        <f t="shared" ref="CI6:CI22" si="39">AP6-AA6</f>
        <v>0</v>
      </c>
      <c r="CJ6" s="55">
        <f t="shared" ref="CJ6:CK22" si="40">AQ6-AB6</f>
        <v>0</v>
      </c>
      <c r="CK6" s="249">
        <f t="shared" si="40"/>
        <v>0</v>
      </c>
      <c r="CL6" s="55">
        <f t="shared" ref="CL6:CL22" si="41">AS6-AD6</f>
        <v>0</v>
      </c>
      <c r="CN6" s="66" t="s">
        <v>41</v>
      </c>
      <c r="CO6" s="54">
        <f t="shared" ref="CO6:CO25" si="42">BK6-AV6</f>
        <v>0</v>
      </c>
      <c r="CP6" s="58">
        <f t="shared" si="13"/>
        <v>0</v>
      </c>
      <c r="CQ6" s="55">
        <f t="shared" si="14"/>
        <v>0</v>
      </c>
      <c r="CR6" s="55">
        <f t="shared" si="15"/>
        <v>0</v>
      </c>
      <c r="CS6" s="55">
        <f t="shared" si="16"/>
        <v>0</v>
      </c>
      <c r="CT6" s="55">
        <f t="shared" si="17"/>
        <v>0</v>
      </c>
      <c r="CU6" s="55">
        <f t="shared" ref="CU6:CU25" si="43">BQ6-BB6</f>
        <v>0</v>
      </c>
      <c r="CV6" s="55">
        <f t="shared" ref="CV6:CV25" si="44">BR6-BC6</f>
        <v>0</v>
      </c>
      <c r="CW6" s="55">
        <f t="shared" ref="CW6:CW25" si="45">BS6-BD6</f>
        <v>0</v>
      </c>
      <c r="CX6" s="55">
        <f t="shared" ref="CX6:CX25" si="46">BT6-BE6</f>
        <v>0</v>
      </c>
      <c r="CY6" s="55">
        <f t="shared" ref="CY6:CZ25" si="47">BU6-BF6</f>
        <v>0</v>
      </c>
      <c r="CZ6" s="249">
        <f t="shared" si="47"/>
        <v>0</v>
      </c>
      <c r="DA6" s="62" t="e">
        <f t="shared" ref="DA6:DA25" si="48">BW6-BH6</f>
        <v>#DIV/0!</v>
      </c>
      <c r="DC6" s="66" t="s">
        <v>41</v>
      </c>
      <c r="DD6" s="198">
        <f t="shared" ref="DD6:DD24" si="49">AV6</f>
        <v>0</v>
      </c>
      <c r="DE6" s="199">
        <f t="shared" ref="DE6:DE24" si="50">BK6</f>
        <v>0</v>
      </c>
      <c r="DF6" s="193">
        <f t="shared" ref="DF6:DF24" si="51">AW6</f>
        <v>0</v>
      </c>
      <c r="DG6" s="194">
        <f t="shared" ref="DG6:DG24" si="52">BL6</f>
        <v>0</v>
      </c>
      <c r="DH6" s="198">
        <f t="shared" ref="DH6:DH24" si="53">AX6</f>
        <v>0</v>
      </c>
      <c r="DI6" s="199">
        <f t="shared" ref="DI6:DI24" si="54">BM6</f>
        <v>0</v>
      </c>
      <c r="DJ6" s="198">
        <f t="shared" ref="DJ6:DJ24" si="55">AY6</f>
        <v>0</v>
      </c>
      <c r="DK6" s="199">
        <f t="shared" ref="DK6:DK24" si="56">BN6</f>
        <v>0</v>
      </c>
      <c r="DL6" s="198">
        <f t="shared" ref="DL6:DL24" si="57">AZ6</f>
        <v>0</v>
      </c>
      <c r="DM6" s="199">
        <f t="shared" ref="DM6:DM24" si="58">BO6</f>
        <v>0</v>
      </c>
      <c r="DN6" s="198">
        <f t="shared" ref="DN6:DN24" si="59">BA6</f>
        <v>0</v>
      </c>
      <c r="DO6" s="199">
        <f t="shared" ref="DO6:DO24" si="60">BP6</f>
        <v>0</v>
      </c>
      <c r="DP6" s="198">
        <f t="shared" ref="DP6:DP24" si="61">BB6</f>
        <v>0</v>
      </c>
      <c r="DQ6" s="199">
        <f t="shared" ref="DQ6:DQ24" si="62">BQ6</f>
        <v>0</v>
      </c>
      <c r="DR6" s="198">
        <f t="shared" ref="DR6:DR24" si="63">BC6</f>
        <v>0</v>
      </c>
      <c r="DS6" s="199">
        <f t="shared" ref="DS6:DS24" si="64">BR6</f>
        <v>0</v>
      </c>
      <c r="DT6" s="198">
        <f t="shared" ref="DT6:DT24" si="65">BD6</f>
        <v>0</v>
      </c>
      <c r="DU6" s="199">
        <f t="shared" ref="DU6:DU24" si="66">BS6</f>
        <v>0</v>
      </c>
      <c r="DV6" s="198">
        <f t="shared" ref="DV6:DV24" si="67">BE6</f>
        <v>0</v>
      </c>
      <c r="DW6" s="199">
        <f t="shared" ref="DW6:DW24" si="68">BT6</f>
        <v>0</v>
      </c>
      <c r="DX6" s="198">
        <f t="shared" ref="DX6:DX24" si="69">BF6</f>
        <v>0</v>
      </c>
      <c r="DY6" s="199">
        <f t="shared" ref="DY6:DY24" si="70">BU6</f>
        <v>0</v>
      </c>
      <c r="DZ6" s="190">
        <f t="shared" ref="DZ6:DZ24" si="71">BG6</f>
        <v>0</v>
      </c>
      <c r="EA6" s="199">
        <f t="shared" si="19"/>
        <v>0</v>
      </c>
      <c r="EB6" s="190" t="e">
        <f t="shared" ref="EB6:EB24" si="72">BH6</f>
        <v>#DIV/0!</v>
      </c>
      <c r="EC6" s="190" t="e">
        <f t="shared" ref="EC6:EC24" si="73">BW6</f>
        <v>#DIV/0!</v>
      </c>
    </row>
    <row r="7" spans="1:133" x14ac:dyDescent="0.2">
      <c r="A7" s="66" t="s">
        <v>42</v>
      </c>
      <c r="B7" s="38">
        <f>targets!AW8</f>
        <v>0</v>
      </c>
      <c r="C7" s="242">
        <f>targets!AX8</f>
        <v>0</v>
      </c>
      <c r="D7" s="36">
        <f>targets!AY8</f>
        <v>351823.86581439787</v>
      </c>
      <c r="E7" s="242">
        <f>targets!AZ8</f>
        <v>0</v>
      </c>
      <c r="F7" s="242">
        <f>targets!BA8</f>
        <v>0</v>
      </c>
      <c r="G7" s="242">
        <f>SUM(targets!BB8:BG8)</f>
        <v>20719.939011950621</v>
      </c>
      <c r="H7" s="242">
        <f>SUM(targets!BH8:BM8)</f>
        <v>0</v>
      </c>
      <c r="I7" s="243">
        <f t="shared" si="20"/>
        <v>20719.939011950621</v>
      </c>
      <c r="J7" s="242">
        <f>targets!BN8</f>
        <v>0</v>
      </c>
      <c r="K7" s="242">
        <f>targets!BO8</f>
        <v>1421.1991906780991</v>
      </c>
      <c r="L7" s="242">
        <f>targets!BP8</f>
        <v>0</v>
      </c>
      <c r="M7" s="178">
        <f t="shared" si="21"/>
        <v>1421.1991906780991</v>
      </c>
      <c r="N7" s="17">
        <f t="shared" si="22"/>
        <v>373965.00401702657</v>
      </c>
      <c r="O7" s="17"/>
      <c r="P7" s="17"/>
      <c r="Q7" s="66" t="s">
        <v>42</v>
      </c>
      <c r="R7" s="38">
        <f t="shared" si="23"/>
        <v>0</v>
      </c>
      <c r="S7" s="242">
        <f t="shared" si="0"/>
        <v>0</v>
      </c>
      <c r="T7" s="36">
        <f t="shared" si="1"/>
        <v>0</v>
      </c>
      <c r="U7" s="242">
        <f t="shared" si="2"/>
        <v>0</v>
      </c>
      <c r="V7" s="242">
        <f t="shared" si="3"/>
        <v>0</v>
      </c>
      <c r="W7" s="242">
        <f t="shared" si="4"/>
        <v>0</v>
      </c>
      <c r="X7" s="242">
        <f t="shared" si="5"/>
        <v>0</v>
      </c>
      <c r="Y7" s="243">
        <f t="shared" si="24"/>
        <v>0</v>
      </c>
      <c r="Z7" s="242">
        <f t="shared" si="6"/>
        <v>0</v>
      </c>
      <c r="AA7" s="242">
        <f t="shared" si="7"/>
        <v>0</v>
      </c>
      <c r="AB7" s="242">
        <f t="shared" si="8"/>
        <v>0</v>
      </c>
      <c r="AC7" s="178">
        <f t="shared" ref="AC7:AC24" si="74">SUM(Z7:AB7)</f>
        <v>0</v>
      </c>
      <c r="AD7" s="17">
        <f t="shared" si="25"/>
        <v>0</v>
      </c>
      <c r="AF7" s="66" t="s">
        <v>42</v>
      </c>
      <c r="AG7" s="38">
        <f t="array" ref="AG7">SUM(IF((modeldata!$F:$F=calibration!$AF$2)*(modeldata!$G:$G=calibration!AG$4)*(modeldata!$H:$H=calibration!$AF7),modeldata!$E:$E,0))</f>
        <v>0</v>
      </c>
      <c r="AH7" s="242">
        <f t="array" ref="AH7">SUM(IF((modeldata!$F:$F=calibration!$AF$2)*(modeldata!$G:$G=calibration!AH$4)*(modeldata!$H:$H=calibration!$AF7),modeldata!$E:$E,0))</f>
        <v>0</v>
      </c>
      <c r="AI7" s="36">
        <f t="array" ref="AI7">SUM(IF((modeldata!$F:$F=calibration!$AF$2)*(modeldata!$G:$G=calibration!AI$4)*(modeldata!$H:$H=calibration!$AF7),modeldata!$E:$E,0))</f>
        <v>0</v>
      </c>
      <c r="AJ7" s="242">
        <f t="array" ref="AJ7">SUM(IF((modeldata!$F:$F=calibration!$AF$2)*(modeldata!$G:$G=calibration!AJ$4)*(modeldata!$H:$H=calibration!$AF7),modeldata!$E:$E,0))</f>
        <v>0</v>
      </c>
      <c r="AK7" s="242">
        <f t="array" ref="AK7">SUM(IF((modeldata!$F:$F=calibration!$AF$2)*(modeldata!$G:$G=calibration!AK$4)*(modeldata!$H:$H=calibration!$AF7),modeldata!$E:$E,0))</f>
        <v>0</v>
      </c>
      <c r="AL7" s="242">
        <f t="array" ref="AL7">SUM(IF((modeldata!$F:$F=calibration!$AF$2)*(modeldata!$G:$G=calibration!AL$4)*(modeldata!$H:$H=calibration!$AF7),modeldata!$E:$E,0))</f>
        <v>0</v>
      </c>
      <c r="AM7" s="242">
        <f t="array" ref="AM7">SUM(IF((modeldata!$F:$F=calibration!$AF$2)*(modeldata!$G:$G=calibration!AM$4)*(modeldata!$H:$H=calibration!$AF7),modeldata!$E:$E,0))</f>
        <v>0</v>
      </c>
      <c r="AN7" s="243">
        <f t="shared" si="26"/>
        <v>0</v>
      </c>
      <c r="AO7" s="242">
        <f t="array" ref="AO7">SUM(IF((modeldata!$F:$F=calibration!$AF$2)*(modeldata!$G:$G=calibration!AO$4)*(modeldata!$H:$H=calibration!$AF7),modeldata!$E:$E,0))</f>
        <v>0</v>
      </c>
      <c r="AP7" s="242">
        <f t="array" ref="AP7">SUM(IF((modeldata!$F:$F=calibration!$AF$2)*(modeldata!$G:$G=calibration!AP$4)*(modeldata!$H:$H=calibration!$AF7),modeldata!$E:$E,0))</f>
        <v>0</v>
      </c>
      <c r="AQ7" s="242">
        <f t="array" ref="AQ7">SUM(IF((modeldata!$F:$F=calibration!$AF$2)*(modeldata!$G:$G=calibration!AQ$4)*(modeldata!$H:$H=calibration!$AF7),modeldata!$E:$E,0))</f>
        <v>0</v>
      </c>
      <c r="AR7" s="178">
        <f t="shared" ref="AR7:AR23" si="75">SUM(AO7:AQ7)</f>
        <v>0</v>
      </c>
      <c r="AS7" s="17">
        <f t="shared" si="27"/>
        <v>0</v>
      </c>
      <c r="AU7" s="66" t="s">
        <v>42</v>
      </c>
      <c r="AV7" s="38">
        <f t="shared" ref="AV7:BG7" si="76">IF(R25&gt;0,R7/R25,0)</f>
        <v>0</v>
      </c>
      <c r="AW7" s="242">
        <f t="shared" si="76"/>
        <v>0</v>
      </c>
      <c r="AX7" s="36">
        <f t="shared" si="76"/>
        <v>0</v>
      </c>
      <c r="AY7" s="242">
        <f t="shared" si="76"/>
        <v>0</v>
      </c>
      <c r="AZ7" s="242">
        <f t="shared" si="76"/>
        <v>0</v>
      </c>
      <c r="BA7" s="242">
        <f t="shared" si="76"/>
        <v>0</v>
      </c>
      <c r="BB7" s="242">
        <f t="shared" si="76"/>
        <v>0</v>
      </c>
      <c r="BC7" s="243">
        <f t="shared" si="76"/>
        <v>0</v>
      </c>
      <c r="BD7" s="242">
        <f t="shared" si="76"/>
        <v>0</v>
      </c>
      <c r="BE7" s="242">
        <f t="shared" si="76"/>
        <v>0</v>
      </c>
      <c r="BF7" s="242">
        <f t="shared" si="76"/>
        <v>0</v>
      </c>
      <c r="BG7" s="178">
        <f t="shared" si="76"/>
        <v>0</v>
      </c>
      <c r="BH7" s="24" t="e">
        <f>AD7/AD25</f>
        <v>#DIV/0!</v>
      </c>
      <c r="BJ7" s="66" t="s">
        <v>42</v>
      </c>
      <c r="BK7" s="38">
        <f t="shared" ref="BK7:BV7" si="77">IF(AG25&gt;0,AG7/AG25,0)</f>
        <v>0</v>
      </c>
      <c r="BL7" s="242">
        <f t="shared" si="77"/>
        <v>0</v>
      </c>
      <c r="BM7" s="36">
        <f t="shared" si="77"/>
        <v>0</v>
      </c>
      <c r="BN7" s="242">
        <f t="shared" si="77"/>
        <v>0</v>
      </c>
      <c r="BO7" s="242">
        <f t="shared" si="77"/>
        <v>0</v>
      </c>
      <c r="BP7" s="242">
        <f t="shared" si="77"/>
        <v>0</v>
      </c>
      <c r="BQ7" s="242">
        <f t="shared" si="77"/>
        <v>0</v>
      </c>
      <c r="BR7" s="243">
        <f t="shared" si="77"/>
        <v>0</v>
      </c>
      <c r="BS7" s="242">
        <f t="shared" si="77"/>
        <v>0</v>
      </c>
      <c r="BT7" s="242">
        <f t="shared" si="77"/>
        <v>0</v>
      </c>
      <c r="BU7" s="242">
        <f t="shared" si="77"/>
        <v>0</v>
      </c>
      <c r="BV7" s="178">
        <f t="shared" si="77"/>
        <v>0</v>
      </c>
      <c r="BW7" s="24" t="e">
        <f>AS7/AS25</f>
        <v>#DIV/0!</v>
      </c>
      <c r="BX7" s="24"/>
      <c r="BY7" s="66" t="s">
        <v>42</v>
      </c>
      <c r="BZ7" s="54">
        <f t="shared" si="30"/>
        <v>0</v>
      </c>
      <c r="CA7" s="55">
        <f t="shared" si="31"/>
        <v>0</v>
      </c>
      <c r="CB7" s="58">
        <f t="shared" si="32"/>
        <v>0</v>
      </c>
      <c r="CC7" s="55">
        <f t="shared" si="33"/>
        <v>0</v>
      </c>
      <c r="CD7" s="55">
        <f t="shared" si="34"/>
        <v>0</v>
      </c>
      <c r="CE7" s="55">
        <f t="shared" si="35"/>
        <v>0</v>
      </c>
      <c r="CF7" s="55">
        <f t="shared" si="36"/>
        <v>0</v>
      </c>
      <c r="CG7" s="55">
        <f t="shared" si="37"/>
        <v>0</v>
      </c>
      <c r="CH7" s="55">
        <f t="shared" si="38"/>
        <v>0</v>
      </c>
      <c r="CI7" s="55">
        <f t="shared" si="39"/>
        <v>0</v>
      </c>
      <c r="CJ7" s="55">
        <f t="shared" si="40"/>
        <v>0</v>
      </c>
      <c r="CK7" s="249">
        <f t="shared" si="40"/>
        <v>0</v>
      </c>
      <c r="CL7" s="55">
        <f t="shared" si="41"/>
        <v>0</v>
      </c>
      <c r="CN7" s="66" t="s">
        <v>42</v>
      </c>
      <c r="CO7" s="54">
        <f t="shared" si="42"/>
        <v>0</v>
      </c>
      <c r="CP7" s="55">
        <f t="shared" si="13"/>
        <v>0</v>
      </c>
      <c r="CQ7" s="58">
        <f t="shared" si="14"/>
        <v>0</v>
      </c>
      <c r="CR7" s="55">
        <f t="shared" si="15"/>
        <v>0</v>
      </c>
      <c r="CS7" s="55">
        <f t="shared" si="16"/>
        <v>0</v>
      </c>
      <c r="CT7" s="55">
        <f t="shared" si="17"/>
        <v>0</v>
      </c>
      <c r="CU7" s="55">
        <f t="shared" si="43"/>
        <v>0</v>
      </c>
      <c r="CV7" s="55">
        <f t="shared" si="44"/>
        <v>0</v>
      </c>
      <c r="CW7" s="55">
        <f t="shared" si="45"/>
        <v>0</v>
      </c>
      <c r="CX7" s="55">
        <f t="shared" si="46"/>
        <v>0</v>
      </c>
      <c r="CY7" s="55">
        <f t="shared" si="47"/>
        <v>0</v>
      </c>
      <c r="CZ7" s="249">
        <f t="shared" si="47"/>
        <v>0</v>
      </c>
      <c r="DA7" s="62" t="e">
        <f t="shared" si="48"/>
        <v>#DIV/0!</v>
      </c>
      <c r="DC7" s="66" t="s">
        <v>42</v>
      </c>
      <c r="DD7" s="198">
        <f t="shared" si="49"/>
        <v>0</v>
      </c>
      <c r="DE7" s="199">
        <f t="shared" si="50"/>
        <v>0</v>
      </c>
      <c r="DF7" s="198">
        <f t="shared" si="51"/>
        <v>0</v>
      </c>
      <c r="DG7" s="199">
        <f t="shared" si="52"/>
        <v>0</v>
      </c>
      <c r="DH7" s="193">
        <f t="shared" si="53"/>
        <v>0</v>
      </c>
      <c r="DI7" s="194">
        <f t="shared" si="54"/>
        <v>0</v>
      </c>
      <c r="DJ7" s="198">
        <f t="shared" si="55"/>
        <v>0</v>
      </c>
      <c r="DK7" s="199">
        <f t="shared" si="56"/>
        <v>0</v>
      </c>
      <c r="DL7" s="198">
        <f t="shared" si="57"/>
        <v>0</v>
      </c>
      <c r="DM7" s="199">
        <f t="shared" si="58"/>
        <v>0</v>
      </c>
      <c r="DN7" s="198">
        <f t="shared" si="59"/>
        <v>0</v>
      </c>
      <c r="DO7" s="199">
        <f t="shared" si="60"/>
        <v>0</v>
      </c>
      <c r="DP7" s="198">
        <f t="shared" si="61"/>
        <v>0</v>
      </c>
      <c r="DQ7" s="199">
        <f t="shared" si="62"/>
        <v>0</v>
      </c>
      <c r="DR7" s="198">
        <f t="shared" si="63"/>
        <v>0</v>
      </c>
      <c r="DS7" s="199">
        <f t="shared" si="64"/>
        <v>0</v>
      </c>
      <c r="DT7" s="198">
        <f t="shared" si="65"/>
        <v>0</v>
      </c>
      <c r="DU7" s="199">
        <f t="shared" si="66"/>
        <v>0</v>
      </c>
      <c r="DV7" s="198">
        <f t="shared" si="67"/>
        <v>0</v>
      </c>
      <c r="DW7" s="199">
        <f t="shared" si="68"/>
        <v>0</v>
      </c>
      <c r="DX7" s="198">
        <f t="shared" si="69"/>
        <v>0</v>
      </c>
      <c r="DY7" s="199">
        <f t="shared" si="70"/>
        <v>0</v>
      </c>
      <c r="DZ7" s="190">
        <f t="shared" si="71"/>
        <v>0</v>
      </c>
      <c r="EA7" s="199">
        <f t="shared" si="19"/>
        <v>0</v>
      </c>
      <c r="EB7" s="190" t="e">
        <f t="shared" si="72"/>
        <v>#DIV/0!</v>
      </c>
      <c r="EC7" s="190" t="e">
        <f t="shared" si="73"/>
        <v>#DIV/0!</v>
      </c>
    </row>
    <row r="8" spans="1:133" x14ac:dyDescent="0.2">
      <c r="A8" s="66" t="s">
        <v>2</v>
      </c>
      <c r="B8" s="38">
        <f>targets!AW9</f>
        <v>120475.08234779107</v>
      </c>
      <c r="C8" s="242">
        <f>targets!AX9</f>
        <v>67748.353226007297</v>
      </c>
      <c r="D8" s="242">
        <f>targets!AY9</f>
        <v>15524.252954160153</v>
      </c>
      <c r="E8" s="36">
        <f>targets!AZ9</f>
        <v>177907.00676519633</v>
      </c>
      <c r="F8" s="242">
        <f>targets!BA9</f>
        <v>16945.555939401114</v>
      </c>
      <c r="G8" s="242">
        <f>SUM(targets!BB9:BG9)</f>
        <v>108518.37143810724</v>
      </c>
      <c r="H8" s="242">
        <f>SUM(targets!BH9:BM9)</f>
        <v>0</v>
      </c>
      <c r="I8" s="243">
        <f t="shared" si="20"/>
        <v>108518.37143810724</v>
      </c>
      <c r="J8" s="242">
        <f>targets!BN9</f>
        <v>775.81624063385141</v>
      </c>
      <c r="K8" s="242">
        <f>targets!BO9</f>
        <v>3232.2763160709624</v>
      </c>
      <c r="L8" s="242">
        <f>targets!BP9</f>
        <v>0</v>
      </c>
      <c r="M8" s="178">
        <f t="shared" si="21"/>
        <v>4008.0925567048139</v>
      </c>
      <c r="N8" s="17">
        <f t="shared" si="22"/>
        <v>511126.71522736794</v>
      </c>
      <c r="O8" s="17"/>
      <c r="P8" s="17"/>
      <c r="Q8" s="66" t="s">
        <v>2</v>
      </c>
      <c r="R8" s="38">
        <f t="shared" si="23"/>
        <v>0</v>
      </c>
      <c r="S8" s="242">
        <f t="shared" si="0"/>
        <v>0</v>
      </c>
      <c r="T8" s="242">
        <f t="shared" si="1"/>
        <v>0</v>
      </c>
      <c r="U8" s="36">
        <f t="shared" si="2"/>
        <v>0</v>
      </c>
      <c r="V8" s="242">
        <f t="shared" si="3"/>
        <v>0</v>
      </c>
      <c r="W8" s="242">
        <f t="shared" si="4"/>
        <v>0</v>
      </c>
      <c r="X8" s="242">
        <f t="shared" si="5"/>
        <v>0</v>
      </c>
      <c r="Y8" s="243">
        <f t="shared" si="24"/>
        <v>0</v>
      </c>
      <c r="Z8" s="242">
        <f t="shared" si="6"/>
        <v>0</v>
      </c>
      <c r="AA8" s="242">
        <f t="shared" si="7"/>
        <v>0</v>
      </c>
      <c r="AB8" s="242">
        <f t="shared" si="8"/>
        <v>0</v>
      </c>
      <c r="AC8" s="178">
        <f t="shared" si="74"/>
        <v>0</v>
      </c>
      <c r="AD8" s="17">
        <f t="shared" si="25"/>
        <v>0</v>
      </c>
      <c r="AF8" s="66" t="s">
        <v>2</v>
      </c>
      <c r="AG8" s="38">
        <f t="array" ref="AG8">SUM(IF((modeldata!$F:$F=calibration!$AF$2)*(modeldata!$G:$G=calibration!AG$4)*(modeldata!$H:$H=calibration!$AF8),modeldata!$E:$E,0))</f>
        <v>0</v>
      </c>
      <c r="AH8" s="242">
        <f t="array" ref="AH8">SUM(IF((modeldata!$F:$F=calibration!$AF$2)*(modeldata!$G:$G=calibration!AH$4)*(modeldata!$H:$H=calibration!$AF8),modeldata!$E:$E,0))</f>
        <v>0</v>
      </c>
      <c r="AI8" s="242">
        <f t="array" ref="AI8">SUM(IF((modeldata!$F:$F=calibration!$AF$2)*(modeldata!$G:$G=calibration!AI$4)*(modeldata!$H:$H=calibration!$AF8),modeldata!$E:$E,0))</f>
        <v>0</v>
      </c>
      <c r="AJ8" s="36">
        <f t="array" ref="AJ8">SUM(IF((modeldata!$F:$F=calibration!$AF$2)*(modeldata!$G:$G=calibration!AJ$4)*(modeldata!$H:$H=calibration!$AF8),modeldata!$E:$E,0))</f>
        <v>0</v>
      </c>
      <c r="AK8" s="242">
        <f t="array" ref="AK8">SUM(IF((modeldata!$F:$F=calibration!$AF$2)*(modeldata!$G:$G=calibration!AK$4)*(modeldata!$H:$H=calibration!$AF8),modeldata!$E:$E,0))</f>
        <v>0</v>
      </c>
      <c r="AL8" s="242">
        <f t="array" ref="AL8">SUM(IF((modeldata!$F:$F=calibration!$AF$2)*(modeldata!$G:$G=calibration!AL$4)*(modeldata!$H:$H=calibration!$AF8),modeldata!$E:$E,0))</f>
        <v>0</v>
      </c>
      <c r="AM8" s="242">
        <f t="array" ref="AM8">SUM(IF((modeldata!$F:$F=calibration!$AF$2)*(modeldata!$G:$G=calibration!AM$4)*(modeldata!$H:$H=calibration!$AF8),modeldata!$E:$E,0))</f>
        <v>0</v>
      </c>
      <c r="AN8" s="243">
        <f t="shared" si="26"/>
        <v>0</v>
      </c>
      <c r="AO8" s="242">
        <f t="array" ref="AO8">SUM(IF((modeldata!$F:$F=calibration!$AF$2)*(modeldata!$G:$G=calibration!AO$4)*(modeldata!$H:$H=calibration!$AF8),modeldata!$E:$E,0))</f>
        <v>0</v>
      </c>
      <c r="AP8" s="242">
        <f t="array" ref="AP8">SUM(IF((modeldata!$F:$F=calibration!$AF$2)*(modeldata!$G:$G=calibration!AP$4)*(modeldata!$H:$H=calibration!$AF8),modeldata!$E:$E,0))</f>
        <v>0</v>
      </c>
      <c r="AQ8" s="242">
        <f t="array" ref="AQ8">SUM(IF((modeldata!$F:$F=calibration!$AF$2)*(modeldata!$G:$G=calibration!AQ$4)*(modeldata!$H:$H=calibration!$AF8),modeldata!$E:$E,0))</f>
        <v>0</v>
      </c>
      <c r="AR8" s="178">
        <f t="shared" si="75"/>
        <v>0</v>
      </c>
      <c r="AS8" s="17">
        <f t="shared" si="27"/>
        <v>0</v>
      </c>
      <c r="AU8" s="66" t="s">
        <v>2</v>
      </c>
      <c r="AV8" s="38">
        <f t="shared" ref="AV8:BG8" si="78">IF(R25&gt;0,R8/R25,0)</f>
        <v>0</v>
      </c>
      <c r="AW8" s="242">
        <f t="shared" si="78"/>
        <v>0</v>
      </c>
      <c r="AX8" s="242">
        <f t="shared" si="78"/>
        <v>0</v>
      </c>
      <c r="AY8" s="36">
        <f t="shared" si="78"/>
        <v>0</v>
      </c>
      <c r="AZ8" s="242">
        <f t="shared" si="78"/>
        <v>0</v>
      </c>
      <c r="BA8" s="242">
        <f t="shared" si="78"/>
        <v>0</v>
      </c>
      <c r="BB8" s="242">
        <f t="shared" si="78"/>
        <v>0</v>
      </c>
      <c r="BC8" s="243">
        <f t="shared" si="78"/>
        <v>0</v>
      </c>
      <c r="BD8" s="242">
        <f t="shared" si="78"/>
        <v>0</v>
      </c>
      <c r="BE8" s="242">
        <f t="shared" si="78"/>
        <v>0</v>
      </c>
      <c r="BF8" s="242">
        <f t="shared" si="78"/>
        <v>0</v>
      </c>
      <c r="BG8" s="178">
        <f t="shared" si="78"/>
        <v>0</v>
      </c>
      <c r="BH8" s="24" t="e">
        <f>AD8/AD25</f>
        <v>#DIV/0!</v>
      </c>
      <c r="BJ8" s="66" t="s">
        <v>2</v>
      </c>
      <c r="BK8" s="38">
        <f t="shared" ref="BK8:BV8" si="79">IF(AG25&gt;0,AG8/AG25,0)</f>
        <v>0</v>
      </c>
      <c r="BL8" s="242">
        <f t="shared" si="79"/>
        <v>0</v>
      </c>
      <c r="BM8" s="242">
        <f t="shared" si="79"/>
        <v>0</v>
      </c>
      <c r="BN8" s="36">
        <f t="shared" si="79"/>
        <v>0</v>
      </c>
      <c r="BO8" s="242">
        <f t="shared" si="79"/>
        <v>0</v>
      </c>
      <c r="BP8" s="242">
        <f t="shared" si="79"/>
        <v>0</v>
      </c>
      <c r="BQ8" s="242">
        <f t="shared" si="79"/>
        <v>0</v>
      </c>
      <c r="BR8" s="243">
        <f t="shared" si="79"/>
        <v>0</v>
      </c>
      <c r="BS8" s="242">
        <f t="shared" si="79"/>
        <v>0</v>
      </c>
      <c r="BT8" s="242">
        <f t="shared" si="79"/>
        <v>0</v>
      </c>
      <c r="BU8" s="242">
        <f t="shared" si="79"/>
        <v>0</v>
      </c>
      <c r="BV8" s="178">
        <f t="shared" si="79"/>
        <v>0</v>
      </c>
      <c r="BW8" s="24" t="e">
        <f>AS8/AS25</f>
        <v>#DIV/0!</v>
      </c>
      <c r="BX8" s="24"/>
      <c r="BY8" s="66" t="s">
        <v>2</v>
      </c>
      <c r="BZ8" s="54">
        <f t="shared" si="30"/>
        <v>0</v>
      </c>
      <c r="CA8" s="55">
        <f t="shared" si="31"/>
        <v>0</v>
      </c>
      <c r="CB8" s="55">
        <f t="shared" si="32"/>
        <v>0</v>
      </c>
      <c r="CC8" s="58">
        <f t="shared" si="33"/>
        <v>0</v>
      </c>
      <c r="CD8" s="55">
        <f t="shared" si="34"/>
        <v>0</v>
      </c>
      <c r="CE8" s="55">
        <f t="shared" si="35"/>
        <v>0</v>
      </c>
      <c r="CF8" s="55">
        <f t="shared" si="36"/>
        <v>0</v>
      </c>
      <c r="CG8" s="55">
        <f t="shared" si="37"/>
        <v>0</v>
      </c>
      <c r="CH8" s="55">
        <f t="shared" si="38"/>
        <v>0</v>
      </c>
      <c r="CI8" s="55">
        <f t="shared" si="39"/>
        <v>0</v>
      </c>
      <c r="CJ8" s="55">
        <f t="shared" si="40"/>
        <v>0</v>
      </c>
      <c r="CK8" s="249">
        <f t="shared" si="40"/>
        <v>0</v>
      </c>
      <c r="CL8" s="55">
        <f t="shared" si="41"/>
        <v>0</v>
      </c>
      <c r="CN8" s="66" t="s">
        <v>2</v>
      </c>
      <c r="CO8" s="54">
        <f t="shared" si="42"/>
        <v>0</v>
      </c>
      <c r="CP8" s="55">
        <f t="shared" si="13"/>
        <v>0</v>
      </c>
      <c r="CQ8" s="55">
        <f t="shared" si="14"/>
        <v>0</v>
      </c>
      <c r="CR8" s="58">
        <f t="shared" si="15"/>
        <v>0</v>
      </c>
      <c r="CS8" s="55">
        <f t="shared" si="16"/>
        <v>0</v>
      </c>
      <c r="CT8" s="55">
        <f t="shared" si="17"/>
        <v>0</v>
      </c>
      <c r="CU8" s="55">
        <f t="shared" si="43"/>
        <v>0</v>
      </c>
      <c r="CV8" s="55">
        <f t="shared" si="44"/>
        <v>0</v>
      </c>
      <c r="CW8" s="55">
        <f t="shared" si="45"/>
        <v>0</v>
      </c>
      <c r="CX8" s="55">
        <f t="shared" si="46"/>
        <v>0</v>
      </c>
      <c r="CY8" s="55">
        <f t="shared" si="47"/>
        <v>0</v>
      </c>
      <c r="CZ8" s="249">
        <f t="shared" si="47"/>
        <v>0</v>
      </c>
      <c r="DA8" s="62" t="e">
        <f t="shared" si="48"/>
        <v>#DIV/0!</v>
      </c>
      <c r="DC8" s="66" t="s">
        <v>2</v>
      </c>
      <c r="DD8" s="198">
        <f t="shared" si="49"/>
        <v>0</v>
      </c>
      <c r="DE8" s="199">
        <f t="shared" si="50"/>
        <v>0</v>
      </c>
      <c r="DF8" s="198">
        <f t="shared" si="51"/>
        <v>0</v>
      </c>
      <c r="DG8" s="199">
        <f t="shared" si="52"/>
        <v>0</v>
      </c>
      <c r="DH8" s="198">
        <f t="shared" si="53"/>
        <v>0</v>
      </c>
      <c r="DI8" s="199">
        <f t="shared" si="54"/>
        <v>0</v>
      </c>
      <c r="DJ8" s="193">
        <f t="shared" si="55"/>
        <v>0</v>
      </c>
      <c r="DK8" s="194">
        <f t="shared" si="56"/>
        <v>0</v>
      </c>
      <c r="DL8" s="198">
        <f t="shared" si="57"/>
        <v>0</v>
      </c>
      <c r="DM8" s="199">
        <f t="shared" si="58"/>
        <v>0</v>
      </c>
      <c r="DN8" s="198">
        <f t="shared" si="59"/>
        <v>0</v>
      </c>
      <c r="DO8" s="199">
        <f t="shared" si="60"/>
        <v>0</v>
      </c>
      <c r="DP8" s="198">
        <f t="shared" si="61"/>
        <v>0</v>
      </c>
      <c r="DQ8" s="199">
        <f t="shared" si="62"/>
        <v>0</v>
      </c>
      <c r="DR8" s="198">
        <f t="shared" si="63"/>
        <v>0</v>
      </c>
      <c r="DS8" s="199">
        <f t="shared" si="64"/>
        <v>0</v>
      </c>
      <c r="DT8" s="198">
        <f t="shared" si="65"/>
        <v>0</v>
      </c>
      <c r="DU8" s="199">
        <f t="shared" si="66"/>
        <v>0</v>
      </c>
      <c r="DV8" s="198">
        <f t="shared" si="67"/>
        <v>0</v>
      </c>
      <c r="DW8" s="199">
        <f t="shared" si="68"/>
        <v>0</v>
      </c>
      <c r="DX8" s="198">
        <f t="shared" si="69"/>
        <v>0</v>
      </c>
      <c r="DY8" s="199">
        <f t="shared" si="70"/>
        <v>0</v>
      </c>
      <c r="DZ8" s="190">
        <f t="shared" si="71"/>
        <v>0</v>
      </c>
      <c r="EA8" s="199">
        <f t="shared" si="19"/>
        <v>0</v>
      </c>
      <c r="EB8" s="190" t="e">
        <f t="shared" si="72"/>
        <v>#DIV/0!</v>
      </c>
      <c r="EC8" s="190" t="e">
        <f t="shared" si="73"/>
        <v>#DIV/0!</v>
      </c>
    </row>
    <row r="9" spans="1:133" x14ac:dyDescent="0.2">
      <c r="A9" s="66" t="s">
        <v>3</v>
      </c>
      <c r="B9" s="38">
        <f>targets!AW10</f>
        <v>0</v>
      </c>
      <c r="C9" s="242">
        <f>targets!AX10</f>
        <v>0</v>
      </c>
      <c r="D9" s="242">
        <f>targets!AY10</f>
        <v>0</v>
      </c>
      <c r="E9" s="242">
        <f>targets!AZ10</f>
        <v>0</v>
      </c>
      <c r="F9" s="36">
        <f>targets!BA10</f>
        <v>154430.37071898795</v>
      </c>
      <c r="G9" s="242">
        <f>SUM(targets!BB10:BG10)</f>
        <v>0</v>
      </c>
      <c r="H9" s="242">
        <f>SUM(targets!BH10:BM10)</f>
        <v>0</v>
      </c>
      <c r="I9" s="243">
        <f t="shared" si="20"/>
        <v>0</v>
      </c>
      <c r="J9" s="242">
        <f>targets!BN10</f>
        <v>0</v>
      </c>
      <c r="K9" s="242">
        <f>targets!BO10</f>
        <v>0</v>
      </c>
      <c r="L9" s="242">
        <f>targets!BP10</f>
        <v>0</v>
      </c>
      <c r="M9" s="178">
        <f t="shared" si="21"/>
        <v>0</v>
      </c>
      <c r="N9" s="17">
        <f t="shared" si="22"/>
        <v>154430.37071898795</v>
      </c>
      <c r="O9" s="17"/>
      <c r="P9" s="17"/>
      <c r="Q9" s="66" t="s">
        <v>3</v>
      </c>
      <c r="R9" s="38">
        <f t="shared" si="23"/>
        <v>0</v>
      </c>
      <c r="S9" s="242">
        <f t="shared" si="0"/>
        <v>0</v>
      </c>
      <c r="T9" s="242">
        <f t="shared" si="1"/>
        <v>0</v>
      </c>
      <c r="U9" s="242">
        <f t="shared" si="2"/>
        <v>0</v>
      </c>
      <c r="V9" s="36">
        <f t="shared" si="3"/>
        <v>0</v>
      </c>
      <c r="W9" s="242">
        <f t="shared" si="4"/>
        <v>0</v>
      </c>
      <c r="X9" s="242">
        <f t="shared" si="5"/>
        <v>0</v>
      </c>
      <c r="Y9" s="243">
        <f t="shared" si="24"/>
        <v>0</v>
      </c>
      <c r="Z9" s="242">
        <f t="shared" si="6"/>
        <v>0</v>
      </c>
      <c r="AA9" s="242">
        <f t="shared" si="7"/>
        <v>0</v>
      </c>
      <c r="AB9" s="242">
        <f t="shared" si="8"/>
        <v>0</v>
      </c>
      <c r="AC9" s="178">
        <f t="shared" si="74"/>
        <v>0</v>
      </c>
      <c r="AD9" s="17">
        <f t="shared" si="25"/>
        <v>0</v>
      </c>
      <c r="AF9" s="66" t="s">
        <v>3</v>
      </c>
      <c r="AG9" s="38">
        <f t="array" ref="AG9">SUM(IF((modeldata!$F:$F=calibration!$AF$2)*(modeldata!$G:$G=calibration!AG$4)*(modeldata!$H:$H=calibration!$AF9),modeldata!$E:$E,0))</f>
        <v>0</v>
      </c>
      <c r="AH9" s="242">
        <f t="array" ref="AH9">SUM(IF((modeldata!$F:$F=calibration!$AF$2)*(modeldata!$G:$G=calibration!AH$4)*(modeldata!$H:$H=calibration!$AF9),modeldata!$E:$E,0))</f>
        <v>0</v>
      </c>
      <c r="AI9" s="242">
        <f t="array" ref="AI9">SUM(IF((modeldata!$F:$F=calibration!$AF$2)*(modeldata!$G:$G=calibration!AI$4)*(modeldata!$H:$H=calibration!$AF9),modeldata!$E:$E,0))</f>
        <v>0</v>
      </c>
      <c r="AJ9" s="242">
        <f t="array" ref="AJ9">SUM(IF((modeldata!$F:$F=calibration!$AF$2)*(modeldata!$G:$G=calibration!AJ$4)*(modeldata!$H:$H=calibration!$AF9),modeldata!$E:$E,0))</f>
        <v>0</v>
      </c>
      <c r="AK9" s="36">
        <f t="array" ref="AK9">SUM(IF((modeldata!$F:$F=calibration!$AF$2)*(modeldata!$G:$G=calibration!AK$4)*(modeldata!$H:$H=calibration!$AF9),modeldata!$E:$E,0))</f>
        <v>0</v>
      </c>
      <c r="AL9" s="242">
        <f t="array" ref="AL9">SUM(IF((modeldata!$F:$F=calibration!$AF$2)*(modeldata!$G:$G=calibration!AL$4)*(modeldata!$H:$H=calibration!$AF9),modeldata!$E:$E,0))</f>
        <v>0</v>
      </c>
      <c r="AM9" s="242">
        <f t="array" ref="AM9">SUM(IF((modeldata!$F:$F=calibration!$AF$2)*(modeldata!$G:$G=calibration!AM$4)*(modeldata!$H:$H=calibration!$AF9),modeldata!$E:$E,0))</f>
        <v>0</v>
      </c>
      <c r="AN9" s="243">
        <f t="shared" si="26"/>
        <v>0</v>
      </c>
      <c r="AO9" s="242">
        <f t="array" ref="AO9">SUM(IF((modeldata!$F:$F=calibration!$AF$2)*(modeldata!$G:$G=calibration!AO$4)*(modeldata!$H:$H=calibration!$AF9),modeldata!$E:$E,0))</f>
        <v>0</v>
      </c>
      <c r="AP9" s="242">
        <f t="array" ref="AP9">SUM(IF((modeldata!$F:$F=calibration!$AF$2)*(modeldata!$G:$G=calibration!AP$4)*(modeldata!$H:$H=calibration!$AF9),modeldata!$E:$E,0))</f>
        <v>0</v>
      </c>
      <c r="AQ9" s="242">
        <f t="array" ref="AQ9">SUM(IF((modeldata!$F:$F=calibration!$AF$2)*(modeldata!$G:$G=calibration!AQ$4)*(modeldata!$H:$H=calibration!$AF9),modeldata!$E:$E,0))</f>
        <v>0</v>
      </c>
      <c r="AR9" s="178">
        <f t="shared" si="75"/>
        <v>0</v>
      </c>
      <c r="AS9" s="17">
        <f t="shared" si="27"/>
        <v>0</v>
      </c>
      <c r="AU9" s="66" t="s">
        <v>3</v>
      </c>
      <c r="AV9" s="38">
        <f t="shared" ref="AV9:BG9" si="80">IF(R25&gt;0,R9/R25,0)</f>
        <v>0</v>
      </c>
      <c r="AW9" s="242">
        <f t="shared" si="80"/>
        <v>0</v>
      </c>
      <c r="AX9" s="242">
        <f t="shared" si="80"/>
        <v>0</v>
      </c>
      <c r="AY9" s="242">
        <f t="shared" si="80"/>
        <v>0</v>
      </c>
      <c r="AZ9" s="36">
        <f t="shared" si="80"/>
        <v>0</v>
      </c>
      <c r="BA9" s="242">
        <f t="shared" si="80"/>
        <v>0</v>
      </c>
      <c r="BB9" s="242">
        <f t="shared" si="80"/>
        <v>0</v>
      </c>
      <c r="BC9" s="243">
        <f t="shared" si="80"/>
        <v>0</v>
      </c>
      <c r="BD9" s="242">
        <f t="shared" si="80"/>
        <v>0</v>
      </c>
      <c r="BE9" s="242">
        <f t="shared" si="80"/>
        <v>0</v>
      </c>
      <c r="BF9" s="242">
        <f t="shared" si="80"/>
        <v>0</v>
      </c>
      <c r="BG9" s="178">
        <f t="shared" si="80"/>
        <v>0</v>
      </c>
      <c r="BH9" s="24" t="e">
        <f>AD9/AD25</f>
        <v>#DIV/0!</v>
      </c>
      <c r="BJ9" s="66" t="s">
        <v>3</v>
      </c>
      <c r="BK9" s="38">
        <f t="shared" ref="BK9:BV9" si="81">IF(AG25&gt;0,AG9/AG25,0)</f>
        <v>0</v>
      </c>
      <c r="BL9" s="242">
        <f t="shared" si="81"/>
        <v>0</v>
      </c>
      <c r="BM9" s="242">
        <f t="shared" si="81"/>
        <v>0</v>
      </c>
      <c r="BN9" s="242">
        <f t="shared" si="81"/>
        <v>0</v>
      </c>
      <c r="BO9" s="36">
        <f t="shared" si="81"/>
        <v>0</v>
      </c>
      <c r="BP9" s="242">
        <f t="shared" si="81"/>
        <v>0</v>
      </c>
      <c r="BQ9" s="242">
        <f t="shared" si="81"/>
        <v>0</v>
      </c>
      <c r="BR9" s="243">
        <f t="shared" si="81"/>
        <v>0</v>
      </c>
      <c r="BS9" s="242">
        <f t="shared" si="81"/>
        <v>0</v>
      </c>
      <c r="BT9" s="242">
        <f t="shared" si="81"/>
        <v>0</v>
      </c>
      <c r="BU9" s="242">
        <f t="shared" si="81"/>
        <v>0</v>
      </c>
      <c r="BV9" s="178">
        <f t="shared" si="81"/>
        <v>0</v>
      </c>
      <c r="BW9" s="24" t="e">
        <f>AS9/AS25</f>
        <v>#DIV/0!</v>
      </c>
      <c r="BX9" s="24"/>
      <c r="BY9" s="66" t="s">
        <v>3</v>
      </c>
      <c r="BZ9" s="54">
        <f t="shared" si="30"/>
        <v>0</v>
      </c>
      <c r="CA9" s="55">
        <f t="shared" si="31"/>
        <v>0</v>
      </c>
      <c r="CB9" s="55">
        <f t="shared" si="32"/>
        <v>0</v>
      </c>
      <c r="CC9" s="55">
        <f t="shared" si="33"/>
        <v>0</v>
      </c>
      <c r="CD9" s="58">
        <f t="shared" si="34"/>
        <v>0</v>
      </c>
      <c r="CE9" s="55">
        <f t="shared" si="35"/>
        <v>0</v>
      </c>
      <c r="CF9" s="55">
        <f t="shared" si="36"/>
        <v>0</v>
      </c>
      <c r="CG9" s="55">
        <f t="shared" si="37"/>
        <v>0</v>
      </c>
      <c r="CH9" s="55">
        <f t="shared" si="38"/>
        <v>0</v>
      </c>
      <c r="CI9" s="55">
        <f t="shared" si="39"/>
        <v>0</v>
      </c>
      <c r="CJ9" s="55">
        <f t="shared" si="40"/>
        <v>0</v>
      </c>
      <c r="CK9" s="249">
        <f t="shared" si="40"/>
        <v>0</v>
      </c>
      <c r="CL9" s="55">
        <f t="shared" si="41"/>
        <v>0</v>
      </c>
      <c r="CN9" s="66" t="s">
        <v>3</v>
      </c>
      <c r="CO9" s="54">
        <f t="shared" si="42"/>
        <v>0</v>
      </c>
      <c r="CP9" s="55">
        <f t="shared" si="13"/>
        <v>0</v>
      </c>
      <c r="CQ9" s="55">
        <f t="shared" si="14"/>
        <v>0</v>
      </c>
      <c r="CR9" s="55">
        <f t="shared" si="15"/>
        <v>0</v>
      </c>
      <c r="CS9" s="58">
        <f t="shared" si="16"/>
        <v>0</v>
      </c>
      <c r="CT9" s="55">
        <f t="shared" si="17"/>
        <v>0</v>
      </c>
      <c r="CU9" s="55">
        <f t="shared" si="43"/>
        <v>0</v>
      </c>
      <c r="CV9" s="55">
        <f t="shared" si="44"/>
        <v>0</v>
      </c>
      <c r="CW9" s="55">
        <f t="shared" si="45"/>
        <v>0</v>
      </c>
      <c r="CX9" s="55">
        <f t="shared" si="46"/>
        <v>0</v>
      </c>
      <c r="CY9" s="55">
        <f t="shared" si="47"/>
        <v>0</v>
      </c>
      <c r="CZ9" s="249">
        <f t="shared" si="47"/>
        <v>0</v>
      </c>
      <c r="DA9" s="62" t="e">
        <f t="shared" si="48"/>
        <v>#DIV/0!</v>
      </c>
      <c r="DC9" s="66" t="s">
        <v>3</v>
      </c>
      <c r="DD9" s="198">
        <f t="shared" si="49"/>
        <v>0</v>
      </c>
      <c r="DE9" s="199">
        <f t="shared" si="50"/>
        <v>0</v>
      </c>
      <c r="DF9" s="198">
        <f t="shared" si="51"/>
        <v>0</v>
      </c>
      <c r="DG9" s="199">
        <f t="shared" si="52"/>
        <v>0</v>
      </c>
      <c r="DH9" s="198">
        <f t="shared" si="53"/>
        <v>0</v>
      </c>
      <c r="DI9" s="199">
        <f t="shared" si="54"/>
        <v>0</v>
      </c>
      <c r="DJ9" s="198">
        <f t="shared" si="55"/>
        <v>0</v>
      </c>
      <c r="DK9" s="199">
        <f t="shared" si="56"/>
        <v>0</v>
      </c>
      <c r="DL9" s="193">
        <f t="shared" si="57"/>
        <v>0</v>
      </c>
      <c r="DM9" s="194">
        <f t="shared" si="58"/>
        <v>0</v>
      </c>
      <c r="DN9" s="198">
        <f t="shared" si="59"/>
        <v>0</v>
      </c>
      <c r="DO9" s="199">
        <f t="shared" si="60"/>
        <v>0</v>
      </c>
      <c r="DP9" s="198">
        <f t="shared" si="61"/>
        <v>0</v>
      </c>
      <c r="DQ9" s="199">
        <f t="shared" si="62"/>
        <v>0</v>
      </c>
      <c r="DR9" s="198">
        <f t="shared" si="63"/>
        <v>0</v>
      </c>
      <c r="DS9" s="199">
        <f t="shared" si="64"/>
        <v>0</v>
      </c>
      <c r="DT9" s="198">
        <f t="shared" si="65"/>
        <v>0</v>
      </c>
      <c r="DU9" s="199">
        <f t="shared" si="66"/>
        <v>0</v>
      </c>
      <c r="DV9" s="198">
        <f t="shared" si="67"/>
        <v>0</v>
      </c>
      <c r="DW9" s="199">
        <f t="shared" si="68"/>
        <v>0</v>
      </c>
      <c r="DX9" s="198">
        <f t="shared" si="69"/>
        <v>0</v>
      </c>
      <c r="DY9" s="199">
        <f t="shared" si="70"/>
        <v>0</v>
      </c>
      <c r="DZ9" s="190">
        <f t="shared" si="71"/>
        <v>0</v>
      </c>
      <c r="EA9" s="199">
        <f t="shared" si="19"/>
        <v>0</v>
      </c>
      <c r="EB9" s="190" t="e">
        <f t="shared" si="72"/>
        <v>#DIV/0!</v>
      </c>
      <c r="EC9" s="190" t="e">
        <f t="shared" si="73"/>
        <v>#DIV/0!</v>
      </c>
    </row>
    <row r="10" spans="1:133" x14ac:dyDescent="0.2">
      <c r="A10" s="66" t="s">
        <v>5</v>
      </c>
      <c r="B10" s="38">
        <f>targets!AW11</f>
        <v>0</v>
      </c>
      <c r="C10" s="242">
        <f>targets!AX11</f>
        <v>0</v>
      </c>
      <c r="D10" s="242">
        <f>targets!AY11</f>
        <v>0</v>
      </c>
      <c r="E10" s="242">
        <f>targets!AZ11</f>
        <v>0</v>
      </c>
      <c r="F10" s="242">
        <f>targets!BA11</f>
        <v>0</v>
      </c>
      <c r="G10" s="39">
        <f>SUM(targets!BB11:BG11)</f>
        <v>266148.71522310114</v>
      </c>
      <c r="H10" s="242">
        <f>SUM(targets!BH11:BM11)</f>
        <v>0</v>
      </c>
      <c r="I10" s="243">
        <f t="shared" si="20"/>
        <v>266148.71522310114</v>
      </c>
      <c r="J10" s="242">
        <f>targets!BN11</f>
        <v>0</v>
      </c>
      <c r="K10" s="242">
        <f>targets!BO11</f>
        <v>0</v>
      </c>
      <c r="L10" s="242">
        <f>targets!BP11</f>
        <v>0</v>
      </c>
      <c r="M10" s="178">
        <f t="shared" si="21"/>
        <v>0</v>
      </c>
      <c r="N10" s="17">
        <f t="shared" si="22"/>
        <v>266148.71522310114</v>
      </c>
      <c r="O10" s="17"/>
      <c r="P10" s="17"/>
      <c r="Q10" s="66" t="s">
        <v>5</v>
      </c>
      <c r="R10" s="38">
        <f t="shared" si="23"/>
        <v>0</v>
      </c>
      <c r="S10" s="242">
        <f t="shared" si="0"/>
        <v>0</v>
      </c>
      <c r="T10" s="242">
        <f t="shared" si="1"/>
        <v>0</v>
      </c>
      <c r="U10" s="242">
        <f t="shared" si="2"/>
        <v>0</v>
      </c>
      <c r="V10" s="242">
        <f t="shared" si="3"/>
        <v>0</v>
      </c>
      <c r="W10" s="39">
        <f t="shared" si="4"/>
        <v>0</v>
      </c>
      <c r="X10" s="242">
        <f t="shared" si="5"/>
        <v>0</v>
      </c>
      <c r="Y10" s="243">
        <f t="shared" si="24"/>
        <v>0</v>
      </c>
      <c r="Z10" s="242">
        <f t="shared" si="6"/>
        <v>0</v>
      </c>
      <c r="AA10" s="242">
        <f t="shared" si="7"/>
        <v>0</v>
      </c>
      <c r="AB10" s="242">
        <f t="shared" si="8"/>
        <v>0</v>
      </c>
      <c r="AC10" s="178">
        <f t="shared" si="74"/>
        <v>0</v>
      </c>
      <c r="AD10" s="17">
        <f t="shared" si="25"/>
        <v>0</v>
      </c>
      <c r="AF10" s="66" t="s">
        <v>5</v>
      </c>
      <c r="AG10" s="38">
        <f t="array" ref="AG10">SUM(IF((modeldata!$F:$F=calibration!$AF$2)*(modeldata!$G:$G=calibration!AG$4)*(modeldata!$H:$H=calibration!$AF10),modeldata!$E:$E,0))</f>
        <v>0</v>
      </c>
      <c r="AH10" s="242">
        <f t="array" ref="AH10">SUM(IF((modeldata!$F:$F=calibration!$AF$2)*(modeldata!$G:$G=calibration!AH$4)*(modeldata!$H:$H=calibration!$AF10),modeldata!$E:$E,0))</f>
        <v>0</v>
      </c>
      <c r="AI10" s="242">
        <f t="array" ref="AI10">SUM(IF((modeldata!$F:$F=calibration!$AF$2)*(modeldata!$G:$G=calibration!AI$4)*(modeldata!$H:$H=calibration!$AF10),modeldata!$E:$E,0))</f>
        <v>0</v>
      </c>
      <c r="AJ10" s="242">
        <f t="array" ref="AJ10">SUM(IF((modeldata!$F:$F=calibration!$AF$2)*(modeldata!$G:$G=calibration!AJ$4)*(modeldata!$H:$H=calibration!$AF10),modeldata!$E:$E,0))</f>
        <v>0</v>
      </c>
      <c r="AK10" s="242">
        <f t="array" ref="AK10">SUM(IF((modeldata!$F:$F=calibration!$AF$2)*(modeldata!$G:$G=calibration!AK$4)*(modeldata!$H:$H=calibration!$AF10),modeldata!$E:$E,0))</f>
        <v>0</v>
      </c>
      <c r="AL10" s="39">
        <f t="array" ref="AL10">SUM(IF((modeldata!$F:$F=calibration!$AF$2)*(modeldata!$G:$G=calibration!AL$4)*(modeldata!$H:$H=calibration!$AF10),modeldata!$E:$E,0))</f>
        <v>0</v>
      </c>
      <c r="AM10" s="242">
        <f t="array" ref="AM10">SUM(IF((modeldata!$F:$F=calibration!$AF$2)*(modeldata!$G:$G=calibration!AM$4)*(modeldata!$H:$H=calibration!$AF10),modeldata!$E:$E,0))</f>
        <v>0</v>
      </c>
      <c r="AN10" s="243">
        <f>AL10+AM10+AL16+AM16</f>
        <v>0</v>
      </c>
      <c r="AO10" s="242">
        <f t="array" ref="AO10">SUM(IF((modeldata!$F:$F=calibration!$AF$2)*(modeldata!$G:$G=calibration!AO$4)*(modeldata!$H:$H=calibration!$AF10),modeldata!$E:$E,0))</f>
        <v>0</v>
      </c>
      <c r="AP10" s="242">
        <f t="array" ref="AP10">SUM(IF((modeldata!$F:$F=calibration!$AF$2)*(modeldata!$G:$G=calibration!AP$4)*(modeldata!$H:$H=calibration!$AF10),modeldata!$E:$E,0))</f>
        <v>0</v>
      </c>
      <c r="AQ10" s="242">
        <f t="array" ref="AQ10">SUM(IF((modeldata!$F:$F=calibration!$AF$2)*(modeldata!$G:$G=calibration!AQ$4)*(modeldata!$H:$H=calibration!$AF10),modeldata!$E:$E,0))</f>
        <v>0</v>
      </c>
      <c r="AR10" s="178">
        <f t="shared" si="75"/>
        <v>0</v>
      </c>
      <c r="AS10" s="17">
        <f t="shared" si="27"/>
        <v>0</v>
      </c>
      <c r="AU10" s="66" t="s">
        <v>5</v>
      </c>
      <c r="AV10" s="38">
        <f t="shared" ref="AV10:BG10" si="82">IF(R25&gt;0,R10/R25,0)</f>
        <v>0</v>
      </c>
      <c r="AW10" s="242">
        <f t="shared" si="82"/>
        <v>0</v>
      </c>
      <c r="AX10" s="242">
        <f t="shared" si="82"/>
        <v>0</v>
      </c>
      <c r="AY10" s="242">
        <f t="shared" si="82"/>
        <v>0</v>
      </c>
      <c r="AZ10" s="242">
        <f t="shared" si="82"/>
        <v>0</v>
      </c>
      <c r="BA10" s="39">
        <f t="shared" si="82"/>
        <v>0</v>
      </c>
      <c r="BB10" s="242">
        <f t="shared" si="82"/>
        <v>0</v>
      </c>
      <c r="BC10" s="243">
        <f t="shared" si="82"/>
        <v>0</v>
      </c>
      <c r="BD10" s="242">
        <f t="shared" si="82"/>
        <v>0</v>
      </c>
      <c r="BE10" s="242">
        <f t="shared" si="82"/>
        <v>0</v>
      </c>
      <c r="BF10" s="242">
        <f t="shared" si="82"/>
        <v>0</v>
      </c>
      <c r="BG10" s="178">
        <f t="shared" si="82"/>
        <v>0</v>
      </c>
      <c r="BH10" s="24" t="e">
        <f>AD10/AD25</f>
        <v>#DIV/0!</v>
      </c>
      <c r="BJ10" s="66" t="s">
        <v>5</v>
      </c>
      <c r="BK10" s="38">
        <f t="shared" ref="BK10:BV10" si="83">IF(AG25&gt;0,AG10/AG25,0)</f>
        <v>0</v>
      </c>
      <c r="BL10" s="242">
        <f t="shared" si="83"/>
        <v>0</v>
      </c>
      <c r="BM10" s="242">
        <f t="shared" si="83"/>
        <v>0</v>
      </c>
      <c r="BN10" s="242">
        <f t="shared" si="83"/>
        <v>0</v>
      </c>
      <c r="BO10" s="242">
        <f t="shared" si="83"/>
        <v>0</v>
      </c>
      <c r="BP10" s="39">
        <f t="shared" si="83"/>
        <v>0</v>
      </c>
      <c r="BQ10" s="242">
        <f t="shared" si="83"/>
        <v>0</v>
      </c>
      <c r="BR10" s="243">
        <f t="shared" si="83"/>
        <v>0</v>
      </c>
      <c r="BS10" s="242">
        <f t="shared" si="83"/>
        <v>0</v>
      </c>
      <c r="BT10" s="242">
        <f t="shared" si="83"/>
        <v>0</v>
      </c>
      <c r="BU10" s="242">
        <f t="shared" si="83"/>
        <v>0</v>
      </c>
      <c r="BV10" s="178">
        <f t="shared" si="83"/>
        <v>0</v>
      </c>
      <c r="BW10" s="24" t="e">
        <f>AS10/AS25</f>
        <v>#DIV/0!</v>
      </c>
      <c r="BX10" s="24"/>
      <c r="BY10" s="66" t="s">
        <v>5</v>
      </c>
      <c r="BZ10" s="54">
        <f t="shared" si="30"/>
        <v>0</v>
      </c>
      <c r="CA10" s="55">
        <f t="shared" si="31"/>
        <v>0</v>
      </c>
      <c r="CB10" s="55">
        <f t="shared" si="32"/>
        <v>0</v>
      </c>
      <c r="CC10" s="55">
        <f t="shared" si="33"/>
        <v>0</v>
      </c>
      <c r="CD10" s="55">
        <f t="shared" si="34"/>
        <v>0</v>
      </c>
      <c r="CE10" s="59">
        <f t="shared" si="35"/>
        <v>0</v>
      </c>
      <c r="CF10" s="55">
        <f t="shared" si="36"/>
        <v>0</v>
      </c>
      <c r="CG10" s="55">
        <f t="shared" si="37"/>
        <v>0</v>
      </c>
      <c r="CH10" s="55">
        <f t="shared" si="38"/>
        <v>0</v>
      </c>
      <c r="CI10" s="55">
        <f t="shared" si="39"/>
        <v>0</v>
      </c>
      <c r="CJ10" s="55">
        <f t="shared" si="40"/>
        <v>0</v>
      </c>
      <c r="CK10" s="249">
        <f t="shared" si="40"/>
        <v>0</v>
      </c>
      <c r="CL10" s="55">
        <f t="shared" si="41"/>
        <v>0</v>
      </c>
      <c r="CN10" s="66" t="s">
        <v>5</v>
      </c>
      <c r="CO10" s="54">
        <f t="shared" si="42"/>
        <v>0</v>
      </c>
      <c r="CP10" s="55">
        <f t="shared" si="13"/>
        <v>0</v>
      </c>
      <c r="CQ10" s="55">
        <f t="shared" si="14"/>
        <v>0</v>
      </c>
      <c r="CR10" s="55">
        <f t="shared" si="15"/>
        <v>0</v>
      </c>
      <c r="CS10" s="55">
        <f t="shared" si="16"/>
        <v>0</v>
      </c>
      <c r="CT10" s="59">
        <f t="shared" si="17"/>
        <v>0</v>
      </c>
      <c r="CU10" s="55">
        <f t="shared" si="43"/>
        <v>0</v>
      </c>
      <c r="CV10" s="55">
        <f t="shared" si="44"/>
        <v>0</v>
      </c>
      <c r="CW10" s="55">
        <f t="shared" si="45"/>
        <v>0</v>
      </c>
      <c r="CX10" s="55">
        <f t="shared" si="46"/>
        <v>0</v>
      </c>
      <c r="CY10" s="55">
        <f t="shared" si="47"/>
        <v>0</v>
      </c>
      <c r="CZ10" s="249">
        <f t="shared" si="47"/>
        <v>0</v>
      </c>
      <c r="DA10" s="62" t="e">
        <f t="shared" si="48"/>
        <v>#DIV/0!</v>
      </c>
      <c r="DC10" s="66" t="s">
        <v>5</v>
      </c>
      <c r="DD10" s="198">
        <f t="shared" si="49"/>
        <v>0</v>
      </c>
      <c r="DE10" s="199">
        <f t="shared" si="50"/>
        <v>0</v>
      </c>
      <c r="DF10" s="198">
        <f t="shared" si="51"/>
        <v>0</v>
      </c>
      <c r="DG10" s="199">
        <f t="shared" si="52"/>
        <v>0</v>
      </c>
      <c r="DH10" s="198">
        <f t="shared" si="53"/>
        <v>0</v>
      </c>
      <c r="DI10" s="199">
        <f t="shared" si="54"/>
        <v>0</v>
      </c>
      <c r="DJ10" s="198">
        <f t="shared" si="55"/>
        <v>0</v>
      </c>
      <c r="DK10" s="199">
        <f t="shared" si="56"/>
        <v>0</v>
      </c>
      <c r="DL10" s="198">
        <f t="shared" si="57"/>
        <v>0</v>
      </c>
      <c r="DM10" s="199">
        <f t="shared" si="58"/>
        <v>0</v>
      </c>
      <c r="DN10" s="195">
        <f t="shared" si="59"/>
        <v>0</v>
      </c>
      <c r="DO10" s="196">
        <f t="shared" si="60"/>
        <v>0</v>
      </c>
      <c r="DP10" s="198">
        <f t="shared" si="61"/>
        <v>0</v>
      </c>
      <c r="DQ10" s="199">
        <f t="shared" si="62"/>
        <v>0</v>
      </c>
      <c r="DR10" s="198">
        <f t="shared" si="63"/>
        <v>0</v>
      </c>
      <c r="DS10" s="199">
        <f t="shared" si="64"/>
        <v>0</v>
      </c>
      <c r="DT10" s="198">
        <f t="shared" si="65"/>
        <v>0</v>
      </c>
      <c r="DU10" s="199">
        <f t="shared" si="66"/>
        <v>0</v>
      </c>
      <c r="DV10" s="198">
        <f t="shared" si="67"/>
        <v>0</v>
      </c>
      <c r="DW10" s="199">
        <f t="shared" si="68"/>
        <v>0</v>
      </c>
      <c r="DX10" s="198">
        <f t="shared" si="69"/>
        <v>0</v>
      </c>
      <c r="DY10" s="199">
        <f t="shared" si="70"/>
        <v>0</v>
      </c>
      <c r="DZ10" s="190">
        <f t="shared" si="71"/>
        <v>0</v>
      </c>
      <c r="EA10" s="199">
        <f t="shared" si="19"/>
        <v>0</v>
      </c>
      <c r="EB10" s="190" t="e">
        <f t="shared" si="72"/>
        <v>#DIV/0!</v>
      </c>
      <c r="EC10" s="190" t="e">
        <f t="shared" si="73"/>
        <v>#DIV/0!</v>
      </c>
    </row>
    <row r="11" spans="1:133" ht="25.5" x14ac:dyDescent="0.2">
      <c r="A11" s="66" t="s">
        <v>344</v>
      </c>
      <c r="B11" s="38">
        <f>targets!AW12</f>
        <v>0</v>
      </c>
      <c r="C11" s="242">
        <f>targets!AX12</f>
        <v>0</v>
      </c>
      <c r="D11" s="242">
        <f>targets!AY12</f>
        <v>0</v>
      </c>
      <c r="E11" s="242">
        <f>targets!AZ12</f>
        <v>0</v>
      </c>
      <c r="F11" s="242">
        <f>targets!BA12</f>
        <v>0</v>
      </c>
      <c r="G11" s="40">
        <f>SUM(targets!BB12:BG12)</f>
        <v>69896.829583113489</v>
      </c>
      <c r="H11" s="242">
        <f>SUM(targets!BH12:BM12)</f>
        <v>0</v>
      </c>
      <c r="I11" s="243">
        <f t="shared" si="20"/>
        <v>69896.829583113489</v>
      </c>
      <c r="J11" s="242">
        <f>targets!BN12</f>
        <v>0</v>
      </c>
      <c r="K11" s="242">
        <f>targets!BO12</f>
        <v>0</v>
      </c>
      <c r="L11" s="242">
        <f>targets!BP12</f>
        <v>0</v>
      </c>
      <c r="M11" s="178">
        <f t="shared" si="21"/>
        <v>0</v>
      </c>
      <c r="N11" s="17">
        <f t="shared" si="22"/>
        <v>69896.829583113489</v>
      </c>
      <c r="O11" s="17"/>
      <c r="P11" s="17"/>
      <c r="Q11" s="66" t="s">
        <v>344</v>
      </c>
      <c r="R11" s="38">
        <f t="shared" si="23"/>
        <v>0</v>
      </c>
      <c r="S11" s="242">
        <f t="shared" si="0"/>
        <v>0</v>
      </c>
      <c r="T11" s="242">
        <f t="shared" si="1"/>
        <v>0</v>
      </c>
      <c r="U11" s="242">
        <f t="shared" si="2"/>
        <v>0</v>
      </c>
      <c r="V11" s="242">
        <f t="shared" si="3"/>
        <v>0</v>
      </c>
      <c r="W11" s="40">
        <f t="shared" si="4"/>
        <v>0</v>
      </c>
      <c r="X11" s="242">
        <f t="shared" si="5"/>
        <v>0</v>
      </c>
      <c r="Y11" s="243">
        <f t="shared" si="24"/>
        <v>0</v>
      </c>
      <c r="Z11" s="242">
        <f t="shared" si="6"/>
        <v>0</v>
      </c>
      <c r="AA11" s="242">
        <f t="shared" si="7"/>
        <v>0</v>
      </c>
      <c r="AB11" s="242">
        <f t="shared" si="8"/>
        <v>0</v>
      </c>
      <c r="AC11" s="178">
        <f t="shared" si="74"/>
        <v>0</v>
      </c>
      <c r="AD11" s="17">
        <f t="shared" si="25"/>
        <v>0</v>
      </c>
      <c r="AF11" s="66" t="s">
        <v>344</v>
      </c>
      <c r="AG11" s="38">
        <f t="array" ref="AG11">SUM(IF((modeldata!$F:$F=calibration!$AF$2)*(modeldata!$G:$G=calibration!AG$4)*(modeldata!$H:$H=calibration!$AF11),modeldata!$E:$E,0))</f>
        <v>0</v>
      </c>
      <c r="AH11" s="242">
        <f t="array" ref="AH11">SUM(IF((modeldata!$F:$F=calibration!$AF$2)*(modeldata!$G:$G=calibration!AH$4)*(modeldata!$H:$H=calibration!$AF11),modeldata!$E:$E,0))</f>
        <v>0</v>
      </c>
      <c r="AI11" s="242">
        <f t="array" ref="AI11">SUM(IF((modeldata!$F:$F=calibration!$AF$2)*(modeldata!$G:$G=calibration!AI$4)*(modeldata!$H:$H=calibration!$AF11),modeldata!$E:$E,0))</f>
        <v>0</v>
      </c>
      <c r="AJ11" s="242">
        <f t="array" ref="AJ11">SUM(IF((modeldata!$F:$F=calibration!$AF$2)*(modeldata!$G:$G=calibration!AJ$4)*(modeldata!$H:$H=calibration!$AF11),modeldata!$E:$E,0))</f>
        <v>0</v>
      </c>
      <c r="AK11" s="242">
        <f t="array" ref="AK11">SUM(IF((modeldata!$F:$F=calibration!$AF$2)*(modeldata!$G:$G=calibration!AK$4)*(modeldata!$H:$H=calibration!$AF11),modeldata!$E:$E,0))</f>
        <v>0</v>
      </c>
      <c r="AL11" s="40">
        <f t="array" ref="AL11">SUM(IF((modeldata!$F:$F=calibration!$AF$2)*(modeldata!$G:$G=calibration!AL$4)*(modeldata!$H:$H=calibration!$AF11),modeldata!$E:$E,0))</f>
        <v>0</v>
      </c>
      <c r="AM11" s="242">
        <f t="array" ref="AM11">SUM(IF((modeldata!$F:$F=calibration!$AF$2)*(modeldata!$G:$G=calibration!AM$4)*(modeldata!$H:$H=calibration!$AF11),modeldata!$E:$E,0))</f>
        <v>0</v>
      </c>
      <c r="AN11" s="243">
        <f>AL11+AM11+AL17+AM17</f>
        <v>0</v>
      </c>
      <c r="AO11" s="242">
        <f t="array" ref="AO11">SUM(IF((modeldata!$F:$F=calibration!$AF$2)*(modeldata!$G:$G=calibration!AO$4)*(modeldata!$H:$H=calibration!$AF11),modeldata!$E:$E,0))</f>
        <v>0</v>
      </c>
      <c r="AP11" s="242">
        <f t="array" ref="AP11">SUM(IF((modeldata!$F:$F=calibration!$AF$2)*(modeldata!$G:$G=calibration!AP$4)*(modeldata!$H:$H=calibration!$AF11),modeldata!$E:$E,0))</f>
        <v>0</v>
      </c>
      <c r="AQ11" s="242">
        <f t="array" ref="AQ11">SUM(IF((modeldata!$F:$F=calibration!$AF$2)*(modeldata!$G:$G=calibration!AQ$4)*(modeldata!$H:$H=calibration!$AF11),modeldata!$E:$E,0))</f>
        <v>0</v>
      </c>
      <c r="AR11" s="178">
        <f t="shared" si="75"/>
        <v>0</v>
      </c>
      <c r="AS11" s="17">
        <f t="shared" si="27"/>
        <v>0</v>
      </c>
      <c r="AU11" s="66" t="s">
        <v>344</v>
      </c>
      <c r="AV11" s="38">
        <f t="shared" ref="AV11:BG11" si="84">IF(R25&gt;0,R11/R25,0)</f>
        <v>0</v>
      </c>
      <c r="AW11" s="242">
        <f t="shared" si="84"/>
        <v>0</v>
      </c>
      <c r="AX11" s="242">
        <f t="shared" si="84"/>
        <v>0</v>
      </c>
      <c r="AY11" s="242">
        <f t="shared" si="84"/>
        <v>0</v>
      </c>
      <c r="AZ11" s="242">
        <f t="shared" si="84"/>
        <v>0</v>
      </c>
      <c r="BA11" s="40">
        <f t="shared" si="84"/>
        <v>0</v>
      </c>
      <c r="BB11" s="242">
        <f t="shared" si="84"/>
        <v>0</v>
      </c>
      <c r="BC11" s="243">
        <f t="shared" si="84"/>
        <v>0</v>
      </c>
      <c r="BD11" s="242">
        <f t="shared" si="84"/>
        <v>0</v>
      </c>
      <c r="BE11" s="242">
        <f t="shared" si="84"/>
        <v>0</v>
      </c>
      <c r="BF11" s="242">
        <f t="shared" si="84"/>
        <v>0</v>
      </c>
      <c r="BG11" s="178">
        <f t="shared" si="84"/>
        <v>0</v>
      </c>
      <c r="BH11" s="24" t="e">
        <f>AD11/AD25</f>
        <v>#DIV/0!</v>
      </c>
      <c r="BJ11" s="66" t="s">
        <v>344</v>
      </c>
      <c r="BK11" s="38">
        <f t="shared" ref="BK11:BV11" si="85">IF(AG25&gt;0,AG11/AG25,0)</f>
        <v>0</v>
      </c>
      <c r="BL11" s="242">
        <f t="shared" si="85"/>
        <v>0</v>
      </c>
      <c r="BM11" s="242">
        <f t="shared" si="85"/>
        <v>0</v>
      </c>
      <c r="BN11" s="242">
        <f t="shared" si="85"/>
        <v>0</v>
      </c>
      <c r="BO11" s="242">
        <f t="shared" si="85"/>
        <v>0</v>
      </c>
      <c r="BP11" s="40">
        <f t="shared" si="85"/>
        <v>0</v>
      </c>
      <c r="BQ11" s="242">
        <f t="shared" si="85"/>
        <v>0</v>
      </c>
      <c r="BR11" s="243">
        <f t="shared" si="85"/>
        <v>0</v>
      </c>
      <c r="BS11" s="242">
        <f t="shared" si="85"/>
        <v>0</v>
      </c>
      <c r="BT11" s="242">
        <f t="shared" si="85"/>
        <v>0</v>
      </c>
      <c r="BU11" s="242">
        <f t="shared" si="85"/>
        <v>0</v>
      </c>
      <c r="BV11" s="178">
        <f t="shared" si="85"/>
        <v>0</v>
      </c>
      <c r="BW11" s="24" t="e">
        <f>AS11/AS25</f>
        <v>#DIV/0!</v>
      </c>
      <c r="BX11" s="24"/>
      <c r="BY11" s="66" t="s">
        <v>344</v>
      </c>
      <c r="BZ11" s="54">
        <f t="shared" si="30"/>
        <v>0</v>
      </c>
      <c r="CA11" s="55">
        <f t="shared" si="31"/>
        <v>0</v>
      </c>
      <c r="CB11" s="55">
        <f t="shared" si="32"/>
        <v>0</v>
      </c>
      <c r="CC11" s="55">
        <f t="shared" si="33"/>
        <v>0</v>
      </c>
      <c r="CD11" s="55">
        <f t="shared" si="34"/>
        <v>0</v>
      </c>
      <c r="CE11" s="60">
        <f t="shared" si="35"/>
        <v>0</v>
      </c>
      <c r="CF11" s="55">
        <f t="shared" si="36"/>
        <v>0</v>
      </c>
      <c r="CG11" s="55">
        <f t="shared" si="37"/>
        <v>0</v>
      </c>
      <c r="CH11" s="55">
        <f t="shared" si="38"/>
        <v>0</v>
      </c>
      <c r="CI11" s="55">
        <f t="shared" si="39"/>
        <v>0</v>
      </c>
      <c r="CJ11" s="55">
        <f t="shared" si="40"/>
        <v>0</v>
      </c>
      <c r="CK11" s="249">
        <f t="shared" si="40"/>
        <v>0</v>
      </c>
      <c r="CL11" s="55">
        <f t="shared" si="41"/>
        <v>0</v>
      </c>
      <c r="CN11" s="66" t="s">
        <v>344</v>
      </c>
      <c r="CO11" s="54">
        <f t="shared" si="42"/>
        <v>0</v>
      </c>
      <c r="CP11" s="55">
        <f t="shared" si="13"/>
        <v>0</v>
      </c>
      <c r="CQ11" s="55">
        <f t="shared" si="14"/>
        <v>0</v>
      </c>
      <c r="CR11" s="55">
        <f t="shared" si="15"/>
        <v>0</v>
      </c>
      <c r="CS11" s="55">
        <f t="shared" si="16"/>
        <v>0</v>
      </c>
      <c r="CT11" s="60">
        <f t="shared" si="17"/>
        <v>0</v>
      </c>
      <c r="CU11" s="55">
        <f t="shared" si="43"/>
        <v>0</v>
      </c>
      <c r="CV11" s="55">
        <f t="shared" si="44"/>
        <v>0</v>
      </c>
      <c r="CW11" s="55">
        <f t="shared" si="45"/>
        <v>0</v>
      </c>
      <c r="CX11" s="55">
        <f t="shared" si="46"/>
        <v>0</v>
      </c>
      <c r="CY11" s="55">
        <f t="shared" si="47"/>
        <v>0</v>
      </c>
      <c r="CZ11" s="249">
        <f t="shared" si="47"/>
        <v>0</v>
      </c>
      <c r="DA11" s="62" t="e">
        <f t="shared" si="48"/>
        <v>#DIV/0!</v>
      </c>
      <c r="DC11" s="66" t="s">
        <v>344</v>
      </c>
      <c r="DD11" s="198">
        <f t="shared" si="49"/>
        <v>0</v>
      </c>
      <c r="DE11" s="199">
        <f t="shared" si="50"/>
        <v>0</v>
      </c>
      <c r="DF11" s="198">
        <f t="shared" si="51"/>
        <v>0</v>
      </c>
      <c r="DG11" s="199">
        <f t="shared" si="52"/>
        <v>0</v>
      </c>
      <c r="DH11" s="198">
        <f t="shared" si="53"/>
        <v>0</v>
      </c>
      <c r="DI11" s="199">
        <f t="shared" si="54"/>
        <v>0</v>
      </c>
      <c r="DJ11" s="198">
        <f t="shared" si="55"/>
        <v>0</v>
      </c>
      <c r="DK11" s="199">
        <f t="shared" si="56"/>
        <v>0</v>
      </c>
      <c r="DL11" s="198">
        <f t="shared" si="57"/>
        <v>0</v>
      </c>
      <c r="DM11" s="199">
        <f t="shared" si="58"/>
        <v>0</v>
      </c>
      <c r="DN11" s="198">
        <f t="shared" si="59"/>
        <v>0</v>
      </c>
      <c r="DO11" s="199">
        <f t="shared" si="60"/>
        <v>0</v>
      </c>
      <c r="DP11" s="198">
        <f t="shared" si="61"/>
        <v>0</v>
      </c>
      <c r="DQ11" s="199">
        <f t="shared" si="62"/>
        <v>0</v>
      </c>
      <c r="DR11" s="198">
        <f t="shared" si="63"/>
        <v>0</v>
      </c>
      <c r="DS11" s="199">
        <f t="shared" si="64"/>
        <v>0</v>
      </c>
      <c r="DT11" s="198">
        <f t="shared" si="65"/>
        <v>0</v>
      </c>
      <c r="DU11" s="199">
        <f t="shared" si="66"/>
        <v>0</v>
      </c>
      <c r="DV11" s="198">
        <f t="shared" si="67"/>
        <v>0</v>
      </c>
      <c r="DW11" s="199">
        <f t="shared" si="68"/>
        <v>0</v>
      </c>
      <c r="DX11" s="198">
        <f t="shared" si="69"/>
        <v>0</v>
      </c>
      <c r="DY11" s="199">
        <f t="shared" si="70"/>
        <v>0</v>
      </c>
      <c r="DZ11" s="190">
        <f t="shared" si="71"/>
        <v>0</v>
      </c>
      <c r="EA11" s="199">
        <f t="shared" si="19"/>
        <v>0</v>
      </c>
      <c r="EB11" s="190" t="e">
        <f t="shared" si="72"/>
        <v>#DIV/0!</v>
      </c>
      <c r="EC11" s="190" t="e">
        <f t="shared" si="73"/>
        <v>#DIV/0!</v>
      </c>
    </row>
    <row r="12" spans="1:133" x14ac:dyDescent="0.2">
      <c r="A12" s="2" t="s">
        <v>346</v>
      </c>
      <c r="B12" s="38">
        <f>targets!AW13</f>
        <v>0</v>
      </c>
      <c r="C12" s="242">
        <f>targets!AX13</f>
        <v>0</v>
      </c>
      <c r="D12" s="242">
        <f>targets!AY13</f>
        <v>0</v>
      </c>
      <c r="E12" s="242">
        <f>targets!AZ13</f>
        <v>0</v>
      </c>
      <c r="F12" s="242">
        <f>targets!BA13</f>
        <v>0</v>
      </c>
      <c r="G12" s="40">
        <f>SUM(targets!BB13:BG13)</f>
        <v>19698.651458525277</v>
      </c>
      <c r="H12" s="242">
        <f>SUM(targets!BH13:BM13)</f>
        <v>0</v>
      </c>
      <c r="I12" s="243">
        <f>SUM(G12:H12)</f>
        <v>19698.651458525277</v>
      </c>
      <c r="J12" s="242">
        <f>targets!BN13</f>
        <v>0</v>
      </c>
      <c r="K12" s="242">
        <f>targets!BO13</f>
        <v>0</v>
      </c>
      <c r="L12" s="242">
        <f>targets!BP13</f>
        <v>0</v>
      </c>
      <c r="M12" s="178">
        <f>SUM(J12:L12)</f>
        <v>0</v>
      </c>
      <c r="N12" s="17">
        <f>SUM(B12:L12)-I12</f>
        <v>19698.651458525277</v>
      </c>
      <c r="O12" s="17"/>
      <c r="P12" s="17"/>
      <c r="Q12" s="2" t="s">
        <v>346</v>
      </c>
      <c r="R12" s="38">
        <f t="shared" si="23"/>
        <v>0</v>
      </c>
      <c r="S12" s="242">
        <f t="shared" si="0"/>
        <v>0</v>
      </c>
      <c r="T12" s="242">
        <f t="shared" si="1"/>
        <v>0</v>
      </c>
      <c r="U12" s="242">
        <f t="shared" si="2"/>
        <v>0</v>
      </c>
      <c r="V12" s="242">
        <f t="shared" si="3"/>
        <v>0</v>
      </c>
      <c r="W12" s="40">
        <f t="shared" si="4"/>
        <v>0</v>
      </c>
      <c r="X12" s="242">
        <f t="shared" si="5"/>
        <v>0</v>
      </c>
      <c r="Y12" s="243">
        <f>SUM(W12:X12)</f>
        <v>0</v>
      </c>
      <c r="Z12" s="242">
        <f t="shared" si="6"/>
        <v>0</v>
      </c>
      <c r="AA12" s="242">
        <f t="shared" si="7"/>
        <v>0</v>
      </c>
      <c r="AB12" s="242">
        <f t="shared" si="8"/>
        <v>0</v>
      </c>
      <c r="AC12" s="178">
        <f>SUM(Z12:AB12)</f>
        <v>0</v>
      </c>
      <c r="AD12" s="17">
        <f>SUM(R12:AB12)-Y12</f>
        <v>0</v>
      </c>
      <c r="AF12" s="2" t="s">
        <v>346</v>
      </c>
      <c r="AG12" s="38">
        <f t="array" ref="AG12">SUM(IF((modeldata!$F:$F=calibration!$AF$2)*(modeldata!$G:$G=calibration!AG$4)*(modeldata!$H:$H=calibration!$AF12),modeldata!$E:$E,0))</f>
        <v>0</v>
      </c>
      <c r="AH12" s="242">
        <f t="array" ref="AH12">SUM(IF((modeldata!$F:$F=calibration!$AF$2)*(modeldata!$G:$G=calibration!AH$4)*(modeldata!$H:$H=calibration!$AF12),modeldata!$E:$E,0))</f>
        <v>0</v>
      </c>
      <c r="AI12" s="242">
        <f t="array" ref="AI12">SUM(IF((modeldata!$F:$F=calibration!$AF$2)*(modeldata!$G:$G=calibration!AI$4)*(modeldata!$H:$H=calibration!$AF12),modeldata!$E:$E,0))</f>
        <v>0</v>
      </c>
      <c r="AJ12" s="242">
        <f t="array" ref="AJ12">SUM(IF((modeldata!$F:$F=calibration!$AF$2)*(modeldata!$G:$G=calibration!AJ$4)*(modeldata!$H:$H=calibration!$AF12),modeldata!$E:$E,0))</f>
        <v>0</v>
      </c>
      <c r="AK12" s="242">
        <f t="array" ref="AK12">SUM(IF((modeldata!$F:$F=calibration!$AF$2)*(modeldata!$G:$G=calibration!AK$4)*(modeldata!$H:$H=calibration!$AF12),modeldata!$E:$E,0))</f>
        <v>0</v>
      </c>
      <c r="AL12" s="40">
        <f t="array" ref="AL12">SUM(IF((modeldata!$F:$F=calibration!$AF$2)*(modeldata!$G:$G=calibration!AL$4)*(modeldata!$H:$H=calibration!$AF12),modeldata!$E:$E,0))</f>
        <v>0</v>
      </c>
      <c r="AM12" s="242">
        <f t="array" ref="AM12">SUM(IF((modeldata!$F:$F=calibration!$AF$2)*(modeldata!$G:$G=calibration!AM$4)*(modeldata!$H:$H=calibration!$AF12),modeldata!$E:$E,0))</f>
        <v>0</v>
      </c>
      <c r="AN12" s="243">
        <f>AL12+AM12</f>
        <v>0</v>
      </c>
      <c r="AO12" s="242">
        <f t="array" ref="AO12">SUM(IF((modeldata!$F:$F=calibration!$AF$2)*(modeldata!$G:$G=calibration!AO$4)*(modeldata!$H:$H=calibration!$AF12),modeldata!$E:$E,0))</f>
        <v>0</v>
      </c>
      <c r="AP12" s="242">
        <f t="array" ref="AP12">SUM(IF((modeldata!$F:$F=calibration!$AF$2)*(modeldata!$G:$G=calibration!AP$4)*(modeldata!$H:$H=calibration!$AF12),modeldata!$E:$E,0))</f>
        <v>0</v>
      </c>
      <c r="AQ12" s="242">
        <f t="array" ref="AQ12">SUM(IF((modeldata!$F:$F=calibration!$AF$2)*(modeldata!$G:$G=calibration!AQ$4)*(modeldata!$H:$H=calibration!$AF12),modeldata!$E:$E,0))</f>
        <v>0</v>
      </c>
      <c r="AR12" s="178">
        <f>SUM(AO12:AQ12)</f>
        <v>0</v>
      </c>
      <c r="AS12" s="17">
        <f>SUM(AG12:AQ12)-AN12</f>
        <v>0</v>
      </c>
      <c r="AU12" s="2" t="s">
        <v>346</v>
      </c>
      <c r="AV12" s="38">
        <f t="shared" ref="AV12:BG12" si="86">IF(R25&gt;0,R12/R25,0)</f>
        <v>0</v>
      </c>
      <c r="AW12" s="242">
        <f t="shared" si="86"/>
        <v>0</v>
      </c>
      <c r="AX12" s="242">
        <f t="shared" si="86"/>
        <v>0</v>
      </c>
      <c r="AY12" s="242">
        <f t="shared" si="86"/>
        <v>0</v>
      </c>
      <c r="AZ12" s="242">
        <f t="shared" si="86"/>
        <v>0</v>
      </c>
      <c r="BA12" s="40">
        <f t="shared" si="86"/>
        <v>0</v>
      </c>
      <c r="BB12" s="242">
        <f t="shared" si="86"/>
        <v>0</v>
      </c>
      <c r="BC12" s="243">
        <f t="shared" si="86"/>
        <v>0</v>
      </c>
      <c r="BD12" s="242">
        <f t="shared" si="86"/>
        <v>0</v>
      </c>
      <c r="BE12" s="242">
        <f t="shared" si="86"/>
        <v>0</v>
      </c>
      <c r="BF12" s="242">
        <f t="shared" si="86"/>
        <v>0</v>
      </c>
      <c r="BG12" s="178">
        <f t="shared" si="86"/>
        <v>0</v>
      </c>
      <c r="BH12" s="24" t="e">
        <f>AD12/AD25</f>
        <v>#DIV/0!</v>
      </c>
      <c r="BJ12" s="2" t="s">
        <v>346</v>
      </c>
      <c r="BK12" s="38">
        <f t="shared" ref="BK12:BV12" si="87">IF(AG25&gt;0,AG12/AG25,0)</f>
        <v>0</v>
      </c>
      <c r="BL12" s="242">
        <f t="shared" si="87"/>
        <v>0</v>
      </c>
      <c r="BM12" s="242">
        <f t="shared" si="87"/>
        <v>0</v>
      </c>
      <c r="BN12" s="242">
        <f t="shared" si="87"/>
        <v>0</v>
      </c>
      <c r="BO12" s="242">
        <f t="shared" si="87"/>
        <v>0</v>
      </c>
      <c r="BP12" s="40">
        <f t="shared" si="87"/>
        <v>0</v>
      </c>
      <c r="BQ12" s="242">
        <f t="shared" si="87"/>
        <v>0</v>
      </c>
      <c r="BR12" s="243">
        <f t="shared" si="87"/>
        <v>0</v>
      </c>
      <c r="BS12" s="242">
        <f t="shared" si="87"/>
        <v>0</v>
      </c>
      <c r="BT12" s="242">
        <f t="shared" si="87"/>
        <v>0</v>
      </c>
      <c r="BU12" s="242">
        <f t="shared" si="87"/>
        <v>0</v>
      </c>
      <c r="BV12" s="178">
        <f t="shared" si="87"/>
        <v>0</v>
      </c>
      <c r="BW12" s="24" t="e">
        <f>AS12/AS25</f>
        <v>#DIV/0!</v>
      </c>
      <c r="BX12" s="24"/>
      <c r="BY12" s="2" t="s">
        <v>346</v>
      </c>
      <c r="BZ12" s="54">
        <f t="shared" ref="BZ12:CL12" si="88">AG12-R12</f>
        <v>0</v>
      </c>
      <c r="CA12" s="55">
        <f t="shared" si="88"/>
        <v>0</v>
      </c>
      <c r="CB12" s="55">
        <f t="shared" si="88"/>
        <v>0</v>
      </c>
      <c r="CC12" s="55">
        <f t="shared" si="88"/>
        <v>0</v>
      </c>
      <c r="CD12" s="55">
        <f t="shared" si="88"/>
        <v>0</v>
      </c>
      <c r="CE12" s="60">
        <f t="shared" si="88"/>
        <v>0</v>
      </c>
      <c r="CF12" s="55">
        <f t="shared" si="88"/>
        <v>0</v>
      </c>
      <c r="CG12" s="55">
        <f t="shared" si="88"/>
        <v>0</v>
      </c>
      <c r="CH12" s="55">
        <f t="shared" si="88"/>
        <v>0</v>
      </c>
      <c r="CI12" s="55">
        <f t="shared" si="88"/>
        <v>0</v>
      </c>
      <c r="CJ12" s="55">
        <f t="shared" si="88"/>
        <v>0</v>
      </c>
      <c r="CK12" s="249">
        <f t="shared" si="88"/>
        <v>0</v>
      </c>
      <c r="CL12" s="55">
        <f t="shared" si="88"/>
        <v>0</v>
      </c>
      <c r="CN12" s="2" t="s">
        <v>346</v>
      </c>
      <c r="CO12" s="54">
        <f t="shared" ref="CO12:DA12" si="89">BK12-AV12</f>
        <v>0</v>
      </c>
      <c r="CP12" s="55">
        <f t="shared" si="89"/>
        <v>0</v>
      </c>
      <c r="CQ12" s="55">
        <f t="shared" si="89"/>
        <v>0</v>
      </c>
      <c r="CR12" s="55">
        <f t="shared" si="89"/>
        <v>0</v>
      </c>
      <c r="CS12" s="55">
        <f t="shared" si="89"/>
        <v>0</v>
      </c>
      <c r="CT12" s="60">
        <f t="shared" si="89"/>
        <v>0</v>
      </c>
      <c r="CU12" s="55">
        <f t="shared" si="89"/>
        <v>0</v>
      </c>
      <c r="CV12" s="55">
        <f t="shared" si="89"/>
        <v>0</v>
      </c>
      <c r="CW12" s="55">
        <f t="shared" si="89"/>
        <v>0</v>
      </c>
      <c r="CX12" s="55">
        <f t="shared" si="89"/>
        <v>0</v>
      </c>
      <c r="CY12" s="55">
        <f t="shared" si="89"/>
        <v>0</v>
      </c>
      <c r="CZ12" s="249">
        <f t="shared" si="89"/>
        <v>0</v>
      </c>
      <c r="DA12" s="62" t="e">
        <f t="shared" si="89"/>
        <v>#DIV/0!</v>
      </c>
      <c r="DC12" s="2" t="s">
        <v>346</v>
      </c>
      <c r="DD12" s="198">
        <f>AV12</f>
        <v>0</v>
      </c>
      <c r="DE12" s="199">
        <f>BK12</f>
        <v>0</v>
      </c>
      <c r="DF12" s="198">
        <f>AW12</f>
        <v>0</v>
      </c>
      <c r="DG12" s="199">
        <f>BL12</f>
        <v>0</v>
      </c>
      <c r="DH12" s="198">
        <f>AX12</f>
        <v>0</v>
      </c>
      <c r="DI12" s="199">
        <f>BM12</f>
        <v>0</v>
      </c>
      <c r="DJ12" s="198">
        <f>AY12</f>
        <v>0</v>
      </c>
      <c r="DK12" s="199">
        <f>BN12</f>
        <v>0</v>
      </c>
      <c r="DL12" s="198">
        <f>AZ12</f>
        <v>0</v>
      </c>
      <c r="DM12" s="199">
        <f>BO12</f>
        <v>0</v>
      </c>
      <c r="DN12" s="198">
        <f>BA12</f>
        <v>0</v>
      </c>
      <c r="DO12" s="199">
        <f>BP12</f>
        <v>0</v>
      </c>
      <c r="DP12" s="198">
        <f>BB12</f>
        <v>0</v>
      </c>
      <c r="DQ12" s="199">
        <f>BQ12</f>
        <v>0</v>
      </c>
      <c r="DR12" s="198">
        <f>BC12</f>
        <v>0</v>
      </c>
      <c r="DS12" s="199">
        <f>BR12</f>
        <v>0</v>
      </c>
      <c r="DT12" s="198">
        <f>BD12</f>
        <v>0</v>
      </c>
      <c r="DU12" s="199">
        <f>BS12</f>
        <v>0</v>
      </c>
      <c r="DV12" s="198">
        <f>BE12</f>
        <v>0</v>
      </c>
      <c r="DW12" s="199">
        <f>BT12</f>
        <v>0</v>
      </c>
      <c r="DX12" s="198">
        <f>BF12</f>
        <v>0</v>
      </c>
      <c r="DY12" s="199">
        <f>BU12</f>
        <v>0</v>
      </c>
      <c r="DZ12" s="190">
        <f>BG12</f>
        <v>0</v>
      </c>
      <c r="EA12" s="199">
        <f>BV12</f>
        <v>0</v>
      </c>
      <c r="EB12" s="190" t="e">
        <f>BH12</f>
        <v>#DIV/0!</v>
      </c>
      <c r="EC12" s="190" t="e">
        <f>BW12</f>
        <v>#DIV/0!</v>
      </c>
    </row>
    <row r="13" spans="1:133" x14ac:dyDescent="0.2">
      <c r="A13" s="64" t="s">
        <v>45</v>
      </c>
      <c r="B13" s="38">
        <f>targets!AW14</f>
        <v>0</v>
      </c>
      <c r="C13" s="242">
        <f>targets!AX14</f>
        <v>0</v>
      </c>
      <c r="D13" s="242">
        <f>targets!AY14</f>
        <v>0</v>
      </c>
      <c r="E13" s="242">
        <f>targets!AZ14</f>
        <v>0</v>
      </c>
      <c r="F13" s="242">
        <f>targets!BA14</f>
        <v>0</v>
      </c>
      <c r="G13" s="40">
        <f>SUM(targets!BB14:BG14)</f>
        <v>91132.497940604182</v>
      </c>
      <c r="H13" s="242">
        <f>SUM(targets!BH14:BM14)</f>
        <v>0</v>
      </c>
      <c r="I13" s="243">
        <f t="shared" si="20"/>
        <v>91132.497940604182</v>
      </c>
      <c r="J13" s="242">
        <f>targets!BN14</f>
        <v>0</v>
      </c>
      <c r="K13" s="242">
        <f>targets!BO14</f>
        <v>0</v>
      </c>
      <c r="L13" s="242">
        <f>targets!BP14</f>
        <v>0</v>
      </c>
      <c r="M13" s="178">
        <f t="shared" si="21"/>
        <v>0</v>
      </c>
      <c r="N13" s="17">
        <f t="shared" si="22"/>
        <v>91132.497940604182</v>
      </c>
      <c r="O13" s="17"/>
      <c r="P13" s="17"/>
      <c r="Q13" s="64" t="s">
        <v>45</v>
      </c>
      <c r="R13" s="38">
        <f t="shared" si="23"/>
        <v>0</v>
      </c>
      <c r="S13" s="242">
        <f t="shared" si="0"/>
        <v>0</v>
      </c>
      <c r="T13" s="242">
        <f t="shared" si="1"/>
        <v>0</v>
      </c>
      <c r="U13" s="242">
        <f t="shared" si="2"/>
        <v>0</v>
      </c>
      <c r="V13" s="242">
        <f t="shared" si="3"/>
        <v>0</v>
      </c>
      <c r="W13" s="40">
        <f t="shared" si="4"/>
        <v>0</v>
      </c>
      <c r="X13" s="242">
        <f t="shared" si="5"/>
        <v>0</v>
      </c>
      <c r="Y13" s="243">
        <f t="shared" si="24"/>
        <v>0</v>
      </c>
      <c r="Z13" s="242">
        <f t="shared" si="6"/>
        <v>0</v>
      </c>
      <c r="AA13" s="242">
        <f t="shared" si="7"/>
        <v>0</v>
      </c>
      <c r="AB13" s="242">
        <f t="shared" si="8"/>
        <v>0</v>
      </c>
      <c r="AC13" s="178">
        <f t="shared" si="74"/>
        <v>0</v>
      </c>
      <c r="AD13" s="17">
        <f t="shared" si="25"/>
        <v>0</v>
      </c>
      <c r="AF13" s="64" t="s">
        <v>45</v>
      </c>
      <c r="AG13" s="38">
        <f t="array" ref="AG13">SUM(IF((modeldata!$F:$F=calibration!$AF$2)*(modeldata!$G:$G=calibration!AG$4)*(modeldata!$H:$H=calibration!$AF13),modeldata!$E:$E,0))</f>
        <v>0</v>
      </c>
      <c r="AH13" s="242">
        <f t="array" ref="AH13">SUM(IF((modeldata!$F:$F=calibration!$AF$2)*(modeldata!$G:$G=calibration!AH$4)*(modeldata!$H:$H=calibration!$AF13),modeldata!$E:$E,0))</f>
        <v>0</v>
      </c>
      <c r="AI13" s="242">
        <f t="array" ref="AI13">SUM(IF((modeldata!$F:$F=calibration!$AF$2)*(modeldata!$G:$G=calibration!AI$4)*(modeldata!$H:$H=calibration!$AF13),modeldata!$E:$E,0))</f>
        <v>0</v>
      </c>
      <c r="AJ13" s="242">
        <f t="array" ref="AJ13">SUM(IF((modeldata!$F:$F=calibration!$AF$2)*(modeldata!$G:$G=calibration!AJ$4)*(modeldata!$H:$H=calibration!$AF13),modeldata!$E:$E,0))</f>
        <v>0</v>
      </c>
      <c r="AK13" s="242">
        <f t="array" ref="AK13">SUM(IF((modeldata!$F:$F=calibration!$AF$2)*(modeldata!$G:$G=calibration!AK$4)*(modeldata!$H:$H=calibration!$AF13),modeldata!$E:$E,0))</f>
        <v>0</v>
      </c>
      <c r="AL13" s="40">
        <f t="array" ref="AL13">SUM(IF((modeldata!$F:$F=calibration!$AF$2)*(modeldata!$G:$G=calibration!AL$4)*(modeldata!$H:$H=calibration!$AF13),modeldata!$E:$E,0))</f>
        <v>0</v>
      </c>
      <c r="AM13" s="242">
        <f t="array" ref="AM13">SUM(IF((modeldata!$F:$F=calibration!$AF$2)*(modeldata!$G:$G=calibration!AM$4)*(modeldata!$H:$H=calibration!$AF13),modeldata!$E:$E,0))</f>
        <v>0</v>
      </c>
      <c r="AN13" s="243">
        <f>AL13+AM13+AL21+AM21</f>
        <v>0</v>
      </c>
      <c r="AO13" s="242">
        <f t="array" ref="AO13">SUM(IF((modeldata!$F:$F=calibration!$AF$2)*(modeldata!$G:$G=calibration!AO$4)*(modeldata!$H:$H=calibration!$AF13),modeldata!$E:$E,0))</f>
        <v>0</v>
      </c>
      <c r="AP13" s="242">
        <f t="array" ref="AP13">SUM(IF((modeldata!$F:$F=calibration!$AF$2)*(modeldata!$G:$G=calibration!AP$4)*(modeldata!$H:$H=calibration!$AF13),modeldata!$E:$E,0))</f>
        <v>0</v>
      </c>
      <c r="AQ13" s="242">
        <f t="array" ref="AQ13">SUM(IF((modeldata!$F:$F=calibration!$AF$2)*(modeldata!$G:$G=calibration!AQ$4)*(modeldata!$H:$H=calibration!$AF13),modeldata!$E:$E,0))</f>
        <v>0</v>
      </c>
      <c r="AR13" s="178">
        <f t="shared" si="75"/>
        <v>0</v>
      </c>
      <c r="AS13" s="17">
        <f t="shared" si="27"/>
        <v>0</v>
      </c>
      <c r="AU13" s="64" t="s">
        <v>45</v>
      </c>
      <c r="AV13" s="38">
        <f t="shared" ref="AV13:BG13" si="90">IF(R25&gt;0,R13/R25,0)</f>
        <v>0</v>
      </c>
      <c r="AW13" s="242">
        <f t="shared" si="90"/>
        <v>0</v>
      </c>
      <c r="AX13" s="242">
        <f t="shared" si="90"/>
        <v>0</v>
      </c>
      <c r="AY13" s="242">
        <f t="shared" si="90"/>
        <v>0</v>
      </c>
      <c r="AZ13" s="242">
        <f t="shared" si="90"/>
        <v>0</v>
      </c>
      <c r="BA13" s="40">
        <f t="shared" si="90"/>
        <v>0</v>
      </c>
      <c r="BB13" s="242">
        <f t="shared" si="90"/>
        <v>0</v>
      </c>
      <c r="BC13" s="243">
        <f t="shared" si="90"/>
        <v>0</v>
      </c>
      <c r="BD13" s="242">
        <f t="shared" si="90"/>
        <v>0</v>
      </c>
      <c r="BE13" s="242">
        <f t="shared" si="90"/>
        <v>0</v>
      </c>
      <c r="BF13" s="242">
        <f t="shared" si="90"/>
        <v>0</v>
      </c>
      <c r="BG13" s="178">
        <f t="shared" si="90"/>
        <v>0</v>
      </c>
      <c r="BH13" s="24" t="e">
        <f>AD13/AD25</f>
        <v>#DIV/0!</v>
      </c>
      <c r="BJ13" s="64" t="s">
        <v>45</v>
      </c>
      <c r="BK13" s="38">
        <f t="shared" ref="BK13:BV13" si="91">IF(AG25&gt;0,AG13/AG25,0)</f>
        <v>0</v>
      </c>
      <c r="BL13" s="242">
        <f t="shared" si="91"/>
        <v>0</v>
      </c>
      <c r="BM13" s="242">
        <f t="shared" si="91"/>
        <v>0</v>
      </c>
      <c r="BN13" s="242">
        <f t="shared" si="91"/>
        <v>0</v>
      </c>
      <c r="BO13" s="242">
        <f t="shared" si="91"/>
        <v>0</v>
      </c>
      <c r="BP13" s="40">
        <f t="shared" si="91"/>
        <v>0</v>
      </c>
      <c r="BQ13" s="242">
        <f t="shared" si="91"/>
        <v>0</v>
      </c>
      <c r="BR13" s="243">
        <f t="shared" si="91"/>
        <v>0</v>
      </c>
      <c r="BS13" s="242">
        <f t="shared" si="91"/>
        <v>0</v>
      </c>
      <c r="BT13" s="242">
        <f t="shared" si="91"/>
        <v>0</v>
      </c>
      <c r="BU13" s="242">
        <f t="shared" si="91"/>
        <v>0</v>
      </c>
      <c r="BV13" s="178">
        <f t="shared" si="91"/>
        <v>0</v>
      </c>
      <c r="BW13" s="24" t="e">
        <f>AS13/AS25</f>
        <v>#DIV/0!</v>
      </c>
      <c r="BX13" s="24"/>
      <c r="BY13" s="64" t="s">
        <v>45</v>
      </c>
      <c r="BZ13" s="54">
        <f t="shared" si="30"/>
        <v>0</v>
      </c>
      <c r="CA13" s="55">
        <f t="shared" si="31"/>
        <v>0</v>
      </c>
      <c r="CB13" s="55">
        <f t="shared" si="32"/>
        <v>0</v>
      </c>
      <c r="CC13" s="55">
        <f t="shared" si="33"/>
        <v>0</v>
      </c>
      <c r="CD13" s="55">
        <f t="shared" si="34"/>
        <v>0</v>
      </c>
      <c r="CE13" s="60">
        <f t="shared" si="35"/>
        <v>0</v>
      </c>
      <c r="CF13" s="55">
        <f t="shared" si="36"/>
        <v>0</v>
      </c>
      <c r="CG13" s="55">
        <f t="shared" si="37"/>
        <v>0</v>
      </c>
      <c r="CH13" s="55">
        <f t="shared" si="38"/>
        <v>0</v>
      </c>
      <c r="CI13" s="55">
        <f t="shared" si="39"/>
        <v>0</v>
      </c>
      <c r="CJ13" s="55">
        <f t="shared" si="40"/>
        <v>0</v>
      </c>
      <c r="CK13" s="249">
        <f t="shared" si="40"/>
        <v>0</v>
      </c>
      <c r="CL13" s="55">
        <f t="shared" si="41"/>
        <v>0</v>
      </c>
      <c r="CN13" s="64" t="s">
        <v>45</v>
      </c>
      <c r="CO13" s="54">
        <f t="shared" si="42"/>
        <v>0</v>
      </c>
      <c r="CP13" s="55">
        <f t="shared" si="13"/>
        <v>0</v>
      </c>
      <c r="CQ13" s="55">
        <f t="shared" si="14"/>
        <v>0</v>
      </c>
      <c r="CR13" s="55">
        <f t="shared" si="15"/>
        <v>0</v>
      </c>
      <c r="CS13" s="55">
        <f t="shared" si="16"/>
        <v>0</v>
      </c>
      <c r="CT13" s="60">
        <f t="shared" si="17"/>
        <v>0</v>
      </c>
      <c r="CU13" s="55">
        <f t="shared" si="43"/>
        <v>0</v>
      </c>
      <c r="CV13" s="55">
        <f t="shared" si="44"/>
        <v>0</v>
      </c>
      <c r="CW13" s="55">
        <f t="shared" si="45"/>
        <v>0</v>
      </c>
      <c r="CX13" s="55">
        <f t="shared" si="46"/>
        <v>0</v>
      </c>
      <c r="CY13" s="55">
        <f t="shared" si="47"/>
        <v>0</v>
      </c>
      <c r="CZ13" s="249">
        <f t="shared" si="47"/>
        <v>0</v>
      </c>
      <c r="DA13" s="62" t="e">
        <f t="shared" si="48"/>
        <v>#DIV/0!</v>
      </c>
      <c r="DC13" s="64" t="s">
        <v>45</v>
      </c>
      <c r="DD13" s="198">
        <f t="shared" si="49"/>
        <v>0</v>
      </c>
      <c r="DE13" s="199">
        <f t="shared" si="50"/>
        <v>0</v>
      </c>
      <c r="DF13" s="198">
        <f t="shared" si="51"/>
        <v>0</v>
      </c>
      <c r="DG13" s="199">
        <f t="shared" si="52"/>
        <v>0</v>
      </c>
      <c r="DH13" s="198">
        <f t="shared" si="53"/>
        <v>0</v>
      </c>
      <c r="DI13" s="199">
        <f t="shared" si="54"/>
        <v>0</v>
      </c>
      <c r="DJ13" s="198">
        <f t="shared" si="55"/>
        <v>0</v>
      </c>
      <c r="DK13" s="199">
        <f t="shared" si="56"/>
        <v>0</v>
      </c>
      <c r="DL13" s="198">
        <f t="shared" si="57"/>
        <v>0</v>
      </c>
      <c r="DM13" s="199">
        <f t="shared" si="58"/>
        <v>0</v>
      </c>
      <c r="DN13" s="198">
        <f t="shared" si="59"/>
        <v>0</v>
      </c>
      <c r="DO13" s="199">
        <f t="shared" si="60"/>
        <v>0</v>
      </c>
      <c r="DP13" s="198">
        <f t="shared" si="61"/>
        <v>0</v>
      </c>
      <c r="DQ13" s="199">
        <f t="shared" si="62"/>
        <v>0</v>
      </c>
      <c r="DR13" s="198">
        <f t="shared" si="63"/>
        <v>0</v>
      </c>
      <c r="DS13" s="199">
        <f t="shared" si="64"/>
        <v>0</v>
      </c>
      <c r="DT13" s="198">
        <f t="shared" si="65"/>
        <v>0</v>
      </c>
      <c r="DU13" s="199">
        <f t="shared" si="66"/>
        <v>0</v>
      </c>
      <c r="DV13" s="198">
        <f t="shared" si="67"/>
        <v>0</v>
      </c>
      <c r="DW13" s="199">
        <f t="shared" si="68"/>
        <v>0</v>
      </c>
      <c r="DX13" s="198">
        <f t="shared" si="69"/>
        <v>0</v>
      </c>
      <c r="DY13" s="199">
        <f t="shared" si="70"/>
        <v>0</v>
      </c>
      <c r="DZ13" s="190">
        <f t="shared" si="71"/>
        <v>0</v>
      </c>
      <c r="EA13" s="199">
        <f t="shared" si="19"/>
        <v>0</v>
      </c>
      <c r="EB13" s="190" t="e">
        <f t="shared" si="72"/>
        <v>#DIV/0!</v>
      </c>
      <c r="EC13" s="190" t="e">
        <f t="shared" si="73"/>
        <v>#DIV/0!</v>
      </c>
    </row>
    <row r="14" spans="1:133" x14ac:dyDescent="0.2">
      <c r="A14" s="64" t="s">
        <v>46</v>
      </c>
      <c r="B14" s="38">
        <f>targets!AW15</f>
        <v>0</v>
      </c>
      <c r="C14" s="242">
        <f>targets!AX15</f>
        <v>0</v>
      </c>
      <c r="D14" s="242">
        <f>targets!AY15</f>
        <v>0</v>
      </c>
      <c r="E14" s="242">
        <f>targets!AZ15</f>
        <v>0</v>
      </c>
      <c r="F14" s="242">
        <f>targets!BA15</f>
        <v>0</v>
      </c>
      <c r="G14" s="40">
        <f>SUM(targets!BB15:BG15)</f>
        <v>42399.221321503908</v>
      </c>
      <c r="H14" s="242">
        <f>SUM(targets!BH15:BM15)</f>
        <v>0</v>
      </c>
      <c r="I14" s="243">
        <f t="shared" si="20"/>
        <v>42399.221321503908</v>
      </c>
      <c r="J14" s="242">
        <f>targets!BN15</f>
        <v>0</v>
      </c>
      <c r="K14" s="242">
        <f>targets!BO15</f>
        <v>0</v>
      </c>
      <c r="L14" s="242">
        <f>targets!BP15</f>
        <v>0</v>
      </c>
      <c r="M14" s="178">
        <f t="shared" si="21"/>
        <v>0</v>
      </c>
      <c r="N14" s="17">
        <f t="shared" si="22"/>
        <v>42399.221321503908</v>
      </c>
      <c r="O14" s="17"/>
      <c r="P14" s="17"/>
      <c r="Q14" s="64" t="s">
        <v>46</v>
      </c>
      <c r="R14" s="38">
        <f t="shared" si="23"/>
        <v>0</v>
      </c>
      <c r="S14" s="242">
        <f t="shared" si="0"/>
        <v>0</v>
      </c>
      <c r="T14" s="242">
        <f t="shared" si="1"/>
        <v>0</v>
      </c>
      <c r="U14" s="242">
        <f t="shared" si="2"/>
        <v>0</v>
      </c>
      <c r="V14" s="242">
        <f t="shared" si="3"/>
        <v>0</v>
      </c>
      <c r="W14" s="40">
        <f t="shared" si="4"/>
        <v>0</v>
      </c>
      <c r="X14" s="242">
        <f t="shared" si="5"/>
        <v>0</v>
      </c>
      <c r="Y14" s="243">
        <f t="shared" si="24"/>
        <v>0</v>
      </c>
      <c r="Z14" s="242">
        <f t="shared" si="6"/>
        <v>0</v>
      </c>
      <c r="AA14" s="242">
        <f t="shared" si="7"/>
        <v>0</v>
      </c>
      <c r="AB14" s="242">
        <f t="shared" si="8"/>
        <v>0</v>
      </c>
      <c r="AC14" s="178">
        <f t="shared" si="74"/>
        <v>0</v>
      </c>
      <c r="AD14" s="17">
        <f t="shared" si="25"/>
        <v>0</v>
      </c>
      <c r="AF14" s="64" t="s">
        <v>46</v>
      </c>
      <c r="AG14" s="38">
        <f t="array" ref="AG14">SUM(IF((modeldata!$F:$F=calibration!$AF$2)*(modeldata!$G:$G=calibration!AG$4)*(modeldata!$H:$H=calibration!$AF14),modeldata!$E:$E,0))</f>
        <v>0</v>
      </c>
      <c r="AH14" s="242">
        <f t="array" ref="AH14">SUM(IF((modeldata!$F:$F=calibration!$AF$2)*(modeldata!$G:$G=calibration!AH$4)*(modeldata!$H:$H=calibration!$AF14),modeldata!$E:$E,0))</f>
        <v>0</v>
      </c>
      <c r="AI14" s="242">
        <f t="array" ref="AI14">SUM(IF((modeldata!$F:$F=calibration!$AF$2)*(modeldata!$G:$G=calibration!AI$4)*(modeldata!$H:$H=calibration!$AF14),modeldata!$E:$E,0))</f>
        <v>0</v>
      </c>
      <c r="AJ14" s="242">
        <f t="array" ref="AJ14">SUM(IF((modeldata!$F:$F=calibration!$AF$2)*(modeldata!$G:$G=calibration!AJ$4)*(modeldata!$H:$H=calibration!$AF14),modeldata!$E:$E,0))</f>
        <v>0</v>
      </c>
      <c r="AK14" s="242">
        <f t="array" ref="AK14">SUM(IF((modeldata!$F:$F=calibration!$AF$2)*(modeldata!$G:$G=calibration!AK$4)*(modeldata!$H:$H=calibration!$AF14),modeldata!$E:$E,0))</f>
        <v>0</v>
      </c>
      <c r="AL14" s="40">
        <f t="array" ref="AL14">SUM(IF((modeldata!$F:$F=calibration!$AF$2)*(modeldata!$G:$G=calibration!AL$4)*(modeldata!$H:$H=calibration!$AF14),modeldata!$E:$E,0))</f>
        <v>0</v>
      </c>
      <c r="AM14" s="242">
        <f t="array" ref="AM14">SUM(IF((modeldata!$F:$F=calibration!$AF$2)*(modeldata!$G:$G=calibration!AM$4)*(modeldata!$H:$H=calibration!$AF14),modeldata!$E:$E,0))</f>
        <v>0</v>
      </c>
      <c r="AN14" s="243">
        <f>AL14+AM14+AL22+AM22</f>
        <v>0</v>
      </c>
      <c r="AO14" s="242">
        <f t="array" ref="AO14">SUM(IF((modeldata!$F:$F=calibration!$AF$2)*(modeldata!$G:$G=calibration!AO$4)*(modeldata!$H:$H=calibration!$AF14),modeldata!$E:$E,0))</f>
        <v>0</v>
      </c>
      <c r="AP14" s="242">
        <f t="array" ref="AP14">SUM(IF((modeldata!$F:$F=calibration!$AF$2)*(modeldata!$G:$G=calibration!AP$4)*(modeldata!$H:$H=calibration!$AF14),modeldata!$E:$E,0))</f>
        <v>0</v>
      </c>
      <c r="AQ14" s="242">
        <f t="array" ref="AQ14">SUM(IF((modeldata!$F:$F=calibration!$AF$2)*(modeldata!$G:$G=calibration!AQ$4)*(modeldata!$H:$H=calibration!$AF14),modeldata!$E:$E,0))</f>
        <v>0</v>
      </c>
      <c r="AR14" s="178">
        <f t="shared" si="75"/>
        <v>0</v>
      </c>
      <c r="AS14" s="17">
        <f t="shared" si="27"/>
        <v>0</v>
      </c>
      <c r="AU14" s="64" t="s">
        <v>46</v>
      </c>
      <c r="AV14" s="38">
        <f t="shared" ref="AV14:BG14" si="92">IF(R25&gt;0,R14/R25,0)</f>
        <v>0</v>
      </c>
      <c r="AW14" s="242">
        <f t="shared" si="92"/>
        <v>0</v>
      </c>
      <c r="AX14" s="242">
        <f t="shared" si="92"/>
        <v>0</v>
      </c>
      <c r="AY14" s="242">
        <f t="shared" si="92"/>
        <v>0</v>
      </c>
      <c r="AZ14" s="242">
        <f t="shared" si="92"/>
        <v>0</v>
      </c>
      <c r="BA14" s="40">
        <f t="shared" si="92"/>
        <v>0</v>
      </c>
      <c r="BB14" s="242">
        <f t="shared" si="92"/>
        <v>0</v>
      </c>
      <c r="BC14" s="243">
        <f t="shared" si="92"/>
        <v>0</v>
      </c>
      <c r="BD14" s="242">
        <f t="shared" si="92"/>
        <v>0</v>
      </c>
      <c r="BE14" s="242">
        <f t="shared" si="92"/>
        <v>0</v>
      </c>
      <c r="BF14" s="242">
        <f t="shared" si="92"/>
        <v>0</v>
      </c>
      <c r="BG14" s="178">
        <f t="shared" si="92"/>
        <v>0</v>
      </c>
      <c r="BH14" s="24" t="e">
        <f>AD14/AD25</f>
        <v>#DIV/0!</v>
      </c>
      <c r="BJ14" s="64" t="s">
        <v>46</v>
      </c>
      <c r="BK14" s="38">
        <f t="shared" ref="BK14:BV14" si="93">IF(AG25&gt;0,AG14/AG25,0)</f>
        <v>0</v>
      </c>
      <c r="BL14" s="242">
        <f t="shared" si="93"/>
        <v>0</v>
      </c>
      <c r="BM14" s="242">
        <f t="shared" si="93"/>
        <v>0</v>
      </c>
      <c r="BN14" s="242">
        <f t="shared" si="93"/>
        <v>0</v>
      </c>
      <c r="BO14" s="242">
        <f t="shared" si="93"/>
        <v>0</v>
      </c>
      <c r="BP14" s="40">
        <f t="shared" si="93"/>
        <v>0</v>
      </c>
      <c r="BQ14" s="242">
        <f t="shared" si="93"/>
        <v>0</v>
      </c>
      <c r="BR14" s="243">
        <f t="shared" si="93"/>
        <v>0</v>
      </c>
      <c r="BS14" s="242">
        <f t="shared" si="93"/>
        <v>0</v>
      </c>
      <c r="BT14" s="242">
        <f t="shared" si="93"/>
        <v>0</v>
      </c>
      <c r="BU14" s="242">
        <f t="shared" si="93"/>
        <v>0</v>
      </c>
      <c r="BV14" s="178">
        <f t="shared" si="93"/>
        <v>0</v>
      </c>
      <c r="BW14" s="24" t="e">
        <f>AS14/AS25</f>
        <v>#DIV/0!</v>
      </c>
      <c r="BX14" s="24"/>
      <c r="BY14" s="64" t="s">
        <v>46</v>
      </c>
      <c r="BZ14" s="54">
        <f t="shared" si="30"/>
        <v>0</v>
      </c>
      <c r="CA14" s="55">
        <f t="shared" si="31"/>
        <v>0</v>
      </c>
      <c r="CB14" s="55">
        <f t="shared" si="32"/>
        <v>0</v>
      </c>
      <c r="CC14" s="55">
        <f t="shared" si="33"/>
        <v>0</v>
      </c>
      <c r="CD14" s="55">
        <f t="shared" si="34"/>
        <v>0</v>
      </c>
      <c r="CE14" s="60">
        <f t="shared" si="35"/>
        <v>0</v>
      </c>
      <c r="CF14" s="55">
        <f t="shared" si="36"/>
        <v>0</v>
      </c>
      <c r="CG14" s="55">
        <f t="shared" si="37"/>
        <v>0</v>
      </c>
      <c r="CH14" s="55">
        <f t="shared" si="38"/>
        <v>0</v>
      </c>
      <c r="CI14" s="55">
        <f t="shared" si="39"/>
        <v>0</v>
      </c>
      <c r="CJ14" s="55">
        <f t="shared" si="40"/>
        <v>0</v>
      </c>
      <c r="CK14" s="249">
        <f t="shared" si="40"/>
        <v>0</v>
      </c>
      <c r="CL14" s="55">
        <f t="shared" si="41"/>
        <v>0</v>
      </c>
      <c r="CN14" s="64" t="s">
        <v>46</v>
      </c>
      <c r="CO14" s="54">
        <f t="shared" si="42"/>
        <v>0</v>
      </c>
      <c r="CP14" s="55">
        <f t="shared" si="13"/>
        <v>0</v>
      </c>
      <c r="CQ14" s="55">
        <f t="shared" si="14"/>
        <v>0</v>
      </c>
      <c r="CR14" s="55">
        <f t="shared" si="15"/>
        <v>0</v>
      </c>
      <c r="CS14" s="55">
        <f t="shared" si="16"/>
        <v>0</v>
      </c>
      <c r="CT14" s="60">
        <f t="shared" si="17"/>
        <v>0</v>
      </c>
      <c r="CU14" s="55">
        <f t="shared" si="43"/>
        <v>0</v>
      </c>
      <c r="CV14" s="55">
        <f t="shared" si="44"/>
        <v>0</v>
      </c>
      <c r="CW14" s="55">
        <f t="shared" si="45"/>
        <v>0</v>
      </c>
      <c r="CX14" s="55">
        <f t="shared" si="46"/>
        <v>0</v>
      </c>
      <c r="CY14" s="55">
        <f t="shared" si="47"/>
        <v>0</v>
      </c>
      <c r="CZ14" s="249">
        <f t="shared" si="47"/>
        <v>0</v>
      </c>
      <c r="DA14" s="62" t="e">
        <f t="shared" si="48"/>
        <v>#DIV/0!</v>
      </c>
      <c r="DC14" s="64" t="s">
        <v>46</v>
      </c>
      <c r="DD14" s="198">
        <f t="shared" si="49"/>
        <v>0</v>
      </c>
      <c r="DE14" s="199">
        <f t="shared" si="50"/>
        <v>0</v>
      </c>
      <c r="DF14" s="198">
        <f t="shared" si="51"/>
        <v>0</v>
      </c>
      <c r="DG14" s="199">
        <f t="shared" si="52"/>
        <v>0</v>
      </c>
      <c r="DH14" s="198">
        <f t="shared" si="53"/>
        <v>0</v>
      </c>
      <c r="DI14" s="199">
        <f t="shared" si="54"/>
        <v>0</v>
      </c>
      <c r="DJ14" s="198">
        <f t="shared" si="55"/>
        <v>0</v>
      </c>
      <c r="DK14" s="199">
        <f t="shared" si="56"/>
        <v>0</v>
      </c>
      <c r="DL14" s="198">
        <f t="shared" si="57"/>
        <v>0</v>
      </c>
      <c r="DM14" s="199">
        <f t="shared" si="58"/>
        <v>0</v>
      </c>
      <c r="DN14" s="198">
        <f t="shared" si="59"/>
        <v>0</v>
      </c>
      <c r="DO14" s="199">
        <f t="shared" si="60"/>
        <v>0</v>
      </c>
      <c r="DP14" s="198">
        <f t="shared" si="61"/>
        <v>0</v>
      </c>
      <c r="DQ14" s="199">
        <f t="shared" si="62"/>
        <v>0</v>
      </c>
      <c r="DR14" s="198">
        <f t="shared" si="63"/>
        <v>0</v>
      </c>
      <c r="DS14" s="199">
        <f t="shared" si="64"/>
        <v>0</v>
      </c>
      <c r="DT14" s="198">
        <f t="shared" si="65"/>
        <v>0</v>
      </c>
      <c r="DU14" s="199">
        <f t="shared" si="66"/>
        <v>0</v>
      </c>
      <c r="DV14" s="198">
        <f t="shared" si="67"/>
        <v>0</v>
      </c>
      <c r="DW14" s="199">
        <f t="shared" si="68"/>
        <v>0</v>
      </c>
      <c r="DX14" s="198">
        <f t="shared" si="69"/>
        <v>0</v>
      </c>
      <c r="DY14" s="199">
        <f t="shared" si="70"/>
        <v>0</v>
      </c>
      <c r="DZ14" s="190">
        <f t="shared" si="71"/>
        <v>0</v>
      </c>
      <c r="EA14" s="199">
        <f t="shared" si="19"/>
        <v>0</v>
      </c>
      <c r="EB14" s="190" t="e">
        <f t="shared" si="72"/>
        <v>#DIV/0!</v>
      </c>
      <c r="EC14" s="190" t="e">
        <f t="shared" si="73"/>
        <v>#DIV/0!</v>
      </c>
    </row>
    <row r="15" spans="1:133" x14ac:dyDescent="0.2">
      <c r="A15" s="64" t="s">
        <v>47</v>
      </c>
      <c r="B15" s="38">
        <f>targets!AW16</f>
        <v>0</v>
      </c>
      <c r="C15" s="242">
        <f>targets!AX16</f>
        <v>0</v>
      </c>
      <c r="D15" s="242">
        <f>targets!AY16</f>
        <v>0</v>
      </c>
      <c r="E15" s="242">
        <f>targets!AZ16</f>
        <v>0</v>
      </c>
      <c r="F15" s="242">
        <f>targets!BA16</f>
        <v>0</v>
      </c>
      <c r="G15" s="41">
        <f>SUM(targets!BB16:BG16)</f>
        <v>124.8749584245983</v>
      </c>
      <c r="H15" s="242">
        <f>SUM(targets!BH16:BM16)</f>
        <v>0</v>
      </c>
      <c r="I15" s="243">
        <f t="shared" si="20"/>
        <v>124.8749584245983</v>
      </c>
      <c r="J15" s="242">
        <f>targets!BN16</f>
        <v>0</v>
      </c>
      <c r="K15" s="242">
        <f>targets!BO16</f>
        <v>0</v>
      </c>
      <c r="L15" s="242">
        <f>targets!BP16</f>
        <v>0</v>
      </c>
      <c r="M15" s="178">
        <f t="shared" si="21"/>
        <v>0</v>
      </c>
      <c r="N15" s="17">
        <f t="shared" si="22"/>
        <v>124.8749584245983</v>
      </c>
      <c r="O15" s="17"/>
      <c r="P15" s="17"/>
      <c r="Q15" s="64" t="s">
        <v>47</v>
      </c>
      <c r="R15" s="38">
        <f t="shared" si="23"/>
        <v>0</v>
      </c>
      <c r="S15" s="242">
        <f t="shared" si="0"/>
        <v>0</v>
      </c>
      <c r="T15" s="242">
        <f t="shared" si="1"/>
        <v>0</v>
      </c>
      <c r="U15" s="242">
        <f t="shared" si="2"/>
        <v>0</v>
      </c>
      <c r="V15" s="242">
        <f t="shared" si="3"/>
        <v>0</v>
      </c>
      <c r="W15" s="41">
        <f t="shared" si="4"/>
        <v>0</v>
      </c>
      <c r="X15" s="242">
        <f t="shared" si="5"/>
        <v>0</v>
      </c>
      <c r="Y15" s="243">
        <f t="shared" si="24"/>
        <v>0</v>
      </c>
      <c r="Z15" s="242">
        <f t="shared" si="6"/>
        <v>0</v>
      </c>
      <c r="AA15" s="242">
        <f t="shared" si="7"/>
        <v>0</v>
      </c>
      <c r="AB15" s="242">
        <f t="shared" si="8"/>
        <v>0</v>
      </c>
      <c r="AC15" s="178">
        <f t="shared" si="74"/>
        <v>0</v>
      </c>
      <c r="AD15" s="17">
        <f t="shared" si="25"/>
        <v>0</v>
      </c>
      <c r="AF15" s="64" t="s">
        <v>47</v>
      </c>
      <c r="AG15" s="38">
        <f t="array" ref="AG15">SUM(IF((modeldata!$F:$F=calibration!$AF$2)*(modeldata!$G:$G=calibration!AG$4)*(modeldata!$H:$H=calibration!$AF15),modeldata!$E:$E,0))</f>
        <v>0</v>
      </c>
      <c r="AH15" s="242">
        <f t="array" ref="AH15">SUM(IF((modeldata!$F:$F=calibration!$AF$2)*(modeldata!$G:$G=calibration!AH$4)*(modeldata!$H:$H=calibration!$AF15),modeldata!$E:$E,0))</f>
        <v>0</v>
      </c>
      <c r="AI15" s="242">
        <f t="array" ref="AI15">SUM(IF((modeldata!$F:$F=calibration!$AF$2)*(modeldata!$G:$G=calibration!AI$4)*(modeldata!$H:$H=calibration!$AF15),modeldata!$E:$E,0))</f>
        <v>0</v>
      </c>
      <c r="AJ15" s="242">
        <f t="array" ref="AJ15">SUM(IF((modeldata!$F:$F=calibration!$AF$2)*(modeldata!$G:$G=calibration!AJ$4)*(modeldata!$H:$H=calibration!$AF15),modeldata!$E:$E,0))</f>
        <v>0</v>
      </c>
      <c r="AK15" s="242">
        <f t="array" ref="AK15">SUM(IF((modeldata!$F:$F=calibration!$AF$2)*(modeldata!$G:$G=calibration!AK$4)*(modeldata!$H:$H=calibration!$AF15),modeldata!$E:$E,0))</f>
        <v>0</v>
      </c>
      <c r="AL15" s="41">
        <f t="array" ref="AL15">SUM(IF((modeldata!$F:$F=calibration!$AF$2)*(modeldata!$G:$G=calibration!AL$4)*(modeldata!$H:$H=calibration!$AF15),modeldata!$E:$E,0))</f>
        <v>0</v>
      </c>
      <c r="AM15" s="242">
        <f t="array" ref="AM15">SUM(IF((modeldata!$F:$F=calibration!$AF$2)*(modeldata!$G:$G=calibration!AM$4)*(modeldata!$H:$H=calibration!$AF15),modeldata!$E:$E,0))</f>
        <v>0</v>
      </c>
      <c r="AN15" s="243">
        <f>AL15+AM15+AL23+AM23</f>
        <v>0</v>
      </c>
      <c r="AO15" s="242">
        <f t="array" ref="AO15">SUM(IF((modeldata!$F:$F=calibration!$AF$2)*(modeldata!$G:$G=calibration!AO$4)*(modeldata!$H:$H=calibration!$AF15),modeldata!$E:$E,0))</f>
        <v>0</v>
      </c>
      <c r="AP15" s="242">
        <f t="array" ref="AP15">SUM(IF((modeldata!$F:$F=calibration!$AF$2)*(modeldata!$G:$G=calibration!AP$4)*(modeldata!$H:$H=calibration!$AF15),modeldata!$E:$E,0))</f>
        <v>0</v>
      </c>
      <c r="AQ15" s="242">
        <f t="array" ref="AQ15">SUM(IF((modeldata!$F:$F=calibration!$AF$2)*(modeldata!$G:$G=calibration!AQ$4)*(modeldata!$H:$H=calibration!$AF15),modeldata!$E:$E,0))</f>
        <v>0</v>
      </c>
      <c r="AR15" s="178">
        <f t="shared" si="75"/>
        <v>0</v>
      </c>
      <c r="AS15" s="17">
        <f t="shared" si="27"/>
        <v>0</v>
      </c>
      <c r="AU15" s="64" t="s">
        <v>47</v>
      </c>
      <c r="AV15" s="38">
        <f t="shared" ref="AV15:BG15" si="94">IF(R25&gt;0,R15/R25,0)</f>
        <v>0</v>
      </c>
      <c r="AW15" s="242">
        <f t="shared" si="94"/>
        <v>0</v>
      </c>
      <c r="AX15" s="242">
        <f t="shared" si="94"/>
        <v>0</v>
      </c>
      <c r="AY15" s="242">
        <f t="shared" si="94"/>
        <v>0</v>
      </c>
      <c r="AZ15" s="242">
        <f t="shared" si="94"/>
        <v>0</v>
      </c>
      <c r="BA15" s="41">
        <f t="shared" si="94"/>
        <v>0</v>
      </c>
      <c r="BB15" s="242">
        <f t="shared" si="94"/>
        <v>0</v>
      </c>
      <c r="BC15" s="243">
        <f t="shared" si="94"/>
        <v>0</v>
      </c>
      <c r="BD15" s="242">
        <f t="shared" si="94"/>
        <v>0</v>
      </c>
      <c r="BE15" s="242">
        <f t="shared" si="94"/>
        <v>0</v>
      </c>
      <c r="BF15" s="242">
        <f t="shared" si="94"/>
        <v>0</v>
      </c>
      <c r="BG15" s="178">
        <f t="shared" si="94"/>
        <v>0</v>
      </c>
      <c r="BH15" s="24" t="e">
        <f>AD15/AD25</f>
        <v>#DIV/0!</v>
      </c>
      <c r="BJ15" s="64" t="s">
        <v>47</v>
      </c>
      <c r="BK15" s="38">
        <f t="shared" ref="BK15:BV15" si="95">IF(AG25&gt;0,AG15/AG25,0)</f>
        <v>0</v>
      </c>
      <c r="BL15" s="242">
        <f t="shared" si="95"/>
        <v>0</v>
      </c>
      <c r="BM15" s="242">
        <f t="shared" si="95"/>
        <v>0</v>
      </c>
      <c r="BN15" s="242">
        <f t="shared" si="95"/>
        <v>0</v>
      </c>
      <c r="BO15" s="242">
        <f t="shared" si="95"/>
        <v>0</v>
      </c>
      <c r="BP15" s="41">
        <f t="shared" si="95"/>
        <v>0</v>
      </c>
      <c r="BQ15" s="242">
        <f t="shared" si="95"/>
        <v>0</v>
      </c>
      <c r="BR15" s="243">
        <f t="shared" si="95"/>
        <v>0</v>
      </c>
      <c r="BS15" s="242">
        <f t="shared" si="95"/>
        <v>0</v>
      </c>
      <c r="BT15" s="242">
        <f t="shared" si="95"/>
        <v>0</v>
      </c>
      <c r="BU15" s="242">
        <f t="shared" si="95"/>
        <v>0</v>
      </c>
      <c r="BV15" s="178">
        <f t="shared" si="95"/>
        <v>0</v>
      </c>
      <c r="BW15" s="24" t="e">
        <f>AS15/AS25</f>
        <v>#DIV/0!</v>
      </c>
      <c r="BX15" s="24"/>
      <c r="BY15" s="64" t="s">
        <v>47</v>
      </c>
      <c r="BZ15" s="54">
        <f t="shared" si="30"/>
        <v>0</v>
      </c>
      <c r="CA15" s="55">
        <f t="shared" si="31"/>
        <v>0</v>
      </c>
      <c r="CB15" s="55">
        <f t="shared" si="32"/>
        <v>0</v>
      </c>
      <c r="CC15" s="55">
        <f t="shared" si="33"/>
        <v>0</v>
      </c>
      <c r="CD15" s="55">
        <f t="shared" si="34"/>
        <v>0</v>
      </c>
      <c r="CE15" s="61">
        <f t="shared" si="35"/>
        <v>0</v>
      </c>
      <c r="CF15" s="55">
        <f t="shared" si="36"/>
        <v>0</v>
      </c>
      <c r="CG15" s="55">
        <f t="shared" si="37"/>
        <v>0</v>
      </c>
      <c r="CH15" s="55">
        <f t="shared" si="38"/>
        <v>0</v>
      </c>
      <c r="CI15" s="55">
        <f t="shared" si="39"/>
        <v>0</v>
      </c>
      <c r="CJ15" s="55">
        <f t="shared" si="40"/>
        <v>0</v>
      </c>
      <c r="CK15" s="249">
        <f t="shared" si="40"/>
        <v>0</v>
      </c>
      <c r="CL15" s="55">
        <f t="shared" si="41"/>
        <v>0</v>
      </c>
      <c r="CN15" s="64" t="s">
        <v>47</v>
      </c>
      <c r="CO15" s="54">
        <f t="shared" si="42"/>
        <v>0</v>
      </c>
      <c r="CP15" s="55">
        <f t="shared" si="13"/>
        <v>0</v>
      </c>
      <c r="CQ15" s="55">
        <f t="shared" si="14"/>
        <v>0</v>
      </c>
      <c r="CR15" s="55">
        <f t="shared" si="15"/>
        <v>0</v>
      </c>
      <c r="CS15" s="55">
        <f t="shared" si="16"/>
        <v>0</v>
      </c>
      <c r="CT15" s="61">
        <f t="shared" si="17"/>
        <v>0</v>
      </c>
      <c r="CU15" s="55">
        <f t="shared" si="43"/>
        <v>0</v>
      </c>
      <c r="CV15" s="55">
        <f t="shared" si="44"/>
        <v>0</v>
      </c>
      <c r="CW15" s="55">
        <f t="shared" si="45"/>
        <v>0</v>
      </c>
      <c r="CX15" s="55">
        <f t="shared" si="46"/>
        <v>0</v>
      </c>
      <c r="CY15" s="55">
        <f t="shared" si="47"/>
        <v>0</v>
      </c>
      <c r="CZ15" s="249">
        <f t="shared" si="47"/>
        <v>0</v>
      </c>
      <c r="DA15" s="62" t="e">
        <f t="shared" si="48"/>
        <v>#DIV/0!</v>
      </c>
      <c r="DC15" s="64" t="s">
        <v>47</v>
      </c>
      <c r="DD15" s="198">
        <f t="shared" si="49"/>
        <v>0</v>
      </c>
      <c r="DE15" s="199">
        <f t="shared" si="50"/>
        <v>0</v>
      </c>
      <c r="DF15" s="198">
        <f t="shared" si="51"/>
        <v>0</v>
      </c>
      <c r="DG15" s="199">
        <f t="shared" si="52"/>
        <v>0</v>
      </c>
      <c r="DH15" s="198">
        <f t="shared" si="53"/>
        <v>0</v>
      </c>
      <c r="DI15" s="199">
        <f t="shared" si="54"/>
        <v>0</v>
      </c>
      <c r="DJ15" s="198">
        <f t="shared" si="55"/>
        <v>0</v>
      </c>
      <c r="DK15" s="199">
        <f t="shared" si="56"/>
        <v>0</v>
      </c>
      <c r="DL15" s="198">
        <f t="shared" si="57"/>
        <v>0</v>
      </c>
      <c r="DM15" s="199">
        <f t="shared" si="58"/>
        <v>0</v>
      </c>
      <c r="DN15" s="200">
        <f t="shared" si="59"/>
        <v>0</v>
      </c>
      <c r="DO15" s="201">
        <f t="shared" si="60"/>
        <v>0</v>
      </c>
      <c r="DP15" s="198">
        <f t="shared" si="61"/>
        <v>0</v>
      </c>
      <c r="DQ15" s="199">
        <f t="shared" si="62"/>
        <v>0</v>
      </c>
      <c r="DR15" s="198">
        <f t="shared" si="63"/>
        <v>0</v>
      </c>
      <c r="DS15" s="199">
        <f t="shared" si="64"/>
        <v>0</v>
      </c>
      <c r="DT15" s="198">
        <f t="shared" si="65"/>
        <v>0</v>
      </c>
      <c r="DU15" s="199">
        <f t="shared" si="66"/>
        <v>0</v>
      </c>
      <c r="DV15" s="198">
        <f t="shared" si="67"/>
        <v>0</v>
      </c>
      <c r="DW15" s="199">
        <f t="shared" si="68"/>
        <v>0</v>
      </c>
      <c r="DX15" s="198">
        <f t="shared" si="69"/>
        <v>0</v>
      </c>
      <c r="DY15" s="199">
        <f t="shared" si="70"/>
        <v>0</v>
      </c>
      <c r="DZ15" s="190">
        <f t="shared" si="71"/>
        <v>0</v>
      </c>
      <c r="EA15" s="199">
        <f t="shared" si="19"/>
        <v>0</v>
      </c>
      <c r="EB15" s="190" t="e">
        <f t="shared" si="72"/>
        <v>#DIV/0!</v>
      </c>
      <c r="EC15" s="190" t="e">
        <f t="shared" si="73"/>
        <v>#DIV/0!</v>
      </c>
    </row>
    <row r="16" spans="1:133" x14ac:dyDescent="0.2">
      <c r="A16" s="66" t="s">
        <v>40</v>
      </c>
      <c r="B16" s="38">
        <f>targets!AW17</f>
        <v>0</v>
      </c>
      <c r="C16" s="242">
        <f>targets!AX17</f>
        <v>0</v>
      </c>
      <c r="D16" s="242">
        <f>targets!AY17</f>
        <v>0</v>
      </c>
      <c r="E16" s="242">
        <f>targets!AZ17</f>
        <v>0</v>
      </c>
      <c r="F16" s="242">
        <f>targets!BA17</f>
        <v>0</v>
      </c>
      <c r="G16" s="242">
        <f>SUM(targets!BB17:BG17)</f>
        <v>0</v>
      </c>
      <c r="H16" s="39">
        <f>SUM(targets!BH17:BM17)</f>
        <v>5514.7877112794786</v>
      </c>
      <c r="I16" s="243">
        <f t="shared" si="20"/>
        <v>5514.7877112794786</v>
      </c>
      <c r="J16" s="242">
        <f>targets!BN17</f>
        <v>0</v>
      </c>
      <c r="K16" s="242">
        <f>targets!BO17</f>
        <v>0</v>
      </c>
      <c r="L16" s="242">
        <f>targets!BP17</f>
        <v>0</v>
      </c>
      <c r="M16" s="178">
        <f t="shared" si="21"/>
        <v>0</v>
      </c>
      <c r="N16" s="17">
        <f t="shared" si="22"/>
        <v>5514.7877112794786</v>
      </c>
      <c r="O16" s="17"/>
      <c r="P16" s="17"/>
      <c r="Q16" s="66" t="s">
        <v>40</v>
      </c>
      <c r="R16" s="38">
        <f t="shared" si="23"/>
        <v>0</v>
      </c>
      <c r="S16" s="242">
        <f t="shared" si="0"/>
        <v>0</v>
      </c>
      <c r="T16" s="242">
        <f t="shared" si="1"/>
        <v>0</v>
      </c>
      <c r="U16" s="242">
        <f t="shared" si="2"/>
        <v>0</v>
      </c>
      <c r="V16" s="242">
        <f t="shared" si="3"/>
        <v>0</v>
      </c>
      <c r="W16" s="242">
        <f t="shared" si="4"/>
        <v>0</v>
      </c>
      <c r="X16" s="39">
        <f t="shared" si="5"/>
        <v>0</v>
      </c>
      <c r="Y16" s="243">
        <f t="shared" si="24"/>
        <v>0</v>
      </c>
      <c r="Z16" s="242">
        <f t="shared" si="6"/>
        <v>0</v>
      </c>
      <c r="AA16" s="242">
        <f t="shared" si="7"/>
        <v>0</v>
      </c>
      <c r="AB16" s="242">
        <f t="shared" si="8"/>
        <v>0</v>
      </c>
      <c r="AC16" s="178">
        <f t="shared" si="74"/>
        <v>0</v>
      </c>
      <c r="AD16" s="17">
        <f t="shared" si="25"/>
        <v>0</v>
      </c>
      <c r="AF16" s="66" t="s">
        <v>40</v>
      </c>
      <c r="AG16" s="38">
        <f t="array" ref="AG16">SUM(IF((modeldata!$F:$F=calibration!$AF$2)*(modeldata!$G:$G=calibration!AG$4)*(modeldata!$H:$H=calibration!$AF16),modeldata!$E:$E,0))</f>
        <v>0</v>
      </c>
      <c r="AH16" s="242">
        <f t="array" ref="AH16">SUM(IF((modeldata!$F:$F=calibration!$AF$2)*(modeldata!$G:$G=calibration!AH$4)*(modeldata!$H:$H=calibration!$AF16),modeldata!$E:$E,0))</f>
        <v>0</v>
      </c>
      <c r="AI16" s="242">
        <f t="array" ref="AI16">SUM(IF((modeldata!$F:$F=calibration!$AF$2)*(modeldata!$G:$G=calibration!AI$4)*(modeldata!$H:$H=calibration!$AF16),modeldata!$E:$E,0))</f>
        <v>0</v>
      </c>
      <c r="AJ16" s="242">
        <f t="array" ref="AJ16">SUM(IF((modeldata!$F:$F=calibration!$AF$2)*(modeldata!$G:$G=calibration!AJ$4)*(modeldata!$H:$H=calibration!$AF16),modeldata!$E:$E,0))</f>
        <v>0</v>
      </c>
      <c r="AK16" s="242">
        <f t="array" ref="AK16">SUM(IF((modeldata!$F:$F=calibration!$AF$2)*(modeldata!$G:$G=calibration!AK$4)*(modeldata!$H:$H=calibration!$AF16),modeldata!$E:$E,0))</f>
        <v>0</v>
      </c>
      <c r="AL16" s="242">
        <f t="array" ref="AL16">SUM(IF((modeldata!$F:$F=calibration!$AF$2)*(modeldata!$G:$G=calibration!AL$4)*(modeldata!$H:$H=calibration!$AF16),modeldata!$E:$E,0))</f>
        <v>0</v>
      </c>
      <c r="AM16" s="39">
        <f t="array" ref="AM16">SUM(IF((modeldata!$F:$F=calibration!$AF$2)*(modeldata!$G:$G=calibration!AM$4)*(modeldata!$H:$H=calibration!$AF16),modeldata!$E:$E,0))</f>
        <v>0</v>
      </c>
      <c r="AN16" s="243"/>
      <c r="AO16" s="242">
        <f t="array" ref="AO16">SUM(IF((modeldata!$F:$F=calibration!$AF$2)*(modeldata!$G:$G=calibration!AO$4)*(modeldata!$H:$H=calibration!$AF16),modeldata!$E:$E,0))</f>
        <v>0</v>
      </c>
      <c r="AP16" s="242">
        <f t="array" ref="AP16">SUM(IF((modeldata!$F:$F=calibration!$AF$2)*(modeldata!$G:$G=calibration!AP$4)*(modeldata!$H:$H=calibration!$AF16),modeldata!$E:$E,0))</f>
        <v>0</v>
      </c>
      <c r="AQ16" s="242">
        <f t="array" ref="AQ16">SUM(IF((modeldata!$F:$F=calibration!$AF$2)*(modeldata!$G:$G=calibration!AQ$4)*(modeldata!$H:$H=calibration!$AF16),modeldata!$E:$E,0))</f>
        <v>0</v>
      </c>
      <c r="AR16" s="178">
        <f t="shared" si="75"/>
        <v>0</v>
      </c>
      <c r="AS16" s="17">
        <f t="shared" si="27"/>
        <v>0</v>
      </c>
      <c r="AU16" s="66" t="s">
        <v>40</v>
      </c>
      <c r="AV16" s="38">
        <f t="shared" ref="AV16:BG16" si="96">IF(R25&gt;0,R16/R25,0)</f>
        <v>0</v>
      </c>
      <c r="AW16" s="242">
        <f t="shared" si="96"/>
        <v>0</v>
      </c>
      <c r="AX16" s="242">
        <f t="shared" si="96"/>
        <v>0</v>
      </c>
      <c r="AY16" s="242">
        <f t="shared" si="96"/>
        <v>0</v>
      </c>
      <c r="AZ16" s="242">
        <f t="shared" si="96"/>
        <v>0</v>
      </c>
      <c r="BA16" s="242">
        <f t="shared" si="96"/>
        <v>0</v>
      </c>
      <c r="BB16" s="39">
        <f t="shared" si="96"/>
        <v>0</v>
      </c>
      <c r="BC16" s="243">
        <f t="shared" si="96"/>
        <v>0</v>
      </c>
      <c r="BD16" s="242">
        <f t="shared" si="96"/>
        <v>0</v>
      </c>
      <c r="BE16" s="242">
        <f t="shared" si="96"/>
        <v>0</v>
      </c>
      <c r="BF16" s="242">
        <f t="shared" si="96"/>
        <v>0</v>
      </c>
      <c r="BG16" s="178">
        <f t="shared" si="96"/>
        <v>0</v>
      </c>
      <c r="BH16" s="24" t="e">
        <f>AD16/AD25</f>
        <v>#DIV/0!</v>
      </c>
      <c r="BJ16" s="66" t="s">
        <v>40</v>
      </c>
      <c r="BK16" s="38">
        <f t="shared" ref="BK16:BV16" si="97">IF(AG25&gt;0,AG16/AG25,0)</f>
        <v>0</v>
      </c>
      <c r="BL16" s="242">
        <f t="shared" si="97"/>
        <v>0</v>
      </c>
      <c r="BM16" s="242">
        <f t="shared" si="97"/>
        <v>0</v>
      </c>
      <c r="BN16" s="242">
        <f t="shared" si="97"/>
        <v>0</v>
      </c>
      <c r="BO16" s="242">
        <f t="shared" si="97"/>
        <v>0</v>
      </c>
      <c r="BP16" s="242">
        <f t="shared" si="97"/>
        <v>0</v>
      </c>
      <c r="BQ16" s="39">
        <f t="shared" si="97"/>
        <v>0</v>
      </c>
      <c r="BR16" s="243">
        <f t="shared" si="97"/>
        <v>0</v>
      </c>
      <c r="BS16" s="242">
        <f t="shared" si="97"/>
        <v>0</v>
      </c>
      <c r="BT16" s="242">
        <f t="shared" si="97"/>
        <v>0</v>
      </c>
      <c r="BU16" s="242">
        <f t="shared" si="97"/>
        <v>0</v>
      </c>
      <c r="BV16" s="178">
        <f t="shared" si="97"/>
        <v>0</v>
      </c>
      <c r="BW16" s="24" t="e">
        <f>AS16/AS25</f>
        <v>#DIV/0!</v>
      </c>
      <c r="BX16" s="24"/>
      <c r="BY16" s="66" t="s">
        <v>40</v>
      </c>
      <c r="BZ16" s="54">
        <f t="shared" si="30"/>
        <v>0</v>
      </c>
      <c r="CA16" s="55">
        <f t="shared" si="31"/>
        <v>0</v>
      </c>
      <c r="CB16" s="55">
        <f t="shared" si="32"/>
        <v>0</v>
      </c>
      <c r="CC16" s="55">
        <f t="shared" si="33"/>
        <v>0</v>
      </c>
      <c r="CD16" s="55">
        <f t="shared" si="34"/>
        <v>0</v>
      </c>
      <c r="CE16" s="55">
        <f t="shared" si="35"/>
        <v>0</v>
      </c>
      <c r="CF16" s="59">
        <f t="shared" si="36"/>
        <v>0</v>
      </c>
      <c r="CG16" s="55">
        <f t="shared" si="37"/>
        <v>0</v>
      </c>
      <c r="CH16" s="55">
        <f t="shared" si="38"/>
        <v>0</v>
      </c>
      <c r="CI16" s="55">
        <f t="shared" si="39"/>
        <v>0</v>
      </c>
      <c r="CJ16" s="55">
        <f t="shared" si="40"/>
        <v>0</v>
      </c>
      <c r="CK16" s="249">
        <f t="shared" si="40"/>
        <v>0</v>
      </c>
      <c r="CL16" s="55">
        <f t="shared" si="41"/>
        <v>0</v>
      </c>
      <c r="CN16" s="66" t="s">
        <v>40</v>
      </c>
      <c r="CO16" s="54">
        <f t="shared" si="42"/>
        <v>0</v>
      </c>
      <c r="CP16" s="55">
        <f t="shared" si="13"/>
        <v>0</v>
      </c>
      <c r="CQ16" s="55">
        <f t="shared" si="14"/>
        <v>0</v>
      </c>
      <c r="CR16" s="55">
        <f t="shared" si="15"/>
        <v>0</v>
      </c>
      <c r="CS16" s="55">
        <f t="shared" si="16"/>
        <v>0</v>
      </c>
      <c r="CT16" s="55">
        <f t="shared" si="17"/>
        <v>0</v>
      </c>
      <c r="CU16" s="59">
        <f t="shared" si="43"/>
        <v>0</v>
      </c>
      <c r="CV16" s="55">
        <f t="shared" si="44"/>
        <v>0</v>
      </c>
      <c r="CW16" s="55">
        <f t="shared" si="45"/>
        <v>0</v>
      </c>
      <c r="CX16" s="55">
        <f t="shared" si="46"/>
        <v>0</v>
      </c>
      <c r="CY16" s="55">
        <f t="shared" si="47"/>
        <v>0</v>
      </c>
      <c r="CZ16" s="249">
        <f t="shared" si="47"/>
        <v>0</v>
      </c>
      <c r="DA16" s="62" t="e">
        <f t="shared" si="48"/>
        <v>#DIV/0!</v>
      </c>
      <c r="DC16" s="66" t="s">
        <v>40</v>
      </c>
      <c r="DD16" s="198">
        <f t="shared" si="49"/>
        <v>0</v>
      </c>
      <c r="DE16" s="199">
        <f t="shared" si="50"/>
        <v>0</v>
      </c>
      <c r="DF16" s="198">
        <f t="shared" si="51"/>
        <v>0</v>
      </c>
      <c r="DG16" s="199">
        <f t="shared" si="52"/>
        <v>0</v>
      </c>
      <c r="DH16" s="198">
        <f t="shared" si="53"/>
        <v>0</v>
      </c>
      <c r="DI16" s="199">
        <f t="shared" si="54"/>
        <v>0</v>
      </c>
      <c r="DJ16" s="198">
        <f t="shared" si="55"/>
        <v>0</v>
      </c>
      <c r="DK16" s="199">
        <f t="shared" si="56"/>
        <v>0</v>
      </c>
      <c r="DL16" s="198">
        <f t="shared" si="57"/>
        <v>0</v>
      </c>
      <c r="DM16" s="199">
        <f t="shared" si="58"/>
        <v>0</v>
      </c>
      <c r="DN16" s="198">
        <f t="shared" si="59"/>
        <v>0</v>
      </c>
      <c r="DO16" s="199">
        <f t="shared" si="60"/>
        <v>0</v>
      </c>
      <c r="DP16" s="195">
        <f t="shared" si="61"/>
        <v>0</v>
      </c>
      <c r="DQ16" s="196">
        <f t="shared" si="62"/>
        <v>0</v>
      </c>
      <c r="DR16" s="198">
        <f t="shared" si="63"/>
        <v>0</v>
      </c>
      <c r="DS16" s="199">
        <f t="shared" si="64"/>
        <v>0</v>
      </c>
      <c r="DT16" s="198">
        <f t="shared" si="65"/>
        <v>0</v>
      </c>
      <c r="DU16" s="199">
        <f t="shared" si="66"/>
        <v>0</v>
      </c>
      <c r="DV16" s="198">
        <f t="shared" si="67"/>
        <v>0</v>
      </c>
      <c r="DW16" s="199">
        <f t="shared" si="68"/>
        <v>0</v>
      </c>
      <c r="DX16" s="198">
        <f t="shared" si="69"/>
        <v>0</v>
      </c>
      <c r="DY16" s="199">
        <f t="shared" si="70"/>
        <v>0</v>
      </c>
      <c r="DZ16" s="190">
        <f t="shared" si="71"/>
        <v>0</v>
      </c>
      <c r="EA16" s="199">
        <f t="shared" si="19"/>
        <v>0</v>
      </c>
      <c r="EB16" s="190" t="e">
        <f t="shared" si="72"/>
        <v>#DIV/0!</v>
      </c>
      <c r="EC16" s="190" t="e">
        <f t="shared" si="73"/>
        <v>#DIV/0!</v>
      </c>
    </row>
    <row r="17" spans="1:133" ht="25.5" x14ac:dyDescent="0.2">
      <c r="A17" s="66" t="s">
        <v>345</v>
      </c>
      <c r="B17" s="38">
        <f>targets!AW18</f>
        <v>0</v>
      </c>
      <c r="C17" s="242">
        <f>targets!AX18</f>
        <v>0</v>
      </c>
      <c r="D17" s="242">
        <f>targets!AY18</f>
        <v>0</v>
      </c>
      <c r="E17" s="242">
        <f>targets!AZ18</f>
        <v>0</v>
      </c>
      <c r="F17" s="242">
        <f>targets!BA18</f>
        <v>0</v>
      </c>
      <c r="G17" s="242">
        <f>SUM(targets!BB18:BG18)</f>
        <v>0</v>
      </c>
      <c r="H17" s="40">
        <f>SUM(targets!BH18:BM18)</f>
        <v>1893.9892469058277</v>
      </c>
      <c r="I17" s="243">
        <f t="shared" si="20"/>
        <v>1893.9892469058277</v>
      </c>
      <c r="J17" s="242">
        <f>targets!BN18</f>
        <v>0</v>
      </c>
      <c r="K17" s="242">
        <f>targets!BO18</f>
        <v>0</v>
      </c>
      <c r="L17" s="242">
        <f>targets!BP18</f>
        <v>0</v>
      </c>
      <c r="M17" s="178">
        <f t="shared" si="21"/>
        <v>0</v>
      </c>
      <c r="N17" s="17">
        <f t="shared" si="22"/>
        <v>1893.9892469058277</v>
      </c>
      <c r="O17" s="17"/>
      <c r="P17" s="17"/>
      <c r="Q17" s="66" t="s">
        <v>345</v>
      </c>
      <c r="R17" s="38">
        <f t="shared" si="23"/>
        <v>0</v>
      </c>
      <c r="S17" s="242">
        <f t="shared" si="0"/>
        <v>0</v>
      </c>
      <c r="T17" s="242">
        <f t="shared" si="1"/>
        <v>0</v>
      </c>
      <c r="U17" s="242">
        <f t="shared" si="2"/>
        <v>0</v>
      </c>
      <c r="V17" s="242">
        <f t="shared" si="3"/>
        <v>0</v>
      </c>
      <c r="W17" s="242">
        <f t="shared" si="4"/>
        <v>0</v>
      </c>
      <c r="X17" s="40">
        <f t="shared" si="5"/>
        <v>0</v>
      </c>
      <c r="Y17" s="243">
        <f t="shared" si="24"/>
        <v>0</v>
      </c>
      <c r="Z17" s="242">
        <f t="shared" si="6"/>
        <v>0</v>
      </c>
      <c r="AA17" s="242">
        <f t="shared" si="7"/>
        <v>0</v>
      </c>
      <c r="AB17" s="242">
        <f t="shared" si="8"/>
        <v>0</v>
      </c>
      <c r="AC17" s="178">
        <f t="shared" si="74"/>
        <v>0</v>
      </c>
      <c r="AD17" s="17">
        <f t="shared" si="25"/>
        <v>0</v>
      </c>
      <c r="AF17" s="66" t="s">
        <v>345</v>
      </c>
      <c r="AG17" s="38" cm="1">
        <f t="array" ref="AG17">SUM(IF((modeldata!$F:$F=calibration!$AF$2)*(modeldata!$G:$G=calibration!AG$4)*(modeldata!$H:$H=calibration!$AF17),modeldata!$E:$E,0))</f>
        <v>0</v>
      </c>
      <c r="AH17" s="242">
        <f t="array" ref="AH17">SUM(IF((modeldata!$F:$F=calibration!$AF$2)*(modeldata!$G:$G=calibration!AH$4)*(modeldata!$H:$H=calibration!$AF17),modeldata!$E:$E,0))</f>
        <v>0</v>
      </c>
      <c r="AI17" s="242">
        <f t="array" ref="AI17">SUM(IF((modeldata!$F:$F=calibration!$AF$2)*(modeldata!$G:$G=calibration!AI$4)*(modeldata!$H:$H=calibration!$AF17),modeldata!$E:$E,0))</f>
        <v>0</v>
      </c>
      <c r="AJ17" s="242">
        <f t="array" ref="AJ17">SUM(IF((modeldata!$F:$F=calibration!$AF$2)*(modeldata!$G:$G=calibration!AJ$4)*(modeldata!$H:$H=calibration!$AF17),modeldata!$E:$E,0))</f>
        <v>0</v>
      </c>
      <c r="AK17" s="242">
        <f t="array" ref="AK17">SUM(IF((modeldata!$F:$F=calibration!$AF$2)*(modeldata!$G:$G=calibration!AK$4)*(modeldata!$H:$H=calibration!$AF17),modeldata!$E:$E,0))</f>
        <v>0</v>
      </c>
      <c r="AL17" s="242">
        <f t="array" ref="AL17">SUM(IF((modeldata!$F:$F=calibration!$AF$2)*(modeldata!$G:$G=calibration!AL$4)*(modeldata!$H:$H=calibration!$AF17),modeldata!$E:$E,0))</f>
        <v>0</v>
      </c>
      <c r="AM17" s="40">
        <f t="array" ref="AM17">SUM(IF((modeldata!$F:$F=calibration!$AF$2)*(modeldata!$G:$G=calibration!AM$4)*(modeldata!$H:$H=calibration!$AF17),modeldata!$E:$E,0))</f>
        <v>0</v>
      </c>
      <c r="AN17" s="243"/>
      <c r="AO17" s="242">
        <f t="array" ref="AO17">SUM(IF((modeldata!$F:$F=calibration!$AF$2)*(modeldata!$G:$G=calibration!AO$4)*(modeldata!$H:$H=calibration!$AF17),modeldata!$E:$E,0))</f>
        <v>0</v>
      </c>
      <c r="AP17" s="242">
        <f t="array" ref="AP17">SUM(IF((modeldata!$F:$F=calibration!$AF$2)*(modeldata!$G:$G=calibration!AP$4)*(modeldata!$H:$H=calibration!$AF17),modeldata!$E:$E,0))</f>
        <v>0</v>
      </c>
      <c r="AQ17" s="242">
        <f t="array" ref="AQ17">SUM(IF((modeldata!$F:$F=calibration!$AF$2)*(modeldata!$G:$G=calibration!AQ$4)*(modeldata!$H:$H=calibration!$AF17),modeldata!$E:$E,0))</f>
        <v>0</v>
      </c>
      <c r="AR17" s="178">
        <f t="shared" si="75"/>
        <v>0</v>
      </c>
      <c r="AS17" s="17">
        <f t="shared" si="27"/>
        <v>0</v>
      </c>
      <c r="AU17" s="66" t="s">
        <v>345</v>
      </c>
      <c r="AV17" s="38">
        <f t="shared" ref="AV17:BG17" si="98">IF(R25&gt;0,R17/R25,0)</f>
        <v>0</v>
      </c>
      <c r="AW17" s="242">
        <f t="shared" si="98"/>
        <v>0</v>
      </c>
      <c r="AX17" s="242">
        <f t="shared" si="98"/>
        <v>0</v>
      </c>
      <c r="AY17" s="242">
        <f t="shared" si="98"/>
        <v>0</v>
      </c>
      <c r="AZ17" s="242">
        <f t="shared" si="98"/>
        <v>0</v>
      </c>
      <c r="BA17" s="242">
        <f t="shared" si="98"/>
        <v>0</v>
      </c>
      <c r="BB17" s="40">
        <f t="shared" si="98"/>
        <v>0</v>
      </c>
      <c r="BC17" s="243">
        <f t="shared" si="98"/>
        <v>0</v>
      </c>
      <c r="BD17" s="242">
        <f t="shared" si="98"/>
        <v>0</v>
      </c>
      <c r="BE17" s="242">
        <f t="shared" si="98"/>
        <v>0</v>
      </c>
      <c r="BF17" s="242">
        <f t="shared" si="98"/>
        <v>0</v>
      </c>
      <c r="BG17" s="178">
        <f t="shared" si="98"/>
        <v>0</v>
      </c>
      <c r="BH17" s="24" t="e">
        <f>AD17/AD25</f>
        <v>#DIV/0!</v>
      </c>
      <c r="BJ17" s="66" t="s">
        <v>345</v>
      </c>
      <c r="BK17" s="38">
        <f t="shared" ref="BK17:BV17" si="99">IF(AG25&gt;0,AG17/AG25,0)</f>
        <v>0</v>
      </c>
      <c r="BL17" s="242">
        <f t="shared" si="99"/>
        <v>0</v>
      </c>
      <c r="BM17" s="242">
        <f t="shared" si="99"/>
        <v>0</v>
      </c>
      <c r="BN17" s="242">
        <f t="shared" si="99"/>
        <v>0</v>
      </c>
      <c r="BO17" s="242">
        <f t="shared" si="99"/>
        <v>0</v>
      </c>
      <c r="BP17" s="242">
        <f t="shared" si="99"/>
        <v>0</v>
      </c>
      <c r="BQ17" s="40">
        <f t="shared" si="99"/>
        <v>0</v>
      </c>
      <c r="BR17" s="243">
        <f t="shared" si="99"/>
        <v>0</v>
      </c>
      <c r="BS17" s="242">
        <f t="shared" si="99"/>
        <v>0</v>
      </c>
      <c r="BT17" s="242">
        <f t="shared" si="99"/>
        <v>0</v>
      </c>
      <c r="BU17" s="242">
        <f t="shared" si="99"/>
        <v>0</v>
      </c>
      <c r="BV17" s="178">
        <f t="shared" si="99"/>
        <v>0</v>
      </c>
      <c r="BW17" s="24" t="e">
        <f>AS17/AS25</f>
        <v>#DIV/0!</v>
      </c>
      <c r="BX17" s="24"/>
      <c r="BY17" s="66" t="s">
        <v>345</v>
      </c>
      <c r="BZ17" s="54">
        <f t="shared" si="30"/>
        <v>0</v>
      </c>
      <c r="CA17" s="55">
        <f t="shared" si="31"/>
        <v>0</v>
      </c>
      <c r="CB17" s="55">
        <f t="shared" si="32"/>
        <v>0</v>
      </c>
      <c r="CC17" s="55">
        <f t="shared" si="33"/>
        <v>0</v>
      </c>
      <c r="CD17" s="55">
        <f t="shared" si="34"/>
        <v>0</v>
      </c>
      <c r="CE17" s="55">
        <f t="shared" si="35"/>
        <v>0</v>
      </c>
      <c r="CF17" s="60">
        <f t="shared" si="36"/>
        <v>0</v>
      </c>
      <c r="CG17" s="55">
        <f t="shared" si="37"/>
        <v>0</v>
      </c>
      <c r="CH17" s="55">
        <f t="shared" si="38"/>
        <v>0</v>
      </c>
      <c r="CI17" s="55">
        <f t="shared" si="39"/>
        <v>0</v>
      </c>
      <c r="CJ17" s="55">
        <f t="shared" si="40"/>
        <v>0</v>
      </c>
      <c r="CK17" s="249">
        <f t="shared" si="40"/>
        <v>0</v>
      </c>
      <c r="CL17" s="55">
        <f t="shared" si="41"/>
        <v>0</v>
      </c>
      <c r="CN17" s="66" t="s">
        <v>345</v>
      </c>
      <c r="CO17" s="54">
        <f t="shared" si="42"/>
        <v>0</v>
      </c>
      <c r="CP17" s="55">
        <f t="shared" si="13"/>
        <v>0</v>
      </c>
      <c r="CQ17" s="55">
        <f t="shared" si="14"/>
        <v>0</v>
      </c>
      <c r="CR17" s="55">
        <f t="shared" si="15"/>
        <v>0</v>
      </c>
      <c r="CS17" s="55">
        <f t="shared" si="16"/>
        <v>0</v>
      </c>
      <c r="CT17" s="55">
        <f t="shared" si="17"/>
        <v>0</v>
      </c>
      <c r="CU17" s="60">
        <f t="shared" si="43"/>
        <v>0</v>
      </c>
      <c r="CV17" s="55">
        <f t="shared" si="44"/>
        <v>0</v>
      </c>
      <c r="CW17" s="55">
        <f t="shared" si="45"/>
        <v>0</v>
      </c>
      <c r="CX17" s="55">
        <f t="shared" si="46"/>
        <v>0</v>
      </c>
      <c r="CY17" s="55">
        <f t="shared" si="47"/>
        <v>0</v>
      </c>
      <c r="CZ17" s="249">
        <f t="shared" si="47"/>
        <v>0</v>
      </c>
      <c r="DA17" s="62" t="e">
        <f t="shared" si="48"/>
        <v>#DIV/0!</v>
      </c>
      <c r="DC17" s="66" t="s">
        <v>345</v>
      </c>
      <c r="DD17" s="198">
        <f t="shared" si="49"/>
        <v>0</v>
      </c>
      <c r="DE17" s="199">
        <f t="shared" si="50"/>
        <v>0</v>
      </c>
      <c r="DF17" s="198">
        <f t="shared" si="51"/>
        <v>0</v>
      </c>
      <c r="DG17" s="199">
        <f t="shared" si="52"/>
        <v>0</v>
      </c>
      <c r="DH17" s="198">
        <f t="shared" si="53"/>
        <v>0</v>
      </c>
      <c r="DI17" s="199">
        <f t="shared" si="54"/>
        <v>0</v>
      </c>
      <c r="DJ17" s="198">
        <f t="shared" si="55"/>
        <v>0</v>
      </c>
      <c r="DK17" s="199">
        <f t="shared" si="56"/>
        <v>0</v>
      </c>
      <c r="DL17" s="198">
        <f t="shared" si="57"/>
        <v>0</v>
      </c>
      <c r="DM17" s="199">
        <f t="shared" si="58"/>
        <v>0</v>
      </c>
      <c r="DN17" s="198">
        <f t="shared" si="59"/>
        <v>0</v>
      </c>
      <c r="DO17" s="199">
        <f t="shared" si="60"/>
        <v>0</v>
      </c>
      <c r="DP17" s="198">
        <f t="shared" si="61"/>
        <v>0</v>
      </c>
      <c r="DQ17" s="199">
        <f t="shared" si="62"/>
        <v>0</v>
      </c>
      <c r="DR17" s="198">
        <f t="shared" si="63"/>
        <v>0</v>
      </c>
      <c r="DS17" s="199">
        <f t="shared" si="64"/>
        <v>0</v>
      </c>
      <c r="DT17" s="198">
        <f t="shared" si="65"/>
        <v>0</v>
      </c>
      <c r="DU17" s="199">
        <f t="shared" si="66"/>
        <v>0</v>
      </c>
      <c r="DV17" s="198">
        <f t="shared" si="67"/>
        <v>0</v>
      </c>
      <c r="DW17" s="199">
        <f t="shared" si="68"/>
        <v>0</v>
      </c>
      <c r="DX17" s="198">
        <f t="shared" si="69"/>
        <v>0</v>
      </c>
      <c r="DY17" s="199">
        <f t="shared" si="70"/>
        <v>0</v>
      </c>
      <c r="DZ17" s="190">
        <f t="shared" si="71"/>
        <v>0</v>
      </c>
      <c r="EA17" s="199">
        <f t="shared" si="19"/>
        <v>0</v>
      </c>
      <c r="EB17" s="190" t="e">
        <f t="shared" si="72"/>
        <v>#DIV/0!</v>
      </c>
      <c r="EC17" s="190" t="e">
        <f t="shared" si="73"/>
        <v>#DIV/0!</v>
      </c>
    </row>
    <row r="18" spans="1:133" x14ac:dyDescent="0.2">
      <c r="A18" s="2" t="s">
        <v>347</v>
      </c>
      <c r="B18" s="38">
        <f>targets!AW19</f>
        <v>0</v>
      </c>
      <c r="C18" s="242">
        <f>targets!AX19</f>
        <v>0</v>
      </c>
      <c r="D18" s="242">
        <f>targets!AY19</f>
        <v>0</v>
      </c>
      <c r="E18" s="242">
        <f>targets!AZ19</f>
        <v>0</v>
      </c>
      <c r="F18" s="242">
        <f>targets!BA19</f>
        <v>0</v>
      </c>
      <c r="G18" s="242">
        <f>SUM(targets!BB19:BG19)</f>
        <v>0</v>
      </c>
      <c r="H18" s="40">
        <f>SUM(targets!BH19:BM19)</f>
        <v>83980.766893813721</v>
      </c>
      <c r="I18" s="243">
        <f>SUM(G18:H18)</f>
        <v>83980.766893813721</v>
      </c>
      <c r="J18" s="242">
        <f>targets!BN19</f>
        <v>0</v>
      </c>
      <c r="K18" s="242">
        <f>targets!BO19</f>
        <v>0</v>
      </c>
      <c r="L18" s="242">
        <f>targets!BP19</f>
        <v>0</v>
      </c>
      <c r="M18" s="178">
        <f>SUM(J18:L18)</f>
        <v>0</v>
      </c>
      <c r="N18" s="17">
        <f>SUM(B18:L18)-I18</f>
        <v>83980.766893813721</v>
      </c>
      <c r="O18" s="17"/>
      <c r="P18" s="17"/>
      <c r="Q18" s="2" t="s">
        <v>347</v>
      </c>
      <c r="R18" s="38">
        <f t="shared" si="23"/>
        <v>0</v>
      </c>
      <c r="S18" s="242">
        <f t="shared" si="0"/>
        <v>0</v>
      </c>
      <c r="T18" s="242">
        <f t="shared" si="1"/>
        <v>0</v>
      </c>
      <c r="U18" s="242">
        <f t="shared" si="2"/>
        <v>0</v>
      </c>
      <c r="V18" s="242">
        <f t="shared" si="3"/>
        <v>0</v>
      </c>
      <c r="W18" s="242">
        <f t="shared" si="4"/>
        <v>0</v>
      </c>
      <c r="X18" s="40">
        <f t="shared" si="5"/>
        <v>0</v>
      </c>
      <c r="Y18" s="243">
        <f>SUM(W18:X18)</f>
        <v>0</v>
      </c>
      <c r="Z18" s="242">
        <f t="shared" si="6"/>
        <v>0</v>
      </c>
      <c r="AA18" s="242">
        <f t="shared" si="7"/>
        <v>0</v>
      </c>
      <c r="AB18" s="242">
        <f t="shared" si="8"/>
        <v>0</v>
      </c>
      <c r="AC18" s="178">
        <f>SUM(Z18:AB18)</f>
        <v>0</v>
      </c>
      <c r="AD18" s="17">
        <f>SUM(R18:AB18)-Y18</f>
        <v>0</v>
      </c>
      <c r="AF18" s="2" t="s">
        <v>347</v>
      </c>
      <c r="AG18" s="38">
        <f t="array" ref="AG18">SUM(IF((modeldata!$F:$F=calibration!$AF$2)*(modeldata!$G:$G=calibration!AG$4)*(modeldata!$H:$H=calibration!$AF18),modeldata!$E:$E,0))</f>
        <v>0</v>
      </c>
      <c r="AH18" s="242">
        <f t="array" ref="AH18">SUM(IF((modeldata!$F:$F=calibration!$AF$2)*(modeldata!$G:$G=calibration!AH$4)*(modeldata!$H:$H=calibration!$AF18),modeldata!$E:$E,0))</f>
        <v>0</v>
      </c>
      <c r="AI18" s="242">
        <f t="array" ref="AI18">SUM(IF((modeldata!$F:$F=calibration!$AF$2)*(modeldata!$G:$G=calibration!AI$4)*(modeldata!$H:$H=calibration!$AF18),modeldata!$E:$E,0))</f>
        <v>0</v>
      </c>
      <c r="AJ18" s="242">
        <f t="array" ref="AJ18">SUM(IF((modeldata!$F:$F=calibration!$AF$2)*(modeldata!$G:$G=calibration!AJ$4)*(modeldata!$H:$H=calibration!$AF18),modeldata!$E:$E,0))</f>
        <v>0</v>
      </c>
      <c r="AK18" s="242">
        <f t="array" ref="AK18">SUM(IF((modeldata!$F:$F=calibration!$AF$2)*(modeldata!$G:$G=calibration!AK$4)*(modeldata!$H:$H=calibration!$AF18),modeldata!$E:$E,0))</f>
        <v>0</v>
      </c>
      <c r="AL18" s="242">
        <f t="array" ref="AL18">SUM(IF((modeldata!$F:$F=calibration!$AF$2)*(modeldata!$G:$G=calibration!AL$4)*(modeldata!$H:$H=calibration!$AF18),modeldata!$E:$E,0))</f>
        <v>0</v>
      </c>
      <c r="AM18" s="40">
        <f t="array" ref="AM18">SUM(IF((modeldata!$F:$F=calibration!$AF$2)*(modeldata!$G:$G=calibration!AM$4)*(modeldata!$H:$H=calibration!$AF18),modeldata!$E:$E,0))</f>
        <v>0</v>
      </c>
      <c r="AN18" s="243">
        <f>AL18+AM18</f>
        <v>0</v>
      </c>
      <c r="AO18" s="242">
        <f t="array" ref="AO18">SUM(IF((modeldata!$F:$F=calibration!$AF$2)*(modeldata!$G:$G=calibration!AO$4)*(modeldata!$H:$H=calibration!$AF18),modeldata!$E:$E,0))</f>
        <v>0</v>
      </c>
      <c r="AP18" s="242">
        <f t="array" ref="AP18">SUM(IF((modeldata!$F:$F=calibration!$AF$2)*(modeldata!$G:$G=calibration!AP$4)*(modeldata!$H:$H=calibration!$AF18),modeldata!$E:$E,0))</f>
        <v>0</v>
      </c>
      <c r="AQ18" s="242">
        <f t="array" ref="AQ18">SUM(IF((modeldata!$F:$F=calibration!$AF$2)*(modeldata!$G:$G=calibration!AQ$4)*(modeldata!$H:$H=calibration!$AF18),modeldata!$E:$E,0))</f>
        <v>0</v>
      </c>
      <c r="AR18" s="178">
        <f>SUM(AO18:AQ18)</f>
        <v>0</v>
      </c>
      <c r="AS18" s="17">
        <f>SUM(AG18:AQ18)-AN18</f>
        <v>0</v>
      </c>
      <c r="AU18" s="2" t="s">
        <v>347</v>
      </c>
      <c r="AV18" s="38">
        <f t="shared" ref="AV18:BG20" si="100">IF(R25&gt;0,R18/R25,0)</f>
        <v>0</v>
      </c>
      <c r="AW18" s="242">
        <f t="shared" si="100"/>
        <v>0</v>
      </c>
      <c r="AX18" s="242">
        <f t="shared" si="100"/>
        <v>0</v>
      </c>
      <c r="AY18" s="242">
        <f t="shared" si="100"/>
        <v>0</v>
      </c>
      <c r="AZ18" s="242">
        <f t="shared" si="100"/>
        <v>0</v>
      </c>
      <c r="BA18" s="242">
        <f t="shared" si="100"/>
        <v>0</v>
      </c>
      <c r="BB18" s="40">
        <f t="shared" si="100"/>
        <v>0</v>
      </c>
      <c r="BC18" s="243">
        <f t="shared" si="100"/>
        <v>0</v>
      </c>
      <c r="BD18" s="242">
        <f t="shared" si="100"/>
        <v>0</v>
      </c>
      <c r="BE18" s="242">
        <f t="shared" si="100"/>
        <v>0</v>
      </c>
      <c r="BF18" s="242">
        <f t="shared" si="100"/>
        <v>0</v>
      </c>
      <c r="BG18" s="178">
        <f t="shared" si="100"/>
        <v>0</v>
      </c>
      <c r="BH18" s="24" t="e">
        <f>AD18/AD25</f>
        <v>#DIV/0!</v>
      </c>
      <c r="BJ18" s="2" t="s">
        <v>347</v>
      </c>
      <c r="BK18" s="38">
        <f t="shared" ref="BK18:BV20" si="101">IF(AG25&gt;0,AG18/AG25,0)</f>
        <v>0</v>
      </c>
      <c r="BL18" s="242">
        <f t="shared" si="101"/>
        <v>0</v>
      </c>
      <c r="BM18" s="242">
        <f t="shared" si="101"/>
        <v>0</v>
      </c>
      <c r="BN18" s="242">
        <f t="shared" si="101"/>
        <v>0</v>
      </c>
      <c r="BO18" s="242">
        <f t="shared" si="101"/>
        <v>0</v>
      </c>
      <c r="BP18" s="242">
        <f t="shared" si="101"/>
        <v>0</v>
      </c>
      <c r="BQ18" s="40">
        <f t="shared" si="101"/>
        <v>0</v>
      </c>
      <c r="BR18" s="243">
        <f t="shared" si="101"/>
        <v>0</v>
      </c>
      <c r="BS18" s="242">
        <f t="shared" si="101"/>
        <v>0</v>
      </c>
      <c r="BT18" s="242">
        <f t="shared" si="101"/>
        <v>0</v>
      </c>
      <c r="BU18" s="242">
        <f t="shared" si="101"/>
        <v>0</v>
      </c>
      <c r="BV18" s="178">
        <f t="shared" si="101"/>
        <v>0</v>
      </c>
      <c r="BW18" s="24" t="e">
        <f>AS18/AS25</f>
        <v>#DIV/0!</v>
      </c>
      <c r="BX18" s="24"/>
      <c r="BY18" s="2" t="s">
        <v>347</v>
      </c>
      <c r="BZ18" s="54">
        <f t="shared" ref="BZ18:CL18" si="102">AG18-R18</f>
        <v>0</v>
      </c>
      <c r="CA18" s="55">
        <f t="shared" si="102"/>
        <v>0</v>
      </c>
      <c r="CB18" s="55">
        <f t="shared" si="102"/>
        <v>0</v>
      </c>
      <c r="CC18" s="55">
        <f t="shared" si="102"/>
        <v>0</v>
      </c>
      <c r="CD18" s="55">
        <f t="shared" si="102"/>
        <v>0</v>
      </c>
      <c r="CE18" s="55">
        <f t="shared" si="102"/>
        <v>0</v>
      </c>
      <c r="CF18" s="60">
        <f t="shared" si="102"/>
        <v>0</v>
      </c>
      <c r="CG18" s="55">
        <f t="shared" si="102"/>
        <v>0</v>
      </c>
      <c r="CH18" s="55">
        <f t="shared" si="102"/>
        <v>0</v>
      </c>
      <c r="CI18" s="55">
        <f t="shared" si="102"/>
        <v>0</v>
      </c>
      <c r="CJ18" s="55">
        <f t="shared" si="102"/>
        <v>0</v>
      </c>
      <c r="CK18" s="249">
        <f t="shared" si="102"/>
        <v>0</v>
      </c>
      <c r="CL18" s="55">
        <f t="shared" si="102"/>
        <v>0</v>
      </c>
      <c r="CN18" s="2" t="s">
        <v>347</v>
      </c>
      <c r="CO18" s="54">
        <f t="shared" ref="CO18:DA18" si="103">BK18-AV18</f>
        <v>0</v>
      </c>
      <c r="CP18" s="55">
        <f t="shared" si="103"/>
        <v>0</v>
      </c>
      <c r="CQ18" s="55">
        <f t="shared" si="103"/>
        <v>0</v>
      </c>
      <c r="CR18" s="55">
        <f t="shared" si="103"/>
        <v>0</v>
      </c>
      <c r="CS18" s="55">
        <f t="shared" si="103"/>
        <v>0</v>
      </c>
      <c r="CT18" s="55">
        <f t="shared" si="103"/>
        <v>0</v>
      </c>
      <c r="CU18" s="60">
        <f t="shared" si="103"/>
        <v>0</v>
      </c>
      <c r="CV18" s="55">
        <f t="shared" si="103"/>
        <v>0</v>
      </c>
      <c r="CW18" s="55">
        <f t="shared" si="103"/>
        <v>0</v>
      </c>
      <c r="CX18" s="55">
        <f t="shared" si="103"/>
        <v>0</v>
      </c>
      <c r="CY18" s="55">
        <f t="shared" si="103"/>
        <v>0</v>
      </c>
      <c r="CZ18" s="249">
        <f t="shared" si="103"/>
        <v>0</v>
      </c>
      <c r="DA18" s="62" t="e">
        <f t="shared" si="103"/>
        <v>#DIV/0!</v>
      </c>
      <c r="DC18" s="2" t="s">
        <v>347</v>
      </c>
      <c r="DD18" s="198">
        <f>AV18</f>
        <v>0</v>
      </c>
      <c r="DE18" s="199">
        <f>BK18</f>
        <v>0</v>
      </c>
      <c r="DF18" s="198">
        <f>AW18</f>
        <v>0</v>
      </c>
      <c r="DG18" s="199">
        <f>BL18</f>
        <v>0</v>
      </c>
      <c r="DH18" s="198">
        <f>AX18</f>
        <v>0</v>
      </c>
      <c r="DI18" s="199">
        <f>BM18</f>
        <v>0</v>
      </c>
      <c r="DJ18" s="198">
        <f>AY18</f>
        <v>0</v>
      </c>
      <c r="DK18" s="199">
        <f>BN18</f>
        <v>0</v>
      </c>
      <c r="DL18" s="198">
        <f>AZ18</f>
        <v>0</v>
      </c>
      <c r="DM18" s="199">
        <f>BO18</f>
        <v>0</v>
      </c>
      <c r="DN18" s="198">
        <f>BA18</f>
        <v>0</v>
      </c>
      <c r="DO18" s="199">
        <f>BP18</f>
        <v>0</v>
      </c>
      <c r="DP18" s="198">
        <f>BB18</f>
        <v>0</v>
      </c>
      <c r="DQ18" s="199">
        <f>BQ18</f>
        <v>0</v>
      </c>
      <c r="DR18" s="198">
        <f>BC18</f>
        <v>0</v>
      </c>
      <c r="DS18" s="199">
        <f>BR18</f>
        <v>0</v>
      </c>
      <c r="DT18" s="198">
        <f>BD18</f>
        <v>0</v>
      </c>
      <c r="DU18" s="199">
        <f>BS18</f>
        <v>0</v>
      </c>
      <c r="DV18" s="198">
        <f>BE18</f>
        <v>0</v>
      </c>
      <c r="DW18" s="199">
        <f>BT18</f>
        <v>0</v>
      </c>
      <c r="DX18" s="198">
        <f>BF18</f>
        <v>0</v>
      </c>
      <c r="DY18" s="199">
        <f>BU18</f>
        <v>0</v>
      </c>
      <c r="DZ18" s="190">
        <f>BG18</f>
        <v>0</v>
      </c>
      <c r="EA18" s="199">
        <f>BV18</f>
        <v>0</v>
      </c>
      <c r="EB18" s="190" t="e">
        <f>BH18</f>
        <v>#DIV/0!</v>
      </c>
      <c r="EC18" s="190" t="e">
        <f>BW18</f>
        <v>#DIV/0!</v>
      </c>
    </row>
    <row r="19" spans="1:133" x14ac:dyDescent="0.2">
      <c r="A19" s="64" t="s">
        <v>50</v>
      </c>
      <c r="B19" s="38">
        <f>targets!AW20</f>
        <v>0</v>
      </c>
      <c r="C19" s="242">
        <f>targets!AX20</f>
        <v>0</v>
      </c>
      <c r="D19" s="242">
        <f>targets!AY20</f>
        <v>0</v>
      </c>
      <c r="E19" s="242">
        <f>targets!AZ20</f>
        <v>0</v>
      </c>
      <c r="F19" s="242">
        <f>targets!BA20</f>
        <v>0</v>
      </c>
      <c r="G19" s="242">
        <f>SUM(targets!BB20:BG20)</f>
        <v>0</v>
      </c>
      <c r="H19" s="40">
        <f>SUM(targets!BH20:BM20)</f>
        <v>28939.253556912179</v>
      </c>
      <c r="I19" s="243">
        <f t="shared" si="20"/>
        <v>28939.253556912179</v>
      </c>
      <c r="J19" s="242">
        <f>targets!BN20</f>
        <v>0</v>
      </c>
      <c r="K19" s="242">
        <f>targets!BO20</f>
        <v>0</v>
      </c>
      <c r="L19" s="242">
        <f>targets!BP20</f>
        <v>0</v>
      </c>
      <c r="M19" s="178">
        <f t="shared" si="21"/>
        <v>0</v>
      </c>
      <c r="N19" s="17">
        <f t="shared" si="22"/>
        <v>28939.253556912179</v>
      </c>
      <c r="O19" s="17"/>
      <c r="P19" s="17"/>
      <c r="Q19" s="64" t="s">
        <v>50</v>
      </c>
      <c r="R19" s="38">
        <f t="shared" si="23"/>
        <v>0</v>
      </c>
      <c r="S19" s="242">
        <f t="shared" si="0"/>
        <v>0</v>
      </c>
      <c r="T19" s="242">
        <f t="shared" si="1"/>
        <v>0</v>
      </c>
      <c r="U19" s="242">
        <f t="shared" si="2"/>
        <v>0</v>
      </c>
      <c r="V19" s="242">
        <f t="shared" si="3"/>
        <v>0</v>
      </c>
      <c r="W19" s="242">
        <f t="shared" si="4"/>
        <v>0</v>
      </c>
      <c r="X19" s="40">
        <f t="shared" si="5"/>
        <v>0</v>
      </c>
      <c r="Y19" s="243">
        <f t="shared" ref="Y19:Y20" si="104">SUM(W19:X19)</f>
        <v>0</v>
      </c>
      <c r="Z19" s="242">
        <f t="shared" si="6"/>
        <v>0</v>
      </c>
      <c r="AA19" s="242">
        <f t="shared" si="7"/>
        <v>0</v>
      </c>
      <c r="AB19" s="242">
        <f t="shared" si="8"/>
        <v>0</v>
      </c>
      <c r="AC19" s="178">
        <f t="shared" ref="AC19:AC20" si="105">SUM(Z19:AB19)</f>
        <v>0</v>
      </c>
      <c r="AD19" s="17">
        <f t="shared" ref="AD19:AD20" si="106">SUM(R19:AB19)-Y19</f>
        <v>0</v>
      </c>
      <c r="AF19" s="64" t="s">
        <v>50</v>
      </c>
      <c r="AG19" s="38" cm="1">
        <f t="array" ref="AG19">SUM(IF((modeldata!$F:$F=calibration!$AF$2)*(modeldata!$G:$G=calibration!AG$4)*(modeldata!$H:$H=calibration!$AF19),modeldata!$E:$E,0))</f>
        <v>0</v>
      </c>
      <c r="AH19" s="242">
        <f t="array" ref="AH19">SUM(IF((modeldata!$F:$F=calibration!$AF$2)*(modeldata!$G:$G=calibration!AH$4)*(modeldata!$H:$H=calibration!$AF19),modeldata!$E:$E,0))</f>
        <v>0</v>
      </c>
      <c r="AI19" s="242">
        <f t="array" ref="AI19">SUM(IF((modeldata!$F:$F=calibration!$AF$2)*(modeldata!$G:$G=calibration!AI$4)*(modeldata!$H:$H=calibration!$AF19),modeldata!$E:$E,0))</f>
        <v>0</v>
      </c>
      <c r="AJ19" s="242">
        <f t="array" ref="AJ19">SUM(IF((modeldata!$F:$F=calibration!$AF$2)*(modeldata!$G:$G=calibration!AJ$4)*(modeldata!$H:$H=calibration!$AF19),modeldata!$E:$E,0))</f>
        <v>0</v>
      </c>
      <c r="AK19" s="242">
        <f t="array" ref="AK19">SUM(IF((modeldata!$F:$F=calibration!$AF$2)*(modeldata!$G:$G=calibration!AK$4)*(modeldata!$H:$H=calibration!$AF19),modeldata!$E:$E,0))</f>
        <v>0</v>
      </c>
      <c r="AL19" s="242">
        <f t="array" ref="AL19">SUM(IF((modeldata!$F:$F=calibration!$AF$2)*(modeldata!$G:$G=calibration!AL$4)*(modeldata!$H:$H=calibration!$AF19),modeldata!$E:$E,0))</f>
        <v>0</v>
      </c>
      <c r="AM19" s="40">
        <f t="array" ref="AM19">SUM(IF((modeldata!$F:$F=calibration!$AF$2)*(modeldata!$G:$G=calibration!AM$4)*(modeldata!$H:$H=calibration!$AF19),modeldata!$E:$E,0))</f>
        <v>0</v>
      </c>
      <c r="AN19" s="243"/>
      <c r="AO19" s="242">
        <f t="array" ref="AO19">SUM(IF((modeldata!$F:$F=calibration!$AF$2)*(modeldata!$G:$G=calibration!AO$4)*(modeldata!$H:$H=calibration!$AF19),modeldata!$E:$E,0))</f>
        <v>0</v>
      </c>
      <c r="AP19" s="242">
        <f t="array" ref="AP19">SUM(IF((modeldata!$F:$F=calibration!$AF$2)*(modeldata!$G:$G=calibration!AP$4)*(modeldata!$H:$H=calibration!$AF19),modeldata!$E:$E,0))</f>
        <v>0</v>
      </c>
      <c r="AQ19" s="242">
        <f t="array" ref="AQ19">SUM(IF((modeldata!$F:$F=calibration!$AF$2)*(modeldata!$G:$G=calibration!AQ$4)*(modeldata!$H:$H=calibration!$AF19),modeldata!$E:$E,0))</f>
        <v>0</v>
      </c>
      <c r="AR19" s="178">
        <f t="shared" ref="AR19:AR20" si="107">SUM(AO19:AQ19)</f>
        <v>0</v>
      </c>
      <c r="AS19" s="17">
        <f t="shared" si="27"/>
        <v>0</v>
      </c>
      <c r="AU19" s="64" t="s">
        <v>50</v>
      </c>
      <c r="AV19" s="38">
        <f t="shared" si="100"/>
        <v>0</v>
      </c>
      <c r="AW19" s="242">
        <f t="shared" si="100"/>
        <v>0</v>
      </c>
      <c r="AX19" s="242">
        <f t="shared" si="100"/>
        <v>0</v>
      </c>
      <c r="AY19" s="242">
        <f t="shared" si="100"/>
        <v>0</v>
      </c>
      <c r="AZ19" s="242">
        <f t="shared" si="100"/>
        <v>0</v>
      </c>
      <c r="BA19" s="242">
        <f t="shared" si="100"/>
        <v>0</v>
      </c>
      <c r="BB19" s="40">
        <f t="shared" si="100"/>
        <v>0</v>
      </c>
      <c r="BC19" s="243">
        <f t="shared" si="100"/>
        <v>0</v>
      </c>
      <c r="BD19" s="242">
        <f t="shared" si="100"/>
        <v>0</v>
      </c>
      <c r="BE19" s="242">
        <f t="shared" si="100"/>
        <v>0</v>
      </c>
      <c r="BF19" s="242">
        <f t="shared" si="100"/>
        <v>0</v>
      </c>
      <c r="BG19" s="178">
        <f t="shared" si="100"/>
        <v>0</v>
      </c>
      <c r="BH19" s="24" t="e">
        <f>AD19/AD26</f>
        <v>#DIV/0!</v>
      </c>
      <c r="BJ19" s="64" t="s">
        <v>50</v>
      </c>
      <c r="BK19" s="38">
        <f t="shared" si="101"/>
        <v>0</v>
      </c>
      <c r="BL19" s="242">
        <f t="shared" si="101"/>
        <v>0</v>
      </c>
      <c r="BM19" s="242">
        <f t="shared" si="101"/>
        <v>0</v>
      </c>
      <c r="BN19" s="242">
        <f t="shared" si="101"/>
        <v>0</v>
      </c>
      <c r="BO19" s="242">
        <f t="shared" si="101"/>
        <v>0</v>
      </c>
      <c r="BP19" s="242">
        <f t="shared" si="101"/>
        <v>0</v>
      </c>
      <c r="BQ19" s="40">
        <f t="shared" si="101"/>
        <v>0</v>
      </c>
      <c r="BR19" s="243">
        <f t="shared" si="101"/>
        <v>0</v>
      </c>
      <c r="BS19" s="242">
        <f t="shared" si="101"/>
        <v>0</v>
      </c>
      <c r="BT19" s="242">
        <f t="shared" si="101"/>
        <v>0</v>
      </c>
      <c r="BU19" s="242">
        <f t="shared" si="101"/>
        <v>0</v>
      </c>
      <c r="BV19" s="178">
        <f t="shared" si="101"/>
        <v>0</v>
      </c>
      <c r="BW19" s="24" t="e">
        <f>AS19/AS26</f>
        <v>#DIV/0!</v>
      </c>
      <c r="BX19" s="24"/>
      <c r="BY19" s="64" t="s">
        <v>50</v>
      </c>
      <c r="BZ19" s="54">
        <f t="shared" ref="BZ19:BZ20" si="108">AG19-R19</f>
        <v>0</v>
      </c>
      <c r="CA19" s="55">
        <f t="shared" ref="CA19:CA20" si="109">AH19-S19</f>
        <v>0</v>
      </c>
      <c r="CB19" s="55">
        <f t="shared" ref="CB19:CB20" si="110">AI19-T19</f>
        <v>0</v>
      </c>
      <c r="CC19" s="55">
        <f t="shared" ref="CC19:CC20" si="111">AJ19-U19</f>
        <v>0</v>
      </c>
      <c r="CD19" s="55">
        <f t="shared" ref="CD19:CD20" si="112">AK19-V19</f>
        <v>0</v>
      </c>
      <c r="CE19" s="55">
        <f t="shared" ref="CE19:CE20" si="113">AL19-W19</f>
        <v>0</v>
      </c>
      <c r="CF19" s="60">
        <f t="shared" ref="CF19:CF20" si="114">AM19-X19</f>
        <v>0</v>
      </c>
      <c r="CG19" s="55">
        <f t="shared" ref="CG19:CG20" si="115">AN19-Y19</f>
        <v>0</v>
      </c>
      <c r="CH19" s="55">
        <f t="shared" ref="CH19:CH20" si="116">AO19-Z19</f>
        <v>0</v>
      </c>
      <c r="CI19" s="55">
        <f t="shared" ref="CI19:CI20" si="117">AP19-AA19</f>
        <v>0</v>
      </c>
      <c r="CJ19" s="55">
        <f t="shared" ref="CJ19:CJ20" si="118">AQ19-AB19</f>
        <v>0</v>
      </c>
      <c r="CK19" s="249">
        <f t="shared" ref="CK19:CK20" si="119">AR19-AC19</f>
        <v>0</v>
      </c>
      <c r="CL19" s="55">
        <f t="shared" ref="CL19:CL20" si="120">AS19-AD19</f>
        <v>0</v>
      </c>
      <c r="CN19" s="64" t="s">
        <v>50</v>
      </c>
      <c r="CO19" s="54">
        <f t="shared" ref="CO19:CO20" si="121">BK19-AV19</f>
        <v>0</v>
      </c>
      <c r="CP19" s="55">
        <f t="shared" ref="CP19:CP20" si="122">BL19-AW19</f>
        <v>0</v>
      </c>
      <c r="CQ19" s="55">
        <f t="shared" ref="CQ19:CQ20" si="123">BM19-AX19</f>
        <v>0</v>
      </c>
      <c r="CR19" s="55">
        <f t="shared" ref="CR19:CR20" si="124">BN19-AY19</f>
        <v>0</v>
      </c>
      <c r="CS19" s="55">
        <f t="shared" ref="CS19:CS20" si="125">BO19-AZ19</f>
        <v>0</v>
      </c>
      <c r="CT19" s="55">
        <f t="shared" ref="CT19:CT20" si="126">BP19-BA19</f>
        <v>0</v>
      </c>
      <c r="CU19" s="60">
        <f t="shared" ref="CU19:CU20" si="127">BQ19-BB19</f>
        <v>0</v>
      </c>
      <c r="CV19" s="55">
        <f t="shared" ref="CV19:CV20" si="128">BR19-BC19</f>
        <v>0</v>
      </c>
      <c r="CW19" s="55">
        <f t="shared" ref="CW19:CW20" si="129">BS19-BD19</f>
        <v>0</v>
      </c>
      <c r="CX19" s="55">
        <f t="shared" ref="CX19:CX20" si="130">BT19-BE19</f>
        <v>0</v>
      </c>
      <c r="CY19" s="55">
        <f t="shared" ref="CY19:CY20" si="131">BU19-BF19</f>
        <v>0</v>
      </c>
      <c r="CZ19" s="249">
        <f t="shared" ref="CZ19:CZ20" si="132">BV19-BG19</f>
        <v>0</v>
      </c>
      <c r="DA19" s="62" t="e">
        <f t="shared" ref="DA19:DA20" si="133">BW19-BH19</f>
        <v>#DIV/0!</v>
      </c>
      <c r="DC19" s="64" t="s">
        <v>50</v>
      </c>
      <c r="DD19" s="198">
        <f t="shared" ref="DD19:DD20" si="134">AV19</f>
        <v>0</v>
      </c>
      <c r="DE19" s="199">
        <f t="shared" ref="DE19:DE20" si="135">BK19</f>
        <v>0</v>
      </c>
      <c r="DF19" s="198">
        <f t="shared" ref="DF19:DF20" si="136">AW19</f>
        <v>0</v>
      </c>
      <c r="DG19" s="199">
        <f t="shared" ref="DG19:DG20" si="137">BL19</f>
        <v>0</v>
      </c>
      <c r="DH19" s="198">
        <f t="shared" ref="DH19:DH20" si="138">AX19</f>
        <v>0</v>
      </c>
      <c r="DI19" s="199">
        <f t="shared" ref="DI19:DI20" si="139">BM19</f>
        <v>0</v>
      </c>
      <c r="DJ19" s="198">
        <f t="shared" ref="DJ19:DJ20" si="140">AY19</f>
        <v>0</v>
      </c>
      <c r="DK19" s="199">
        <f t="shared" ref="DK19:DK20" si="141">BN19</f>
        <v>0</v>
      </c>
      <c r="DL19" s="198">
        <f t="shared" ref="DL19:DL20" si="142">AZ19</f>
        <v>0</v>
      </c>
      <c r="DM19" s="199">
        <f t="shared" ref="DM19:DM20" si="143">BO19</f>
        <v>0</v>
      </c>
      <c r="DN19" s="198">
        <f t="shared" ref="DN19:DN20" si="144">BA19</f>
        <v>0</v>
      </c>
      <c r="DO19" s="199">
        <f t="shared" ref="DO19:DO20" si="145">BP19</f>
        <v>0</v>
      </c>
      <c r="DP19" s="198">
        <f t="shared" ref="DP19:DP20" si="146">BB19</f>
        <v>0</v>
      </c>
      <c r="DQ19" s="199">
        <f t="shared" ref="DQ19:DQ20" si="147">BQ19</f>
        <v>0</v>
      </c>
      <c r="DR19" s="198">
        <f t="shared" ref="DR19:DR20" si="148">BC19</f>
        <v>0</v>
      </c>
      <c r="DS19" s="199">
        <f t="shared" ref="DS19:DS20" si="149">BR19</f>
        <v>0</v>
      </c>
      <c r="DT19" s="198">
        <f t="shared" ref="DT19:DT20" si="150">BD19</f>
        <v>0</v>
      </c>
      <c r="DU19" s="199">
        <f t="shared" ref="DU19:DU20" si="151">BS19</f>
        <v>0</v>
      </c>
      <c r="DV19" s="198">
        <f t="shared" ref="DV19:DV20" si="152">BE19</f>
        <v>0</v>
      </c>
      <c r="DW19" s="199">
        <f t="shared" ref="DW19:DW20" si="153">BT19</f>
        <v>0</v>
      </c>
      <c r="DX19" s="198">
        <f t="shared" ref="DX19:DX20" si="154">BF19</f>
        <v>0</v>
      </c>
      <c r="DY19" s="199">
        <f t="shared" ref="DY19:DY20" si="155">BU19</f>
        <v>0</v>
      </c>
      <c r="DZ19" s="190">
        <f t="shared" ref="DZ19:DZ20" si="156">BG19</f>
        <v>0</v>
      </c>
      <c r="EA19" s="199">
        <f t="shared" ref="EA19:EA20" si="157">BV19</f>
        <v>0</v>
      </c>
      <c r="EB19" s="190" t="e">
        <f t="shared" ref="EB19:EB20" si="158">BH19</f>
        <v>#DIV/0!</v>
      </c>
      <c r="EC19" s="190" t="e">
        <f t="shared" ref="EC19:EC20" si="159">BW19</f>
        <v>#DIV/0!</v>
      </c>
    </row>
    <row r="20" spans="1:133" x14ac:dyDescent="0.2">
      <c r="A20" s="64" t="s">
        <v>51</v>
      </c>
      <c r="B20" s="38">
        <f>targets!AW21</f>
        <v>0</v>
      </c>
      <c r="C20" s="242">
        <f>targets!AX21</f>
        <v>0</v>
      </c>
      <c r="D20" s="242">
        <f>targets!AY21</f>
        <v>0</v>
      </c>
      <c r="E20" s="242">
        <f>targets!AZ21</f>
        <v>0</v>
      </c>
      <c r="F20" s="242">
        <f>targets!BA21</f>
        <v>0</v>
      </c>
      <c r="G20" s="242">
        <f>SUM(targets!BB21:BG21)</f>
        <v>0</v>
      </c>
      <c r="H20" s="40">
        <f>SUM(targets!BH21:BM21)</f>
        <v>0</v>
      </c>
      <c r="I20" s="243">
        <f t="shared" si="20"/>
        <v>0</v>
      </c>
      <c r="J20" s="242">
        <f>targets!BN21</f>
        <v>6354.5361290758938</v>
      </c>
      <c r="K20" s="242">
        <f>targets!BO21</f>
        <v>118.58376668569375</v>
      </c>
      <c r="L20" s="242">
        <f>targets!BP21</f>
        <v>0</v>
      </c>
      <c r="M20" s="178">
        <f t="shared" si="21"/>
        <v>6473.1198957615879</v>
      </c>
      <c r="N20" s="17">
        <f t="shared" si="22"/>
        <v>6473.1198957615879</v>
      </c>
      <c r="O20" s="17"/>
      <c r="P20" s="17"/>
      <c r="Q20" s="64" t="s">
        <v>51</v>
      </c>
      <c r="R20" s="38">
        <f t="shared" si="23"/>
        <v>0</v>
      </c>
      <c r="S20" s="242">
        <f t="shared" si="0"/>
        <v>0</v>
      </c>
      <c r="T20" s="242">
        <f t="shared" si="1"/>
        <v>0</v>
      </c>
      <c r="U20" s="242">
        <f t="shared" si="2"/>
        <v>0</v>
      </c>
      <c r="V20" s="242">
        <f t="shared" si="3"/>
        <v>0</v>
      </c>
      <c r="W20" s="242">
        <f t="shared" si="4"/>
        <v>0</v>
      </c>
      <c r="X20" s="40">
        <f t="shared" si="5"/>
        <v>0</v>
      </c>
      <c r="Y20" s="243">
        <f t="shared" si="104"/>
        <v>0</v>
      </c>
      <c r="Z20" s="242">
        <f t="shared" si="6"/>
        <v>0</v>
      </c>
      <c r="AA20" s="242">
        <f t="shared" si="7"/>
        <v>0</v>
      </c>
      <c r="AB20" s="242">
        <f t="shared" si="8"/>
        <v>0</v>
      </c>
      <c r="AC20" s="178">
        <f t="shared" si="105"/>
        <v>0</v>
      </c>
      <c r="AD20" s="17">
        <f t="shared" si="106"/>
        <v>0</v>
      </c>
      <c r="AF20" s="64" t="s">
        <v>51</v>
      </c>
      <c r="AG20" s="38" cm="1">
        <f t="array" ref="AG20">SUM(IF((modeldata!$F:$F=calibration!$AF$2)*(modeldata!$G:$G=calibration!AG$4)*(modeldata!$H:$H=calibration!$AF20),modeldata!$E:$E,0))</f>
        <v>0</v>
      </c>
      <c r="AH20" s="242">
        <f t="array" ref="AH20">SUM(IF((modeldata!$F:$F=calibration!$AF$2)*(modeldata!$G:$G=calibration!AH$4)*(modeldata!$H:$H=calibration!$AF20),modeldata!$E:$E,0))</f>
        <v>0</v>
      </c>
      <c r="AI20" s="242">
        <f t="array" ref="AI20">SUM(IF((modeldata!$F:$F=calibration!$AF$2)*(modeldata!$G:$G=calibration!AI$4)*(modeldata!$H:$H=calibration!$AF20),modeldata!$E:$E,0))</f>
        <v>0</v>
      </c>
      <c r="AJ20" s="242">
        <f t="array" ref="AJ20">SUM(IF((modeldata!$F:$F=calibration!$AF$2)*(modeldata!$G:$G=calibration!AJ$4)*(modeldata!$H:$H=calibration!$AF20),modeldata!$E:$E,0))</f>
        <v>0</v>
      </c>
      <c r="AK20" s="242">
        <f t="array" ref="AK20">SUM(IF((modeldata!$F:$F=calibration!$AF$2)*(modeldata!$G:$G=calibration!AK$4)*(modeldata!$H:$H=calibration!$AF20),modeldata!$E:$E,0))</f>
        <v>0</v>
      </c>
      <c r="AL20" s="242">
        <f t="array" ref="AL20">SUM(IF((modeldata!$F:$F=calibration!$AF$2)*(modeldata!$G:$G=calibration!AL$4)*(modeldata!$H:$H=calibration!$AF20),modeldata!$E:$E,0))</f>
        <v>0</v>
      </c>
      <c r="AM20" s="40">
        <f t="array" ref="AM20">SUM(IF((modeldata!$F:$F=calibration!$AF$2)*(modeldata!$G:$G=calibration!AM$4)*(modeldata!$H:$H=calibration!$AF20),modeldata!$E:$E,0))</f>
        <v>0</v>
      </c>
      <c r="AN20" s="243"/>
      <c r="AO20" s="242">
        <f t="array" ref="AO20">SUM(IF((modeldata!$F:$F=calibration!$AF$2)*(modeldata!$G:$G=calibration!AO$4)*(modeldata!$H:$H=calibration!$AF20),modeldata!$E:$E,0))</f>
        <v>0</v>
      </c>
      <c r="AP20" s="242">
        <f t="array" ref="AP20">SUM(IF((modeldata!$F:$F=calibration!$AF$2)*(modeldata!$G:$G=calibration!AP$4)*(modeldata!$H:$H=calibration!$AF20),modeldata!$E:$E,0))</f>
        <v>0</v>
      </c>
      <c r="AQ20" s="242">
        <f t="array" ref="AQ20">SUM(IF((modeldata!$F:$F=calibration!$AF$2)*(modeldata!$G:$G=calibration!AQ$4)*(modeldata!$H:$H=calibration!$AF20),modeldata!$E:$E,0))</f>
        <v>0</v>
      </c>
      <c r="AR20" s="178">
        <f t="shared" si="107"/>
        <v>0</v>
      </c>
      <c r="AS20" s="17">
        <f t="shared" si="27"/>
        <v>0</v>
      </c>
      <c r="AU20" s="64" t="s">
        <v>51</v>
      </c>
      <c r="AV20" s="38">
        <f t="shared" si="100"/>
        <v>0</v>
      </c>
      <c r="AW20" s="242">
        <f t="shared" si="100"/>
        <v>0</v>
      </c>
      <c r="AX20" s="242">
        <f t="shared" si="100"/>
        <v>0</v>
      </c>
      <c r="AY20" s="242">
        <f t="shared" si="100"/>
        <v>0</v>
      </c>
      <c r="AZ20" s="242">
        <f t="shared" si="100"/>
        <v>0</v>
      </c>
      <c r="BA20" s="242">
        <f t="shared" si="100"/>
        <v>0</v>
      </c>
      <c r="BB20" s="40">
        <f t="shared" si="100"/>
        <v>0</v>
      </c>
      <c r="BC20" s="243">
        <f t="shared" si="100"/>
        <v>0</v>
      </c>
      <c r="BD20" s="242">
        <f t="shared" si="100"/>
        <v>0</v>
      </c>
      <c r="BE20" s="242">
        <f t="shared" si="100"/>
        <v>0</v>
      </c>
      <c r="BF20" s="242">
        <f t="shared" si="100"/>
        <v>0</v>
      </c>
      <c r="BG20" s="178">
        <f t="shared" si="100"/>
        <v>0</v>
      </c>
      <c r="BH20" s="24" t="e">
        <f>AD20/AD27</f>
        <v>#DIV/0!</v>
      </c>
      <c r="BJ20" s="64" t="s">
        <v>51</v>
      </c>
      <c r="BK20" s="38">
        <f t="shared" si="101"/>
        <v>0</v>
      </c>
      <c r="BL20" s="242">
        <f t="shared" si="101"/>
        <v>0</v>
      </c>
      <c r="BM20" s="242">
        <f t="shared" si="101"/>
        <v>0</v>
      </c>
      <c r="BN20" s="242">
        <f t="shared" si="101"/>
        <v>0</v>
      </c>
      <c r="BO20" s="242">
        <f t="shared" si="101"/>
        <v>0</v>
      </c>
      <c r="BP20" s="242">
        <f t="shared" si="101"/>
        <v>0</v>
      </c>
      <c r="BQ20" s="40">
        <f t="shared" si="101"/>
        <v>0</v>
      </c>
      <c r="BR20" s="243">
        <f t="shared" si="101"/>
        <v>0</v>
      </c>
      <c r="BS20" s="242">
        <f t="shared" si="101"/>
        <v>0</v>
      </c>
      <c r="BT20" s="242">
        <f t="shared" si="101"/>
        <v>0</v>
      </c>
      <c r="BU20" s="242">
        <f t="shared" si="101"/>
        <v>0</v>
      </c>
      <c r="BV20" s="178">
        <f t="shared" si="101"/>
        <v>0</v>
      </c>
      <c r="BW20" s="24" t="e">
        <f>AS20/AS27</f>
        <v>#DIV/0!</v>
      </c>
      <c r="BX20" s="24"/>
      <c r="BY20" s="64" t="s">
        <v>51</v>
      </c>
      <c r="BZ20" s="54">
        <f t="shared" si="108"/>
        <v>0</v>
      </c>
      <c r="CA20" s="55">
        <f t="shared" si="109"/>
        <v>0</v>
      </c>
      <c r="CB20" s="55">
        <f t="shared" si="110"/>
        <v>0</v>
      </c>
      <c r="CC20" s="55">
        <f t="shared" si="111"/>
        <v>0</v>
      </c>
      <c r="CD20" s="55">
        <f t="shared" si="112"/>
        <v>0</v>
      </c>
      <c r="CE20" s="55">
        <f t="shared" si="113"/>
        <v>0</v>
      </c>
      <c r="CF20" s="60">
        <f t="shared" si="114"/>
        <v>0</v>
      </c>
      <c r="CG20" s="55">
        <f t="shared" si="115"/>
        <v>0</v>
      </c>
      <c r="CH20" s="55">
        <f t="shared" si="116"/>
        <v>0</v>
      </c>
      <c r="CI20" s="55">
        <f t="shared" si="117"/>
        <v>0</v>
      </c>
      <c r="CJ20" s="55">
        <f t="shared" si="118"/>
        <v>0</v>
      </c>
      <c r="CK20" s="249">
        <f t="shared" si="119"/>
        <v>0</v>
      </c>
      <c r="CL20" s="55">
        <f t="shared" si="120"/>
        <v>0</v>
      </c>
      <c r="CN20" s="64" t="s">
        <v>51</v>
      </c>
      <c r="CO20" s="54">
        <f t="shared" si="121"/>
        <v>0</v>
      </c>
      <c r="CP20" s="55">
        <f t="shared" si="122"/>
        <v>0</v>
      </c>
      <c r="CQ20" s="55">
        <f t="shared" si="123"/>
        <v>0</v>
      </c>
      <c r="CR20" s="55">
        <f t="shared" si="124"/>
        <v>0</v>
      </c>
      <c r="CS20" s="55">
        <f t="shared" si="125"/>
        <v>0</v>
      </c>
      <c r="CT20" s="55">
        <f t="shared" si="126"/>
        <v>0</v>
      </c>
      <c r="CU20" s="60">
        <f t="shared" si="127"/>
        <v>0</v>
      </c>
      <c r="CV20" s="55">
        <f t="shared" si="128"/>
        <v>0</v>
      </c>
      <c r="CW20" s="55">
        <f t="shared" si="129"/>
        <v>0</v>
      </c>
      <c r="CX20" s="55">
        <f t="shared" si="130"/>
        <v>0</v>
      </c>
      <c r="CY20" s="55">
        <f t="shared" si="131"/>
        <v>0</v>
      </c>
      <c r="CZ20" s="249">
        <f t="shared" si="132"/>
        <v>0</v>
      </c>
      <c r="DA20" s="62" t="e">
        <f t="shared" si="133"/>
        <v>#DIV/0!</v>
      </c>
      <c r="DC20" s="64" t="s">
        <v>51</v>
      </c>
      <c r="DD20" s="198">
        <f t="shared" si="134"/>
        <v>0</v>
      </c>
      <c r="DE20" s="199">
        <f t="shared" si="135"/>
        <v>0</v>
      </c>
      <c r="DF20" s="198">
        <f t="shared" si="136"/>
        <v>0</v>
      </c>
      <c r="DG20" s="199">
        <f t="shared" si="137"/>
        <v>0</v>
      </c>
      <c r="DH20" s="198">
        <f t="shared" si="138"/>
        <v>0</v>
      </c>
      <c r="DI20" s="199">
        <f t="shared" si="139"/>
        <v>0</v>
      </c>
      <c r="DJ20" s="198">
        <f t="shared" si="140"/>
        <v>0</v>
      </c>
      <c r="DK20" s="199">
        <f t="shared" si="141"/>
        <v>0</v>
      </c>
      <c r="DL20" s="198">
        <f t="shared" si="142"/>
        <v>0</v>
      </c>
      <c r="DM20" s="199">
        <f t="shared" si="143"/>
        <v>0</v>
      </c>
      <c r="DN20" s="198">
        <f t="shared" si="144"/>
        <v>0</v>
      </c>
      <c r="DO20" s="199">
        <f t="shared" si="145"/>
        <v>0</v>
      </c>
      <c r="DP20" s="198">
        <f t="shared" si="146"/>
        <v>0</v>
      </c>
      <c r="DQ20" s="199">
        <f t="shared" si="147"/>
        <v>0</v>
      </c>
      <c r="DR20" s="198">
        <f t="shared" si="148"/>
        <v>0</v>
      </c>
      <c r="DS20" s="199">
        <f t="shared" si="149"/>
        <v>0</v>
      </c>
      <c r="DT20" s="198">
        <f t="shared" si="150"/>
        <v>0</v>
      </c>
      <c r="DU20" s="199">
        <f t="shared" si="151"/>
        <v>0</v>
      </c>
      <c r="DV20" s="198">
        <f t="shared" si="152"/>
        <v>0</v>
      </c>
      <c r="DW20" s="199">
        <f t="shared" si="153"/>
        <v>0</v>
      </c>
      <c r="DX20" s="198">
        <f t="shared" si="154"/>
        <v>0</v>
      </c>
      <c r="DY20" s="199">
        <f t="shared" si="155"/>
        <v>0</v>
      </c>
      <c r="DZ20" s="190">
        <f t="shared" si="156"/>
        <v>0</v>
      </c>
      <c r="EA20" s="199">
        <f t="shared" si="157"/>
        <v>0</v>
      </c>
      <c r="EB20" s="190" t="e">
        <f t="shared" si="158"/>
        <v>#DIV/0!</v>
      </c>
      <c r="EC20" s="190" t="e">
        <f t="shared" si="159"/>
        <v>#DIV/0!</v>
      </c>
    </row>
    <row r="21" spans="1:133" x14ac:dyDescent="0.2">
      <c r="A21" s="64" t="s">
        <v>52</v>
      </c>
      <c r="B21" s="38">
        <f>targets!AW22</f>
        <v>0</v>
      </c>
      <c r="C21" s="242">
        <f>targets!AX22</f>
        <v>0</v>
      </c>
      <c r="D21" s="242">
        <f>targets!AY22</f>
        <v>0</v>
      </c>
      <c r="E21" s="242">
        <f>targets!AZ22</f>
        <v>0</v>
      </c>
      <c r="F21" s="242">
        <f>targets!BA22</f>
        <v>0</v>
      </c>
      <c r="G21" s="242">
        <f>SUM(targets!BB22:BG22)</f>
        <v>0</v>
      </c>
      <c r="H21" s="41">
        <f>SUM(targets!BH22:BM22)</f>
        <v>887.35151642414451</v>
      </c>
      <c r="I21" s="243">
        <f t="shared" si="20"/>
        <v>887.35151642414451</v>
      </c>
      <c r="J21" s="242">
        <f>targets!BN22</f>
        <v>0</v>
      </c>
      <c r="K21" s="242">
        <f>targets!BO22</f>
        <v>33825.883060702137</v>
      </c>
      <c r="L21" s="242">
        <f>targets!BP22</f>
        <v>414.89060970380723</v>
      </c>
      <c r="M21" s="178">
        <f t="shared" si="21"/>
        <v>34240.773670405943</v>
      </c>
      <c r="N21" s="17">
        <f t="shared" si="22"/>
        <v>35128.125186830082</v>
      </c>
      <c r="O21" s="17"/>
      <c r="P21" s="17"/>
      <c r="Q21" s="64" t="s">
        <v>52</v>
      </c>
      <c r="R21" s="38">
        <f t="shared" si="23"/>
        <v>0</v>
      </c>
      <c r="S21" s="242">
        <f t="shared" si="0"/>
        <v>0</v>
      </c>
      <c r="T21" s="242">
        <f t="shared" si="1"/>
        <v>0</v>
      </c>
      <c r="U21" s="242">
        <f t="shared" si="2"/>
        <v>0</v>
      </c>
      <c r="V21" s="242">
        <f t="shared" si="3"/>
        <v>0</v>
      </c>
      <c r="W21" s="242">
        <f t="shared" si="4"/>
        <v>0</v>
      </c>
      <c r="X21" s="41">
        <f t="shared" si="5"/>
        <v>0</v>
      </c>
      <c r="Y21" s="243">
        <f t="shared" si="24"/>
        <v>0</v>
      </c>
      <c r="Z21" s="242">
        <f t="shared" si="6"/>
        <v>0</v>
      </c>
      <c r="AA21" s="242">
        <f t="shared" si="7"/>
        <v>0</v>
      </c>
      <c r="AB21" s="242">
        <f t="shared" si="8"/>
        <v>0</v>
      </c>
      <c r="AC21" s="178">
        <f t="shared" si="74"/>
        <v>0</v>
      </c>
      <c r="AD21" s="17">
        <f t="shared" si="25"/>
        <v>0</v>
      </c>
      <c r="AF21" s="64" t="s">
        <v>52</v>
      </c>
      <c r="AG21" s="38">
        <f t="array" ref="AG21">SUM(IF((modeldata!$F:$F=calibration!$AF$2)*(modeldata!$G:$G=calibration!AG$4)*(modeldata!$H:$H=calibration!$AF21),modeldata!$E:$E,0))</f>
        <v>0</v>
      </c>
      <c r="AH21" s="242">
        <f t="array" ref="AH21">SUM(IF((modeldata!$F:$F=calibration!$AF$2)*(modeldata!$G:$G=calibration!AH$4)*(modeldata!$H:$H=calibration!$AF21),modeldata!$E:$E,0))</f>
        <v>0</v>
      </c>
      <c r="AI21" s="242">
        <f t="array" ref="AI21">SUM(IF((modeldata!$F:$F=calibration!$AF$2)*(modeldata!$G:$G=calibration!AI$4)*(modeldata!$H:$H=calibration!$AF21),modeldata!$E:$E,0))</f>
        <v>0</v>
      </c>
      <c r="AJ21" s="242">
        <f t="array" ref="AJ21">SUM(IF((modeldata!$F:$F=calibration!$AF$2)*(modeldata!$G:$G=calibration!AJ$4)*(modeldata!$H:$H=calibration!$AF21),modeldata!$E:$E,0))</f>
        <v>0</v>
      </c>
      <c r="AK21" s="242">
        <f t="array" ref="AK21">SUM(IF((modeldata!$F:$F=calibration!$AF$2)*(modeldata!$G:$G=calibration!AK$4)*(modeldata!$H:$H=calibration!$AF21),modeldata!$E:$E,0))</f>
        <v>0</v>
      </c>
      <c r="AL21" s="242">
        <f t="array" ref="AL21">SUM(IF((modeldata!$F:$F=calibration!$AF$2)*(modeldata!$G:$G=calibration!AL$4)*(modeldata!$H:$H=calibration!$AF21),modeldata!$E:$E,0))</f>
        <v>0</v>
      </c>
      <c r="AM21" s="41">
        <f t="array" ref="AM21">SUM(IF((modeldata!$F:$F=calibration!$AF$2)*(modeldata!$G:$G=calibration!AM$4)*(modeldata!$H:$H=calibration!$AF21),modeldata!$E:$E,0))</f>
        <v>0</v>
      </c>
      <c r="AN21" s="243"/>
      <c r="AO21" s="242">
        <f t="array" ref="AO21">SUM(IF((modeldata!$F:$F=calibration!$AF$2)*(modeldata!$G:$G=calibration!AO$4)*(modeldata!$H:$H=calibration!$AF21),modeldata!$E:$E,0))</f>
        <v>0</v>
      </c>
      <c r="AP21" s="242">
        <f t="array" ref="AP21">SUM(IF((modeldata!$F:$F=calibration!$AF$2)*(modeldata!$G:$G=calibration!AP$4)*(modeldata!$H:$H=calibration!$AF21),modeldata!$E:$E,0))</f>
        <v>0</v>
      </c>
      <c r="AQ21" s="242">
        <f t="array" ref="AQ21">SUM(IF((modeldata!$F:$F=calibration!$AF$2)*(modeldata!$G:$G=calibration!AQ$4)*(modeldata!$H:$H=calibration!$AF21),modeldata!$E:$E,0))</f>
        <v>0</v>
      </c>
      <c r="AR21" s="178">
        <f t="shared" si="75"/>
        <v>0</v>
      </c>
      <c r="AS21" s="17">
        <f t="shared" si="27"/>
        <v>0</v>
      </c>
      <c r="AU21" s="64" t="s">
        <v>52</v>
      </c>
      <c r="AV21" s="38">
        <f t="shared" ref="AV21:BG21" si="160">IF(R25&gt;0,R21/R25,0)</f>
        <v>0</v>
      </c>
      <c r="AW21" s="242">
        <f t="shared" si="160"/>
        <v>0</v>
      </c>
      <c r="AX21" s="242">
        <f t="shared" si="160"/>
        <v>0</v>
      </c>
      <c r="AY21" s="242">
        <f t="shared" si="160"/>
        <v>0</v>
      </c>
      <c r="AZ21" s="242">
        <f t="shared" si="160"/>
        <v>0</v>
      </c>
      <c r="BA21" s="242">
        <f t="shared" si="160"/>
        <v>0</v>
      </c>
      <c r="BB21" s="41">
        <f t="shared" si="160"/>
        <v>0</v>
      </c>
      <c r="BC21" s="243">
        <f t="shared" si="160"/>
        <v>0</v>
      </c>
      <c r="BD21" s="242">
        <f t="shared" si="160"/>
        <v>0</v>
      </c>
      <c r="BE21" s="242">
        <f t="shared" si="160"/>
        <v>0</v>
      </c>
      <c r="BF21" s="242">
        <f t="shared" si="160"/>
        <v>0</v>
      </c>
      <c r="BG21" s="178">
        <f t="shared" si="160"/>
        <v>0</v>
      </c>
      <c r="BH21" s="24" t="e">
        <f>AD21/AD25</f>
        <v>#DIV/0!</v>
      </c>
      <c r="BJ21" s="64" t="s">
        <v>52</v>
      </c>
      <c r="BK21" s="38">
        <f t="shared" ref="BK21:BV21" si="161">IF(AG25&gt;0,AG21/AG25,0)</f>
        <v>0</v>
      </c>
      <c r="BL21" s="242">
        <f t="shared" si="161"/>
        <v>0</v>
      </c>
      <c r="BM21" s="242">
        <f t="shared" si="161"/>
        <v>0</v>
      </c>
      <c r="BN21" s="242">
        <f t="shared" si="161"/>
        <v>0</v>
      </c>
      <c r="BO21" s="242">
        <f t="shared" si="161"/>
        <v>0</v>
      </c>
      <c r="BP21" s="242">
        <f t="shared" si="161"/>
        <v>0</v>
      </c>
      <c r="BQ21" s="41">
        <f t="shared" si="161"/>
        <v>0</v>
      </c>
      <c r="BR21" s="243">
        <f t="shared" si="161"/>
        <v>0</v>
      </c>
      <c r="BS21" s="242">
        <f t="shared" si="161"/>
        <v>0</v>
      </c>
      <c r="BT21" s="242">
        <f t="shared" si="161"/>
        <v>0</v>
      </c>
      <c r="BU21" s="242">
        <f t="shared" si="161"/>
        <v>0</v>
      </c>
      <c r="BV21" s="178">
        <f t="shared" si="161"/>
        <v>0</v>
      </c>
      <c r="BW21" s="24" t="e">
        <f>AS21/AS25</f>
        <v>#DIV/0!</v>
      </c>
      <c r="BX21" s="24"/>
      <c r="BY21" s="64" t="s">
        <v>52</v>
      </c>
      <c r="BZ21" s="54">
        <f t="shared" si="30"/>
        <v>0</v>
      </c>
      <c r="CA21" s="55">
        <f t="shared" si="31"/>
        <v>0</v>
      </c>
      <c r="CB21" s="55">
        <f t="shared" si="32"/>
        <v>0</v>
      </c>
      <c r="CC21" s="55">
        <f t="shared" si="33"/>
        <v>0</v>
      </c>
      <c r="CD21" s="55">
        <f t="shared" si="34"/>
        <v>0</v>
      </c>
      <c r="CE21" s="55">
        <f t="shared" si="35"/>
        <v>0</v>
      </c>
      <c r="CF21" s="61">
        <f t="shared" si="36"/>
        <v>0</v>
      </c>
      <c r="CG21" s="55">
        <f t="shared" si="37"/>
        <v>0</v>
      </c>
      <c r="CH21" s="55">
        <f t="shared" si="38"/>
        <v>0</v>
      </c>
      <c r="CI21" s="55">
        <f t="shared" si="39"/>
        <v>0</v>
      </c>
      <c r="CJ21" s="55">
        <f t="shared" si="40"/>
        <v>0</v>
      </c>
      <c r="CK21" s="249">
        <f t="shared" si="40"/>
        <v>0</v>
      </c>
      <c r="CL21" s="55">
        <f t="shared" si="41"/>
        <v>0</v>
      </c>
      <c r="CN21" s="64" t="s">
        <v>52</v>
      </c>
      <c r="CO21" s="54">
        <f t="shared" si="42"/>
        <v>0</v>
      </c>
      <c r="CP21" s="55">
        <f t="shared" si="13"/>
        <v>0</v>
      </c>
      <c r="CQ21" s="55">
        <f t="shared" si="14"/>
        <v>0</v>
      </c>
      <c r="CR21" s="55">
        <f t="shared" si="15"/>
        <v>0</v>
      </c>
      <c r="CS21" s="55">
        <f t="shared" si="16"/>
        <v>0</v>
      </c>
      <c r="CT21" s="55">
        <f t="shared" si="17"/>
        <v>0</v>
      </c>
      <c r="CU21" s="61">
        <f t="shared" si="43"/>
        <v>0</v>
      </c>
      <c r="CV21" s="55">
        <f t="shared" si="44"/>
        <v>0</v>
      </c>
      <c r="CW21" s="55">
        <f t="shared" si="45"/>
        <v>0</v>
      </c>
      <c r="CX21" s="55">
        <f t="shared" si="46"/>
        <v>0</v>
      </c>
      <c r="CY21" s="55">
        <f t="shared" si="47"/>
        <v>0</v>
      </c>
      <c r="CZ21" s="249">
        <f t="shared" si="47"/>
        <v>0</v>
      </c>
      <c r="DA21" s="62" t="e">
        <f t="shared" si="48"/>
        <v>#DIV/0!</v>
      </c>
      <c r="DC21" s="64" t="s">
        <v>52</v>
      </c>
      <c r="DD21" s="198">
        <f t="shared" si="49"/>
        <v>0</v>
      </c>
      <c r="DE21" s="199">
        <f t="shared" si="50"/>
        <v>0</v>
      </c>
      <c r="DF21" s="198">
        <f t="shared" si="51"/>
        <v>0</v>
      </c>
      <c r="DG21" s="199">
        <f t="shared" si="52"/>
        <v>0</v>
      </c>
      <c r="DH21" s="198">
        <f t="shared" si="53"/>
        <v>0</v>
      </c>
      <c r="DI21" s="199">
        <f t="shared" si="54"/>
        <v>0</v>
      </c>
      <c r="DJ21" s="198">
        <f t="shared" si="55"/>
        <v>0</v>
      </c>
      <c r="DK21" s="199">
        <f t="shared" si="56"/>
        <v>0</v>
      </c>
      <c r="DL21" s="198">
        <f t="shared" si="57"/>
        <v>0</v>
      </c>
      <c r="DM21" s="199">
        <f t="shared" si="58"/>
        <v>0</v>
      </c>
      <c r="DN21" s="198">
        <f t="shared" si="59"/>
        <v>0</v>
      </c>
      <c r="DO21" s="199">
        <f t="shared" si="60"/>
        <v>0</v>
      </c>
      <c r="DP21" s="200">
        <f t="shared" si="61"/>
        <v>0</v>
      </c>
      <c r="DQ21" s="201">
        <f t="shared" si="62"/>
        <v>0</v>
      </c>
      <c r="DR21" s="198">
        <f t="shared" si="63"/>
        <v>0</v>
      </c>
      <c r="DS21" s="199">
        <f t="shared" si="64"/>
        <v>0</v>
      </c>
      <c r="DT21" s="198">
        <f t="shared" si="65"/>
        <v>0</v>
      </c>
      <c r="DU21" s="199">
        <f t="shared" si="66"/>
        <v>0</v>
      </c>
      <c r="DV21" s="198">
        <f t="shared" si="67"/>
        <v>0</v>
      </c>
      <c r="DW21" s="199">
        <f t="shared" si="68"/>
        <v>0</v>
      </c>
      <c r="DX21" s="198">
        <f t="shared" si="69"/>
        <v>0</v>
      </c>
      <c r="DY21" s="199">
        <f t="shared" si="70"/>
        <v>0</v>
      </c>
      <c r="DZ21" s="190">
        <f t="shared" si="71"/>
        <v>0</v>
      </c>
      <c r="EA21" s="199">
        <f t="shared" si="19"/>
        <v>0</v>
      </c>
      <c r="EB21" s="190" t="e">
        <f t="shared" si="72"/>
        <v>#DIV/0!</v>
      </c>
      <c r="EC21" s="190" t="e">
        <f t="shared" si="73"/>
        <v>#DIV/0!</v>
      </c>
    </row>
    <row r="22" spans="1:133" x14ac:dyDescent="0.2">
      <c r="A22" s="2" t="s">
        <v>6</v>
      </c>
      <c r="B22" s="38">
        <f>targets!AW23</f>
        <v>0</v>
      </c>
      <c r="C22" s="242">
        <f>targets!AX23</f>
        <v>0</v>
      </c>
      <c r="D22" s="242">
        <f>targets!AY23</f>
        <v>0</v>
      </c>
      <c r="E22" s="242">
        <f>targets!AZ23</f>
        <v>0</v>
      </c>
      <c r="F22" s="242">
        <f>targets!BA23</f>
        <v>0</v>
      </c>
      <c r="G22" s="242">
        <f>SUM(targets!BB23:BG23)</f>
        <v>688.57062511467268</v>
      </c>
      <c r="H22" s="242">
        <f>SUM(targets!BH23:BM23)</f>
        <v>0</v>
      </c>
      <c r="I22" s="243">
        <f t="shared" si="20"/>
        <v>688.57062511467268</v>
      </c>
      <c r="J22" s="242">
        <f>targets!BN23</f>
        <v>0</v>
      </c>
      <c r="K22" s="242">
        <f>targets!BO23</f>
        <v>0</v>
      </c>
      <c r="L22" s="242">
        <f>targets!BP23</f>
        <v>1330.330850857074</v>
      </c>
      <c r="M22" s="178">
        <f t="shared" si="21"/>
        <v>1330.330850857074</v>
      </c>
      <c r="N22" s="17">
        <f t="shared" si="22"/>
        <v>2018.901475971747</v>
      </c>
      <c r="O22" s="17"/>
      <c r="P22" s="17"/>
      <c r="Q22" s="2" t="s">
        <v>6</v>
      </c>
      <c r="R22" s="38">
        <f t="shared" si="23"/>
        <v>0</v>
      </c>
      <c r="S22" s="242">
        <f t="shared" si="0"/>
        <v>0</v>
      </c>
      <c r="T22" s="242">
        <f t="shared" si="1"/>
        <v>0</v>
      </c>
      <c r="U22" s="242">
        <f t="shared" si="2"/>
        <v>0</v>
      </c>
      <c r="V22" s="242">
        <f t="shared" si="3"/>
        <v>0</v>
      </c>
      <c r="W22" s="242">
        <f t="shared" si="4"/>
        <v>0</v>
      </c>
      <c r="X22" s="242">
        <f t="shared" si="5"/>
        <v>0</v>
      </c>
      <c r="Y22" s="243">
        <f t="shared" si="24"/>
        <v>0</v>
      </c>
      <c r="Z22" s="242">
        <f t="shared" si="6"/>
        <v>0</v>
      </c>
      <c r="AA22" s="242">
        <f t="shared" si="7"/>
        <v>0</v>
      </c>
      <c r="AB22" s="242">
        <f t="shared" si="8"/>
        <v>0</v>
      </c>
      <c r="AC22" s="178">
        <f t="shared" si="74"/>
        <v>0</v>
      </c>
      <c r="AD22" s="17">
        <f t="shared" si="25"/>
        <v>0</v>
      </c>
      <c r="AF22" s="2" t="s">
        <v>6</v>
      </c>
      <c r="AG22" s="38">
        <f t="array" ref="AG22">SUM(IF((modeldata!$F:$F=calibration!$AF$2)*(modeldata!$G:$G=calibration!AG$4)*(modeldata!$H:$H=calibration!$AF22),modeldata!$E:$E,0))</f>
        <v>0</v>
      </c>
      <c r="AH22" s="242">
        <f t="array" ref="AH22">SUM(IF((modeldata!$F:$F=calibration!$AF$2)*(modeldata!$G:$G=calibration!AH$4)*(modeldata!$H:$H=calibration!$AF22),modeldata!$E:$E,0))</f>
        <v>0</v>
      </c>
      <c r="AI22" s="242">
        <f t="array" ref="AI22">SUM(IF((modeldata!$F:$F=calibration!$AF$2)*(modeldata!$G:$G=calibration!AI$4)*(modeldata!$H:$H=calibration!$AF22),modeldata!$E:$E,0))</f>
        <v>0</v>
      </c>
      <c r="AJ22" s="242">
        <f t="array" ref="AJ22">SUM(IF((modeldata!$F:$F=calibration!$AF$2)*(modeldata!$G:$G=calibration!AJ$4)*(modeldata!$H:$H=calibration!$AF22),modeldata!$E:$E,0))</f>
        <v>0</v>
      </c>
      <c r="AK22" s="242">
        <f t="array" ref="AK22">SUM(IF((modeldata!$F:$F=calibration!$AF$2)*(modeldata!$G:$G=calibration!AK$4)*(modeldata!$H:$H=calibration!$AF22),modeldata!$E:$E,0))</f>
        <v>0</v>
      </c>
      <c r="AL22" s="242">
        <f t="array" ref="AL22">SUM(IF((modeldata!$F:$F=calibration!$AF$2)*(modeldata!$G:$G=calibration!AL$4)*(modeldata!$H:$H=calibration!$AF22),modeldata!$E:$E,0))</f>
        <v>0</v>
      </c>
      <c r="AM22" s="242">
        <f t="array" ref="AM22">SUM(IF((modeldata!$F:$F=calibration!$AF$2)*(modeldata!$G:$G=calibration!AM$4)*(modeldata!$H:$H=calibration!$AF22),modeldata!$E:$E,0))</f>
        <v>0</v>
      </c>
      <c r="AN22" s="243"/>
      <c r="AO22" s="242">
        <f t="array" ref="AO22">SUM(IF((modeldata!$F:$F=calibration!$AF$2)*(modeldata!$G:$G=calibration!AO$4)*(modeldata!$H:$H=calibration!$AF22),modeldata!$E:$E,0))</f>
        <v>0</v>
      </c>
      <c r="AP22" s="242">
        <f t="array" ref="AP22">SUM(IF((modeldata!$F:$F=calibration!$AF$2)*(modeldata!$G:$G=calibration!AP$4)*(modeldata!$H:$H=calibration!$AF22),modeldata!$E:$E,0))</f>
        <v>0</v>
      </c>
      <c r="AQ22" s="242">
        <f t="array" ref="AQ22">SUM(IF((modeldata!$F:$F=calibration!$AF$2)*(modeldata!$G:$G=calibration!AQ$4)*(modeldata!$H:$H=calibration!$AF22),modeldata!$E:$E,0))</f>
        <v>0</v>
      </c>
      <c r="AR22" s="178">
        <f t="shared" si="75"/>
        <v>0</v>
      </c>
      <c r="AS22" s="17">
        <f t="shared" si="27"/>
        <v>0</v>
      </c>
      <c r="AU22" s="2" t="s">
        <v>6</v>
      </c>
      <c r="AV22" s="38">
        <f t="shared" ref="AV22:BG22" si="162">IF(R25&gt;0,R22/R25,0)</f>
        <v>0</v>
      </c>
      <c r="AW22" s="242">
        <f t="shared" si="162"/>
        <v>0</v>
      </c>
      <c r="AX22" s="242">
        <f t="shared" si="162"/>
        <v>0</v>
      </c>
      <c r="AY22" s="242">
        <f t="shared" si="162"/>
        <v>0</v>
      </c>
      <c r="AZ22" s="242">
        <f t="shared" si="162"/>
        <v>0</v>
      </c>
      <c r="BA22" s="242">
        <f t="shared" si="162"/>
        <v>0</v>
      </c>
      <c r="BB22" s="242">
        <f t="shared" si="162"/>
        <v>0</v>
      </c>
      <c r="BC22" s="243">
        <f t="shared" si="162"/>
        <v>0</v>
      </c>
      <c r="BD22" s="242">
        <f t="shared" si="162"/>
        <v>0</v>
      </c>
      <c r="BE22" s="242">
        <f t="shared" si="162"/>
        <v>0</v>
      </c>
      <c r="BF22" s="242">
        <f t="shared" si="162"/>
        <v>0</v>
      </c>
      <c r="BG22" s="178">
        <f t="shared" si="162"/>
        <v>0</v>
      </c>
      <c r="BH22" s="24" t="e">
        <f>AD22/AD25</f>
        <v>#DIV/0!</v>
      </c>
      <c r="BJ22" s="2" t="s">
        <v>6</v>
      </c>
      <c r="BK22" s="38">
        <f t="shared" ref="BK22:BV22" si="163">IF(AG25&gt;0,AG22/AG25,0)</f>
        <v>0</v>
      </c>
      <c r="BL22" s="242">
        <f t="shared" si="163"/>
        <v>0</v>
      </c>
      <c r="BM22" s="242">
        <f t="shared" si="163"/>
        <v>0</v>
      </c>
      <c r="BN22" s="242">
        <f t="shared" si="163"/>
        <v>0</v>
      </c>
      <c r="BO22" s="242">
        <f t="shared" si="163"/>
        <v>0</v>
      </c>
      <c r="BP22" s="242">
        <f t="shared" si="163"/>
        <v>0</v>
      </c>
      <c r="BQ22" s="242">
        <f t="shared" si="163"/>
        <v>0</v>
      </c>
      <c r="BR22" s="243">
        <f t="shared" si="163"/>
        <v>0</v>
      </c>
      <c r="BS22" s="242">
        <f t="shared" si="163"/>
        <v>0</v>
      </c>
      <c r="BT22" s="242">
        <f t="shared" si="163"/>
        <v>0</v>
      </c>
      <c r="BU22" s="242">
        <f t="shared" si="163"/>
        <v>0</v>
      </c>
      <c r="BV22" s="178">
        <f t="shared" si="163"/>
        <v>0</v>
      </c>
      <c r="BW22" s="24" t="e">
        <f>AS22/AS25</f>
        <v>#DIV/0!</v>
      </c>
      <c r="BX22" s="24"/>
      <c r="BY22" s="2" t="s">
        <v>6</v>
      </c>
      <c r="BZ22" s="54">
        <f t="shared" si="30"/>
        <v>0</v>
      </c>
      <c r="CA22" s="55">
        <f t="shared" si="31"/>
        <v>0</v>
      </c>
      <c r="CB22" s="55">
        <f t="shared" si="32"/>
        <v>0</v>
      </c>
      <c r="CC22" s="55">
        <f t="shared" si="33"/>
        <v>0</v>
      </c>
      <c r="CD22" s="55">
        <f t="shared" si="34"/>
        <v>0</v>
      </c>
      <c r="CE22" s="55">
        <f t="shared" si="35"/>
        <v>0</v>
      </c>
      <c r="CF22" s="55">
        <f t="shared" si="36"/>
        <v>0</v>
      </c>
      <c r="CG22" s="55">
        <f t="shared" si="37"/>
        <v>0</v>
      </c>
      <c r="CH22" s="55">
        <f t="shared" si="38"/>
        <v>0</v>
      </c>
      <c r="CI22" s="55">
        <f t="shared" si="39"/>
        <v>0</v>
      </c>
      <c r="CJ22" s="55">
        <f t="shared" si="40"/>
        <v>0</v>
      </c>
      <c r="CK22" s="249">
        <f t="shared" si="40"/>
        <v>0</v>
      </c>
      <c r="CL22" s="55">
        <f t="shared" si="41"/>
        <v>0</v>
      </c>
      <c r="CN22" s="2" t="s">
        <v>6</v>
      </c>
      <c r="CO22" s="54">
        <f t="shared" si="42"/>
        <v>0</v>
      </c>
      <c r="CP22" s="55">
        <f t="shared" si="13"/>
        <v>0</v>
      </c>
      <c r="CQ22" s="55">
        <f t="shared" si="14"/>
        <v>0</v>
      </c>
      <c r="CR22" s="55">
        <f t="shared" si="15"/>
        <v>0</v>
      </c>
      <c r="CS22" s="55">
        <f t="shared" si="16"/>
        <v>0</v>
      </c>
      <c r="CT22" s="55">
        <f t="shared" si="17"/>
        <v>0</v>
      </c>
      <c r="CU22" s="55">
        <f t="shared" si="43"/>
        <v>0</v>
      </c>
      <c r="CV22" s="55">
        <f t="shared" si="44"/>
        <v>0</v>
      </c>
      <c r="CW22" s="55">
        <f t="shared" si="45"/>
        <v>0</v>
      </c>
      <c r="CX22" s="55">
        <f t="shared" si="46"/>
        <v>0</v>
      </c>
      <c r="CY22" s="55">
        <f t="shared" si="47"/>
        <v>0</v>
      </c>
      <c r="CZ22" s="249">
        <f t="shared" si="47"/>
        <v>0</v>
      </c>
      <c r="DA22" s="62" t="e">
        <f t="shared" si="48"/>
        <v>#DIV/0!</v>
      </c>
      <c r="DC22" s="2" t="s">
        <v>6</v>
      </c>
      <c r="DD22" s="198">
        <f t="shared" si="49"/>
        <v>0</v>
      </c>
      <c r="DE22" s="199">
        <f t="shared" si="50"/>
        <v>0</v>
      </c>
      <c r="DF22" s="198">
        <f t="shared" si="51"/>
        <v>0</v>
      </c>
      <c r="DG22" s="199">
        <f t="shared" si="52"/>
        <v>0</v>
      </c>
      <c r="DH22" s="198">
        <f t="shared" si="53"/>
        <v>0</v>
      </c>
      <c r="DI22" s="199">
        <f t="shared" si="54"/>
        <v>0</v>
      </c>
      <c r="DJ22" s="198">
        <f t="shared" si="55"/>
        <v>0</v>
      </c>
      <c r="DK22" s="199">
        <f t="shared" si="56"/>
        <v>0</v>
      </c>
      <c r="DL22" s="198">
        <f t="shared" si="57"/>
        <v>0</v>
      </c>
      <c r="DM22" s="199">
        <f t="shared" si="58"/>
        <v>0</v>
      </c>
      <c r="DN22" s="198">
        <f t="shared" si="59"/>
        <v>0</v>
      </c>
      <c r="DO22" s="199">
        <f t="shared" si="60"/>
        <v>0</v>
      </c>
      <c r="DP22" s="198">
        <f t="shared" si="61"/>
        <v>0</v>
      </c>
      <c r="DQ22" s="199">
        <f t="shared" si="62"/>
        <v>0</v>
      </c>
      <c r="DR22" s="198">
        <f t="shared" si="63"/>
        <v>0</v>
      </c>
      <c r="DS22" s="199">
        <f t="shared" si="64"/>
        <v>0</v>
      </c>
      <c r="DT22" s="198">
        <f t="shared" si="65"/>
        <v>0</v>
      </c>
      <c r="DU22" s="199">
        <f t="shared" si="66"/>
        <v>0</v>
      </c>
      <c r="DV22" s="198">
        <f t="shared" si="67"/>
        <v>0</v>
      </c>
      <c r="DW22" s="199">
        <f t="shared" si="68"/>
        <v>0</v>
      </c>
      <c r="DX22" s="198">
        <f t="shared" si="69"/>
        <v>0</v>
      </c>
      <c r="DY22" s="199">
        <f t="shared" si="70"/>
        <v>0</v>
      </c>
      <c r="DZ22" s="190">
        <f t="shared" si="71"/>
        <v>0</v>
      </c>
      <c r="EA22" s="199">
        <f t="shared" si="19"/>
        <v>0</v>
      </c>
      <c r="EB22" s="190" t="e">
        <f t="shared" si="72"/>
        <v>#DIV/0!</v>
      </c>
      <c r="EC22" s="190" t="e">
        <f t="shared" si="73"/>
        <v>#DIV/0!</v>
      </c>
    </row>
    <row r="23" spans="1:133" x14ac:dyDescent="0.2">
      <c r="A23" s="2" t="s">
        <v>88</v>
      </c>
      <c r="B23" s="38">
        <f>targets!AW24</f>
        <v>0</v>
      </c>
      <c r="C23" s="242">
        <f>targets!AX24</f>
        <v>0</v>
      </c>
      <c r="D23" s="242">
        <f>targets!AY24</f>
        <v>0</v>
      </c>
      <c r="E23" s="242">
        <f>targets!AZ24</f>
        <v>0</v>
      </c>
      <c r="F23" s="242">
        <f>targets!BA24</f>
        <v>0</v>
      </c>
      <c r="G23" s="242">
        <f>SUM(targets!BB24:BG24)</f>
        <v>2957.5019405054327</v>
      </c>
      <c r="H23" s="242">
        <f>SUM(targets!BH24:BM24)</f>
        <v>427.70825157625438</v>
      </c>
      <c r="I23" s="243">
        <f t="shared" si="20"/>
        <v>3385.2101920816872</v>
      </c>
      <c r="J23" s="242">
        <f>targets!BN24</f>
        <v>0</v>
      </c>
      <c r="K23" s="242">
        <f>targets!BO24</f>
        <v>0</v>
      </c>
      <c r="L23" s="242">
        <f>targets!BP24</f>
        <v>0</v>
      </c>
      <c r="M23" s="178">
        <f t="shared" si="21"/>
        <v>0</v>
      </c>
      <c r="N23" s="17">
        <f t="shared" si="22"/>
        <v>3385.2101920816872</v>
      </c>
      <c r="O23" s="17"/>
      <c r="P23" s="17"/>
      <c r="Q23" s="2" t="s">
        <v>88</v>
      </c>
      <c r="R23" s="38">
        <f t="shared" si="23"/>
        <v>0</v>
      </c>
      <c r="S23" s="242">
        <f t="shared" si="0"/>
        <v>0</v>
      </c>
      <c r="T23" s="242">
        <f t="shared" si="1"/>
        <v>0</v>
      </c>
      <c r="U23" s="242">
        <f t="shared" si="2"/>
        <v>0</v>
      </c>
      <c r="V23" s="242">
        <f t="shared" si="3"/>
        <v>0</v>
      </c>
      <c r="W23" s="242">
        <f t="shared" si="4"/>
        <v>0</v>
      </c>
      <c r="X23" s="242">
        <f t="shared" si="5"/>
        <v>0</v>
      </c>
      <c r="Y23" s="243">
        <f t="shared" si="24"/>
        <v>0</v>
      </c>
      <c r="Z23" s="242">
        <f t="shared" si="6"/>
        <v>0</v>
      </c>
      <c r="AA23" s="242">
        <f t="shared" si="7"/>
        <v>0</v>
      </c>
      <c r="AB23" s="242">
        <f t="shared" si="8"/>
        <v>0</v>
      </c>
      <c r="AC23" s="178">
        <f t="shared" si="74"/>
        <v>0</v>
      </c>
      <c r="AD23" s="17">
        <f t="shared" si="25"/>
        <v>0</v>
      </c>
      <c r="AF23" s="2" t="s">
        <v>88</v>
      </c>
      <c r="AG23" s="38">
        <f t="array" ref="AG23">SUM(IF((modeldata!$F:$F=calibration!$AF$2)*(modeldata!$G:$G=calibration!AG$4)*(modeldata!$H:$H=calibration!$AF23),modeldata!$E:$E,0))</f>
        <v>0</v>
      </c>
      <c r="AH23" s="242">
        <f t="array" ref="AH23">SUM(IF((modeldata!$F:$F=calibration!$AF$2)*(modeldata!$G:$G=calibration!AH$4)*(modeldata!$H:$H=calibration!$AF23),modeldata!$E:$E,0))</f>
        <v>0</v>
      </c>
      <c r="AI23" s="242">
        <f t="array" ref="AI23">SUM(IF((modeldata!$F:$F=calibration!$AF$2)*(modeldata!$G:$G=calibration!AI$4)*(modeldata!$H:$H=calibration!$AF23),modeldata!$E:$E,0))</f>
        <v>0</v>
      </c>
      <c r="AJ23" s="242">
        <f t="array" ref="AJ23">SUM(IF((modeldata!$F:$F=calibration!$AF$2)*(modeldata!$G:$G=calibration!AJ$4)*(modeldata!$H:$H=calibration!$AF23),modeldata!$E:$E,0))</f>
        <v>0</v>
      </c>
      <c r="AK23" s="242">
        <f t="array" ref="AK23">SUM(IF((modeldata!$F:$F=calibration!$AF$2)*(modeldata!$G:$G=calibration!AK$4)*(modeldata!$H:$H=calibration!$AF23),modeldata!$E:$E,0))</f>
        <v>0</v>
      </c>
      <c r="AL23" s="242">
        <f t="array" ref="AL23">SUM(IF((modeldata!$F:$F=calibration!$AF$2)*(modeldata!$G:$G=calibration!AL$4)*(modeldata!$H:$H=calibration!$AF23),modeldata!$E:$E,0))</f>
        <v>0</v>
      </c>
      <c r="AM23" s="242">
        <f t="array" ref="AM23">SUM(IF((modeldata!$F:$F=calibration!$AF$2)*(modeldata!$G:$G=calibration!AM$4)*(modeldata!$H:$H=calibration!$AF23),modeldata!$E:$E,0))</f>
        <v>0</v>
      </c>
      <c r="AN23" s="243"/>
      <c r="AO23" s="242">
        <f t="array" ref="AO23">SUM(IF((modeldata!$F:$F=calibration!$AF$2)*(modeldata!$G:$G=calibration!AO$4)*(modeldata!$H:$H=calibration!$AF23),modeldata!$E:$E,0))</f>
        <v>0</v>
      </c>
      <c r="AP23" s="242">
        <f t="array" ref="AP23">SUM(IF((modeldata!$F:$F=calibration!$AF$2)*(modeldata!$G:$G=calibration!AP$4)*(modeldata!$H:$H=calibration!$AF23),modeldata!$E:$E,0))</f>
        <v>0</v>
      </c>
      <c r="AQ23" s="242">
        <f t="array" ref="AQ23">SUM(IF((modeldata!$F:$F=calibration!$AF$2)*(modeldata!$G:$G=calibration!AQ$4)*(modeldata!$H:$H=calibration!$AF23),modeldata!$E:$E,0))</f>
        <v>0</v>
      </c>
      <c r="AR23" s="178">
        <f t="shared" si="75"/>
        <v>0</v>
      </c>
      <c r="AS23" s="17">
        <f t="shared" si="27"/>
        <v>0</v>
      </c>
      <c r="AU23" s="2" t="s">
        <v>88</v>
      </c>
      <c r="AV23" s="38">
        <f t="shared" ref="AV23:BG23" si="164">IF(R25&gt;0,R23/R25,0)</f>
        <v>0</v>
      </c>
      <c r="AW23" s="242">
        <f t="shared" si="164"/>
        <v>0</v>
      </c>
      <c r="AX23" s="242">
        <f t="shared" si="164"/>
        <v>0</v>
      </c>
      <c r="AY23" s="242">
        <f t="shared" si="164"/>
        <v>0</v>
      </c>
      <c r="AZ23" s="242">
        <f t="shared" si="164"/>
        <v>0</v>
      </c>
      <c r="BA23" s="242">
        <f t="shared" si="164"/>
        <v>0</v>
      </c>
      <c r="BB23" s="242">
        <f t="shared" si="164"/>
        <v>0</v>
      </c>
      <c r="BC23" s="243">
        <f t="shared" si="164"/>
        <v>0</v>
      </c>
      <c r="BD23" s="242">
        <f t="shared" si="164"/>
        <v>0</v>
      </c>
      <c r="BE23" s="242">
        <f t="shared" si="164"/>
        <v>0</v>
      </c>
      <c r="BF23" s="242">
        <f t="shared" si="164"/>
        <v>0</v>
      </c>
      <c r="BG23" s="178">
        <f t="shared" si="164"/>
        <v>0</v>
      </c>
      <c r="BH23" s="24" t="e">
        <f>AD23/AD25</f>
        <v>#DIV/0!</v>
      </c>
      <c r="BJ23" s="2" t="s">
        <v>88</v>
      </c>
      <c r="BK23" s="38">
        <f t="shared" ref="BK23:BV23" si="165">IF(AG25&gt;0,AG23/AG25,0)</f>
        <v>0</v>
      </c>
      <c r="BL23" s="242">
        <f t="shared" si="165"/>
        <v>0</v>
      </c>
      <c r="BM23" s="242">
        <f t="shared" si="165"/>
        <v>0</v>
      </c>
      <c r="BN23" s="242">
        <f t="shared" si="165"/>
        <v>0</v>
      </c>
      <c r="BO23" s="242">
        <f t="shared" si="165"/>
        <v>0</v>
      </c>
      <c r="BP23" s="242">
        <f t="shared" si="165"/>
        <v>0</v>
      </c>
      <c r="BQ23" s="242">
        <f t="shared" si="165"/>
        <v>0</v>
      </c>
      <c r="BR23" s="243">
        <f t="shared" si="165"/>
        <v>0</v>
      </c>
      <c r="BS23" s="242">
        <f t="shared" si="165"/>
        <v>0</v>
      </c>
      <c r="BT23" s="242">
        <f t="shared" si="165"/>
        <v>0</v>
      </c>
      <c r="BU23" s="242">
        <f t="shared" si="165"/>
        <v>0</v>
      </c>
      <c r="BV23" s="178">
        <f t="shared" si="165"/>
        <v>0</v>
      </c>
      <c r="BW23" s="24" t="e">
        <f>AS23/AS25</f>
        <v>#DIV/0!</v>
      </c>
      <c r="BX23" s="24"/>
      <c r="BY23" s="2" t="s">
        <v>88</v>
      </c>
      <c r="BZ23" s="54">
        <f t="shared" si="30"/>
        <v>0</v>
      </c>
      <c r="CA23" s="55">
        <f t="shared" ref="CA23:CA25" si="166">AH23-S23</f>
        <v>0</v>
      </c>
      <c r="CB23" s="55">
        <f t="shared" ref="CB23:CB25" si="167">AI23-T23</f>
        <v>0</v>
      </c>
      <c r="CC23" s="55">
        <f t="shared" ref="CC23:CC25" si="168">AJ23-U23</f>
        <v>0</v>
      </c>
      <c r="CD23" s="55">
        <f t="shared" ref="CD23:CD25" si="169">AK23-V23</f>
        <v>0</v>
      </c>
      <c r="CE23" s="55">
        <f t="shared" ref="CE23:CE25" si="170">AL23-W23</f>
        <v>0</v>
      </c>
      <c r="CF23" s="55">
        <f t="shared" ref="CF23:CG25" si="171">AM23-X23</f>
        <v>0</v>
      </c>
      <c r="CG23" s="55">
        <f t="shared" si="171"/>
        <v>0</v>
      </c>
      <c r="CH23" s="55">
        <f t="shared" ref="CH23:CH25" si="172">AO23-Z23</f>
        <v>0</v>
      </c>
      <c r="CI23" s="55">
        <f t="shared" ref="CI23:CI25" si="173">AP23-AA23</f>
        <v>0</v>
      </c>
      <c r="CJ23" s="55">
        <f t="shared" ref="CJ23:CK25" si="174">AQ23-AB23</f>
        <v>0</v>
      </c>
      <c r="CK23" s="249">
        <f t="shared" si="174"/>
        <v>0</v>
      </c>
      <c r="CL23" s="55">
        <f t="shared" ref="CL23:CL25" si="175">AS23-AD23</f>
        <v>0</v>
      </c>
      <c r="CN23" s="2" t="s">
        <v>88</v>
      </c>
      <c r="CO23" s="54">
        <f t="shared" si="42"/>
        <v>0</v>
      </c>
      <c r="CP23" s="55">
        <f t="shared" si="13"/>
        <v>0</v>
      </c>
      <c r="CQ23" s="55">
        <f t="shared" si="14"/>
        <v>0</v>
      </c>
      <c r="CR23" s="55">
        <f t="shared" si="15"/>
        <v>0</v>
      </c>
      <c r="CS23" s="55">
        <f t="shared" si="16"/>
        <v>0</v>
      </c>
      <c r="CT23" s="55">
        <f t="shared" si="17"/>
        <v>0</v>
      </c>
      <c r="CU23" s="55">
        <f t="shared" si="43"/>
        <v>0</v>
      </c>
      <c r="CV23" s="55">
        <f t="shared" si="44"/>
        <v>0</v>
      </c>
      <c r="CW23" s="55">
        <f t="shared" si="45"/>
        <v>0</v>
      </c>
      <c r="CX23" s="55">
        <f t="shared" si="46"/>
        <v>0</v>
      </c>
      <c r="CY23" s="55">
        <f t="shared" si="47"/>
        <v>0</v>
      </c>
      <c r="CZ23" s="249">
        <f t="shared" si="47"/>
        <v>0</v>
      </c>
      <c r="DA23" s="62" t="e">
        <f t="shared" si="48"/>
        <v>#DIV/0!</v>
      </c>
      <c r="DC23" s="2" t="s">
        <v>88</v>
      </c>
      <c r="DD23" s="198">
        <f t="shared" si="49"/>
        <v>0</v>
      </c>
      <c r="DE23" s="199">
        <f t="shared" si="50"/>
        <v>0</v>
      </c>
      <c r="DF23" s="198">
        <f t="shared" si="51"/>
        <v>0</v>
      </c>
      <c r="DG23" s="199">
        <f t="shared" si="52"/>
        <v>0</v>
      </c>
      <c r="DH23" s="198">
        <f t="shared" si="53"/>
        <v>0</v>
      </c>
      <c r="DI23" s="199">
        <f t="shared" si="54"/>
        <v>0</v>
      </c>
      <c r="DJ23" s="198">
        <f t="shared" si="55"/>
        <v>0</v>
      </c>
      <c r="DK23" s="199">
        <f t="shared" si="56"/>
        <v>0</v>
      </c>
      <c r="DL23" s="198">
        <f t="shared" si="57"/>
        <v>0</v>
      </c>
      <c r="DM23" s="199">
        <f t="shared" si="58"/>
        <v>0</v>
      </c>
      <c r="DN23" s="198">
        <f t="shared" si="59"/>
        <v>0</v>
      </c>
      <c r="DO23" s="199">
        <f t="shared" si="60"/>
        <v>0</v>
      </c>
      <c r="DP23" s="198">
        <f t="shared" si="61"/>
        <v>0</v>
      </c>
      <c r="DQ23" s="199">
        <f t="shared" si="62"/>
        <v>0</v>
      </c>
      <c r="DR23" s="198">
        <f t="shared" si="63"/>
        <v>0</v>
      </c>
      <c r="DS23" s="199">
        <f t="shared" si="64"/>
        <v>0</v>
      </c>
      <c r="DT23" s="198">
        <f t="shared" si="65"/>
        <v>0</v>
      </c>
      <c r="DU23" s="199">
        <f t="shared" si="66"/>
        <v>0</v>
      </c>
      <c r="DV23" s="198">
        <f t="shared" si="67"/>
        <v>0</v>
      </c>
      <c r="DW23" s="199">
        <f t="shared" si="68"/>
        <v>0</v>
      </c>
      <c r="DX23" s="198">
        <f t="shared" si="69"/>
        <v>0</v>
      </c>
      <c r="DY23" s="199">
        <f t="shared" si="70"/>
        <v>0</v>
      </c>
      <c r="DZ23" s="190">
        <f t="shared" si="71"/>
        <v>0</v>
      </c>
      <c r="EA23" s="199">
        <f t="shared" si="19"/>
        <v>0</v>
      </c>
      <c r="EB23" s="190" t="e">
        <f t="shared" si="72"/>
        <v>#DIV/0!</v>
      </c>
      <c r="EC23" s="190" t="e">
        <f t="shared" si="73"/>
        <v>#DIV/0!</v>
      </c>
    </row>
    <row r="24" spans="1:133" x14ac:dyDescent="0.2">
      <c r="A24" s="2" t="s">
        <v>89</v>
      </c>
      <c r="B24" s="42">
        <f>targets!AW25</f>
        <v>0</v>
      </c>
      <c r="C24" s="43">
        <f>targets!AX25</f>
        <v>0</v>
      </c>
      <c r="D24" s="43">
        <f>targets!AY25</f>
        <v>0</v>
      </c>
      <c r="E24" s="43">
        <f>targets!AZ25</f>
        <v>0</v>
      </c>
      <c r="F24" s="43">
        <f>targets!BA25</f>
        <v>0</v>
      </c>
      <c r="G24" s="43">
        <f>SUM(targets!BB25:BG25)</f>
        <v>391.32854018116728</v>
      </c>
      <c r="H24" s="43">
        <f>SUM(targets!BH25:BM25)</f>
        <v>883.76079985271656</v>
      </c>
      <c r="I24" s="75">
        <f t="shared" si="20"/>
        <v>1275.0893400338839</v>
      </c>
      <c r="J24" s="43">
        <f>targets!BN25</f>
        <v>0</v>
      </c>
      <c r="K24" s="43">
        <f>targets!BO25</f>
        <v>0</v>
      </c>
      <c r="L24" s="43">
        <f>targets!BP25</f>
        <v>0</v>
      </c>
      <c r="M24" s="244">
        <f t="shared" si="21"/>
        <v>0</v>
      </c>
      <c r="N24" s="17">
        <f t="shared" si="22"/>
        <v>1275.0893400338839</v>
      </c>
      <c r="O24" s="17"/>
      <c r="P24" s="17"/>
      <c r="Q24" s="2" t="s">
        <v>89</v>
      </c>
      <c r="R24" s="42">
        <f t="shared" si="23"/>
        <v>0</v>
      </c>
      <c r="S24" s="43">
        <f t="shared" si="0"/>
        <v>0</v>
      </c>
      <c r="T24" s="43">
        <f t="shared" si="1"/>
        <v>0</v>
      </c>
      <c r="U24" s="43">
        <f t="shared" si="2"/>
        <v>0</v>
      </c>
      <c r="V24" s="43">
        <f t="shared" si="3"/>
        <v>0</v>
      </c>
      <c r="W24" s="43">
        <f t="shared" si="4"/>
        <v>0</v>
      </c>
      <c r="X24" s="43">
        <f t="shared" si="5"/>
        <v>0</v>
      </c>
      <c r="Y24" s="75">
        <f t="shared" si="24"/>
        <v>0</v>
      </c>
      <c r="Z24" s="43">
        <f t="shared" si="6"/>
        <v>0</v>
      </c>
      <c r="AA24" s="43">
        <f t="shared" si="7"/>
        <v>0</v>
      </c>
      <c r="AB24" s="43">
        <f t="shared" si="8"/>
        <v>0</v>
      </c>
      <c r="AC24" s="244">
        <f t="shared" si="74"/>
        <v>0</v>
      </c>
      <c r="AD24" s="17">
        <f t="shared" si="25"/>
        <v>0</v>
      </c>
      <c r="AF24" s="2" t="s">
        <v>89</v>
      </c>
      <c r="AG24" s="42">
        <f t="array" ref="AG24">SUM(IF((modeldata!$F:$F=calibration!$AF$2)*(modeldata!$G:$G=calibration!AG$4)*(modeldata!$H:$H=calibration!$AF24),modeldata!$E:$E,0))</f>
        <v>0</v>
      </c>
      <c r="AH24" s="43">
        <f t="array" ref="AH24">SUM(IF((modeldata!$F:$F=calibration!$AF$2)*(modeldata!$G:$G=calibration!AH$4)*(modeldata!$H:$H=calibration!$AF24),modeldata!$E:$E,0))</f>
        <v>0</v>
      </c>
      <c r="AI24" s="43">
        <f t="array" ref="AI24">SUM(IF((modeldata!$F:$F=calibration!$AF$2)*(modeldata!$G:$G=calibration!AI$4)*(modeldata!$H:$H=calibration!$AF24),modeldata!$E:$E,0))</f>
        <v>0</v>
      </c>
      <c r="AJ24" s="43">
        <f t="array" ref="AJ24">SUM(IF((modeldata!$F:$F=calibration!$AF$2)*(modeldata!$G:$G=calibration!AJ$4)*(modeldata!$H:$H=calibration!$AF24),modeldata!$E:$E,0))</f>
        <v>0</v>
      </c>
      <c r="AK24" s="43">
        <f t="array" ref="AK24">SUM(IF((modeldata!$F:$F=calibration!$AF$2)*(modeldata!$G:$G=calibration!AK$4)*(modeldata!$H:$H=calibration!$AF24),modeldata!$E:$E,0))</f>
        <v>0</v>
      </c>
      <c r="AL24" s="43">
        <f t="array" ref="AL24">SUM(IF((modeldata!$F:$F=calibration!$AF$2)*(modeldata!$G:$G=calibration!AL$4)*(modeldata!$H:$H=calibration!$AF24),modeldata!$E:$E,0))</f>
        <v>0</v>
      </c>
      <c r="AM24" s="43">
        <f t="array" ref="AM24">SUM(IF((modeldata!$F:$F=calibration!$AF$2)*(modeldata!$G:$G=calibration!AM$4)*(modeldata!$H:$H=calibration!$AF24),modeldata!$E:$E,0))</f>
        <v>0</v>
      </c>
      <c r="AN24" s="75">
        <f t="shared" si="26"/>
        <v>0</v>
      </c>
      <c r="AO24" s="43">
        <f t="array" ref="AO24">SUM(IF((modeldata!$F:$F=calibration!$AF$2)*(modeldata!$G:$G=calibration!AO$4)*(modeldata!$H:$H=calibration!$AF24),modeldata!$E:$E,0))</f>
        <v>0</v>
      </c>
      <c r="AP24" s="43">
        <f t="array" ref="AP24">SUM(IF((modeldata!$F:$F=calibration!$AF$2)*(modeldata!$G:$G=calibration!AP$4)*(modeldata!$H:$H=calibration!$AF24),modeldata!$E:$E,0))</f>
        <v>0</v>
      </c>
      <c r="AQ24" s="43">
        <f t="array" ref="AQ24">SUM(IF((modeldata!$F:$F=calibration!$AF$2)*(modeldata!$G:$G=calibration!AQ$4)*(modeldata!$H:$H=calibration!$AF24),modeldata!$E:$E,0))</f>
        <v>0</v>
      </c>
      <c r="AR24" s="244">
        <f t="shared" ref="AR24" si="176">SUM(AO24:AQ24)</f>
        <v>0</v>
      </c>
      <c r="AS24" s="17">
        <f t="shared" si="27"/>
        <v>0</v>
      </c>
      <c r="AU24" s="2" t="s">
        <v>89</v>
      </c>
      <c r="AV24" s="42">
        <f t="shared" ref="AV24:BG24" si="177">IF(R25&gt;0,R24/R25,0)</f>
        <v>0</v>
      </c>
      <c r="AW24" s="43">
        <f t="shared" si="177"/>
        <v>0</v>
      </c>
      <c r="AX24" s="43">
        <f t="shared" si="177"/>
        <v>0</v>
      </c>
      <c r="AY24" s="43">
        <f t="shared" si="177"/>
        <v>0</v>
      </c>
      <c r="AZ24" s="43">
        <f t="shared" si="177"/>
        <v>0</v>
      </c>
      <c r="BA24" s="43">
        <f t="shared" si="177"/>
        <v>0</v>
      </c>
      <c r="BB24" s="43">
        <f t="shared" si="177"/>
        <v>0</v>
      </c>
      <c r="BC24" s="75">
        <f t="shared" si="177"/>
        <v>0</v>
      </c>
      <c r="BD24" s="43">
        <f t="shared" si="177"/>
        <v>0</v>
      </c>
      <c r="BE24" s="43">
        <f t="shared" si="177"/>
        <v>0</v>
      </c>
      <c r="BF24" s="43">
        <f t="shared" si="177"/>
        <v>0</v>
      </c>
      <c r="BG24" s="244">
        <f t="shared" si="177"/>
        <v>0</v>
      </c>
      <c r="BH24" s="24" t="e">
        <f>AD24/AD25</f>
        <v>#DIV/0!</v>
      </c>
      <c r="BJ24" s="2" t="s">
        <v>89</v>
      </c>
      <c r="BK24" s="42">
        <f t="shared" ref="BK24:BV24" si="178">IF(AG25&gt;0,AG24/AG25,0)</f>
        <v>0</v>
      </c>
      <c r="BL24" s="43">
        <f t="shared" si="178"/>
        <v>0</v>
      </c>
      <c r="BM24" s="43">
        <f t="shared" si="178"/>
        <v>0</v>
      </c>
      <c r="BN24" s="43">
        <f t="shared" si="178"/>
        <v>0</v>
      </c>
      <c r="BO24" s="43">
        <f t="shared" si="178"/>
        <v>0</v>
      </c>
      <c r="BP24" s="43">
        <f t="shared" si="178"/>
        <v>0</v>
      </c>
      <c r="BQ24" s="43">
        <f t="shared" si="178"/>
        <v>0</v>
      </c>
      <c r="BR24" s="75">
        <f t="shared" si="178"/>
        <v>0</v>
      </c>
      <c r="BS24" s="43">
        <f t="shared" si="178"/>
        <v>0</v>
      </c>
      <c r="BT24" s="43">
        <f t="shared" si="178"/>
        <v>0</v>
      </c>
      <c r="BU24" s="43">
        <f t="shared" si="178"/>
        <v>0</v>
      </c>
      <c r="BV24" s="244">
        <f t="shared" si="178"/>
        <v>0</v>
      </c>
      <c r="BW24" s="24" t="e">
        <f>AS24/AS25</f>
        <v>#DIV/0!</v>
      </c>
      <c r="BX24" s="24"/>
      <c r="BY24" s="2" t="s">
        <v>89</v>
      </c>
      <c r="BZ24" s="56">
        <f t="shared" si="30"/>
        <v>0</v>
      </c>
      <c r="CA24" s="57">
        <f t="shared" si="166"/>
        <v>0</v>
      </c>
      <c r="CB24" s="57">
        <f t="shared" si="167"/>
        <v>0</v>
      </c>
      <c r="CC24" s="57">
        <f t="shared" si="168"/>
        <v>0</v>
      </c>
      <c r="CD24" s="57">
        <f t="shared" si="169"/>
        <v>0</v>
      </c>
      <c r="CE24" s="57">
        <f t="shared" si="170"/>
        <v>0</v>
      </c>
      <c r="CF24" s="57">
        <f t="shared" si="171"/>
        <v>0</v>
      </c>
      <c r="CG24" s="57">
        <f t="shared" si="171"/>
        <v>0</v>
      </c>
      <c r="CH24" s="57">
        <f t="shared" si="172"/>
        <v>0</v>
      </c>
      <c r="CI24" s="57">
        <f t="shared" si="173"/>
        <v>0</v>
      </c>
      <c r="CJ24" s="57">
        <f t="shared" si="174"/>
        <v>0</v>
      </c>
      <c r="CK24" s="250">
        <f t="shared" si="174"/>
        <v>0</v>
      </c>
      <c r="CL24" s="55">
        <f t="shared" si="175"/>
        <v>0</v>
      </c>
      <c r="CN24" s="2" t="s">
        <v>89</v>
      </c>
      <c r="CO24" s="56">
        <f t="shared" si="42"/>
        <v>0</v>
      </c>
      <c r="CP24" s="57">
        <f t="shared" si="13"/>
        <v>0</v>
      </c>
      <c r="CQ24" s="57">
        <f t="shared" si="14"/>
        <v>0</v>
      </c>
      <c r="CR24" s="57">
        <f t="shared" si="15"/>
        <v>0</v>
      </c>
      <c r="CS24" s="57">
        <f t="shared" si="16"/>
        <v>0</v>
      </c>
      <c r="CT24" s="57">
        <f t="shared" si="17"/>
        <v>0</v>
      </c>
      <c r="CU24" s="57">
        <f t="shared" si="43"/>
        <v>0</v>
      </c>
      <c r="CV24" s="57">
        <f t="shared" si="44"/>
        <v>0</v>
      </c>
      <c r="CW24" s="57">
        <f t="shared" si="45"/>
        <v>0</v>
      </c>
      <c r="CX24" s="57">
        <f t="shared" si="46"/>
        <v>0</v>
      </c>
      <c r="CY24" s="57">
        <f t="shared" si="47"/>
        <v>0</v>
      </c>
      <c r="CZ24" s="250">
        <f t="shared" si="47"/>
        <v>0</v>
      </c>
      <c r="DA24" s="62" t="e">
        <f t="shared" si="48"/>
        <v>#DIV/0!</v>
      </c>
      <c r="DC24" s="2" t="s">
        <v>89</v>
      </c>
      <c r="DD24" s="200">
        <f t="shared" si="49"/>
        <v>0</v>
      </c>
      <c r="DE24" s="201">
        <f t="shared" si="50"/>
        <v>0</v>
      </c>
      <c r="DF24" s="200">
        <f t="shared" si="51"/>
        <v>0</v>
      </c>
      <c r="DG24" s="201">
        <f t="shared" si="52"/>
        <v>0</v>
      </c>
      <c r="DH24" s="200">
        <f t="shared" si="53"/>
        <v>0</v>
      </c>
      <c r="DI24" s="201">
        <f t="shared" si="54"/>
        <v>0</v>
      </c>
      <c r="DJ24" s="200">
        <f t="shared" si="55"/>
        <v>0</v>
      </c>
      <c r="DK24" s="201">
        <f t="shared" si="56"/>
        <v>0</v>
      </c>
      <c r="DL24" s="200">
        <f t="shared" si="57"/>
        <v>0</v>
      </c>
      <c r="DM24" s="201">
        <f t="shared" si="58"/>
        <v>0</v>
      </c>
      <c r="DN24" s="200">
        <f t="shared" si="59"/>
        <v>0</v>
      </c>
      <c r="DO24" s="201">
        <f t="shared" si="60"/>
        <v>0</v>
      </c>
      <c r="DP24" s="200">
        <f t="shared" si="61"/>
        <v>0</v>
      </c>
      <c r="DQ24" s="201">
        <f t="shared" si="62"/>
        <v>0</v>
      </c>
      <c r="DR24" s="200">
        <f t="shared" si="63"/>
        <v>0</v>
      </c>
      <c r="DS24" s="201">
        <f t="shared" si="64"/>
        <v>0</v>
      </c>
      <c r="DT24" s="200">
        <f t="shared" si="65"/>
        <v>0</v>
      </c>
      <c r="DU24" s="201">
        <f t="shared" si="66"/>
        <v>0</v>
      </c>
      <c r="DV24" s="200">
        <f t="shared" si="67"/>
        <v>0</v>
      </c>
      <c r="DW24" s="201">
        <f t="shared" si="68"/>
        <v>0</v>
      </c>
      <c r="DX24" s="200">
        <f t="shared" si="69"/>
        <v>0</v>
      </c>
      <c r="DY24" s="201">
        <f t="shared" si="70"/>
        <v>0</v>
      </c>
      <c r="DZ24" s="202">
        <f t="shared" si="71"/>
        <v>0</v>
      </c>
      <c r="EA24" s="201">
        <f t="shared" si="19"/>
        <v>0</v>
      </c>
      <c r="EB24" s="190" t="e">
        <f t="shared" si="72"/>
        <v>#DIV/0!</v>
      </c>
      <c r="EC24" s="190" t="e">
        <f t="shared" si="73"/>
        <v>#DIV/0!</v>
      </c>
    </row>
    <row r="25" spans="1:133" x14ac:dyDescent="0.2">
      <c r="A25" s="65" t="s">
        <v>54</v>
      </c>
      <c r="B25" s="17">
        <f t="shared" ref="B25:M25" si="179">SUM(B5:B24)</f>
        <v>3452786.5337426849</v>
      </c>
      <c r="C25" s="17">
        <f t="shared" si="179"/>
        <v>1544295.0568293591</v>
      </c>
      <c r="D25" s="17">
        <f t="shared" si="179"/>
        <v>804979.21903691161</v>
      </c>
      <c r="E25" s="17">
        <f t="shared" si="179"/>
        <v>177907.00676519633</v>
      </c>
      <c r="F25" s="17">
        <f t="shared" si="179"/>
        <v>171375.92665838907</v>
      </c>
      <c r="G25" s="17">
        <f t="shared" si="179"/>
        <v>638757.86442555278</v>
      </c>
      <c r="H25" s="17">
        <f t="shared" si="179"/>
        <v>122527.61797676433</v>
      </c>
      <c r="I25" s="72">
        <f t="shared" si="179"/>
        <v>761285.48240231699</v>
      </c>
      <c r="J25" s="17">
        <f t="shared" si="179"/>
        <v>7188.5846002773942</v>
      </c>
      <c r="K25" s="17">
        <f t="shared" si="179"/>
        <v>40354.544249493367</v>
      </c>
      <c r="L25" s="17">
        <f t="shared" si="179"/>
        <v>1871.7088585739682</v>
      </c>
      <c r="M25" s="72">
        <f t="shared" si="179"/>
        <v>49414.837708344727</v>
      </c>
      <c r="N25" s="17">
        <f>SUM(B25:L25)-I25</f>
        <v>6962044.063143203</v>
      </c>
      <c r="O25" s="17"/>
      <c r="P25" s="17"/>
      <c r="Q25" s="65" t="s">
        <v>54</v>
      </c>
      <c r="R25" s="17">
        <f t="shared" ref="R25:AC25" si="180">SUM(R5:R24)</f>
        <v>0</v>
      </c>
      <c r="S25" s="17">
        <f t="shared" si="180"/>
        <v>0</v>
      </c>
      <c r="T25" s="17">
        <f t="shared" si="180"/>
        <v>0</v>
      </c>
      <c r="U25" s="17">
        <f t="shared" si="180"/>
        <v>0</v>
      </c>
      <c r="V25" s="17">
        <f t="shared" si="180"/>
        <v>0</v>
      </c>
      <c r="W25" s="17">
        <f t="shared" si="180"/>
        <v>0</v>
      </c>
      <c r="X25" s="17">
        <f t="shared" si="180"/>
        <v>0</v>
      </c>
      <c r="Y25" s="72">
        <f t="shared" si="180"/>
        <v>0</v>
      </c>
      <c r="Z25" s="17">
        <f t="shared" si="180"/>
        <v>0</v>
      </c>
      <c r="AA25" s="17">
        <f t="shared" si="180"/>
        <v>0</v>
      </c>
      <c r="AB25" s="17">
        <f t="shared" si="180"/>
        <v>0</v>
      </c>
      <c r="AC25" s="72">
        <f t="shared" si="180"/>
        <v>0</v>
      </c>
      <c r="AD25" s="17">
        <f t="shared" si="25"/>
        <v>0</v>
      </c>
      <c r="AF25" s="65" t="s">
        <v>54</v>
      </c>
      <c r="AG25" s="17">
        <f t="shared" ref="AG25:AR25" si="181">SUM(AG5:AG24)</f>
        <v>0</v>
      </c>
      <c r="AH25" s="17">
        <f t="shared" si="181"/>
        <v>0</v>
      </c>
      <c r="AI25" s="17">
        <f t="shared" si="181"/>
        <v>0</v>
      </c>
      <c r="AJ25" s="17">
        <f t="shared" si="181"/>
        <v>0</v>
      </c>
      <c r="AK25" s="17">
        <f t="shared" si="181"/>
        <v>0</v>
      </c>
      <c r="AL25" s="17">
        <f t="shared" si="181"/>
        <v>0</v>
      </c>
      <c r="AM25" s="17">
        <f t="shared" si="181"/>
        <v>0</v>
      </c>
      <c r="AN25" s="72">
        <f t="shared" si="181"/>
        <v>0</v>
      </c>
      <c r="AO25" s="17">
        <f t="shared" si="181"/>
        <v>0</v>
      </c>
      <c r="AP25" s="17">
        <f t="shared" si="181"/>
        <v>0</v>
      </c>
      <c r="AQ25" s="17">
        <f t="shared" si="181"/>
        <v>0</v>
      </c>
      <c r="AR25" s="72">
        <f t="shared" si="181"/>
        <v>0</v>
      </c>
      <c r="AS25" s="17">
        <f t="shared" si="27"/>
        <v>0</v>
      </c>
      <c r="AU25" s="65" t="s">
        <v>54</v>
      </c>
      <c r="AV25" s="17">
        <f t="shared" ref="AV25:BH25" si="182">SUM(AV5:AV24)</f>
        <v>0</v>
      </c>
      <c r="AW25" s="17">
        <f t="shared" si="182"/>
        <v>0</v>
      </c>
      <c r="AX25" s="17">
        <f t="shared" si="182"/>
        <v>0</v>
      </c>
      <c r="AY25" s="17">
        <f t="shared" si="182"/>
        <v>0</v>
      </c>
      <c r="AZ25" s="17">
        <f t="shared" si="182"/>
        <v>0</v>
      </c>
      <c r="BA25" s="17">
        <f t="shared" si="182"/>
        <v>0</v>
      </c>
      <c r="BB25" s="17">
        <f t="shared" si="182"/>
        <v>0</v>
      </c>
      <c r="BC25" s="72">
        <f t="shared" si="182"/>
        <v>0</v>
      </c>
      <c r="BD25" s="17">
        <f t="shared" si="182"/>
        <v>0</v>
      </c>
      <c r="BE25" s="17">
        <f t="shared" si="182"/>
        <v>0</v>
      </c>
      <c r="BF25" s="17">
        <f t="shared" si="182"/>
        <v>0</v>
      </c>
      <c r="BG25" s="72">
        <f t="shared" si="182"/>
        <v>0</v>
      </c>
      <c r="BH25" s="24" t="e">
        <f t="shared" si="182"/>
        <v>#DIV/0!</v>
      </c>
      <c r="BJ25" s="65" t="s">
        <v>54</v>
      </c>
      <c r="BK25" s="17">
        <f t="shared" ref="BK25:BW25" si="183">SUM(BK5:BK24)</f>
        <v>0</v>
      </c>
      <c r="BL25" s="17">
        <f t="shared" si="183"/>
        <v>0</v>
      </c>
      <c r="BM25" s="17">
        <f t="shared" si="183"/>
        <v>0</v>
      </c>
      <c r="BN25" s="17">
        <f t="shared" si="183"/>
        <v>0</v>
      </c>
      <c r="BO25" s="17">
        <f t="shared" si="183"/>
        <v>0</v>
      </c>
      <c r="BP25" s="17">
        <f t="shared" si="183"/>
        <v>0</v>
      </c>
      <c r="BQ25" s="17">
        <f t="shared" si="183"/>
        <v>0</v>
      </c>
      <c r="BR25" s="72">
        <f t="shared" si="183"/>
        <v>0</v>
      </c>
      <c r="BS25" s="17">
        <f t="shared" si="183"/>
        <v>0</v>
      </c>
      <c r="BT25" s="17">
        <f t="shared" si="183"/>
        <v>0</v>
      </c>
      <c r="BU25" s="17">
        <f t="shared" si="183"/>
        <v>0</v>
      </c>
      <c r="BV25" s="72">
        <f t="shared" si="183"/>
        <v>0</v>
      </c>
      <c r="BW25" s="24" t="e">
        <f t="shared" si="183"/>
        <v>#DIV/0!</v>
      </c>
      <c r="BX25" s="24"/>
      <c r="BY25" s="65" t="s">
        <v>54</v>
      </c>
      <c r="BZ25" s="55">
        <f t="shared" si="30"/>
        <v>0</v>
      </c>
      <c r="CA25" s="55">
        <f t="shared" si="166"/>
        <v>0</v>
      </c>
      <c r="CB25" s="55">
        <f t="shared" si="167"/>
        <v>0</v>
      </c>
      <c r="CC25" s="55">
        <f t="shared" si="168"/>
        <v>0</v>
      </c>
      <c r="CD25" s="55">
        <f t="shared" si="169"/>
        <v>0</v>
      </c>
      <c r="CE25" s="55">
        <f t="shared" si="170"/>
        <v>0</v>
      </c>
      <c r="CF25" s="55">
        <f t="shared" si="171"/>
        <v>0</v>
      </c>
      <c r="CG25" s="55">
        <f t="shared" si="171"/>
        <v>0</v>
      </c>
      <c r="CH25" s="55">
        <f t="shared" si="172"/>
        <v>0</v>
      </c>
      <c r="CI25" s="55">
        <f t="shared" si="173"/>
        <v>0</v>
      </c>
      <c r="CJ25" s="55">
        <f t="shared" si="174"/>
        <v>0</v>
      </c>
      <c r="CK25" s="55">
        <f t="shared" si="174"/>
        <v>0</v>
      </c>
      <c r="CL25" s="55">
        <f t="shared" si="175"/>
        <v>0</v>
      </c>
      <c r="CN25" s="65" t="s">
        <v>54</v>
      </c>
      <c r="CO25" s="55">
        <f t="shared" si="42"/>
        <v>0</v>
      </c>
      <c r="CP25" s="55">
        <f t="shared" si="13"/>
        <v>0</v>
      </c>
      <c r="CQ25" s="55">
        <f t="shared" si="14"/>
        <v>0</v>
      </c>
      <c r="CR25" s="55">
        <f t="shared" si="15"/>
        <v>0</v>
      </c>
      <c r="CS25" s="55">
        <f t="shared" si="16"/>
        <v>0</v>
      </c>
      <c r="CT25" s="55">
        <f t="shared" si="17"/>
        <v>0</v>
      </c>
      <c r="CU25" s="55">
        <f t="shared" si="43"/>
        <v>0</v>
      </c>
      <c r="CV25" s="55">
        <f t="shared" si="44"/>
        <v>0</v>
      </c>
      <c r="CW25" s="55">
        <f t="shared" si="45"/>
        <v>0</v>
      </c>
      <c r="CX25" s="55">
        <f t="shared" si="46"/>
        <v>0</v>
      </c>
      <c r="CY25" s="55">
        <f t="shared" si="47"/>
        <v>0</v>
      </c>
      <c r="CZ25" s="55">
        <f t="shared" si="47"/>
        <v>0</v>
      </c>
      <c r="DA25" s="62" t="e">
        <f t="shared" si="48"/>
        <v>#DIV/0!</v>
      </c>
      <c r="DC25" s="65" t="s">
        <v>54</v>
      </c>
      <c r="DD25" s="190">
        <f t="shared" ref="DD25:EC25" si="184">SUM(DD5:DD24)</f>
        <v>0</v>
      </c>
      <c r="DE25" s="190">
        <f t="shared" si="184"/>
        <v>0</v>
      </c>
      <c r="DF25" s="190">
        <f t="shared" si="184"/>
        <v>0</v>
      </c>
      <c r="DG25" s="190">
        <f t="shared" si="184"/>
        <v>0</v>
      </c>
      <c r="DH25" s="190">
        <f t="shared" si="184"/>
        <v>0</v>
      </c>
      <c r="DI25" s="190">
        <f t="shared" si="184"/>
        <v>0</v>
      </c>
      <c r="DJ25" s="190">
        <f t="shared" si="184"/>
        <v>0</v>
      </c>
      <c r="DK25" s="190">
        <f t="shared" si="184"/>
        <v>0</v>
      </c>
      <c r="DL25" s="190">
        <f t="shared" si="184"/>
        <v>0</v>
      </c>
      <c r="DM25" s="190">
        <f t="shared" si="184"/>
        <v>0</v>
      </c>
      <c r="DN25" s="190">
        <f t="shared" si="184"/>
        <v>0</v>
      </c>
      <c r="DO25" s="190">
        <f t="shared" si="184"/>
        <v>0</v>
      </c>
      <c r="DP25" s="190">
        <f t="shared" si="184"/>
        <v>0</v>
      </c>
      <c r="DQ25" s="190">
        <f t="shared" si="184"/>
        <v>0</v>
      </c>
      <c r="DR25" s="190">
        <f t="shared" si="184"/>
        <v>0</v>
      </c>
      <c r="DS25" s="190">
        <f t="shared" si="184"/>
        <v>0</v>
      </c>
      <c r="DT25" s="190">
        <f t="shared" si="184"/>
        <v>0</v>
      </c>
      <c r="DU25" s="190">
        <f t="shared" si="184"/>
        <v>0</v>
      </c>
      <c r="DV25" s="190">
        <f t="shared" si="184"/>
        <v>0</v>
      </c>
      <c r="DW25" s="190">
        <f t="shared" si="184"/>
        <v>0</v>
      </c>
      <c r="DX25" s="190">
        <f t="shared" si="184"/>
        <v>0</v>
      </c>
      <c r="DY25" s="190">
        <f t="shared" si="184"/>
        <v>0</v>
      </c>
      <c r="DZ25" s="190">
        <f t="shared" si="184"/>
        <v>0</v>
      </c>
      <c r="EA25" s="190">
        <f t="shared" si="184"/>
        <v>0</v>
      </c>
      <c r="EB25" s="190" t="e">
        <f t="shared" si="184"/>
        <v>#DIV/0!</v>
      </c>
      <c r="EC25" s="190" t="e">
        <f t="shared" si="184"/>
        <v>#DIV/0!</v>
      </c>
    </row>
    <row r="26" spans="1:133" x14ac:dyDescent="0.2">
      <c r="DC26" s="2"/>
    </row>
    <row r="27" spans="1:133" x14ac:dyDescent="0.2">
      <c r="DC27" s="2"/>
    </row>
    <row r="28" spans="1:133" s="13" customFormat="1" x14ac:dyDescent="0.2">
      <c r="A28" s="6" t="s">
        <v>83</v>
      </c>
      <c r="Q28" s="6" t="s">
        <v>83</v>
      </c>
      <c r="AF28" s="6" t="s">
        <v>83</v>
      </c>
      <c r="AU28" s="6" t="s">
        <v>83</v>
      </c>
      <c r="BJ28" s="6" t="s">
        <v>83</v>
      </c>
      <c r="BY28" s="6" t="s">
        <v>83</v>
      </c>
      <c r="CN28" s="6" t="s">
        <v>83</v>
      </c>
      <c r="DC28" s="6" t="s">
        <v>83</v>
      </c>
      <c r="DD28" s="188" t="s">
        <v>0</v>
      </c>
      <c r="DE28" s="189"/>
      <c r="DF28" s="189"/>
      <c r="DG28" s="189"/>
      <c r="DH28" s="189"/>
      <c r="DI28" s="189"/>
      <c r="DJ28" s="189"/>
      <c r="DK28" s="189"/>
      <c r="DL28" s="189"/>
      <c r="DM28" s="189"/>
      <c r="DN28" s="189"/>
      <c r="DO28" s="189"/>
      <c r="DP28" s="189"/>
      <c r="DQ28" s="189"/>
      <c r="DR28" s="189"/>
      <c r="DS28" s="189"/>
      <c r="DT28" s="189"/>
      <c r="DU28" s="189"/>
      <c r="DV28" s="189"/>
      <c r="DW28" s="189"/>
      <c r="DX28" s="189"/>
      <c r="DY28" s="189"/>
      <c r="DZ28" s="189"/>
      <c r="EA28" s="189"/>
      <c r="EB28" s="189"/>
      <c r="EC28" s="189"/>
    </row>
    <row r="29" spans="1:133" x14ac:dyDescent="0.2">
      <c r="A29" s="63"/>
      <c r="B29" s="5" t="s">
        <v>0</v>
      </c>
      <c r="Q29" s="63"/>
      <c r="R29" s="5" t="s">
        <v>0</v>
      </c>
      <c r="AF29" s="63"/>
      <c r="AG29" s="5" t="s">
        <v>0</v>
      </c>
      <c r="AU29" s="63"/>
      <c r="AV29" s="5" t="s">
        <v>0</v>
      </c>
      <c r="BJ29" s="63"/>
      <c r="BK29" s="5" t="s">
        <v>0</v>
      </c>
      <c r="BY29" s="63"/>
      <c r="BZ29" s="5" t="s">
        <v>0</v>
      </c>
      <c r="CN29" s="63"/>
      <c r="CO29" s="5" t="s">
        <v>0</v>
      </c>
      <c r="DC29" s="63"/>
      <c r="DD29" s="190" t="s">
        <v>124</v>
      </c>
      <c r="DE29" s="190" t="s">
        <v>125</v>
      </c>
      <c r="DF29" s="190" t="s">
        <v>124</v>
      </c>
      <c r="DG29" s="190" t="s">
        <v>125</v>
      </c>
      <c r="DH29" s="190" t="s">
        <v>124</v>
      </c>
      <c r="DI29" s="190" t="s">
        <v>125</v>
      </c>
      <c r="DJ29" s="190" t="s">
        <v>124</v>
      </c>
      <c r="DK29" s="190" t="s">
        <v>125</v>
      </c>
      <c r="DL29" s="190" t="s">
        <v>124</v>
      </c>
      <c r="DM29" s="190" t="s">
        <v>125</v>
      </c>
      <c r="DN29" s="190" t="s">
        <v>124</v>
      </c>
      <c r="DO29" s="190" t="s">
        <v>125</v>
      </c>
      <c r="DP29" s="190" t="s">
        <v>124</v>
      </c>
      <c r="DQ29" s="190" t="s">
        <v>125</v>
      </c>
      <c r="DR29" s="190" t="s">
        <v>124</v>
      </c>
      <c r="DS29" s="190" t="s">
        <v>125</v>
      </c>
      <c r="DT29" s="190" t="s">
        <v>124</v>
      </c>
      <c r="DU29" s="190" t="s">
        <v>125</v>
      </c>
      <c r="DV29" s="190" t="s">
        <v>124</v>
      </c>
      <c r="DW29" s="190" t="s">
        <v>125</v>
      </c>
      <c r="DX29" s="190" t="s">
        <v>124</v>
      </c>
      <c r="DY29" s="190" t="s">
        <v>125</v>
      </c>
      <c r="DZ29" s="190" t="s">
        <v>124</v>
      </c>
      <c r="EA29" s="190" t="s">
        <v>125</v>
      </c>
      <c r="EB29" s="190" t="s">
        <v>124</v>
      </c>
      <c r="EC29" s="190" t="s">
        <v>125</v>
      </c>
    </row>
    <row r="30" spans="1:133" ht="25.5" x14ac:dyDescent="0.2">
      <c r="A30" s="5" t="s">
        <v>1</v>
      </c>
      <c r="B30" s="21" t="s">
        <v>4</v>
      </c>
      <c r="C30" s="21" t="s">
        <v>41</v>
      </c>
      <c r="D30" s="21" t="s">
        <v>42</v>
      </c>
      <c r="E30" s="21" t="s">
        <v>2</v>
      </c>
      <c r="F30" s="21" t="s">
        <v>3</v>
      </c>
      <c r="G30" s="21" t="s">
        <v>38</v>
      </c>
      <c r="H30" s="21" t="s">
        <v>39</v>
      </c>
      <c r="I30" s="71" t="s">
        <v>148</v>
      </c>
      <c r="J30" s="21" t="s">
        <v>6</v>
      </c>
      <c r="K30" s="21" t="s">
        <v>88</v>
      </c>
      <c r="L30" s="21" t="s">
        <v>89</v>
      </c>
      <c r="M30" s="73" t="s">
        <v>323</v>
      </c>
      <c r="N30" s="52" t="s">
        <v>53</v>
      </c>
      <c r="O30" s="52"/>
      <c r="P30" s="52"/>
      <c r="Q30" s="5" t="s">
        <v>1</v>
      </c>
      <c r="R30" s="21" t="s">
        <v>4</v>
      </c>
      <c r="S30" s="21" t="s">
        <v>41</v>
      </c>
      <c r="T30" s="21" t="s">
        <v>42</v>
      </c>
      <c r="U30" s="21" t="s">
        <v>2</v>
      </c>
      <c r="V30" s="21" t="s">
        <v>3</v>
      </c>
      <c r="W30" s="21" t="s">
        <v>38</v>
      </c>
      <c r="X30" s="21" t="s">
        <v>39</v>
      </c>
      <c r="Y30" s="71" t="s">
        <v>148</v>
      </c>
      <c r="Z30" s="21" t="s">
        <v>6</v>
      </c>
      <c r="AA30" s="21" t="s">
        <v>88</v>
      </c>
      <c r="AB30" s="21" t="s">
        <v>89</v>
      </c>
      <c r="AC30" s="73" t="s">
        <v>323</v>
      </c>
      <c r="AD30" s="52" t="s">
        <v>53</v>
      </c>
      <c r="AF30" s="5" t="s">
        <v>1</v>
      </c>
      <c r="AG30" s="21" t="s">
        <v>4</v>
      </c>
      <c r="AH30" s="21" t="s">
        <v>41</v>
      </c>
      <c r="AI30" s="21" t="s">
        <v>42</v>
      </c>
      <c r="AJ30" s="21" t="s">
        <v>2</v>
      </c>
      <c r="AK30" s="21" t="s">
        <v>3</v>
      </c>
      <c r="AL30" s="21" t="s">
        <v>38</v>
      </c>
      <c r="AM30" s="21" t="s">
        <v>39</v>
      </c>
      <c r="AN30" s="71" t="s">
        <v>148</v>
      </c>
      <c r="AO30" s="21" t="s">
        <v>6</v>
      </c>
      <c r="AP30" s="21" t="s">
        <v>88</v>
      </c>
      <c r="AQ30" s="21" t="s">
        <v>89</v>
      </c>
      <c r="AR30" s="73" t="s">
        <v>323</v>
      </c>
      <c r="AS30" s="52" t="s">
        <v>53</v>
      </c>
      <c r="AU30" s="5" t="s">
        <v>1</v>
      </c>
      <c r="AV30" s="21" t="s">
        <v>4</v>
      </c>
      <c r="AW30" s="21" t="s">
        <v>41</v>
      </c>
      <c r="AX30" s="21" t="s">
        <v>42</v>
      </c>
      <c r="AY30" s="21" t="s">
        <v>2</v>
      </c>
      <c r="AZ30" s="21" t="s">
        <v>3</v>
      </c>
      <c r="BA30" s="21" t="s">
        <v>38</v>
      </c>
      <c r="BB30" s="21" t="s">
        <v>39</v>
      </c>
      <c r="BC30" s="71" t="s">
        <v>148</v>
      </c>
      <c r="BD30" s="21" t="s">
        <v>6</v>
      </c>
      <c r="BE30" s="21" t="s">
        <v>88</v>
      </c>
      <c r="BF30" s="21" t="s">
        <v>89</v>
      </c>
      <c r="BG30" s="73" t="s">
        <v>323</v>
      </c>
      <c r="BH30" s="52" t="s">
        <v>53</v>
      </c>
      <c r="BJ30" s="5" t="s">
        <v>1</v>
      </c>
      <c r="BK30" s="21" t="s">
        <v>4</v>
      </c>
      <c r="BL30" s="21" t="s">
        <v>41</v>
      </c>
      <c r="BM30" s="21" t="s">
        <v>42</v>
      </c>
      <c r="BN30" s="21" t="s">
        <v>2</v>
      </c>
      <c r="BO30" s="21" t="s">
        <v>3</v>
      </c>
      <c r="BP30" s="21" t="s">
        <v>38</v>
      </c>
      <c r="BQ30" s="21" t="s">
        <v>39</v>
      </c>
      <c r="BR30" s="71" t="s">
        <v>148</v>
      </c>
      <c r="BS30" s="21" t="s">
        <v>6</v>
      </c>
      <c r="BT30" s="21" t="s">
        <v>88</v>
      </c>
      <c r="BU30" s="21" t="s">
        <v>89</v>
      </c>
      <c r="BV30" s="73" t="s">
        <v>323</v>
      </c>
      <c r="BW30" s="21" t="s">
        <v>53</v>
      </c>
      <c r="BX30" s="21"/>
      <c r="BY30" s="5" t="s">
        <v>1</v>
      </c>
      <c r="BZ30" s="21" t="s">
        <v>4</v>
      </c>
      <c r="CA30" s="21" t="s">
        <v>41</v>
      </c>
      <c r="CB30" s="21" t="s">
        <v>42</v>
      </c>
      <c r="CC30" s="21" t="s">
        <v>2</v>
      </c>
      <c r="CD30" s="21" t="s">
        <v>3</v>
      </c>
      <c r="CE30" s="21" t="s">
        <v>38</v>
      </c>
      <c r="CF30" s="21" t="s">
        <v>39</v>
      </c>
      <c r="CG30" s="21" t="s">
        <v>148</v>
      </c>
      <c r="CH30" s="21" t="s">
        <v>6</v>
      </c>
      <c r="CI30" s="21" t="s">
        <v>88</v>
      </c>
      <c r="CJ30" s="21" t="s">
        <v>89</v>
      </c>
      <c r="CK30" s="21" t="s">
        <v>323</v>
      </c>
      <c r="CL30" s="21" t="s">
        <v>53</v>
      </c>
      <c r="CN30" s="5" t="s">
        <v>1</v>
      </c>
      <c r="CO30" s="21" t="s">
        <v>4</v>
      </c>
      <c r="CP30" s="21" t="s">
        <v>41</v>
      </c>
      <c r="CQ30" s="21" t="s">
        <v>42</v>
      </c>
      <c r="CR30" s="21" t="s">
        <v>2</v>
      </c>
      <c r="CS30" s="21" t="s">
        <v>3</v>
      </c>
      <c r="CT30" s="21" t="s">
        <v>38</v>
      </c>
      <c r="CU30" s="21" t="s">
        <v>39</v>
      </c>
      <c r="CV30" s="21" t="s">
        <v>148</v>
      </c>
      <c r="CW30" s="21" t="s">
        <v>6</v>
      </c>
      <c r="CX30" s="21" t="s">
        <v>88</v>
      </c>
      <c r="CY30" s="21" t="s">
        <v>89</v>
      </c>
      <c r="CZ30" s="21" t="s">
        <v>323</v>
      </c>
      <c r="DA30" s="21" t="s">
        <v>53</v>
      </c>
      <c r="DC30" s="5" t="s">
        <v>1</v>
      </c>
      <c r="DD30" s="191" t="s">
        <v>4</v>
      </c>
      <c r="DE30" s="191" t="s">
        <v>4</v>
      </c>
      <c r="DF30" s="191" t="s">
        <v>41</v>
      </c>
      <c r="DG30" s="191" t="s">
        <v>41</v>
      </c>
      <c r="DH30" s="191" t="s">
        <v>42</v>
      </c>
      <c r="DI30" s="191" t="s">
        <v>42</v>
      </c>
      <c r="DJ30" s="191" t="s">
        <v>2</v>
      </c>
      <c r="DK30" s="191" t="s">
        <v>2</v>
      </c>
      <c r="DL30" s="191" t="s">
        <v>3</v>
      </c>
      <c r="DM30" s="191" t="s">
        <v>3</v>
      </c>
      <c r="DN30" s="191" t="s">
        <v>38</v>
      </c>
      <c r="DO30" s="191" t="s">
        <v>38</v>
      </c>
      <c r="DP30" s="191" t="s">
        <v>39</v>
      </c>
      <c r="DQ30" s="191" t="s">
        <v>39</v>
      </c>
      <c r="DR30" s="191" t="s">
        <v>148</v>
      </c>
      <c r="DS30" s="191" t="s">
        <v>148</v>
      </c>
      <c r="DT30" s="191" t="s">
        <v>6</v>
      </c>
      <c r="DU30" s="191" t="s">
        <v>6</v>
      </c>
      <c r="DV30" s="191" t="s">
        <v>88</v>
      </c>
      <c r="DW30" s="191" t="s">
        <v>88</v>
      </c>
      <c r="DX30" s="191" t="s">
        <v>89</v>
      </c>
      <c r="DY30" s="191" t="s">
        <v>89</v>
      </c>
      <c r="DZ30" s="191" t="s">
        <v>323</v>
      </c>
      <c r="EA30" s="191" t="s">
        <v>323</v>
      </c>
      <c r="EB30" s="192" t="s">
        <v>126</v>
      </c>
      <c r="EC30" s="192" t="s">
        <v>126</v>
      </c>
    </row>
    <row r="31" spans="1:133" x14ac:dyDescent="0.2">
      <c r="A31" s="66" t="s">
        <v>4</v>
      </c>
      <c r="B31" s="36">
        <f>targets!AW30</f>
        <v>28830.563190684163</v>
      </c>
      <c r="C31" s="37">
        <f>targets!AX30</f>
        <v>121.75270800508827</v>
      </c>
      <c r="D31" s="37">
        <f>targets!AY30</f>
        <v>0</v>
      </c>
      <c r="E31" s="37">
        <f>targets!AZ30</f>
        <v>0</v>
      </c>
      <c r="F31" s="37">
        <f>targets!BA30</f>
        <v>0</v>
      </c>
      <c r="G31" s="37">
        <f>SUM(targets!BB30:BH30)</f>
        <v>0</v>
      </c>
      <c r="H31" s="37">
        <f>SUM(targets!BH30:BM30)</f>
        <v>0</v>
      </c>
      <c r="I31" s="74">
        <f>SUM(G31:H31)</f>
        <v>0</v>
      </c>
      <c r="J31" s="37">
        <f>targets!BN30</f>
        <v>0</v>
      </c>
      <c r="K31" s="37">
        <f>targets!BO30</f>
        <v>0</v>
      </c>
      <c r="L31" s="37">
        <f>targets!BP30</f>
        <v>0</v>
      </c>
      <c r="M31" s="177">
        <f>SUM(J31:L31)</f>
        <v>0</v>
      </c>
      <c r="N31" s="17">
        <f>SUM(B31:L31)-I31</f>
        <v>28952.315898689252</v>
      </c>
      <c r="O31" s="17"/>
      <c r="P31" s="17"/>
      <c r="Q31" s="66" t="s">
        <v>4</v>
      </c>
      <c r="R31" s="36">
        <f>B31*(AG51/B51)</f>
        <v>0</v>
      </c>
      <c r="S31" s="37">
        <f t="shared" ref="S31:S50" si="185">C31*(AH$51/C$51)</f>
        <v>0</v>
      </c>
      <c r="T31" s="37">
        <f t="shared" ref="T31:T50" si="186">D31*(AI$51/D$51)</f>
        <v>0</v>
      </c>
      <c r="U31" s="37">
        <f t="shared" ref="U31:U50" si="187">E31*(AJ$51/E$51)</f>
        <v>0</v>
      </c>
      <c r="V31" s="37">
        <f t="shared" ref="V31:V50" si="188">F31*(AK$51/F$51)</f>
        <v>0</v>
      </c>
      <c r="W31" s="37">
        <f t="shared" ref="W31:W50" si="189">G31*(AL$51/G$51)</f>
        <v>0</v>
      </c>
      <c r="X31" s="37">
        <f t="shared" ref="X31:X50" si="190">H31*(AM$51/H$51)</f>
        <v>0</v>
      </c>
      <c r="Y31" s="74">
        <f>SUM(W31:X31)</f>
        <v>0</v>
      </c>
      <c r="Z31" s="37"/>
      <c r="AA31" s="37"/>
      <c r="AB31" s="37"/>
      <c r="AC31" s="177">
        <f>SUM(Z31:AB31)</f>
        <v>0</v>
      </c>
      <c r="AD31" s="17">
        <f>SUM(R31:AB31)-Y31</f>
        <v>0</v>
      </c>
      <c r="AF31" s="66" t="s">
        <v>4</v>
      </c>
      <c r="AG31" s="36">
        <f t="array" ref="AG31">SUM(IF((modeldata!$F:$F=calibration!$AF$28)*(modeldata!$G:$G=calibration!AG$30)*(modeldata!$H:$H=calibration!$AF31),modeldata!$E:$E,0))</f>
        <v>0</v>
      </c>
      <c r="AH31" s="37">
        <f t="array" ref="AH31">SUM(IF((modeldata!$F:$F=calibration!$AF$28)*(modeldata!$G:$G=calibration!AH$30)*(modeldata!$H:$H=calibration!$AF31),modeldata!$E:$E,0))</f>
        <v>0</v>
      </c>
      <c r="AI31" s="37">
        <f t="array" ref="AI31">SUM(IF((modeldata!$F:$F=calibration!$AF$28)*(modeldata!$G:$G=calibration!AI$30)*(modeldata!$H:$H=calibration!$AF31),modeldata!$E:$E,0))</f>
        <v>0</v>
      </c>
      <c r="AJ31" s="37">
        <f t="array" ref="AJ31">SUM(IF((modeldata!$F:$F=calibration!$AF$28)*(modeldata!$G:$G=calibration!AJ$30)*(modeldata!$H:$H=calibration!$AF31),modeldata!$E:$E,0))</f>
        <v>0</v>
      </c>
      <c r="AK31" s="37">
        <f t="array" ref="AK31">SUM(IF((modeldata!$F:$F=calibration!$AF$28)*(modeldata!$G:$G=calibration!AK$30)*(modeldata!$H:$H=calibration!$AF31),modeldata!$E:$E,0))</f>
        <v>0</v>
      </c>
      <c r="AL31" s="37">
        <f t="array" ref="AL31">SUM(IF((modeldata!$F:$F=calibration!$AF$28)*(modeldata!$G:$G=calibration!AL$30)*(modeldata!$H:$H=calibration!$AF31),modeldata!$E:$E,0))</f>
        <v>0</v>
      </c>
      <c r="AM31" s="37">
        <f t="array" ref="AM31">SUM(IF((modeldata!$F:$F=calibration!$AF$28)*(modeldata!$G:$G=calibration!AM$30)*(modeldata!$H:$H=calibration!$AF31),modeldata!$E:$E,0))</f>
        <v>0</v>
      </c>
      <c r="AN31" s="74">
        <f>AL31+AM31</f>
        <v>0</v>
      </c>
      <c r="AO31" s="37">
        <f t="array" ref="AO31">SUM(IF((modeldata!$F:$F=calibration!$AF$28)*(modeldata!$G:$G=calibration!AO$30)*(modeldata!$H:$H=calibration!$AF31),modeldata!$E:$E,0))</f>
        <v>0</v>
      </c>
      <c r="AP31" s="37">
        <f t="array" ref="AP31">SUM(IF((modeldata!$F:$F=calibration!$AF$28)*(modeldata!$G:$G=calibration!AP$30)*(modeldata!$H:$H=calibration!$AF31),modeldata!$E:$E,0))</f>
        <v>0</v>
      </c>
      <c r="AQ31" s="37">
        <f t="array" ref="AQ31">SUM(IF((modeldata!$F:$F=calibration!$AF$28)*(modeldata!$G:$G=calibration!AQ$30)*(modeldata!$H:$H=calibration!$AF31),modeldata!$E:$E,0))</f>
        <v>0</v>
      </c>
      <c r="AR31" s="177"/>
      <c r="AS31" s="17">
        <f>SUM(AG31:AQ31)-AN31</f>
        <v>0</v>
      </c>
      <c r="AU31" s="66" t="s">
        <v>4</v>
      </c>
      <c r="AV31" s="36">
        <f t="shared" ref="AV31:BG31" si="191">IF(R51&gt;0,R31/R51,0)</f>
        <v>0</v>
      </c>
      <c r="AW31" s="37">
        <f t="shared" si="191"/>
        <v>0</v>
      </c>
      <c r="AX31" s="37">
        <f t="shared" si="191"/>
        <v>0</v>
      </c>
      <c r="AY31" s="37">
        <f t="shared" si="191"/>
        <v>0</v>
      </c>
      <c r="AZ31" s="37">
        <f t="shared" si="191"/>
        <v>0</v>
      </c>
      <c r="BA31" s="37">
        <f t="shared" si="191"/>
        <v>0</v>
      </c>
      <c r="BB31" s="37">
        <f t="shared" si="191"/>
        <v>0</v>
      </c>
      <c r="BC31" s="74">
        <f t="shared" si="191"/>
        <v>0</v>
      </c>
      <c r="BD31" s="37">
        <f t="shared" si="191"/>
        <v>0</v>
      </c>
      <c r="BE31" s="37">
        <f t="shared" si="191"/>
        <v>0</v>
      </c>
      <c r="BF31" s="37">
        <f t="shared" si="191"/>
        <v>0</v>
      </c>
      <c r="BG31" s="177">
        <f t="shared" si="191"/>
        <v>0</v>
      </c>
      <c r="BH31" s="24" t="e">
        <f>AD31/AD51</f>
        <v>#DIV/0!</v>
      </c>
      <c r="BJ31" s="66" t="s">
        <v>4</v>
      </c>
      <c r="BK31" s="36">
        <f t="shared" ref="BK31:BV31" si="192">IF(AG51&gt;0,AG31/AG51,0)</f>
        <v>0</v>
      </c>
      <c r="BL31" s="37">
        <f t="shared" si="192"/>
        <v>0</v>
      </c>
      <c r="BM31" s="37">
        <f t="shared" si="192"/>
        <v>0</v>
      </c>
      <c r="BN31" s="37">
        <f t="shared" si="192"/>
        <v>0</v>
      </c>
      <c r="BO31" s="37">
        <f t="shared" si="192"/>
        <v>0</v>
      </c>
      <c r="BP31" s="37">
        <f t="shared" si="192"/>
        <v>0</v>
      </c>
      <c r="BQ31" s="37">
        <f t="shared" si="192"/>
        <v>0</v>
      </c>
      <c r="BR31" s="74">
        <f t="shared" si="192"/>
        <v>0</v>
      </c>
      <c r="BS31" s="37">
        <f t="shared" si="192"/>
        <v>0</v>
      </c>
      <c r="BT31" s="37">
        <f t="shared" si="192"/>
        <v>0</v>
      </c>
      <c r="BU31" s="37">
        <f t="shared" si="192"/>
        <v>0</v>
      </c>
      <c r="BV31" s="177">
        <f t="shared" si="192"/>
        <v>0</v>
      </c>
      <c r="BW31" s="24" t="e">
        <f>AS31/AS51</f>
        <v>#DIV/0!</v>
      </c>
      <c r="BX31" s="24"/>
      <c r="BY31" s="66" t="s">
        <v>4</v>
      </c>
      <c r="BZ31" s="58">
        <f>AG31-R31</f>
        <v>0</v>
      </c>
      <c r="CA31" s="53">
        <f t="shared" ref="CA31:CA51" si="193">AH31-S31</f>
        <v>0</v>
      </c>
      <c r="CB31" s="53">
        <f t="shared" ref="CB31:CB51" si="194">AI31-T31</f>
        <v>0</v>
      </c>
      <c r="CC31" s="53">
        <f t="shared" ref="CC31:CC51" si="195">AJ31-U31</f>
        <v>0</v>
      </c>
      <c r="CD31" s="53">
        <f t="shared" ref="CD31:CD51" si="196">AK31-V31</f>
        <v>0</v>
      </c>
      <c r="CE31" s="53">
        <f t="shared" ref="CE31:CE51" si="197">AL31-W31</f>
        <v>0</v>
      </c>
      <c r="CF31" s="53">
        <f t="shared" ref="CF31:CF51" si="198">AM31-X31</f>
        <v>0</v>
      </c>
      <c r="CG31" s="245">
        <f t="shared" ref="CG31:CG46" si="199">AN31-Y31</f>
        <v>0</v>
      </c>
      <c r="CH31" s="53">
        <f t="shared" ref="CH31:CH51" si="200">AO31-Z31</f>
        <v>0</v>
      </c>
      <c r="CI31" s="53">
        <f t="shared" ref="CI31:CI51" si="201">AP31-AA31</f>
        <v>0</v>
      </c>
      <c r="CJ31" s="53">
        <f t="shared" ref="CJ31:CK51" si="202">AQ31-AB31</f>
        <v>0</v>
      </c>
      <c r="CK31" s="248">
        <f>AR31-AC31</f>
        <v>0</v>
      </c>
      <c r="CL31" s="55">
        <f t="shared" ref="CL31:CL51" si="203">AS31-AD31</f>
        <v>0</v>
      </c>
      <c r="CN31" s="66" t="s">
        <v>4</v>
      </c>
      <c r="CO31" s="58">
        <f>BK31-AV31</f>
        <v>0</v>
      </c>
      <c r="CP31" s="53">
        <f t="shared" ref="CP31:CP51" si="204">BL31-AW31</f>
        <v>0</v>
      </c>
      <c r="CQ31" s="53">
        <f t="shared" ref="CQ31:CQ51" si="205">BM31-AX31</f>
        <v>0</v>
      </c>
      <c r="CR31" s="53">
        <f t="shared" ref="CR31:CR51" si="206">BN31-AY31</f>
        <v>0</v>
      </c>
      <c r="CS31" s="53">
        <f t="shared" ref="CS31:CS51" si="207">BO31-AZ31</f>
        <v>0</v>
      </c>
      <c r="CT31" s="53">
        <f t="shared" ref="CT31:CT51" si="208">BP31-BA31</f>
        <v>0</v>
      </c>
      <c r="CU31" s="53">
        <f t="shared" ref="CU31:CU51" si="209">BQ31-BB31</f>
        <v>0</v>
      </c>
      <c r="CV31" s="245">
        <f t="shared" ref="CV31:CV51" si="210">BR31-BC31</f>
        <v>0</v>
      </c>
      <c r="CW31" s="53">
        <f t="shared" ref="CW31:CW51" si="211">BS31-BD31</f>
        <v>0</v>
      </c>
      <c r="CX31" s="53">
        <f t="shared" ref="CX31:CX51" si="212">BT31-BE31</f>
        <v>0</v>
      </c>
      <c r="CY31" s="53">
        <f t="shared" ref="CY31:CZ51" si="213">BU31-BF31</f>
        <v>0</v>
      </c>
      <c r="CZ31" s="248">
        <f>BV31-BG31</f>
        <v>0</v>
      </c>
      <c r="DA31" s="62" t="e">
        <f t="shared" ref="DA31:DA51" si="214">BW31-BH31</f>
        <v>#DIV/0!</v>
      </c>
      <c r="DC31" s="66" t="s">
        <v>4</v>
      </c>
      <c r="DD31" s="193">
        <f>AV31</f>
        <v>0</v>
      </c>
      <c r="DE31" s="194">
        <f>BK31</f>
        <v>0</v>
      </c>
      <c r="DF31" s="195">
        <f>AW31</f>
        <v>0</v>
      </c>
      <c r="DG31" s="196">
        <f>BL31</f>
        <v>0</v>
      </c>
      <c r="DH31" s="195">
        <f>AX31</f>
        <v>0</v>
      </c>
      <c r="DI31" s="196">
        <f>BM31</f>
        <v>0</v>
      </c>
      <c r="DJ31" s="195">
        <f>AY31</f>
        <v>0</v>
      </c>
      <c r="DK31" s="196">
        <f>BN31</f>
        <v>0</v>
      </c>
      <c r="DL31" s="195">
        <f>AZ31</f>
        <v>0</v>
      </c>
      <c r="DM31" s="196">
        <f>BO31</f>
        <v>0</v>
      </c>
      <c r="DN31" s="195">
        <f>BA31</f>
        <v>0</v>
      </c>
      <c r="DO31" s="196">
        <f>BP31</f>
        <v>0</v>
      </c>
      <c r="DP31" s="195">
        <f>BB31</f>
        <v>0</v>
      </c>
      <c r="DQ31" s="196">
        <f>BQ31</f>
        <v>0</v>
      </c>
      <c r="DR31" s="195">
        <f>BC31</f>
        <v>0</v>
      </c>
      <c r="DS31" s="196">
        <f>BR31</f>
        <v>0</v>
      </c>
      <c r="DT31" s="195">
        <f>BD31</f>
        <v>0</v>
      </c>
      <c r="DU31" s="196">
        <f>BS31</f>
        <v>0</v>
      </c>
      <c r="DV31" s="195">
        <f>BE31</f>
        <v>0</v>
      </c>
      <c r="DW31" s="196">
        <f>BT31</f>
        <v>0</v>
      </c>
      <c r="DX31" s="195">
        <f>BF31</f>
        <v>0</v>
      </c>
      <c r="DY31" s="196">
        <f>BU31</f>
        <v>0</v>
      </c>
      <c r="DZ31" s="197">
        <f>BG31</f>
        <v>0</v>
      </c>
      <c r="EA31" s="196">
        <f t="shared" ref="EA31:EA50" si="215">BV31</f>
        <v>0</v>
      </c>
      <c r="EB31" s="190" t="e">
        <f>BH31</f>
        <v>#DIV/0!</v>
      </c>
      <c r="EC31" s="190" t="e">
        <f>BW31</f>
        <v>#DIV/0!</v>
      </c>
    </row>
    <row r="32" spans="1:133" x14ac:dyDescent="0.2">
      <c r="A32" s="66" t="s">
        <v>41</v>
      </c>
      <c r="B32" s="38">
        <f>targets!AW31</f>
        <v>0</v>
      </c>
      <c r="C32" s="36">
        <f>targets!AX31</f>
        <v>1833.621424359535</v>
      </c>
      <c r="D32" s="242">
        <f>targets!AY31</f>
        <v>15.883164000962729</v>
      </c>
      <c r="E32" s="242">
        <f>targets!AZ31</f>
        <v>0</v>
      </c>
      <c r="F32" s="242">
        <f>targets!BA31</f>
        <v>0</v>
      </c>
      <c r="G32" s="242">
        <f>SUM(targets!BB31:BG31)</f>
        <v>1256.3537743129946</v>
      </c>
      <c r="H32" s="242">
        <f>SUM(targets!BH31:BM31)</f>
        <v>0</v>
      </c>
      <c r="I32" s="243">
        <f>SUM(G32:H32)</f>
        <v>1256.3537743129946</v>
      </c>
      <c r="J32" s="242">
        <f>targets!BN31</f>
        <v>0</v>
      </c>
      <c r="K32" s="242">
        <f>targets!BO31</f>
        <v>0</v>
      </c>
      <c r="L32" s="242">
        <f>targets!BP31</f>
        <v>0</v>
      </c>
      <c r="M32" s="178">
        <f>SUM(J32:L32)</f>
        <v>0</v>
      </c>
      <c r="N32" s="17">
        <f t="shared" ref="N32:N50" si="216">SUM(B32:L32)-I32</f>
        <v>3105.8583626734926</v>
      </c>
      <c r="O32" s="17"/>
      <c r="P32" s="17"/>
      <c r="Q32" s="66" t="s">
        <v>41</v>
      </c>
      <c r="R32" s="38">
        <f t="shared" ref="R32:R50" si="217">B32*(AG$51/B$51)</f>
        <v>0</v>
      </c>
      <c r="S32" s="36">
        <f t="shared" si="185"/>
        <v>0</v>
      </c>
      <c r="T32" s="242">
        <f t="shared" si="186"/>
        <v>0</v>
      </c>
      <c r="U32" s="242">
        <f t="shared" si="187"/>
        <v>0</v>
      </c>
      <c r="V32" s="242">
        <f t="shared" si="188"/>
        <v>0</v>
      </c>
      <c r="W32" s="242">
        <f t="shared" si="189"/>
        <v>0</v>
      </c>
      <c r="X32" s="242">
        <f t="shared" si="190"/>
        <v>0</v>
      </c>
      <c r="Y32" s="243">
        <f t="shared" ref="Y32:Y50" si="218">SUM(W32:X32)</f>
        <v>0</v>
      </c>
      <c r="Z32" s="242"/>
      <c r="AA32" s="242"/>
      <c r="AB32" s="242"/>
      <c r="AC32" s="178">
        <f>SUM(Z32:AB32)</f>
        <v>0</v>
      </c>
      <c r="AD32" s="17">
        <f t="shared" ref="AD32:AD51" si="219">SUM(R32:AB32)-Y32</f>
        <v>0</v>
      </c>
      <c r="AF32" s="66" t="s">
        <v>41</v>
      </c>
      <c r="AG32" s="38">
        <f t="array" ref="AG32">SUM(IF((modeldata!$F:$F=calibration!$AF$28)*(modeldata!$G:$G=calibration!AG$30)*(modeldata!$H:$H=calibration!$AF32),modeldata!$E:$E,0))</f>
        <v>0</v>
      </c>
      <c r="AH32" s="36">
        <f t="array" ref="AH32">SUM(IF((modeldata!$F:$F=calibration!$AF$28)*(modeldata!$G:$G=calibration!AH$30)*(modeldata!$H:$H=calibration!$AF32),modeldata!$E:$E,0))</f>
        <v>0</v>
      </c>
      <c r="AI32" s="242">
        <f t="array" ref="AI32">SUM(IF((modeldata!$F:$F=calibration!$AF$28)*(modeldata!$G:$G=calibration!AI$30)*(modeldata!$H:$H=calibration!$AF32),modeldata!$E:$E,0))</f>
        <v>0</v>
      </c>
      <c r="AJ32" s="242">
        <f t="array" ref="AJ32">SUM(IF((modeldata!$F:$F=calibration!$AF$28)*(modeldata!$G:$G=calibration!AJ$30)*(modeldata!$H:$H=calibration!$AF32),modeldata!$E:$E,0))</f>
        <v>0</v>
      </c>
      <c r="AK32" s="242">
        <f t="array" ref="AK32">SUM(IF((modeldata!$F:$F=calibration!$AF$28)*(modeldata!$G:$G=calibration!AK$30)*(modeldata!$H:$H=calibration!$AF32),modeldata!$E:$E,0))</f>
        <v>0</v>
      </c>
      <c r="AL32" s="242">
        <f t="array" ref="AL32">SUM(IF((modeldata!$F:$F=calibration!$AF$28)*(modeldata!$G:$G=calibration!AL$30)*(modeldata!$H:$H=calibration!$AF32),modeldata!$E:$E,0))</f>
        <v>0</v>
      </c>
      <c r="AM32" s="242">
        <f t="array" ref="AM32">SUM(IF((modeldata!$F:$F=calibration!$AF$28)*(modeldata!$G:$G=calibration!AM$30)*(modeldata!$H:$H=calibration!$AF32),modeldata!$E:$E,0))</f>
        <v>0</v>
      </c>
      <c r="AN32" s="243">
        <f t="shared" ref="AN32:AN50" si="220">AL32+AM32</f>
        <v>0</v>
      </c>
      <c r="AO32" s="242">
        <f t="array" ref="AO32">SUM(IF((modeldata!$F:$F=calibration!$AF$28)*(modeldata!$G:$G=calibration!AO$30)*(modeldata!$H:$H=calibration!$AF32),modeldata!$E:$E,0))</f>
        <v>0</v>
      </c>
      <c r="AP32" s="242">
        <f t="array" ref="AP32">SUM(IF((modeldata!$F:$F=calibration!$AF$28)*(modeldata!$G:$G=calibration!AP$30)*(modeldata!$H:$H=calibration!$AF32),modeldata!$E:$E,0))</f>
        <v>0</v>
      </c>
      <c r="AQ32" s="242">
        <f t="array" ref="AQ32">SUM(IF((modeldata!$F:$F=calibration!$AF$28)*(modeldata!$G:$G=calibration!AQ$30)*(modeldata!$H:$H=calibration!$AF32),modeldata!$E:$E,0))</f>
        <v>0</v>
      </c>
      <c r="AR32" s="178">
        <f>SUM(AO32:AQ32)</f>
        <v>0</v>
      </c>
      <c r="AS32" s="17">
        <f t="shared" ref="AS32:AS51" si="221">SUM(AG32:AQ32)-AN32</f>
        <v>0</v>
      </c>
      <c r="AU32" s="66" t="s">
        <v>41</v>
      </c>
      <c r="AV32" s="38">
        <f t="shared" ref="AV32:BG32" si="222">IF(R51&gt;0,R32/R51,0)</f>
        <v>0</v>
      </c>
      <c r="AW32" s="36">
        <f t="shared" si="222"/>
        <v>0</v>
      </c>
      <c r="AX32" s="242">
        <f t="shared" si="222"/>
        <v>0</v>
      </c>
      <c r="AY32" s="242">
        <f t="shared" si="222"/>
        <v>0</v>
      </c>
      <c r="AZ32" s="242">
        <f t="shared" si="222"/>
        <v>0</v>
      </c>
      <c r="BA32" s="242">
        <f t="shared" si="222"/>
        <v>0</v>
      </c>
      <c r="BB32" s="242">
        <f t="shared" si="222"/>
        <v>0</v>
      </c>
      <c r="BC32" s="243">
        <f t="shared" si="222"/>
        <v>0</v>
      </c>
      <c r="BD32" s="242">
        <f t="shared" si="222"/>
        <v>0</v>
      </c>
      <c r="BE32" s="242">
        <f t="shared" si="222"/>
        <v>0</v>
      </c>
      <c r="BF32" s="242">
        <f t="shared" si="222"/>
        <v>0</v>
      </c>
      <c r="BG32" s="178">
        <f t="shared" si="222"/>
        <v>0</v>
      </c>
      <c r="BH32" s="24" t="e">
        <f>AD32/AD51</f>
        <v>#DIV/0!</v>
      </c>
      <c r="BJ32" s="66" t="s">
        <v>41</v>
      </c>
      <c r="BK32" s="38">
        <f t="shared" ref="BK32:BV32" si="223">IF(AG51&gt;0,AG32/AG51,0)</f>
        <v>0</v>
      </c>
      <c r="BL32" s="36">
        <f t="shared" si="223"/>
        <v>0</v>
      </c>
      <c r="BM32" s="242">
        <f t="shared" si="223"/>
        <v>0</v>
      </c>
      <c r="BN32" s="242">
        <f t="shared" si="223"/>
        <v>0</v>
      </c>
      <c r="BO32" s="242">
        <f t="shared" si="223"/>
        <v>0</v>
      </c>
      <c r="BP32" s="242">
        <f t="shared" si="223"/>
        <v>0</v>
      </c>
      <c r="BQ32" s="242">
        <f t="shared" si="223"/>
        <v>0</v>
      </c>
      <c r="BR32" s="243">
        <f t="shared" si="223"/>
        <v>0</v>
      </c>
      <c r="BS32" s="242">
        <f t="shared" si="223"/>
        <v>0</v>
      </c>
      <c r="BT32" s="242">
        <f t="shared" si="223"/>
        <v>0</v>
      </c>
      <c r="BU32" s="242">
        <f t="shared" si="223"/>
        <v>0</v>
      </c>
      <c r="BV32" s="178">
        <f t="shared" si="223"/>
        <v>0</v>
      </c>
      <c r="BW32" s="24" t="e">
        <f>AS32/AS51</f>
        <v>#DIV/0!</v>
      </c>
      <c r="BX32" s="24"/>
      <c r="BY32" s="66" t="s">
        <v>41</v>
      </c>
      <c r="BZ32" s="54">
        <f t="shared" ref="BZ32:BZ51" si="224">AG32-R32</f>
        <v>0</v>
      </c>
      <c r="CA32" s="58">
        <f t="shared" si="193"/>
        <v>0</v>
      </c>
      <c r="CB32" s="55">
        <f t="shared" si="194"/>
        <v>0</v>
      </c>
      <c r="CC32" s="55">
        <f t="shared" si="195"/>
        <v>0</v>
      </c>
      <c r="CD32" s="55">
        <f t="shared" si="196"/>
        <v>0</v>
      </c>
      <c r="CE32" s="55">
        <f t="shared" si="197"/>
        <v>0</v>
      </c>
      <c r="CF32" s="55">
        <f t="shared" si="198"/>
        <v>0</v>
      </c>
      <c r="CG32" s="246">
        <f t="shared" si="199"/>
        <v>0</v>
      </c>
      <c r="CH32" s="55">
        <f t="shared" si="200"/>
        <v>0</v>
      </c>
      <c r="CI32" s="55">
        <f t="shared" si="201"/>
        <v>0</v>
      </c>
      <c r="CJ32" s="55">
        <f t="shared" si="202"/>
        <v>0</v>
      </c>
      <c r="CK32" s="249">
        <f t="shared" si="202"/>
        <v>0</v>
      </c>
      <c r="CL32" s="55">
        <f t="shared" si="203"/>
        <v>0</v>
      </c>
      <c r="CN32" s="66" t="s">
        <v>41</v>
      </c>
      <c r="CO32" s="54">
        <f t="shared" ref="CO32:CO51" si="225">BK32-AV32</f>
        <v>0</v>
      </c>
      <c r="CP32" s="58">
        <f t="shared" si="204"/>
        <v>0</v>
      </c>
      <c r="CQ32" s="55">
        <f t="shared" si="205"/>
        <v>0</v>
      </c>
      <c r="CR32" s="55">
        <f t="shared" si="206"/>
        <v>0</v>
      </c>
      <c r="CS32" s="55">
        <f t="shared" si="207"/>
        <v>0</v>
      </c>
      <c r="CT32" s="55">
        <f t="shared" si="208"/>
        <v>0</v>
      </c>
      <c r="CU32" s="55">
        <f t="shared" si="209"/>
        <v>0</v>
      </c>
      <c r="CV32" s="246">
        <f t="shared" si="210"/>
        <v>0</v>
      </c>
      <c r="CW32" s="55">
        <f t="shared" si="211"/>
        <v>0</v>
      </c>
      <c r="CX32" s="55">
        <f t="shared" si="212"/>
        <v>0</v>
      </c>
      <c r="CY32" s="55">
        <f t="shared" si="213"/>
        <v>0</v>
      </c>
      <c r="CZ32" s="249">
        <f t="shared" si="213"/>
        <v>0</v>
      </c>
      <c r="DA32" s="62" t="e">
        <f t="shared" si="214"/>
        <v>#DIV/0!</v>
      </c>
      <c r="DC32" s="66" t="s">
        <v>41</v>
      </c>
      <c r="DD32" s="198">
        <f t="shared" ref="DD32:DD50" si="226">AV32</f>
        <v>0</v>
      </c>
      <c r="DE32" s="199">
        <f t="shared" ref="DE32:DE50" si="227">BK32</f>
        <v>0</v>
      </c>
      <c r="DF32" s="193">
        <f t="shared" ref="DF32:DF50" si="228">AW32</f>
        <v>0</v>
      </c>
      <c r="DG32" s="194">
        <f t="shared" ref="DG32:DG50" si="229">BL32</f>
        <v>0</v>
      </c>
      <c r="DH32" s="198">
        <f t="shared" ref="DH32:DH50" si="230">AX32</f>
        <v>0</v>
      </c>
      <c r="DI32" s="199">
        <f t="shared" ref="DI32:DI50" si="231">BM32</f>
        <v>0</v>
      </c>
      <c r="DJ32" s="198">
        <f t="shared" ref="DJ32:DJ50" si="232">AY32</f>
        <v>0</v>
      </c>
      <c r="DK32" s="199">
        <f t="shared" ref="DK32:DK50" si="233">BN32</f>
        <v>0</v>
      </c>
      <c r="DL32" s="198">
        <f t="shared" ref="DL32:DL50" si="234">AZ32</f>
        <v>0</v>
      </c>
      <c r="DM32" s="199">
        <f t="shared" ref="DM32:DM50" si="235">BO32</f>
        <v>0</v>
      </c>
      <c r="DN32" s="198">
        <f t="shared" ref="DN32:DN50" si="236">BA32</f>
        <v>0</v>
      </c>
      <c r="DO32" s="199">
        <f t="shared" ref="DO32:DO50" si="237">BP32</f>
        <v>0</v>
      </c>
      <c r="DP32" s="198">
        <f t="shared" ref="DP32:DP50" si="238">BB32</f>
        <v>0</v>
      </c>
      <c r="DQ32" s="199">
        <f t="shared" ref="DQ32:DQ50" si="239">BQ32</f>
        <v>0</v>
      </c>
      <c r="DR32" s="198">
        <f t="shared" ref="DR32:DR50" si="240">BC32</f>
        <v>0</v>
      </c>
      <c r="DS32" s="199">
        <f t="shared" ref="DS32:DS50" si="241">BR32</f>
        <v>0</v>
      </c>
      <c r="DT32" s="198">
        <f t="shared" ref="DT32:DT50" si="242">BD32</f>
        <v>0</v>
      </c>
      <c r="DU32" s="199">
        <f t="shared" ref="DU32:DU50" si="243">BS32</f>
        <v>0</v>
      </c>
      <c r="DV32" s="198">
        <f t="shared" ref="DV32:DV50" si="244">BE32</f>
        <v>0</v>
      </c>
      <c r="DW32" s="199">
        <f t="shared" ref="DW32:DW50" si="245">BT32</f>
        <v>0</v>
      </c>
      <c r="DX32" s="198">
        <f t="shared" ref="DX32:DX50" si="246">BF32</f>
        <v>0</v>
      </c>
      <c r="DY32" s="199">
        <f t="shared" ref="DY32:DY50" si="247">BU32</f>
        <v>0</v>
      </c>
      <c r="DZ32" s="190">
        <f t="shared" ref="DZ32:DZ50" si="248">BG32</f>
        <v>0</v>
      </c>
      <c r="EA32" s="199">
        <f t="shared" si="215"/>
        <v>0</v>
      </c>
      <c r="EB32" s="190" t="e">
        <f t="shared" ref="EB32:EB50" si="249">BH32</f>
        <v>#DIV/0!</v>
      </c>
      <c r="EC32" s="190" t="e">
        <f t="shared" ref="EC32:EC50" si="250">BW32</f>
        <v>#DIV/0!</v>
      </c>
    </row>
    <row r="33" spans="1:133" x14ac:dyDescent="0.2">
      <c r="A33" s="66" t="s">
        <v>42</v>
      </c>
      <c r="B33" s="38">
        <f>targets!AW32</f>
        <v>0</v>
      </c>
      <c r="C33" s="242">
        <f>targets!AX32</f>
        <v>0</v>
      </c>
      <c r="D33" s="36">
        <f>targets!AY32</f>
        <v>6600.9641247387653</v>
      </c>
      <c r="E33" s="242">
        <f>targets!AZ32</f>
        <v>0</v>
      </c>
      <c r="F33" s="242">
        <f>targets!BA32</f>
        <v>0</v>
      </c>
      <c r="G33" s="242">
        <f>SUM(targets!BB32:BG32)</f>
        <v>593.20419086407412</v>
      </c>
      <c r="H33" s="242">
        <f>SUM(targets!BH32:BM32)</f>
        <v>0</v>
      </c>
      <c r="I33" s="243">
        <f t="shared" ref="I33:I50" si="251">SUM(G33:H33)</f>
        <v>593.20419086407412</v>
      </c>
      <c r="J33" s="242">
        <f>targets!BN32</f>
        <v>0</v>
      </c>
      <c r="K33" s="242">
        <f>targets!BO32</f>
        <v>0</v>
      </c>
      <c r="L33" s="242">
        <f>targets!BP32</f>
        <v>0</v>
      </c>
      <c r="M33" s="178">
        <f t="shared" ref="M33:M47" si="252">SUM(J33:L33)</f>
        <v>0</v>
      </c>
      <c r="N33" s="17">
        <f t="shared" si="216"/>
        <v>7194.1683156028394</v>
      </c>
      <c r="O33" s="17"/>
      <c r="P33" s="17"/>
      <c r="Q33" s="66" t="s">
        <v>42</v>
      </c>
      <c r="R33" s="38">
        <f t="shared" si="217"/>
        <v>0</v>
      </c>
      <c r="S33" s="242">
        <f t="shared" si="185"/>
        <v>0</v>
      </c>
      <c r="T33" s="36">
        <f t="shared" si="186"/>
        <v>0</v>
      </c>
      <c r="U33" s="242">
        <f t="shared" si="187"/>
        <v>0</v>
      </c>
      <c r="V33" s="242">
        <f t="shared" si="188"/>
        <v>0</v>
      </c>
      <c r="W33" s="242">
        <f t="shared" si="189"/>
        <v>0</v>
      </c>
      <c r="X33" s="242">
        <f t="shared" si="190"/>
        <v>0</v>
      </c>
      <c r="Y33" s="243">
        <f t="shared" si="218"/>
        <v>0</v>
      </c>
      <c r="Z33" s="242"/>
      <c r="AA33" s="242"/>
      <c r="AB33" s="242"/>
      <c r="AC33" s="178">
        <f t="shared" ref="AC33:AC50" si="253">SUM(Z33:AB33)</f>
        <v>0</v>
      </c>
      <c r="AD33" s="17">
        <f t="shared" si="219"/>
        <v>0</v>
      </c>
      <c r="AF33" s="66" t="s">
        <v>42</v>
      </c>
      <c r="AG33" s="38">
        <f t="array" ref="AG33">SUM(IF((modeldata!$F:$F=calibration!$AF$28)*(modeldata!$G:$G=calibration!AG$30)*(modeldata!$H:$H=calibration!$AF33),modeldata!$E:$E,0))</f>
        <v>0</v>
      </c>
      <c r="AH33" s="242">
        <f t="array" ref="AH33">SUM(IF((modeldata!$F:$F=calibration!$AF$28)*(modeldata!$G:$G=calibration!AH$30)*(modeldata!$H:$H=calibration!$AF33),modeldata!$E:$E,0))</f>
        <v>0</v>
      </c>
      <c r="AI33" s="36">
        <f t="array" ref="AI33">SUM(IF((modeldata!$F:$F=calibration!$AF$28)*(modeldata!$G:$G=calibration!AI$30)*(modeldata!$H:$H=calibration!$AF33),modeldata!$E:$E,0))</f>
        <v>0</v>
      </c>
      <c r="AJ33" s="242">
        <f t="array" ref="AJ33">SUM(IF((modeldata!$F:$F=calibration!$AF$28)*(modeldata!$G:$G=calibration!AJ$30)*(modeldata!$H:$H=calibration!$AF33),modeldata!$E:$E,0))</f>
        <v>0</v>
      </c>
      <c r="AK33" s="242">
        <f t="array" ref="AK33">SUM(IF((modeldata!$F:$F=calibration!$AF$28)*(modeldata!$G:$G=calibration!AK$30)*(modeldata!$H:$H=calibration!$AF33),modeldata!$E:$E,0))</f>
        <v>0</v>
      </c>
      <c r="AL33" s="242">
        <f t="array" ref="AL33">SUM(IF((modeldata!$F:$F=calibration!$AF$28)*(modeldata!$G:$G=calibration!AL$30)*(modeldata!$H:$H=calibration!$AF33),modeldata!$E:$E,0))</f>
        <v>0</v>
      </c>
      <c r="AM33" s="242">
        <f t="array" ref="AM33">SUM(IF((modeldata!$F:$F=calibration!$AF$28)*(modeldata!$G:$G=calibration!AM$30)*(modeldata!$H:$H=calibration!$AF33),modeldata!$E:$E,0))</f>
        <v>0</v>
      </c>
      <c r="AN33" s="243">
        <f t="shared" si="220"/>
        <v>0</v>
      </c>
      <c r="AO33" s="242">
        <f t="array" ref="AO33">SUM(IF((modeldata!$F:$F=calibration!$AF$28)*(modeldata!$G:$G=calibration!AO$30)*(modeldata!$H:$H=calibration!$AF33),modeldata!$E:$E,0))</f>
        <v>0</v>
      </c>
      <c r="AP33" s="242">
        <f t="array" ref="AP33">SUM(IF((modeldata!$F:$F=calibration!$AF$28)*(modeldata!$G:$G=calibration!AP$30)*(modeldata!$H:$H=calibration!$AF33),modeldata!$E:$E,0))</f>
        <v>0</v>
      </c>
      <c r="AQ33" s="242">
        <f t="array" ref="AQ33">SUM(IF((modeldata!$F:$F=calibration!$AF$28)*(modeldata!$G:$G=calibration!AQ$30)*(modeldata!$H:$H=calibration!$AF33),modeldata!$E:$E,0))</f>
        <v>0</v>
      </c>
      <c r="AR33" s="178">
        <f t="shared" ref="AR33:AR47" si="254">SUM(AO33:AQ33)</f>
        <v>0</v>
      </c>
      <c r="AS33" s="17">
        <f t="shared" si="221"/>
        <v>0</v>
      </c>
      <c r="AU33" s="66" t="s">
        <v>42</v>
      </c>
      <c r="AV33" s="38">
        <f t="shared" ref="AV33:BG33" si="255">IF(R51&gt;0,R33/R51,0)</f>
        <v>0</v>
      </c>
      <c r="AW33" s="242">
        <f t="shared" si="255"/>
        <v>0</v>
      </c>
      <c r="AX33" s="36">
        <f t="shared" si="255"/>
        <v>0</v>
      </c>
      <c r="AY33" s="242">
        <f t="shared" si="255"/>
        <v>0</v>
      </c>
      <c r="AZ33" s="242">
        <f t="shared" si="255"/>
        <v>0</v>
      </c>
      <c r="BA33" s="242">
        <f t="shared" si="255"/>
        <v>0</v>
      </c>
      <c r="BB33" s="242">
        <f t="shared" si="255"/>
        <v>0</v>
      </c>
      <c r="BC33" s="243">
        <f t="shared" si="255"/>
        <v>0</v>
      </c>
      <c r="BD33" s="242">
        <f t="shared" si="255"/>
        <v>0</v>
      </c>
      <c r="BE33" s="242">
        <f t="shared" si="255"/>
        <v>0</v>
      </c>
      <c r="BF33" s="242">
        <f t="shared" si="255"/>
        <v>0</v>
      </c>
      <c r="BG33" s="178">
        <f t="shared" si="255"/>
        <v>0</v>
      </c>
      <c r="BH33" s="24" t="e">
        <f>AD33/AD51</f>
        <v>#DIV/0!</v>
      </c>
      <c r="BJ33" s="66" t="s">
        <v>42</v>
      </c>
      <c r="BK33" s="38">
        <f t="shared" ref="BK33:BV33" si="256">IF(AG51&gt;0,AG33/AG51,0)</f>
        <v>0</v>
      </c>
      <c r="BL33" s="242">
        <f t="shared" si="256"/>
        <v>0</v>
      </c>
      <c r="BM33" s="36">
        <f t="shared" si="256"/>
        <v>0</v>
      </c>
      <c r="BN33" s="242">
        <f t="shared" si="256"/>
        <v>0</v>
      </c>
      <c r="BO33" s="242">
        <f t="shared" si="256"/>
        <v>0</v>
      </c>
      <c r="BP33" s="242">
        <f t="shared" si="256"/>
        <v>0</v>
      </c>
      <c r="BQ33" s="242">
        <f t="shared" si="256"/>
        <v>0</v>
      </c>
      <c r="BR33" s="243">
        <f t="shared" si="256"/>
        <v>0</v>
      </c>
      <c r="BS33" s="242">
        <f t="shared" si="256"/>
        <v>0</v>
      </c>
      <c r="BT33" s="242">
        <f t="shared" si="256"/>
        <v>0</v>
      </c>
      <c r="BU33" s="242">
        <f t="shared" si="256"/>
        <v>0</v>
      </c>
      <c r="BV33" s="178">
        <f t="shared" si="256"/>
        <v>0</v>
      </c>
      <c r="BW33" s="24" t="e">
        <f>AS33/AS51</f>
        <v>#DIV/0!</v>
      </c>
      <c r="BX33" s="24"/>
      <c r="BY33" s="66" t="s">
        <v>42</v>
      </c>
      <c r="BZ33" s="54">
        <f t="shared" si="224"/>
        <v>0</v>
      </c>
      <c r="CA33" s="55">
        <f t="shared" si="193"/>
        <v>0</v>
      </c>
      <c r="CB33" s="58">
        <f t="shared" si="194"/>
        <v>0</v>
      </c>
      <c r="CC33" s="55">
        <f t="shared" si="195"/>
        <v>0</v>
      </c>
      <c r="CD33" s="55">
        <f t="shared" si="196"/>
        <v>0</v>
      </c>
      <c r="CE33" s="55">
        <f t="shared" si="197"/>
        <v>0</v>
      </c>
      <c r="CF33" s="55">
        <f t="shared" si="198"/>
        <v>0</v>
      </c>
      <c r="CG33" s="246">
        <f t="shared" si="199"/>
        <v>0</v>
      </c>
      <c r="CH33" s="55">
        <f t="shared" si="200"/>
        <v>0</v>
      </c>
      <c r="CI33" s="55">
        <f t="shared" si="201"/>
        <v>0</v>
      </c>
      <c r="CJ33" s="55">
        <f t="shared" si="202"/>
        <v>0</v>
      </c>
      <c r="CK33" s="249">
        <f t="shared" si="202"/>
        <v>0</v>
      </c>
      <c r="CL33" s="55">
        <f t="shared" si="203"/>
        <v>0</v>
      </c>
      <c r="CN33" s="66" t="s">
        <v>42</v>
      </c>
      <c r="CO33" s="54">
        <f t="shared" si="225"/>
        <v>0</v>
      </c>
      <c r="CP33" s="55">
        <f t="shared" si="204"/>
        <v>0</v>
      </c>
      <c r="CQ33" s="58">
        <f t="shared" si="205"/>
        <v>0</v>
      </c>
      <c r="CR33" s="55">
        <f t="shared" si="206"/>
        <v>0</v>
      </c>
      <c r="CS33" s="55">
        <f t="shared" si="207"/>
        <v>0</v>
      </c>
      <c r="CT33" s="55">
        <f t="shared" si="208"/>
        <v>0</v>
      </c>
      <c r="CU33" s="55">
        <f t="shared" si="209"/>
        <v>0</v>
      </c>
      <c r="CV33" s="246">
        <f t="shared" si="210"/>
        <v>0</v>
      </c>
      <c r="CW33" s="55">
        <f t="shared" si="211"/>
        <v>0</v>
      </c>
      <c r="CX33" s="55">
        <f t="shared" si="212"/>
        <v>0</v>
      </c>
      <c r="CY33" s="55">
        <f t="shared" si="213"/>
        <v>0</v>
      </c>
      <c r="CZ33" s="249">
        <f t="shared" si="213"/>
        <v>0</v>
      </c>
      <c r="DA33" s="62" t="e">
        <f t="shared" si="214"/>
        <v>#DIV/0!</v>
      </c>
      <c r="DC33" s="66" t="s">
        <v>42</v>
      </c>
      <c r="DD33" s="198">
        <f t="shared" si="226"/>
        <v>0</v>
      </c>
      <c r="DE33" s="199">
        <f t="shared" si="227"/>
        <v>0</v>
      </c>
      <c r="DF33" s="198">
        <f t="shared" si="228"/>
        <v>0</v>
      </c>
      <c r="DG33" s="199">
        <f t="shared" si="229"/>
        <v>0</v>
      </c>
      <c r="DH33" s="193">
        <f t="shared" si="230"/>
        <v>0</v>
      </c>
      <c r="DI33" s="194">
        <f t="shared" si="231"/>
        <v>0</v>
      </c>
      <c r="DJ33" s="198">
        <f t="shared" si="232"/>
        <v>0</v>
      </c>
      <c r="DK33" s="199">
        <f t="shared" si="233"/>
        <v>0</v>
      </c>
      <c r="DL33" s="198">
        <f t="shared" si="234"/>
        <v>0</v>
      </c>
      <c r="DM33" s="199">
        <f t="shared" si="235"/>
        <v>0</v>
      </c>
      <c r="DN33" s="198">
        <f t="shared" si="236"/>
        <v>0</v>
      </c>
      <c r="DO33" s="199">
        <f t="shared" si="237"/>
        <v>0</v>
      </c>
      <c r="DP33" s="198">
        <f t="shared" si="238"/>
        <v>0</v>
      </c>
      <c r="DQ33" s="199">
        <f t="shared" si="239"/>
        <v>0</v>
      </c>
      <c r="DR33" s="198">
        <f t="shared" si="240"/>
        <v>0</v>
      </c>
      <c r="DS33" s="199">
        <f t="shared" si="241"/>
        <v>0</v>
      </c>
      <c r="DT33" s="198">
        <f t="shared" si="242"/>
        <v>0</v>
      </c>
      <c r="DU33" s="199">
        <f t="shared" si="243"/>
        <v>0</v>
      </c>
      <c r="DV33" s="198">
        <f t="shared" si="244"/>
        <v>0</v>
      </c>
      <c r="DW33" s="199">
        <f t="shared" si="245"/>
        <v>0</v>
      </c>
      <c r="DX33" s="198">
        <f t="shared" si="246"/>
        <v>0</v>
      </c>
      <c r="DY33" s="199">
        <f t="shared" si="247"/>
        <v>0</v>
      </c>
      <c r="DZ33" s="190">
        <f t="shared" si="248"/>
        <v>0</v>
      </c>
      <c r="EA33" s="199">
        <f t="shared" si="215"/>
        <v>0</v>
      </c>
      <c r="EB33" s="190" t="e">
        <f t="shared" si="249"/>
        <v>#DIV/0!</v>
      </c>
      <c r="EC33" s="190" t="e">
        <f t="shared" si="250"/>
        <v>#DIV/0!</v>
      </c>
    </row>
    <row r="34" spans="1:133" x14ac:dyDescent="0.2">
      <c r="A34" s="66" t="s">
        <v>2</v>
      </c>
      <c r="B34" s="38">
        <f>targets!AW33</f>
        <v>1667.5961122371189</v>
      </c>
      <c r="C34" s="242">
        <f>targets!AX33</f>
        <v>774.25446936980245</v>
      </c>
      <c r="D34" s="242">
        <f>targets!AY33</f>
        <v>1621.7750162223158</v>
      </c>
      <c r="E34" s="36">
        <f>targets!AZ33</f>
        <v>14703.287481908004</v>
      </c>
      <c r="F34" s="242">
        <f>targets!BA33</f>
        <v>220.71115496497387</v>
      </c>
      <c r="G34" s="242">
        <f>SUM(targets!BB33:BG33)</f>
        <v>15391.172874818447</v>
      </c>
      <c r="H34" s="242">
        <f>SUM(targets!BH33:BM33)</f>
        <v>0</v>
      </c>
      <c r="I34" s="243">
        <f t="shared" si="251"/>
        <v>15391.172874818447</v>
      </c>
      <c r="J34" s="242">
        <f>targets!BN33</f>
        <v>0</v>
      </c>
      <c r="K34" s="242">
        <f>targets!BO33</f>
        <v>0</v>
      </c>
      <c r="L34" s="242">
        <f>targets!BP33</f>
        <v>0</v>
      </c>
      <c r="M34" s="178">
        <f t="shared" si="252"/>
        <v>0</v>
      </c>
      <c r="N34" s="17">
        <f t="shared" si="216"/>
        <v>34378.797109520659</v>
      </c>
      <c r="O34" s="17"/>
      <c r="P34" s="17"/>
      <c r="Q34" s="66" t="s">
        <v>2</v>
      </c>
      <c r="R34" s="38">
        <f t="shared" si="217"/>
        <v>0</v>
      </c>
      <c r="S34" s="242">
        <f t="shared" si="185"/>
        <v>0</v>
      </c>
      <c r="T34" s="242">
        <f t="shared" si="186"/>
        <v>0</v>
      </c>
      <c r="U34" s="36">
        <f t="shared" si="187"/>
        <v>0</v>
      </c>
      <c r="V34" s="242">
        <f t="shared" si="188"/>
        <v>0</v>
      </c>
      <c r="W34" s="242">
        <f t="shared" si="189"/>
        <v>0</v>
      </c>
      <c r="X34" s="242">
        <f t="shared" si="190"/>
        <v>0</v>
      </c>
      <c r="Y34" s="243">
        <f t="shared" si="218"/>
        <v>0</v>
      </c>
      <c r="Z34" s="242"/>
      <c r="AA34" s="242"/>
      <c r="AB34" s="242"/>
      <c r="AC34" s="178">
        <f t="shared" si="253"/>
        <v>0</v>
      </c>
      <c r="AD34" s="17">
        <f t="shared" si="219"/>
        <v>0</v>
      </c>
      <c r="AF34" s="66" t="s">
        <v>2</v>
      </c>
      <c r="AG34" s="38">
        <f t="array" ref="AG34">SUM(IF((modeldata!$F:$F=calibration!$AF$28)*(modeldata!$G:$G=calibration!AG$30)*(modeldata!$H:$H=calibration!$AF34),modeldata!$E:$E,0))</f>
        <v>0</v>
      </c>
      <c r="AH34" s="242">
        <f t="array" ref="AH34">SUM(IF((modeldata!$F:$F=calibration!$AF$28)*(modeldata!$G:$G=calibration!AH$30)*(modeldata!$H:$H=calibration!$AF34),modeldata!$E:$E,0))</f>
        <v>0</v>
      </c>
      <c r="AI34" s="242">
        <f t="array" ref="AI34">SUM(IF((modeldata!$F:$F=calibration!$AF$28)*(modeldata!$G:$G=calibration!AI$30)*(modeldata!$H:$H=calibration!$AF34),modeldata!$E:$E,0))</f>
        <v>0</v>
      </c>
      <c r="AJ34" s="36">
        <f t="array" ref="AJ34">SUM(IF((modeldata!$F:$F=calibration!$AF$28)*(modeldata!$G:$G=calibration!AJ$30)*(modeldata!$H:$H=calibration!$AF34),modeldata!$E:$E,0))</f>
        <v>0</v>
      </c>
      <c r="AK34" s="242">
        <f t="array" ref="AK34">SUM(IF((modeldata!$F:$F=calibration!$AF$28)*(modeldata!$G:$G=calibration!AK$30)*(modeldata!$H:$H=calibration!$AF34),modeldata!$E:$E,0))</f>
        <v>0</v>
      </c>
      <c r="AL34" s="242">
        <f t="array" ref="AL34">SUM(IF((modeldata!$F:$F=calibration!$AF$28)*(modeldata!$G:$G=calibration!AL$30)*(modeldata!$H:$H=calibration!$AF34),modeldata!$E:$E,0))</f>
        <v>0</v>
      </c>
      <c r="AM34" s="242">
        <f t="array" ref="AM34">SUM(IF((modeldata!$F:$F=calibration!$AF$28)*(modeldata!$G:$G=calibration!AM$30)*(modeldata!$H:$H=calibration!$AF34),modeldata!$E:$E,0))</f>
        <v>0</v>
      </c>
      <c r="AN34" s="243">
        <f t="shared" si="220"/>
        <v>0</v>
      </c>
      <c r="AO34" s="242">
        <f t="array" ref="AO34">SUM(IF((modeldata!$F:$F=calibration!$AF$28)*(modeldata!$G:$G=calibration!AO$30)*(modeldata!$H:$H=calibration!$AF34),modeldata!$E:$E,0))</f>
        <v>0</v>
      </c>
      <c r="AP34" s="242">
        <f t="array" ref="AP34">SUM(IF((modeldata!$F:$F=calibration!$AF$28)*(modeldata!$G:$G=calibration!AP$30)*(modeldata!$H:$H=calibration!$AF34),modeldata!$E:$E,0))</f>
        <v>0</v>
      </c>
      <c r="AQ34" s="242">
        <f t="array" ref="AQ34">SUM(IF((modeldata!$F:$F=calibration!$AF$28)*(modeldata!$G:$G=calibration!AQ$30)*(modeldata!$H:$H=calibration!$AF34),modeldata!$E:$E,0))</f>
        <v>0</v>
      </c>
      <c r="AR34" s="178">
        <f t="shared" si="254"/>
        <v>0</v>
      </c>
      <c r="AS34" s="17">
        <f t="shared" si="221"/>
        <v>0</v>
      </c>
      <c r="AU34" s="66" t="s">
        <v>2</v>
      </c>
      <c r="AV34" s="38">
        <f t="shared" ref="AV34:BG34" si="257">IF(R51&gt;0,R34/R51,0)</f>
        <v>0</v>
      </c>
      <c r="AW34" s="242">
        <f t="shared" si="257"/>
        <v>0</v>
      </c>
      <c r="AX34" s="242">
        <f t="shared" si="257"/>
        <v>0</v>
      </c>
      <c r="AY34" s="36">
        <f t="shared" si="257"/>
        <v>0</v>
      </c>
      <c r="AZ34" s="242">
        <f t="shared" si="257"/>
        <v>0</v>
      </c>
      <c r="BA34" s="242">
        <f t="shared" si="257"/>
        <v>0</v>
      </c>
      <c r="BB34" s="242">
        <f t="shared" si="257"/>
        <v>0</v>
      </c>
      <c r="BC34" s="243">
        <f t="shared" si="257"/>
        <v>0</v>
      </c>
      <c r="BD34" s="242">
        <f t="shared" si="257"/>
        <v>0</v>
      </c>
      <c r="BE34" s="242">
        <f t="shared" si="257"/>
        <v>0</v>
      </c>
      <c r="BF34" s="242">
        <f t="shared" si="257"/>
        <v>0</v>
      </c>
      <c r="BG34" s="178">
        <f t="shared" si="257"/>
        <v>0</v>
      </c>
      <c r="BH34" s="24" t="e">
        <f>AD34/AD51</f>
        <v>#DIV/0!</v>
      </c>
      <c r="BJ34" s="66" t="s">
        <v>2</v>
      </c>
      <c r="BK34" s="38">
        <f t="shared" ref="BK34:BV34" si="258">IF(AG51&gt;0,AG34/AG51,0)</f>
        <v>0</v>
      </c>
      <c r="BL34" s="242">
        <f t="shared" si="258"/>
        <v>0</v>
      </c>
      <c r="BM34" s="242">
        <f t="shared" si="258"/>
        <v>0</v>
      </c>
      <c r="BN34" s="36">
        <f t="shared" si="258"/>
        <v>0</v>
      </c>
      <c r="BO34" s="242">
        <f t="shared" si="258"/>
        <v>0</v>
      </c>
      <c r="BP34" s="242">
        <f t="shared" si="258"/>
        <v>0</v>
      </c>
      <c r="BQ34" s="242">
        <f t="shared" si="258"/>
        <v>0</v>
      </c>
      <c r="BR34" s="243">
        <f t="shared" si="258"/>
        <v>0</v>
      </c>
      <c r="BS34" s="242">
        <f t="shared" si="258"/>
        <v>0</v>
      </c>
      <c r="BT34" s="242">
        <f t="shared" si="258"/>
        <v>0</v>
      </c>
      <c r="BU34" s="242">
        <f t="shared" si="258"/>
        <v>0</v>
      </c>
      <c r="BV34" s="178">
        <f t="shared" si="258"/>
        <v>0</v>
      </c>
      <c r="BW34" s="24" t="e">
        <f>AS34/AS51</f>
        <v>#DIV/0!</v>
      </c>
      <c r="BX34" s="24"/>
      <c r="BY34" s="66" t="s">
        <v>2</v>
      </c>
      <c r="BZ34" s="54">
        <f t="shared" si="224"/>
        <v>0</v>
      </c>
      <c r="CA34" s="55">
        <f t="shared" si="193"/>
        <v>0</v>
      </c>
      <c r="CB34" s="55">
        <f t="shared" si="194"/>
        <v>0</v>
      </c>
      <c r="CC34" s="58">
        <f t="shared" si="195"/>
        <v>0</v>
      </c>
      <c r="CD34" s="55">
        <f t="shared" si="196"/>
        <v>0</v>
      </c>
      <c r="CE34" s="55">
        <f t="shared" si="197"/>
        <v>0</v>
      </c>
      <c r="CF34" s="55">
        <f t="shared" si="198"/>
        <v>0</v>
      </c>
      <c r="CG34" s="246">
        <f t="shared" si="199"/>
        <v>0</v>
      </c>
      <c r="CH34" s="55">
        <f t="shared" si="200"/>
        <v>0</v>
      </c>
      <c r="CI34" s="55">
        <f t="shared" si="201"/>
        <v>0</v>
      </c>
      <c r="CJ34" s="55">
        <f t="shared" si="202"/>
        <v>0</v>
      </c>
      <c r="CK34" s="249">
        <f t="shared" si="202"/>
        <v>0</v>
      </c>
      <c r="CL34" s="55">
        <f t="shared" si="203"/>
        <v>0</v>
      </c>
      <c r="CN34" s="66" t="s">
        <v>2</v>
      </c>
      <c r="CO34" s="54">
        <f t="shared" si="225"/>
        <v>0</v>
      </c>
      <c r="CP34" s="55">
        <f t="shared" si="204"/>
        <v>0</v>
      </c>
      <c r="CQ34" s="55">
        <f t="shared" si="205"/>
        <v>0</v>
      </c>
      <c r="CR34" s="58">
        <f t="shared" si="206"/>
        <v>0</v>
      </c>
      <c r="CS34" s="55">
        <f t="shared" si="207"/>
        <v>0</v>
      </c>
      <c r="CT34" s="55">
        <f t="shared" si="208"/>
        <v>0</v>
      </c>
      <c r="CU34" s="55">
        <f t="shared" si="209"/>
        <v>0</v>
      </c>
      <c r="CV34" s="246">
        <f t="shared" si="210"/>
        <v>0</v>
      </c>
      <c r="CW34" s="55">
        <f t="shared" si="211"/>
        <v>0</v>
      </c>
      <c r="CX34" s="55">
        <f t="shared" si="212"/>
        <v>0</v>
      </c>
      <c r="CY34" s="55">
        <f t="shared" si="213"/>
        <v>0</v>
      </c>
      <c r="CZ34" s="249">
        <f t="shared" si="213"/>
        <v>0</v>
      </c>
      <c r="DA34" s="62" t="e">
        <f t="shared" si="214"/>
        <v>#DIV/0!</v>
      </c>
      <c r="DC34" s="66" t="s">
        <v>2</v>
      </c>
      <c r="DD34" s="198">
        <f t="shared" si="226"/>
        <v>0</v>
      </c>
      <c r="DE34" s="199">
        <f t="shared" si="227"/>
        <v>0</v>
      </c>
      <c r="DF34" s="198">
        <f t="shared" si="228"/>
        <v>0</v>
      </c>
      <c r="DG34" s="199">
        <f t="shared" si="229"/>
        <v>0</v>
      </c>
      <c r="DH34" s="198">
        <f t="shared" si="230"/>
        <v>0</v>
      </c>
      <c r="DI34" s="199">
        <f t="shared" si="231"/>
        <v>0</v>
      </c>
      <c r="DJ34" s="193">
        <f t="shared" si="232"/>
        <v>0</v>
      </c>
      <c r="DK34" s="194">
        <f t="shared" si="233"/>
        <v>0</v>
      </c>
      <c r="DL34" s="198">
        <f t="shared" si="234"/>
        <v>0</v>
      </c>
      <c r="DM34" s="199">
        <f t="shared" si="235"/>
        <v>0</v>
      </c>
      <c r="DN34" s="198">
        <f t="shared" si="236"/>
        <v>0</v>
      </c>
      <c r="DO34" s="199">
        <f t="shared" si="237"/>
        <v>0</v>
      </c>
      <c r="DP34" s="198">
        <f t="shared" si="238"/>
        <v>0</v>
      </c>
      <c r="DQ34" s="199">
        <f t="shared" si="239"/>
        <v>0</v>
      </c>
      <c r="DR34" s="198">
        <f t="shared" si="240"/>
        <v>0</v>
      </c>
      <c r="DS34" s="199">
        <f t="shared" si="241"/>
        <v>0</v>
      </c>
      <c r="DT34" s="198">
        <f t="shared" si="242"/>
        <v>0</v>
      </c>
      <c r="DU34" s="199">
        <f t="shared" si="243"/>
        <v>0</v>
      </c>
      <c r="DV34" s="198">
        <f t="shared" si="244"/>
        <v>0</v>
      </c>
      <c r="DW34" s="199">
        <f t="shared" si="245"/>
        <v>0</v>
      </c>
      <c r="DX34" s="198">
        <f t="shared" si="246"/>
        <v>0</v>
      </c>
      <c r="DY34" s="199">
        <f t="shared" si="247"/>
        <v>0</v>
      </c>
      <c r="DZ34" s="190">
        <f t="shared" si="248"/>
        <v>0</v>
      </c>
      <c r="EA34" s="199">
        <f t="shared" si="215"/>
        <v>0</v>
      </c>
      <c r="EB34" s="190" t="e">
        <f t="shared" si="249"/>
        <v>#DIV/0!</v>
      </c>
      <c r="EC34" s="190" t="e">
        <f t="shared" si="250"/>
        <v>#DIV/0!</v>
      </c>
    </row>
    <row r="35" spans="1:133" x14ac:dyDescent="0.2">
      <c r="A35" s="66" t="s">
        <v>3</v>
      </c>
      <c r="B35" s="38">
        <f>targets!AW34</f>
        <v>0</v>
      </c>
      <c r="C35" s="242">
        <f>targets!AX34</f>
        <v>0</v>
      </c>
      <c r="D35" s="242">
        <f>targets!AY34</f>
        <v>0</v>
      </c>
      <c r="E35" s="242">
        <f>targets!AZ34</f>
        <v>0</v>
      </c>
      <c r="F35" s="36">
        <f>targets!BA34</f>
        <v>9336.1255990898553</v>
      </c>
      <c r="G35" s="242">
        <f>SUM(targets!BB34:BG34)</f>
        <v>0</v>
      </c>
      <c r="H35" s="242">
        <f>SUM(targets!BH34:BM34)</f>
        <v>0</v>
      </c>
      <c r="I35" s="243">
        <f t="shared" si="251"/>
        <v>0</v>
      </c>
      <c r="J35" s="242">
        <f>targets!BN34</f>
        <v>0</v>
      </c>
      <c r="K35" s="242">
        <f>targets!BO34</f>
        <v>0</v>
      </c>
      <c r="L35" s="242">
        <f>targets!BP34</f>
        <v>0</v>
      </c>
      <c r="M35" s="178">
        <f t="shared" si="252"/>
        <v>0</v>
      </c>
      <c r="N35" s="17">
        <f t="shared" si="216"/>
        <v>9336.1255990898553</v>
      </c>
      <c r="O35" s="17"/>
      <c r="P35" s="17"/>
      <c r="Q35" s="66" t="s">
        <v>3</v>
      </c>
      <c r="R35" s="38">
        <f t="shared" si="217"/>
        <v>0</v>
      </c>
      <c r="S35" s="242">
        <f t="shared" si="185"/>
        <v>0</v>
      </c>
      <c r="T35" s="242">
        <f t="shared" si="186"/>
        <v>0</v>
      </c>
      <c r="U35" s="242">
        <f t="shared" si="187"/>
        <v>0</v>
      </c>
      <c r="V35" s="36">
        <f t="shared" si="188"/>
        <v>0</v>
      </c>
      <c r="W35" s="242">
        <f t="shared" si="189"/>
        <v>0</v>
      </c>
      <c r="X35" s="242">
        <f t="shared" si="190"/>
        <v>0</v>
      </c>
      <c r="Y35" s="243">
        <f t="shared" si="218"/>
        <v>0</v>
      </c>
      <c r="Z35" s="242"/>
      <c r="AA35" s="242"/>
      <c r="AB35" s="242"/>
      <c r="AC35" s="178">
        <f t="shared" si="253"/>
        <v>0</v>
      </c>
      <c r="AD35" s="17">
        <f t="shared" si="219"/>
        <v>0</v>
      </c>
      <c r="AF35" s="66" t="s">
        <v>3</v>
      </c>
      <c r="AG35" s="38">
        <f t="array" ref="AG35">SUM(IF((modeldata!$F:$F=calibration!$AF$28)*(modeldata!$G:$G=calibration!AG$30)*(modeldata!$H:$H=calibration!$AF35),modeldata!$E:$E,0))</f>
        <v>0</v>
      </c>
      <c r="AH35" s="242">
        <f t="array" ref="AH35">SUM(IF((modeldata!$F:$F=calibration!$AF$28)*(modeldata!$G:$G=calibration!AH$30)*(modeldata!$H:$H=calibration!$AF35),modeldata!$E:$E,0))</f>
        <v>0</v>
      </c>
      <c r="AI35" s="242">
        <f t="array" ref="AI35">SUM(IF((modeldata!$F:$F=calibration!$AF$28)*(modeldata!$G:$G=calibration!AI$30)*(modeldata!$H:$H=calibration!$AF35),modeldata!$E:$E,0))</f>
        <v>0</v>
      </c>
      <c r="AJ35" s="242">
        <f t="array" ref="AJ35">SUM(IF((modeldata!$F:$F=calibration!$AF$28)*(modeldata!$G:$G=calibration!AJ$30)*(modeldata!$H:$H=calibration!$AF35),modeldata!$E:$E,0))</f>
        <v>0</v>
      </c>
      <c r="AK35" s="36">
        <f t="array" ref="AK35">SUM(IF((modeldata!$F:$F=calibration!$AF$28)*(modeldata!$G:$G=calibration!AK$30)*(modeldata!$H:$H=calibration!$AF35),modeldata!$E:$E,0))</f>
        <v>0</v>
      </c>
      <c r="AL35" s="242">
        <f t="array" ref="AL35">SUM(IF((modeldata!$F:$F=calibration!$AF$28)*(modeldata!$G:$G=calibration!AL$30)*(modeldata!$H:$H=calibration!$AF35),modeldata!$E:$E,0))</f>
        <v>0</v>
      </c>
      <c r="AM35" s="242">
        <f t="array" ref="AM35">SUM(IF((modeldata!$F:$F=calibration!$AF$28)*(modeldata!$G:$G=calibration!AM$30)*(modeldata!$H:$H=calibration!$AF35),modeldata!$E:$E,0))</f>
        <v>0</v>
      </c>
      <c r="AN35" s="243">
        <f t="shared" si="220"/>
        <v>0</v>
      </c>
      <c r="AO35" s="242">
        <f t="array" ref="AO35">SUM(IF((modeldata!$F:$F=calibration!$AF$28)*(modeldata!$G:$G=calibration!AO$30)*(modeldata!$H:$H=calibration!$AF35),modeldata!$E:$E,0))</f>
        <v>0</v>
      </c>
      <c r="AP35" s="242">
        <f t="array" ref="AP35">SUM(IF((modeldata!$F:$F=calibration!$AF$28)*(modeldata!$G:$G=calibration!AP$30)*(modeldata!$H:$H=calibration!$AF35),modeldata!$E:$E,0))</f>
        <v>0</v>
      </c>
      <c r="AQ35" s="242">
        <f t="array" ref="AQ35">SUM(IF((modeldata!$F:$F=calibration!$AF$28)*(modeldata!$G:$G=calibration!AQ$30)*(modeldata!$H:$H=calibration!$AF35),modeldata!$E:$E,0))</f>
        <v>0</v>
      </c>
      <c r="AR35" s="178">
        <f t="shared" si="254"/>
        <v>0</v>
      </c>
      <c r="AS35" s="17">
        <f t="shared" si="221"/>
        <v>0</v>
      </c>
      <c r="AU35" s="66" t="s">
        <v>3</v>
      </c>
      <c r="AV35" s="38">
        <f t="shared" ref="AV35:BG35" si="259">IF(R51&gt;0,R35/R51,0)</f>
        <v>0</v>
      </c>
      <c r="AW35" s="242">
        <f t="shared" si="259"/>
        <v>0</v>
      </c>
      <c r="AX35" s="242">
        <f t="shared" si="259"/>
        <v>0</v>
      </c>
      <c r="AY35" s="242">
        <f t="shared" si="259"/>
        <v>0</v>
      </c>
      <c r="AZ35" s="36">
        <f t="shared" si="259"/>
        <v>0</v>
      </c>
      <c r="BA35" s="242">
        <f t="shared" si="259"/>
        <v>0</v>
      </c>
      <c r="BB35" s="242">
        <f t="shared" si="259"/>
        <v>0</v>
      </c>
      <c r="BC35" s="243">
        <f t="shared" si="259"/>
        <v>0</v>
      </c>
      <c r="BD35" s="242">
        <f t="shared" si="259"/>
        <v>0</v>
      </c>
      <c r="BE35" s="242">
        <f t="shared" si="259"/>
        <v>0</v>
      </c>
      <c r="BF35" s="242">
        <f t="shared" si="259"/>
        <v>0</v>
      </c>
      <c r="BG35" s="178">
        <f t="shared" si="259"/>
        <v>0</v>
      </c>
      <c r="BH35" s="24" t="e">
        <f>AD35/AD51</f>
        <v>#DIV/0!</v>
      </c>
      <c r="BJ35" s="66" t="s">
        <v>3</v>
      </c>
      <c r="BK35" s="38">
        <f t="shared" ref="BK35:BV35" si="260">IF(AG51&gt;0,AG35/AG51,0)</f>
        <v>0</v>
      </c>
      <c r="BL35" s="242">
        <f t="shared" si="260"/>
        <v>0</v>
      </c>
      <c r="BM35" s="242">
        <f t="shared" si="260"/>
        <v>0</v>
      </c>
      <c r="BN35" s="242">
        <f t="shared" si="260"/>
        <v>0</v>
      </c>
      <c r="BO35" s="36">
        <f t="shared" si="260"/>
        <v>0</v>
      </c>
      <c r="BP35" s="242">
        <f t="shared" si="260"/>
        <v>0</v>
      </c>
      <c r="BQ35" s="242">
        <f t="shared" si="260"/>
        <v>0</v>
      </c>
      <c r="BR35" s="243">
        <f t="shared" si="260"/>
        <v>0</v>
      </c>
      <c r="BS35" s="242">
        <f t="shared" si="260"/>
        <v>0</v>
      </c>
      <c r="BT35" s="242">
        <f t="shared" si="260"/>
        <v>0</v>
      </c>
      <c r="BU35" s="242">
        <f t="shared" si="260"/>
        <v>0</v>
      </c>
      <c r="BV35" s="178">
        <f t="shared" si="260"/>
        <v>0</v>
      </c>
      <c r="BW35" s="24" t="e">
        <f>AS35/AS51</f>
        <v>#DIV/0!</v>
      </c>
      <c r="BX35" s="24"/>
      <c r="BY35" s="66" t="s">
        <v>3</v>
      </c>
      <c r="BZ35" s="54">
        <f t="shared" si="224"/>
        <v>0</v>
      </c>
      <c r="CA35" s="55">
        <f t="shared" si="193"/>
        <v>0</v>
      </c>
      <c r="CB35" s="55">
        <f t="shared" si="194"/>
        <v>0</v>
      </c>
      <c r="CC35" s="55">
        <f t="shared" si="195"/>
        <v>0</v>
      </c>
      <c r="CD35" s="58">
        <f t="shared" si="196"/>
        <v>0</v>
      </c>
      <c r="CE35" s="55">
        <f t="shared" si="197"/>
        <v>0</v>
      </c>
      <c r="CF35" s="55">
        <f t="shared" si="198"/>
        <v>0</v>
      </c>
      <c r="CG35" s="246">
        <f t="shared" si="199"/>
        <v>0</v>
      </c>
      <c r="CH35" s="55">
        <f t="shared" si="200"/>
        <v>0</v>
      </c>
      <c r="CI35" s="55">
        <f t="shared" si="201"/>
        <v>0</v>
      </c>
      <c r="CJ35" s="55">
        <f t="shared" si="202"/>
        <v>0</v>
      </c>
      <c r="CK35" s="249">
        <f t="shared" si="202"/>
        <v>0</v>
      </c>
      <c r="CL35" s="55">
        <f t="shared" si="203"/>
        <v>0</v>
      </c>
      <c r="CN35" s="66" t="s">
        <v>3</v>
      </c>
      <c r="CO35" s="54">
        <f t="shared" si="225"/>
        <v>0</v>
      </c>
      <c r="CP35" s="55">
        <f t="shared" si="204"/>
        <v>0</v>
      </c>
      <c r="CQ35" s="55">
        <f t="shared" si="205"/>
        <v>0</v>
      </c>
      <c r="CR35" s="55">
        <f t="shared" si="206"/>
        <v>0</v>
      </c>
      <c r="CS35" s="58">
        <f t="shared" si="207"/>
        <v>0</v>
      </c>
      <c r="CT35" s="55">
        <f t="shared" si="208"/>
        <v>0</v>
      </c>
      <c r="CU35" s="55">
        <f t="shared" si="209"/>
        <v>0</v>
      </c>
      <c r="CV35" s="246">
        <f t="shared" si="210"/>
        <v>0</v>
      </c>
      <c r="CW35" s="55">
        <f t="shared" si="211"/>
        <v>0</v>
      </c>
      <c r="CX35" s="55">
        <f t="shared" si="212"/>
        <v>0</v>
      </c>
      <c r="CY35" s="55">
        <f t="shared" si="213"/>
        <v>0</v>
      </c>
      <c r="CZ35" s="249">
        <f t="shared" si="213"/>
        <v>0</v>
      </c>
      <c r="DA35" s="62" t="e">
        <f t="shared" si="214"/>
        <v>#DIV/0!</v>
      </c>
      <c r="DC35" s="66" t="s">
        <v>3</v>
      </c>
      <c r="DD35" s="198">
        <f t="shared" si="226"/>
        <v>0</v>
      </c>
      <c r="DE35" s="199">
        <f t="shared" si="227"/>
        <v>0</v>
      </c>
      <c r="DF35" s="198">
        <f t="shared" si="228"/>
        <v>0</v>
      </c>
      <c r="DG35" s="199">
        <f t="shared" si="229"/>
        <v>0</v>
      </c>
      <c r="DH35" s="198">
        <f t="shared" si="230"/>
        <v>0</v>
      </c>
      <c r="DI35" s="199">
        <f t="shared" si="231"/>
        <v>0</v>
      </c>
      <c r="DJ35" s="198">
        <f t="shared" si="232"/>
        <v>0</v>
      </c>
      <c r="DK35" s="199">
        <f t="shared" si="233"/>
        <v>0</v>
      </c>
      <c r="DL35" s="193">
        <f t="shared" si="234"/>
        <v>0</v>
      </c>
      <c r="DM35" s="194">
        <f t="shared" si="235"/>
        <v>0</v>
      </c>
      <c r="DN35" s="198">
        <f t="shared" si="236"/>
        <v>0</v>
      </c>
      <c r="DO35" s="199">
        <f t="shared" si="237"/>
        <v>0</v>
      </c>
      <c r="DP35" s="198">
        <f t="shared" si="238"/>
        <v>0</v>
      </c>
      <c r="DQ35" s="199">
        <f t="shared" si="239"/>
        <v>0</v>
      </c>
      <c r="DR35" s="198">
        <f t="shared" si="240"/>
        <v>0</v>
      </c>
      <c r="DS35" s="199">
        <f t="shared" si="241"/>
        <v>0</v>
      </c>
      <c r="DT35" s="198">
        <f t="shared" si="242"/>
        <v>0</v>
      </c>
      <c r="DU35" s="199">
        <f t="shared" si="243"/>
        <v>0</v>
      </c>
      <c r="DV35" s="198">
        <f t="shared" si="244"/>
        <v>0</v>
      </c>
      <c r="DW35" s="199">
        <f t="shared" si="245"/>
        <v>0</v>
      </c>
      <c r="DX35" s="198">
        <f t="shared" si="246"/>
        <v>0</v>
      </c>
      <c r="DY35" s="199">
        <f t="shared" si="247"/>
        <v>0</v>
      </c>
      <c r="DZ35" s="190">
        <f t="shared" si="248"/>
        <v>0</v>
      </c>
      <c r="EA35" s="199">
        <f t="shared" si="215"/>
        <v>0</v>
      </c>
      <c r="EB35" s="190" t="e">
        <f t="shared" si="249"/>
        <v>#DIV/0!</v>
      </c>
      <c r="EC35" s="190" t="e">
        <f t="shared" si="250"/>
        <v>#DIV/0!</v>
      </c>
    </row>
    <row r="36" spans="1:133" x14ac:dyDescent="0.2">
      <c r="A36" s="66" t="s">
        <v>5</v>
      </c>
      <c r="B36" s="38">
        <f>targets!AW35</f>
        <v>0</v>
      </c>
      <c r="C36" s="242">
        <f>targets!AX35</f>
        <v>0</v>
      </c>
      <c r="D36" s="242">
        <f>targets!AY35</f>
        <v>0</v>
      </c>
      <c r="E36" s="242">
        <f>targets!AZ35</f>
        <v>0</v>
      </c>
      <c r="F36" s="242">
        <f>targets!BA35</f>
        <v>0</v>
      </c>
      <c r="G36" s="39">
        <f>SUM(targets!BB35:BG35)</f>
        <v>15230.908538688809</v>
      </c>
      <c r="H36" s="242">
        <f>SUM(targets!BH35:BM35)</f>
        <v>0</v>
      </c>
      <c r="I36" s="243">
        <f t="shared" si="251"/>
        <v>15230.908538688809</v>
      </c>
      <c r="J36" s="242">
        <f>targets!BN35</f>
        <v>0</v>
      </c>
      <c r="K36" s="242">
        <f>targets!BO35</f>
        <v>0</v>
      </c>
      <c r="L36" s="242">
        <f>targets!BP35</f>
        <v>0</v>
      </c>
      <c r="M36" s="178">
        <f t="shared" si="252"/>
        <v>0</v>
      </c>
      <c r="N36" s="17">
        <f t="shared" si="216"/>
        <v>15230.908538688809</v>
      </c>
      <c r="O36" s="17"/>
      <c r="P36" s="17"/>
      <c r="Q36" s="66" t="s">
        <v>5</v>
      </c>
      <c r="R36" s="38">
        <f t="shared" si="217"/>
        <v>0</v>
      </c>
      <c r="S36" s="242">
        <f t="shared" si="185"/>
        <v>0</v>
      </c>
      <c r="T36" s="242">
        <f t="shared" si="186"/>
        <v>0</v>
      </c>
      <c r="U36" s="242">
        <f t="shared" si="187"/>
        <v>0</v>
      </c>
      <c r="V36" s="242">
        <f t="shared" si="188"/>
        <v>0</v>
      </c>
      <c r="W36" s="39">
        <f t="shared" si="189"/>
        <v>0</v>
      </c>
      <c r="X36" s="242">
        <f t="shared" si="190"/>
        <v>0</v>
      </c>
      <c r="Y36" s="243">
        <f t="shared" si="218"/>
        <v>0</v>
      </c>
      <c r="Z36" s="242"/>
      <c r="AA36" s="242"/>
      <c r="AB36" s="242"/>
      <c r="AC36" s="178">
        <f t="shared" si="253"/>
        <v>0</v>
      </c>
      <c r="AD36" s="17">
        <f t="shared" si="219"/>
        <v>0</v>
      </c>
      <c r="AF36" s="66" t="s">
        <v>5</v>
      </c>
      <c r="AG36" s="38">
        <f t="array" ref="AG36">SUM(IF((modeldata!$F:$F=calibration!$AF$28)*(modeldata!$G:$G=calibration!AG$30)*(modeldata!$H:$H=calibration!$AF36),modeldata!$E:$E,0))</f>
        <v>0</v>
      </c>
      <c r="AH36" s="242">
        <f t="array" ref="AH36">SUM(IF((modeldata!$F:$F=calibration!$AF$28)*(modeldata!$G:$G=calibration!AH$30)*(modeldata!$H:$H=calibration!$AF36),modeldata!$E:$E,0))</f>
        <v>0</v>
      </c>
      <c r="AI36" s="242">
        <f t="array" ref="AI36">SUM(IF((modeldata!$F:$F=calibration!$AF$28)*(modeldata!$G:$G=calibration!AI$30)*(modeldata!$H:$H=calibration!$AF36),modeldata!$E:$E,0))</f>
        <v>0</v>
      </c>
      <c r="AJ36" s="242">
        <f t="array" ref="AJ36">SUM(IF((modeldata!$F:$F=calibration!$AF$28)*(modeldata!$G:$G=calibration!AJ$30)*(modeldata!$H:$H=calibration!$AF36),modeldata!$E:$E,0))</f>
        <v>0</v>
      </c>
      <c r="AK36" s="242">
        <f t="array" ref="AK36">SUM(IF((modeldata!$F:$F=calibration!$AF$28)*(modeldata!$G:$G=calibration!AK$30)*(modeldata!$H:$H=calibration!$AF36),modeldata!$E:$E,0))</f>
        <v>0</v>
      </c>
      <c r="AL36" s="39">
        <f t="array" ref="AL36">SUM(IF((modeldata!$F:$F=calibration!$AF$28)*(modeldata!$G:$G=calibration!AL$30)*(modeldata!$H:$H=calibration!$AF36),modeldata!$E:$E,0))</f>
        <v>0</v>
      </c>
      <c r="AM36" s="242">
        <f t="array" ref="AM36">SUM(IF((modeldata!$F:$F=calibration!$AF$28)*(modeldata!$G:$G=calibration!AM$30)*(modeldata!$H:$H=calibration!$AF36),modeldata!$E:$E,0))</f>
        <v>0</v>
      </c>
      <c r="AN36" s="243">
        <f t="shared" ref="AN36:AN41" si="261">AL36+AM36+AL42+AM42</f>
        <v>0</v>
      </c>
      <c r="AO36" s="242">
        <f t="array" ref="AO36">SUM(IF((modeldata!$F:$F=calibration!$AF$28)*(modeldata!$G:$G=calibration!AO$30)*(modeldata!$H:$H=calibration!$AF36),modeldata!$E:$E,0))</f>
        <v>0</v>
      </c>
      <c r="AP36" s="242">
        <f t="array" ref="AP36">SUM(IF((modeldata!$F:$F=calibration!$AF$28)*(modeldata!$G:$G=calibration!AP$30)*(modeldata!$H:$H=calibration!$AF36),modeldata!$E:$E,0))</f>
        <v>0</v>
      </c>
      <c r="AQ36" s="242">
        <f t="array" ref="AQ36">SUM(IF((modeldata!$F:$F=calibration!$AF$28)*(modeldata!$G:$G=calibration!AQ$30)*(modeldata!$H:$H=calibration!$AF36),modeldata!$E:$E,0))</f>
        <v>0</v>
      </c>
      <c r="AR36" s="178">
        <f t="shared" si="254"/>
        <v>0</v>
      </c>
      <c r="AS36" s="17">
        <f t="shared" si="221"/>
        <v>0</v>
      </c>
      <c r="AU36" s="66" t="s">
        <v>5</v>
      </c>
      <c r="AV36" s="38">
        <f t="shared" ref="AV36:BG36" si="262">IF(R51&gt;0,R36/R51,0)</f>
        <v>0</v>
      </c>
      <c r="AW36" s="242">
        <f t="shared" si="262"/>
        <v>0</v>
      </c>
      <c r="AX36" s="242">
        <f t="shared" si="262"/>
        <v>0</v>
      </c>
      <c r="AY36" s="242">
        <f t="shared" si="262"/>
        <v>0</v>
      </c>
      <c r="AZ36" s="242">
        <f t="shared" si="262"/>
        <v>0</v>
      </c>
      <c r="BA36" s="39">
        <f t="shared" si="262"/>
        <v>0</v>
      </c>
      <c r="BB36" s="242">
        <f t="shared" si="262"/>
        <v>0</v>
      </c>
      <c r="BC36" s="243">
        <f t="shared" si="262"/>
        <v>0</v>
      </c>
      <c r="BD36" s="242">
        <f t="shared" si="262"/>
        <v>0</v>
      </c>
      <c r="BE36" s="242">
        <f t="shared" si="262"/>
        <v>0</v>
      </c>
      <c r="BF36" s="242">
        <f t="shared" si="262"/>
        <v>0</v>
      </c>
      <c r="BG36" s="178">
        <f t="shared" si="262"/>
        <v>0</v>
      </c>
      <c r="BH36" s="24" t="e">
        <f>AD36/AD51</f>
        <v>#DIV/0!</v>
      </c>
      <c r="BJ36" s="66" t="s">
        <v>5</v>
      </c>
      <c r="BK36" s="38">
        <f t="shared" ref="BK36:BV36" si="263">IF(AG51&gt;0,AG36/AG51,0)</f>
        <v>0</v>
      </c>
      <c r="BL36" s="242">
        <f t="shared" si="263"/>
        <v>0</v>
      </c>
      <c r="BM36" s="242">
        <f t="shared" si="263"/>
        <v>0</v>
      </c>
      <c r="BN36" s="242">
        <f t="shared" si="263"/>
        <v>0</v>
      </c>
      <c r="BO36" s="242">
        <f t="shared" si="263"/>
        <v>0</v>
      </c>
      <c r="BP36" s="39">
        <f t="shared" si="263"/>
        <v>0</v>
      </c>
      <c r="BQ36" s="242">
        <f t="shared" si="263"/>
        <v>0</v>
      </c>
      <c r="BR36" s="243">
        <f t="shared" si="263"/>
        <v>0</v>
      </c>
      <c r="BS36" s="242">
        <f t="shared" si="263"/>
        <v>0</v>
      </c>
      <c r="BT36" s="242">
        <f t="shared" si="263"/>
        <v>0</v>
      </c>
      <c r="BU36" s="242">
        <f t="shared" si="263"/>
        <v>0</v>
      </c>
      <c r="BV36" s="178">
        <f t="shared" si="263"/>
        <v>0</v>
      </c>
      <c r="BW36" s="24" t="e">
        <f>AS36/AS51</f>
        <v>#DIV/0!</v>
      </c>
      <c r="BX36" s="24"/>
      <c r="BY36" s="66" t="s">
        <v>5</v>
      </c>
      <c r="BZ36" s="54">
        <f t="shared" si="224"/>
        <v>0</v>
      </c>
      <c r="CA36" s="55">
        <f t="shared" si="193"/>
        <v>0</v>
      </c>
      <c r="CB36" s="55">
        <f t="shared" si="194"/>
        <v>0</v>
      </c>
      <c r="CC36" s="55">
        <f t="shared" si="195"/>
        <v>0</v>
      </c>
      <c r="CD36" s="55">
        <f t="shared" si="196"/>
        <v>0</v>
      </c>
      <c r="CE36" s="59">
        <f t="shared" si="197"/>
        <v>0</v>
      </c>
      <c r="CF36" s="55">
        <f t="shared" si="198"/>
        <v>0</v>
      </c>
      <c r="CG36" s="246">
        <f t="shared" si="199"/>
        <v>0</v>
      </c>
      <c r="CH36" s="55">
        <f t="shared" si="200"/>
        <v>0</v>
      </c>
      <c r="CI36" s="55">
        <f t="shared" si="201"/>
        <v>0</v>
      </c>
      <c r="CJ36" s="55">
        <f t="shared" si="202"/>
        <v>0</v>
      </c>
      <c r="CK36" s="249">
        <f t="shared" si="202"/>
        <v>0</v>
      </c>
      <c r="CL36" s="55">
        <f t="shared" si="203"/>
        <v>0</v>
      </c>
      <c r="CN36" s="66" t="s">
        <v>5</v>
      </c>
      <c r="CO36" s="54">
        <f t="shared" si="225"/>
        <v>0</v>
      </c>
      <c r="CP36" s="55">
        <f t="shared" si="204"/>
        <v>0</v>
      </c>
      <c r="CQ36" s="55">
        <f t="shared" si="205"/>
        <v>0</v>
      </c>
      <c r="CR36" s="55">
        <f t="shared" si="206"/>
        <v>0</v>
      </c>
      <c r="CS36" s="55">
        <f t="shared" si="207"/>
        <v>0</v>
      </c>
      <c r="CT36" s="59">
        <f t="shared" si="208"/>
        <v>0</v>
      </c>
      <c r="CU36" s="55">
        <f t="shared" si="209"/>
        <v>0</v>
      </c>
      <c r="CV36" s="246">
        <f t="shared" si="210"/>
        <v>0</v>
      </c>
      <c r="CW36" s="55">
        <f t="shared" si="211"/>
        <v>0</v>
      </c>
      <c r="CX36" s="55">
        <f t="shared" si="212"/>
        <v>0</v>
      </c>
      <c r="CY36" s="55">
        <f t="shared" si="213"/>
        <v>0</v>
      </c>
      <c r="CZ36" s="249">
        <f t="shared" si="213"/>
        <v>0</v>
      </c>
      <c r="DA36" s="62" t="e">
        <f t="shared" si="214"/>
        <v>#DIV/0!</v>
      </c>
      <c r="DC36" s="66" t="s">
        <v>5</v>
      </c>
      <c r="DD36" s="198">
        <f t="shared" si="226"/>
        <v>0</v>
      </c>
      <c r="DE36" s="199">
        <f t="shared" si="227"/>
        <v>0</v>
      </c>
      <c r="DF36" s="198">
        <f t="shared" si="228"/>
        <v>0</v>
      </c>
      <c r="DG36" s="199">
        <f t="shared" si="229"/>
        <v>0</v>
      </c>
      <c r="DH36" s="198">
        <f t="shared" si="230"/>
        <v>0</v>
      </c>
      <c r="DI36" s="199">
        <f t="shared" si="231"/>
        <v>0</v>
      </c>
      <c r="DJ36" s="198">
        <f t="shared" si="232"/>
        <v>0</v>
      </c>
      <c r="DK36" s="199">
        <f t="shared" si="233"/>
        <v>0</v>
      </c>
      <c r="DL36" s="198">
        <f t="shared" si="234"/>
        <v>0</v>
      </c>
      <c r="DM36" s="199">
        <f t="shared" si="235"/>
        <v>0</v>
      </c>
      <c r="DN36" s="195">
        <f t="shared" si="236"/>
        <v>0</v>
      </c>
      <c r="DO36" s="196">
        <f t="shared" si="237"/>
        <v>0</v>
      </c>
      <c r="DP36" s="198">
        <f t="shared" si="238"/>
        <v>0</v>
      </c>
      <c r="DQ36" s="199">
        <f t="shared" si="239"/>
        <v>0</v>
      </c>
      <c r="DR36" s="198">
        <f t="shared" si="240"/>
        <v>0</v>
      </c>
      <c r="DS36" s="199">
        <f t="shared" si="241"/>
        <v>0</v>
      </c>
      <c r="DT36" s="198">
        <f t="shared" si="242"/>
        <v>0</v>
      </c>
      <c r="DU36" s="199">
        <f t="shared" si="243"/>
        <v>0</v>
      </c>
      <c r="DV36" s="198">
        <f t="shared" si="244"/>
        <v>0</v>
      </c>
      <c r="DW36" s="199">
        <f t="shared" si="245"/>
        <v>0</v>
      </c>
      <c r="DX36" s="198">
        <f t="shared" si="246"/>
        <v>0</v>
      </c>
      <c r="DY36" s="199">
        <f t="shared" si="247"/>
        <v>0</v>
      </c>
      <c r="DZ36" s="190">
        <f t="shared" si="248"/>
        <v>0</v>
      </c>
      <c r="EA36" s="199">
        <f t="shared" si="215"/>
        <v>0</v>
      </c>
      <c r="EB36" s="190" t="e">
        <f t="shared" si="249"/>
        <v>#DIV/0!</v>
      </c>
      <c r="EC36" s="190" t="e">
        <f t="shared" si="250"/>
        <v>#DIV/0!</v>
      </c>
    </row>
    <row r="37" spans="1:133" ht="25.5" x14ac:dyDescent="0.2">
      <c r="A37" s="66" t="s">
        <v>344</v>
      </c>
      <c r="B37" s="38">
        <f>targets!AW36</f>
        <v>0</v>
      </c>
      <c r="C37" s="242">
        <f>targets!AX36</f>
        <v>0</v>
      </c>
      <c r="D37" s="242">
        <f>targets!AY36</f>
        <v>0</v>
      </c>
      <c r="E37" s="242">
        <f>targets!AZ36</f>
        <v>0</v>
      </c>
      <c r="F37" s="242">
        <f>targets!BA36</f>
        <v>0</v>
      </c>
      <c r="G37" s="40">
        <f>SUM(targets!BB36:BG36)</f>
        <v>2675.996468553953</v>
      </c>
      <c r="H37" s="242">
        <f>SUM(targets!BH36:BM36)</f>
        <v>0</v>
      </c>
      <c r="I37" s="243">
        <f t="shared" si="251"/>
        <v>2675.996468553953</v>
      </c>
      <c r="J37" s="242">
        <f>targets!BN36</f>
        <v>0</v>
      </c>
      <c r="K37" s="242">
        <f>targets!BO36</f>
        <v>0</v>
      </c>
      <c r="L37" s="242">
        <f>targets!BP36</f>
        <v>0</v>
      </c>
      <c r="M37" s="178">
        <f t="shared" si="252"/>
        <v>0</v>
      </c>
      <c r="N37" s="17">
        <f t="shared" si="216"/>
        <v>2675.996468553953</v>
      </c>
      <c r="O37" s="17"/>
      <c r="P37" s="17"/>
      <c r="Q37" s="66" t="s">
        <v>344</v>
      </c>
      <c r="R37" s="38">
        <f t="shared" si="217"/>
        <v>0</v>
      </c>
      <c r="S37" s="242">
        <f t="shared" si="185"/>
        <v>0</v>
      </c>
      <c r="T37" s="242">
        <f t="shared" si="186"/>
        <v>0</v>
      </c>
      <c r="U37" s="242">
        <f t="shared" si="187"/>
        <v>0</v>
      </c>
      <c r="V37" s="242">
        <f t="shared" si="188"/>
        <v>0</v>
      </c>
      <c r="W37" s="40">
        <f t="shared" si="189"/>
        <v>0</v>
      </c>
      <c r="X37" s="242">
        <f t="shared" si="190"/>
        <v>0</v>
      </c>
      <c r="Y37" s="243">
        <f t="shared" si="218"/>
        <v>0</v>
      </c>
      <c r="Z37" s="242"/>
      <c r="AA37" s="242"/>
      <c r="AB37" s="242"/>
      <c r="AC37" s="178">
        <f t="shared" si="253"/>
        <v>0</v>
      </c>
      <c r="AD37" s="17">
        <f t="shared" si="219"/>
        <v>0</v>
      </c>
      <c r="AF37" s="66" t="s">
        <v>43</v>
      </c>
      <c r="AG37" s="38">
        <f t="array" ref="AG37">SUM(IF((modeldata!$F:$F=calibration!$AF$28)*(modeldata!$G:$G=calibration!AG$30)*(modeldata!$H:$H=calibration!$AF37),modeldata!$E:$E,0))</f>
        <v>0</v>
      </c>
      <c r="AH37" s="242">
        <f t="array" ref="AH37">SUM(IF((modeldata!$F:$F=calibration!$AF$28)*(modeldata!$G:$G=calibration!AH$30)*(modeldata!$H:$H=calibration!$AF37),modeldata!$E:$E,0))</f>
        <v>0</v>
      </c>
      <c r="AI37" s="242">
        <f t="array" ref="AI37">SUM(IF((modeldata!$F:$F=calibration!$AF$28)*(modeldata!$G:$G=calibration!AI$30)*(modeldata!$H:$H=calibration!$AF37),modeldata!$E:$E,0))</f>
        <v>0</v>
      </c>
      <c r="AJ37" s="242">
        <f t="array" ref="AJ37">SUM(IF((modeldata!$F:$F=calibration!$AF$28)*(modeldata!$G:$G=calibration!AJ$30)*(modeldata!$H:$H=calibration!$AF37),modeldata!$E:$E,0))</f>
        <v>0</v>
      </c>
      <c r="AK37" s="242">
        <f t="array" ref="AK37">SUM(IF((modeldata!$F:$F=calibration!$AF$28)*(modeldata!$G:$G=calibration!AK$30)*(modeldata!$H:$H=calibration!$AF37),modeldata!$E:$E,0))</f>
        <v>0</v>
      </c>
      <c r="AL37" s="40">
        <f t="array" ref="AL37">SUM(IF((modeldata!$F:$F=calibration!$AF$28)*(modeldata!$G:$G=calibration!AL$30)*(modeldata!$H:$H=calibration!$AF37),modeldata!$E:$E,0))</f>
        <v>0</v>
      </c>
      <c r="AM37" s="242">
        <f t="array" ref="AM37">SUM(IF((modeldata!$F:$F=calibration!$AF$28)*(modeldata!$G:$G=calibration!AM$30)*(modeldata!$H:$H=calibration!$AF37),modeldata!$E:$E,0))</f>
        <v>0</v>
      </c>
      <c r="AN37" s="243">
        <f t="shared" si="261"/>
        <v>0</v>
      </c>
      <c r="AO37" s="242">
        <f t="array" ref="AO37">SUM(IF((modeldata!$F:$F=calibration!$AF$28)*(modeldata!$G:$G=calibration!AO$30)*(modeldata!$H:$H=calibration!$AF37),modeldata!$E:$E,0))</f>
        <v>0</v>
      </c>
      <c r="AP37" s="242">
        <f t="array" ref="AP37">SUM(IF((modeldata!$F:$F=calibration!$AF$28)*(modeldata!$G:$G=calibration!AP$30)*(modeldata!$H:$H=calibration!$AF37),modeldata!$E:$E,0))</f>
        <v>0</v>
      </c>
      <c r="AQ37" s="242">
        <f t="array" ref="AQ37">SUM(IF((modeldata!$F:$F=calibration!$AF$28)*(modeldata!$G:$G=calibration!AQ$30)*(modeldata!$H:$H=calibration!$AF37),modeldata!$E:$E,0))</f>
        <v>0</v>
      </c>
      <c r="AR37" s="178">
        <f t="shared" si="254"/>
        <v>0</v>
      </c>
      <c r="AS37" s="17">
        <f t="shared" si="221"/>
        <v>0</v>
      </c>
      <c r="AU37" s="66" t="s">
        <v>344</v>
      </c>
      <c r="AV37" s="38">
        <f t="shared" ref="AV37:BG38" si="264">IF(R51&gt;0,R37/R51,0)</f>
        <v>0</v>
      </c>
      <c r="AW37" s="242">
        <f t="shared" si="264"/>
        <v>0</v>
      </c>
      <c r="AX37" s="242">
        <f t="shared" si="264"/>
        <v>0</v>
      </c>
      <c r="AY37" s="242">
        <f t="shared" si="264"/>
        <v>0</v>
      </c>
      <c r="AZ37" s="242">
        <f t="shared" si="264"/>
        <v>0</v>
      </c>
      <c r="BA37" s="40">
        <f t="shared" si="264"/>
        <v>0</v>
      </c>
      <c r="BB37" s="242">
        <f t="shared" si="264"/>
        <v>0</v>
      </c>
      <c r="BC37" s="243">
        <f t="shared" si="264"/>
        <v>0</v>
      </c>
      <c r="BD37" s="242">
        <f t="shared" si="264"/>
        <v>0</v>
      </c>
      <c r="BE37" s="242">
        <f t="shared" si="264"/>
        <v>0</v>
      </c>
      <c r="BF37" s="242">
        <f t="shared" si="264"/>
        <v>0</v>
      </c>
      <c r="BG37" s="178">
        <f t="shared" si="264"/>
        <v>0</v>
      </c>
      <c r="BH37" s="24" t="e">
        <f>AD37/AD51</f>
        <v>#DIV/0!</v>
      </c>
      <c r="BJ37" s="66" t="s">
        <v>344</v>
      </c>
      <c r="BK37" s="38">
        <f t="shared" ref="BK37:BV37" si="265">IF(AG51&gt;0,AG37/AG51,0)</f>
        <v>0</v>
      </c>
      <c r="BL37" s="242">
        <f t="shared" si="265"/>
        <v>0</v>
      </c>
      <c r="BM37" s="242">
        <f t="shared" si="265"/>
        <v>0</v>
      </c>
      <c r="BN37" s="242">
        <f t="shared" si="265"/>
        <v>0</v>
      </c>
      <c r="BO37" s="242">
        <f t="shared" si="265"/>
        <v>0</v>
      </c>
      <c r="BP37" s="40">
        <f t="shared" si="265"/>
        <v>0</v>
      </c>
      <c r="BQ37" s="242">
        <f t="shared" si="265"/>
        <v>0</v>
      </c>
      <c r="BR37" s="243">
        <f t="shared" si="265"/>
        <v>0</v>
      </c>
      <c r="BS37" s="242">
        <f t="shared" si="265"/>
        <v>0</v>
      </c>
      <c r="BT37" s="242">
        <f t="shared" si="265"/>
        <v>0</v>
      </c>
      <c r="BU37" s="242">
        <f t="shared" si="265"/>
        <v>0</v>
      </c>
      <c r="BV37" s="178">
        <f t="shared" si="265"/>
        <v>0</v>
      </c>
      <c r="BW37" s="24" t="e">
        <f>AS37/AS51</f>
        <v>#DIV/0!</v>
      </c>
      <c r="BX37" s="24"/>
      <c r="BY37" s="66" t="s">
        <v>344</v>
      </c>
      <c r="BZ37" s="54">
        <f t="shared" si="224"/>
        <v>0</v>
      </c>
      <c r="CA37" s="55">
        <f t="shared" si="193"/>
        <v>0</v>
      </c>
      <c r="CB37" s="55">
        <f t="shared" si="194"/>
        <v>0</v>
      </c>
      <c r="CC37" s="55">
        <f t="shared" si="195"/>
        <v>0</v>
      </c>
      <c r="CD37" s="55">
        <f t="shared" si="196"/>
        <v>0</v>
      </c>
      <c r="CE37" s="60">
        <f t="shared" si="197"/>
        <v>0</v>
      </c>
      <c r="CF37" s="55">
        <f t="shared" si="198"/>
        <v>0</v>
      </c>
      <c r="CG37" s="246">
        <f t="shared" si="199"/>
        <v>0</v>
      </c>
      <c r="CH37" s="55">
        <f t="shared" si="200"/>
        <v>0</v>
      </c>
      <c r="CI37" s="55">
        <f t="shared" si="201"/>
        <v>0</v>
      </c>
      <c r="CJ37" s="55">
        <f t="shared" si="202"/>
        <v>0</v>
      </c>
      <c r="CK37" s="249">
        <f t="shared" si="202"/>
        <v>0</v>
      </c>
      <c r="CL37" s="55">
        <f t="shared" si="203"/>
        <v>0</v>
      </c>
      <c r="CN37" s="66" t="s">
        <v>344</v>
      </c>
      <c r="CO37" s="54">
        <f t="shared" si="225"/>
        <v>0</v>
      </c>
      <c r="CP37" s="55">
        <f t="shared" si="204"/>
        <v>0</v>
      </c>
      <c r="CQ37" s="55">
        <f t="shared" si="205"/>
        <v>0</v>
      </c>
      <c r="CR37" s="55">
        <f t="shared" si="206"/>
        <v>0</v>
      </c>
      <c r="CS37" s="55">
        <f t="shared" si="207"/>
        <v>0</v>
      </c>
      <c r="CT37" s="60">
        <f t="shared" si="208"/>
        <v>0</v>
      </c>
      <c r="CU37" s="55">
        <f t="shared" si="209"/>
        <v>0</v>
      </c>
      <c r="CV37" s="246">
        <f t="shared" si="210"/>
        <v>0</v>
      </c>
      <c r="CW37" s="55">
        <f t="shared" si="211"/>
        <v>0</v>
      </c>
      <c r="CX37" s="55">
        <f t="shared" si="212"/>
        <v>0</v>
      </c>
      <c r="CY37" s="55">
        <f t="shared" si="213"/>
        <v>0</v>
      </c>
      <c r="CZ37" s="249">
        <f t="shared" si="213"/>
        <v>0</v>
      </c>
      <c r="DA37" s="62" t="e">
        <f t="shared" si="214"/>
        <v>#DIV/0!</v>
      </c>
      <c r="DC37" s="66" t="s">
        <v>344</v>
      </c>
      <c r="DD37" s="198">
        <f t="shared" si="226"/>
        <v>0</v>
      </c>
      <c r="DE37" s="199">
        <f t="shared" si="227"/>
        <v>0</v>
      </c>
      <c r="DF37" s="198">
        <f t="shared" si="228"/>
        <v>0</v>
      </c>
      <c r="DG37" s="199">
        <f t="shared" si="229"/>
        <v>0</v>
      </c>
      <c r="DH37" s="198">
        <f t="shared" si="230"/>
        <v>0</v>
      </c>
      <c r="DI37" s="199">
        <f t="shared" si="231"/>
        <v>0</v>
      </c>
      <c r="DJ37" s="198">
        <f t="shared" si="232"/>
        <v>0</v>
      </c>
      <c r="DK37" s="199">
        <f t="shared" si="233"/>
        <v>0</v>
      </c>
      <c r="DL37" s="198">
        <f t="shared" si="234"/>
        <v>0</v>
      </c>
      <c r="DM37" s="199">
        <f t="shared" si="235"/>
        <v>0</v>
      </c>
      <c r="DN37" s="198">
        <f t="shared" si="236"/>
        <v>0</v>
      </c>
      <c r="DO37" s="199">
        <f t="shared" si="237"/>
        <v>0</v>
      </c>
      <c r="DP37" s="198">
        <f t="shared" si="238"/>
        <v>0</v>
      </c>
      <c r="DQ37" s="199">
        <f t="shared" si="239"/>
        <v>0</v>
      </c>
      <c r="DR37" s="198">
        <f t="shared" si="240"/>
        <v>0</v>
      </c>
      <c r="DS37" s="199">
        <f t="shared" si="241"/>
        <v>0</v>
      </c>
      <c r="DT37" s="198">
        <f t="shared" si="242"/>
        <v>0</v>
      </c>
      <c r="DU37" s="199">
        <f t="shared" si="243"/>
        <v>0</v>
      </c>
      <c r="DV37" s="198">
        <f t="shared" si="244"/>
        <v>0</v>
      </c>
      <c r="DW37" s="199">
        <f t="shared" si="245"/>
        <v>0</v>
      </c>
      <c r="DX37" s="198">
        <f t="shared" si="246"/>
        <v>0</v>
      </c>
      <c r="DY37" s="199">
        <f t="shared" si="247"/>
        <v>0</v>
      </c>
      <c r="DZ37" s="190">
        <f t="shared" si="248"/>
        <v>0</v>
      </c>
      <c r="EA37" s="199">
        <f t="shared" si="215"/>
        <v>0</v>
      </c>
      <c r="EB37" s="190" t="e">
        <f t="shared" si="249"/>
        <v>#DIV/0!</v>
      </c>
      <c r="EC37" s="190" t="e">
        <f t="shared" si="250"/>
        <v>#DIV/0!</v>
      </c>
    </row>
    <row r="38" spans="1:133" x14ac:dyDescent="0.2">
      <c r="A38" s="2" t="s">
        <v>346</v>
      </c>
      <c r="B38" s="38">
        <f>targets!AW37</f>
        <v>0</v>
      </c>
      <c r="C38" s="242">
        <f>targets!AX37</f>
        <v>0</v>
      </c>
      <c r="D38" s="242">
        <f>targets!AY37</f>
        <v>0</v>
      </c>
      <c r="E38" s="242">
        <f>targets!AZ37</f>
        <v>0</v>
      </c>
      <c r="F38" s="242">
        <f>targets!BA37</f>
        <v>0</v>
      </c>
      <c r="G38" s="40">
        <f>SUM(targets!BB37:BG37)</f>
        <v>0</v>
      </c>
      <c r="H38" s="242">
        <f>SUM(targets!BH37:BM37)</f>
        <v>0</v>
      </c>
      <c r="I38" s="243">
        <f>SUM(G38:H38)</f>
        <v>0</v>
      </c>
      <c r="J38" s="242">
        <f>targets!BN37</f>
        <v>0</v>
      </c>
      <c r="K38" s="242">
        <f>targets!BO37</f>
        <v>0</v>
      </c>
      <c r="L38" s="242">
        <f>targets!BP37</f>
        <v>0</v>
      </c>
      <c r="M38" s="178">
        <f>SUM(J38:L38)</f>
        <v>0</v>
      </c>
      <c r="N38" s="17">
        <f>SUM(B38:L38)-I38</f>
        <v>0</v>
      </c>
      <c r="O38" s="17"/>
      <c r="P38" s="17"/>
      <c r="Q38" s="2" t="s">
        <v>346</v>
      </c>
      <c r="R38" s="38">
        <f t="shared" si="217"/>
        <v>0</v>
      </c>
      <c r="S38" s="242">
        <f t="shared" si="185"/>
        <v>0</v>
      </c>
      <c r="T38" s="242">
        <f t="shared" si="186"/>
        <v>0</v>
      </c>
      <c r="U38" s="242">
        <f t="shared" si="187"/>
        <v>0</v>
      </c>
      <c r="V38" s="242">
        <f t="shared" si="188"/>
        <v>0</v>
      </c>
      <c r="W38" s="40">
        <f t="shared" si="189"/>
        <v>0</v>
      </c>
      <c r="X38" s="242">
        <f t="shared" si="190"/>
        <v>0</v>
      </c>
      <c r="Y38" s="243">
        <f>SUM(W38:X38)</f>
        <v>0</v>
      </c>
      <c r="Z38" s="242"/>
      <c r="AA38" s="242"/>
      <c r="AB38" s="242"/>
      <c r="AC38" s="178">
        <f>SUM(Z38:AB38)</f>
        <v>0</v>
      </c>
      <c r="AD38" s="17"/>
      <c r="AF38" s="2" t="s">
        <v>44</v>
      </c>
      <c r="AG38" s="38">
        <f t="array" ref="AG38">SUM(IF((modeldata!$F:$F=calibration!$AF$28)*(modeldata!$G:$G=calibration!AG$30)*(modeldata!$H:$H=calibration!$AF38),modeldata!$E:$E,0))</f>
        <v>0</v>
      </c>
      <c r="AH38" s="242">
        <f t="array" ref="AH38">SUM(IF((modeldata!$F:$F=calibration!$AF$28)*(modeldata!$G:$G=calibration!AH$30)*(modeldata!$H:$H=calibration!$AF38),modeldata!$E:$E,0))</f>
        <v>0</v>
      </c>
      <c r="AI38" s="242">
        <f t="array" ref="AI38">SUM(IF((modeldata!$F:$F=calibration!$AF$28)*(modeldata!$G:$G=calibration!AI$30)*(modeldata!$H:$H=calibration!$AF38),modeldata!$E:$E,0))</f>
        <v>0</v>
      </c>
      <c r="AJ38" s="242">
        <f t="array" ref="AJ38">SUM(IF((modeldata!$F:$F=calibration!$AF$28)*(modeldata!$G:$G=calibration!AJ$30)*(modeldata!$H:$H=calibration!$AF38),modeldata!$E:$E,0))</f>
        <v>0</v>
      </c>
      <c r="AK38" s="242">
        <f t="array" ref="AK38">SUM(IF((modeldata!$F:$F=calibration!$AF$28)*(modeldata!$G:$G=calibration!AK$30)*(modeldata!$H:$H=calibration!$AF38),modeldata!$E:$E,0))</f>
        <v>0</v>
      </c>
      <c r="AL38" s="40">
        <f t="array" ref="AL38">SUM(IF((modeldata!$F:$F=calibration!$AF$28)*(modeldata!$G:$G=calibration!AL$30)*(modeldata!$H:$H=calibration!$AF38),modeldata!$E:$E,0))</f>
        <v>0</v>
      </c>
      <c r="AM38" s="242">
        <f t="array" ref="AM38">SUM(IF((modeldata!$F:$F=calibration!$AF$28)*(modeldata!$G:$G=calibration!AM$30)*(modeldata!$H:$H=calibration!$AF38),modeldata!$E:$E,0))</f>
        <v>0</v>
      </c>
      <c r="AN38" s="243">
        <f t="shared" si="261"/>
        <v>0</v>
      </c>
      <c r="AO38" s="242">
        <f t="array" ref="AO38">SUM(IF((modeldata!$F:$F=calibration!$AF$28)*(modeldata!$G:$G=calibration!AO$30)*(modeldata!$H:$H=calibration!$AF38),modeldata!$E:$E,0))</f>
        <v>0</v>
      </c>
      <c r="AP38" s="242">
        <f t="array" ref="AP38">SUM(IF((modeldata!$F:$F=calibration!$AF$28)*(modeldata!$G:$G=calibration!AP$30)*(modeldata!$H:$H=calibration!$AF38),modeldata!$E:$E,0))</f>
        <v>0</v>
      </c>
      <c r="AQ38" s="242">
        <f t="array" ref="AQ38">SUM(IF((modeldata!$F:$F=calibration!$AF$28)*(modeldata!$G:$G=calibration!AQ$30)*(modeldata!$H:$H=calibration!$AF38),modeldata!$E:$E,0))</f>
        <v>0</v>
      </c>
      <c r="AR38" s="178">
        <f>SUM(AO38:AQ38)</f>
        <v>0</v>
      </c>
      <c r="AS38" s="17">
        <f>SUM(AG38:AQ38)-AN38</f>
        <v>0</v>
      </c>
      <c r="AU38" s="2" t="s">
        <v>346</v>
      </c>
      <c r="AV38" s="38">
        <f t="shared" si="264"/>
        <v>0</v>
      </c>
      <c r="AW38" s="242">
        <f t="shared" si="264"/>
        <v>0</v>
      </c>
      <c r="AX38" s="242">
        <f t="shared" si="264"/>
        <v>0</v>
      </c>
      <c r="AY38" s="242">
        <f t="shared" si="264"/>
        <v>0</v>
      </c>
      <c r="AZ38" s="242">
        <f t="shared" si="264"/>
        <v>0</v>
      </c>
      <c r="BA38" s="40">
        <f t="shared" si="264"/>
        <v>0</v>
      </c>
      <c r="BB38" s="242">
        <f t="shared" si="264"/>
        <v>0</v>
      </c>
      <c r="BC38" s="243">
        <f t="shared" si="264"/>
        <v>0</v>
      </c>
      <c r="BD38" s="242">
        <f t="shared" si="264"/>
        <v>0</v>
      </c>
      <c r="BE38" s="242">
        <f t="shared" si="264"/>
        <v>0</v>
      </c>
      <c r="BF38" s="242">
        <f t="shared" si="264"/>
        <v>0</v>
      </c>
      <c r="BG38" s="178">
        <f t="shared" si="264"/>
        <v>0</v>
      </c>
      <c r="BH38" s="24" t="e">
        <f>AD38/AD52</f>
        <v>#DIV/0!</v>
      </c>
      <c r="BJ38" s="2" t="s">
        <v>346</v>
      </c>
      <c r="BK38" s="38">
        <f t="shared" ref="BK38:BV38" si="266">IF(AG60&gt;0,AG38/AG60,0)</f>
        <v>0</v>
      </c>
      <c r="BL38" s="242">
        <f t="shared" si="266"/>
        <v>0</v>
      </c>
      <c r="BM38" s="242">
        <f t="shared" si="266"/>
        <v>0</v>
      </c>
      <c r="BN38" s="242">
        <f t="shared" si="266"/>
        <v>0</v>
      </c>
      <c r="BO38" s="242">
        <f t="shared" si="266"/>
        <v>0</v>
      </c>
      <c r="BP38" s="40">
        <f t="shared" si="266"/>
        <v>0</v>
      </c>
      <c r="BQ38" s="242">
        <f t="shared" si="266"/>
        <v>0</v>
      </c>
      <c r="BR38" s="243">
        <f t="shared" si="266"/>
        <v>0</v>
      </c>
      <c r="BS38" s="242">
        <f t="shared" si="266"/>
        <v>0</v>
      </c>
      <c r="BT38" s="242">
        <f t="shared" si="266"/>
        <v>0</v>
      </c>
      <c r="BU38" s="242">
        <f t="shared" si="266"/>
        <v>0</v>
      </c>
      <c r="BV38" s="178">
        <f t="shared" si="266"/>
        <v>0</v>
      </c>
      <c r="BW38" s="24" t="e">
        <f>AS38/AS60</f>
        <v>#DIV/0!</v>
      </c>
      <c r="BX38" s="24"/>
      <c r="BY38" s="2" t="s">
        <v>346</v>
      </c>
      <c r="BZ38" s="54">
        <f t="shared" ref="BZ38:CL38" si="267">AG38-R38</f>
        <v>0</v>
      </c>
      <c r="CA38" s="55">
        <f t="shared" si="267"/>
        <v>0</v>
      </c>
      <c r="CB38" s="55">
        <f t="shared" si="267"/>
        <v>0</v>
      </c>
      <c r="CC38" s="55">
        <f t="shared" si="267"/>
        <v>0</v>
      </c>
      <c r="CD38" s="55">
        <f t="shared" si="267"/>
        <v>0</v>
      </c>
      <c r="CE38" s="60">
        <f t="shared" si="267"/>
        <v>0</v>
      </c>
      <c r="CF38" s="55">
        <f t="shared" si="267"/>
        <v>0</v>
      </c>
      <c r="CG38" s="246">
        <f t="shared" si="267"/>
        <v>0</v>
      </c>
      <c r="CH38" s="55">
        <f t="shared" si="267"/>
        <v>0</v>
      </c>
      <c r="CI38" s="55">
        <f t="shared" si="267"/>
        <v>0</v>
      </c>
      <c r="CJ38" s="55">
        <f t="shared" si="267"/>
        <v>0</v>
      </c>
      <c r="CK38" s="249">
        <f t="shared" si="267"/>
        <v>0</v>
      </c>
      <c r="CL38" s="55">
        <f t="shared" si="267"/>
        <v>0</v>
      </c>
      <c r="CN38" s="2" t="s">
        <v>346</v>
      </c>
      <c r="CO38" s="54">
        <f t="shared" ref="CO38:DA38" si="268">BK38-AV38</f>
        <v>0</v>
      </c>
      <c r="CP38" s="55">
        <f t="shared" si="268"/>
        <v>0</v>
      </c>
      <c r="CQ38" s="55">
        <f t="shared" si="268"/>
        <v>0</v>
      </c>
      <c r="CR38" s="55">
        <f t="shared" si="268"/>
        <v>0</v>
      </c>
      <c r="CS38" s="55">
        <f t="shared" si="268"/>
        <v>0</v>
      </c>
      <c r="CT38" s="60">
        <f t="shared" si="268"/>
        <v>0</v>
      </c>
      <c r="CU38" s="55">
        <f t="shared" si="268"/>
        <v>0</v>
      </c>
      <c r="CV38" s="246">
        <f t="shared" si="268"/>
        <v>0</v>
      </c>
      <c r="CW38" s="55">
        <f t="shared" si="268"/>
        <v>0</v>
      </c>
      <c r="CX38" s="55">
        <f t="shared" si="268"/>
        <v>0</v>
      </c>
      <c r="CY38" s="55">
        <f t="shared" si="268"/>
        <v>0</v>
      </c>
      <c r="CZ38" s="249">
        <f t="shared" si="268"/>
        <v>0</v>
      </c>
      <c r="DA38" s="62" t="e">
        <f t="shared" si="268"/>
        <v>#DIV/0!</v>
      </c>
      <c r="DC38" s="2" t="s">
        <v>346</v>
      </c>
      <c r="DD38" s="198">
        <f>AV38</f>
        <v>0</v>
      </c>
      <c r="DE38" s="199">
        <f>BK38</f>
        <v>0</v>
      </c>
      <c r="DF38" s="198">
        <f>AW38</f>
        <v>0</v>
      </c>
      <c r="DG38" s="199">
        <f>BL38</f>
        <v>0</v>
      </c>
      <c r="DH38" s="198">
        <f>AX38</f>
        <v>0</v>
      </c>
      <c r="DI38" s="199">
        <f>BM38</f>
        <v>0</v>
      </c>
      <c r="DJ38" s="198">
        <f>AY38</f>
        <v>0</v>
      </c>
      <c r="DK38" s="199">
        <f>BN38</f>
        <v>0</v>
      </c>
      <c r="DL38" s="198">
        <f>AZ38</f>
        <v>0</v>
      </c>
      <c r="DM38" s="199">
        <f>BO38</f>
        <v>0</v>
      </c>
      <c r="DN38" s="198">
        <f>BA38</f>
        <v>0</v>
      </c>
      <c r="DO38" s="199">
        <f>BP38</f>
        <v>0</v>
      </c>
      <c r="DP38" s="198">
        <f>BB38</f>
        <v>0</v>
      </c>
      <c r="DQ38" s="199">
        <f>BQ38</f>
        <v>0</v>
      </c>
      <c r="DR38" s="198">
        <f>BC38</f>
        <v>0</v>
      </c>
      <c r="DS38" s="199">
        <f>BR38</f>
        <v>0</v>
      </c>
      <c r="DT38" s="198">
        <f>BD38</f>
        <v>0</v>
      </c>
      <c r="DU38" s="199">
        <f>BS38</f>
        <v>0</v>
      </c>
      <c r="DV38" s="198">
        <f>BE38</f>
        <v>0</v>
      </c>
      <c r="DW38" s="199">
        <f>BT38</f>
        <v>0</v>
      </c>
      <c r="DX38" s="198">
        <f>BF38</f>
        <v>0</v>
      </c>
      <c r="DY38" s="199">
        <f>BU38</f>
        <v>0</v>
      </c>
      <c r="DZ38" s="190">
        <f>BG38</f>
        <v>0</v>
      </c>
      <c r="EA38" s="199">
        <f>BV38</f>
        <v>0</v>
      </c>
      <c r="EB38" s="190" t="e">
        <f>BH38</f>
        <v>#DIV/0!</v>
      </c>
      <c r="EC38" s="190" t="e">
        <f>BW38</f>
        <v>#DIV/0!</v>
      </c>
    </row>
    <row r="39" spans="1:133" x14ac:dyDescent="0.2">
      <c r="A39" s="64" t="s">
        <v>45</v>
      </c>
      <c r="B39" s="38">
        <f>targets!AW38</f>
        <v>0</v>
      </c>
      <c r="C39" s="242">
        <f>targets!AX38</f>
        <v>0</v>
      </c>
      <c r="D39" s="242">
        <f>targets!AY38</f>
        <v>0</v>
      </c>
      <c r="E39" s="242">
        <f>targets!AZ38</f>
        <v>0</v>
      </c>
      <c r="F39" s="242">
        <f>targets!BA38</f>
        <v>0</v>
      </c>
      <c r="G39" s="40">
        <f>SUM(targets!BB38:BG38)</f>
        <v>6127.1307303877547</v>
      </c>
      <c r="H39" s="242">
        <f>SUM(targets!BH38:BM38)</f>
        <v>0</v>
      </c>
      <c r="I39" s="243">
        <f t="shared" si="251"/>
        <v>6127.1307303877547</v>
      </c>
      <c r="J39" s="242">
        <f>targets!BN38</f>
        <v>0</v>
      </c>
      <c r="K39" s="242">
        <f>targets!BO38</f>
        <v>0</v>
      </c>
      <c r="L39" s="242">
        <f>targets!BP38</f>
        <v>0</v>
      </c>
      <c r="M39" s="178">
        <f t="shared" si="252"/>
        <v>0</v>
      </c>
      <c r="N39" s="17">
        <f t="shared" si="216"/>
        <v>6127.1307303877547</v>
      </c>
      <c r="O39" s="17"/>
      <c r="P39" s="17"/>
      <c r="Q39" s="64" t="s">
        <v>45</v>
      </c>
      <c r="R39" s="38">
        <f t="shared" si="217"/>
        <v>0</v>
      </c>
      <c r="S39" s="242">
        <f t="shared" si="185"/>
        <v>0</v>
      </c>
      <c r="T39" s="242">
        <f t="shared" si="186"/>
        <v>0</v>
      </c>
      <c r="U39" s="242">
        <f t="shared" si="187"/>
        <v>0</v>
      </c>
      <c r="V39" s="242">
        <f t="shared" si="188"/>
        <v>0</v>
      </c>
      <c r="W39" s="40">
        <f t="shared" si="189"/>
        <v>0</v>
      </c>
      <c r="X39" s="242">
        <f t="shared" si="190"/>
        <v>0</v>
      </c>
      <c r="Y39" s="243">
        <f t="shared" si="218"/>
        <v>0</v>
      </c>
      <c r="Z39" s="242"/>
      <c r="AA39" s="242"/>
      <c r="AB39" s="242"/>
      <c r="AC39" s="178">
        <f t="shared" si="253"/>
        <v>0</v>
      </c>
      <c r="AD39" s="17">
        <f t="shared" si="219"/>
        <v>0</v>
      </c>
      <c r="AF39" s="64" t="s">
        <v>45</v>
      </c>
      <c r="AG39" s="38">
        <f t="array" ref="AG39">SUM(IF((modeldata!$F:$F=calibration!$AF$28)*(modeldata!$G:$G=calibration!AG$30)*(modeldata!$H:$H=calibration!$AF39),modeldata!$E:$E,0))</f>
        <v>0</v>
      </c>
      <c r="AH39" s="242">
        <f t="array" ref="AH39">SUM(IF((modeldata!$F:$F=calibration!$AF$28)*(modeldata!$G:$G=calibration!AH$30)*(modeldata!$H:$H=calibration!$AF39),modeldata!$E:$E,0))</f>
        <v>0</v>
      </c>
      <c r="AI39" s="242">
        <f t="array" ref="AI39">SUM(IF((modeldata!$F:$F=calibration!$AF$28)*(modeldata!$G:$G=calibration!AI$30)*(modeldata!$H:$H=calibration!$AF39),modeldata!$E:$E,0))</f>
        <v>0</v>
      </c>
      <c r="AJ39" s="242">
        <f t="array" ref="AJ39">SUM(IF((modeldata!$F:$F=calibration!$AF$28)*(modeldata!$G:$G=calibration!AJ$30)*(modeldata!$H:$H=calibration!$AF39),modeldata!$E:$E,0))</f>
        <v>0</v>
      </c>
      <c r="AK39" s="242">
        <f t="array" ref="AK39">SUM(IF((modeldata!$F:$F=calibration!$AF$28)*(modeldata!$G:$G=calibration!AK$30)*(modeldata!$H:$H=calibration!$AF39),modeldata!$E:$E,0))</f>
        <v>0</v>
      </c>
      <c r="AL39" s="40">
        <f t="array" ref="AL39">SUM(IF((modeldata!$F:$F=calibration!$AF$28)*(modeldata!$G:$G=calibration!AL$30)*(modeldata!$H:$H=calibration!$AF39),modeldata!$E:$E,0))</f>
        <v>0</v>
      </c>
      <c r="AM39" s="242">
        <f t="array" ref="AM39">SUM(IF((modeldata!$F:$F=calibration!$AF$28)*(modeldata!$G:$G=calibration!AM$30)*(modeldata!$H:$H=calibration!$AF39),modeldata!$E:$E,0))</f>
        <v>0</v>
      </c>
      <c r="AN39" s="243">
        <f t="shared" si="261"/>
        <v>0</v>
      </c>
      <c r="AO39" s="242">
        <f t="array" ref="AO39">SUM(IF((modeldata!$F:$F=calibration!$AF$28)*(modeldata!$G:$G=calibration!AO$30)*(modeldata!$H:$H=calibration!$AF39),modeldata!$E:$E,0))</f>
        <v>0</v>
      </c>
      <c r="AP39" s="242">
        <f t="array" ref="AP39">SUM(IF((modeldata!$F:$F=calibration!$AF$28)*(modeldata!$G:$G=calibration!AP$30)*(modeldata!$H:$H=calibration!$AF39),modeldata!$E:$E,0))</f>
        <v>0</v>
      </c>
      <c r="AQ39" s="242">
        <f t="array" ref="AQ39">SUM(IF((modeldata!$F:$F=calibration!$AF$28)*(modeldata!$G:$G=calibration!AQ$30)*(modeldata!$H:$H=calibration!$AF39),modeldata!$E:$E,0))</f>
        <v>0</v>
      </c>
      <c r="AR39" s="178">
        <f t="shared" si="254"/>
        <v>0</v>
      </c>
      <c r="AS39" s="17">
        <f t="shared" si="221"/>
        <v>0</v>
      </c>
      <c r="AU39" s="64" t="s">
        <v>45</v>
      </c>
      <c r="AV39" s="38">
        <f t="shared" ref="AV39:BG39" si="269">IF(R51&gt;0,R39/R51,0)</f>
        <v>0</v>
      </c>
      <c r="AW39" s="242">
        <f t="shared" si="269"/>
        <v>0</v>
      </c>
      <c r="AX39" s="242">
        <f t="shared" si="269"/>
        <v>0</v>
      </c>
      <c r="AY39" s="242">
        <f t="shared" si="269"/>
        <v>0</v>
      </c>
      <c r="AZ39" s="242">
        <f t="shared" si="269"/>
        <v>0</v>
      </c>
      <c r="BA39" s="40">
        <f t="shared" si="269"/>
        <v>0</v>
      </c>
      <c r="BB39" s="242">
        <f t="shared" si="269"/>
        <v>0</v>
      </c>
      <c r="BC39" s="243">
        <f t="shared" si="269"/>
        <v>0</v>
      </c>
      <c r="BD39" s="242">
        <f t="shared" si="269"/>
        <v>0</v>
      </c>
      <c r="BE39" s="242">
        <f t="shared" si="269"/>
        <v>0</v>
      </c>
      <c r="BF39" s="242">
        <f t="shared" si="269"/>
        <v>0</v>
      </c>
      <c r="BG39" s="178">
        <f t="shared" si="269"/>
        <v>0</v>
      </c>
      <c r="BH39" s="24" t="e">
        <f>AD39/AD51</f>
        <v>#DIV/0!</v>
      </c>
      <c r="BJ39" s="64" t="s">
        <v>45</v>
      </c>
      <c r="BK39" s="38">
        <f t="shared" ref="BK39:BV39" si="270">IF(AG51&gt;0,AG39/AG51,0)</f>
        <v>0</v>
      </c>
      <c r="BL39" s="242">
        <f t="shared" si="270"/>
        <v>0</v>
      </c>
      <c r="BM39" s="242">
        <f t="shared" si="270"/>
        <v>0</v>
      </c>
      <c r="BN39" s="242">
        <f t="shared" si="270"/>
        <v>0</v>
      </c>
      <c r="BO39" s="242">
        <f t="shared" si="270"/>
        <v>0</v>
      </c>
      <c r="BP39" s="40">
        <f t="shared" si="270"/>
        <v>0</v>
      </c>
      <c r="BQ39" s="242">
        <f t="shared" si="270"/>
        <v>0</v>
      </c>
      <c r="BR39" s="243">
        <f t="shared" si="270"/>
        <v>0</v>
      </c>
      <c r="BS39" s="242">
        <f t="shared" si="270"/>
        <v>0</v>
      </c>
      <c r="BT39" s="242">
        <f t="shared" si="270"/>
        <v>0</v>
      </c>
      <c r="BU39" s="242">
        <f t="shared" si="270"/>
        <v>0</v>
      </c>
      <c r="BV39" s="178">
        <f t="shared" si="270"/>
        <v>0</v>
      </c>
      <c r="BW39" s="24" t="e">
        <f>AS39/AS51</f>
        <v>#DIV/0!</v>
      </c>
      <c r="BX39" s="24"/>
      <c r="BY39" s="64" t="s">
        <v>45</v>
      </c>
      <c r="BZ39" s="54">
        <f t="shared" si="224"/>
        <v>0</v>
      </c>
      <c r="CA39" s="55">
        <f t="shared" si="193"/>
        <v>0</v>
      </c>
      <c r="CB39" s="55">
        <f t="shared" si="194"/>
        <v>0</v>
      </c>
      <c r="CC39" s="55">
        <f t="shared" si="195"/>
        <v>0</v>
      </c>
      <c r="CD39" s="55">
        <f t="shared" si="196"/>
        <v>0</v>
      </c>
      <c r="CE39" s="60">
        <f t="shared" si="197"/>
        <v>0</v>
      </c>
      <c r="CF39" s="55">
        <f t="shared" si="198"/>
        <v>0</v>
      </c>
      <c r="CG39" s="246">
        <f t="shared" si="199"/>
        <v>0</v>
      </c>
      <c r="CH39" s="55">
        <f t="shared" si="200"/>
        <v>0</v>
      </c>
      <c r="CI39" s="55">
        <f t="shared" si="201"/>
        <v>0</v>
      </c>
      <c r="CJ39" s="55">
        <f t="shared" si="202"/>
        <v>0</v>
      </c>
      <c r="CK39" s="249">
        <f t="shared" si="202"/>
        <v>0</v>
      </c>
      <c r="CL39" s="55">
        <f t="shared" si="203"/>
        <v>0</v>
      </c>
      <c r="CN39" s="64" t="s">
        <v>45</v>
      </c>
      <c r="CO39" s="54">
        <f t="shared" si="225"/>
        <v>0</v>
      </c>
      <c r="CP39" s="55">
        <f t="shared" si="204"/>
        <v>0</v>
      </c>
      <c r="CQ39" s="55">
        <f t="shared" si="205"/>
        <v>0</v>
      </c>
      <c r="CR39" s="55">
        <f t="shared" si="206"/>
        <v>0</v>
      </c>
      <c r="CS39" s="55">
        <f t="shared" si="207"/>
        <v>0</v>
      </c>
      <c r="CT39" s="60">
        <f t="shared" si="208"/>
        <v>0</v>
      </c>
      <c r="CU39" s="55">
        <f t="shared" si="209"/>
        <v>0</v>
      </c>
      <c r="CV39" s="246">
        <f t="shared" si="210"/>
        <v>0</v>
      </c>
      <c r="CW39" s="55">
        <f t="shared" si="211"/>
        <v>0</v>
      </c>
      <c r="CX39" s="55">
        <f t="shared" si="212"/>
        <v>0</v>
      </c>
      <c r="CY39" s="55">
        <f t="shared" si="213"/>
        <v>0</v>
      </c>
      <c r="CZ39" s="249">
        <f t="shared" si="213"/>
        <v>0</v>
      </c>
      <c r="DA39" s="62" t="e">
        <f t="shared" si="214"/>
        <v>#DIV/0!</v>
      </c>
      <c r="DC39" s="64" t="s">
        <v>45</v>
      </c>
      <c r="DD39" s="198">
        <f t="shared" si="226"/>
        <v>0</v>
      </c>
      <c r="DE39" s="199">
        <f t="shared" si="227"/>
        <v>0</v>
      </c>
      <c r="DF39" s="198">
        <f t="shared" si="228"/>
        <v>0</v>
      </c>
      <c r="DG39" s="199">
        <f t="shared" si="229"/>
        <v>0</v>
      </c>
      <c r="DH39" s="198">
        <f t="shared" si="230"/>
        <v>0</v>
      </c>
      <c r="DI39" s="199">
        <f t="shared" si="231"/>
        <v>0</v>
      </c>
      <c r="DJ39" s="198">
        <f t="shared" si="232"/>
        <v>0</v>
      </c>
      <c r="DK39" s="199">
        <f t="shared" si="233"/>
        <v>0</v>
      </c>
      <c r="DL39" s="198">
        <f t="shared" si="234"/>
        <v>0</v>
      </c>
      <c r="DM39" s="199">
        <f t="shared" si="235"/>
        <v>0</v>
      </c>
      <c r="DN39" s="198">
        <f t="shared" si="236"/>
        <v>0</v>
      </c>
      <c r="DO39" s="199">
        <f t="shared" si="237"/>
        <v>0</v>
      </c>
      <c r="DP39" s="198">
        <f t="shared" si="238"/>
        <v>0</v>
      </c>
      <c r="DQ39" s="199">
        <f t="shared" si="239"/>
        <v>0</v>
      </c>
      <c r="DR39" s="198">
        <f t="shared" si="240"/>
        <v>0</v>
      </c>
      <c r="DS39" s="199">
        <f t="shared" si="241"/>
        <v>0</v>
      </c>
      <c r="DT39" s="198">
        <f t="shared" si="242"/>
        <v>0</v>
      </c>
      <c r="DU39" s="199">
        <f t="shared" si="243"/>
        <v>0</v>
      </c>
      <c r="DV39" s="198">
        <f t="shared" si="244"/>
        <v>0</v>
      </c>
      <c r="DW39" s="199">
        <f t="shared" si="245"/>
        <v>0</v>
      </c>
      <c r="DX39" s="198">
        <f t="shared" si="246"/>
        <v>0</v>
      </c>
      <c r="DY39" s="199">
        <f t="shared" si="247"/>
        <v>0</v>
      </c>
      <c r="DZ39" s="190">
        <f t="shared" si="248"/>
        <v>0</v>
      </c>
      <c r="EA39" s="199">
        <f t="shared" si="215"/>
        <v>0</v>
      </c>
      <c r="EB39" s="190" t="e">
        <f t="shared" si="249"/>
        <v>#DIV/0!</v>
      </c>
      <c r="EC39" s="190" t="e">
        <f t="shared" si="250"/>
        <v>#DIV/0!</v>
      </c>
    </row>
    <row r="40" spans="1:133" x14ac:dyDescent="0.2">
      <c r="A40" s="64" t="s">
        <v>46</v>
      </c>
      <c r="B40" s="38">
        <f>targets!AW39</f>
        <v>0</v>
      </c>
      <c r="C40" s="242">
        <f>targets!AX39</f>
        <v>0</v>
      </c>
      <c r="D40" s="242">
        <f>targets!AY39</f>
        <v>0</v>
      </c>
      <c r="E40" s="242">
        <f>targets!AZ39</f>
        <v>0</v>
      </c>
      <c r="F40" s="242">
        <f>targets!BA39</f>
        <v>0</v>
      </c>
      <c r="G40" s="40">
        <f>SUM(targets!BB39:BG39)</f>
        <v>1176.2668706672941</v>
      </c>
      <c r="H40" s="242">
        <f>SUM(targets!BH39:BM39)</f>
        <v>0</v>
      </c>
      <c r="I40" s="243">
        <f t="shared" si="251"/>
        <v>1176.2668706672941</v>
      </c>
      <c r="J40" s="242">
        <f>targets!BN39</f>
        <v>0</v>
      </c>
      <c r="K40" s="242">
        <f>targets!BO39</f>
        <v>0</v>
      </c>
      <c r="L40" s="242">
        <f>targets!BP39</f>
        <v>0</v>
      </c>
      <c r="M40" s="178">
        <f t="shared" si="252"/>
        <v>0</v>
      </c>
      <c r="N40" s="17">
        <f t="shared" si="216"/>
        <v>1176.2668706672941</v>
      </c>
      <c r="O40" s="17"/>
      <c r="P40" s="17"/>
      <c r="Q40" s="64" t="s">
        <v>46</v>
      </c>
      <c r="R40" s="38">
        <f t="shared" si="217"/>
        <v>0</v>
      </c>
      <c r="S40" s="242">
        <f t="shared" si="185"/>
        <v>0</v>
      </c>
      <c r="T40" s="242">
        <f t="shared" si="186"/>
        <v>0</v>
      </c>
      <c r="U40" s="242">
        <f t="shared" si="187"/>
        <v>0</v>
      </c>
      <c r="V40" s="242">
        <f t="shared" si="188"/>
        <v>0</v>
      </c>
      <c r="W40" s="40">
        <f t="shared" si="189"/>
        <v>0</v>
      </c>
      <c r="X40" s="242">
        <f t="shared" si="190"/>
        <v>0</v>
      </c>
      <c r="Y40" s="243">
        <f t="shared" si="218"/>
        <v>0</v>
      </c>
      <c r="Z40" s="242"/>
      <c r="AA40" s="242"/>
      <c r="AB40" s="242"/>
      <c r="AC40" s="178">
        <f t="shared" si="253"/>
        <v>0</v>
      </c>
      <c r="AD40" s="17">
        <f t="shared" si="219"/>
        <v>0</v>
      </c>
      <c r="AF40" s="64" t="s">
        <v>46</v>
      </c>
      <c r="AG40" s="38">
        <f t="array" ref="AG40">SUM(IF((modeldata!$F:$F=calibration!$AF$28)*(modeldata!$G:$G=calibration!AG$30)*(modeldata!$H:$H=calibration!$AF40),modeldata!$E:$E,0))</f>
        <v>0</v>
      </c>
      <c r="AH40" s="242">
        <f t="array" ref="AH40">SUM(IF((modeldata!$F:$F=calibration!$AF$28)*(modeldata!$G:$G=calibration!AH$30)*(modeldata!$H:$H=calibration!$AF40),modeldata!$E:$E,0))</f>
        <v>0</v>
      </c>
      <c r="AI40" s="242">
        <f t="array" ref="AI40">SUM(IF((modeldata!$F:$F=calibration!$AF$28)*(modeldata!$G:$G=calibration!AI$30)*(modeldata!$H:$H=calibration!$AF40),modeldata!$E:$E,0))</f>
        <v>0</v>
      </c>
      <c r="AJ40" s="242">
        <f t="array" ref="AJ40">SUM(IF((modeldata!$F:$F=calibration!$AF$28)*(modeldata!$G:$G=calibration!AJ$30)*(modeldata!$H:$H=calibration!$AF40),modeldata!$E:$E,0))</f>
        <v>0</v>
      </c>
      <c r="AK40" s="242">
        <f t="array" ref="AK40">SUM(IF((modeldata!$F:$F=calibration!$AF$28)*(modeldata!$G:$G=calibration!AK$30)*(modeldata!$H:$H=calibration!$AF40),modeldata!$E:$E,0))</f>
        <v>0</v>
      </c>
      <c r="AL40" s="40">
        <f t="array" ref="AL40">SUM(IF((modeldata!$F:$F=calibration!$AF$28)*(modeldata!$G:$G=calibration!AL$30)*(modeldata!$H:$H=calibration!$AF40),modeldata!$E:$E,0))</f>
        <v>0</v>
      </c>
      <c r="AM40" s="242">
        <f t="array" ref="AM40">SUM(IF((modeldata!$F:$F=calibration!$AF$28)*(modeldata!$G:$G=calibration!AM$30)*(modeldata!$H:$H=calibration!$AF40),modeldata!$E:$E,0))</f>
        <v>0</v>
      </c>
      <c r="AN40" s="243">
        <f t="shared" si="261"/>
        <v>0</v>
      </c>
      <c r="AO40" s="242">
        <f t="array" ref="AO40">SUM(IF((modeldata!$F:$F=calibration!$AF$28)*(modeldata!$G:$G=calibration!AO$30)*(modeldata!$H:$H=calibration!$AF40),modeldata!$E:$E,0))</f>
        <v>0</v>
      </c>
      <c r="AP40" s="242">
        <f t="array" ref="AP40">SUM(IF((modeldata!$F:$F=calibration!$AF$28)*(modeldata!$G:$G=calibration!AP$30)*(modeldata!$H:$H=calibration!$AF40),modeldata!$E:$E,0))</f>
        <v>0</v>
      </c>
      <c r="AQ40" s="242">
        <f t="array" ref="AQ40">SUM(IF((modeldata!$F:$F=calibration!$AF$28)*(modeldata!$G:$G=calibration!AQ$30)*(modeldata!$H:$H=calibration!$AF40),modeldata!$E:$E,0))</f>
        <v>0</v>
      </c>
      <c r="AR40" s="178">
        <f t="shared" si="254"/>
        <v>0</v>
      </c>
      <c r="AS40" s="17">
        <f t="shared" si="221"/>
        <v>0</v>
      </c>
      <c r="AU40" s="64" t="s">
        <v>46</v>
      </c>
      <c r="AV40" s="38">
        <f t="shared" ref="AV40:BG40" si="271">IF(R51&gt;0,R40/R51,0)</f>
        <v>0</v>
      </c>
      <c r="AW40" s="242">
        <f t="shared" si="271"/>
        <v>0</v>
      </c>
      <c r="AX40" s="242">
        <f t="shared" si="271"/>
        <v>0</v>
      </c>
      <c r="AY40" s="242">
        <f t="shared" si="271"/>
        <v>0</v>
      </c>
      <c r="AZ40" s="242">
        <f t="shared" si="271"/>
        <v>0</v>
      </c>
      <c r="BA40" s="40">
        <f t="shared" si="271"/>
        <v>0</v>
      </c>
      <c r="BB40" s="242">
        <f t="shared" si="271"/>
        <v>0</v>
      </c>
      <c r="BC40" s="243">
        <f t="shared" si="271"/>
        <v>0</v>
      </c>
      <c r="BD40" s="242">
        <f t="shared" si="271"/>
        <v>0</v>
      </c>
      <c r="BE40" s="242">
        <f t="shared" si="271"/>
        <v>0</v>
      </c>
      <c r="BF40" s="242">
        <f t="shared" si="271"/>
        <v>0</v>
      </c>
      <c r="BG40" s="178">
        <f t="shared" si="271"/>
        <v>0</v>
      </c>
      <c r="BH40" s="24" t="e">
        <f>AD40/AD51</f>
        <v>#DIV/0!</v>
      </c>
      <c r="BJ40" s="64" t="s">
        <v>46</v>
      </c>
      <c r="BK40" s="38">
        <f t="shared" ref="BK40:BV40" si="272">IF(AG51&gt;0,AG40/AG51,0)</f>
        <v>0</v>
      </c>
      <c r="BL40" s="242">
        <f t="shared" si="272"/>
        <v>0</v>
      </c>
      <c r="BM40" s="242">
        <f t="shared" si="272"/>
        <v>0</v>
      </c>
      <c r="BN40" s="242">
        <f t="shared" si="272"/>
        <v>0</v>
      </c>
      <c r="BO40" s="242">
        <f t="shared" si="272"/>
        <v>0</v>
      </c>
      <c r="BP40" s="40">
        <f t="shared" si="272"/>
        <v>0</v>
      </c>
      <c r="BQ40" s="242">
        <f t="shared" si="272"/>
        <v>0</v>
      </c>
      <c r="BR40" s="243">
        <f t="shared" si="272"/>
        <v>0</v>
      </c>
      <c r="BS40" s="242">
        <f t="shared" si="272"/>
        <v>0</v>
      </c>
      <c r="BT40" s="242">
        <f t="shared" si="272"/>
        <v>0</v>
      </c>
      <c r="BU40" s="242">
        <f t="shared" si="272"/>
        <v>0</v>
      </c>
      <c r="BV40" s="178">
        <f t="shared" si="272"/>
        <v>0</v>
      </c>
      <c r="BW40" s="24" t="e">
        <f>AS40/AS51</f>
        <v>#DIV/0!</v>
      </c>
      <c r="BX40" s="24"/>
      <c r="BY40" s="64" t="s">
        <v>46</v>
      </c>
      <c r="BZ40" s="54">
        <f t="shared" si="224"/>
        <v>0</v>
      </c>
      <c r="CA40" s="55">
        <f t="shared" si="193"/>
        <v>0</v>
      </c>
      <c r="CB40" s="55">
        <f t="shared" si="194"/>
        <v>0</v>
      </c>
      <c r="CC40" s="55">
        <f t="shared" si="195"/>
        <v>0</v>
      </c>
      <c r="CD40" s="55">
        <f t="shared" si="196"/>
        <v>0</v>
      </c>
      <c r="CE40" s="60">
        <f t="shared" si="197"/>
        <v>0</v>
      </c>
      <c r="CF40" s="55">
        <f t="shared" si="198"/>
        <v>0</v>
      </c>
      <c r="CG40" s="246">
        <f t="shared" si="199"/>
        <v>0</v>
      </c>
      <c r="CH40" s="55">
        <f t="shared" si="200"/>
        <v>0</v>
      </c>
      <c r="CI40" s="55">
        <f t="shared" si="201"/>
        <v>0</v>
      </c>
      <c r="CJ40" s="55">
        <f t="shared" si="202"/>
        <v>0</v>
      </c>
      <c r="CK40" s="249">
        <f t="shared" si="202"/>
        <v>0</v>
      </c>
      <c r="CL40" s="55">
        <f t="shared" si="203"/>
        <v>0</v>
      </c>
      <c r="CN40" s="64" t="s">
        <v>46</v>
      </c>
      <c r="CO40" s="54">
        <f t="shared" si="225"/>
        <v>0</v>
      </c>
      <c r="CP40" s="55">
        <f t="shared" si="204"/>
        <v>0</v>
      </c>
      <c r="CQ40" s="55">
        <f t="shared" si="205"/>
        <v>0</v>
      </c>
      <c r="CR40" s="55">
        <f t="shared" si="206"/>
        <v>0</v>
      </c>
      <c r="CS40" s="55">
        <f t="shared" si="207"/>
        <v>0</v>
      </c>
      <c r="CT40" s="60">
        <f t="shared" si="208"/>
        <v>0</v>
      </c>
      <c r="CU40" s="55">
        <f t="shared" si="209"/>
        <v>0</v>
      </c>
      <c r="CV40" s="246">
        <f t="shared" si="210"/>
        <v>0</v>
      </c>
      <c r="CW40" s="55">
        <f t="shared" si="211"/>
        <v>0</v>
      </c>
      <c r="CX40" s="55">
        <f t="shared" si="212"/>
        <v>0</v>
      </c>
      <c r="CY40" s="55">
        <f t="shared" si="213"/>
        <v>0</v>
      </c>
      <c r="CZ40" s="249">
        <f t="shared" si="213"/>
        <v>0</v>
      </c>
      <c r="DA40" s="62" t="e">
        <f t="shared" si="214"/>
        <v>#DIV/0!</v>
      </c>
      <c r="DC40" s="64" t="s">
        <v>46</v>
      </c>
      <c r="DD40" s="198">
        <f t="shared" si="226"/>
        <v>0</v>
      </c>
      <c r="DE40" s="199">
        <f t="shared" si="227"/>
        <v>0</v>
      </c>
      <c r="DF40" s="198">
        <f t="shared" si="228"/>
        <v>0</v>
      </c>
      <c r="DG40" s="199">
        <f t="shared" si="229"/>
        <v>0</v>
      </c>
      <c r="DH40" s="198">
        <f t="shared" si="230"/>
        <v>0</v>
      </c>
      <c r="DI40" s="199">
        <f t="shared" si="231"/>
        <v>0</v>
      </c>
      <c r="DJ40" s="198">
        <f t="shared" si="232"/>
        <v>0</v>
      </c>
      <c r="DK40" s="199">
        <f t="shared" si="233"/>
        <v>0</v>
      </c>
      <c r="DL40" s="198">
        <f t="shared" si="234"/>
        <v>0</v>
      </c>
      <c r="DM40" s="199">
        <f t="shared" si="235"/>
        <v>0</v>
      </c>
      <c r="DN40" s="198">
        <f t="shared" si="236"/>
        <v>0</v>
      </c>
      <c r="DO40" s="199">
        <f t="shared" si="237"/>
        <v>0</v>
      </c>
      <c r="DP40" s="198">
        <f t="shared" si="238"/>
        <v>0</v>
      </c>
      <c r="DQ40" s="199">
        <f t="shared" si="239"/>
        <v>0</v>
      </c>
      <c r="DR40" s="198">
        <f t="shared" si="240"/>
        <v>0</v>
      </c>
      <c r="DS40" s="199">
        <f t="shared" si="241"/>
        <v>0</v>
      </c>
      <c r="DT40" s="198">
        <f t="shared" si="242"/>
        <v>0</v>
      </c>
      <c r="DU40" s="199">
        <f t="shared" si="243"/>
        <v>0</v>
      </c>
      <c r="DV40" s="198">
        <f t="shared" si="244"/>
        <v>0</v>
      </c>
      <c r="DW40" s="199">
        <f t="shared" si="245"/>
        <v>0</v>
      </c>
      <c r="DX40" s="198">
        <f t="shared" si="246"/>
        <v>0</v>
      </c>
      <c r="DY40" s="199">
        <f t="shared" si="247"/>
        <v>0</v>
      </c>
      <c r="DZ40" s="190">
        <f t="shared" si="248"/>
        <v>0</v>
      </c>
      <c r="EA40" s="199">
        <f t="shared" si="215"/>
        <v>0</v>
      </c>
      <c r="EB40" s="190" t="e">
        <f t="shared" si="249"/>
        <v>#DIV/0!</v>
      </c>
      <c r="EC40" s="190" t="e">
        <f t="shared" si="250"/>
        <v>#DIV/0!</v>
      </c>
    </row>
    <row r="41" spans="1:133" x14ac:dyDescent="0.2">
      <c r="A41" s="64" t="s">
        <v>47</v>
      </c>
      <c r="B41" s="38">
        <f>targets!AW40</f>
        <v>0</v>
      </c>
      <c r="C41" s="242">
        <f>targets!AX40</f>
        <v>0</v>
      </c>
      <c r="D41" s="242">
        <f>targets!AY40</f>
        <v>0</v>
      </c>
      <c r="E41" s="242">
        <f>targets!AZ40</f>
        <v>0</v>
      </c>
      <c r="F41" s="242">
        <f>targets!BA40</f>
        <v>0</v>
      </c>
      <c r="G41" s="41">
        <f>SUM(targets!BB40:BG40)</f>
        <v>0</v>
      </c>
      <c r="H41" s="242">
        <f>SUM(targets!BH40:BM40)</f>
        <v>0</v>
      </c>
      <c r="I41" s="243">
        <f t="shared" si="251"/>
        <v>0</v>
      </c>
      <c r="J41" s="242">
        <f>targets!BN40</f>
        <v>0</v>
      </c>
      <c r="K41" s="242">
        <f>targets!BO40</f>
        <v>0</v>
      </c>
      <c r="L41" s="242">
        <f>targets!BP40</f>
        <v>0</v>
      </c>
      <c r="M41" s="178">
        <f t="shared" si="252"/>
        <v>0</v>
      </c>
      <c r="N41" s="17">
        <f t="shared" si="216"/>
        <v>0</v>
      </c>
      <c r="O41" s="17"/>
      <c r="P41" s="17"/>
      <c r="Q41" s="64" t="s">
        <v>47</v>
      </c>
      <c r="R41" s="38">
        <f t="shared" si="217"/>
        <v>0</v>
      </c>
      <c r="S41" s="242">
        <f t="shared" si="185"/>
        <v>0</v>
      </c>
      <c r="T41" s="242">
        <f t="shared" si="186"/>
        <v>0</v>
      </c>
      <c r="U41" s="242">
        <f t="shared" si="187"/>
        <v>0</v>
      </c>
      <c r="V41" s="242">
        <f t="shared" si="188"/>
        <v>0</v>
      </c>
      <c r="W41" s="41">
        <f t="shared" si="189"/>
        <v>0</v>
      </c>
      <c r="X41" s="242">
        <f t="shared" si="190"/>
        <v>0</v>
      </c>
      <c r="Y41" s="243">
        <f t="shared" si="218"/>
        <v>0</v>
      </c>
      <c r="Z41" s="242"/>
      <c r="AA41" s="242"/>
      <c r="AB41" s="242"/>
      <c r="AC41" s="178">
        <f t="shared" si="253"/>
        <v>0</v>
      </c>
      <c r="AD41" s="17">
        <f t="shared" si="219"/>
        <v>0</v>
      </c>
      <c r="AF41" s="64" t="s">
        <v>47</v>
      </c>
      <c r="AG41" s="38">
        <f t="array" ref="AG41">SUM(IF((modeldata!$F:$F=calibration!$AF$28)*(modeldata!$G:$G=calibration!AG$30)*(modeldata!$H:$H=calibration!$AF41),modeldata!$E:$E,0))</f>
        <v>0</v>
      </c>
      <c r="AH41" s="242">
        <f t="array" ref="AH41">SUM(IF((modeldata!$F:$F=calibration!$AF$28)*(modeldata!$G:$G=calibration!AH$30)*(modeldata!$H:$H=calibration!$AF41),modeldata!$E:$E,0))</f>
        <v>0</v>
      </c>
      <c r="AI41" s="242">
        <f t="array" ref="AI41">SUM(IF((modeldata!$F:$F=calibration!$AF$28)*(modeldata!$G:$G=calibration!AI$30)*(modeldata!$H:$H=calibration!$AF41),modeldata!$E:$E,0))</f>
        <v>0</v>
      </c>
      <c r="AJ41" s="242">
        <f t="array" ref="AJ41">SUM(IF((modeldata!$F:$F=calibration!$AF$28)*(modeldata!$G:$G=calibration!AJ$30)*(modeldata!$H:$H=calibration!$AF41),modeldata!$E:$E,0))</f>
        <v>0</v>
      </c>
      <c r="AK41" s="242">
        <f t="array" ref="AK41">SUM(IF((modeldata!$F:$F=calibration!$AF$28)*(modeldata!$G:$G=calibration!AK$30)*(modeldata!$H:$H=calibration!$AF41),modeldata!$E:$E,0))</f>
        <v>0</v>
      </c>
      <c r="AL41" s="41">
        <f t="array" ref="AL41">SUM(IF((modeldata!$F:$F=calibration!$AF$28)*(modeldata!$G:$G=calibration!AL$30)*(modeldata!$H:$H=calibration!$AF41),modeldata!$E:$E,0))</f>
        <v>0</v>
      </c>
      <c r="AM41" s="242">
        <f t="array" ref="AM41">SUM(IF((modeldata!$F:$F=calibration!$AF$28)*(modeldata!$G:$G=calibration!AM$30)*(modeldata!$H:$H=calibration!$AF41),modeldata!$E:$E,0))</f>
        <v>0</v>
      </c>
      <c r="AN41" s="243">
        <f t="shared" si="261"/>
        <v>0</v>
      </c>
      <c r="AO41" s="242">
        <f t="array" ref="AO41">SUM(IF((modeldata!$F:$F=calibration!$AF$28)*(modeldata!$G:$G=calibration!AO$30)*(modeldata!$H:$H=calibration!$AF41),modeldata!$E:$E,0))</f>
        <v>0</v>
      </c>
      <c r="AP41" s="242">
        <f t="array" ref="AP41">SUM(IF((modeldata!$F:$F=calibration!$AF$28)*(modeldata!$G:$G=calibration!AP$30)*(modeldata!$H:$H=calibration!$AF41),modeldata!$E:$E,0))</f>
        <v>0</v>
      </c>
      <c r="AQ41" s="242">
        <f t="array" ref="AQ41">SUM(IF((modeldata!$F:$F=calibration!$AF$28)*(modeldata!$G:$G=calibration!AQ$30)*(modeldata!$H:$H=calibration!$AF41),modeldata!$E:$E,0))</f>
        <v>0</v>
      </c>
      <c r="AR41" s="178">
        <f t="shared" si="254"/>
        <v>0</v>
      </c>
      <c r="AS41" s="17">
        <f t="shared" si="221"/>
        <v>0</v>
      </c>
      <c r="AU41" s="64" t="s">
        <v>47</v>
      </c>
      <c r="AV41" s="38">
        <f t="shared" ref="AV41:BG41" si="273">IF(R51&gt;0,R41/R51,0)</f>
        <v>0</v>
      </c>
      <c r="AW41" s="242">
        <f t="shared" si="273"/>
        <v>0</v>
      </c>
      <c r="AX41" s="242">
        <f t="shared" si="273"/>
        <v>0</v>
      </c>
      <c r="AY41" s="242">
        <f t="shared" si="273"/>
        <v>0</v>
      </c>
      <c r="AZ41" s="242">
        <f t="shared" si="273"/>
        <v>0</v>
      </c>
      <c r="BA41" s="41">
        <f t="shared" si="273"/>
        <v>0</v>
      </c>
      <c r="BB41" s="242">
        <f t="shared" si="273"/>
        <v>0</v>
      </c>
      <c r="BC41" s="243">
        <f t="shared" si="273"/>
        <v>0</v>
      </c>
      <c r="BD41" s="242">
        <f t="shared" si="273"/>
        <v>0</v>
      </c>
      <c r="BE41" s="242">
        <f t="shared" si="273"/>
        <v>0</v>
      </c>
      <c r="BF41" s="242">
        <f t="shared" si="273"/>
        <v>0</v>
      </c>
      <c r="BG41" s="178">
        <f t="shared" si="273"/>
        <v>0</v>
      </c>
      <c r="BH41" s="24" t="e">
        <f>AD41/AD51</f>
        <v>#DIV/0!</v>
      </c>
      <c r="BJ41" s="64" t="s">
        <v>47</v>
      </c>
      <c r="BK41" s="38">
        <f t="shared" ref="BK41:BV41" si="274">IF(AG51&gt;0,AG41/AG51,0)</f>
        <v>0</v>
      </c>
      <c r="BL41" s="242">
        <f t="shared" si="274"/>
        <v>0</v>
      </c>
      <c r="BM41" s="242">
        <f t="shared" si="274"/>
        <v>0</v>
      </c>
      <c r="BN41" s="242">
        <f t="shared" si="274"/>
        <v>0</v>
      </c>
      <c r="BO41" s="242">
        <f t="shared" si="274"/>
        <v>0</v>
      </c>
      <c r="BP41" s="41">
        <f t="shared" si="274"/>
        <v>0</v>
      </c>
      <c r="BQ41" s="242">
        <f t="shared" si="274"/>
        <v>0</v>
      </c>
      <c r="BR41" s="243">
        <f t="shared" si="274"/>
        <v>0</v>
      </c>
      <c r="BS41" s="242">
        <f t="shared" si="274"/>
        <v>0</v>
      </c>
      <c r="BT41" s="242">
        <f t="shared" si="274"/>
        <v>0</v>
      </c>
      <c r="BU41" s="242">
        <f t="shared" si="274"/>
        <v>0</v>
      </c>
      <c r="BV41" s="178">
        <f t="shared" si="274"/>
        <v>0</v>
      </c>
      <c r="BW41" s="24" t="e">
        <f>AS41/AS51</f>
        <v>#DIV/0!</v>
      </c>
      <c r="BX41" s="24"/>
      <c r="BY41" s="64" t="s">
        <v>47</v>
      </c>
      <c r="BZ41" s="54">
        <f t="shared" si="224"/>
        <v>0</v>
      </c>
      <c r="CA41" s="55">
        <f t="shared" si="193"/>
        <v>0</v>
      </c>
      <c r="CB41" s="55">
        <f t="shared" si="194"/>
        <v>0</v>
      </c>
      <c r="CC41" s="55">
        <f t="shared" si="195"/>
        <v>0</v>
      </c>
      <c r="CD41" s="55">
        <f t="shared" si="196"/>
        <v>0</v>
      </c>
      <c r="CE41" s="61">
        <f t="shared" si="197"/>
        <v>0</v>
      </c>
      <c r="CF41" s="55">
        <f t="shared" si="198"/>
        <v>0</v>
      </c>
      <c r="CG41" s="246">
        <f t="shared" si="199"/>
        <v>0</v>
      </c>
      <c r="CH41" s="55">
        <f t="shared" si="200"/>
        <v>0</v>
      </c>
      <c r="CI41" s="55">
        <f t="shared" si="201"/>
        <v>0</v>
      </c>
      <c r="CJ41" s="55">
        <f t="shared" si="202"/>
        <v>0</v>
      </c>
      <c r="CK41" s="249">
        <f t="shared" si="202"/>
        <v>0</v>
      </c>
      <c r="CL41" s="55">
        <f t="shared" si="203"/>
        <v>0</v>
      </c>
      <c r="CN41" s="64" t="s">
        <v>47</v>
      </c>
      <c r="CO41" s="54">
        <f t="shared" si="225"/>
        <v>0</v>
      </c>
      <c r="CP41" s="55">
        <f t="shared" si="204"/>
        <v>0</v>
      </c>
      <c r="CQ41" s="55">
        <f t="shared" si="205"/>
        <v>0</v>
      </c>
      <c r="CR41" s="55">
        <f t="shared" si="206"/>
        <v>0</v>
      </c>
      <c r="CS41" s="55">
        <f t="shared" si="207"/>
        <v>0</v>
      </c>
      <c r="CT41" s="61">
        <f t="shared" si="208"/>
        <v>0</v>
      </c>
      <c r="CU41" s="55">
        <f t="shared" si="209"/>
        <v>0</v>
      </c>
      <c r="CV41" s="246">
        <f t="shared" si="210"/>
        <v>0</v>
      </c>
      <c r="CW41" s="55">
        <f t="shared" si="211"/>
        <v>0</v>
      </c>
      <c r="CX41" s="55">
        <f t="shared" si="212"/>
        <v>0</v>
      </c>
      <c r="CY41" s="55">
        <f t="shared" si="213"/>
        <v>0</v>
      </c>
      <c r="CZ41" s="249">
        <f t="shared" si="213"/>
        <v>0</v>
      </c>
      <c r="DA41" s="62" t="e">
        <f t="shared" si="214"/>
        <v>#DIV/0!</v>
      </c>
      <c r="DC41" s="64" t="s">
        <v>47</v>
      </c>
      <c r="DD41" s="198">
        <f t="shared" si="226"/>
        <v>0</v>
      </c>
      <c r="DE41" s="199">
        <f t="shared" si="227"/>
        <v>0</v>
      </c>
      <c r="DF41" s="198">
        <f t="shared" si="228"/>
        <v>0</v>
      </c>
      <c r="DG41" s="199">
        <f t="shared" si="229"/>
        <v>0</v>
      </c>
      <c r="DH41" s="198">
        <f t="shared" si="230"/>
        <v>0</v>
      </c>
      <c r="DI41" s="199">
        <f t="shared" si="231"/>
        <v>0</v>
      </c>
      <c r="DJ41" s="198">
        <f t="shared" si="232"/>
        <v>0</v>
      </c>
      <c r="DK41" s="199">
        <f t="shared" si="233"/>
        <v>0</v>
      </c>
      <c r="DL41" s="198">
        <f t="shared" si="234"/>
        <v>0</v>
      </c>
      <c r="DM41" s="199">
        <f t="shared" si="235"/>
        <v>0</v>
      </c>
      <c r="DN41" s="200">
        <f t="shared" si="236"/>
        <v>0</v>
      </c>
      <c r="DO41" s="201">
        <f t="shared" si="237"/>
        <v>0</v>
      </c>
      <c r="DP41" s="198">
        <f t="shared" si="238"/>
        <v>0</v>
      </c>
      <c r="DQ41" s="199">
        <f t="shared" si="239"/>
        <v>0</v>
      </c>
      <c r="DR41" s="198">
        <f t="shared" si="240"/>
        <v>0</v>
      </c>
      <c r="DS41" s="199">
        <f t="shared" si="241"/>
        <v>0</v>
      </c>
      <c r="DT41" s="198">
        <f t="shared" si="242"/>
        <v>0</v>
      </c>
      <c r="DU41" s="199">
        <f t="shared" si="243"/>
        <v>0</v>
      </c>
      <c r="DV41" s="198">
        <f t="shared" si="244"/>
        <v>0</v>
      </c>
      <c r="DW41" s="199">
        <f t="shared" si="245"/>
        <v>0</v>
      </c>
      <c r="DX41" s="198">
        <f t="shared" si="246"/>
        <v>0</v>
      </c>
      <c r="DY41" s="199">
        <f t="shared" si="247"/>
        <v>0</v>
      </c>
      <c r="DZ41" s="190">
        <f t="shared" si="248"/>
        <v>0</v>
      </c>
      <c r="EA41" s="199">
        <f t="shared" si="215"/>
        <v>0</v>
      </c>
      <c r="EB41" s="190" t="e">
        <f t="shared" si="249"/>
        <v>#DIV/0!</v>
      </c>
      <c r="EC41" s="190" t="e">
        <f t="shared" si="250"/>
        <v>#DIV/0!</v>
      </c>
    </row>
    <row r="42" spans="1:133" x14ac:dyDescent="0.2">
      <c r="A42" s="66" t="s">
        <v>40</v>
      </c>
      <c r="B42" s="38">
        <f>targets!AW41</f>
        <v>0</v>
      </c>
      <c r="C42" s="242">
        <f>targets!AX41</f>
        <v>0</v>
      </c>
      <c r="D42" s="242">
        <f>targets!AY41</f>
        <v>0</v>
      </c>
      <c r="E42" s="242">
        <f>targets!AZ41</f>
        <v>0</v>
      </c>
      <c r="F42" s="242">
        <f>targets!BA41</f>
        <v>0</v>
      </c>
      <c r="G42" s="242">
        <f>SUM(targets!BB41:BG41)</f>
        <v>0</v>
      </c>
      <c r="H42" s="39">
        <f>SUM(targets!BH41:BM41)</f>
        <v>0</v>
      </c>
      <c r="I42" s="243">
        <f t="shared" si="251"/>
        <v>0</v>
      </c>
      <c r="J42" s="242">
        <f>targets!BN41</f>
        <v>0</v>
      </c>
      <c r="K42" s="242">
        <f>targets!BO41</f>
        <v>0</v>
      </c>
      <c r="L42" s="242">
        <f>targets!BP41</f>
        <v>0</v>
      </c>
      <c r="M42" s="178">
        <f t="shared" si="252"/>
        <v>0</v>
      </c>
      <c r="N42" s="17">
        <f t="shared" si="216"/>
        <v>0</v>
      </c>
      <c r="O42" s="17"/>
      <c r="P42" s="17"/>
      <c r="Q42" s="66" t="s">
        <v>40</v>
      </c>
      <c r="R42" s="38">
        <f t="shared" si="217"/>
        <v>0</v>
      </c>
      <c r="S42" s="242">
        <f t="shared" si="185"/>
        <v>0</v>
      </c>
      <c r="T42" s="242">
        <f t="shared" si="186"/>
        <v>0</v>
      </c>
      <c r="U42" s="242">
        <f t="shared" si="187"/>
        <v>0</v>
      </c>
      <c r="V42" s="242">
        <f t="shared" si="188"/>
        <v>0</v>
      </c>
      <c r="W42" s="242">
        <f t="shared" si="189"/>
        <v>0</v>
      </c>
      <c r="X42" s="39">
        <f t="shared" si="190"/>
        <v>0</v>
      </c>
      <c r="Y42" s="243">
        <f t="shared" si="218"/>
        <v>0</v>
      </c>
      <c r="Z42" s="242"/>
      <c r="AA42" s="242"/>
      <c r="AB42" s="242"/>
      <c r="AC42" s="178">
        <f t="shared" si="253"/>
        <v>0</v>
      </c>
      <c r="AD42" s="17">
        <f t="shared" si="219"/>
        <v>0</v>
      </c>
      <c r="AF42" s="66" t="s">
        <v>40</v>
      </c>
      <c r="AG42" s="38">
        <f t="array" ref="AG42">SUM(IF((modeldata!$F:$F=calibration!$AF$28)*(modeldata!$G:$G=calibration!AG$30)*(modeldata!$H:$H=calibration!$AF42),modeldata!$E:$E,0))</f>
        <v>0</v>
      </c>
      <c r="AH42" s="242">
        <f t="array" ref="AH42">SUM(IF((modeldata!$F:$F=calibration!$AF$28)*(modeldata!$G:$G=calibration!AH$30)*(modeldata!$H:$H=calibration!$AF42),modeldata!$E:$E,0))</f>
        <v>0</v>
      </c>
      <c r="AI42" s="242">
        <f t="array" ref="AI42">SUM(IF((modeldata!$F:$F=calibration!$AF$28)*(modeldata!$G:$G=calibration!AI$30)*(modeldata!$H:$H=calibration!$AF42),modeldata!$E:$E,0))</f>
        <v>0</v>
      </c>
      <c r="AJ42" s="242">
        <f t="array" ref="AJ42">SUM(IF((modeldata!$F:$F=calibration!$AF$28)*(modeldata!$G:$G=calibration!AJ$30)*(modeldata!$H:$H=calibration!$AF42),modeldata!$E:$E,0))</f>
        <v>0</v>
      </c>
      <c r="AK42" s="242">
        <f t="array" ref="AK42">SUM(IF((modeldata!$F:$F=calibration!$AF$28)*(modeldata!$G:$G=calibration!AK$30)*(modeldata!$H:$H=calibration!$AF42),modeldata!$E:$E,0))</f>
        <v>0</v>
      </c>
      <c r="AL42" s="242">
        <f t="array" ref="AL42">SUM(IF((modeldata!$F:$F=calibration!$AF$28)*(modeldata!$G:$G=calibration!AL$30)*(modeldata!$H:$H=calibration!$AF42),modeldata!$E:$E,0))</f>
        <v>0</v>
      </c>
      <c r="AM42" s="39">
        <f t="array" ref="AM42">SUM(IF((modeldata!$F:$F=calibration!$AF$28)*(modeldata!$G:$G=calibration!AM$30)*(modeldata!$H:$H=calibration!$AF42),modeldata!$E:$E,0))</f>
        <v>0</v>
      </c>
      <c r="AN42" s="243"/>
      <c r="AO42" s="242">
        <f t="array" ref="AO42">SUM(IF((modeldata!$F:$F=calibration!$AF$28)*(modeldata!$G:$G=calibration!AO$30)*(modeldata!$H:$H=calibration!$AF42),modeldata!$E:$E,0))</f>
        <v>0</v>
      </c>
      <c r="AP42" s="242">
        <f t="array" ref="AP42">SUM(IF((modeldata!$F:$F=calibration!$AF$28)*(modeldata!$G:$G=calibration!AP$30)*(modeldata!$H:$H=calibration!$AF42),modeldata!$E:$E,0))</f>
        <v>0</v>
      </c>
      <c r="AQ42" s="242">
        <f t="array" ref="AQ42">SUM(IF((modeldata!$F:$F=calibration!$AF$28)*(modeldata!$G:$G=calibration!AQ$30)*(modeldata!$H:$H=calibration!$AF42),modeldata!$E:$E,0))</f>
        <v>0</v>
      </c>
      <c r="AR42" s="178">
        <f t="shared" si="254"/>
        <v>0</v>
      </c>
      <c r="AS42" s="17">
        <f t="shared" si="221"/>
        <v>0</v>
      </c>
      <c r="AU42" s="66" t="s">
        <v>40</v>
      </c>
      <c r="AV42" s="38">
        <f t="shared" ref="AV42:BG42" si="275">IF(R51&gt;0,R42/R51,0)</f>
        <v>0</v>
      </c>
      <c r="AW42" s="242">
        <f t="shared" si="275"/>
        <v>0</v>
      </c>
      <c r="AX42" s="242">
        <f t="shared" si="275"/>
        <v>0</v>
      </c>
      <c r="AY42" s="242">
        <f t="shared" si="275"/>
        <v>0</v>
      </c>
      <c r="AZ42" s="242">
        <f t="shared" si="275"/>
        <v>0</v>
      </c>
      <c r="BA42" s="242">
        <f t="shared" si="275"/>
        <v>0</v>
      </c>
      <c r="BB42" s="39">
        <f t="shared" si="275"/>
        <v>0</v>
      </c>
      <c r="BC42" s="243">
        <f t="shared" si="275"/>
        <v>0</v>
      </c>
      <c r="BD42" s="242">
        <f t="shared" si="275"/>
        <v>0</v>
      </c>
      <c r="BE42" s="242">
        <f t="shared" si="275"/>
        <v>0</v>
      </c>
      <c r="BF42" s="242">
        <f t="shared" si="275"/>
        <v>0</v>
      </c>
      <c r="BG42" s="178">
        <f t="shared" si="275"/>
        <v>0</v>
      </c>
      <c r="BH42" s="24" t="e">
        <f>AD42/AD51</f>
        <v>#DIV/0!</v>
      </c>
      <c r="BJ42" s="66" t="s">
        <v>40</v>
      </c>
      <c r="BK42" s="38">
        <f t="shared" ref="BK42:BV42" si="276">IF(AG51&gt;0,AG42/AG51,0)</f>
        <v>0</v>
      </c>
      <c r="BL42" s="242">
        <f t="shared" si="276"/>
        <v>0</v>
      </c>
      <c r="BM42" s="242">
        <f t="shared" si="276"/>
        <v>0</v>
      </c>
      <c r="BN42" s="242">
        <f t="shared" si="276"/>
        <v>0</v>
      </c>
      <c r="BO42" s="242">
        <f t="shared" si="276"/>
        <v>0</v>
      </c>
      <c r="BP42" s="242">
        <f t="shared" si="276"/>
        <v>0</v>
      </c>
      <c r="BQ42" s="39">
        <f t="shared" si="276"/>
        <v>0</v>
      </c>
      <c r="BR42" s="243">
        <f t="shared" si="276"/>
        <v>0</v>
      </c>
      <c r="BS42" s="242">
        <f t="shared" si="276"/>
        <v>0</v>
      </c>
      <c r="BT42" s="242">
        <f t="shared" si="276"/>
        <v>0</v>
      </c>
      <c r="BU42" s="242">
        <f t="shared" si="276"/>
        <v>0</v>
      </c>
      <c r="BV42" s="178">
        <f t="shared" si="276"/>
        <v>0</v>
      </c>
      <c r="BW42" s="24" t="e">
        <f>AS42/AS51</f>
        <v>#DIV/0!</v>
      </c>
      <c r="BX42" s="24"/>
      <c r="BY42" s="66" t="s">
        <v>40</v>
      </c>
      <c r="BZ42" s="54">
        <f t="shared" si="224"/>
        <v>0</v>
      </c>
      <c r="CA42" s="55">
        <f t="shared" si="193"/>
        <v>0</v>
      </c>
      <c r="CB42" s="55">
        <f t="shared" si="194"/>
        <v>0</v>
      </c>
      <c r="CC42" s="55">
        <f t="shared" si="195"/>
        <v>0</v>
      </c>
      <c r="CD42" s="55">
        <f t="shared" si="196"/>
        <v>0</v>
      </c>
      <c r="CE42" s="55">
        <f t="shared" si="197"/>
        <v>0</v>
      </c>
      <c r="CF42" s="59">
        <f t="shared" si="198"/>
        <v>0</v>
      </c>
      <c r="CG42" s="246">
        <f t="shared" si="199"/>
        <v>0</v>
      </c>
      <c r="CH42" s="55">
        <f t="shared" si="200"/>
        <v>0</v>
      </c>
      <c r="CI42" s="55">
        <f t="shared" si="201"/>
        <v>0</v>
      </c>
      <c r="CJ42" s="55">
        <f t="shared" si="202"/>
        <v>0</v>
      </c>
      <c r="CK42" s="249">
        <f t="shared" si="202"/>
        <v>0</v>
      </c>
      <c r="CL42" s="55">
        <f t="shared" si="203"/>
        <v>0</v>
      </c>
      <c r="CN42" s="66" t="s">
        <v>40</v>
      </c>
      <c r="CO42" s="54">
        <f t="shared" si="225"/>
        <v>0</v>
      </c>
      <c r="CP42" s="55">
        <f t="shared" si="204"/>
        <v>0</v>
      </c>
      <c r="CQ42" s="55">
        <f t="shared" si="205"/>
        <v>0</v>
      </c>
      <c r="CR42" s="55">
        <f t="shared" si="206"/>
        <v>0</v>
      </c>
      <c r="CS42" s="55">
        <f t="shared" si="207"/>
        <v>0</v>
      </c>
      <c r="CT42" s="55">
        <f t="shared" si="208"/>
        <v>0</v>
      </c>
      <c r="CU42" s="59">
        <f t="shared" si="209"/>
        <v>0</v>
      </c>
      <c r="CV42" s="246">
        <f t="shared" si="210"/>
        <v>0</v>
      </c>
      <c r="CW42" s="55">
        <f t="shared" si="211"/>
        <v>0</v>
      </c>
      <c r="CX42" s="55">
        <f t="shared" si="212"/>
        <v>0</v>
      </c>
      <c r="CY42" s="55">
        <f t="shared" si="213"/>
        <v>0</v>
      </c>
      <c r="CZ42" s="249">
        <f t="shared" si="213"/>
        <v>0</v>
      </c>
      <c r="DA42" s="62" t="e">
        <f t="shared" si="214"/>
        <v>#DIV/0!</v>
      </c>
      <c r="DC42" s="66" t="s">
        <v>40</v>
      </c>
      <c r="DD42" s="198">
        <f t="shared" si="226"/>
        <v>0</v>
      </c>
      <c r="DE42" s="199">
        <f t="shared" si="227"/>
        <v>0</v>
      </c>
      <c r="DF42" s="198">
        <f t="shared" si="228"/>
        <v>0</v>
      </c>
      <c r="DG42" s="199">
        <f t="shared" si="229"/>
        <v>0</v>
      </c>
      <c r="DH42" s="198">
        <f t="shared" si="230"/>
        <v>0</v>
      </c>
      <c r="DI42" s="199">
        <f t="shared" si="231"/>
        <v>0</v>
      </c>
      <c r="DJ42" s="198">
        <f t="shared" si="232"/>
        <v>0</v>
      </c>
      <c r="DK42" s="199">
        <f t="shared" si="233"/>
        <v>0</v>
      </c>
      <c r="DL42" s="198">
        <f t="shared" si="234"/>
        <v>0</v>
      </c>
      <c r="DM42" s="199">
        <f t="shared" si="235"/>
        <v>0</v>
      </c>
      <c r="DN42" s="198">
        <f t="shared" si="236"/>
        <v>0</v>
      </c>
      <c r="DO42" s="199">
        <f t="shared" si="237"/>
        <v>0</v>
      </c>
      <c r="DP42" s="195">
        <f t="shared" si="238"/>
        <v>0</v>
      </c>
      <c r="DQ42" s="196">
        <f t="shared" si="239"/>
        <v>0</v>
      </c>
      <c r="DR42" s="198">
        <f t="shared" si="240"/>
        <v>0</v>
      </c>
      <c r="DS42" s="199">
        <f t="shared" si="241"/>
        <v>0</v>
      </c>
      <c r="DT42" s="198">
        <f t="shared" si="242"/>
        <v>0</v>
      </c>
      <c r="DU42" s="199">
        <f t="shared" si="243"/>
        <v>0</v>
      </c>
      <c r="DV42" s="198">
        <f t="shared" si="244"/>
        <v>0</v>
      </c>
      <c r="DW42" s="199">
        <f t="shared" si="245"/>
        <v>0</v>
      </c>
      <c r="DX42" s="198">
        <f t="shared" si="246"/>
        <v>0</v>
      </c>
      <c r="DY42" s="199">
        <f t="shared" si="247"/>
        <v>0</v>
      </c>
      <c r="DZ42" s="190">
        <f t="shared" si="248"/>
        <v>0</v>
      </c>
      <c r="EA42" s="199">
        <f t="shared" si="215"/>
        <v>0</v>
      </c>
      <c r="EB42" s="190" t="e">
        <f t="shared" si="249"/>
        <v>#DIV/0!</v>
      </c>
      <c r="EC42" s="190" t="e">
        <f t="shared" si="250"/>
        <v>#DIV/0!</v>
      </c>
    </row>
    <row r="43" spans="1:133" ht="25.5" x14ac:dyDescent="0.2">
      <c r="A43" s="66" t="s">
        <v>345</v>
      </c>
      <c r="B43" s="38">
        <f>targets!AW42</f>
        <v>0</v>
      </c>
      <c r="C43" s="242">
        <f>targets!AX42</f>
        <v>0</v>
      </c>
      <c r="D43" s="242">
        <f>targets!AY42</f>
        <v>0</v>
      </c>
      <c r="E43" s="242">
        <f>targets!AZ42</f>
        <v>0</v>
      </c>
      <c r="F43" s="242">
        <f>targets!BA42</f>
        <v>0</v>
      </c>
      <c r="G43" s="242">
        <f>SUM(targets!BB42:BG42)</f>
        <v>0</v>
      </c>
      <c r="H43" s="40">
        <f>SUM(targets!BH42:BM42)</f>
        <v>0</v>
      </c>
      <c r="I43" s="243">
        <f t="shared" si="251"/>
        <v>0</v>
      </c>
      <c r="J43" s="242">
        <f>targets!BN42</f>
        <v>0</v>
      </c>
      <c r="K43" s="242">
        <f>targets!BO42</f>
        <v>0</v>
      </c>
      <c r="L43" s="242">
        <f>targets!BP42</f>
        <v>0</v>
      </c>
      <c r="M43" s="178">
        <f t="shared" si="252"/>
        <v>0</v>
      </c>
      <c r="N43" s="17">
        <f t="shared" si="216"/>
        <v>0</v>
      </c>
      <c r="O43" s="17"/>
      <c r="P43" s="17"/>
      <c r="Q43" s="66" t="s">
        <v>345</v>
      </c>
      <c r="R43" s="38">
        <f t="shared" si="217"/>
        <v>0</v>
      </c>
      <c r="S43" s="242">
        <f t="shared" si="185"/>
        <v>0</v>
      </c>
      <c r="T43" s="242">
        <f t="shared" si="186"/>
        <v>0</v>
      </c>
      <c r="U43" s="242">
        <f t="shared" si="187"/>
        <v>0</v>
      </c>
      <c r="V43" s="242">
        <f t="shared" si="188"/>
        <v>0</v>
      </c>
      <c r="W43" s="242">
        <f t="shared" si="189"/>
        <v>0</v>
      </c>
      <c r="X43" s="40">
        <f t="shared" si="190"/>
        <v>0</v>
      </c>
      <c r="Y43" s="243">
        <f t="shared" si="218"/>
        <v>0</v>
      </c>
      <c r="Z43" s="242"/>
      <c r="AA43" s="242"/>
      <c r="AB43" s="242"/>
      <c r="AC43" s="178">
        <f t="shared" si="253"/>
        <v>0</v>
      </c>
      <c r="AD43" s="17">
        <f t="shared" si="219"/>
        <v>0</v>
      </c>
      <c r="AF43" s="66" t="s">
        <v>345</v>
      </c>
      <c r="AG43" s="38">
        <f t="array" ref="AG43">SUM(IF((modeldata!$F:$F=calibration!$AF$28)*(modeldata!$G:$G=calibration!AG$30)*(modeldata!$H:$H=calibration!$AF43),modeldata!$E:$E,0))</f>
        <v>0</v>
      </c>
      <c r="AH43" s="242">
        <f t="array" ref="AH43">SUM(IF((modeldata!$F:$F=calibration!$AF$28)*(modeldata!$G:$G=calibration!AH$30)*(modeldata!$H:$H=calibration!$AF43),modeldata!$E:$E,0))</f>
        <v>0</v>
      </c>
      <c r="AI43" s="242">
        <f t="array" ref="AI43">SUM(IF((modeldata!$F:$F=calibration!$AF$28)*(modeldata!$G:$G=calibration!AI$30)*(modeldata!$H:$H=calibration!$AF43),modeldata!$E:$E,0))</f>
        <v>0</v>
      </c>
      <c r="AJ43" s="242">
        <f t="array" ref="AJ43">SUM(IF((modeldata!$F:$F=calibration!$AF$28)*(modeldata!$G:$G=calibration!AJ$30)*(modeldata!$H:$H=calibration!$AF43),modeldata!$E:$E,0))</f>
        <v>0</v>
      </c>
      <c r="AK43" s="242">
        <f t="array" ref="AK43">SUM(IF((modeldata!$F:$F=calibration!$AF$28)*(modeldata!$G:$G=calibration!AK$30)*(modeldata!$H:$H=calibration!$AF43),modeldata!$E:$E,0))</f>
        <v>0</v>
      </c>
      <c r="AL43" s="242">
        <f t="array" ref="AL43">SUM(IF((modeldata!$F:$F=calibration!$AF$28)*(modeldata!$G:$G=calibration!AL$30)*(modeldata!$H:$H=calibration!$AF43),modeldata!$E:$E,0))</f>
        <v>0</v>
      </c>
      <c r="AM43" s="40">
        <f t="array" ref="AM43">SUM(IF((modeldata!$F:$F=calibration!$AF$28)*(modeldata!$G:$G=calibration!AM$30)*(modeldata!$H:$H=calibration!$AF43),modeldata!$E:$E,0))</f>
        <v>0</v>
      </c>
      <c r="AN43" s="243"/>
      <c r="AO43" s="242">
        <f t="array" ref="AO43">SUM(IF((modeldata!$F:$F=calibration!$AF$28)*(modeldata!$G:$G=calibration!AO$30)*(modeldata!$H:$H=calibration!$AF43),modeldata!$E:$E,0))</f>
        <v>0</v>
      </c>
      <c r="AP43" s="242">
        <f t="array" ref="AP43">SUM(IF((modeldata!$F:$F=calibration!$AF$28)*(modeldata!$G:$G=calibration!AP$30)*(modeldata!$H:$H=calibration!$AF43),modeldata!$E:$E,0))</f>
        <v>0</v>
      </c>
      <c r="AQ43" s="242">
        <f t="array" ref="AQ43">SUM(IF((modeldata!$F:$F=calibration!$AF$28)*(modeldata!$G:$G=calibration!AQ$30)*(modeldata!$H:$H=calibration!$AF43),modeldata!$E:$E,0))</f>
        <v>0</v>
      </c>
      <c r="AR43" s="178">
        <f t="shared" si="254"/>
        <v>0</v>
      </c>
      <c r="AS43" s="17">
        <f t="shared" si="221"/>
        <v>0</v>
      </c>
      <c r="AU43" s="66" t="s">
        <v>345</v>
      </c>
      <c r="AV43" s="38">
        <f t="shared" ref="AV43:BG43" si="277">IF(R51&gt;0,R43/R51,0)</f>
        <v>0</v>
      </c>
      <c r="AW43" s="242">
        <f t="shared" si="277"/>
        <v>0</v>
      </c>
      <c r="AX43" s="242">
        <f t="shared" si="277"/>
        <v>0</v>
      </c>
      <c r="AY43" s="242">
        <f t="shared" si="277"/>
        <v>0</v>
      </c>
      <c r="AZ43" s="242">
        <f t="shared" si="277"/>
        <v>0</v>
      </c>
      <c r="BA43" s="242">
        <f t="shared" si="277"/>
        <v>0</v>
      </c>
      <c r="BB43" s="40">
        <f t="shared" si="277"/>
        <v>0</v>
      </c>
      <c r="BC43" s="243">
        <f t="shared" si="277"/>
        <v>0</v>
      </c>
      <c r="BD43" s="242">
        <f t="shared" si="277"/>
        <v>0</v>
      </c>
      <c r="BE43" s="242">
        <f t="shared" si="277"/>
        <v>0</v>
      </c>
      <c r="BF43" s="242">
        <f t="shared" si="277"/>
        <v>0</v>
      </c>
      <c r="BG43" s="178">
        <f t="shared" si="277"/>
        <v>0</v>
      </c>
      <c r="BH43" s="24" t="e">
        <f>AD43/AD51</f>
        <v>#DIV/0!</v>
      </c>
      <c r="BJ43" s="66" t="s">
        <v>345</v>
      </c>
      <c r="BK43" s="38">
        <f t="shared" ref="BK43:BV43" si="278">IF(AG51&gt;0,AG43/AG51,0)</f>
        <v>0</v>
      </c>
      <c r="BL43" s="242">
        <f t="shared" si="278"/>
        <v>0</v>
      </c>
      <c r="BM43" s="242">
        <f t="shared" si="278"/>
        <v>0</v>
      </c>
      <c r="BN43" s="242">
        <f t="shared" si="278"/>
        <v>0</v>
      </c>
      <c r="BO43" s="242">
        <f t="shared" si="278"/>
        <v>0</v>
      </c>
      <c r="BP43" s="242">
        <f t="shared" si="278"/>
        <v>0</v>
      </c>
      <c r="BQ43" s="40">
        <f t="shared" si="278"/>
        <v>0</v>
      </c>
      <c r="BR43" s="243">
        <f t="shared" si="278"/>
        <v>0</v>
      </c>
      <c r="BS43" s="242">
        <f t="shared" si="278"/>
        <v>0</v>
      </c>
      <c r="BT43" s="242">
        <f t="shared" si="278"/>
        <v>0</v>
      </c>
      <c r="BU43" s="242">
        <f t="shared" si="278"/>
        <v>0</v>
      </c>
      <c r="BV43" s="178">
        <f t="shared" si="278"/>
        <v>0</v>
      </c>
      <c r="BW43" s="24" t="e">
        <f>AS43/AS51</f>
        <v>#DIV/0!</v>
      </c>
      <c r="BX43" s="24"/>
      <c r="BY43" s="66" t="s">
        <v>345</v>
      </c>
      <c r="BZ43" s="54">
        <f t="shared" si="224"/>
        <v>0</v>
      </c>
      <c r="CA43" s="55">
        <f t="shared" si="193"/>
        <v>0</v>
      </c>
      <c r="CB43" s="55">
        <f t="shared" si="194"/>
        <v>0</v>
      </c>
      <c r="CC43" s="55">
        <f t="shared" si="195"/>
        <v>0</v>
      </c>
      <c r="CD43" s="55">
        <f t="shared" si="196"/>
        <v>0</v>
      </c>
      <c r="CE43" s="55">
        <f t="shared" si="197"/>
        <v>0</v>
      </c>
      <c r="CF43" s="60">
        <f t="shared" si="198"/>
        <v>0</v>
      </c>
      <c r="CG43" s="246">
        <f t="shared" si="199"/>
        <v>0</v>
      </c>
      <c r="CH43" s="55">
        <f t="shared" si="200"/>
        <v>0</v>
      </c>
      <c r="CI43" s="55">
        <f t="shared" si="201"/>
        <v>0</v>
      </c>
      <c r="CJ43" s="55">
        <f t="shared" si="202"/>
        <v>0</v>
      </c>
      <c r="CK43" s="249">
        <f t="shared" si="202"/>
        <v>0</v>
      </c>
      <c r="CL43" s="55">
        <f t="shared" si="203"/>
        <v>0</v>
      </c>
      <c r="CN43" s="66" t="s">
        <v>345</v>
      </c>
      <c r="CO43" s="54">
        <f t="shared" si="225"/>
        <v>0</v>
      </c>
      <c r="CP43" s="55">
        <f t="shared" si="204"/>
        <v>0</v>
      </c>
      <c r="CQ43" s="55">
        <f t="shared" si="205"/>
        <v>0</v>
      </c>
      <c r="CR43" s="55">
        <f t="shared" si="206"/>
        <v>0</v>
      </c>
      <c r="CS43" s="55">
        <f t="shared" si="207"/>
        <v>0</v>
      </c>
      <c r="CT43" s="55">
        <f t="shared" si="208"/>
        <v>0</v>
      </c>
      <c r="CU43" s="60">
        <f t="shared" si="209"/>
        <v>0</v>
      </c>
      <c r="CV43" s="246">
        <f t="shared" si="210"/>
        <v>0</v>
      </c>
      <c r="CW43" s="55">
        <f t="shared" si="211"/>
        <v>0</v>
      </c>
      <c r="CX43" s="55">
        <f t="shared" si="212"/>
        <v>0</v>
      </c>
      <c r="CY43" s="55">
        <f t="shared" si="213"/>
        <v>0</v>
      </c>
      <c r="CZ43" s="249">
        <f t="shared" si="213"/>
        <v>0</v>
      </c>
      <c r="DA43" s="62" t="e">
        <f t="shared" si="214"/>
        <v>#DIV/0!</v>
      </c>
      <c r="DC43" s="66" t="s">
        <v>345</v>
      </c>
      <c r="DD43" s="198">
        <f t="shared" si="226"/>
        <v>0</v>
      </c>
      <c r="DE43" s="199">
        <f t="shared" si="227"/>
        <v>0</v>
      </c>
      <c r="DF43" s="198">
        <f t="shared" si="228"/>
        <v>0</v>
      </c>
      <c r="DG43" s="199">
        <f t="shared" si="229"/>
        <v>0</v>
      </c>
      <c r="DH43" s="198">
        <f t="shared" si="230"/>
        <v>0</v>
      </c>
      <c r="DI43" s="199">
        <f t="shared" si="231"/>
        <v>0</v>
      </c>
      <c r="DJ43" s="198">
        <f t="shared" si="232"/>
        <v>0</v>
      </c>
      <c r="DK43" s="199">
        <f t="shared" si="233"/>
        <v>0</v>
      </c>
      <c r="DL43" s="198">
        <f t="shared" si="234"/>
        <v>0</v>
      </c>
      <c r="DM43" s="199">
        <f t="shared" si="235"/>
        <v>0</v>
      </c>
      <c r="DN43" s="198">
        <f t="shared" si="236"/>
        <v>0</v>
      </c>
      <c r="DO43" s="199">
        <f t="shared" si="237"/>
        <v>0</v>
      </c>
      <c r="DP43" s="198">
        <f t="shared" si="238"/>
        <v>0</v>
      </c>
      <c r="DQ43" s="199">
        <f t="shared" si="239"/>
        <v>0</v>
      </c>
      <c r="DR43" s="198">
        <f t="shared" si="240"/>
        <v>0</v>
      </c>
      <c r="DS43" s="199">
        <f t="shared" si="241"/>
        <v>0</v>
      </c>
      <c r="DT43" s="198">
        <f t="shared" si="242"/>
        <v>0</v>
      </c>
      <c r="DU43" s="199">
        <f t="shared" si="243"/>
        <v>0</v>
      </c>
      <c r="DV43" s="198">
        <f t="shared" si="244"/>
        <v>0</v>
      </c>
      <c r="DW43" s="199">
        <f t="shared" si="245"/>
        <v>0</v>
      </c>
      <c r="DX43" s="198">
        <f t="shared" si="246"/>
        <v>0</v>
      </c>
      <c r="DY43" s="199">
        <f t="shared" si="247"/>
        <v>0</v>
      </c>
      <c r="DZ43" s="190">
        <f t="shared" si="248"/>
        <v>0</v>
      </c>
      <c r="EA43" s="199">
        <f t="shared" si="215"/>
        <v>0</v>
      </c>
      <c r="EB43" s="190" t="e">
        <f t="shared" si="249"/>
        <v>#DIV/0!</v>
      </c>
      <c r="EC43" s="190" t="e">
        <f t="shared" si="250"/>
        <v>#DIV/0!</v>
      </c>
    </row>
    <row r="44" spans="1:133" x14ac:dyDescent="0.2">
      <c r="A44" s="2" t="s">
        <v>347</v>
      </c>
      <c r="B44" s="38">
        <f>targets!AW43</f>
        <v>0</v>
      </c>
      <c r="C44" s="242">
        <f>targets!AX43</f>
        <v>0</v>
      </c>
      <c r="D44" s="242">
        <f>targets!AY43</f>
        <v>0</v>
      </c>
      <c r="E44" s="242">
        <f>targets!AZ43</f>
        <v>0</v>
      </c>
      <c r="F44" s="242">
        <f>targets!BA43</f>
        <v>0</v>
      </c>
      <c r="G44" s="242">
        <f>SUM(targets!BB43:BG43)</f>
        <v>0</v>
      </c>
      <c r="H44" s="40">
        <f>SUM(targets!BH43:BM43)</f>
        <v>33.044969589344319</v>
      </c>
      <c r="I44" s="243">
        <f t="shared" ref="I44" si="279">SUM(G44:H44)</f>
        <v>33.044969589344319</v>
      </c>
      <c r="J44" s="242">
        <f>targets!BN43</f>
        <v>0</v>
      </c>
      <c r="K44" s="242">
        <f>targets!BO43</f>
        <v>0</v>
      </c>
      <c r="L44" s="242">
        <f>targets!BP43</f>
        <v>0</v>
      </c>
      <c r="M44" s="178">
        <f t="shared" ref="M44" si="280">SUM(J44:L44)</f>
        <v>0</v>
      </c>
      <c r="N44" s="17">
        <f t="shared" ref="N44" si="281">SUM(B44:L44)-I44</f>
        <v>33.044969589344319</v>
      </c>
      <c r="O44" s="17"/>
      <c r="P44" s="17"/>
      <c r="Q44" s="2" t="s">
        <v>347</v>
      </c>
      <c r="R44" s="38">
        <f t="shared" si="217"/>
        <v>0</v>
      </c>
      <c r="S44" s="242">
        <f t="shared" si="185"/>
        <v>0</v>
      </c>
      <c r="T44" s="242">
        <f t="shared" si="186"/>
        <v>0</v>
      </c>
      <c r="U44" s="242">
        <f t="shared" si="187"/>
        <v>0</v>
      </c>
      <c r="V44" s="242">
        <f t="shared" si="188"/>
        <v>0</v>
      </c>
      <c r="W44" s="242">
        <f t="shared" si="189"/>
        <v>0</v>
      </c>
      <c r="X44" s="40">
        <f t="shared" si="190"/>
        <v>0</v>
      </c>
      <c r="Y44" s="243">
        <f>SUM(W44:X44)</f>
        <v>0</v>
      </c>
      <c r="Z44" s="242"/>
      <c r="AA44" s="242"/>
      <c r="AB44" s="242"/>
      <c r="AC44" s="178">
        <f t="shared" ref="AC44" si="282">SUM(Z44:AB44)</f>
        <v>0</v>
      </c>
      <c r="AD44" s="17"/>
      <c r="AF44" s="2" t="s">
        <v>347</v>
      </c>
      <c r="AG44" s="38" cm="1">
        <f t="array" ref="AG44">SUM(IF((modeldata!$F:$F=calibration!$AF$28)*(modeldata!$G:$G=calibration!AG$30)*(modeldata!$H:$H=calibration!$AF44),modeldata!$E:$E,0))</f>
        <v>0</v>
      </c>
      <c r="AH44" s="242">
        <f t="array" ref="AH44">SUM(IF((modeldata!$F:$F=calibration!$AF$28)*(modeldata!$G:$G=calibration!AH$30)*(modeldata!$H:$H=calibration!$AF44),modeldata!$E:$E,0))</f>
        <v>0</v>
      </c>
      <c r="AI44" s="242">
        <f t="array" ref="AI44">SUM(IF((modeldata!$F:$F=calibration!$AF$28)*(modeldata!$G:$G=calibration!AI$30)*(modeldata!$H:$H=calibration!$AF44),modeldata!$E:$E,0))</f>
        <v>0</v>
      </c>
      <c r="AJ44" s="242">
        <f t="array" ref="AJ44">SUM(IF((modeldata!$F:$F=calibration!$AF$28)*(modeldata!$G:$G=calibration!AJ$30)*(modeldata!$H:$H=calibration!$AF44),modeldata!$E:$E,0))</f>
        <v>0</v>
      </c>
      <c r="AK44" s="242">
        <f t="array" ref="AK44">SUM(IF((modeldata!$F:$F=calibration!$AF$28)*(modeldata!$G:$G=calibration!AK$30)*(modeldata!$H:$H=calibration!$AF44),modeldata!$E:$E,0))</f>
        <v>0</v>
      </c>
      <c r="AL44" s="242">
        <f t="array" ref="AL44">SUM(IF((modeldata!$F:$F=calibration!$AF$28)*(modeldata!$G:$G=calibration!AL$30)*(modeldata!$H:$H=calibration!$AF44),modeldata!$E:$E,0))</f>
        <v>0</v>
      </c>
      <c r="AM44" s="40">
        <f t="array" ref="AM44">SUM(IF((modeldata!$F:$F=calibration!$AF$28)*(modeldata!$G:$G=calibration!AM$30)*(modeldata!$H:$H=calibration!$AF44),modeldata!$E:$E,0))</f>
        <v>0</v>
      </c>
      <c r="AN44" s="243">
        <f t="shared" ref="AN44" si="283">AL44+AM44</f>
        <v>0</v>
      </c>
      <c r="AO44" s="242">
        <f t="array" ref="AO44">SUM(IF((modeldata!$F:$F=calibration!$AF$28)*(modeldata!$G:$G=calibration!AO$30)*(modeldata!$H:$H=calibration!$AF44),modeldata!$E:$E,0))</f>
        <v>0</v>
      </c>
      <c r="AP44" s="242">
        <f t="array" ref="AP44">SUM(IF((modeldata!$F:$F=calibration!$AF$28)*(modeldata!$G:$G=calibration!AP$30)*(modeldata!$H:$H=calibration!$AF44),modeldata!$E:$E,0))</f>
        <v>0</v>
      </c>
      <c r="AQ44" s="242">
        <f t="array" ref="AQ44">SUM(IF((modeldata!$F:$F=calibration!$AF$28)*(modeldata!$G:$G=calibration!AQ$30)*(modeldata!$H:$H=calibration!$AF44),modeldata!$E:$E,0))</f>
        <v>0</v>
      </c>
      <c r="AR44" s="178">
        <f t="shared" ref="AR44" si="284">SUM(AO44:AQ44)</f>
        <v>0</v>
      </c>
      <c r="AS44" s="17">
        <f>SUM(AG44:AQ44)-AN44</f>
        <v>0</v>
      </c>
      <c r="AU44" s="2" t="s">
        <v>347</v>
      </c>
      <c r="AV44" s="38">
        <f t="shared" ref="AV44:BG44" si="285">IF(R53&gt;0,R44/R53,0)</f>
        <v>0</v>
      </c>
      <c r="AW44" s="242">
        <f t="shared" si="285"/>
        <v>0</v>
      </c>
      <c r="AX44" s="242">
        <f t="shared" si="285"/>
        <v>0</v>
      </c>
      <c r="AY44" s="242">
        <f t="shared" si="285"/>
        <v>0</v>
      </c>
      <c r="AZ44" s="242">
        <f t="shared" si="285"/>
        <v>0</v>
      </c>
      <c r="BA44" s="242">
        <f t="shared" si="285"/>
        <v>0</v>
      </c>
      <c r="BB44" s="40">
        <f t="shared" si="285"/>
        <v>0</v>
      </c>
      <c r="BC44" s="243">
        <f t="shared" si="285"/>
        <v>0</v>
      </c>
      <c r="BD44" s="242">
        <f t="shared" si="285"/>
        <v>0</v>
      </c>
      <c r="BE44" s="242">
        <f t="shared" si="285"/>
        <v>0</v>
      </c>
      <c r="BF44" s="242">
        <f t="shared" si="285"/>
        <v>0</v>
      </c>
      <c r="BG44" s="178">
        <f t="shared" si="285"/>
        <v>0</v>
      </c>
      <c r="BH44" s="24" t="e">
        <f>AD44/AD53</f>
        <v>#DIV/0!</v>
      </c>
      <c r="BJ44" s="2" t="s">
        <v>347</v>
      </c>
      <c r="BK44" s="38">
        <f t="shared" ref="BK44:BV44" si="286">IF(AG60&gt;0,AG44/AG60,0)</f>
        <v>0</v>
      </c>
      <c r="BL44" s="242">
        <f t="shared" si="286"/>
        <v>0</v>
      </c>
      <c r="BM44" s="242">
        <f t="shared" si="286"/>
        <v>0</v>
      </c>
      <c r="BN44" s="242">
        <f t="shared" si="286"/>
        <v>0</v>
      </c>
      <c r="BO44" s="242">
        <f t="shared" si="286"/>
        <v>0</v>
      </c>
      <c r="BP44" s="242">
        <f t="shared" si="286"/>
        <v>0</v>
      </c>
      <c r="BQ44" s="40">
        <f t="shared" si="286"/>
        <v>0</v>
      </c>
      <c r="BR44" s="243">
        <f t="shared" si="286"/>
        <v>0</v>
      </c>
      <c r="BS44" s="242">
        <f t="shared" si="286"/>
        <v>0</v>
      </c>
      <c r="BT44" s="242">
        <f t="shared" si="286"/>
        <v>0</v>
      </c>
      <c r="BU44" s="242">
        <f t="shared" si="286"/>
        <v>0</v>
      </c>
      <c r="BV44" s="178">
        <f t="shared" si="286"/>
        <v>0</v>
      </c>
      <c r="BW44" s="24" t="e">
        <f>AS44/AS60</f>
        <v>#DIV/0!</v>
      </c>
      <c r="BX44" s="24"/>
      <c r="BY44" s="2" t="s">
        <v>347</v>
      </c>
      <c r="BZ44" s="54">
        <f t="shared" ref="BZ44" si="287">AG44-R44</f>
        <v>0</v>
      </c>
      <c r="CA44" s="55">
        <f t="shared" ref="CA44" si="288">AH44-S44</f>
        <v>0</v>
      </c>
      <c r="CB44" s="55">
        <f t="shared" ref="CB44" si="289">AI44-T44</f>
        <v>0</v>
      </c>
      <c r="CC44" s="55">
        <f t="shared" ref="CC44" si="290">AJ44-U44</f>
        <v>0</v>
      </c>
      <c r="CD44" s="55">
        <f t="shared" ref="CD44" si="291">AK44-V44</f>
        <v>0</v>
      </c>
      <c r="CE44" s="55">
        <f t="shared" ref="CE44" si="292">AL44-W44</f>
        <v>0</v>
      </c>
      <c r="CF44" s="60">
        <f t="shared" ref="CF44" si="293">AM44-X44</f>
        <v>0</v>
      </c>
      <c r="CG44" s="246">
        <f t="shared" ref="CG44" si="294">AN44-Y44</f>
        <v>0</v>
      </c>
      <c r="CH44" s="55">
        <f t="shared" ref="CH44" si="295">AO44-Z44</f>
        <v>0</v>
      </c>
      <c r="CI44" s="55">
        <f t="shared" ref="CI44" si="296">AP44-AA44</f>
        <v>0</v>
      </c>
      <c r="CJ44" s="55">
        <f t="shared" ref="CJ44" si="297">AQ44-AB44</f>
        <v>0</v>
      </c>
      <c r="CK44" s="249">
        <f t="shared" ref="CK44" si="298">AR44-AC44</f>
        <v>0</v>
      </c>
      <c r="CL44" s="55">
        <f t="shared" ref="CL44" si="299">AS44-AD44</f>
        <v>0</v>
      </c>
      <c r="CN44" s="2" t="s">
        <v>347</v>
      </c>
      <c r="CO44" s="54">
        <f t="shared" ref="CO44" si="300">BK44-AV44</f>
        <v>0</v>
      </c>
      <c r="CP44" s="55">
        <f t="shared" ref="CP44" si="301">BL44-AW44</f>
        <v>0</v>
      </c>
      <c r="CQ44" s="55">
        <f t="shared" ref="CQ44" si="302">BM44-AX44</f>
        <v>0</v>
      </c>
      <c r="CR44" s="55">
        <f t="shared" ref="CR44" si="303">BN44-AY44</f>
        <v>0</v>
      </c>
      <c r="CS44" s="55">
        <f t="shared" ref="CS44" si="304">BO44-AZ44</f>
        <v>0</v>
      </c>
      <c r="CT44" s="55">
        <f t="shared" ref="CT44" si="305">BP44-BA44</f>
        <v>0</v>
      </c>
      <c r="CU44" s="60">
        <f t="shared" ref="CU44" si="306">BQ44-BB44</f>
        <v>0</v>
      </c>
      <c r="CV44" s="246">
        <f t="shared" ref="CV44" si="307">BR44-BC44</f>
        <v>0</v>
      </c>
      <c r="CW44" s="55">
        <f t="shared" ref="CW44" si="308">BS44-BD44</f>
        <v>0</v>
      </c>
      <c r="CX44" s="55">
        <f t="shared" ref="CX44" si="309">BT44-BE44</f>
        <v>0</v>
      </c>
      <c r="CY44" s="55">
        <f t="shared" ref="CY44" si="310">BU44-BF44</f>
        <v>0</v>
      </c>
      <c r="CZ44" s="249">
        <f t="shared" ref="CZ44" si="311">BV44-BG44</f>
        <v>0</v>
      </c>
      <c r="DA44" s="62" t="e">
        <f t="shared" ref="DA44" si="312">BW44-BH44</f>
        <v>#DIV/0!</v>
      </c>
      <c r="DC44" s="2" t="s">
        <v>347</v>
      </c>
      <c r="DD44" s="198">
        <f t="shared" ref="DD44" si="313">AV44</f>
        <v>0</v>
      </c>
      <c r="DE44" s="199">
        <f t="shared" ref="DE44" si="314">BK44</f>
        <v>0</v>
      </c>
      <c r="DF44" s="198">
        <f t="shared" ref="DF44" si="315">AW44</f>
        <v>0</v>
      </c>
      <c r="DG44" s="199">
        <f t="shared" ref="DG44" si="316">BL44</f>
        <v>0</v>
      </c>
      <c r="DH44" s="198">
        <f t="shared" ref="DH44" si="317">AX44</f>
        <v>0</v>
      </c>
      <c r="DI44" s="199">
        <f t="shared" ref="DI44" si="318">BM44</f>
        <v>0</v>
      </c>
      <c r="DJ44" s="198">
        <f t="shared" ref="DJ44" si="319">AY44</f>
        <v>0</v>
      </c>
      <c r="DK44" s="199">
        <f t="shared" ref="DK44" si="320">BN44</f>
        <v>0</v>
      </c>
      <c r="DL44" s="198">
        <f t="shared" ref="DL44" si="321">AZ44</f>
        <v>0</v>
      </c>
      <c r="DM44" s="199">
        <f t="shared" ref="DM44" si="322">BO44</f>
        <v>0</v>
      </c>
      <c r="DN44" s="198">
        <f t="shared" ref="DN44" si="323">BA44</f>
        <v>0</v>
      </c>
      <c r="DO44" s="199">
        <f t="shared" ref="DO44" si="324">BP44</f>
        <v>0</v>
      </c>
      <c r="DP44" s="198">
        <f t="shared" ref="DP44" si="325">BB44</f>
        <v>0</v>
      </c>
      <c r="DQ44" s="199">
        <f t="shared" ref="DQ44" si="326">BQ44</f>
        <v>0</v>
      </c>
      <c r="DR44" s="198">
        <f t="shared" ref="DR44" si="327">BC44</f>
        <v>0</v>
      </c>
      <c r="DS44" s="199">
        <f t="shared" ref="DS44" si="328">BR44</f>
        <v>0</v>
      </c>
      <c r="DT44" s="198">
        <f t="shared" ref="DT44" si="329">BD44</f>
        <v>0</v>
      </c>
      <c r="DU44" s="199">
        <f t="shared" ref="DU44" si="330">BS44</f>
        <v>0</v>
      </c>
      <c r="DV44" s="198">
        <f t="shared" ref="DV44" si="331">BE44</f>
        <v>0</v>
      </c>
      <c r="DW44" s="199">
        <f t="shared" ref="DW44" si="332">BT44</f>
        <v>0</v>
      </c>
      <c r="DX44" s="198">
        <f t="shared" ref="DX44" si="333">BF44</f>
        <v>0</v>
      </c>
      <c r="DY44" s="199">
        <f t="shared" ref="DY44" si="334">BU44</f>
        <v>0</v>
      </c>
      <c r="DZ44" s="190">
        <f t="shared" ref="DZ44" si="335">BG44</f>
        <v>0</v>
      </c>
      <c r="EA44" s="199">
        <f t="shared" ref="EA44" si="336">BV44</f>
        <v>0</v>
      </c>
      <c r="EB44" s="190" t="e">
        <f t="shared" ref="EB44" si="337">BH44</f>
        <v>#DIV/0!</v>
      </c>
      <c r="EC44" s="190" t="e">
        <f t="shared" ref="EC44" si="338">BW44</f>
        <v>#DIV/0!</v>
      </c>
    </row>
    <row r="45" spans="1:133" x14ac:dyDescent="0.2">
      <c r="A45" s="64" t="s">
        <v>50</v>
      </c>
      <c r="B45" s="38">
        <f>targets!AW44</f>
        <v>0</v>
      </c>
      <c r="C45" s="242">
        <f>targets!AX44</f>
        <v>0</v>
      </c>
      <c r="D45" s="242">
        <f>targets!AY44</f>
        <v>0</v>
      </c>
      <c r="E45" s="242">
        <f>targets!AZ44</f>
        <v>0</v>
      </c>
      <c r="F45" s="242">
        <f>targets!BA44</f>
        <v>0</v>
      </c>
      <c r="G45" s="242">
        <f>SUM(targets!BB44:BG44)</f>
        <v>0</v>
      </c>
      <c r="H45" s="40">
        <f>SUM(targets!BH44:BM44)</f>
        <v>27.169389237050208</v>
      </c>
      <c r="I45" s="243">
        <f t="shared" si="251"/>
        <v>27.169389237050208</v>
      </c>
      <c r="J45" s="242">
        <f>targets!BN44</f>
        <v>0</v>
      </c>
      <c r="K45" s="242">
        <f>targets!BO44</f>
        <v>0</v>
      </c>
      <c r="L45" s="242">
        <f>targets!BP44</f>
        <v>0</v>
      </c>
      <c r="M45" s="178">
        <f t="shared" si="252"/>
        <v>0</v>
      </c>
      <c r="N45" s="17">
        <f t="shared" si="216"/>
        <v>27.169389237050208</v>
      </c>
      <c r="O45" s="17"/>
      <c r="P45" s="17"/>
      <c r="Q45" s="64" t="s">
        <v>50</v>
      </c>
      <c r="R45" s="38">
        <f t="shared" si="217"/>
        <v>0</v>
      </c>
      <c r="S45" s="242">
        <f t="shared" si="185"/>
        <v>0</v>
      </c>
      <c r="T45" s="242">
        <f t="shared" si="186"/>
        <v>0</v>
      </c>
      <c r="U45" s="242">
        <f t="shared" si="187"/>
        <v>0</v>
      </c>
      <c r="V45" s="242">
        <f t="shared" si="188"/>
        <v>0</v>
      </c>
      <c r="W45" s="242">
        <f t="shared" si="189"/>
        <v>0</v>
      </c>
      <c r="X45" s="40">
        <f t="shared" si="190"/>
        <v>0</v>
      </c>
      <c r="Y45" s="243">
        <f t="shared" si="218"/>
        <v>0</v>
      </c>
      <c r="Z45" s="242"/>
      <c r="AA45" s="242"/>
      <c r="AB45" s="242"/>
      <c r="AC45" s="178">
        <f t="shared" si="253"/>
        <v>0</v>
      </c>
      <c r="AD45" s="17">
        <f t="shared" si="219"/>
        <v>0</v>
      </c>
      <c r="AF45" s="64" t="s">
        <v>50</v>
      </c>
      <c r="AG45" s="38">
        <f t="array" ref="AG45">SUM(IF((modeldata!$F:$F=calibration!$AF$28)*(modeldata!$G:$G=calibration!AG$30)*(modeldata!$H:$H=calibration!$AF45),modeldata!$E:$E,0))</f>
        <v>0</v>
      </c>
      <c r="AH45" s="242">
        <f t="array" ref="AH45">SUM(IF((modeldata!$F:$F=calibration!$AF$28)*(modeldata!$G:$G=calibration!AH$30)*(modeldata!$H:$H=calibration!$AF45),modeldata!$E:$E,0))</f>
        <v>0</v>
      </c>
      <c r="AI45" s="242">
        <f t="array" ref="AI45">SUM(IF((modeldata!$F:$F=calibration!$AF$28)*(modeldata!$G:$G=calibration!AI$30)*(modeldata!$H:$H=calibration!$AF45),modeldata!$E:$E,0))</f>
        <v>0</v>
      </c>
      <c r="AJ45" s="242">
        <f t="array" ref="AJ45">SUM(IF((modeldata!$F:$F=calibration!$AF$28)*(modeldata!$G:$G=calibration!AJ$30)*(modeldata!$H:$H=calibration!$AF45),modeldata!$E:$E,0))</f>
        <v>0</v>
      </c>
      <c r="AK45" s="242">
        <f t="array" ref="AK45">SUM(IF((modeldata!$F:$F=calibration!$AF$28)*(modeldata!$G:$G=calibration!AK$30)*(modeldata!$H:$H=calibration!$AF45),modeldata!$E:$E,0))</f>
        <v>0</v>
      </c>
      <c r="AL45" s="242">
        <f t="array" ref="AL45">SUM(IF((modeldata!$F:$F=calibration!$AF$28)*(modeldata!$G:$G=calibration!AL$30)*(modeldata!$H:$H=calibration!$AF45),modeldata!$E:$E,0))</f>
        <v>0</v>
      </c>
      <c r="AM45" s="40">
        <f t="array" ref="AM45">SUM(IF((modeldata!$F:$F=calibration!$AF$28)*(modeldata!$G:$G=calibration!AM$30)*(modeldata!$H:$H=calibration!$AF45),modeldata!$E:$E,0))</f>
        <v>0</v>
      </c>
      <c r="AN45" s="243"/>
      <c r="AO45" s="242">
        <f t="array" ref="AO45">SUM(IF((modeldata!$F:$F=calibration!$AF$28)*(modeldata!$G:$G=calibration!AO$30)*(modeldata!$H:$H=calibration!$AF45),modeldata!$E:$E,0))</f>
        <v>0</v>
      </c>
      <c r="AP45" s="242">
        <f t="array" ref="AP45">SUM(IF((modeldata!$F:$F=calibration!$AF$28)*(modeldata!$G:$G=calibration!AP$30)*(modeldata!$H:$H=calibration!$AF45),modeldata!$E:$E,0))</f>
        <v>0</v>
      </c>
      <c r="AQ45" s="242">
        <f t="array" ref="AQ45">SUM(IF((modeldata!$F:$F=calibration!$AF$28)*(modeldata!$G:$G=calibration!AQ$30)*(modeldata!$H:$H=calibration!$AF45),modeldata!$E:$E,0))</f>
        <v>0</v>
      </c>
      <c r="AR45" s="178">
        <f t="shared" si="254"/>
        <v>0</v>
      </c>
      <c r="AS45" s="17">
        <f t="shared" si="221"/>
        <v>0</v>
      </c>
      <c r="AU45" s="64" t="s">
        <v>50</v>
      </c>
      <c r="AV45" s="38">
        <f t="shared" ref="AV45:BG45" si="339">IF(R51&gt;0,R45/R51,0)</f>
        <v>0</v>
      </c>
      <c r="AW45" s="242">
        <f t="shared" si="339"/>
        <v>0</v>
      </c>
      <c r="AX45" s="242">
        <f t="shared" si="339"/>
        <v>0</v>
      </c>
      <c r="AY45" s="242">
        <f t="shared" si="339"/>
        <v>0</v>
      </c>
      <c r="AZ45" s="242">
        <f t="shared" si="339"/>
        <v>0</v>
      </c>
      <c r="BA45" s="242">
        <f t="shared" si="339"/>
        <v>0</v>
      </c>
      <c r="BB45" s="40">
        <f t="shared" si="339"/>
        <v>0</v>
      </c>
      <c r="BC45" s="243">
        <f t="shared" si="339"/>
        <v>0</v>
      </c>
      <c r="BD45" s="242">
        <f t="shared" si="339"/>
        <v>0</v>
      </c>
      <c r="BE45" s="242">
        <f t="shared" si="339"/>
        <v>0</v>
      </c>
      <c r="BF45" s="242">
        <f t="shared" si="339"/>
        <v>0</v>
      </c>
      <c r="BG45" s="178">
        <f t="shared" si="339"/>
        <v>0</v>
      </c>
      <c r="BH45" s="24" t="e">
        <f>AD45/AD51</f>
        <v>#DIV/0!</v>
      </c>
      <c r="BJ45" s="64" t="s">
        <v>50</v>
      </c>
      <c r="BK45" s="38">
        <f t="shared" ref="BK45:BV45" si="340">IF(AG51&gt;0,AG45/AG51,0)</f>
        <v>0</v>
      </c>
      <c r="BL45" s="242">
        <f t="shared" si="340"/>
        <v>0</v>
      </c>
      <c r="BM45" s="242">
        <f t="shared" si="340"/>
        <v>0</v>
      </c>
      <c r="BN45" s="242">
        <f t="shared" si="340"/>
        <v>0</v>
      </c>
      <c r="BO45" s="242">
        <f t="shared" si="340"/>
        <v>0</v>
      </c>
      <c r="BP45" s="242">
        <f t="shared" si="340"/>
        <v>0</v>
      </c>
      <c r="BQ45" s="40">
        <f t="shared" si="340"/>
        <v>0</v>
      </c>
      <c r="BR45" s="243">
        <f t="shared" si="340"/>
        <v>0</v>
      </c>
      <c r="BS45" s="242">
        <f t="shared" si="340"/>
        <v>0</v>
      </c>
      <c r="BT45" s="242">
        <f t="shared" si="340"/>
        <v>0</v>
      </c>
      <c r="BU45" s="242">
        <f t="shared" si="340"/>
        <v>0</v>
      </c>
      <c r="BV45" s="178">
        <f t="shared" si="340"/>
        <v>0</v>
      </c>
      <c r="BW45" s="24" t="e">
        <f>AS45/AS51</f>
        <v>#DIV/0!</v>
      </c>
      <c r="BX45" s="24"/>
      <c r="BY45" s="64" t="s">
        <v>50</v>
      </c>
      <c r="BZ45" s="54">
        <f t="shared" si="224"/>
        <v>0</v>
      </c>
      <c r="CA45" s="55">
        <f t="shared" si="193"/>
        <v>0</v>
      </c>
      <c r="CB45" s="55">
        <f t="shared" si="194"/>
        <v>0</v>
      </c>
      <c r="CC45" s="55">
        <f t="shared" si="195"/>
        <v>0</v>
      </c>
      <c r="CD45" s="55">
        <f t="shared" si="196"/>
        <v>0</v>
      </c>
      <c r="CE45" s="55">
        <f t="shared" si="197"/>
        <v>0</v>
      </c>
      <c r="CF45" s="60">
        <f t="shared" si="198"/>
        <v>0</v>
      </c>
      <c r="CG45" s="246">
        <f t="shared" si="199"/>
        <v>0</v>
      </c>
      <c r="CH45" s="55">
        <f t="shared" si="200"/>
        <v>0</v>
      </c>
      <c r="CI45" s="55">
        <f t="shared" si="201"/>
        <v>0</v>
      </c>
      <c r="CJ45" s="55">
        <f t="shared" si="202"/>
        <v>0</v>
      </c>
      <c r="CK45" s="249">
        <f t="shared" si="202"/>
        <v>0</v>
      </c>
      <c r="CL45" s="55">
        <f t="shared" si="203"/>
        <v>0</v>
      </c>
      <c r="CN45" s="64" t="s">
        <v>50</v>
      </c>
      <c r="CO45" s="54">
        <f t="shared" si="225"/>
        <v>0</v>
      </c>
      <c r="CP45" s="55">
        <f t="shared" si="204"/>
        <v>0</v>
      </c>
      <c r="CQ45" s="55">
        <f t="shared" si="205"/>
        <v>0</v>
      </c>
      <c r="CR45" s="55">
        <f t="shared" si="206"/>
        <v>0</v>
      </c>
      <c r="CS45" s="55">
        <f t="shared" si="207"/>
        <v>0</v>
      </c>
      <c r="CT45" s="55">
        <f t="shared" si="208"/>
        <v>0</v>
      </c>
      <c r="CU45" s="60">
        <f t="shared" si="209"/>
        <v>0</v>
      </c>
      <c r="CV45" s="246">
        <f t="shared" si="210"/>
        <v>0</v>
      </c>
      <c r="CW45" s="55">
        <f t="shared" si="211"/>
        <v>0</v>
      </c>
      <c r="CX45" s="55">
        <f t="shared" si="212"/>
        <v>0</v>
      </c>
      <c r="CY45" s="55">
        <f t="shared" si="213"/>
        <v>0</v>
      </c>
      <c r="CZ45" s="249">
        <f t="shared" si="213"/>
        <v>0</v>
      </c>
      <c r="DA45" s="62" t="e">
        <f t="shared" si="214"/>
        <v>#DIV/0!</v>
      </c>
      <c r="DC45" s="64" t="s">
        <v>50</v>
      </c>
      <c r="DD45" s="198">
        <f t="shared" si="226"/>
        <v>0</v>
      </c>
      <c r="DE45" s="199">
        <f t="shared" si="227"/>
        <v>0</v>
      </c>
      <c r="DF45" s="198">
        <f t="shared" si="228"/>
        <v>0</v>
      </c>
      <c r="DG45" s="199">
        <f t="shared" si="229"/>
        <v>0</v>
      </c>
      <c r="DH45" s="198">
        <f t="shared" si="230"/>
        <v>0</v>
      </c>
      <c r="DI45" s="199">
        <f t="shared" si="231"/>
        <v>0</v>
      </c>
      <c r="DJ45" s="198">
        <f t="shared" si="232"/>
        <v>0</v>
      </c>
      <c r="DK45" s="199">
        <f t="shared" si="233"/>
        <v>0</v>
      </c>
      <c r="DL45" s="198">
        <f t="shared" si="234"/>
        <v>0</v>
      </c>
      <c r="DM45" s="199">
        <f t="shared" si="235"/>
        <v>0</v>
      </c>
      <c r="DN45" s="198">
        <f t="shared" si="236"/>
        <v>0</v>
      </c>
      <c r="DO45" s="199">
        <f t="shared" si="237"/>
        <v>0</v>
      </c>
      <c r="DP45" s="198">
        <f t="shared" si="238"/>
        <v>0</v>
      </c>
      <c r="DQ45" s="199">
        <f t="shared" si="239"/>
        <v>0</v>
      </c>
      <c r="DR45" s="198">
        <f t="shared" si="240"/>
        <v>0</v>
      </c>
      <c r="DS45" s="199">
        <f t="shared" si="241"/>
        <v>0</v>
      </c>
      <c r="DT45" s="198">
        <f t="shared" si="242"/>
        <v>0</v>
      </c>
      <c r="DU45" s="199">
        <f t="shared" si="243"/>
        <v>0</v>
      </c>
      <c r="DV45" s="198">
        <f t="shared" si="244"/>
        <v>0</v>
      </c>
      <c r="DW45" s="199">
        <f t="shared" si="245"/>
        <v>0</v>
      </c>
      <c r="DX45" s="198">
        <f t="shared" si="246"/>
        <v>0</v>
      </c>
      <c r="DY45" s="199">
        <f t="shared" si="247"/>
        <v>0</v>
      </c>
      <c r="DZ45" s="190">
        <f t="shared" si="248"/>
        <v>0</v>
      </c>
      <c r="EA45" s="199">
        <f t="shared" si="215"/>
        <v>0</v>
      </c>
      <c r="EB45" s="190" t="e">
        <f t="shared" si="249"/>
        <v>#DIV/0!</v>
      </c>
      <c r="EC45" s="190" t="e">
        <f t="shared" si="250"/>
        <v>#DIV/0!</v>
      </c>
    </row>
    <row r="46" spans="1:133" x14ac:dyDescent="0.2">
      <c r="A46" s="64" t="s">
        <v>51</v>
      </c>
      <c r="B46" s="38">
        <f>targets!AW45</f>
        <v>0</v>
      </c>
      <c r="C46" s="242">
        <f>targets!AX45</f>
        <v>0</v>
      </c>
      <c r="D46" s="242">
        <f>targets!AY45</f>
        <v>0</v>
      </c>
      <c r="E46" s="242">
        <f>targets!AZ45</f>
        <v>0</v>
      </c>
      <c r="F46" s="242">
        <f>targets!BA45</f>
        <v>0</v>
      </c>
      <c r="G46" s="242">
        <f>SUM(targets!BB45:BG45)</f>
        <v>0</v>
      </c>
      <c r="H46" s="40">
        <f>SUM(targets!BH45:BM45)</f>
        <v>0</v>
      </c>
      <c r="I46" s="243">
        <f t="shared" si="251"/>
        <v>0</v>
      </c>
      <c r="J46" s="242">
        <f>targets!BN45</f>
        <v>0</v>
      </c>
      <c r="K46" s="242">
        <f>targets!BO45</f>
        <v>0</v>
      </c>
      <c r="L46" s="242">
        <f>targets!BP45</f>
        <v>0</v>
      </c>
      <c r="M46" s="178">
        <f t="shared" si="252"/>
        <v>0</v>
      </c>
      <c r="N46" s="17">
        <f t="shared" si="216"/>
        <v>0</v>
      </c>
      <c r="O46" s="17"/>
      <c r="P46" s="17"/>
      <c r="Q46" s="64" t="s">
        <v>51</v>
      </c>
      <c r="R46" s="38">
        <f t="shared" si="217"/>
        <v>0</v>
      </c>
      <c r="S46" s="242">
        <f t="shared" si="185"/>
        <v>0</v>
      </c>
      <c r="T46" s="242">
        <f t="shared" si="186"/>
        <v>0</v>
      </c>
      <c r="U46" s="242">
        <f t="shared" si="187"/>
        <v>0</v>
      </c>
      <c r="V46" s="242">
        <f t="shared" si="188"/>
        <v>0</v>
      </c>
      <c r="W46" s="242">
        <f t="shared" si="189"/>
        <v>0</v>
      </c>
      <c r="X46" s="40">
        <f t="shared" si="190"/>
        <v>0</v>
      </c>
      <c r="Y46" s="243">
        <f t="shared" si="218"/>
        <v>0</v>
      </c>
      <c r="Z46" s="242"/>
      <c r="AA46" s="242"/>
      <c r="AB46" s="242"/>
      <c r="AC46" s="178">
        <f t="shared" si="253"/>
        <v>0</v>
      </c>
      <c r="AD46" s="17">
        <f t="shared" si="219"/>
        <v>0</v>
      </c>
      <c r="AF46" s="64" t="s">
        <v>51</v>
      </c>
      <c r="AG46" s="38">
        <f t="array" ref="AG46">SUM(IF((modeldata!$F:$F=calibration!$AF$28)*(modeldata!$G:$G=calibration!AG$30)*(modeldata!$H:$H=calibration!$AF46),modeldata!$E:$E,0))</f>
        <v>0</v>
      </c>
      <c r="AH46" s="242">
        <f t="array" ref="AH46">SUM(IF((modeldata!$F:$F=calibration!$AF$28)*(modeldata!$G:$G=calibration!AH$30)*(modeldata!$H:$H=calibration!$AF46),modeldata!$E:$E,0))</f>
        <v>0</v>
      </c>
      <c r="AI46" s="242">
        <f t="array" ref="AI46">SUM(IF((modeldata!$F:$F=calibration!$AF$28)*(modeldata!$G:$G=calibration!AI$30)*(modeldata!$H:$H=calibration!$AF46),modeldata!$E:$E,0))</f>
        <v>0</v>
      </c>
      <c r="AJ46" s="242">
        <f t="array" ref="AJ46">SUM(IF((modeldata!$F:$F=calibration!$AF$28)*(modeldata!$G:$G=calibration!AJ$30)*(modeldata!$H:$H=calibration!$AF46),modeldata!$E:$E,0))</f>
        <v>0</v>
      </c>
      <c r="AK46" s="242">
        <f t="array" ref="AK46">SUM(IF((modeldata!$F:$F=calibration!$AF$28)*(modeldata!$G:$G=calibration!AK$30)*(modeldata!$H:$H=calibration!$AF46),modeldata!$E:$E,0))</f>
        <v>0</v>
      </c>
      <c r="AL46" s="242">
        <f t="array" ref="AL46">SUM(IF((modeldata!$F:$F=calibration!$AF$28)*(modeldata!$G:$G=calibration!AL$30)*(modeldata!$H:$H=calibration!$AF46),modeldata!$E:$E,0))</f>
        <v>0</v>
      </c>
      <c r="AM46" s="40">
        <f t="array" ref="AM46">SUM(IF((modeldata!$F:$F=calibration!$AF$28)*(modeldata!$G:$G=calibration!AM$30)*(modeldata!$H:$H=calibration!$AF46),modeldata!$E:$E,0))</f>
        <v>0</v>
      </c>
      <c r="AN46" s="243"/>
      <c r="AO46" s="242">
        <f t="array" ref="AO46">SUM(IF((modeldata!$F:$F=calibration!$AF$28)*(modeldata!$G:$G=calibration!AO$30)*(modeldata!$H:$H=calibration!$AF46),modeldata!$E:$E,0))</f>
        <v>0</v>
      </c>
      <c r="AP46" s="242">
        <f t="array" ref="AP46">SUM(IF((modeldata!$F:$F=calibration!$AF$28)*(modeldata!$G:$G=calibration!AP$30)*(modeldata!$H:$H=calibration!$AF46),modeldata!$E:$E,0))</f>
        <v>0</v>
      </c>
      <c r="AQ46" s="242">
        <f t="array" ref="AQ46">SUM(IF((modeldata!$F:$F=calibration!$AF$28)*(modeldata!$G:$G=calibration!AQ$30)*(modeldata!$H:$H=calibration!$AF46),modeldata!$E:$E,0))</f>
        <v>0</v>
      </c>
      <c r="AR46" s="178">
        <f t="shared" si="254"/>
        <v>0</v>
      </c>
      <c r="AS46" s="17">
        <f t="shared" si="221"/>
        <v>0</v>
      </c>
      <c r="AU46" s="64" t="s">
        <v>51</v>
      </c>
      <c r="AV46" s="38">
        <f t="shared" ref="AV46:BG46" si="341">IF(R51&gt;0,R46/R51,0)</f>
        <v>0</v>
      </c>
      <c r="AW46" s="242">
        <f t="shared" si="341"/>
        <v>0</v>
      </c>
      <c r="AX46" s="242">
        <f t="shared" si="341"/>
        <v>0</v>
      </c>
      <c r="AY46" s="242">
        <f t="shared" si="341"/>
        <v>0</v>
      </c>
      <c r="AZ46" s="242">
        <f t="shared" si="341"/>
        <v>0</v>
      </c>
      <c r="BA46" s="242">
        <f t="shared" si="341"/>
        <v>0</v>
      </c>
      <c r="BB46" s="40">
        <f t="shared" si="341"/>
        <v>0</v>
      </c>
      <c r="BC46" s="243">
        <f t="shared" si="341"/>
        <v>0</v>
      </c>
      <c r="BD46" s="242">
        <f t="shared" si="341"/>
        <v>0</v>
      </c>
      <c r="BE46" s="242">
        <f t="shared" si="341"/>
        <v>0</v>
      </c>
      <c r="BF46" s="242">
        <f t="shared" si="341"/>
        <v>0</v>
      </c>
      <c r="BG46" s="178">
        <f t="shared" si="341"/>
        <v>0</v>
      </c>
      <c r="BH46" s="24" t="e">
        <f>AD46/AD51</f>
        <v>#DIV/0!</v>
      </c>
      <c r="BJ46" s="64" t="s">
        <v>51</v>
      </c>
      <c r="BK46" s="38">
        <f t="shared" ref="BK46:BV46" si="342">IF(AG51&gt;0,AG46/AG51,0)</f>
        <v>0</v>
      </c>
      <c r="BL46" s="242">
        <f t="shared" si="342"/>
        <v>0</v>
      </c>
      <c r="BM46" s="242">
        <f t="shared" si="342"/>
        <v>0</v>
      </c>
      <c r="BN46" s="242">
        <f t="shared" si="342"/>
        <v>0</v>
      </c>
      <c r="BO46" s="242">
        <f t="shared" si="342"/>
        <v>0</v>
      </c>
      <c r="BP46" s="242">
        <f t="shared" si="342"/>
        <v>0</v>
      </c>
      <c r="BQ46" s="40">
        <f t="shared" si="342"/>
        <v>0</v>
      </c>
      <c r="BR46" s="243">
        <f t="shared" si="342"/>
        <v>0</v>
      </c>
      <c r="BS46" s="242">
        <f t="shared" si="342"/>
        <v>0</v>
      </c>
      <c r="BT46" s="242">
        <f t="shared" si="342"/>
        <v>0</v>
      </c>
      <c r="BU46" s="242">
        <f t="shared" si="342"/>
        <v>0</v>
      </c>
      <c r="BV46" s="178">
        <f t="shared" si="342"/>
        <v>0</v>
      </c>
      <c r="BW46" s="24" t="e">
        <f>AS46/AS51</f>
        <v>#DIV/0!</v>
      </c>
      <c r="BX46" s="24"/>
      <c r="BY46" s="64" t="s">
        <v>51</v>
      </c>
      <c r="BZ46" s="54">
        <f t="shared" si="224"/>
        <v>0</v>
      </c>
      <c r="CA46" s="55">
        <f t="shared" si="193"/>
        <v>0</v>
      </c>
      <c r="CB46" s="55">
        <f t="shared" si="194"/>
        <v>0</v>
      </c>
      <c r="CC46" s="55">
        <f t="shared" si="195"/>
        <v>0</v>
      </c>
      <c r="CD46" s="55">
        <f t="shared" si="196"/>
        <v>0</v>
      </c>
      <c r="CE46" s="55">
        <f t="shared" si="197"/>
        <v>0</v>
      </c>
      <c r="CF46" s="60">
        <f t="shared" si="198"/>
        <v>0</v>
      </c>
      <c r="CG46" s="246">
        <f t="shared" si="199"/>
        <v>0</v>
      </c>
      <c r="CH46" s="55">
        <f t="shared" si="200"/>
        <v>0</v>
      </c>
      <c r="CI46" s="55">
        <f t="shared" si="201"/>
        <v>0</v>
      </c>
      <c r="CJ46" s="55">
        <f t="shared" si="202"/>
        <v>0</v>
      </c>
      <c r="CK46" s="249">
        <f t="shared" si="202"/>
        <v>0</v>
      </c>
      <c r="CL46" s="55">
        <f t="shared" si="203"/>
        <v>0</v>
      </c>
      <c r="CN46" s="64" t="s">
        <v>51</v>
      </c>
      <c r="CO46" s="54">
        <f t="shared" si="225"/>
        <v>0</v>
      </c>
      <c r="CP46" s="55">
        <f t="shared" si="204"/>
        <v>0</v>
      </c>
      <c r="CQ46" s="55">
        <f t="shared" si="205"/>
        <v>0</v>
      </c>
      <c r="CR46" s="55">
        <f t="shared" si="206"/>
        <v>0</v>
      </c>
      <c r="CS46" s="55">
        <f t="shared" si="207"/>
        <v>0</v>
      </c>
      <c r="CT46" s="55">
        <f t="shared" si="208"/>
        <v>0</v>
      </c>
      <c r="CU46" s="60">
        <f t="shared" si="209"/>
        <v>0</v>
      </c>
      <c r="CV46" s="246">
        <f t="shared" si="210"/>
        <v>0</v>
      </c>
      <c r="CW46" s="55">
        <f t="shared" si="211"/>
        <v>0</v>
      </c>
      <c r="CX46" s="55">
        <f t="shared" si="212"/>
        <v>0</v>
      </c>
      <c r="CY46" s="55">
        <f t="shared" si="213"/>
        <v>0</v>
      </c>
      <c r="CZ46" s="249">
        <f t="shared" si="213"/>
        <v>0</v>
      </c>
      <c r="DA46" s="62" t="e">
        <f t="shared" si="214"/>
        <v>#DIV/0!</v>
      </c>
      <c r="DC46" s="64" t="s">
        <v>51</v>
      </c>
      <c r="DD46" s="198">
        <f t="shared" si="226"/>
        <v>0</v>
      </c>
      <c r="DE46" s="199">
        <f t="shared" si="227"/>
        <v>0</v>
      </c>
      <c r="DF46" s="198">
        <f t="shared" si="228"/>
        <v>0</v>
      </c>
      <c r="DG46" s="199">
        <f t="shared" si="229"/>
        <v>0</v>
      </c>
      <c r="DH46" s="198">
        <f t="shared" si="230"/>
        <v>0</v>
      </c>
      <c r="DI46" s="199">
        <f t="shared" si="231"/>
        <v>0</v>
      </c>
      <c r="DJ46" s="198">
        <f t="shared" si="232"/>
        <v>0</v>
      </c>
      <c r="DK46" s="199">
        <f t="shared" si="233"/>
        <v>0</v>
      </c>
      <c r="DL46" s="198">
        <f t="shared" si="234"/>
        <v>0</v>
      </c>
      <c r="DM46" s="199">
        <f t="shared" si="235"/>
        <v>0</v>
      </c>
      <c r="DN46" s="198">
        <f t="shared" si="236"/>
        <v>0</v>
      </c>
      <c r="DO46" s="199">
        <f t="shared" si="237"/>
        <v>0</v>
      </c>
      <c r="DP46" s="198">
        <f t="shared" si="238"/>
        <v>0</v>
      </c>
      <c r="DQ46" s="199">
        <f t="shared" si="239"/>
        <v>0</v>
      </c>
      <c r="DR46" s="198">
        <f t="shared" si="240"/>
        <v>0</v>
      </c>
      <c r="DS46" s="199">
        <f t="shared" si="241"/>
        <v>0</v>
      </c>
      <c r="DT46" s="198">
        <f t="shared" si="242"/>
        <v>0</v>
      </c>
      <c r="DU46" s="199">
        <f t="shared" si="243"/>
        <v>0</v>
      </c>
      <c r="DV46" s="198">
        <f t="shared" si="244"/>
        <v>0</v>
      </c>
      <c r="DW46" s="199">
        <f t="shared" si="245"/>
        <v>0</v>
      </c>
      <c r="DX46" s="198">
        <f t="shared" si="246"/>
        <v>0</v>
      </c>
      <c r="DY46" s="199">
        <f t="shared" si="247"/>
        <v>0</v>
      </c>
      <c r="DZ46" s="190">
        <f t="shared" si="248"/>
        <v>0</v>
      </c>
      <c r="EA46" s="199">
        <f t="shared" si="215"/>
        <v>0</v>
      </c>
      <c r="EB46" s="190" t="e">
        <f t="shared" si="249"/>
        <v>#DIV/0!</v>
      </c>
      <c r="EC46" s="190" t="e">
        <f t="shared" si="250"/>
        <v>#DIV/0!</v>
      </c>
    </row>
    <row r="47" spans="1:133" x14ac:dyDescent="0.2">
      <c r="A47" s="64" t="s">
        <v>52</v>
      </c>
      <c r="B47" s="38">
        <f>targets!AW46</f>
        <v>0</v>
      </c>
      <c r="C47" s="242">
        <f>targets!AX46</f>
        <v>0</v>
      </c>
      <c r="D47" s="242">
        <f>targets!AY46</f>
        <v>0</v>
      </c>
      <c r="E47" s="242">
        <f>targets!AZ46</f>
        <v>0</v>
      </c>
      <c r="F47" s="242">
        <f>targets!BA46</f>
        <v>0</v>
      </c>
      <c r="G47" s="242">
        <f>SUM(targets!BB46:BG46)</f>
        <v>0</v>
      </c>
      <c r="H47" s="41">
        <f>SUM(targets!BH46:BM46)</f>
        <v>13.390451122342625</v>
      </c>
      <c r="I47" s="243">
        <f t="shared" si="251"/>
        <v>13.390451122342625</v>
      </c>
      <c r="J47" s="242">
        <f>targets!BN46</f>
        <v>0</v>
      </c>
      <c r="K47" s="242">
        <f>targets!BO46</f>
        <v>0</v>
      </c>
      <c r="L47" s="242">
        <f>targets!BP46</f>
        <v>0</v>
      </c>
      <c r="M47" s="178">
        <f t="shared" si="252"/>
        <v>0</v>
      </c>
      <c r="N47" s="17">
        <f t="shared" si="216"/>
        <v>13.390451122342625</v>
      </c>
      <c r="O47" s="17"/>
      <c r="P47" s="17"/>
      <c r="Q47" s="64" t="s">
        <v>52</v>
      </c>
      <c r="R47" s="38">
        <f t="shared" si="217"/>
        <v>0</v>
      </c>
      <c r="S47" s="242">
        <f t="shared" si="185"/>
        <v>0</v>
      </c>
      <c r="T47" s="242">
        <f t="shared" si="186"/>
        <v>0</v>
      </c>
      <c r="U47" s="242">
        <f t="shared" si="187"/>
        <v>0</v>
      </c>
      <c r="V47" s="242">
        <f t="shared" si="188"/>
        <v>0</v>
      </c>
      <c r="W47" s="242">
        <f t="shared" si="189"/>
        <v>0</v>
      </c>
      <c r="X47" s="41">
        <f t="shared" si="190"/>
        <v>0</v>
      </c>
      <c r="Y47" s="243">
        <f t="shared" si="218"/>
        <v>0</v>
      </c>
      <c r="Z47" s="242"/>
      <c r="AA47" s="242"/>
      <c r="AB47" s="242"/>
      <c r="AC47" s="178">
        <f t="shared" si="253"/>
        <v>0</v>
      </c>
      <c r="AD47" s="17">
        <f t="shared" si="219"/>
        <v>0</v>
      </c>
      <c r="AF47" s="64" t="s">
        <v>52</v>
      </c>
      <c r="AG47" s="38">
        <f t="array" ref="AG47">SUM(IF((modeldata!$F:$F=calibration!$AF$28)*(modeldata!$G:$G=calibration!AG$30)*(modeldata!$H:$H=calibration!$AF47),modeldata!$E:$E,0))</f>
        <v>0</v>
      </c>
      <c r="AH47" s="242">
        <f t="array" ref="AH47">SUM(IF((modeldata!$F:$F=calibration!$AF$28)*(modeldata!$G:$G=calibration!AH$30)*(modeldata!$H:$H=calibration!$AF47),modeldata!$E:$E,0))</f>
        <v>0</v>
      </c>
      <c r="AI47" s="242">
        <f t="array" ref="AI47">SUM(IF((modeldata!$F:$F=calibration!$AF$28)*(modeldata!$G:$G=calibration!AI$30)*(modeldata!$H:$H=calibration!$AF47),modeldata!$E:$E,0))</f>
        <v>0</v>
      </c>
      <c r="AJ47" s="242">
        <f t="array" ref="AJ47">SUM(IF((modeldata!$F:$F=calibration!$AF$28)*(modeldata!$G:$G=calibration!AJ$30)*(modeldata!$H:$H=calibration!$AF47),modeldata!$E:$E,0))</f>
        <v>0</v>
      </c>
      <c r="AK47" s="242">
        <f t="array" ref="AK47">SUM(IF((modeldata!$F:$F=calibration!$AF$28)*(modeldata!$G:$G=calibration!AK$30)*(modeldata!$H:$H=calibration!$AF47),modeldata!$E:$E,0))</f>
        <v>0</v>
      </c>
      <c r="AL47" s="242">
        <f t="array" ref="AL47">SUM(IF((modeldata!$F:$F=calibration!$AF$28)*(modeldata!$G:$G=calibration!AL$30)*(modeldata!$H:$H=calibration!$AF47),modeldata!$E:$E,0))</f>
        <v>0</v>
      </c>
      <c r="AM47" s="41">
        <f t="array" ref="AM47">SUM(IF((modeldata!$F:$F=calibration!$AF$28)*(modeldata!$G:$G=calibration!AM$30)*(modeldata!$H:$H=calibration!$AF47),modeldata!$E:$E,0))</f>
        <v>0</v>
      </c>
      <c r="AN47" s="243"/>
      <c r="AO47" s="242">
        <f t="array" ref="AO47">SUM(IF((modeldata!$F:$F=calibration!$AF$28)*(modeldata!$G:$G=calibration!AO$30)*(modeldata!$H:$H=calibration!$AF47),modeldata!$E:$E,0))</f>
        <v>0</v>
      </c>
      <c r="AP47" s="242">
        <f t="array" ref="AP47">SUM(IF((modeldata!$F:$F=calibration!$AF$28)*(modeldata!$G:$G=calibration!AP$30)*(modeldata!$H:$H=calibration!$AF47),modeldata!$E:$E,0))</f>
        <v>0</v>
      </c>
      <c r="AQ47" s="242">
        <f t="array" ref="AQ47">SUM(IF((modeldata!$F:$F=calibration!$AF$28)*(modeldata!$G:$G=calibration!AQ$30)*(modeldata!$H:$H=calibration!$AF47),modeldata!$E:$E,0))</f>
        <v>0</v>
      </c>
      <c r="AR47" s="178">
        <f t="shared" si="254"/>
        <v>0</v>
      </c>
      <c r="AS47" s="17">
        <f t="shared" si="221"/>
        <v>0</v>
      </c>
      <c r="AU47" s="64" t="s">
        <v>52</v>
      </c>
      <c r="AV47" s="38">
        <f t="shared" ref="AV47:BG47" si="343">IF(R51&gt;0,R47/R51,0)</f>
        <v>0</v>
      </c>
      <c r="AW47" s="242">
        <f t="shared" si="343"/>
        <v>0</v>
      </c>
      <c r="AX47" s="242">
        <f t="shared" si="343"/>
        <v>0</v>
      </c>
      <c r="AY47" s="242">
        <f t="shared" si="343"/>
        <v>0</v>
      </c>
      <c r="AZ47" s="242">
        <f t="shared" si="343"/>
        <v>0</v>
      </c>
      <c r="BA47" s="242">
        <f t="shared" si="343"/>
        <v>0</v>
      </c>
      <c r="BB47" s="41">
        <f t="shared" si="343"/>
        <v>0</v>
      </c>
      <c r="BC47" s="243">
        <f t="shared" si="343"/>
        <v>0</v>
      </c>
      <c r="BD47" s="242">
        <f t="shared" si="343"/>
        <v>0</v>
      </c>
      <c r="BE47" s="242">
        <f t="shared" si="343"/>
        <v>0</v>
      </c>
      <c r="BF47" s="242">
        <f t="shared" si="343"/>
        <v>0</v>
      </c>
      <c r="BG47" s="178">
        <f t="shared" si="343"/>
        <v>0</v>
      </c>
      <c r="BH47" s="24" t="e">
        <f>AD47/AD51</f>
        <v>#DIV/0!</v>
      </c>
      <c r="BJ47" s="64" t="s">
        <v>52</v>
      </c>
      <c r="BK47" s="38">
        <f t="shared" ref="BK47:BV47" si="344">IF(AG51&gt;0,AG47/AG51,0)</f>
        <v>0</v>
      </c>
      <c r="BL47" s="242">
        <f t="shared" si="344"/>
        <v>0</v>
      </c>
      <c r="BM47" s="242">
        <f t="shared" si="344"/>
        <v>0</v>
      </c>
      <c r="BN47" s="242">
        <f t="shared" si="344"/>
        <v>0</v>
      </c>
      <c r="BO47" s="242">
        <f t="shared" si="344"/>
        <v>0</v>
      </c>
      <c r="BP47" s="242">
        <f t="shared" si="344"/>
        <v>0</v>
      </c>
      <c r="BQ47" s="41">
        <f t="shared" si="344"/>
        <v>0</v>
      </c>
      <c r="BR47" s="243">
        <f t="shared" si="344"/>
        <v>0</v>
      </c>
      <c r="BS47" s="242">
        <f t="shared" si="344"/>
        <v>0</v>
      </c>
      <c r="BT47" s="242">
        <f t="shared" si="344"/>
        <v>0</v>
      </c>
      <c r="BU47" s="242">
        <f t="shared" si="344"/>
        <v>0</v>
      </c>
      <c r="BV47" s="178">
        <f t="shared" si="344"/>
        <v>0</v>
      </c>
      <c r="BW47" s="24" t="e">
        <f>AS47/AS51</f>
        <v>#DIV/0!</v>
      </c>
      <c r="BX47" s="24"/>
      <c r="BY47" s="64" t="s">
        <v>52</v>
      </c>
      <c r="BZ47" s="54">
        <f t="shared" si="224"/>
        <v>0</v>
      </c>
      <c r="CA47" s="55">
        <f t="shared" si="193"/>
        <v>0</v>
      </c>
      <c r="CB47" s="55">
        <f t="shared" si="194"/>
        <v>0</v>
      </c>
      <c r="CC47" s="55">
        <f t="shared" si="195"/>
        <v>0</v>
      </c>
      <c r="CD47" s="55">
        <f t="shared" si="196"/>
        <v>0</v>
      </c>
      <c r="CE47" s="55">
        <f t="shared" si="197"/>
        <v>0</v>
      </c>
      <c r="CF47" s="61">
        <f t="shared" si="198"/>
        <v>0</v>
      </c>
      <c r="CG47" s="246">
        <f>AN47-Y47</f>
        <v>0</v>
      </c>
      <c r="CH47" s="55">
        <f t="shared" si="200"/>
        <v>0</v>
      </c>
      <c r="CI47" s="55">
        <f t="shared" si="201"/>
        <v>0</v>
      </c>
      <c r="CJ47" s="55">
        <f t="shared" si="202"/>
        <v>0</v>
      </c>
      <c r="CK47" s="249">
        <f t="shared" si="202"/>
        <v>0</v>
      </c>
      <c r="CL47" s="55">
        <f t="shared" si="203"/>
        <v>0</v>
      </c>
      <c r="CN47" s="64" t="s">
        <v>52</v>
      </c>
      <c r="CO47" s="54">
        <f t="shared" si="225"/>
        <v>0</v>
      </c>
      <c r="CP47" s="55">
        <f t="shared" si="204"/>
        <v>0</v>
      </c>
      <c r="CQ47" s="55">
        <f t="shared" si="205"/>
        <v>0</v>
      </c>
      <c r="CR47" s="55">
        <f t="shared" si="206"/>
        <v>0</v>
      </c>
      <c r="CS47" s="55">
        <f t="shared" si="207"/>
        <v>0</v>
      </c>
      <c r="CT47" s="55">
        <f t="shared" si="208"/>
        <v>0</v>
      </c>
      <c r="CU47" s="61">
        <f t="shared" si="209"/>
        <v>0</v>
      </c>
      <c r="CV47" s="246">
        <f t="shared" si="210"/>
        <v>0</v>
      </c>
      <c r="CW47" s="55">
        <f t="shared" si="211"/>
        <v>0</v>
      </c>
      <c r="CX47" s="55">
        <f t="shared" si="212"/>
        <v>0</v>
      </c>
      <c r="CY47" s="55">
        <f t="shared" si="213"/>
        <v>0</v>
      </c>
      <c r="CZ47" s="249">
        <f t="shared" si="213"/>
        <v>0</v>
      </c>
      <c r="DA47" s="62" t="e">
        <f t="shared" si="214"/>
        <v>#DIV/0!</v>
      </c>
      <c r="DC47" s="64" t="s">
        <v>52</v>
      </c>
      <c r="DD47" s="198">
        <f t="shared" si="226"/>
        <v>0</v>
      </c>
      <c r="DE47" s="199">
        <f t="shared" si="227"/>
        <v>0</v>
      </c>
      <c r="DF47" s="198">
        <f t="shared" si="228"/>
        <v>0</v>
      </c>
      <c r="DG47" s="199">
        <f t="shared" si="229"/>
        <v>0</v>
      </c>
      <c r="DH47" s="198">
        <f t="shared" si="230"/>
        <v>0</v>
      </c>
      <c r="DI47" s="199">
        <f t="shared" si="231"/>
        <v>0</v>
      </c>
      <c r="DJ47" s="198">
        <f t="shared" si="232"/>
        <v>0</v>
      </c>
      <c r="DK47" s="199">
        <f t="shared" si="233"/>
        <v>0</v>
      </c>
      <c r="DL47" s="198">
        <f t="shared" si="234"/>
        <v>0</v>
      </c>
      <c r="DM47" s="199">
        <f t="shared" si="235"/>
        <v>0</v>
      </c>
      <c r="DN47" s="198">
        <f t="shared" si="236"/>
        <v>0</v>
      </c>
      <c r="DO47" s="199">
        <f t="shared" si="237"/>
        <v>0</v>
      </c>
      <c r="DP47" s="200">
        <f t="shared" si="238"/>
        <v>0</v>
      </c>
      <c r="DQ47" s="201">
        <f t="shared" si="239"/>
        <v>0</v>
      </c>
      <c r="DR47" s="198">
        <f t="shared" si="240"/>
        <v>0</v>
      </c>
      <c r="DS47" s="199">
        <f t="shared" si="241"/>
        <v>0</v>
      </c>
      <c r="DT47" s="198">
        <f t="shared" si="242"/>
        <v>0</v>
      </c>
      <c r="DU47" s="199">
        <f t="shared" si="243"/>
        <v>0</v>
      </c>
      <c r="DV47" s="198">
        <f t="shared" si="244"/>
        <v>0</v>
      </c>
      <c r="DW47" s="199">
        <f t="shared" si="245"/>
        <v>0</v>
      </c>
      <c r="DX47" s="198">
        <f t="shared" si="246"/>
        <v>0</v>
      </c>
      <c r="DY47" s="199">
        <f t="shared" si="247"/>
        <v>0</v>
      </c>
      <c r="DZ47" s="190">
        <f t="shared" si="248"/>
        <v>0</v>
      </c>
      <c r="EA47" s="199">
        <f t="shared" si="215"/>
        <v>0</v>
      </c>
      <c r="EB47" s="190" t="e">
        <f t="shared" si="249"/>
        <v>#DIV/0!</v>
      </c>
      <c r="EC47" s="190" t="e">
        <f t="shared" si="250"/>
        <v>#DIV/0!</v>
      </c>
    </row>
    <row r="48" spans="1:133" x14ac:dyDescent="0.2">
      <c r="A48" s="2" t="s">
        <v>6</v>
      </c>
      <c r="B48" s="38">
        <f>targets!AW47</f>
        <v>0</v>
      </c>
      <c r="C48" s="242">
        <f>targets!AX47</f>
        <v>0</v>
      </c>
      <c r="D48" s="242">
        <f>targets!AY47</f>
        <v>0</v>
      </c>
      <c r="E48" s="242">
        <f>targets!AZ47</f>
        <v>0</v>
      </c>
      <c r="F48" s="242">
        <f>targets!BA47</f>
        <v>0</v>
      </c>
      <c r="G48" s="242">
        <f>SUM(targets!BB47:BG47)</f>
        <v>0</v>
      </c>
      <c r="H48" s="242">
        <f>SUM(targets!BH47:BM47)</f>
        <v>0</v>
      </c>
      <c r="I48" s="243">
        <f t="shared" si="251"/>
        <v>0</v>
      </c>
      <c r="J48" s="242">
        <f>targets!BN47</f>
        <v>0</v>
      </c>
      <c r="K48" s="242">
        <f>targets!BO47</f>
        <v>0</v>
      </c>
      <c r="L48" s="242">
        <f>targets!BP47</f>
        <v>0</v>
      </c>
      <c r="M48" s="178">
        <f t="shared" ref="M48:M50" si="345">SUM(J48:L48)</f>
        <v>0</v>
      </c>
      <c r="N48" s="17">
        <f t="shared" si="216"/>
        <v>0</v>
      </c>
      <c r="O48" s="17"/>
      <c r="P48" s="17"/>
      <c r="Q48" s="2" t="s">
        <v>6</v>
      </c>
      <c r="R48" s="38">
        <f t="shared" si="217"/>
        <v>0</v>
      </c>
      <c r="S48" s="242">
        <f t="shared" si="185"/>
        <v>0</v>
      </c>
      <c r="T48" s="242">
        <f t="shared" si="186"/>
        <v>0</v>
      </c>
      <c r="U48" s="242">
        <f t="shared" si="187"/>
        <v>0</v>
      </c>
      <c r="V48" s="242">
        <f t="shared" si="188"/>
        <v>0</v>
      </c>
      <c r="W48" s="242">
        <f t="shared" si="189"/>
        <v>0</v>
      </c>
      <c r="X48" s="242">
        <f t="shared" si="190"/>
        <v>0</v>
      </c>
      <c r="Y48" s="243">
        <f t="shared" si="218"/>
        <v>0</v>
      </c>
      <c r="Z48" s="242"/>
      <c r="AA48" s="242"/>
      <c r="AB48" s="242"/>
      <c r="AC48" s="178">
        <f t="shared" si="253"/>
        <v>0</v>
      </c>
      <c r="AD48" s="17">
        <f t="shared" si="219"/>
        <v>0</v>
      </c>
      <c r="AF48" s="2" t="s">
        <v>6</v>
      </c>
      <c r="AG48" s="38">
        <f t="array" ref="AG48">SUM(IF((modeldata!$F:$F=calibration!$AF$28)*(modeldata!$G:$G=calibration!AG$30)*(modeldata!$H:$H=calibration!$AF48),modeldata!$E:$E,0))</f>
        <v>0</v>
      </c>
      <c r="AH48" s="242">
        <f t="array" ref="AH48">SUM(IF((modeldata!$F:$F=calibration!$AF$28)*(modeldata!$G:$G=calibration!AH$30)*(modeldata!$H:$H=calibration!$AF48),modeldata!$E:$E,0))</f>
        <v>0</v>
      </c>
      <c r="AI48" s="242">
        <f t="array" ref="AI48">SUM(IF((modeldata!$F:$F=calibration!$AF$28)*(modeldata!$G:$G=calibration!AI$30)*(modeldata!$H:$H=calibration!$AF48),modeldata!$E:$E,0))</f>
        <v>0</v>
      </c>
      <c r="AJ48" s="242">
        <f t="array" ref="AJ48">SUM(IF((modeldata!$F:$F=calibration!$AF$28)*(modeldata!$G:$G=calibration!AJ$30)*(modeldata!$H:$H=calibration!$AF48),modeldata!$E:$E,0))</f>
        <v>0</v>
      </c>
      <c r="AK48" s="242">
        <f t="array" ref="AK48">SUM(IF((modeldata!$F:$F=calibration!$AF$28)*(modeldata!$G:$G=calibration!AK$30)*(modeldata!$H:$H=calibration!$AF48),modeldata!$E:$E,0))</f>
        <v>0</v>
      </c>
      <c r="AL48" s="242">
        <f t="array" ref="AL48">SUM(IF((modeldata!$F:$F=calibration!$AF$28)*(modeldata!$G:$G=calibration!AL$30)*(modeldata!$H:$H=calibration!$AF48),modeldata!$E:$E,0))</f>
        <v>0</v>
      </c>
      <c r="AM48" s="242">
        <f t="array" ref="AM48">SUM(IF((modeldata!$F:$F=calibration!$AF$28)*(modeldata!$G:$G=calibration!AM$30)*(modeldata!$H:$H=calibration!$AF48),modeldata!$E:$E,0))</f>
        <v>0</v>
      </c>
      <c r="AN48" s="243">
        <f t="shared" si="220"/>
        <v>0</v>
      </c>
      <c r="AO48" s="242">
        <f t="array" ref="AO48">SUM(IF((modeldata!$F:$F=calibration!$AF$28)*(modeldata!$G:$G=calibration!AO$30)*(modeldata!$H:$H=calibration!$AF48),modeldata!$E:$E,0))</f>
        <v>0</v>
      </c>
      <c r="AP48" s="242">
        <f t="array" ref="AP48">SUM(IF((modeldata!$F:$F=calibration!$AF$28)*(modeldata!$G:$G=calibration!AP$30)*(modeldata!$H:$H=calibration!$AF48),modeldata!$E:$E,0))</f>
        <v>0</v>
      </c>
      <c r="AQ48" s="242">
        <f t="array" ref="AQ48">SUM(IF((modeldata!$F:$F=calibration!$AF$28)*(modeldata!$G:$G=calibration!AQ$30)*(modeldata!$H:$H=calibration!$AF48),modeldata!$E:$E,0))</f>
        <v>0</v>
      </c>
      <c r="AR48" s="178">
        <f t="shared" ref="AR48:AR50" si="346">SUM(AO48:AQ48)</f>
        <v>0</v>
      </c>
      <c r="AS48" s="17">
        <f t="shared" si="221"/>
        <v>0</v>
      </c>
      <c r="AU48" s="2" t="s">
        <v>6</v>
      </c>
      <c r="AV48" s="38">
        <f t="shared" ref="AV48:BG48" si="347">IF(R51&gt;0,R48/R51,0)</f>
        <v>0</v>
      </c>
      <c r="AW48" s="242">
        <f t="shared" si="347"/>
        <v>0</v>
      </c>
      <c r="AX48" s="242">
        <f t="shared" si="347"/>
        <v>0</v>
      </c>
      <c r="AY48" s="242">
        <f t="shared" si="347"/>
        <v>0</v>
      </c>
      <c r="AZ48" s="242">
        <f t="shared" si="347"/>
        <v>0</v>
      </c>
      <c r="BA48" s="242">
        <f t="shared" si="347"/>
        <v>0</v>
      </c>
      <c r="BB48" s="242">
        <f t="shared" si="347"/>
        <v>0</v>
      </c>
      <c r="BC48" s="243">
        <f t="shared" si="347"/>
        <v>0</v>
      </c>
      <c r="BD48" s="242">
        <f t="shared" si="347"/>
        <v>0</v>
      </c>
      <c r="BE48" s="242">
        <f t="shared" si="347"/>
        <v>0</v>
      </c>
      <c r="BF48" s="242">
        <f t="shared" si="347"/>
        <v>0</v>
      </c>
      <c r="BG48" s="178">
        <f t="shared" si="347"/>
        <v>0</v>
      </c>
      <c r="BH48" s="24" t="e">
        <f>AD48/AD51</f>
        <v>#DIV/0!</v>
      </c>
      <c r="BJ48" s="2" t="s">
        <v>6</v>
      </c>
      <c r="BK48" s="38">
        <f t="shared" ref="BK48:BV48" si="348">IF(AG51&gt;0,AG48/AG51,0)</f>
        <v>0</v>
      </c>
      <c r="BL48" s="242">
        <f t="shared" si="348"/>
        <v>0</v>
      </c>
      <c r="BM48" s="242">
        <f t="shared" si="348"/>
        <v>0</v>
      </c>
      <c r="BN48" s="242">
        <f t="shared" si="348"/>
        <v>0</v>
      </c>
      <c r="BO48" s="242">
        <f t="shared" si="348"/>
        <v>0</v>
      </c>
      <c r="BP48" s="242">
        <f t="shared" si="348"/>
        <v>0</v>
      </c>
      <c r="BQ48" s="242">
        <f t="shared" si="348"/>
        <v>0</v>
      </c>
      <c r="BR48" s="243">
        <f t="shared" si="348"/>
        <v>0</v>
      </c>
      <c r="BS48" s="242">
        <f t="shared" si="348"/>
        <v>0</v>
      </c>
      <c r="BT48" s="242">
        <f t="shared" si="348"/>
        <v>0</v>
      </c>
      <c r="BU48" s="242">
        <f t="shared" si="348"/>
        <v>0</v>
      </c>
      <c r="BV48" s="178">
        <f t="shared" si="348"/>
        <v>0</v>
      </c>
      <c r="BW48" s="24" t="e">
        <f>AS48/AS51</f>
        <v>#DIV/0!</v>
      </c>
      <c r="BX48" s="24"/>
      <c r="BY48" s="2" t="s">
        <v>6</v>
      </c>
      <c r="BZ48" s="54">
        <f t="shared" si="224"/>
        <v>0</v>
      </c>
      <c r="CA48" s="55">
        <f t="shared" si="193"/>
        <v>0</v>
      </c>
      <c r="CB48" s="55">
        <f t="shared" si="194"/>
        <v>0</v>
      </c>
      <c r="CC48" s="55">
        <f t="shared" si="195"/>
        <v>0</v>
      </c>
      <c r="CD48" s="55">
        <f t="shared" si="196"/>
        <v>0</v>
      </c>
      <c r="CE48" s="55">
        <f t="shared" si="197"/>
        <v>0</v>
      </c>
      <c r="CF48" s="55">
        <f t="shared" si="198"/>
        <v>0</v>
      </c>
      <c r="CG48" s="246">
        <f>AN48-Y48</f>
        <v>0</v>
      </c>
      <c r="CH48" s="55">
        <f t="shared" si="200"/>
        <v>0</v>
      </c>
      <c r="CI48" s="55">
        <f t="shared" si="201"/>
        <v>0</v>
      </c>
      <c r="CJ48" s="55">
        <f t="shared" si="202"/>
        <v>0</v>
      </c>
      <c r="CK48" s="249">
        <f t="shared" si="202"/>
        <v>0</v>
      </c>
      <c r="CL48" s="55">
        <f t="shared" si="203"/>
        <v>0</v>
      </c>
      <c r="CN48" s="2" t="s">
        <v>6</v>
      </c>
      <c r="CO48" s="54">
        <f t="shared" si="225"/>
        <v>0</v>
      </c>
      <c r="CP48" s="55">
        <f t="shared" si="204"/>
        <v>0</v>
      </c>
      <c r="CQ48" s="55">
        <f t="shared" si="205"/>
        <v>0</v>
      </c>
      <c r="CR48" s="55">
        <f t="shared" si="206"/>
        <v>0</v>
      </c>
      <c r="CS48" s="55">
        <f t="shared" si="207"/>
        <v>0</v>
      </c>
      <c r="CT48" s="55">
        <f t="shared" si="208"/>
        <v>0</v>
      </c>
      <c r="CU48" s="55">
        <f t="shared" si="209"/>
        <v>0</v>
      </c>
      <c r="CV48" s="246">
        <f t="shared" si="210"/>
        <v>0</v>
      </c>
      <c r="CW48" s="55">
        <f t="shared" si="211"/>
        <v>0</v>
      </c>
      <c r="CX48" s="55">
        <f t="shared" si="212"/>
        <v>0</v>
      </c>
      <c r="CY48" s="55">
        <f t="shared" si="213"/>
        <v>0</v>
      </c>
      <c r="CZ48" s="249">
        <f t="shared" si="213"/>
        <v>0</v>
      </c>
      <c r="DA48" s="62" t="e">
        <f t="shared" si="214"/>
        <v>#DIV/0!</v>
      </c>
      <c r="DC48" s="2" t="s">
        <v>6</v>
      </c>
      <c r="DD48" s="198">
        <f t="shared" si="226"/>
        <v>0</v>
      </c>
      <c r="DE48" s="199">
        <f t="shared" si="227"/>
        <v>0</v>
      </c>
      <c r="DF48" s="198">
        <f t="shared" si="228"/>
        <v>0</v>
      </c>
      <c r="DG48" s="199">
        <f t="shared" si="229"/>
        <v>0</v>
      </c>
      <c r="DH48" s="198">
        <f t="shared" si="230"/>
        <v>0</v>
      </c>
      <c r="DI48" s="199">
        <f t="shared" si="231"/>
        <v>0</v>
      </c>
      <c r="DJ48" s="198">
        <f t="shared" si="232"/>
        <v>0</v>
      </c>
      <c r="DK48" s="199">
        <f t="shared" si="233"/>
        <v>0</v>
      </c>
      <c r="DL48" s="198">
        <f t="shared" si="234"/>
        <v>0</v>
      </c>
      <c r="DM48" s="199">
        <f t="shared" si="235"/>
        <v>0</v>
      </c>
      <c r="DN48" s="198">
        <f t="shared" si="236"/>
        <v>0</v>
      </c>
      <c r="DO48" s="199">
        <f t="shared" si="237"/>
        <v>0</v>
      </c>
      <c r="DP48" s="198">
        <f t="shared" si="238"/>
        <v>0</v>
      </c>
      <c r="DQ48" s="199">
        <f t="shared" si="239"/>
        <v>0</v>
      </c>
      <c r="DR48" s="198">
        <f t="shared" si="240"/>
        <v>0</v>
      </c>
      <c r="DS48" s="199">
        <f t="shared" si="241"/>
        <v>0</v>
      </c>
      <c r="DT48" s="198">
        <f t="shared" si="242"/>
        <v>0</v>
      </c>
      <c r="DU48" s="199">
        <f t="shared" si="243"/>
        <v>0</v>
      </c>
      <c r="DV48" s="198">
        <f t="shared" si="244"/>
        <v>0</v>
      </c>
      <c r="DW48" s="199">
        <f t="shared" si="245"/>
        <v>0</v>
      </c>
      <c r="DX48" s="198">
        <f t="shared" si="246"/>
        <v>0</v>
      </c>
      <c r="DY48" s="199">
        <f t="shared" si="247"/>
        <v>0</v>
      </c>
      <c r="DZ48" s="190">
        <f t="shared" si="248"/>
        <v>0</v>
      </c>
      <c r="EA48" s="199">
        <f t="shared" si="215"/>
        <v>0</v>
      </c>
      <c r="EB48" s="190" t="e">
        <f t="shared" si="249"/>
        <v>#DIV/0!</v>
      </c>
      <c r="EC48" s="190" t="e">
        <f t="shared" si="250"/>
        <v>#DIV/0!</v>
      </c>
    </row>
    <row r="49" spans="1:133" x14ac:dyDescent="0.2">
      <c r="A49" s="2" t="s">
        <v>88</v>
      </c>
      <c r="B49" s="38">
        <f>targets!AW48</f>
        <v>0</v>
      </c>
      <c r="C49" s="242">
        <f>targets!AX48</f>
        <v>0</v>
      </c>
      <c r="D49" s="242">
        <f>targets!AY48</f>
        <v>0</v>
      </c>
      <c r="E49" s="242">
        <f>targets!AZ48</f>
        <v>0</v>
      </c>
      <c r="F49" s="242">
        <f>targets!BA48</f>
        <v>0</v>
      </c>
      <c r="G49" s="242">
        <f>SUM(targets!BB48:BG48)</f>
        <v>0</v>
      </c>
      <c r="H49" s="242">
        <f>SUM(targets!BH48:BM48)</f>
        <v>0</v>
      </c>
      <c r="I49" s="243">
        <f t="shared" si="251"/>
        <v>0</v>
      </c>
      <c r="J49" s="242">
        <f>targets!BN48</f>
        <v>0</v>
      </c>
      <c r="K49" s="242">
        <f>targets!BO48</f>
        <v>0</v>
      </c>
      <c r="L49" s="242">
        <f>targets!BP48</f>
        <v>0</v>
      </c>
      <c r="M49" s="178">
        <f t="shared" si="345"/>
        <v>0</v>
      </c>
      <c r="N49" s="17">
        <f t="shared" si="216"/>
        <v>0</v>
      </c>
      <c r="O49" s="17"/>
      <c r="P49" s="17"/>
      <c r="Q49" s="2" t="s">
        <v>88</v>
      </c>
      <c r="R49" s="38">
        <f t="shared" si="217"/>
        <v>0</v>
      </c>
      <c r="S49" s="242">
        <f t="shared" si="185"/>
        <v>0</v>
      </c>
      <c r="T49" s="242">
        <f t="shared" si="186"/>
        <v>0</v>
      </c>
      <c r="U49" s="242">
        <f t="shared" si="187"/>
        <v>0</v>
      </c>
      <c r="V49" s="242">
        <f t="shared" si="188"/>
        <v>0</v>
      </c>
      <c r="W49" s="242">
        <f t="shared" si="189"/>
        <v>0</v>
      </c>
      <c r="X49" s="242">
        <f t="shared" si="190"/>
        <v>0</v>
      </c>
      <c r="Y49" s="243">
        <f t="shared" si="218"/>
        <v>0</v>
      </c>
      <c r="Z49" s="242"/>
      <c r="AA49" s="242"/>
      <c r="AB49" s="242"/>
      <c r="AC49" s="178">
        <f t="shared" si="253"/>
        <v>0</v>
      </c>
      <c r="AD49" s="17">
        <f t="shared" si="219"/>
        <v>0</v>
      </c>
      <c r="AF49" s="2" t="s">
        <v>88</v>
      </c>
      <c r="AG49" s="38" cm="1">
        <f t="array" ref="AG49">SUM(IF((modeldata!$F:$F=calibration!$AF$28)*(modeldata!$G:$G=calibration!AG$30)*(modeldata!$H:$H=calibration!$AF49),modeldata!$E:$E,0))</f>
        <v>0</v>
      </c>
      <c r="AH49" s="242">
        <f t="array" ref="AH49">SUM(IF((modeldata!$F:$F=calibration!$AF$28)*(modeldata!$G:$G=calibration!AH$30)*(modeldata!$H:$H=calibration!$AF49),modeldata!$E:$E,0))</f>
        <v>0</v>
      </c>
      <c r="AI49" s="242">
        <f t="array" ref="AI49">SUM(IF((modeldata!$F:$F=calibration!$AF$28)*(modeldata!$G:$G=calibration!AI$30)*(modeldata!$H:$H=calibration!$AF49),modeldata!$E:$E,0))</f>
        <v>0</v>
      </c>
      <c r="AJ49" s="242">
        <f t="array" ref="AJ49">SUM(IF((modeldata!$F:$F=calibration!$AF$28)*(modeldata!$G:$G=calibration!AJ$30)*(modeldata!$H:$H=calibration!$AF49),modeldata!$E:$E,0))</f>
        <v>0</v>
      </c>
      <c r="AK49" s="242">
        <f t="array" ref="AK49">SUM(IF((modeldata!$F:$F=calibration!$AF$28)*(modeldata!$G:$G=calibration!AK$30)*(modeldata!$H:$H=calibration!$AF49),modeldata!$E:$E,0))</f>
        <v>0</v>
      </c>
      <c r="AL49" s="242">
        <f t="array" ref="AL49">SUM(IF((modeldata!$F:$F=calibration!$AF$28)*(modeldata!$G:$G=calibration!AL$30)*(modeldata!$H:$H=calibration!$AF49),modeldata!$E:$E,0))</f>
        <v>0</v>
      </c>
      <c r="AM49" s="242">
        <f t="array" ref="AM49">SUM(IF((modeldata!$F:$F=calibration!$AF$28)*(modeldata!$G:$G=calibration!AM$30)*(modeldata!$H:$H=calibration!$AF49),modeldata!$E:$E,0))</f>
        <v>0</v>
      </c>
      <c r="AN49" s="243">
        <f t="shared" si="220"/>
        <v>0</v>
      </c>
      <c r="AO49" s="242">
        <f t="array" ref="AO49">SUM(IF((modeldata!$F:$F=calibration!$AF$28)*(modeldata!$G:$G=calibration!AO$30)*(modeldata!$H:$H=calibration!$AF49),modeldata!$E:$E,0))</f>
        <v>0</v>
      </c>
      <c r="AP49" s="242">
        <f t="array" ref="AP49">SUM(IF((modeldata!$F:$F=calibration!$AF$28)*(modeldata!$G:$G=calibration!AP$30)*(modeldata!$H:$H=calibration!$AF49),modeldata!$E:$E,0))</f>
        <v>0</v>
      </c>
      <c r="AQ49" s="242">
        <f t="array" ref="AQ49">SUM(IF((modeldata!$F:$F=calibration!$AF$28)*(modeldata!$G:$G=calibration!AQ$30)*(modeldata!$H:$H=calibration!$AF49),modeldata!$E:$E,0))</f>
        <v>0</v>
      </c>
      <c r="AR49" s="178">
        <f t="shared" si="346"/>
        <v>0</v>
      </c>
      <c r="AS49" s="17">
        <f t="shared" si="221"/>
        <v>0</v>
      </c>
      <c r="AU49" s="2" t="s">
        <v>88</v>
      </c>
      <c r="AV49" s="38">
        <f t="shared" ref="AV49:BG49" si="349">IF(R51&gt;0,R49/R51,0)</f>
        <v>0</v>
      </c>
      <c r="AW49" s="242">
        <f t="shared" si="349"/>
        <v>0</v>
      </c>
      <c r="AX49" s="242">
        <f t="shared" si="349"/>
        <v>0</v>
      </c>
      <c r="AY49" s="242">
        <f t="shared" si="349"/>
        <v>0</v>
      </c>
      <c r="AZ49" s="242">
        <f t="shared" si="349"/>
        <v>0</v>
      </c>
      <c r="BA49" s="242">
        <f t="shared" si="349"/>
        <v>0</v>
      </c>
      <c r="BB49" s="242">
        <f t="shared" si="349"/>
        <v>0</v>
      </c>
      <c r="BC49" s="243">
        <f t="shared" si="349"/>
        <v>0</v>
      </c>
      <c r="BD49" s="242">
        <f t="shared" si="349"/>
        <v>0</v>
      </c>
      <c r="BE49" s="242">
        <f t="shared" si="349"/>
        <v>0</v>
      </c>
      <c r="BF49" s="242">
        <f t="shared" si="349"/>
        <v>0</v>
      </c>
      <c r="BG49" s="178">
        <f t="shared" si="349"/>
        <v>0</v>
      </c>
      <c r="BH49" s="24" t="e">
        <f>AD49/AD51</f>
        <v>#DIV/0!</v>
      </c>
      <c r="BJ49" s="2" t="s">
        <v>88</v>
      </c>
      <c r="BK49" s="38">
        <f t="shared" ref="BK49:BV49" si="350">IF(AG51&gt;0,AG49/AG51,0)</f>
        <v>0</v>
      </c>
      <c r="BL49" s="242">
        <f t="shared" si="350"/>
        <v>0</v>
      </c>
      <c r="BM49" s="242">
        <f t="shared" si="350"/>
        <v>0</v>
      </c>
      <c r="BN49" s="242">
        <f t="shared" si="350"/>
        <v>0</v>
      </c>
      <c r="BO49" s="242">
        <f t="shared" si="350"/>
        <v>0</v>
      </c>
      <c r="BP49" s="242">
        <f t="shared" si="350"/>
        <v>0</v>
      </c>
      <c r="BQ49" s="242">
        <f t="shared" si="350"/>
        <v>0</v>
      </c>
      <c r="BR49" s="243">
        <f t="shared" si="350"/>
        <v>0</v>
      </c>
      <c r="BS49" s="242">
        <f t="shared" si="350"/>
        <v>0</v>
      </c>
      <c r="BT49" s="242">
        <f t="shared" si="350"/>
        <v>0</v>
      </c>
      <c r="BU49" s="242">
        <f t="shared" si="350"/>
        <v>0</v>
      </c>
      <c r="BV49" s="178">
        <f t="shared" si="350"/>
        <v>0</v>
      </c>
      <c r="BW49" s="24" t="e">
        <f>AS49/AS51</f>
        <v>#DIV/0!</v>
      </c>
      <c r="BX49" s="24"/>
      <c r="BY49" s="2" t="s">
        <v>88</v>
      </c>
      <c r="BZ49" s="54">
        <f t="shared" si="224"/>
        <v>0</v>
      </c>
      <c r="CA49" s="55">
        <f t="shared" si="193"/>
        <v>0</v>
      </c>
      <c r="CB49" s="55">
        <f t="shared" si="194"/>
        <v>0</v>
      </c>
      <c r="CC49" s="55">
        <f t="shared" si="195"/>
        <v>0</v>
      </c>
      <c r="CD49" s="55">
        <f t="shared" si="196"/>
        <v>0</v>
      </c>
      <c r="CE49" s="55">
        <f t="shared" si="197"/>
        <v>0</v>
      </c>
      <c r="CF49" s="55">
        <f t="shared" si="198"/>
        <v>0</v>
      </c>
      <c r="CG49" s="246">
        <f>AN49-Y49</f>
        <v>0</v>
      </c>
      <c r="CH49" s="55">
        <f t="shared" si="200"/>
        <v>0</v>
      </c>
      <c r="CI49" s="55">
        <f t="shared" si="201"/>
        <v>0</v>
      </c>
      <c r="CJ49" s="55">
        <f t="shared" si="202"/>
        <v>0</v>
      </c>
      <c r="CK49" s="249">
        <f t="shared" si="202"/>
        <v>0</v>
      </c>
      <c r="CL49" s="55">
        <f t="shared" si="203"/>
        <v>0</v>
      </c>
      <c r="CN49" s="2" t="s">
        <v>88</v>
      </c>
      <c r="CO49" s="54">
        <f t="shared" si="225"/>
        <v>0</v>
      </c>
      <c r="CP49" s="55">
        <f t="shared" si="204"/>
        <v>0</v>
      </c>
      <c r="CQ49" s="55">
        <f t="shared" si="205"/>
        <v>0</v>
      </c>
      <c r="CR49" s="55">
        <f t="shared" si="206"/>
        <v>0</v>
      </c>
      <c r="CS49" s="55">
        <f t="shared" si="207"/>
        <v>0</v>
      </c>
      <c r="CT49" s="55">
        <f t="shared" si="208"/>
        <v>0</v>
      </c>
      <c r="CU49" s="55">
        <f t="shared" si="209"/>
        <v>0</v>
      </c>
      <c r="CV49" s="246">
        <f t="shared" si="210"/>
        <v>0</v>
      </c>
      <c r="CW49" s="55">
        <f t="shared" si="211"/>
        <v>0</v>
      </c>
      <c r="CX49" s="55">
        <f t="shared" si="212"/>
        <v>0</v>
      </c>
      <c r="CY49" s="55">
        <f t="shared" si="213"/>
        <v>0</v>
      </c>
      <c r="CZ49" s="249">
        <f t="shared" si="213"/>
        <v>0</v>
      </c>
      <c r="DA49" s="62" t="e">
        <f t="shared" si="214"/>
        <v>#DIV/0!</v>
      </c>
      <c r="DC49" s="2" t="s">
        <v>88</v>
      </c>
      <c r="DD49" s="198">
        <f t="shared" si="226"/>
        <v>0</v>
      </c>
      <c r="DE49" s="199">
        <f t="shared" si="227"/>
        <v>0</v>
      </c>
      <c r="DF49" s="198">
        <f t="shared" si="228"/>
        <v>0</v>
      </c>
      <c r="DG49" s="199">
        <f t="shared" si="229"/>
        <v>0</v>
      </c>
      <c r="DH49" s="198">
        <f t="shared" si="230"/>
        <v>0</v>
      </c>
      <c r="DI49" s="199">
        <f t="shared" si="231"/>
        <v>0</v>
      </c>
      <c r="DJ49" s="198">
        <f t="shared" si="232"/>
        <v>0</v>
      </c>
      <c r="DK49" s="199">
        <f t="shared" si="233"/>
        <v>0</v>
      </c>
      <c r="DL49" s="198">
        <f t="shared" si="234"/>
        <v>0</v>
      </c>
      <c r="DM49" s="199">
        <f t="shared" si="235"/>
        <v>0</v>
      </c>
      <c r="DN49" s="198">
        <f t="shared" si="236"/>
        <v>0</v>
      </c>
      <c r="DO49" s="199">
        <f t="shared" si="237"/>
        <v>0</v>
      </c>
      <c r="DP49" s="198">
        <f t="shared" si="238"/>
        <v>0</v>
      </c>
      <c r="DQ49" s="199">
        <f t="shared" si="239"/>
        <v>0</v>
      </c>
      <c r="DR49" s="198">
        <f t="shared" si="240"/>
        <v>0</v>
      </c>
      <c r="DS49" s="199">
        <f t="shared" si="241"/>
        <v>0</v>
      </c>
      <c r="DT49" s="198">
        <f t="shared" si="242"/>
        <v>0</v>
      </c>
      <c r="DU49" s="199">
        <f t="shared" si="243"/>
        <v>0</v>
      </c>
      <c r="DV49" s="198">
        <f t="shared" si="244"/>
        <v>0</v>
      </c>
      <c r="DW49" s="199">
        <f t="shared" si="245"/>
        <v>0</v>
      </c>
      <c r="DX49" s="198">
        <f t="shared" si="246"/>
        <v>0</v>
      </c>
      <c r="DY49" s="199">
        <f t="shared" si="247"/>
        <v>0</v>
      </c>
      <c r="DZ49" s="190">
        <f t="shared" si="248"/>
        <v>0</v>
      </c>
      <c r="EA49" s="199">
        <f t="shared" si="215"/>
        <v>0</v>
      </c>
      <c r="EB49" s="190" t="e">
        <f t="shared" si="249"/>
        <v>#DIV/0!</v>
      </c>
      <c r="EC49" s="190" t="e">
        <f t="shared" si="250"/>
        <v>#DIV/0!</v>
      </c>
    </row>
    <row r="50" spans="1:133" x14ac:dyDescent="0.2">
      <c r="A50" s="2" t="s">
        <v>89</v>
      </c>
      <c r="B50" s="42">
        <f>targets!AW49</f>
        <v>0</v>
      </c>
      <c r="C50" s="43">
        <f>targets!AX49</f>
        <v>0</v>
      </c>
      <c r="D50" s="43">
        <f>targets!AY49</f>
        <v>0</v>
      </c>
      <c r="E50" s="43">
        <f>targets!AZ49</f>
        <v>0</v>
      </c>
      <c r="F50" s="43">
        <f>targets!BA49</f>
        <v>0</v>
      </c>
      <c r="G50" s="43">
        <f>SUM(targets!BB49:BG49)</f>
        <v>0</v>
      </c>
      <c r="H50" s="43">
        <f>SUM(targets!BH49:BM49)</f>
        <v>0</v>
      </c>
      <c r="I50" s="75">
        <f t="shared" si="251"/>
        <v>0</v>
      </c>
      <c r="J50" s="43">
        <f>targets!BN49</f>
        <v>0</v>
      </c>
      <c r="K50" s="43">
        <f>targets!BO49</f>
        <v>0</v>
      </c>
      <c r="L50" s="43">
        <f>targets!BP49</f>
        <v>0</v>
      </c>
      <c r="M50" s="244">
        <f t="shared" si="345"/>
        <v>0</v>
      </c>
      <c r="N50" s="17">
        <f t="shared" si="216"/>
        <v>0</v>
      </c>
      <c r="O50" s="17"/>
      <c r="P50" s="17"/>
      <c r="Q50" s="2" t="s">
        <v>89</v>
      </c>
      <c r="R50" s="42">
        <f t="shared" si="217"/>
        <v>0</v>
      </c>
      <c r="S50" s="43">
        <f t="shared" si="185"/>
        <v>0</v>
      </c>
      <c r="T50" s="43">
        <f t="shared" si="186"/>
        <v>0</v>
      </c>
      <c r="U50" s="43">
        <f t="shared" si="187"/>
        <v>0</v>
      </c>
      <c r="V50" s="43">
        <f t="shared" si="188"/>
        <v>0</v>
      </c>
      <c r="W50" s="43">
        <f t="shared" si="189"/>
        <v>0</v>
      </c>
      <c r="X50" s="43">
        <f t="shared" si="190"/>
        <v>0</v>
      </c>
      <c r="Y50" s="75">
        <f t="shared" si="218"/>
        <v>0</v>
      </c>
      <c r="Z50" s="43"/>
      <c r="AA50" s="43"/>
      <c r="AB50" s="43"/>
      <c r="AC50" s="244">
        <f t="shared" si="253"/>
        <v>0</v>
      </c>
      <c r="AD50" s="17">
        <f t="shared" si="219"/>
        <v>0</v>
      </c>
      <c r="AF50" s="2" t="s">
        <v>89</v>
      </c>
      <c r="AG50" s="42">
        <f t="array" ref="AG50">SUM(IF((modeldata!$F:$F=calibration!$AF$28)*(modeldata!$G:$G=calibration!AG$30)*(modeldata!$H:$H=calibration!$AF50),modeldata!$E:$E,0))</f>
        <v>0</v>
      </c>
      <c r="AH50" s="43">
        <f t="array" ref="AH50">SUM(IF((modeldata!$F:$F=calibration!$AF$28)*(modeldata!$G:$G=calibration!AH$30)*(modeldata!$H:$H=calibration!$AF50),modeldata!$E:$E,0))</f>
        <v>0</v>
      </c>
      <c r="AI50" s="43">
        <f t="array" ref="AI50">SUM(IF((modeldata!$F:$F=calibration!$AF$28)*(modeldata!$G:$G=calibration!AI$30)*(modeldata!$H:$H=calibration!$AF50),modeldata!$E:$E,0))</f>
        <v>0</v>
      </c>
      <c r="AJ50" s="43">
        <f t="array" ref="AJ50">SUM(IF((modeldata!$F:$F=calibration!$AF$28)*(modeldata!$G:$G=calibration!AJ$30)*(modeldata!$H:$H=calibration!$AF50),modeldata!$E:$E,0))</f>
        <v>0</v>
      </c>
      <c r="AK50" s="43">
        <f t="array" ref="AK50">SUM(IF((modeldata!$F:$F=calibration!$AF$28)*(modeldata!$G:$G=calibration!AK$30)*(modeldata!$H:$H=calibration!$AF50),modeldata!$E:$E,0))</f>
        <v>0</v>
      </c>
      <c r="AL50" s="43">
        <f t="array" ref="AL50">SUM(IF((modeldata!$F:$F=calibration!$AF$28)*(modeldata!$G:$G=calibration!AL$30)*(modeldata!$H:$H=calibration!$AF50),modeldata!$E:$E,0))</f>
        <v>0</v>
      </c>
      <c r="AM50" s="43">
        <f t="array" ref="AM50">SUM(IF((modeldata!$F:$F=calibration!$AF$28)*(modeldata!$G:$G=calibration!AM$30)*(modeldata!$H:$H=calibration!$AF50),modeldata!$E:$E,0))</f>
        <v>0</v>
      </c>
      <c r="AN50" s="75">
        <f t="shared" si="220"/>
        <v>0</v>
      </c>
      <c r="AO50" s="43">
        <f t="array" ref="AO50">SUM(IF((modeldata!$F:$F=calibration!$AF$28)*(modeldata!$G:$G=calibration!AO$30)*(modeldata!$H:$H=calibration!$AF50),modeldata!$E:$E,0))</f>
        <v>0</v>
      </c>
      <c r="AP50" s="43">
        <f t="array" ref="AP50">SUM(IF((modeldata!$F:$F=calibration!$AF$28)*(modeldata!$G:$G=calibration!AP$30)*(modeldata!$H:$H=calibration!$AF50),modeldata!$E:$E,0))</f>
        <v>0</v>
      </c>
      <c r="AQ50" s="43">
        <f t="array" ref="AQ50">SUM(IF((modeldata!$F:$F=calibration!$AF$28)*(modeldata!$G:$G=calibration!AQ$30)*(modeldata!$H:$H=calibration!$AF50),modeldata!$E:$E,0))</f>
        <v>0</v>
      </c>
      <c r="AR50" s="244">
        <f t="shared" si="346"/>
        <v>0</v>
      </c>
      <c r="AS50" s="17">
        <f t="shared" si="221"/>
        <v>0</v>
      </c>
      <c r="AU50" s="2" t="s">
        <v>89</v>
      </c>
      <c r="AV50" s="42">
        <f t="shared" ref="AV50:BG50" si="351">IF(R51&gt;0,R50/R51,0)</f>
        <v>0</v>
      </c>
      <c r="AW50" s="43">
        <f t="shared" si="351"/>
        <v>0</v>
      </c>
      <c r="AX50" s="43">
        <f t="shared" si="351"/>
        <v>0</v>
      </c>
      <c r="AY50" s="43">
        <f t="shared" si="351"/>
        <v>0</v>
      </c>
      <c r="AZ50" s="43">
        <f t="shared" si="351"/>
        <v>0</v>
      </c>
      <c r="BA50" s="43">
        <f t="shared" si="351"/>
        <v>0</v>
      </c>
      <c r="BB50" s="43">
        <f t="shared" si="351"/>
        <v>0</v>
      </c>
      <c r="BC50" s="75">
        <f t="shared" si="351"/>
        <v>0</v>
      </c>
      <c r="BD50" s="43">
        <f t="shared" si="351"/>
        <v>0</v>
      </c>
      <c r="BE50" s="43">
        <f t="shared" si="351"/>
        <v>0</v>
      </c>
      <c r="BF50" s="43">
        <f t="shared" si="351"/>
        <v>0</v>
      </c>
      <c r="BG50" s="244">
        <f t="shared" si="351"/>
        <v>0</v>
      </c>
      <c r="BH50" s="24" t="e">
        <f>AD50/AD51</f>
        <v>#DIV/0!</v>
      </c>
      <c r="BJ50" s="2" t="s">
        <v>89</v>
      </c>
      <c r="BK50" s="42">
        <f t="shared" ref="BK50:BV50" si="352">IF(AG51&gt;0,AG50/AG51,0)</f>
        <v>0</v>
      </c>
      <c r="BL50" s="43">
        <f t="shared" si="352"/>
        <v>0</v>
      </c>
      <c r="BM50" s="43">
        <f t="shared" si="352"/>
        <v>0</v>
      </c>
      <c r="BN50" s="43">
        <f t="shared" si="352"/>
        <v>0</v>
      </c>
      <c r="BO50" s="43">
        <f t="shared" si="352"/>
        <v>0</v>
      </c>
      <c r="BP50" s="43">
        <f t="shared" si="352"/>
        <v>0</v>
      </c>
      <c r="BQ50" s="43">
        <f t="shared" si="352"/>
        <v>0</v>
      </c>
      <c r="BR50" s="75">
        <f t="shared" si="352"/>
        <v>0</v>
      </c>
      <c r="BS50" s="43">
        <f t="shared" si="352"/>
        <v>0</v>
      </c>
      <c r="BT50" s="43">
        <f t="shared" si="352"/>
        <v>0</v>
      </c>
      <c r="BU50" s="43">
        <f t="shared" si="352"/>
        <v>0</v>
      </c>
      <c r="BV50" s="244">
        <f t="shared" si="352"/>
        <v>0</v>
      </c>
      <c r="BW50" s="24" t="e">
        <f>AS50/AS51</f>
        <v>#DIV/0!</v>
      </c>
      <c r="BX50" s="24"/>
      <c r="BY50" s="2" t="s">
        <v>89</v>
      </c>
      <c r="BZ50" s="56">
        <f t="shared" si="224"/>
        <v>0</v>
      </c>
      <c r="CA50" s="57">
        <f t="shared" si="193"/>
        <v>0</v>
      </c>
      <c r="CB50" s="57">
        <f t="shared" si="194"/>
        <v>0</v>
      </c>
      <c r="CC50" s="57">
        <f t="shared" si="195"/>
        <v>0</v>
      </c>
      <c r="CD50" s="57">
        <f t="shared" si="196"/>
        <v>0</v>
      </c>
      <c r="CE50" s="57">
        <f t="shared" si="197"/>
        <v>0</v>
      </c>
      <c r="CF50" s="57">
        <f t="shared" si="198"/>
        <v>0</v>
      </c>
      <c r="CG50" s="247">
        <f>AN50-Y50</f>
        <v>0</v>
      </c>
      <c r="CH50" s="57">
        <f t="shared" si="200"/>
        <v>0</v>
      </c>
      <c r="CI50" s="57">
        <f t="shared" si="201"/>
        <v>0</v>
      </c>
      <c r="CJ50" s="57">
        <f t="shared" si="202"/>
        <v>0</v>
      </c>
      <c r="CK50" s="250">
        <f t="shared" si="202"/>
        <v>0</v>
      </c>
      <c r="CL50" s="55">
        <f t="shared" si="203"/>
        <v>0</v>
      </c>
      <c r="CN50" s="2" t="s">
        <v>89</v>
      </c>
      <c r="CO50" s="56">
        <f t="shared" si="225"/>
        <v>0</v>
      </c>
      <c r="CP50" s="57">
        <f t="shared" si="204"/>
        <v>0</v>
      </c>
      <c r="CQ50" s="57">
        <f t="shared" si="205"/>
        <v>0</v>
      </c>
      <c r="CR50" s="57">
        <f t="shared" si="206"/>
        <v>0</v>
      </c>
      <c r="CS50" s="57">
        <f t="shared" si="207"/>
        <v>0</v>
      </c>
      <c r="CT50" s="57">
        <f t="shared" si="208"/>
        <v>0</v>
      </c>
      <c r="CU50" s="57">
        <f t="shared" si="209"/>
        <v>0</v>
      </c>
      <c r="CV50" s="247">
        <f t="shared" si="210"/>
        <v>0</v>
      </c>
      <c r="CW50" s="57">
        <f t="shared" si="211"/>
        <v>0</v>
      </c>
      <c r="CX50" s="57">
        <f t="shared" si="212"/>
        <v>0</v>
      </c>
      <c r="CY50" s="57">
        <f t="shared" si="213"/>
        <v>0</v>
      </c>
      <c r="CZ50" s="250">
        <f t="shared" si="213"/>
        <v>0</v>
      </c>
      <c r="DA50" s="62" t="e">
        <f t="shared" si="214"/>
        <v>#DIV/0!</v>
      </c>
      <c r="DC50" s="2" t="s">
        <v>89</v>
      </c>
      <c r="DD50" s="200">
        <f t="shared" si="226"/>
        <v>0</v>
      </c>
      <c r="DE50" s="201">
        <f t="shared" si="227"/>
        <v>0</v>
      </c>
      <c r="DF50" s="200">
        <f t="shared" si="228"/>
        <v>0</v>
      </c>
      <c r="DG50" s="201">
        <f t="shared" si="229"/>
        <v>0</v>
      </c>
      <c r="DH50" s="200">
        <f t="shared" si="230"/>
        <v>0</v>
      </c>
      <c r="DI50" s="201">
        <f t="shared" si="231"/>
        <v>0</v>
      </c>
      <c r="DJ50" s="200">
        <f t="shared" si="232"/>
        <v>0</v>
      </c>
      <c r="DK50" s="201">
        <f t="shared" si="233"/>
        <v>0</v>
      </c>
      <c r="DL50" s="200">
        <f t="shared" si="234"/>
        <v>0</v>
      </c>
      <c r="DM50" s="201">
        <f t="shared" si="235"/>
        <v>0</v>
      </c>
      <c r="DN50" s="200">
        <f t="shared" si="236"/>
        <v>0</v>
      </c>
      <c r="DO50" s="201">
        <f t="shared" si="237"/>
        <v>0</v>
      </c>
      <c r="DP50" s="200">
        <f t="shared" si="238"/>
        <v>0</v>
      </c>
      <c r="DQ50" s="201">
        <f t="shared" si="239"/>
        <v>0</v>
      </c>
      <c r="DR50" s="200">
        <f t="shared" si="240"/>
        <v>0</v>
      </c>
      <c r="DS50" s="201">
        <f t="shared" si="241"/>
        <v>0</v>
      </c>
      <c r="DT50" s="200">
        <f t="shared" si="242"/>
        <v>0</v>
      </c>
      <c r="DU50" s="201">
        <f t="shared" si="243"/>
        <v>0</v>
      </c>
      <c r="DV50" s="200">
        <f t="shared" si="244"/>
        <v>0</v>
      </c>
      <c r="DW50" s="201">
        <f t="shared" si="245"/>
        <v>0</v>
      </c>
      <c r="DX50" s="200">
        <f t="shared" si="246"/>
        <v>0</v>
      </c>
      <c r="DY50" s="201">
        <f t="shared" si="247"/>
        <v>0</v>
      </c>
      <c r="DZ50" s="202">
        <f t="shared" si="248"/>
        <v>0</v>
      </c>
      <c r="EA50" s="201">
        <f t="shared" si="215"/>
        <v>0</v>
      </c>
      <c r="EB50" s="190" t="e">
        <f t="shared" si="249"/>
        <v>#DIV/0!</v>
      </c>
      <c r="EC50" s="190" t="e">
        <f t="shared" si="250"/>
        <v>#DIV/0!</v>
      </c>
    </row>
    <row r="51" spans="1:133" x14ac:dyDescent="0.2">
      <c r="A51" s="65" t="s">
        <v>54</v>
      </c>
      <c r="B51" s="17">
        <f t="shared" ref="B51:M51" si="353">SUM(B31:B50)</f>
        <v>30498.159302921282</v>
      </c>
      <c r="C51" s="17">
        <f t="shared" si="353"/>
        <v>2729.6286017344255</v>
      </c>
      <c r="D51" s="17">
        <f t="shared" si="353"/>
        <v>8238.6223049620439</v>
      </c>
      <c r="E51" s="17">
        <f t="shared" si="353"/>
        <v>14703.287481908004</v>
      </c>
      <c r="F51" s="17">
        <f t="shared" si="353"/>
        <v>9556.8367540548297</v>
      </c>
      <c r="G51" s="17">
        <f t="shared" si="353"/>
        <v>42451.033448293325</v>
      </c>
      <c r="H51" s="17">
        <f t="shared" si="353"/>
        <v>73.604809948737156</v>
      </c>
      <c r="I51" s="72">
        <f t="shared" si="353"/>
        <v>42524.63825824207</v>
      </c>
      <c r="J51" s="17">
        <f t="shared" si="353"/>
        <v>0</v>
      </c>
      <c r="K51" s="17">
        <f t="shared" si="353"/>
        <v>0</v>
      </c>
      <c r="L51" s="17">
        <f t="shared" si="353"/>
        <v>0</v>
      </c>
      <c r="M51" s="72">
        <f t="shared" si="353"/>
        <v>0</v>
      </c>
      <c r="N51" s="17">
        <f>SUM(B51:L51)-I51</f>
        <v>108251.17270382264</v>
      </c>
      <c r="O51" s="17"/>
      <c r="P51" s="17"/>
      <c r="Q51" s="65" t="s">
        <v>54</v>
      </c>
      <c r="R51" s="17">
        <f t="shared" ref="R51:AC51" si="354">SUM(R31:R50)</f>
        <v>0</v>
      </c>
      <c r="S51" s="17">
        <f t="shared" si="354"/>
        <v>0</v>
      </c>
      <c r="T51" s="17">
        <f t="shared" si="354"/>
        <v>0</v>
      </c>
      <c r="U51" s="17">
        <f t="shared" si="354"/>
        <v>0</v>
      </c>
      <c r="V51" s="17">
        <f t="shared" si="354"/>
        <v>0</v>
      </c>
      <c r="W51" s="17">
        <f t="shared" si="354"/>
        <v>0</v>
      </c>
      <c r="X51" s="17">
        <f t="shared" si="354"/>
        <v>0</v>
      </c>
      <c r="Y51" s="72">
        <f t="shared" si="354"/>
        <v>0</v>
      </c>
      <c r="Z51" s="17">
        <f t="shared" si="354"/>
        <v>0</v>
      </c>
      <c r="AA51" s="17">
        <f t="shared" si="354"/>
        <v>0</v>
      </c>
      <c r="AB51" s="17">
        <f t="shared" si="354"/>
        <v>0</v>
      </c>
      <c r="AC51" s="72">
        <f t="shared" si="354"/>
        <v>0</v>
      </c>
      <c r="AD51" s="17">
        <f t="shared" si="219"/>
        <v>0</v>
      </c>
      <c r="AF51" s="65" t="s">
        <v>54</v>
      </c>
      <c r="AG51" s="17">
        <f t="shared" ref="AG51:AR51" si="355">SUM(AG31:AG50)</f>
        <v>0</v>
      </c>
      <c r="AH51" s="17">
        <f t="shared" si="355"/>
        <v>0</v>
      </c>
      <c r="AI51" s="17">
        <f t="shared" si="355"/>
        <v>0</v>
      </c>
      <c r="AJ51" s="17">
        <f t="shared" si="355"/>
        <v>0</v>
      </c>
      <c r="AK51" s="17">
        <f t="shared" si="355"/>
        <v>0</v>
      </c>
      <c r="AL51" s="17">
        <f t="shared" si="355"/>
        <v>0</v>
      </c>
      <c r="AM51" s="17">
        <f t="shared" si="355"/>
        <v>0</v>
      </c>
      <c r="AN51" s="72">
        <f t="shared" si="355"/>
        <v>0</v>
      </c>
      <c r="AO51" s="17">
        <f t="shared" si="355"/>
        <v>0</v>
      </c>
      <c r="AP51" s="17">
        <f t="shared" si="355"/>
        <v>0</v>
      </c>
      <c r="AQ51" s="17">
        <f t="shared" si="355"/>
        <v>0</v>
      </c>
      <c r="AR51" s="72">
        <f t="shared" si="355"/>
        <v>0</v>
      </c>
      <c r="AS51" s="17">
        <f t="shared" si="221"/>
        <v>0</v>
      </c>
      <c r="AU51" s="65" t="s">
        <v>54</v>
      </c>
      <c r="AV51" s="17">
        <f t="shared" ref="AV51:BH51" si="356">SUM(AV31:AV50)</f>
        <v>0</v>
      </c>
      <c r="AW51" s="17">
        <f t="shared" si="356"/>
        <v>0</v>
      </c>
      <c r="AX51" s="17">
        <f t="shared" si="356"/>
        <v>0</v>
      </c>
      <c r="AY51" s="17">
        <f t="shared" si="356"/>
        <v>0</v>
      </c>
      <c r="AZ51" s="17">
        <f t="shared" si="356"/>
        <v>0</v>
      </c>
      <c r="BA51" s="17">
        <f t="shared" si="356"/>
        <v>0</v>
      </c>
      <c r="BB51" s="17">
        <f t="shared" si="356"/>
        <v>0</v>
      </c>
      <c r="BC51" s="72">
        <f t="shared" si="356"/>
        <v>0</v>
      </c>
      <c r="BD51" s="17">
        <f t="shared" si="356"/>
        <v>0</v>
      </c>
      <c r="BE51" s="17">
        <f t="shared" si="356"/>
        <v>0</v>
      </c>
      <c r="BF51" s="17">
        <f t="shared" si="356"/>
        <v>0</v>
      </c>
      <c r="BG51" s="72">
        <f t="shared" si="356"/>
        <v>0</v>
      </c>
      <c r="BH51" s="24" t="e">
        <f t="shared" si="356"/>
        <v>#DIV/0!</v>
      </c>
      <c r="BJ51" s="65" t="s">
        <v>54</v>
      </c>
      <c r="BK51" s="17">
        <f t="shared" ref="BK51:BW51" si="357">SUM(BK31:BK50)</f>
        <v>0</v>
      </c>
      <c r="BL51" s="17">
        <f t="shared" si="357"/>
        <v>0</v>
      </c>
      <c r="BM51" s="17">
        <f t="shared" si="357"/>
        <v>0</v>
      </c>
      <c r="BN51" s="17">
        <f t="shared" si="357"/>
        <v>0</v>
      </c>
      <c r="BO51" s="17">
        <f t="shared" si="357"/>
        <v>0</v>
      </c>
      <c r="BP51" s="17">
        <f t="shared" si="357"/>
        <v>0</v>
      </c>
      <c r="BQ51" s="17">
        <f t="shared" si="357"/>
        <v>0</v>
      </c>
      <c r="BR51" s="72">
        <f t="shared" si="357"/>
        <v>0</v>
      </c>
      <c r="BS51" s="17">
        <f t="shared" si="357"/>
        <v>0</v>
      </c>
      <c r="BT51" s="17">
        <f t="shared" si="357"/>
        <v>0</v>
      </c>
      <c r="BU51" s="17">
        <f t="shared" si="357"/>
        <v>0</v>
      </c>
      <c r="BV51" s="72">
        <f t="shared" si="357"/>
        <v>0</v>
      </c>
      <c r="BW51" s="24" t="e">
        <f t="shared" si="357"/>
        <v>#DIV/0!</v>
      </c>
      <c r="BX51" s="24"/>
      <c r="BY51" s="65" t="s">
        <v>54</v>
      </c>
      <c r="BZ51" s="55">
        <f t="shared" si="224"/>
        <v>0</v>
      </c>
      <c r="CA51" s="55">
        <f t="shared" si="193"/>
        <v>0</v>
      </c>
      <c r="CB51" s="55">
        <f t="shared" si="194"/>
        <v>0</v>
      </c>
      <c r="CC51" s="55">
        <f t="shared" si="195"/>
        <v>0</v>
      </c>
      <c r="CD51" s="55">
        <f t="shared" si="196"/>
        <v>0</v>
      </c>
      <c r="CE51" s="55">
        <f t="shared" si="197"/>
        <v>0</v>
      </c>
      <c r="CF51" s="55">
        <f t="shared" si="198"/>
        <v>0</v>
      </c>
      <c r="CG51" s="55">
        <f>AN51-Y51</f>
        <v>0</v>
      </c>
      <c r="CH51" s="55">
        <f t="shared" si="200"/>
        <v>0</v>
      </c>
      <c r="CI51" s="55">
        <f t="shared" si="201"/>
        <v>0</v>
      </c>
      <c r="CJ51" s="55">
        <f t="shared" si="202"/>
        <v>0</v>
      </c>
      <c r="CK51" s="55">
        <f t="shared" si="202"/>
        <v>0</v>
      </c>
      <c r="CL51" s="55">
        <f t="shared" si="203"/>
        <v>0</v>
      </c>
      <c r="CN51" s="65" t="s">
        <v>54</v>
      </c>
      <c r="CO51" s="55">
        <f t="shared" si="225"/>
        <v>0</v>
      </c>
      <c r="CP51" s="55">
        <f t="shared" si="204"/>
        <v>0</v>
      </c>
      <c r="CQ51" s="55">
        <f t="shared" si="205"/>
        <v>0</v>
      </c>
      <c r="CR51" s="55">
        <f t="shared" si="206"/>
        <v>0</v>
      </c>
      <c r="CS51" s="55">
        <f t="shared" si="207"/>
        <v>0</v>
      </c>
      <c r="CT51" s="55">
        <f t="shared" si="208"/>
        <v>0</v>
      </c>
      <c r="CU51" s="55">
        <f t="shared" si="209"/>
        <v>0</v>
      </c>
      <c r="CV51" s="55">
        <f t="shared" si="210"/>
        <v>0</v>
      </c>
      <c r="CW51" s="55">
        <f t="shared" si="211"/>
        <v>0</v>
      </c>
      <c r="CX51" s="55">
        <f t="shared" si="212"/>
        <v>0</v>
      </c>
      <c r="CY51" s="55">
        <f t="shared" si="213"/>
        <v>0</v>
      </c>
      <c r="CZ51" s="55">
        <f t="shared" si="213"/>
        <v>0</v>
      </c>
      <c r="DA51" s="62" t="e">
        <f t="shared" si="214"/>
        <v>#DIV/0!</v>
      </c>
      <c r="DC51" s="65" t="s">
        <v>54</v>
      </c>
      <c r="DD51" s="190">
        <f t="shared" ref="DD51:EC51" si="358">SUM(DD31:DD50)</f>
        <v>0</v>
      </c>
      <c r="DE51" s="190">
        <f t="shared" si="358"/>
        <v>0</v>
      </c>
      <c r="DF51" s="190">
        <f t="shared" si="358"/>
        <v>0</v>
      </c>
      <c r="DG51" s="190">
        <f t="shared" si="358"/>
        <v>0</v>
      </c>
      <c r="DH51" s="190">
        <f t="shared" si="358"/>
        <v>0</v>
      </c>
      <c r="DI51" s="190">
        <f t="shared" si="358"/>
        <v>0</v>
      </c>
      <c r="DJ51" s="190">
        <f t="shared" si="358"/>
        <v>0</v>
      </c>
      <c r="DK51" s="190">
        <f t="shared" si="358"/>
        <v>0</v>
      </c>
      <c r="DL51" s="190">
        <f t="shared" si="358"/>
        <v>0</v>
      </c>
      <c r="DM51" s="190">
        <f t="shared" si="358"/>
        <v>0</v>
      </c>
      <c r="DN51" s="190">
        <f t="shared" si="358"/>
        <v>0</v>
      </c>
      <c r="DO51" s="190">
        <f t="shared" si="358"/>
        <v>0</v>
      </c>
      <c r="DP51" s="190">
        <f t="shared" si="358"/>
        <v>0</v>
      </c>
      <c r="DQ51" s="190">
        <f t="shared" si="358"/>
        <v>0</v>
      </c>
      <c r="DR51" s="190">
        <f t="shared" si="358"/>
        <v>0</v>
      </c>
      <c r="DS51" s="190">
        <f t="shared" si="358"/>
        <v>0</v>
      </c>
      <c r="DT51" s="190">
        <f t="shared" si="358"/>
        <v>0</v>
      </c>
      <c r="DU51" s="190">
        <f t="shared" si="358"/>
        <v>0</v>
      </c>
      <c r="DV51" s="190">
        <f t="shared" si="358"/>
        <v>0</v>
      </c>
      <c r="DW51" s="190">
        <f t="shared" si="358"/>
        <v>0</v>
      </c>
      <c r="DX51" s="190">
        <f t="shared" si="358"/>
        <v>0</v>
      </c>
      <c r="DY51" s="190">
        <f t="shared" si="358"/>
        <v>0</v>
      </c>
      <c r="DZ51" s="190">
        <f t="shared" si="358"/>
        <v>0</v>
      </c>
      <c r="EA51" s="190">
        <f t="shared" si="358"/>
        <v>0</v>
      </c>
      <c r="EB51" s="190" t="e">
        <f t="shared" si="358"/>
        <v>#DIV/0!</v>
      </c>
      <c r="EC51" s="190" t="e">
        <f t="shared" si="358"/>
        <v>#DIV/0!</v>
      </c>
    </row>
    <row r="52" spans="1:133" x14ac:dyDescent="0.2">
      <c r="DC52" s="2"/>
    </row>
    <row r="53" spans="1:133" x14ac:dyDescent="0.2">
      <c r="DC53" s="2"/>
    </row>
    <row r="54" spans="1:133" s="13" customFormat="1" x14ac:dyDescent="0.2">
      <c r="A54" s="6" t="s">
        <v>80</v>
      </c>
      <c r="Q54" s="6" t="s">
        <v>80</v>
      </c>
      <c r="AF54" s="6" t="s">
        <v>80</v>
      </c>
      <c r="AU54" s="6" t="s">
        <v>80</v>
      </c>
      <c r="BJ54" s="6" t="s">
        <v>80</v>
      </c>
      <c r="BK54" s="13" t="s">
        <v>80</v>
      </c>
      <c r="BY54" s="6" t="s">
        <v>80</v>
      </c>
      <c r="CN54" s="6" t="s">
        <v>80</v>
      </c>
      <c r="DC54" s="6" t="s">
        <v>80</v>
      </c>
      <c r="DD54" s="188" t="s">
        <v>0</v>
      </c>
      <c r="DE54" s="189"/>
      <c r="DF54" s="189"/>
      <c r="DG54" s="189"/>
      <c r="DH54" s="189"/>
      <c r="DI54" s="189"/>
      <c r="DJ54" s="189"/>
      <c r="DK54" s="189"/>
      <c r="DL54" s="189"/>
      <c r="DM54" s="189"/>
      <c r="DN54" s="189"/>
      <c r="DO54" s="189"/>
      <c r="DP54" s="189"/>
      <c r="DQ54" s="189"/>
      <c r="DR54" s="189"/>
      <c r="DS54" s="189"/>
      <c r="DT54" s="189"/>
      <c r="DU54" s="189"/>
      <c r="DV54" s="189"/>
      <c r="DW54" s="189"/>
      <c r="DX54" s="189"/>
      <c r="DY54" s="189"/>
      <c r="DZ54" s="189"/>
      <c r="EA54" s="189"/>
      <c r="EB54" s="189"/>
      <c r="EC54" s="189"/>
    </row>
    <row r="55" spans="1:133" x14ac:dyDescent="0.2">
      <c r="A55" s="63"/>
      <c r="B55" s="5" t="s">
        <v>0</v>
      </c>
      <c r="Q55" s="63"/>
      <c r="R55" s="5" t="s">
        <v>0</v>
      </c>
      <c r="AF55" s="63"/>
      <c r="AG55" s="5" t="s">
        <v>0</v>
      </c>
      <c r="AU55" s="63"/>
      <c r="AV55" s="5" t="s">
        <v>0</v>
      </c>
      <c r="BJ55" s="63"/>
      <c r="BK55" s="5" t="s">
        <v>0</v>
      </c>
      <c r="BY55" s="63"/>
      <c r="BZ55" s="5" t="s">
        <v>0</v>
      </c>
      <c r="CN55" s="63"/>
      <c r="CO55" s="5" t="s">
        <v>0</v>
      </c>
      <c r="DC55" s="63"/>
      <c r="DD55" s="190" t="s">
        <v>124</v>
      </c>
      <c r="DE55" s="190" t="s">
        <v>125</v>
      </c>
      <c r="DF55" s="190" t="s">
        <v>124</v>
      </c>
      <c r="DG55" s="190" t="s">
        <v>125</v>
      </c>
      <c r="DH55" s="190" t="s">
        <v>124</v>
      </c>
      <c r="DI55" s="190" t="s">
        <v>125</v>
      </c>
      <c r="DJ55" s="190" t="s">
        <v>124</v>
      </c>
      <c r="DK55" s="190" t="s">
        <v>125</v>
      </c>
      <c r="DL55" s="190" t="s">
        <v>124</v>
      </c>
      <c r="DM55" s="190" t="s">
        <v>125</v>
      </c>
      <c r="DN55" s="190" t="s">
        <v>124</v>
      </c>
      <c r="DO55" s="190" t="s">
        <v>125</v>
      </c>
      <c r="DP55" s="190" t="s">
        <v>124</v>
      </c>
      <c r="DQ55" s="190" t="s">
        <v>125</v>
      </c>
      <c r="DR55" s="190" t="s">
        <v>124</v>
      </c>
      <c r="DS55" s="190" t="s">
        <v>125</v>
      </c>
      <c r="DT55" s="190" t="s">
        <v>124</v>
      </c>
      <c r="DU55" s="190" t="s">
        <v>125</v>
      </c>
      <c r="DV55" s="190" t="s">
        <v>124</v>
      </c>
      <c r="DW55" s="190" t="s">
        <v>125</v>
      </c>
      <c r="DX55" s="190" t="s">
        <v>124</v>
      </c>
      <c r="DY55" s="190" t="s">
        <v>125</v>
      </c>
      <c r="DZ55" s="190" t="s">
        <v>124</v>
      </c>
      <c r="EA55" s="190" t="s">
        <v>125</v>
      </c>
      <c r="EB55" s="190" t="s">
        <v>124</v>
      </c>
      <c r="EC55" s="190" t="s">
        <v>125</v>
      </c>
    </row>
    <row r="56" spans="1:133" ht="25.5" x14ac:dyDescent="0.2">
      <c r="A56" s="5" t="s">
        <v>1</v>
      </c>
      <c r="B56" s="21" t="s">
        <v>4</v>
      </c>
      <c r="C56" s="21" t="s">
        <v>41</v>
      </c>
      <c r="D56" s="21" t="s">
        <v>42</v>
      </c>
      <c r="E56" s="21" t="s">
        <v>2</v>
      </c>
      <c r="F56" s="21" t="s">
        <v>3</v>
      </c>
      <c r="G56" s="21" t="s">
        <v>38</v>
      </c>
      <c r="H56" s="21" t="s">
        <v>39</v>
      </c>
      <c r="I56" s="71" t="s">
        <v>148</v>
      </c>
      <c r="J56" s="21" t="s">
        <v>6</v>
      </c>
      <c r="K56" s="21" t="s">
        <v>88</v>
      </c>
      <c r="L56" s="21" t="s">
        <v>89</v>
      </c>
      <c r="M56" s="73" t="s">
        <v>323</v>
      </c>
      <c r="N56" s="52" t="s">
        <v>53</v>
      </c>
      <c r="O56" s="52"/>
      <c r="P56" s="52"/>
      <c r="Q56" s="5" t="s">
        <v>1</v>
      </c>
      <c r="R56" s="21" t="s">
        <v>4</v>
      </c>
      <c r="S56" s="21" t="s">
        <v>41</v>
      </c>
      <c r="T56" s="21" t="s">
        <v>42</v>
      </c>
      <c r="U56" s="21" t="s">
        <v>2</v>
      </c>
      <c r="V56" s="21" t="s">
        <v>3</v>
      </c>
      <c r="W56" s="21" t="s">
        <v>38</v>
      </c>
      <c r="X56" s="21" t="s">
        <v>39</v>
      </c>
      <c r="Y56" s="71" t="s">
        <v>148</v>
      </c>
      <c r="Z56" s="21" t="s">
        <v>6</v>
      </c>
      <c r="AA56" s="21" t="s">
        <v>88</v>
      </c>
      <c r="AB56" s="21" t="s">
        <v>89</v>
      </c>
      <c r="AC56" s="73" t="s">
        <v>323</v>
      </c>
      <c r="AD56" s="52" t="s">
        <v>53</v>
      </c>
      <c r="AF56" s="5" t="s">
        <v>1</v>
      </c>
      <c r="AG56" s="21" t="s">
        <v>4</v>
      </c>
      <c r="AH56" s="21" t="s">
        <v>41</v>
      </c>
      <c r="AI56" s="21" t="s">
        <v>42</v>
      </c>
      <c r="AJ56" s="21" t="s">
        <v>2</v>
      </c>
      <c r="AK56" s="21" t="s">
        <v>3</v>
      </c>
      <c r="AL56" s="21" t="s">
        <v>38</v>
      </c>
      <c r="AM56" s="21" t="s">
        <v>39</v>
      </c>
      <c r="AN56" s="71" t="s">
        <v>148</v>
      </c>
      <c r="AO56" s="21" t="s">
        <v>6</v>
      </c>
      <c r="AP56" s="21" t="s">
        <v>88</v>
      </c>
      <c r="AQ56" s="21" t="s">
        <v>89</v>
      </c>
      <c r="AR56" s="73" t="s">
        <v>323</v>
      </c>
      <c r="AS56" s="52" t="s">
        <v>53</v>
      </c>
      <c r="AU56" s="5" t="s">
        <v>1</v>
      </c>
      <c r="AV56" s="21" t="s">
        <v>4</v>
      </c>
      <c r="AW56" s="21" t="s">
        <v>41</v>
      </c>
      <c r="AX56" s="21" t="s">
        <v>42</v>
      </c>
      <c r="AY56" s="21" t="s">
        <v>2</v>
      </c>
      <c r="AZ56" s="21" t="s">
        <v>3</v>
      </c>
      <c r="BA56" s="21" t="s">
        <v>38</v>
      </c>
      <c r="BB56" s="21" t="s">
        <v>39</v>
      </c>
      <c r="BC56" s="71" t="s">
        <v>148</v>
      </c>
      <c r="BD56" s="21" t="s">
        <v>6</v>
      </c>
      <c r="BE56" s="21" t="s">
        <v>88</v>
      </c>
      <c r="BF56" s="21" t="s">
        <v>89</v>
      </c>
      <c r="BG56" s="73" t="s">
        <v>323</v>
      </c>
      <c r="BH56" s="52" t="s">
        <v>53</v>
      </c>
      <c r="BJ56" s="5" t="s">
        <v>1</v>
      </c>
      <c r="BK56" s="21" t="s">
        <v>4</v>
      </c>
      <c r="BL56" s="21" t="s">
        <v>41</v>
      </c>
      <c r="BM56" s="21" t="s">
        <v>42</v>
      </c>
      <c r="BN56" s="21" t="s">
        <v>2</v>
      </c>
      <c r="BO56" s="21" t="s">
        <v>3</v>
      </c>
      <c r="BP56" s="21" t="s">
        <v>38</v>
      </c>
      <c r="BQ56" s="21" t="s">
        <v>39</v>
      </c>
      <c r="BR56" s="71" t="s">
        <v>148</v>
      </c>
      <c r="BS56" s="21" t="s">
        <v>6</v>
      </c>
      <c r="BT56" s="21" t="s">
        <v>88</v>
      </c>
      <c r="BU56" s="21" t="s">
        <v>89</v>
      </c>
      <c r="BV56" s="73" t="s">
        <v>323</v>
      </c>
      <c r="BW56" s="21" t="s">
        <v>53</v>
      </c>
      <c r="BX56" s="21"/>
      <c r="BY56" s="5" t="s">
        <v>1</v>
      </c>
      <c r="BZ56" s="21" t="s">
        <v>4</v>
      </c>
      <c r="CA56" s="21" t="s">
        <v>41</v>
      </c>
      <c r="CB56" s="21" t="s">
        <v>42</v>
      </c>
      <c r="CC56" s="21" t="s">
        <v>2</v>
      </c>
      <c r="CD56" s="21" t="s">
        <v>3</v>
      </c>
      <c r="CE56" s="21" t="s">
        <v>38</v>
      </c>
      <c r="CF56" s="21" t="s">
        <v>39</v>
      </c>
      <c r="CG56" s="21" t="s">
        <v>148</v>
      </c>
      <c r="CH56" s="21" t="s">
        <v>6</v>
      </c>
      <c r="CI56" s="21" t="s">
        <v>88</v>
      </c>
      <c r="CJ56" s="21" t="s">
        <v>89</v>
      </c>
      <c r="CK56" s="21" t="s">
        <v>323</v>
      </c>
      <c r="CL56" s="21" t="s">
        <v>53</v>
      </c>
      <c r="CN56" s="5" t="s">
        <v>1</v>
      </c>
      <c r="CO56" s="21" t="s">
        <v>4</v>
      </c>
      <c r="CP56" s="21" t="s">
        <v>41</v>
      </c>
      <c r="CQ56" s="21" t="s">
        <v>42</v>
      </c>
      <c r="CR56" s="21" t="s">
        <v>2</v>
      </c>
      <c r="CS56" s="21" t="s">
        <v>3</v>
      </c>
      <c r="CT56" s="21" t="s">
        <v>38</v>
      </c>
      <c r="CU56" s="21" t="s">
        <v>39</v>
      </c>
      <c r="CV56" s="21" t="s">
        <v>148</v>
      </c>
      <c r="CW56" s="21" t="s">
        <v>6</v>
      </c>
      <c r="CX56" s="21" t="s">
        <v>88</v>
      </c>
      <c r="CY56" s="21" t="s">
        <v>89</v>
      </c>
      <c r="CZ56" s="21" t="s">
        <v>323</v>
      </c>
      <c r="DA56" s="21" t="s">
        <v>53</v>
      </c>
      <c r="DC56" s="5" t="s">
        <v>1</v>
      </c>
      <c r="DD56" s="191" t="s">
        <v>4</v>
      </c>
      <c r="DE56" s="191" t="s">
        <v>4</v>
      </c>
      <c r="DF56" s="191" t="s">
        <v>41</v>
      </c>
      <c r="DG56" s="191" t="s">
        <v>41</v>
      </c>
      <c r="DH56" s="191" t="s">
        <v>42</v>
      </c>
      <c r="DI56" s="191" t="s">
        <v>42</v>
      </c>
      <c r="DJ56" s="191" t="s">
        <v>2</v>
      </c>
      <c r="DK56" s="191" t="s">
        <v>2</v>
      </c>
      <c r="DL56" s="191" t="s">
        <v>3</v>
      </c>
      <c r="DM56" s="191" t="s">
        <v>3</v>
      </c>
      <c r="DN56" s="191" t="s">
        <v>38</v>
      </c>
      <c r="DO56" s="191" t="s">
        <v>38</v>
      </c>
      <c r="DP56" s="191" t="s">
        <v>39</v>
      </c>
      <c r="DQ56" s="191" t="s">
        <v>39</v>
      </c>
      <c r="DR56" s="191" t="s">
        <v>148</v>
      </c>
      <c r="DS56" s="191" t="s">
        <v>148</v>
      </c>
      <c r="DT56" s="191" t="s">
        <v>6</v>
      </c>
      <c r="DU56" s="191" t="s">
        <v>6</v>
      </c>
      <c r="DV56" s="191" t="s">
        <v>88</v>
      </c>
      <c r="DW56" s="191" t="s">
        <v>88</v>
      </c>
      <c r="DX56" s="191" t="s">
        <v>89</v>
      </c>
      <c r="DY56" s="191" t="s">
        <v>89</v>
      </c>
      <c r="DZ56" s="191" t="s">
        <v>323</v>
      </c>
      <c r="EA56" s="191" t="s">
        <v>323</v>
      </c>
      <c r="EB56" s="192" t="s">
        <v>126</v>
      </c>
      <c r="EC56" s="192" t="s">
        <v>126</v>
      </c>
    </row>
    <row r="57" spans="1:133" x14ac:dyDescent="0.2">
      <c r="A57" s="66" t="s">
        <v>4</v>
      </c>
      <c r="B57" s="36">
        <f>targets!AW54</f>
        <v>54760.289681850627</v>
      </c>
      <c r="C57" s="37">
        <f>targets!AX54</f>
        <v>2508.490049315536</v>
      </c>
      <c r="D57" s="37">
        <f>targets!AY54</f>
        <v>65.578838577867586</v>
      </c>
      <c r="E57" s="37">
        <f>targets!AZ54</f>
        <v>0</v>
      </c>
      <c r="F57" s="37">
        <f>targets!BA54</f>
        <v>0</v>
      </c>
      <c r="G57" s="37">
        <f>SUM(targets!BB54:BG54)</f>
        <v>0</v>
      </c>
      <c r="H57" s="37">
        <f>SUM(targets!BH54:BM54)</f>
        <v>0</v>
      </c>
      <c r="I57" s="74">
        <f>SUM(G57:H57)</f>
        <v>0</v>
      </c>
      <c r="J57" s="37">
        <f>targets!BN54</f>
        <v>0</v>
      </c>
      <c r="K57" s="37">
        <f>targets!BO54</f>
        <v>0</v>
      </c>
      <c r="L57" s="37">
        <f>targets!BP54</f>
        <v>0</v>
      </c>
      <c r="M57" s="177">
        <f>SUM(J57:L57)</f>
        <v>0</v>
      </c>
      <c r="N57" s="17">
        <f>SUM(B57:L57)-I57</f>
        <v>57334.358569744029</v>
      </c>
      <c r="O57" s="17"/>
      <c r="P57" s="17"/>
      <c r="Q57" s="66" t="s">
        <v>4</v>
      </c>
      <c r="R57" s="36">
        <f t="shared" ref="R57:R76" si="359">B57*(AG$77/B$77)</f>
        <v>0</v>
      </c>
      <c r="S57" s="37">
        <f t="shared" ref="S57:S76" si="360">C57*(AH$77/C$77)</f>
        <v>0</v>
      </c>
      <c r="T57" s="37">
        <f t="shared" ref="T57:T76" si="361">D57*(AI$77/D$77)</f>
        <v>0</v>
      </c>
      <c r="U57" s="37">
        <f t="shared" ref="U57:U76" si="362">E57*(AJ$77/E$77)</f>
        <v>0</v>
      </c>
      <c r="V57" s="37">
        <f t="shared" ref="V57:V76" si="363">F57*(AK$77/F$77)</f>
        <v>0</v>
      </c>
      <c r="W57" s="37">
        <f t="shared" ref="W57:W76" si="364">G57*(AL$77/G$77)</f>
        <v>0</v>
      </c>
      <c r="X57" s="37">
        <f t="shared" ref="X57:X76" si="365">H57*(AM$77/H$77)</f>
        <v>0</v>
      </c>
      <c r="Y57" s="74">
        <f>SUM(W57:X57)</f>
        <v>0</v>
      </c>
      <c r="Z57" s="37"/>
      <c r="AA57" s="37"/>
      <c r="AB57" s="37"/>
      <c r="AC57" s="177">
        <f>SUM(Z57:AB57)</f>
        <v>0</v>
      </c>
      <c r="AD57" s="17">
        <f>SUM(R57:AB57)-Y57</f>
        <v>0</v>
      </c>
      <c r="AF57" s="66" t="s">
        <v>4</v>
      </c>
      <c r="AG57" s="36">
        <f t="array" ref="AG57">SUM(IF((modeldata!$F:$F=calibration!$AF$54)*(modeldata!$G:$G=calibration!AG$56)*(modeldata!$H:$H=calibration!$AF57),modeldata!$E:$E,0))</f>
        <v>0</v>
      </c>
      <c r="AH57" s="37">
        <f t="array" ref="AH57">SUM(IF((modeldata!$F:$F=calibration!$AF$54)*(modeldata!$G:$G=calibration!AH$56)*(modeldata!$H:$H=calibration!$AF57),modeldata!$E:$E,0))</f>
        <v>0</v>
      </c>
      <c r="AI57" s="37">
        <f t="array" ref="AI57">SUM(IF((modeldata!$F:$F=calibration!$AF$54)*(modeldata!$G:$G=calibration!AI$56)*(modeldata!$H:$H=calibration!$AF57),modeldata!$E:$E,0))</f>
        <v>0</v>
      </c>
      <c r="AJ57" s="37">
        <f t="array" ref="AJ57">SUM(IF((modeldata!$F:$F=calibration!$AF$54)*(modeldata!$G:$G=calibration!AJ$56)*(modeldata!$H:$H=calibration!$AF57),modeldata!$E:$E,0))</f>
        <v>0</v>
      </c>
      <c r="AK57" s="37">
        <f t="array" ref="AK57">SUM(IF((modeldata!$F:$F=calibration!$AF$54)*(modeldata!$G:$G=calibration!AK$56)*(modeldata!$H:$H=calibration!$AF57),modeldata!$E:$E,0))</f>
        <v>0</v>
      </c>
      <c r="AL57" s="37">
        <f t="array" ref="AL57">SUM(IF((modeldata!$F:$F=calibration!$AF$54)*(modeldata!$G:$G=calibration!AL$56)*(modeldata!$H:$H=calibration!$AF57),modeldata!$E:$E,0))</f>
        <v>0</v>
      </c>
      <c r="AM57" s="37">
        <f t="array" ref="AM57">SUM(IF((modeldata!$F:$F=calibration!$AF$54)*(modeldata!$G:$G=calibration!AM$56)*(modeldata!$H:$H=calibration!$AF57),modeldata!$E:$E,0))</f>
        <v>0</v>
      </c>
      <c r="AN57" s="74">
        <f>AL57+AM57</f>
        <v>0</v>
      </c>
      <c r="AO57" s="37">
        <f t="array" ref="AO57">SUM(IF((modeldata!$F:$F=calibration!$AF$54)*(modeldata!$G:$G=calibration!AO$56)*(modeldata!$H:$H=calibration!$AF57),modeldata!$E:$E,0))</f>
        <v>0</v>
      </c>
      <c r="AP57" s="37">
        <f t="array" ref="AP57">SUM(IF((modeldata!$F:$F=calibration!$AF$54)*(modeldata!$G:$G=calibration!AP$56)*(modeldata!$H:$H=calibration!$AF57),modeldata!$E:$E,0))</f>
        <v>0</v>
      </c>
      <c r="AQ57" s="37">
        <f t="array" ref="AQ57">SUM(IF((modeldata!$F:$F=calibration!$AF$54)*(modeldata!$G:$G=calibration!AQ$56)*(modeldata!$H:$H=calibration!$AF57),modeldata!$E:$E,0))</f>
        <v>0</v>
      </c>
      <c r="AR57" s="177"/>
      <c r="AS57" s="17">
        <f>SUM(AG57:AQ57)-AN57</f>
        <v>0</v>
      </c>
      <c r="AU57" s="66" t="s">
        <v>4</v>
      </c>
      <c r="AV57" s="36">
        <f t="shared" ref="AV57:BG57" si="366">IF(R77&gt;0,R57/R77,0)</f>
        <v>0</v>
      </c>
      <c r="AW57" s="37">
        <f t="shared" si="366"/>
        <v>0</v>
      </c>
      <c r="AX57" s="37">
        <f t="shared" si="366"/>
        <v>0</v>
      </c>
      <c r="AY57" s="37">
        <f t="shared" si="366"/>
        <v>0</v>
      </c>
      <c r="AZ57" s="37">
        <f t="shared" si="366"/>
        <v>0</v>
      </c>
      <c r="BA57" s="37">
        <f t="shared" si="366"/>
        <v>0</v>
      </c>
      <c r="BB57" s="37">
        <f t="shared" si="366"/>
        <v>0</v>
      </c>
      <c r="BC57" s="74">
        <f t="shared" si="366"/>
        <v>0</v>
      </c>
      <c r="BD57" s="37">
        <f t="shared" si="366"/>
        <v>0</v>
      </c>
      <c r="BE57" s="37">
        <f t="shared" si="366"/>
        <v>0</v>
      </c>
      <c r="BF57" s="37">
        <f t="shared" si="366"/>
        <v>0</v>
      </c>
      <c r="BG57" s="177">
        <f t="shared" si="366"/>
        <v>0</v>
      </c>
      <c r="BH57" s="24" t="e">
        <f>AD57/AD77</f>
        <v>#DIV/0!</v>
      </c>
      <c r="BJ57" s="66" t="s">
        <v>4</v>
      </c>
      <c r="BK57" s="36">
        <f t="shared" ref="BK57:BV57" si="367">IF(AG77&gt;0,AG57/AG77,0)</f>
        <v>0</v>
      </c>
      <c r="BL57" s="37">
        <f t="shared" si="367"/>
        <v>0</v>
      </c>
      <c r="BM57" s="37">
        <f t="shared" si="367"/>
        <v>0</v>
      </c>
      <c r="BN57" s="37">
        <f t="shared" si="367"/>
        <v>0</v>
      </c>
      <c r="BO57" s="37">
        <f t="shared" si="367"/>
        <v>0</v>
      </c>
      <c r="BP57" s="37">
        <f t="shared" si="367"/>
        <v>0</v>
      </c>
      <c r="BQ57" s="37">
        <f t="shared" si="367"/>
        <v>0</v>
      </c>
      <c r="BR57" s="74">
        <f t="shared" si="367"/>
        <v>0</v>
      </c>
      <c r="BS57" s="37">
        <f t="shared" si="367"/>
        <v>0</v>
      </c>
      <c r="BT57" s="37">
        <f t="shared" si="367"/>
        <v>0</v>
      </c>
      <c r="BU57" s="37">
        <f t="shared" si="367"/>
        <v>0</v>
      </c>
      <c r="BV57" s="177">
        <f t="shared" si="367"/>
        <v>0</v>
      </c>
      <c r="BW57" s="24" t="e">
        <f>AS57/AS77</f>
        <v>#DIV/0!</v>
      </c>
      <c r="BX57" s="24"/>
      <c r="BY57" s="66" t="s">
        <v>4</v>
      </c>
      <c r="BZ57" s="58">
        <f>AG57-R57</f>
        <v>0</v>
      </c>
      <c r="CA57" s="53">
        <f t="shared" ref="CA57:CA77" si="368">AH57-S57</f>
        <v>0</v>
      </c>
      <c r="CB57" s="53">
        <f t="shared" ref="CB57:CB77" si="369">AI57-T57</f>
        <v>0</v>
      </c>
      <c r="CC57" s="53">
        <f t="shared" ref="CC57:CC77" si="370">AJ57-U57</f>
        <v>0</v>
      </c>
      <c r="CD57" s="53">
        <f t="shared" ref="CD57:CD77" si="371">AK57-V57</f>
        <v>0</v>
      </c>
      <c r="CE57" s="53">
        <f t="shared" ref="CE57:CE77" si="372">AL57-W57</f>
        <v>0</v>
      </c>
      <c r="CF57" s="53">
        <f t="shared" ref="CF57:CF77" si="373">AM57-X57</f>
        <v>0</v>
      </c>
      <c r="CG57" s="245">
        <f t="shared" ref="CG57:CG72" si="374">AN57-Y57</f>
        <v>0</v>
      </c>
      <c r="CH57" s="53">
        <f t="shared" ref="CH57:CH77" si="375">AO57-Z57</f>
        <v>0</v>
      </c>
      <c r="CI57" s="53">
        <f t="shared" ref="CI57:CI77" si="376">AP57-AA57</f>
        <v>0</v>
      </c>
      <c r="CJ57" s="53">
        <f t="shared" ref="CJ57:CK77" si="377">AQ57-AB57</f>
        <v>0</v>
      </c>
      <c r="CK57" s="248">
        <f>AR57-AC57</f>
        <v>0</v>
      </c>
      <c r="CL57" s="55">
        <f t="shared" ref="CL57:CL77" si="378">AS57-AD57</f>
        <v>0</v>
      </c>
      <c r="CN57" s="66" t="s">
        <v>4</v>
      </c>
      <c r="CO57" s="58">
        <f>BK57-AV57</f>
        <v>0</v>
      </c>
      <c r="CP57" s="53">
        <f t="shared" ref="CP57:CP77" si="379">BL57-AW57</f>
        <v>0</v>
      </c>
      <c r="CQ57" s="53">
        <f t="shared" ref="CQ57:CQ77" si="380">BM57-AX57</f>
        <v>0</v>
      </c>
      <c r="CR57" s="53">
        <f t="shared" ref="CR57:CR77" si="381">BN57-AY57</f>
        <v>0</v>
      </c>
      <c r="CS57" s="53">
        <f t="shared" ref="CS57:CS77" si="382">BO57-AZ57</f>
        <v>0</v>
      </c>
      <c r="CT57" s="53">
        <f t="shared" ref="CT57:CT77" si="383">BP57-BA57</f>
        <v>0</v>
      </c>
      <c r="CU57" s="53">
        <f t="shared" ref="CU57:CU77" si="384">BQ57-BB57</f>
        <v>0</v>
      </c>
      <c r="CV57" s="245">
        <f t="shared" ref="CV57:CV77" si="385">BR57-BC57</f>
        <v>0</v>
      </c>
      <c r="CW57" s="53">
        <f t="shared" ref="CW57:CW77" si="386">BS57-BD57</f>
        <v>0</v>
      </c>
      <c r="CX57" s="53">
        <f t="shared" ref="CX57:CX77" si="387">BT57-BE57</f>
        <v>0</v>
      </c>
      <c r="CY57" s="53">
        <f t="shared" ref="CY57:CZ77" si="388">BU57-BF57</f>
        <v>0</v>
      </c>
      <c r="CZ57" s="248">
        <f>BV57-BG57</f>
        <v>0</v>
      </c>
      <c r="DA57" s="62" t="e">
        <f t="shared" ref="DA57:DA77" si="389">BW57-BH57</f>
        <v>#DIV/0!</v>
      </c>
      <c r="DC57" s="66" t="s">
        <v>4</v>
      </c>
      <c r="DD57" s="193">
        <f>AV57</f>
        <v>0</v>
      </c>
      <c r="DE57" s="194">
        <f>BK57</f>
        <v>0</v>
      </c>
      <c r="DF57" s="195">
        <f>AW57</f>
        <v>0</v>
      </c>
      <c r="DG57" s="196">
        <f>BL57</f>
        <v>0</v>
      </c>
      <c r="DH57" s="195">
        <f>AX57</f>
        <v>0</v>
      </c>
      <c r="DI57" s="196">
        <f>BM57</f>
        <v>0</v>
      </c>
      <c r="DJ57" s="195">
        <f>AY57</f>
        <v>0</v>
      </c>
      <c r="DK57" s="196">
        <f>BN57</f>
        <v>0</v>
      </c>
      <c r="DL57" s="195">
        <f>AZ57</f>
        <v>0</v>
      </c>
      <c r="DM57" s="196">
        <f>BO57</f>
        <v>0</v>
      </c>
      <c r="DN57" s="195">
        <f>BA57</f>
        <v>0</v>
      </c>
      <c r="DO57" s="196">
        <f>BP57</f>
        <v>0</v>
      </c>
      <c r="DP57" s="195">
        <f>BB57</f>
        <v>0</v>
      </c>
      <c r="DQ57" s="196">
        <f>BQ57</f>
        <v>0</v>
      </c>
      <c r="DR57" s="195">
        <f>BC57</f>
        <v>0</v>
      </c>
      <c r="DS57" s="196">
        <f>BR57</f>
        <v>0</v>
      </c>
      <c r="DT57" s="195">
        <f>BD57</f>
        <v>0</v>
      </c>
      <c r="DU57" s="196">
        <f>BS57</f>
        <v>0</v>
      </c>
      <c r="DV57" s="195">
        <f>BE57</f>
        <v>0</v>
      </c>
      <c r="DW57" s="196">
        <f>BT57</f>
        <v>0</v>
      </c>
      <c r="DX57" s="195">
        <f>BF57</f>
        <v>0</v>
      </c>
      <c r="DY57" s="196">
        <f>BU57</f>
        <v>0</v>
      </c>
      <c r="DZ57" s="197">
        <f>BG57</f>
        <v>0</v>
      </c>
      <c r="EA57" s="196">
        <f t="shared" ref="EA57:EA76" si="390">BV57</f>
        <v>0</v>
      </c>
      <c r="EB57" s="190" t="e">
        <f>BH57</f>
        <v>#DIV/0!</v>
      </c>
      <c r="EC57" s="190" t="e">
        <f>BW57</f>
        <v>#DIV/0!</v>
      </c>
    </row>
    <row r="58" spans="1:133" x14ac:dyDescent="0.2">
      <c r="A58" s="66" t="s">
        <v>41</v>
      </c>
      <c r="B58" s="38">
        <f>targets!AW55</f>
        <v>0</v>
      </c>
      <c r="C58" s="36">
        <f>targets!AX55</f>
        <v>148714.71922255671</v>
      </c>
      <c r="D58" s="242">
        <f>targets!AY55</f>
        <v>41934.419531903506</v>
      </c>
      <c r="E58" s="242">
        <f>targets!AZ55</f>
        <v>0</v>
      </c>
      <c r="F58" s="242">
        <f>targets!BA55</f>
        <v>0</v>
      </c>
      <c r="G58" s="242">
        <f>SUM(targets!BB55:BG55)</f>
        <v>5285.9591482302312</v>
      </c>
      <c r="H58" s="242">
        <f>SUM(targets!BH55:BM55)</f>
        <v>0</v>
      </c>
      <c r="I58" s="243">
        <f t="shared" ref="I58:I76" si="391">SUM(G58:H58)</f>
        <v>5285.9591482302312</v>
      </c>
      <c r="J58" s="242">
        <f>targets!BN55</f>
        <v>0</v>
      </c>
      <c r="K58" s="242">
        <f>targets!BO55</f>
        <v>1221.7584099894614</v>
      </c>
      <c r="L58" s="242">
        <f>targets!BP55</f>
        <v>0</v>
      </c>
      <c r="M58" s="178">
        <f>SUM(J58:L58)</f>
        <v>1221.7584099894614</v>
      </c>
      <c r="N58" s="17">
        <f t="shared" ref="N58:N77" si="392">SUM(B58:L58)-I58</f>
        <v>197156.85631267991</v>
      </c>
      <c r="O58" s="17"/>
      <c r="P58" s="17"/>
      <c r="Q58" s="66" t="s">
        <v>41</v>
      </c>
      <c r="R58" s="38">
        <f t="shared" si="359"/>
        <v>0</v>
      </c>
      <c r="S58" s="36">
        <f t="shared" si="360"/>
        <v>0</v>
      </c>
      <c r="T58" s="242">
        <f t="shared" si="361"/>
        <v>0</v>
      </c>
      <c r="U58" s="242">
        <f t="shared" si="362"/>
        <v>0</v>
      </c>
      <c r="V58" s="242">
        <f t="shared" si="363"/>
        <v>0</v>
      </c>
      <c r="W58" s="242">
        <f t="shared" si="364"/>
        <v>0</v>
      </c>
      <c r="X58" s="242">
        <f t="shared" si="365"/>
        <v>0</v>
      </c>
      <c r="Y58" s="243">
        <f t="shared" ref="Y58:Y76" si="393">SUM(W58:X58)</f>
        <v>0</v>
      </c>
      <c r="Z58" s="242"/>
      <c r="AA58" s="242"/>
      <c r="AB58" s="242"/>
      <c r="AC58" s="178">
        <f>SUM(Z58:AB58)</f>
        <v>0</v>
      </c>
      <c r="AD58" s="17">
        <f t="shared" ref="AD58:AD77" si="394">SUM(R58:AB58)-Y58</f>
        <v>0</v>
      </c>
      <c r="AF58" s="66" t="s">
        <v>41</v>
      </c>
      <c r="AG58" s="38">
        <f t="array" ref="AG58">SUM(IF((modeldata!$F:$F=calibration!$AF$54)*(modeldata!$G:$G=calibration!AG$56)*(modeldata!$H:$H=calibration!$AF58),modeldata!$E:$E,0))</f>
        <v>0</v>
      </c>
      <c r="AH58" s="36">
        <f t="array" ref="AH58">SUM(IF((modeldata!$F:$F=calibration!$AF$54)*(modeldata!$G:$G=calibration!AH$56)*(modeldata!$H:$H=calibration!$AF58),modeldata!$E:$E,0))</f>
        <v>0</v>
      </c>
      <c r="AI58" s="242">
        <f t="array" ref="AI58">SUM(IF((modeldata!$F:$F=calibration!$AF$54)*(modeldata!$G:$G=calibration!AI$56)*(modeldata!$H:$H=calibration!$AF58),modeldata!$E:$E,0))</f>
        <v>0</v>
      </c>
      <c r="AJ58" s="242">
        <f t="array" ref="AJ58">SUM(IF((modeldata!$F:$F=calibration!$AF$54)*(modeldata!$G:$G=calibration!AJ$56)*(modeldata!$H:$H=calibration!$AF58),modeldata!$E:$E,0))</f>
        <v>0</v>
      </c>
      <c r="AK58" s="242">
        <f t="array" ref="AK58">SUM(IF((modeldata!$F:$F=calibration!$AF$54)*(modeldata!$G:$G=calibration!AK$56)*(modeldata!$H:$H=calibration!$AF58),modeldata!$E:$E,0))</f>
        <v>0</v>
      </c>
      <c r="AL58" s="242">
        <f t="array" ref="AL58">SUM(IF((modeldata!$F:$F=calibration!$AF$54)*(modeldata!$G:$G=calibration!AL$56)*(modeldata!$H:$H=calibration!$AF58),modeldata!$E:$E,0))</f>
        <v>0</v>
      </c>
      <c r="AM58" s="242">
        <f t="array" ref="AM58">SUM(IF((modeldata!$F:$F=calibration!$AF$54)*(modeldata!$G:$G=calibration!AM$56)*(modeldata!$H:$H=calibration!$AF58),modeldata!$E:$E,0))</f>
        <v>0</v>
      </c>
      <c r="AN58" s="243">
        <f t="shared" ref="AN58:AN76" si="395">AL58+AM58</f>
        <v>0</v>
      </c>
      <c r="AO58" s="242">
        <f t="array" ref="AO58">SUM(IF((modeldata!$F:$F=calibration!$AF$54)*(modeldata!$G:$G=calibration!AO$56)*(modeldata!$H:$H=calibration!$AF58),modeldata!$E:$E,0))</f>
        <v>0</v>
      </c>
      <c r="AP58" s="242">
        <f t="array" ref="AP58">SUM(IF((modeldata!$F:$F=calibration!$AF$54)*(modeldata!$G:$G=calibration!AP$56)*(modeldata!$H:$H=calibration!$AF58),modeldata!$E:$E,0))</f>
        <v>0</v>
      </c>
      <c r="AQ58" s="242">
        <f t="array" ref="AQ58">SUM(IF((modeldata!$F:$F=calibration!$AF$54)*(modeldata!$G:$G=calibration!AQ$56)*(modeldata!$H:$H=calibration!$AF58),modeldata!$E:$E,0))</f>
        <v>0</v>
      </c>
      <c r="AR58" s="178">
        <f>SUM(AO58:AQ58)</f>
        <v>0</v>
      </c>
      <c r="AS58" s="17">
        <f t="shared" ref="AS58:AS77" si="396">SUM(AG58:AQ58)-AN58</f>
        <v>0</v>
      </c>
      <c r="AU58" s="66" t="s">
        <v>41</v>
      </c>
      <c r="AV58" s="38">
        <f t="shared" ref="AV58:BG58" si="397">IF(R77&gt;0,R58/R77,0)</f>
        <v>0</v>
      </c>
      <c r="AW58" s="36">
        <f t="shared" si="397"/>
        <v>0</v>
      </c>
      <c r="AX58" s="242">
        <f t="shared" si="397"/>
        <v>0</v>
      </c>
      <c r="AY58" s="242">
        <f t="shared" si="397"/>
        <v>0</v>
      </c>
      <c r="AZ58" s="242">
        <f t="shared" si="397"/>
        <v>0</v>
      </c>
      <c r="BA58" s="242">
        <f t="shared" si="397"/>
        <v>0</v>
      </c>
      <c r="BB58" s="242">
        <f t="shared" si="397"/>
        <v>0</v>
      </c>
      <c r="BC58" s="243">
        <f t="shared" si="397"/>
        <v>0</v>
      </c>
      <c r="BD58" s="242">
        <f t="shared" si="397"/>
        <v>0</v>
      </c>
      <c r="BE58" s="242">
        <f t="shared" si="397"/>
        <v>0</v>
      </c>
      <c r="BF58" s="242">
        <f t="shared" si="397"/>
        <v>0</v>
      </c>
      <c r="BG58" s="178">
        <f t="shared" si="397"/>
        <v>0</v>
      </c>
      <c r="BH58" s="24" t="e">
        <f>AD58/AD77</f>
        <v>#DIV/0!</v>
      </c>
      <c r="BJ58" s="66" t="s">
        <v>41</v>
      </c>
      <c r="BK58" s="38">
        <f t="shared" ref="BK58:BV58" si="398">IF(AG77&gt;0,AG58/AG77,0)</f>
        <v>0</v>
      </c>
      <c r="BL58" s="36">
        <f t="shared" si="398"/>
        <v>0</v>
      </c>
      <c r="BM58" s="242">
        <f t="shared" si="398"/>
        <v>0</v>
      </c>
      <c r="BN58" s="242">
        <f t="shared" si="398"/>
        <v>0</v>
      </c>
      <c r="BO58" s="242">
        <f t="shared" si="398"/>
        <v>0</v>
      </c>
      <c r="BP58" s="242">
        <f t="shared" si="398"/>
        <v>0</v>
      </c>
      <c r="BQ58" s="242">
        <f t="shared" si="398"/>
        <v>0</v>
      </c>
      <c r="BR58" s="243">
        <f t="shared" si="398"/>
        <v>0</v>
      </c>
      <c r="BS58" s="242">
        <f t="shared" si="398"/>
        <v>0</v>
      </c>
      <c r="BT58" s="242">
        <f t="shared" si="398"/>
        <v>0</v>
      </c>
      <c r="BU58" s="242">
        <f t="shared" si="398"/>
        <v>0</v>
      </c>
      <c r="BV58" s="178">
        <f t="shared" si="398"/>
        <v>0</v>
      </c>
      <c r="BW58" s="24" t="e">
        <f>AS58/AS77</f>
        <v>#DIV/0!</v>
      </c>
      <c r="BX58" s="24"/>
      <c r="BY58" s="66" t="s">
        <v>41</v>
      </c>
      <c r="BZ58" s="54">
        <f t="shared" ref="BZ58:BZ77" si="399">AG58-R58</f>
        <v>0</v>
      </c>
      <c r="CA58" s="58">
        <f t="shared" si="368"/>
        <v>0</v>
      </c>
      <c r="CB58" s="55">
        <f t="shared" si="369"/>
        <v>0</v>
      </c>
      <c r="CC58" s="55">
        <f t="shared" si="370"/>
        <v>0</v>
      </c>
      <c r="CD58" s="55">
        <f t="shared" si="371"/>
        <v>0</v>
      </c>
      <c r="CE58" s="55">
        <f t="shared" si="372"/>
        <v>0</v>
      </c>
      <c r="CF58" s="55">
        <f t="shared" si="373"/>
        <v>0</v>
      </c>
      <c r="CG58" s="246">
        <f t="shared" si="374"/>
        <v>0</v>
      </c>
      <c r="CH58" s="55">
        <f t="shared" si="375"/>
        <v>0</v>
      </c>
      <c r="CI58" s="55">
        <f t="shared" si="376"/>
        <v>0</v>
      </c>
      <c r="CJ58" s="55">
        <f t="shared" si="377"/>
        <v>0</v>
      </c>
      <c r="CK58" s="249">
        <f t="shared" si="377"/>
        <v>0</v>
      </c>
      <c r="CL58" s="55">
        <f t="shared" si="378"/>
        <v>0</v>
      </c>
      <c r="CN58" s="66" t="s">
        <v>41</v>
      </c>
      <c r="CO58" s="54">
        <f t="shared" ref="CO58:CO77" si="400">BK58-AV58</f>
        <v>0</v>
      </c>
      <c r="CP58" s="58">
        <f t="shared" si="379"/>
        <v>0</v>
      </c>
      <c r="CQ58" s="55">
        <f t="shared" si="380"/>
        <v>0</v>
      </c>
      <c r="CR58" s="55">
        <f t="shared" si="381"/>
        <v>0</v>
      </c>
      <c r="CS58" s="55">
        <f t="shared" si="382"/>
        <v>0</v>
      </c>
      <c r="CT58" s="55">
        <f t="shared" si="383"/>
        <v>0</v>
      </c>
      <c r="CU58" s="55">
        <f t="shared" si="384"/>
        <v>0</v>
      </c>
      <c r="CV58" s="246">
        <f t="shared" si="385"/>
        <v>0</v>
      </c>
      <c r="CW58" s="55">
        <f t="shared" si="386"/>
        <v>0</v>
      </c>
      <c r="CX58" s="55">
        <f t="shared" si="387"/>
        <v>0</v>
      </c>
      <c r="CY58" s="55">
        <f t="shared" si="388"/>
        <v>0</v>
      </c>
      <c r="CZ58" s="249">
        <f t="shared" si="388"/>
        <v>0</v>
      </c>
      <c r="DA58" s="62" t="e">
        <f t="shared" si="389"/>
        <v>#DIV/0!</v>
      </c>
      <c r="DC58" s="66" t="s">
        <v>41</v>
      </c>
      <c r="DD58" s="198">
        <f t="shared" ref="DD58:DD76" si="401">AV58</f>
        <v>0</v>
      </c>
      <c r="DE58" s="199">
        <f t="shared" ref="DE58:DE76" si="402">BK58</f>
        <v>0</v>
      </c>
      <c r="DF58" s="193">
        <f t="shared" ref="DF58:DF76" si="403">AW58</f>
        <v>0</v>
      </c>
      <c r="DG58" s="194">
        <f t="shared" ref="DG58:DG76" si="404">BL58</f>
        <v>0</v>
      </c>
      <c r="DH58" s="198">
        <f t="shared" ref="DH58:DH76" si="405">AX58</f>
        <v>0</v>
      </c>
      <c r="DI58" s="199">
        <f t="shared" ref="DI58:DI76" si="406">BM58</f>
        <v>0</v>
      </c>
      <c r="DJ58" s="198">
        <f t="shared" ref="DJ58:DJ76" si="407">AY58</f>
        <v>0</v>
      </c>
      <c r="DK58" s="199">
        <f t="shared" ref="DK58:DK76" si="408">BN58</f>
        <v>0</v>
      </c>
      <c r="DL58" s="198">
        <f t="shared" ref="DL58:DL76" si="409">AZ58</f>
        <v>0</v>
      </c>
      <c r="DM58" s="199">
        <f t="shared" ref="DM58:DM76" si="410">BO58</f>
        <v>0</v>
      </c>
      <c r="DN58" s="198">
        <f t="shared" ref="DN58:DN76" si="411">BA58</f>
        <v>0</v>
      </c>
      <c r="DO58" s="199">
        <f t="shared" ref="DO58:DO76" si="412">BP58</f>
        <v>0</v>
      </c>
      <c r="DP58" s="198">
        <f t="shared" ref="DP58:DP76" si="413">BB58</f>
        <v>0</v>
      </c>
      <c r="DQ58" s="199">
        <f t="shared" ref="DQ58:DQ76" si="414">BQ58</f>
        <v>0</v>
      </c>
      <c r="DR58" s="198">
        <f t="shared" ref="DR58:DR76" si="415">BC58</f>
        <v>0</v>
      </c>
      <c r="DS58" s="199">
        <f t="shared" ref="DS58:DS76" si="416">BR58</f>
        <v>0</v>
      </c>
      <c r="DT58" s="198">
        <f t="shared" ref="DT58:DT76" si="417">BD58</f>
        <v>0</v>
      </c>
      <c r="DU58" s="199">
        <f t="shared" ref="DU58:DU76" si="418">BS58</f>
        <v>0</v>
      </c>
      <c r="DV58" s="198">
        <f t="shared" ref="DV58:DV76" si="419">BE58</f>
        <v>0</v>
      </c>
      <c r="DW58" s="199">
        <f t="shared" ref="DW58:DW76" si="420">BT58</f>
        <v>0</v>
      </c>
      <c r="DX58" s="198">
        <f t="shared" ref="DX58:DX76" si="421">BF58</f>
        <v>0</v>
      </c>
      <c r="DY58" s="199">
        <f t="shared" ref="DY58:DY76" si="422">BU58</f>
        <v>0</v>
      </c>
      <c r="DZ58" s="190">
        <f t="shared" ref="DZ58:DZ76" si="423">BG58</f>
        <v>0</v>
      </c>
      <c r="EA58" s="199">
        <f t="shared" si="390"/>
        <v>0</v>
      </c>
      <c r="EB58" s="190" t="e">
        <f t="shared" ref="EB58:EB76" si="424">BH58</f>
        <v>#DIV/0!</v>
      </c>
      <c r="EC58" s="190" t="e">
        <f t="shared" ref="EC58:EC76" si="425">BW58</f>
        <v>#DIV/0!</v>
      </c>
    </row>
    <row r="59" spans="1:133" x14ac:dyDescent="0.2">
      <c r="A59" s="66" t="s">
        <v>42</v>
      </c>
      <c r="B59" s="38">
        <f>targets!AW56</f>
        <v>0</v>
      </c>
      <c r="C59" s="242">
        <f>targets!AX56</f>
        <v>0</v>
      </c>
      <c r="D59" s="36">
        <f>targets!AY56</f>
        <v>307134.99834419874</v>
      </c>
      <c r="E59" s="242">
        <f>targets!AZ56</f>
        <v>0</v>
      </c>
      <c r="F59" s="242">
        <f>targets!BA56</f>
        <v>0</v>
      </c>
      <c r="G59" s="242">
        <f>SUM(targets!BB56:BG56)</f>
        <v>1734.6399167224861</v>
      </c>
      <c r="H59" s="242">
        <f>SUM(targets!BH56:BM56)</f>
        <v>0</v>
      </c>
      <c r="I59" s="243">
        <f t="shared" si="391"/>
        <v>1734.6399167224861</v>
      </c>
      <c r="J59" s="242">
        <f>targets!BN56</f>
        <v>0</v>
      </c>
      <c r="K59" s="242">
        <f>targets!BO56</f>
        <v>0</v>
      </c>
      <c r="L59" s="242">
        <f>targets!BP56</f>
        <v>0</v>
      </c>
      <c r="M59" s="178">
        <f t="shared" ref="M59:M76" si="426">SUM(J59:L59)</f>
        <v>0</v>
      </c>
      <c r="N59" s="17">
        <f t="shared" si="392"/>
        <v>308869.63826092123</v>
      </c>
      <c r="O59" s="17"/>
      <c r="P59" s="17"/>
      <c r="Q59" s="66" t="s">
        <v>42</v>
      </c>
      <c r="R59" s="38">
        <f t="shared" si="359"/>
        <v>0</v>
      </c>
      <c r="S59" s="242">
        <f t="shared" si="360"/>
        <v>0</v>
      </c>
      <c r="T59" s="36">
        <f t="shared" si="361"/>
        <v>0</v>
      </c>
      <c r="U59" s="242">
        <f t="shared" si="362"/>
        <v>0</v>
      </c>
      <c r="V59" s="242">
        <f t="shared" si="363"/>
        <v>0</v>
      </c>
      <c r="W59" s="242">
        <f t="shared" si="364"/>
        <v>0</v>
      </c>
      <c r="X59" s="242">
        <f t="shared" si="365"/>
        <v>0</v>
      </c>
      <c r="Y59" s="243">
        <f t="shared" si="393"/>
        <v>0</v>
      </c>
      <c r="Z59" s="242"/>
      <c r="AA59" s="242"/>
      <c r="AB59" s="242"/>
      <c r="AC59" s="178">
        <f t="shared" ref="AC59:AC76" si="427">SUM(Z59:AB59)</f>
        <v>0</v>
      </c>
      <c r="AD59" s="17">
        <f t="shared" si="394"/>
        <v>0</v>
      </c>
      <c r="AF59" s="66" t="s">
        <v>42</v>
      </c>
      <c r="AG59" s="38">
        <f t="array" ref="AG59">SUM(IF((modeldata!$F:$F=calibration!$AF$54)*(modeldata!$G:$G=calibration!AG$56)*(modeldata!$H:$H=calibration!$AF59),modeldata!$E:$E,0))</f>
        <v>0</v>
      </c>
      <c r="AH59" s="242">
        <f t="array" ref="AH59">SUM(IF((modeldata!$F:$F=calibration!$AF$54)*(modeldata!$G:$G=calibration!AH$56)*(modeldata!$H:$H=calibration!$AF59),modeldata!$E:$E,0))</f>
        <v>0</v>
      </c>
      <c r="AI59" s="36">
        <f t="array" ref="AI59">SUM(IF((modeldata!$F:$F=calibration!$AF$54)*(modeldata!$G:$G=calibration!AI$56)*(modeldata!$H:$H=calibration!$AF59),modeldata!$E:$E,0))</f>
        <v>0</v>
      </c>
      <c r="AJ59" s="242">
        <f t="array" ref="AJ59">SUM(IF((modeldata!$F:$F=calibration!$AF$54)*(modeldata!$G:$G=calibration!AJ$56)*(modeldata!$H:$H=calibration!$AF59),modeldata!$E:$E,0))</f>
        <v>0</v>
      </c>
      <c r="AK59" s="242">
        <f t="array" ref="AK59">SUM(IF((modeldata!$F:$F=calibration!$AF$54)*(modeldata!$G:$G=calibration!AK$56)*(modeldata!$H:$H=calibration!$AF59),modeldata!$E:$E,0))</f>
        <v>0</v>
      </c>
      <c r="AL59" s="242">
        <f t="array" ref="AL59">SUM(IF((modeldata!$F:$F=calibration!$AF$54)*(modeldata!$G:$G=calibration!AL$56)*(modeldata!$H:$H=calibration!$AF59),modeldata!$E:$E,0))</f>
        <v>0</v>
      </c>
      <c r="AM59" s="242">
        <f t="array" ref="AM59">SUM(IF((modeldata!$F:$F=calibration!$AF$54)*(modeldata!$G:$G=calibration!AM$56)*(modeldata!$H:$H=calibration!$AF59),modeldata!$E:$E,0))</f>
        <v>0</v>
      </c>
      <c r="AN59" s="243">
        <f t="shared" si="395"/>
        <v>0</v>
      </c>
      <c r="AO59" s="242">
        <f t="array" ref="AO59">SUM(IF((modeldata!$F:$F=calibration!$AF$54)*(modeldata!$G:$G=calibration!AO$56)*(modeldata!$H:$H=calibration!$AF59),modeldata!$E:$E,0))</f>
        <v>0</v>
      </c>
      <c r="AP59" s="242">
        <f t="array" ref="AP59">SUM(IF((modeldata!$F:$F=calibration!$AF$54)*(modeldata!$G:$G=calibration!AP$56)*(modeldata!$H:$H=calibration!$AF59),modeldata!$E:$E,0))</f>
        <v>0</v>
      </c>
      <c r="AQ59" s="242">
        <f t="array" ref="AQ59">SUM(IF((modeldata!$F:$F=calibration!$AF$54)*(modeldata!$G:$G=calibration!AQ$56)*(modeldata!$H:$H=calibration!$AF59),modeldata!$E:$E,0))</f>
        <v>0</v>
      </c>
      <c r="AR59" s="178">
        <f t="shared" ref="AR59:AR73" si="428">SUM(AO59:AQ59)</f>
        <v>0</v>
      </c>
      <c r="AS59" s="17">
        <f t="shared" si="396"/>
        <v>0</v>
      </c>
      <c r="AU59" s="66" t="s">
        <v>42</v>
      </c>
      <c r="AV59" s="38">
        <f t="shared" ref="AV59:BG59" si="429">IF(R77&gt;0,R59/R77,0)</f>
        <v>0</v>
      </c>
      <c r="AW59" s="242">
        <f t="shared" si="429"/>
        <v>0</v>
      </c>
      <c r="AX59" s="36">
        <f t="shared" si="429"/>
        <v>0</v>
      </c>
      <c r="AY59" s="242">
        <f t="shared" si="429"/>
        <v>0</v>
      </c>
      <c r="AZ59" s="242">
        <f t="shared" si="429"/>
        <v>0</v>
      </c>
      <c r="BA59" s="242">
        <f t="shared" si="429"/>
        <v>0</v>
      </c>
      <c r="BB59" s="242">
        <f t="shared" si="429"/>
        <v>0</v>
      </c>
      <c r="BC59" s="243">
        <f t="shared" si="429"/>
        <v>0</v>
      </c>
      <c r="BD59" s="242">
        <f t="shared" si="429"/>
        <v>0</v>
      </c>
      <c r="BE59" s="242">
        <f t="shared" si="429"/>
        <v>0</v>
      </c>
      <c r="BF59" s="242">
        <f t="shared" si="429"/>
        <v>0</v>
      </c>
      <c r="BG59" s="178">
        <f t="shared" si="429"/>
        <v>0</v>
      </c>
      <c r="BH59" s="24" t="e">
        <f>AD59/AD77</f>
        <v>#DIV/0!</v>
      </c>
      <c r="BJ59" s="66" t="s">
        <v>42</v>
      </c>
      <c r="BK59" s="38">
        <f t="shared" ref="BK59:BV59" si="430">IF(AG77&gt;0,AG59/AG77,0)</f>
        <v>0</v>
      </c>
      <c r="BL59" s="242">
        <f t="shared" si="430"/>
        <v>0</v>
      </c>
      <c r="BM59" s="36">
        <f t="shared" si="430"/>
        <v>0</v>
      </c>
      <c r="BN59" s="242">
        <f t="shared" si="430"/>
        <v>0</v>
      </c>
      <c r="BO59" s="242">
        <f t="shared" si="430"/>
        <v>0</v>
      </c>
      <c r="BP59" s="242">
        <f t="shared" si="430"/>
        <v>0</v>
      </c>
      <c r="BQ59" s="242">
        <f t="shared" si="430"/>
        <v>0</v>
      </c>
      <c r="BR59" s="243">
        <f t="shared" si="430"/>
        <v>0</v>
      </c>
      <c r="BS59" s="242">
        <f t="shared" si="430"/>
        <v>0</v>
      </c>
      <c r="BT59" s="242">
        <f t="shared" si="430"/>
        <v>0</v>
      </c>
      <c r="BU59" s="242">
        <f t="shared" si="430"/>
        <v>0</v>
      </c>
      <c r="BV59" s="178">
        <f t="shared" si="430"/>
        <v>0</v>
      </c>
      <c r="BW59" s="24" t="e">
        <f>AS59/AS77</f>
        <v>#DIV/0!</v>
      </c>
      <c r="BX59" s="24"/>
      <c r="BY59" s="66" t="s">
        <v>42</v>
      </c>
      <c r="BZ59" s="54">
        <f t="shared" si="399"/>
        <v>0</v>
      </c>
      <c r="CA59" s="55">
        <f t="shared" si="368"/>
        <v>0</v>
      </c>
      <c r="CB59" s="58">
        <f t="shared" si="369"/>
        <v>0</v>
      </c>
      <c r="CC59" s="55">
        <f t="shared" si="370"/>
        <v>0</v>
      </c>
      <c r="CD59" s="55">
        <f t="shared" si="371"/>
        <v>0</v>
      </c>
      <c r="CE59" s="55">
        <f t="shared" si="372"/>
        <v>0</v>
      </c>
      <c r="CF59" s="55">
        <f t="shared" si="373"/>
        <v>0</v>
      </c>
      <c r="CG59" s="246">
        <f t="shared" si="374"/>
        <v>0</v>
      </c>
      <c r="CH59" s="55">
        <f t="shared" si="375"/>
        <v>0</v>
      </c>
      <c r="CI59" s="55">
        <f t="shared" si="376"/>
        <v>0</v>
      </c>
      <c r="CJ59" s="55">
        <f t="shared" si="377"/>
        <v>0</v>
      </c>
      <c r="CK59" s="249">
        <f t="shared" si="377"/>
        <v>0</v>
      </c>
      <c r="CL59" s="55">
        <f t="shared" si="378"/>
        <v>0</v>
      </c>
      <c r="CN59" s="66" t="s">
        <v>42</v>
      </c>
      <c r="CO59" s="54">
        <f t="shared" si="400"/>
        <v>0</v>
      </c>
      <c r="CP59" s="55">
        <f t="shared" si="379"/>
        <v>0</v>
      </c>
      <c r="CQ59" s="58">
        <f t="shared" si="380"/>
        <v>0</v>
      </c>
      <c r="CR59" s="55">
        <f t="shared" si="381"/>
        <v>0</v>
      </c>
      <c r="CS59" s="55">
        <f t="shared" si="382"/>
        <v>0</v>
      </c>
      <c r="CT59" s="55">
        <f t="shared" si="383"/>
        <v>0</v>
      </c>
      <c r="CU59" s="55">
        <f t="shared" si="384"/>
        <v>0</v>
      </c>
      <c r="CV59" s="246">
        <f t="shared" si="385"/>
        <v>0</v>
      </c>
      <c r="CW59" s="55">
        <f t="shared" si="386"/>
        <v>0</v>
      </c>
      <c r="CX59" s="55">
        <f t="shared" si="387"/>
        <v>0</v>
      </c>
      <c r="CY59" s="55">
        <f t="shared" si="388"/>
        <v>0</v>
      </c>
      <c r="CZ59" s="249">
        <f t="shared" si="388"/>
        <v>0</v>
      </c>
      <c r="DA59" s="62" t="e">
        <f t="shared" si="389"/>
        <v>#DIV/0!</v>
      </c>
      <c r="DC59" s="66" t="s">
        <v>42</v>
      </c>
      <c r="DD59" s="198">
        <f t="shared" si="401"/>
        <v>0</v>
      </c>
      <c r="DE59" s="199">
        <f t="shared" si="402"/>
        <v>0</v>
      </c>
      <c r="DF59" s="198">
        <f t="shared" si="403"/>
        <v>0</v>
      </c>
      <c r="DG59" s="199">
        <f t="shared" si="404"/>
        <v>0</v>
      </c>
      <c r="DH59" s="193">
        <f t="shared" si="405"/>
        <v>0</v>
      </c>
      <c r="DI59" s="194">
        <f t="shared" si="406"/>
        <v>0</v>
      </c>
      <c r="DJ59" s="198">
        <f t="shared" si="407"/>
        <v>0</v>
      </c>
      <c r="DK59" s="199">
        <f t="shared" si="408"/>
        <v>0</v>
      </c>
      <c r="DL59" s="198">
        <f t="shared" si="409"/>
        <v>0</v>
      </c>
      <c r="DM59" s="199">
        <f t="shared" si="410"/>
        <v>0</v>
      </c>
      <c r="DN59" s="198">
        <f t="shared" si="411"/>
        <v>0</v>
      </c>
      <c r="DO59" s="199">
        <f t="shared" si="412"/>
        <v>0</v>
      </c>
      <c r="DP59" s="198">
        <f t="shared" si="413"/>
        <v>0</v>
      </c>
      <c r="DQ59" s="199">
        <f t="shared" si="414"/>
        <v>0</v>
      </c>
      <c r="DR59" s="198">
        <f t="shared" si="415"/>
        <v>0</v>
      </c>
      <c r="DS59" s="199">
        <f t="shared" si="416"/>
        <v>0</v>
      </c>
      <c r="DT59" s="198">
        <f t="shared" si="417"/>
        <v>0</v>
      </c>
      <c r="DU59" s="199">
        <f t="shared" si="418"/>
        <v>0</v>
      </c>
      <c r="DV59" s="198">
        <f t="shared" si="419"/>
        <v>0</v>
      </c>
      <c r="DW59" s="199">
        <f t="shared" si="420"/>
        <v>0</v>
      </c>
      <c r="DX59" s="198">
        <f t="shared" si="421"/>
        <v>0</v>
      </c>
      <c r="DY59" s="199">
        <f t="shared" si="422"/>
        <v>0</v>
      </c>
      <c r="DZ59" s="190">
        <f t="shared" si="423"/>
        <v>0</v>
      </c>
      <c r="EA59" s="199">
        <f t="shared" si="390"/>
        <v>0</v>
      </c>
      <c r="EB59" s="190" t="e">
        <f t="shared" si="424"/>
        <v>#DIV/0!</v>
      </c>
      <c r="EC59" s="190" t="e">
        <f t="shared" si="425"/>
        <v>#DIV/0!</v>
      </c>
    </row>
    <row r="60" spans="1:133" x14ac:dyDescent="0.2">
      <c r="A60" s="66" t="s">
        <v>2</v>
      </c>
      <c r="B60" s="38">
        <f>targets!AW57</f>
        <v>6.7030779108280951</v>
      </c>
      <c r="C60" s="242">
        <f>targets!AX57</f>
        <v>4735.3789103313538</v>
      </c>
      <c r="D60" s="242">
        <f>targets!AY57</f>
        <v>3711.3170446591353</v>
      </c>
      <c r="E60" s="36">
        <f>targets!AZ57</f>
        <v>89119.269549765304</v>
      </c>
      <c r="F60" s="242">
        <f>targets!BA57</f>
        <v>1098.3216542475266</v>
      </c>
      <c r="G60" s="242">
        <f>SUM(targets!BB57:BG57)</f>
        <v>5119.5929340166495</v>
      </c>
      <c r="H60" s="242">
        <f>SUM(targets!BH57:BM57)</f>
        <v>0</v>
      </c>
      <c r="I60" s="243">
        <f t="shared" si="391"/>
        <v>5119.5929340166495</v>
      </c>
      <c r="J60" s="242">
        <f>targets!BN57</f>
        <v>0</v>
      </c>
      <c r="K60" s="242">
        <f>targets!BO57</f>
        <v>0</v>
      </c>
      <c r="L60" s="242">
        <f>targets!BP57</f>
        <v>0</v>
      </c>
      <c r="M60" s="178">
        <f t="shared" si="426"/>
        <v>0</v>
      </c>
      <c r="N60" s="17">
        <f t="shared" si="392"/>
        <v>103790.5831709308</v>
      </c>
      <c r="O60" s="17"/>
      <c r="P60" s="17"/>
      <c r="Q60" s="66" t="s">
        <v>2</v>
      </c>
      <c r="R60" s="38">
        <f t="shared" si="359"/>
        <v>0</v>
      </c>
      <c r="S60" s="242">
        <f t="shared" si="360"/>
        <v>0</v>
      </c>
      <c r="T60" s="242">
        <f t="shared" si="361"/>
        <v>0</v>
      </c>
      <c r="U60" s="36">
        <f t="shared" si="362"/>
        <v>0</v>
      </c>
      <c r="V60" s="242">
        <f t="shared" si="363"/>
        <v>0</v>
      </c>
      <c r="W60" s="242">
        <f t="shared" si="364"/>
        <v>0</v>
      </c>
      <c r="X60" s="242">
        <f t="shared" si="365"/>
        <v>0</v>
      </c>
      <c r="Y60" s="243">
        <f t="shared" si="393"/>
        <v>0</v>
      </c>
      <c r="Z60" s="242"/>
      <c r="AA60" s="242"/>
      <c r="AB60" s="242"/>
      <c r="AC60" s="178">
        <f t="shared" si="427"/>
        <v>0</v>
      </c>
      <c r="AD60" s="17">
        <f t="shared" si="394"/>
        <v>0</v>
      </c>
      <c r="AF60" s="66" t="s">
        <v>2</v>
      </c>
      <c r="AG60" s="38">
        <f t="array" ref="AG60">SUM(IF((modeldata!$F:$F=calibration!$AF$54)*(modeldata!$G:$G=calibration!AG$56)*(modeldata!$H:$H=calibration!$AF60),modeldata!$E:$E,0))</f>
        <v>0</v>
      </c>
      <c r="AH60" s="242">
        <f t="array" ref="AH60">SUM(IF((modeldata!$F:$F=calibration!$AF$54)*(modeldata!$G:$G=calibration!AH$56)*(modeldata!$H:$H=calibration!$AF60),modeldata!$E:$E,0))</f>
        <v>0</v>
      </c>
      <c r="AI60" s="242">
        <f t="array" ref="AI60">SUM(IF((modeldata!$F:$F=calibration!$AF$54)*(modeldata!$G:$G=calibration!AI$56)*(modeldata!$H:$H=calibration!$AF60),modeldata!$E:$E,0))</f>
        <v>0</v>
      </c>
      <c r="AJ60" s="36">
        <f t="array" ref="AJ60">SUM(IF((modeldata!$F:$F=calibration!$AF$54)*(modeldata!$G:$G=calibration!AJ$56)*(modeldata!$H:$H=calibration!$AF60),modeldata!$E:$E,0))</f>
        <v>0</v>
      </c>
      <c r="AK60" s="242">
        <f t="array" ref="AK60">SUM(IF((modeldata!$F:$F=calibration!$AF$54)*(modeldata!$G:$G=calibration!AK$56)*(modeldata!$H:$H=calibration!$AF60),modeldata!$E:$E,0))</f>
        <v>0</v>
      </c>
      <c r="AL60" s="242">
        <f t="array" ref="AL60">SUM(IF((modeldata!$F:$F=calibration!$AF$54)*(modeldata!$G:$G=calibration!AL$56)*(modeldata!$H:$H=calibration!$AF60),modeldata!$E:$E,0))</f>
        <v>0</v>
      </c>
      <c r="AM60" s="242">
        <f t="array" ref="AM60">SUM(IF((modeldata!$F:$F=calibration!$AF$54)*(modeldata!$G:$G=calibration!AM$56)*(modeldata!$H:$H=calibration!$AF60),modeldata!$E:$E,0))</f>
        <v>0</v>
      </c>
      <c r="AN60" s="243">
        <f t="shared" si="395"/>
        <v>0</v>
      </c>
      <c r="AO60" s="242">
        <f t="array" ref="AO60">SUM(IF((modeldata!$F:$F=calibration!$AF$54)*(modeldata!$G:$G=calibration!AO$56)*(modeldata!$H:$H=calibration!$AF60),modeldata!$E:$E,0))</f>
        <v>0</v>
      </c>
      <c r="AP60" s="242">
        <f t="array" ref="AP60">SUM(IF((modeldata!$F:$F=calibration!$AF$54)*(modeldata!$G:$G=calibration!AP$56)*(modeldata!$H:$H=calibration!$AF60),modeldata!$E:$E,0))</f>
        <v>0</v>
      </c>
      <c r="AQ60" s="242">
        <f t="array" ref="AQ60">SUM(IF((modeldata!$F:$F=calibration!$AF$54)*(modeldata!$G:$G=calibration!AQ$56)*(modeldata!$H:$H=calibration!$AF60),modeldata!$E:$E,0))</f>
        <v>0</v>
      </c>
      <c r="AR60" s="178">
        <f t="shared" si="428"/>
        <v>0</v>
      </c>
      <c r="AS60" s="17">
        <f t="shared" si="396"/>
        <v>0</v>
      </c>
      <c r="AU60" s="66" t="s">
        <v>2</v>
      </c>
      <c r="AV60" s="38">
        <f t="shared" ref="AV60:BG60" si="431">IF(R77&gt;0,R60/R77,0)</f>
        <v>0</v>
      </c>
      <c r="AW60" s="242">
        <f t="shared" si="431"/>
        <v>0</v>
      </c>
      <c r="AX60" s="242">
        <f t="shared" si="431"/>
        <v>0</v>
      </c>
      <c r="AY60" s="36">
        <f t="shared" si="431"/>
        <v>0</v>
      </c>
      <c r="AZ60" s="242">
        <f t="shared" si="431"/>
        <v>0</v>
      </c>
      <c r="BA60" s="242">
        <f t="shared" si="431"/>
        <v>0</v>
      </c>
      <c r="BB60" s="242">
        <f t="shared" si="431"/>
        <v>0</v>
      </c>
      <c r="BC60" s="243">
        <f t="shared" si="431"/>
        <v>0</v>
      </c>
      <c r="BD60" s="242">
        <f t="shared" si="431"/>
        <v>0</v>
      </c>
      <c r="BE60" s="242">
        <f t="shared" si="431"/>
        <v>0</v>
      </c>
      <c r="BF60" s="242">
        <f t="shared" si="431"/>
        <v>0</v>
      </c>
      <c r="BG60" s="178">
        <f t="shared" si="431"/>
        <v>0</v>
      </c>
      <c r="BH60" s="24" t="e">
        <f>AD60/AD77</f>
        <v>#DIV/0!</v>
      </c>
      <c r="BJ60" s="66" t="s">
        <v>2</v>
      </c>
      <c r="BK60" s="38">
        <f t="shared" ref="BK60:BV60" si="432">IF(AG77&gt;0,AG60/AG77,0)</f>
        <v>0</v>
      </c>
      <c r="BL60" s="242">
        <f t="shared" si="432"/>
        <v>0</v>
      </c>
      <c r="BM60" s="242">
        <f t="shared" si="432"/>
        <v>0</v>
      </c>
      <c r="BN60" s="36">
        <f t="shared" si="432"/>
        <v>0</v>
      </c>
      <c r="BO60" s="242">
        <f t="shared" si="432"/>
        <v>0</v>
      </c>
      <c r="BP60" s="242">
        <f t="shared" si="432"/>
        <v>0</v>
      </c>
      <c r="BQ60" s="242">
        <f t="shared" si="432"/>
        <v>0</v>
      </c>
      <c r="BR60" s="243">
        <f t="shared" si="432"/>
        <v>0</v>
      </c>
      <c r="BS60" s="242">
        <f t="shared" si="432"/>
        <v>0</v>
      </c>
      <c r="BT60" s="242">
        <f t="shared" si="432"/>
        <v>0</v>
      </c>
      <c r="BU60" s="242">
        <f t="shared" si="432"/>
        <v>0</v>
      </c>
      <c r="BV60" s="178">
        <f t="shared" si="432"/>
        <v>0</v>
      </c>
      <c r="BW60" s="24" t="e">
        <f>AS60/AS77</f>
        <v>#DIV/0!</v>
      </c>
      <c r="BX60" s="24"/>
      <c r="BY60" s="66" t="s">
        <v>2</v>
      </c>
      <c r="BZ60" s="54">
        <f t="shared" si="399"/>
        <v>0</v>
      </c>
      <c r="CA60" s="55">
        <f t="shared" si="368"/>
        <v>0</v>
      </c>
      <c r="CB60" s="55">
        <f t="shared" si="369"/>
        <v>0</v>
      </c>
      <c r="CC60" s="58">
        <f t="shared" si="370"/>
        <v>0</v>
      </c>
      <c r="CD60" s="55">
        <f t="shared" si="371"/>
        <v>0</v>
      </c>
      <c r="CE60" s="55">
        <f t="shared" si="372"/>
        <v>0</v>
      </c>
      <c r="CF60" s="55">
        <f t="shared" si="373"/>
        <v>0</v>
      </c>
      <c r="CG60" s="246">
        <f t="shared" si="374"/>
        <v>0</v>
      </c>
      <c r="CH60" s="55">
        <f t="shared" si="375"/>
        <v>0</v>
      </c>
      <c r="CI60" s="55">
        <f t="shared" si="376"/>
        <v>0</v>
      </c>
      <c r="CJ60" s="55">
        <f t="shared" si="377"/>
        <v>0</v>
      </c>
      <c r="CK60" s="249">
        <f t="shared" si="377"/>
        <v>0</v>
      </c>
      <c r="CL60" s="55">
        <f t="shared" si="378"/>
        <v>0</v>
      </c>
      <c r="CN60" s="66" t="s">
        <v>2</v>
      </c>
      <c r="CO60" s="54">
        <f t="shared" si="400"/>
        <v>0</v>
      </c>
      <c r="CP60" s="55">
        <f t="shared" si="379"/>
        <v>0</v>
      </c>
      <c r="CQ60" s="55">
        <f t="shared" si="380"/>
        <v>0</v>
      </c>
      <c r="CR60" s="58">
        <f t="shared" si="381"/>
        <v>0</v>
      </c>
      <c r="CS60" s="55">
        <f t="shared" si="382"/>
        <v>0</v>
      </c>
      <c r="CT60" s="55">
        <f t="shared" si="383"/>
        <v>0</v>
      </c>
      <c r="CU60" s="55">
        <f t="shared" si="384"/>
        <v>0</v>
      </c>
      <c r="CV60" s="246">
        <f t="shared" si="385"/>
        <v>0</v>
      </c>
      <c r="CW60" s="55">
        <f t="shared" si="386"/>
        <v>0</v>
      </c>
      <c r="CX60" s="55">
        <f t="shared" si="387"/>
        <v>0</v>
      </c>
      <c r="CY60" s="55">
        <f t="shared" si="388"/>
        <v>0</v>
      </c>
      <c r="CZ60" s="249">
        <f t="shared" si="388"/>
        <v>0</v>
      </c>
      <c r="DA60" s="62" t="e">
        <f t="shared" si="389"/>
        <v>#DIV/0!</v>
      </c>
      <c r="DC60" s="66" t="s">
        <v>2</v>
      </c>
      <c r="DD60" s="198">
        <f t="shared" si="401"/>
        <v>0</v>
      </c>
      <c r="DE60" s="199">
        <f t="shared" si="402"/>
        <v>0</v>
      </c>
      <c r="DF60" s="198">
        <f t="shared" si="403"/>
        <v>0</v>
      </c>
      <c r="DG60" s="199">
        <f t="shared" si="404"/>
        <v>0</v>
      </c>
      <c r="DH60" s="198">
        <f t="shared" si="405"/>
        <v>0</v>
      </c>
      <c r="DI60" s="199">
        <f t="shared" si="406"/>
        <v>0</v>
      </c>
      <c r="DJ60" s="193">
        <f t="shared" si="407"/>
        <v>0</v>
      </c>
      <c r="DK60" s="194">
        <f t="shared" si="408"/>
        <v>0</v>
      </c>
      <c r="DL60" s="198">
        <f t="shared" si="409"/>
        <v>0</v>
      </c>
      <c r="DM60" s="199">
        <f t="shared" si="410"/>
        <v>0</v>
      </c>
      <c r="DN60" s="198">
        <f t="shared" si="411"/>
        <v>0</v>
      </c>
      <c r="DO60" s="199">
        <f t="shared" si="412"/>
        <v>0</v>
      </c>
      <c r="DP60" s="198">
        <f t="shared" si="413"/>
        <v>0</v>
      </c>
      <c r="DQ60" s="199">
        <f t="shared" si="414"/>
        <v>0</v>
      </c>
      <c r="DR60" s="198">
        <f t="shared" si="415"/>
        <v>0</v>
      </c>
      <c r="DS60" s="199">
        <f t="shared" si="416"/>
        <v>0</v>
      </c>
      <c r="DT60" s="198">
        <f t="shared" si="417"/>
        <v>0</v>
      </c>
      <c r="DU60" s="199">
        <f t="shared" si="418"/>
        <v>0</v>
      </c>
      <c r="DV60" s="198">
        <f t="shared" si="419"/>
        <v>0</v>
      </c>
      <c r="DW60" s="199">
        <f t="shared" si="420"/>
        <v>0</v>
      </c>
      <c r="DX60" s="198">
        <f t="shared" si="421"/>
        <v>0</v>
      </c>
      <c r="DY60" s="199">
        <f t="shared" si="422"/>
        <v>0</v>
      </c>
      <c r="DZ60" s="190">
        <f t="shared" si="423"/>
        <v>0</v>
      </c>
      <c r="EA60" s="199">
        <f t="shared" si="390"/>
        <v>0</v>
      </c>
      <c r="EB60" s="190" t="e">
        <f t="shared" si="424"/>
        <v>#DIV/0!</v>
      </c>
      <c r="EC60" s="190" t="e">
        <f t="shared" si="425"/>
        <v>#DIV/0!</v>
      </c>
    </row>
    <row r="61" spans="1:133" x14ac:dyDescent="0.2">
      <c r="A61" s="66" t="s">
        <v>3</v>
      </c>
      <c r="B61" s="38">
        <f>targets!AW58</f>
        <v>0</v>
      </c>
      <c r="C61" s="242">
        <f>targets!AX58</f>
        <v>0</v>
      </c>
      <c r="D61" s="242">
        <f>targets!AY58</f>
        <v>0</v>
      </c>
      <c r="E61" s="242">
        <f>targets!AZ58</f>
        <v>0</v>
      </c>
      <c r="F61" s="36">
        <f>targets!BA58</f>
        <v>47220.27738083632</v>
      </c>
      <c r="G61" s="242">
        <f>SUM(targets!BB58:BG58)</f>
        <v>0</v>
      </c>
      <c r="H61" s="242">
        <f>SUM(targets!BH58:BM58)</f>
        <v>0</v>
      </c>
      <c r="I61" s="243">
        <f t="shared" si="391"/>
        <v>0</v>
      </c>
      <c r="J61" s="242">
        <f>targets!BN58</f>
        <v>0</v>
      </c>
      <c r="K61" s="242">
        <f>targets!BO58</f>
        <v>0</v>
      </c>
      <c r="L61" s="242">
        <f>targets!BP58</f>
        <v>0</v>
      </c>
      <c r="M61" s="178">
        <f t="shared" si="426"/>
        <v>0</v>
      </c>
      <c r="N61" s="17">
        <f t="shared" si="392"/>
        <v>47220.27738083632</v>
      </c>
      <c r="O61" s="17"/>
      <c r="P61" s="17"/>
      <c r="Q61" s="66" t="s">
        <v>3</v>
      </c>
      <c r="R61" s="38">
        <f t="shared" si="359"/>
        <v>0</v>
      </c>
      <c r="S61" s="242">
        <f t="shared" si="360"/>
        <v>0</v>
      </c>
      <c r="T61" s="242">
        <f t="shared" si="361"/>
        <v>0</v>
      </c>
      <c r="U61" s="242">
        <f t="shared" si="362"/>
        <v>0</v>
      </c>
      <c r="V61" s="36">
        <f t="shared" si="363"/>
        <v>0</v>
      </c>
      <c r="W61" s="242">
        <f t="shared" si="364"/>
        <v>0</v>
      </c>
      <c r="X61" s="242">
        <f t="shared" si="365"/>
        <v>0</v>
      </c>
      <c r="Y61" s="243">
        <f t="shared" si="393"/>
        <v>0</v>
      </c>
      <c r="Z61" s="242"/>
      <c r="AA61" s="242"/>
      <c r="AB61" s="242"/>
      <c r="AC61" s="178">
        <f t="shared" si="427"/>
        <v>0</v>
      </c>
      <c r="AD61" s="17">
        <f t="shared" si="394"/>
        <v>0</v>
      </c>
      <c r="AF61" s="66" t="s">
        <v>3</v>
      </c>
      <c r="AG61" s="38">
        <f t="array" ref="AG61">SUM(IF((modeldata!$F:$F=calibration!$AF$54)*(modeldata!$G:$G=calibration!AG$56)*(modeldata!$H:$H=calibration!$AF61),modeldata!$E:$E,0))</f>
        <v>0</v>
      </c>
      <c r="AH61" s="242">
        <f t="array" ref="AH61">SUM(IF((modeldata!$F:$F=calibration!$AF$54)*(modeldata!$G:$G=calibration!AH$56)*(modeldata!$H:$H=calibration!$AF61),modeldata!$E:$E,0))</f>
        <v>0</v>
      </c>
      <c r="AI61" s="242">
        <f t="array" ref="AI61">SUM(IF((modeldata!$F:$F=calibration!$AF$54)*(modeldata!$G:$G=calibration!AI$56)*(modeldata!$H:$H=calibration!$AF61),modeldata!$E:$E,0))</f>
        <v>0</v>
      </c>
      <c r="AJ61" s="242">
        <f t="array" ref="AJ61">SUM(IF((modeldata!$F:$F=calibration!$AF$54)*(modeldata!$G:$G=calibration!AJ$56)*(modeldata!$H:$H=calibration!$AF61),modeldata!$E:$E,0))</f>
        <v>0</v>
      </c>
      <c r="AK61" s="36">
        <f t="array" ref="AK61">SUM(IF((modeldata!$F:$F=calibration!$AF$54)*(modeldata!$G:$G=calibration!AK$56)*(modeldata!$H:$H=calibration!$AF61),modeldata!$E:$E,0))</f>
        <v>0</v>
      </c>
      <c r="AL61" s="242">
        <f t="array" ref="AL61">SUM(IF((modeldata!$F:$F=calibration!$AF$54)*(modeldata!$G:$G=calibration!AL$56)*(modeldata!$H:$H=calibration!$AF61),modeldata!$E:$E,0))</f>
        <v>0</v>
      </c>
      <c r="AM61" s="242">
        <f t="array" ref="AM61">SUM(IF((modeldata!$F:$F=calibration!$AF$54)*(modeldata!$G:$G=calibration!AM$56)*(modeldata!$H:$H=calibration!$AF61),modeldata!$E:$E,0))</f>
        <v>0</v>
      </c>
      <c r="AN61" s="243">
        <f t="shared" si="395"/>
        <v>0</v>
      </c>
      <c r="AO61" s="242">
        <f t="array" ref="AO61">SUM(IF((modeldata!$F:$F=calibration!$AF$54)*(modeldata!$G:$G=calibration!AO$56)*(modeldata!$H:$H=calibration!$AF61),modeldata!$E:$E,0))</f>
        <v>0</v>
      </c>
      <c r="AP61" s="242">
        <f t="array" ref="AP61">SUM(IF((modeldata!$F:$F=calibration!$AF$54)*(modeldata!$G:$G=calibration!AP$56)*(modeldata!$H:$H=calibration!$AF61),modeldata!$E:$E,0))</f>
        <v>0</v>
      </c>
      <c r="AQ61" s="242">
        <f t="array" ref="AQ61">SUM(IF((modeldata!$F:$F=calibration!$AF$54)*(modeldata!$G:$G=calibration!AQ$56)*(modeldata!$H:$H=calibration!$AF61),modeldata!$E:$E,0))</f>
        <v>0</v>
      </c>
      <c r="AR61" s="178">
        <f t="shared" si="428"/>
        <v>0</v>
      </c>
      <c r="AS61" s="17">
        <f t="shared" si="396"/>
        <v>0</v>
      </c>
      <c r="AU61" s="66" t="s">
        <v>3</v>
      </c>
      <c r="AV61" s="38">
        <f t="shared" ref="AV61:BG61" si="433">IF(R77&gt;0,R61/R77,0)</f>
        <v>0</v>
      </c>
      <c r="AW61" s="242">
        <f t="shared" si="433"/>
        <v>0</v>
      </c>
      <c r="AX61" s="242">
        <f t="shared" si="433"/>
        <v>0</v>
      </c>
      <c r="AY61" s="242">
        <f t="shared" si="433"/>
        <v>0</v>
      </c>
      <c r="AZ61" s="36">
        <f t="shared" si="433"/>
        <v>0</v>
      </c>
      <c r="BA61" s="242">
        <f t="shared" si="433"/>
        <v>0</v>
      </c>
      <c r="BB61" s="242">
        <f t="shared" si="433"/>
        <v>0</v>
      </c>
      <c r="BC61" s="243">
        <f t="shared" si="433"/>
        <v>0</v>
      </c>
      <c r="BD61" s="242">
        <f t="shared" si="433"/>
        <v>0</v>
      </c>
      <c r="BE61" s="242">
        <f t="shared" si="433"/>
        <v>0</v>
      </c>
      <c r="BF61" s="242">
        <f t="shared" si="433"/>
        <v>0</v>
      </c>
      <c r="BG61" s="178">
        <f t="shared" si="433"/>
        <v>0</v>
      </c>
      <c r="BH61" s="24" t="e">
        <f>AD61/AD77</f>
        <v>#DIV/0!</v>
      </c>
      <c r="BJ61" s="66" t="s">
        <v>3</v>
      </c>
      <c r="BK61" s="38">
        <f t="shared" ref="BK61:BV61" si="434">IF(AG77&gt;0,AG61/AG77,0)</f>
        <v>0</v>
      </c>
      <c r="BL61" s="242">
        <f t="shared" si="434"/>
        <v>0</v>
      </c>
      <c r="BM61" s="242">
        <f t="shared" si="434"/>
        <v>0</v>
      </c>
      <c r="BN61" s="242">
        <f t="shared" si="434"/>
        <v>0</v>
      </c>
      <c r="BO61" s="36">
        <f t="shared" si="434"/>
        <v>0</v>
      </c>
      <c r="BP61" s="242">
        <f t="shared" si="434"/>
        <v>0</v>
      </c>
      <c r="BQ61" s="242">
        <f t="shared" si="434"/>
        <v>0</v>
      </c>
      <c r="BR61" s="243">
        <f t="shared" si="434"/>
        <v>0</v>
      </c>
      <c r="BS61" s="242">
        <f t="shared" si="434"/>
        <v>0</v>
      </c>
      <c r="BT61" s="242">
        <f t="shared" si="434"/>
        <v>0</v>
      </c>
      <c r="BU61" s="242">
        <f t="shared" si="434"/>
        <v>0</v>
      </c>
      <c r="BV61" s="178">
        <f t="shared" si="434"/>
        <v>0</v>
      </c>
      <c r="BW61" s="24" t="e">
        <f>AS61/AS77</f>
        <v>#DIV/0!</v>
      </c>
      <c r="BX61" s="24"/>
      <c r="BY61" s="66" t="s">
        <v>3</v>
      </c>
      <c r="BZ61" s="54">
        <f t="shared" si="399"/>
        <v>0</v>
      </c>
      <c r="CA61" s="55">
        <f t="shared" si="368"/>
        <v>0</v>
      </c>
      <c r="CB61" s="55">
        <f t="shared" si="369"/>
        <v>0</v>
      </c>
      <c r="CC61" s="55">
        <f t="shared" si="370"/>
        <v>0</v>
      </c>
      <c r="CD61" s="58">
        <f t="shared" si="371"/>
        <v>0</v>
      </c>
      <c r="CE61" s="55">
        <f t="shared" si="372"/>
        <v>0</v>
      </c>
      <c r="CF61" s="55">
        <f t="shared" si="373"/>
        <v>0</v>
      </c>
      <c r="CG61" s="246">
        <f t="shared" si="374"/>
        <v>0</v>
      </c>
      <c r="CH61" s="55">
        <f t="shared" si="375"/>
        <v>0</v>
      </c>
      <c r="CI61" s="55">
        <f t="shared" si="376"/>
        <v>0</v>
      </c>
      <c r="CJ61" s="55">
        <f t="shared" si="377"/>
        <v>0</v>
      </c>
      <c r="CK61" s="249">
        <f t="shared" si="377"/>
        <v>0</v>
      </c>
      <c r="CL61" s="55">
        <f t="shared" si="378"/>
        <v>0</v>
      </c>
      <c r="CN61" s="66" t="s">
        <v>3</v>
      </c>
      <c r="CO61" s="54">
        <f t="shared" si="400"/>
        <v>0</v>
      </c>
      <c r="CP61" s="55">
        <f t="shared" si="379"/>
        <v>0</v>
      </c>
      <c r="CQ61" s="55">
        <f t="shared" si="380"/>
        <v>0</v>
      </c>
      <c r="CR61" s="55">
        <f t="shared" si="381"/>
        <v>0</v>
      </c>
      <c r="CS61" s="58">
        <f t="shared" si="382"/>
        <v>0</v>
      </c>
      <c r="CT61" s="55">
        <f t="shared" si="383"/>
        <v>0</v>
      </c>
      <c r="CU61" s="55">
        <f t="shared" si="384"/>
        <v>0</v>
      </c>
      <c r="CV61" s="246">
        <f t="shared" si="385"/>
        <v>0</v>
      </c>
      <c r="CW61" s="55">
        <f t="shared" si="386"/>
        <v>0</v>
      </c>
      <c r="CX61" s="55">
        <f t="shared" si="387"/>
        <v>0</v>
      </c>
      <c r="CY61" s="55">
        <f t="shared" si="388"/>
        <v>0</v>
      </c>
      <c r="CZ61" s="249">
        <f t="shared" si="388"/>
        <v>0</v>
      </c>
      <c r="DA61" s="62" t="e">
        <f t="shared" si="389"/>
        <v>#DIV/0!</v>
      </c>
      <c r="DC61" s="66" t="s">
        <v>3</v>
      </c>
      <c r="DD61" s="198">
        <f t="shared" si="401"/>
        <v>0</v>
      </c>
      <c r="DE61" s="199">
        <f t="shared" si="402"/>
        <v>0</v>
      </c>
      <c r="DF61" s="198">
        <f t="shared" si="403"/>
        <v>0</v>
      </c>
      <c r="DG61" s="199">
        <f t="shared" si="404"/>
        <v>0</v>
      </c>
      <c r="DH61" s="198">
        <f t="shared" si="405"/>
        <v>0</v>
      </c>
      <c r="DI61" s="199">
        <f t="shared" si="406"/>
        <v>0</v>
      </c>
      <c r="DJ61" s="198">
        <f t="shared" si="407"/>
        <v>0</v>
      </c>
      <c r="DK61" s="199">
        <f t="shared" si="408"/>
        <v>0</v>
      </c>
      <c r="DL61" s="193">
        <f t="shared" si="409"/>
        <v>0</v>
      </c>
      <c r="DM61" s="194">
        <f t="shared" si="410"/>
        <v>0</v>
      </c>
      <c r="DN61" s="198">
        <f t="shared" si="411"/>
        <v>0</v>
      </c>
      <c r="DO61" s="199">
        <f t="shared" si="412"/>
        <v>0</v>
      </c>
      <c r="DP61" s="198">
        <f t="shared" si="413"/>
        <v>0</v>
      </c>
      <c r="DQ61" s="199">
        <f t="shared" si="414"/>
        <v>0</v>
      </c>
      <c r="DR61" s="198">
        <f t="shared" si="415"/>
        <v>0</v>
      </c>
      <c r="DS61" s="199">
        <f t="shared" si="416"/>
        <v>0</v>
      </c>
      <c r="DT61" s="198">
        <f t="shared" si="417"/>
        <v>0</v>
      </c>
      <c r="DU61" s="199">
        <f t="shared" si="418"/>
        <v>0</v>
      </c>
      <c r="DV61" s="198">
        <f t="shared" si="419"/>
        <v>0</v>
      </c>
      <c r="DW61" s="199">
        <f t="shared" si="420"/>
        <v>0</v>
      </c>
      <c r="DX61" s="198">
        <f t="shared" si="421"/>
        <v>0</v>
      </c>
      <c r="DY61" s="199">
        <f t="shared" si="422"/>
        <v>0</v>
      </c>
      <c r="DZ61" s="190">
        <f t="shared" si="423"/>
        <v>0</v>
      </c>
      <c r="EA61" s="199">
        <f t="shared" si="390"/>
        <v>0</v>
      </c>
      <c r="EB61" s="190" t="e">
        <f t="shared" si="424"/>
        <v>#DIV/0!</v>
      </c>
      <c r="EC61" s="190" t="e">
        <f t="shared" si="425"/>
        <v>#DIV/0!</v>
      </c>
    </row>
    <row r="62" spans="1:133" x14ac:dyDescent="0.2">
      <c r="A62" s="66" t="s">
        <v>5</v>
      </c>
      <c r="B62" s="38">
        <f>targets!AW59</f>
        <v>0</v>
      </c>
      <c r="C62" s="242">
        <f>targets!AX59</f>
        <v>0</v>
      </c>
      <c r="D62" s="242">
        <f>targets!AY59</f>
        <v>0</v>
      </c>
      <c r="E62" s="242">
        <f>targets!AZ59</f>
        <v>0</v>
      </c>
      <c r="F62" s="242">
        <f>targets!BA59</f>
        <v>0</v>
      </c>
      <c r="G62" s="39">
        <f>SUM(targets!BB59:BG59)</f>
        <v>21800.993806471732</v>
      </c>
      <c r="H62" s="242">
        <f>SUM(targets!BH59:BM59)</f>
        <v>0</v>
      </c>
      <c r="I62" s="243">
        <f t="shared" si="391"/>
        <v>21800.993806471732</v>
      </c>
      <c r="J62" s="242">
        <f>targets!BN59</f>
        <v>0</v>
      </c>
      <c r="K62" s="242">
        <f>targets!BO59</f>
        <v>0</v>
      </c>
      <c r="L62" s="242">
        <f>targets!BP59</f>
        <v>0</v>
      </c>
      <c r="M62" s="178">
        <f t="shared" si="426"/>
        <v>0</v>
      </c>
      <c r="N62" s="17">
        <f t="shared" si="392"/>
        <v>21800.993806471732</v>
      </c>
      <c r="O62" s="17"/>
      <c r="P62" s="17"/>
      <c r="Q62" s="66" t="s">
        <v>5</v>
      </c>
      <c r="R62" s="38">
        <f t="shared" si="359"/>
        <v>0</v>
      </c>
      <c r="S62" s="242">
        <f t="shared" si="360"/>
        <v>0</v>
      </c>
      <c r="T62" s="242">
        <f t="shared" si="361"/>
        <v>0</v>
      </c>
      <c r="U62" s="242">
        <f t="shared" si="362"/>
        <v>0</v>
      </c>
      <c r="V62" s="242">
        <f t="shared" si="363"/>
        <v>0</v>
      </c>
      <c r="W62" s="39">
        <f t="shared" si="364"/>
        <v>0</v>
      </c>
      <c r="X62" s="242">
        <f t="shared" si="365"/>
        <v>0</v>
      </c>
      <c r="Y62" s="243">
        <f t="shared" si="393"/>
        <v>0</v>
      </c>
      <c r="Z62" s="242"/>
      <c r="AA62" s="242"/>
      <c r="AB62" s="242"/>
      <c r="AC62" s="178">
        <f t="shared" si="427"/>
        <v>0</v>
      </c>
      <c r="AD62" s="17">
        <f t="shared" si="394"/>
        <v>0</v>
      </c>
      <c r="AF62" s="66" t="s">
        <v>5</v>
      </c>
      <c r="AG62" s="38">
        <f t="array" ref="AG62">SUM(IF((modeldata!$F:$F=calibration!$AF$54)*(modeldata!$G:$G=calibration!AG$56)*(modeldata!$H:$H=calibration!$AF62),modeldata!$E:$E,0))</f>
        <v>0</v>
      </c>
      <c r="AH62" s="242">
        <f t="array" ref="AH62">SUM(IF((modeldata!$F:$F=calibration!$AF$54)*(modeldata!$G:$G=calibration!AH$56)*(modeldata!$H:$H=calibration!$AF62),modeldata!$E:$E,0))</f>
        <v>0</v>
      </c>
      <c r="AI62" s="242">
        <f t="array" ref="AI62">SUM(IF((modeldata!$F:$F=calibration!$AF$54)*(modeldata!$G:$G=calibration!AI$56)*(modeldata!$H:$H=calibration!$AF62),modeldata!$E:$E,0))</f>
        <v>0</v>
      </c>
      <c r="AJ62" s="242">
        <f t="array" ref="AJ62">SUM(IF((modeldata!$F:$F=calibration!$AF$54)*(modeldata!$G:$G=calibration!AJ$56)*(modeldata!$H:$H=calibration!$AF62),modeldata!$E:$E,0))</f>
        <v>0</v>
      </c>
      <c r="AK62" s="242">
        <f t="array" ref="AK62">SUM(IF((modeldata!$F:$F=calibration!$AF$54)*(modeldata!$G:$G=calibration!AK$56)*(modeldata!$H:$H=calibration!$AF62),modeldata!$E:$E,0))</f>
        <v>0</v>
      </c>
      <c r="AL62" s="39">
        <f t="array" ref="AL62">SUM(IF((modeldata!$F:$F=calibration!$AF$54)*(modeldata!$G:$G=calibration!AL$56)*(modeldata!$H:$H=calibration!$AF62),modeldata!$E:$E,0))</f>
        <v>0</v>
      </c>
      <c r="AM62" s="242">
        <f t="array" ref="AM62">SUM(IF((modeldata!$F:$F=calibration!$AF$54)*(modeldata!$G:$G=calibration!AM$56)*(modeldata!$H:$H=calibration!$AF62),modeldata!$E:$E,0))</f>
        <v>0</v>
      </c>
      <c r="AN62" s="243">
        <f t="shared" ref="AN62:AN67" si="435">AL62+AM62+AL68+AM68</f>
        <v>0</v>
      </c>
      <c r="AO62" s="242">
        <f t="array" ref="AO62">SUM(IF((modeldata!$F:$F=calibration!$AF$54)*(modeldata!$G:$G=calibration!AO$56)*(modeldata!$H:$H=calibration!$AF62),modeldata!$E:$E,0))</f>
        <v>0</v>
      </c>
      <c r="AP62" s="242">
        <f t="array" ref="AP62">SUM(IF((modeldata!$F:$F=calibration!$AF$54)*(modeldata!$G:$G=calibration!AP$56)*(modeldata!$H:$H=calibration!$AF62),modeldata!$E:$E,0))</f>
        <v>0</v>
      </c>
      <c r="AQ62" s="242">
        <f t="array" ref="AQ62">SUM(IF((modeldata!$F:$F=calibration!$AF$54)*(modeldata!$G:$G=calibration!AQ$56)*(modeldata!$H:$H=calibration!$AF62),modeldata!$E:$E,0))</f>
        <v>0</v>
      </c>
      <c r="AR62" s="178">
        <f t="shared" si="428"/>
        <v>0</v>
      </c>
      <c r="AS62" s="17">
        <f t="shared" si="396"/>
        <v>0</v>
      </c>
      <c r="AU62" s="66" t="s">
        <v>5</v>
      </c>
      <c r="AV62" s="38">
        <f t="shared" ref="AV62:BG62" si="436">IF(R77&gt;0,R62/R77,0)</f>
        <v>0</v>
      </c>
      <c r="AW62" s="242">
        <f t="shared" si="436"/>
        <v>0</v>
      </c>
      <c r="AX62" s="242">
        <f t="shared" si="436"/>
        <v>0</v>
      </c>
      <c r="AY62" s="242">
        <f t="shared" si="436"/>
        <v>0</v>
      </c>
      <c r="AZ62" s="242">
        <f t="shared" si="436"/>
        <v>0</v>
      </c>
      <c r="BA62" s="39">
        <f t="shared" si="436"/>
        <v>0</v>
      </c>
      <c r="BB62" s="242">
        <f t="shared" si="436"/>
        <v>0</v>
      </c>
      <c r="BC62" s="243">
        <f t="shared" si="436"/>
        <v>0</v>
      </c>
      <c r="BD62" s="242">
        <f t="shared" si="436"/>
        <v>0</v>
      </c>
      <c r="BE62" s="242">
        <f t="shared" si="436"/>
        <v>0</v>
      </c>
      <c r="BF62" s="242">
        <f t="shared" si="436"/>
        <v>0</v>
      </c>
      <c r="BG62" s="178">
        <f t="shared" si="436"/>
        <v>0</v>
      </c>
      <c r="BH62" s="24" t="e">
        <f>AD62/AD77</f>
        <v>#DIV/0!</v>
      </c>
      <c r="BJ62" s="66" t="s">
        <v>5</v>
      </c>
      <c r="BK62" s="38">
        <f t="shared" ref="BK62:BV62" si="437">IF(AG77&gt;0,AG62/AG77,0)</f>
        <v>0</v>
      </c>
      <c r="BL62" s="242">
        <f t="shared" si="437"/>
        <v>0</v>
      </c>
      <c r="BM62" s="242">
        <f t="shared" si="437"/>
        <v>0</v>
      </c>
      <c r="BN62" s="242">
        <f t="shared" si="437"/>
        <v>0</v>
      </c>
      <c r="BO62" s="242">
        <f t="shared" si="437"/>
        <v>0</v>
      </c>
      <c r="BP62" s="39">
        <f t="shared" si="437"/>
        <v>0</v>
      </c>
      <c r="BQ62" s="242">
        <f t="shared" si="437"/>
        <v>0</v>
      </c>
      <c r="BR62" s="243">
        <f t="shared" si="437"/>
        <v>0</v>
      </c>
      <c r="BS62" s="242">
        <f t="shared" si="437"/>
        <v>0</v>
      </c>
      <c r="BT62" s="242">
        <f t="shared" si="437"/>
        <v>0</v>
      </c>
      <c r="BU62" s="242">
        <f t="shared" si="437"/>
        <v>0</v>
      </c>
      <c r="BV62" s="178">
        <f t="shared" si="437"/>
        <v>0</v>
      </c>
      <c r="BW62" s="24" t="e">
        <f>AS62/AS77</f>
        <v>#DIV/0!</v>
      </c>
      <c r="BX62" s="24"/>
      <c r="BY62" s="66" t="s">
        <v>5</v>
      </c>
      <c r="BZ62" s="54">
        <f t="shared" si="399"/>
        <v>0</v>
      </c>
      <c r="CA62" s="55">
        <f t="shared" si="368"/>
        <v>0</v>
      </c>
      <c r="CB62" s="55">
        <f t="shared" si="369"/>
        <v>0</v>
      </c>
      <c r="CC62" s="55">
        <f t="shared" si="370"/>
        <v>0</v>
      </c>
      <c r="CD62" s="55">
        <f t="shared" si="371"/>
        <v>0</v>
      </c>
      <c r="CE62" s="59">
        <f t="shared" si="372"/>
        <v>0</v>
      </c>
      <c r="CF62" s="55">
        <f t="shared" si="373"/>
        <v>0</v>
      </c>
      <c r="CG62" s="246">
        <f t="shared" si="374"/>
        <v>0</v>
      </c>
      <c r="CH62" s="55">
        <f t="shared" si="375"/>
        <v>0</v>
      </c>
      <c r="CI62" s="55">
        <f t="shared" si="376"/>
        <v>0</v>
      </c>
      <c r="CJ62" s="55">
        <f t="shared" si="377"/>
        <v>0</v>
      </c>
      <c r="CK62" s="249">
        <f t="shared" si="377"/>
        <v>0</v>
      </c>
      <c r="CL62" s="55">
        <f t="shared" si="378"/>
        <v>0</v>
      </c>
      <c r="CN62" s="66" t="s">
        <v>5</v>
      </c>
      <c r="CO62" s="54">
        <f t="shared" si="400"/>
        <v>0</v>
      </c>
      <c r="CP62" s="55">
        <f t="shared" si="379"/>
        <v>0</v>
      </c>
      <c r="CQ62" s="55">
        <f t="shared" si="380"/>
        <v>0</v>
      </c>
      <c r="CR62" s="55">
        <f t="shared" si="381"/>
        <v>0</v>
      </c>
      <c r="CS62" s="55">
        <f t="shared" si="382"/>
        <v>0</v>
      </c>
      <c r="CT62" s="59">
        <f t="shared" si="383"/>
        <v>0</v>
      </c>
      <c r="CU62" s="55">
        <f t="shared" si="384"/>
        <v>0</v>
      </c>
      <c r="CV62" s="246">
        <f t="shared" si="385"/>
        <v>0</v>
      </c>
      <c r="CW62" s="55">
        <f t="shared" si="386"/>
        <v>0</v>
      </c>
      <c r="CX62" s="55">
        <f t="shared" si="387"/>
        <v>0</v>
      </c>
      <c r="CY62" s="55">
        <f t="shared" si="388"/>
        <v>0</v>
      </c>
      <c r="CZ62" s="249">
        <f t="shared" si="388"/>
        <v>0</v>
      </c>
      <c r="DA62" s="62" t="e">
        <f t="shared" si="389"/>
        <v>#DIV/0!</v>
      </c>
      <c r="DC62" s="66" t="s">
        <v>5</v>
      </c>
      <c r="DD62" s="198">
        <f t="shared" si="401"/>
        <v>0</v>
      </c>
      <c r="DE62" s="199">
        <f t="shared" si="402"/>
        <v>0</v>
      </c>
      <c r="DF62" s="198">
        <f t="shared" si="403"/>
        <v>0</v>
      </c>
      <c r="DG62" s="199">
        <f t="shared" si="404"/>
        <v>0</v>
      </c>
      <c r="DH62" s="198">
        <f t="shared" si="405"/>
        <v>0</v>
      </c>
      <c r="DI62" s="199">
        <f t="shared" si="406"/>
        <v>0</v>
      </c>
      <c r="DJ62" s="198">
        <f t="shared" si="407"/>
        <v>0</v>
      </c>
      <c r="DK62" s="199">
        <f t="shared" si="408"/>
        <v>0</v>
      </c>
      <c r="DL62" s="198">
        <f t="shared" si="409"/>
        <v>0</v>
      </c>
      <c r="DM62" s="199">
        <f t="shared" si="410"/>
        <v>0</v>
      </c>
      <c r="DN62" s="195">
        <f t="shared" si="411"/>
        <v>0</v>
      </c>
      <c r="DO62" s="196">
        <f t="shared" si="412"/>
        <v>0</v>
      </c>
      <c r="DP62" s="198">
        <f t="shared" si="413"/>
        <v>0</v>
      </c>
      <c r="DQ62" s="199">
        <f t="shared" si="414"/>
        <v>0</v>
      </c>
      <c r="DR62" s="198">
        <f t="shared" si="415"/>
        <v>0</v>
      </c>
      <c r="DS62" s="199">
        <f t="shared" si="416"/>
        <v>0</v>
      </c>
      <c r="DT62" s="198">
        <f t="shared" si="417"/>
        <v>0</v>
      </c>
      <c r="DU62" s="199">
        <f t="shared" si="418"/>
        <v>0</v>
      </c>
      <c r="DV62" s="198">
        <f t="shared" si="419"/>
        <v>0</v>
      </c>
      <c r="DW62" s="199">
        <f t="shared" si="420"/>
        <v>0</v>
      </c>
      <c r="DX62" s="198">
        <f t="shared" si="421"/>
        <v>0</v>
      </c>
      <c r="DY62" s="199">
        <f t="shared" si="422"/>
        <v>0</v>
      </c>
      <c r="DZ62" s="190">
        <f t="shared" si="423"/>
        <v>0</v>
      </c>
      <c r="EA62" s="199">
        <f t="shared" si="390"/>
        <v>0</v>
      </c>
      <c r="EB62" s="190" t="e">
        <f t="shared" si="424"/>
        <v>#DIV/0!</v>
      </c>
      <c r="EC62" s="190" t="e">
        <f t="shared" si="425"/>
        <v>#DIV/0!</v>
      </c>
    </row>
    <row r="63" spans="1:133" ht="25.5" x14ac:dyDescent="0.2">
      <c r="A63" s="66" t="s">
        <v>344</v>
      </c>
      <c r="B63" s="38">
        <f>targets!AW60</f>
        <v>0</v>
      </c>
      <c r="C63" s="242">
        <f>targets!AX60</f>
        <v>0</v>
      </c>
      <c r="D63" s="242">
        <f>targets!AY60</f>
        <v>0</v>
      </c>
      <c r="E63" s="242">
        <f>targets!AZ60</f>
        <v>0</v>
      </c>
      <c r="F63" s="242">
        <f>targets!BA60</f>
        <v>0</v>
      </c>
      <c r="G63" s="40">
        <f>SUM(targets!BB60:BG60)</f>
        <v>1061.6263418180524</v>
      </c>
      <c r="H63" s="242">
        <f>SUM(targets!BH60:BM60)</f>
        <v>0</v>
      </c>
      <c r="I63" s="243">
        <f t="shared" si="391"/>
        <v>1061.6263418180524</v>
      </c>
      <c r="J63" s="242">
        <f>targets!BN60</f>
        <v>0</v>
      </c>
      <c r="K63" s="242">
        <f>targets!BO60</f>
        <v>0</v>
      </c>
      <c r="L63" s="242">
        <f>targets!BP60</f>
        <v>0</v>
      </c>
      <c r="M63" s="178">
        <f t="shared" si="426"/>
        <v>0</v>
      </c>
      <c r="N63" s="17">
        <f t="shared" si="392"/>
        <v>1061.6263418180524</v>
      </c>
      <c r="O63" s="17"/>
      <c r="P63" s="17"/>
      <c r="Q63" s="66" t="s">
        <v>344</v>
      </c>
      <c r="R63" s="38">
        <f t="shared" si="359"/>
        <v>0</v>
      </c>
      <c r="S63" s="242">
        <f t="shared" si="360"/>
        <v>0</v>
      </c>
      <c r="T63" s="242">
        <f t="shared" si="361"/>
        <v>0</v>
      </c>
      <c r="U63" s="242">
        <f t="shared" si="362"/>
        <v>0</v>
      </c>
      <c r="V63" s="242">
        <f t="shared" si="363"/>
        <v>0</v>
      </c>
      <c r="W63" s="40">
        <f t="shared" si="364"/>
        <v>0</v>
      </c>
      <c r="X63" s="242">
        <f t="shared" si="365"/>
        <v>0</v>
      </c>
      <c r="Y63" s="243">
        <f t="shared" si="393"/>
        <v>0</v>
      </c>
      <c r="Z63" s="242"/>
      <c r="AA63" s="242"/>
      <c r="AB63" s="242"/>
      <c r="AC63" s="178">
        <f t="shared" si="427"/>
        <v>0</v>
      </c>
      <c r="AD63" s="17">
        <f t="shared" si="394"/>
        <v>0</v>
      </c>
      <c r="AF63" s="66" t="s">
        <v>43</v>
      </c>
      <c r="AG63" s="38">
        <f t="array" ref="AG63">SUM(IF((modeldata!$F:$F=calibration!$AF$54)*(modeldata!$G:$G=calibration!AG$56)*(modeldata!$H:$H=calibration!$AF63),modeldata!$E:$E,0))</f>
        <v>0</v>
      </c>
      <c r="AH63" s="242">
        <f t="array" ref="AH63">SUM(IF((modeldata!$F:$F=calibration!$AF$54)*(modeldata!$G:$G=calibration!AH$56)*(modeldata!$H:$H=calibration!$AF63),modeldata!$E:$E,0))</f>
        <v>0</v>
      </c>
      <c r="AI63" s="242">
        <f t="array" ref="AI63">SUM(IF((modeldata!$F:$F=calibration!$AF$54)*(modeldata!$G:$G=calibration!AI$56)*(modeldata!$H:$H=calibration!$AF63),modeldata!$E:$E,0))</f>
        <v>0</v>
      </c>
      <c r="AJ63" s="242">
        <f t="array" ref="AJ63">SUM(IF((modeldata!$F:$F=calibration!$AF$54)*(modeldata!$G:$G=calibration!AJ$56)*(modeldata!$H:$H=calibration!$AF63),modeldata!$E:$E,0))</f>
        <v>0</v>
      </c>
      <c r="AK63" s="242">
        <f t="array" ref="AK63">SUM(IF((modeldata!$F:$F=calibration!$AF$54)*(modeldata!$G:$G=calibration!AK$56)*(modeldata!$H:$H=calibration!$AF63),modeldata!$E:$E,0))</f>
        <v>0</v>
      </c>
      <c r="AL63" s="40">
        <f t="array" ref="AL63">SUM(IF((modeldata!$F:$F=calibration!$AF$54)*(modeldata!$G:$G=calibration!AL$56)*(modeldata!$H:$H=calibration!$AF63),modeldata!$E:$E,0))</f>
        <v>0</v>
      </c>
      <c r="AM63" s="242">
        <f t="array" ref="AM63">SUM(IF((modeldata!$F:$F=calibration!$AF$54)*(modeldata!$G:$G=calibration!AM$56)*(modeldata!$H:$H=calibration!$AF63),modeldata!$E:$E,0))</f>
        <v>0</v>
      </c>
      <c r="AN63" s="243">
        <f t="shared" si="435"/>
        <v>0</v>
      </c>
      <c r="AO63" s="242">
        <f t="array" ref="AO63">SUM(IF((modeldata!$F:$F=calibration!$AF$54)*(modeldata!$G:$G=calibration!AO$56)*(modeldata!$H:$H=calibration!$AF63),modeldata!$E:$E,0))</f>
        <v>0</v>
      </c>
      <c r="AP63" s="242">
        <f t="array" ref="AP63">SUM(IF((modeldata!$F:$F=calibration!$AF$54)*(modeldata!$G:$G=calibration!AP$56)*(modeldata!$H:$H=calibration!$AF63),modeldata!$E:$E,0))</f>
        <v>0</v>
      </c>
      <c r="AQ63" s="242">
        <f t="array" ref="AQ63">SUM(IF((modeldata!$F:$F=calibration!$AF$54)*(modeldata!$G:$G=calibration!AQ$56)*(modeldata!$H:$H=calibration!$AF63),modeldata!$E:$E,0))</f>
        <v>0</v>
      </c>
      <c r="AR63" s="178">
        <f t="shared" si="428"/>
        <v>0</v>
      </c>
      <c r="AS63" s="17">
        <f t="shared" si="396"/>
        <v>0</v>
      </c>
      <c r="AU63" s="66" t="s">
        <v>344</v>
      </c>
      <c r="AV63" s="38">
        <f t="shared" ref="AV63:BG64" si="438">IF(R77&gt;0,R63/R77,0)</f>
        <v>0</v>
      </c>
      <c r="AW63" s="242">
        <f t="shared" si="438"/>
        <v>0</v>
      </c>
      <c r="AX63" s="242">
        <f t="shared" si="438"/>
        <v>0</v>
      </c>
      <c r="AY63" s="242">
        <f t="shared" si="438"/>
        <v>0</v>
      </c>
      <c r="AZ63" s="242">
        <f t="shared" si="438"/>
        <v>0</v>
      </c>
      <c r="BA63" s="40">
        <f t="shared" si="438"/>
        <v>0</v>
      </c>
      <c r="BB63" s="242">
        <f t="shared" si="438"/>
        <v>0</v>
      </c>
      <c r="BC63" s="243">
        <f t="shared" si="438"/>
        <v>0</v>
      </c>
      <c r="BD63" s="242">
        <f t="shared" si="438"/>
        <v>0</v>
      </c>
      <c r="BE63" s="242">
        <f t="shared" si="438"/>
        <v>0</v>
      </c>
      <c r="BF63" s="242">
        <f t="shared" si="438"/>
        <v>0</v>
      </c>
      <c r="BG63" s="178">
        <f t="shared" si="438"/>
        <v>0</v>
      </c>
      <c r="BH63" s="24" t="e">
        <f>AD63/AD77</f>
        <v>#DIV/0!</v>
      </c>
      <c r="BJ63" s="66" t="s">
        <v>344</v>
      </c>
      <c r="BK63" s="38">
        <f t="shared" ref="BK63:BV63" si="439">IF(AG77&gt;0,AG63/AG77,0)</f>
        <v>0</v>
      </c>
      <c r="BL63" s="242">
        <f t="shared" si="439"/>
        <v>0</v>
      </c>
      <c r="BM63" s="242">
        <f t="shared" si="439"/>
        <v>0</v>
      </c>
      <c r="BN63" s="242">
        <f t="shared" si="439"/>
        <v>0</v>
      </c>
      <c r="BO63" s="242">
        <f t="shared" si="439"/>
        <v>0</v>
      </c>
      <c r="BP63" s="40">
        <f t="shared" si="439"/>
        <v>0</v>
      </c>
      <c r="BQ63" s="242">
        <f t="shared" si="439"/>
        <v>0</v>
      </c>
      <c r="BR63" s="243">
        <f t="shared" si="439"/>
        <v>0</v>
      </c>
      <c r="BS63" s="242">
        <f t="shared" si="439"/>
        <v>0</v>
      </c>
      <c r="BT63" s="242">
        <f t="shared" si="439"/>
        <v>0</v>
      </c>
      <c r="BU63" s="242">
        <f t="shared" si="439"/>
        <v>0</v>
      </c>
      <c r="BV63" s="178">
        <f t="shared" si="439"/>
        <v>0</v>
      </c>
      <c r="BW63" s="24" t="e">
        <f>AS63/AS77</f>
        <v>#DIV/0!</v>
      </c>
      <c r="BX63" s="24"/>
      <c r="BY63" s="66" t="s">
        <v>344</v>
      </c>
      <c r="BZ63" s="54">
        <f t="shared" si="399"/>
        <v>0</v>
      </c>
      <c r="CA63" s="55">
        <f t="shared" si="368"/>
        <v>0</v>
      </c>
      <c r="CB63" s="55">
        <f t="shared" si="369"/>
        <v>0</v>
      </c>
      <c r="CC63" s="55">
        <f t="shared" si="370"/>
        <v>0</v>
      </c>
      <c r="CD63" s="55">
        <f t="shared" si="371"/>
        <v>0</v>
      </c>
      <c r="CE63" s="60">
        <f t="shared" si="372"/>
        <v>0</v>
      </c>
      <c r="CF63" s="55">
        <f t="shared" si="373"/>
        <v>0</v>
      </c>
      <c r="CG63" s="246">
        <f t="shared" si="374"/>
        <v>0</v>
      </c>
      <c r="CH63" s="55">
        <f t="shared" si="375"/>
        <v>0</v>
      </c>
      <c r="CI63" s="55">
        <f t="shared" si="376"/>
        <v>0</v>
      </c>
      <c r="CJ63" s="55">
        <f t="shared" si="377"/>
        <v>0</v>
      </c>
      <c r="CK63" s="249">
        <f t="shared" si="377"/>
        <v>0</v>
      </c>
      <c r="CL63" s="55">
        <f t="shared" si="378"/>
        <v>0</v>
      </c>
      <c r="CN63" s="66" t="s">
        <v>344</v>
      </c>
      <c r="CO63" s="54">
        <f t="shared" si="400"/>
        <v>0</v>
      </c>
      <c r="CP63" s="55">
        <f t="shared" si="379"/>
        <v>0</v>
      </c>
      <c r="CQ63" s="55">
        <f t="shared" si="380"/>
        <v>0</v>
      </c>
      <c r="CR63" s="55">
        <f t="shared" si="381"/>
        <v>0</v>
      </c>
      <c r="CS63" s="55">
        <f t="shared" si="382"/>
        <v>0</v>
      </c>
      <c r="CT63" s="60">
        <f t="shared" si="383"/>
        <v>0</v>
      </c>
      <c r="CU63" s="55">
        <f t="shared" si="384"/>
        <v>0</v>
      </c>
      <c r="CV63" s="246">
        <f t="shared" si="385"/>
        <v>0</v>
      </c>
      <c r="CW63" s="55">
        <f t="shared" si="386"/>
        <v>0</v>
      </c>
      <c r="CX63" s="55">
        <f t="shared" si="387"/>
        <v>0</v>
      </c>
      <c r="CY63" s="55">
        <f t="shared" si="388"/>
        <v>0</v>
      </c>
      <c r="CZ63" s="249">
        <f t="shared" si="388"/>
        <v>0</v>
      </c>
      <c r="DA63" s="62" t="e">
        <f t="shared" si="389"/>
        <v>#DIV/0!</v>
      </c>
      <c r="DC63" s="66" t="s">
        <v>344</v>
      </c>
      <c r="DD63" s="198">
        <f t="shared" si="401"/>
        <v>0</v>
      </c>
      <c r="DE63" s="199">
        <f t="shared" si="402"/>
        <v>0</v>
      </c>
      <c r="DF63" s="198">
        <f t="shared" si="403"/>
        <v>0</v>
      </c>
      <c r="DG63" s="199">
        <f t="shared" si="404"/>
        <v>0</v>
      </c>
      <c r="DH63" s="198">
        <f t="shared" si="405"/>
        <v>0</v>
      </c>
      <c r="DI63" s="199">
        <f t="shared" si="406"/>
        <v>0</v>
      </c>
      <c r="DJ63" s="198">
        <f t="shared" si="407"/>
        <v>0</v>
      </c>
      <c r="DK63" s="199">
        <f t="shared" si="408"/>
        <v>0</v>
      </c>
      <c r="DL63" s="198">
        <f t="shared" si="409"/>
        <v>0</v>
      </c>
      <c r="DM63" s="199">
        <f t="shared" si="410"/>
        <v>0</v>
      </c>
      <c r="DN63" s="198">
        <f t="shared" si="411"/>
        <v>0</v>
      </c>
      <c r="DO63" s="199">
        <f t="shared" si="412"/>
        <v>0</v>
      </c>
      <c r="DP63" s="198">
        <f t="shared" si="413"/>
        <v>0</v>
      </c>
      <c r="DQ63" s="199">
        <f t="shared" si="414"/>
        <v>0</v>
      </c>
      <c r="DR63" s="198">
        <f t="shared" si="415"/>
        <v>0</v>
      </c>
      <c r="DS63" s="199">
        <f t="shared" si="416"/>
        <v>0</v>
      </c>
      <c r="DT63" s="198">
        <f t="shared" si="417"/>
        <v>0</v>
      </c>
      <c r="DU63" s="199">
        <f t="shared" si="418"/>
        <v>0</v>
      </c>
      <c r="DV63" s="198">
        <f t="shared" si="419"/>
        <v>0</v>
      </c>
      <c r="DW63" s="199">
        <f t="shared" si="420"/>
        <v>0</v>
      </c>
      <c r="DX63" s="198">
        <f t="shared" si="421"/>
        <v>0</v>
      </c>
      <c r="DY63" s="199">
        <f t="shared" si="422"/>
        <v>0</v>
      </c>
      <c r="DZ63" s="190">
        <f t="shared" si="423"/>
        <v>0</v>
      </c>
      <c r="EA63" s="199">
        <f t="shared" si="390"/>
        <v>0</v>
      </c>
      <c r="EB63" s="190" t="e">
        <f t="shared" si="424"/>
        <v>#DIV/0!</v>
      </c>
      <c r="EC63" s="190" t="e">
        <f t="shared" si="425"/>
        <v>#DIV/0!</v>
      </c>
    </row>
    <row r="64" spans="1:133" x14ac:dyDescent="0.2">
      <c r="A64" s="2" t="s">
        <v>346</v>
      </c>
      <c r="B64" s="38">
        <f>targets!AW61</f>
        <v>0</v>
      </c>
      <c r="C64" s="242">
        <f>targets!AX61</f>
        <v>0</v>
      </c>
      <c r="D64" s="242">
        <f>targets!AY61</f>
        <v>0</v>
      </c>
      <c r="E64" s="242">
        <f>targets!AZ61</f>
        <v>0</v>
      </c>
      <c r="F64" s="242">
        <f>targets!BA61</f>
        <v>0</v>
      </c>
      <c r="G64" s="40">
        <f>SUM(targets!BB61:BG61)</f>
        <v>0</v>
      </c>
      <c r="H64" s="242">
        <f>SUM(targets!BH61:BM61)</f>
        <v>0</v>
      </c>
      <c r="I64" s="243">
        <f>SUM(G64:H64)</f>
        <v>0</v>
      </c>
      <c r="J64" s="242">
        <f>targets!BN61</f>
        <v>0</v>
      </c>
      <c r="K64" s="242">
        <f>targets!BO61</f>
        <v>0</v>
      </c>
      <c r="L64" s="242">
        <f>targets!BP61</f>
        <v>0</v>
      </c>
      <c r="M64" s="178">
        <f>SUM(J64:L64)</f>
        <v>0</v>
      </c>
      <c r="N64" s="17">
        <f>SUM(B64:L64)-I64</f>
        <v>0</v>
      </c>
      <c r="O64" s="17"/>
      <c r="P64" s="17"/>
      <c r="Q64" s="2" t="s">
        <v>346</v>
      </c>
      <c r="R64" s="38">
        <f t="shared" si="359"/>
        <v>0</v>
      </c>
      <c r="S64" s="242">
        <f t="shared" si="360"/>
        <v>0</v>
      </c>
      <c r="T64" s="242">
        <f t="shared" si="361"/>
        <v>0</v>
      </c>
      <c r="U64" s="242">
        <f t="shared" si="362"/>
        <v>0</v>
      </c>
      <c r="V64" s="242">
        <f t="shared" si="363"/>
        <v>0</v>
      </c>
      <c r="W64" s="40">
        <f t="shared" si="364"/>
        <v>0</v>
      </c>
      <c r="X64" s="242">
        <f t="shared" si="365"/>
        <v>0</v>
      </c>
      <c r="Y64" s="243">
        <f>SUM(W64:X64)</f>
        <v>0</v>
      </c>
      <c r="Z64" s="242"/>
      <c r="AA64" s="242"/>
      <c r="AB64" s="242"/>
      <c r="AC64" s="178">
        <f>SUM(Z64:AB64)</f>
        <v>0</v>
      </c>
      <c r="AD64" s="17">
        <f>SUM(R64:AB64)-Y64</f>
        <v>0</v>
      </c>
      <c r="AF64" s="2" t="s">
        <v>44</v>
      </c>
      <c r="AG64" s="38">
        <f t="array" ref="AG64">SUM(IF((modeldata!$F:$F=calibration!$AF$54)*(modeldata!$G:$G=calibration!AG$56)*(modeldata!$H:$H=calibration!$AF64),modeldata!$E:$E,0))</f>
        <v>0</v>
      </c>
      <c r="AH64" s="242">
        <f t="array" ref="AH64">SUM(IF((modeldata!$F:$F=calibration!$AF$54)*(modeldata!$G:$G=calibration!AH$56)*(modeldata!$H:$H=calibration!$AF64),modeldata!$E:$E,0))</f>
        <v>0</v>
      </c>
      <c r="AI64" s="242">
        <f t="array" ref="AI64">SUM(IF((modeldata!$F:$F=calibration!$AF$54)*(modeldata!$G:$G=calibration!AI$56)*(modeldata!$H:$H=calibration!$AF64),modeldata!$E:$E,0))</f>
        <v>0</v>
      </c>
      <c r="AJ64" s="242">
        <f t="array" ref="AJ64">SUM(IF((modeldata!$F:$F=calibration!$AF$54)*(modeldata!$G:$G=calibration!AJ$56)*(modeldata!$H:$H=calibration!$AF64),modeldata!$E:$E,0))</f>
        <v>0</v>
      </c>
      <c r="AK64" s="242">
        <f t="array" ref="AK64">SUM(IF((modeldata!$F:$F=calibration!$AF$54)*(modeldata!$G:$G=calibration!AK$56)*(modeldata!$H:$H=calibration!$AF64),modeldata!$E:$E,0))</f>
        <v>0</v>
      </c>
      <c r="AL64" s="40">
        <f t="array" ref="AL64">SUM(IF((modeldata!$F:$F=calibration!$AF$54)*(modeldata!$G:$G=calibration!AL$56)*(modeldata!$H:$H=calibration!$AF64),modeldata!$E:$E,0))</f>
        <v>0</v>
      </c>
      <c r="AM64" s="242">
        <f t="array" ref="AM64">SUM(IF((modeldata!$F:$F=calibration!$AF$54)*(modeldata!$G:$G=calibration!AM$56)*(modeldata!$H:$H=calibration!$AF64),modeldata!$E:$E,0))</f>
        <v>0</v>
      </c>
      <c r="AN64" s="243">
        <f t="shared" si="435"/>
        <v>0</v>
      </c>
      <c r="AO64" s="242">
        <f t="array" ref="AO64">SUM(IF((modeldata!$F:$F=calibration!$AF$54)*(modeldata!$G:$G=calibration!AO$56)*(modeldata!$H:$H=calibration!$AF64),modeldata!$E:$E,0))</f>
        <v>0</v>
      </c>
      <c r="AP64" s="242">
        <f t="array" ref="AP64">SUM(IF((modeldata!$F:$F=calibration!$AF$54)*(modeldata!$G:$G=calibration!AP$56)*(modeldata!$H:$H=calibration!$AF64),modeldata!$E:$E,0))</f>
        <v>0</v>
      </c>
      <c r="AQ64" s="242">
        <f t="array" ref="AQ64">SUM(IF((modeldata!$F:$F=calibration!$AF$54)*(modeldata!$G:$G=calibration!AQ$56)*(modeldata!$H:$H=calibration!$AF64),modeldata!$E:$E,0))</f>
        <v>0</v>
      </c>
      <c r="AR64" s="178">
        <f>SUM(AO64:AQ64)</f>
        <v>0</v>
      </c>
      <c r="AS64" s="17">
        <f>SUM(AG64:AQ64)-AN64</f>
        <v>0</v>
      </c>
      <c r="AU64" s="2" t="s">
        <v>346</v>
      </c>
      <c r="AV64" s="38">
        <f t="shared" si="438"/>
        <v>0</v>
      </c>
      <c r="AW64" s="242">
        <f t="shared" si="438"/>
        <v>0</v>
      </c>
      <c r="AX64" s="242">
        <f t="shared" si="438"/>
        <v>0</v>
      </c>
      <c r="AY64" s="242">
        <f t="shared" si="438"/>
        <v>0</v>
      </c>
      <c r="AZ64" s="242">
        <f t="shared" si="438"/>
        <v>0</v>
      </c>
      <c r="BA64" s="40">
        <f t="shared" si="438"/>
        <v>0</v>
      </c>
      <c r="BB64" s="242">
        <f t="shared" si="438"/>
        <v>0</v>
      </c>
      <c r="BC64" s="243">
        <f t="shared" si="438"/>
        <v>0</v>
      </c>
      <c r="BD64" s="242">
        <f t="shared" si="438"/>
        <v>0</v>
      </c>
      <c r="BE64" s="242">
        <f t="shared" si="438"/>
        <v>0</v>
      </c>
      <c r="BF64" s="242">
        <f t="shared" si="438"/>
        <v>0</v>
      </c>
      <c r="BG64" s="178">
        <f t="shared" si="438"/>
        <v>0</v>
      </c>
      <c r="BH64" s="24" t="e">
        <f>AD64/AD78</f>
        <v>#DIV/0!</v>
      </c>
      <c r="BJ64" s="2" t="s">
        <v>346</v>
      </c>
      <c r="BK64" s="38">
        <f t="shared" ref="BK64:BV64" si="440">IF(AG86&gt;0,AG64/AG86,0)</f>
        <v>0</v>
      </c>
      <c r="BL64" s="242">
        <f t="shared" si="440"/>
        <v>0</v>
      </c>
      <c r="BM64" s="242">
        <f t="shared" si="440"/>
        <v>0</v>
      </c>
      <c r="BN64" s="242">
        <f t="shared" si="440"/>
        <v>0</v>
      </c>
      <c r="BO64" s="242">
        <f t="shared" si="440"/>
        <v>0</v>
      </c>
      <c r="BP64" s="40">
        <f t="shared" si="440"/>
        <v>0</v>
      </c>
      <c r="BQ64" s="242">
        <f t="shared" si="440"/>
        <v>0</v>
      </c>
      <c r="BR64" s="243">
        <f t="shared" si="440"/>
        <v>0</v>
      </c>
      <c r="BS64" s="242">
        <f t="shared" si="440"/>
        <v>0</v>
      </c>
      <c r="BT64" s="242">
        <f t="shared" si="440"/>
        <v>0</v>
      </c>
      <c r="BU64" s="242">
        <f t="shared" si="440"/>
        <v>0</v>
      </c>
      <c r="BV64" s="178">
        <f t="shared" si="440"/>
        <v>0</v>
      </c>
      <c r="BW64" s="24" t="e">
        <f>AS64/AS86</f>
        <v>#DIV/0!</v>
      </c>
      <c r="BX64" s="24"/>
      <c r="BY64" s="2" t="s">
        <v>346</v>
      </c>
      <c r="BZ64" s="54">
        <f t="shared" ref="BZ64:CL64" si="441">AG64-R64</f>
        <v>0</v>
      </c>
      <c r="CA64" s="55">
        <f t="shared" si="441"/>
        <v>0</v>
      </c>
      <c r="CB64" s="55">
        <f t="shared" si="441"/>
        <v>0</v>
      </c>
      <c r="CC64" s="55">
        <f t="shared" si="441"/>
        <v>0</v>
      </c>
      <c r="CD64" s="55">
        <f t="shared" si="441"/>
        <v>0</v>
      </c>
      <c r="CE64" s="60">
        <f t="shared" si="441"/>
        <v>0</v>
      </c>
      <c r="CF64" s="55">
        <f t="shared" si="441"/>
        <v>0</v>
      </c>
      <c r="CG64" s="246">
        <f t="shared" si="441"/>
        <v>0</v>
      </c>
      <c r="CH64" s="55">
        <f t="shared" si="441"/>
        <v>0</v>
      </c>
      <c r="CI64" s="55">
        <f t="shared" si="441"/>
        <v>0</v>
      </c>
      <c r="CJ64" s="55">
        <f t="shared" si="441"/>
        <v>0</v>
      </c>
      <c r="CK64" s="249">
        <f t="shared" si="441"/>
        <v>0</v>
      </c>
      <c r="CL64" s="55">
        <f t="shared" si="441"/>
        <v>0</v>
      </c>
      <c r="CN64" s="2" t="s">
        <v>346</v>
      </c>
      <c r="CO64" s="54">
        <f t="shared" ref="CO64:DA64" si="442">BK64-AV64</f>
        <v>0</v>
      </c>
      <c r="CP64" s="55">
        <f t="shared" si="442"/>
        <v>0</v>
      </c>
      <c r="CQ64" s="55">
        <f t="shared" si="442"/>
        <v>0</v>
      </c>
      <c r="CR64" s="55">
        <f t="shared" si="442"/>
        <v>0</v>
      </c>
      <c r="CS64" s="55">
        <f t="shared" si="442"/>
        <v>0</v>
      </c>
      <c r="CT64" s="60">
        <f t="shared" si="442"/>
        <v>0</v>
      </c>
      <c r="CU64" s="55">
        <f t="shared" si="442"/>
        <v>0</v>
      </c>
      <c r="CV64" s="246">
        <f t="shared" si="442"/>
        <v>0</v>
      </c>
      <c r="CW64" s="55">
        <f t="shared" si="442"/>
        <v>0</v>
      </c>
      <c r="CX64" s="55">
        <f t="shared" si="442"/>
        <v>0</v>
      </c>
      <c r="CY64" s="55">
        <f t="shared" si="442"/>
        <v>0</v>
      </c>
      <c r="CZ64" s="249">
        <f t="shared" si="442"/>
        <v>0</v>
      </c>
      <c r="DA64" s="62" t="e">
        <f t="shared" si="442"/>
        <v>#DIV/0!</v>
      </c>
      <c r="DC64" s="2" t="s">
        <v>346</v>
      </c>
      <c r="DD64" s="198">
        <f>AV64</f>
        <v>0</v>
      </c>
      <c r="DE64" s="199">
        <f>BK64</f>
        <v>0</v>
      </c>
      <c r="DF64" s="198">
        <f>AW64</f>
        <v>0</v>
      </c>
      <c r="DG64" s="199">
        <f>BL64</f>
        <v>0</v>
      </c>
      <c r="DH64" s="198">
        <f>AX64</f>
        <v>0</v>
      </c>
      <c r="DI64" s="199">
        <f>BM64</f>
        <v>0</v>
      </c>
      <c r="DJ64" s="198">
        <f>AY64</f>
        <v>0</v>
      </c>
      <c r="DK64" s="199">
        <f>BN64</f>
        <v>0</v>
      </c>
      <c r="DL64" s="198">
        <f>AZ64</f>
        <v>0</v>
      </c>
      <c r="DM64" s="199">
        <f>BO64</f>
        <v>0</v>
      </c>
      <c r="DN64" s="198">
        <f>BA64</f>
        <v>0</v>
      </c>
      <c r="DO64" s="199">
        <f>BP64</f>
        <v>0</v>
      </c>
      <c r="DP64" s="198">
        <f>BB64</f>
        <v>0</v>
      </c>
      <c r="DQ64" s="199">
        <f>BQ64</f>
        <v>0</v>
      </c>
      <c r="DR64" s="198">
        <f>BC64</f>
        <v>0</v>
      </c>
      <c r="DS64" s="199">
        <f>BR64</f>
        <v>0</v>
      </c>
      <c r="DT64" s="198">
        <f>BD64</f>
        <v>0</v>
      </c>
      <c r="DU64" s="199">
        <f>BS64</f>
        <v>0</v>
      </c>
      <c r="DV64" s="198">
        <f>BE64</f>
        <v>0</v>
      </c>
      <c r="DW64" s="199">
        <f>BT64</f>
        <v>0</v>
      </c>
      <c r="DX64" s="198">
        <f>BF64</f>
        <v>0</v>
      </c>
      <c r="DY64" s="199">
        <f>BU64</f>
        <v>0</v>
      </c>
      <c r="DZ64" s="190">
        <f>BG64</f>
        <v>0</v>
      </c>
      <c r="EA64" s="199">
        <f>BV64</f>
        <v>0</v>
      </c>
      <c r="EB64" s="190" t="e">
        <f>BH64</f>
        <v>#DIV/0!</v>
      </c>
      <c r="EC64" s="190" t="e">
        <f>BW64</f>
        <v>#DIV/0!</v>
      </c>
    </row>
    <row r="65" spans="1:133" x14ac:dyDescent="0.2">
      <c r="A65" s="64" t="s">
        <v>45</v>
      </c>
      <c r="B65" s="38">
        <f>targets!AW62</f>
        <v>0</v>
      </c>
      <c r="C65" s="242">
        <f>targets!AX62</f>
        <v>0</v>
      </c>
      <c r="D65" s="242">
        <f>targets!AY62</f>
        <v>0</v>
      </c>
      <c r="E65" s="242">
        <f>targets!AZ62</f>
        <v>0</v>
      </c>
      <c r="F65" s="242">
        <f>targets!BA62</f>
        <v>0</v>
      </c>
      <c r="G65" s="40">
        <f>SUM(targets!BB62:BG62)</f>
        <v>279.25591456757093</v>
      </c>
      <c r="H65" s="242">
        <f>SUM(targets!BH62:BM62)</f>
        <v>0</v>
      </c>
      <c r="I65" s="243">
        <f t="shared" si="391"/>
        <v>279.25591456757093</v>
      </c>
      <c r="J65" s="242">
        <f>targets!BN62</f>
        <v>0</v>
      </c>
      <c r="K65" s="242">
        <f>targets!BO62</f>
        <v>0</v>
      </c>
      <c r="L65" s="242">
        <f>targets!BP62</f>
        <v>0</v>
      </c>
      <c r="M65" s="178">
        <f t="shared" si="426"/>
        <v>0</v>
      </c>
      <c r="N65" s="17">
        <f t="shared" si="392"/>
        <v>279.25591456757093</v>
      </c>
      <c r="O65" s="17"/>
      <c r="P65" s="17"/>
      <c r="Q65" s="64" t="s">
        <v>45</v>
      </c>
      <c r="R65" s="38">
        <f t="shared" si="359"/>
        <v>0</v>
      </c>
      <c r="S65" s="242">
        <f t="shared" si="360"/>
        <v>0</v>
      </c>
      <c r="T65" s="242">
        <f t="shared" si="361"/>
        <v>0</v>
      </c>
      <c r="U65" s="242">
        <f t="shared" si="362"/>
        <v>0</v>
      </c>
      <c r="V65" s="242">
        <f t="shared" si="363"/>
        <v>0</v>
      </c>
      <c r="W65" s="40">
        <f t="shared" si="364"/>
        <v>0</v>
      </c>
      <c r="X65" s="242">
        <f t="shared" si="365"/>
        <v>0</v>
      </c>
      <c r="Y65" s="243">
        <f t="shared" si="393"/>
        <v>0</v>
      </c>
      <c r="Z65" s="242"/>
      <c r="AA65" s="242"/>
      <c r="AB65" s="242"/>
      <c r="AC65" s="178">
        <f t="shared" si="427"/>
        <v>0</v>
      </c>
      <c r="AD65" s="17">
        <f t="shared" si="394"/>
        <v>0</v>
      </c>
      <c r="AF65" s="64" t="s">
        <v>45</v>
      </c>
      <c r="AG65" s="38">
        <f t="array" ref="AG65">SUM(IF((modeldata!$F:$F=calibration!$AF$54)*(modeldata!$G:$G=calibration!AG$56)*(modeldata!$H:$H=calibration!$AF65),modeldata!$E:$E,0))</f>
        <v>0</v>
      </c>
      <c r="AH65" s="242">
        <f t="array" ref="AH65">SUM(IF((modeldata!$F:$F=calibration!$AF$54)*(modeldata!$G:$G=calibration!AH$56)*(modeldata!$H:$H=calibration!$AF65),modeldata!$E:$E,0))</f>
        <v>0</v>
      </c>
      <c r="AI65" s="242">
        <f t="array" ref="AI65">SUM(IF((modeldata!$F:$F=calibration!$AF$54)*(modeldata!$G:$G=calibration!AI$56)*(modeldata!$H:$H=calibration!$AF65),modeldata!$E:$E,0))</f>
        <v>0</v>
      </c>
      <c r="AJ65" s="242">
        <f t="array" ref="AJ65">SUM(IF((modeldata!$F:$F=calibration!$AF$54)*(modeldata!$G:$G=calibration!AJ$56)*(modeldata!$H:$H=calibration!$AF65),modeldata!$E:$E,0))</f>
        <v>0</v>
      </c>
      <c r="AK65" s="242">
        <f t="array" ref="AK65">SUM(IF((modeldata!$F:$F=calibration!$AF$54)*(modeldata!$G:$G=calibration!AK$56)*(modeldata!$H:$H=calibration!$AF65),modeldata!$E:$E,0))</f>
        <v>0</v>
      </c>
      <c r="AL65" s="40">
        <f t="array" ref="AL65">SUM(IF((modeldata!$F:$F=calibration!$AF$54)*(modeldata!$G:$G=calibration!AL$56)*(modeldata!$H:$H=calibration!$AF65),modeldata!$E:$E,0))</f>
        <v>0</v>
      </c>
      <c r="AM65" s="242">
        <f t="array" ref="AM65">SUM(IF((modeldata!$F:$F=calibration!$AF$54)*(modeldata!$G:$G=calibration!AM$56)*(modeldata!$H:$H=calibration!$AF65),modeldata!$E:$E,0))</f>
        <v>0</v>
      </c>
      <c r="AN65" s="243">
        <f t="shared" si="435"/>
        <v>0</v>
      </c>
      <c r="AO65" s="242">
        <f t="array" ref="AO65">SUM(IF((modeldata!$F:$F=calibration!$AF$54)*(modeldata!$G:$G=calibration!AO$56)*(modeldata!$H:$H=calibration!$AF65),modeldata!$E:$E,0))</f>
        <v>0</v>
      </c>
      <c r="AP65" s="242">
        <f t="array" ref="AP65">SUM(IF((modeldata!$F:$F=calibration!$AF$54)*(modeldata!$G:$G=calibration!AP$56)*(modeldata!$H:$H=calibration!$AF65),modeldata!$E:$E,0))</f>
        <v>0</v>
      </c>
      <c r="AQ65" s="242">
        <f t="array" ref="AQ65">SUM(IF((modeldata!$F:$F=calibration!$AF$54)*(modeldata!$G:$G=calibration!AQ$56)*(modeldata!$H:$H=calibration!$AF65),modeldata!$E:$E,0))</f>
        <v>0</v>
      </c>
      <c r="AR65" s="178">
        <f t="shared" si="428"/>
        <v>0</v>
      </c>
      <c r="AS65" s="17">
        <f t="shared" si="396"/>
        <v>0</v>
      </c>
      <c r="AU65" s="64" t="s">
        <v>45</v>
      </c>
      <c r="AV65" s="38">
        <f t="shared" ref="AV65:BG65" si="443">IF(R77&gt;0,R65/R77,0)</f>
        <v>0</v>
      </c>
      <c r="AW65" s="242">
        <f t="shared" si="443"/>
        <v>0</v>
      </c>
      <c r="AX65" s="242">
        <f t="shared" si="443"/>
        <v>0</v>
      </c>
      <c r="AY65" s="242">
        <f t="shared" si="443"/>
        <v>0</v>
      </c>
      <c r="AZ65" s="242">
        <f t="shared" si="443"/>
        <v>0</v>
      </c>
      <c r="BA65" s="40">
        <f t="shared" si="443"/>
        <v>0</v>
      </c>
      <c r="BB65" s="242">
        <f t="shared" si="443"/>
        <v>0</v>
      </c>
      <c r="BC65" s="243">
        <f t="shared" si="443"/>
        <v>0</v>
      </c>
      <c r="BD65" s="242">
        <f t="shared" si="443"/>
        <v>0</v>
      </c>
      <c r="BE65" s="242">
        <f t="shared" si="443"/>
        <v>0</v>
      </c>
      <c r="BF65" s="242">
        <f t="shared" si="443"/>
        <v>0</v>
      </c>
      <c r="BG65" s="178">
        <f t="shared" si="443"/>
        <v>0</v>
      </c>
      <c r="BH65" s="24" t="e">
        <f>AD65/AD77</f>
        <v>#DIV/0!</v>
      </c>
      <c r="BJ65" s="64" t="s">
        <v>45</v>
      </c>
      <c r="BK65" s="38">
        <f t="shared" ref="BK65:BV65" si="444">IF(AG77&gt;0,AG65/AG77,0)</f>
        <v>0</v>
      </c>
      <c r="BL65" s="242">
        <f t="shared" si="444"/>
        <v>0</v>
      </c>
      <c r="BM65" s="242">
        <f t="shared" si="444"/>
        <v>0</v>
      </c>
      <c r="BN65" s="242">
        <f t="shared" si="444"/>
        <v>0</v>
      </c>
      <c r="BO65" s="242">
        <f t="shared" si="444"/>
        <v>0</v>
      </c>
      <c r="BP65" s="40">
        <f t="shared" si="444"/>
        <v>0</v>
      </c>
      <c r="BQ65" s="242">
        <f t="shared" si="444"/>
        <v>0</v>
      </c>
      <c r="BR65" s="243">
        <f t="shared" si="444"/>
        <v>0</v>
      </c>
      <c r="BS65" s="242">
        <f t="shared" si="444"/>
        <v>0</v>
      </c>
      <c r="BT65" s="242">
        <f t="shared" si="444"/>
        <v>0</v>
      </c>
      <c r="BU65" s="242">
        <f t="shared" si="444"/>
        <v>0</v>
      </c>
      <c r="BV65" s="178">
        <f t="shared" si="444"/>
        <v>0</v>
      </c>
      <c r="BW65" s="24" t="e">
        <f>AS65/AS77</f>
        <v>#DIV/0!</v>
      </c>
      <c r="BX65" s="24"/>
      <c r="BY65" s="64" t="s">
        <v>45</v>
      </c>
      <c r="BZ65" s="54">
        <f t="shared" si="399"/>
        <v>0</v>
      </c>
      <c r="CA65" s="55">
        <f t="shared" si="368"/>
        <v>0</v>
      </c>
      <c r="CB65" s="55">
        <f t="shared" si="369"/>
        <v>0</v>
      </c>
      <c r="CC65" s="55">
        <f t="shared" si="370"/>
        <v>0</v>
      </c>
      <c r="CD65" s="55">
        <f t="shared" si="371"/>
        <v>0</v>
      </c>
      <c r="CE65" s="60">
        <f t="shared" si="372"/>
        <v>0</v>
      </c>
      <c r="CF65" s="55">
        <f t="shared" si="373"/>
        <v>0</v>
      </c>
      <c r="CG65" s="246">
        <f t="shared" si="374"/>
        <v>0</v>
      </c>
      <c r="CH65" s="55">
        <f t="shared" si="375"/>
        <v>0</v>
      </c>
      <c r="CI65" s="55">
        <f t="shared" si="376"/>
        <v>0</v>
      </c>
      <c r="CJ65" s="55">
        <f t="shared" si="377"/>
        <v>0</v>
      </c>
      <c r="CK65" s="249">
        <f t="shared" si="377"/>
        <v>0</v>
      </c>
      <c r="CL65" s="55">
        <f t="shared" si="378"/>
        <v>0</v>
      </c>
      <c r="CN65" s="64" t="s">
        <v>45</v>
      </c>
      <c r="CO65" s="54">
        <f t="shared" si="400"/>
        <v>0</v>
      </c>
      <c r="CP65" s="55">
        <f t="shared" si="379"/>
        <v>0</v>
      </c>
      <c r="CQ65" s="55">
        <f t="shared" si="380"/>
        <v>0</v>
      </c>
      <c r="CR65" s="55">
        <f t="shared" si="381"/>
        <v>0</v>
      </c>
      <c r="CS65" s="55">
        <f t="shared" si="382"/>
        <v>0</v>
      </c>
      <c r="CT65" s="60">
        <f t="shared" si="383"/>
        <v>0</v>
      </c>
      <c r="CU65" s="55">
        <f t="shared" si="384"/>
        <v>0</v>
      </c>
      <c r="CV65" s="246">
        <f t="shared" si="385"/>
        <v>0</v>
      </c>
      <c r="CW65" s="55">
        <f t="shared" si="386"/>
        <v>0</v>
      </c>
      <c r="CX65" s="55">
        <f t="shared" si="387"/>
        <v>0</v>
      </c>
      <c r="CY65" s="55">
        <f t="shared" si="388"/>
        <v>0</v>
      </c>
      <c r="CZ65" s="249">
        <f t="shared" si="388"/>
        <v>0</v>
      </c>
      <c r="DA65" s="62" t="e">
        <f t="shared" si="389"/>
        <v>#DIV/0!</v>
      </c>
      <c r="DC65" s="64" t="s">
        <v>45</v>
      </c>
      <c r="DD65" s="198">
        <f t="shared" si="401"/>
        <v>0</v>
      </c>
      <c r="DE65" s="199">
        <f t="shared" si="402"/>
        <v>0</v>
      </c>
      <c r="DF65" s="198">
        <f t="shared" si="403"/>
        <v>0</v>
      </c>
      <c r="DG65" s="199">
        <f t="shared" si="404"/>
        <v>0</v>
      </c>
      <c r="DH65" s="198">
        <f t="shared" si="405"/>
        <v>0</v>
      </c>
      <c r="DI65" s="199">
        <f t="shared" si="406"/>
        <v>0</v>
      </c>
      <c r="DJ65" s="198">
        <f t="shared" si="407"/>
        <v>0</v>
      </c>
      <c r="DK65" s="199">
        <f t="shared" si="408"/>
        <v>0</v>
      </c>
      <c r="DL65" s="198">
        <f t="shared" si="409"/>
        <v>0</v>
      </c>
      <c r="DM65" s="199">
        <f t="shared" si="410"/>
        <v>0</v>
      </c>
      <c r="DN65" s="198">
        <f t="shared" si="411"/>
        <v>0</v>
      </c>
      <c r="DO65" s="199">
        <f t="shared" si="412"/>
        <v>0</v>
      </c>
      <c r="DP65" s="198">
        <f t="shared" si="413"/>
        <v>0</v>
      </c>
      <c r="DQ65" s="199">
        <f t="shared" si="414"/>
        <v>0</v>
      </c>
      <c r="DR65" s="198">
        <f t="shared" si="415"/>
        <v>0</v>
      </c>
      <c r="DS65" s="199">
        <f t="shared" si="416"/>
        <v>0</v>
      </c>
      <c r="DT65" s="198">
        <f t="shared" si="417"/>
        <v>0</v>
      </c>
      <c r="DU65" s="199">
        <f t="shared" si="418"/>
        <v>0</v>
      </c>
      <c r="DV65" s="198">
        <f t="shared" si="419"/>
        <v>0</v>
      </c>
      <c r="DW65" s="199">
        <f t="shared" si="420"/>
        <v>0</v>
      </c>
      <c r="DX65" s="198">
        <f t="shared" si="421"/>
        <v>0</v>
      </c>
      <c r="DY65" s="199">
        <f t="shared" si="422"/>
        <v>0</v>
      </c>
      <c r="DZ65" s="190">
        <f t="shared" si="423"/>
        <v>0</v>
      </c>
      <c r="EA65" s="199">
        <f t="shared" si="390"/>
        <v>0</v>
      </c>
      <c r="EB65" s="190" t="e">
        <f t="shared" si="424"/>
        <v>#DIV/0!</v>
      </c>
      <c r="EC65" s="190" t="e">
        <f t="shared" si="425"/>
        <v>#DIV/0!</v>
      </c>
    </row>
    <row r="66" spans="1:133" x14ac:dyDescent="0.2">
      <c r="A66" s="64" t="s">
        <v>46</v>
      </c>
      <c r="B66" s="38">
        <f>targets!AW63</f>
        <v>0</v>
      </c>
      <c r="C66" s="242">
        <f>targets!AX63</f>
        <v>0</v>
      </c>
      <c r="D66" s="242">
        <f>targets!AY63</f>
        <v>0</v>
      </c>
      <c r="E66" s="242">
        <f>targets!AZ63</f>
        <v>0</v>
      </c>
      <c r="F66" s="242">
        <f>targets!BA63</f>
        <v>0</v>
      </c>
      <c r="G66" s="40">
        <f>SUM(targets!BB63:BG63)</f>
        <v>309.86753626005873</v>
      </c>
      <c r="H66" s="242">
        <f>SUM(targets!BH63:BM63)</f>
        <v>0</v>
      </c>
      <c r="I66" s="243">
        <f t="shared" si="391"/>
        <v>309.86753626005873</v>
      </c>
      <c r="J66" s="242">
        <f>targets!BN63</f>
        <v>0</v>
      </c>
      <c r="K66" s="242">
        <f>targets!BO63</f>
        <v>0</v>
      </c>
      <c r="L66" s="242">
        <f>targets!BP63</f>
        <v>0</v>
      </c>
      <c r="M66" s="178">
        <f t="shared" si="426"/>
        <v>0</v>
      </c>
      <c r="N66" s="17">
        <f t="shared" si="392"/>
        <v>309.86753626005873</v>
      </c>
      <c r="O66" s="17"/>
      <c r="P66" s="17"/>
      <c r="Q66" s="64" t="s">
        <v>46</v>
      </c>
      <c r="R66" s="38">
        <f t="shared" si="359"/>
        <v>0</v>
      </c>
      <c r="S66" s="242">
        <f t="shared" si="360"/>
        <v>0</v>
      </c>
      <c r="T66" s="242">
        <f t="shared" si="361"/>
        <v>0</v>
      </c>
      <c r="U66" s="242">
        <f t="shared" si="362"/>
        <v>0</v>
      </c>
      <c r="V66" s="242">
        <f t="shared" si="363"/>
        <v>0</v>
      </c>
      <c r="W66" s="40">
        <f t="shared" si="364"/>
        <v>0</v>
      </c>
      <c r="X66" s="242">
        <f t="shared" si="365"/>
        <v>0</v>
      </c>
      <c r="Y66" s="243">
        <f t="shared" si="393"/>
        <v>0</v>
      </c>
      <c r="Z66" s="242"/>
      <c r="AA66" s="242"/>
      <c r="AB66" s="242"/>
      <c r="AC66" s="178">
        <f t="shared" si="427"/>
        <v>0</v>
      </c>
      <c r="AD66" s="17">
        <f t="shared" si="394"/>
        <v>0</v>
      </c>
      <c r="AF66" s="64" t="s">
        <v>46</v>
      </c>
      <c r="AG66" s="38">
        <f t="array" ref="AG66">SUM(IF((modeldata!$F:$F=calibration!$AF$54)*(modeldata!$G:$G=calibration!AG$56)*(modeldata!$H:$H=calibration!$AF66),modeldata!$E:$E,0))</f>
        <v>0</v>
      </c>
      <c r="AH66" s="242">
        <f t="array" ref="AH66">SUM(IF((modeldata!$F:$F=calibration!$AF$54)*(modeldata!$G:$G=calibration!AH$56)*(modeldata!$H:$H=calibration!$AF66),modeldata!$E:$E,0))</f>
        <v>0</v>
      </c>
      <c r="AI66" s="242">
        <f t="array" ref="AI66">SUM(IF((modeldata!$F:$F=calibration!$AF$54)*(modeldata!$G:$G=calibration!AI$56)*(modeldata!$H:$H=calibration!$AF66),modeldata!$E:$E,0))</f>
        <v>0</v>
      </c>
      <c r="AJ66" s="242">
        <f t="array" ref="AJ66">SUM(IF((modeldata!$F:$F=calibration!$AF$54)*(modeldata!$G:$G=calibration!AJ$56)*(modeldata!$H:$H=calibration!$AF66),modeldata!$E:$E,0))</f>
        <v>0</v>
      </c>
      <c r="AK66" s="242">
        <f t="array" ref="AK66">SUM(IF((modeldata!$F:$F=calibration!$AF$54)*(modeldata!$G:$G=calibration!AK$56)*(modeldata!$H:$H=calibration!$AF66),modeldata!$E:$E,0))</f>
        <v>0</v>
      </c>
      <c r="AL66" s="40">
        <f t="array" ref="AL66">SUM(IF((modeldata!$F:$F=calibration!$AF$54)*(modeldata!$G:$G=calibration!AL$56)*(modeldata!$H:$H=calibration!$AF66),modeldata!$E:$E,0))</f>
        <v>0</v>
      </c>
      <c r="AM66" s="242">
        <f t="array" ref="AM66">SUM(IF((modeldata!$F:$F=calibration!$AF$54)*(modeldata!$G:$G=calibration!AM$56)*(modeldata!$H:$H=calibration!$AF66),modeldata!$E:$E,0))</f>
        <v>0</v>
      </c>
      <c r="AN66" s="243">
        <f t="shared" si="435"/>
        <v>0</v>
      </c>
      <c r="AO66" s="242">
        <f t="array" ref="AO66">SUM(IF((modeldata!$F:$F=calibration!$AF$54)*(modeldata!$G:$G=calibration!AO$56)*(modeldata!$H:$H=calibration!$AF66),modeldata!$E:$E,0))</f>
        <v>0</v>
      </c>
      <c r="AP66" s="242">
        <f t="array" ref="AP66">SUM(IF((modeldata!$F:$F=calibration!$AF$54)*(modeldata!$G:$G=calibration!AP$56)*(modeldata!$H:$H=calibration!$AF66),modeldata!$E:$E,0))</f>
        <v>0</v>
      </c>
      <c r="AQ66" s="242">
        <f t="array" ref="AQ66">SUM(IF((modeldata!$F:$F=calibration!$AF$54)*(modeldata!$G:$G=calibration!AQ$56)*(modeldata!$H:$H=calibration!$AF66),modeldata!$E:$E,0))</f>
        <v>0</v>
      </c>
      <c r="AR66" s="178">
        <f t="shared" si="428"/>
        <v>0</v>
      </c>
      <c r="AS66" s="17">
        <f t="shared" si="396"/>
        <v>0</v>
      </c>
      <c r="AU66" s="64" t="s">
        <v>46</v>
      </c>
      <c r="AV66" s="38">
        <f t="shared" ref="AV66:BG66" si="445">IF(R77&gt;0,R66/R77,0)</f>
        <v>0</v>
      </c>
      <c r="AW66" s="242">
        <f t="shared" si="445"/>
        <v>0</v>
      </c>
      <c r="AX66" s="242">
        <f t="shared" si="445"/>
        <v>0</v>
      </c>
      <c r="AY66" s="242">
        <f t="shared" si="445"/>
        <v>0</v>
      </c>
      <c r="AZ66" s="242">
        <f t="shared" si="445"/>
        <v>0</v>
      </c>
      <c r="BA66" s="40">
        <f t="shared" si="445"/>
        <v>0</v>
      </c>
      <c r="BB66" s="242">
        <f t="shared" si="445"/>
        <v>0</v>
      </c>
      <c r="BC66" s="243">
        <f t="shared" si="445"/>
        <v>0</v>
      </c>
      <c r="BD66" s="242">
        <f t="shared" si="445"/>
        <v>0</v>
      </c>
      <c r="BE66" s="242">
        <f t="shared" si="445"/>
        <v>0</v>
      </c>
      <c r="BF66" s="242">
        <f t="shared" si="445"/>
        <v>0</v>
      </c>
      <c r="BG66" s="178">
        <f t="shared" si="445"/>
        <v>0</v>
      </c>
      <c r="BH66" s="24" t="e">
        <f>AD66/AD77</f>
        <v>#DIV/0!</v>
      </c>
      <c r="BJ66" s="64" t="s">
        <v>46</v>
      </c>
      <c r="BK66" s="38">
        <f t="shared" ref="BK66:BV66" si="446">IF(AG77&gt;0,AG66/AG77,0)</f>
        <v>0</v>
      </c>
      <c r="BL66" s="242">
        <f t="shared" si="446"/>
        <v>0</v>
      </c>
      <c r="BM66" s="242">
        <f t="shared" si="446"/>
        <v>0</v>
      </c>
      <c r="BN66" s="242">
        <f t="shared" si="446"/>
        <v>0</v>
      </c>
      <c r="BO66" s="242">
        <f t="shared" si="446"/>
        <v>0</v>
      </c>
      <c r="BP66" s="40">
        <f t="shared" si="446"/>
        <v>0</v>
      </c>
      <c r="BQ66" s="242">
        <f t="shared" si="446"/>
        <v>0</v>
      </c>
      <c r="BR66" s="243">
        <f t="shared" si="446"/>
        <v>0</v>
      </c>
      <c r="BS66" s="242">
        <f t="shared" si="446"/>
        <v>0</v>
      </c>
      <c r="BT66" s="242">
        <f t="shared" si="446"/>
        <v>0</v>
      </c>
      <c r="BU66" s="242">
        <f t="shared" si="446"/>
        <v>0</v>
      </c>
      <c r="BV66" s="178">
        <f t="shared" si="446"/>
        <v>0</v>
      </c>
      <c r="BW66" s="24" t="e">
        <f>AS66/AS77</f>
        <v>#DIV/0!</v>
      </c>
      <c r="BX66" s="24"/>
      <c r="BY66" s="64" t="s">
        <v>46</v>
      </c>
      <c r="BZ66" s="54">
        <f t="shared" si="399"/>
        <v>0</v>
      </c>
      <c r="CA66" s="55">
        <f t="shared" si="368"/>
        <v>0</v>
      </c>
      <c r="CB66" s="55">
        <f t="shared" si="369"/>
        <v>0</v>
      </c>
      <c r="CC66" s="55">
        <f t="shared" si="370"/>
        <v>0</v>
      </c>
      <c r="CD66" s="55">
        <f t="shared" si="371"/>
        <v>0</v>
      </c>
      <c r="CE66" s="60">
        <f t="shared" si="372"/>
        <v>0</v>
      </c>
      <c r="CF66" s="55">
        <f t="shared" si="373"/>
        <v>0</v>
      </c>
      <c r="CG66" s="246">
        <f t="shared" si="374"/>
        <v>0</v>
      </c>
      <c r="CH66" s="55">
        <f t="shared" si="375"/>
        <v>0</v>
      </c>
      <c r="CI66" s="55">
        <f t="shared" si="376"/>
        <v>0</v>
      </c>
      <c r="CJ66" s="55">
        <f t="shared" si="377"/>
        <v>0</v>
      </c>
      <c r="CK66" s="249">
        <f t="shared" si="377"/>
        <v>0</v>
      </c>
      <c r="CL66" s="55">
        <f t="shared" si="378"/>
        <v>0</v>
      </c>
      <c r="CN66" s="64" t="s">
        <v>46</v>
      </c>
      <c r="CO66" s="54">
        <f t="shared" si="400"/>
        <v>0</v>
      </c>
      <c r="CP66" s="55">
        <f t="shared" si="379"/>
        <v>0</v>
      </c>
      <c r="CQ66" s="55">
        <f t="shared" si="380"/>
        <v>0</v>
      </c>
      <c r="CR66" s="55">
        <f t="shared" si="381"/>
        <v>0</v>
      </c>
      <c r="CS66" s="55">
        <f t="shared" si="382"/>
        <v>0</v>
      </c>
      <c r="CT66" s="60">
        <f t="shared" si="383"/>
        <v>0</v>
      </c>
      <c r="CU66" s="55">
        <f t="shared" si="384"/>
        <v>0</v>
      </c>
      <c r="CV66" s="246">
        <f t="shared" si="385"/>
        <v>0</v>
      </c>
      <c r="CW66" s="55">
        <f t="shared" si="386"/>
        <v>0</v>
      </c>
      <c r="CX66" s="55">
        <f t="shared" si="387"/>
        <v>0</v>
      </c>
      <c r="CY66" s="55">
        <f t="shared" si="388"/>
        <v>0</v>
      </c>
      <c r="CZ66" s="249">
        <f t="shared" si="388"/>
        <v>0</v>
      </c>
      <c r="DA66" s="62" t="e">
        <f t="shared" si="389"/>
        <v>#DIV/0!</v>
      </c>
      <c r="DC66" s="64" t="s">
        <v>46</v>
      </c>
      <c r="DD66" s="198">
        <f t="shared" si="401"/>
        <v>0</v>
      </c>
      <c r="DE66" s="199">
        <f t="shared" si="402"/>
        <v>0</v>
      </c>
      <c r="DF66" s="198">
        <f t="shared" si="403"/>
        <v>0</v>
      </c>
      <c r="DG66" s="199">
        <f t="shared" si="404"/>
        <v>0</v>
      </c>
      <c r="DH66" s="198">
        <f t="shared" si="405"/>
        <v>0</v>
      </c>
      <c r="DI66" s="199">
        <f t="shared" si="406"/>
        <v>0</v>
      </c>
      <c r="DJ66" s="198">
        <f t="shared" si="407"/>
        <v>0</v>
      </c>
      <c r="DK66" s="199">
        <f t="shared" si="408"/>
        <v>0</v>
      </c>
      <c r="DL66" s="198">
        <f t="shared" si="409"/>
        <v>0</v>
      </c>
      <c r="DM66" s="199">
        <f t="shared" si="410"/>
        <v>0</v>
      </c>
      <c r="DN66" s="198">
        <f t="shared" si="411"/>
        <v>0</v>
      </c>
      <c r="DO66" s="199">
        <f t="shared" si="412"/>
        <v>0</v>
      </c>
      <c r="DP66" s="198">
        <f t="shared" si="413"/>
        <v>0</v>
      </c>
      <c r="DQ66" s="199">
        <f t="shared" si="414"/>
        <v>0</v>
      </c>
      <c r="DR66" s="198">
        <f t="shared" si="415"/>
        <v>0</v>
      </c>
      <c r="DS66" s="199">
        <f t="shared" si="416"/>
        <v>0</v>
      </c>
      <c r="DT66" s="198">
        <f t="shared" si="417"/>
        <v>0</v>
      </c>
      <c r="DU66" s="199">
        <f t="shared" si="418"/>
        <v>0</v>
      </c>
      <c r="DV66" s="198">
        <f t="shared" si="419"/>
        <v>0</v>
      </c>
      <c r="DW66" s="199">
        <f t="shared" si="420"/>
        <v>0</v>
      </c>
      <c r="DX66" s="198">
        <f t="shared" si="421"/>
        <v>0</v>
      </c>
      <c r="DY66" s="199">
        <f t="shared" si="422"/>
        <v>0</v>
      </c>
      <c r="DZ66" s="190">
        <f t="shared" si="423"/>
        <v>0</v>
      </c>
      <c r="EA66" s="199">
        <f t="shared" si="390"/>
        <v>0</v>
      </c>
      <c r="EB66" s="190" t="e">
        <f t="shared" si="424"/>
        <v>#DIV/0!</v>
      </c>
      <c r="EC66" s="190" t="e">
        <f t="shared" si="425"/>
        <v>#DIV/0!</v>
      </c>
    </row>
    <row r="67" spans="1:133" x14ac:dyDescent="0.2">
      <c r="A67" s="64" t="s">
        <v>47</v>
      </c>
      <c r="B67" s="38">
        <f>targets!AW64</f>
        <v>0</v>
      </c>
      <c r="C67" s="242">
        <f>targets!AX64</f>
        <v>0</v>
      </c>
      <c r="D67" s="242">
        <f>targets!AY64</f>
        <v>0</v>
      </c>
      <c r="E67" s="242">
        <f>targets!AZ64</f>
        <v>0</v>
      </c>
      <c r="F67" s="242">
        <f>targets!BA64</f>
        <v>0</v>
      </c>
      <c r="G67" s="41">
        <f>SUM(targets!BB64:BG64)</f>
        <v>0</v>
      </c>
      <c r="H67" s="242">
        <f>SUM(targets!BH64:BM64)</f>
        <v>0</v>
      </c>
      <c r="I67" s="243">
        <f t="shared" si="391"/>
        <v>0</v>
      </c>
      <c r="J67" s="242">
        <f>targets!BN64</f>
        <v>0</v>
      </c>
      <c r="K67" s="242">
        <f>targets!BO64</f>
        <v>0</v>
      </c>
      <c r="L67" s="242">
        <f>targets!BP64</f>
        <v>0</v>
      </c>
      <c r="M67" s="178">
        <f t="shared" si="426"/>
        <v>0</v>
      </c>
      <c r="N67" s="17">
        <f t="shared" si="392"/>
        <v>0</v>
      </c>
      <c r="O67" s="17"/>
      <c r="P67" s="17"/>
      <c r="Q67" s="64" t="s">
        <v>47</v>
      </c>
      <c r="R67" s="38">
        <f t="shared" si="359"/>
        <v>0</v>
      </c>
      <c r="S67" s="242">
        <f t="shared" si="360"/>
        <v>0</v>
      </c>
      <c r="T67" s="242">
        <f t="shared" si="361"/>
        <v>0</v>
      </c>
      <c r="U67" s="242">
        <f t="shared" si="362"/>
        <v>0</v>
      </c>
      <c r="V67" s="242">
        <f t="shared" si="363"/>
        <v>0</v>
      </c>
      <c r="W67" s="41">
        <f t="shared" si="364"/>
        <v>0</v>
      </c>
      <c r="X67" s="242">
        <f t="shared" si="365"/>
        <v>0</v>
      </c>
      <c r="Y67" s="243">
        <f t="shared" si="393"/>
        <v>0</v>
      </c>
      <c r="Z67" s="242"/>
      <c r="AA67" s="242"/>
      <c r="AB67" s="242"/>
      <c r="AC67" s="178">
        <f t="shared" si="427"/>
        <v>0</v>
      </c>
      <c r="AD67" s="17">
        <f t="shared" si="394"/>
        <v>0</v>
      </c>
      <c r="AF67" s="64" t="s">
        <v>47</v>
      </c>
      <c r="AG67" s="38">
        <f t="array" ref="AG67">SUM(IF((modeldata!$F:$F=calibration!$AF$54)*(modeldata!$G:$G=calibration!AG$56)*(modeldata!$H:$H=calibration!$AF67),modeldata!$E:$E,0))</f>
        <v>0</v>
      </c>
      <c r="AH67" s="242">
        <f t="array" ref="AH67">SUM(IF((modeldata!$F:$F=calibration!$AF$54)*(modeldata!$G:$G=calibration!AH$56)*(modeldata!$H:$H=calibration!$AF67),modeldata!$E:$E,0))</f>
        <v>0</v>
      </c>
      <c r="AI67" s="242">
        <f t="array" ref="AI67">SUM(IF((modeldata!$F:$F=calibration!$AF$54)*(modeldata!$G:$G=calibration!AI$56)*(modeldata!$H:$H=calibration!$AF67),modeldata!$E:$E,0))</f>
        <v>0</v>
      </c>
      <c r="AJ67" s="242">
        <f t="array" ref="AJ67">SUM(IF((modeldata!$F:$F=calibration!$AF$54)*(modeldata!$G:$G=calibration!AJ$56)*(modeldata!$H:$H=calibration!$AF67),modeldata!$E:$E,0))</f>
        <v>0</v>
      </c>
      <c r="AK67" s="242">
        <f t="array" ref="AK67">SUM(IF((modeldata!$F:$F=calibration!$AF$54)*(modeldata!$G:$G=calibration!AK$56)*(modeldata!$H:$H=calibration!$AF67),modeldata!$E:$E,0))</f>
        <v>0</v>
      </c>
      <c r="AL67" s="41">
        <f t="array" ref="AL67">SUM(IF((modeldata!$F:$F=calibration!$AF$54)*(modeldata!$G:$G=calibration!AL$56)*(modeldata!$H:$H=calibration!$AF67),modeldata!$E:$E,0))</f>
        <v>0</v>
      </c>
      <c r="AM67" s="242">
        <f t="array" ref="AM67">SUM(IF((modeldata!$F:$F=calibration!$AF$54)*(modeldata!$G:$G=calibration!AM$56)*(modeldata!$H:$H=calibration!$AF67),modeldata!$E:$E,0))</f>
        <v>0</v>
      </c>
      <c r="AN67" s="243">
        <f t="shared" si="435"/>
        <v>0</v>
      </c>
      <c r="AO67" s="242">
        <f t="array" ref="AO67">SUM(IF((modeldata!$F:$F=calibration!$AF$54)*(modeldata!$G:$G=calibration!AO$56)*(modeldata!$H:$H=calibration!$AF67),modeldata!$E:$E,0))</f>
        <v>0</v>
      </c>
      <c r="AP67" s="242">
        <f t="array" ref="AP67">SUM(IF((modeldata!$F:$F=calibration!$AF$54)*(modeldata!$G:$G=calibration!AP$56)*(modeldata!$H:$H=calibration!$AF67),modeldata!$E:$E,0))</f>
        <v>0</v>
      </c>
      <c r="AQ67" s="242">
        <f t="array" ref="AQ67">SUM(IF((modeldata!$F:$F=calibration!$AF$54)*(modeldata!$G:$G=calibration!AQ$56)*(modeldata!$H:$H=calibration!$AF67),modeldata!$E:$E,0))</f>
        <v>0</v>
      </c>
      <c r="AR67" s="178">
        <f t="shared" si="428"/>
        <v>0</v>
      </c>
      <c r="AS67" s="17">
        <f t="shared" si="396"/>
        <v>0</v>
      </c>
      <c r="AU67" s="64" t="s">
        <v>47</v>
      </c>
      <c r="AV67" s="38">
        <f t="shared" ref="AV67:BG67" si="447">IF(R77&gt;0,R67/R77,0)</f>
        <v>0</v>
      </c>
      <c r="AW67" s="242">
        <f t="shared" si="447"/>
        <v>0</v>
      </c>
      <c r="AX67" s="242">
        <f t="shared" si="447"/>
        <v>0</v>
      </c>
      <c r="AY67" s="242">
        <f t="shared" si="447"/>
        <v>0</v>
      </c>
      <c r="AZ67" s="242">
        <f t="shared" si="447"/>
        <v>0</v>
      </c>
      <c r="BA67" s="41">
        <f t="shared" si="447"/>
        <v>0</v>
      </c>
      <c r="BB67" s="242">
        <f t="shared" si="447"/>
        <v>0</v>
      </c>
      <c r="BC67" s="243">
        <f t="shared" si="447"/>
        <v>0</v>
      </c>
      <c r="BD67" s="242">
        <f t="shared" si="447"/>
        <v>0</v>
      </c>
      <c r="BE67" s="242">
        <f t="shared" si="447"/>
        <v>0</v>
      </c>
      <c r="BF67" s="242">
        <f t="shared" si="447"/>
        <v>0</v>
      </c>
      <c r="BG67" s="178">
        <f t="shared" si="447"/>
        <v>0</v>
      </c>
      <c r="BH67" s="24" t="e">
        <f>AD67/AD77</f>
        <v>#DIV/0!</v>
      </c>
      <c r="BJ67" s="64" t="s">
        <v>47</v>
      </c>
      <c r="BK67" s="38">
        <f t="shared" ref="BK67:BV67" si="448">IF(AG77&gt;0,AG67/AG77,0)</f>
        <v>0</v>
      </c>
      <c r="BL67" s="242">
        <f t="shared" si="448"/>
        <v>0</v>
      </c>
      <c r="BM67" s="242">
        <f t="shared" si="448"/>
        <v>0</v>
      </c>
      <c r="BN67" s="242">
        <f t="shared" si="448"/>
        <v>0</v>
      </c>
      <c r="BO67" s="242">
        <f t="shared" si="448"/>
        <v>0</v>
      </c>
      <c r="BP67" s="41">
        <f t="shared" si="448"/>
        <v>0</v>
      </c>
      <c r="BQ67" s="242">
        <f t="shared" si="448"/>
        <v>0</v>
      </c>
      <c r="BR67" s="243">
        <f t="shared" si="448"/>
        <v>0</v>
      </c>
      <c r="BS67" s="242">
        <f t="shared" si="448"/>
        <v>0</v>
      </c>
      <c r="BT67" s="242">
        <f t="shared" si="448"/>
        <v>0</v>
      </c>
      <c r="BU67" s="242">
        <f t="shared" si="448"/>
        <v>0</v>
      </c>
      <c r="BV67" s="178">
        <f t="shared" si="448"/>
        <v>0</v>
      </c>
      <c r="BW67" s="24" t="e">
        <f>AS67/AS77</f>
        <v>#DIV/0!</v>
      </c>
      <c r="BX67" s="24"/>
      <c r="BY67" s="64" t="s">
        <v>47</v>
      </c>
      <c r="BZ67" s="54">
        <f t="shared" si="399"/>
        <v>0</v>
      </c>
      <c r="CA67" s="55">
        <f t="shared" si="368"/>
        <v>0</v>
      </c>
      <c r="CB67" s="55">
        <f t="shared" si="369"/>
        <v>0</v>
      </c>
      <c r="CC67" s="55">
        <f t="shared" si="370"/>
        <v>0</v>
      </c>
      <c r="CD67" s="55">
        <f t="shared" si="371"/>
        <v>0</v>
      </c>
      <c r="CE67" s="61">
        <f t="shared" si="372"/>
        <v>0</v>
      </c>
      <c r="CF67" s="55">
        <f t="shared" si="373"/>
        <v>0</v>
      </c>
      <c r="CG67" s="246">
        <f t="shared" si="374"/>
        <v>0</v>
      </c>
      <c r="CH67" s="55">
        <f t="shared" si="375"/>
        <v>0</v>
      </c>
      <c r="CI67" s="55">
        <f t="shared" si="376"/>
        <v>0</v>
      </c>
      <c r="CJ67" s="55">
        <f t="shared" si="377"/>
        <v>0</v>
      </c>
      <c r="CK67" s="249">
        <f t="shared" si="377"/>
        <v>0</v>
      </c>
      <c r="CL67" s="55">
        <f t="shared" si="378"/>
        <v>0</v>
      </c>
      <c r="CN67" s="64" t="s">
        <v>47</v>
      </c>
      <c r="CO67" s="54">
        <f t="shared" si="400"/>
        <v>0</v>
      </c>
      <c r="CP67" s="55">
        <f t="shared" si="379"/>
        <v>0</v>
      </c>
      <c r="CQ67" s="55">
        <f t="shared" si="380"/>
        <v>0</v>
      </c>
      <c r="CR67" s="55">
        <f t="shared" si="381"/>
        <v>0</v>
      </c>
      <c r="CS67" s="55">
        <f t="shared" si="382"/>
        <v>0</v>
      </c>
      <c r="CT67" s="61">
        <f t="shared" si="383"/>
        <v>0</v>
      </c>
      <c r="CU67" s="55">
        <f t="shared" si="384"/>
        <v>0</v>
      </c>
      <c r="CV67" s="246">
        <f t="shared" si="385"/>
        <v>0</v>
      </c>
      <c r="CW67" s="55">
        <f t="shared" si="386"/>
        <v>0</v>
      </c>
      <c r="CX67" s="55">
        <f t="shared" si="387"/>
        <v>0</v>
      </c>
      <c r="CY67" s="55">
        <f t="shared" si="388"/>
        <v>0</v>
      </c>
      <c r="CZ67" s="249">
        <f t="shared" si="388"/>
        <v>0</v>
      </c>
      <c r="DA67" s="62" t="e">
        <f t="shared" si="389"/>
        <v>#DIV/0!</v>
      </c>
      <c r="DC67" s="64" t="s">
        <v>47</v>
      </c>
      <c r="DD67" s="198">
        <f t="shared" si="401"/>
        <v>0</v>
      </c>
      <c r="DE67" s="199">
        <f t="shared" si="402"/>
        <v>0</v>
      </c>
      <c r="DF67" s="198">
        <f t="shared" si="403"/>
        <v>0</v>
      </c>
      <c r="DG67" s="199">
        <f t="shared" si="404"/>
        <v>0</v>
      </c>
      <c r="DH67" s="198">
        <f t="shared" si="405"/>
        <v>0</v>
      </c>
      <c r="DI67" s="199">
        <f t="shared" si="406"/>
        <v>0</v>
      </c>
      <c r="DJ67" s="198">
        <f t="shared" si="407"/>
        <v>0</v>
      </c>
      <c r="DK67" s="199">
        <f t="shared" si="408"/>
        <v>0</v>
      </c>
      <c r="DL67" s="198">
        <f t="shared" si="409"/>
        <v>0</v>
      </c>
      <c r="DM67" s="199">
        <f t="shared" si="410"/>
        <v>0</v>
      </c>
      <c r="DN67" s="200">
        <f t="shared" si="411"/>
        <v>0</v>
      </c>
      <c r="DO67" s="201">
        <f t="shared" si="412"/>
        <v>0</v>
      </c>
      <c r="DP67" s="198">
        <f t="shared" si="413"/>
        <v>0</v>
      </c>
      <c r="DQ67" s="199">
        <f t="shared" si="414"/>
        <v>0</v>
      </c>
      <c r="DR67" s="198">
        <f t="shared" si="415"/>
        <v>0</v>
      </c>
      <c r="DS67" s="199">
        <f t="shared" si="416"/>
        <v>0</v>
      </c>
      <c r="DT67" s="198">
        <f t="shared" si="417"/>
        <v>0</v>
      </c>
      <c r="DU67" s="199">
        <f t="shared" si="418"/>
        <v>0</v>
      </c>
      <c r="DV67" s="198">
        <f t="shared" si="419"/>
        <v>0</v>
      </c>
      <c r="DW67" s="199">
        <f t="shared" si="420"/>
        <v>0</v>
      </c>
      <c r="DX67" s="198">
        <f t="shared" si="421"/>
        <v>0</v>
      </c>
      <c r="DY67" s="199">
        <f t="shared" si="422"/>
        <v>0</v>
      </c>
      <c r="DZ67" s="190">
        <f t="shared" si="423"/>
        <v>0</v>
      </c>
      <c r="EA67" s="199">
        <f t="shared" si="390"/>
        <v>0</v>
      </c>
      <c r="EB67" s="190" t="e">
        <f t="shared" si="424"/>
        <v>#DIV/0!</v>
      </c>
      <c r="EC67" s="190" t="e">
        <f t="shared" si="425"/>
        <v>#DIV/0!</v>
      </c>
    </row>
    <row r="68" spans="1:133" x14ac:dyDescent="0.2">
      <c r="A68" s="66" t="s">
        <v>40</v>
      </c>
      <c r="B68" s="38">
        <f>targets!AW65</f>
        <v>0</v>
      </c>
      <c r="C68" s="242">
        <f>targets!AX65</f>
        <v>0</v>
      </c>
      <c r="D68" s="242">
        <f>targets!AY65</f>
        <v>0</v>
      </c>
      <c r="E68" s="242">
        <f>targets!AZ65</f>
        <v>0</v>
      </c>
      <c r="F68" s="242">
        <f>targets!BA65</f>
        <v>0</v>
      </c>
      <c r="G68" s="242">
        <f>SUM(targets!BB65:BG65)</f>
        <v>0</v>
      </c>
      <c r="H68" s="39">
        <f>SUM(targets!BH65:BM65)</f>
        <v>337.33126776671588</v>
      </c>
      <c r="I68" s="243">
        <f t="shared" si="391"/>
        <v>337.33126776671588</v>
      </c>
      <c r="J68" s="242">
        <f>targets!BN65</f>
        <v>0</v>
      </c>
      <c r="K68" s="242">
        <f>targets!BO65</f>
        <v>0</v>
      </c>
      <c r="L68" s="242">
        <f>targets!BP65</f>
        <v>0</v>
      </c>
      <c r="M68" s="178">
        <f t="shared" si="426"/>
        <v>0</v>
      </c>
      <c r="N68" s="17">
        <f t="shared" si="392"/>
        <v>337.33126776671588</v>
      </c>
      <c r="O68" s="17"/>
      <c r="P68" s="17"/>
      <c r="Q68" s="66" t="s">
        <v>40</v>
      </c>
      <c r="R68" s="38">
        <f t="shared" si="359"/>
        <v>0</v>
      </c>
      <c r="S68" s="242">
        <f t="shared" si="360"/>
        <v>0</v>
      </c>
      <c r="T68" s="242">
        <f t="shared" si="361"/>
        <v>0</v>
      </c>
      <c r="U68" s="242">
        <f t="shared" si="362"/>
        <v>0</v>
      </c>
      <c r="V68" s="242">
        <f t="shared" si="363"/>
        <v>0</v>
      </c>
      <c r="W68" s="242">
        <f t="shared" si="364"/>
        <v>0</v>
      </c>
      <c r="X68" s="39">
        <f t="shared" si="365"/>
        <v>0</v>
      </c>
      <c r="Y68" s="243">
        <f t="shared" si="393"/>
        <v>0</v>
      </c>
      <c r="Z68" s="242"/>
      <c r="AA68" s="242"/>
      <c r="AB68" s="242"/>
      <c r="AC68" s="178">
        <f t="shared" si="427"/>
        <v>0</v>
      </c>
      <c r="AD68" s="17">
        <f t="shared" si="394"/>
        <v>0</v>
      </c>
      <c r="AF68" s="66" t="s">
        <v>40</v>
      </c>
      <c r="AG68" s="38">
        <f t="array" ref="AG68">SUM(IF((modeldata!$F:$F=calibration!$AF$54)*(modeldata!$G:$G=calibration!AG$56)*(modeldata!$H:$H=calibration!$AF68),modeldata!$E:$E,0))</f>
        <v>0</v>
      </c>
      <c r="AH68" s="242">
        <f t="array" ref="AH68">SUM(IF((modeldata!$F:$F=calibration!$AF$54)*(modeldata!$G:$G=calibration!AH$56)*(modeldata!$H:$H=calibration!$AF68),modeldata!$E:$E,0))</f>
        <v>0</v>
      </c>
      <c r="AI68" s="242">
        <f t="array" ref="AI68">SUM(IF((modeldata!$F:$F=calibration!$AF$54)*(modeldata!$G:$G=calibration!AI$56)*(modeldata!$H:$H=calibration!$AF68),modeldata!$E:$E,0))</f>
        <v>0</v>
      </c>
      <c r="AJ68" s="242">
        <f t="array" ref="AJ68">SUM(IF((modeldata!$F:$F=calibration!$AF$54)*(modeldata!$G:$G=calibration!AJ$56)*(modeldata!$H:$H=calibration!$AF68),modeldata!$E:$E,0))</f>
        <v>0</v>
      </c>
      <c r="AK68" s="242">
        <f t="array" ref="AK68">SUM(IF((modeldata!$F:$F=calibration!$AF$54)*(modeldata!$G:$G=calibration!AK$56)*(modeldata!$H:$H=calibration!$AF68),modeldata!$E:$E,0))</f>
        <v>0</v>
      </c>
      <c r="AL68" s="242">
        <f t="array" ref="AL68">SUM(IF((modeldata!$F:$F=calibration!$AF$54)*(modeldata!$G:$G=calibration!AL$56)*(modeldata!$H:$H=calibration!$AF68),modeldata!$E:$E,0))</f>
        <v>0</v>
      </c>
      <c r="AM68" s="39">
        <f t="array" ref="AM68">SUM(IF((modeldata!$F:$F=calibration!$AF$54)*(modeldata!$G:$G=calibration!AM$56)*(modeldata!$H:$H=calibration!$AF68),modeldata!$E:$E,0))</f>
        <v>0</v>
      </c>
      <c r="AN68" s="243"/>
      <c r="AO68" s="242">
        <f t="array" ref="AO68">SUM(IF((modeldata!$F:$F=calibration!$AF$54)*(modeldata!$G:$G=calibration!AO$56)*(modeldata!$H:$H=calibration!$AF68),modeldata!$E:$E,0))</f>
        <v>0</v>
      </c>
      <c r="AP68" s="242">
        <f t="array" ref="AP68">SUM(IF((modeldata!$F:$F=calibration!$AF$54)*(modeldata!$G:$G=calibration!AP$56)*(modeldata!$H:$H=calibration!$AF68),modeldata!$E:$E,0))</f>
        <v>0</v>
      </c>
      <c r="AQ68" s="242">
        <f t="array" ref="AQ68">SUM(IF((modeldata!$F:$F=calibration!$AF$54)*(modeldata!$G:$G=calibration!AQ$56)*(modeldata!$H:$H=calibration!$AF68),modeldata!$E:$E,0))</f>
        <v>0</v>
      </c>
      <c r="AR68" s="178">
        <f t="shared" si="428"/>
        <v>0</v>
      </c>
      <c r="AS68" s="17">
        <f t="shared" si="396"/>
        <v>0</v>
      </c>
      <c r="AU68" s="66" t="s">
        <v>40</v>
      </c>
      <c r="AV68" s="38">
        <f t="shared" ref="AV68:BG68" si="449">IF(R77&gt;0,R68/R77,0)</f>
        <v>0</v>
      </c>
      <c r="AW68" s="242">
        <f t="shared" si="449"/>
        <v>0</v>
      </c>
      <c r="AX68" s="242">
        <f t="shared" si="449"/>
        <v>0</v>
      </c>
      <c r="AY68" s="242">
        <f t="shared" si="449"/>
        <v>0</v>
      </c>
      <c r="AZ68" s="242">
        <f t="shared" si="449"/>
        <v>0</v>
      </c>
      <c r="BA68" s="242">
        <f t="shared" si="449"/>
        <v>0</v>
      </c>
      <c r="BB68" s="39">
        <f t="shared" si="449"/>
        <v>0</v>
      </c>
      <c r="BC68" s="243">
        <f t="shared" si="449"/>
        <v>0</v>
      </c>
      <c r="BD68" s="242">
        <f t="shared" si="449"/>
        <v>0</v>
      </c>
      <c r="BE68" s="242">
        <f t="shared" si="449"/>
        <v>0</v>
      </c>
      <c r="BF68" s="242">
        <f t="shared" si="449"/>
        <v>0</v>
      </c>
      <c r="BG68" s="178">
        <f t="shared" si="449"/>
        <v>0</v>
      </c>
      <c r="BH68" s="24" t="e">
        <f>AD68/AD77</f>
        <v>#DIV/0!</v>
      </c>
      <c r="BJ68" s="66" t="s">
        <v>40</v>
      </c>
      <c r="BK68" s="38">
        <f t="shared" ref="BK68:BV68" si="450">IF(AG77&gt;0,AG68/AG77,0)</f>
        <v>0</v>
      </c>
      <c r="BL68" s="242">
        <f t="shared" si="450"/>
        <v>0</v>
      </c>
      <c r="BM68" s="242">
        <f t="shared" si="450"/>
        <v>0</v>
      </c>
      <c r="BN68" s="242">
        <f t="shared" si="450"/>
        <v>0</v>
      </c>
      <c r="BO68" s="242">
        <f t="shared" si="450"/>
        <v>0</v>
      </c>
      <c r="BP68" s="242">
        <f t="shared" si="450"/>
        <v>0</v>
      </c>
      <c r="BQ68" s="39">
        <f t="shared" si="450"/>
        <v>0</v>
      </c>
      <c r="BR68" s="243">
        <f t="shared" si="450"/>
        <v>0</v>
      </c>
      <c r="BS68" s="242">
        <f t="shared" si="450"/>
        <v>0</v>
      </c>
      <c r="BT68" s="242">
        <f t="shared" si="450"/>
        <v>0</v>
      </c>
      <c r="BU68" s="242">
        <f t="shared" si="450"/>
        <v>0</v>
      </c>
      <c r="BV68" s="178">
        <f t="shared" si="450"/>
        <v>0</v>
      </c>
      <c r="BW68" s="24" t="e">
        <f>AS68/AS77</f>
        <v>#DIV/0!</v>
      </c>
      <c r="BX68" s="24"/>
      <c r="BY68" s="66" t="s">
        <v>40</v>
      </c>
      <c r="BZ68" s="54">
        <f t="shared" si="399"/>
        <v>0</v>
      </c>
      <c r="CA68" s="55">
        <f t="shared" si="368"/>
        <v>0</v>
      </c>
      <c r="CB68" s="55">
        <f t="shared" si="369"/>
        <v>0</v>
      </c>
      <c r="CC68" s="55">
        <f t="shared" si="370"/>
        <v>0</v>
      </c>
      <c r="CD68" s="55">
        <f t="shared" si="371"/>
        <v>0</v>
      </c>
      <c r="CE68" s="55">
        <f t="shared" si="372"/>
        <v>0</v>
      </c>
      <c r="CF68" s="59">
        <f t="shared" si="373"/>
        <v>0</v>
      </c>
      <c r="CG68" s="246">
        <f t="shared" si="374"/>
        <v>0</v>
      </c>
      <c r="CH68" s="55">
        <f t="shared" si="375"/>
        <v>0</v>
      </c>
      <c r="CI68" s="55">
        <f t="shared" si="376"/>
        <v>0</v>
      </c>
      <c r="CJ68" s="55">
        <f t="shared" si="377"/>
        <v>0</v>
      </c>
      <c r="CK68" s="249">
        <f t="shared" si="377"/>
        <v>0</v>
      </c>
      <c r="CL68" s="55">
        <f t="shared" si="378"/>
        <v>0</v>
      </c>
      <c r="CN68" s="66" t="s">
        <v>40</v>
      </c>
      <c r="CO68" s="54">
        <f t="shared" si="400"/>
        <v>0</v>
      </c>
      <c r="CP68" s="55">
        <f t="shared" si="379"/>
        <v>0</v>
      </c>
      <c r="CQ68" s="55">
        <f t="shared" si="380"/>
        <v>0</v>
      </c>
      <c r="CR68" s="55">
        <f t="shared" si="381"/>
        <v>0</v>
      </c>
      <c r="CS68" s="55">
        <f t="shared" si="382"/>
        <v>0</v>
      </c>
      <c r="CT68" s="55">
        <f t="shared" si="383"/>
        <v>0</v>
      </c>
      <c r="CU68" s="59">
        <f t="shared" si="384"/>
        <v>0</v>
      </c>
      <c r="CV68" s="246">
        <f t="shared" si="385"/>
        <v>0</v>
      </c>
      <c r="CW68" s="55">
        <f t="shared" si="386"/>
        <v>0</v>
      </c>
      <c r="CX68" s="55">
        <f t="shared" si="387"/>
        <v>0</v>
      </c>
      <c r="CY68" s="55">
        <f t="shared" si="388"/>
        <v>0</v>
      </c>
      <c r="CZ68" s="249">
        <f t="shared" si="388"/>
        <v>0</v>
      </c>
      <c r="DA68" s="62" t="e">
        <f t="shared" si="389"/>
        <v>#DIV/0!</v>
      </c>
      <c r="DC68" s="66" t="s">
        <v>40</v>
      </c>
      <c r="DD68" s="198">
        <f t="shared" si="401"/>
        <v>0</v>
      </c>
      <c r="DE68" s="199">
        <f t="shared" si="402"/>
        <v>0</v>
      </c>
      <c r="DF68" s="198">
        <f t="shared" si="403"/>
        <v>0</v>
      </c>
      <c r="DG68" s="199">
        <f t="shared" si="404"/>
        <v>0</v>
      </c>
      <c r="DH68" s="198">
        <f t="shared" si="405"/>
        <v>0</v>
      </c>
      <c r="DI68" s="199">
        <f t="shared" si="406"/>
        <v>0</v>
      </c>
      <c r="DJ68" s="198">
        <f t="shared" si="407"/>
        <v>0</v>
      </c>
      <c r="DK68" s="199">
        <f t="shared" si="408"/>
        <v>0</v>
      </c>
      <c r="DL68" s="198">
        <f t="shared" si="409"/>
        <v>0</v>
      </c>
      <c r="DM68" s="199">
        <f t="shared" si="410"/>
        <v>0</v>
      </c>
      <c r="DN68" s="198">
        <f t="shared" si="411"/>
        <v>0</v>
      </c>
      <c r="DO68" s="199">
        <f t="shared" si="412"/>
        <v>0</v>
      </c>
      <c r="DP68" s="195">
        <f t="shared" si="413"/>
        <v>0</v>
      </c>
      <c r="DQ68" s="196">
        <f t="shared" si="414"/>
        <v>0</v>
      </c>
      <c r="DR68" s="198">
        <f t="shared" si="415"/>
        <v>0</v>
      </c>
      <c r="DS68" s="199">
        <f t="shared" si="416"/>
        <v>0</v>
      </c>
      <c r="DT68" s="198">
        <f t="shared" si="417"/>
        <v>0</v>
      </c>
      <c r="DU68" s="199">
        <f t="shared" si="418"/>
        <v>0</v>
      </c>
      <c r="DV68" s="198">
        <f t="shared" si="419"/>
        <v>0</v>
      </c>
      <c r="DW68" s="199">
        <f t="shared" si="420"/>
        <v>0</v>
      </c>
      <c r="DX68" s="198">
        <f t="shared" si="421"/>
        <v>0</v>
      </c>
      <c r="DY68" s="199">
        <f t="shared" si="422"/>
        <v>0</v>
      </c>
      <c r="DZ68" s="190">
        <f t="shared" si="423"/>
        <v>0</v>
      </c>
      <c r="EA68" s="199">
        <f t="shared" si="390"/>
        <v>0</v>
      </c>
      <c r="EB68" s="190" t="e">
        <f t="shared" si="424"/>
        <v>#DIV/0!</v>
      </c>
      <c r="EC68" s="190" t="e">
        <f t="shared" si="425"/>
        <v>#DIV/0!</v>
      </c>
    </row>
    <row r="69" spans="1:133" ht="25.5" x14ac:dyDescent="0.2">
      <c r="A69" s="66" t="s">
        <v>345</v>
      </c>
      <c r="B69" s="38">
        <f>targets!AW66</f>
        <v>0</v>
      </c>
      <c r="C69" s="242">
        <f>targets!AX66</f>
        <v>0</v>
      </c>
      <c r="D69" s="242">
        <f>targets!AY66</f>
        <v>0</v>
      </c>
      <c r="E69" s="242">
        <f>targets!AZ66</f>
        <v>0</v>
      </c>
      <c r="F69" s="242">
        <f>targets!BA66</f>
        <v>0</v>
      </c>
      <c r="G69" s="242">
        <f>SUM(targets!BB66:BG66)</f>
        <v>0</v>
      </c>
      <c r="H69" s="40">
        <f>SUM(targets!BH66:BM66)</f>
        <v>0</v>
      </c>
      <c r="I69" s="243">
        <f t="shared" si="391"/>
        <v>0</v>
      </c>
      <c r="J69" s="242">
        <f>targets!BN66</f>
        <v>0</v>
      </c>
      <c r="K69" s="242">
        <f>targets!BO66</f>
        <v>0</v>
      </c>
      <c r="L69" s="242">
        <f>targets!BP66</f>
        <v>0</v>
      </c>
      <c r="M69" s="178">
        <f t="shared" si="426"/>
        <v>0</v>
      </c>
      <c r="N69" s="17">
        <f t="shared" si="392"/>
        <v>0</v>
      </c>
      <c r="O69" s="17"/>
      <c r="P69" s="17"/>
      <c r="Q69" s="66" t="s">
        <v>345</v>
      </c>
      <c r="R69" s="38">
        <f t="shared" si="359"/>
        <v>0</v>
      </c>
      <c r="S69" s="242">
        <f t="shared" si="360"/>
        <v>0</v>
      </c>
      <c r="T69" s="242">
        <f t="shared" si="361"/>
        <v>0</v>
      </c>
      <c r="U69" s="242">
        <f t="shared" si="362"/>
        <v>0</v>
      </c>
      <c r="V69" s="242">
        <f t="shared" si="363"/>
        <v>0</v>
      </c>
      <c r="W69" s="242">
        <f t="shared" si="364"/>
        <v>0</v>
      </c>
      <c r="X69" s="40">
        <f t="shared" si="365"/>
        <v>0</v>
      </c>
      <c r="Y69" s="243">
        <f t="shared" si="393"/>
        <v>0</v>
      </c>
      <c r="Z69" s="242"/>
      <c r="AA69" s="242"/>
      <c r="AB69" s="242"/>
      <c r="AC69" s="178">
        <f t="shared" si="427"/>
        <v>0</v>
      </c>
      <c r="AD69" s="17">
        <f t="shared" si="394"/>
        <v>0</v>
      </c>
      <c r="AF69" s="66" t="s">
        <v>345</v>
      </c>
      <c r="AG69" s="38">
        <f t="array" ref="AG69">SUM(IF((modeldata!$F:$F=calibration!$AF$54)*(modeldata!$G:$G=calibration!AG$56)*(modeldata!$H:$H=calibration!$AF69),modeldata!$E:$E,0))</f>
        <v>0</v>
      </c>
      <c r="AH69" s="242">
        <f t="array" ref="AH69">SUM(IF((modeldata!$F:$F=calibration!$AF$54)*(modeldata!$G:$G=calibration!AH$56)*(modeldata!$H:$H=calibration!$AF69),modeldata!$E:$E,0))</f>
        <v>0</v>
      </c>
      <c r="AI69" s="242">
        <f t="array" ref="AI69">SUM(IF((modeldata!$F:$F=calibration!$AF$54)*(modeldata!$G:$G=calibration!AI$56)*(modeldata!$H:$H=calibration!$AF69),modeldata!$E:$E,0))</f>
        <v>0</v>
      </c>
      <c r="AJ69" s="242">
        <f t="array" ref="AJ69">SUM(IF((modeldata!$F:$F=calibration!$AF$54)*(modeldata!$G:$G=calibration!AJ$56)*(modeldata!$H:$H=calibration!$AF69),modeldata!$E:$E,0))</f>
        <v>0</v>
      </c>
      <c r="AK69" s="242">
        <f t="array" ref="AK69">SUM(IF((modeldata!$F:$F=calibration!$AF$54)*(modeldata!$G:$G=calibration!AK$56)*(modeldata!$H:$H=calibration!$AF69),modeldata!$E:$E,0))</f>
        <v>0</v>
      </c>
      <c r="AL69" s="242">
        <f t="array" ref="AL69">SUM(IF((modeldata!$F:$F=calibration!$AF$54)*(modeldata!$G:$G=calibration!AL$56)*(modeldata!$H:$H=calibration!$AF69),modeldata!$E:$E,0))</f>
        <v>0</v>
      </c>
      <c r="AM69" s="40">
        <f t="array" ref="AM69">SUM(IF((modeldata!$F:$F=calibration!$AF$54)*(modeldata!$G:$G=calibration!AM$56)*(modeldata!$H:$H=calibration!$AF69),modeldata!$E:$E,0))</f>
        <v>0</v>
      </c>
      <c r="AN69" s="243"/>
      <c r="AO69" s="242">
        <f t="array" ref="AO69">SUM(IF((modeldata!$F:$F=calibration!$AF$54)*(modeldata!$G:$G=calibration!AO$56)*(modeldata!$H:$H=calibration!$AF69),modeldata!$E:$E,0))</f>
        <v>0</v>
      </c>
      <c r="AP69" s="242">
        <f t="array" ref="AP69">SUM(IF((modeldata!$F:$F=calibration!$AF$54)*(modeldata!$G:$G=calibration!AP$56)*(modeldata!$H:$H=calibration!$AF69),modeldata!$E:$E,0))</f>
        <v>0</v>
      </c>
      <c r="AQ69" s="242">
        <f t="array" ref="AQ69">SUM(IF((modeldata!$F:$F=calibration!$AF$54)*(modeldata!$G:$G=calibration!AQ$56)*(modeldata!$H:$H=calibration!$AF69),modeldata!$E:$E,0))</f>
        <v>0</v>
      </c>
      <c r="AR69" s="178">
        <f t="shared" si="428"/>
        <v>0</v>
      </c>
      <c r="AS69" s="17">
        <f t="shared" si="396"/>
        <v>0</v>
      </c>
      <c r="AU69" s="66" t="s">
        <v>345</v>
      </c>
      <c r="AV69" s="38">
        <f t="shared" ref="AV69:BG69" si="451">IF(R77&gt;0,R69/R77,0)</f>
        <v>0</v>
      </c>
      <c r="AW69" s="242">
        <f t="shared" si="451"/>
        <v>0</v>
      </c>
      <c r="AX69" s="242">
        <f t="shared" si="451"/>
        <v>0</v>
      </c>
      <c r="AY69" s="242">
        <f t="shared" si="451"/>
        <v>0</v>
      </c>
      <c r="AZ69" s="242">
        <f t="shared" si="451"/>
        <v>0</v>
      </c>
      <c r="BA69" s="242">
        <f t="shared" si="451"/>
        <v>0</v>
      </c>
      <c r="BB69" s="40">
        <f t="shared" si="451"/>
        <v>0</v>
      </c>
      <c r="BC69" s="243">
        <f t="shared" si="451"/>
        <v>0</v>
      </c>
      <c r="BD69" s="242">
        <f t="shared" si="451"/>
        <v>0</v>
      </c>
      <c r="BE69" s="242">
        <f t="shared" si="451"/>
        <v>0</v>
      </c>
      <c r="BF69" s="242">
        <f t="shared" si="451"/>
        <v>0</v>
      </c>
      <c r="BG69" s="178">
        <f t="shared" si="451"/>
        <v>0</v>
      </c>
      <c r="BH69" s="24" t="e">
        <f>AD69/AD77</f>
        <v>#DIV/0!</v>
      </c>
      <c r="BJ69" s="66" t="s">
        <v>345</v>
      </c>
      <c r="BK69" s="38">
        <f t="shared" ref="BK69:BV69" si="452">IF(AG77&gt;0,AG69/AG77,0)</f>
        <v>0</v>
      </c>
      <c r="BL69" s="242">
        <f t="shared" si="452"/>
        <v>0</v>
      </c>
      <c r="BM69" s="242">
        <f t="shared" si="452"/>
        <v>0</v>
      </c>
      <c r="BN69" s="242">
        <f t="shared" si="452"/>
        <v>0</v>
      </c>
      <c r="BO69" s="242">
        <f t="shared" si="452"/>
        <v>0</v>
      </c>
      <c r="BP69" s="242">
        <f t="shared" si="452"/>
        <v>0</v>
      </c>
      <c r="BQ69" s="40">
        <f t="shared" si="452"/>
        <v>0</v>
      </c>
      <c r="BR69" s="243">
        <f t="shared" si="452"/>
        <v>0</v>
      </c>
      <c r="BS69" s="242">
        <f t="shared" si="452"/>
        <v>0</v>
      </c>
      <c r="BT69" s="242">
        <f t="shared" si="452"/>
        <v>0</v>
      </c>
      <c r="BU69" s="242">
        <f t="shared" si="452"/>
        <v>0</v>
      </c>
      <c r="BV69" s="178">
        <f t="shared" si="452"/>
        <v>0</v>
      </c>
      <c r="BW69" s="24" t="e">
        <f>AS69/AS77</f>
        <v>#DIV/0!</v>
      </c>
      <c r="BX69" s="24"/>
      <c r="BY69" s="66" t="s">
        <v>345</v>
      </c>
      <c r="BZ69" s="54">
        <f t="shared" si="399"/>
        <v>0</v>
      </c>
      <c r="CA69" s="55">
        <f t="shared" si="368"/>
        <v>0</v>
      </c>
      <c r="CB69" s="55">
        <f t="shared" si="369"/>
        <v>0</v>
      </c>
      <c r="CC69" s="55">
        <f t="shared" si="370"/>
        <v>0</v>
      </c>
      <c r="CD69" s="55">
        <f t="shared" si="371"/>
        <v>0</v>
      </c>
      <c r="CE69" s="55">
        <f t="shared" si="372"/>
        <v>0</v>
      </c>
      <c r="CF69" s="60">
        <f t="shared" si="373"/>
        <v>0</v>
      </c>
      <c r="CG69" s="246">
        <f t="shared" si="374"/>
        <v>0</v>
      </c>
      <c r="CH69" s="55">
        <f t="shared" si="375"/>
        <v>0</v>
      </c>
      <c r="CI69" s="55">
        <f t="shared" si="376"/>
        <v>0</v>
      </c>
      <c r="CJ69" s="55">
        <f t="shared" si="377"/>
        <v>0</v>
      </c>
      <c r="CK69" s="249">
        <f t="shared" si="377"/>
        <v>0</v>
      </c>
      <c r="CL69" s="55">
        <f t="shared" si="378"/>
        <v>0</v>
      </c>
      <c r="CN69" s="66" t="s">
        <v>345</v>
      </c>
      <c r="CO69" s="54">
        <f t="shared" si="400"/>
        <v>0</v>
      </c>
      <c r="CP69" s="55">
        <f t="shared" si="379"/>
        <v>0</v>
      </c>
      <c r="CQ69" s="55">
        <f t="shared" si="380"/>
        <v>0</v>
      </c>
      <c r="CR69" s="55">
        <f t="shared" si="381"/>
        <v>0</v>
      </c>
      <c r="CS69" s="55">
        <f t="shared" si="382"/>
        <v>0</v>
      </c>
      <c r="CT69" s="55">
        <f t="shared" si="383"/>
        <v>0</v>
      </c>
      <c r="CU69" s="60">
        <f t="shared" si="384"/>
        <v>0</v>
      </c>
      <c r="CV69" s="246">
        <f t="shared" si="385"/>
        <v>0</v>
      </c>
      <c r="CW69" s="55">
        <f t="shared" si="386"/>
        <v>0</v>
      </c>
      <c r="CX69" s="55">
        <f t="shared" si="387"/>
        <v>0</v>
      </c>
      <c r="CY69" s="55">
        <f t="shared" si="388"/>
        <v>0</v>
      </c>
      <c r="CZ69" s="249">
        <f t="shared" si="388"/>
        <v>0</v>
      </c>
      <c r="DA69" s="62" t="e">
        <f t="shared" si="389"/>
        <v>#DIV/0!</v>
      </c>
      <c r="DC69" s="66" t="s">
        <v>345</v>
      </c>
      <c r="DD69" s="198">
        <f t="shared" si="401"/>
        <v>0</v>
      </c>
      <c r="DE69" s="199">
        <f t="shared" si="402"/>
        <v>0</v>
      </c>
      <c r="DF69" s="198">
        <f t="shared" si="403"/>
        <v>0</v>
      </c>
      <c r="DG69" s="199">
        <f t="shared" si="404"/>
        <v>0</v>
      </c>
      <c r="DH69" s="198">
        <f t="shared" si="405"/>
        <v>0</v>
      </c>
      <c r="DI69" s="199">
        <f t="shared" si="406"/>
        <v>0</v>
      </c>
      <c r="DJ69" s="198">
        <f t="shared" si="407"/>
        <v>0</v>
      </c>
      <c r="DK69" s="199">
        <f t="shared" si="408"/>
        <v>0</v>
      </c>
      <c r="DL69" s="198">
        <f t="shared" si="409"/>
        <v>0</v>
      </c>
      <c r="DM69" s="199">
        <f t="shared" si="410"/>
        <v>0</v>
      </c>
      <c r="DN69" s="198">
        <f t="shared" si="411"/>
        <v>0</v>
      </c>
      <c r="DO69" s="199">
        <f t="shared" si="412"/>
        <v>0</v>
      </c>
      <c r="DP69" s="198">
        <f t="shared" si="413"/>
        <v>0</v>
      </c>
      <c r="DQ69" s="199">
        <f t="shared" si="414"/>
        <v>0</v>
      </c>
      <c r="DR69" s="198">
        <f t="shared" si="415"/>
        <v>0</v>
      </c>
      <c r="DS69" s="199">
        <f t="shared" si="416"/>
        <v>0</v>
      </c>
      <c r="DT69" s="198">
        <f t="shared" si="417"/>
        <v>0</v>
      </c>
      <c r="DU69" s="199">
        <f t="shared" si="418"/>
        <v>0</v>
      </c>
      <c r="DV69" s="198">
        <f t="shared" si="419"/>
        <v>0</v>
      </c>
      <c r="DW69" s="199">
        <f t="shared" si="420"/>
        <v>0</v>
      </c>
      <c r="DX69" s="198">
        <f t="shared" si="421"/>
        <v>0</v>
      </c>
      <c r="DY69" s="199">
        <f t="shared" si="422"/>
        <v>0</v>
      </c>
      <c r="DZ69" s="190">
        <f t="shared" si="423"/>
        <v>0</v>
      </c>
      <c r="EA69" s="199">
        <f t="shared" si="390"/>
        <v>0</v>
      </c>
      <c r="EB69" s="190" t="e">
        <f t="shared" si="424"/>
        <v>#DIV/0!</v>
      </c>
      <c r="EC69" s="190" t="e">
        <f t="shared" si="425"/>
        <v>#DIV/0!</v>
      </c>
    </row>
    <row r="70" spans="1:133" x14ac:dyDescent="0.2">
      <c r="A70" s="2" t="s">
        <v>347</v>
      </c>
      <c r="B70" s="38">
        <f>targets!AW67</f>
        <v>0</v>
      </c>
      <c r="C70" s="242">
        <f>targets!AX67</f>
        <v>0</v>
      </c>
      <c r="D70" s="242">
        <f>targets!AY67</f>
        <v>0</v>
      </c>
      <c r="E70" s="242">
        <f>targets!AZ67</f>
        <v>0</v>
      </c>
      <c r="F70" s="242">
        <f>targets!BA67</f>
        <v>0</v>
      </c>
      <c r="G70" s="242">
        <f>SUM(targets!BB67:BG67)</f>
        <v>0</v>
      </c>
      <c r="H70" s="40">
        <f>SUM(targets!BH67:BM67)</f>
        <v>1795.5454752405462</v>
      </c>
      <c r="I70" s="243">
        <f t="shared" ref="I70" si="453">SUM(G70:H70)</f>
        <v>1795.5454752405462</v>
      </c>
      <c r="J70" s="242">
        <f>targets!BN67</f>
        <v>0</v>
      </c>
      <c r="K70" s="242">
        <f>targets!BO67</f>
        <v>0</v>
      </c>
      <c r="L70" s="242">
        <f>targets!BP67</f>
        <v>0</v>
      </c>
      <c r="M70" s="178">
        <f t="shared" ref="M70" si="454">SUM(J70:L70)</f>
        <v>0</v>
      </c>
      <c r="N70" s="17">
        <f t="shared" ref="N70" si="455">SUM(B70:L70)-I70</f>
        <v>1795.5454752405462</v>
      </c>
      <c r="O70" s="17"/>
      <c r="P70" s="17"/>
      <c r="Q70" s="2" t="s">
        <v>347</v>
      </c>
      <c r="R70" s="38">
        <f t="shared" si="359"/>
        <v>0</v>
      </c>
      <c r="S70" s="242">
        <f t="shared" si="360"/>
        <v>0</v>
      </c>
      <c r="T70" s="242">
        <f t="shared" si="361"/>
        <v>0</v>
      </c>
      <c r="U70" s="242">
        <f t="shared" si="362"/>
        <v>0</v>
      </c>
      <c r="V70" s="242">
        <f t="shared" si="363"/>
        <v>0</v>
      </c>
      <c r="W70" s="242">
        <f t="shared" si="364"/>
        <v>0</v>
      </c>
      <c r="X70" s="40">
        <f t="shared" si="365"/>
        <v>0</v>
      </c>
      <c r="Y70" s="243">
        <f t="shared" ref="Y70" si="456">SUM(W70:X70)</f>
        <v>0</v>
      </c>
      <c r="Z70" s="242"/>
      <c r="AA70" s="242"/>
      <c r="AB70" s="242"/>
      <c r="AC70" s="178">
        <f t="shared" ref="AC70" si="457">SUM(Z70:AB70)</f>
        <v>0</v>
      </c>
      <c r="AD70" s="17">
        <f t="shared" ref="AD70" si="458">SUM(R70:AB70)-Y70</f>
        <v>0</v>
      </c>
      <c r="AF70" s="2" t="s">
        <v>347</v>
      </c>
      <c r="AG70" s="38">
        <f t="array" ref="AG70">SUM(IF((modeldata!$F:$F=calibration!$AF$54)*(modeldata!$G:$G=calibration!AG$56)*(modeldata!$H:$H=calibration!$AF70),modeldata!$E:$E,0))</f>
        <v>0</v>
      </c>
      <c r="AH70" s="242">
        <f t="array" ref="AH70">SUM(IF((modeldata!$F:$F=calibration!$AF$54)*(modeldata!$G:$G=calibration!AH$56)*(modeldata!$H:$H=calibration!$AF70),modeldata!$E:$E,0))</f>
        <v>0</v>
      </c>
      <c r="AI70" s="242">
        <f t="array" ref="AI70">SUM(IF((modeldata!$F:$F=calibration!$AF$54)*(modeldata!$G:$G=calibration!AI$56)*(modeldata!$H:$H=calibration!$AF70),modeldata!$E:$E,0))</f>
        <v>0</v>
      </c>
      <c r="AJ70" s="242">
        <f t="array" ref="AJ70">SUM(IF((modeldata!$F:$F=calibration!$AF$54)*(modeldata!$G:$G=calibration!AJ$56)*(modeldata!$H:$H=calibration!$AF70),modeldata!$E:$E,0))</f>
        <v>0</v>
      </c>
      <c r="AK70" s="242">
        <f t="array" ref="AK70">SUM(IF((modeldata!$F:$F=calibration!$AF$54)*(modeldata!$G:$G=calibration!AK$56)*(modeldata!$H:$H=calibration!$AF70),modeldata!$E:$E,0))</f>
        <v>0</v>
      </c>
      <c r="AL70" s="242">
        <f t="array" ref="AL70">SUM(IF((modeldata!$F:$F=calibration!$AF$54)*(modeldata!$G:$G=calibration!AL$56)*(modeldata!$H:$H=calibration!$AF70),modeldata!$E:$E,0))</f>
        <v>0</v>
      </c>
      <c r="AM70" s="40">
        <f t="array" ref="AM70">SUM(IF((modeldata!$F:$F=calibration!$AF$54)*(modeldata!$G:$G=calibration!AM$56)*(modeldata!$H:$H=calibration!$AF70),modeldata!$E:$E,0))</f>
        <v>0</v>
      </c>
      <c r="AN70" s="243"/>
      <c r="AO70" s="242">
        <f t="array" ref="AO70">SUM(IF((modeldata!$F:$F=calibration!$AF$54)*(modeldata!$G:$G=calibration!AO$56)*(modeldata!$H:$H=calibration!$AF70),modeldata!$E:$E,0))</f>
        <v>0</v>
      </c>
      <c r="AP70" s="242">
        <f t="array" ref="AP70">SUM(IF((modeldata!$F:$F=calibration!$AF$54)*(modeldata!$G:$G=calibration!AP$56)*(modeldata!$H:$H=calibration!$AF70),modeldata!$E:$E,0))</f>
        <v>0</v>
      </c>
      <c r="AQ70" s="242">
        <f t="array" ref="AQ70">SUM(IF((modeldata!$F:$F=calibration!$AF$54)*(modeldata!$G:$G=calibration!AQ$56)*(modeldata!$H:$H=calibration!$AF70),modeldata!$E:$E,0))</f>
        <v>0</v>
      </c>
      <c r="AR70" s="178">
        <f>SUM(AO70:AQ70)</f>
        <v>0</v>
      </c>
      <c r="AS70" s="17">
        <f>SUM(AG70:AQ70)-AN70</f>
        <v>0</v>
      </c>
      <c r="AU70" s="2" t="s">
        <v>347</v>
      </c>
      <c r="AV70" s="38">
        <f t="shared" ref="AV70:BG70" si="459">IF(R79&gt;0,R70/R79,0)</f>
        <v>0</v>
      </c>
      <c r="AW70" s="242">
        <f t="shared" si="459"/>
        <v>0</v>
      </c>
      <c r="AX70" s="242">
        <f t="shared" si="459"/>
        <v>0</v>
      </c>
      <c r="AY70" s="242">
        <f t="shared" si="459"/>
        <v>0</v>
      </c>
      <c r="AZ70" s="242">
        <f t="shared" si="459"/>
        <v>0</v>
      </c>
      <c r="BA70" s="242">
        <f t="shared" si="459"/>
        <v>0</v>
      </c>
      <c r="BB70" s="40">
        <f t="shared" si="459"/>
        <v>0</v>
      </c>
      <c r="BC70" s="243">
        <f t="shared" si="459"/>
        <v>0</v>
      </c>
      <c r="BD70" s="242">
        <f t="shared" si="459"/>
        <v>0</v>
      </c>
      <c r="BE70" s="242">
        <f t="shared" si="459"/>
        <v>0</v>
      </c>
      <c r="BF70" s="242">
        <f t="shared" si="459"/>
        <v>0</v>
      </c>
      <c r="BG70" s="178">
        <f t="shared" si="459"/>
        <v>0</v>
      </c>
      <c r="BH70" s="24" t="e">
        <f>AD70/AD79</f>
        <v>#DIV/0!</v>
      </c>
      <c r="BJ70" s="2" t="s">
        <v>347</v>
      </c>
      <c r="BK70" s="38">
        <f t="shared" ref="BK70:BV70" si="460">IF(AG86&gt;0,AG70/AG86,0)</f>
        <v>0</v>
      </c>
      <c r="BL70" s="242">
        <f t="shared" si="460"/>
        <v>0</v>
      </c>
      <c r="BM70" s="242">
        <f t="shared" si="460"/>
        <v>0</v>
      </c>
      <c r="BN70" s="242">
        <f t="shared" si="460"/>
        <v>0</v>
      </c>
      <c r="BO70" s="242">
        <f t="shared" si="460"/>
        <v>0</v>
      </c>
      <c r="BP70" s="242">
        <f t="shared" si="460"/>
        <v>0</v>
      </c>
      <c r="BQ70" s="40">
        <f t="shared" si="460"/>
        <v>0</v>
      </c>
      <c r="BR70" s="243">
        <f t="shared" si="460"/>
        <v>0</v>
      </c>
      <c r="BS70" s="242">
        <f t="shared" si="460"/>
        <v>0</v>
      </c>
      <c r="BT70" s="242">
        <f t="shared" si="460"/>
        <v>0</v>
      </c>
      <c r="BU70" s="242">
        <f t="shared" si="460"/>
        <v>0</v>
      </c>
      <c r="BV70" s="178">
        <f t="shared" si="460"/>
        <v>0</v>
      </c>
      <c r="BW70" s="24" t="e">
        <f>AS70/AS86</f>
        <v>#DIV/0!</v>
      </c>
      <c r="BX70" s="24"/>
      <c r="BY70" s="2" t="s">
        <v>347</v>
      </c>
      <c r="BZ70" s="54">
        <f t="shared" ref="BZ70" si="461">AG70-R70</f>
        <v>0</v>
      </c>
      <c r="CA70" s="55">
        <f t="shared" ref="CA70" si="462">AH70-S70</f>
        <v>0</v>
      </c>
      <c r="CB70" s="55">
        <f t="shared" ref="CB70" si="463">AI70-T70</f>
        <v>0</v>
      </c>
      <c r="CC70" s="55">
        <f t="shared" ref="CC70" si="464">AJ70-U70</f>
        <v>0</v>
      </c>
      <c r="CD70" s="55">
        <f t="shared" ref="CD70" si="465">AK70-V70</f>
        <v>0</v>
      </c>
      <c r="CE70" s="55">
        <f t="shared" ref="CE70" si="466">AL70-W70</f>
        <v>0</v>
      </c>
      <c r="CF70" s="60">
        <f t="shared" ref="CF70" si="467">AM70-X70</f>
        <v>0</v>
      </c>
      <c r="CG70" s="246">
        <f t="shared" ref="CG70" si="468">AN70-Y70</f>
        <v>0</v>
      </c>
      <c r="CH70" s="55">
        <f t="shared" ref="CH70" si="469">AO70-Z70</f>
        <v>0</v>
      </c>
      <c r="CI70" s="55">
        <f t="shared" ref="CI70" si="470">AP70-AA70</f>
        <v>0</v>
      </c>
      <c r="CJ70" s="55">
        <f t="shared" ref="CJ70" si="471">AQ70-AB70</f>
        <v>0</v>
      </c>
      <c r="CK70" s="249">
        <f t="shared" ref="CK70" si="472">AR70-AC70</f>
        <v>0</v>
      </c>
      <c r="CL70" s="55">
        <f t="shared" ref="CL70" si="473">AS70-AD70</f>
        <v>0</v>
      </c>
      <c r="CN70" s="2" t="s">
        <v>347</v>
      </c>
      <c r="CO70" s="54">
        <f t="shared" ref="CO70" si="474">BK70-AV70</f>
        <v>0</v>
      </c>
      <c r="CP70" s="55">
        <f t="shared" ref="CP70" si="475">BL70-AW70</f>
        <v>0</v>
      </c>
      <c r="CQ70" s="55">
        <f t="shared" ref="CQ70" si="476">BM70-AX70</f>
        <v>0</v>
      </c>
      <c r="CR70" s="55">
        <f t="shared" ref="CR70" si="477">BN70-AY70</f>
        <v>0</v>
      </c>
      <c r="CS70" s="55">
        <f t="shared" ref="CS70" si="478">BO70-AZ70</f>
        <v>0</v>
      </c>
      <c r="CT70" s="55">
        <f t="shared" ref="CT70" si="479">BP70-BA70</f>
        <v>0</v>
      </c>
      <c r="CU70" s="60">
        <f t="shared" ref="CU70" si="480">BQ70-BB70</f>
        <v>0</v>
      </c>
      <c r="CV70" s="246">
        <f t="shared" ref="CV70" si="481">BR70-BC70</f>
        <v>0</v>
      </c>
      <c r="CW70" s="55">
        <f t="shared" ref="CW70" si="482">BS70-BD70</f>
        <v>0</v>
      </c>
      <c r="CX70" s="55">
        <f t="shared" ref="CX70" si="483">BT70-BE70</f>
        <v>0</v>
      </c>
      <c r="CY70" s="55">
        <f t="shared" ref="CY70" si="484">BU70-BF70</f>
        <v>0</v>
      </c>
      <c r="CZ70" s="249">
        <f t="shared" ref="CZ70" si="485">BV70-BG70</f>
        <v>0</v>
      </c>
      <c r="DA70" s="62" t="e">
        <f t="shared" ref="DA70" si="486">BW70-BH70</f>
        <v>#DIV/0!</v>
      </c>
      <c r="DC70" s="2" t="s">
        <v>347</v>
      </c>
      <c r="DD70" s="198">
        <f t="shared" ref="DD70" si="487">AV70</f>
        <v>0</v>
      </c>
      <c r="DE70" s="199">
        <f t="shared" ref="DE70" si="488">BK70</f>
        <v>0</v>
      </c>
      <c r="DF70" s="198">
        <f t="shared" ref="DF70" si="489">AW70</f>
        <v>0</v>
      </c>
      <c r="DG70" s="199">
        <f t="shared" ref="DG70" si="490">BL70</f>
        <v>0</v>
      </c>
      <c r="DH70" s="198">
        <f t="shared" ref="DH70" si="491">AX70</f>
        <v>0</v>
      </c>
      <c r="DI70" s="199">
        <f t="shared" ref="DI70" si="492">BM70</f>
        <v>0</v>
      </c>
      <c r="DJ70" s="198">
        <f t="shared" ref="DJ70" si="493">AY70</f>
        <v>0</v>
      </c>
      <c r="DK70" s="199">
        <f t="shared" ref="DK70" si="494">BN70</f>
        <v>0</v>
      </c>
      <c r="DL70" s="198">
        <f t="shared" ref="DL70" si="495">AZ70</f>
        <v>0</v>
      </c>
      <c r="DM70" s="199">
        <f t="shared" ref="DM70" si="496">BO70</f>
        <v>0</v>
      </c>
      <c r="DN70" s="198">
        <f t="shared" ref="DN70" si="497">BA70</f>
        <v>0</v>
      </c>
      <c r="DO70" s="199">
        <f t="shared" ref="DO70" si="498">BP70</f>
        <v>0</v>
      </c>
      <c r="DP70" s="198">
        <f t="shared" ref="DP70" si="499">BB70</f>
        <v>0</v>
      </c>
      <c r="DQ70" s="199">
        <f t="shared" ref="DQ70" si="500">BQ70</f>
        <v>0</v>
      </c>
      <c r="DR70" s="198">
        <f t="shared" ref="DR70" si="501">BC70</f>
        <v>0</v>
      </c>
      <c r="DS70" s="199">
        <f t="shared" ref="DS70" si="502">BR70</f>
        <v>0</v>
      </c>
      <c r="DT70" s="198">
        <f t="shared" ref="DT70" si="503">BD70</f>
        <v>0</v>
      </c>
      <c r="DU70" s="199">
        <f t="shared" ref="DU70" si="504">BS70</f>
        <v>0</v>
      </c>
      <c r="DV70" s="198">
        <f t="shared" ref="DV70" si="505">BE70</f>
        <v>0</v>
      </c>
      <c r="DW70" s="199">
        <f t="shared" ref="DW70" si="506">BT70</f>
        <v>0</v>
      </c>
      <c r="DX70" s="198">
        <f t="shared" ref="DX70" si="507">BF70</f>
        <v>0</v>
      </c>
      <c r="DY70" s="199">
        <f t="shared" ref="DY70" si="508">BU70</f>
        <v>0</v>
      </c>
      <c r="DZ70" s="190">
        <f t="shared" ref="DZ70" si="509">BG70</f>
        <v>0</v>
      </c>
      <c r="EA70" s="199">
        <f t="shared" ref="EA70" si="510">BV70</f>
        <v>0</v>
      </c>
      <c r="EB70" s="190" t="e">
        <f t="shared" ref="EB70" si="511">BH70</f>
        <v>#DIV/0!</v>
      </c>
      <c r="EC70" s="190" t="e">
        <f t="shared" ref="EC70" si="512">BW70</f>
        <v>#DIV/0!</v>
      </c>
    </row>
    <row r="71" spans="1:133" x14ac:dyDescent="0.2">
      <c r="A71" s="64" t="s">
        <v>50</v>
      </c>
      <c r="B71" s="38">
        <f>targets!AW68</f>
        <v>0</v>
      </c>
      <c r="C71" s="242">
        <f>targets!AX68</f>
        <v>0</v>
      </c>
      <c r="D71" s="242">
        <f>targets!AY68</f>
        <v>0</v>
      </c>
      <c r="E71" s="242">
        <f>targets!AZ68</f>
        <v>0</v>
      </c>
      <c r="F71" s="242">
        <f>targets!BA68</f>
        <v>0</v>
      </c>
      <c r="G71" s="242">
        <f>SUM(targets!BB68:BG68)</f>
        <v>0</v>
      </c>
      <c r="H71" s="40">
        <f>SUM(targets!BH68:BM68)</f>
        <v>0</v>
      </c>
      <c r="I71" s="243">
        <f t="shared" si="391"/>
        <v>0</v>
      </c>
      <c r="J71" s="242">
        <f>targets!BN68</f>
        <v>0</v>
      </c>
      <c r="K71" s="242">
        <f>targets!BO68</f>
        <v>0</v>
      </c>
      <c r="L71" s="242">
        <f>targets!BP68</f>
        <v>0</v>
      </c>
      <c r="M71" s="178">
        <f t="shared" si="426"/>
        <v>0</v>
      </c>
      <c r="N71" s="17">
        <f t="shared" si="392"/>
        <v>0</v>
      </c>
      <c r="O71" s="17"/>
      <c r="P71" s="17"/>
      <c r="Q71" s="64" t="s">
        <v>50</v>
      </c>
      <c r="R71" s="38">
        <f t="shared" si="359"/>
        <v>0</v>
      </c>
      <c r="S71" s="242">
        <f t="shared" si="360"/>
        <v>0</v>
      </c>
      <c r="T71" s="242">
        <f t="shared" si="361"/>
        <v>0</v>
      </c>
      <c r="U71" s="242">
        <f t="shared" si="362"/>
        <v>0</v>
      </c>
      <c r="V71" s="242">
        <f t="shared" si="363"/>
        <v>0</v>
      </c>
      <c r="W71" s="242">
        <f t="shared" si="364"/>
        <v>0</v>
      </c>
      <c r="X71" s="40">
        <f t="shared" si="365"/>
        <v>0</v>
      </c>
      <c r="Y71" s="243">
        <f t="shared" si="393"/>
        <v>0</v>
      </c>
      <c r="Z71" s="242"/>
      <c r="AA71" s="242"/>
      <c r="AB71" s="242"/>
      <c r="AC71" s="178">
        <f t="shared" si="427"/>
        <v>0</v>
      </c>
      <c r="AD71" s="17">
        <f t="shared" si="394"/>
        <v>0</v>
      </c>
      <c r="AF71" s="64" t="s">
        <v>50</v>
      </c>
      <c r="AG71" s="38">
        <f t="array" ref="AG71">SUM(IF((modeldata!$F:$F=calibration!$AF$54)*(modeldata!$G:$G=calibration!AG$56)*(modeldata!$H:$H=calibration!$AF71),modeldata!$E:$E,0))</f>
        <v>0</v>
      </c>
      <c r="AH71" s="242">
        <f t="array" ref="AH71">SUM(IF((modeldata!$F:$F=calibration!$AF$54)*(modeldata!$G:$G=calibration!AH$56)*(modeldata!$H:$H=calibration!$AF71),modeldata!$E:$E,0))</f>
        <v>0</v>
      </c>
      <c r="AI71" s="242">
        <f t="array" ref="AI71">SUM(IF((modeldata!$F:$F=calibration!$AF$54)*(modeldata!$G:$G=calibration!AI$56)*(modeldata!$H:$H=calibration!$AF71),modeldata!$E:$E,0))</f>
        <v>0</v>
      </c>
      <c r="AJ71" s="242">
        <f t="array" ref="AJ71">SUM(IF((modeldata!$F:$F=calibration!$AF$54)*(modeldata!$G:$G=calibration!AJ$56)*(modeldata!$H:$H=calibration!$AF71),modeldata!$E:$E,0))</f>
        <v>0</v>
      </c>
      <c r="AK71" s="242">
        <f t="array" ref="AK71">SUM(IF((modeldata!$F:$F=calibration!$AF$54)*(modeldata!$G:$G=calibration!AK$56)*(modeldata!$H:$H=calibration!$AF71),modeldata!$E:$E,0))</f>
        <v>0</v>
      </c>
      <c r="AL71" s="242">
        <f t="array" ref="AL71">SUM(IF((modeldata!$F:$F=calibration!$AF$54)*(modeldata!$G:$G=calibration!AL$56)*(modeldata!$H:$H=calibration!$AF71),modeldata!$E:$E,0))</f>
        <v>0</v>
      </c>
      <c r="AM71" s="40">
        <f t="array" ref="AM71">SUM(IF((modeldata!$F:$F=calibration!$AF$54)*(modeldata!$G:$G=calibration!AM$56)*(modeldata!$H:$H=calibration!$AF71),modeldata!$E:$E,0))</f>
        <v>0</v>
      </c>
      <c r="AN71" s="243"/>
      <c r="AO71" s="242">
        <f t="array" ref="AO71">SUM(IF((modeldata!$F:$F=calibration!$AF$54)*(modeldata!$G:$G=calibration!AO$56)*(modeldata!$H:$H=calibration!$AF71),modeldata!$E:$E,0))</f>
        <v>0</v>
      </c>
      <c r="AP71" s="242">
        <f t="array" ref="AP71">SUM(IF((modeldata!$F:$F=calibration!$AF$54)*(modeldata!$G:$G=calibration!AP$56)*(modeldata!$H:$H=calibration!$AF71),modeldata!$E:$E,0))</f>
        <v>0</v>
      </c>
      <c r="AQ71" s="242">
        <f t="array" ref="AQ71">SUM(IF((modeldata!$F:$F=calibration!$AF$54)*(modeldata!$G:$G=calibration!AQ$56)*(modeldata!$H:$H=calibration!$AF71),modeldata!$E:$E,0))</f>
        <v>0</v>
      </c>
      <c r="AR71" s="178">
        <f t="shared" si="428"/>
        <v>0</v>
      </c>
      <c r="AS71" s="17">
        <f t="shared" si="396"/>
        <v>0</v>
      </c>
      <c r="AU71" s="64" t="s">
        <v>50</v>
      </c>
      <c r="AV71" s="38">
        <f t="shared" ref="AV71:BG71" si="513">IF(R77&gt;0,R71/R77,0)</f>
        <v>0</v>
      </c>
      <c r="AW71" s="242">
        <f t="shared" si="513"/>
        <v>0</v>
      </c>
      <c r="AX71" s="242">
        <f t="shared" si="513"/>
        <v>0</v>
      </c>
      <c r="AY71" s="242">
        <f t="shared" si="513"/>
        <v>0</v>
      </c>
      <c r="AZ71" s="242">
        <f t="shared" si="513"/>
        <v>0</v>
      </c>
      <c r="BA71" s="242">
        <f t="shared" si="513"/>
        <v>0</v>
      </c>
      <c r="BB71" s="40">
        <f t="shared" si="513"/>
        <v>0</v>
      </c>
      <c r="BC71" s="243">
        <f t="shared" si="513"/>
        <v>0</v>
      </c>
      <c r="BD71" s="242">
        <f t="shared" si="513"/>
        <v>0</v>
      </c>
      <c r="BE71" s="242">
        <f t="shared" si="513"/>
        <v>0</v>
      </c>
      <c r="BF71" s="242">
        <f t="shared" si="513"/>
        <v>0</v>
      </c>
      <c r="BG71" s="178">
        <f t="shared" si="513"/>
        <v>0</v>
      </c>
      <c r="BH71" s="24" t="e">
        <f>AD71/AD77</f>
        <v>#DIV/0!</v>
      </c>
      <c r="BJ71" s="64" t="s">
        <v>50</v>
      </c>
      <c r="BK71" s="38">
        <f t="shared" ref="BK71:BV71" si="514">IF(AG77&gt;0,AG71/AG77,0)</f>
        <v>0</v>
      </c>
      <c r="BL71" s="242">
        <f t="shared" si="514"/>
        <v>0</v>
      </c>
      <c r="BM71" s="242">
        <f t="shared" si="514"/>
        <v>0</v>
      </c>
      <c r="BN71" s="242">
        <f t="shared" si="514"/>
        <v>0</v>
      </c>
      <c r="BO71" s="242">
        <f t="shared" si="514"/>
        <v>0</v>
      </c>
      <c r="BP71" s="242">
        <f t="shared" si="514"/>
        <v>0</v>
      </c>
      <c r="BQ71" s="40">
        <f t="shared" si="514"/>
        <v>0</v>
      </c>
      <c r="BR71" s="243">
        <f t="shared" si="514"/>
        <v>0</v>
      </c>
      <c r="BS71" s="242">
        <f t="shared" si="514"/>
        <v>0</v>
      </c>
      <c r="BT71" s="242">
        <f t="shared" si="514"/>
        <v>0</v>
      </c>
      <c r="BU71" s="242">
        <f t="shared" si="514"/>
        <v>0</v>
      </c>
      <c r="BV71" s="178">
        <f t="shared" si="514"/>
        <v>0</v>
      </c>
      <c r="BW71" s="24" t="e">
        <f>AS71/AS77</f>
        <v>#DIV/0!</v>
      </c>
      <c r="BX71" s="24"/>
      <c r="BY71" s="64" t="s">
        <v>50</v>
      </c>
      <c r="BZ71" s="54">
        <f t="shared" si="399"/>
        <v>0</v>
      </c>
      <c r="CA71" s="55">
        <f t="shared" si="368"/>
        <v>0</v>
      </c>
      <c r="CB71" s="55">
        <f t="shared" si="369"/>
        <v>0</v>
      </c>
      <c r="CC71" s="55">
        <f t="shared" si="370"/>
        <v>0</v>
      </c>
      <c r="CD71" s="55">
        <f t="shared" si="371"/>
        <v>0</v>
      </c>
      <c r="CE71" s="55">
        <f t="shared" si="372"/>
        <v>0</v>
      </c>
      <c r="CF71" s="60">
        <f t="shared" si="373"/>
        <v>0</v>
      </c>
      <c r="CG71" s="246">
        <f t="shared" si="374"/>
        <v>0</v>
      </c>
      <c r="CH71" s="55">
        <f t="shared" si="375"/>
        <v>0</v>
      </c>
      <c r="CI71" s="55">
        <f t="shared" si="376"/>
        <v>0</v>
      </c>
      <c r="CJ71" s="55">
        <f t="shared" si="377"/>
        <v>0</v>
      </c>
      <c r="CK71" s="249">
        <f t="shared" si="377"/>
        <v>0</v>
      </c>
      <c r="CL71" s="55">
        <f t="shared" si="378"/>
        <v>0</v>
      </c>
      <c r="CN71" s="64" t="s">
        <v>50</v>
      </c>
      <c r="CO71" s="54">
        <f t="shared" si="400"/>
        <v>0</v>
      </c>
      <c r="CP71" s="55">
        <f t="shared" si="379"/>
        <v>0</v>
      </c>
      <c r="CQ71" s="55">
        <f t="shared" si="380"/>
        <v>0</v>
      </c>
      <c r="CR71" s="55">
        <f t="shared" si="381"/>
        <v>0</v>
      </c>
      <c r="CS71" s="55">
        <f t="shared" si="382"/>
        <v>0</v>
      </c>
      <c r="CT71" s="55">
        <f t="shared" si="383"/>
        <v>0</v>
      </c>
      <c r="CU71" s="60">
        <f t="shared" si="384"/>
        <v>0</v>
      </c>
      <c r="CV71" s="246">
        <f t="shared" si="385"/>
        <v>0</v>
      </c>
      <c r="CW71" s="55">
        <f t="shared" si="386"/>
        <v>0</v>
      </c>
      <c r="CX71" s="55">
        <f t="shared" si="387"/>
        <v>0</v>
      </c>
      <c r="CY71" s="55">
        <f t="shared" si="388"/>
        <v>0</v>
      </c>
      <c r="CZ71" s="249">
        <f t="shared" si="388"/>
        <v>0</v>
      </c>
      <c r="DA71" s="62" t="e">
        <f t="shared" si="389"/>
        <v>#DIV/0!</v>
      </c>
      <c r="DC71" s="64" t="s">
        <v>50</v>
      </c>
      <c r="DD71" s="198">
        <f t="shared" si="401"/>
        <v>0</v>
      </c>
      <c r="DE71" s="199">
        <f t="shared" si="402"/>
        <v>0</v>
      </c>
      <c r="DF71" s="198">
        <f t="shared" si="403"/>
        <v>0</v>
      </c>
      <c r="DG71" s="199">
        <f t="shared" si="404"/>
        <v>0</v>
      </c>
      <c r="DH71" s="198">
        <f t="shared" si="405"/>
        <v>0</v>
      </c>
      <c r="DI71" s="199">
        <f t="shared" si="406"/>
        <v>0</v>
      </c>
      <c r="DJ71" s="198">
        <f t="shared" si="407"/>
        <v>0</v>
      </c>
      <c r="DK71" s="199">
        <f t="shared" si="408"/>
        <v>0</v>
      </c>
      <c r="DL71" s="198">
        <f t="shared" si="409"/>
        <v>0</v>
      </c>
      <c r="DM71" s="199">
        <f t="shared" si="410"/>
        <v>0</v>
      </c>
      <c r="DN71" s="198">
        <f t="shared" si="411"/>
        <v>0</v>
      </c>
      <c r="DO71" s="199">
        <f t="shared" si="412"/>
        <v>0</v>
      </c>
      <c r="DP71" s="198">
        <f t="shared" si="413"/>
        <v>0</v>
      </c>
      <c r="DQ71" s="199">
        <f t="shared" si="414"/>
        <v>0</v>
      </c>
      <c r="DR71" s="198">
        <f t="shared" si="415"/>
        <v>0</v>
      </c>
      <c r="DS71" s="199">
        <f t="shared" si="416"/>
        <v>0</v>
      </c>
      <c r="DT71" s="198">
        <f t="shared" si="417"/>
        <v>0</v>
      </c>
      <c r="DU71" s="199">
        <f t="shared" si="418"/>
        <v>0</v>
      </c>
      <c r="DV71" s="198">
        <f t="shared" si="419"/>
        <v>0</v>
      </c>
      <c r="DW71" s="199">
        <f t="shared" si="420"/>
        <v>0</v>
      </c>
      <c r="DX71" s="198">
        <f t="shared" si="421"/>
        <v>0</v>
      </c>
      <c r="DY71" s="199">
        <f t="shared" si="422"/>
        <v>0</v>
      </c>
      <c r="DZ71" s="190">
        <f t="shared" si="423"/>
        <v>0</v>
      </c>
      <c r="EA71" s="199">
        <f t="shared" si="390"/>
        <v>0</v>
      </c>
      <c r="EB71" s="190" t="e">
        <f t="shared" si="424"/>
        <v>#DIV/0!</v>
      </c>
      <c r="EC71" s="190" t="e">
        <f t="shared" si="425"/>
        <v>#DIV/0!</v>
      </c>
    </row>
    <row r="72" spans="1:133" x14ac:dyDescent="0.2">
      <c r="A72" s="64" t="s">
        <v>51</v>
      </c>
      <c r="B72" s="38">
        <f>targets!AW69</f>
        <v>0</v>
      </c>
      <c r="C72" s="242">
        <f>targets!AX69</f>
        <v>0</v>
      </c>
      <c r="D72" s="242">
        <f>targets!AY69</f>
        <v>0</v>
      </c>
      <c r="E72" s="242">
        <f>targets!AZ69</f>
        <v>0</v>
      </c>
      <c r="F72" s="242">
        <f>targets!BA69</f>
        <v>0</v>
      </c>
      <c r="G72" s="242">
        <f>SUM(targets!BB69:BG69)</f>
        <v>0</v>
      </c>
      <c r="H72" s="40">
        <f>SUM(targets!BH69:BM69)</f>
        <v>0</v>
      </c>
      <c r="I72" s="243">
        <f t="shared" si="391"/>
        <v>0</v>
      </c>
      <c r="J72" s="242">
        <f>targets!BN69</f>
        <v>0</v>
      </c>
      <c r="K72" s="242">
        <f>targets!BO69</f>
        <v>1221.7584099894614</v>
      </c>
      <c r="L72" s="242">
        <f>targets!BP69</f>
        <v>0</v>
      </c>
      <c r="M72" s="178">
        <f t="shared" si="426"/>
        <v>1221.7584099894614</v>
      </c>
      <c r="N72" s="17">
        <f t="shared" si="392"/>
        <v>1221.7584099894614</v>
      </c>
      <c r="O72" s="17"/>
      <c r="P72" s="17"/>
      <c r="Q72" s="64" t="s">
        <v>51</v>
      </c>
      <c r="R72" s="38">
        <f t="shared" si="359"/>
        <v>0</v>
      </c>
      <c r="S72" s="242">
        <f t="shared" si="360"/>
        <v>0</v>
      </c>
      <c r="T72" s="242">
        <f t="shared" si="361"/>
        <v>0</v>
      </c>
      <c r="U72" s="242">
        <f t="shared" si="362"/>
        <v>0</v>
      </c>
      <c r="V72" s="242">
        <f t="shared" si="363"/>
        <v>0</v>
      </c>
      <c r="W72" s="242">
        <f t="shared" si="364"/>
        <v>0</v>
      </c>
      <c r="X72" s="40">
        <f t="shared" si="365"/>
        <v>0</v>
      </c>
      <c r="Y72" s="243">
        <f t="shared" si="393"/>
        <v>0</v>
      </c>
      <c r="Z72" s="242"/>
      <c r="AA72" s="242"/>
      <c r="AB72" s="242"/>
      <c r="AC72" s="178">
        <f t="shared" si="427"/>
        <v>0</v>
      </c>
      <c r="AD72" s="17">
        <f t="shared" si="394"/>
        <v>0</v>
      </c>
      <c r="AF72" s="64" t="s">
        <v>51</v>
      </c>
      <c r="AG72" s="38">
        <f t="array" ref="AG72">SUM(IF((modeldata!$F:$F=calibration!$AF$54)*(modeldata!$G:$G=calibration!AG$56)*(modeldata!$H:$H=calibration!$AF72),modeldata!$E:$E,0))</f>
        <v>0</v>
      </c>
      <c r="AH72" s="242">
        <f t="array" ref="AH72">SUM(IF((modeldata!$F:$F=calibration!$AF$54)*(modeldata!$G:$G=calibration!AH$56)*(modeldata!$H:$H=calibration!$AF72),modeldata!$E:$E,0))</f>
        <v>0</v>
      </c>
      <c r="AI72" s="242">
        <f t="array" ref="AI72">SUM(IF((modeldata!$F:$F=calibration!$AF$54)*(modeldata!$G:$G=calibration!AI$56)*(modeldata!$H:$H=calibration!$AF72),modeldata!$E:$E,0))</f>
        <v>0</v>
      </c>
      <c r="AJ72" s="242">
        <f t="array" ref="AJ72">SUM(IF((modeldata!$F:$F=calibration!$AF$54)*(modeldata!$G:$G=calibration!AJ$56)*(modeldata!$H:$H=calibration!$AF72),modeldata!$E:$E,0))</f>
        <v>0</v>
      </c>
      <c r="AK72" s="242">
        <f t="array" ref="AK72">SUM(IF((modeldata!$F:$F=calibration!$AF$54)*(modeldata!$G:$G=calibration!AK$56)*(modeldata!$H:$H=calibration!$AF72),modeldata!$E:$E,0))</f>
        <v>0</v>
      </c>
      <c r="AL72" s="242">
        <f t="array" ref="AL72">SUM(IF((modeldata!$F:$F=calibration!$AF$54)*(modeldata!$G:$G=calibration!AL$56)*(modeldata!$H:$H=calibration!$AF72),modeldata!$E:$E,0))</f>
        <v>0</v>
      </c>
      <c r="AM72" s="40">
        <f t="array" ref="AM72">SUM(IF((modeldata!$F:$F=calibration!$AF$54)*(modeldata!$G:$G=calibration!AM$56)*(modeldata!$H:$H=calibration!$AF72),modeldata!$E:$E,0))</f>
        <v>0</v>
      </c>
      <c r="AN72" s="243"/>
      <c r="AO72" s="242">
        <f t="array" ref="AO72">SUM(IF((modeldata!$F:$F=calibration!$AF$54)*(modeldata!$G:$G=calibration!AO$56)*(modeldata!$H:$H=calibration!$AF72),modeldata!$E:$E,0))</f>
        <v>0</v>
      </c>
      <c r="AP72" s="242">
        <f t="array" ref="AP72">SUM(IF((modeldata!$F:$F=calibration!$AF$54)*(modeldata!$G:$G=calibration!AP$56)*(modeldata!$H:$H=calibration!$AF72),modeldata!$E:$E,0))</f>
        <v>0</v>
      </c>
      <c r="AQ72" s="242">
        <f t="array" ref="AQ72">SUM(IF((modeldata!$F:$F=calibration!$AF$54)*(modeldata!$G:$G=calibration!AQ$56)*(modeldata!$H:$H=calibration!$AF72),modeldata!$E:$E,0))</f>
        <v>0</v>
      </c>
      <c r="AR72" s="178">
        <f t="shared" si="428"/>
        <v>0</v>
      </c>
      <c r="AS72" s="17">
        <f t="shared" si="396"/>
        <v>0</v>
      </c>
      <c r="AU72" s="64" t="s">
        <v>51</v>
      </c>
      <c r="AV72" s="38">
        <f t="shared" ref="AV72:BG72" si="515">IF(R77&gt;0,R72/R77,0)</f>
        <v>0</v>
      </c>
      <c r="AW72" s="242">
        <f t="shared" si="515"/>
        <v>0</v>
      </c>
      <c r="AX72" s="242">
        <f t="shared" si="515"/>
        <v>0</v>
      </c>
      <c r="AY72" s="242">
        <f t="shared" si="515"/>
        <v>0</v>
      </c>
      <c r="AZ72" s="242">
        <f t="shared" si="515"/>
        <v>0</v>
      </c>
      <c r="BA72" s="242">
        <f t="shared" si="515"/>
        <v>0</v>
      </c>
      <c r="BB72" s="40">
        <f t="shared" si="515"/>
        <v>0</v>
      </c>
      <c r="BC72" s="243">
        <f t="shared" si="515"/>
        <v>0</v>
      </c>
      <c r="BD72" s="242">
        <f t="shared" si="515"/>
        <v>0</v>
      </c>
      <c r="BE72" s="242">
        <f t="shared" si="515"/>
        <v>0</v>
      </c>
      <c r="BF72" s="242">
        <f t="shared" si="515"/>
        <v>0</v>
      </c>
      <c r="BG72" s="178">
        <f t="shared" si="515"/>
        <v>0</v>
      </c>
      <c r="BH72" s="24" t="e">
        <f>AD72/AD77</f>
        <v>#DIV/0!</v>
      </c>
      <c r="BJ72" s="64" t="s">
        <v>51</v>
      </c>
      <c r="BK72" s="38">
        <f t="shared" ref="BK72:BV72" si="516">IF(AG77&gt;0,AG72/AG77,0)</f>
        <v>0</v>
      </c>
      <c r="BL72" s="242">
        <f t="shared" si="516"/>
        <v>0</v>
      </c>
      <c r="BM72" s="242">
        <f t="shared" si="516"/>
        <v>0</v>
      </c>
      <c r="BN72" s="242">
        <f t="shared" si="516"/>
        <v>0</v>
      </c>
      <c r="BO72" s="242">
        <f t="shared" si="516"/>
        <v>0</v>
      </c>
      <c r="BP72" s="242">
        <f t="shared" si="516"/>
        <v>0</v>
      </c>
      <c r="BQ72" s="40">
        <f t="shared" si="516"/>
        <v>0</v>
      </c>
      <c r="BR72" s="243">
        <f t="shared" si="516"/>
        <v>0</v>
      </c>
      <c r="BS72" s="242">
        <f t="shared" si="516"/>
        <v>0</v>
      </c>
      <c r="BT72" s="242">
        <f t="shared" si="516"/>
        <v>0</v>
      </c>
      <c r="BU72" s="242">
        <f t="shared" si="516"/>
        <v>0</v>
      </c>
      <c r="BV72" s="178">
        <f t="shared" si="516"/>
        <v>0</v>
      </c>
      <c r="BW72" s="24" t="e">
        <f>AS72/AS77</f>
        <v>#DIV/0!</v>
      </c>
      <c r="BX72" s="24"/>
      <c r="BY72" s="64" t="s">
        <v>51</v>
      </c>
      <c r="BZ72" s="54">
        <f t="shared" si="399"/>
        <v>0</v>
      </c>
      <c r="CA72" s="55">
        <f t="shared" si="368"/>
        <v>0</v>
      </c>
      <c r="CB72" s="55">
        <f t="shared" si="369"/>
        <v>0</v>
      </c>
      <c r="CC72" s="55">
        <f t="shared" si="370"/>
        <v>0</v>
      </c>
      <c r="CD72" s="55">
        <f t="shared" si="371"/>
        <v>0</v>
      </c>
      <c r="CE72" s="55">
        <f t="shared" si="372"/>
        <v>0</v>
      </c>
      <c r="CF72" s="60">
        <f t="shared" si="373"/>
        <v>0</v>
      </c>
      <c r="CG72" s="246">
        <f t="shared" si="374"/>
        <v>0</v>
      </c>
      <c r="CH72" s="55">
        <f t="shared" si="375"/>
        <v>0</v>
      </c>
      <c r="CI72" s="55">
        <f t="shared" si="376"/>
        <v>0</v>
      </c>
      <c r="CJ72" s="55">
        <f t="shared" si="377"/>
        <v>0</v>
      </c>
      <c r="CK72" s="249">
        <f t="shared" si="377"/>
        <v>0</v>
      </c>
      <c r="CL72" s="55">
        <f t="shared" si="378"/>
        <v>0</v>
      </c>
      <c r="CN72" s="64" t="s">
        <v>51</v>
      </c>
      <c r="CO72" s="54">
        <f t="shared" si="400"/>
        <v>0</v>
      </c>
      <c r="CP72" s="55">
        <f t="shared" si="379"/>
        <v>0</v>
      </c>
      <c r="CQ72" s="55">
        <f t="shared" si="380"/>
        <v>0</v>
      </c>
      <c r="CR72" s="55">
        <f t="shared" si="381"/>
        <v>0</v>
      </c>
      <c r="CS72" s="55">
        <f t="shared" si="382"/>
        <v>0</v>
      </c>
      <c r="CT72" s="55">
        <f t="shared" si="383"/>
        <v>0</v>
      </c>
      <c r="CU72" s="60">
        <f t="shared" si="384"/>
        <v>0</v>
      </c>
      <c r="CV72" s="246">
        <f t="shared" si="385"/>
        <v>0</v>
      </c>
      <c r="CW72" s="55">
        <f t="shared" si="386"/>
        <v>0</v>
      </c>
      <c r="CX72" s="55">
        <f t="shared" si="387"/>
        <v>0</v>
      </c>
      <c r="CY72" s="55">
        <f t="shared" si="388"/>
        <v>0</v>
      </c>
      <c r="CZ72" s="249">
        <f t="shared" si="388"/>
        <v>0</v>
      </c>
      <c r="DA72" s="62" t="e">
        <f t="shared" si="389"/>
        <v>#DIV/0!</v>
      </c>
      <c r="DC72" s="64" t="s">
        <v>51</v>
      </c>
      <c r="DD72" s="198">
        <f t="shared" si="401"/>
        <v>0</v>
      </c>
      <c r="DE72" s="199">
        <f t="shared" si="402"/>
        <v>0</v>
      </c>
      <c r="DF72" s="198">
        <f t="shared" si="403"/>
        <v>0</v>
      </c>
      <c r="DG72" s="199">
        <f t="shared" si="404"/>
        <v>0</v>
      </c>
      <c r="DH72" s="198">
        <f t="shared" si="405"/>
        <v>0</v>
      </c>
      <c r="DI72" s="199">
        <f t="shared" si="406"/>
        <v>0</v>
      </c>
      <c r="DJ72" s="198">
        <f t="shared" si="407"/>
        <v>0</v>
      </c>
      <c r="DK72" s="199">
        <f t="shared" si="408"/>
        <v>0</v>
      </c>
      <c r="DL72" s="198">
        <f t="shared" si="409"/>
        <v>0</v>
      </c>
      <c r="DM72" s="199">
        <f t="shared" si="410"/>
        <v>0</v>
      </c>
      <c r="DN72" s="198">
        <f t="shared" si="411"/>
        <v>0</v>
      </c>
      <c r="DO72" s="199">
        <f t="shared" si="412"/>
        <v>0</v>
      </c>
      <c r="DP72" s="198">
        <f t="shared" si="413"/>
        <v>0</v>
      </c>
      <c r="DQ72" s="199">
        <f t="shared" si="414"/>
        <v>0</v>
      </c>
      <c r="DR72" s="198">
        <f t="shared" si="415"/>
        <v>0</v>
      </c>
      <c r="DS72" s="199">
        <f t="shared" si="416"/>
        <v>0</v>
      </c>
      <c r="DT72" s="198">
        <f t="shared" si="417"/>
        <v>0</v>
      </c>
      <c r="DU72" s="199">
        <f t="shared" si="418"/>
        <v>0</v>
      </c>
      <c r="DV72" s="198">
        <f t="shared" si="419"/>
        <v>0</v>
      </c>
      <c r="DW72" s="199">
        <f t="shared" si="420"/>
        <v>0</v>
      </c>
      <c r="DX72" s="198">
        <f t="shared" si="421"/>
        <v>0</v>
      </c>
      <c r="DY72" s="199">
        <f t="shared" si="422"/>
        <v>0</v>
      </c>
      <c r="DZ72" s="190">
        <f t="shared" si="423"/>
        <v>0</v>
      </c>
      <c r="EA72" s="199">
        <f t="shared" si="390"/>
        <v>0</v>
      </c>
      <c r="EB72" s="190" t="e">
        <f t="shared" si="424"/>
        <v>#DIV/0!</v>
      </c>
      <c r="EC72" s="190" t="e">
        <f t="shared" si="425"/>
        <v>#DIV/0!</v>
      </c>
    </row>
    <row r="73" spans="1:133" x14ac:dyDescent="0.2">
      <c r="A73" s="64" t="s">
        <v>52</v>
      </c>
      <c r="B73" s="38">
        <f>targets!AW70</f>
        <v>0</v>
      </c>
      <c r="C73" s="242">
        <f>targets!AX70</f>
        <v>0</v>
      </c>
      <c r="D73" s="242">
        <f>targets!AY70</f>
        <v>0</v>
      </c>
      <c r="E73" s="242">
        <f>targets!AZ70</f>
        <v>0</v>
      </c>
      <c r="F73" s="242">
        <f>targets!BA70</f>
        <v>0</v>
      </c>
      <c r="G73" s="242">
        <f>SUM(targets!BB70:BG70)</f>
        <v>0</v>
      </c>
      <c r="H73" s="41">
        <f>SUM(targets!BH70:BM70)</f>
        <v>0</v>
      </c>
      <c r="I73" s="243">
        <f t="shared" si="391"/>
        <v>0</v>
      </c>
      <c r="J73" s="242">
        <f>targets!BN70</f>
        <v>0</v>
      </c>
      <c r="K73" s="242">
        <f>targets!BO70</f>
        <v>13951.305103665523</v>
      </c>
      <c r="L73" s="242">
        <f>targets!BP70</f>
        <v>0</v>
      </c>
      <c r="M73" s="178">
        <f t="shared" si="426"/>
        <v>13951.305103665523</v>
      </c>
      <c r="N73" s="17">
        <f t="shared" si="392"/>
        <v>13951.305103665523</v>
      </c>
      <c r="O73" s="17"/>
      <c r="P73" s="17"/>
      <c r="Q73" s="64" t="s">
        <v>52</v>
      </c>
      <c r="R73" s="38">
        <f t="shared" si="359"/>
        <v>0</v>
      </c>
      <c r="S73" s="242">
        <f t="shared" si="360"/>
        <v>0</v>
      </c>
      <c r="T73" s="242">
        <f t="shared" si="361"/>
        <v>0</v>
      </c>
      <c r="U73" s="242">
        <f t="shared" si="362"/>
        <v>0</v>
      </c>
      <c r="V73" s="242">
        <f t="shared" si="363"/>
        <v>0</v>
      </c>
      <c r="W73" s="242">
        <f t="shared" si="364"/>
        <v>0</v>
      </c>
      <c r="X73" s="41">
        <f t="shared" si="365"/>
        <v>0</v>
      </c>
      <c r="Y73" s="243">
        <f t="shared" si="393"/>
        <v>0</v>
      </c>
      <c r="Z73" s="242"/>
      <c r="AA73" s="242"/>
      <c r="AB73" s="242"/>
      <c r="AC73" s="178">
        <f t="shared" si="427"/>
        <v>0</v>
      </c>
      <c r="AD73" s="17">
        <f t="shared" si="394"/>
        <v>0</v>
      </c>
      <c r="AF73" s="64" t="s">
        <v>52</v>
      </c>
      <c r="AG73" s="38">
        <f t="array" ref="AG73">SUM(IF((modeldata!$F:$F=calibration!$AF$54)*(modeldata!$G:$G=calibration!AG$56)*(modeldata!$H:$H=calibration!$AF73),modeldata!$E:$E,0))</f>
        <v>0</v>
      </c>
      <c r="AH73" s="242">
        <f t="array" ref="AH73">SUM(IF((modeldata!$F:$F=calibration!$AF$54)*(modeldata!$G:$G=calibration!AH$56)*(modeldata!$H:$H=calibration!$AF73),modeldata!$E:$E,0))</f>
        <v>0</v>
      </c>
      <c r="AI73" s="242">
        <f t="array" ref="AI73">SUM(IF((modeldata!$F:$F=calibration!$AF$54)*(modeldata!$G:$G=calibration!AI$56)*(modeldata!$H:$H=calibration!$AF73),modeldata!$E:$E,0))</f>
        <v>0</v>
      </c>
      <c r="AJ73" s="242">
        <f t="array" ref="AJ73">SUM(IF((modeldata!$F:$F=calibration!$AF$54)*(modeldata!$G:$G=calibration!AJ$56)*(modeldata!$H:$H=calibration!$AF73),modeldata!$E:$E,0))</f>
        <v>0</v>
      </c>
      <c r="AK73" s="242">
        <f t="array" ref="AK73">SUM(IF((modeldata!$F:$F=calibration!$AF$54)*(modeldata!$G:$G=calibration!AK$56)*(modeldata!$H:$H=calibration!$AF73),modeldata!$E:$E,0))</f>
        <v>0</v>
      </c>
      <c r="AL73" s="242">
        <f t="array" ref="AL73">SUM(IF((modeldata!$F:$F=calibration!$AF$54)*(modeldata!$G:$G=calibration!AL$56)*(modeldata!$H:$H=calibration!$AF73),modeldata!$E:$E,0))</f>
        <v>0</v>
      </c>
      <c r="AM73" s="41">
        <f t="array" ref="AM73">SUM(IF((modeldata!$F:$F=calibration!$AF$54)*(modeldata!$G:$G=calibration!AM$56)*(modeldata!$H:$H=calibration!$AF73),modeldata!$E:$E,0))</f>
        <v>0</v>
      </c>
      <c r="AN73" s="243"/>
      <c r="AO73" s="242">
        <f t="array" ref="AO73">SUM(IF((modeldata!$F:$F=calibration!$AF$54)*(modeldata!$G:$G=calibration!AO$56)*(modeldata!$H:$H=calibration!$AF73),modeldata!$E:$E,0))</f>
        <v>0</v>
      </c>
      <c r="AP73" s="242">
        <f t="array" ref="AP73">SUM(IF((modeldata!$F:$F=calibration!$AF$54)*(modeldata!$G:$G=calibration!AP$56)*(modeldata!$H:$H=calibration!$AF73),modeldata!$E:$E,0))</f>
        <v>0</v>
      </c>
      <c r="AQ73" s="242">
        <f t="array" ref="AQ73">SUM(IF((modeldata!$F:$F=calibration!$AF$54)*(modeldata!$G:$G=calibration!AQ$56)*(modeldata!$H:$H=calibration!$AF73),modeldata!$E:$E,0))</f>
        <v>0</v>
      </c>
      <c r="AR73" s="178">
        <f t="shared" si="428"/>
        <v>0</v>
      </c>
      <c r="AS73" s="17">
        <f t="shared" si="396"/>
        <v>0</v>
      </c>
      <c r="AU73" s="64" t="s">
        <v>52</v>
      </c>
      <c r="AV73" s="38">
        <f t="shared" ref="AV73:BG73" si="517">IF(R77&gt;0,R73/R77,0)</f>
        <v>0</v>
      </c>
      <c r="AW73" s="242">
        <f t="shared" si="517"/>
        <v>0</v>
      </c>
      <c r="AX73" s="242">
        <f t="shared" si="517"/>
        <v>0</v>
      </c>
      <c r="AY73" s="242">
        <f t="shared" si="517"/>
        <v>0</v>
      </c>
      <c r="AZ73" s="242">
        <f t="shared" si="517"/>
        <v>0</v>
      </c>
      <c r="BA73" s="242">
        <f t="shared" si="517"/>
        <v>0</v>
      </c>
      <c r="BB73" s="41">
        <f t="shared" si="517"/>
        <v>0</v>
      </c>
      <c r="BC73" s="243">
        <f t="shared" si="517"/>
        <v>0</v>
      </c>
      <c r="BD73" s="242">
        <f t="shared" si="517"/>
        <v>0</v>
      </c>
      <c r="BE73" s="242">
        <f t="shared" si="517"/>
        <v>0</v>
      </c>
      <c r="BF73" s="242">
        <f t="shared" si="517"/>
        <v>0</v>
      </c>
      <c r="BG73" s="178">
        <f t="shared" si="517"/>
        <v>0</v>
      </c>
      <c r="BH73" s="24" t="e">
        <f>AD73/AD77</f>
        <v>#DIV/0!</v>
      </c>
      <c r="BJ73" s="64" t="s">
        <v>52</v>
      </c>
      <c r="BK73" s="38">
        <f t="shared" ref="BK73:BV73" si="518">IF(AG77&gt;0,AG73/AG77,0)</f>
        <v>0</v>
      </c>
      <c r="BL73" s="242">
        <f t="shared" si="518"/>
        <v>0</v>
      </c>
      <c r="BM73" s="242">
        <f t="shared" si="518"/>
        <v>0</v>
      </c>
      <c r="BN73" s="242">
        <f t="shared" si="518"/>
        <v>0</v>
      </c>
      <c r="BO73" s="242">
        <f t="shared" si="518"/>
        <v>0</v>
      </c>
      <c r="BP73" s="242">
        <f t="shared" si="518"/>
        <v>0</v>
      </c>
      <c r="BQ73" s="41">
        <f t="shared" si="518"/>
        <v>0</v>
      </c>
      <c r="BR73" s="243">
        <f t="shared" si="518"/>
        <v>0</v>
      </c>
      <c r="BS73" s="242">
        <f t="shared" si="518"/>
        <v>0</v>
      </c>
      <c r="BT73" s="242">
        <f t="shared" si="518"/>
        <v>0</v>
      </c>
      <c r="BU73" s="242">
        <f t="shared" si="518"/>
        <v>0</v>
      </c>
      <c r="BV73" s="178">
        <f t="shared" si="518"/>
        <v>0</v>
      </c>
      <c r="BW73" s="24" t="e">
        <f>AS73/AS77</f>
        <v>#DIV/0!</v>
      </c>
      <c r="BX73" s="24"/>
      <c r="BY73" s="64" t="s">
        <v>52</v>
      </c>
      <c r="BZ73" s="54">
        <f t="shared" si="399"/>
        <v>0</v>
      </c>
      <c r="CA73" s="55">
        <f t="shared" si="368"/>
        <v>0</v>
      </c>
      <c r="CB73" s="55">
        <f t="shared" si="369"/>
        <v>0</v>
      </c>
      <c r="CC73" s="55">
        <f t="shared" si="370"/>
        <v>0</v>
      </c>
      <c r="CD73" s="55">
        <f t="shared" si="371"/>
        <v>0</v>
      </c>
      <c r="CE73" s="55">
        <f t="shared" si="372"/>
        <v>0</v>
      </c>
      <c r="CF73" s="61">
        <f t="shared" si="373"/>
        <v>0</v>
      </c>
      <c r="CG73" s="246">
        <f>AN73-Y73</f>
        <v>0</v>
      </c>
      <c r="CH73" s="55">
        <f t="shared" si="375"/>
        <v>0</v>
      </c>
      <c r="CI73" s="55">
        <f t="shared" si="376"/>
        <v>0</v>
      </c>
      <c r="CJ73" s="55">
        <f t="shared" si="377"/>
        <v>0</v>
      </c>
      <c r="CK73" s="249">
        <f t="shared" si="377"/>
        <v>0</v>
      </c>
      <c r="CL73" s="55">
        <f t="shared" si="378"/>
        <v>0</v>
      </c>
      <c r="CN73" s="64" t="s">
        <v>52</v>
      </c>
      <c r="CO73" s="54">
        <f t="shared" si="400"/>
        <v>0</v>
      </c>
      <c r="CP73" s="55">
        <f t="shared" si="379"/>
        <v>0</v>
      </c>
      <c r="CQ73" s="55">
        <f t="shared" si="380"/>
        <v>0</v>
      </c>
      <c r="CR73" s="55">
        <f t="shared" si="381"/>
        <v>0</v>
      </c>
      <c r="CS73" s="55">
        <f t="shared" si="382"/>
        <v>0</v>
      </c>
      <c r="CT73" s="55">
        <f t="shared" si="383"/>
        <v>0</v>
      </c>
      <c r="CU73" s="61">
        <f t="shared" si="384"/>
        <v>0</v>
      </c>
      <c r="CV73" s="246">
        <f t="shared" si="385"/>
        <v>0</v>
      </c>
      <c r="CW73" s="55">
        <f t="shared" si="386"/>
        <v>0</v>
      </c>
      <c r="CX73" s="55">
        <f t="shared" si="387"/>
        <v>0</v>
      </c>
      <c r="CY73" s="55">
        <f t="shared" si="388"/>
        <v>0</v>
      </c>
      <c r="CZ73" s="249">
        <f t="shared" si="388"/>
        <v>0</v>
      </c>
      <c r="DA73" s="62" t="e">
        <f t="shared" si="389"/>
        <v>#DIV/0!</v>
      </c>
      <c r="DC73" s="64" t="s">
        <v>52</v>
      </c>
      <c r="DD73" s="198">
        <f t="shared" si="401"/>
        <v>0</v>
      </c>
      <c r="DE73" s="199">
        <f t="shared" si="402"/>
        <v>0</v>
      </c>
      <c r="DF73" s="198">
        <f t="shared" si="403"/>
        <v>0</v>
      </c>
      <c r="DG73" s="199">
        <f t="shared" si="404"/>
        <v>0</v>
      </c>
      <c r="DH73" s="198">
        <f t="shared" si="405"/>
        <v>0</v>
      </c>
      <c r="DI73" s="199">
        <f t="shared" si="406"/>
        <v>0</v>
      </c>
      <c r="DJ73" s="198">
        <f t="shared" si="407"/>
        <v>0</v>
      </c>
      <c r="DK73" s="199">
        <f t="shared" si="408"/>
        <v>0</v>
      </c>
      <c r="DL73" s="198">
        <f t="shared" si="409"/>
        <v>0</v>
      </c>
      <c r="DM73" s="199">
        <f t="shared" si="410"/>
        <v>0</v>
      </c>
      <c r="DN73" s="198">
        <f t="shared" si="411"/>
        <v>0</v>
      </c>
      <c r="DO73" s="199">
        <f t="shared" si="412"/>
        <v>0</v>
      </c>
      <c r="DP73" s="200">
        <f t="shared" si="413"/>
        <v>0</v>
      </c>
      <c r="DQ73" s="201">
        <f t="shared" si="414"/>
        <v>0</v>
      </c>
      <c r="DR73" s="198">
        <f t="shared" si="415"/>
        <v>0</v>
      </c>
      <c r="DS73" s="199">
        <f t="shared" si="416"/>
        <v>0</v>
      </c>
      <c r="DT73" s="198">
        <f t="shared" si="417"/>
        <v>0</v>
      </c>
      <c r="DU73" s="199">
        <f t="shared" si="418"/>
        <v>0</v>
      </c>
      <c r="DV73" s="198">
        <f t="shared" si="419"/>
        <v>0</v>
      </c>
      <c r="DW73" s="199">
        <f t="shared" si="420"/>
        <v>0</v>
      </c>
      <c r="DX73" s="198">
        <f t="shared" si="421"/>
        <v>0</v>
      </c>
      <c r="DY73" s="199">
        <f t="shared" si="422"/>
        <v>0</v>
      </c>
      <c r="DZ73" s="190">
        <f t="shared" si="423"/>
        <v>0</v>
      </c>
      <c r="EA73" s="199">
        <f t="shared" si="390"/>
        <v>0</v>
      </c>
      <c r="EB73" s="190" t="e">
        <f t="shared" si="424"/>
        <v>#DIV/0!</v>
      </c>
      <c r="EC73" s="190" t="e">
        <f t="shared" si="425"/>
        <v>#DIV/0!</v>
      </c>
    </row>
    <row r="74" spans="1:133" x14ac:dyDescent="0.2">
      <c r="A74" s="2" t="s">
        <v>6</v>
      </c>
      <c r="B74" s="38">
        <f>targets!AW71</f>
        <v>0</v>
      </c>
      <c r="C74" s="242">
        <f>targets!AX71</f>
        <v>0</v>
      </c>
      <c r="D74" s="242">
        <f>targets!AY71</f>
        <v>0</v>
      </c>
      <c r="E74" s="242">
        <f>targets!AZ71</f>
        <v>0</v>
      </c>
      <c r="F74" s="242">
        <f>targets!BA71</f>
        <v>0</v>
      </c>
      <c r="G74" s="242">
        <f>SUM(targets!BB71:BG71)</f>
        <v>0</v>
      </c>
      <c r="H74" s="242">
        <f>SUM(targets!BH71:BM71)</f>
        <v>0</v>
      </c>
      <c r="I74" s="243">
        <f t="shared" si="391"/>
        <v>0</v>
      </c>
      <c r="J74" s="242">
        <f>targets!BN71</f>
        <v>0</v>
      </c>
      <c r="K74" s="242">
        <f>targets!BO71</f>
        <v>0</v>
      </c>
      <c r="L74" s="242">
        <f>targets!BP71</f>
        <v>0</v>
      </c>
      <c r="M74" s="178">
        <f t="shared" si="426"/>
        <v>0</v>
      </c>
      <c r="N74" s="17">
        <f t="shared" si="392"/>
        <v>0</v>
      </c>
      <c r="O74" s="17"/>
      <c r="P74" s="17"/>
      <c r="Q74" s="2" t="s">
        <v>6</v>
      </c>
      <c r="R74" s="38">
        <f t="shared" si="359"/>
        <v>0</v>
      </c>
      <c r="S74" s="242">
        <f t="shared" si="360"/>
        <v>0</v>
      </c>
      <c r="T74" s="242">
        <f t="shared" si="361"/>
        <v>0</v>
      </c>
      <c r="U74" s="242">
        <f t="shared" si="362"/>
        <v>0</v>
      </c>
      <c r="V74" s="242">
        <f t="shared" si="363"/>
        <v>0</v>
      </c>
      <c r="W74" s="242">
        <f t="shared" si="364"/>
        <v>0</v>
      </c>
      <c r="X74" s="242">
        <f t="shared" si="365"/>
        <v>0</v>
      </c>
      <c r="Y74" s="243">
        <f t="shared" si="393"/>
        <v>0</v>
      </c>
      <c r="Z74" s="242"/>
      <c r="AA74" s="242"/>
      <c r="AB74" s="242"/>
      <c r="AC74" s="178">
        <f t="shared" si="427"/>
        <v>0</v>
      </c>
      <c r="AD74" s="17">
        <f t="shared" si="394"/>
        <v>0</v>
      </c>
      <c r="AF74" s="2" t="s">
        <v>6</v>
      </c>
      <c r="AG74" s="38">
        <f t="array" ref="AG74">SUM(IF((modeldata!$F:$F=calibration!$AF$54)*(modeldata!$G:$G=calibration!AG$56)*(modeldata!$H:$H=calibration!$AF74),modeldata!$E:$E,0))</f>
        <v>0</v>
      </c>
      <c r="AH74" s="242">
        <f t="array" ref="AH74">SUM(IF((modeldata!$F:$F=calibration!$AF$54)*(modeldata!$G:$G=calibration!AH$56)*(modeldata!$H:$H=calibration!$AF74),modeldata!$E:$E,0))</f>
        <v>0</v>
      </c>
      <c r="AI74" s="242">
        <f t="array" ref="AI74">SUM(IF((modeldata!$F:$F=calibration!$AF$54)*(modeldata!$G:$G=calibration!AI$56)*(modeldata!$H:$H=calibration!$AF74),modeldata!$E:$E,0))</f>
        <v>0</v>
      </c>
      <c r="AJ74" s="242">
        <f t="array" ref="AJ74">SUM(IF((modeldata!$F:$F=calibration!$AF$54)*(modeldata!$G:$G=calibration!AJ$56)*(modeldata!$H:$H=calibration!$AF74),modeldata!$E:$E,0))</f>
        <v>0</v>
      </c>
      <c r="AK74" s="242">
        <f t="array" ref="AK74">SUM(IF((modeldata!$F:$F=calibration!$AF$54)*(modeldata!$G:$G=calibration!AK$56)*(modeldata!$H:$H=calibration!$AF74),modeldata!$E:$E,0))</f>
        <v>0</v>
      </c>
      <c r="AL74" s="242">
        <f t="array" ref="AL74">SUM(IF((modeldata!$F:$F=calibration!$AF$54)*(modeldata!$G:$G=calibration!AL$56)*(modeldata!$H:$H=calibration!$AF74),modeldata!$E:$E,0))</f>
        <v>0</v>
      </c>
      <c r="AM74" s="242">
        <f t="array" ref="AM74">SUM(IF((modeldata!$F:$F=calibration!$AF$54)*(modeldata!$G:$G=calibration!AM$56)*(modeldata!$H:$H=calibration!$AF74),modeldata!$E:$E,0))</f>
        <v>0</v>
      </c>
      <c r="AN74" s="243">
        <f t="shared" si="395"/>
        <v>0</v>
      </c>
      <c r="AO74" s="242">
        <f t="array" ref="AO74">SUM(IF((modeldata!$F:$F=calibration!$AF$54)*(modeldata!$G:$G=calibration!AO$56)*(modeldata!$H:$H=calibration!$AF74),modeldata!$E:$E,0))</f>
        <v>0</v>
      </c>
      <c r="AP74" s="242">
        <f t="array" ref="AP74">SUM(IF((modeldata!$F:$F=calibration!$AF$54)*(modeldata!$G:$G=calibration!AP$56)*(modeldata!$H:$H=calibration!$AF74),modeldata!$E:$E,0))</f>
        <v>0</v>
      </c>
      <c r="AQ74" s="242">
        <f t="array" ref="AQ74">SUM(IF((modeldata!$F:$F=calibration!$AF$54)*(modeldata!$G:$G=calibration!AQ$56)*(modeldata!$H:$H=calibration!$AF74),modeldata!$E:$E,0))</f>
        <v>0</v>
      </c>
      <c r="AR74" s="178">
        <f t="shared" ref="AR74:AR76" si="519">SUM(AO74:AQ74)</f>
        <v>0</v>
      </c>
      <c r="AS74" s="17">
        <f t="shared" si="396"/>
        <v>0</v>
      </c>
      <c r="AU74" s="2" t="s">
        <v>6</v>
      </c>
      <c r="AV74" s="38">
        <f t="shared" ref="AV74:BG74" si="520">IF(R77&gt;0,R74/R77,0)</f>
        <v>0</v>
      </c>
      <c r="AW74" s="242">
        <f t="shared" si="520"/>
        <v>0</v>
      </c>
      <c r="AX74" s="242">
        <f t="shared" si="520"/>
        <v>0</v>
      </c>
      <c r="AY74" s="242">
        <f t="shared" si="520"/>
        <v>0</v>
      </c>
      <c r="AZ74" s="242">
        <f t="shared" si="520"/>
        <v>0</v>
      </c>
      <c r="BA74" s="242">
        <f t="shared" si="520"/>
        <v>0</v>
      </c>
      <c r="BB74" s="242">
        <f t="shared" si="520"/>
        <v>0</v>
      </c>
      <c r="BC74" s="243">
        <f t="shared" si="520"/>
        <v>0</v>
      </c>
      <c r="BD74" s="242">
        <f t="shared" si="520"/>
        <v>0</v>
      </c>
      <c r="BE74" s="242">
        <f t="shared" si="520"/>
        <v>0</v>
      </c>
      <c r="BF74" s="242">
        <f t="shared" si="520"/>
        <v>0</v>
      </c>
      <c r="BG74" s="178">
        <f t="shared" si="520"/>
        <v>0</v>
      </c>
      <c r="BH74" s="24" t="e">
        <f>AD74/AD77</f>
        <v>#DIV/0!</v>
      </c>
      <c r="BJ74" s="2" t="s">
        <v>6</v>
      </c>
      <c r="BK74" s="38">
        <f t="shared" ref="BK74:BV74" si="521">IF(AG77&gt;0,AG74/AG77,0)</f>
        <v>0</v>
      </c>
      <c r="BL74" s="242">
        <f t="shared" si="521"/>
        <v>0</v>
      </c>
      <c r="BM74" s="242">
        <f t="shared" si="521"/>
        <v>0</v>
      </c>
      <c r="BN74" s="242">
        <f t="shared" si="521"/>
        <v>0</v>
      </c>
      <c r="BO74" s="242">
        <f t="shared" si="521"/>
        <v>0</v>
      </c>
      <c r="BP74" s="242">
        <f t="shared" si="521"/>
        <v>0</v>
      </c>
      <c r="BQ74" s="242">
        <f t="shared" si="521"/>
        <v>0</v>
      </c>
      <c r="BR74" s="243">
        <f t="shared" si="521"/>
        <v>0</v>
      </c>
      <c r="BS74" s="242">
        <f t="shared" si="521"/>
        <v>0</v>
      </c>
      <c r="BT74" s="242">
        <f t="shared" si="521"/>
        <v>0</v>
      </c>
      <c r="BU74" s="242">
        <f t="shared" si="521"/>
        <v>0</v>
      </c>
      <c r="BV74" s="178">
        <f t="shared" si="521"/>
        <v>0</v>
      </c>
      <c r="BW74" s="24" t="e">
        <f>AS74/AS77</f>
        <v>#DIV/0!</v>
      </c>
      <c r="BX74" s="24"/>
      <c r="BY74" s="2" t="s">
        <v>6</v>
      </c>
      <c r="BZ74" s="54">
        <f t="shared" si="399"/>
        <v>0</v>
      </c>
      <c r="CA74" s="55">
        <f t="shared" si="368"/>
        <v>0</v>
      </c>
      <c r="CB74" s="55">
        <f t="shared" si="369"/>
        <v>0</v>
      </c>
      <c r="CC74" s="55">
        <f t="shared" si="370"/>
        <v>0</v>
      </c>
      <c r="CD74" s="55">
        <f t="shared" si="371"/>
        <v>0</v>
      </c>
      <c r="CE74" s="55">
        <f t="shared" si="372"/>
        <v>0</v>
      </c>
      <c r="CF74" s="55">
        <f t="shared" si="373"/>
        <v>0</v>
      </c>
      <c r="CG74" s="246">
        <f>AN74-Y74</f>
        <v>0</v>
      </c>
      <c r="CH74" s="55">
        <f t="shared" si="375"/>
        <v>0</v>
      </c>
      <c r="CI74" s="55">
        <f t="shared" si="376"/>
        <v>0</v>
      </c>
      <c r="CJ74" s="55">
        <f t="shared" si="377"/>
        <v>0</v>
      </c>
      <c r="CK74" s="249">
        <f t="shared" si="377"/>
        <v>0</v>
      </c>
      <c r="CL74" s="55">
        <f t="shared" si="378"/>
        <v>0</v>
      </c>
      <c r="CN74" s="2" t="s">
        <v>6</v>
      </c>
      <c r="CO74" s="54">
        <f t="shared" si="400"/>
        <v>0</v>
      </c>
      <c r="CP74" s="55">
        <f t="shared" si="379"/>
        <v>0</v>
      </c>
      <c r="CQ74" s="55">
        <f t="shared" si="380"/>
        <v>0</v>
      </c>
      <c r="CR74" s="55">
        <f t="shared" si="381"/>
        <v>0</v>
      </c>
      <c r="CS74" s="55">
        <f t="shared" si="382"/>
        <v>0</v>
      </c>
      <c r="CT74" s="55">
        <f t="shared" si="383"/>
        <v>0</v>
      </c>
      <c r="CU74" s="55">
        <f t="shared" si="384"/>
        <v>0</v>
      </c>
      <c r="CV74" s="246">
        <f t="shared" si="385"/>
        <v>0</v>
      </c>
      <c r="CW74" s="55">
        <f t="shared" si="386"/>
        <v>0</v>
      </c>
      <c r="CX74" s="55">
        <f t="shared" si="387"/>
        <v>0</v>
      </c>
      <c r="CY74" s="55">
        <f t="shared" si="388"/>
        <v>0</v>
      </c>
      <c r="CZ74" s="249">
        <f t="shared" si="388"/>
        <v>0</v>
      </c>
      <c r="DA74" s="62" t="e">
        <f t="shared" si="389"/>
        <v>#DIV/0!</v>
      </c>
      <c r="DC74" s="2" t="s">
        <v>6</v>
      </c>
      <c r="DD74" s="198">
        <f t="shared" si="401"/>
        <v>0</v>
      </c>
      <c r="DE74" s="199">
        <f t="shared" si="402"/>
        <v>0</v>
      </c>
      <c r="DF74" s="198">
        <f t="shared" si="403"/>
        <v>0</v>
      </c>
      <c r="DG74" s="199">
        <f t="shared" si="404"/>
        <v>0</v>
      </c>
      <c r="DH74" s="198">
        <f t="shared" si="405"/>
        <v>0</v>
      </c>
      <c r="DI74" s="199">
        <f t="shared" si="406"/>
        <v>0</v>
      </c>
      <c r="DJ74" s="198">
        <f t="shared" si="407"/>
        <v>0</v>
      </c>
      <c r="DK74" s="199">
        <f t="shared" si="408"/>
        <v>0</v>
      </c>
      <c r="DL74" s="198">
        <f t="shared" si="409"/>
        <v>0</v>
      </c>
      <c r="DM74" s="199">
        <f t="shared" si="410"/>
        <v>0</v>
      </c>
      <c r="DN74" s="198">
        <f t="shared" si="411"/>
        <v>0</v>
      </c>
      <c r="DO74" s="199">
        <f t="shared" si="412"/>
        <v>0</v>
      </c>
      <c r="DP74" s="198">
        <f t="shared" si="413"/>
        <v>0</v>
      </c>
      <c r="DQ74" s="199">
        <f t="shared" si="414"/>
        <v>0</v>
      </c>
      <c r="DR74" s="198">
        <f t="shared" si="415"/>
        <v>0</v>
      </c>
      <c r="DS74" s="199">
        <f t="shared" si="416"/>
        <v>0</v>
      </c>
      <c r="DT74" s="198">
        <f t="shared" si="417"/>
        <v>0</v>
      </c>
      <c r="DU74" s="199">
        <f t="shared" si="418"/>
        <v>0</v>
      </c>
      <c r="DV74" s="198">
        <f t="shared" si="419"/>
        <v>0</v>
      </c>
      <c r="DW74" s="199">
        <f t="shared" si="420"/>
        <v>0</v>
      </c>
      <c r="DX74" s="198">
        <f t="shared" si="421"/>
        <v>0</v>
      </c>
      <c r="DY74" s="199">
        <f t="shared" si="422"/>
        <v>0</v>
      </c>
      <c r="DZ74" s="190">
        <f t="shared" si="423"/>
        <v>0</v>
      </c>
      <c r="EA74" s="199">
        <f t="shared" si="390"/>
        <v>0</v>
      </c>
      <c r="EB74" s="190" t="e">
        <f t="shared" si="424"/>
        <v>#DIV/0!</v>
      </c>
      <c r="EC74" s="190" t="e">
        <f t="shared" si="425"/>
        <v>#DIV/0!</v>
      </c>
    </row>
    <row r="75" spans="1:133" x14ac:dyDescent="0.2">
      <c r="A75" s="2" t="s">
        <v>88</v>
      </c>
      <c r="B75" s="38">
        <f>targets!AW72</f>
        <v>0</v>
      </c>
      <c r="C75" s="242">
        <f>targets!AX72</f>
        <v>0</v>
      </c>
      <c r="D75" s="242">
        <f>targets!AY72</f>
        <v>0</v>
      </c>
      <c r="E75" s="242">
        <f>targets!AZ72</f>
        <v>0</v>
      </c>
      <c r="F75" s="242">
        <f>targets!BA72</f>
        <v>0</v>
      </c>
      <c r="G75" s="242">
        <f>SUM(targets!BB72:BG72)</f>
        <v>0</v>
      </c>
      <c r="H75" s="242">
        <f>SUM(targets!BH72:BM72)</f>
        <v>0</v>
      </c>
      <c r="I75" s="243">
        <f t="shared" si="391"/>
        <v>0</v>
      </c>
      <c r="J75" s="242">
        <f>targets!BN72</f>
        <v>0</v>
      </c>
      <c r="K75" s="242">
        <f>targets!BO72</f>
        <v>0</v>
      </c>
      <c r="L75" s="242">
        <f>targets!BP72</f>
        <v>0</v>
      </c>
      <c r="M75" s="178">
        <f t="shared" si="426"/>
        <v>0</v>
      </c>
      <c r="N75" s="17">
        <f t="shared" si="392"/>
        <v>0</v>
      </c>
      <c r="O75" s="17"/>
      <c r="P75" s="17"/>
      <c r="Q75" s="2" t="s">
        <v>88</v>
      </c>
      <c r="R75" s="38">
        <f t="shared" si="359"/>
        <v>0</v>
      </c>
      <c r="S75" s="242">
        <f t="shared" si="360"/>
        <v>0</v>
      </c>
      <c r="T75" s="242">
        <f t="shared" si="361"/>
        <v>0</v>
      </c>
      <c r="U75" s="242">
        <f t="shared" si="362"/>
        <v>0</v>
      </c>
      <c r="V75" s="242">
        <f t="shared" si="363"/>
        <v>0</v>
      </c>
      <c r="W75" s="242">
        <f t="shared" si="364"/>
        <v>0</v>
      </c>
      <c r="X75" s="242">
        <f t="shared" si="365"/>
        <v>0</v>
      </c>
      <c r="Y75" s="243">
        <f t="shared" si="393"/>
        <v>0</v>
      </c>
      <c r="Z75" s="242"/>
      <c r="AA75" s="242"/>
      <c r="AB75" s="242"/>
      <c r="AC75" s="178">
        <f t="shared" si="427"/>
        <v>0</v>
      </c>
      <c r="AD75" s="17">
        <f t="shared" si="394"/>
        <v>0</v>
      </c>
      <c r="AF75" s="2" t="s">
        <v>88</v>
      </c>
      <c r="AG75" s="38">
        <f t="array" ref="AG75">SUM(IF((modeldata!$F:$F=calibration!$AF$54)*(modeldata!$G:$G=calibration!AG$56)*(modeldata!$H:$H=calibration!$AF75),modeldata!$E:$E,0))</f>
        <v>0</v>
      </c>
      <c r="AH75" s="242">
        <f t="array" ref="AH75">SUM(IF((modeldata!$F:$F=calibration!$AF$54)*(modeldata!$G:$G=calibration!AH$56)*(modeldata!$H:$H=calibration!$AF75),modeldata!$E:$E,0))</f>
        <v>0</v>
      </c>
      <c r="AI75" s="242">
        <f t="array" ref="AI75">SUM(IF((modeldata!$F:$F=calibration!$AF$54)*(modeldata!$G:$G=calibration!AI$56)*(modeldata!$H:$H=calibration!$AF75),modeldata!$E:$E,0))</f>
        <v>0</v>
      </c>
      <c r="AJ75" s="242">
        <f t="array" ref="AJ75">SUM(IF((modeldata!$F:$F=calibration!$AF$54)*(modeldata!$G:$G=calibration!AJ$56)*(modeldata!$H:$H=calibration!$AF75),modeldata!$E:$E,0))</f>
        <v>0</v>
      </c>
      <c r="AK75" s="242">
        <f t="array" ref="AK75">SUM(IF((modeldata!$F:$F=calibration!$AF$54)*(modeldata!$G:$G=calibration!AK$56)*(modeldata!$H:$H=calibration!$AF75),modeldata!$E:$E,0))</f>
        <v>0</v>
      </c>
      <c r="AL75" s="242">
        <f t="array" ref="AL75">SUM(IF((modeldata!$F:$F=calibration!$AF$54)*(modeldata!$G:$G=calibration!AL$56)*(modeldata!$H:$H=calibration!$AF75),modeldata!$E:$E,0))</f>
        <v>0</v>
      </c>
      <c r="AM75" s="242">
        <f t="array" ref="AM75">SUM(IF((modeldata!$F:$F=calibration!$AF$54)*(modeldata!$G:$G=calibration!AM$56)*(modeldata!$H:$H=calibration!$AF75),modeldata!$E:$E,0))</f>
        <v>0</v>
      </c>
      <c r="AN75" s="243">
        <f t="shared" si="395"/>
        <v>0</v>
      </c>
      <c r="AO75" s="242">
        <f t="array" ref="AO75">SUM(IF((modeldata!$F:$F=calibration!$AF$54)*(modeldata!$G:$G=calibration!AO$56)*(modeldata!$H:$H=calibration!$AF75),modeldata!$E:$E,0))</f>
        <v>0</v>
      </c>
      <c r="AP75" s="242">
        <f t="array" ref="AP75">SUM(IF((modeldata!$F:$F=calibration!$AF$54)*(modeldata!$G:$G=calibration!AP$56)*(modeldata!$H:$H=calibration!$AF75),modeldata!$E:$E,0))</f>
        <v>0</v>
      </c>
      <c r="AQ75" s="242">
        <f t="array" ref="AQ75">SUM(IF((modeldata!$F:$F=calibration!$AF$54)*(modeldata!$G:$G=calibration!AQ$56)*(modeldata!$H:$H=calibration!$AF75),modeldata!$E:$E,0))</f>
        <v>0</v>
      </c>
      <c r="AR75" s="178">
        <f t="shared" si="519"/>
        <v>0</v>
      </c>
      <c r="AS75" s="17">
        <f t="shared" si="396"/>
        <v>0</v>
      </c>
      <c r="AU75" s="2" t="s">
        <v>88</v>
      </c>
      <c r="AV75" s="38">
        <f t="shared" ref="AV75:BG75" si="522">IF(R77&gt;0,R75/R77,0)</f>
        <v>0</v>
      </c>
      <c r="AW75" s="242">
        <f t="shared" si="522"/>
        <v>0</v>
      </c>
      <c r="AX75" s="242">
        <f t="shared" si="522"/>
        <v>0</v>
      </c>
      <c r="AY75" s="242">
        <f t="shared" si="522"/>
        <v>0</v>
      </c>
      <c r="AZ75" s="242">
        <f t="shared" si="522"/>
        <v>0</v>
      </c>
      <c r="BA75" s="242">
        <f t="shared" si="522"/>
        <v>0</v>
      </c>
      <c r="BB75" s="242">
        <f t="shared" si="522"/>
        <v>0</v>
      </c>
      <c r="BC75" s="243">
        <f t="shared" si="522"/>
        <v>0</v>
      </c>
      <c r="BD75" s="242">
        <f t="shared" si="522"/>
        <v>0</v>
      </c>
      <c r="BE75" s="242">
        <f t="shared" si="522"/>
        <v>0</v>
      </c>
      <c r="BF75" s="242">
        <f t="shared" si="522"/>
        <v>0</v>
      </c>
      <c r="BG75" s="178">
        <f t="shared" si="522"/>
        <v>0</v>
      </c>
      <c r="BH75" s="24" t="e">
        <f>AD75/AD77</f>
        <v>#DIV/0!</v>
      </c>
      <c r="BJ75" s="2" t="s">
        <v>88</v>
      </c>
      <c r="BK75" s="38">
        <f t="shared" ref="BK75:BV75" si="523">IF(AG77&gt;0,AG75/AG77,0)</f>
        <v>0</v>
      </c>
      <c r="BL75" s="242">
        <f t="shared" si="523"/>
        <v>0</v>
      </c>
      <c r="BM75" s="242">
        <f t="shared" si="523"/>
        <v>0</v>
      </c>
      <c r="BN75" s="242">
        <f t="shared" si="523"/>
        <v>0</v>
      </c>
      <c r="BO75" s="242">
        <f t="shared" si="523"/>
        <v>0</v>
      </c>
      <c r="BP75" s="242">
        <f t="shared" si="523"/>
        <v>0</v>
      </c>
      <c r="BQ75" s="242">
        <f t="shared" si="523"/>
        <v>0</v>
      </c>
      <c r="BR75" s="243">
        <f t="shared" si="523"/>
        <v>0</v>
      </c>
      <c r="BS75" s="242">
        <f t="shared" si="523"/>
        <v>0</v>
      </c>
      <c r="BT75" s="242">
        <f t="shared" si="523"/>
        <v>0</v>
      </c>
      <c r="BU75" s="242">
        <f t="shared" si="523"/>
        <v>0</v>
      </c>
      <c r="BV75" s="178">
        <f t="shared" si="523"/>
        <v>0</v>
      </c>
      <c r="BW75" s="24" t="e">
        <f>AS75/AS77</f>
        <v>#DIV/0!</v>
      </c>
      <c r="BX75" s="24"/>
      <c r="BY75" s="2" t="s">
        <v>88</v>
      </c>
      <c r="BZ75" s="54">
        <f t="shared" si="399"/>
        <v>0</v>
      </c>
      <c r="CA75" s="55">
        <f t="shared" si="368"/>
        <v>0</v>
      </c>
      <c r="CB75" s="55">
        <f t="shared" si="369"/>
        <v>0</v>
      </c>
      <c r="CC75" s="55">
        <f t="shared" si="370"/>
        <v>0</v>
      </c>
      <c r="CD75" s="55">
        <f t="shared" si="371"/>
        <v>0</v>
      </c>
      <c r="CE75" s="55">
        <f t="shared" si="372"/>
        <v>0</v>
      </c>
      <c r="CF75" s="55">
        <f t="shared" si="373"/>
        <v>0</v>
      </c>
      <c r="CG75" s="246">
        <f>AN75-Y75</f>
        <v>0</v>
      </c>
      <c r="CH75" s="55">
        <f t="shared" si="375"/>
        <v>0</v>
      </c>
      <c r="CI75" s="55">
        <f t="shared" si="376"/>
        <v>0</v>
      </c>
      <c r="CJ75" s="55">
        <f t="shared" si="377"/>
        <v>0</v>
      </c>
      <c r="CK75" s="249">
        <f t="shared" si="377"/>
        <v>0</v>
      </c>
      <c r="CL75" s="55">
        <f t="shared" si="378"/>
        <v>0</v>
      </c>
      <c r="CN75" s="2" t="s">
        <v>88</v>
      </c>
      <c r="CO75" s="54">
        <f t="shared" si="400"/>
        <v>0</v>
      </c>
      <c r="CP75" s="55">
        <f t="shared" si="379"/>
        <v>0</v>
      </c>
      <c r="CQ75" s="55">
        <f t="shared" si="380"/>
        <v>0</v>
      </c>
      <c r="CR75" s="55">
        <f t="shared" si="381"/>
        <v>0</v>
      </c>
      <c r="CS75" s="55">
        <f t="shared" si="382"/>
        <v>0</v>
      </c>
      <c r="CT75" s="55">
        <f t="shared" si="383"/>
        <v>0</v>
      </c>
      <c r="CU75" s="55">
        <f t="shared" si="384"/>
        <v>0</v>
      </c>
      <c r="CV75" s="246">
        <f t="shared" si="385"/>
        <v>0</v>
      </c>
      <c r="CW75" s="55">
        <f t="shared" si="386"/>
        <v>0</v>
      </c>
      <c r="CX75" s="55">
        <f t="shared" si="387"/>
        <v>0</v>
      </c>
      <c r="CY75" s="55">
        <f t="shared" si="388"/>
        <v>0</v>
      </c>
      <c r="CZ75" s="249">
        <f t="shared" si="388"/>
        <v>0</v>
      </c>
      <c r="DA75" s="62" t="e">
        <f t="shared" si="389"/>
        <v>#DIV/0!</v>
      </c>
      <c r="DC75" s="2" t="s">
        <v>88</v>
      </c>
      <c r="DD75" s="198">
        <f t="shared" si="401"/>
        <v>0</v>
      </c>
      <c r="DE75" s="199">
        <f t="shared" si="402"/>
        <v>0</v>
      </c>
      <c r="DF75" s="198">
        <f t="shared" si="403"/>
        <v>0</v>
      </c>
      <c r="DG75" s="199">
        <f t="shared" si="404"/>
        <v>0</v>
      </c>
      <c r="DH75" s="198">
        <f t="shared" si="405"/>
        <v>0</v>
      </c>
      <c r="DI75" s="199">
        <f t="shared" si="406"/>
        <v>0</v>
      </c>
      <c r="DJ75" s="198">
        <f t="shared" si="407"/>
        <v>0</v>
      </c>
      <c r="DK75" s="199">
        <f t="shared" si="408"/>
        <v>0</v>
      </c>
      <c r="DL75" s="198">
        <f t="shared" si="409"/>
        <v>0</v>
      </c>
      <c r="DM75" s="199">
        <f t="shared" si="410"/>
        <v>0</v>
      </c>
      <c r="DN75" s="198">
        <f t="shared" si="411"/>
        <v>0</v>
      </c>
      <c r="DO75" s="199">
        <f t="shared" si="412"/>
        <v>0</v>
      </c>
      <c r="DP75" s="198">
        <f t="shared" si="413"/>
        <v>0</v>
      </c>
      <c r="DQ75" s="199">
        <f t="shared" si="414"/>
        <v>0</v>
      </c>
      <c r="DR75" s="198">
        <f t="shared" si="415"/>
        <v>0</v>
      </c>
      <c r="DS75" s="199">
        <f t="shared" si="416"/>
        <v>0</v>
      </c>
      <c r="DT75" s="198">
        <f t="shared" si="417"/>
        <v>0</v>
      </c>
      <c r="DU75" s="199">
        <f t="shared" si="418"/>
        <v>0</v>
      </c>
      <c r="DV75" s="198">
        <f t="shared" si="419"/>
        <v>0</v>
      </c>
      <c r="DW75" s="199">
        <f t="shared" si="420"/>
        <v>0</v>
      </c>
      <c r="DX75" s="198">
        <f t="shared" si="421"/>
        <v>0</v>
      </c>
      <c r="DY75" s="199">
        <f t="shared" si="422"/>
        <v>0</v>
      </c>
      <c r="DZ75" s="190">
        <f t="shared" si="423"/>
        <v>0</v>
      </c>
      <c r="EA75" s="199">
        <f t="shared" si="390"/>
        <v>0</v>
      </c>
      <c r="EB75" s="190" t="e">
        <f t="shared" si="424"/>
        <v>#DIV/0!</v>
      </c>
      <c r="EC75" s="190" t="e">
        <f t="shared" si="425"/>
        <v>#DIV/0!</v>
      </c>
    </row>
    <row r="76" spans="1:133" x14ac:dyDescent="0.2">
      <c r="A76" s="2" t="s">
        <v>89</v>
      </c>
      <c r="B76" s="42">
        <f>targets!AW73</f>
        <v>0</v>
      </c>
      <c r="C76" s="43">
        <f>targets!AX73</f>
        <v>0</v>
      </c>
      <c r="D76" s="43">
        <f>targets!AY73</f>
        <v>0</v>
      </c>
      <c r="E76" s="43">
        <f>targets!AZ73</f>
        <v>0</v>
      </c>
      <c r="F76" s="43">
        <f>targets!BA73</f>
        <v>0</v>
      </c>
      <c r="G76" s="43">
        <f>SUM(targets!BB73:BG73)</f>
        <v>0</v>
      </c>
      <c r="H76" s="43">
        <f>SUM(targets!BH73:BM73)</f>
        <v>0</v>
      </c>
      <c r="I76" s="75">
        <f t="shared" si="391"/>
        <v>0</v>
      </c>
      <c r="J76" s="43">
        <f>targets!BN73</f>
        <v>0</v>
      </c>
      <c r="K76" s="43">
        <f>targets!BO73</f>
        <v>0</v>
      </c>
      <c r="L76" s="43">
        <f>targets!BP73</f>
        <v>0</v>
      </c>
      <c r="M76" s="244">
        <f t="shared" si="426"/>
        <v>0</v>
      </c>
      <c r="N76" s="17">
        <f t="shared" si="392"/>
        <v>0</v>
      </c>
      <c r="O76" s="17"/>
      <c r="P76" s="17"/>
      <c r="Q76" s="2" t="s">
        <v>89</v>
      </c>
      <c r="R76" s="42">
        <f t="shared" si="359"/>
        <v>0</v>
      </c>
      <c r="S76" s="43">
        <f t="shared" si="360"/>
        <v>0</v>
      </c>
      <c r="T76" s="43">
        <f t="shared" si="361"/>
        <v>0</v>
      </c>
      <c r="U76" s="43">
        <f t="shared" si="362"/>
        <v>0</v>
      </c>
      <c r="V76" s="43">
        <f t="shared" si="363"/>
        <v>0</v>
      </c>
      <c r="W76" s="43">
        <f t="shared" si="364"/>
        <v>0</v>
      </c>
      <c r="X76" s="43">
        <f t="shared" si="365"/>
        <v>0</v>
      </c>
      <c r="Y76" s="75">
        <f t="shared" si="393"/>
        <v>0</v>
      </c>
      <c r="Z76" s="43"/>
      <c r="AA76" s="43"/>
      <c r="AB76" s="43"/>
      <c r="AC76" s="244">
        <f t="shared" si="427"/>
        <v>0</v>
      </c>
      <c r="AD76" s="17">
        <f t="shared" si="394"/>
        <v>0</v>
      </c>
      <c r="AF76" s="2" t="s">
        <v>89</v>
      </c>
      <c r="AG76" s="42">
        <f t="array" ref="AG76">SUM(IF((modeldata!$F:$F=calibration!$AF$54)*(modeldata!$G:$G=calibration!AG$56)*(modeldata!$H:$H=calibration!$AF76),modeldata!$E:$E,0))</f>
        <v>0</v>
      </c>
      <c r="AH76" s="43">
        <f t="array" ref="AH76">SUM(IF((modeldata!$F:$F=calibration!$AF$54)*(modeldata!$G:$G=calibration!AH$56)*(modeldata!$H:$H=calibration!$AF76),modeldata!$E:$E,0))</f>
        <v>0</v>
      </c>
      <c r="AI76" s="43">
        <f t="array" ref="AI76">SUM(IF((modeldata!$F:$F=calibration!$AF$54)*(modeldata!$G:$G=calibration!AI$56)*(modeldata!$H:$H=calibration!$AF76),modeldata!$E:$E,0))</f>
        <v>0</v>
      </c>
      <c r="AJ76" s="43">
        <f t="array" ref="AJ76">SUM(IF((modeldata!$F:$F=calibration!$AF$54)*(modeldata!$G:$G=calibration!AJ$56)*(modeldata!$H:$H=calibration!$AF76),modeldata!$E:$E,0))</f>
        <v>0</v>
      </c>
      <c r="AK76" s="43">
        <f t="array" ref="AK76">SUM(IF((modeldata!$F:$F=calibration!$AF$54)*(modeldata!$G:$G=calibration!AK$56)*(modeldata!$H:$H=calibration!$AF76),modeldata!$E:$E,0))</f>
        <v>0</v>
      </c>
      <c r="AL76" s="43">
        <f t="array" ref="AL76">SUM(IF((modeldata!$F:$F=calibration!$AF$54)*(modeldata!$G:$G=calibration!AL$56)*(modeldata!$H:$H=calibration!$AF76),modeldata!$E:$E,0))</f>
        <v>0</v>
      </c>
      <c r="AM76" s="43">
        <f t="array" ref="AM76">SUM(IF((modeldata!$F:$F=calibration!$AF$54)*(modeldata!$G:$G=calibration!AM$56)*(modeldata!$H:$H=calibration!$AF76),modeldata!$E:$E,0))</f>
        <v>0</v>
      </c>
      <c r="AN76" s="75">
        <f t="shared" si="395"/>
        <v>0</v>
      </c>
      <c r="AO76" s="43">
        <f t="array" ref="AO76">SUM(IF((modeldata!$F:$F=calibration!$AF$54)*(modeldata!$G:$G=calibration!AO$56)*(modeldata!$H:$H=calibration!$AF76),modeldata!$E:$E,0))</f>
        <v>0</v>
      </c>
      <c r="AP76" s="43">
        <f t="array" ref="AP76">SUM(IF((modeldata!$F:$F=calibration!$AF$54)*(modeldata!$G:$G=calibration!AP$56)*(modeldata!$H:$H=calibration!$AF76),modeldata!$E:$E,0))</f>
        <v>0</v>
      </c>
      <c r="AQ76" s="43">
        <f t="array" ref="AQ76">SUM(IF((modeldata!$F:$F=calibration!$AF$54)*(modeldata!$G:$G=calibration!AQ$56)*(modeldata!$H:$H=calibration!$AF76),modeldata!$E:$E,0))</f>
        <v>0</v>
      </c>
      <c r="AR76" s="244">
        <f t="shared" si="519"/>
        <v>0</v>
      </c>
      <c r="AS76" s="17">
        <f t="shared" si="396"/>
        <v>0</v>
      </c>
      <c r="AU76" s="2" t="s">
        <v>89</v>
      </c>
      <c r="AV76" s="42">
        <f t="shared" ref="AV76:BG76" si="524">IF(R77&gt;0,R76/R77,0)</f>
        <v>0</v>
      </c>
      <c r="AW76" s="43">
        <f t="shared" si="524"/>
        <v>0</v>
      </c>
      <c r="AX76" s="43">
        <f t="shared" si="524"/>
        <v>0</v>
      </c>
      <c r="AY76" s="43">
        <f t="shared" si="524"/>
        <v>0</v>
      </c>
      <c r="AZ76" s="43">
        <f t="shared" si="524"/>
        <v>0</v>
      </c>
      <c r="BA76" s="43">
        <f t="shared" si="524"/>
        <v>0</v>
      </c>
      <c r="BB76" s="43">
        <f t="shared" si="524"/>
        <v>0</v>
      </c>
      <c r="BC76" s="75">
        <f t="shared" si="524"/>
        <v>0</v>
      </c>
      <c r="BD76" s="43">
        <f t="shared" si="524"/>
        <v>0</v>
      </c>
      <c r="BE76" s="43">
        <f t="shared" si="524"/>
        <v>0</v>
      </c>
      <c r="BF76" s="43">
        <f t="shared" si="524"/>
        <v>0</v>
      </c>
      <c r="BG76" s="244">
        <f t="shared" si="524"/>
        <v>0</v>
      </c>
      <c r="BH76" s="24" t="e">
        <f>AD76/AD77</f>
        <v>#DIV/0!</v>
      </c>
      <c r="BJ76" s="2" t="s">
        <v>89</v>
      </c>
      <c r="BK76" s="42">
        <f t="shared" ref="BK76:BV76" si="525">IF(AG77&gt;0,AG76/AG77,0)</f>
        <v>0</v>
      </c>
      <c r="BL76" s="43">
        <f t="shared" si="525"/>
        <v>0</v>
      </c>
      <c r="BM76" s="43">
        <f t="shared" si="525"/>
        <v>0</v>
      </c>
      <c r="BN76" s="43">
        <f t="shared" si="525"/>
        <v>0</v>
      </c>
      <c r="BO76" s="43">
        <f t="shared" si="525"/>
        <v>0</v>
      </c>
      <c r="BP76" s="43">
        <f t="shared" si="525"/>
        <v>0</v>
      </c>
      <c r="BQ76" s="43">
        <f t="shared" si="525"/>
        <v>0</v>
      </c>
      <c r="BR76" s="75">
        <f t="shared" si="525"/>
        <v>0</v>
      </c>
      <c r="BS76" s="43">
        <f t="shared" si="525"/>
        <v>0</v>
      </c>
      <c r="BT76" s="43">
        <f t="shared" si="525"/>
        <v>0</v>
      </c>
      <c r="BU76" s="43">
        <f t="shared" si="525"/>
        <v>0</v>
      </c>
      <c r="BV76" s="244">
        <f t="shared" si="525"/>
        <v>0</v>
      </c>
      <c r="BW76" s="24" t="e">
        <f>AS76/AS77</f>
        <v>#DIV/0!</v>
      </c>
      <c r="BX76" s="24"/>
      <c r="BY76" s="2" t="s">
        <v>89</v>
      </c>
      <c r="BZ76" s="56">
        <f t="shared" si="399"/>
        <v>0</v>
      </c>
      <c r="CA76" s="57">
        <f t="shared" si="368"/>
        <v>0</v>
      </c>
      <c r="CB76" s="57">
        <f t="shared" si="369"/>
        <v>0</v>
      </c>
      <c r="CC76" s="57">
        <f t="shared" si="370"/>
        <v>0</v>
      </c>
      <c r="CD76" s="57">
        <f t="shared" si="371"/>
        <v>0</v>
      </c>
      <c r="CE76" s="57">
        <f t="shared" si="372"/>
        <v>0</v>
      </c>
      <c r="CF76" s="57">
        <f t="shared" si="373"/>
        <v>0</v>
      </c>
      <c r="CG76" s="247">
        <f>AN76-Y76</f>
        <v>0</v>
      </c>
      <c r="CH76" s="57">
        <f t="shared" si="375"/>
        <v>0</v>
      </c>
      <c r="CI76" s="57">
        <f t="shared" si="376"/>
        <v>0</v>
      </c>
      <c r="CJ76" s="57">
        <f t="shared" si="377"/>
        <v>0</v>
      </c>
      <c r="CK76" s="250">
        <f t="shared" si="377"/>
        <v>0</v>
      </c>
      <c r="CL76" s="55">
        <f t="shared" si="378"/>
        <v>0</v>
      </c>
      <c r="CN76" s="2" t="s">
        <v>89</v>
      </c>
      <c r="CO76" s="56">
        <f t="shared" si="400"/>
        <v>0</v>
      </c>
      <c r="CP76" s="57">
        <f t="shared" si="379"/>
        <v>0</v>
      </c>
      <c r="CQ76" s="57">
        <f t="shared" si="380"/>
        <v>0</v>
      </c>
      <c r="CR76" s="57">
        <f t="shared" si="381"/>
        <v>0</v>
      </c>
      <c r="CS76" s="57">
        <f t="shared" si="382"/>
        <v>0</v>
      </c>
      <c r="CT76" s="57">
        <f t="shared" si="383"/>
        <v>0</v>
      </c>
      <c r="CU76" s="57">
        <f t="shared" si="384"/>
        <v>0</v>
      </c>
      <c r="CV76" s="247">
        <f t="shared" si="385"/>
        <v>0</v>
      </c>
      <c r="CW76" s="57">
        <f t="shared" si="386"/>
        <v>0</v>
      </c>
      <c r="CX76" s="57">
        <f t="shared" si="387"/>
        <v>0</v>
      </c>
      <c r="CY76" s="57">
        <f t="shared" si="388"/>
        <v>0</v>
      </c>
      <c r="CZ76" s="250">
        <f t="shared" si="388"/>
        <v>0</v>
      </c>
      <c r="DA76" s="62" t="e">
        <f t="shared" si="389"/>
        <v>#DIV/0!</v>
      </c>
      <c r="DC76" s="2" t="s">
        <v>89</v>
      </c>
      <c r="DD76" s="200">
        <f t="shared" si="401"/>
        <v>0</v>
      </c>
      <c r="DE76" s="201">
        <f t="shared" si="402"/>
        <v>0</v>
      </c>
      <c r="DF76" s="200">
        <f t="shared" si="403"/>
        <v>0</v>
      </c>
      <c r="DG76" s="201">
        <f t="shared" si="404"/>
        <v>0</v>
      </c>
      <c r="DH76" s="200">
        <f t="shared" si="405"/>
        <v>0</v>
      </c>
      <c r="DI76" s="201">
        <f t="shared" si="406"/>
        <v>0</v>
      </c>
      <c r="DJ76" s="200">
        <f t="shared" si="407"/>
        <v>0</v>
      </c>
      <c r="DK76" s="201">
        <f t="shared" si="408"/>
        <v>0</v>
      </c>
      <c r="DL76" s="200">
        <f t="shared" si="409"/>
        <v>0</v>
      </c>
      <c r="DM76" s="201">
        <f t="shared" si="410"/>
        <v>0</v>
      </c>
      <c r="DN76" s="200">
        <f t="shared" si="411"/>
        <v>0</v>
      </c>
      <c r="DO76" s="201">
        <f t="shared" si="412"/>
        <v>0</v>
      </c>
      <c r="DP76" s="200">
        <f t="shared" si="413"/>
        <v>0</v>
      </c>
      <c r="DQ76" s="201">
        <f t="shared" si="414"/>
        <v>0</v>
      </c>
      <c r="DR76" s="200">
        <f t="shared" si="415"/>
        <v>0</v>
      </c>
      <c r="DS76" s="201">
        <f t="shared" si="416"/>
        <v>0</v>
      </c>
      <c r="DT76" s="200">
        <f t="shared" si="417"/>
        <v>0</v>
      </c>
      <c r="DU76" s="201">
        <f t="shared" si="418"/>
        <v>0</v>
      </c>
      <c r="DV76" s="200">
        <f t="shared" si="419"/>
        <v>0</v>
      </c>
      <c r="DW76" s="201">
        <f t="shared" si="420"/>
        <v>0</v>
      </c>
      <c r="DX76" s="200">
        <f t="shared" si="421"/>
        <v>0</v>
      </c>
      <c r="DY76" s="201">
        <f t="shared" si="422"/>
        <v>0</v>
      </c>
      <c r="DZ76" s="202">
        <f t="shared" si="423"/>
        <v>0</v>
      </c>
      <c r="EA76" s="201">
        <f t="shared" si="390"/>
        <v>0</v>
      </c>
      <c r="EB76" s="190" t="e">
        <f t="shared" si="424"/>
        <v>#DIV/0!</v>
      </c>
      <c r="EC76" s="190" t="e">
        <f t="shared" si="425"/>
        <v>#DIV/0!</v>
      </c>
    </row>
    <row r="77" spans="1:133" x14ac:dyDescent="0.2">
      <c r="A77" s="65" t="s">
        <v>54</v>
      </c>
      <c r="B77" s="17">
        <f t="shared" ref="B77:M77" si="526">SUM(B57:B76)</f>
        <v>54766.992759761451</v>
      </c>
      <c r="C77" s="17">
        <f t="shared" si="526"/>
        <v>155958.58818220359</v>
      </c>
      <c r="D77" s="17">
        <f t="shared" si="526"/>
        <v>352846.31375933922</v>
      </c>
      <c r="E77" s="17">
        <f t="shared" si="526"/>
        <v>89119.269549765304</v>
      </c>
      <c r="F77" s="17">
        <f t="shared" si="526"/>
        <v>48318.599035083847</v>
      </c>
      <c r="G77" s="17">
        <f t="shared" si="526"/>
        <v>35591.935598086777</v>
      </c>
      <c r="H77" s="17">
        <f t="shared" si="526"/>
        <v>2132.8767430072621</v>
      </c>
      <c r="I77" s="72">
        <f t="shared" si="526"/>
        <v>37724.812341094039</v>
      </c>
      <c r="J77" s="17">
        <f t="shared" si="526"/>
        <v>0</v>
      </c>
      <c r="K77" s="17">
        <f t="shared" si="526"/>
        <v>16394.821923644446</v>
      </c>
      <c r="L77" s="17">
        <f t="shared" si="526"/>
        <v>0</v>
      </c>
      <c r="M77" s="72">
        <f t="shared" si="526"/>
        <v>16394.821923644446</v>
      </c>
      <c r="N77" s="17">
        <f t="shared" si="392"/>
        <v>755129.39755089185</v>
      </c>
      <c r="O77" s="17"/>
      <c r="P77" s="17"/>
      <c r="Q77" s="65" t="s">
        <v>54</v>
      </c>
      <c r="R77" s="17">
        <f t="shared" ref="R77:AC77" si="527">SUM(R57:R76)</f>
        <v>0</v>
      </c>
      <c r="S77" s="17">
        <f t="shared" si="527"/>
        <v>0</v>
      </c>
      <c r="T77" s="17">
        <f t="shared" si="527"/>
        <v>0</v>
      </c>
      <c r="U77" s="17">
        <f t="shared" si="527"/>
        <v>0</v>
      </c>
      <c r="V77" s="17">
        <f t="shared" si="527"/>
        <v>0</v>
      </c>
      <c r="W77" s="17">
        <f t="shared" si="527"/>
        <v>0</v>
      </c>
      <c r="X77" s="17">
        <f t="shared" si="527"/>
        <v>0</v>
      </c>
      <c r="Y77" s="72">
        <f t="shared" si="527"/>
        <v>0</v>
      </c>
      <c r="Z77" s="17">
        <f t="shared" si="527"/>
        <v>0</v>
      </c>
      <c r="AA77" s="17">
        <f t="shared" si="527"/>
        <v>0</v>
      </c>
      <c r="AB77" s="17">
        <f t="shared" si="527"/>
        <v>0</v>
      </c>
      <c r="AC77" s="72">
        <f t="shared" si="527"/>
        <v>0</v>
      </c>
      <c r="AD77" s="17">
        <f t="shared" si="394"/>
        <v>0</v>
      </c>
      <c r="AF77" s="65" t="s">
        <v>54</v>
      </c>
      <c r="AG77" s="17">
        <f t="shared" ref="AG77:AR77" si="528">SUM(AG57:AG76)</f>
        <v>0</v>
      </c>
      <c r="AH77" s="17">
        <f t="shared" si="528"/>
        <v>0</v>
      </c>
      <c r="AI77" s="17">
        <f t="shared" si="528"/>
        <v>0</v>
      </c>
      <c r="AJ77" s="17">
        <f t="shared" si="528"/>
        <v>0</v>
      </c>
      <c r="AK77" s="17">
        <f t="shared" si="528"/>
        <v>0</v>
      </c>
      <c r="AL77" s="17">
        <f t="shared" si="528"/>
        <v>0</v>
      </c>
      <c r="AM77" s="17">
        <f t="shared" si="528"/>
        <v>0</v>
      </c>
      <c r="AN77" s="72">
        <f t="shared" si="528"/>
        <v>0</v>
      </c>
      <c r="AO77" s="17">
        <f t="shared" si="528"/>
        <v>0</v>
      </c>
      <c r="AP77" s="17">
        <f t="shared" si="528"/>
        <v>0</v>
      </c>
      <c r="AQ77" s="17">
        <f t="shared" si="528"/>
        <v>0</v>
      </c>
      <c r="AR77" s="72">
        <f t="shared" si="528"/>
        <v>0</v>
      </c>
      <c r="AS77" s="17">
        <f t="shared" si="396"/>
        <v>0</v>
      </c>
      <c r="AU77" s="65" t="s">
        <v>54</v>
      </c>
      <c r="AV77" s="17">
        <f t="shared" ref="AV77:BH77" si="529">SUM(AV57:AV76)</f>
        <v>0</v>
      </c>
      <c r="AW77" s="17">
        <f t="shared" si="529"/>
        <v>0</v>
      </c>
      <c r="AX77" s="17">
        <f t="shared" si="529"/>
        <v>0</v>
      </c>
      <c r="AY77" s="17">
        <f t="shared" si="529"/>
        <v>0</v>
      </c>
      <c r="AZ77" s="17">
        <f t="shared" si="529"/>
        <v>0</v>
      </c>
      <c r="BA77" s="17">
        <f t="shared" si="529"/>
        <v>0</v>
      </c>
      <c r="BB77" s="17">
        <f t="shared" si="529"/>
        <v>0</v>
      </c>
      <c r="BC77" s="72">
        <f t="shared" si="529"/>
        <v>0</v>
      </c>
      <c r="BD77" s="17">
        <f t="shared" si="529"/>
        <v>0</v>
      </c>
      <c r="BE77" s="17">
        <f t="shared" si="529"/>
        <v>0</v>
      </c>
      <c r="BF77" s="17">
        <f t="shared" si="529"/>
        <v>0</v>
      </c>
      <c r="BG77" s="72">
        <f t="shared" si="529"/>
        <v>0</v>
      </c>
      <c r="BH77" s="24" t="e">
        <f t="shared" si="529"/>
        <v>#DIV/0!</v>
      </c>
      <c r="BJ77" s="65" t="s">
        <v>54</v>
      </c>
      <c r="BK77" s="24">
        <f t="shared" ref="BK77:BW77" si="530">SUM(BK57:BK76)</f>
        <v>0</v>
      </c>
      <c r="BL77" s="24">
        <f t="shared" si="530"/>
        <v>0</v>
      </c>
      <c r="BM77" s="24">
        <f t="shared" si="530"/>
        <v>0</v>
      </c>
      <c r="BN77" s="24">
        <f t="shared" si="530"/>
        <v>0</v>
      </c>
      <c r="BO77" s="24">
        <f t="shared" si="530"/>
        <v>0</v>
      </c>
      <c r="BP77" s="24">
        <f t="shared" si="530"/>
        <v>0</v>
      </c>
      <c r="BQ77" s="24">
        <f t="shared" si="530"/>
        <v>0</v>
      </c>
      <c r="BR77" s="24">
        <f t="shared" si="530"/>
        <v>0</v>
      </c>
      <c r="BS77" s="24">
        <f t="shared" si="530"/>
        <v>0</v>
      </c>
      <c r="BT77" s="24">
        <f t="shared" si="530"/>
        <v>0</v>
      </c>
      <c r="BU77" s="24">
        <f t="shared" si="530"/>
        <v>0</v>
      </c>
      <c r="BV77" s="24">
        <f t="shared" si="530"/>
        <v>0</v>
      </c>
      <c r="BW77" s="24" t="e">
        <f t="shared" si="530"/>
        <v>#DIV/0!</v>
      </c>
      <c r="BX77" s="24"/>
      <c r="BY77" s="65" t="s">
        <v>54</v>
      </c>
      <c r="BZ77" s="55">
        <f t="shared" si="399"/>
        <v>0</v>
      </c>
      <c r="CA77" s="55">
        <f t="shared" si="368"/>
        <v>0</v>
      </c>
      <c r="CB77" s="55">
        <f t="shared" si="369"/>
        <v>0</v>
      </c>
      <c r="CC77" s="55">
        <f t="shared" si="370"/>
        <v>0</v>
      </c>
      <c r="CD77" s="55">
        <f t="shared" si="371"/>
        <v>0</v>
      </c>
      <c r="CE77" s="55">
        <f t="shared" si="372"/>
        <v>0</v>
      </c>
      <c r="CF77" s="55">
        <f t="shared" si="373"/>
        <v>0</v>
      </c>
      <c r="CG77" s="55">
        <f>AN77-Y77</f>
        <v>0</v>
      </c>
      <c r="CH77" s="55">
        <f t="shared" si="375"/>
        <v>0</v>
      </c>
      <c r="CI77" s="55">
        <f t="shared" si="376"/>
        <v>0</v>
      </c>
      <c r="CJ77" s="55">
        <f t="shared" si="377"/>
        <v>0</v>
      </c>
      <c r="CK77" s="55">
        <f t="shared" si="377"/>
        <v>0</v>
      </c>
      <c r="CL77" s="55">
        <f t="shared" si="378"/>
        <v>0</v>
      </c>
      <c r="CN77" s="65" t="s">
        <v>54</v>
      </c>
      <c r="CO77" s="55">
        <f t="shared" si="400"/>
        <v>0</v>
      </c>
      <c r="CP77" s="55">
        <f t="shared" si="379"/>
        <v>0</v>
      </c>
      <c r="CQ77" s="55">
        <f t="shared" si="380"/>
        <v>0</v>
      </c>
      <c r="CR77" s="55">
        <f t="shared" si="381"/>
        <v>0</v>
      </c>
      <c r="CS77" s="55">
        <f t="shared" si="382"/>
        <v>0</v>
      </c>
      <c r="CT77" s="55">
        <f t="shared" si="383"/>
        <v>0</v>
      </c>
      <c r="CU77" s="55">
        <f t="shared" si="384"/>
        <v>0</v>
      </c>
      <c r="CV77" s="55">
        <f t="shared" si="385"/>
        <v>0</v>
      </c>
      <c r="CW77" s="55">
        <f t="shared" si="386"/>
        <v>0</v>
      </c>
      <c r="CX77" s="55">
        <f t="shared" si="387"/>
        <v>0</v>
      </c>
      <c r="CY77" s="55">
        <f t="shared" si="388"/>
        <v>0</v>
      </c>
      <c r="CZ77" s="55">
        <f t="shared" si="388"/>
        <v>0</v>
      </c>
      <c r="DA77" s="62" t="e">
        <f t="shared" si="389"/>
        <v>#DIV/0!</v>
      </c>
      <c r="DC77" s="65" t="s">
        <v>54</v>
      </c>
      <c r="DD77" s="190">
        <f t="shared" ref="DD77:EC77" si="531">SUM(DD57:DD76)</f>
        <v>0</v>
      </c>
      <c r="DE77" s="190">
        <f t="shared" si="531"/>
        <v>0</v>
      </c>
      <c r="DF77" s="190">
        <f t="shared" si="531"/>
        <v>0</v>
      </c>
      <c r="DG77" s="190">
        <f t="shared" si="531"/>
        <v>0</v>
      </c>
      <c r="DH77" s="190">
        <f t="shared" si="531"/>
        <v>0</v>
      </c>
      <c r="DI77" s="190">
        <f t="shared" si="531"/>
        <v>0</v>
      </c>
      <c r="DJ77" s="190">
        <f t="shared" si="531"/>
        <v>0</v>
      </c>
      <c r="DK77" s="190">
        <f t="shared" si="531"/>
        <v>0</v>
      </c>
      <c r="DL77" s="190">
        <f t="shared" si="531"/>
        <v>0</v>
      </c>
      <c r="DM77" s="190">
        <f t="shared" si="531"/>
        <v>0</v>
      </c>
      <c r="DN77" s="190">
        <f t="shared" si="531"/>
        <v>0</v>
      </c>
      <c r="DO77" s="190">
        <f t="shared" si="531"/>
        <v>0</v>
      </c>
      <c r="DP77" s="190">
        <f t="shared" si="531"/>
        <v>0</v>
      </c>
      <c r="DQ77" s="190">
        <f t="shared" si="531"/>
        <v>0</v>
      </c>
      <c r="DR77" s="190">
        <f t="shared" si="531"/>
        <v>0</v>
      </c>
      <c r="DS77" s="190">
        <f t="shared" si="531"/>
        <v>0</v>
      </c>
      <c r="DT77" s="190">
        <f t="shared" si="531"/>
        <v>0</v>
      </c>
      <c r="DU77" s="190">
        <f t="shared" si="531"/>
        <v>0</v>
      </c>
      <c r="DV77" s="190">
        <f t="shared" si="531"/>
        <v>0</v>
      </c>
      <c r="DW77" s="190">
        <f t="shared" si="531"/>
        <v>0</v>
      </c>
      <c r="DX77" s="190">
        <f t="shared" si="531"/>
        <v>0</v>
      </c>
      <c r="DY77" s="190">
        <f t="shared" si="531"/>
        <v>0</v>
      </c>
      <c r="DZ77" s="190">
        <f t="shared" si="531"/>
        <v>0</v>
      </c>
      <c r="EA77" s="190">
        <f t="shared" si="531"/>
        <v>0</v>
      </c>
      <c r="EB77" s="190" t="e">
        <f t="shared" si="531"/>
        <v>#DIV/0!</v>
      </c>
      <c r="EC77" s="190" t="e">
        <f t="shared" si="531"/>
        <v>#DIV/0!</v>
      </c>
    </row>
    <row r="78" spans="1:133" x14ac:dyDescent="0.2">
      <c r="DC78" s="2"/>
    </row>
    <row r="79" spans="1:133" x14ac:dyDescent="0.2">
      <c r="DC79" s="2"/>
    </row>
    <row r="80" spans="1:133" s="13" customFormat="1" x14ac:dyDescent="0.2">
      <c r="A80" s="6" t="s">
        <v>79</v>
      </c>
      <c r="Q80" s="6" t="s">
        <v>79</v>
      </c>
      <c r="AF80" s="6" t="s">
        <v>79</v>
      </c>
      <c r="AU80" s="6" t="s">
        <v>79</v>
      </c>
      <c r="BJ80" s="6" t="s">
        <v>79</v>
      </c>
      <c r="BK80" s="6" t="s">
        <v>79</v>
      </c>
      <c r="BY80" s="6" t="s">
        <v>79</v>
      </c>
      <c r="CN80" s="6" t="s">
        <v>79</v>
      </c>
      <c r="DC80" s="6" t="s">
        <v>79</v>
      </c>
      <c r="DD80" s="188" t="s">
        <v>0</v>
      </c>
      <c r="DE80" s="189"/>
      <c r="DF80" s="189"/>
      <c r="DG80" s="189"/>
      <c r="DH80" s="189"/>
      <c r="DI80" s="189"/>
      <c r="DJ80" s="189"/>
      <c r="DK80" s="189"/>
      <c r="DL80" s="189"/>
      <c r="DM80" s="189"/>
      <c r="DN80" s="189"/>
      <c r="DO80" s="189"/>
      <c r="DP80" s="189"/>
      <c r="DQ80" s="189"/>
      <c r="DR80" s="189"/>
      <c r="DS80" s="189"/>
      <c r="DT80" s="189"/>
      <c r="DU80" s="189"/>
      <c r="DV80" s="189"/>
      <c r="DW80" s="189"/>
      <c r="DX80" s="189"/>
      <c r="DY80" s="189"/>
      <c r="DZ80" s="189"/>
      <c r="EA80" s="189"/>
      <c r="EB80" s="189"/>
      <c r="EC80" s="189"/>
    </row>
    <row r="81" spans="1:133" x14ac:dyDescent="0.2">
      <c r="A81" s="63"/>
      <c r="B81" s="5" t="s">
        <v>0</v>
      </c>
      <c r="Q81" s="63"/>
      <c r="R81" s="5" t="s">
        <v>0</v>
      </c>
      <c r="AF81" s="63"/>
      <c r="AG81" s="5" t="s">
        <v>0</v>
      </c>
      <c r="AU81" s="63"/>
      <c r="AV81" s="5" t="s">
        <v>0</v>
      </c>
      <c r="BJ81" s="63"/>
      <c r="BK81" s="5" t="s">
        <v>0</v>
      </c>
      <c r="BY81" s="63"/>
      <c r="BZ81" s="5" t="s">
        <v>0</v>
      </c>
      <c r="CN81" s="63"/>
      <c r="CO81" s="5" t="s">
        <v>0</v>
      </c>
      <c r="DC81" s="63"/>
      <c r="DD81" s="190" t="s">
        <v>124</v>
      </c>
      <c r="DE81" s="190" t="s">
        <v>125</v>
      </c>
      <c r="DF81" s="190" t="s">
        <v>124</v>
      </c>
      <c r="DG81" s="190" t="s">
        <v>125</v>
      </c>
      <c r="DH81" s="190" t="s">
        <v>124</v>
      </c>
      <c r="DI81" s="190" t="s">
        <v>125</v>
      </c>
      <c r="DJ81" s="190" t="s">
        <v>124</v>
      </c>
      <c r="DK81" s="190" t="s">
        <v>125</v>
      </c>
      <c r="DL81" s="190" t="s">
        <v>124</v>
      </c>
      <c r="DM81" s="190" t="s">
        <v>125</v>
      </c>
      <c r="DN81" s="190" t="s">
        <v>124</v>
      </c>
      <c r="DO81" s="190" t="s">
        <v>125</v>
      </c>
      <c r="DP81" s="190" t="s">
        <v>124</v>
      </c>
      <c r="DQ81" s="190" t="s">
        <v>125</v>
      </c>
      <c r="DR81" s="190" t="s">
        <v>124</v>
      </c>
      <c r="DS81" s="190" t="s">
        <v>125</v>
      </c>
      <c r="DT81" s="190" t="s">
        <v>124</v>
      </c>
      <c r="DU81" s="190" t="s">
        <v>125</v>
      </c>
      <c r="DV81" s="190" t="s">
        <v>124</v>
      </c>
      <c r="DW81" s="190" t="s">
        <v>125</v>
      </c>
      <c r="DX81" s="190" t="s">
        <v>124</v>
      </c>
      <c r="DY81" s="190" t="s">
        <v>125</v>
      </c>
      <c r="DZ81" s="190" t="s">
        <v>124</v>
      </c>
      <c r="EA81" s="190" t="s">
        <v>125</v>
      </c>
      <c r="EB81" s="190" t="s">
        <v>124</v>
      </c>
      <c r="EC81" s="190" t="s">
        <v>125</v>
      </c>
    </row>
    <row r="82" spans="1:133" ht="25.5" x14ac:dyDescent="0.2">
      <c r="A82" s="5" t="s">
        <v>1</v>
      </c>
      <c r="B82" s="21" t="s">
        <v>4</v>
      </c>
      <c r="C82" s="21" t="s">
        <v>41</v>
      </c>
      <c r="D82" s="21" t="s">
        <v>42</v>
      </c>
      <c r="E82" s="21" t="s">
        <v>2</v>
      </c>
      <c r="F82" s="21" t="s">
        <v>3</v>
      </c>
      <c r="G82" s="21" t="s">
        <v>38</v>
      </c>
      <c r="H82" s="21" t="s">
        <v>39</v>
      </c>
      <c r="I82" s="71" t="s">
        <v>148</v>
      </c>
      <c r="J82" s="21" t="s">
        <v>6</v>
      </c>
      <c r="K82" s="21" t="s">
        <v>88</v>
      </c>
      <c r="L82" s="21" t="s">
        <v>89</v>
      </c>
      <c r="M82" s="73" t="s">
        <v>323</v>
      </c>
      <c r="N82" s="52" t="s">
        <v>53</v>
      </c>
      <c r="O82" s="52"/>
      <c r="P82" s="52"/>
      <c r="Q82" s="5" t="s">
        <v>1</v>
      </c>
      <c r="R82" s="21" t="s">
        <v>4</v>
      </c>
      <c r="S82" s="21" t="s">
        <v>41</v>
      </c>
      <c r="T82" s="21" t="s">
        <v>42</v>
      </c>
      <c r="U82" s="21" t="s">
        <v>2</v>
      </c>
      <c r="V82" s="21" t="s">
        <v>3</v>
      </c>
      <c r="W82" s="21" t="s">
        <v>38</v>
      </c>
      <c r="X82" s="21" t="s">
        <v>39</v>
      </c>
      <c r="Y82" s="71" t="s">
        <v>148</v>
      </c>
      <c r="Z82" s="21" t="s">
        <v>6</v>
      </c>
      <c r="AA82" s="21" t="s">
        <v>88</v>
      </c>
      <c r="AB82" s="21" t="s">
        <v>89</v>
      </c>
      <c r="AC82" s="73" t="s">
        <v>323</v>
      </c>
      <c r="AD82" s="52" t="s">
        <v>53</v>
      </c>
      <c r="AF82" s="5" t="s">
        <v>1</v>
      </c>
      <c r="AG82" s="21" t="s">
        <v>4</v>
      </c>
      <c r="AH82" s="21" t="s">
        <v>41</v>
      </c>
      <c r="AI82" s="21" t="s">
        <v>42</v>
      </c>
      <c r="AJ82" s="21" t="s">
        <v>2</v>
      </c>
      <c r="AK82" s="21" t="s">
        <v>3</v>
      </c>
      <c r="AL82" s="21" t="s">
        <v>38</v>
      </c>
      <c r="AM82" s="21" t="s">
        <v>39</v>
      </c>
      <c r="AN82" s="71" t="s">
        <v>148</v>
      </c>
      <c r="AO82" s="21" t="s">
        <v>6</v>
      </c>
      <c r="AP82" s="21" t="s">
        <v>88</v>
      </c>
      <c r="AQ82" s="21" t="s">
        <v>89</v>
      </c>
      <c r="AR82" s="73" t="s">
        <v>323</v>
      </c>
      <c r="AS82" s="52" t="s">
        <v>53</v>
      </c>
      <c r="AU82" s="5" t="s">
        <v>1</v>
      </c>
      <c r="AV82" s="21" t="s">
        <v>4</v>
      </c>
      <c r="AW82" s="21" t="s">
        <v>41</v>
      </c>
      <c r="AX82" s="21" t="s">
        <v>42</v>
      </c>
      <c r="AY82" s="21" t="s">
        <v>2</v>
      </c>
      <c r="AZ82" s="21" t="s">
        <v>3</v>
      </c>
      <c r="BA82" s="21" t="s">
        <v>38</v>
      </c>
      <c r="BB82" s="21" t="s">
        <v>39</v>
      </c>
      <c r="BC82" s="71" t="s">
        <v>148</v>
      </c>
      <c r="BD82" s="21" t="s">
        <v>6</v>
      </c>
      <c r="BE82" s="21" t="s">
        <v>88</v>
      </c>
      <c r="BF82" s="21" t="s">
        <v>89</v>
      </c>
      <c r="BG82" s="73" t="s">
        <v>323</v>
      </c>
      <c r="BH82" s="52" t="s">
        <v>53</v>
      </c>
      <c r="BJ82" s="5" t="s">
        <v>1</v>
      </c>
      <c r="BK82" s="21" t="s">
        <v>4</v>
      </c>
      <c r="BL82" s="21" t="s">
        <v>41</v>
      </c>
      <c r="BM82" s="21" t="s">
        <v>42</v>
      </c>
      <c r="BN82" s="21" t="s">
        <v>2</v>
      </c>
      <c r="BO82" s="21" t="s">
        <v>3</v>
      </c>
      <c r="BP82" s="21" t="s">
        <v>38</v>
      </c>
      <c r="BQ82" s="21" t="s">
        <v>39</v>
      </c>
      <c r="BR82" s="73" t="s">
        <v>148</v>
      </c>
      <c r="BS82" s="21" t="s">
        <v>6</v>
      </c>
      <c r="BT82" s="21" t="s">
        <v>88</v>
      </c>
      <c r="BU82" s="21" t="s">
        <v>89</v>
      </c>
      <c r="BV82" s="73" t="s">
        <v>323</v>
      </c>
      <c r="BW82" s="21" t="s">
        <v>53</v>
      </c>
      <c r="BX82" s="21"/>
      <c r="BY82" s="5" t="s">
        <v>1</v>
      </c>
      <c r="BZ82" s="21" t="s">
        <v>4</v>
      </c>
      <c r="CA82" s="21" t="s">
        <v>41</v>
      </c>
      <c r="CB82" s="21" t="s">
        <v>42</v>
      </c>
      <c r="CC82" s="21" t="s">
        <v>2</v>
      </c>
      <c r="CD82" s="21" t="s">
        <v>3</v>
      </c>
      <c r="CE82" s="21" t="s">
        <v>38</v>
      </c>
      <c r="CF82" s="21" t="s">
        <v>39</v>
      </c>
      <c r="CG82" s="21" t="s">
        <v>148</v>
      </c>
      <c r="CH82" s="21" t="s">
        <v>6</v>
      </c>
      <c r="CI82" s="21" t="s">
        <v>88</v>
      </c>
      <c r="CJ82" s="21" t="s">
        <v>89</v>
      </c>
      <c r="CK82" s="21" t="s">
        <v>323</v>
      </c>
      <c r="CL82" s="21" t="s">
        <v>53</v>
      </c>
      <c r="CN82" s="5" t="s">
        <v>1</v>
      </c>
      <c r="CO82" s="21" t="s">
        <v>4</v>
      </c>
      <c r="CP82" s="21" t="s">
        <v>41</v>
      </c>
      <c r="CQ82" s="21" t="s">
        <v>42</v>
      </c>
      <c r="CR82" s="21" t="s">
        <v>2</v>
      </c>
      <c r="CS82" s="21" t="s">
        <v>3</v>
      </c>
      <c r="CT82" s="21" t="s">
        <v>38</v>
      </c>
      <c r="CU82" s="21" t="s">
        <v>39</v>
      </c>
      <c r="CV82" s="21" t="s">
        <v>148</v>
      </c>
      <c r="CW82" s="21" t="s">
        <v>6</v>
      </c>
      <c r="CX82" s="21" t="s">
        <v>88</v>
      </c>
      <c r="CY82" s="21" t="s">
        <v>89</v>
      </c>
      <c r="CZ82" s="21" t="s">
        <v>323</v>
      </c>
      <c r="DA82" s="21" t="s">
        <v>53</v>
      </c>
      <c r="DC82" s="5" t="s">
        <v>1</v>
      </c>
      <c r="DD82" s="191" t="s">
        <v>4</v>
      </c>
      <c r="DE82" s="191" t="s">
        <v>4</v>
      </c>
      <c r="DF82" s="191" t="s">
        <v>41</v>
      </c>
      <c r="DG82" s="191" t="s">
        <v>41</v>
      </c>
      <c r="DH82" s="191" t="s">
        <v>42</v>
      </c>
      <c r="DI82" s="191" t="s">
        <v>42</v>
      </c>
      <c r="DJ82" s="191" t="s">
        <v>2</v>
      </c>
      <c r="DK82" s="191" t="s">
        <v>2</v>
      </c>
      <c r="DL82" s="191" t="s">
        <v>3</v>
      </c>
      <c r="DM82" s="191" t="s">
        <v>3</v>
      </c>
      <c r="DN82" s="191" t="s">
        <v>38</v>
      </c>
      <c r="DO82" s="191" t="s">
        <v>38</v>
      </c>
      <c r="DP82" s="191" t="s">
        <v>39</v>
      </c>
      <c r="DQ82" s="191" t="s">
        <v>39</v>
      </c>
      <c r="DR82" s="191" t="s">
        <v>148</v>
      </c>
      <c r="DS82" s="191" t="s">
        <v>148</v>
      </c>
      <c r="DT82" s="191" t="s">
        <v>6</v>
      </c>
      <c r="DU82" s="191" t="s">
        <v>6</v>
      </c>
      <c r="DV82" s="191" t="s">
        <v>88</v>
      </c>
      <c r="DW82" s="191" t="s">
        <v>88</v>
      </c>
      <c r="DX82" s="191" t="s">
        <v>89</v>
      </c>
      <c r="DY82" s="191" t="s">
        <v>89</v>
      </c>
      <c r="DZ82" s="191" t="s">
        <v>323</v>
      </c>
      <c r="EA82" s="191" t="s">
        <v>323</v>
      </c>
      <c r="EB82" s="192" t="s">
        <v>126</v>
      </c>
      <c r="EC82" s="192" t="s">
        <v>126</v>
      </c>
    </row>
    <row r="83" spans="1:133" x14ac:dyDescent="0.2">
      <c r="A83" s="66" t="s">
        <v>4</v>
      </c>
      <c r="B83" s="36">
        <f>targets!AW78</f>
        <v>2746323.2454264374</v>
      </c>
      <c r="C83" s="37">
        <f>targets!AX78</f>
        <v>813256.39128698478</v>
      </c>
      <c r="D83" s="37">
        <f>targets!AY78</f>
        <v>341049.85878692457</v>
      </c>
      <c r="E83" s="37">
        <f>targets!AZ78</f>
        <v>0</v>
      </c>
      <c r="F83" s="37">
        <f>targets!BA78</f>
        <v>0</v>
      </c>
      <c r="G83" s="37">
        <f>SUM(targets!BB78:BG78)</f>
        <v>0</v>
      </c>
      <c r="H83" s="37">
        <f>SUM(targets!BH78:BM78)</f>
        <v>0</v>
      </c>
      <c r="I83" s="74">
        <f>SUM(G83:H83)</f>
        <v>0</v>
      </c>
      <c r="J83" s="37">
        <f>targets!BN78</f>
        <v>0</v>
      </c>
      <c r="K83" s="37">
        <f>targets!BO78</f>
        <v>0</v>
      </c>
      <c r="L83" s="37">
        <f>targets!BP78</f>
        <v>0</v>
      </c>
      <c r="M83" s="177">
        <f>SUM(J83:L83)</f>
        <v>0</v>
      </c>
      <c r="N83" s="17">
        <f>SUM(B83:L83)-I83</f>
        <v>3900629.4955003466</v>
      </c>
      <c r="O83" s="17"/>
      <c r="P83" s="17"/>
      <c r="Q83" s="66" t="s">
        <v>4</v>
      </c>
      <c r="R83" s="36">
        <f t="shared" ref="R83:R102" si="532">B83*(AG$103/B$103)</f>
        <v>0</v>
      </c>
      <c r="S83" s="37">
        <f t="shared" ref="S83:S102" si="533">C83*(AH$103/C$103)</f>
        <v>0</v>
      </c>
      <c r="T83" s="37">
        <f t="shared" ref="T83:T102" si="534">D83*(AI$103/D$103)</f>
        <v>0</v>
      </c>
      <c r="U83" s="37">
        <f t="shared" ref="U83:U102" si="535">E83*(AJ$103/E$103)</f>
        <v>0</v>
      </c>
      <c r="V83" s="37">
        <f t="shared" ref="V83:V102" si="536">F83*(AK$103/F$103)</f>
        <v>0</v>
      </c>
      <c r="W83" s="37">
        <f t="shared" ref="W83:W102" si="537">G83*(AL$103/G$103)</f>
        <v>0</v>
      </c>
      <c r="X83" s="37">
        <f t="shared" ref="X83:X102" si="538">H83*(AM$103/H$103)</f>
        <v>0</v>
      </c>
      <c r="Y83" s="74">
        <f>SUM(W83:X83)</f>
        <v>0</v>
      </c>
      <c r="Z83" s="37">
        <f t="shared" ref="Z83:Z102" si="539">J83*(AO$103/J$103)</f>
        <v>0</v>
      </c>
      <c r="AA83" s="37">
        <f t="shared" ref="AA83:AA102" si="540">K83*(AP$103/K$103)</f>
        <v>0</v>
      </c>
      <c r="AB83" s="37">
        <f t="shared" ref="AB83:AB102" si="541">L83*(AQ$103/L$103)</f>
        <v>0</v>
      </c>
      <c r="AC83" s="177">
        <f>SUM(Z83:AB83)</f>
        <v>0</v>
      </c>
      <c r="AD83" s="17">
        <f>SUM(R83:AB83)-Y83</f>
        <v>0</v>
      </c>
      <c r="AF83" s="66" t="s">
        <v>4</v>
      </c>
      <c r="AG83" s="36">
        <f t="array" ref="AG83">SUM(IF((modeldata!$F:$F=calibration!$AF$80)*(modeldata!$G:$G=calibration!AG$82)*(modeldata!$H:$H=calibration!$AF83),modeldata!$E:$E,0))</f>
        <v>0</v>
      </c>
      <c r="AH83" s="37">
        <f t="array" ref="AH83">SUM(IF((modeldata!$F:$F=calibration!$AF$80)*(modeldata!$G:$G=calibration!AH$82)*(modeldata!$H:$H=calibration!$AF83),modeldata!$E:$E,0))</f>
        <v>0</v>
      </c>
      <c r="AI83" s="37">
        <f t="array" ref="AI83">SUM(IF((modeldata!$F:$F=calibration!$AF$80)*(modeldata!$G:$G=calibration!AI$82)*(modeldata!$H:$H=calibration!$AF83),modeldata!$E:$E,0))</f>
        <v>0</v>
      </c>
      <c r="AJ83" s="37">
        <f t="array" ref="AJ83">SUM(IF((modeldata!$F:$F=calibration!$AF$80)*(modeldata!$G:$G=calibration!AJ$82)*(modeldata!$H:$H=calibration!$AF83),modeldata!$E:$E,0))</f>
        <v>0</v>
      </c>
      <c r="AK83" s="37">
        <f t="array" ref="AK83">SUM(IF((modeldata!$F:$F=calibration!$AF$80)*(modeldata!$G:$G=calibration!AK$82)*(modeldata!$H:$H=calibration!$AF83),modeldata!$E:$E,0))</f>
        <v>0</v>
      </c>
      <c r="AL83" s="37">
        <f t="array" ref="AL83">SUM(IF((modeldata!$F:$F=calibration!$AF$80)*(modeldata!$G:$G=calibration!AL$82)*(modeldata!$H:$H=calibration!$AF83),modeldata!$E:$E,0))</f>
        <v>0</v>
      </c>
      <c r="AM83" s="37">
        <f t="array" ref="AM83">SUM(IF((modeldata!$F:$F=calibration!$AF$80)*(modeldata!$G:$G=calibration!AM$82)*(modeldata!$H:$H=calibration!$AF83),modeldata!$E:$E,0))</f>
        <v>0</v>
      </c>
      <c r="AN83" s="74">
        <f>AL83+AM83</f>
        <v>0</v>
      </c>
      <c r="AO83" s="37">
        <f t="array" ref="AO83">SUM(IF((modeldata!$F:$F=calibration!$AF$80)*(modeldata!$G:$G=calibration!AO$82)*(modeldata!$H:$H=calibration!$AF83),modeldata!$E:$E,0))</f>
        <v>0</v>
      </c>
      <c r="AP83" s="37">
        <f t="array" ref="AP83">SUM(IF((modeldata!$F:$F=calibration!$AF$80)*(modeldata!$G:$G=calibration!AP$82)*(modeldata!$H:$H=calibration!$AF83),modeldata!$E:$E,0))</f>
        <v>0</v>
      </c>
      <c r="AQ83" s="37">
        <f t="array" ref="AQ83">SUM(IF((modeldata!$F:$F=calibration!$AF$80)*(modeldata!$G:$G=calibration!AQ$82)*(modeldata!$H:$H=calibration!$AF83),modeldata!$E:$E,0))</f>
        <v>0</v>
      </c>
      <c r="AR83" s="177"/>
      <c r="AS83" s="17">
        <f>SUM(AG83:AQ83)-AN83</f>
        <v>0</v>
      </c>
      <c r="AU83" s="66" t="s">
        <v>4</v>
      </c>
      <c r="AV83" s="36">
        <f t="shared" ref="AV83:BG83" si="542">IF(R103&gt;0,R83/R103,0)</f>
        <v>0</v>
      </c>
      <c r="AW83" s="37">
        <f t="shared" si="542"/>
        <v>0</v>
      </c>
      <c r="AX83" s="37">
        <f t="shared" si="542"/>
        <v>0</v>
      </c>
      <c r="AY83" s="37">
        <f t="shared" si="542"/>
        <v>0</v>
      </c>
      <c r="AZ83" s="37">
        <f t="shared" si="542"/>
        <v>0</v>
      </c>
      <c r="BA83" s="37">
        <f t="shared" si="542"/>
        <v>0</v>
      </c>
      <c r="BB83" s="37">
        <f t="shared" si="542"/>
        <v>0</v>
      </c>
      <c r="BC83" s="74">
        <f t="shared" si="542"/>
        <v>0</v>
      </c>
      <c r="BD83" s="37">
        <f t="shared" si="542"/>
        <v>0</v>
      </c>
      <c r="BE83" s="37">
        <f t="shared" si="542"/>
        <v>0</v>
      </c>
      <c r="BF83" s="37">
        <f t="shared" si="542"/>
        <v>0</v>
      </c>
      <c r="BG83" s="177">
        <f t="shared" si="542"/>
        <v>0</v>
      </c>
      <c r="BH83" s="24" t="e">
        <f>AD83/AD103</f>
        <v>#DIV/0!</v>
      </c>
      <c r="BJ83" s="66" t="s">
        <v>4</v>
      </c>
      <c r="BK83" s="36">
        <f t="shared" ref="BK83:BV83" si="543">IF(AG103&gt;0,AG83/AG103,0)</f>
        <v>0</v>
      </c>
      <c r="BL83" s="37">
        <f t="shared" si="543"/>
        <v>0</v>
      </c>
      <c r="BM83" s="37">
        <f t="shared" si="543"/>
        <v>0</v>
      </c>
      <c r="BN83" s="37">
        <f t="shared" si="543"/>
        <v>0</v>
      </c>
      <c r="BO83" s="37">
        <f t="shared" si="543"/>
        <v>0</v>
      </c>
      <c r="BP83" s="37">
        <f t="shared" si="543"/>
        <v>0</v>
      </c>
      <c r="BQ83" s="37">
        <f t="shared" si="543"/>
        <v>0</v>
      </c>
      <c r="BR83" s="74">
        <f t="shared" si="543"/>
        <v>0</v>
      </c>
      <c r="BS83" s="37">
        <f t="shared" si="543"/>
        <v>0</v>
      </c>
      <c r="BT83" s="37">
        <f t="shared" si="543"/>
        <v>0</v>
      </c>
      <c r="BU83" s="37">
        <f t="shared" si="543"/>
        <v>0</v>
      </c>
      <c r="BV83" s="177">
        <f t="shared" si="543"/>
        <v>0</v>
      </c>
      <c r="BW83" s="24" t="e">
        <f>AS83/AS103</f>
        <v>#DIV/0!</v>
      </c>
      <c r="BX83" s="24"/>
      <c r="BY83" s="66" t="s">
        <v>4</v>
      </c>
      <c r="BZ83" s="58">
        <f>AG83-R83</f>
        <v>0</v>
      </c>
      <c r="CA83" s="53">
        <f t="shared" ref="CA83:CA103" si="544">AH83-S83</f>
        <v>0</v>
      </c>
      <c r="CB83" s="53">
        <f t="shared" ref="CB83:CB103" si="545">AI83-T83</f>
        <v>0</v>
      </c>
      <c r="CC83" s="53">
        <f t="shared" ref="CC83:CC103" si="546">AJ83-U83</f>
        <v>0</v>
      </c>
      <c r="CD83" s="53">
        <f t="shared" ref="CD83:CD103" si="547">AK83-V83</f>
        <v>0</v>
      </c>
      <c r="CE83" s="53">
        <f t="shared" ref="CE83:CE103" si="548">AL83-W83</f>
        <v>0</v>
      </c>
      <c r="CF83" s="53">
        <f t="shared" ref="CF83:CF103" si="549">AM83-X83</f>
        <v>0</v>
      </c>
      <c r="CG83" s="245">
        <f t="shared" ref="CG83:CG98" si="550">AN83-Y83</f>
        <v>0</v>
      </c>
      <c r="CH83" s="53">
        <f t="shared" ref="CH83:CH103" si="551">AO83-Z83</f>
        <v>0</v>
      </c>
      <c r="CI83" s="53">
        <f t="shared" ref="CI83:CI103" si="552">AP83-AA83</f>
        <v>0</v>
      </c>
      <c r="CJ83" s="53">
        <f t="shared" ref="CJ83:CK103" si="553">AQ83-AB83</f>
        <v>0</v>
      </c>
      <c r="CK83" s="248">
        <f>AR83-AC83</f>
        <v>0</v>
      </c>
      <c r="CL83" s="55">
        <f t="shared" ref="CL83:CL103" si="554">AS83-AD83</f>
        <v>0</v>
      </c>
      <c r="CN83" s="66" t="s">
        <v>4</v>
      </c>
      <c r="CO83" s="58">
        <f>BK83-AV83</f>
        <v>0</v>
      </c>
      <c r="CP83" s="53">
        <f t="shared" ref="CP83:CP103" si="555">BL83-AW83</f>
        <v>0</v>
      </c>
      <c r="CQ83" s="53">
        <f t="shared" ref="CQ83:CQ103" si="556">BM83-AX83</f>
        <v>0</v>
      </c>
      <c r="CR83" s="53">
        <f t="shared" ref="CR83:CR103" si="557">BN83-AY83</f>
        <v>0</v>
      </c>
      <c r="CS83" s="53">
        <f t="shared" ref="CS83:CS103" si="558">BO83-AZ83</f>
        <v>0</v>
      </c>
      <c r="CT83" s="53">
        <f t="shared" ref="CT83:CT103" si="559">BP83-BA83</f>
        <v>0</v>
      </c>
      <c r="CU83" s="53">
        <f t="shared" ref="CU83:CU103" si="560">BQ83-BB83</f>
        <v>0</v>
      </c>
      <c r="CV83" s="245">
        <f t="shared" ref="CV83:CV103" si="561">BR83-BC83</f>
        <v>0</v>
      </c>
      <c r="CW83" s="53">
        <f t="shared" ref="CW83:CW103" si="562">BS83-BD83</f>
        <v>0</v>
      </c>
      <c r="CX83" s="53">
        <f t="shared" ref="CX83:CX103" si="563">BT83-BE83</f>
        <v>0</v>
      </c>
      <c r="CY83" s="53">
        <f t="shared" ref="CY83:CZ103" si="564">BU83-BF83</f>
        <v>0</v>
      </c>
      <c r="CZ83" s="248">
        <f>BV83-BG83</f>
        <v>0</v>
      </c>
      <c r="DA83" s="62" t="e">
        <f t="shared" ref="DA83:DA103" si="565">BW83-BH83</f>
        <v>#DIV/0!</v>
      </c>
      <c r="DC83" s="66" t="s">
        <v>4</v>
      </c>
      <c r="DD83" s="193">
        <f>AV83</f>
        <v>0</v>
      </c>
      <c r="DE83" s="194">
        <f>BK83</f>
        <v>0</v>
      </c>
      <c r="DF83" s="195">
        <f>AW83</f>
        <v>0</v>
      </c>
      <c r="DG83" s="196">
        <f>BL83</f>
        <v>0</v>
      </c>
      <c r="DH83" s="195">
        <f>AX83</f>
        <v>0</v>
      </c>
      <c r="DI83" s="196">
        <f>BM83</f>
        <v>0</v>
      </c>
      <c r="DJ83" s="195">
        <f>AY83</f>
        <v>0</v>
      </c>
      <c r="DK83" s="196">
        <f>BN83</f>
        <v>0</v>
      </c>
      <c r="DL83" s="195">
        <f>AZ83</f>
        <v>0</v>
      </c>
      <c r="DM83" s="196">
        <f>BO83</f>
        <v>0</v>
      </c>
      <c r="DN83" s="195">
        <f>BA83</f>
        <v>0</v>
      </c>
      <c r="DO83" s="196">
        <f>BP83</f>
        <v>0</v>
      </c>
      <c r="DP83" s="195">
        <f>BB83</f>
        <v>0</v>
      </c>
      <c r="DQ83" s="196">
        <f>BQ83</f>
        <v>0</v>
      </c>
      <c r="DR83" s="195">
        <f>BC83</f>
        <v>0</v>
      </c>
      <c r="DS83" s="196">
        <f>BR83</f>
        <v>0</v>
      </c>
      <c r="DT83" s="195">
        <f>BD83</f>
        <v>0</v>
      </c>
      <c r="DU83" s="196">
        <f>BS83</f>
        <v>0</v>
      </c>
      <c r="DV83" s="195">
        <f>BE83</f>
        <v>0</v>
      </c>
      <c r="DW83" s="196">
        <f>BT83</f>
        <v>0</v>
      </c>
      <c r="DX83" s="195">
        <f>BF83</f>
        <v>0</v>
      </c>
      <c r="DY83" s="196">
        <f>BU83</f>
        <v>0</v>
      </c>
      <c r="DZ83" s="197">
        <f>BG83</f>
        <v>0</v>
      </c>
      <c r="EA83" s="196">
        <f t="shared" ref="EA83:EA102" si="566">BV83</f>
        <v>0</v>
      </c>
      <c r="EB83" s="190" t="e">
        <f>BH83</f>
        <v>#DIV/0!</v>
      </c>
      <c r="EC83" s="190" t="e">
        <f>BW83</f>
        <v>#DIV/0!</v>
      </c>
    </row>
    <row r="84" spans="1:133" x14ac:dyDescent="0.2">
      <c r="A84" s="66" t="s">
        <v>41</v>
      </c>
      <c r="B84" s="38">
        <f>targets!AW79</f>
        <v>0</v>
      </c>
      <c r="C84" s="36">
        <f>targets!AX79</f>
        <v>2197824.0214887019</v>
      </c>
      <c r="D84" s="242">
        <f>targets!AY79</f>
        <v>313895.29979546351</v>
      </c>
      <c r="E84" s="242">
        <f>targets!AZ79</f>
        <v>0</v>
      </c>
      <c r="F84" s="242">
        <f>targets!BA79</f>
        <v>0</v>
      </c>
      <c r="G84" s="242">
        <f>SUM(targets!BB79:BG79)</f>
        <v>8190.6521428262149</v>
      </c>
      <c r="H84" s="242">
        <f>SUM(targets!BH79:BM79)</f>
        <v>0</v>
      </c>
      <c r="I84" s="243">
        <f t="shared" ref="I84:I102" si="567">SUM(G84:H84)</f>
        <v>8190.6521428262149</v>
      </c>
      <c r="J84" s="242">
        <f>targets!BN79</f>
        <v>74.394577412403137</v>
      </c>
      <c r="K84" s="242">
        <f>targets!BO79</f>
        <v>5690.9149597188571</v>
      </c>
      <c r="L84" s="242">
        <f>targets!BP79</f>
        <v>0</v>
      </c>
      <c r="M84" s="178">
        <f t="shared" ref="M84:M102" si="568">SUM(J84:L84)</f>
        <v>5765.3095371312602</v>
      </c>
      <c r="N84" s="17">
        <f t="shared" ref="N84:N102" si="569">SUM(B84:L84)-I84</f>
        <v>2525675.2829641229</v>
      </c>
      <c r="O84" s="17"/>
      <c r="P84" s="17"/>
      <c r="Q84" s="66" t="s">
        <v>41</v>
      </c>
      <c r="R84" s="38">
        <f t="shared" si="532"/>
        <v>0</v>
      </c>
      <c r="S84" s="36">
        <f t="shared" si="533"/>
        <v>0</v>
      </c>
      <c r="T84" s="242">
        <f t="shared" si="534"/>
        <v>0</v>
      </c>
      <c r="U84" s="242">
        <f t="shared" si="535"/>
        <v>0</v>
      </c>
      <c r="V84" s="242">
        <f t="shared" si="536"/>
        <v>0</v>
      </c>
      <c r="W84" s="242">
        <f t="shared" si="537"/>
        <v>0</v>
      </c>
      <c r="X84" s="242">
        <f t="shared" si="538"/>
        <v>0</v>
      </c>
      <c r="Y84" s="243">
        <f t="shared" ref="Y84:Y102" si="570">SUM(W84:X84)</f>
        <v>0</v>
      </c>
      <c r="Z84" s="242">
        <f t="shared" si="539"/>
        <v>0</v>
      </c>
      <c r="AA84" s="242">
        <f t="shared" si="540"/>
        <v>0</v>
      </c>
      <c r="AB84" s="242">
        <f t="shared" si="541"/>
        <v>0</v>
      </c>
      <c r="AC84" s="178">
        <f t="shared" ref="AC84:AC102" si="571">SUM(Z84:AB84)</f>
        <v>0</v>
      </c>
      <c r="AD84" s="17">
        <f t="shared" ref="AD84:AD103" si="572">SUM(R84:AB84)-Y84</f>
        <v>0</v>
      </c>
      <c r="AF84" s="66" t="s">
        <v>41</v>
      </c>
      <c r="AG84" s="38">
        <f t="array" ref="AG84">SUM(IF((modeldata!$F:$F=calibration!$AF$80)*(modeldata!$G:$G=calibration!AG$82)*(modeldata!$H:$H=calibration!$AF84),modeldata!$E:$E,0))</f>
        <v>0</v>
      </c>
      <c r="AH84" s="36">
        <f t="array" ref="AH84">SUM(IF((modeldata!$F:$F=calibration!$AF$80)*(modeldata!$G:$G=calibration!AH$82)*(modeldata!$H:$H=calibration!$AF84),modeldata!$E:$E,0))</f>
        <v>0</v>
      </c>
      <c r="AI84" s="242">
        <f t="array" ref="AI84">SUM(IF((modeldata!$F:$F=calibration!$AF$80)*(modeldata!$G:$G=calibration!AI$82)*(modeldata!$H:$H=calibration!$AF84),modeldata!$E:$E,0))</f>
        <v>0</v>
      </c>
      <c r="AJ84" s="242">
        <f t="array" ref="AJ84">SUM(IF((modeldata!$F:$F=calibration!$AF$80)*(modeldata!$G:$G=calibration!AJ$82)*(modeldata!$H:$H=calibration!$AF84),modeldata!$E:$E,0))</f>
        <v>0</v>
      </c>
      <c r="AK84" s="242">
        <f t="array" ref="AK84">SUM(IF((modeldata!$F:$F=calibration!$AF$80)*(modeldata!$G:$G=calibration!AK$82)*(modeldata!$H:$H=calibration!$AF84),modeldata!$E:$E,0))</f>
        <v>0</v>
      </c>
      <c r="AL84" s="242">
        <f t="array" ref="AL84">SUM(IF((modeldata!$F:$F=calibration!$AF$80)*(modeldata!$G:$G=calibration!AL$82)*(modeldata!$H:$H=calibration!$AF84),modeldata!$E:$E,0))</f>
        <v>0</v>
      </c>
      <c r="AM84" s="242">
        <f t="array" ref="AM84">SUM(IF((modeldata!$F:$F=calibration!$AF$80)*(modeldata!$G:$G=calibration!AM$82)*(modeldata!$H:$H=calibration!$AF84),modeldata!$E:$E,0))</f>
        <v>0</v>
      </c>
      <c r="AN84" s="243">
        <f>AL84+AM84</f>
        <v>0</v>
      </c>
      <c r="AO84" s="242">
        <f t="array" ref="AO84">SUM(IF((modeldata!$F:$F=calibration!$AF$80)*(modeldata!$G:$G=calibration!AO$82)*(modeldata!$H:$H=calibration!$AF84),modeldata!$E:$E,0))</f>
        <v>0</v>
      </c>
      <c r="AP84" s="242">
        <f t="array" ref="AP84">SUM(IF((modeldata!$F:$F=calibration!$AF$80)*(modeldata!$G:$G=calibration!AP$82)*(modeldata!$H:$H=calibration!$AF84),modeldata!$E:$E,0))</f>
        <v>0</v>
      </c>
      <c r="AQ84" s="242">
        <f t="array" ref="AQ84">SUM(IF((modeldata!$F:$F=calibration!$AF$80)*(modeldata!$G:$G=calibration!AQ$82)*(modeldata!$H:$H=calibration!$AF84),modeldata!$E:$E,0))</f>
        <v>0</v>
      </c>
      <c r="AR84" s="178">
        <f>SUM(AO84:AQ84)</f>
        <v>0</v>
      </c>
      <c r="AS84" s="17">
        <f t="shared" ref="AS84:AS103" si="573">SUM(AG84:AQ84)-AN84</f>
        <v>0</v>
      </c>
      <c r="AU84" s="66" t="s">
        <v>41</v>
      </c>
      <c r="AV84" s="38">
        <f t="shared" ref="AV84:BG84" si="574">IF(R103&gt;0,R84/R103,0)</f>
        <v>0</v>
      </c>
      <c r="AW84" s="36">
        <f t="shared" si="574"/>
        <v>0</v>
      </c>
      <c r="AX84" s="242">
        <f t="shared" si="574"/>
        <v>0</v>
      </c>
      <c r="AY84" s="242">
        <f t="shared" si="574"/>
        <v>0</v>
      </c>
      <c r="AZ84" s="242">
        <f t="shared" si="574"/>
        <v>0</v>
      </c>
      <c r="BA84" s="242">
        <f t="shared" si="574"/>
        <v>0</v>
      </c>
      <c r="BB84" s="242">
        <f t="shared" si="574"/>
        <v>0</v>
      </c>
      <c r="BC84" s="243">
        <f t="shared" si="574"/>
        <v>0</v>
      </c>
      <c r="BD84" s="242">
        <f t="shared" si="574"/>
        <v>0</v>
      </c>
      <c r="BE84" s="242">
        <f t="shared" si="574"/>
        <v>0</v>
      </c>
      <c r="BF84" s="242">
        <f t="shared" si="574"/>
        <v>0</v>
      </c>
      <c r="BG84" s="178">
        <f t="shared" si="574"/>
        <v>0</v>
      </c>
      <c r="BH84" s="24" t="e">
        <f>AD84/AD103</f>
        <v>#DIV/0!</v>
      </c>
      <c r="BJ84" s="66" t="s">
        <v>41</v>
      </c>
      <c r="BK84" s="38">
        <f t="shared" ref="BK84:BV84" si="575">IF(AG103&gt;0,AG84/AG103,0)</f>
        <v>0</v>
      </c>
      <c r="BL84" s="36">
        <f t="shared" si="575"/>
        <v>0</v>
      </c>
      <c r="BM84" s="242">
        <f t="shared" si="575"/>
        <v>0</v>
      </c>
      <c r="BN84" s="242">
        <f t="shared" si="575"/>
        <v>0</v>
      </c>
      <c r="BO84" s="242">
        <f t="shared" si="575"/>
        <v>0</v>
      </c>
      <c r="BP84" s="242">
        <f t="shared" si="575"/>
        <v>0</v>
      </c>
      <c r="BQ84" s="242">
        <f t="shared" si="575"/>
        <v>0</v>
      </c>
      <c r="BR84" s="243">
        <f t="shared" si="575"/>
        <v>0</v>
      </c>
      <c r="BS84" s="242">
        <f t="shared" si="575"/>
        <v>0</v>
      </c>
      <c r="BT84" s="242">
        <f t="shared" si="575"/>
        <v>0</v>
      </c>
      <c r="BU84" s="242">
        <f t="shared" si="575"/>
        <v>0</v>
      </c>
      <c r="BV84" s="178">
        <f t="shared" si="575"/>
        <v>0</v>
      </c>
      <c r="BW84" s="24" t="e">
        <f>AS84/AS103</f>
        <v>#DIV/0!</v>
      </c>
      <c r="BX84" s="24"/>
      <c r="BY84" s="66" t="s">
        <v>41</v>
      </c>
      <c r="BZ84" s="54">
        <f t="shared" ref="BZ84:BZ103" si="576">AG84-R84</f>
        <v>0</v>
      </c>
      <c r="CA84" s="58">
        <f t="shared" si="544"/>
        <v>0</v>
      </c>
      <c r="CB84" s="55">
        <f t="shared" si="545"/>
        <v>0</v>
      </c>
      <c r="CC84" s="55">
        <f t="shared" si="546"/>
        <v>0</v>
      </c>
      <c r="CD84" s="55">
        <f t="shared" si="547"/>
        <v>0</v>
      </c>
      <c r="CE84" s="55">
        <f t="shared" si="548"/>
        <v>0</v>
      </c>
      <c r="CF84" s="55">
        <f t="shared" si="549"/>
        <v>0</v>
      </c>
      <c r="CG84" s="246">
        <f t="shared" si="550"/>
        <v>0</v>
      </c>
      <c r="CH84" s="55">
        <f t="shared" si="551"/>
        <v>0</v>
      </c>
      <c r="CI84" s="55">
        <f t="shared" si="552"/>
        <v>0</v>
      </c>
      <c r="CJ84" s="55">
        <f t="shared" si="553"/>
        <v>0</v>
      </c>
      <c r="CK84" s="249">
        <f t="shared" si="553"/>
        <v>0</v>
      </c>
      <c r="CL84" s="55">
        <f t="shared" si="554"/>
        <v>0</v>
      </c>
      <c r="CN84" s="66" t="s">
        <v>41</v>
      </c>
      <c r="CO84" s="54">
        <f t="shared" ref="CO84:CO103" si="577">BK84-AV84</f>
        <v>0</v>
      </c>
      <c r="CP84" s="58">
        <f t="shared" si="555"/>
        <v>0</v>
      </c>
      <c r="CQ84" s="55">
        <f t="shared" si="556"/>
        <v>0</v>
      </c>
      <c r="CR84" s="55">
        <f t="shared" si="557"/>
        <v>0</v>
      </c>
      <c r="CS84" s="55">
        <f t="shared" si="558"/>
        <v>0</v>
      </c>
      <c r="CT84" s="55">
        <f t="shared" si="559"/>
        <v>0</v>
      </c>
      <c r="CU84" s="55">
        <f t="shared" si="560"/>
        <v>0</v>
      </c>
      <c r="CV84" s="246">
        <f t="shared" si="561"/>
        <v>0</v>
      </c>
      <c r="CW84" s="55">
        <f t="shared" si="562"/>
        <v>0</v>
      </c>
      <c r="CX84" s="55">
        <f t="shared" si="563"/>
        <v>0</v>
      </c>
      <c r="CY84" s="55">
        <f t="shared" si="564"/>
        <v>0</v>
      </c>
      <c r="CZ84" s="249">
        <f t="shared" si="564"/>
        <v>0</v>
      </c>
      <c r="DA84" s="62" t="e">
        <f t="shared" si="565"/>
        <v>#DIV/0!</v>
      </c>
      <c r="DC84" s="66" t="s">
        <v>41</v>
      </c>
      <c r="DD84" s="198">
        <f t="shared" ref="DD84:DD102" si="578">AV84</f>
        <v>0</v>
      </c>
      <c r="DE84" s="199">
        <f t="shared" ref="DE84:DE102" si="579">BK84</f>
        <v>0</v>
      </c>
      <c r="DF84" s="193">
        <f t="shared" ref="DF84:DF102" si="580">AW84</f>
        <v>0</v>
      </c>
      <c r="DG84" s="194">
        <f t="shared" ref="DG84:DG102" si="581">BL84</f>
        <v>0</v>
      </c>
      <c r="DH84" s="198">
        <f t="shared" ref="DH84:DH102" si="582">AX84</f>
        <v>0</v>
      </c>
      <c r="DI84" s="199">
        <f t="shared" ref="DI84:DI102" si="583">BM84</f>
        <v>0</v>
      </c>
      <c r="DJ84" s="198">
        <f t="shared" ref="DJ84:DJ102" si="584">AY84</f>
        <v>0</v>
      </c>
      <c r="DK84" s="199">
        <f t="shared" ref="DK84:DK102" si="585">BN84</f>
        <v>0</v>
      </c>
      <c r="DL84" s="198">
        <f t="shared" ref="DL84:DL102" si="586">AZ84</f>
        <v>0</v>
      </c>
      <c r="DM84" s="199">
        <f t="shared" ref="DM84:DM102" si="587">BO84</f>
        <v>0</v>
      </c>
      <c r="DN84" s="198">
        <f t="shared" ref="DN84:DN102" si="588">BA84</f>
        <v>0</v>
      </c>
      <c r="DO84" s="199">
        <f t="shared" ref="DO84:DO102" si="589">BP84</f>
        <v>0</v>
      </c>
      <c r="DP84" s="198">
        <f t="shared" ref="DP84:DP102" si="590">BB84</f>
        <v>0</v>
      </c>
      <c r="DQ84" s="199">
        <f t="shared" ref="DQ84:DQ102" si="591">BQ84</f>
        <v>0</v>
      </c>
      <c r="DR84" s="198">
        <f t="shared" ref="DR84:DR102" si="592">BC84</f>
        <v>0</v>
      </c>
      <c r="DS84" s="199">
        <f t="shared" ref="DS84:DS102" si="593">BR84</f>
        <v>0</v>
      </c>
      <c r="DT84" s="198">
        <f t="shared" ref="DT84:DT102" si="594">BD84</f>
        <v>0</v>
      </c>
      <c r="DU84" s="199">
        <f t="shared" ref="DU84:DU102" si="595">BS84</f>
        <v>0</v>
      </c>
      <c r="DV84" s="198">
        <f t="shared" ref="DV84:DV102" si="596">BE84</f>
        <v>0</v>
      </c>
      <c r="DW84" s="199">
        <f t="shared" ref="DW84:DW102" si="597">BT84</f>
        <v>0</v>
      </c>
      <c r="DX84" s="198">
        <f t="shared" ref="DX84:DX102" si="598">BF84</f>
        <v>0</v>
      </c>
      <c r="DY84" s="199">
        <f t="shared" ref="DY84:DY102" si="599">BU84</f>
        <v>0</v>
      </c>
      <c r="DZ84" s="190">
        <f t="shared" ref="DZ84:DZ102" si="600">BG84</f>
        <v>0</v>
      </c>
      <c r="EA84" s="199">
        <f t="shared" si="566"/>
        <v>0</v>
      </c>
      <c r="EB84" s="190" t="e">
        <f t="shared" ref="EB84:EB102" si="601">BH84</f>
        <v>#DIV/0!</v>
      </c>
      <c r="EC84" s="190" t="e">
        <f t="shared" ref="EC84:EC102" si="602">BW84</f>
        <v>#DIV/0!</v>
      </c>
    </row>
    <row r="85" spans="1:133" x14ac:dyDescent="0.2">
      <c r="A85" s="66" t="s">
        <v>42</v>
      </c>
      <c r="B85" s="38">
        <f>targets!AW80</f>
        <v>0</v>
      </c>
      <c r="C85" s="242">
        <f>targets!AX80</f>
        <v>0</v>
      </c>
      <c r="D85" s="36">
        <f>targets!AY80</f>
        <v>1326298.6024712375</v>
      </c>
      <c r="E85" s="242">
        <f>targets!AZ80</f>
        <v>0</v>
      </c>
      <c r="F85" s="242">
        <f>targets!BA80</f>
        <v>0</v>
      </c>
      <c r="G85" s="242">
        <f>SUM(targets!BB80:BG80)</f>
        <v>1070.5417088494337</v>
      </c>
      <c r="H85" s="242">
        <f>SUM(targets!BH80:BM80)</f>
        <v>0</v>
      </c>
      <c r="I85" s="243">
        <f t="shared" si="567"/>
        <v>1070.5417088494337</v>
      </c>
      <c r="J85" s="242">
        <f>targets!BN80</f>
        <v>0</v>
      </c>
      <c r="K85" s="242">
        <f>targets!BO80</f>
        <v>14240.854524391983</v>
      </c>
      <c r="L85" s="242">
        <f>targets!BP80</f>
        <v>0</v>
      </c>
      <c r="M85" s="178">
        <f t="shared" si="568"/>
        <v>14240.854524391983</v>
      </c>
      <c r="N85" s="17">
        <f t="shared" si="569"/>
        <v>1341609.9987044788</v>
      </c>
      <c r="O85" s="17"/>
      <c r="P85" s="17"/>
      <c r="Q85" s="66" t="s">
        <v>42</v>
      </c>
      <c r="R85" s="38">
        <f t="shared" si="532"/>
        <v>0</v>
      </c>
      <c r="S85" s="242">
        <f t="shared" si="533"/>
        <v>0</v>
      </c>
      <c r="T85" s="36">
        <f t="shared" si="534"/>
        <v>0</v>
      </c>
      <c r="U85" s="242">
        <f t="shared" si="535"/>
        <v>0</v>
      </c>
      <c r="V85" s="242">
        <f t="shared" si="536"/>
        <v>0</v>
      </c>
      <c r="W85" s="242">
        <f t="shared" si="537"/>
        <v>0</v>
      </c>
      <c r="X85" s="242">
        <f t="shared" si="538"/>
        <v>0</v>
      </c>
      <c r="Y85" s="243">
        <f t="shared" si="570"/>
        <v>0</v>
      </c>
      <c r="Z85" s="242">
        <f t="shared" si="539"/>
        <v>0</v>
      </c>
      <c r="AA85" s="242">
        <f t="shared" si="540"/>
        <v>0</v>
      </c>
      <c r="AB85" s="242">
        <f t="shared" si="541"/>
        <v>0</v>
      </c>
      <c r="AC85" s="178">
        <f t="shared" si="571"/>
        <v>0</v>
      </c>
      <c r="AD85" s="17">
        <f t="shared" si="572"/>
        <v>0</v>
      </c>
      <c r="AF85" s="66" t="s">
        <v>42</v>
      </c>
      <c r="AG85" s="38">
        <f t="array" ref="AG85">SUM(IF((modeldata!$F:$F=calibration!$AF$80)*(modeldata!$G:$G=calibration!AG$82)*(modeldata!$H:$H=calibration!$AF85),modeldata!$E:$E,0))</f>
        <v>0</v>
      </c>
      <c r="AH85" s="242">
        <f t="array" ref="AH85">SUM(IF((modeldata!$F:$F=calibration!$AF$80)*(modeldata!$G:$G=calibration!AH$82)*(modeldata!$H:$H=calibration!$AF85),modeldata!$E:$E,0))</f>
        <v>0</v>
      </c>
      <c r="AI85" s="36">
        <f t="array" ref="AI85">SUM(IF((modeldata!$F:$F=calibration!$AF$80)*(modeldata!$G:$G=calibration!AI$82)*(modeldata!$H:$H=calibration!$AF85),modeldata!$E:$E,0))</f>
        <v>0</v>
      </c>
      <c r="AJ85" s="242">
        <f t="array" ref="AJ85">SUM(IF((modeldata!$F:$F=calibration!$AF$80)*(modeldata!$G:$G=calibration!AJ$82)*(modeldata!$H:$H=calibration!$AF85),modeldata!$E:$E,0))</f>
        <v>0</v>
      </c>
      <c r="AK85" s="242">
        <f t="array" ref="AK85">SUM(IF((modeldata!$F:$F=calibration!$AF$80)*(modeldata!$G:$G=calibration!AK$82)*(modeldata!$H:$H=calibration!$AF85),modeldata!$E:$E,0))</f>
        <v>0</v>
      </c>
      <c r="AL85" s="242">
        <f t="array" ref="AL85">SUM(IF((modeldata!$F:$F=calibration!$AF$80)*(modeldata!$G:$G=calibration!AL$82)*(modeldata!$H:$H=calibration!$AF85),modeldata!$E:$E,0))</f>
        <v>0</v>
      </c>
      <c r="AM85" s="242">
        <f t="array" ref="AM85">SUM(IF((modeldata!$F:$F=calibration!$AF$80)*(modeldata!$G:$G=calibration!AM$82)*(modeldata!$H:$H=calibration!$AF85),modeldata!$E:$E,0))</f>
        <v>0</v>
      </c>
      <c r="AN85" s="243">
        <f t="shared" ref="AN85:AN102" si="603">AL85+AM85</f>
        <v>0</v>
      </c>
      <c r="AO85" s="242">
        <f t="array" ref="AO85">SUM(IF((modeldata!$F:$F=calibration!$AF$80)*(modeldata!$G:$G=calibration!AO$82)*(modeldata!$H:$H=calibration!$AF85),modeldata!$E:$E,0))</f>
        <v>0</v>
      </c>
      <c r="AP85" s="242">
        <f t="array" ref="AP85">SUM(IF((modeldata!$F:$F=calibration!$AF$80)*(modeldata!$G:$G=calibration!AP$82)*(modeldata!$H:$H=calibration!$AF85),modeldata!$E:$E,0))</f>
        <v>0</v>
      </c>
      <c r="AQ85" s="242">
        <f t="array" ref="AQ85">SUM(IF((modeldata!$F:$F=calibration!$AF$80)*(modeldata!$G:$G=calibration!AQ$82)*(modeldata!$H:$H=calibration!$AF85),modeldata!$E:$E,0))</f>
        <v>0</v>
      </c>
      <c r="AR85" s="178">
        <f t="shared" ref="AR85:AR99" si="604">SUM(AO85:AQ85)</f>
        <v>0</v>
      </c>
      <c r="AS85" s="17">
        <f t="shared" si="573"/>
        <v>0</v>
      </c>
      <c r="AU85" s="66" t="s">
        <v>42</v>
      </c>
      <c r="AV85" s="38">
        <f t="shared" ref="AV85:BG85" si="605">IF(R103&gt;0,R85/R103,0)</f>
        <v>0</v>
      </c>
      <c r="AW85" s="242">
        <f t="shared" si="605"/>
        <v>0</v>
      </c>
      <c r="AX85" s="36">
        <f t="shared" si="605"/>
        <v>0</v>
      </c>
      <c r="AY85" s="242">
        <f t="shared" si="605"/>
        <v>0</v>
      </c>
      <c r="AZ85" s="242">
        <f t="shared" si="605"/>
        <v>0</v>
      </c>
      <c r="BA85" s="242">
        <f t="shared" si="605"/>
        <v>0</v>
      </c>
      <c r="BB85" s="242">
        <f t="shared" si="605"/>
        <v>0</v>
      </c>
      <c r="BC85" s="243">
        <f t="shared" si="605"/>
        <v>0</v>
      </c>
      <c r="BD85" s="242">
        <f t="shared" si="605"/>
        <v>0</v>
      </c>
      <c r="BE85" s="242">
        <f t="shared" si="605"/>
        <v>0</v>
      </c>
      <c r="BF85" s="242">
        <f t="shared" si="605"/>
        <v>0</v>
      </c>
      <c r="BG85" s="178">
        <f t="shared" si="605"/>
        <v>0</v>
      </c>
      <c r="BH85" s="24" t="e">
        <f>AD85/AD103</f>
        <v>#DIV/0!</v>
      </c>
      <c r="BJ85" s="66" t="s">
        <v>42</v>
      </c>
      <c r="BK85" s="38">
        <f t="shared" ref="BK85:BV85" si="606">IF(AG103&gt;0,AG85/AG103,0)</f>
        <v>0</v>
      </c>
      <c r="BL85" s="242">
        <f t="shared" si="606"/>
        <v>0</v>
      </c>
      <c r="BM85" s="36">
        <f t="shared" si="606"/>
        <v>0</v>
      </c>
      <c r="BN85" s="242">
        <f t="shared" si="606"/>
        <v>0</v>
      </c>
      <c r="BO85" s="242">
        <f t="shared" si="606"/>
        <v>0</v>
      </c>
      <c r="BP85" s="242">
        <f t="shared" si="606"/>
        <v>0</v>
      </c>
      <c r="BQ85" s="242">
        <f t="shared" si="606"/>
        <v>0</v>
      </c>
      <c r="BR85" s="243">
        <f t="shared" si="606"/>
        <v>0</v>
      </c>
      <c r="BS85" s="242">
        <f t="shared" si="606"/>
        <v>0</v>
      </c>
      <c r="BT85" s="242">
        <f t="shared" si="606"/>
        <v>0</v>
      </c>
      <c r="BU85" s="242">
        <f t="shared" si="606"/>
        <v>0</v>
      </c>
      <c r="BV85" s="178">
        <f t="shared" si="606"/>
        <v>0</v>
      </c>
      <c r="BW85" s="24" t="e">
        <f>AS85/AS103</f>
        <v>#DIV/0!</v>
      </c>
      <c r="BX85" s="24"/>
      <c r="BY85" s="66" t="s">
        <v>42</v>
      </c>
      <c r="BZ85" s="54">
        <f t="shared" si="576"/>
        <v>0</v>
      </c>
      <c r="CA85" s="55">
        <f t="shared" si="544"/>
        <v>0</v>
      </c>
      <c r="CB85" s="58">
        <f t="shared" si="545"/>
        <v>0</v>
      </c>
      <c r="CC85" s="55">
        <f t="shared" si="546"/>
        <v>0</v>
      </c>
      <c r="CD85" s="55">
        <f t="shared" si="547"/>
        <v>0</v>
      </c>
      <c r="CE85" s="55">
        <f t="shared" si="548"/>
        <v>0</v>
      </c>
      <c r="CF85" s="55">
        <f t="shared" si="549"/>
        <v>0</v>
      </c>
      <c r="CG85" s="246">
        <f t="shared" si="550"/>
        <v>0</v>
      </c>
      <c r="CH85" s="55">
        <f t="shared" si="551"/>
        <v>0</v>
      </c>
      <c r="CI85" s="55">
        <f t="shared" si="552"/>
        <v>0</v>
      </c>
      <c r="CJ85" s="55">
        <f t="shared" si="553"/>
        <v>0</v>
      </c>
      <c r="CK85" s="249">
        <f t="shared" si="553"/>
        <v>0</v>
      </c>
      <c r="CL85" s="55">
        <f t="shared" si="554"/>
        <v>0</v>
      </c>
      <c r="CN85" s="66" t="s">
        <v>42</v>
      </c>
      <c r="CO85" s="54">
        <f t="shared" si="577"/>
        <v>0</v>
      </c>
      <c r="CP85" s="55">
        <f t="shared" si="555"/>
        <v>0</v>
      </c>
      <c r="CQ85" s="58">
        <f t="shared" si="556"/>
        <v>0</v>
      </c>
      <c r="CR85" s="55">
        <f t="shared" si="557"/>
        <v>0</v>
      </c>
      <c r="CS85" s="55">
        <f t="shared" si="558"/>
        <v>0</v>
      </c>
      <c r="CT85" s="55">
        <f t="shared" si="559"/>
        <v>0</v>
      </c>
      <c r="CU85" s="55">
        <f t="shared" si="560"/>
        <v>0</v>
      </c>
      <c r="CV85" s="246">
        <f t="shared" si="561"/>
        <v>0</v>
      </c>
      <c r="CW85" s="55">
        <f t="shared" si="562"/>
        <v>0</v>
      </c>
      <c r="CX85" s="55">
        <f t="shared" si="563"/>
        <v>0</v>
      </c>
      <c r="CY85" s="55">
        <f t="shared" si="564"/>
        <v>0</v>
      </c>
      <c r="CZ85" s="249">
        <f t="shared" si="564"/>
        <v>0</v>
      </c>
      <c r="DA85" s="62" t="e">
        <f t="shared" si="565"/>
        <v>#DIV/0!</v>
      </c>
      <c r="DC85" s="66" t="s">
        <v>42</v>
      </c>
      <c r="DD85" s="198">
        <f t="shared" si="578"/>
        <v>0</v>
      </c>
      <c r="DE85" s="199">
        <f t="shared" si="579"/>
        <v>0</v>
      </c>
      <c r="DF85" s="198">
        <f t="shared" si="580"/>
        <v>0</v>
      </c>
      <c r="DG85" s="199">
        <f t="shared" si="581"/>
        <v>0</v>
      </c>
      <c r="DH85" s="193">
        <f t="shared" si="582"/>
        <v>0</v>
      </c>
      <c r="DI85" s="194">
        <f t="shared" si="583"/>
        <v>0</v>
      </c>
      <c r="DJ85" s="198">
        <f t="shared" si="584"/>
        <v>0</v>
      </c>
      <c r="DK85" s="199">
        <f t="shared" si="585"/>
        <v>0</v>
      </c>
      <c r="DL85" s="198">
        <f t="shared" si="586"/>
        <v>0</v>
      </c>
      <c r="DM85" s="199">
        <f t="shared" si="587"/>
        <v>0</v>
      </c>
      <c r="DN85" s="198">
        <f t="shared" si="588"/>
        <v>0</v>
      </c>
      <c r="DO85" s="199">
        <f t="shared" si="589"/>
        <v>0</v>
      </c>
      <c r="DP85" s="198">
        <f t="shared" si="590"/>
        <v>0</v>
      </c>
      <c r="DQ85" s="199">
        <f t="shared" si="591"/>
        <v>0</v>
      </c>
      <c r="DR85" s="198">
        <f t="shared" si="592"/>
        <v>0</v>
      </c>
      <c r="DS85" s="199">
        <f t="shared" si="593"/>
        <v>0</v>
      </c>
      <c r="DT85" s="198">
        <f t="shared" si="594"/>
        <v>0</v>
      </c>
      <c r="DU85" s="199">
        <f t="shared" si="595"/>
        <v>0</v>
      </c>
      <c r="DV85" s="198">
        <f t="shared" si="596"/>
        <v>0</v>
      </c>
      <c r="DW85" s="199">
        <f t="shared" si="597"/>
        <v>0</v>
      </c>
      <c r="DX85" s="198">
        <f t="shared" si="598"/>
        <v>0</v>
      </c>
      <c r="DY85" s="199">
        <f t="shared" si="599"/>
        <v>0</v>
      </c>
      <c r="DZ85" s="190">
        <f t="shared" si="600"/>
        <v>0</v>
      </c>
      <c r="EA85" s="199">
        <f t="shared" si="566"/>
        <v>0</v>
      </c>
      <c r="EB85" s="190" t="e">
        <f t="shared" si="601"/>
        <v>#DIV/0!</v>
      </c>
      <c r="EC85" s="190" t="e">
        <f t="shared" si="602"/>
        <v>#DIV/0!</v>
      </c>
    </row>
    <row r="86" spans="1:133" x14ac:dyDescent="0.2">
      <c r="A86" s="66" t="s">
        <v>2</v>
      </c>
      <c r="B86" s="38">
        <f>targets!AW81</f>
        <v>48672.970523589727</v>
      </c>
      <c r="C86" s="242">
        <f>targets!AX81</f>
        <v>51836.818283701272</v>
      </c>
      <c r="D86" s="242">
        <f>targets!AY81</f>
        <v>42031.250406316249</v>
      </c>
      <c r="E86" s="36">
        <f>targets!AZ81</f>
        <v>654895.61225933162</v>
      </c>
      <c r="F86" s="242">
        <f>targets!BA81</f>
        <v>6697.0448569465561</v>
      </c>
      <c r="G86" s="242">
        <f>SUM(targets!BB81:BG81)</f>
        <v>45471.752833795217</v>
      </c>
      <c r="H86" s="242">
        <f>SUM(targets!BH81:BM81)</f>
        <v>0</v>
      </c>
      <c r="I86" s="243">
        <f t="shared" si="567"/>
        <v>45471.752833795217</v>
      </c>
      <c r="J86" s="242">
        <f>targets!BN81</f>
        <v>208.55723898328375</v>
      </c>
      <c r="K86" s="242">
        <f>targets!BO81</f>
        <v>1713.6055286110752</v>
      </c>
      <c r="L86" s="242">
        <f>targets!BP81</f>
        <v>97.148010736904766</v>
      </c>
      <c r="M86" s="178">
        <f t="shared" si="568"/>
        <v>2019.3107783312637</v>
      </c>
      <c r="N86" s="17">
        <f t="shared" si="569"/>
        <v>851624.75994201214</v>
      </c>
      <c r="O86" s="17"/>
      <c r="P86" s="17"/>
      <c r="Q86" s="66" t="s">
        <v>2</v>
      </c>
      <c r="R86" s="38">
        <f t="shared" si="532"/>
        <v>0</v>
      </c>
      <c r="S86" s="242">
        <f t="shared" si="533"/>
        <v>0</v>
      </c>
      <c r="T86" s="242">
        <f t="shared" si="534"/>
        <v>0</v>
      </c>
      <c r="U86" s="36">
        <f t="shared" si="535"/>
        <v>0</v>
      </c>
      <c r="V86" s="242">
        <f t="shared" si="536"/>
        <v>0</v>
      </c>
      <c r="W86" s="242">
        <f t="shared" si="537"/>
        <v>0</v>
      </c>
      <c r="X86" s="242">
        <f t="shared" si="538"/>
        <v>0</v>
      </c>
      <c r="Y86" s="243">
        <f t="shared" si="570"/>
        <v>0</v>
      </c>
      <c r="Z86" s="242">
        <f t="shared" si="539"/>
        <v>0</v>
      </c>
      <c r="AA86" s="242">
        <f t="shared" si="540"/>
        <v>0</v>
      </c>
      <c r="AB86" s="242">
        <f t="shared" si="541"/>
        <v>0</v>
      </c>
      <c r="AC86" s="178">
        <f t="shared" si="571"/>
        <v>0</v>
      </c>
      <c r="AD86" s="17">
        <f t="shared" si="572"/>
        <v>0</v>
      </c>
      <c r="AF86" s="66" t="s">
        <v>2</v>
      </c>
      <c r="AG86" s="38">
        <f t="array" ref="AG86">SUM(IF((modeldata!$F:$F=calibration!$AF$80)*(modeldata!$G:$G=calibration!AG$82)*(modeldata!$H:$H=calibration!$AF86),modeldata!$E:$E,0))</f>
        <v>0</v>
      </c>
      <c r="AH86" s="242">
        <f t="array" ref="AH86">SUM(IF((modeldata!$F:$F=calibration!$AF$80)*(modeldata!$G:$G=calibration!AH$82)*(modeldata!$H:$H=calibration!$AF86),modeldata!$E:$E,0))</f>
        <v>0</v>
      </c>
      <c r="AI86" s="242">
        <f t="array" ref="AI86">SUM(IF((modeldata!$F:$F=calibration!$AF$80)*(modeldata!$G:$G=calibration!AI$82)*(modeldata!$H:$H=calibration!$AF86),modeldata!$E:$E,0))</f>
        <v>0</v>
      </c>
      <c r="AJ86" s="36">
        <f t="array" ref="AJ86">SUM(IF((modeldata!$F:$F=calibration!$AF$80)*(modeldata!$G:$G=calibration!AJ$82)*(modeldata!$H:$H=calibration!$AF86),modeldata!$E:$E,0))</f>
        <v>0</v>
      </c>
      <c r="AK86" s="242">
        <f t="array" ref="AK86">SUM(IF((modeldata!$F:$F=calibration!$AF$80)*(modeldata!$G:$G=calibration!AK$82)*(modeldata!$H:$H=calibration!$AF86),modeldata!$E:$E,0))</f>
        <v>0</v>
      </c>
      <c r="AL86" s="242">
        <f t="array" ref="AL86">SUM(IF((modeldata!$F:$F=calibration!$AF$80)*(modeldata!$G:$G=calibration!AL$82)*(modeldata!$H:$H=calibration!$AF86),modeldata!$E:$E,0))</f>
        <v>0</v>
      </c>
      <c r="AM86" s="242">
        <f t="array" ref="AM86">SUM(IF((modeldata!$F:$F=calibration!$AF$80)*(modeldata!$G:$G=calibration!AM$82)*(modeldata!$H:$H=calibration!$AF86),modeldata!$E:$E,0))</f>
        <v>0</v>
      </c>
      <c r="AN86" s="243">
        <f t="shared" si="603"/>
        <v>0</v>
      </c>
      <c r="AO86" s="242">
        <f t="array" ref="AO86">SUM(IF((modeldata!$F:$F=calibration!$AF$80)*(modeldata!$G:$G=calibration!AO$82)*(modeldata!$H:$H=calibration!$AF86),modeldata!$E:$E,0))</f>
        <v>0</v>
      </c>
      <c r="AP86" s="242">
        <f t="array" ref="AP86">SUM(IF((modeldata!$F:$F=calibration!$AF$80)*(modeldata!$G:$G=calibration!AP$82)*(modeldata!$H:$H=calibration!$AF86),modeldata!$E:$E,0))</f>
        <v>0</v>
      </c>
      <c r="AQ86" s="242">
        <f t="array" ref="AQ86">SUM(IF((modeldata!$F:$F=calibration!$AF$80)*(modeldata!$G:$G=calibration!AQ$82)*(modeldata!$H:$H=calibration!$AF86),modeldata!$E:$E,0))</f>
        <v>0</v>
      </c>
      <c r="AR86" s="178">
        <f t="shared" si="604"/>
        <v>0</v>
      </c>
      <c r="AS86" s="17">
        <f t="shared" si="573"/>
        <v>0</v>
      </c>
      <c r="AU86" s="66" t="s">
        <v>2</v>
      </c>
      <c r="AV86" s="38">
        <f t="shared" ref="AV86:BG86" si="607">IF(R103&gt;0,R86/R103,0)</f>
        <v>0</v>
      </c>
      <c r="AW86" s="242">
        <f t="shared" si="607"/>
        <v>0</v>
      </c>
      <c r="AX86" s="242">
        <f t="shared" si="607"/>
        <v>0</v>
      </c>
      <c r="AY86" s="36">
        <f t="shared" si="607"/>
        <v>0</v>
      </c>
      <c r="AZ86" s="242">
        <f t="shared" si="607"/>
        <v>0</v>
      </c>
      <c r="BA86" s="242">
        <f t="shared" si="607"/>
        <v>0</v>
      </c>
      <c r="BB86" s="242">
        <f t="shared" si="607"/>
        <v>0</v>
      </c>
      <c r="BC86" s="243">
        <f t="shared" si="607"/>
        <v>0</v>
      </c>
      <c r="BD86" s="242">
        <f t="shared" si="607"/>
        <v>0</v>
      </c>
      <c r="BE86" s="242">
        <f t="shared" si="607"/>
        <v>0</v>
      </c>
      <c r="BF86" s="242">
        <f t="shared" si="607"/>
        <v>0</v>
      </c>
      <c r="BG86" s="178">
        <f t="shared" si="607"/>
        <v>0</v>
      </c>
      <c r="BH86" s="24" t="e">
        <f>AD86/AD103</f>
        <v>#DIV/0!</v>
      </c>
      <c r="BJ86" s="66" t="s">
        <v>2</v>
      </c>
      <c r="BK86" s="38">
        <f t="shared" ref="BK86:BV86" si="608">IF(AG103&gt;0,AG86/AG103,0)</f>
        <v>0</v>
      </c>
      <c r="BL86" s="242">
        <f t="shared" si="608"/>
        <v>0</v>
      </c>
      <c r="BM86" s="242">
        <f t="shared" si="608"/>
        <v>0</v>
      </c>
      <c r="BN86" s="36">
        <f t="shared" si="608"/>
        <v>0</v>
      </c>
      <c r="BO86" s="242">
        <f t="shared" si="608"/>
        <v>0</v>
      </c>
      <c r="BP86" s="242">
        <f t="shared" si="608"/>
        <v>0</v>
      </c>
      <c r="BQ86" s="242">
        <f t="shared" si="608"/>
        <v>0</v>
      </c>
      <c r="BR86" s="243">
        <f t="shared" si="608"/>
        <v>0</v>
      </c>
      <c r="BS86" s="242">
        <f t="shared" si="608"/>
        <v>0</v>
      </c>
      <c r="BT86" s="242">
        <f t="shared" si="608"/>
        <v>0</v>
      </c>
      <c r="BU86" s="242">
        <f t="shared" si="608"/>
        <v>0</v>
      </c>
      <c r="BV86" s="178">
        <f t="shared" si="608"/>
        <v>0</v>
      </c>
      <c r="BW86" s="24" t="e">
        <f>AS86/AS103</f>
        <v>#DIV/0!</v>
      </c>
      <c r="BX86" s="24"/>
      <c r="BY86" s="66" t="s">
        <v>2</v>
      </c>
      <c r="BZ86" s="54">
        <f t="shared" si="576"/>
        <v>0</v>
      </c>
      <c r="CA86" s="55">
        <f t="shared" si="544"/>
        <v>0</v>
      </c>
      <c r="CB86" s="55">
        <f t="shared" si="545"/>
        <v>0</v>
      </c>
      <c r="CC86" s="58">
        <f t="shared" si="546"/>
        <v>0</v>
      </c>
      <c r="CD86" s="55">
        <f t="shared" si="547"/>
        <v>0</v>
      </c>
      <c r="CE86" s="55">
        <f t="shared" si="548"/>
        <v>0</v>
      </c>
      <c r="CF86" s="55">
        <f t="shared" si="549"/>
        <v>0</v>
      </c>
      <c r="CG86" s="246">
        <f t="shared" si="550"/>
        <v>0</v>
      </c>
      <c r="CH86" s="55">
        <f t="shared" si="551"/>
        <v>0</v>
      </c>
      <c r="CI86" s="55">
        <f t="shared" si="552"/>
        <v>0</v>
      </c>
      <c r="CJ86" s="55">
        <f t="shared" si="553"/>
        <v>0</v>
      </c>
      <c r="CK86" s="249">
        <f t="shared" si="553"/>
        <v>0</v>
      </c>
      <c r="CL86" s="55">
        <f t="shared" si="554"/>
        <v>0</v>
      </c>
      <c r="CN86" s="66" t="s">
        <v>2</v>
      </c>
      <c r="CO86" s="54">
        <f t="shared" si="577"/>
        <v>0</v>
      </c>
      <c r="CP86" s="55">
        <f t="shared" si="555"/>
        <v>0</v>
      </c>
      <c r="CQ86" s="55">
        <f t="shared" si="556"/>
        <v>0</v>
      </c>
      <c r="CR86" s="58">
        <f t="shared" si="557"/>
        <v>0</v>
      </c>
      <c r="CS86" s="55">
        <f t="shared" si="558"/>
        <v>0</v>
      </c>
      <c r="CT86" s="55">
        <f t="shared" si="559"/>
        <v>0</v>
      </c>
      <c r="CU86" s="55">
        <f t="shared" si="560"/>
        <v>0</v>
      </c>
      <c r="CV86" s="246">
        <f t="shared" si="561"/>
        <v>0</v>
      </c>
      <c r="CW86" s="55">
        <f t="shared" si="562"/>
        <v>0</v>
      </c>
      <c r="CX86" s="55">
        <f t="shared" si="563"/>
        <v>0</v>
      </c>
      <c r="CY86" s="55">
        <f t="shared" si="564"/>
        <v>0</v>
      </c>
      <c r="CZ86" s="249">
        <f t="shared" si="564"/>
        <v>0</v>
      </c>
      <c r="DA86" s="62" t="e">
        <f t="shared" si="565"/>
        <v>#DIV/0!</v>
      </c>
      <c r="DC86" s="66" t="s">
        <v>2</v>
      </c>
      <c r="DD86" s="198">
        <f t="shared" si="578"/>
        <v>0</v>
      </c>
      <c r="DE86" s="199">
        <f t="shared" si="579"/>
        <v>0</v>
      </c>
      <c r="DF86" s="198">
        <f t="shared" si="580"/>
        <v>0</v>
      </c>
      <c r="DG86" s="199">
        <f t="shared" si="581"/>
        <v>0</v>
      </c>
      <c r="DH86" s="198">
        <f t="shared" si="582"/>
        <v>0</v>
      </c>
      <c r="DI86" s="199">
        <f t="shared" si="583"/>
        <v>0</v>
      </c>
      <c r="DJ86" s="193">
        <f t="shared" si="584"/>
        <v>0</v>
      </c>
      <c r="DK86" s="194">
        <f t="shared" si="585"/>
        <v>0</v>
      </c>
      <c r="DL86" s="198">
        <f t="shared" si="586"/>
        <v>0</v>
      </c>
      <c r="DM86" s="199">
        <f t="shared" si="587"/>
        <v>0</v>
      </c>
      <c r="DN86" s="198">
        <f t="shared" si="588"/>
        <v>0</v>
      </c>
      <c r="DO86" s="199">
        <f t="shared" si="589"/>
        <v>0</v>
      </c>
      <c r="DP86" s="198">
        <f t="shared" si="590"/>
        <v>0</v>
      </c>
      <c r="DQ86" s="199">
        <f t="shared" si="591"/>
        <v>0</v>
      </c>
      <c r="DR86" s="198">
        <f t="shared" si="592"/>
        <v>0</v>
      </c>
      <c r="DS86" s="199">
        <f t="shared" si="593"/>
        <v>0</v>
      </c>
      <c r="DT86" s="198">
        <f t="shared" si="594"/>
        <v>0</v>
      </c>
      <c r="DU86" s="199">
        <f t="shared" si="595"/>
        <v>0</v>
      </c>
      <c r="DV86" s="198">
        <f t="shared" si="596"/>
        <v>0</v>
      </c>
      <c r="DW86" s="199">
        <f t="shared" si="597"/>
        <v>0</v>
      </c>
      <c r="DX86" s="198">
        <f t="shared" si="598"/>
        <v>0</v>
      </c>
      <c r="DY86" s="199">
        <f t="shared" si="599"/>
        <v>0</v>
      </c>
      <c r="DZ86" s="190">
        <f t="shared" si="600"/>
        <v>0</v>
      </c>
      <c r="EA86" s="199">
        <f t="shared" si="566"/>
        <v>0</v>
      </c>
      <c r="EB86" s="190" t="e">
        <f t="shared" si="601"/>
        <v>#DIV/0!</v>
      </c>
      <c r="EC86" s="190" t="e">
        <f t="shared" si="602"/>
        <v>#DIV/0!</v>
      </c>
    </row>
    <row r="87" spans="1:133" x14ac:dyDescent="0.2">
      <c r="A87" s="66" t="s">
        <v>3</v>
      </c>
      <c r="B87" s="38">
        <f>targets!AW82</f>
        <v>0</v>
      </c>
      <c r="C87" s="242">
        <f>targets!AX82</f>
        <v>0</v>
      </c>
      <c r="D87" s="242">
        <f>targets!AY82</f>
        <v>0</v>
      </c>
      <c r="E87" s="242">
        <f>targets!AZ82</f>
        <v>0</v>
      </c>
      <c r="F87" s="36">
        <f>targets!BA82</f>
        <v>161221.41745838078</v>
      </c>
      <c r="G87" s="242">
        <f>SUM(targets!BB82:BG82)</f>
        <v>0</v>
      </c>
      <c r="H87" s="242">
        <f>SUM(targets!BH82:BM82)</f>
        <v>0</v>
      </c>
      <c r="I87" s="243">
        <f t="shared" si="567"/>
        <v>0</v>
      </c>
      <c r="J87" s="242">
        <f>targets!BN82</f>
        <v>0</v>
      </c>
      <c r="K87" s="242">
        <f>targets!BO82</f>
        <v>0</v>
      </c>
      <c r="L87" s="242">
        <f>targets!BP82</f>
        <v>0</v>
      </c>
      <c r="M87" s="178">
        <f t="shared" si="568"/>
        <v>0</v>
      </c>
      <c r="N87" s="17">
        <f t="shared" si="569"/>
        <v>161221.41745838078</v>
      </c>
      <c r="O87" s="17"/>
      <c r="P87" s="17"/>
      <c r="Q87" s="66" t="s">
        <v>3</v>
      </c>
      <c r="R87" s="38">
        <f t="shared" si="532"/>
        <v>0</v>
      </c>
      <c r="S87" s="242">
        <f t="shared" si="533"/>
        <v>0</v>
      </c>
      <c r="T87" s="242">
        <f t="shared" si="534"/>
        <v>0</v>
      </c>
      <c r="U87" s="242">
        <f t="shared" si="535"/>
        <v>0</v>
      </c>
      <c r="V87" s="36">
        <f t="shared" si="536"/>
        <v>0</v>
      </c>
      <c r="W87" s="242">
        <f t="shared" si="537"/>
        <v>0</v>
      </c>
      <c r="X87" s="242">
        <f t="shared" si="538"/>
        <v>0</v>
      </c>
      <c r="Y87" s="243">
        <f t="shared" si="570"/>
        <v>0</v>
      </c>
      <c r="Z87" s="242">
        <f t="shared" si="539"/>
        <v>0</v>
      </c>
      <c r="AA87" s="242">
        <f t="shared" si="540"/>
        <v>0</v>
      </c>
      <c r="AB87" s="242">
        <f t="shared" si="541"/>
        <v>0</v>
      </c>
      <c r="AC87" s="178">
        <f t="shared" si="571"/>
        <v>0</v>
      </c>
      <c r="AD87" s="17">
        <f t="shared" si="572"/>
        <v>0</v>
      </c>
      <c r="AF87" s="66" t="s">
        <v>3</v>
      </c>
      <c r="AG87" s="38">
        <f t="array" ref="AG87">SUM(IF((modeldata!$F:$F=calibration!$AF$80)*(modeldata!$G:$G=calibration!AG$82)*(modeldata!$H:$H=calibration!$AF87),modeldata!$E:$E,0))</f>
        <v>0</v>
      </c>
      <c r="AH87" s="242">
        <f t="array" ref="AH87">SUM(IF((modeldata!$F:$F=calibration!$AF$80)*(modeldata!$G:$G=calibration!AH$82)*(modeldata!$H:$H=calibration!$AF87),modeldata!$E:$E,0))</f>
        <v>0</v>
      </c>
      <c r="AI87" s="242">
        <f t="array" ref="AI87">SUM(IF((modeldata!$F:$F=calibration!$AF$80)*(modeldata!$G:$G=calibration!AI$82)*(modeldata!$H:$H=calibration!$AF87),modeldata!$E:$E,0))</f>
        <v>0</v>
      </c>
      <c r="AJ87" s="242">
        <f t="array" ref="AJ87">SUM(IF((modeldata!$F:$F=calibration!$AF$80)*(modeldata!$G:$G=calibration!AJ$82)*(modeldata!$H:$H=calibration!$AF87),modeldata!$E:$E,0))</f>
        <v>0</v>
      </c>
      <c r="AK87" s="36">
        <f t="array" ref="AK87">SUM(IF((modeldata!$F:$F=calibration!$AF$80)*(modeldata!$G:$G=calibration!AK$82)*(modeldata!$H:$H=calibration!$AF87),modeldata!$E:$E,0))</f>
        <v>0</v>
      </c>
      <c r="AL87" s="242">
        <f t="array" ref="AL87">SUM(IF((modeldata!$F:$F=calibration!$AF$80)*(modeldata!$G:$G=calibration!AL$82)*(modeldata!$H:$H=calibration!$AF87),modeldata!$E:$E,0))</f>
        <v>0</v>
      </c>
      <c r="AM87" s="242">
        <f t="array" ref="AM87">SUM(IF((modeldata!$F:$F=calibration!$AF$80)*(modeldata!$G:$G=calibration!AM$82)*(modeldata!$H:$H=calibration!$AF87),modeldata!$E:$E,0))</f>
        <v>0</v>
      </c>
      <c r="AN87" s="243">
        <f t="shared" si="603"/>
        <v>0</v>
      </c>
      <c r="AO87" s="242">
        <f t="array" ref="AO87">SUM(IF((modeldata!$F:$F=calibration!$AF$80)*(modeldata!$G:$G=calibration!AO$82)*(modeldata!$H:$H=calibration!$AF87),modeldata!$E:$E,0))</f>
        <v>0</v>
      </c>
      <c r="AP87" s="242">
        <f t="array" ref="AP87">SUM(IF((modeldata!$F:$F=calibration!$AF$80)*(modeldata!$G:$G=calibration!AP$82)*(modeldata!$H:$H=calibration!$AF87),modeldata!$E:$E,0))</f>
        <v>0</v>
      </c>
      <c r="AQ87" s="242">
        <f t="array" ref="AQ87">SUM(IF((modeldata!$F:$F=calibration!$AF$80)*(modeldata!$G:$G=calibration!AQ$82)*(modeldata!$H:$H=calibration!$AF87),modeldata!$E:$E,0))</f>
        <v>0</v>
      </c>
      <c r="AR87" s="178">
        <f t="shared" si="604"/>
        <v>0</v>
      </c>
      <c r="AS87" s="17">
        <f t="shared" si="573"/>
        <v>0</v>
      </c>
      <c r="AU87" s="66" t="s">
        <v>3</v>
      </c>
      <c r="AV87" s="38">
        <f t="shared" ref="AV87:BG87" si="609">IF(R103&gt;0,R87/R103,0)</f>
        <v>0</v>
      </c>
      <c r="AW87" s="242">
        <f t="shared" si="609"/>
        <v>0</v>
      </c>
      <c r="AX87" s="242">
        <f t="shared" si="609"/>
        <v>0</v>
      </c>
      <c r="AY87" s="242">
        <f t="shared" si="609"/>
        <v>0</v>
      </c>
      <c r="AZ87" s="36">
        <f t="shared" si="609"/>
        <v>0</v>
      </c>
      <c r="BA87" s="242">
        <f t="shared" si="609"/>
        <v>0</v>
      </c>
      <c r="BB87" s="242">
        <f t="shared" si="609"/>
        <v>0</v>
      </c>
      <c r="BC87" s="243">
        <f t="shared" si="609"/>
        <v>0</v>
      </c>
      <c r="BD87" s="242">
        <f t="shared" si="609"/>
        <v>0</v>
      </c>
      <c r="BE87" s="242">
        <f t="shared" si="609"/>
        <v>0</v>
      </c>
      <c r="BF87" s="242">
        <f t="shared" si="609"/>
        <v>0</v>
      </c>
      <c r="BG87" s="178">
        <f t="shared" si="609"/>
        <v>0</v>
      </c>
      <c r="BH87" s="24" t="e">
        <f>AD87/AD103</f>
        <v>#DIV/0!</v>
      </c>
      <c r="BJ87" s="66" t="s">
        <v>3</v>
      </c>
      <c r="BK87" s="38">
        <f t="shared" ref="BK87:BV87" si="610">IF(AG103&gt;0,AG87/AG103,0)</f>
        <v>0</v>
      </c>
      <c r="BL87" s="242">
        <f t="shared" si="610"/>
        <v>0</v>
      </c>
      <c r="BM87" s="242">
        <f t="shared" si="610"/>
        <v>0</v>
      </c>
      <c r="BN87" s="242">
        <f t="shared" si="610"/>
        <v>0</v>
      </c>
      <c r="BO87" s="36">
        <f t="shared" si="610"/>
        <v>0</v>
      </c>
      <c r="BP87" s="242">
        <f t="shared" si="610"/>
        <v>0</v>
      </c>
      <c r="BQ87" s="242">
        <f t="shared" si="610"/>
        <v>0</v>
      </c>
      <c r="BR87" s="243">
        <f t="shared" si="610"/>
        <v>0</v>
      </c>
      <c r="BS87" s="242">
        <f t="shared" si="610"/>
        <v>0</v>
      </c>
      <c r="BT87" s="242">
        <f t="shared" si="610"/>
        <v>0</v>
      </c>
      <c r="BU87" s="242">
        <f t="shared" si="610"/>
        <v>0</v>
      </c>
      <c r="BV87" s="178">
        <f t="shared" si="610"/>
        <v>0</v>
      </c>
      <c r="BW87" s="24" t="e">
        <f>AS87/AS103</f>
        <v>#DIV/0!</v>
      </c>
      <c r="BX87" s="24"/>
      <c r="BY87" s="66" t="s">
        <v>3</v>
      </c>
      <c r="BZ87" s="54">
        <f t="shared" si="576"/>
        <v>0</v>
      </c>
      <c r="CA87" s="55">
        <f t="shared" si="544"/>
        <v>0</v>
      </c>
      <c r="CB87" s="55">
        <f t="shared" si="545"/>
        <v>0</v>
      </c>
      <c r="CC87" s="55">
        <f t="shared" si="546"/>
        <v>0</v>
      </c>
      <c r="CD87" s="58">
        <f t="shared" si="547"/>
        <v>0</v>
      </c>
      <c r="CE87" s="55">
        <f t="shared" si="548"/>
        <v>0</v>
      </c>
      <c r="CF87" s="55">
        <f t="shared" si="549"/>
        <v>0</v>
      </c>
      <c r="CG87" s="246">
        <f t="shared" si="550"/>
        <v>0</v>
      </c>
      <c r="CH87" s="55">
        <f t="shared" si="551"/>
        <v>0</v>
      </c>
      <c r="CI87" s="55">
        <f t="shared" si="552"/>
        <v>0</v>
      </c>
      <c r="CJ87" s="55">
        <f t="shared" si="553"/>
        <v>0</v>
      </c>
      <c r="CK87" s="249">
        <f t="shared" si="553"/>
        <v>0</v>
      </c>
      <c r="CL87" s="55">
        <f t="shared" si="554"/>
        <v>0</v>
      </c>
      <c r="CN87" s="66" t="s">
        <v>3</v>
      </c>
      <c r="CO87" s="54">
        <f t="shared" si="577"/>
        <v>0</v>
      </c>
      <c r="CP87" s="55">
        <f t="shared" si="555"/>
        <v>0</v>
      </c>
      <c r="CQ87" s="55">
        <f t="shared" si="556"/>
        <v>0</v>
      </c>
      <c r="CR87" s="55">
        <f t="shared" si="557"/>
        <v>0</v>
      </c>
      <c r="CS87" s="58">
        <f t="shared" si="558"/>
        <v>0</v>
      </c>
      <c r="CT87" s="55">
        <f t="shared" si="559"/>
        <v>0</v>
      </c>
      <c r="CU87" s="55">
        <f t="shared" si="560"/>
        <v>0</v>
      </c>
      <c r="CV87" s="246">
        <f t="shared" si="561"/>
        <v>0</v>
      </c>
      <c r="CW87" s="55">
        <f t="shared" si="562"/>
        <v>0</v>
      </c>
      <c r="CX87" s="55">
        <f t="shared" si="563"/>
        <v>0</v>
      </c>
      <c r="CY87" s="55">
        <f t="shared" si="564"/>
        <v>0</v>
      </c>
      <c r="CZ87" s="249">
        <f t="shared" si="564"/>
        <v>0</v>
      </c>
      <c r="DA87" s="62" t="e">
        <f t="shared" si="565"/>
        <v>#DIV/0!</v>
      </c>
      <c r="DC87" s="66" t="s">
        <v>3</v>
      </c>
      <c r="DD87" s="198">
        <f t="shared" si="578"/>
        <v>0</v>
      </c>
      <c r="DE87" s="199">
        <f t="shared" si="579"/>
        <v>0</v>
      </c>
      <c r="DF87" s="198">
        <f t="shared" si="580"/>
        <v>0</v>
      </c>
      <c r="DG87" s="199">
        <f t="shared" si="581"/>
        <v>0</v>
      </c>
      <c r="DH87" s="198">
        <f t="shared" si="582"/>
        <v>0</v>
      </c>
      <c r="DI87" s="199">
        <f t="shared" si="583"/>
        <v>0</v>
      </c>
      <c r="DJ87" s="198">
        <f t="shared" si="584"/>
        <v>0</v>
      </c>
      <c r="DK87" s="199">
        <f t="shared" si="585"/>
        <v>0</v>
      </c>
      <c r="DL87" s="193">
        <f t="shared" si="586"/>
        <v>0</v>
      </c>
      <c r="DM87" s="194">
        <f t="shared" si="587"/>
        <v>0</v>
      </c>
      <c r="DN87" s="198">
        <f t="shared" si="588"/>
        <v>0</v>
      </c>
      <c r="DO87" s="199">
        <f t="shared" si="589"/>
        <v>0</v>
      </c>
      <c r="DP87" s="198">
        <f t="shared" si="590"/>
        <v>0</v>
      </c>
      <c r="DQ87" s="199">
        <f t="shared" si="591"/>
        <v>0</v>
      </c>
      <c r="DR87" s="198">
        <f t="shared" si="592"/>
        <v>0</v>
      </c>
      <c r="DS87" s="199">
        <f t="shared" si="593"/>
        <v>0</v>
      </c>
      <c r="DT87" s="198">
        <f t="shared" si="594"/>
        <v>0</v>
      </c>
      <c r="DU87" s="199">
        <f t="shared" si="595"/>
        <v>0</v>
      </c>
      <c r="DV87" s="198">
        <f t="shared" si="596"/>
        <v>0</v>
      </c>
      <c r="DW87" s="199">
        <f t="shared" si="597"/>
        <v>0</v>
      </c>
      <c r="DX87" s="198">
        <f t="shared" si="598"/>
        <v>0</v>
      </c>
      <c r="DY87" s="199">
        <f t="shared" si="599"/>
        <v>0</v>
      </c>
      <c r="DZ87" s="190">
        <f t="shared" si="600"/>
        <v>0</v>
      </c>
      <c r="EA87" s="199">
        <f t="shared" si="566"/>
        <v>0</v>
      </c>
      <c r="EB87" s="190" t="e">
        <f t="shared" si="601"/>
        <v>#DIV/0!</v>
      </c>
      <c r="EC87" s="190" t="e">
        <f t="shared" si="602"/>
        <v>#DIV/0!</v>
      </c>
    </row>
    <row r="88" spans="1:133" x14ac:dyDescent="0.2">
      <c r="A88" s="66" t="s">
        <v>5</v>
      </c>
      <c r="B88" s="38">
        <f>targets!AW83</f>
        <v>0</v>
      </c>
      <c r="C88" s="242">
        <f>targets!AX83</f>
        <v>0</v>
      </c>
      <c r="D88" s="242">
        <f>targets!AY83</f>
        <v>0</v>
      </c>
      <c r="E88" s="242">
        <f>targets!AZ83</f>
        <v>0</v>
      </c>
      <c r="F88" s="242">
        <f>targets!BA83</f>
        <v>0</v>
      </c>
      <c r="G88" s="39">
        <f>SUM(targets!BB83:BG83)</f>
        <v>131574.44930939478</v>
      </c>
      <c r="H88" s="242">
        <f>SUM(targets!BH83:BM83)</f>
        <v>0</v>
      </c>
      <c r="I88" s="243">
        <f t="shared" si="567"/>
        <v>131574.44930939478</v>
      </c>
      <c r="J88" s="242">
        <f>targets!BN83</f>
        <v>0</v>
      </c>
      <c r="K88" s="242">
        <f>targets!BO83</f>
        <v>0</v>
      </c>
      <c r="L88" s="242">
        <f>targets!BP83</f>
        <v>0</v>
      </c>
      <c r="M88" s="178">
        <f t="shared" si="568"/>
        <v>0</v>
      </c>
      <c r="N88" s="17">
        <f t="shared" si="569"/>
        <v>131574.44930939478</v>
      </c>
      <c r="O88" s="17"/>
      <c r="P88" s="17"/>
      <c r="Q88" s="66" t="s">
        <v>5</v>
      </c>
      <c r="R88" s="38">
        <f t="shared" si="532"/>
        <v>0</v>
      </c>
      <c r="S88" s="242">
        <f t="shared" si="533"/>
        <v>0</v>
      </c>
      <c r="T88" s="242">
        <f t="shared" si="534"/>
        <v>0</v>
      </c>
      <c r="U88" s="242">
        <f t="shared" si="535"/>
        <v>0</v>
      </c>
      <c r="V88" s="242">
        <f t="shared" si="536"/>
        <v>0</v>
      </c>
      <c r="W88" s="39">
        <f t="shared" si="537"/>
        <v>0</v>
      </c>
      <c r="X88" s="242">
        <f t="shared" si="538"/>
        <v>0</v>
      </c>
      <c r="Y88" s="243">
        <f t="shared" si="570"/>
        <v>0</v>
      </c>
      <c r="Z88" s="242">
        <f t="shared" si="539"/>
        <v>0</v>
      </c>
      <c r="AA88" s="242">
        <f t="shared" si="540"/>
        <v>0</v>
      </c>
      <c r="AB88" s="242">
        <f t="shared" si="541"/>
        <v>0</v>
      </c>
      <c r="AC88" s="178">
        <f t="shared" si="571"/>
        <v>0</v>
      </c>
      <c r="AD88" s="17">
        <f t="shared" si="572"/>
        <v>0</v>
      </c>
      <c r="AF88" s="66" t="s">
        <v>5</v>
      </c>
      <c r="AG88" s="38">
        <f t="array" ref="AG88">SUM(IF((modeldata!$F:$F=calibration!$AF$80)*(modeldata!$G:$G=calibration!AG$82)*(modeldata!$H:$H=calibration!$AF88),modeldata!$E:$E,0))</f>
        <v>0</v>
      </c>
      <c r="AH88" s="242">
        <f t="array" ref="AH88">SUM(IF((modeldata!$F:$F=calibration!$AF$80)*(modeldata!$G:$G=calibration!AH$82)*(modeldata!$H:$H=calibration!$AF88),modeldata!$E:$E,0))</f>
        <v>0</v>
      </c>
      <c r="AI88" s="242">
        <f t="array" ref="AI88">SUM(IF((modeldata!$F:$F=calibration!$AF$80)*(modeldata!$G:$G=calibration!AI$82)*(modeldata!$H:$H=calibration!$AF88),modeldata!$E:$E,0))</f>
        <v>0</v>
      </c>
      <c r="AJ88" s="242">
        <f t="array" ref="AJ88">SUM(IF((modeldata!$F:$F=calibration!$AF$80)*(modeldata!$G:$G=calibration!AJ$82)*(modeldata!$H:$H=calibration!$AF88),modeldata!$E:$E,0))</f>
        <v>0</v>
      </c>
      <c r="AK88" s="242">
        <f t="array" ref="AK88">SUM(IF((modeldata!$F:$F=calibration!$AF$80)*(modeldata!$G:$G=calibration!AK$82)*(modeldata!$H:$H=calibration!$AF88),modeldata!$E:$E,0))</f>
        <v>0</v>
      </c>
      <c r="AL88" s="39">
        <f t="array" ref="AL88">SUM(IF((modeldata!$F:$F=calibration!$AF$80)*(modeldata!$G:$G=calibration!AL$82)*(modeldata!$H:$H=calibration!$AF88),modeldata!$E:$E,0))</f>
        <v>0</v>
      </c>
      <c r="AM88" s="242">
        <f t="array" ref="AM88">SUM(IF((modeldata!$F:$F=calibration!$AF$80)*(modeldata!$G:$G=calibration!AM$82)*(modeldata!$H:$H=calibration!$AF88),modeldata!$E:$E,0))</f>
        <v>0</v>
      </c>
      <c r="AN88" s="243">
        <f t="shared" ref="AN88:AN93" si="611">AL88+AM88+AL94+AM94</f>
        <v>0</v>
      </c>
      <c r="AO88" s="242">
        <f t="array" ref="AO88">SUM(IF((modeldata!$F:$F=calibration!$AF$80)*(modeldata!$G:$G=calibration!AO$82)*(modeldata!$H:$H=calibration!$AF88),modeldata!$E:$E,0))</f>
        <v>0</v>
      </c>
      <c r="AP88" s="242">
        <f t="array" ref="AP88">SUM(IF((modeldata!$F:$F=calibration!$AF$80)*(modeldata!$G:$G=calibration!AP$82)*(modeldata!$H:$H=calibration!$AF88),modeldata!$E:$E,0))</f>
        <v>0</v>
      </c>
      <c r="AQ88" s="242">
        <f t="array" ref="AQ88">SUM(IF((modeldata!$F:$F=calibration!$AF$80)*(modeldata!$G:$G=calibration!AQ$82)*(modeldata!$H:$H=calibration!$AF88),modeldata!$E:$E,0))</f>
        <v>0</v>
      </c>
      <c r="AR88" s="178">
        <f t="shared" si="604"/>
        <v>0</v>
      </c>
      <c r="AS88" s="17">
        <f t="shared" si="573"/>
        <v>0</v>
      </c>
      <c r="AU88" s="66" t="s">
        <v>5</v>
      </c>
      <c r="AV88" s="38">
        <f t="shared" ref="AV88:BG88" si="612">IF(R103&gt;0,R88/R103,0)</f>
        <v>0</v>
      </c>
      <c r="AW88" s="242">
        <f t="shared" si="612"/>
        <v>0</v>
      </c>
      <c r="AX88" s="242">
        <f t="shared" si="612"/>
        <v>0</v>
      </c>
      <c r="AY88" s="242">
        <f t="shared" si="612"/>
        <v>0</v>
      </c>
      <c r="AZ88" s="242">
        <f t="shared" si="612"/>
        <v>0</v>
      </c>
      <c r="BA88" s="39">
        <f t="shared" si="612"/>
        <v>0</v>
      </c>
      <c r="BB88" s="242">
        <f t="shared" si="612"/>
        <v>0</v>
      </c>
      <c r="BC88" s="243">
        <f t="shared" si="612"/>
        <v>0</v>
      </c>
      <c r="BD88" s="242">
        <f t="shared" si="612"/>
        <v>0</v>
      </c>
      <c r="BE88" s="242">
        <f t="shared" si="612"/>
        <v>0</v>
      </c>
      <c r="BF88" s="242">
        <f t="shared" si="612"/>
        <v>0</v>
      </c>
      <c r="BG88" s="178">
        <f t="shared" si="612"/>
        <v>0</v>
      </c>
      <c r="BH88" s="24" t="e">
        <f>AD88/AD103</f>
        <v>#DIV/0!</v>
      </c>
      <c r="BJ88" s="66" t="s">
        <v>5</v>
      </c>
      <c r="BK88" s="38">
        <f t="shared" ref="BK88:BV88" si="613">IF(AG103&gt;0,AG88/AG103,0)</f>
        <v>0</v>
      </c>
      <c r="BL88" s="242">
        <f t="shared" si="613"/>
        <v>0</v>
      </c>
      <c r="BM88" s="242">
        <f t="shared" si="613"/>
        <v>0</v>
      </c>
      <c r="BN88" s="242">
        <f t="shared" si="613"/>
        <v>0</v>
      </c>
      <c r="BO88" s="242">
        <f t="shared" si="613"/>
        <v>0</v>
      </c>
      <c r="BP88" s="39">
        <f t="shared" si="613"/>
        <v>0</v>
      </c>
      <c r="BQ88" s="242">
        <f t="shared" si="613"/>
        <v>0</v>
      </c>
      <c r="BR88" s="243">
        <f t="shared" si="613"/>
        <v>0</v>
      </c>
      <c r="BS88" s="242">
        <f t="shared" si="613"/>
        <v>0</v>
      </c>
      <c r="BT88" s="242">
        <f t="shared" si="613"/>
        <v>0</v>
      </c>
      <c r="BU88" s="242">
        <f t="shared" si="613"/>
        <v>0</v>
      </c>
      <c r="BV88" s="178">
        <f t="shared" si="613"/>
        <v>0</v>
      </c>
      <c r="BW88" s="24" t="e">
        <f>AS88/AS103</f>
        <v>#DIV/0!</v>
      </c>
      <c r="BX88" s="24"/>
      <c r="BY88" s="66" t="s">
        <v>5</v>
      </c>
      <c r="BZ88" s="54">
        <f t="shared" si="576"/>
        <v>0</v>
      </c>
      <c r="CA88" s="55">
        <f t="shared" si="544"/>
        <v>0</v>
      </c>
      <c r="CB88" s="55">
        <f t="shared" si="545"/>
        <v>0</v>
      </c>
      <c r="CC88" s="55">
        <f t="shared" si="546"/>
        <v>0</v>
      </c>
      <c r="CD88" s="55">
        <f t="shared" si="547"/>
        <v>0</v>
      </c>
      <c r="CE88" s="59">
        <f t="shared" si="548"/>
        <v>0</v>
      </c>
      <c r="CF88" s="55">
        <f t="shared" si="549"/>
        <v>0</v>
      </c>
      <c r="CG88" s="246">
        <f t="shared" si="550"/>
        <v>0</v>
      </c>
      <c r="CH88" s="55">
        <f t="shared" si="551"/>
        <v>0</v>
      </c>
      <c r="CI88" s="55">
        <f t="shared" si="552"/>
        <v>0</v>
      </c>
      <c r="CJ88" s="55">
        <f t="shared" si="553"/>
        <v>0</v>
      </c>
      <c r="CK88" s="249">
        <f t="shared" si="553"/>
        <v>0</v>
      </c>
      <c r="CL88" s="55">
        <f t="shared" si="554"/>
        <v>0</v>
      </c>
      <c r="CN88" s="66" t="s">
        <v>5</v>
      </c>
      <c r="CO88" s="54">
        <f t="shared" si="577"/>
        <v>0</v>
      </c>
      <c r="CP88" s="55">
        <f t="shared" si="555"/>
        <v>0</v>
      </c>
      <c r="CQ88" s="55">
        <f t="shared" si="556"/>
        <v>0</v>
      </c>
      <c r="CR88" s="55">
        <f t="shared" si="557"/>
        <v>0</v>
      </c>
      <c r="CS88" s="55">
        <f t="shared" si="558"/>
        <v>0</v>
      </c>
      <c r="CT88" s="59">
        <f t="shared" si="559"/>
        <v>0</v>
      </c>
      <c r="CU88" s="55">
        <f t="shared" si="560"/>
        <v>0</v>
      </c>
      <c r="CV88" s="246">
        <f t="shared" si="561"/>
        <v>0</v>
      </c>
      <c r="CW88" s="55">
        <f t="shared" si="562"/>
        <v>0</v>
      </c>
      <c r="CX88" s="55">
        <f t="shared" si="563"/>
        <v>0</v>
      </c>
      <c r="CY88" s="55">
        <f t="shared" si="564"/>
        <v>0</v>
      </c>
      <c r="CZ88" s="249">
        <f t="shared" si="564"/>
        <v>0</v>
      </c>
      <c r="DA88" s="62" t="e">
        <f t="shared" si="565"/>
        <v>#DIV/0!</v>
      </c>
      <c r="DC88" s="66" t="s">
        <v>5</v>
      </c>
      <c r="DD88" s="198">
        <f t="shared" si="578"/>
        <v>0</v>
      </c>
      <c r="DE88" s="199">
        <f t="shared" si="579"/>
        <v>0</v>
      </c>
      <c r="DF88" s="198">
        <f t="shared" si="580"/>
        <v>0</v>
      </c>
      <c r="DG88" s="199">
        <f t="shared" si="581"/>
        <v>0</v>
      </c>
      <c r="DH88" s="198">
        <f t="shared" si="582"/>
        <v>0</v>
      </c>
      <c r="DI88" s="199">
        <f t="shared" si="583"/>
        <v>0</v>
      </c>
      <c r="DJ88" s="198">
        <f t="shared" si="584"/>
        <v>0</v>
      </c>
      <c r="DK88" s="199">
        <f t="shared" si="585"/>
        <v>0</v>
      </c>
      <c r="DL88" s="198">
        <f t="shared" si="586"/>
        <v>0</v>
      </c>
      <c r="DM88" s="199">
        <f t="shared" si="587"/>
        <v>0</v>
      </c>
      <c r="DN88" s="195">
        <f t="shared" si="588"/>
        <v>0</v>
      </c>
      <c r="DO88" s="196">
        <f t="shared" si="589"/>
        <v>0</v>
      </c>
      <c r="DP88" s="198">
        <f t="shared" si="590"/>
        <v>0</v>
      </c>
      <c r="DQ88" s="199">
        <f t="shared" si="591"/>
        <v>0</v>
      </c>
      <c r="DR88" s="198">
        <f t="shared" si="592"/>
        <v>0</v>
      </c>
      <c r="DS88" s="199">
        <f t="shared" si="593"/>
        <v>0</v>
      </c>
      <c r="DT88" s="198">
        <f t="shared" si="594"/>
        <v>0</v>
      </c>
      <c r="DU88" s="199">
        <f t="shared" si="595"/>
        <v>0</v>
      </c>
      <c r="DV88" s="198">
        <f t="shared" si="596"/>
        <v>0</v>
      </c>
      <c r="DW88" s="199">
        <f t="shared" si="597"/>
        <v>0</v>
      </c>
      <c r="DX88" s="198">
        <f t="shared" si="598"/>
        <v>0</v>
      </c>
      <c r="DY88" s="199">
        <f t="shared" si="599"/>
        <v>0</v>
      </c>
      <c r="DZ88" s="190">
        <f t="shared" si="600"/>
        <v>0</v>
      </c>
      <c r="EA88" s="199">
        <f t="shared" si="566"/>
        <v>0</v>
      </c>
      <c r="EB88" s="190" t="e">
        <f t="shared" si="601"/>
        <v>#DIV/0!</v>
      </c>
      <c r="EC88" s="190" t="e">
        <f t="shared" si="602"/>
        <v>#DIV/0!</v>
      </c>
    </row>
    <row r="89" spans="1:133" ht="25.5" x14ac:dyDescent="0.2">
      <c r="A89" s="66" t="s">
        <v>344</v>
      </c>
      <c r="B89" s="38">
        <f>targets!AW84</f>
        <v>0</v>
      </c>
      <c r="C89" s="242">
        <f>targets!AX84</f>
        <v>0</v>
      </c>
      <c r="D89" s="242">
        <f>targets!AY84</f>
        <v>0</v>
      </c>
      <c r="E89" s="242">
        <f>targets!AZ84</f>
        <v>0</v>
      </c>
      <c r="F89" s="242">
        <f>targets!BA84</f>
        <v>0</v>
      </c>
      <c r="G89" s="40">
        <f>SUM(targets!BB84:BG84)</f>
        <v>19734.417669667582</v>
      </c>
      <c r="H89" s="242">
        <f>SUM(targets!BH84:BM84)</f>
        <v>0</v>
      </c>
      <c r="I89" s="243">
        <f t="shared" si="567"/>
        <v>19734.417669667582</v>
      </c>
      <c r="J89" s="242">
        <f>targets!BN84</f>
        <v>0</v>
      </c>
      <c r="K89" s="242">
        <f>targets!BO84</f>
        <v>0</v>
      </c>
      <c r="L89" s="242">
        <f>targets!BP84</f>
        <v>0</v>
      </c>
      <c r="M89" s="178">
        <f t="shared" si="568"/>
        <v>0</v>
      </c>
      <c r="N89" s="17">
        <f t="shared" si="569"/>
        <v>19734.417669667582</v>
      </c>
      <c r="O89" s="17"/>
      <c r="P89" s="17"/>
      <c r="Q89" s="66" t="s">
        <v>344</v>
      </c>
      <c r="R89" s="38">
        <f t="shared" si="532"/>
        <v>0</v>
      </c>
      <c r="S89" s="242">
        <f t="shared" si="533"/>
        <v>0</v>
      </c>
      <c r="T89" s="242">
        <f t="shared" si="534"/>
        <v>0</v>
      </c>
      <c r="U89" s="242">
        <f t="shared" si="535"/>
        <v>0</v>
      </c>
      <c r="V89" s="242">
        <f t="shared" si="536"/>
        <v>0</v>
      </c>
      <c r="W89" s="40">
        <f t="shared" si="537"/>
        <v>0</v>
      </c>
      <c r="X89" s="242">
        <f t="shared" si="538"/>
        <v>0</v>
      </c>
      <c r="Y89" s="243">
        <f t="shared" si="570"/>
        <v>0</v>
      </c>
      <c r="Z89" s="242">
        <f t="shared" si="539"/>
        <v>0</v>
      </c>
      <c r="AA89" s="242">
        <f t="shared" si="540"/>
        <v>0</v>
      </c>
      <c r="AB89" s="242">
        <f t="shared" si="541"/>
        <v>0</v>
      </c>
      <c r="AC89" s="178">
        <f t="shared" si="571"/>
        <v>0</v>
      </c>
      <c r="AD89" s="17">
        <f t="shared" si="572"/>
        <v>0</v>
      </c>
      <c r="AF89" s="66" t="s">
        <v>43</v>
      </c>
      <c r="AG89" s="38">
        <f t="array" ref="AG89">SUM(IF((modeldata!$F:$F=calibration!$AF$80)*(modeldata!$G:$G=calibration!AG$82)*(modeldata!$H:$H=calibration!$AF89),modeldata!$E:$E,0))</f>
        <v>0</v>
      </c>
      <c r="AH89" s="242">
        <f t="array" ref="AH89">SUM(IF((modeldata!$F:$F=calibration!$AF$80)*(modeldata!$G:$G=calibration!AH$82)*(modeldata!$H:$H=calibration!$AF89),modeldata!$E:$E,0))</f>
        <v>0</v>
      </c>
      <c r="AI89" s="242">
        <f t="array" ref="AI89">SUM(IF((modeldata!$F:$F=calibration!$AF$80)*(modeldata!$G:$G=calibration!AI$82)*(modeldata!$H:$H=calibration!$AF89),modeldata!$E:$E,0))</f>
        <v>0</v>
      </c>
      <c r="AJ89" s="242">
        <f t="array" ref="AJ89">SUM(IF((modeldata!$F:$F=calibration!$AF$80)*(modeldata!$G:$G=calibration!AJ$82)*(modeldata!$H:$H=calibration!$AF89),modeldata!$E:$E,0))</f>
        <v>0</v>
      </c>
      <c r="AK89" s="242">
        <f t="array" ref="AK89">SUM(IF((modeldata!$F:$F=calibration!$AF$80)*(modeldata!$G:$G=calibration!AK$82)*(modeldata!$H:$H=calibration!$AF89),modeldata!$E:$E,0))</f>
        <v>0</v>
      </c>
      <c r="AL89" s="40">
        <f t="array" ref="AL89">SUM(IF((modeldata!$F:$F=calibration!$AF$80)*(modeldata!$G:$G=calibration!AL$82)*(modeldata!$H:$H=calibration!$AF89),modeldata!$E:$E,0))</f>
        <v>0</v>
      </c>
      <c r="AM89" s="242">
        <f t="array" ref="AM89">SUM(IF((modeldata!$F:$F=calibration!$AF$80)*(modeldata!$G:$G=calibration!AM$82)*(modeldata!$H:$H=calibration!$AF89),modeldata!$E:$E,0))</f>
        <v>0</v>
      </c>
      <c r="AN89" s="243">
        <f t="shared" si="611"/>
        <v>0</v>
      </c>
      <c r="AO89" s="242">
        <f t="array" ref="AO89">SUM(IF((modeldata!$F:$F=calibration!$AF$80)*(modeldata!$G:$G=calibration!AO$82)*(modeldata!$H:$H=calibration!$AF89),modeldata!$E:$E,0))</f>
        <v>0</v>
      </c>
      <c r="AP89" s="242">
        <f t="array" ref="AP89">SUM(IF((modeldata!$F:$F=calibration!$AF$80)*(modeldata!$G:$G=calibration!AP$82)*(modeldata!$H:$H=calibration!$AF89),modeldata!$E:$E,0))</f>
        <v>0</v>
      </c>
      <c r="AQ89" s="242">
        <f t="array" ref="AQ89">SUM(IF((modeldata!$F:$F=calibration!$AF$80)*(modeldata!$G:$G=calibration!AQ$82)*(modeldata!$H:$H=calibration!$AF89),modeldata!$E:$E,0))</f>
        <v>0</v>
      </c>
      <c r="AR89" s="178">
        <f t="shared" si="604"/>
        <v>0</v>
      </c>
      <c r="AS89" s="17">
        <f t="shared" si="573"/>
        <v>0</v>
      </c>
      <c r="AU89" s="66" t="s">
        <v>344</v>
      </c>
      <c r="AV89" s="38">
        <f t="shared" ref="AV89:BG90" si="614">IF(R103&gt;0,R89/R103,0)</f>
        <v>0</v>
      </c>
      <c r="AW89" s="242">
        <f t="shared" si="614"/>
        <v>0</v>
      </c>
      <c r="AX89" s="242">
        <f t="shared" si="614"/>
        <v>0</v>
      </c>
      <c r="AY89" s="242">
        <f t="shared" si="614"/>
        <v>0</v>
      </c>
      <c r="AZ89" s="242">
        <f t="shared" si="614"/>
        <v>0</v>
      </c>
      <c r="BA89" s="40">
        <f t="shared" si="614"/>
        <v>0</v>
      </c>
      <c r="BB89" s="242">
        <f t="shared" si="614"/>
        <v>0</v>
      </c>
      <c r="BC89" s="243">
        <f t="shared" si="614"/>
        <v>0</v>
      </c>
      <c r="BD89" s="242">
        <f t="shared" si="614"/>
        <v>0</v>
      </c>
      <c r="BE89" s="242">
        <f t="shared" si="614"/>
        <v>0</v>
      </c>
      <c r="BF89" s="242">
        <f t="shared" si="614"/>
        <v>0</v>
      </c>
      <c r="BG89" s="178">
        <f t="shared" si="614"/>
        <v>0</v>
      </c>
      <c r="BH89" s="24" t="e">
        <f>AD89/AD103</f>
        <v>#DIV/0!</v>
      </c>
      <c r="BJ89" s="66" t="s">
        <v>344</v>
      </c>
      <c r="BK89" s="38">
        <f t="shared" ref="BK89:BV89" si="615">IF(AG103&gt;0,AG89/AG103,0)</f>
        <v>0</v>
      </c>
      <c r="BL89" s="242">
        <f t="shared" si="615"/>
        <v>0</v>
      </c>
      <c r="BM89" s="242">
        <f t="shared" si="615"/>
        <v>0</v>
      </c>
      <c r="BN89" s="242">
        <f t="shared" si="615"/>
        <v>0</v>
      </c>
      <c r="BO89" s="242">
        <f t="shared" si="615"/>
        <v>0</v>
      </c>
      <c r="BP89" s="40">
        <f t="shared" si="615"/>
        <v>0</v>
      </c>
      <c r="BQ89" s="242">
        <f t="shared" si="615"/>
        <v>0</v>
      </c>
      <c r="BR89" s="243">
        <f t="shared" si="615"/>
        <v>0</v>
      </c>
      <c r="BS89" s="242">
        <f t="shared" si="615"/>
        <v>0</v>
      </c>
      <c r="BT89" s="242">
        <f t="shared" si="615"/>
        <v>0</v>
      </c>
      <c r="BU89" s="242">
        <f t="shared" si="615"/>
        <v>0</v>
      </c>
      <c r="BV89" s="178">
        <f t="shared" si="615"/>
        <v>0</v>
      </c>
      <c r="BW89" s="24" t="e">
        <f>AS89/AS103</f>
        <v>#DIV/0!</v>
      </c>
      <c r="BX89" s="24"/>
      <c r="BY89" s="66" t="s">
        <v>344</v>
      </c>
      <c r="BZ89" s="54">
        <f t="shared" si="576"/>
        <v>0</v>
      </c>
      <c r="CA89" s="55">
        <f t="shared" si="544"/>
        <v>0</v>
      </c>
      <c r="CB89" s="55">
        <f t="shared" si="545"/>
        <v>0</v>
      </c>
      <c r="CC89" s="55">
        <f t="shared" si="546"/>
        <v>0</v>
      </c>
      <c r="CD89" s="55">
        <f t="shared" si="547"/>
        <v>0</v>
      </c>
      <c r="CE89" s="60">
        <f t="shared" si="548"/>
        <v>0</v>
      </c>
      <c r="CF89" s="55">
        <f t="shared" si="549"/>
        <v>0</v>
      </c>
      <c r="CG89" s="246">
        <f t="shared" si="550"/>
        <v>0</v>
      </c>
      <c r="CH89" s="55">
        <f t="shared" si="551"/>
        <v>0</v>
      </c>
      <c r="CI89" s="55">
        <f t="shared" si="552"/>
        <v>0</v>
      </c>
      <c r="CJ89" s="55">
        <f t="shared" si="553"/>
        <v>0</v>
      </c>
      <c r="CK89" s="249">
        <f t="shared" si="553"/>
        <v>0</v>
      </c>
      <c r="CL89" s="55">
        <f t="shared" si="554"/>
        <v>0</v>
      </c>
      <c r="CN89" s="66" t="s">
        <v>344</v>
      </c>
      <c r="CO89" s="54">
        <f t="shared" si="577"/>
        <v>0</v>
      </c>
      <c r="CP89" s="55">
        <f t="shared" si="555"/>
        <v>0</v>
      </c>
      <c r="CQ89" s="55">
        <f t="shared" si="556"/>
        <v>0</v>
      </c>
      <c r="CR89" s="55">
        <f t="shared" si="557"/>
        <v>0</v>
      </c>
      <c r="CS89" s="55">
        <f t="shared" si="558"/>
        <v>0</v>
      </c>
      <c r="CT89" s="60">
        <f t="shared" si="559"/>
        <v>0</v>
      </c>
      <c r="CU89" s="55">
        <f t="shared" si="560"/>
        <v>0</v>
      </c>
      <c r="CV89" s="246">
        <f t="shared" si="561"/>
        <v>0</v>
      </c>
      <c r="CW89" s="55">
        <f t="shared" si="562"/>
        <v>0</v>
      </c>
      <c r="CX89" s="55">
        <f t="shared" si="563"/>
        <v>0</v>
      </c>
      <c r="CY89" s="55">
        <f t="shared" si="564"/>
        <v>0</v>
      </c>
      <c r="CZ89" s="249">
        <f t="shared" si="564"/>
        <v>0</v>
      </c>
      <c r="DA89" s="62" t="e">
        <f t="shared" si="565"/>
        <v>#DIV/0!</v>
      </c>
      <c r="DC89" s="66" t="s">
        <v>344</v>
      </c>
      <c r="DD89" s="198">
        <f t="shared" si="578"/>
        <v>0</v>
      </c>
      <c r="DE89" s="199">
        <f t="shared" si="579"/>
        <v>0</v>
      </c>
      <c r="DF89" s="198">
        <f t="shared" si="580"/>
        <v>0</v>
      </c>
      <c r="DG89" s="199">
        <f t="shared" si="581"/>
        <v>0</v>
      </c>
      <c r="DH89" s="198">
        <f t="shared" si="582"/>
        <v>0</v>
      </c>
      <c r="DI89" s="199">
        <f t="shared" si="583"/>
        <v>0</v>
      </c>
      <c r="DJ89" s="198">
        <f t="shared" si="584"/>
        <v>0</v>
      </c>
      <c r="DK89" s="199">
        <f t="shared" si="585"/>
        <v>0</v>
      </c>
      <c r="DL89" s="198">
        <f t="shared" si="586"/>
        <v>0</v>
      </c>
      <c r="DM89" s="199">
        <f t="shared" si="587"/>
        <v>0</v>
      </c>
      <c r="DN89" s="198">
        <f t="shared" si="588"/>
        <v>0</v>
      </c>
      <c r="DO89" s="199">
        <f t="shared" si="589"/>
        <v>0</v>
      </c>
      <c r="DP89" s="198">
        <f t="shared" si="590"/>
        <v>0</v>
      </c>
      <c r="DQ89" s="199">
        <f t="shared" si="591"/>
        <v>0</v>
      </c>
      <c r="DR89" s="198">
        <f t="shared" si="592"/>
        <v>0</v>
      </c>
      <c r="DS89" s="199">
        <f t="shared" si="593"/>
        <v>0</v>
      </c>
      <c r="DT89" s="198">
        <f t="shared" si="594"/>
        <v>0</v>
      </c>
      <c r="DU89" s="199">
        <f t="shared" si="595"/>
        <v>0</v>
      </c>
      <c r="DV89" s="198">
        <f t="shared" si="596"/>
        <v>0</v>
      </c>
      <c r="DW89" s="199">
        <f t="shared" si="597"/>
        <v>0</v>
      </c>
      <c r="DX89" s="198">
        <f t="shared" si="598"/>
        <v>0</v>
      </c>
      <c r="DY89" s="199">
        <f t="shared" si="599"/>
        <v>0</v>
      </c>
      <c r="DZ89" s="190">
        <f t="shared" si="600"/>
        <v>0</v>
      </c>
      <c r="EA89" s="199">
        <f t="shared" si="566"/>
        <v>0</v>
      </c>
      <c r="EB89" s="190" t="e">
        <f t="shared" si="601"/>
        <v>#DIV/0!</v>
      </c>
      <c r="EC89" s="190" t="e">
        <f t="shared" si="602"/>
        <v>#DIV/0!</v>
      </c>
    </row>
    <row r="90" spans="1:133" x14ac:dyDescent="0.2">
      <c r="A90" s="2" t="s">
        <v>346</v>
      </c>
      <c r="B90" s="38">
        <f>targets!AW85</f>
        <v>0</v>
      </c>
      <c r="C90" s="242">
        <f>targets!AX85</f>
        <v>0</v>
      </c>
      <c r="D90" s="242">
        <f>targets!AY85</f>
        <v>0</v>
      </c>
      <c r="E90" s="242">
        <f>targets!AZ85</f>
        <v>0</v>
      </c>
      <c r="F90" s="242">
        <f>targets!BA85</f>
        <v>0</v>
      </c>
      <c r="G90" s="40">
        <f>SUM(targets!BB85:BG85)</f>
        <v>6409.6034118136322</v>
      </c>
      <c r="H90" s="242">
        <f>SUM(targets!BH85:BM85)</f>
        <v>0</v>
      </c>
      <c r="I90" s="243">
        <f>SUM(G90:H90)</f>
        <v>6409.6034118136322</v>
      </c>
      <c r="J90" s="242">
        <f>targets!BN85</f>
        <v>0</v>
      </c>
      <c r="K90" s="242">
        <f>targets!BO85</f>
        <v>0</v>
      </c>
      <c r="L90" s="242">
        <f>targets!BP85</f>
        <v>0</v>
      </c>
      <c r="M90" s="178">
        <f>SUM(J90:L90)</f>
        <v>0</v>
      </c>
      <c r="N90" s="17">
        <f>SUM(B90:L90)-I90</f>
        <v>6409.6034118136322</v>
      </c>
      <c r="O90" s="17"/>
      <c r="P90" s="17"/>
      <c r="Q90" s="2" t="s">
        <v>346</v>
      </c>
      <c r="R90" s="38">
        <f t="shared" si="532"/>
        <v>0</v>
      </c>
      <c r="S90" s="242">
        <f t="shared" si="533"/>
        <v>0</v>
      </c>
      <c r="T90" s="242">
        <f t="shared" si="534"/>
        <v>0</v>
      </c>
      <c r="U90" s="242">
        <f t="shared" si="535"/>
        <v>0</v>
      </c>
      <c r="V90" s="242">
        <f t="shared" si="536"/>
        <v>0</v>
      </c>
      <c r="W90" s="40">
        <f t="shared" si="537"/>
        <v>0</v>
      </c>
      <c r="X90" s="242">
        <f t="shared" si="538"/>
        <v>0</v>
      </c>
      <c r="Y90" s="243">
        <f>SUM(W90:X90)</f>
        <v>0</v>
      </c>
      <c r="Z90" s="242">
        <f t="shared" si="539"/>
        <v>0</v>
      </c>
      <c r="AA90" s="242">
        <f t="shared" si="540"/>
        <v>0</v>
      </c>
      <c r="AB90" s="242">
        <f t="shared" si="541"/>
        <v>0</v>
      </c>
      <c r="AC90" s="178">
        <f>SUM(Z90:AB90)</f>
        <v>0</v>
      </c>
      <c r="AD90" s="17"/>
      <c r="AF90" s="2" t="s">
        <v>44</v>
      </c>
      <c r="AG90" s="38">
        <f t="array" ref="AG90">SUM(IF((modeldata!$F:$F=calibration!$AF$80)*(modeldata!$G:$G=calibration!AG$82)*(modeldata!$H:$H=calibration!$AF90),modeldata!$E:$E,0))</f>
        <v>0</v>
      </c>
      <c r="AH90" s="242">
        <f t="array" ref="AH90">SUM(IF((modeldata!$F:$F=calibration!$AF$80)*(modeldata!$G:$G=calibration!AH$82)*(modeldata!$H:$H=calibration!$AF90),modeldata!$E:$E,0))</f>
        <v>0</v>
      </c>
      <c r="AI90" s="242">
        <f t="array" ref="AI90">SUM(IF((modeldata!$F:$F=calibration!$AF$80)*(modeldata!$G:$G=calibration!AI$82)*(modeldata!$H:$H=calibration!$AF90),modeldata!$E:$E,0))</f>
        <v>0</v>
      </c>
      <c r="AJ90" s="242">
        <f t="array" ref="AJ90">SUM(IF((modeldata!$F:$F=calibration!$AF$80)*(modeldata!$G:$G=calibration!AJ$82)*(modeldata!$H:$H=calibration!$AF90),modeldata!$E:$E,0))</f>
        <v>0</v>
      </c>
      <c r="AK90" s="242">
        <f t="array" ref="AK90">SUM(IF((modeldata!$F:$F=calibration!$AF$80)*(modeldata!$G:$G=calibration!AK$82)*(modeldata!$H:$H=calibration!$AF90),modeldata!$E:$E,0))</f>
        <v>0</v>
      </c>
      <c r="AL90" s="40">
        <f t="array" ref="AL90">SUM(IF((modeldata!$F:$F=calibration!$AF$80)*(modeldata!$G:$G=calibration!AL$82)*(modeldata!$H:$H=calibration!$AF90),modeldata!$E:$E,0))</f>
        <v>0</v>
      </c>
      <c r="AM90" s="242">
        <f t="array" ref="AM90">SUM(IF((modeldata!$F:$F=calibration!$AF$80)*(modeldata!$G:$G=calibration!AM$82)*(modeldata!$H:$H=calibration!$AF90),modeldata!$E:$E,0))</f>
        <v>0</v>
      </c>
      <c r="AN90" s="243">
        <f t="shared" si="611"/>
        <v>0</v>
      </c>
      <c r="AO90" s="242">
        <f t="array" ref="AO90">SUM(IF((modeldata!$F:$F=calibration!$AF$80)*(modeldata!$G:$G=calibration!AO$82)*(modeldata!$H:$H=calibration!$AF90),modeldata!$E:$E,0))</f>
        <v>0</v>
      </c>
      <c r="AP90" s="242">
        <f t="array" ref="AP90">SUM(IF((modeldata!$F:$F=calibration!$AF$80)*(modeldata!$G:$G=calibration!AP$82)*(modeldata!$H:$H=calibration!$AF90),modeldata!$E:$E,0))</f>
        <v>0</v>
      </c>
      <c r="AQ90" s="242">
        <f t="array" ref="AQ90">SUM(IF((modeldata!$F:$F=calibration!$AF$80)*(modeldata!$G:$G=calibration!AQ$82)*(modeldata!$H:$H=calibration!$AF90),modeldata!$E:$E,0))</f>
        <v>0</v>
      </c>
      <c r="AR90" s="178">
        <f>SUM(AO90:AQ90)</f>
        <v>0</v>
      </c>
      <c r="AS90" s="17">
        <f>SUM(AG90:AQ90)-AN90</f>
        <v>0</v>
      </c>
      <c r="AU90" s="2" t="s">
        <v>346</v>
      </c>
      <c r="AV90" s="38">
        <f t="shared" si="614"/>
        <v>0</v>
      </c>
      <c r="AW90" s="242">
        <f t="shared" si="614"/>
        <v>0</v>
      </c>
      <c r="AX90" s="242">
        <f t="shared" si="614"/>
        <v>0</v>
      </c>
      <c r="AY90" s="242">
        <f t="shared" si="614"/>
        <v>0</v>
      </c>
      <c r="AZ90" s="242">
        <f t="shared" si="614"/>
        <v>0</v>
      </c>
      <c r="BA90" s="40">
        <f t="shared" si="614"/>
        <v>0</v>
      </c>
      <c r="BB90" s="242">
        <f t="shared" si="614"/>
        <v>0</v>
      </c>
      <c r="BC90" s="243">
        <f t="shared" si="614"/>
        <v>0</v>
      </c>
      <c r="BD90" s="242">
        <f t="shared" si="614"/>
        <v>0</v>
      </c>
      <c r="BE90" s="242">
        <f t="shared" si="614"/>
        <v>0</v>
      </c>
      <c r="BF90" s="242">
        <f t="shared" si="614"/>
        <v>0</v>
      </c>
      <c r="BG90" s="178">
        <f t="shared" si="614"/>
        <v>0</v>
      </c>
      <c r="BH90" s="24" t="e">
        <f>AD90/AD104</f>
        <v>#DIV/0!</v>
      </c>
      <c r="BJ90" s="2" t="s">
        <v>346</v>
      </c>
      <c r="BK90" s="38">
        <f t="shared" ref="BK90:BV90" si="616">IF(AG112&gt;0,AG90/AG112,0)</f>
        <v>0</v>
      </c>
      <c r="BL90" s="242">
        <f t="shared" si="616"/>
        <v>0</v>
      </c>
      <c r="BM90" s="242">
        <f t="shared" si="616"/>
        <v>0</v>
      </c>
      <c r="BN90" s="242">
        <f t="shared" si="616"/>
        <v>0</v>
      </c>
      <c r="BO90" s="242">
        <f t="shared" si="616"/>
        <v>0</v>
      </c>
      <c r="BP90" s="40">
        <f t="shared" si="616"/>
        <v>0</v>
      </c>
      <c r="BQ90" s="242">
        <f t="shared" si="616"/>
        <v>0</v>
      </c>
      <c r="BR90" s="243">
        <f t="shared" si="616"/>
        <v>0</v>
      </c>
      <c r="BS90" s="242">
        <f t="shared" si="616"/>
        <v>0</v>
      </c>
      <c r="BT90" s="242">
        <f t="shared" si="616"/>
        <v>0</v>
      </c>
      <c r="BU90" s="242">
        <f t="shared" si="616"/>
        <v>0</v>
      </c>
      <c r="BV90" s="178">
        <f t="shared" si="616"/>
        <v>0</v>
      </c>
      <c r="BW90" s="24" t="e">
        <f>AS90/AS112</f>
        <v>#DIV/0!</v>
      </c>
      <c r="BX90" s="24"/>
      <c r="BY90" s="2" t="s">
        <v>346</v>
      </c>
      <c r="BZ90" s="54">
        <f t="shared" ref="BZ90:CL90" si="617">AG90-R90</f>
        <v>0</v>
      </c>
      <c r="CA90" s="55">
        <f t="shared" si="617"/>
        <v>0</v>
      </c>
      <c r="CB90" s="55">
        <f t="shared" si="617"/>
        <v>0</v>
      </c>
      <c r="CC90" s="55">
        <f t="shared" si="617"/>
        <v>0</v>
      </c>
      <c r="CD90" s="55">
        <f t="shared" si="617"/>
        <v>0</v>
      </c>
      <c r="CE90" s="60">
        <f t="shared" si="617"/>
        <v>0</v>
      </c>
      <c r="CF90" s="55">
        <f t="shared" si="617"/>
        <v>0</v>
      </c>
      <c r="CG90" s="246">
        <f t="shared" si="617"/>
        <v>0</v>
      </c>
      <c r="CH90" s="55">
        <f t="shared" si="617"/>
        <v>0</v>
      </c>
      <c r="CI90" s="55">
        <f t="shared" si="617"/>
        <v>0</v>
      </c>
      <c r="CJ90" s="55">
        <f t="shared" si="617"/>
        <v>0</v>
      </c>
      <c r="CK90" s="249">
        <f t="shared" si="617"/>
        <v>0</v>
      </c>
      <c r="CL90" s="55">
        <f t="shared" si="617"/>
        <v>0</v>
      </c>
      <c r="CN90" s="2" t="s">
        <v>346</v>
      </c>
      <c r="CO90" s="54">
        <f t="shared" ref="CO90:DA90" si="618">BK90-AV90</f>
        <v>0</v>
      </c>
      <c r="CP90" s="55">
        <f t="shared" si="618"/>
        <v>0</v>
      </c>
      <c r="CQ90" s="55">
        <f t="shared" si="618"/>
        <v>0</v>
      </c>
      <c r="CR90" s="55">
        <f t="shared" si="618"/>
        <v>0</v>
      </c>
      <c r="CS90" s="55">
        <f t="shared" si="618"/>
        <v>0</v>
      </c>
      <c r="CT90" s="60">
        <f t="shared" si="618"/>
        <v>0</v>
      </c>
      <c r="CU90" s="55">
        <f t="shared" si="618"/>
        <v>0</v>
      </c>
      <c r="CV90" s="246">
        <f t="shared" si="618"/>
        <v>0</v>
      </c>
      <c r="CW90" s="55">
        <f t="shared" si="618"/>
        <v>0</v>
      </c>
      <c r="CX90" s="55">
        <f t="shared" si="618"/>
        <v>0</v>
      </c>
      <c r="CY90" s="55">
        <f t="shared" si="618"/>
        <v>0</v>
      </c>
      <c r="CZ90" s="249">
        <f t="shared" si="618"/>
        <v>0</v>
      </c>
      <c r="DA90" s="62" t="e">
        <f t="shared" si="618"/>
        <v>#DIV/0!</v>
      </c>
      <c r="DC90" s="2" t="s">
        <v>346</v>
      </c>
      <c r="DD90" s="198">
        <f>AV90</f>
        <v>0</v>
      </c>
      <c r="DE90" s="199">
        <f>BK90</f>
        <v>0</v>
      </c>
      <c r="DF90" s="198">
        <f>AW90</f>
        <v>0</v>
      </c>
      <c r="DG90" s="199">
        <f>BL90</f>
        <v>0</v>
      </c>
      <c r="DH90" s="198">
        <f>AX90</f>
        <v>0</v>
      </c>
      <c r="DI90" s="199">
        <f>BM90</f>
        <v>0</v>
      </c>
      <c r="DJ90" s="198">
        <f>AY90</f>
        <v>0</v>
      </c>
      <c r="DK90" s="199">
        <f>BN90</f>
        <v>0</v>
      </c>
      <c r="DL90" s="198">
        <f>AZ90</f>
        <v>0</v>
      </c>
      <c r="DM90" s="199">
        <f>BO90</f>
        <v>0</v>
      </c>
      <c r="DN90" s="198">
        <f>BA90</f>
        <v>0</v>
      </c>
      <c r="DO90" s="199">
        <f>BP90</f>
        <v>0</v>
      </c>
      <c r="DP90" s="198">
        <f>BB90</f>
        <v>0</v>
      </c>
      <c r="DQ90" s="199">
        <f>BQ90</f>
        <v>0</v>
      </c>
      <c r="DR90" s="198">
        <f>BC90</f>
        <v>0</v>
      </c>
      <c r="DS90" s="199">
        <f>BR90</f>
        <v>0</v>
      </c>
      <c r="DT90" s="198">
        <f>BD90</f>
        <v>0</v>
      </c>
      <c r="DU90" s="199">
        <f>BS90</f>
        <v>0</v>
      </c>
      <c r="DV90" s="198">
        <f>BE90</f>
        <v>0</v>
      </c>
      <c r="DW90" s="199">
        <f>BT90</f>
        <v>0</v>
      </c>
      <c r="DX90" s="198">
        <f>BF90</f>
        <v>0</v>
      </c>
      <c r="DY90" s="199">
        <f>BU90</f>
        <v>0</v>
      </c>
      <c r="DZ90" s="190">
        <f>BG90</f>
        <v>0</v>
      </c>
      <c r="EA90" s="199">
        <f>BV90</f>
        <v>0</v>
      </c>
      <c r="EB90" s="190" t="e">
        <f>BH90</f>
        <v>#DIV/0!</v>
      </c>
      <c r="EC90" s="190" t="e">
        <f>BW90</f>
        <v>#DIV/0!</v>
      </c>
    </row>
    <row r="91" spans="1:133" x14ac:dyDescent="0.2">
      <c r="A91" s="64" t="s">
        <v>45</v>
      </c>
      <c r="B91" s="38">
        <f>targets!AW86</f>
        <v>0</v>
      </c>
      <c r="C91" s="242">
        <f>targets!AX86</f>
        <v>0</v>
      </c>
      <c r="D91" s="242">
        <f>targets!AY86</f>
        <v>0</v>
      </c>
      <c r="E91" s="242">
        <f>targets!AZ86</f>
        <v>0</v>
      </c>
      <c r="F91" s="242">
        <f>targets!BA86</f>
        <v>0</v>
      </c>
      <c r="G91" s="40">
        <f>SUM(targets!BB86:BG86)</f>
        <v>18663.310203135592</v>
      </c>
      <c r="H91" s="242">
        <f>SUM(targets!BH86:BM86)</f>
        <v>0</v>
      </c>
      <c r="I91" s="243">
        <f t="shared" si="567"/>
        <v>18663.310203135592</v>
      </c>
      <c r="J91" s="242">
        <f>targets!BN86</f>
        <v>0</v>
      </c>
      <c r="K91" s="242">
        <f>targets!BO86</f>
        <v>0</v>
      </c>
      <c r="L91" s="242">
        <f>targets!BP86</f>
        <v>0</v>
      </c>
      <c r="M91" s="178">
        <f t="shared" si="568"/>
        <v>0</v>
      </c>
      <c r="N91" s="17">
        <f t="shared" si="569"/>
        <v>18663.310203135592</v>
      </c>
      <c r="O91" s="17"/>
      <c r="P91" s="17"/>
      <c r="Q91" s="64" t="s">
        <v>45</v>
      </c>
      <c r="R91" s="38">
        <f t="shared" si="532"/>
        <v>0</v>
      </c>
      <c r="S91" s="242">
        <f t="shared" si="533"/>
        <v>0</v>
      </c>
      <c r="T91" s="242">
        <f t="shared" si="534"/>
        <v>0</v>
      </c>
      <c r="U91" s="242">
        <f t="shared" si="535"/>
        <v>0</v>
      </c>
      <c r="V91" s="242">
        <f t="shared" si="536"/>
        <v>0</v>
      </c>
      <c r="W91" s="40">
        <f t="shared" si="537"/>
        <v>0</v>
      </c>
      <c r="X91" s="242">
        <f t="shared" si="538"/>
        <v>0</v>
      </c>
      <c r="Y91" s="243">
        <f t="shared" si="570"/>
        <v>0</v>
      </c>
      <c r="Z91" s="242">
        <f t="shared" si="539"/>
        <v>0</v>
      </c>
      <c r="AA91" s="242">
        <f t="shared" si="540"/>
        <v>0</v>
      </c>
      <c r="AB91" s="242">
        <f t="shared" si="541"/>
        <v>0</v>
      </c>
      <c r="AC91" s="178">
        <f t="shared" si="571"/>
        <v>0</v>
      </c>
      <c r="AD91" s="17">
        <f t="shared" si="572"/>
        <v>0</v>
      </c>
      <c r="AF91" s="64" t="s">
        <v>45</v>
      </c>
      <c r="AG91" s="38">
        <f t="array" ref="AG91">SUM(IF((modeldata!$F:$F=calibration!$AF$80)*(modeldata!$G:$G=calibration!AG$82)*(modeldata!$H:$H=calibration!$AF91),modeldata!$E:$E,0))</f>
        <v>0</v>
      </c>
      <c r="AH91" s="242">
        <f t="array" ref="AH91">SUM(IF((modeldata!$F:$F=calibration!$AF$80)*(modeldata!$G:$G=calibration!AH$82)*(modeldata!$H:$H=calibration!$AF91),modeldata!$E:$E,0))</f>
        <v>0</v>
      </c>
      <c r="AI91" s="242">
        <f t="array" ref="AI91">SUM(IF((modeldata!$F:$F=calibration!$AF$80)*(modeldata!$G:$G=calibration!AI$82)*(modeldata!$H:$H=calibration!$AF91),modeldata!$E:$E,0))</f>
        <v>0</v>
      </c>
      <c r="AJ91" s="242">
        <f t="array" ref="AJ91">SUM(IF((modeldata!$F:$F=calibration!$AF$80)*(modeldata!$G:$G=calibration!AJ$82)*(modeldata!$H:$H=calibration!$AF91),modeldata!$E:$E,0))</f>
        <v>0</v>
      </c>
      <c r="AK91" s="242">
        <f t="array" ref="AK91">SUM(IF((modeldata!$F:$F=calibration!$AF$80)*(modeldata!$G:$G=calibration!AK$82)*(modeldata!$H:$H=calibration!$AF91),modeldata!$E:$E,0))</f>
        <v>0</v>
      </c>
      <c r="AL91" s="40">
        <f t="array" ref="AL91">SUM(IF((modeldata!$F:$F=calibration!$AF$80)*(modeldata!$G:$G=calibration!AL$82)*(modeldata!$H:$H=calibration!$AF91),modeldata!$E:$E,0))</f>
        <v>0</v>
      </c>
      <c r="AM91" s="242">
        <f t="array" ref="AM91">SUM(IF((modeldata!$F:$F=calibration!$AF$80)*(modeldata!$G:$G=calibration!AM$82)*(modeldata!$H:$H=calibration!$AF91),modeldata!$E:$E,0))</f>
        <v>0</v>
      </c>
      <c r="AN91" s="243">
        <f t="shared" si="611"/>
        <v>0</v>
      </c>
      <c r="AO91" s="242">
        <f t="array" ref="AO91">SUM(IF((modeldata!$F:$F=calibration!$AF$80)*(modeldata!$G:$G=calibration!AO$82)*(modeldata!$H:$H=calibration!$AF91),modeldata!$E:$E,0))</f>
        <v>0</v>
      </c>
      <c r="AP91" s="242">
        <f t="array" ref="AP91">SUM(IF((modeldata!$F:$F=calibration!$AF$80)*(modeldata!$G:$G=calibration!AP$82)*(modeldata!$H:$H=calibration!$AF91),modeldata!$E:$E,0))</f>
        <v>0</v>
      </c>
      <c r="AQ91" s="242">
        <f t="array" ref="AQ91">SUM(IF((modeldata!$F:$F=calibration!$AF$80)*(modeldata!$G:$G=calibration!AQ$82)*(modeldata!$H:$H=calibration!$AF91),modeldata!$E:$E,0))</f>
        <v>0</v>
      </c>
      <c r="AR91" s="178">
        <f t="shared" si="604"/>
        <v>0</v>
      </c>
      <c r="AS91" s="17">
        <f t="shared" si="573"/>
        <v>0</v>
      </c>
      <c r="AU91" s="64" t="s">
        <v>45</v>
      </c>
      <c r="AV91" s="38">
        <f t="shared" ref="AV91:BG91" si="619">IF(R103&gt;0,R91/R103,0)</f>
        <v>0</v>
      </c>
      <c r="AW91" s="242">
        <f t="shared" si="619"/>
        <v>0</v>
      </c>
      <c r="AX91" s="242">
        <f t="shared" si="619"/>
        <v>0</v>
      </c>
      <c r="AY91" s="242">
        <f t="shared" si="619"/>
        <v>0</v>
      </c>
      <c r="AZ91" s="242">
        <f t="shared" si="619"/>
        <v>0</v>
      </c>
      <c r="BA91" s="40">
        <f t="shared" si="619"/>
        <v>0</v>
      </c>
      <c r="BB91" s="242">
        <f t="shared" si="619"/>
        <v>0</v>
      </c>
      <c r="BC91" s="243">
        <f t="shared" si="619"/>
        <v>0</v>
      </c>
      <c r="BD91" s="242">
        <f t="shared" si="619"/>
        <v>0</v>
      </c>
      <c r="BE91" s="242">
        <f t="shared" si="619"/>
        <v>0</v>
      </c>
      <c r="BF91" s="242">
        <f t="shared" si="619"/>
        <v>0</v>
      </c>
      <c r="BG91" s="178">
        <f t="shared" si="619"/>
        <v>0</v>
      </c>
      <c r="BH91" s="24" t="e">
        <f>AD91/AD103</f>
        <v>#DIV/0!</v>
      </c>
      <c r="BJ91" s="64" t="s">
        <v>45</v>
      </c>
      <c r="BK91" s="38">
        <f t="shared" ref="BK91:BV91" si="620">IF(AG103&gt;0,AG91/AG103,0)</f>
        <v>0</v>
      </c>
      <c r="BL91" s="242">
        <f t="shared" si="620"/>
        <v>0</v>
      </c>
      <c r="BM91" s="242">
        <f t="shared" si="620"/>
        <v>0</v>
      </c>
      <c r="BN91" s="242">
        <f t="shared" si="620"/>
        <v>0</v>
      </c>
      <c r="BO91" s="242">
        <f t="shared" si="620"/>
        <v>0</v>
      </c>
      <c r="BP91" s="40">
        <f t="shared" si="620"/>
        <v>0</v>
      </c>
      <c r="BQ91" s="242">
        <f t="shared" si="620"/>
        <v>0</v>
      </c>
      <c r="BR91" s="243">
        <f t="shared" si="620"/>
        <v>0</v>
      </c>
      <c r="BS91" s="242">
        <f t="shared" si="620"/>
        <v>0</v>
      </c>
      <c r="BT91" s="242">
        <f t="shared" si="620"/>
        <v>0</v>
      </c>
      <c r="BU91" s="242">
        <f t="shared" si="620"/>
        <v>0</v>
      </c>
      <c r="BV91" s="178">
        <f t="shared" si="620"/>
        <v>0</v>
      </c>
      <c r="BW91" s="24" t="e">
        <f>AS91/AS103</f>
        <v>#DIV/0!</v>
      </c>
      <c r="BX91" s="24"/>
      <c r="BY91" s="64" t="s">
        <v>45</v>
      </c>
      <c r="BZ91" s="54">
        <f t="shared" si="576"/>
        <v>0</v>
      </c>
      <c r="CA91" s="55">
        <f t="shared" si="544"/>
        <v>0</v>
      </c>
      <c r="CB91" s="55">
        <f t="shared" si="545"/>
        <v>0</v>
      </c>
      <c r="CC91" s="55">
        <f t="shared" si="546"/>
        <v>0</v>
      </c>
      <c r="CD91" s="55">
        <f t="shared" si="547"/>
        <v>0</v>
      </c>
      <c r="CE91" s="60">
        <f t="shared" si="548"/>
        <v>0</v>
      </c>
      <c r="CF91" s="55">
        <f t="shared" si="549"/>
        <v>0</v>
      </c>
      <c r="CG91" s="246">
        <f t="shared" si="550"/>
        <v>0</v>
      </c>
      <c r="CH91" s="55">
        <f t="shared" si="551"/>
        <v>0</v>
      </c>
      <c r="CI91" s="55">
        <f t="shared" si="552"/>
        <v>0</v>
      </c>
      <c r="CJ91" s="55">
        <f t="shared" si="553"/>
        <v>0</v>
      </c>
      <c r="CK91" s="249">
        <f t="shared" si="553"/>
        <v>0</v>
      </c>
      <c r="CL91" s="55">
        <f t="shared" si="554"/>
        <v>0</v>
      </c>
      <c r="CN91" s="64" t="s">
        <v>45</v>
      </c>
      <c r="CO91" s="54">
        <f t="shared" si="577"/>
        <v>0</v>
      </c>
      <c r="CP91" s="55">
        <f t="shared" si="555"/>
        <v>0</v>
      </c>
      <c r="CQ91" s="55">
        <f t="shared" si="556"/>
        <v>0</v>
      </c>
      <c r="CR91" s="55">
        <f t="shared" si="557"/>
        <v>0</v>
      </c>
      <c r="CS91" s="55">
        <f t="shared" si="558"/>
        <v>0</v>
      </c>
      <c r="CT91" s="60">
        <f t="shared" si="559"/>
        <v>0</v>
      </c>
      <c r="CU91" s="55">
        <f t="shared" si="560"/>
        <v>0</v>
      </c>
      <c r="CV91" s="246">
        <f t="shared" si="561"/>
        <v>0</v>
      </c>
      <c r="CW91" s="55">
        <f t="shared" si="562"/>
        <v>0</v>
      </c>
      <c r="CX91" s="55">
        <f t="shared" si="563"/>
        <v>0</v>
      </c>
      <c r="CY91" s="55">
        <f t="shared" si="564"/>
        <v>0</v>
      </c>
      <c r="CZ91" s="249">
        <f t="shared" si="564"/>
        <v>0</v>
      </c>
      <c r="DA91" s="62" t="e">
        <f t="shared" si="565"/>
        <v>#DIV/0!</v>
      </c>
      <c r="DC91" s="64" t="s">
        <v>45</v>
      </c>
      <c r="DD91" s="198">
        <f t="shared" si="578"/>
        <v>0</v>
      </c>
      <c r="DE91" s="199">
        <f t="shared" si="579"/>
        <v>0</v>
      </c>
      <c r="DF91" s="198">
        <f t="shared" si="580"/>
        <v>0</v>
      </c>
      <c r="DG91" s="199">
        <f t="shared" si="581"/>
        <v>0</v>
      </c>
      <c r="DH91" s="198">
        <f t="shared" si="582"/>
        <v>0</v>
      </c>
      <c r="DI91" s="199">
        <f t="shared" si="583"/>
        <v>0</v>
      </c>
      <c r="DJ91" s="198">
        <f t="shared" si="584"/>
        <v>0</v>
      </c>
      <c r="DK91" s="199">
        <f t="shared" si="585"/>
        <v>0</v>
      </c>
      <c r="DL91" s="198">
        <f t="shared" si="586"/>
        <v>0</v>
      </c>
      <c r="DM91" s="199">
        <f t="shared" si="587"/>
        <v>0</v>
      </c>
      <c r="DN91" s="198">
        <f t="shared" si="588"/>
        <v>0</v>
      </c>
      <c r="DO91" s="199">
        <f t="shared" si="589"/>
        <v>0</v>
      </c>
      <c r="DP91" s="198">
        <f t="shared" si="590"/>
        <v>0</v>
      </c>
      <c r="DQ91" s="199">
        <f t="shared" si="591"/>
        <v>0</v>
      </c>
      <c r="DR91" s="198">
        <f t="shared" si="592"/>
        <v>0</v>
      </c>
      <c r="DS91" s="199">
        <f t="shared" si="593"/>
        <v>0</v>
      </c>
      <c r="DT91" s="198">
        <f t="shared" si="594"/>
        <v>0</v>
      </c>
      <c r="DU91" s="199">
        <f t="shared" si="595"/>
        <v>0</v>
      </c>
      <c r="DV91" s="198">
        <f t="shared" si="596"/>
        <v>0</v>
      </c>
      <c r="DW91" s="199">
        <f t="shared" si="597"/>
        <v>0</v>
      </c>
      <c r="DX91" s="198">
        <f t="shared" si="598"/>
        <v>0</v>
      </c>
      <c r="DY91" s="199">
        <f t="shared" si="599"/>
        <v>0</v>
      </c>
      <c r="DZ91" s="190">
        <f t="shared" si="600"/>
        <v>0</v>
      </c>
      <c r="EA91" s="199">
        <f t="shared" si="566"/>
        <v>0</v>
      </c>
      <c r="EB91" s="190" t="e">
        <f t="shared" si="601"/>
        <v>#DIV/0!</v>
      </c>
      <c r="EC91" s="190" t="e">
        <f t="shared" si="602"/>
        <v>#DIV/0!</v>
      </c>
    </row>
    <row r="92" spans="1:133" x14ac:dyDescent="0.2">
      <c r="A92" s="64" t="s">
        <v>46</v>
      </c>
      <c r="B92" s="38">
        <f>targets!AW87</f>
        <v>0</v>
      </c>
      <c r="C92" s="242">
        <f>targets!AX87</f>
        <v>0</v>
      </c>
      <c r="D92" s="242">
        <f>targets!AY87</f>
        <v>0</v>
      </c>
      <c r="E92" s="242">
        <f>targets!AZ87</f>
        <v>0</v>
      </c>
      <c r="F92" s="242">
        <f>targets!BA87</f>
        <v>0</v>
      </c>
      <c r="G92" s="40">
        <f>SUM(targets!BB87:BG87)</f>
        <v>2707.0278302720262</v>
      </c>
      <c r="H92" s="242">
        <f>SUM(targets!BH87:BM87)</f>
        <v>0</v>
      </c>
      <c r="I92" s="243">
        <f t="shared" si="567"/>
        <v>2707.0278302720262</v>
      </c>
      <c r="J92" s="242">
        <f>targets!BN87</f>
        <v>0</v>
      </c>
      <c r="K92" s="242">
        <f>targets!BO87</f>
        <v>0</v>
      </c>
      <c r="L92" s="242">
        <f>targets!BP87</f>
        <v>0</v>
      </c>
      <c r="M92" s="178">
        <f t="shared" si="568"/>
        <v>0</v>
      </c>
      <c r="N92" s="17">
        <f t="shared" si="569"/>
        <v>2707.0278302720262</v>
      </c>
      <c r="O92" s="17"/>
      <c r="P92" s="17"/>
      <c r="Q92" s="64" t="s">
        <v>46</v>
      </c>
      <c r="R92" s="38">
        <f t="shared" si="532"/>
        <v>0</v>
      </c>
      <c r="S92" s="242">
        <f t="shared" si="533"/>
        <v>0</v>
      </c>
      <c r="T92" s="242">
        <f t="shared" si="534"/>
        <v>0</v>
      </c>
      <c r="U92" s="242">
        <f t="shared" si="535"/>
        <v>0</v>
      </c>
      <c r="V92" s="242">
        <f t="shared" si="536"/>
        <v>0</v>
      </c>
      <c r="W92" s="40">
        <f t="shared" si="537"/>
        <v>0</v>
      </c>
      <c r="X92" s="242">
        <f t="shared" si="538"/>
        <v>0</v>
      </c>
      <c r="Y92" s="243">
        <f t="shared" si="570"/>
        <v>0</v>
      </c>
      <c r="Z92" s="242">
        <f t="shared" si="539"/>
        <v>0</v>
      </c>
      <c r="AA92" s="242">
        <f t="shared" si="540"/>
        <v>0</v>
      </c>
      <c r="AB92" s="242">
        <f t="shared" si="541"/>
        <v>0</v>
      </c>
      <c r="AC92" s="178">
        <f t="shared" si="571"/>
        <v>0</v>
      </c>
      <c r="AD92" s="17">
        <f t="shared" si="572"/>
        <v>0</v>
      </c>
      <c r="AF92" s="64" t="s">
        <v>46</v>
      </c>
      <c r="AG92" s="38">
        <f t="array" ref="AG92">SUM(IF((modeldata!$F:$F=calibration!$AF$80)*(modeldata!$G:$G=calibration!AG$82)*(modeldata!$H:$H=calibration!$AF92),modeldata!$E:$E,0))</f>
        <v>0</v>
      </c>
      <c r="AH92" s="242">
        <f t="array" ref="AH92">SUM(IF((modeldata!$F:$F=calibration!$AF$80)*(modeldata!$G:$G=calibration!AH$82)*(modeldata!$H:$H=calibration!$AF92),modeldata!$E:$E,0))</f>
        <v>0</v>
      </c>
      <c r="AI92" s="242">
        <f t="array" ref="AI92">SUM(IF((modeldata!$F:$F=calibration!$AF$80)*(modeldata!$G:$G=calibration!AI$82)*(modeldata!$H:$H=calibration!$AF92),modeldata!$E:$E,0))</f>
        <v>0</v>
      </c>
      <c r="AJ92" s="242">
        <f t="array" ref="AJ92">SUM(IF((modeldata!$F:$F=calibration!$AF$80)*(modeldata!$G:$G=calibration!AJ$82)*(modeldata!$H:$H=calibration!$AF92),modeldata!$E:$E,0))</f>
        <v>0</v>
      </c>
      <c r="AK92" s="242">
        <f t="array" ref="AK92">SUM(IF((modeldata!$F:$F=calibration!$AF$80)*(modeldata!$G:$G=calibration!AK$82)*(modeldata!$H:$H=calibration!$AF92),modeldata!$E:$E,0))</f>
        <v>0</v>
      </c>
      <c r="AL92" s="40">
        <f t="array" ref="AL92">SUM(IF((modeldata!$F:$F=calibration!$AF$80)*(modeldata!$G:$G=calibration!AL$82)*(modeldata!$H:$H=calibration!$AF92),modeldata!$E:$E,0))</f>
        <v>0</v>
      </c>
      <c r="AM92" s="242">
        <f t="array" ref="AM92">SUM(IF((modeldata!$F:$F=calibration!$AF$80)*(modeldata!$G:$G=calibration!AM$82)*(modeldata!$H:$H=calibration!$AF92),modeldata!$E:$E,0))</f>
        <v>0</v>
      </c>
      <c r="AN92" s="243">
        <f t="shared" si="611"/>
        <v>0</v>
      </c>
      <c r="AO92" s="242">
        <f t="array" ref="AO92">SUM(IF((modeldata!$F:$F=calibration!$AF$80)*(modeldata!$G:$G=calibration!AO$82)*(modeldata!$H:$H=calibration!$AF92),modeldata!$E:$E,0))</f>
        <v>0</v>
      </c>
      <c r="AP92" s="242">
        <f t="array" ref="AP92">SUM(IF((modeldata!$F:$F=calibration!$AF$80)*(modeldata!$G:$G=calibration!AP$82)*(modeldata!$H:$H=calibration!$AF92),modeldata!$E:$E,0))</f>
        <v>0</v>
      </c>
      <c r="AQ92" s="242">
        <f t="array" ref="AQ92">SUM(IF((modeldata!$F:$F=calibration!$AF$80)*(modeldata!$G:$G=calibration!AQ$82)*(modeldata!$H:$H=calibration!$AF92),modeldata!$E:$E,0))</f>
        <v>0</v>
      </c>
      <c r="AR92" s="178">
        <f t="shared" si="604"/>
        <v>0</v>
      </c>
      <c r="AS92" s="17">
        <f t="shared" si="573"/>
        <v>0</v>
      </c>
      <c r="AU92" s="64" t="s">
        <v>46</v>
      </c>
      <c r="AV92" s="38">
        <f t="shared" ref="AV92:BG92" si="621">IF(R103&gt;0,R92/R103,0)</f>
        <v>0</v>
      </c>
      <c r="AW92" s="242">
        <f t="shared" si="621"/>
        <v>0</v>
      </c>
      <c r="AX92" s="242">
        <f t="shared" si="621"/>
        <v>0</v>
      </c>
      <c r="AY92" s="242">
        <f t="shared" si="621"/>
        <v>0</v>
      </c>
      <c r="AZ92" s="242">
        <f t="shared" si="621"/>
        <v>0</v>
      </c>
      <c r="BA92" s="40">
        <f t="shared" si="621"/>
        <v>0</v>
      </c>
      <c r="BB92" s="242">
        <f t="shared" si="621"/>
        <v>0</v>
      </c>
      <c r="BC92" s="243">
        <f t="shared" si="621"/>
        <v>0</v>
      </c>
      <c r="BD92" s="242">
        <f t="shared" si="621"/>
        <v>0</v>
      </c>
      <c r="BE92" s="242">
        <f t="shared" si="621"/>
        <v>0</v>
      </c>
      <c r="BF92" s="242">
        <f t="shared" si="621"/>
        <v>0</v>
      </c>
      <c r="BG92" s="178">
        <f t="shared" si="621"/>
        <v>0</v>
      </c>
      <c r="BH92" s="24" t="e">
        <f>AD92/AD103</f>
        <v>#DIV/0!</v>
      </c>
      <c r="BJ92" s="64" t="s">
        <v>46</v>
      </c>
      <c r="BK92" s="38">
        <f t="shared" ref="BK92:BV92" si="622">IF(AG103&gt;0,AG92/AG103,0)</f>
        <v>0</v>
      </c>
      <c r="BL92" s="242">
        <f t="shared" si="622"/>
        <v>0</v>
      </c>
      <c r="BM92" s="242">
        <f t="shared" si="622"/>
        <v>0</v>
      </c>
      <c r="BN92" s="242">
        <f t="shared" si="622"/>
        <v>0</v>
      </c>
      <c r="BO92" s="242">
        <f t="shared" si="622"/>
        <v>0</v>
      </c>
      <c r="BP92" s="40">
        <f t="shared" si="622"/>
        <v>0</v>
      </c>
      <c r="BQ92" s="242">
        <f t="shared" si="622"/>
        <v>0</v>
      </c>
      <c r="BR92" s="243">
        <f t="shared" si="622"/>
        <v>0</v>
      </c>
      <c r="BS92" s="242">
        <f t="shared" si="622"/>
        <v>0</v>
      </c>
      <c r="BT92" s="242">
        <f t="shared" si="622"/>
        <v>0</v>
      </c>
      <c r="BU92" s="242">
        <f t="shared" si="622"/>
        <v>0</v>
      </c>
      <c r="BV92" s="178">
        <f t="shared" si="622"/>
        <v>0</v>
      </c>
      <c r="BW92" s="24" t="e">
        <f>AS92/AS103</f>
        <v>#DIV/0!</v>
      </c>
      <c r="BX92" s="24"/>
      <c r="BY92" s="64" t="s">
        <v>46</v>
      </c>
      <c r="BZ92" s="54">
        <f t="shared" si="576"/>
        <v>0</v>
      </c>
      <c r="CA92" s="55">
        <f t="shared" si="544"/>
        <v>0</v>
      </c>
      <c r="CB92" s="55">
        <f t="shared" si="545"/>
        <v>0</v>
      </c>
      <c r="CC92" s="55">
        <f t="shared" si="546"/>
        <v>0</v>
      </c>
      <c r="CD92" s="55">
        <f t="shared" si="547"/>
        <v>0</v>
      </c>
      <c r="CE92" s="60">
        <f t="shared" si="548"/>
        <v>0</v>
      </c>
      <c r="CF92" s="55">
        <f t="shared" si="549"/>
        <v>0</v>
      </c>
      <c r="CG92" s="246">
        <f t="shared" si="550"/>
        <v>0</v>
      </c>
      <c r="CH92" s="55">
        <f t="shared" si="551"/>
        <v>0</v>
      </c>
      <c r="CI92" s="55">
        <f t="shared" si="552"/>
        <v>0</v>
      </c>
      <c r="CJ92" s="55">
        <f t="shared" si="553"/>
        <v>0</v>
      </c>
      <c r="CK92" s="249">
        <f t="shared" si="553"/>
        <v>0</v>
      </c>
      <c r="CL92" s="55">
        <f t="shared" si="554"/>
        <v>0</v>
      </c>
      <c r="CN92" s="64" t="s">
        <v>46</v>
      </c>
      <c r="CO92" s="54">
        <f t="shared" si="577"/>
        <v>0</v>
      </c>
      <c r="CP92" s="55">
        <f t="shared" si="555"/>
        <v>0</v>
      </c>
      <c r="CQ92" s="55">
        <f t="shared" si="556"/>
        <v>0</v>
      </c>
      <c r="CR92" s="55">
        <f t="shared" si="557"/>
        <v>0</v>
      </c>
      <c r="CS92" s="55">
        <f t="shared" si="558"/>
        <v>0</v>
      </c>
      <c r="CT92" s="60">
        <f t="shared" si="559"/>
        <v>0</v>
      </c>
      <c r="CU92" s="55">
        <f t="shared" si="560"/>
        <v>0</v>
      </c>
      <c r="CV92" s="246">
        <f t="shared" si="561"/>
        <v>0</v>
      </c>
      <c r="CW92" s="55">
        <f t="shared" si="562"/>
        <v>0</v>
      </c>
      <c r="CX92" s="55">
        <f t="shared" si="563"/>
        <v>0</v>
      </c>
      <c r="CY92" s="55">
        <f t="shared" si="564"/>
        <v>0</v>
      </c>
      <c r="CZ92" s="249">
        <f t="shared" si="564"/>
        <v>0</v>
      </c>
      <c r="DA92" s="62" t="e">
        <f t="shared" si="565"/>
        <v>#DIV/0!</v>
      </c>
      <c r="DC92" s="64" t="s">
        <v>46</v>
      </c>
      <c r="DD92" s="198">
        <f t="shared" si="578"/>
        <v>0</v>
      </c>
      <c r="DE92" s="199">
        <f t="shared" si="579"/>
        <v>0</v>
      </c>
      <c r="DF92" s="198">
        <f t="shared" si="580"/>
        <v>0</v>
      </c>
      <c r="DG92" s="199">
        <f t="shared" si="581"/>
        <v>0</v>
      </c>
      <c r="DH92" s="198">
        <f t="shared" si="582"/>
        <v>0</v>
      </c>
      <c r="DI92" s="199">
        <f t="shared" si="583"/>
        <v>0</v>
      </c>
      <c r="DJ92" s="198">
        <f t="shared" si="584"/>
        <v>0</v>
      </c>
      <c r="DK92" s="199">
        <f t="shared" si="585"/>
        <v>0</v>
      </c>
      <c r="DL92" s="198">
        <f t="shared" si="586"/>
        <v>0</v>
      </c>
      <c r="DM92" s="199">
        <f t="shared" si="587"/>
        <v>0</v>
      </c>
      <c r="DN92" s="198">
        <f t="shared" si="588"/>
        <v>0</v>
      </c>
      <c r="DO92" s="199">
        <f t="shared" si="589"/>
        <v>0</v>
      </c>
      <c r="DP92" s="198">
        <f t="shared" si="590"/>
        <v>0</v>
      </c>
      <c r="DQ92" s="199">
        <f t="shared" si="591"/>
        <v>0</v>
      </c>
      <c r="DR92" s="198">
        <f t="shared" si="592"/>
        <v>0</v>
      </c>
      <c r="DS92" s="199">
        <f t="shared" si="593"/>
        <v>0</v>
      </c>
      <c r="DT92" s="198">
        <f t="shared" si="594"/>
        <v>0</v>
      </c>
      <c r="DU92" s="199">
        <f t="shared" si="595"/>
        <v>0</v>
      </c>
      <c r="DV92" s="198">
        <f t="shared" si="596"/>
        <v>0</v>
      </c>
      <c r="DW92" s="199">
        <f t="shared" si="597"/>
        <v>0</v>
      </c>
      <c r="DX92" s="198">
        <f t="shared" si="598"/>
        <v>0</v>
      </c>
      <c r="DY92" s="199">
        <f t="shared" si="599"/>
        <v>0</v>
      </c>
      <c r="DZ92" s="190">
        <f t="shared" si="600"/>
        <v>0</v>
      </c>
      <c r="EA92" s="199">
        <f t="shared" si="566"/>
        <v>0</v>
      </c>
      <c r="EB92" s="190" t="e">
        <f t="shared" si="601"/>
        <v>#DIV/0!</v>
      </c>
      <c r="EC92" s="190" t="e">
        <f t="shared" si="602"/>
        <v>#DIV/0!</v>
      </c>
    </row>
    <row r="93" spans="1:133" x14ac:dyDescent="0.2">
      <c r="A93" s="64" t="s">
        <v>47</v>
      </c>
      <c r="B93" s="38">
        <f>targets!AW88</f>
        <v>0</v>
      </c>
      <c r="C93" s="242">
        <f>targets!AX88</f>
        <v>0</v>
      </c>
      <c r="D93" s="242">
        <f>targets!AY88</f>
        <v>0</v>
      </c>
      <c r="E93" s="242">
        <f>targets!AZ88</f>
        <v>0</v>
      </c>
      <c r="F93" s="242">
        <f>targets!BA88</f>
        <v>0</v>
      </c>
      <c r="G93" s="41">
        <f>SUM(targets!BB88:BG88)</f>
        <v>0</v>
      </c>
      <c r="H93" s="242">
        <f>SUM(targets!BH88:BM88)</f>
        <v>0</v>
      </c>
      <c r="I93" s="243">
        <f t="shared" si="567"/>
        <v>0</v>
      </c>
      <c r="J93" s="242">
        <f>targets!BN88</f>
        <v>0</v>
      </c>
      <c r="K93" s="242">
        <f>targets!BO88</f>
        <v>0</v>
      </c>
      <c r="L93" s="242">
        <f>targets!BP88</f>
        <v>0</v>
      </c>
      <c r="M93" s="178">
        <f t="shared" si="568"/>
        <v>0</v>
      </c>
      <c r="N93" s="17">
        <f t="shared" si="569"/>
        <v>0</v>
      </c>
      <c r="O93" s="17"/>
      <c r="P93" s="17"/>
      <c r="Q93" s="64" t="s">
        <v>47</v>
      </c>
      <c r="R93" s="38">
        <f t="shared" si="532"/>
        <v>0</v>
      </c>
      <c r="S93" s="242">
        <f t="shared" si="533"/>
        <v>0</v>
      </c>
      <c r="T93" s="242">
        <f t="shared" si="534"/>
        <v>0</v>
      </c>
      <c r="U93" s="242">
        <f t="shared" si="535"/>
        <v>0</v>
      </c>
      <c r="V93" s="242">
        <f t="shared" si="536"/>
        <v>0</v>
      </c>
      <c r="W93" s="41">
        <f t="shared" si="537"/>
        <v>0</v>
      </c>
      <c r="X93" s="242">
        <f t="shared" si="538"/>
        <v>0</v>
      </c>
      <c r="Y93" s="243">
        <f t="shared" si="570"/>
        <v>0</v>
      </c>
      <c r="Z93" s="242">
        <f t="shared" si="539"/>
        <v>0</v>
      </c>
      <c r="AA93" s="242">
        <f t="shared" si="540"/>
        <v>0</v>
      </c>
      <c r="AB93" s="242">
        <f t="shared" si="541"/>
        <v>0</v>
      </c>
      <c r="AC93" s="178">
        <f t="shared" si="571"/>
        <v>0</v>
      </c>
      <c r="AD93" s="17">
        <f t="shared" si="572"/>
        <v>0</v>
      </c>
      <c r="AF93" s="64" t="s">
        <v>47</v>
      </c>
      <c r="AG93" s="38">
        <f t="array" ref="AG93">SUM(IF((modeldata!$F:$F=calibration!$AF$80)*(modeldata!$G:$G=calibration!AG$82)*(modeldata!$H:$H=calibration!$AF93),modeldata!$E:$E,0))</f>
        <v>0</v>
      </c>
      <c r="AH93" s="242">
        <f t="array" ref="AH93">SUM(IF((modeldata!$F:$F=calibration!$AF$80)*(modeldata!$G:$G=calibration!AH$82)*(modeldata!$H:$H=calibration!$AF93),modeldata!$E:$E,0))</f>
        <v>0</v>
      </c>
      <c r="AI93" s="242">
        <f t="array" ref="AI93">SUM(IF((modeldata!$F:$F=calibration!$AF$80)*(modeldata!$G:$G=calibration!AI$82)*(modeldata!$H:$H=calibration!$AF93),modeldata!$E:$E,0))</f>
        <v>0</v>
      </c>
      <c r="AJ93" s="242">
        <f t="array" ref="AJ93">SUM(IF((modeldata!$F:$F=calibration!$AF$80)*(modeldata!$G:$G=calibration!AJ$82)*(modeldata!$H:$H=calibration!$AF93),modeldata!$E:$E,0))</f>
        <v>0</v>
      </c>
      <c r="AK93" s="242">
        <f t="array" ref="AK93">SUM(IF((modeldata!$F:$F=calibration!$AF$80)*(modeldata!$G:$G=calibration!AK$82)*(modeldata!$H:$H=calibration!$AF93),modeldata!$E:$E,0))</f>
        <v>0</v>
      </c>
      <c r="AL93" s="41">
        <f t="array" ref="AL93">SUM(IF((modeldata!$F:$F=calibration!$AF$80)*(modeldata!$G:$G=calibration!AL$82)*(modeldata!$H:$H=calibration!$AF93),modeldata!$E:$E,0))</f>
        <v>0</v>
      </c>
      <c r="AM93" s="242">
        <f t="array" ref="AM93">SUM(IF((modeldata!$F:$F=calibration!$AF$80)*(modeldata!$G:$G=calibration!AM$82)*(modeldata!$H:$H=calibration!$AF93),modeldata!$E:$E,0))</f>
        <v>0</v>
      </c>
      <c r="AN93" s="243">
        <f t="shared" si="611"/>
        <v>0</v>
      </c>
      <c r="AO93" s="242">
        <f t="array" ref="AO93">SUM(IF((modeldata!$F:$F=calibration!$AF$80)*(modeldata!$G:$G=calibration!AO$82)*(modeldata!$H:$H=calibration!$AF93),modeldata!$E:$E,0))</f>
        <v>0</v>
      </c>
      <c r="AP93" s="242">
        <f t="array" ref="AP93">SUM(IF((modeldata!$F:$F=calibration!$AF$80)*(modeldata!$G:$G=calibration!AP$82)*(modeldata!$H:$H=calibration!$AF93),modeldata!$E:$E,0))</f>
        <v>0</v>
      </c>
      <c r="AQ93" s="242">
        <f t="array" ref="AQ93">SUM(IF((modeldata!$F:$F=calibration!$AF$80)*(modeldata!$G:$G=calibration!AQ$82)*(modeldata!$H:$H=calibration!$AF93),modeldata!$E:$E,0))</f>
        <v>0</v>
      </c>
      <c r="AR93" s="178">
        <f t="shared" si="604"/>
        <v>0</v>
      </c>
      <c r="AS93" s="17">
        <f t="shared" si="573"/>
        <v>0</v>
      </c>
      <c r="AU93" s="64" t="s">
        <v>47</v>
      </c>
      <c r="AV93" s="38">
        <f t="shared" ref="AV93:BG93" si="623">IF(R103&gt;0,R93/R103,0)</f>
        <v>0</v>
      </c>
      <c r="AW93" s="242">
        <f t="shared" si="623"/>
        <v>0</v>
      </c>
      <c r="AX93" s="242">
        <f t="shared" si="623"/>
        <v>0</v>
      </c>
      <c r="AY93" s="242">
        <f t="shared" si="623"/>
        <v>0</v>
      </c>
      <c r="AZ93" s="242">
        <f t="shared" si="623"/>
        <v>0</v>
      </c>
      <c r="BA93" s="41">
        <f t="shared" si="623"/>
        <v>0</v>
      </c>
      <c r="BB93" s="242">
        <f t="shared" si="623"/>
        <v>0</v>
      </c>
      <c r="BC93" s="243">
        <f t="shared" si="623"/>
        <v>0</v>
      </c>
      <c r="BD93" s="242">
        <f t="shared" si="623"/>
        <v>0</v>
      </c>
      <c r="BE93" s="242">
        <f t="shared" si="623"/>
        <v>0</v>
      </c>
      <c r="BF93" s="242">
        <f t="shared" si="623"/>
        <v>0</v>
      </c>
      <c r="BG93" s="178">
        <f t="shared" si="623"/>
        <v>0</v>
      </c>
      <c r="BH93" s="24" t="e">
        <f>AD93/AD103</f>
        <v>#DIV/0!</v>
      </c>
      <c r="BJ93" s="64" t="s">
        <v>47</v>
      </c>
      <c r="BK93" s="38">
        <f t="shared" ref="BK93:BV93" si="624">IF(AG103&gt;0,AG93/AG103,0)</f>
        <v>0</v>
      </c>
      <c r="BL93" s="242">
        <f t="shared" si="624"/>
        <v>0</v>
      </c>
      <c r="BM93" s="242">
        <f t="shared" si="624"/>
        <v>0</v>
      </c>
      <c r="BN93" s="242">
        <f t="shared" si="624"/>
        <v>0</v>
      </c>
      <c r="BO93" s="242">
        <f t="shared" si="624"/>
        <v>0</v>
      </c>
      <c r="BP93" s="41">
        <f t="shared" si="624"/>
        <v>0</v>
      </c>
      <c r="BQ93" s="242">
        <f t="shared" si="624"/>
        <v>0</v>
      </c>
      <c r="BR93" s="243">
        <f t="shared" si="624"/>
        <v>0</v>
      </c>
      <c r="BS93" s="242">
        <f t="shared" si="624"/>
        <v>0</v>
      </c>
      <c r="BT93" s="242">
        <f t="shared" si="624"/>
        <v>0</v>
      </c>
      <c r="BU93" s="242">
        <f t="shared" si="624"/>
        <v>0</v>
      </c>
      <c r="BV93" s="178">
        <f t="shared" si="624"/>
        <v>0</v>
      </c>
      <c r="BW93" s="24" t="e">
        <f>AS93/AS103</f>
        <v>#DIV/0!</v>
      </c>
      <c r="BX93" s="24"/>
      <c r="BY93" s="64" t="s">
        <v>47</v>
      </c>
      <c r="BZ93" s="54">
        <f t="shared" si="576"/>
        <v>0</v>
      </c>
      <c r="CA93" s="55">
        <f t="shared" si="544"/>
        <v>0</v>
      </c>
      <c r="CB93" s="55">
        <f t="shared" si="545"/>
        <v>0</v>
      </c>
      <c r="CC93" s="55">
        <f t="shared" si="546"/>
        <v>0</v>
      </c>
      <c r="CD93" s="55">
        <f t="shared" si="547"/>
        <v>0</v>
      </c>
      <c r="CE93" s="61">
        <f t="shared" si="548"/>
        <v>0</v>
      </c>
      <c r="CF93" s="55">
        <f t="shared" si="549"/>
        <v>0</v>
      </c>
      <c r="CG93" s="246">
        <f t="shared" si="550"/>
        <v>0</v>
      </c>
      <c r="CH93" s="55">
        <f t="shared" si="551"/>
        <v>0</v>
      </c>
      <c r="CI93" s="55">
        <f t="shared" si="552"/>
        <v>0</v>
      </c>
      <c r="CJ93" s="55">
        <f t="shared" si="553"/>
        <v>0</v>
      </c>
      <c r="CK93" s="249">
        <f t="shared" si="553"/>
        <v>0</v>
      </c>
      <c r="CL93" s="55">
        <f t="shared" si="554"/>
        <v>0</v>
      </c>
      <c r="CN93" s="64" t="s">
        <v>47</v>
      </c>
      <c r="CO93" s="54">
        <f t="shared" si="577"/>
        <v>0</v>
      </c>
      <c r="CP93" s="55">
        <f t="shared" si="555"/>
        <v>0</v>
      </c>
      <c r="CQ93" s="55">
        <f t="shared" si="556"/>
        <v>0</v>
      </c>
      <c r="CR93" s="55">
        <f t="shared" si="557"/>
        <v>0</v>
      </c>
      <c r="CS93" s="55">
        <f t="shared" si="558"/>
        <v>0</v>
      </c>
      <c r="CT93" s="61">
        <f t="shared" si="559"/>
        <v>0</v>
      </c>
      <c r="CU93" s="55">
        <f t="shared" si="560"/>
        <v>0</v>
      </c>
      <c r="CV93" s="246">
        <f t="shared" si="561"/>
        <v>0</v>
      </c>
      <c r="CW93" s="55">
        <f t="shared" si="562"/>
        <v>0</v>
      </c>
      <c r="CX93" s="55">
        <f t="shared" si="563"/>
        <v>0</v>
      </c>
      <c r="CY93" s="55">
        <f t="shared" si="564"/>
        <v>0</v>
      </c>
      <c r="CZ93" s="249">
        <f t="shared" si="564"/>
        <v>0</v>
      </c>
      <c r="DA93" s="62" t="e">
        <f t="shared" si="565"/>
        <v>#DIV/0!</v>
      </c>
      <c r="DC93" s="64" t="s">
        <v>47</v>
      </c>
      <c r="DD93" s="198">
        <f t="shared" si="578"/>
        <v>0</v>
      </c>
      <c r="DE93" s="199">
        <f t="shared" si="579"/>
        <v>0</v>
      </c>
      <c r="DF93" s="198">
        <f t="shared" si="580"/>
        <v>0</v>
      </c>
      <c r="DG93" s="199">
        <f t="shared" si="581"/>
        <v>0</v>
      </c>
      <c r="DH93" s="198">
        <f t="shared" si="582"/>
        <v>0</v>
      </c>
      <c r="DI93" s="199">
        <f t="shared" si="583"/>
        <v>0</v>
      </c>
      <c r="DJ93" s="198">
        <f t="shared" si="584"/>
        <v>0</v>
      </c>
      <c r="DK93" s="199">
        <f t="shared" si="585"/>
        <v>0</v>
      </c>
      <c r="DL93" s="198">
        <f t="shared" si="586"/>
        <v>0</v>
      </c>
      <c r="DM93" s="199">
        <f t="shared" si="587"/>
        <v>0</v>
      </c>
      <c r="DN93" s="200">
        <f t="shared" si="588"/>
        <v>0</v>
      </c>
      <c r="DO93" s="201">
        <f t="shared" si="589"/>
        <v>0</v>
      </c>
      <c r="DP93" s="198">
        <f t="shared" si="590"/>
        <v>0</v>
      </c>
      <c r="DQ93" s="199">
        <f t="shared" si="591"/>
        <v>0</v>
      </c>
      <c r="DR93" s="198">
        <f t="shared" si="592"/>
        <v>0</v>
      </c>
      <c r="DS93" s="199">
        <f t="shared" si="593"/>
        <v>0</v>
      </c>
      <c r="DT93" s="198">
        <f t="shared" si="594"/>
        <v>0</v>
      </c>
      <c r="DU93" s="199">
        <f t="shared" si="595"/>
        <v>0</v>
      </c>
      <c r="DV93" s="198">
        <f t="shared" si="596"/>
        <v>0</v>
      </c>
      <c r="DW93" s="199">
        <f t="shared" si="597"/>
        <v>0</v>
      </c>
      <c r="DX93" s="198">
        <f t="shared" si="598"/>
        <v>0</v>
      </c>
      <c r="DY93" s="199">
        <f t="shared" si="599"/>
        <v>0</v>
      </c>
      <c r="DZ93" s="190">
        <f t="shared" si="600"/>
        <v>0</v>
      </c>
      <c r="EA93" s="199">
        <f t="shared" si="566"/>
        <v>0</v>
      </c>
      <c r="EB93" s="190" t="e">
        <f t="shared" si="601"/>
        <v>#DIV/0!</v>
      </c>
      <c r="EC93" s="190" t="e">
        <f t="shared" si="602"/>
        <v>#DIV/0!</v>
      </c>
    </row>
    <row r="94" spans="1:133" x14ac:dyDescent="0.2">
      <c r="A94" s="66" t="s">
        <v>40</v>
      </c>
      <c r="B94" s="38">
        <f>targets!AW89</f>
        <v>0</v>
      </c>
      <c r="C94" s="242">
        <f>targets!AX89</f>
        <v>0</v>
      </c>
      <c r="D94" s="242">
        <f>targets!AY89</f>
        <v>0</v>
      </c>
      <c r="E94" s="242">
        <f>targets!AZ89</f>
        <v>0</v>
      </c>
      <c r="F94" s="242">
        <f>targets!BA89</f>
        <v>0</v>
      </c>
      <c r="G94" s="242">
        <f>SUM(targets!BB89:BG89)</f>
        <v>0</v>
      </c>
      <c r="H94" s="39">
        <f>SUM(targets!BH89:BM89)</f>
        <v>249.6019321456269</v>
      </c>
      <c r="I94" s="243">
        <f t="shared" si="567"/>
        <v>249.6019321456269</v>
      </c>
      <c r="J94" s="242">
        <f>targets!BN89</f>
        <v>0</v>
      </c>
      <c r="K94" s="242">
        <f>targets!BO89</f>
        <v>0</v>
      </c>
      <c r="L94" s="242">
        <f>targets!BP89</f>
        <v>0</v>
      </c>
      <c r="M94" s="178">
        <f t="shared" si="568"/>
        <v>0</v>
      </c>
      <c r="N94" s="17">
        <f t="shared" si="569"/>
        <v>249.6019321456269</v>
      </c>
      <c r="O94" s="17"/>
      <c r="P94" s="17"/>
      <c r="Q94" s="66" t="s">
        <v>40</v>
      </c>
      <c r="R94" s="38">
        <f t="shared" si="532"/>
        <v>0</v>
      </c>
      <c r="S94" s="242">
        <f t="shared" si="533"/>
        <v>0</v>
      </c>
      <c r="T94" s="242">
        <f t="shared" si="534"/>
        <v>0</v>
      </c>
      <c r="U94" s="242">
        <f t="shared" si="535"/>
        <v>0</v>
      </c>
      <c r="V94" s="242">
        <f t="shared" si="536"/>
        <v>0</v>
      </c>
      <c r="W94" s="242">
        <f t="shared" si="537"/>
        <v>0</v>
      </c>
      <c r="X94" s="39">
        <f t="shared" si="538"/>
        <v>0</v>
      </c>
      <c r="Y94" s="243">
        <f t="shared" si="570"/>
        <v>0</v>
      </c>
      <c r="Z94" s="242">
        <f t="shared" si="539"/>
        <v>0</v>
      </c>
      <c r="AA94" s="242">
        <f t="shared" si="540"/>
        <v>0</v>
      </c>
      <c r="AB94" s="242">
        <f t="shared" si="541"/>
        <v>0</v>
      </c>
      <c r="AC94" s="178">
        <f t="shared" si="571"/>
        <v>0</v>
      </c>
      <c r="AD94" s="17">
        <f t="shared" si="572"/>
        <v>0</v>
      </c>
      <c r="AF94" s="66" t="s">
        <v>40</v>
      </c>
      <c r="AG94" s="38">
        <f t="array" ref="AG94">SUM(IF((modeldata!$F:$F=calibration!$AF$80)*(modeldata!$G:$G=calibration!AG$82)*(modeldata!$H:$H=calibration!$AF94),modeldata!$E:$E,0))</f>
        <v>0</v>
      </c>
      <c r="AH94" s="242">
        <f t="array" ref="AH94">SUM(IF((modeldata!$F:$F=calibration!$AF$80)*(modeldata!$G:$G=calibration!AH$82)*(modeldata!$H:$H=calibration!$AF94),modeldata!$E:$E,0))</f>
        <v>0</v>
      </c>
      <c r="AI94" s="242">
        <f t="array" ref="AI94">SUM(IF((modeldata!$F:$F=calibration!$AF$80)*(modeldata!$G:$G=calibration!AI$82)*(modeldata!$H:$H=calibration!$AF94),modeldata!$E:$E,0))</f>
        <v>0</v>
      </c>
      <c r="AJ94" s="242">
        <f t="array" ref="AJ94">SUM(IF((modeldata!$F:$F=calibration!$AF$80)*(modeldata!$G:$G=calibration!AJ$82)*(modeldata!$H:$H=calibration!$AF94),modeldata!$E:$E,0))</f>
        <v>0</v>
      </c>
      <c r="AK94" s="242">
        <f t="array" ref="AK94">SUM(IF((modeldata!$F:$F=calibration!$AF$80)*(modeldata!$G:$G=calibration!AK$82)*(modeldata!$H:$H=calibration!$AF94),modeldata!$E:$E,0))</f>
        <v>0</v>
      </c>
      <c r="AL94" s="242">
        <f t="array" ref="AL94">SUM(IF((modeldata!$F:$F=calibration!$AF$80)*(modeldata!$G:$G=calibration!AL$82)*(modeldata!$H:$H=calibration!$AF94),modeldata!$E:$E,0))</f>
        <v>0</v>
      </c>
      <c r="AM94" s="39">
        <f t="array" ref="AM94">SUM(IF((modeldata!$F:$F=calibration!$AF$80)*(modeldata!$G:$G=calibration!AM$82)*(modeldata!$H:$H=calibration!$AF94),modeldata!$E:$E,0))</f>
        <v>0</v>
      </c>
      <c r="AN94" s="243"/>
      <c r="AO94" s="242">
        <f t="array" ref="AO94">SUM(IF((modeldata!$F:$F=calibration!$AF$80)*(modeldata!$G:$G=calibration!AO$82)*(modeldata!$H:$H=calibration!$AF94),modeldata!$E:$E,0))</f>
        <v>0</v>
      </c>
      <c r="AP94" s="242">
        <f t="array" ref="AP94">SUM(IF((modeldata!$F:$F=calibration!$AF$80)*(modeldata!$G:$G=calibration!AP$82)*(modeldata!$H:$H=calibration!$AF94),modeldata!$E:$E,0))</f>
        <v>0</v>
      </c>
      <c r="AQ94" s="242">
        <f t="array" ref="AQ94">SUM(IF((modeldata!$F:$F=calibration!$AF$80)*(modeldata!$G:$G=calibration!AQ$82)*(modeldata!$H:$H=calibration!$AF94),modeldata!$E:$E,0))</f>
        <v>0</v>
      </c>
      <c r="AR94" s="178">
        <f t="shared" si="604"/>
        <v>0</v>
      </c>
      <c r="AS94" s="17">
        <f t="shared" si="573"/>
        <v>0</v>
      </c>
      <c r="AU94" s="66" t="s">
        <v>40</v>
      </c>
      <c r="AV94" s="38">
        <f t="shared" ref="AV94:BG94" si="625">IF(R103&gt;0,R94/R103,0)</f>
        <v>0</v>
      </c>
      <c r="AW94" s="242">
        <f t="shared" si="625"/>
        <v>0</v>
      </c>
      <c r="AX94" s="242">
        <f t="shared" si="625"/>
        <v>0</v>
      </c>
      <c r="AY94" s="242">
        <f t="shared" si="625"/>
        <v>0</v>
      </c>
      <c r="AZ94" s="242">
        <f t="shared" si="625"/>
        <v>0</v>
      </c>
      <c r="BA94" s="242">
        <f t="shared" si="625"/>
        <v>0</v>
      </c>
      <c r="BB94" s="39">
        <f t="shared" si="625"/>
        <v>0</v>
      </c>
      <c r="BC94" s="243">
        <f t="shared" si="625"/>
        <v>0</v>
      </c>
      <c r="BD94" s="242">
        <f t="shared" si="625"/>
        <v>0</v>
      </c>
      <c r="BE94" s="242">
        <f t="shared" si="625"/>
        <v>0</v>
      </c>
      <c r="BF94" s="242">
        <f t="shared" si="625"/>
        <v>0</v>
      </c>
      <c r="BG94" s="178">
        <f t="shared" si="625"/>
        <v>0</v>
      </c>
      <c r="BH94" s="24" t="e">
        <f>AD94/AD103</f>
        <v>#DIV/0!</v>
      </c>
      <c r="BJ94" s="66" t="s">
        <v>40</v>
      </c>
      <c r="BK94" s="38">
        <f t="shared" ref="BK94:BV94" si="626">IF(AG103&gt;0,AG94/AG103,0)</f>
        <v>0</v>
      </c>
      <c r="BL94" s="242">
        <f t="shared" si="626"/>
        <v>0</v>
      </c>
      <c r="BM94" s="242">
        <f t="shared" si="626"/>
        <v>0</v>
      </c>
      <c r="BN94" s="242">
        <f t="shared" si="626"/>
        <v>0</v>
      </c>
      <c r="BO94" s="242">
        <f t="shared" si="626"/>
        <v>0</v>
      </c>
      <c r="BP94" s="242">
        <f t="shared" si="626"/>
        <v>0</v>
      </c>
      <c r="BQ94" s="39">
        <f t="shared" si="626"/>
        <v>0</v>
      </c>
      <c r="BR94" s="243">
        <f t="shared" si="626"/>
        <v>0</v>
      </c>
      <c r="BS94" s="242">
        <f t="shared" si="626"/>
        <v>0</v>
      </c>
      <c r="BT94" s="242">
        <f t="shared" si="626"/>
        <v>0</v>
      </c>
      <c r="BU94" s="242">
        <f t="shared" si="626"/>
        <v>0</v>
      </c>
      <c r="BV94" s="178">
        <f t="shared" si="626"/>
        <v>0</v>
      </c>
      <c r="BW94" s="24" t="e">
        <f>AS94/AS103</f>
        <v>#DIV/0!</v>
      </c>
      <c r="BX94" s="24"/>
      <c r="BY94" s="66" t="s">
        <v>40</v>
      </c>
      <c r="BZ94" s="54">
        <f t="shared" si="576"/>
        <v>0</v>
      </c>
      <c r="CA94" s="55">
        <f t="shared" si="544"/>
        <v>0</v>
      </c>
      <c r="CB94" s="55">
        <f t="shared" si="545"/>
        <v>0</v>
      </c>
      <c r="CC94" s="55">
        <f t="shared" si="546"/>
        <v>0</v>
      </c>
      <c r="CD94" s="55">
        <f t="shared" si="547"/>
        <v>0</v>
      </c>
      <c r="CE94" s="55">
        <f t="shared" si="548"/>
        <v>0</v>
      </c>
      <c r="CF94" s="59">
        <f t="shared" si="549"/>
        <v>0</v>
      </c>
      <c r="CG94" s="246">
        <f t="shared" si="550"/>
        <v>0</v>
      </c>
      <c r="CH94" s="55">
        <f t="shared" si="551"/>
        <v>0</v>
      </c>
      <c r="CI94" s="55">
        <f t="shared" si="552"/>
        <v>0</v>
      </c>
      <c r="CJ94" s="55">
        <f t="shared" si="553"/>
        <v>0</v>
      </c>
      <c r="CK94" s="249">
        <f t="shared" si="553"/>
        <v>0</v>
      </c>
      <c r="CL94" s="55">
        <f t="shared" si="554"/>
        <v>0</v>
      </c>
      <c r="CN94" s="66" t="s">
        <v>40</v>
      </c>
      <c r="CO94" s="54">
        <f t="shared" si="577"/>
        <v>0</v>
      </c>
      <c r="CP94" s="55">
        <f t="shared" si="555"/>
        <v>0</v>
      </c>
      <c r="CQ94" s="55">
        <f t="shared" si="556"/>
        <v>0</v>
      </c>
      <c r="CR94" s="55">
        <f t="shared" si="557"/>
        <v>0</v>
      </c>
      <c r="CS94" s="55">
        <f t="shared" si="558"/>
        <v>0</v>
      </c>
      <c r="CT94" s="55">
        <f t="shared" si="559"/>
        <v>0</v>
      </c>
      <c r="CU94" s="59">
        <f t="shared" si="560"/>
        <v>0</v>
      </c>
      <c r="CV94" s="246">
        <f t="shared" si="561"/>
        <v>0</v>
      </c>
      <c r="CW94" s="55">
        <f t="shared" si="562"/>
        <v>0</v>
      </c>
      <c r="CX94" s="55">
        <f t="shared" si="563"/>
        <v>0</v>
      </c>
      <c r="CY94" s="55">
        <f t="shared" si="564"/>
        <v>0</v>
      </c>
      <c r="CZ94" s="249">
        <f t="shared" si="564"/>
        <v>0</v>
      </c>
      <c r="DA94" s="62" t="e">
        <f t="shared" si="565"/>
        <v>#DIV/0!</v>
      </c>
      <c r="DC94" s="66" t="s">
        <v>40</v>
      </c>
      <c r="DD94" s="198">
        <f t="shared" si="578"/>
        <v>0</v>
      </c>
      <c r="DE94" s="199">
        <f t="shared" si="579"/>
        <v>0</v>
      </c>
      <c r="DF94" s="198">
        <f t="shared" si="580"/>
        <v>0</v>
      </c>
      <c r="DG94" s="199">
        <f t="shared" si="581"/>
        <v>0</v>
      </c>
      <c r="DH94" s="198">
        <f t="shared" si="582"/>
        <v>0</v>
      </c>
      <c r="DI94" s="199">
        <f t="shared" si="583"/>
        <v>0</v>
      </c>
      <c r="DJ94" s="198">
        <f t="shared" si="584"/>
        <v>0</v>
      </c>
      <c r="DK94" s="199">
        <f t="shared" si="585"/>
        <v>0</v>
      </c>
      <c r="DL94" s="198">
        <f t="shared" si="586"/>
        <v>0</v>
      </c>
      <c r="DM94" s="199">
        <f t="shared" si="587"/>
        <v>0</v>
      </c>
      <c r="DN94" s="198">
        <f t="shared" si="588"/>
        <v>0</v>
      </c>
      <c r="DO94" s="199">
        <f t="shared" si="589"/>
        <v>0</v>
      </c>
      <c r="DP94" s="195">
        <f t="shared" si="590"/>
        <v>0</v>
      </c>
      <c r="DQ94" s="196">
        <f t="shared" si="591"/>
        <v>0</v>
      </c>
      <c r="DR94" s="198">
        <f t="shared" si="592"/>
        <v>0</v>
      </c>
      <c r="DS94" s="199">
        <f t="shared" si="593"/>
        <v>0</v>
      </c>
      <c r="DT94" s="198">
        <f t="shared" si="594"/>
        <v>0</v>
      </c>
      <c r="DU94" s="199">
        <f t="shared" si="595"/>
        <v>0</v>
      </c>
      <c r="DV94" s="198">
        <f t="shared" si="596"/>
        <v>0</v>
      </c>
      <c r="DW94" s="199">
        <f t="shared" si="597"/>
        <v>0</v>
      </c>
      <c r="DX94" s="198">
        <f t="shared" si="598"/>
        <v>0</v>
      </c>
      <c r="DY94" s="199">
        <f t="shared" si="599"/>
        <v>0</v>
      </c>
      <c r="DZ94" s="190">
        <f t="shared" si="600"/>
        <v>0</v>
      </c>
      <c r="EA94" s="199">
        <f t="shared" si="566"/>
        <v>0</v>
      </c>
      <c r="EB94" s="190" t="e">
        <f t="shared" si="601"/>
        <v>#DIV/0!</v>
      </c>
      <c r="EC94" s="190" t="e">
        <f t="shared" si="602"/>
        <v>#DIV/0!</v>
      </c>
    </row>
    <row r="95" spans="1:133" ht="25.5" x14ac:dyDescent="0.2">
      <c r="A95" s="66" t="s">
        <v>345</v>
      </c>
      <c r="B95" s="38">
        <f>targets!AW90</f>
        <v>0</v>
      </c>
      <c r="C95" s="242">
        <f>targets!AX90</f>
        <v>0</v>
      </c>
      <c r="D95" s="242">
        <f>targets!AY90</f>
        <v>0</v>
      </c>
      <c r="E95" s="242">
        <f>targets!AZ90</f>
        <v>0</v>
      </c>
      <c r="F95" s="242">
        <f>targets!BA90</f>
        <v>0</v>
      </c>
      <c r="G95" s="242">
        <f>SUM(targets!BB90:BG90)</f>
        <v>0</v>
      </c>
      <c r="H95" s="40">
        <f>SUM(targets!BH90:BM90)</f>
        <v>0</v>
      </c>
      <c r="I95" s="243">
        <f t="shared" si="567"/>
        <v>0</v>
      </c>
      <c r="J95" s="242">
        <f>targets!BN90</f>
        <v>0</v>
      </c>
      <c r="K95" s="242">
        <f>targets!BO90</f>
        <v>0</v>
      </c>
      <c r="L95" s="242">
        <f>targets!BP90</f>
        <v>0</v>
      </c>
      <c r="M95" s="178">
        <f t="shared" si="568"/>
        <v>0</v>
      </c>
      <c r="N95" s="17">
        <f t="shared" si="569"/>
        <v>0</v>
      </c>
      <c r="O95" s="17"/>
      <c r="P95" s="17"/>
      <c r="Q95" s="66" t="s">
        <v>345</v>
      </c>
      <c r="R95" s="38">
        <f t="shared" si="532"/>
        <v>0</v>
      </c>
      <c r="S95" s="242">
        <f t="shared" si="533"/>
        <v>0</v>
      </c>
      <c r="T95" s="242">
        <f t="shared" si="534"/>
        <v>0</v>
      </c>
      <c r="U95" s="242">
        <f t="shared" si="535"/>
        <v>0</v>
      </c>
      <c r="V95" s="242">
        <f t="shared" si="536"/>
        <v>0</v>
      </c>
      <c r="W95" s="242">
        <f t="shared" si="537"/>
        <v>0</v>
      </c>
      <c r="X95" s="40">
        <f t="shared" si="538"/>
        <v>0</v>
      </c>
      <c r="Y95" s="243">
        <f t="shared" si="570"/>
        <v>0</v>
      </c>
      <c r="Z95" s="242">
        <f t="shared" si="539"/>
        <v>0</v>
      </c>
      <c r="AA95" s="242">
        <f t="shared" si="540"/>
        <v>0</v>
      </c>
      <c r="AB95" s="242">
        <f t="shared" si="541"/>
        <v>0</v>
      </c>
      <c r="AC95" s="178">
        <f t="shared" si="571"/>
        <v>0</v>
      </c>
      <c r="AD95" s="17">
        <f t="shared" si="572"/>
        <v>0</v>
      </c>
      <c r="AF95" s="66" t="s">
        <v>345</v>
      </c>
      <c r="AG95" s="38">
        <f t="array" ref="AG95">SUM(IF((modeldata!$F:$F=calibration!$AF$80)*(modeldata!$G:$G=calibration!AG$82)*(modeldata!$H:$H=calibration!$AF95),modeldata!$E:$E,0))</f>
        <v>0</v>
      </c>
      <c r="AH95" s="242">
        <f t="array" ref="AH95">SUM(IF((modeldata!$F:$F=calibration!$AF$80)*(modeldata!$G:$G=calibration!AH$82)*(modeldata!$H:$H=calibration!$AF95),modeldata!$E:$E,0))</f>
        <v>0</v>
      </c>
      <c r="AI95" s="242">
        <f t="array" ref="AI95">SUM(IF((modeldata!$F:$F=calibration!$AF$80)*(modeldata!$G:$G=calibration!AI$82)*(modeldata!$H:$H=calibration!$AF95),modeldata!$E:$E,0))</f>
        <v>0</v>
      </c>
      <c r="AJ95" s="242">
        <f t="array" ref="AJ95">SUM(IF((modeldata!$F:$F=calibration!$AF$80)*(modeldata!$G:$G=calibration!AJ$82)*(modeldata!$H:$H=calibration!$AF95),modeldata!$E:$E,0))</f>
        <v>0</v>
      </c>
      <c r="AK95" s="242">
        <f t="array" ref="AK95">SUM(IF((modeldata!$F:$F=calibration!$AF$80)*(modeldata!$G:$G=calibration!AK$82)*(modeldata!$H:$H=calibration!$AF95),modeldata!$E:$E,0))</f>
        <v>0</v>
      </c>
      <c r="AL95" s="242">
        <f t="array" ref="AL95">SUM(IF((modeldata!$F:$F=calibration!$AF$80)*(modeldata!$G:$G=calibration!AL$82)*(modeldata!$H:$H=calibration!$AF95),modeldata!$E:$E,0))</f>
        <v>0</v>
      </c>
      <c r="AM95" s="40">
        <f t="array" ref="AM95">SUM(IF((modeldata!$F:$F=calibration!$AF$80)*(modeldata!$G:$G=calibration!AM$82)*(modeldata!$H:$H=calibration!$AF95),modeldata!$E:$E,0))</f>
        <v>0</v>
      </c>
      <c r="AN95" s="243"/>
      <c r="AO95" s="242">
        <f t="array" ref="AO95">SUM(IF((modeldata!$F:$F=calibration!$AF$80)*(modeldata!$G:$G=calibration!AO$82)*(modeldata!$H:$H=calibration!$AF95),modeldata!$E:$E,0))</f>
        <v>0</v>
      </c>
      <c r="AP95" s="242">
        <f t="array" ref="AP95">SUM(IF((modeldata!$F:$F=calibration!$AF$80)*(modeldata!$G:$G=calibration!AP$82)*(modeldata!$H:$H=calibration!$AF95),modeldata!$E:$E,0))</f>
        <v>0</v>
      </c>
      <c r="AQ95" s="242">
        <f t="array" ref="AQ95">SUM(IF((modeldata!$F:$F=calibration!$AF$80)*(modeldata!$G:$G=calibration!AQ$82)*(modeldata!$H:$H=calibration!$AF95),modeldata!$E:$E,0))</f>
        <v>0</v>
      </c>
      <c r="AR95" s="178">
        <f t="shared" si="604"/>
        <v>0</v>
      </c>
      <c r="AS95" s="17">
        <f t="shared" si="573"/>
        <v>0</v>
      </c>
      <c r="AU95" s="66" t="s">
        <v>345</v>
      </c>
      <c r="AV95" s="38">
        <f t="shared" ref="AV95:BG95" si="627">IF(R103&gt;0,R95/R103,0)</f>
        <v>0</v>
      </c>
      <c r="AW95" s="242">
        <f t="shared" si="627"/>
        <v>0</v>
      </c>
      <c r="AX95" s="242">
        <f t="shared" si="627"/>
        <v>0</v>
      </c>
      <c r="AY95" s="242">
        <f t="shared" si="627"/>
        <v>0</v>
      </c>
      <c r="AZ95" s="242">
        <f t="shared" si="627"/>
        <v>0</v>
      </c>
      <c r="BA95" s="242">
        <f t="shared" si="627"/>
        <v>0</v>
      </c>
      <c r="BB95" s="40">
        <f t="shared" si="627"/>
        <v>0</v>
      </c>
      <c r="BC95" s="243">
        <f t="shared" si="627"/>
        <v>0</v>
      </c>
      <c r="BD95" s="242">
        <f t="shared" si="627"/>
        <v>0</v>
      </c>
      <c r="BE95" s="242">
        <f t="shared" si="627"/>
        <v>0</v>
      </c>
      <c r="BF95" s="242">
        <f t="shared" si="627"/>
        <v>0</v>
      </c>
      <c r="BG95" s="178">
        <f t="shared" si="627"/>
        <v>0</v>
      </c>
      <c r="BH95" s="24" t="e">
        <f>AD95/AD103</f>
        <v>#DIV/0!</v>
      </c>
      <c r="BJ95" s="66" t="s">
        <v>345</v>
      </c>
      <c r="BK95" s="38">
        <f t="shared" ref="BK95:BV95" si="628">IF(AG103&gt;0,AG95/AG103,0)</f>
        <v>0</v>
      </c>
      <c r="BL95" s="242">
        <f t="shared" si="628"/>
        <v>0</v>
      </c>
      <c r="BM95" s="242">
        <f t="shared" si="628"/>
        <v>0</v>
      </c>
      <c r="BN95" s="242">
        <f t="shared" si="628"/>
        <v>0</v>
      </c>
      <c r="BO95" s="242">
        <f t="shared" si="628"/>
        <v>0</v>
      </c>
      <c r="BP95" s="242">
        <f t="shared" si="628"/>
        <v>0</v>
      </c>
      <c r="BQ95" s="40">
        <f t="shared" si="628"/>
        <v>0</v>
      </c>
      <c r="BR95" s="243">
        <f t="shared" si="628"/>
        <v>0</v>
      </c>
      <c r="BS95" s="242">
        <f t="shared" si="628"/>
        <v>0</v>
      </c>
      <c r="BT95" s="242">
        <f t="shared" si="628"/>
        <v>0</v>
      </c>
      <c r="BU95" s="242">
        <f t="shared" si="628"/>
        <v>0</v>
      </c>
      <c r="BV95" s="178">
        <f t="shared" si="628"/>
        <v>0</v>
      </c>
      <c r="BW95" s="24" t="e">
        <f>AS95/AS103</f>
        <v>#DIV/0!</v>
      </c>
      <c r="BX95" s="24"/>
      <c r="BY95" s="66" t="s">
        <v>345</v>
      </c>
      <c r="BZ95" s="54">
        <f t="shared" si="576"/>
        <v>0</v>
      </c>
      <c r="CA95" s="55">
        <f t="shared" si="544"/>
        <v>0</v>
      </c>
      <c r="CB95" s="55">
        <f t="shared" si="545"/>
        <v>0</v>
      </c>
      <c r="CC95" s="55">
        <f t="shared" si="546"/>
        <v>0</v>
      </c>
      <c r="CD95" s="55">
        <f t="shared" si="547"/>
        <v>0</v>
      </c>
      <c r="CE95" s="55">
        <f t="shared" si="548"/>
        <v>0</v>
      </c>
      <c r="CF95" s="60">
        <f t="shared" si="549"/>
        <v>0</v>
      </c>
      <c r="CG95" s="246">
        <f t="shared" si="550"/>
        <v>0</v>
      </c>
      <c r="CH95" s="55">
        <f t="shared" si="551"/>
        <v>0</v>
      </c>
      <c r="CI95" s="55">
        <f t="shared" si="552"/>
        <v>0</v>
      </c>
      <c r="CJ95" s="55">
        <f t="shared" si="553"/>
        <v>0</v>
      </c>
      <c r="CK95" s="249">
        <f t="shared" si="553"/>
        <v>0</v>
      </c>
      <c r="CL95" s="55">
        <f t="shared" si="554"/>
        <v>0</v>
      </c>
      <c r="CN95" s="66" t="s">
        <v>345</v>
      </c>
      <c r="CO95" s="54">
        <f t="shared" si="577"/>
        <v>0</v>
      </c>
      <c r="CP95" s="55">
        <f t="shared" si="555"/>
        <v>0</v>
      </c>
      <c r="CQ95" s="55">
        <f t="shared" si="556"/>
        <v>0</v>
      </c>
      <c r="CR95" s="55">
        <f t="shared" si="557"/>
        <v>0</v>
      </c>
      <c r="CS95" s="55">
        <f t="shared" si="558"/>
        <v>0</v>
      </c>
      <c r="CT95" s="55">
        <f t="shared" si="559"/>
        <v>0</v>
      </c>
      <c r="CU95" s="60">
        <f t="shared" si="560"/>
        <v>0</v>
      </c>
      <c r="CV95" s="246">
        <f t="shared" si="561"/>
        <v>0</v>
      </c>
      <c r="CW95" s="55">
        <f t="shared" si="562"/>
        <v>0</v>
      </c>
      <c r="CX95" s="55">
        <f t="shared" si="563"/>
        <v>0</v>
      </c>
      <c r="CY95" s="55">
        <f t="shared" si="564"/>
        <v>0</v>
      </c>
      <c r="CZ95" s="249">
        <f t="shared" si="564"/>
        <v>0</v>
      </c>
      <c r="DA95" s="62" t="e">
        <f t="shared" si="565"/>
        <v>#DIV/0!</v>
      </c>
      <c r="DC95" s="66" t="s">
        <v>345</v>
      </c>
      <c r="DD95" s="198">
        <f t="shared" si="578"/>
        <v>0</v>
      </c>
      <c r="DE95" s="199">
        <f t="shared" si="579"/>
        <v>0</v>
      </c>
      <c r="DF95" s="198">
        <f t="shared" si="580"/>
        <v>0</v>
      </c>
      <c r="DG95" s="199">
        <f t="shared" si="581"/>
        <v>0</v>
      </c>
      <c r="DH95" s="198">
        <f t="shared" si="582"/>
        <v>0</v>
      </c>
      <c r="DI95" s="199">
        <f t="shared" si="583"/>
        <v>0</v>
      </c>
      <c r="DJ95" s="198">
        <f t="shared" si="584"/>
        <v>0</v>
      </c>
      <c r="DK95" s="199">
        <f t="shared" si="585"/>
        <v>0</v>
      </c>
      <c r="DL95" s="198">
        <f t="shared" si="586"/>
        <v>0</v>
      </c>
      <c r="DM95" s="199">
        <f t="shared" si="587"/>
        <v>0</v>
      </c>
      <c r="DN95" s="198">
        <f t="shared" si="588"/>
        <v>0</v>
      </c>
      <c r="DO95" s="199">
        <f t="shared" si="589"/>
        <v>0</v>
      </c>
      <c r="DP95" s="198">
        <f t="shared" si="590"/>
        <v>0</v>
      </c>
      <c r="DQ95" s="199">
        <f t="shared" si="591"/>
        <v>0</v>
      </c>
      <c r="DR95" s="198">
        <f t="shared" si="592"/>
        <v>0</v>
      </c>
      <c r="DS95" s="199">
        <f t="shared" si="593"/>
        <v>0</v>
      </c>
      <c r="DT95" s="198">
        <f t="shared" si="594"/>
        <v>0</v>
      </c>
      <c r="DU95" s="199">
        <f t="shared" si="595"/>
        <v>0</v>
      </c>
      <c r="DV95" s="198">
        <f t="shared" si="596"/>
        <v>0</v>
      </c>
      <c r="DW95" s="199">
        <f t="shared" si="597"/>
        <v>0</v>
      </c>
      <c r="DX95" s="198">
        <f t="shared" si="598"/>
        <v>0</v>
      </c>
      <c r="DY95" s="199">
        <f t="shared" si="599"/>
        <v>0</v>
      </c>
      <c r="DZ95" s="190">
        <f t="shared" si="600"/>
        <v>0</v>
      </c>
      <c r="EA95" s="199">
        <f t="shared" si="566"/>
        <v>0</v>
      </c>
      <c r="EB95" s="190" t="e">
        <f t="shared" si="601"/>
        <v>#DIV/0!</v>
      </c>
      <c r="EC95" s="190" t="e">
        <f t="shared" si="602"/>
        <v>#DIV/0!</v>
      </c>
    </row>
    <row r="96" spans="1:133" x14ac:dyDescent="0.2">
      <c r="A96" s="2" t="s">
        <v>347</v>
      </c>
      <c r="B96" s="38">
        <f>targets!AW91</f>
        <v>0</v>
      </c>
      <c r="C96" s="242">
        <f>targets!AX91</f>
        <v>0</v>
      </c>
      <c r="D96" s="242">
        <f>targets!AY91</f>
        <v>0</v>
      </c>
      <c r="E96" s="242">
        <f>targets!AZ91</f>
        <v>0</v>
      </c>
      <c r="F96" s="242">
        <f>targets!BA91</f>
        <v>0</v>
      </c>
      <c r="G96" s="242">
        <f>SUM(targets!BB91:BG91)</f>
        <v>0</v>
      </c>
      <c r="H96" s="40">
        <f>SUM(targets!BH91:BM91)</f>
        <v>4365.4105058496471</v>
      </c>
      <c r="I96" s="243">
        <f t="shared" ref="I96" si="629">SUM(G96:H96)</f>
        <v>4365.4105058496471</v>
      </c>
      <c r="J96" s="242">
        <f>targets!BN91</f>
        <v>0</v>
      </c>
      <c r="K96" s="242">
        <f>targets!BO91</f>
        <v>0</v>
      </c>
      <c r="L96" s="242">
        <f>targets!BP91</f>
        <v>0</v>
      </c>
      <c r="M96" s="178">
        <f t="shared" ref="M96" si="630">SUM(J96:L96)</f>
        <v>0</v>
      </c>
      <c r="N96" s="17">
        <f>SUM(B96:L96)-I96</f>
        <v>4365.4105058496471</v>
      </c>
      <c r="O96" s="17"/>
      <c r="P96" s="17"/>
      <c r="Q96" s="2" t="s">
        <v>347</v>
      </c>
      <c r="R96" s="38">
        <f t="shared" si="532"/>
        <v>0</v>
      </c>
      <c r="S96" s="242">
        <f t="shared" si="533"/>
        <v>0</v>
      </c>
      <c r="T96" s="242">
        <f t="shared" si="534"/>
        <v>0</v>
      </c>
      <c r="U96" s="242">
        <f t="shared" si="535"/>
        <v>0</v>
      </c>
      <c r="V96" s="242">
        <f t="shared" si="536"/>
        <v>0</v>
      </c>
      <c r="W96" s="242">
        <f t="shared" si="537"/>
        <v>0</v>
      </c>
      <c r="X96" s="40">
        <f t="shared" si="538"/>
        <v>0</v>
      </c>
      <c r="Y96" s="243">
        <f t="shared" ref="Y96" si="631">SUM(W96:X96)</f>
        <v>0</v>
      </c>
      <c r="Z96" s="242">
        <f t="shared" si="539"/>
        <v>0</v>
      </c>
      <c r="AA96" s="242">
        <f t="shared" si="540"/>
        <v>0</v>
      </c>
      <c r="AB96" s="242">
        <f t="shared" si="541"/>
        <v>0</v>
      </c>
      <c r="AC96" s="178">
        <f t="shared" ref="AC96" si="632">SUM(Z96:AB96)</f>
        <v>0</v>
      </c>
      <c r="AD96" s="17"/>
      <c r="AF96" s="2" t="s">
        <v>347</v>
      </c>
      <c r="AG96" s="38">
        <f t="array" ref="AG96">SUM(IF((modeldata!$F:$F=calibration!$AF$80)*(modeldata!$G:$G=calibration!AG$82)*(modeldata!$H:$H=calibration!$AF96),modeldata!$E:$E,0))</f>
        <v>0</v>
      </c>
      <c r="AH96" s="242">
        <f t="array" ref="AH96">SUM(IF((modeldata!$F:$F=calibration!$AF$80)*(modeldata!$G:$G=calibration!AH$82)*(modeldata!$H:$H=calibration!$AF96),modeldata!$E:$E,0))</f>
        <v>0</v>
      </c>
      <c r="AI96" s="242">
        <f t="array" ref="AI96">SUM(IF((modeldata!$F:$F=calibration!$AF$80)*(modeldata!$G:$G=calibration!AI$82)*(modeldata!$H:$H=calibration!$AF96),modeldata!$E:$E,0))</f>
        <v>0</v>
      </c>
      <c r="AJ96" s="242">
        <f t="array" ref="AJ96">SUM(IF((modeldata!$F:$F=calibration!$AF$80)*(modeldata!$G:$G=calibration!AJ$82)*(modeldata!$H:$H=calibration!$AF96),modeldata!$E:$E,0))</f>
        <v>0</v>
      </c>
      <c r="AK96" s="242">
        <f t="array" ref="AK96">SUM(IF((modeldata!$F:$F=calibration!$AF$80)*(modeldata!$G:$G=calibration!AK$82)*(modeldata!$H:$H=calibration!$AF96),modeldata!$E:$E,0))</f>
        <v>0</v>
      </c>
      <c r="AL96" s="242">
        <f t="array" ref="AL96">SUM(IF((modeldata!$F:$F=calibration!$AF$80)*(modeldata!$G:$G=calibration!AL$82)*(modeldata!$H:$H=calibration!$AF96),modeldata!$E:$E,0))</f>
        <v>0</v>
      </c>
      <c r="AM96" s="40">
        <f t="array" ref="AM96">SUM(IF((modeldata!$F:$F=calibration!$AF$80)*(modeldata!$G:$G=calibration!AM$82)*(modeldata!$H:$H=calibration!$AF96),modeldata!$E:$E,0))</f>
        <v>0</v>
      </c>
      <c r="AN96" s="243"/>
      <c r="AO96" s="242">
        <f t="array" ref="AO96">SUM(IF((modeldata!$F:$F=calibration!$AF$80)*(modeldata!$G:$G=calibration!AO$82)*(modeldata!$H:$H=calibration!$AF96),modeldata!$E:$E,0))</f>
        <v>0</v>
      </c>
      <c r="AP96" s="242">
        <f t="array" ref="AP96">SUM(IF((modeldata!$F:$F=calibration!$AF$80)*(modeldata!$G:$G=calibration!AP$82)*(modeldata!$H:$H=calibration!$AF96),modeldata!$E:$E,0))</f>
        <v>0</v>
      </c>
      <c r="AQ96" s="242">
        <f t="array" ref="AQ96">SUM(IF((modeldata!$F:$F=calibration!$AF$80)*(modeldata!$G:$G=calibration!AQ$82)*(modeldata!$H:$H=calibration!$AF96),modeldata!$E:$E,0))</f>
        <v>0</v>
      </c>
      <c r="AR96" s="178">
        <f>SUM(AO96:AQ96)</f>
        <v>0</v>
      </c>
      <c r="AS96" s="17">
        <f>SUM(AG96:AQ96)-AN96</f>
        <v>0</v>
      </c>
      <c r="AU96" s="2" t="s">
        <v>347</v>
      </c>
      <c r="AV96" s="38">
        <f t="shared" ref="AV96:BG96" si="633">IF(R105&gt;0,R96/R105,0)</f>
        <v>0</v>
      </c>
      <c r="AW96" s="242">
        <f t="shared" si="633"/>
        <v>0</v>
      </c>
      <c r="AX96" s="242">
        <f t="shared" si="633"/>
        <v>0</v>
      </c>
      <c r="AY96" s="242">
        <f t="shared" si="633"/>
        <v>0</v>
      </c>
      <c r="AZ96" s="242">
        <f t="shared" si="633"/>
        <v>0</v>
      </c>
      <c r="BA96" s="242">
        <f t="shared" si="633"/>
        <v>0</v>
      </c>
      <c r="BB96" s="40">
        <f t="shared" si="633"/>
        <v>0</v>
      </c>
      <c r="BC96" s="243">
        <f t="shared" si="633"/>
        <v>0</v>
      </c>
      <c r="BD96" s="242">
        <f t="shared" si="633"/>
        <v>0</v>
      </c>
      <c r="BE96" s="242">
        <f t="shared" si="633"/>
        <v>0</v>
      </c>
      <c r="BF96" s="242">
        <f t="shared" si="633"/>
        <v>0</v>
      </c>
      <c r="BG96" s="178">
        <f t="shared" si="633"/>
        <v>0</v>
      </c>
      <c r="BH96" s="24" t="e">
        <f>AD96/AD105</f>
        <v>#DIV/0!</v>
      </c>
      <c r="BJ96" s="2" t="s">
        <v>347</v>
      </c>
      <c r="BK96" s="38">
        <f t="shared" ref="BK96:BV96" si="634">IF(AG112&gt;0,AG96/AG112,0)</f>
        <v>0</v>
      </c>
      <c r="BL96" s="242">
        <f t="shared" si="634"/>
        <v>0</v>
      </c>
      <c r="BM96" s="242">
        <f t="shared" si="634"/>
        <v>0</v>
      </c>
      <c r="BN96" s="242">
        <f t="shared" si="634"/>
        <v>0</v>
      </c>
      <c r="BO96" s="242">
        <f t="shared" si="634"/>
        <v>0</v>
      </c>
      <c r="BP96" s="242">
        <f t="shared" si="634"/>
        <v>0</v>
      </c>
      <c r="BQ96" s="40">
        <f t="shared" si="634"/>
        <v>0</v>
      </c>
      <c r="BR96" s="243">
        <f t="shared" si="634"/>
        <v>0</v>
      </c>
      <c r="BS96" s="242">
        <f t="shared" si="634"/>
        <v>0</v>
      </c>
      <c r="BT96" s="242">
        <f t="shared" si="634"/>
        <v>0</v>
      </c>
      <c r="BU96" s="242">
        <f t="shared" si="634"/>
        <v>0</v>
      </c>
      <c r="BV96" s="178">
        <f t="shared" si="634"/>
        <v>0</v>
      </c>
      <c r="BW96" s="24" t="e">
        <f>AS96/AS112</f>
        <v>#DIV/0!</v>
      </c>
      <c r="BX96" s="24"/>
      <c r="BY96" s="2" t="s">
        <v>347</v>
      </c>
      <c r="BZ96" s="54">
        <f t="shared" ref="BZ96" si="635">AG96-R96</f>
        <v>0</v>
      </c>
      <c r="CA96" s="55">
        <f t="shared" ref="CA96" si="636">AH96-S96</f>
        <v>0</v>
      </c>
      <c r="CB96" s="55">
        <f t="shared" ref="CB96" si="637">AI96-T96</f>
        <v>0</v>
      </c>
      <c r="CC96" s="55">
        <f t="shared" ref="CC96" si="638">AJ96-U96</f>
        <v>0</v>
      </c>
      <c r="CD96" s="55">
        <f t="shared" ref="CD96" si="639">AK96-V96</f>
        <v>0</v>
      </c>
      <c r="CE96" s="55">
        <f t="shared" ref="CE96" si="640">AL96-W96</f>
        <v>0</v>
      </c>
      <c r="CF96" s="60">
        <f t="shared" ref="CF96" si="641">AM96-X96</f>
        <v>0</v>
      </c>
      <c r="CG96" s="246">
        <f t="shared" ref="CG96" si="642">AN96-Y96</f>
        <v>0</v>
      </c>
      <c r="CH96" s="55">
        <f t="shared" ref="CH96" si="643">AO96-Z96</f>
        <v>0</v>
      </c>
      <c r="CI96" s="55">
        <f t="shared" ref="CI96" si="644">AP96-AA96</f>
        <v>0</v>
      </c>
      <c r="CJ96" s="55">
        <f t="shared" ref="CJ96" si="645">AQ96-AB96</f>
        <v>0</v>
      </c>
      <c r="CK96" s="249">
        <f t="shared" ref="CK96" si="646">AR96-AC96</f>
        <v>0</v>
      </c>
      <c r="CL96" s="55">
        <f t="shared" ref="CL96" si="647">AS96-AD96</f>
        <v>0</v>
      </c>
      <c r="CN96" s="2" t="s">
        <v>347</v>
      </c>
      <c r="CO96" s="54">
        <f t="shared" ref="CO96" si="648">BK96-AV96</f>
        <v>0</v>
      </c>
      <c r="CP96" s="55">
        <f t="shared" ref="CP96" si="649">BL96-AW96</f>
        <v>0</v>
      </c>
      <c r="CQ96" s="55">
        <f t="shared" ref="CQ96" si="650">BM96-AX96</f>
        <v>0</v>
      </c>
      <c r="CR96" s="55">
        <f t="shared" ref="CR96" si="651">BN96-AY96</f>
        <v>0</v>
      </c>
      <c r="CS96" s="55">
        <f t="shared" ref="CS96" si="652">BO96-AZ96</f>
        <v>0</v>
      </c>
      <c r="CT96" s="55">
        <f t="shared" ref="CT96" si="653">BP96-BA96</f>
        <v>0</v>
      </c>
      <c r="CU96" s="60">
        <f t="shared" ref="CU96" si="654">BQ96-BB96</f>
        <v>0</v>
      </c>
      <c r="CV96" s="246">
        <f t="shared" ref="CV96" si="655">BR96-BC96</f>
        <v>0</v>
      </c>
      <c r="CW96" s="55">
        <f t="shared" ref="CW96" si="656">BS96-BD96</f>
        <v>0</v>
      </c>
      <c r="CX96" s="55">
        <f t="shared" ref="CX96" si="657">BT96-BE96</f>
        <v>0</v>
      </c>
      <c r="CY96" s="55">
        <f t="shared" ref="CY96" si="658">BU96-BF96</f>
        <v>0</v>
      </c>
      <c r="CZ96" s="249">
        <f t="shared" ref="CZ96" si="659">BV96-BG96</f>
        <v>0</v>
      </c>
      <c r="DA96" s="62" t="e">
        <f t="shared" ref="DA96" si="660">BW96-BH96</f>
        <v>#DIV/0!</v>
      </c>
      <c r="DC96" s="2" t="s">
        <v>347</v>
      </c>
      <c r="DD96" s="198">
        <f t="shared" ref="DD96" si="661">AV96</f>
        <v>0</v>
      </c>
      <c r="DE96" s="199">
        <f t="shared" ref="DE96" si="662">BK96</f>
        <v>0</v>
      </c>
      <c r="DF96" s="198">
        <f t="shared" ref="DF96" si="663">AW96</f>
        <v>0</v>
      </c>
      <c r="DG96" s="199">
        <f t="shared" ref="DG96" si="664">BL96</f>
        <v>0</v>
      </c>
      <c r="DH96" s="198">
        <f t="shared" ref="DH96" si="665">AX96</f>
        <v>0</v>
      </c>
      <c r="DI96" s="199">
        <f t="shared" ref="DI96" si="666">BM96</f>
        <v>0</v>
      </c>
      <c r="DJ96" s="198">
        <f t="shared" ref="DJ96" si="667">AY96</f>
        <v>0</v>
      </c>
      <c r="DK96" s="199">
        <f t="shared" ref="DK96" si="668">BN96</f>
        <v>0</v>
      </c>
      <c r="DL96" s="198">
        <f t="shared" ref="DL96" si="669">AZ96</f>
        <v>0</v>
      </c>
      <c r="DM96" s="199">
        <f t="shared" ref="DM96" si="670">BO96</f>
        <v>0</v>
      </c>
      <c r="DN96" s="198">
        <f t="shared" ref="DN96" si="671">BA96</f>
        <v>0</v>
      </c>
      <c r="DO96" s="199">
        <f t="shared" ref="DO96" si="672">BP96</f>
        <v>0</v>
      </c>
      <c r="DP96" s="198">
        <f t="shared" ref="DP96" si="673">BB96</f>
        <v>0</v>
      </c>
      <c r="DQ96" s="199">
        <f t="shared" ref="DQ96" si="674">BQ96</f>
        <v>0</v>
      </c>
      <c r="DR96" s="198">
        <f t="shared" ref="DR96" si="675">BC96</f>
        <v>0</v>
      </c>
      <c r="DS96" s="199">
        <f t="shared" ref="DS96" si="676">BR96</f>
        <v>0</v>
      </c>
      <c r="DT96" s="198">
        <f t="shared" ref="DT96" si="677">BD96</f>
        <v>0</v>
      </c>
      <c r="DU96" s="199">
        <f t="shared" ref="DU96" si="678">BS96</f>
        <v>0</v>
      </c>
      <c r="DV96" s="198">
        <f t="shared" ref="DV96" si="679">BE96</f>
        <v>0</v>
      </c>
      <c r="DW96" s="199">
        <f t="shared" ref="DW96" si="680">BT96</f>
        <v>0</v>
      </c>
      <c r="DX96" s="198">
        <f t="shared" ref="DX96" si="681">BF96</f>
        <v>0</v>
      </c>
      <c r="DY96" s="199">
        <f t="shared" ref="DY96" si="682">BU96</f>
        <v>0</v>
      </c>
      <c r="DZ96" s="190">
        <f t="shared" ref="DZ96" si="683">BG96</f>
        <v>0</v>
      </c>
      <c r="EA96" s="199">
        <f t="shared" ref="EA96" si="684">BV96</f>
        <v>0</v>
      </c>
      <c r="EB96" s="190" t="e">
        <f t="shared" ref="EB96" si="685">BH96</f>
        <v>#DIV/0!</v>
      </c>
      <c r="EC96" s="190" t="e">
        <f t="shared" ref="EC96" si="686">BW96</f>
        <v>#DIV/0!</v>
      </c>
    </row>
    <row r="97" spans="1:133" x14ac:dyDescent="0.2">
      <c r="A97" s="64" t="s">
        <v>50</v>
      </c>
      <c r="B97" s="38">
        <f>targets!AW92</f>
        <v>0</v>
      </c>
      <c r="C97" s="242">
        <f>targets!AX92</f>
        <v>0</v>
      </c>
      <c r="D97" s="242">
        <f>targets!AY92</f>
        <v>0</v>
      </c>
      <c r="E97" s="242">
        <f>targets!AZ92</f>
        <v>0</v>
      </c>
      <c r="F97" s="242">
        <f>targets!BA92</f>
        <v>0</v>
      </c>
      <c r="G97" s="242">
        <f>SUM(targets!BB92:BG92)</f>
        <v>0</v>
      </c>
      <c r="H97" s="40">
        <f>SUM(targets!BH92:BM92)</f>
        <v>1055.5989993362027</v>
      </c>
      <c r="I97" s="243">
        <f t="shared" si="567"/>
        <v>1055.5989993362027</v>
      </c>
      <c r="J97" s="242">
        <f>targets!BN92</f>
        <v>0</v>
      </c>
      <c r="K97" s="242">
        <f>targets!BO92</f>
        <v>0</v>
      </c>
      <c r="L97" s="242">
        <f>targets!BP92</f>
        <v>0</v>
      </c>
      <c r="M97" s="178">
        <f t="shared" si="568"/>
        <v>0</v>
      </c>
      <c r="N97" s="17">
        <f t="shared" si="569"/>
        <v>1055.5989993362027</v>
      </c>
      <c r="O97" s="17"/>
      <c r="P97" s="17"/>
      <c r="Q97" s="64" t="s">
        <v>50</v>
      </c>
      <c r="R97" s="38">
        <f t="shared" si="532"/>
        <v>0</v>
      </c>
      <c r="S97" s="242">
        <f t="shared" si="533"/>
        <v>0</v>
      </c>
      <c r="T97" s="242">
        <f t="shared" si="534"/>
        <v>0</v>
      </c>
      <c r="U97" s="242">
        <f t="shared" si="535"/>
        <v>0</v>
      </c>
      <c r="V97" s="242">
        <f t="shared" si="536"/>
        <v>0</v>
      </c>
      <c r="W97" s="242">
        <f t="shared" si="537"/>
        <v>0</v>
      </c>
      <c r="X97" s="40">
        <f t="shared" si="538"/>
        <v>0</v>
      </c>
      <c r="Y97" s="243">
        <f t="shared" si="570"/>
        <v>0</v>
      </c>
      <c r="Z97" s="242">
        <f t="shared" si="539"/>
        <v>0</v>
      </c>
      <c r="AA97" s="242">
        <f t="shared" si="540"/>
        <v>0</v>
      </c>
      <c r="AB97" s="242">
        <f t="shared" si="541"/>
        <v>0</v>
      </c>
      <c r="AC97" s="178">
        <f t="shared" si="571"/>
        <v>0</v>
      </c>
      <c r="AD97" s="17">
        <f t="shared" si="572"/>
        <v>0</v>
      </c>
      <c r="AF97" s="64" t="s">
        <v>50</v>
      </c>
      <c r="AG97" s="38">
        <f t="array" ref="AG97">SUM(IF((modeldata!$F:$F=calibration!$AF$80)*(modeldata!$G:$G=calibration!AG$82)*(modeldata!$H:$H=calibration!$AF97),modeldata!$E:$E,0))</f>
        <v>0</v>
      </c>
      <c r="AH97" s="242">
        <f t="array" ref="AH97">SUM(IF((modeldata!$F:$F=calibration!$AF$80)*(modeldata!$G:$G=calibration!AH$82)*(modeldata!$H:$H=calibration!$AF97),modeldata!$E:$E,0))</f>
        <v>0</v>
      </c>
      <c r="AI97" s="242">
        <f t="array" ref="AI97">SUM(IF((modeldata!$F:$F=calibration!$AF$80)*(modeldata!$G:$G=calibration!AI$82)*(modeldata!$H:$H=calibration!$AF97),modeldata!$E:$E,0))</f>
        <v>0</v>
      </c>
      <c r="AJ97" s="242">
        <f t="array" ref="AJ97">SUM(IF((modeldata!$F:$F=calibration!$AF$80)*(modeldata!$G:$G=calibration!AJ$82)*(modeldata!$H:$H=calibration!$AF97),modeldata!$E:$E,0))</f>
        <v>0</v>
      </c>
      <c r="AK97" s="242">
        <f t="array" ref="AK97">SUM(IF((modeldata!$F:$F=calibration!$AF$80)*(modeldata!$G:$G=calibration!AK$82)*(modeldata!$H:$H=calibration!$AF97),modeldata!$E:$E,0))</f>
        <v>0</v>
      </c>
      <c r="AL97" s="242">
        <f t="array" ref="AL97">SUM(IF((modeldata!$F:$F=calibration!$AF$80)*(modeldata!$G:$G=calibration!AL$82)*(modeldata!$H:$H=calibration!$AF97),modeldata!$E:$E,0))</f>
        <v>0</v>
      </c>
      <c r="AM97" s="40">
        <f t="array" ref="AM97">SUM(IF((modeldata!$F:$F=calibration!$AF$80)*(modeldata!$G:$G=calibration!AM$82)*(modeldata!$H:$H=calibration!$AF97),modeldata!$E:$E,0))</f>
        <v>0</v>
      </c>
      <c r="AN97" s="243"/>
      <c r="AO97" s="242">
        <f t="array" ref="AO97">SUM(IF((modeldata!$F:$F=calibration!$AF$80)*(modeldata!$G:$G=calibration!AO$82)*(modeldata!$H:$H=calibration!$AF97),modeldata!$E:$E,0))</f>
        <v>0</v>
      </c>
      <c r="AP97" s="242">
        <f t="array" ref="AP97">SUM(IF((modeldata!$F:$F=calibration!$AF$80)*(modeldata!$G:$G=calibration!AP$82)*(modeldata!$H:$H=calibration!$AF97),modeldata!$E:$E,0))</f>
        <v>0</v>
      </c>
      <c r="AQ97" s="242">
        <f t="array" ref="AQ97">SUM(IF((modeldata!$F:$F=calibration!$AF$80)*(modeldata!$G:$G=calibration!AQ$82)*(modeldata!$H:$H=calibration!$AF97),modeldata!$E:$E,0))</f>
        <v>0</v>
      </c>
      <c r="AR97" s="178">
        <f t="shared" si="604"/>
        <v>0</v>
      </c>
      <c r="AS97" s="17">
        <f t="shared" si="573"/>
        <v>0</v>
      </c>
      <c r="AU97" s="64" t="s">
        <v>50</v>
      </c>
      <c r="AV97" s="38">
        <f t="shared" ref="AV97:BG97" si="687">IF(R103&gt;0,R97/R103,0)</f>
        <v>0</v>
      </c>
      <c r="AW97" s="242">
        <f t="shared" si="687"/>
        <v>0</v>
      </c>
      <c r="AX97" s="242">
        <f t="shared" si="687"/>
        <v>0</v>
      </c>
      <c r="AY97" s="242">
        <f t="shared" si="687"/>
        <v>0</v>
      </c>
      <c r="AZ97" s="242">
        <f t="shared" si="687"/>
        <v>0</v>
      </c>
      <c r="BA97" s="242">
        <f t="shared" si="687"/>
        <v>0</v>
      </c>
      <c r="BB97" s="40">
        <f t="shared" si="687"/>
        <v>0</v>
      </c>
      <c r="BC97" s="243">
        <f t="shared" si="687"/>
        <v>0</v>
      </c>
      <c r="BD97" s="242">
        <f t="shared" si="687"/>
        <v>0</v>
      </c>
      <c r="BE97" s="242">
        <f t="shared" si="687"/>
        <v>0</v>
      </c>
      <c r="BF97" s="242">
        <f t="shared" si="687"/>
        <v>0</v>
      </c>
      <c r="BG97" s="178">
        <f t="shared" si="687"/>
        <v>0</v>
      </c>
      <c r="BH97" s="24" t="e">
        <f>AD97/AD103</f>
        <v>#DIV/0!</v>
      </c>
      <c r="BJ97" s="64" t="s">
        <v>50</v>
      </c>
      <c r="BK97" s="38">
        <f t="shared" ref="BK97:BV97" si="688">IF(AG103&gt;0,AG97/AG103,0)</f>
        <v>0</v>
      </c>
      <c r="BL97" s="242">
        <f t="shared" si="688"/>
        <v>0</v>
      </c>
      <c r="BM97" s="242">
        <f t="shared" si="688"/>
        <v>0</v>
      </c>
      <c r="BN97" s="242">
        <f t="shared" si="688"/>
        <v>0</v>
      </c>
      <c r="BO97" s="242">
        <f t="shared" si="688"/>
        <v>0</v>
      </c>
      <c r="BP97" s="242">
        <f t="shared" si="688"/>
        <v>0</v>
      </c>
      <c r="BQ97" s="40">
        <f t="shared" si="688"/>
        <v>0</v>
      </c>
      <c r="BR97" s="243">
        <f t="shared" si="688"/>
        <v>0</v>
      </c>
      <c r="BS97" s="242">
        <f t="shared" si="688"/>
        <v>0</v>
      </c>
      <c r="BT97" s="242">
        <f t="shared" si="688"/>
        <v>0</v>
      </c>
      <c r="BU97" s="242">
        <f t="shared" si="688"/>
        <v>0</v>
      </c>
      <c r="BV97" s="178">
        <f t="shared" si="688"/>
        <v>0</v>
      </c>
      <c r="BW97" s="24" t="e">
        <f>AS97/AS103</f>
        <v>#DIV/0!</v>
      </c>
      <c r="BX97" s="24"/>
      <c r="BY97" s="64" t="s">
        <v>50</v>
      </c>
      <c r="BZ97" s="54">
        <f t="shared" si="576"/>
        <v>0</v>
      </c>
      <c r="CA97" s="55">
        <f t="shared" si="544"/>
        <v>0</v>
      </c>
      <c r="CB97" s="55">
        <f t="shared" si="545"/>
        <v>0</v>
      </c>
      <c r="CC97" s="55">
        <f t="shared" si="546"/>
        <v>0</v>
      </c>
      <c r="CD97" s="55">
        <f t="shared" si="547"/>
        <v>0</v>
      </c>
      <c r="CE97" s="55">
        <f t="shared" si="548"/>
        <v>0</v>
      </c>
      <c r="CF97" s="60">
        <f t="shared" si="549"/>
        <v>0</v>
      </c>
      <c r="CG97" s="246">
        <f t="shared" si="550"/>
        <v>0</v>
      </c>
      <c r="CH97" s="55">
        <f t="shared" si="551"/>
        <v>0</v>
      </c>
      <c r="CI97" s="55">
        <f t="shared" si="552"/>
        <v>0</v>
      </c>
      <c r="CJ97" s="55">
        <f t="shared" si="553"/>
        <v>0</v>
      </c>
      <c r="CK97" s="249">
        <f t="shared" si="553"/>
        <v>0</v>
      </c>
      <c r="CL97" s="55">
        <f t="shared" si="554"/>
        <v>0</v>
      </c>
      <c r="CN97" s="64" t="s">
        <v>50</v>
      </c>
      <c r="CO97" s="54">
        <f t="shared" si="577"/>
        <v>0</v>
      </c>
      <c r="CP97" s="55">
        <f t="shared" si="555"/>
        <v>0</v>
      </c>
      <c r="CQ97" s="55">
        <f t="shared" si="556"/>
        <v>0</v>
      </c>
      <c r="CR97" s="55">
        <f t="shared" si="557"/>
        <v>0</v>
      </c>
      <c r="CS97" s="55">
        <f t="shared" si="558"/>
        <v>0</v>
      </c>
      <c r="CT97" s="55">
        <f t="shared" si="559"/>
        <v>0</v>
      </c>
      <c r="CU97" s="60">
        <f t="shared" si="560"/>
        <v>0</v>
      </c>
      <c r="CV97" s="246">
        <f t="shared" si="561"/>
        <v>0</v>
      </c>
      <c r="CW97" s="55">
        <f t="shared" si="562"/>
        <v>0</v>
      </c>
      <c r="CX97" s="55">
        <f t="shared" si="563"/>
        <v>0</v>
      </c>
      <c r="CY97" s="55">
        <f t="shared" si="564"/>
        <v>0</v>
      </c>
      <c r="CZ97" s="249">
        <f t="shared" si="564"/>
        <v>0</v>
      </c>
      <c r="DA97" s="62" t="e">
        <f t="shared" si="565"/>
        <v>#DIV/0!</v>
      </c>
      <c r="DC97" s="64" t="s">
        <v>50</v>
      </c>
      <c r="DD97" s="198">
        <f t="shared" si="578"/>
        <v>0</v>
      </c>
      <c r="DE97" s="199">
        <f t="shared" si="579"/>
        <v>0</v>
      </c>
      <c r="DF97" s="198">
        <f t="shared" si="580"/>
        <v>0</v>
      </c>
      <c r="DG97" s="199">
        <f t="shared" si="581"/>
        <v>0</v>
      </c>
      <c r="DH97" s="198">
        <f t="shared" si="582"/>
        <v>0</v>
      </c>
      <c r="DI97" s="199">
        <f t="shared" si="583"/>
        <v>0</v>
      </c>
      <c r="DJ97" s="198">
        <f t="shared" si="584"/>
        <v>0</v>
      </c>
      <c r="DK97" s="199">
        <f t="shared" si="585"/>
        <v>0</v>
      </c>
      <c r="DL97" s="198">
        <f t="shared" si="586"/>
        <v>0</v>
      </c>
      <c r="DM97" s="199">
        <f t="shared" si="587"/>
        <v>0</v>
      </c>
      <c r="DN97" s="198">
        <f t="shared" si="588"/>
        <v>0</v>
      </c>
      <c r="DO97" s="199">
        <f t="shared" si="589"/>
        <v>0</v>
      </c>
      <c r="DP97" s="198">
        <f t="shared" si="590"/>
        <v>0</v>
      </c>
      <c r="DQ97" s="199">
        <f t="shared" si="591"/>
        <v>0</v>
      </c>
      <c r="DR97" s="198">
        <f t="shared" si="592"/>
        <v>0</v>
      </c>
      <c r="DS97" s="199">
        <f t="shared" si="593"/>
        <v>0</v>
      </c>
      <c r="DT97" s="198">
        <f t="shared" si="594"/>
        <v>0</v>
      </c>
      <c r="DU97" s="199">
        <f t="shared" si="595"/>
        <v>0</v>
      </c>
      <c r="DV97" s="198">
        <f t="shared" si="596"/>
        <v>0</v>
      </c>
      <c r="DW97" s="199">
        <f t="shared" si="597"/>
        <v>0</v>
      </c>
      <c r="DX97" s="198">
        <f t="shared" si="598"/>
        <v>0</v>
      </c>
      <c r="DY97" s="199">
        <f t="shared" si="599"/>
        <v>0</v>
      </c>
      <c r="DZ97" s="190">
        <f t="shared" si="600"/>
        <v>0</v>
      </c>
      <c r="EA97" s="199">
        <f t="shared" si="566"/>
        <v>0</v>
      </c>
      <c r="EB97" s="190" t="e">
        <f t="shared" si="601"/>
        <v>#DIV/0!</v>
      </c>
      <c r="EC97" s="190" t="e">
        <f t="shared" si="602"/>
        <v>#DIV/0!</v>
      </c>
    </row>
    <row r="98" spans="1:133" x14ac:dyDescent="0.2">
      <c r="A98" s="64" t="s">
        <v>51</v>
      </c>
      <c r="B98" s="38">
        <f>targets!AW93</f>
        <v>0</v>
      </c>
      <c r="C98" s="242">
        <f>targets!AX93</f>
        <v>0</v>
      </c>
      <c r="D98" s="242">
        <f>targets!AY93</f>
        <v>0</v>
      </c>
      <c r="E98" s="242">
        <f>targets!AZ93</f>
        <v>0</v>
      </c>
      <c r="F98" s="242">
        <f>targets!BA93</f>
        <v>0</v>
      </c>
      <c r="G98" s="242">
        <f>SUM(targets!BB93:BG93)</f>
        <v>0</v>
      </c>
      <c r="H98" s="40">
        <f>SUM(targets!BH93:BM93)</f>
        <v>0</v>
      </c>
      <c r="I98" s="243">
        <f t="shared" si="567"/>
        <v>0</v>
      </c>
      <c r="J98" s="242">
        <f>targets!BN93</f>
        <v>1120.6858241139491</v>
      </c>
      <c r="K98" s="242">
        <f>targets!BO93</f>
        <v>1732.3941912433686</v>
      </c>
      <c r="L98" s="242">
        <f>targets!BP93</f>
        <v>0</v>
      </c>
      <c r="M98" s="178">
        <f t="shared" si="568"/>
        <v>2853.0800153573177</v>
      </c>
      <c r="N98" s="17">
        <f t="shared" si="569"/>
        <v>2853.0800153573177</v>
      </c>
      <c r="O98" s="17"/>
      <c r="P98" s="17"/>
      <c r="Q98" s="64" t="s">
        <v>51</v>
      </c>
      <c r="R98" s="38">
        <f t="shared" si="532"/>
        <v>0</v>
      </c>
      <c r="S98" s="242">
        <f t="shared" si="533"/>
        <v>0</v>
      </c>
      <c r="T98" s="242">
        <f t="shared" si="534"/>
        <v>0</v>
      </c>
      <c r="U98" s="242">
        <f t="shared" si="535"/>
        <v>0</v>
      </c>
      <c r="V98" s="242">
        <f t="shared" si="536"/>
        <v>0</v>
      </c>
      <c r="W98" s="242">
        <f t="shared" si="537"/>
        <v>0</v>
      </c>
      <c r="X98" s="40">
        <f t="shared" si="538"/>
        <v>0</v>
      </c>
      <c r="Y98" s="243">
        <f t="shared" si="570"/>
        <v>0</v>
      </c>
      <c r="Z98" s="242">
        <f t="shared" si="539"/>
        <v>0</v>
      </c>
      <c r="AA98" s="242">
        <f t="shared" si="540"/>
        <v>0</v>
      </c>
      <c r="AB98" s="242">
        <f t="shared" si="541"/>
        <v>0</v>
      </c>
      <c r="AC98" s="178">
        <f t="shared" si="571"/>
        <v>0</v>
      </c>
      <c r="AD98" s="17">
        <f t="shared" si="572"/>
        <v>0</v>
      </c>
      <c r="AF98" s="64" t="s">
        <v>51</v>
      </c>
      <c r="AG98" s="38">
        <f t="array" ref="AG98">SUM(IF((modeldata!$F:$F=calibration!$AF$80)*(modeldata!$G:$G=calibration!AG$82)*(modeldata!$H:$H=calibration!$AF98),modeldata!$E:$E,0))</f>
        <v>0</v>
      </c>
      <c r="AH98" s="242">
        <f t="array" ref="AH98">SUM(IF((modeldata!$F:$F=calibration!$AF$80)*(modeldata!$G:$G=calibration!AH$82)*(modeldata!$H:$H=calibration!$AF98),modeldata!$E:$E,0))</f>
        <v>0</v>
      </c>
      <c r="AI98" s="242">
        <f t="array" ref="AI98">SUM(IF((modeldata!$F:$F=calibration!$AF$80)*(modeldata!$G:$G=calibration!AI$82)*(modeldata!$H:$H=calibration!$AF98),modeldata!$E:$E,0))</f>
        <v>0</v>
      </c>
      <c r="AJ98" s="242">
        <f t="array" ref="AJ98">SUM(IF((modeldata!$F:$F=calibration!$AF$80)*(modeldata!$G:$G=calibration!AJ$82)*(modeldata!$H:$H=calibration!$AF98),modeldata!$E:$E,0))</f>
        <v>0</v>
      </c>
      <c r="AK98" s="242">
        <f t="array" ref="AK98">SUM(IF((modeldata!$F:$F=calibration!$AF$80)*(modeldata!$G:$G=calibration!AK$82)*(modeldata!$H:$H=calibration!$AF98),modeldata!$E:$E,0))</f>
        <v>0</v>
      </c>
      <c r="AL98" s="242">
        <f t="array" ref="AL98">SUM(IF((modeldata!$F:$F=calibration!$AF$80)*(modeldata!$G:$G=calibration!AL$82)*(modeldata!$H:$H=calibration!$AF98),modeldata!$E:$E,0))</f>
        <v>0</v>
      </c>
      <c r="AM98" s="40">
        <f t="array" ref="AM98">SUM(IF((modeldata!$F:$F=calibration!$AF$80)*(modeldata!$G:$G=calibration!AM$82)*(modeldata!$H:$H=calibration!$AF98),modeldata!$E:$E,0))</f>
        <v>0</v>
      </c>
      <c r="AN98" s="243"/>
      <c r="AO98" s="242">
        <f t="array" ref="AO98">SUM(IF((modeldata!$F:$F=calibration!$AF$80)*(modeldata!$G:$G=calibration!AO$82)*(modeldata!$H:$H=calibration!$AF98),modeldata!$E:$E,0))</f>
        <v>0</v>
      </c>
      <c r="AP98" s="242">
        <f t="array" ref="AP98">SUM(IF((modeldata!$F:$F=calibration!$AF$80)*(modeldata!$G:$G=calibration!AP$82)*(modeldata!$H:$H=calibration!$AF98),modeldata!$E:$E,0))</f>
        <v>0</v>
      </c>
      <c r="AQ98" s="242">
        <f t="array" ref="AQ98">SUM(IF((modeldata!$F:$F=calibration!$AF$80)*(modeldata!$G:$G=calibration!AQ$82)*(modeldata!$H:$H=calibration!$AF98),modeldata!$E:$E,0))</f>
        <v>0</v>
      </c>
      <c r="AR98" s="178">
        <f t="shared" si="604"/>
        <v>0</v>
      </c>
      <c r="AS98" s="17">
        <f t="shared" si="573"/>
        <v>0</v>
      </c>
      <c r="AU98" s="64" t="s">
        <v>51</v>
      </c>
      <c r="AV98" s="38">
        <f t="shared" ref="AV98:BG98" si="689">IF(R103&gt;0,R98/R103,0)</f>
        <v>0</v>
      </c>
      <c r="AW98" s="242">
        <f t="shared" si="689"/>
        <v>0</v>
      </c>
      <c r="AX98" s="242">
        <f t="shared" si="689"/>
        <v>0</v>
      </c>
      <c r="AY98" s="242">
        <f t="shared" si="689"/>
        <v>0</v>
      </c>
      <c r="AZ98" s="242">
        <f t="shared" si="689"/>
        <v>0</v>
      </c>
      <c r="BA98" s="242">
        <f t="shared" si="689"/>
        <v>0</v>
      </c>
      <c r="BB98" s="40">
        <f t="shared" si="689"/>
        <v>0</v>
      </c>
      <c r="BC98" s="243">
        <f t="shared" si="689"/>
        <v>0</v>
      </c>
      <c r="BD98" s="242">
        <f t="shared" si="689"/>
        <v>0</v>
      </c>
      <c r="BE98" s="242">
        <f t="shared" si="689"/>
        <v>0</v>
      </c>
      <c r="BF98" s="242">
        <f t="shared" si="689"/>
        <v>0</v>
      </c>
      <c r="BG98" s="178">
        <f t="shared" si="689"/>
        <v>0</v>
      </c>
      <c r="BH98" s="24" t="e">
        <f>AD98/AD103</f>
        <v>#DIV/0!</v>
      </c>
      <c r="BJ98" s="64" t="s">
        <v>51</v>
      </c>
      <c r="BK98" s="38">
        <f t="shared" ref="BK98:BV98" si="690">IF(AG103&gt;0,AG98/AG103,0)</f>
        <v>0</v>
      </c>
      <c r="BL98" s="242">
        <f t="shared" si="690"/>
        <v>0</v>
      </c>
      <c r="BM98" s="242">
        <f t="shared" si="690"/>
        <v>0</v>
      </c>
      <c r="BN98" s="242">
        <f t="shared" si="690"/>
        <v>0</v>
      </c>
      <c r="BO98" s="242">
        <f t="shared" si="690"/>
        <v>0</v>
      </c>
      <c r="BP98" s="242">
        <f t="shared" si="690"/>
        <v>0</v>
      </c>
      <c r="BQ98" s="40">
        <f t="shared" si="690"/>
        <v>0</v>
      </c>
      <c r="BR98" s="243">
        <f t="shared" si="690"/>
        <v>0</v>
      </c>
      <c r="BS98" s="242">
        <f t="shared" si="690"/>
        <v>0</v>
      </c>
      <c r="BT98" s="242">
        <f t="shared" si="690"/>
        <v>0</v>
      </c>
      <c r="BU98" s="242">
        <f t="shared" si="690"/>
        <v>0</v>
      </c>
      <c r="BV98" s="178">
        <f t="shared" si="690"/>
        <v>0</v>
      </c>
      <c r="BW98" s="24" t="e">
        <f>AS98/AS103</f>
        <v>#DIV/0!</v>
      </c>
      <c r="BX98" s="24"/>
      <c r="BY98" s="64" t="s">
        <v>51</v>
      </c>
      <c r="BZ98" s="54">
        <f t="shared" si="576"/>
        <v>0</v>
      </c>
      <c r="CA98" s="55">
        <f t="shared" si="544"/>
        <v>0</v>
      </c>
      <c r="CB98" s="55">
        <f t="shared" si="545"/>
        <v>0</v>
      </c>
      <c r="CC98" s="55">
        <f t="shared" si="546"/>
        <v>0</v>
      </c>
      <c r="CD98" s="55">
        <f t="shared" si="547"/>
        <v>0</v>
      </c>
      <c r="CE98" s="55">
        <f t="shared" si="548"/>
        <v>0</v>
      </c>
      <c r="CF98" s="60">
        <f t="shared" si="549"/>
        <v>0</v>
      </c>
      <c r="CG98" s="246">
        <f t="shared" si="550"/>
        <v>0</v>
      </c>
      <c r="CH98" s="55">
        <f t="shared" si="551"/>
        <v>0</v>
      </c>
      <c r="CI98" s="55">
        <f t="shared" si="552"/>
        <v>0</v>
      </c>
      <c r="CJ98" s="55">
        <f t="shared" si="553"/>
        <v>0</v>
      </c>
      <c r="CK98" s="249">
        <f t="shared" si="553"/>
        <v>0</v>
      </c>
      <c r="CL98" s="55">
        <f t="shared" si="554"/>
        <v>0</v>
      </c>
      <c r="CN98" s="64" t="s">
        <v>51</v>
      </c>
      <c r="CO98" s="54">
        <f t="shared" si="577"/>
        <v>0</v>
      </c>
      <c r="CP98" s="55">
        <f t="shared" si="555"/>
        <v>0</v>
      </c>
      <c r="CQ98" s="55">
        <f t="shared" si="556"/>
        <v>0</v>
      </c>
      <c r="CR98" s="55">
        <f t="shared" si="557"/>
        <v>0</v>
      </c>
      <c r="CS98" s="55">
        <f t="shared" si="558"/>
        <v>0</v>
      </c>
      <c r="CT98" s="55">
        <f t="shared" si="559"/>
        <v>0</v>
      </c>
      <c r="CU98" s="60">
        <f t="shared" si="560"/>
        <v>0</v>
      </c>
      <c r="CV98" s="246">
        <f t="shared" si="561"/>
        <v>0</v>
      </c>
      <c r="CW98" s="55">
        <f t="shared" si="562"/>
        <v>0</v>
      </c>
      <c r="CX98" s="55">
        <f t="shared" si="563"/>
        <v>0</v>
      </c>
      <c r="CY98" s="55">
        <f t="shared" si="564"/>
        <v>0</v>
      </c>
      <c r="CZ98" s="249">
        <f t="shared" si="564"/>
        <v>0</v>
      </c>
      <c r="DA98" s="62" t="e">
        <f t="shared" si="565"/>
        <v>#DIV/0!</v>
      </c>
      <c r="DC98" s="64" t="s">
        <v>51</v>
      </c>
      <c r="DD98" s="198">
        <f t="shared" si="578"/>
        <v>0</v>
      </c>
      <c r="DE98" s="199">
        <f t="shared" si="579"/>
        <v>0</v>
      </c>
      <c r="DF98" s="198">
        <f t="shared" si="580"/>
        <v>0</v>
      </c>
      <c r="DG98" s="199">
        <f t="shared" si="581"/>
        <v>0</v>
      </c>
      <c r="DH98" s="198">
        <f t="shared" si="582"/>
        <v>0</v>
      </c>
      <c r="DI98" s="199">
        <f t="shared" si="583"/>
        <v>0</v>
      </c>
      <c r="DJ98" s="198">
        <f t="shared" si="584"/>
        <v>0</v>
      </c>
      <c r="DK98" s="199">
        <f t="shared" si="585"/>
        <v>0</v>
      </c>
      <c r="DL98" s="198">
        <f t="shared" si="586"/>
        <v>0</v>
      </c>
      <c r="DM98" s="199">
        <f t="shared" si="587"/>
        <v>0</v>
      </c>
      <c r="DN98" s="198">
        <f t="shared" si="588"/>
        <v>0</v>
      </c>
      <c r="DO98" s="199">
        <f t="shared" si="589"/>
        <v>0</v>
      </c>
      <c r="DP98" s="198">
        <f t="shared" si="590"/>
        <v>0</v>
      </c>
      <c r="DQ98" s="199">
        <f t="shared" si="591"/>
        <v>0</v>
      </c>
      <c r="DR98" s="198">
        <f t="shared" si="592"/>
        <v>0</v>
      </c>
      <c r="DS98" s="199">
        <f t="shared" si="593"/>
        <v>0</v>
      </c>
      <c r="DT98" s="198">
        <f t="shared" si="594"/>
        <v>0</v>
      </c>
      <c r="DU98" s="199">
        <f t="shared" si="595"/>
        <v>0</v>
      </c>
      <c r="DV98" s="198">
        <f t="shared" si="596"/>
        <v>0</v>
      </c>
      <c r="DW98" s="199">
        <f t="shared" si="597"/>
        <v>0</v>
      </c>
      <c r="DX98" s="198">
        <f t="shared" si="598"/>
        <v>0</v>
      </c>
      <c r="DY98" s="199">
        <f t="shared" si="599"/>
        <v>0</v>
      </c>
      <c r="DZ98" s="190">
        <f t="shared" si="600"/>
        <v>0</v>
      </c>
      <c r="EA98" s="199">
        <f t="shared" si="566"/>
        <v>0</v>
      </c>
      <c r="EB98" s="190" t="e">
        <f t="shared" si="601"/>
        <v>#DIV/0!</v>
      </c>
      <c r="EC98" s="190" t="e">
        <f t="shared" si="602"/>
        <v>#DIV/0!</v>
      </c>
    </row>
    <row r="99" spans="1:133" x14ac:dyDescent="0.2">
      <c r="A99" s="64" t="s">
        <v>52</v>
      </c>
      <c r="B99" s="38">
        <f>targets!AW94</f>
        <v>0</v>
      </c>
      <c r="C99" s="242">
        <f>targets!AX94</f>
        <v>0</v>
      </c>
      <c r="D99" s="242">
        <f>targets!AY94</f>
        <v>0</v>
      </c>
      <c r="E99" s="242">
        <f>targets!AZ94</f>
        <v>0</v>
      </c>
      <c r="F99" s="242">
        <f>targets!BA94</f>
        <v>0</v>
      </c>
      <c r="G99" s="242">
        <f>SUM(targets!BB94:BG94)</f>
        <v>0</v>
      </c>
      <c r="H99" s="41">
        <f>SUM(targets!BH94:BM94)</f>
        <v>268.03464489800331</v>
      </c>
      <c r="I99" s="243">
        <f t="shared" si="567"/>
        <v>268.03464489800331</v>
      </c>
      <c r="J99" s="242">
        <f>targets!BN94</f>
        <v>0</v>
      </c>
      <c r="K99" s="242">
        <f>targets!BO94</f>
        <v>29344.891032322259</v>
      </c>
      <c r="L99" s="242">
        <f>targets!BP94</f>
        <v>27.242621914019715</v>
      </c>
      <c r="M99" s="178">
        <f t="shared" si="568"/>
        <v>29372.133654236277</v>
      </c>
      <c r="N99" s="17">
        <f t="shared" si="569"/>
        <v>29640.168299134282</v>
      </c>
      <c r="O99" s="17"/>
      <c r="P99" s="17"/>
      <c r="Q99" s="64" t="s">
        <v>52</v>
      </c>
      <c r="R99" s="38">
        <f t="shared" si="532"/>
        <v>0</v>
      </c>
      <c r="S99" s="242">
        <f t="shared" si="533"/>
        <v>0</v>
      </c>
      <c r="T99" s="242">
        <f t="shared" si="534"/>
        <v>0</v>
      </c>
      <c r="U99" s="242">
        <f t="shared" si="535"/>
        <v>0</v>
      </c>
      <c r="V99" s="242">
        <f t="shared" si="536"/>
        <v>0</v>
      </c>
      <c r="W99" s="242">
        <f t="shared" si="537"/>
        <v>0</v>
      </c>
      <c r="X99" s="41">
        <f t="shared" si="538"/>
        <v>0</v>
      </c>
      <c r="Y99" s="243">
        <f t="shared" si="570"/>
        <v>0</v>
      </c>
      <c r="Z99" s="242">
        <f t="shared" si="539"/>
        <v>0</v>
      </c>
      <c r="AA99" s="242">
        <f t="shared" si="540"/>
        <v>0</v>
      </c>
      <c r="AB99" s="242">
        <f t="shared" si="541"/>
        <v>0</v>
      </c>
      <c r="AC99" s="178">
        <f t="shared" si="571"/>
        <v>0</v>
      </c>
      <c r="AD99" s="17">
        <f t="shared" si="572"/>
        <v>0</v>
      </c>
      <c r="AF99" s="64" t="s">
        <v>52</v>
      </c>
      <c r="AG99" s="38">
        <f t="array" ref="AG99">SUM(IF((modeldata!$F:$F=calibration!$AF$80)*(modeldata!$G:$G=calibration!AG$82)*(modeldata!$H:$H=calibration!$AF99),modeldata!$E:$E,0))</f>
        <v>0</v>
      </c>
      <c r="AH99" s="242">
        <f t="array" ref="AH99">SUM(IF((modeldata!$F:$F=calibration!$AF$80)*(modeldata!$G:$G=calibration!AH$82)*(modeldata!$H:$H=calibration!$AF99),modeldata!$E:$E,0))</f>
        <v>0</v>
      </c>
      <c r="AI99" s="242">
        <f t="array" ref="AI99">SUM(IF((modeldata!$F:$F=calibration!$AF$80)*(modeldata!$G:$G=calibration!AI$82)*(modeldata!$H:$H=calibration!$AF99),modeldata!$E:$E,0))</f>
        <v>0</v>
      </c>
      <c r="AJ99" s="242">
        <f t="array" ref="AJ99">SUM(IF((modeldata!$F:$F=calibration!$AF$80)*(modeldata!$G:$G=calibration!AJ$82)*(modeldata!$H:$H=calibration!$AF99),modeldata!$E:$E,0))</f>
        <v>0</v>
      </c>
      <c r="AK99" s="242">
        <f t="array" ref="AK99">SUM(IF((modeldata!$F:$F=calibration!$AF$80)*(modeldata!$G:$G=calibration!AK$82)*(modeldata!$H:$H=calibration!$AF99),modeldata!$E:$E,0))</f>
        <v>0</v>
      </c>
      <c r="AL99" s="242">
        <f t="array" ref="AL99">SUM(IF((modeldata!$F:$F=calibration!$AF$80)*(modeldata!$G:$G=calibration!AL$82)*(modeldata!$H:$H=calibration!$AF99),modeldata!$E:$E,0))</f>
        <v>0</v>
      </c>
      <c r="AM99" s="41">
        <f t="array" ref="AM99">SUM(IF((modeldata!$F:$F=calibration!$AF$80)*(modeldata!$G:$G=calibration!AM$82)*(modeldata!$H:$H=calibration!$AF99),modeldata!$E:$E,0))</f>
        <v>0</v>
      </c>
      <c r="AN99" s="243"/>
      <c r="AO99" s="242">
        <f t="array" ref="AO99">SUM(IF((modeldata!$F:$F=calibration!$AF$80)*(modeldata!$G:$G=calibration!AO$82)*(modeldata!$H:$H=calibration!$AF99),modeldata!$E:$E,0))</f>
        <v>0</v>
      </c>
      <c r="AP99" s="242">
        <f t="array" ref="AP99">SUM(IF((modeldata!$F:$F=calibration!$AF$80)*(modeldata!$G:$G=calibration!AP$82)*(modeldata!$H:$H=calibration!$AF99),modeldata!$E:$E,0))</f>
        <v>0</v>
      </c>
      <c r="AQ99" s="242">
        <f t="array" ref="AQ99">SUM(IF((modeldata!$F:$F=calibration!$AF$80)*(modeldata!$G:$G=calibration!AQ$82)*(modeldata!$H:$H=calibration!$AF99),modeldata!$E:$E,0))</f>
        <v>0</v>
      </c>
      <c r="AR99" s="178">
        <f t="shared" si="604"/>
        <v>0</v>
      </c>
      <c r="AS99" s="17">
        <f t="shared" si="573"/>
        <v>0</v>
      </c>
      <c r="AU99" s="64" t="s">
        <v>52</v>
      </c>
      <c r="AV99" s="38">
        <f t="shared" ref="AV99:BG99" si="691">IF(R103&gt;0,R99/R103,0)</f>
        <v>0</v>
      </c>
      <c r="AW99" s="242">
        <f t="shared" si="691"/>
        <v>0</v>
      </c>
      <c r="AX99" s="242">
        <f t="shared" si="691"/>
        <v>0</v>
      </c>
      <c r="AY99" s="242">
        <f t="shared" si="691"/>
        <v>0</v>
      </c>
      <c r="AZ99" s="242">
        <f t="shared" si="691"/>
        <v>0</v>
      </c>
      <c r="BA99" s="242">
        <f t="shared" si="691"/>
        <v>0</v>
      </c>
      <c r="BB99" s="41">
        <f t="shared" si="691"/>
        <v>0</v>
      </c>
      <c r="BC99" s="243">
        <f t="shared" si="691"/>
        <v>0</v>
      </c>
      <c r="BD99" s="242">
        <f t="shared" si="691"/>
        <v>0</v>
      </c>
      <c r="BE99" s="242">
        <f t="shared" si="691"/>
        <v>0</v>
      </c>
      <c r="BF99" s="242">
        <f t="shared" si="691"/>
        <v>0</v>
      </c>
      <c r="BG99" s="178">
        <f t="shared" si="691"/>
        <v>0</v>
      </c>
      <c r="BH99" s="24" t="e">
        <f>AD99/AD103</f>
        <v>#DIV/0!</v>
      </c>
      <c r="BJ99" s="64" t="s">
        <v>52</v>
      </c>
      <c r="BK99" s="38">
        <f t="shared" ref="BK99:BV99" si="692">IF(AG103&gt;0,AG99/AG103,0)</f>
        <v>0</v>
      </c>
      <c r="BL99" s="242">
        <f t="shared" si="692"/>
        <v>0</v>
      </c>
      <c r="BM99" s="242">
        <f t="shared" si="692"/>
        <v>0</v>
      </c>
      <c r="BN99" s="242">
        <f t="shared" si="692"/>
        <v>0</v>
      </c>
      <c r="BO99" s="242">
        <f t="shared" si="692"/>
        <v>0</v>
      </c>
      <c r="BP99" s="242">
        <f t="shared" si="692"/>
        <v>0</v>
      </c>
      <c r="BQ99" s="41">
        <f t="shared" si="692"/>
        <v>0</v>
      </c>
      <c r="BR99" s="243">
        <f t="shared" si="692"/>
        <v>0</v>
      </c>
      <c r="BS99" s="242">
        <f t="shared" si="692"/>
        <v>0</v>
      </c>
      <c r="BT99" s="242">
        <f t="shared" si="692"/>
        <v>0</v>
      </c>
      <c r="BU99" s="242">
        <f t="shared" si="692"/>
        <v>0</v>
      </c>
      <c r="BV99" s="178">
        <f t="shared" si="692"/>
        <v>0</v>
      </c>
      <c r="BW99" s="24" t="e">
        <f>AS99/AS103</f>
        <v>#DIV/0!</v>
      </c>
      <c r="BX99" s="24"/>
      <c r="BY99" s="64" t="s">
        <v>52</v>
      </c>
      <c r="BZ99" s="54">
        <f t="shared" si="576"/>
        <v>0</v>
      </c>
      <c r="CA99" s="55">
        <f t="shared" si="544"/>
        <v>0</v>
      </c>
      <c r="CB99" s="55">
        <f t="shared" si="545"/>
        <v>0</v>
      </c>
      <c r="CC99" s="55">
        <f t="shared" si="546"/>
        <v>0</v>
      </c>
      <c r="CD99" s="55">
        <f t="shared" si="547"/>
        <v>0</v>
      </c>
      <c r="CE99" s="55">
        <f t="shared" si="548"/>
        <v>0</v>
      </c>
      <c r="CF99" s="61">
        <f t="shared" si="549"/>
        <v>0</v>
      </c>
      <c r="CG99" s="246">
        <f>AN99-Y99</f>
        <v>0</v>
      </c>
      <c r="CH99" s="55">
        <f t="shared" si="551"/>
        <v>0</v>
      </c>
      <c r="CI99" s="55">
        <f t="shared" si="552"/>
        <v>0</v>
      </c>
      <c r="CJ99" s="55">
        <f t="shared" si="553"/>
        <v>0</v>
      </c>
      <c r="CK99" s="249">
        <f t="shared" si="553"/>
        <v>0</v>
      </c>
      <c r="CL99" s="55">
        <f t="shared" si="554"/>
        <v>0</v>
      </c>
      <c r="CN99" s="64" t="s">
        <v>52</v>
      </c>
      <c r="CO99" s="54">
        <f t="shared" si="577"/>
        <v>0</v>
      </c>
      <c r="CP99" s="55">
        <f t="shared" si="555"/>
        <v>0</v>
      </c>
      <c r="CQ99" s="55">
        <f t="shared" si="556"/>
        <v>0</v>
      </c>
      <c r="CR99" s="55">
        <f t="shared" si="557"/>
        <v>0</v>
      </c>
      <c r="CS99" s="55">
        <f t="shared" si="558"/>
        <v>0</v>
      </c>
      <c r="CT99" s="55">
        <f t="shared" si="559"/>
        <v>0</v>
      </c>
      <c r="CU99" s="61">
        <f t="shared" si="560"/>
        <v>0</v>
      </c>
      <c r="CV99" s="246">
        <f t="shared" si="561"/>
        <v>0</v>
      </c>
      <c r="CW99" s="55">
        <f t="shared" si="562"/>
        <v>0</v>
      </c>
      <c r="CX99" s="55">
        <f t="shared" si="563"/>
        <v>0</v>
      </c>
      <c r="CY99" s="55">
        <f t="shared" si="564"/>
        <v>0</v>
      </c>
      <c r="CZ99" s="249">
        <f t="shared" si="564"/>
        <v>0</v>
      </c>
      <c r="DA99" s="62" t="e">
        <f t="shared" si="565"/>
        <v>#DIV/0!</v>
      </c>
      <c r="DC99" s="64" t="s">
        <v>52</v>
      </c>
      <c r="DD99" s="198">
        <f t="shared" si="578"/>
        <v>0</v>
      </c>
      <c r="DE99" s="199">
        <f t="shared" si="579"/>
        <v>0</v>
      </c>
      <c r="DF99" s="198">
        <f t="shared" si="580"/>
        <v>0</v>
      </c>
      <c r="DG99" s="199">
        <f t="shared" si="581"/>
        <v>0</v>
      </c>
      <c r="DH99" s="198">
        <f t="shared" si="582"/>
        <v>0</v>
      </c>
      <c r="DI99" s="199">
        <f t="shared" si="583"/>
        <v>0</v>
      </c>
      <c r="DJ99" s="198">
        <f t="shared" si="584"/>
        <v>0</v>
      </c>
      <c r="DK99" s="199">
        <f t="shared" si="585"/>
        <v>0</v>
      </c>
      <c r="DL99" s="198">
        <f t="shared" si="586"/>
        <v>0</v>
      </c>
      <c r="DM99" s="199">
        <f t="shared" si="587"/>
        <v>0</v>
      </c>
      <c r="DN99" s="198">
        <f t="shared" si="588"/>
        <v>0</v>
      </c>
      <c r="DO99" s="199">
        <f t="shared" si="589"/>
        <v>0</v>
      </c>
      <c r="DP99" s="200">
        <f t="shared" si="590"/>
        <v>0</v>
      </c>
      <c r="DQ99" s="201">
        <f t="shared" si="591"/>
        <v>0</v>
      </c>
      <c r="DR99" s="198">
        <f t="shared" si="592"/>
        <v>0</v>
      </c>
      <c r="DS99" s="199">
        <f t="shared" si="593"/>
        <v>0</v>
      </c>
      <c r="DT99" s="198">
        <f t="shared" si="594"/>
        <v>0</v>
      </c>
      <c r="DU99" s="199">
        <f t="shared" si="595"/>
        <v>0</v>
      </c>
      <c r="DV99" s="198">
        <f t="shared" si="596"/>
        <v>0</v>
      </c>
      <c r="DW99" s="199">
        <f t="shared" si="597"/>
        <v>0</v>
      </c>
      <c r="DX99" s="198">
        <f t="shared" si="598"/>
        <v>0</v>
      </c>
      <c r="DY99" s="199">
        <f t="shared" si="599"/>
        <v>0</v>
      </c>
      <c r="DZ99" s="190">
        <f t="shared" si="600"/>
        <v>0</v>
      </c>
      <c r="EA99" s="199">
        <f t="shared" si="566"/>
        <v>0</v>
      </c>
      <c r="EB99" s="190" t="e">
        <f t="shared" si="601"/>
        <v>#DIV/0!</v>
      </c>
      <c r="EC99" s="190" t="e">
        <f t="shared" si="602"/>
        <v>#DIV/0!</v>
      </c>
    </row>
    <row r="100" spans="1:133" x14ac:dyDescent="0.2">
      <c r="A100" s="2" t="s">
        <v>6</v>
      </c>
      <c r="B100" s="38">
        <f>targets!AW95</f>
        <v>0</v>
      </c>
      <c r="C100" s="242">
        <f>targets!AX95</f>
        <v>0</v>
      </c>
      <c r="D100" s="242">
        <f>targets!AY95</f>
        <v>0</v>
      </c>
      <c r="E100" s="242">
        <f>targets!AZ95</f>
        <v>0</v>
      </c>
      <c r="F100" s="242">
        <f>targets!BA95</f>
        <v>0</v>
      </c>
      <c r="G100" s="242">
        <f>SUM(targets!BB95:BG95)</f>
        <v>0</v>
      </c>
      <c r="H100" s="242">
        <f>SUM(targets!BH95:BM95)</f>
        <v>0</v>
      </c>
      <c r="I100" s="243">
        <f t="shared" si="567"/>
        <v>0</v>
      </c>
      <c r="J100" s="242">
        <f>targets!BN95</f>
        <v>0</v>
      </c>
      <c r="K100" s="242">
        <f>targets!BO95</f>
        <v>0</v>
      </c>
      <c r="L100" s="242">
        <f>targets!BP95</f>
        <v>107.88056786821294</v>
      </c>
      <c r="M100" s="178">
        <f t="shared" si="568"/>
        <v>107.88056786821294</v>
      </c>
      <c r="N100" s="17">
        <f t="shared" si="569"/>
        <v>107.88056786821294</v>
      </c>
      <c r="O100" s="17"/>
      <c r="P100" s="17"/>
      <c r="Q100" s="2" t="s">
        <v>6</v>
      </c>
      <c r="R100" s="38">
        <f t="shared" si="532"/>
        <v>0</v>
      </c>
      <c r="S100" s="242">
        <f t="shared" si="533"/>
        <v>0</v>
      </c>
      <c r="T100" s="242">
        <f t="shared" si="534"/>
        <v>0</v>
      </c>
      <c r="U100" s="242">
        <f t="shared" si="535"/>
        <v>0</v>
      </c>
      <c r="V100" s="242">
        <f t="shared" si="536"/>
        <v>0</v>
      </c>
      <c r="W100" s="242">
        <f t="shared" si="537"/>
        <v>0</v>
      </c>
      <c r="X100" s="242">
        <f t="shared" si="538"/>
        <v>0</v>
      </c>
      <c r="Y100" s="243">
        <f t="shared" si="570"/>
        <v>0</v>
      </c>
      <c r="Z100" s="242">
        <f t="shared" si="539"/>
        <v>0</v>
      </c>
      <c r="AA100" s="242">
        <f t="shared" si="540"/>
        <v>0</v>
      </c>
      <c r="AB100" s="242">
        <f t="shared" si="541"/>
        <v>0</v>
      </c>
      <c r="AC100" s="178">
        <f t="shared" si="571"/>
        <v>0</v>
      </c>
      <c r="AD100" s="17">
        <f t="shared" si="572"/>
        <v>0</v>
      </c>
      <c r="AF100" s="2" t="s">
        <v>6</v>
      </c>
      <c r="AG100" s="38">
        <f t="array" ref="AG100">SUM(IF((modeldata!$F:$F=calibration!$AF$80)*(modeldata!$G:$G=calibration!AG$82)*(modeldata!$H:$H=calibration!$AF100),modeldata!$E:$E,0))</f>
        <v>0</v>
      </c>
      <c r="AH100" s="242">
        <f t="array" ref="AH100">SUM(IF((modeldata!$F:$F=calibration!$AF$80)*(modeldata!$G:$G=calibration!AH$82)*(modeldata!$H:$H=calibration!$AF100),modeldata!$E:$E,0))</f>
        <v>0</v>
      </c>
      <c r="AI100" s="242">
        <f t="array" ref="AI100">SUM(IF((modeldata!$F:$F=calibration!$AF$80)*(modeldata!$G:$G=calibration!AI$82)*(modeldata!$H:$H=calibration!$AF100),modeldata!$E:$E,0))</f>
        <v>0</v>
      </c>
      <c r="AJ100" s="242">
        <f t="array" ref="AJ100">SUM(IF((modeldata!$F:$F=calibration!$AF$80)*(modeldata!$G:$G=calibration!AJ$82)*(modeldata!$H:$H=calibration!$AF100),modeldata!$E:$E,0))</f>
        <v>0</v>
      </c>
      <c r="AK100" s="242">
        <f t="array" ref="AK100">SUM(IF((modeldata!$F:$F=calibration!$AF$80)*(modeldata!$G:$G=calibration!AK$82)*(modeldata!$H:$H=calibration!$AF100),modeldata!$E:$E,0))</f>
        <v>0</v>
      </c>
      <c r="AL100" s="242">
        <f t="array" ref="AL100">SUM(IF((modeldata!$F:$F=calibration!$AF$80)*(modeldata!$G:$G=calibration!AL$82)*(modeldata!$H:$H=calibration!$AF100),modeldata!$E:$E,0))</f>
        <v>0</v>
      </c>
      <c r="AM100" s="242">
        <f t="array" ref="AM100">SUM(IF((modeldata!$F:$F=calibration!$AF$80)*(modeldata!$G:$G=calibration!AM$82)*(modeldata!$H:$H=calibration!$AF100),modeldata!$E:$E,0))</f>
        <v>0</v>
      </c>
      <c r="AN100" s="243">
        <f t="shared" si="603"/>
        <v>0</v>
      </c>
      <c r="AO100" s="242">
        <f t="array" ref="AO100">SUM(IF((modeldata!$F:$F=calibration!$AF$80)*(modeldata!$G:$G=calibration!AO$82)*(modeldata!$H:$H=calibration!$AF100),modeldata!$E:$E,0))</f>
        <v>0</v>
      </c>
      <c r="AP100" s="242">
        <f t="array" ref="AP100">SUM(IF((modeldata!$F:$F=calibration!$AF$80)*(modeldata!$G:$G=calibration!AP$82)*(modeldata!$H:$H=calibration!$AF100),modeldata!$E:$E,0))</f>
        <v>0</v>
      </c>
      <c r="AQ100" s="242">
        <f t="array" ref="AQ100">SUM(IF((modeldata!$F:$F=calibration!$AF$80)*(modeldata!$G:$G=calibration!AQ$82)*(modeldata!$H:$H=calibration!$AF100),modeldata!$E:$E,0))</f>
        <v>0</v>
      </c>
      <c r="AR100" s="178">
        <f t="shared" ref="AR100:AR102" si="693">SUM(AO100:AQ100)</f>
        <v>0</v>
      </c>
      <c r="AS100" s="17">
        <f t="shared" si="573"/>
        <v>0</v>
      </c>
      <c r="AU100" s="2" t="s">
        <v>6</v>
      </c>
      <c r="AV100" s="38">
        <f t="shared" ref="AV100:BG100" si="694">IF(R103&gt;0,R100/R103,0)</f>
        <v>0</v>
      </c>
      <c r="AW100" s="242">
        <f t="shared" si="694"/>
        <v>0</v>
      </c>
      <c r="AX100" s="242">
        <f t="shared" si="694"/>
        <v>0</v>
      </c>
      <c r="AY100" s="242">
        <f t="shared" si="694"/>
        <v>0</v>
      </c>
      <c r="AZ100" s="242">
        <f t="shared" si="694"/>
        <v>0</v>
      </c>
      <c r="BA100" s="242">
        <f t="shared" si="694"/>
        <v>0</v>
      </c>
      <c r="BB100" s="242">
        <f t="shared" si="694"/>
        <v>0</v>
      </c>
      <c r="BC100" s="243">
        <f t="shared" si="694"/>
        <v>0</v>
      </c>
      <c r="BD100" s="242">
        <f t="shared" si="694"/>
        <v>0</v>
      </c>
      <c r="BE100" s="242">
        <f t="shared" si="694"/>
        <v>0</v>
      </c>
      <c r="BF100" s="242">
        <f t="shared" si="694"/>
        <v>0</v>
      </c>
      <c r="BG100" s="178">
        <f t="shared" si="694"/>
        <v>0</v>
      </c>
      <c r="BH100" s="24" t="e">
        <f>AD100/AD103</f>
        <v>#DIV/0!</v>
      </c>
      <c r="BJ100" s="2" t="s">
        <v>6</v>
      </c>
      <c r="BK100" s="38">
        <f t="shared" ref="BK100:BV100" si="695">IF(AG103&gt;0,AG100/AG103,0)</f>
        <v>0</v>
      </c>
      <c r="BL100" s="242">
        <f t="shared" si="695"/>
        <v>0</v>
      </c>
      <c r="BM100" s="242">
        <f t="shared" si="695"/>
        <v>0</v>
      </c>
      <c r="BN100" s="242">
        <f t="shared" si="695"/>
        <v>0</v>
      </c>
      <c r="BO100" s="242">
        <f t="shared" si="695"/>
        <v>0</v>
      </c>
      <c r="BP100" s="242">
        <f t="shared" si="695"/>
        <v>0</v>
      </c>
      <c r="BQ100" s="242">
        <f t="shared" si="695"/>
        <v>0</v>
      </c>
      <c r="BR100" s="243">
        <f t="shared" si="695"/>
        <v>0</v>
      </c>
      <c r="BS100" s="242">
        <f t="shared" si="695"/>
        <v>0</v>
      </c>
      <c r="BT100" s="242">
        <f t="shared" si="695"/>
        <v>0</v>
      </c>
      <c r="BU100" s="242">
        <f t="shared" si="695"/>
        <v>0</v>
      </c>
      <c r="BV100" s="178">
        <f t="shared" si="695"/>
        <v>0</v>
      </c>
      <c r="BW100" s="24" t="e">
        <f>AS100/AS103</f>
        <v>#DIV/0!</v>
      </c>
      <c r="BX100" s="24"/>
      <c r="BY100" s="2" t="s">
        <v>6</v>
      </c>
      <c r="BZ100" s="54">
        <f t="shared" si="576"/>
        <v>0</v>
      </c>
      <c r="CA100" s="55">
        <f t="shared" si="544"/>
        <v>0</v>
      </c>
      <c r="CB100" s="55">
        <f t="shared" si="545"/>
        <v>0</v>
      </c>
      <c r="CC100" s="55">
        <f t="shared" si="546"/>
        <v>0</v>
      </c>
      <c r="CD100" s="55">
        <f t="shared" si="547"/>
        <v>0</v>
      </c>
      <c r="CE100" s="55">
        <f t="shared" si="548"/>
        <v>0</v>
      </c>
      <c r="CF100" s="55">
        <f t="shared" si="549"/>
        <v>0</v>
      </c>
      <c r="CG100" s="246">
        <f>AN100-Y100</f>
        <v>0</v>
      </c>
      <c r="CH100" s="55">
        <f t="shared" si="551"/>
        <v>0</v>
      </c>
      <c r="CI100" s="55">
        <f t="shared" si="552"/>
        <v>0</v>
      </c>
      <c r="CJ100" s="55">
        <f t="shared" si="553"/>
        <v>0</v>
      </c>
      <c r="CK100" s="249">
        <f t="shared" si="553"/>
        <v>0</v>
      </c>
      <c r="CL100" s="55">
        <f t="shared" si="554"/>
        <v>0</v>
      </c>
      <c r="CN100" s="2" t="s">
        <v>6</v>
      </c>
      <c r="CO100" s="54">
        <f t="shared" si="577"/>
        <v>0</v>
      </c>
      <c r="CP100" s="55">
        <f t="shared" si="555"/>
        <v>0</v>
      </c>
      <c r="CQ100" s="55">
        <f t="shared" si="556"/>
        <v>0</v>
      </c>
      <c r="CR100" s="55">
        <f t="shared" si="557"/>
        <v>0</v>
      </c>
      <c r="CS100" s="55">
        <f t="shared" si="558"/>
        <v>0</v>
      </c>
      <c r="CT100" s="55">
        <f t="shared" si="559"/>
        <v>0</v>
      </c>
      <c r="CU100" s="55">
        <f t="shared" si="560"/>
        <v>0</v>
      </c>
      <c r="CV100" s="246">
        <f t="shared" si="561"/>
        <v>0</v>
      </c>
      <c r="CW100" s="55">
        <f t="shared" si="562"/>
        <v>0</v>
      </c>
      <c r="CX100" s="55">
        <f t="shared" si="563"/>
        <v>0</v>
      </c>
      <c r="CY100" s="55">
        <f t="shared" si="564"/>
        <v>0</v>
      </c>
      <c r="CZ100" s="249">
        <f t="shared" si="564"/>
        <v>0</v>
      </c>
      <c r="DA100" s="62" t="e">
        <f t="shared" si="565"/>
        <v>#DIV/0!</v>
      </c>
      <c r="DC100" s="2" t="s">
        <v>6</v>
      </c>
      <c r="DD100" s="198">
        <f t="shared" si="578"/>
        <v>0</v>
      </c>
      <c r="DE100" s="199">
        <f t="shared" si="579"/>
        <v>0</v>
      </c>
      <c r="DF100" s="198">
        <f t="shared" si="580"/>
        <v>0</v>
      </c>
      <c r="DG100" s="199">
        <f t="shared" si="581"/>
        <v>0</v>
      </c>
      <c r="DH100" s="198">
        <f t="shared" si="582"/>
        <v>0</v>
      </c>
      <c r="DI100" s="199">
        <f t="shared" si="583"/>
        <v>0</v>
      </c>
      <c r="DJ100" s="198">
        <f t="shared" si="584"/>
        <v>0</v>
      </c>
      <c r="DK100" s="199">
        <f t="shared" si="585"/>
        <v>0</v>
      </c>
      <c r="DL100" s="198">
        <f t="shared" si="586"/>
        <v>0</v>
      </c>
      <c r="DM100" s="199">
        <f t="shared" si="587"/>
        <v>0</v>
      </c>
      <c r="DN100" s="198">
        <f t="shared" si="588"/>
        <v>0</v>
      </c>
      <c r="DO100" s="199">
        <f t="shared" si="589"/>
        <v>0</v>
      </c>
      <c r="DP100" s="198">
        <f t="shared" si="590"/>
        <v>0</v>
      </c>
      <c r="DQ100" s="199">
        <f t="shared" si="591"/>
        <v>0</v>
      </c>
      <c r="DR100" s="198">
        <f t="shared" si="592"/>
        <v>0</v>
      </c>
      <c r="DS100" s="199">
        <f t="shared" si="593"/>
        <v>0</v>
      </c>
      <c r="DT100" s="198">
        <f t="shared" si="594"/>
        <v>0</v>
      </c>
      <c r="DU100" s="199">
        <f t="shared" si="595"/>
        <v>0</v>
      </c>
      <c r="DV100" s="198">
        <f t="shared" si="596"/>
        <v>0</v>
      </c>
      <c r="DW100" s="199">
        <f t="shared" si="597"/>
        <v>0</v>
      </c>
      <c r="DX100" s="198">
        <f t="shared" si="598"/>
        <v>0</v>
      </c>
      <c r="DY100" s="199">
        <f t="shared" si="599"/>
        <v>0</v>
      </c>
      <c r="DZ100" s="190">
        <f t="shared" si="600"/>
        <v>0</v>
      </c>
      <c r="EA100" s="199">
        <f t="shared" si="566"/>
        <v>0</v>
      </c>
      <c r="EB100" s="190" t="e">
        <f t="shared" si="601"/>
        <v>#DIV/0!</v>
      </c>
      <c r="EC100" s="190" t="e">
        <f t="shared" si="602"/>
        <v>#DIV/0!</v>
      </c>
    </row>
    <row r="101" spans="1:133" x14ac:dyDescent="0.2">
      <c r="A101" s="2" t="s">
        <v>88</v>
      </c>
      <c r="B101" s="38">
        <f>targets!AW96</f>
        <v>0</v>
      </c>
      <c r="C101" s="242">
        <f>targets!AX96</f>
        <v>0</v>
      </c>
      <c r="D101" s="242">
        <f>targets!AY96</f>
        <v>0</v>
      </c>
      <c r="E101" s="242">
        <f>targets!AZ96</f>
        <v>0</v>
      </c>
      <c r="F101" s="242">
        <f>targets!BA96</f>
        <v>0</v>
      </c>
      <c r="G101" s="242">
        <f>SUM(targets!BB96:BG96)</f>
        <v>194.59597677881652</v>
      </c>
      <c r="H101" s="242">
        <f>SUM(targets!BH96:BM96)</f>
        <v>0</v>
      </c>
      <c r="I101" s="243">
        <f t="shared" si="567"/>
        <v>194.59597677881652</v>
      </c>
      <c r="J101" s="242">
        <f>targets!BN96</f>
        <v>0</v>
      </c>
      <c r="K101" s="242">
        <f>targets!BO96</f>
        <v>0</v>
      </c>
      <c r="L101" s="242">
        <f>targets!BP96</f>
        <v>0</v>
      </c>
      <c r="M101" s="178">
        <f t="shared" si="568"/>
        <v>0</v>
      </c>
      <c r="N101" s="17">
        <f t="shared" si="569"/>
        <v>194.59597677881652</v>
      </c>
      <c r="O101" s="17"/>
      <c r="P101" s="17"/>
      <c r="Q101" s="2" t="s">
        <v>88</v>
      </c>
      <c r="R101" s="38">
        <f t="shared" si="532"/>
        <v>0</v>
      </c>
      <c r="S101" s="242">
        <f t="shared" si="533"/>
        <v>0</v>
      </c>
      <c r="T101" s="242">
        <f t="shared" si="534"/>
        <v>0</v>
      </c>
      <c r="U101" s="242">
        <f t="shared" si="535"/>
        <v>0</v>
      </c>
      <c r="V101" s="242">
        <f t="shared" si="536"/>
        <v>0</v>
      </c>
      <c r="W101" s="242">
        <f t="shared" si="537"/>
        <v>0</v>
      </c>
      <c r="X101" s="242">
        <f t="shared" si="538"/>
        <v>0</v>
      </c>
      <c r="Y101" s="243">
        <f t="shared" si="570"/>
        <v>0</v>
      </c>
      <c r="Z101" s="242">
        <f t="shared" si="539"/>
        <v>0</v>
      </c>
      <c r="AA101" s="242">
        <f t="shared" si="540"/>
        <v>0</v>
      </c>
      <c r="AB101" s="242">
        <f t="shared" si="541"/>
        <v>0</v>
      </c>
      <c r="AC101" s="178">
        <f t="shared" si="571"/>
        <v>0</v>
      </c>
      <c r="AD101" s="17">
        <f t="shared" si="572"/>
        <v>0</v>
      </c>
      <c r="AF101" s="2" t="s">
        <v>88</v>
      </c>
      <c r="AG101" s="38">
        <f t="array" ref="AG101">SUM(IF((modeldata!$F:$F=calibration!$AF$80)*(modeldata!$G:$G=calibration!AG$82)*(modeldata!$H:$H=calibration!$AF101),modeldata!$E:$E,0))</f>
        <v>0</v>
      </c>
      <c r="AH101" s="242">
        <f t="array" ref="AH101">SUM(IF((modeldata!$F:$F=calibration!$AF$80)*(modeldata!$G:$G=calibration!AH$82)*(modeldata!$H:$H=calibration!$AF101),modeldata!$E:$E,0))</f>
        <v>0</v>
      </c>
      <c r="AI101" s="242">
        <f t="array" ref="AI101">SUM(IF((modeldata!$F:$F=calibration!$AF$80)*(modeldata!$G:$G=calibration!AI$82)*(modeldata!$H:$H=calibration!$AF101),modeldata!$E:$E,0))</f>
        <v>0</v>
      </c>
      <c r="AJ101" s="242">
        <f t="array" ref="AJ101">SUM(IF((modeldata!$F:$F=calibration!$AF$80)*(modeldata!$G:$G=calibration!AJ$82)*(modeldata!$H:$H=calibration!$AF101),modeldata!$E:$E,0))</f>
        <v>0</v>
      </c>
      <c r="AK101" s="242">
        <f t="array" ref="AK101">SUM(IF((modeldata!$F:$F=calibration!$AF$80)*(modeldata!$G:$G=calibration!AK$82)*(modeldata!$H:$H=calibration!$AF101),modeldata!$E:$E,0))</f>
        <v>0</v>
      </c>
      <c r="AL101" s="242">
        <f t="array" ref="AL101">SUM(IF((modeldata!$F:$F=calibration!$AF$80)*(modeldata!$G:$G=calibration!AL$82)*(modeldata!$H:$H=calibration!$AF101),modeldata!$E:$E,0))</f>
        <v>0</v>
      </c>
      <c r="AM101" s="242">
        <f t="array" ref="AM101">SUM(IF((modeldata!$F:$F=calibration!$AF$80)*(modeldata!$G:$G=calibration!AM$82)*(modeldata!$H:$H=calibration!$AF101),modeldata!$E:$E,0))</f>
        <v>0</v>
      </c>
      <c r="AN101" s="243">
        <f t="shared" si="603"/>
        <v>0</v>
      </c>
      <c r="AO101" s="242">
        <f t="array" ref="AO101">SUM(IF((modeldata!$F:$F=calibration!$AF$80)*(modeldata!$G:$G=calibration!AO$82)*(modeldata!$H:$H=calibration!$AF101),modeldata!$E:$E,0))</f>
        <v>0</v>
      </c>
      <c r="AP101" s="242">
        <f t="array" ref="AP101">SUM(IF((modeldata!$F:$F=calibration!$AF$80)*(modeldata!$G:$G=calibration!AP$82)*(modeldata!$H:$H=calibration!$AF101),modeldata!$E:$E,0))</f>
        <v>0</v>
      </c>
      <c r="AQ101" s="242">
        <f t="array" ref="AQ101">SUM(IF((modeldata!$F:$F=calibration!$AF$80)*(modeldata!$G:$G=calibration!AQ$82)*(modeldata!$H:$H=calibration!$AF101),modeldata!$E:$E,0))</f>
        <v>0</v>
      </c>
      <c r="AR101" s="178">
        <f t="shared" si="693"/>
        <v>0</v>
      </c>
      <c r="AS101" s="17">
        <f t="shared" si="573"/>
        <v>0</v>
      </c>
      <c r="AU101" s="2" t="s">
        <v>88</v>
      </c>
      <c r="AV101" s="38">
        <f t="shared" ref="AV101:BG101" si="696">IF(R103&gt;0,R101/R103,0)</f>
        <v>0</v>
      </c>
      <c r="AW101" s="242">
        <f t="shared" si="696"/>
        <v>0</v>
      </c>
      <c r="AX101" s="242">
        <f t="shared" si="696"/>
        <v>0</v>
      </c>
      <c r="AY101" s="242">
        <f t="shared" si="696"/>
        <v>0</v>
      </c>
      <c r="AZ101" s="242">
        <f t="shared" si="696"/>
        <v>0</v>
      </c>
      <c r="BA101" s="242">
        <f t="shared" si="696"/>
        <v>0</v>
      </c>
      <c r="BB101" s="242">
        <f t="shared" si="696"/>
        <v>0</v>
      </c>
      <c r="BC101" s="243">
        <f t="shared" si="696"/>
        <v>0</v>
      </c>
      <c r="BD101" s="242">
        <f t="shared" si="696"/>
        <v>0</v>
      </c>
      <c r="BE101" s="242">
        <f t="shared" si="696"/>
        <v>0</v>
      </c>
      <c r="BF101" s="242">
        <f t="shared" si="696"/>
        <v>0</v>
      </c>
      <c r="BG101" s="178">
        <f t="shared" si="696"/>
        <v>0</v>
      </c>
      <c r="BH101" s="24" t="e">
        <f>AD101/AD103</f>
        <v>#DIV/0!</v>
      </c>
      <c r="BJ101" s="2" t="s">
        <v>88</v>
      </c>
      <c r="BK101" s="38">
        <f t="shared" ref="BK101:BV101" si="697">IF(AG103&gt;0,AG101/AG103,0)</f>
        <v>0</v>
      </c>
      <c r="BL101" s="242">
        <f t="shared" si="697"/>
        <v>0</v>
      </c>
      <c r="BM101" s="242">
        <f t="shared" si="697"/>
        <v>0</v>
      </c>
      <c r="BN101" s="242">
        <f t="shared" si="697"/>
        <v>0</v>
      </c>
      <c r="BO101" s="242">
        <f t="shared" si="697"/>
        <v>0</v>
      </c>
      <c r="BP101" s="242">
        <f t="shared" si="697"/>
        <v>0</v>
      </c>
      <c r="BQ101" s="242">
        <f t="shared" si="697"/>
        <v>0</v>
      </c>
      <c r="BR101" s="243">
        <f t="shared" si="697"/>
        <v>0</v>
      </c>
      <c r="BS101" s="242">
        <f t="shared" si="697"/>
        <v>0</v>
      </c>
      <c r="BT101" s="242">
        <f t="shared" si="697"/>
        <v>0</v>
      </c>
      <c r="BU101" s="242">
        <f t="shared" si="697"/>
        <v>0</v>
      </c>
      <c r="BV101" s="178">
        <f t="shared" si="697"/>
        <v>0</v>
      </c>
      <c r="BW101" s="24" t="e">
        <f>AS101/AS103</f>
        <v>#DIV/0!</v>
      </c>
      <c r="BX101" s="24"/>
      <c r="BY101" s="2" t="s">
        <v>88</v>
      </c>
      <c r="BZ101" s="54">
        <f t="shared" si="576"/>
        <v>0</v>
      </c>
      <c r="CA101" s="55">
        <f t="shared" si="544"/>
        <v>0</v>
      </c>
      <c r="CB101" s="55">
        <f t="shared" si="545"/>
        <v>0</v>
      </c>
      <c r="CC101" s="55">
        <f t="shared" si="546"/>
        <v>0</v>
      </c>
      <c r="CD101" s="55">
        <f t="shared" si="547"/>
        <v>0</v>
      </c>
      <c r="CE101" s="55">
        <f t="shared" si="548"/>
        <v>0</v>
      </c>
      <c r="CF101" s="55">
        <f t="shared" si="549"/>
        <v>0</v>
      </c>
      <c r="CG101" s="246">
        <f>AN101-Y101</f>
        <v>0</v>
      </c>
      <c r="CH101" s="55">
        <f t="shared" si="551"/>
        <v>0</v>
      </c>
      <c r="CI101" s="55">
        <f t="shared" si="552"/>
        <v>0</v>
      </c>
      <c r="CJ101" s="55">
        <f t="shared" si="553"/>
        <v>0</v>
      </c>
      <c r="CK101" s="249">
        <f t="shared" si="553"/>
        <v>0</v>
      </c>
      <c r="CL101" s="55">
        <f t="shared" si="554"/>
        <v>0</v>
      </c>
      <c r="CN101" s="2" t="s">
        <v>88</v>
      </c>
      <c r="CO101" s="54">
        <f t="shared" si="577"/>
        <v>0</v>
      </c>
      <c r="CP101" s="55">
        <f t="shared" si="555"/>
        <v>0</v>
      </c>
      <c r="CQ101" s="55">
        <f t="shared" si="556"/>
        <v>0</v>
      </c>
      <c r="CR101" s="55">
        <f t="shared" si="557"/>
        <v>0</v>
      </c>
      <c r="CS101" s="55">
        <f t="shared" si="558"/>
        <v>0</v>
      </c>
      <c r="CT101" s="55">
        <f t="shared" si="559"/>
        <v>0</v>
      </c>
      <c r="CU101" s="55">
        <f t="shared" si="560"/>
        <v>0</v>
      </c>
      <c r="CV101" s="246">
        <f t="shared" si="561"/>
        <v>0</v>
      </c>
      <c r="CW101" s="55">
        <f t="shared" si="562"/>
        <v>0</v>
      </c>
      <c r="CX101" s="55">
        <f t="shared" si="563"/>
        <v>0</v>
      </c>
      <c r="CY101" s="55">
        <f t="shared" si="564"/>
        <v>0</v>
      </c>
      <c r="CZ101" s="249">
        <f t="shared" si="564"/>
        <v>0</v>
      </c>
      <c r="DA101" s="62" t="e">
        <f t="shared" si="565"/>
        <v>#DIV/0!</v>
      </c>
      <c r="DC101" s="2" t="s">
        <v>88</v>
      </c>
      <c r="DD101" s="198">
        <f t="shared" si="578"/>
        <v>0</v>
      </c>
      <c r="DE101" s="199">
        <f t="shared" si="579"/>
        <v>0</v>
      </c>
      <c r="DF101" s="198">
        <f t="shared" si="580"/>
        <v>0</v>
      </c>
      <c r="DG101" s="199">
        <f t="shared" si="581"/>
        <v>0</v>
      </c>
      <c r="DH101" s="198">
        <f t="shared" si="582"/>
        <v>0</v>
      </c>
      <c r="DI101" s="199">
        <f t="shared" si="583"/>
        <v>0</v>
      </c>
      <c r="DJ101" s="198">
        <f t="shared" si="584"/>
        <v>0</v>
      </c>
      <c r="DK101" s="199">
        <f t="shared" si="585"/>
        <v>0</v>
      </c>
      <c r="DL101" s="198">
        <f t="shared" si="586"/>
        <v>0</v>
      </c>
      <c r="DM101" s="199">
        <f t="shared" si="587"/>
        <v>0</v>
      </c>
      <c r="DN101" s="198">
        <f t="shared" si="588"/>
        <v>0</v>
      </c>
      <c r="DO101" s="199">
        <f t="shared" si="589"/>
        <v>0</v>
      </c>
      <c r="DP101" s="198">
        <f t="shared" si="590"/>
        <v>0</v>
      </c>
      <c r="DQ101" s="199">
        <f t="shared" si="591"/>
        <v>0</v>
      </c>
      <c r="DR101" s="198">
        <f t="shared" si="592"/>
        <v>0</v>
      </c>
      <c r="DS101" s="199">
        <f t="shared" si="593"/>
        <v>0</v>
      </c>
      <c r="DT101" s="198">
        <f t="shared" si="594"/>
        <v>0</v>
      </c>
      <c r="DU101" s="199">
        <f t="shared" si="595"/>
        <v>0</v>
      </c>
      <c r="DV101" s="198">
        <f t="shared" si="596"/>
        <v>0</v>
      </c>
      <c r="DW101" s="199">
        <f t="shared" si="597"/>
        <v>0</v>
      </c>
      <c r="DX101" s="198">
        <f t="shared" si="598"/>
        <v>0</v>
      </c>
      <c r="DY101" s="199">
        <f t="shared" si="599"/>
        <v>0</v>
      </c>
      <c r="DZ101" s="190">
        <f t="shared" si="600"/>
        <v>0</v>
      </c>
      <c r="EA101" s="199">
        <f t="shared" si="566"/>
        <v>0</v>
      </c>
      <c r="EB101" s="190" t="e">
        <f t="shared" si="601"/>
        <v>#DIV/0!</v>
      </c>
      <c r="EC101" s="190" t="e">
        <f t="shared" si="602"/>
        <v>#DIV/0!</v>
      </c>
    </row>
    <row r="102" spans="1:133" x14ac:dyDescent="0.2">
      <c r="A102" s="2" t="s">
        <v>89</v>
      </c>
      <c r="B102" s="42">
        <f>targets!AW97</f>
        <v>0</v>
      </c>
      <c r="C102" s="43">
        <f>targets!AX97</f>
        <v>0</v>
      </c>
      <c r="D102" s="43">
        <f>targets!AY97</f>
        <v>0</v>
      </c>
      <c r="E102" s="43">
        <f>targets!AZ97</f>
        <v>0</v>
      </c>
      <c r="F102" s="43">
        <f>targets!BA97</f>
        <v>0</v>
      </c>
      <c r="G102" s="43">
        <f>SUM(targets!BB97:BG97)</f>
        <v>0</v>
      </c>
      <c r="H102" s="43">
        <f>SUM(targets!BH97:BM97)</f>
        <v>37.821318843465583</v>
      </c>
      <c r="I102" s="75">
        <f t="shared" si="567"/>
        <v>37.821318843465583</v>
      </c>
      <c r="J102" s="43">
        <f>targets!BN97</f>
        <v>0</v>
      </c>
      <c r="K102" s="43">
        <f>targets!BO97</f>
        <v>0</v>
      </c>
      <c r="L102" s="43">
        <f>targets!BP97</f>
        <v>0</v>
      </c>
      <c r="M102" s="244">
        <f t="shared" si="568"/>
        <v>0</v>
      </c>
      <c r="N102" s="17">
        <f t="shared" si="569"/>
        <v>37.821318843465583</v>
      </c>
      <c r="O102" s="17"/>
      <c r="P102" s="17"/>
      <c r="Q102" s="2" t="s">
        <v>89</v>
      </c>
      <c r="R102" s="42">
        <f t="shared" si="532"/>
        <v>0</v>
      </c>
      <c r="S102" s="43">
        <f t="shared" si="533"/>
        <v>0</v>
      </c>
      <c r="T102" s="43">
        <f t="shared" si="534"/>
        <v>0</v>
      </c>
      <c r="U102" s="43">
        <f t="shared" si="535"/>
        <v>0</v>
      </c>
      <c r="V102" s="43">
        <f t="shared" si="536"/>
        <v>0</v>
      </c>
      <c r="W102" s="43">
        <f t="shared" si="537"/>
        <v>0</v>
      </c>
      <c r="X102" s="43">
        <f t="shared" si="538"/>
        <v>0</v>
      </c>
      <c r="Y102" s="75">
        <f t="shared" si="570"/>
        <v>0</v>
      </c>
      <c r="Z102" s="43">
        <f t="shared" si="539"/>
        <v>0</v>
      </c>
      <c r="AA102" s="43">
        <f t="shared" si="540"/>
        <v>0</v>
      </c>
      <c r="AB102" s="43">
        <f t="shared" si="541"/>
        <v>0</v>
      </c>
      <c r="AC102" s="244">
        <f t="shared" si="571"/>
        <v>0</v>
      </c>
      <c r="AD102" s="17">
        <f t="shared" si="572"/>
        <v>0</v>
      </c>
      <c r="AF102" s="2" t="s">
        <v>89</v>
      </c>
      <c r="AG102" s="42">
        <f t="array" ref="AG102">SUM(IF((modeldata!$F:$F=calibration!$AF$80)*(modeldata!$G:$G=calibration!AG$82)*(modeldata!$H:$H=calibration!$AF102),modeldata!$E:$E,0))</f>
        <v>0</v>
      </c>
      <c r="AH102" s="43">
        <f t="array" ref="AH102">SUM(IF((modeldata!$F:$F=calibration!$AF$80)*(modeldata!$G:$G=calibration!AH$82)*(modeldata!$H:$H=calibration!$AF102),modeldata!$E:$E,0))</f>
        <v>0</v>
      </c>
      <c r="AI102" s="43">
        <f t="array" ref="AI102">SUM(IF((modeldata!$F:$F=calibration!$AF$80)*(modeldata!$G:$G=calibration!AI$82)*(modeldata!$H:$H=calibration!$AF102),modeldata!$E:$E,0))</f>
        <v>0</v>
      </c>
      <c r="AJ102" s="43">
        <f t="array" ref="AJ102">SUM(IF((modeldata!$F:$F=calibration!$AF$80)*(modeldata!$G:$G=calibration!AJ$82)*(modeldata!$H:$H=calibration!$AF102),modeldata!$E:$E,0))</f>
        <v>0</v>
      </c>
      <c r="AK102" s="43">
        <f t="array" ref="AK102">SUM(IF((modeldata!$F:$F=calibration!$AF$80)*(modeldata!$G:$G=calibration!AK$82)*(modeldata!$H:$H=calibration!$AF102),modeldata!$E:$E,0))</f>
        <v>0</v>
      </c>
      <c r="AL102" s="43">
        <f t="array" ref="AL102">SUM(IF((modeldata!$F:$F=calibration!$AF$80)*(modeldata!$G:$G=calibration!AL$82)*(modeldata!$H:$H=calibration!$AF102),modeldata!$E:$E,0))</f>
        <v>0</v>
      </c>
      <c r="AM102" s="43">
        <f t="array" ref="AM102">SUM(IF((modeldata!$F:$F=calibration!$AF$80)*(modeldata!$G:$G=calibration!AM$82)*(modeldata!$H:$H=calibration!$AF102),modeldata!$E:$E,0))</f>
        <v>0</v>
      </c>
      <c r="AN102" s="75">
        <f t="shared" si="603"/>
        <v>0</v>
      </c>
      <c r="AO102" s="43">
        <f t="array" ref="AO102">SUM(IF((modeldata!$F:$F=calibration!$AF$80)*(modeldata!$G:$G=calibration!AO$82)*(modeldata!$H:$H=calibration!$AF102),modeldata!$E:$E,0))</f>
        <v>0</v>
      </c>
      <c r="AP102" s="43">
        <f t="array" ref="AP102">SUM(IF((modeldata!$F:$F=calibration!$AF$80)*(modeldata!$G:$G=calibration!AP$82)*(modeldata!$H:$H=calibration!$AF102),modeldata!$E:$E,0))</f>
        <v>0</v>
      </c>
      <c r="AQ102" s="43">
        <f t="array" ref="AQ102">SUM(IF((modeldata!$F:$F=calibration!$AF$80)*(modeldata!$G:$G=calibration!AQ$82)*(modeldata!$H:$H=calibration!$AF102),modeldata!$E:$E,0))</f>
        <v>0</v>
      </c>
      <c r="AR102" s="244">
        <f t="shared" si="693"/>
        <v>0</v>
      </c>
      <c r="AS102" s="17">
        <f t="shared" si="573"/>
        <v>0</v>
      </c>
      <c r="AU102" s="2" t="s">
        <v>89</v>
      </c>
      <c r="AV102" s="42">
        <f t="shared" ref="AV102:BG102" si="698">IF(R103&gt;0,R102/R103,0)</f>
        <v>0</v>
      </c>
      <c r="AW102" s="43">
        <f t="shared" si="698"/>
        <v>0</v>
      </c>
      <c r="AX102" s="43">
        <f t="shared" si="698"/>
        <v>0</v>
      </c>
      <c r="AY102" s="43">
        <f t="shared" si="698"/>
        <v>0</v>
      </c>
      <c r="AZ102" s="43">
        <f t="shared" si="698"/>
        <v>0</v>
      </c>
      <c r="BA102" s="43">
        <f t="shared" si="698"/>
        <v>0</v>
      </c>
      <c r="BB102" s="43">
        <f t="shared" si="698"/>
        <v>0</v>
      </c>
      <c r="BC102" s="75">
        <f t="shared" si="698"/>
        <v>0</v>
      </c>
      <c r="BD102" s="43">
        <f t="shared" si="698"/>
        <v>0</v>
      </c>
      <c r="BE102" s="43">
        <f t="shared" si="698"/>
        <v>0</v>
      </c>
      <c r="BF102" s="43">
        <f t="shared" si="698"/>
        <v>0</v>
      </c>
      <c r="BG102" s="244">
        <f t="shared" si="698"/>
        <v>0</v>
      </c>
      <c r="BH102" s="24" t="e">
        <f>AD102/AD103</f>
        <v>#DIV/0!</v>
      </c>
      <c r="BJ102" s="2" t="s">
        <v>89</v>
      </c>
      <c r="BK102" s="42">
        <f t="shared" ref="BK102:BV102" si="699">IF(AG103&gt;0,AG102/AG103,0)</f>
        <v>0</v>
      </c>
      <c r="BL102" s="43">
        <f t="shared" si="699"/>
        <v>0</v>
      </c>
      <c r="BM102" s="43">
        <f t="shared" si="699"/>
        <v>0</v>
      </c>
      <c r="BN102" s="43">
        <f t="shared" si="699"/>
        <v>0</v>
      </c>
      <c r="BO102" s="43">
        <f t="shared" si="699"/>
        <v>0</v>
      </c>
      <c r="BP102" s="43">
        <f t="shared" si="699"/>
        <v>0</v>
      </c>
      <c r="BQ102" s="43">
        <f t="shared" si="699"/>
        <v>0</v>
      </c>
      <c r="BR102" s="75">
        <f t="shared" si="699"/>
        <v>0</v>
      </c>
      <c r="BS102" s="43">
        <f t="shared" si="699"/>
        <v>0</v>
      </c>
      <c r="BT102" s="43">
        <f t="shared" si="699"/>
        <v>0</v>
      </c>
      <c r="BU102" s="43">
        <f t="shared" si="699"/>
        <v>0</v>
      </c>
      <c r="BV102" s="244">
        <f t="shared" si="699"/>
        <v>0</v>
      </c>
      <c r="BW102" s="24" t="e">
        <f>AS102/AS103</f>
        <v>#DIV/0!</v>
      </c>
      <c r="BX102" s="24"/>
      <c r="BY102" s="2" t="s">
        <v>89</v>
      </c>
      <c r="BZ102" s="56">
        <f t="shared" si="576"/>
        <v>0</v>
      </c>
      <c r="CA102" s="57">
        <f t="shared" si="544"/>
        <v>0</v>
      </c>
      <c r="CB102" s="57">
        <f t="shared" si="545"/>
        <v>0</v>
      </c>
      <c r="CC102" s="57">
        <f t="shared" si="546"/>
        <v>0</v>
      </c>
      <c r="CD102" s="57">
        <f t="shared" si="547"/>
        <v>0</v>
      </c>
      <c r="CE102" s="57">
        <f t="shared" si="548"/>
        <v>0</v>
      </c>
      <c r="CF102" s="57">
        <f t="shared" si="549"/>
        <v>0</v>
      </c>
      <c r="CG102" s="247">
        <f>AN102-Y102</f>
        <v>0</v>
      </c>
      <c r="CH102" s="57">
        <f t="shared" si="551"/>
        <v>0</v>
      </c>
      <c r="CI102" s="57">
        <f t="shared" si="552"/>
        <v>0</v>
      </c>
      <c r="CJ102" s="57">
        <f t="shared" si="553"/>
        <v>0</v>
      </c>
      <c r="CK102" s="250">
        <f t="shared" si="553"/>
        <v>0</v>
      </c>
      <c r="CL102" s="55">
        <f t="shared" si="554"/>
        <v>0</v>
      </c>
      <c r="CN102" s="2" t="s">
        <v>89</v>
      </c>
      <c r="CO102" s="56">
        <f t="shared" si="577"/>
        <v>0</v>
      </c>
      <c r="CP102" s="57">
        <f t="shared" si="555"/>
        <v>0</v>
      </c>
      <c r="CQ102" s="57">
        <f t="shared" si="556"/>
        <v>0</v>
      </c>
      <c r="CR102" s="57">
        <f t="shared" si="557"/>
        <v>0</v>
      </c>
      <c r="CS102" s="57">
        <f t="shared" si="558"/>
        <v>0</v>
      </c>
      <c r="CT102" s="57">
        <f t="shared" si="559"/>
        <v>0</v>
      </c>
      <c r="CU102" s="57">
        <f t="shared" si="560"/>
        <v>0</v>
      </c>
      <c r="CV102" s="247">
        <f t="shared" si="561"/>
        <v>0</v>
      </c>
      <c r="CW102" s="57">
        <f t="shared" si="562"/>
        <v>0</v>
      </c>
      <c r="CX102" s="57">
        <f t="shared" si="563"/>
        <v>0</v>
      </c>
      <c r="CY102" s="57">
        <f t="shared" si="564"/>
        <v>0</v>
      </c>
      <c r="CZ102" s="250">
        <f t="shared" si="564"/>
        <v>0</v>
      </c>
      <c r="DA102" s="62" t="e">
        <f t="shared" si="565"/>
        <v>#DIV/0!</v>
      </c>
      <c r="DC102" s="2" t="s">
        <v>89</v>
      </c>
      <c r="DD102" s="200">
        <f t="shared" si="578"/>
        <v>0</v>
      </c>
      <c r="DE102" s="201">
        <f t="shared" si="579"/>
        <v>0</v>
      </c>
      <c r="DF102" s="200">
        <f t="shared" si="580"/>
        <v>0</v>
      </c>
      <c r="DG102" s="201">
        <f t="shared" si="581"/>
        <v>0</v>
      </c>
      <c r="DH102" s="200">
        <f t="shared" si="582"/>
        <v>0</v>
      </c>
      <c r="DI102" s="201">
        <f t="shared" si="583"/>
        <v>0</v>
      </c>
      <c r="DJ102" s="200">
        <f t="shared" si="584"/>
        <v>0</v>
      </c>
      <c r="DK102" s="201">
        <f t="shared" si="585"/>
        <v>0</v>
      </c>
      <c r="DL102" s="200">
        <f t="shared" si="586"/>
        <v>0</v>
      </c>
      <c r="DM102" s="201">
        <f t="shared" si="587"/>
        <v>0</v>
      </c>
      <c r="DN102" s="200">
        <f t="shared" si="588"/>
        <v>0</v>
      </c>
      <c r="DO102" s="201">
        <f t="shared" si="589"/>
        <v>0</v>
      </c>
      <c r="DP102" s="200">
        <f t="shared" si="590"/>
        <v>0</v>
      </c>
      <c r="DQ102" s="201">
        <f t="shared" si="591"/>
        <v>0</v>
      </c>
      <c r="DR102" s="200">
        <f t="shared" si="592"/>
        <v>0</v>
      </c>
      <c r="DS102" s="201">
        <f t="shared" si="593"/>
        <v>0</v>
      </c>
      <c r="DT102" s="200">
        <f t="shared" si="594"/>
        <v>0</v>
      </c>
      <c r="DU102" s="201">
        <f t="shared" si="595"/>
        <v>0</v>
      </c>
      <c r="DV102" s="200">
        <f t="shared" si="596"/>
        <v>0</v>
      </c>
      <c r="DW102" s="201">
        <f t="shared" si="597"/>
        <v>0</v>
      </c>
      <c r="DX102" s="200">
        <f t="shared" si="598"/>
        <v>0</v>
      </c>
      <c r="DY102" s="201">
        <f t="shared" si="599"/>
        <v>0</v>
      </c>
      <c r="DZ102" s="202">
        <f t="shared" si="600"/>
        <v>0</v>
      </c>
      <c r="EA102" s="201">
        <f t="shared" si="566"/>
        <v>0</v>
      </c>
      <c r="EB102" s="190" t="e">
        <f t="shared" si="601"/>
        <v>#DIV/0!</v>
      </c>
      <c r="EC102" s="190" t="e">
        <f t="shared" si="602"/>
        <v>#DIV/0!</v>
      </c>
    </row>
    <row r="103" spans="1:133" x14ac:dyDescent="0.2">
      <c r="A103" s="65" t="s">
        <v>54</v>
      </c>
      <c r="B103" s="17">
        <f t="shared" ref="B103:M103" si="700">SUM(B83:B102)</f>
        <v>2794996.2159500271</v>
      </c>
      <c r="C103" s="17">
        <f t="shared" si="700"/>
        <v>3062917.2310593883</v>
      </c>
      <c r="D103" s="17">
        <f t="shared" si="700"/>
        <v>2023275.0114599417</v>
      </c>
      <c r="E103" s="17">
        <f t="shared" si="700"/>
        <v>654895.61225933162</v>
      </c>
      <c r="F103" s="17">
        <f t="shared" si="700"/>
        <v>167918.46231532734</v>
      </c>
      <c r="G103" s="17">
        <f t="shared" si="700"/>
        <v>234016.35108653334</v>
      </c>
      <c r="H103" s="17">
        <f t="shared" si="700"/>
        <v>5976.4674010729459</v>
      </c>
      <c r="I103" s="72">
        <f t="shared" si="700"/>
        <v>239992.81848760627</v>
      </c>
      <c r="J103" s="17">
        <f t="shared" si="700"/>
        <v>1403.637640509636</v>
      </c>
      <c r="K103" s="17">
        <f t="shared" si="700"/>
        <v>52722.660236287542</v>
      </c>
      <c r="L103" s="17">
        <f t="shared" si="700"/>
        <v>232.27120051913744</v>
      </c>
      <c r="M103" s="72">
        <f t="shared" si="700"/>
        <v>54358.569077316308</v>
      </c>
      <c r="N103" s="17">
        <f>SUM(B103:L103)-I103</f>
        <v>8998353.9206089377</v>
      </c>
      <c r="O103" s="17"/>
      <c r="P103" s="17"/>
      <c r="Q103" s="65" t="s">
        <v>54</v>
      </c>
      <c r="R103" s="17">
        <f t="shared" ref="R103:AC103" si="701">SUM(R83:R102)</f>
        <v>0</v>
      </c>
      <c r="S103" s="17">
        <f t="shared" si="701"/>
        <v>0</v>
      </c>
      <c r="T103" s="17">
        <f t="shared" si="701"/>
        <v>0</v>
      </c>
      <c r="U103" s="17">
        <f t="shared" si="701"/>
        <v>0</v>
      </c>
      <c r="V103" s="17">
        <f t="shared" si="701"/>
        <v>0</v>
      </c>
      <c r="W103" s="17">
        <f t="shared" si="701"/>
        <v>0</v>
      </c>
      <c r="X103" s="17">
        <f t="shared" si="701"/>
        <v>0</v>
      </c>
      <c r="Y103" s="72">
        <f t="shared" si="701"/>
        <v>0</v>
      </c>
      <c r="Z103" s="17">
        <f t="shared" si="701"/>
        <v>0</v>
      </c>
      <c r="AA103" s="17">
        <f t="shared" si="701"/>
        <v>0</v>
      </c>
      <c r="AB103" s="17">
        <f t="shared" si="701"/>
        <v>0</v>
      </c>
      <c r="AC103" s="72">
        <f t="shared" si="701"/>
        <v>0</v>
      </c>
      <c r="AD103" s="17">
        <f t="shared" si="572"/>
        <v>0</v>
      </c>
      <c r="AF103" s="65" t="s">
        <v>54</v>
      </c>
      <c r="AG103" s="17">
        <f t="shared" ref="AG103:AR103" si="702">SUM(AG83:AG102)</f>
        <v>0</v>
      </c>
      <c r="AH103" s="17">
        <f t="shared" si="702"/>
        <v>0</v>
      </c>
      <c r="AI103" s="17">
        <f t="shared" si="702"/>
        <v>0</v>
      </c>
      <c r="AJ103" s="17">
        <f t="shared" si="702"/>
        <v>0</v>
      </c>
      <c r="AK103" s="17">
        <f t="shared" si="702"/>
        <v>0</v>
      </c>
      <c r="AL103" s="17">
        <f t="shared" si="702"/>
        <v>0</v>
      </c>
      <c r="AM103" s="17">
        <f t="shared" si="702"/>
        <v>0</v>
      </c>
      <c r="AN103" s="72">
        <f t="shared" si="702"/>
        <v>0</v>
      </c>
      <c r="AO103" s="17">
        <f t="shared" si="702"/>
        <v>0</v>
      </c>
      <c r="AP103" s="17">
        <f t="shared" si="702"/>
        <v>0</v>
      </c>
      <c r="AQ103" s="17">
        <f t="shared" si="702"/>
        <v>0</v>
      </c>
      <c r="AR103" s="72">
        <f t="shared" si="702"/>
        <v>0</v>
      </c>
      <c r="AS103" s="17">
        <f t="shared" si="573"/>
        <v>0</v>
      </c>
      <c r="AU103" s="65" t="s">
        <v>54</v>
      </c>
      <c r="AV103" s="17">
        <f t="shared" ref="AV103:BH103" si="703">SUM(AV83:AV102)</f>
        <v>0</v>
      </c>
      <c r="AW103" s="17">
        <f t="shared" si="703"/>
        <v>0</v>
      </c>
      <c r="AX103" s="17">
        <f t="shared" si="703"/>
        <v>0</v>
      </c>
      <c r="AY103" s="17">
        <f t="shared" si="703"/>
        <v>0</v>
      </c>
      <c r="AZ103" s="17">
        <f t="shared" si="703"/>
        <v>0</v>
      </c>
      <c r="BA103" s="17">
        <f t="shared" si="703"/>
        <v>0</v>
      </c>
      <c r="BB103" s="17">
        <f t="shared" si="703"/>
        <v>0</v>
      </c>
      <c r="BC103" s="72">
        <f t="shared" si="703"/>
        <v>0</v>
      </c>
      <c r="BD103" s="17">
        <f t="shared" si="703"/>
        <v>0</v>
      </c>
      <c r="BE103" s="17">
        <f t="shared" si="703"/>
        <v>0</v>
      </c>
      <c r="BF103" s="17">
        <f t="shared" si="703"/>
        <v>0</v>
      </c>
      <c r="BG103" s="72">
        <f t="shared" si="703"/>
        <v>0</v>
      </c>
      <c r="BH103" s="24" t="e">
        <f t="shared" si="703"/>
        <v>#DIV/0!</v>
      </c>
      <c r="BJ103" s="65" t="s">
        <v>54</v>
      </c>
      <c r="BK103" s="24">
        <f t="shared" ref="BK103:BW103" si="704">SUM(BK83:BK102)</f>
        <v>0</v>
      </c>
      <c r="BL103" s="24">
        <f t="shared" si="704"/>
        <v>0</v>
      </c>
      <c r="BM103" s="24">
        <f t="shared" si="704"/>
        <v>0</v>
      </c>
      <c r="BN103" s="24">
        <f t="shared" si="704"/>
        <v>0</v>
      </c>
      <c r="BO103" s="24">
        <f t="shared" si="704"/>
        <v>0</v>
      </c>
      <c r="BP103" s="24">
        <f t="shared" si="704"/>
        <v>0</v>
      </c>
      <c r="BQ103" s="24">
        <f t="shared" si="704"/>
        <v>0</v>
      </c>
      <c r="BR103" s="24">
        <f t="shared" si="704"/>
        <v>0</v>
      </c>
      <c r="BS103" s="24">
        <f t="shared" si="704"/>
        <v>0</v>
      </c>
      <c r="BT103" s="24">
        <f t="shared" si="704"/>
        <v>0</v>
      </c>
      <c r="BU103" s="24">
        <f t="shared" si="704"/>
        <v>0</v>
      </c>
      <c r="BV103" s="24">
        <f t="shared" si="704"/>
        <v>0</v>
      </c>
      <c r="BW103" s="24" t="e">
        <f t="shared" si="704"/>
        <v>#DIV/0!</v>
      </c>
      <c r="BX103" s="24"/>
      <c r="BY103" s="65" t="s">
        <v>54</v>
      </c>
      <c r="BZ103" s="55">
        <f t="shared" si="576"/>
        <v>0</v>
      </c>
      <c r="CA103" s="55">
        <f t="shared" si="544"/>
        <v>0</v>
      </c>
      <c r="CB103" s="55">
        <f t="shared" si="545"/>
        <v>0</v>
      </c>
      <c r="CC103" s="55">
        <f t="shared" si="546"/>
        <v>0</v>
      </c>
      <c r="CD103" s="55">
        <f t="shared" si="547"/>
        <v>0</v>
      </c>
      <c r="CE103" s="55">
        <f t="shared" si="548"/>
        <v>0</v>
      </c>
      <c r="CF103" s="55">
        <f t="shared" si="549"/>
        <v>0</v>
      </c>
      <c r="CG103" s="55">
        <f>AN103-Y103</f>
        <v>0</v>
      </c>
      <c r="CH103" s="55">
        <f t="shared" si="551"/>
        <v>0</v>
      </c>
      <c r="CI103" s="55">
        <f t="shared" si="552"/>
        <v>0</v>
      </c>
      <c r="CJ103" s="55">
        <f t="shared" si="553"/>
        <v>0</v>
      </c>
      <c r="CK103" s="55">
        <f t="shared" si="553"/>
        <v>0</v>
      </c>
      <c r="CL103" s="55">
        <f t="shared" si="554"/>
        <v>0</v>
      </c>
      <c r="CN103" s="65" t="s">
        <v>54</v>
      </c>
      <c r="CO103" s="55">
        <f t="shared" si="577"/>
        <v>0</v>
      </c>
      <c r="CP103" s="55">
        <f t="shared" si="555"/>
        <v>0</v>
      </c>
      <c r="CQ103" s="55">
        <f t="shared" si="556"/>
        <v>0</v>
      </c>
      <c r="CR103" s="55">
        <f t="shared" si="557"/>
        <v>0</v>
      </c>
      <c r="CS103" s="55">
        <f t="shared" si="558"/>
        <v>0</v>
      </c>
      <c r="CT103" s="55">
        <f t="shared" si="559"/>
        <v>0</v>
      </c>
      <c r="CU103" s="55">
        <f t="shared" si="560"/>
        <v>0</v>
      </c>
      <c r="CV103" s="55">
        <f t="shared" si="561"/>
        <v>0</v>
      </c>
      <c r="CW103" s="55">
        <f t="shared" si="562"/>
        <v>0</v>
      </c>
      <c r="CX103" s="55">
        <f t="shared" si="563"/>
        <v>0</v>
      </c>
      <c r="CY103" s="55">
        <f t="shared" si="564"/>
        <v>0</v>
      </c>
      <c r="CZ103" s="55">
        <f t="shared" si="564"/>
        <v>0</v>
      </c>
      <c r="DA103" s="62" t="e">
        <f t="shared" si="565"/>
        <v>#DIV/0!</v>
      </c>
      <c r="DC103" s="65" t="s">
        <v>54</v>
      </c>
      <c r="DD103" s="190">
        <f t="shared" ref="DD103:EC103" si="705">SUM(DD83:DD102)</f>
        <v>0</v>
      </c>
      <c r="DE103" s="190">
        <f t="shared" si="705"/>
        <v>0</v>
      </c>
      <c r="DF103" s="190">
        <f t="shared" si="705"/>
        <v>0</v>
      </c>
      <c r="DG103" s="190">
        <f t="shared" si="705"/>
        <v>0</v>
      </c>
      <c r="DH103" s="190">
        <f t="shared" si="705"/>
        <v>0</v>
      </c>
      <c r="DI103" s="190">
        <f t="shared" si="705"/>
        <v>0</v>
      </c>
      <c r="DJ103" s="190">
        <f t="shared" si="705"/>
        <v>0</v>
      </c>
      <c r="DK103" s="190">
        <f t="shared" si="705"/>
        <v>0</v>
      </c>
      <c r="DL103" s="190">
        <f t="shared" si="705"/>
        <v>0</v>
      </c>
      <c r="DM103" s="190">
        <f t="shared" si="705"/>
        <v>0</v>
      </c>
      <c r="DN103" s="190">
        <f t="shared" si="705"/>
        <v>0</v>
      </c>
      <c r="DO103" s="190">
        <f t="shared" si="705"/>
        <v>0</v>
      </c>
      <c r="DP103" s="190">
        <f t="shared" si="705"/>
        <v>0</v>
      </c>
      <c r="DQ103" s="190">
        <f t="shared" si="705"/>
        <v>0</v>
      </c>
      <c r="DR103" s="190">
        <f t="shared" si="705"/>
        <v>0</v>
      </c>
      <c r="DS103" s="190">
        <f t="shared" si="705"/>
        <v>0</v>
      </c>
      <c r="DT103" s="190">
        <f t="shared" si="705"/>
        <v>0</v>
      </c>
      <c r="DU103" s="190">
        <f t="shared" si="705"/>
        <v>0</v>
      </c>
      <c r="DV103" s="190">
        <f t="shared" si="705"/>
        <v>0</v>
      </c>
      <c r="DW103" s="190">
        <f t="shared" si="705"/>
        <v>0</v>
      </c>
      <c r="DX103" s="190">
        <f t="shared" si="705"/>
        <v>0</v>
      </c>
      <c r="DY103" s="190">
        <f t="shared" si="705"/>
        <v>0</v>
      </c>
      <c r="DZ103" s="190">
        <f t="shared" si="705"/>
        <v>0</v>
      </c>
      <c r="EA103" s="190">
        <f t="shared" si="705"/>
        <v>0</v>
      </c>
      <c r="EB103" s="190" t="e">
        <f t="shared" si="705"/>
        <v>#DIV/0!</v>
      </c>
      <c r="EC103" s="190" t="e">
        <f t="shared" si="705"/>
        <v>#DIV/0!</v>
      </c>
    </row>
    <row r="104" spans="1:133" x14ac:dyDescent="0.2">
      <c r="DC104" s="2"/>
    </row>
    <row r="105" spans="1:133" x14ac:dyDescent="0.2">
      <c r="DC105" s="2"/>
    </row>
    <row r="106" spans="1:133" s="13" customFormat="1" x14ac:dyDescent="0.2">
      <c r="A106" s="6" t="s">
        <v>78</v>
      </c>
      <c r="Q106" s="6" t="s">
        <v>78</v>
      </c>
      <c r="AF106" s="6" t="s">
        <v>78</v>
      </c>
      <c r="AU106" s="6" t="s">
        <v>78</v>
      </c>
      <c r="BJ106" s="6" t="s">
        <v>78</v>
      </c>
      <c r="BK106" s="6" t="s">
        <v>78</v>
      </c>
      <c r="BY106" s="6" t="s">
        <v>78</v>
      </c>
      <c r="CN106" s="6" t="s">
        <v>78</v>
      </c>
      <c r="DC106" s="6" t="s">
        <v>78</v>
      </c>
      <c r="DD106" s="188"/>
      <c r="DE106" s="189"/>
      <c r="DF106" s="189"/>
      <c r="DG106" s="189"/>
      <c r="DH106" s="189"/>
      <c r="DI106" s="189"/>
      <c r="DJ106" s="189"/>
      <c r="DK106" s="189"/>
      <c r="DL106" s="189"/>
      <c r="DM106" s="189"/>
      <c r="DN106" s="189"/>
      <c r="DO106" s="189"/>
      <c r="DP106" s="189"/>
      <c r="DQ106" s="189"/>
      <c r="DR106" s="189"/>
      <c r="DS106" s="189"/>
      <c r="DT106" s="189"/>
      <c r="DU106" s="189"/>
      <c r="DV106" s="189"/>
      <c r="DW106" s="189"/>
      <c r="DX106" s="189"/>
      <c r="DY106" s="189"/>
      <c r="DZ106" s="189"/>
      <c r="EA106" s="189"/>
      <c r="EB106" s="189"/>
      <c r="EC106" s="189"/>
    </row>
    <row r="107" spans="1:133" x14ac:dyDescent="0.2">
      <c r="A107" s="63"/>
      <c r="B107" s="5" t="s">
        <v>0</v>
      </c>
      <c r="Q107" s="63"/>
      <c r="R107" s="5" t="s">
        <v>0</v>
      </c>
      <c r="AF107" s="63"/>
      <c r="AG107" s="5" t="s">
        <v>0</v>
      </c>
      <c r="AU107" s="63"/>
      <c r="AV107" s="5" t="s">
        <v>0</v>
      </c>
      <c r="BJ107" s="63"/>
      <c r="BK107" s="5" t="s">
        <v>0</v>
      </c>
      <c r="BY107" s="63"/>
      <c r="BZ107" s="5" t="s">
        <v>0</v>
      </c>
      <c r="CN107" s="63"/>
      <c r="CO107" s="5" t="s">
        <v>0</v>
      </c>
      <c r="DC107" s="63"/>
      <c r="DD107" s="190" t="s">
        <v>124</v>
      </c>
      <c r="DE107" s="190" t="s">
        <v>125</v>
      </c>
      <c r="DF107" s="190" t="s">
        <v>124</v>
      </c>
      <c r="DG107" s="190" t="s">
        <v>125</v>
      </c>
      <c r="DH107" s="190" t="s">
        <v>124</v>
      </c>
      <c r="DI107" s="190" t="s">
        <v>125</v>
      </c>
      <c r="DJ107" s="190" t="s">
        <v>124</v>
      </c>
      <c r="DK107" s="190" t="s">
        <v>125</v>
      </c>
      <c r="DL107" s="190" t="s">
        <v>124</v>
      </c>
      <c r="DM107" s="190" t="s">
        <v>125</v>
      </c>
      <c r="DN107" s="190" t="s">
        <v>124</v>
      </c>
      <c r="DO107" s="190" t="s">
        <v>125</v>
      </c>
      <c r="DP107" s="190" t="s">
        <v>124</v>
      </c>
      <c r="DQ107" s="190" t="s">
        <v>125</v>
      </c>
      <c r="DR107" s="190" t="s">
        <v>124</v>
      </c>
      <c r="DS107" s="190" t="s">
        <v>125</v>
      </c>
      <c r="DT107" s="190" t="s">
        <v>124</v>
      </c>
      <c r="DU107" s="190" t="s">
        <v>125</v>
      </c>
      <c r="DV107" s="190" t="s">
        <v>124</v>
      </c>
      <c r="DW107" s="190" t="s">
        <v>125</v>
      </c>
      <c r="DX107" s="190" t="s">
        <v>124</v>
      </c>
      <c r="DY107" s="190" t="s">
        <v>125</v>
      </c>
      <c r="DZ107" s="190" t="s">
        <v>124</v>
      </c>
      <c r="EA107" s="190" t="s">
        <v>125</v>
      </c>
      <c r="EB107" s="190" t="s">
        <v>124</v>
      </c>
      <c r="EC107" s="190" t="s">
        <v>125</v>
      </c>
    </row>
    <row r="108" spans="1:133" ht="25.5" x14ac:dyDescent="0.2">
      <c r="A108" s="5" t="s">
        <v>1</v>
      </c>
      <c r="B108" s="21" t="s">
        <v>4</v>
      </c>
      <c r="C108" s="21" t="s">
        <v>41</v>
      </c>
      <c r="D108" s="21" t="s">
        <v>42</v>
      </c>
      <c r="E108" s="21" t="s">
        <v>2</v>
      </c>
      <c r="F108" s="21" t="s">
        <v>3</v>
      </c>
      <c r="G108" s="21" t="s">
        <v>38</v>
      </c>
      <c r="H108" s="21" t="s">
        <v>39</v>
      </c>
      <c r="I108" s="71" t="s">
        <v>148</v>
      </c>
      <c r="J108" s="21" t="s">
        <v>6</v>
      </c>
      <c r="K108" s="21" t="s">
        <v>88</v>
      </c>
      <c r="L108" s="21" t="s">
        <v>89</v>
      </c>
      <c r="M108" s="73" t="s">
        <v>323</v>
      </c>
      <c r="N108" s="52" t="s">
        <v>53</v>
      </c>
      <c r="O108" s="52"/>
      <c r="P108" s="52"/>
      <c r="Q108" s="5" t="s">
        <v>1</v>
      </c>
      <c r="R108" s="21" t="s">
        <v>4</v>
      </c>
      <c r="S108" s="21" t="s">
        <v>41</v>
      </c>
      <c r="T108" s="21" t="s">
        <v>42</v>
      </c>
      <c r="U108" s="21" t="s">
        <v>2</v>
      </c>
      <c r="V108" s="21" t="s">
        <v>3</v>
      </c>
      <c r="W108" s="21" t="s">
        <v>38</v>
      </c>
      <c r="X108" s="21" t="s">
        <v>39</v>
      </c>
      <c r="Y108" s="71" t="s">
        <v>148</v>
      </c>
      <c r="Z108" s="21" t="s">
        <v>6</v>
      </c>
      <c r="AA108" s="21" t="s">
        <v>88</v>
      </c>
      <c r="AB108" s="21" t="s">
        <v>89</v>
      </c>
      <c r="AC108" s="73" t="s">
        <v>323</v>
      </c>
      <c r="AD108" s="52" t="s">
        <v>53</v>
      </c>
      <c r="AF108" s="5" t="s">
        <v>1</v>
      </c>
      <c r="AG108" s="21" t="s">
        <v>4</v>
      </c>
      <c r="AH108" s="21" t="s">
        <v>41</v>
      </c>
      <c r="AI108" s="21" t="s">
        <v>42</v>
      </c>
      <c r="AJ108" s="21" t="s">
        <v>2</v>
      </c>
      <c r="AK108" s="21" t="s">
        <v>3</v>
      </c>
      <c r="AL108" s="21" t="s">
        <v>38</v>
      </c>
      <c r="AM108" s="21" t="s">
        <v>39</v>
      </c>
      <c r="AN108" s="71" t="s">
        <v>148</v>
      </c>
      <c r="AO108" s="21" t="s">
        <v>6</v>
      </c>
      <c r="AP108" s="21" t="s">
        <v>88</v>
      </c>
      <c r="AQ108" s="21" t="s">
        <v>89</v>
      </c>
      <c r="AR108" s="73" t="s">
        <v>323</v>
      </c>
      <c r="AS108" s="52" t="s">
        <v>53</v>
      </c>
      <c r="AU108" s="5" t="s">
        <v>1</v>
      </c>
      <c r="AV108" s="21" t="s">
        <v>4</v>
      </c>
      <c r="AW108" s="21" t="s">
        <v>41</v>
      </c>
      <c r="AX108" s="21" t="s">
        <v>42</v>
      </c>
      <c r="AY108" s="21" t="s">
        <v>2</v>
      </c>
      <c r="AZ108" s="21" t="s">
        <v>3</v>
      </c>
      <c r="BA108" s="21" t="s">
        <v>38</v>
      </c>
      <c r="BB108" s="21" t="s">
        <v>39</v>
      </c>
      <c r="BC108" s="71" t="s">
        <v>148</v>
      </c>
      <c r="BD108" s="21" t="s">
        <v>6</v>
      </c>
      <c r="BE108" s="21" t="s">
        <v>88</v>
      </c>
      <c r="BF108" s="21" t="s">
        <v>89</v>
      </c>
      <c r="BG108" s="73" t="s">
        <v>323</v>
      </c>
      <c r="BH108" s="52" t="s">
        <v>53</v>
      </c>
      <c r="BJ108" s="5" t="s">
        <v>1</v>
      </c>
      <c r="BK108" s="21" t="s">
        <v>4</v>
      </c>
      <c r="BL108" s="21" t="s">
        <v>41</v>
      </c>
      <c r="BM108" s="21" t="s">
        <v>42</v>
      </c>
      <c r="BN108" s="21" t="s">
        <v>2</v>
      </c>
      <c r="BO108" s="21" t="s">
        <v>3</v>
      </c>
      <c r="BP108" s="21" t="s">
        <v>38</v>
      </c>
      <c r="BQ108" s="21" t="s">
        <v>39</v>
      </c>
      <c r="BR108" s="73" t="s">
        <v>148</v>
      </c>
      <c r="BS108" s="21" t="s">
        <v>6</v>
      </c>
      <c r="BT108" s="21" t="s">
        <v>88</v>
      </c>
      <c r="BU108" s="21" t="s">
        <v>89</v>
      </c>
      <c r="BV108" s="73" t="s">
        <v>323</v>
      </c>
      <c r="BW108" s="21" t="s">
        <v>53</v>
      </c>
      <c r="BX108" s="21"/>
      <c r="BY108" s="5" t="s">
        <v>1</v>
      </c>
      <c r="BZ108" s="21" t="s">
        <v>4</v>
      </c>
      <c r="CA108" s="21" t="s">
        <v>41</v>
      </c>
      <c r="CB108" s="21" t="s">
        <v>42</v>
      </c>
      <c r="CC108" s="21" t="s">
        <v>2</v>
      </c>
      <c r="CD108" s="21" t="s">
        <v>3</v>
      </c>
      <c r="CE108" s="21" t="s">
        <v>38</v>
      </c>
      <c r="CF108" s="21" t="s">
        <v>39</v>
      </c>
      <c r="CG108" s="21" t="s">
        <v>148</v>
      </c>
      <c r="CH108" s="21" t="s">
        <v>6</v>
      </c>
      <c r="CI108" s="21" t="s">
        <v>88</v>
      </c>
      <c r="CJ108" s="21" t="s">
        <v>89</v>
      </c>
      <c r="CK108" s="21" t="s">
        <v>323</v>
      </c>
      <c r="CL108" s="21" t="s">
        <v>53</v>
      </c>
      <c r="CN108" s="5" t="s">
        <v>1</v>
      </c>
      <c r="CO108" s="21" t="s">
        <v>4</v>
      </c>
      <c r="CP108" s="21" t="s">
        <v>41</v>
      </c>
      <c r="CQ108" s="21" t="s">
        <v>42</v>
      </c>
      <c r="CR108" s="21" t="s">
        <v>2</v>
      </c>
      <c r="CS108" s="21" t="s">
        <v>3</v>
      </c>
      <c r="CT108" s="21" t="s">
        <v>38</v>
      </c>
      <c r="CU108" s="21" t="s">
        <v>39</v>
      </c>
      <c r="CV108" s="21" t="s">
        <v>148</v>
      </c>
      <c r="CW108" s="21" t="s">
        <v>6</v>
      </c>
      <c r="CX108" s="21" t="s">
        <v>88</v>
      </c>
      <c r="CY108" s="21" t="s">
        <v>89</v>
      </c>
      <c r="CZ108" s="21" t="s">
        <v>323</v>
      </c>
      <c r="DA108" s="21" t="s">
        <v>53</v>
      </c>
      <c r="DC108" s="5" t="s">
        <v>1</v>
      </c>
      <c r="DD108" s="191" t="s">
        <v>4</v>
      </c>
      <c r="DE108" s="191" t="s">
        <v>4</v>
      </c>
      <c r="DF108" s="191" t="s">
        <v>41</v>
      </c>
      <c r="DG108" s="191" t="s">
        <v>41</v>
      </c>
      <c r="DH108" s="191" t="s">
        <v>42</v>
      </c>
      <c r="DI108" s="191" t="s">
        <v>42</v>
      </c>
      <c r="DJ108" s="191" t="s">
        <v>2</v>
      </c>
      <c r="DK108" s="191" t="s">
        <v>2</v>
      </c>
      <c r="DL108" s="191" t="s">
        <v>3</v>
      </c>
      <c r="DM108" s="191" t="s">
        <v>3</v>
      </c>
      <c r="DN108" s="191" t="s">
        <v>38</v>
      </c>
      <c r="DO108" s="191" t="s">
        <v>38</v>
      </c>
      <c r="DP108" s="191" t="s">
        <v>39</v>
      </c>
      <c r="DQ108" s="191" t="s">
        <v>39</v>
      </c>
      <c r="DR108" s="191" t="s">
        <v>148</v>
      </c>
      <c r="DS108" s="191" t="s">
        <v>148</v>
      </c>
      <c r="DT108" s="191" t="s">
        <v>6</v>
      </c>
      <c r="DU108" s="191" t="s">
        <v>6</v>
      </c>
      <c r="DV108" s="191" t="s">
        <v>88</v>
      </c>
      <c r="DW108" s="191" t="s">
        <v>88</v>
      </c>
      <c r="DX108" s="191" t="s">
        <v>89</v>
      </c>
      <c r="DY108" s="191" t="s">
        <v>89</v>
      </c>
      <c r="DZ108" s="191" t="s">
        <v>323</v>
      </c>
      <c r="EA108" s="191" t="s">
        <v>323</v>
      </c>
      <c r="EB108" s="192" t="s">
        <v>126</v>
      </c>
      <c r="EC108" s="192" t="s">
        <v>126</v>
      </c>
    </row>
    <row r="109" spans="1:133" x14ac:dyDescent="0.2">
      <c r="A109" s="66" t="s">
        <v>4</v>
      </c>
      <c r="B109" s="36">
        <f>targets!AW102</f>
        <v>2011861.4039821548</v>
      </c>
      <c r="C109" s="37">
        <f>targets!AX102</f>
        <v>367710.4823188741</v>
      </c>
      <c r="D109" s="37">
        <f>targets!AY102</f>
        <v>105058.54601138049</v>
      </c>
      <c r="E109" s="37">
        <f>targets!AZ102</f>
        <v>0</v>
      </c>
      <c r="F109" s="37">
        <f>targets!BA102</f>
        <v>0</v>
      </c>
      <c r="G109" s="37">
        <f>SUM(targets!BB102:BG102)</f>
        <v>0</v>
      </c>
      <c r="H109" s="37">
        <f>SUM(targets!BH102:BM102)</f>
        <v>0</v>
      </c>
      <c r="I109" s="74">
        <f>SUM(G109:H109)</f>
        <v>0</v>
      </c>
      <c r="J109" s="37">
        <f>targets!BN102</f>
        <v>0</v>
      </c>
      <c r="K109" s="37">
        <f>targets!BO102</f>
        <v>0</v>
      </c>
      <c r="L109" s="37">
        <f>targets!BP102</f>
        <v>0</v>
      </c>
      <c r="M109" s="177">
        <f>SUM(J109:L109)</f>
        <v>0</v>
      </c>
      <c r="N109" s="17">
        <f t="shared" ref="N109:N129" si="706">SUM(B109:L109)-I109</f>
        <v>2484630.4323124094</v>
      </c>
      <c r="O109" s="17"/>
      <c r="P109" s="17"/>
      <c r="Q109" s="66" t="s">
        <v>4</v>
      </c>
      <c r="R109" s="36">
        <f t="shared" ref="R109:R128" si="707">B109*(AG$129/B$129)</f>
        <v>0</v>
      </c>
      <c r="S109" s="37">
        <f t="shared" ref="S109:S128" si="708">C109*(AH$129/C$129)</f>
        <v>0</v>
      </c>
      <c r="T109" s="37">
        <f t="shared" ref="T109:T128" si="709">D109*(AI$129/D$129)</f>
        <v>0</v>
      </c>
      <c r="U109" s="37">
        <f t="shared" ref="U109:U128" si="710">E109*(AJ$129/E$129)</f>
        <v>0</v>
      </c>
      <c r="V109" s="37">
        <f t="shared" ref="V109:V128" si="711">F109*(AK$129/F$129)</f>
        <v>0</v>
      </c>
      <c r="W109" s="37">
        <f t="shared" ref="W109:W128" si="712">G109*(AL$129/G$129)</f>
        <v>0</v>
      </c>
      <c r="X109" s="37">
        <f t="shared" ref="X109:X128" si="713">H109*(AM$129/H$129)</f>
        <v>0</v>
      </c>
      <c r="Y109" s="74">
        <f>SUM(W109:X109)</f>
        <v>0</v>
      </c>
      <c r="Z109" s="37">
        <f t="shared" ref="Z109:Z128" si="714">J109*(AO$129/J$129)</f>
        <v>0</v>
      </c>
      <c r="AA109" s="37">
        <f t="shared" ref="AA109:AA128" si="715">K109*(AP$129/K$129)</f>
        <v>0</v>
      </c>
      <c r="AB109" s="37">
        <f t="shared" ref="AB109:AB128" si="716">L109*(AQ$129/L$129)</f>
        <v>0</v>
      </c>
      <c r="AC109" s="177">
        <f>SUM(Z109:AB109)</f>
        <v>0</v>
      </c>
      <c r="AD109" s="17">
        <f t="shared" ref="AD109:AD129" si="717">SUM(R109:AB109)-Y109</f>
        <v>0</v>
      </c>
      <c r="AF109" s="66" t="s">
        <v>4</v>
      </c>
      <c r="AG109" s="36">
        <f t="array" ref="AG109">SUM(IF((modeldata!$F:$F=calibration!$AF$106)*(modeldata!$G:$G=calibration!AG$108)*(modeldata!$H:$H=calibration!$AF109),modeldata!$E:$E,0))</f>
        <v>0</v>
      </c>
      <c r="AH109" s="37">
        <f t="array" ref="AH109">SUM(IF((modeldata!$F:$F=calibration!$AF$106)*(modeldata!$G:$G=calibration!AH$108)*(modeldata!$H:$H=calibration!$AF109),modeldata!$E:$E,0))</f>
        <v>0</v>
      </c>
      <c r="AI109" s="37">
        <f t="array" ref="AI109">SUM(IF((modeldata!$F:$F=calibration!$AF$106)*(modeldata!$G:$G=calibration!AI$108)*(modeldata!$H:$H=calibration!$AF109),modeldata!$E:$E,0))</f>
        <v>0</v>
      </c>
      <c r="AJ109" s="37">
        <f t="array" ref="AJ109">SUM(IF((modeldata!$F:$F=calibration!$AF$106)*(modeldata!$G:$G=calibration!AJ$108)*(modeldata!$H:$H=calibration!$AF109),modeldata!$E:$E,0))</f>
        <v>0</v>
      </c>
      <c r="AK109" s="37">
        <f t="array" ref="AK109">SUM(IF((modeldata!$F:$F=calibration!$AF$106)*(modeldata!$G:$G=calibration!AK$108)*(modeldata!$H:$H=calibration!$AF109),modeldata!$E:$E,0))</f>
        <v>0</v>
      </c>
      <c r="AL109" s="37">
        <f t="array" ref="AL109">SUM(IF((modeldata!$F:$F=calibration!$AF$106)*(modeldata!$G:$G=calibration!AL$108)*(modeldata!$H:$H=calibration!$AF109),modeldata!$E:$E,0))</f>
        <v>0</v>
      </c>
      <c r="AM109" s="37">
        <f t="array" ref="AM109">SUM(IF((modeldata!$F:$F=calibration!$AF$106)*(modeldata!$G:$G=calibration!AM$108)*(modeldata!$H:$H=calibration!$AF109),modeldata!$E:$E,0))</f>
        <v>0</v>
      </c>
      <c r="AN109" s="74">
        <f>AL109+AM109</f>
        <v>0</v>
      </c>
      <c r="AO109" s="37">
        <f t="array" ref="AO109">SUM(IF((modeldata!$F:$F=calibration!$AF$106)*(modeldata!$G:$G=calibration!AO$108)*(modeldata!$H:$H=calibration!$AF109),modeldata!$E:$E,0))</f>
        <v>0</v>
      </c>
      <c r="AP109" s="37">
        <f t="array" ref="AP109">SUM(IF((modeldata!$F:$F=calibration!$AF$106)*(modeldata!$G:$G=calibration!AP$108)*(modeldata!$H:$H=calibration!$AF109),modeldata!$E:$E,0))</f>
        <v>0</v>
      </c>
      <c r="AQ109" s="37">
        <f t="array" ref="AQ109">SUM(IF((modeldata!$F:$F=calibration!$AF$106)*(modeldata!$G:$G=calibration!AQ$108)*(modeldata!$H:$H=calibration!$AF109),modeldata!$E:$E,0))</f>
        <v>0</v>
      </c>
      <c r="AR109" s="177"/>
      <c r="AS109" s="17">
        <f t="shared" ref="AS109:AS129" si="718">SUM(AG109:AQ109)-AN109</f>
        <v>0</v>
      </c>
      <c r="AU109" s="66" t="s">
        <v>4</v>
      </c>
      <c r="AV109" s="36">
        <f t="shared" ref="AV109:BG109" si="719">IF(R129&gt;0,R109/R129,0)</f>
        <v>0</v>
      </c>
      <c r="AW109" s="37">
        <f t="shared" si="719"/>
        <v>0</v>
      </c>
      <c r="AX109" s="37">
        <f t="shared" si="719"/>
        <v>0</v>
      </c>
      <c r="AY109" s="37">
        <f t="shared" si="719"/>
        <v>0</v>
      </c>
      <c r="AZ109" s="37">
        <f t="shared" si="719"/>
        <v>0</v>
      </c>
      <c r="BA109" s="37">
        <f t="shared" si="719"/>
        <v>0</v>
      </c>
      <c r="BB109" s="37">
        <f t="shared" si="719"/>
        <v>0</v>
      </c>
      <c r="BC109" s="74">
        <f t="shared" si="719"/>
        <v>0</v>
      </c>
      <c r="BD109" s="37">
        <f t="shared" si="719"/>
        <v>0</v>
      </c>
      <c r="BE109" s="37">
        <f t="shared" si="719"/>
        <v>0</v>
      </c>
      <c r="BF109" s="37">
        <f t="shared" si="719"/>
        <v>0</v>
      </c>
      <c r="BG109" s="177">
        <f t="shared" si="719"/>
        <v>0</v>
      </c>
      <c r="BH109" s="24" t="e">
        <f>AD109/AD129</f>
        <v>#DIV/0!</v>
      </c>
      <c r="BJ109" s="66" t="s">
        <v>4</v>
      </c>
      <c r="BK109" s="36">
        <f t="shared" ref="BK109:BV109" si="720">IF(AG129&gt;0,AG109/AG129,0)</f>
        <v>0</v>
      </c>
      <c r="BL109" s="37">
        <f t="shared" si="720"/>
        <v>0</v>
      </c>
      <c r="BM109" s="37">
        <f t="shared" si="720"/>
        <v>0</v>
      </c>
      <c r="BN109" s="37">
        <f t="shared" si="720"/>
        <v>0</v>
      </c>
      <c r="BO109" s="37">
        <f t="shared" si="720"/>
        <v>0</v>
      </c>
      <c r="BP109" s="37">
        <f t="shared" si="720"/>
        <v>0</v>
      </c>
      <c r="BQ109" s="37">
        <f t="shared" si="720"/>
        <v>0</v>
      </c>
      <c r="BR109" s="74">
        <f t="shared" si="720"/>
        <v>0</v>
      </c>
      <c r="BS109" s="37">
        <f t="shared" si="720"/>
        <v>0</v>
      </c>
      <c r="BT109" s="37">
        <f t="shared" si="720"/>
        <v>0</v>
      </c>
      <c r="BU109" s="37">
        <f t="shared" si="720"/>
        <v>0</v>
      </c>
      <c r="BV109" s="177">
        <f t="shared" si="720"/>
        <v>0</v>
      </c>
      <c r="BW109" s="24" t="e">
        <f>AS109/AS129</f>
        <v>#DIV/0!</v>
      </c>
      <c r="BX109" s="24"/>
      <c r="BY109" s="66" t="s">
        <v>4</v>
      </c>
      <c r="BZ109" s="58">
        <f>AG109-R109</f>
        <v>0</v>
      </c>
      <c r="CA109" s="53">
        <f t="shared" ref="CA109:CA129" si="721">AH109-S109</f>
        <v>0</v>
      </c>
      <c r="CB109" s="53">
        <f t="shared" ref="CB109:CB129" si="722">AI109-T109</f>
        <v>0</v>
      </c>
      <c r="CC109" s="53">
        <f t="shared" ref="CC109:CC129" si="723">AJ109-U109</f>
        <v>0</v>
      </c>
      <c r="CD109" s="53">
        <f t="shared" ref="CD109:CD129" si="724">AK109-V109</f>
        <v>0</v>
      </c>
      <c r="CE109" s="53">
        <f t="shared" ref="CE109:CE129" si="725">AL109-W109</f>
        <v>0</v>
      </c>
      <c r="CF109" s="53">
        <f t="shared" ref="CF109:CF129" si="726">AM109-X109</f>
        <v>0</v>
      </c>
      <c r="CG109" s="245">
        <f t="shared" ref="CG109:CG124" si="727">AN109-Y109</f>
        <v>0</v>
      </c>
      <c r="CH109" s="53">
        <f t="shared" ref="CH109:CH129" si="728">AO109-Z109</f>
        <v>0</v>
      </c>
      <c r="CI109" s="53">
        <f t="shared" ref="CI109:CI129" si="729">AP109-AA109</f>
        <v>0</v>
      </c>
      <c r="CJ109" s="53">
        <f t="shared" ref="CJ109:CK129" si="730">AQ109-AB109</f>
        <v>0</v>
      </c>
      <c r="CK109" s="248">
        <f>AR109-AC109</f>
        <v>0</v>
      </c>
      <c r="CL109" s="55">
        <f t="shared" ref="CL109:CL129" si="731">AS109-AD109</f>
        <v>0</v>
      </c>
      <c r="CN109" s="66" t="s">
        <v>4</v>
      </c>
      <c r="CO109" s="58">
        <f>BK109-AV109</f>
        <v>0</v>
      </c>
      <c r="CP109" s="53">
        <f t="shared" ref="CP109:CP129" si="732">BL109-AW109</f>
        <v>0</v>
      </c>
      <c r="CQ109" s="53">
        <f t="shared" ref="CQ109:CQ129" si="733">BM109-AX109</f>
        <v>0</v>
      </c>
      <c r="CR109" s="53">
        <f t="shared" ref="CR109:CR129" si="734">BN109-AY109</f>
        <v>0</v>
      </c>
      <c r="CS109" s="53">
        <f t="shared" ref="CS109:CS129" si="735">BO109-AZ109</f>
        <v>0</v>
      </c>
      <c r="CT109" s="53">
        <f t="shared" ref="CT109:CT129" si="736">BP109-BA109</f>
        <v>0</v>
      </c>
      <c r="CU109" s="53">
        <f t="shared" ref="CU109:CU129" si="737">BQ109-BB109</f>
        <v>0</v>
      </c>
      <c r="CV109" s="245">
        <f t="shared" ref="CV109:CV129" si="738">BR109-BC109</f>
        <v>0</v>
      </c>
      <c r="CW109" s="53">
        <f t="shared" ref="CW109:CW129" si="739">BS109-BD109</f>
        <v>0</v>
      </c>
      <c r="CX109" s="53">
        <f t="shared" ref="CX109:CX129" si="740">BT109-BE109</f>
        <v>0</v>
      </c>
      <c r="CY109" s="53">
        <f t="shared" ref="CY109:CZ129" si="741">BU109-BF109</f>
        <v>0</v>
      </c>
      <c r="CZ109" s="248">
        <f>BV109-BG109</f>
        <v>0</v>
      </c>
      <c r="DA109" s="62" t="e">
        <f t="shared" ref="DA109:DA129" si="742">BW109-BH109</f>
        <v>#DIV/0!</v>
      </c>
      <c r="DC109" s="66" t="s">
        <v>4</v>
      </c>
      <c r="DD109" s="193">
        <f>AV109</f>
        <v>0</v>
      </c>
      <c r="DE109" s="194">
        <f>BK109</f>
        <v>0</v>
      </c>
      <c r="DF109" s="195">
        <f>AW109</f>
        <v>0</v>
      </c>
      <c r="DG109" s="196">
        <f>BL109</f>
        <v>0</v>
      </c>
      <c r="DH109" s="195">
        <f>AX109</f>
        <v>0</v>
      </c>
      <c r="DI109" s="196">
        <f>BM109</f>
        <v>0</v>
      </c>
      <c r="DJ109" s="195">
        <f>AY109</f>
        <v>0</v>
      </c>
      <c r="DK109" s="196">
        <f>BN109</f>
        <v>0</v>
      </c>
      <c r="DL109" s="195">
        <f>AZ109</f>
        <v>0</v>
      </c>
      <c r="DM109" s="196">
        <f>BO109</f>
        <v>0</v>
      </c>
      <c r="DN109" s="195">
        <f>BA109</f>
        <v>0</v>
      </c>
      <c r="DO109" s="196">
        <f>BP109</f>
        <v>0</v>
      </c>
      <c r="DP109" s="195">
        <f>BB109</f>
        <v>0</v>
      </c>
      <c r="DQ109" s="196">
        <f>BQ109</f>
        <v>0</v>
      </c>
      <c r="DR109" s="195">
        <f>BC109</f>
        <v>0</v>
      </c>
      <c r="DS109" s="196">
        <f>BR109</f>
        <v>0</v>
      </c>
      <c r="DT109" s="195">
        <f>BD109</f>
        <v>0</v>
      </c>
      <c r="DU109" s="196">
        <f>BS109</f>
        <v>0</v>
      </c>
      <c r="DV109" s="195">
        <f>BE109</f>
        <v>0</v>
      </c>
      <c r="DW109" s="196">
        <f>BT109</f>
        <v>0</v>
      </c>
      <c r="DX109" s="195">
        <f>BF109</f>
        <v>0</v>
      </c>
      <c r="DY109" s="196">
        <f>BU109</f>
        <v>0</v>
      </c>
      <c r="DZ109" s="197">
        <f>BG109</f>
        <v>0</v>
      </c>
      <c r="EA109" s="196">
        <f t="shared" ref="EA109:EA128" si="743">BV109</f>
        <v>0</v>
      </c>
      <c r="EB109" s="190" t="e">
        <f>BH109</f>
        <v>#DIV/0!</v>
      </c>
      <c r="EC109" s="190" t="e">
        <f>BW109</f>
        <v>#DIV/0!</v>
      </c>
    </row>
    <row r="110" spans="1:133" x14ac:dyDescent="0.2">
      <c r="A110" s="66" t="s">
        <v>41</v>
      </c>
      <c r="B110" s="38">
        <f>targets!AW103</f>
        <v>64.963187592295156</v>
      </c>
      <c r="C110" s="36">
        <f>targets!AX103</f>
        <v>1084956.2922145904</v>
      </c>
      <c r="D110" s="242">
        <f>targets!AY103</f>
        <v>206356.76094793013</v>
      </c>
      <c r="E110" s="242">
        <f>targets!AZ103</f>
        <v>0</v>
      </c>
      <c r="F110" s="242">
        <f>targets!BA103</f>
        <v>0</v>
      </c>
      <c r="G110" s="242">
        <f>SUM(targets!BB103:BG103)</f>
        <v>35404.623957349322</v>
      </c>
      <c r="H110" s="242">
        <f>SUM(targets!BH103:BM103)</f>
        <v>0</v>
      </c>
      <c r="I110" s="243">
        <f t="shared" ref="I110:I128" si="744">SUM(G110:H110)</f>
        <v>35404.623957349322</v>
      </c>
      <c r="J110" s="242">
        <f>targets!BN103</f>
        <v>2026.4369784718906</v>
      </c>
      <c r="K110" s="242">
        <f>targets!BO103</f>
        <v>1476.5191758312067</v>
      </c>
      <c r="L110" s="242">
        <f>targets!BP103</f>
        <v>76.946088799210642</v>
      </c>
      <c r="M110" s="178">
        <f t="shared" ref="M110:M128" si="745">SUM(J110:L110)</f>
        <v>3579.9022431023077</v>
      </c>
      <c r="N110" s="17">
        <f>SUM(B110:L110)-I110</f>
        <v>1330362.5425505645</v>
      </c>
      <c r="O110" s="17"/>
      <c r="P110" s="17"/>
      <c r="Q110" s="66" t="s">
        <v>41</v>
      </c>
      <c r="R110" s="38">
        <f t="shared" si="707"/>
        <v>0</v>
      </c>
      <c r="S110" s="36">
        <f t="shared" si="708"/>
        <v>0</v>
      </c>
      <c r="T110" s="242">
        <f t="shared" si="709"/>
        <v>0</v>
      </c>
      <c r="U110" s="242">
        <f t="shared" si="710"/>
        <v>0</v>
      </c>
      <c r="V110" s="242">
        <f t="shared" si="711"/>
        <v>0</v>
      </c>
      <c r="W110" s="242">
        <f t="shared" si="712"/>
        <v>0</v>
      </c>
      <c r="X110" s="242">
        <f t="shared" si="713"/>
        <v>0</v>
      </c>
      <c r="Y110" s="243">
        <f t="shared" ref="Y110:Y128" si="746">SUM(W110:X110)</f>
        <v>0</v>
      </c>
      <c r="Z110" s="242">
        <f t="shared" si="714"/>
        <v>0</v>
      </c>
      <c r="AA110" s="242">
        <f t="shared" si="715"/>
        <v>0</v>
      </c>
      <c r="AB110" s="242">
        <f t="shared" si="716"/>
        <v>0</v>
      </c>
      <c r="AC110" s="178">
        <f>SUM(Z110:AB110)</f>
        <v>0</v>
      </c>
      <c r="AD110" s="17">
        <f t="shared" si="717"/>
        <v>0</v>
      </c>
      <c r="AF110" s="66" t="s">
        <v>41</v>
      </c>
      <c r="AG110" s="38">
        <f t="array" ref="AG110">SUM(IF((modeldata!$F:$F=calibration!$AF$106)*(modeldata!$G:$G=calibration!AG$108)*(modeldata!$H:$H=calibration!$AF110),modeldata!$E:$E,0))</f>
        <v>0</v>
      </c>
      <c r="AH110" s="36">
        <f t="array" ref="AH110">SUM(IF((modeldata!$F:$F=calibration!$AF$106)*(modeldata!$G:$G=calibration!AH$108)*(modeldata!$H:$H=calibration!$AF110),modeldata!$E:$E,0))</f>
        <v>0</v>
      </c>
      <c r="AI110" s="242">
        <f t="array" ref="AI110">SUM(IF((modeldata!$F:$F=calibration!$AF$106)*(modeldata!$G:$G=calibration!AI$108)*(modeldata!$H:$H=calibration!$AF110),modeldata!$E:$E,0))</f>
        <v>0</v>
      </c>
      <c r="AJ110" s="242">
        <f t="array" ref="AJ110">SUM(IF((modeldata!$F:$F=calibration!$AF$106)*(modeldata!$G:$G=calibration!AJ$108)*(modeldata!$H:$H=calibration!$AF110),modeldata!$E:$E,0))</f>
        <v>0</v>
      </c>
      <c r="AK110" s="242">
        <f t="array" ref="AK110">SUM(IF((modeldata!$F:$F=calibration!$AF$106)*(modeldata!$G:$G=calibration!AK$108)*(modeldata!$H:$H=calibration!$AF110),modeldata!$E:$E,0))</f>
        <v>0</v>
      </c>
      <c r="AL110" s="242">
        <f t="array" ref="AL110">SUM(IF((modeldata!$F:$F=calibration!$AF$106)*(modeldata!$G:$G=calibration!AL$108)*(modeldata!$H:$H=calibration!$AF110),modeldata!$E:$E,0))</f>
        <v>0</v>
      </c>
      <c r="AM110" s="242">
        <f t="array" ref="AM110">SUM(IF((modeldata!$F:$F=calibration!$AF$106)*(modeldata!$G:$G=calibration!AM$108)*(modeldata!$H:$H=calibration!$AF110),modeldata!$E:$E,0))</f>
        <v>0</v>
      </c>
      <c r="AN110" s="243">
        <f t="shared" ref="AN110:AN128" si="747">AL110+AM110</f>
        <v>0</v>
      </c>
      <c r="AO110" s="242">
        <f t="array" ref="AO110">SUM(IF((modeldata!$F:$F=calibration!$AF$106)*(modeldata!$G:$G=calibration!AO$108)*(modeldata!$H:$H=calibration!$AF110),modeldata!$E:$E,0))</f>
        <v>0</v>
      </c>
      <c r="AP110" s="242">
        <f t="array" ref="AP110">SUM(IF((modeldata!$F:$F=calibration!$AF$106)*(modeldata!$G:$G=calibration!AP$108)*(modeldata!$H:$H=calibration!$AF110),modeldata!$E:$E,0))</f>
        <v>0</v>
      </c>
      <c r="AQ110" s="242">
        <f t="array" ref="AQ110">SUM(IF((modeldata!$F:$F=calibration!$AF$106)*(modeldata!$G:$G=calibration!AQ$108)*(modeldata!$H:$H=calibration!$AF110),modeldata!$E:$E,0))</f>
        <v>0</v>
      </c>
      <c r="AR110" s="178">
        <f>SUM(AO110:AQ110)</f>
        <v>0</v>
      </c>
      <c r="AS110" s="17">
        <f t="shared" si="718"/>
        <v>0</v>
      </c>
      <c r="AU110" s="66" t="s">
        <v>41</v>
      </c>
      <c r="AV110" s="38">
        <f t="shared" ref="AV110:BG110" si="748">IF(R129&gt;0,R110/R129,0)</f>
        <v>0</v>
      </c>
      <c r="AW110" s="36">
        <f t="shared" si="748"/>
        <v>0</v>
      </c>
      <c r="AX110" s="242">
        <f t="shared" si="748"/>
        <v>0</v>
      </c>
      <c r="AY110" s="242">
        <f t="shared" si="748"/>
        <v>0</v>
      </c>
      <c r="AZ110" s="242">
        <f t="shared" si="748"/>
        <v>0</v>
      </c>
      <c r="BA110" s="242">
        <f t="shared" si="748"/>
        <v>0</v>
      </c>
      <c r="BB110" s="242">
        <f t="shared" si="748"/>
        <v>0</v>
      </c>
      <c r="BC110" s="243">
        <f t="shared" si="748"/>
        <v>0</v>
      </c>
      <c r="BD110" s="242">
        <f t="shared" si="748"/>
        <v>0</v>
      </c>
      <c r="BE110" s="242">
        <f t="shared" si="748"/>
        <v>0</v>
      </c>
      <c r="BF110" s="242">
        <f t="shared" si="748"/>
        <v>0</v>
      </c>
      <c r="BG110" s="178">
        <f t="shared" si="748"/>
        <v>0</v>
      </c>
      <c r="BH110" s="24" t="e">
        <f>AD110/AD129</f>
        <v>#DIV/0!</v>
      </c>
      <c r="BJ110" s="66" t="s">
        <v>41</v>
      </c>
      <c r="BK110" s="38">
        <f t="shared" ref="BK110:BV110" si="749">IF(AG129&gt;0,AG110/AG129,0)</f>
        <v>0</v>
      </c>
      <c r="BL110" s="36">
        <f t="shared" si="749"/>
        <v>0</v>
      </c>
      <c r="BM110" s="242">
        <f t="shared" si="749"/>
        <v>0</v>
      </c>
      <c r="BN110" s="242">
        <f t="shared" si="749"/>
        <v>0</v>
      </c>
      <c r="BO110" s="242">
        <f t="shared" si="749"/>
        <v>0</v>
      </c>
      <c r="BP110" s="242">
        <f t="shared" si="749"/>
        <v>0</v>
      </c>
      <c r="BQ110" s="242">
        <f t="shared" si="749"/>
        <v>0</v>
      </c>
      <c r="BR110" s="243">
        <f t="shared" si="749"/>
        <v>0</v>
      </c>
      <c r="BS110" s="242">
        <f t="shared" si="749"/>
        <v>0</v>
      </c>
      <c r="BT110" s="242">
        <f t="shared" si="749"/>
        <v>0</v>
      </c>
      <c r="BU110" s="242">
        <f t="shared" si="749"/>
        <v>0</v>
      </c>
      <c r="BV110" s="178">
        <f t="shared" si="749"/>
        <v>0</v>
      </c>
      <c r="BW110" s="24" t="e">
        <f>AS110/AS129</f>
        <v>#DIV/0!</v>
      </c>
      <c r="BX110" s="24"/>
      <c r="BY110" s="66" t="s">
        <v>41</v>
      </c>
      <c r="BZ110" s="54">
        <f t="shared" ref="BZ110:BZ129" si="750">AG110-R110</f>
        <v>0</v>
      </c>
      <c r="CA110" s="58">
        <f t="shared" si="721"/>
        <v>0</v>
      </c>
      <c r="CB110" s="55">
        <f t="shared" si="722"/>
        <v>0</v>
      </c>
      <c r="CC110" s="55">
        <f t="shared" si="723"/>
        <v>0</v>
      </c>
      <c r="CD110" s="55">
        <f t="shared" si="724"/>
        <v>0</v>
      </c>
      <c r="CE110" s="55">
        <f t="shared" si="725"/>
        <v>0</v>
      </c>
      <c r="CF110" s="55">
        <f t="shared" si="726"/>
        <v>0</v>
      </c>
      <c r="CG110" s="246">
        <f t="shared" si="727"/>
        <v>0</v>
      </c>
      <c r="CH110" s="55">
        <f t="shared" si="728"/>
        <v>0</v>
      </c>
      <c r="CI110" s="55">
        <f t="shared" si="729"/>
        <v>0</v>
      </c>
      <c r="CJ110" s="55">
        <f t="shared" si="730"/>
        <v>0</v>
      </c>
      <c r="CK110" s="249">
        <f t="shared" si="730"/>
        <v>0</v>
      </c>
      <c r="CL110" s="55">
        <f t="shared" si="731"/>
        <v>0</v>
      </c>
      <c r="CN110" s="66" t="s">
        <v>41</v>
      </c>
      <c r="CO110" s="54">
        <f t="shared" ref="CO110:CO129" si="751">BK110-AV110</f>
        <v>0</v>
      </c>
      <c r="CP110" s="58">
        <f t="shared" si="732"/>
        <v>0</v>
      </c>
      <c r="CQ110" s="55">
        <f t="shared" si="733"/>
        <v>0</v>
      </c>
      <c r="CR110" s="55">
        <f t="shared" si="734"/>
        <v>0</v>
      </c>
      <c r="CS110" s="55">
        <f t="shared" si="735"/>
        <v>0</v>
      </c>
      <c r="CT110" s="55">
        <f t="shared" si="736"/>
        <v>0</v>
      </c>
      <c r="CU110" s="55">
        <f t="shared" si="737"/>
        <v>0</v>
      </c>
      <c r="CV110" s="246">
        <f t="shared" si="738"/>
        <v>0</v>
      </c>
      <c r="CW110" s="55">
        <f t="shared" si="739"/>
        <v>0</v>
      </c>
      <c r="CX110" s="55">
        <f t="shared" si="740"/>
        <v>0</v>
      </c>
      <c r="CY110" s="55">
        <f t="shared" si="741"/>
        <v>0</v>
      </c>
      <c r="CZ110" s="249">
        <f t="shared" si="741"/>
        <v>0</v>
      </c>
      <c r="DA110" s="62" t="e">
        <f t="shared" si="742"/>
        <v>#DIV/0!</v>
      </c>
      <c r="DC110" s="66" t="s">
        <v>41</v>
      </c>
      <c r="DD110" s="198">
        <f t="shared" ref="DD110:DD128" si="752">AV110</f>
        <v>0</v>
      </c>
      <c r="DE110" s="199">
        <f t="shared" ref="DE110:DE128" si="753">BK110</f>
        <v>0</v>
      </c>
      <c r="DF110" s="193">
        <f t="shared" ref="DF110:DF128" si="754">AW110</f>
        <v>0</v>
      </c>
      <c r="DG110" s="194">
        <f t="shared" ref="DG110:DG128" si="755">BL110</f>
        <v>0</v>
      </c>
      <c r="DH110" s="198">
        <f t="shared" ref="DH110:DH128" si="756">AX110</f>
        <v>0</v>
      </c>
      <c r="DI110" s="199">
        <f t="shared" ref="DI110:DI128" si="757">BM110</f>
        <v>0</v>
      </c>
      <c r="DJ110" s="198">
        <f t="shared" ref="DJ110:DJ128" si="758">AY110</f>
        <v>0</v>
      </c>
      <c r="DK110" s="199">
        <f t="shared" ref="DK110:DK128" si="759">BN110</f>
        <v>0</v>
      </c>
      <c r="DL110" s="198">
        <f t="shared" ref="DL110:DL128" si="760">AZ110</f>
        <v>0</v>
      </c>
      <c r="DM110" s="199">
        <f t="shared" ref="DM110:DM128" si="761">BO110</f>
        <v>0</v>
      </c>
      <c r="DN110" s="198">
        <f t="shared" ref="DN110:DN128" si="762">BA110</f>
        <v>0</v>
      </c>
      <c r="DO110" s="199">
        <f t="shared" ref="DO110:DO128" si="763">BP110</f>
        <v>0</v>
      </c>
      <c r="DP110" s="198">
        <f t="shared" ref="DP110:DP128" si="764">BB110</f>
        <v>0</v>
      </c>
      <c r="DQ110" s="199">
        <f t="shared" ref="DQ110:DQ128" si="765">BQ110</f>
        <v>0</v>
      </c>
      <c r="DR110" s="198">
        <f t="shared" ref="DR110:DR128" si="766">BC110</f>
        <v>0</v>
      </c>
      <c r="DS110" s="199">
        <f t="shared" ref="DS110:DS128" si="767">BR110</f>
        <v>0</v>
      </c>
      <c r="DT110" s="198">
        <f t="shared" ref="DT110:DT128" si="768">BD110</f>
        <v>0</v>
      </c>
      <c r="DU110" s="199">
        <f t="shared" ref="DU110:DU128" si="769">BS110</f>
        <v>0</v>
      </c>
      <c r="DV110" s="198">
        <f t="shared" ref="DV110:DV128" si="770">BE110</f>
        <v>0</v>
      </c>
      <c r="DW110" s="199">
        <f t="shared" ref="DW110:DW128" si="771">BT110</f>
        <v>0</v>
      </c>
      <c r="DX110" s="198">
        <f t="shared" ref="DX110:DX128" si="772">BF110</f>
        <v>0</v>
      </c>
      <c r="DY110" s="199">
        <f t="shared" ref="DY110:DY128" si="773">BU110</f>
        <v>0</v>
      </c>
      <c r="DZ110" s="190">
        <f t="shared" ref="DZ110:DZ128" si="774">BG110</f>
        <v>0</v>
      </c>
      <c r="EA110" s="199">
        <f t="shared" si="743"/>
        <v>0</v>
      </c>
      <c r="EB110" s="190" t="e">
        <f t="shared" ref="EB110:EB128" si="775">BH110</f>
        <v>#DIV/0!</v>
      </c>
      <c r="EC110" s="190" t="e">
        <f t="shared" ref="EC110:EC128" si="776">BW110</f>
        <v>#DIV/0!</v>
      </c>
    </row>
    <row r="111" spans="1:133" x14ac:dyDescent="0.2">
      <c r="A111" s="66" t="s">
        <v>42</v>
      </c>
      <c r="B111" s="38">
        <f>targets!AW104</f>
        <v>0</v>
      </c>
      <c r="C111" s="242">
        <f>targets!AX104</f>
        <v>0</v>
      </c>
      <c r="D111" s="36">
        <f>targets!AY104</f>
        <v>635797.98555846524</v>
      </c>
      <c r="E111" s="242">
        <f>targets!AZ104</f>
        <v>0</v>
      </c>
      <c r="F111" s="242">
        <f>targets!BA104</f>
        <v>0</v>
      </c>
      <c r="G111" s="242">
        <f>SUM(targets!BB104:BG104)</f>
        <v>5977.2044165898851</v>
      </c>
      <c r="H111" s="242">
        <f>SUM(targets!BH104:BM104)</f>
        <v>0</v>
      </c>
      <c r="I111" s="243">
        <f t="shared" si="744"/>
        <v>5977.2044165898851</v>
      </c>
      <c r="J111" s="242">
        <f>targets!BN104</f>
        <v>552.6646304923338</v>
      </c>
      <c r="K111" s="242">
        <f>targets!BO104</f>
        <v>2386.6539083532339</v>
      </c>
      <c r="L111" s="242">
        <f>targets!BP104</f>
        <v>0</v>
      </c>
      <c r="M111" s="178">
        <f t="shared" si="745"/>
        <v>2939.3185388455677</v>
      </c>
      <c r="N111" s="17">
        <f t="shared" si="706"/>
        <v>644714.50851390068</v>
      </c>
      <c r="O111" s="17"/>
      <c r="P111" s="17"/>
      <c r="Q111" s="66" t="s">
        <v>42</v>
      </c>
      <c r="R111" s="38">
        <f t="shared" si="707"/>
        <v>0</v>
      </c>
      <c r="S111" s="242">
        <f t="shared" si="708"/>
        <v>0</v>
      </c>
      <c r="T111" s="36">
        <f t="shared" si="709"/>
        <v>0</v>
      </c>
      <c r="U111" s="242">
        <f t="shared" si="710"/>
        <v>0</v>
      </c>
      <c r="V111" s="242">
        <f t="shared" si="711"/>
        <v>0</v>
      </c>
      <c r="W111" s="242">
        <f t="shared" si="712"/>
        <v>0</v>
      </c>
      <c r="X111" s="242">
        <f t="shared" si="713"/>
        <v>0</v>
      </c>
      <c r="Y111" s="243">
        <f t="shared" si="746"/>
        <v>0</v>
      </c>
      <c r="Z111" s="242">
        <f t="shared" si="714"/>
        <v>0</v>
      </c>
      <c r="AA111" s="242">
        <f t="shared" si="715"/>
        <v>0</v>
      </c>
      <c r="AB111" s="242">
        <f t="shared" si="716"/>
        <v>0</v>
      </c>
      <c r="AC111" s="178">
        <f t="shared" ref="AC111:AC128" si="777">SUM(Z111:AB111)</f>
        <v>0</v>
      </c>
      <c r="AD111" s="17">
        <f t="shared" si="717"/>
        <v>0</v>
      </c>
      <c r="AF111" s="66" t="s">
        <v>42</v>
      </c>
      <c r="AG111" s="38">
        <f t="array" ref="AG111">SUM(IF((modeldata!$F:$F=calibration!$AF$106)*(modeldata!$G:$G=calibration!AG$108)*(modeldata!$H:$H=calibration!$AF111),modeldata!$E:$E,0))</f>
        <v>0</v>
      </c>
      <c r="AH111" s="242">
        <f t="array" ref="AH111">SUM(IF((modeldata!$F:$F=calibration!$AF$106)*(modeldata!$G:$G=calibration!AH$108)*(modeldata!$H:$H=calibration!$AF111),modeldata!$E:$E,0))</f>
        <v>0</v>
      </c>
      <c r="AI111" s="36">
        <f t="array" ref="AI111">SUM(IF((modeldata!$F:$F=calibration!$AF$106)*(modeldata!$G:$G=calibration!AI$108)*(modeldata!$H:$H=calibration!$AF111),modeldata!$E:$E,0))</f>
        <v>0</v>
      </c>
      <c r="AJ111" s="242">
        <f t="array" ref="AJ111">SUM(IF((modeldata!$F:$F=calibration!$AF$106)*(modeldata!$G:$G=calibration!AJ$108)*(modeldata!$H:$H=calibration!$AF111),modeldata!$E:$E,0))</f>
        <v>0</v>
      </c>
      <c r="AK111" s="242">
        <f t="array" ref="AK111">SUM(IF((modeldata!$F:$F=calibration!$AF$106)*(modeldata!$G:$G=calibration!AK$108)*(modeldata!$H:$H=calibration!$AF111),modeldata!$E:$E,0))</f>
        <v>0</v>
      </c>
      <c r="AL111" s="242">
        <f t="array" ref="AL111">SUM(IF((modeldata!$F:$F=calibration!$AF$106)*(modeldata!$G:$G=calibration!AL$108)*(modeldata!$H:$H=calibration!$AF111),modeldata!$E:$E,0))</f>
        <v>0</v>
      </c>
      <c r="AM111" s="242">
        <f t="array" ref="AM111">SUM(IF((modeldata!$F:$F=calibration!$AF$106)*(modeldata!$G:$G=calibration!AM$108)*(modeldata!$H:$H=calibration!$AF111),modeldata!$E:$E,0))</f>
        <v>0</v>
      </c>
      <c r="AN111" s="243">
        <f t="shared" si="747"/>
        <v>0</v>
      </c>
      <c r="AO111" s="242">
        <f t="array" ref="AO111">SUM(IF((modeldata!$F:$F=calibration!$AF$106)*(modeldata!$G:$G=calibration!AO$108)*(modeldata!$H:$H=calibration!$AF111),modeldata!$E:$E,0))</f>
        <v>0</v>
      </c>
      <c r="AP111" s="242">
        <f t="array" ref="AP111">SUM(IF((modeldata!$F:$F=calibration!$AF$106)*(modeldata!$G:$G=calibration!AP$108)*(modeldata!$H:$H=calibration!$AF111),modeldata!$E:$E,0))</f>
        <v>0</v>
      </c>
      <c r="AQ111" s="242">
        <f t="array" ref="AQ111">SUM(IF((modeldata!$F:$F=calibration!$AF$106)*(modeldata!$G:$G=calibration!AQ$108)*(modeldata!$H:$H=calibration!$AF111),modeldata!$E:$E,0))</f>
        <v>0</v>
      </c>
      <c r="AR111" s="178">
        <f t="shared" ref="AR111:AR125" si="778">SUM(AO111:AQ111)</f>
        <v>0</v>
      </c>
      <c r="AS111" s="17">
        <f t="shared" si="718"/>
        <v>0</v>
      </c>
      <c r="AU111" s="66" t="s">
        <v>42</v>
      </c>
      <c r="AV111" s="38">
        <f t="shared" ref="AV111:BG111" si="779">IF(R129&gt;0,R111/R129,0)</f>
        <v>0</v>
      </c>
      <c r="AW111" s="242">
        <f t="shared" si="779"/>
        <v>0</v>
      </c>
      <c r="AX111" s="36">
        <f t="shared" si="779"/>
        <v>0</v>
      </c>
      <c r="AY111" s="242">
        <f t="shared" si="779"/>
        <v>0</v>
      </c>
      <c r="AZ111" s="242">
        <f t="shared" si="779"/>
        <v>0</v>
      </c>
      <c r="BA111" s="242">
        <f t="shared" si="779"/>
        <v>0</v>
      </c>
      <c r="BB111" s="242">
        <f t="shared" si="779"/>
        <v>0</v>
      </c>
      <c r="BC111" s="243">
        <f t="shared" si="779"/>
        <v>0</v>
      </c>
      <c r="BD111" s="242">
        <f t="shared" si="779"/>
        <v>0</v>
      </c>
      <c r="BE111" s="242">
        <f t="shared" si="779"/>
        <v>0</v>
      </c>
      <c r="BF111" s="242">
        <f t="shared" si="779"/>
        <v>0</v>
      </c>
      <c r="BG111" s="178">
        <f t="shared" si="779"/>
        <v>0</v>
      </c>
      <c r="BH111" s="24" t="e">
        <f>AD111/AD129</f>
        <v>#DIV/0!</v>
      </c>
      <c r="BJ111" s="66" t="s">
        <v>42</v>
      </c>
      <c r="BK111" s="38">
        <f t="shared" ref="BK111:BV111" si="780">IF(AG129&gt;0,AG111/AG129,0)</f>
        <v>0</v>
      </c>
      <c r="BL111" s="242">
        <f t="shared" si="780"/>
        <v>0</v>
      </c>
      <c r="BM111" s="36">
        <f t="shared" si="780"/>
        <v>0</v>
      </c>
      <c r="BN111" s="242">
        <f t="shared" si="780"/>
        <v>0</v>
      </c>
      <c r="BO111" s="242">
        <f t="shared" si="780"/>
        <v>0</v>
      </c>
      <c r="BP111" s="242">
        <f t="shared" si="780"/>
        <v>0</v>
      </c>
      <c r="BQ111" s="242">
        <f t="shared" si="780"/>
        <v>0</v>
      </c>
      <c r="BR111" s="243">
        <f t="shared" si="780"/>
        <v>0</v>
      </c>
      <c r="BS111" s="242">
        <f t="shared" si="780"/>
        <v>0</v>
      </c>
      <c r="BT111" s="242">
        <f t="shared" si="780"/>
        <v>0</v>
      </c>
      <c r="BU111" s="242">
        <f t="shared" si="780"/>
        <v>0</v>
      </c>
      <c r="BV111" s="178">
        <f t="shared" si="780"/>
        <v>0</v>
      </c>
      <c r="BW111" s="24" t="e">
        <f>AS111/AS129</f>
        <v>#DIV/0!</v>
      </c>
      <c r="BX111" s="24"/>
      <c r="BY111" s="66" t="s">
        <v>42</v>
      </c>
      <c r="BZ111" s="54">
        <f t="shared" si="750"/>
        <v>0</v>
      </c>
      <c r="CA111" s="55">
        <f t="shared" si="721"/>
        <v>0</v>
      </c>
      <c r="CB111" s="58">
        <f t="shared" si="722"/>
        <v>0</v>
      </c>
      <c r="CC111" s="55">
        <f t="shared" si="723"/>
        <v>0</v>
      </c>
      <c r="CD111" s="55">
        <f t="shared" si="724"/>
        <v>0</v>
      </c>
      <c r="CE111" s="55">
        <f t="shared" si="725"/>
        <v>0</v>
      </c>
      <c r="CF111" s="55">
        <f t="shared" si="726"/>
        <v>0</v>
      </c>
      <c r="CG111" s="246">
        <f t="shared" si="727"/>
        <v>0</v>
      </c>
      <c r="CH111" s="55">
        <f t="shared" si="728"/>
        <v>0</v>
      </c>
      <c r="CI111" s="55">
        <f t="shared" si="729"/>
        <v>0</v>
      </c>
      <c r="CJ111" s="55">
        <f t="shared" si="730"/>
        <v>0</v>
      </c>
      <c r="CK111" s="249">
        <f t="shared" si="730"/>
        <v>0</v>
      </c>
      <c r="CL111" s="55">
        <f t="shared" si="731"/>
        <v>0</v>
      </c>
      <c r="CN111" s="66" t="s">
        <v>42</v>
      </c>
      <c r="CO111" s="54">
        <f t="shared" si="751"/>
        <v>0</v>
      </c>
      <c r="CP111" s="55">
        <f t="shared" si="732"/>
        <v>0</v>
      </c>
      <c r="CQ111" s="58">
        <f t="shared" si="733"/>
        <v>0</v>
      </c>
      <c r="CR111" s="55">
        <f t="shared" si="734"/>
        <v>0</v>
      </c>
      <c r="CS111" s="55">
        <f t="shared" si="735"/>
        <v>0</v>
      </c>
      <c r="CT111" s="55">
        <f t="shared" si="736"/>
        <v>0</v>
      </c>
      <c r="CU111" s="55">
        <f t="shared" si="737"/>
        <v>0</v>
      </c>
      <c r="CV111" s="246">
        <f t="shared" si="738"/>
        <v>0</v>
      </c>
      <c r="CW111" s="55">
        <f t="shared" si="739"/>
        <v>0</v>
      </c>
      <c r="CX111" s="55">
        <f t="shared" si="740"/>
        <v>0</v>
      </c>
      <c r="CY111" s="55">
        <f t="shared" si="741"/>
        <v>0</v>
      </c>
      <c r="CZ111" s="249">
        <f t="shared" si="741"/>
        <v>0</v>
      </c>
      <c r="DA111" s="62" t="e">
        <f t="shared" si="742"/>
        <v>#DIV/0!</v>
      </c>
      <c r="DC111" s="66" t="s">
        <v>42</v>
      </c>
      <c r="DD111" s="198">
        <f t="shared" si="752"/>
        <v>0</v>
      </c>
      <c r="DE111" s="199">
        <f t="shared" si="753"/>
        <v>0</v>
      </c>
      <c r="DF111" s="198">
        <f t="shared" si="754"/>
        <v>0</v>
      </c>
      <c r="DG111" s="199">
        <f t="shared" si="755"/>
        <v>0</v>
      </c>
      <c r="DH111" s="193">
        <f t="shared" si="756"/>
        <v>0</v>
      </c>
      <c r="DI111" s="194">
        <f t="shared" si="757"/>
        <v>0</v>
      </c>
      <c r="DJ111" s="198">
        <f t="shared" si="758"/>
        <v>0</v>
      </c>
      <c r="DK111" s="199">
        <f t="shared" si="759"/>
        <v>0</v>
      </c>
      <c r="DL111" s="198">
        <f t="shared" si="760"/>
        <v>0</v>
      </c>
      <c r="DM111" s="199">
        <f t="shared" si="761"/>
        <v>0</v>
      </c>
      <c r="DN111" s="198">
        <f t="shared" si="762"/>
        <v>0</v>
      </c>
      <c r="DO111" s="199">
        <f t="shared" si="763"/>
        <v>0</v>
      </c>
      <c r="DP111" s="198">
        <f t="shared" si="764"/>
        <v>0</v>
      </c>
      <c r="DQ111" s="199">
        <f t="shared" si="765"/>
        <v>0</v>
      </c>
      <c r="DR111" s="198">
        <f t="shared" si="766"/>
        <v>0</v>
      </c>
      <c r="DS111" s="199">
        <f t="shared" si="767"/>
        <v>0</v>
      </c>
      <c r="DT111" s="198">
        <f t="shared" si="768"/>
        <v>0</v>
      </c>
      <c r="DU111" s="199">
        <f t="shared" si="769"/>
        <v>0</v>
      </c>
      <c r="DV111" s="198">
        <f t="shared" si="770"/>
        <v>0</v>
      </c>
      <c r="DW111" s="199">
        <f t="shared" si="771"/>
        <v>0</v>
      </c>
      <c r="DX111" s="198">
        <f t="shared" si="772"/>
        <v>0</v>
      </c>
      <c r="DY111" s="199">
        <f t="shared" si="773"/>
        <v>0</v>
      </c>
      <c r="DZ111" s="190">
        <f t="shared" si="774"/>
        <v>0</v>
      </c>
      <c r="EA111" s="199">
        <f t="shared" si="743"/>
        <v>0</v>
      </c>
      <c r="EB111" s="190" t="e">
        <f t="shared" si="775"/>
        <v>#DIV/0!</v>
      </c>
      <c r="EC111" s="190" t="e">
        <f t="shared" si="776"/>
        <v>#DIV/0!</v>
      </c>
    </row>
    <row r="112" spans="1:133" x14ac:dyDescent="0.2">
      <c r="A112" s="66" t="s">
        <v>2</v>
      </c>
      <c r="B112" s="38">
        <f>targets!AW105</f>
        <v>73932.884690207356</v>
      </c>
      <c r="C112" s="242">
        <f>targets!AX105</f>
        <v>81499.475162655945</v>
      </c>
      <c r="D112" s="242">
        <f>targets!AY105</f>
        <v>47467.351624352217</v>
      </c>
      <c r="E112" s="36">
        <f>targets!AZ105</f>
        <v>2059207.8689737492</v>
      </c>
      <c r="F112" s="242">
        <f>targets!BA105</f>
        <v>10774.257533970451</v>
      </c>
      <c r="G112" s="242">
        <f>SUM(targets!BB105:BG105)</f>
        <v>67195.406071536287</v>
      </c>
      <c r="H112" s="242">
        <f>SUM(targets!BH105:BM105)</f>
        <v>0</v>
      </c>
      <c r="I112" s="243">
        <f t="shared" si="744"/>
        <v>67195.406071536287</v>
      </c>
      <c r="J112" s="242">
        <f>targets!BN105</f>
        <v>588.2710109388413</v>
      </c>
      <c r="K112" s="242">
        <f>targets!BO105</f>
        <v>3120.6018016510247</v>
      </c>
      <c r="L112" s="242">
        <f>targets!BP105</f>
        <v>437.85909870668519</v>
      </c>
      <c r="M112" s="178">
        <f t="shared" si="745"/>
        <v>4146.7319112965515</v>
      </c>
      <c r="N112" s="17">
        <f t="shared" si="706"/>
        <v>2344223.9759677681</v>
      </c>
      <c r="O112" s="17"/>
      <c r="P112" s="17"/>
      <c r="Q112" s="66" t="s">
        <v>2</v>
      </c>
      <c r="R112" s="38">
        <f t="shared" si="707"/>
        <v>0</v>
      </c>
      <c r="S112" s="242">
        <f t="shared" si="708"/>
        <v>0</v>
      </c>
      <c r="T112" s="242">
        <f t="shared" si="709"/>
        <v>0</v>
      </c>
      <c r="U112" s="36">
        <f t="shared" si="710"/>
        <v>0</v>
      </c>
      <c r="V112" s="242">
        <f t="shared" si="711"/>
        <v>0</v>
      </c>
      <c r="W112" s="242">
        <f t="shared" si="712"/>
        <v>0</v>
      </c>
      <c r="X112" s="242">
        <f t="shared" si="713"/>
        <v>0</v>
      </c>
      <c r="Y112" s="243">
        <f t="shared" si="746"/>
        <v>0</v>
      </c>
      <c r="Z112" s="242">
        <f t="shared" si="714"/>
        <v>0</v>
      </c>
      <c r="AA112" s="242">
        <f t="shared" si="715"/>
        <v>0</v>
      </c>
      <c r="AB112" s="242">
        <f t="shared" si="716"/>
        <v>0</v>
      </c>
      <c r="AC112" s="178">
        <f t="shared" si="777"/>
        <v>0</v>
      </c>
      <c r="AD112" s="17">
        <f t="shared" si="717"/>
        <v>0</v>
      </c>
      <c r="AF112" s="66" t="s">
        <v>2</v>
      </c>
      <c r="AG112" s="38">
        <f t="array" ref="AG112">SUM(IF((modeldata!$F:$F=calibration!$AF$106)*(modeldata!$G:$G=calibration!AG$108)*(modeldata!$H:$H=calibration!$AF112),modeldata!$E:$E,0))</f>
        <v>0</v>
      </c>
      <c r="AH112" s="242">
        <f t="array" ref="AH112">SUM(IF((modeldata!$F:$F=calibration!$AF$106)*(modeldata!$G:$G=calibration!AH$108)*(modeldata!$H:$H=calibration!$AF112),modeldata!$E:$E,0))</f>
        <v>0</v>
      </c>
      <c r="AI112" s="242">
        <f t="array" ref="AI112">SUM(IF((modeldata!$F:$F=calibration!$AF$106)*(modeldata!$G:$G=calibration!AI$108)*(modeldata!$H:$H=calibration!$AF112),modeldata!$E:$E,0))</f>
        <v>0</v>
      </c>
      <c r="AJ112" s="36">
        <f t="array" ref="AJ112">SUM(IF((modeldata!$F:$F=calibration!$AF$106)*(modeldata!$G:$G=calibration!AJ$108)*(modeldata!$H:$H=calibration!$AF112),modeldata!$E:$E,0))</f>
        <v>0</v>
      </c>
      <c r="AK112" s="242">
        <f t="array" ref="AK112">SUM(IF((modeldata!$F:$F=calibration!$AF$106)*(modeldata!$G:$G=calibration!AK$108)*(modeldata!$H:$H=calibration!$AF112),modeldata!$E:$E,0))</f>
        <v>0</v>
      </c>
      <c r="AL112" s="242">
        <f t="array" ref="AL112">SUM(IF((modeldata!$F:$F=calibration!$AF$106)*(modeldata!$G:$G=calibration!AL$108)*(modeldata!$H:$H=calibration!$AF112),modeldata!$E:$E,0))</f>
        <v>0</v>
      </c>
      <c r="AM112" s="242">
        <f t="array" ref="AM112">SUM(IF((modeldata!$F:$F=calibration!$AF$106)*(modeldata!$G:$G=calibration!AM$108)*(modeldata!$H:$H=calibration!$AF112),modeldata!$E:$E,0))</f>
        <v>0</v>
      </c>
      <c r="AN112" s="243">
        <f t="shared" si="747"/>
        <v>0</v>
      </c>
      <c r="AO112" s="242">
        <f t="array" ref="AO112">SUM(IF((modeldata!$F:$F=calibration!$AF$106)*(modeldata!$G:$G=calibration!AO$108)*(modeldata!$H:$H=calibration!$AF112),modeldata!$E:$E,0))</f>
        <v>0</v>
      </c>
      <c r="AP112" s="242">
        <f t="array" ref="AP112">SUM(IF((modeldata!$F:$F=calibration!$AF$106)*(modeldata!$G:$G=calibration!AP$108)*(modeldata!$H:$H=calibration!$AF112),modeldata!$E:$E,0))</f>
        <v>0</v>
      </c>
      <c r="AQ112" s="242">
        <f t="array" ref="AQ112">SUM(IF((modeldata!$F:$F=calibration!$AF$106)*(modeldata!$G:$G=calibration!AQ$108)*(modeldata!$H:$H=calibration!$AF112),modeldata!$E:$E,0))</f>
        <v>0</v>
      </c>
      <c r="AR112" s="178">
        <f t="shared" si="778"/>
        <v>0</v>
      </c>
      <c r="AS112" s="17">
        <f t="shared" si="718"/>
        <v>0</v>
      </c>
      <c r="AU112" s="66" t="s">
        <v>2</v>
      </c>
      <c r="AV112" s="38">
        <f t="shared" ref="AV112:BG112" si="781">IF(R129&gt;0,R112/R129,0)</f>
        <v>0</v>
      </c>
      <c r="AW112" s="242">
        <f t="shared" si="781"/>
        <v>0</v>
      </c>
      <c r="AX112" s="242">
        <f t="shared" si="781"/>
        <v>0</v>
      </c>
      <c r="AY112" s="36">
        <f t="shared" si="781"/>
        <v>0</v>
      </c>
      <c r="AZ112" s="242">
        <f t="shared" si="781"/>
        <v>0</v>
      </c>
      <c r="BA112" s="242">
        <f t="shared" si="781"/>
        <v>0</v>
      </c>
      <c r="BB112" s="242">
        <f t="shared" si="781"/>
        <v>0</v>
      </c>
      <c r="BC112" s="243">
        <f t="shared" si="781"/>
        <v>0</v>
      </c>
      <c r="BD112" s="242">
        <f t="shared" si="781"/>
        <v>0</v>
      </c>
      <c r="BE112" s="242">
        <f t="shared" si="781"/>
        <v>0</v>
      </c>
      <c r="BF112" s="242">
        <f t="shared" si="781"/>
        <v>0</v>
      </c>
      <c r="BG112" s="178">
        <f t="shared" si="781"/>
        <v>0</v>
      </c>
      <c r="BH112" s="24" t="e">
        <f>AD112/AD129</f>
        <v>#DIV/0!</v>
      </c>
      <c r="BJ112" s="66" t="s">
        <v>2</v>
      </c>
      <c r="BK112" s="38">
        <f t="shared" ref="BK112:BV112" si="782">IF(AG129&gt;0,AG112/AG129,0)</f>
        <v>0</v>
      </c>
      <c r="BL112" s="242">
        <f t="shared" si="782"/>
        <v>0</v>
      </c>
      <c r="BM112" s="242">
        <f t="shared" si="782"/>
        <v>0</v>
      </c>
      <c r="BN112" s="36">
        <f t="shared" si="782"/>
        <v>0</v>
      </c>
      <c r="BO112" s="242">
        <f t="shared" si="782"/>
        <v>0</v>
      </c>
      <c r="BP112" s="242">
        <f t="shared" si="782"/>
        <v>0</v>
      </c>
      <c r="BQ112" s="242">
        <f t="shared" si="782"/>
        <v>0</v>
      </c>
      <c r="BR112" s="243">
        <f t="shared" si="782"/>
        <v>0</v>
      </c>
      <c r="BS112" s="242">
        <f t="shared" si="782"/>
        <v>0</v>
      </c>
      <c r="BT112" s="242">
        <f t="shared" si="782"/>
        <v>0</v>
      </c>
      <c r="BU112" s="242">
        <f t="shared" si="782"/>
        <v>0</v>
      </c>
      <c r="BV112" s="178">
        <f t="shared" si="782"/>
        <v>0</v>
      </c>
      <c r="BW112" s="24" t="e">
        <f>AS112/AS129</f>
        <v>#DIV/0!</v>
      </c>
      <c r="BX112" s="24"/>
      <c r="BY112" s="66" t="s">
        <v>2</v>
      </c>
      <c r="BZ112" s="54">
        <f t="shared" si="750"/>
        <v>0</v>
      </c>
      <c r="CA112" s="55">
        <f t="shared" si="721"/>
        <v>0</v>
      </c>
      <c r="CB112" s="55">
        <f t="shared" si="722"/>
        <v>0</v>
      </c>
      <c r="CC112" s="58">
        <f t="shared" si="723"/>
        <v>0</v>
      </c>
      <c r="CD112" s="55">
        <f t="shared" si="724"/>
        <v>0</v>
      </c>
      <c r="CE112" s="55">
        <f t="shared" si="725"/>
        <v>0</v>
      </c>
      <c r="CF112" s="55">
        <f t="shared" si="726"/>
        <v>0</v>
      </c>
      <c r="CG112" s="246">
        <f t="shared" si="727"/>
        <v>0</v>
      </c>
      <c r="CH112" s="55">
        <f t="shared" si="728"/>
        <v>0</v>
      </c>
      <c r="CI112" s="55">
        <f t="shared" si="729"/>
        <v>0</v>
      </c>
      <c r="CJ112" s="55">
        <f t="shared" si="730"/>
        <v>0</v>
      </c>
      <c r="CK112" s="249">
        <f t="shared" si="730"/>
        <v>0</v>
      </c>
      <c r="CL112" s="55">
        <f t="shared" si="731"/>
        <v>0</v>
      </c>
      <c r="CN112" s="66" t="s">
        <v>2</v>
      </c>
      <c r="CO112" s="54">
        <f t="shared" si="751"/>
        <v>0</v>
      </c>
      <c r="CP112" s="55">
        <f t="shared" si="732"/>
        <v>0</v>
      </c>
      <c r="CQ112" s="55">
        <f t="shared" si="733"/>
        <v>0</v>
      </c>
      <c r="CR112" s="58">
        <f t="shared" si="734"/>
        <v>0</v>
      </c>
      <c r="CS112" s="55">
        <f t="shared" si="735"/>
        <v>0</v>
      </c>
      <c r="CT112" s="55">
        <f t="shared" si="736"/>
        <v>0</v>
      </c>
      <c r="CU112" s="55">
        <f t="shared" si="737"/>
        <v>0</v>
      </c>
      <c r="CV112" s="246">
        <f t="shared" si="738"/>
        <v>0</v>
      </c>
      <c r="CW112" s="55">
        <f t="shared" si="739"/>
        <v>0</v>
      </c>
      <c r="CX112" s="55">
        <f t="shared" si="740"/>
        <v>0</v>
      </c>
      <c r="CY112" s="55">
        <f t="shared" si="741"/>
        <v>0</v>
      </c>
      <c r="CZ112" s="249">
        <f t="shared" si="741"/>
        <v>0</v>
      </c>
      <c r="DA112" s="62" t="e">
        <f t="shared" si="742"/>
        <v>#DIV/0!</v>
      </c>
      <c r="DC112" s="66" t="s">
        <v>2</v>
      </c>
      <c r="DD112" s="198">
        <f t="shared" si="752"/>
        <v>0</v>
      </c>
      <c r="DE112" s="199">
        <f t="shared" si="753"/>
        <v>0</v>
      </c>
      <c r="DF112" s="198">
        <f t="shared" si="754"/>
        <v>0</v>
      </c>
      <c r="DG112" s="199">
        <f t="shared" si="755"/>
        <v>0</v>
      </c>
      <c r="DH112" s="198">
        <f t="shared" si="756"/>
        <v>0</v>
      </c>
      <c r="DI112" s="199">
        <f t="shared" si="757"/>
        <v>0</v>
      </c>
      <c r="DJ112" s="193">
        <f t="shared" si="758"/>
        <v>0</v>
      </c>
      <c r="DK112" s="194">
        <f t="shared" si="759"/>
        <v>0</v>
      </c>
      <c r="DL112" s="198">
        <f t="shared" si="760"/>
        <v>0</v>
      </c>
      <c r="DM112" s="199">
        <f t="shared" si="761"/>
        <v>0</v>
      </c>
      <c r="DN112" s="198">
        <f t="shared" si="762"/>
        <v>0</v>
      </c>
      <c r="DO112" s="199">
        <f t="shared" si="763"/>
        <v>0</v>
      </c>
      <c r="DP112" s="198">
        <f t="shared" si="764"/>
        <v>0</v>
      </c>
      <c r="DQ112" s="199">
        <f t="shared" si="765"/>
        <v>0</v>
      </c>
      <c r="DR112" s="198">
        <f t="shared" si="766"/>
        <v>0</v>
      </c>
      <c r="DS112" s="199">
        <f t="shared" si="767"/>
        <v>0</v>
      </c>
      <c r="DT112" s="198">
        <f t="shared" si="768"/>
        <v>0</v>
      </c>
      <c r="DU112" s="199">
        <f t="shared" si="769"/>
        <v>0</v>
      </c>
      <c r="DV112" s="198">
        <f t="shared" si="770"/>
        <v>0</v>
      </c>
      <c r="DW112" s="199">
        <f t="shared" si="771"/>
        <v>0</v>
      </c>
      <c r="DX112" s="198">
        <f t="shared" si="772"/>
        <v>0</v>
      </c>
      <c r="DY112" s="199">
        <f t="shared" si="773"/>
        <v>0</v>
      </c>
      <c r="DZ112" s="190">
        <f t="shared" si="774"/>
        <v>0</v>
      </c>
      <c r="EA112" s="199">
        <f t="shared" si="743"/>
        <v>0</v>
      </c>
      <c r="EB112" s="190" t="e">
        <f t="shared" si="775"/>
        <v>#DIV/0!</v>
      </c>
      <c r="EC112" s="190" t="e">
        <f t="shared" si="776"/>
        <v>#DIV/0!</v>
      </c>
    </row>
    <row r="113" spans="1:133" x14ac:dyDescent="0.2">
      <c r="A113" s="66" t="s">
        <v>3</v>
      </c>
      <c r="B113" s="38">
        <f>targets!AW106</f>
        <v>0</v>
      </c>
      <c r="C113" s="242">
        <f>targets!AX106</f>
        <v>0</v>
      </c>
      <c r="D113" s="242">
        <f>targets!AY106</f>
        <v>0</v>
      </c>
      <c r="E113" s="242">
        <f>targets!AZ106</f>
        <v>0</v>
      </c>
      <c r="F113" s="36">
        <f>targets!BA106</f>
        <v>164932.91486768174</v>
      </c>
      <c r="G113" s="242">
        <f>SUM(targets!BB106:BG106)</f>
        <v>0</v>
      </c>
      <c r="H113" s="242">
        <f>SUM(targets!BH106:BM106)</f>
        <v>0</v>
      </c>
      <c r="I113" s="243">
        <f t="shared" si="744"/>
        <v>0</v>
      </c>
      <c r="J113" s="242">
        <f>targets!BN106</f>
        <v>0</v>
      </c>
      <c r="K113" s="242">
        <f>targets!BO106</f>
        <v>0</v>
      </c>
      <c r="L113" s="242">
        <f>targets!BP106</f>
        <v>0</v>
      </c>
      <c r="M113" s="178">
        <f t="shared" si="745"/>
        <v>0</v>
      </c>
      <c r="N113" s="17">
        <f t="shared" si="706"/>
        <v>164932.91486768174</v>
      </c>
      <c r="O113" s="17"/>
      <c r="P113" s="17"/>
      <c r="Q113" s="66" t="s">
        <v>3</v>
      </c>
      <c r="R113" s="38">
        <f t="shared" si="707"/>
        <v>0</v>
      </c>
      <c r="S113" s="242">
        <f t="shared" si="708"/>
        <v>0</v>
      </c>
      <c r="T113" s="242">
        <f t="shared" si="709"/>
        <v>0</v>
      </c>
      <c r="U113" s="242">
        <f t="shared" si="710"/>
        <v>0</v>
      </c>
      <c r="V113" s="36">
        <f t="shared" si="711"/>
        <v>0</v>
      </c>
      <c r="W113" s="242">
        <f t="shared" si="712"/>
        <v>0</v>
      </c>
      <c r="X113" s="242">
        <f t="shared" si="713"/>
        <v>0</v>
      </c>
      <c r="Y113" s="243">
        <f t="shared" si="746"/>
        <v>0</v>
      </c>
      <c r="Z113" s="242">
        <f t="shared" si="714"/>
        <v>0</v>
      </c>
      <c r="AA113" s="242">
        <f t="shared" si="715"/>
        <v>0</v>
      </c>
      <c r="AB113" s="242">
        <f t="shared" si="716"/>
        <v>0</v>
      </c>
      <c r="AC113" s="178">
        <f t="shared" si="777"/>
        <v>0</v>
      </c>
      <c r="AD113" s="17">
        <f t="shared" si="717"/>
        <v>0</v>
      </c>
      <c r="AF113" s="66" t="s">
        <v>3</v>
      </c>
      <c r="AG113" s="38">
        <f t="array" ref="AG113">SUM(IF((modeldata!$F:$F=calibration!$AF$106)*(modeldata!$G:$G=calibration!AG$108)*(modeldata!$H:$H=calibration!$AF113),modeldata!$E:$E,0))</f>
        <v>0</v>
      </c>
      <c r="AH113" s="242">
        <f t="array" ref="AH113">SUM(IF((modeldata!$F:$F=calibration!$AF$106)*(modeldata!$G:$G=calibration!AH$108)*(modeldata!$H:$H=calibration!$AF113),modeldata!$E:$E,0))</f>
        <v>0</v>
      </c>
      <c r="AI113" s="242">
        <f t="array" ref="AI113">SUM(IF((modeldata!$F:$F=calibration!$AF$106)*(modeldata!$G:$G=calibration!AI$108)*(modeldata!$H:$H=calibration!$AF113),modeldata!$E:$E,0))</f>
        <v>0</v>
      </c>
      <c r="AJ113" s="242">
        <f t="array" ref="AJ113">SUM(IF((modeldata!$F:$F=calibration!$AF$106)*(modeldata!$G:$G=calibration!AJ$108)*(modeldata!$H:$H=calibration!$AF113),modeldata!$E:$E,0))</f>
        <v>0</v>
      </c>
      <c r="AK113" s="36">
        <f t="array" ref="AK113">SUM(IF((modeldata!$F:$F=calibration!$AF$106)*(modeldata!$G:$G=calibration!AK$108)*(modeldata!$H:$H=calibration!$AF113),modeldata!$E:$E,0))</f>
        <v>0</v>
      </c>
      <c r="AL113" s="242">
        <f t="array" ref="AL113">SUM(IF((modeldata!$F:$F=calibration!$AF$106)*(modeldata!$G:$G=calibration!AL$108)*(modeldata!$H:$H=calibration!$AF113),modeldata!$E:$E,0))</f>
        <v>0</v>
      </c>
      <c r="AM113" s="242">
        <f t="array" ref="AM113">SUM(IF((modeldata!$F:$F=calibration!$AF$106)*(modeldata!$G:$G=calibration!AM$108)*(modeldata!$H:$H=calibration!$AF113),modeldata!$E:$E,0))</f>
        <v>0</v>
      </c>
      <c r="AN113" s="243">
        <f t="shared" si="747"/>
        <v>0</v>
      </c>
      <c r="AO113" s="242">
        <f t="array" ref="AO113">SUM(IF((modeldata!$F:$F=calibration!$AF$106)*(modeldata!$G:$G=calibration!AO$108)*(modeldata!$H:$H=calibration!$AF113),modeldata!$E:$E,0))</f>
        <v>0</v>
      </c>
      <c r="AP113" s="242">
        <f t="array" ref="AP113">SUM(IF((modeldata!$F:$F=calibration!$AF$106)*(modeldata!$G:$G=calibration!AP$108)*(modeldata!$H:$H=calibration!$AF113),modeldata!$E:$E,0))</f>
        <v>0</v>
      </c>
      <c r="AQ113" s="242">
        <f t="array" ref="AQ113">SUM(IF((modeldata!$F:$F=calibration!$AF$106)*(modeldata!$G:$G=calibration!AQ$108)*(modeldata!$H:$H=calibration!$AF113),modeldata!$E:$E,0))</f>
        <v>0</v>
      </c>
      <c r="AR113" s="178">
        <f t="shared" si="778"/>
        <v>0</v>
      </c>
      <c r="AS113" s="17">
        <f t="shared" si="718"/>
        <v>0</v>
      </c>
      <c r="AU113" s="66" t="s">
        <v>3</v>
      </c>
      <c r="AV113" s="38">
        <f t="shared" ref="AV113:BG113" si="783">IF(R129&gt;0,R113/R129,0)</f>
        <v>0</v>
      </c>
      <c r="AW113" s="242">
        <f t="shared" si="783"/>
        <v>0</v>
      </c>
      <c r="AX113" s="242">
        <f t="shared" si="783"/>
        <v>0</v>
      </c>
      <c r="AY113" s="242">
        <f t="shared" si="783"/>
        <v>0</v>
      </c>
      <c r="AZ113" s="36">
        <f t="shared" si="783"/>
        <v>0</v>
      </c>
      <c r="BA113" s="242">
        <f t="shared" si="783"/>
        <v>0</v>
      </c>
      <c r="BB113" s="242">
        <f t="shared" si="783"/>
        <v>0</v>
      </c>
      <c r="BC113" s="243">
        <f t="shared" si="783"/>
        <v>0</v>
      </c>
      <c r="BD113" s="242">
        <f t="shared" si="783"/>
        <v>0</v>
      </c>
      <c r="BE113" s="242">
        <f t="shared" si="783"/>
        <v>0</v>
      </c>
      <c r="BF113" s="242">
        <f t="shared" si="783"/>
        <v>0</v>
      </c>
      <c r="BG113" s="178">
        <f t="shared" si="783"/>
        <v>0</v>
      </c>
      <c r="BH113" s="24" t="e">
        <f>AD113/AD129</f>
        <v>#DIV/0!</v>
      </c>
      <c r="BJ113" s="66" t="s">
        <v>3</v>
      </c>
      <c r="BK113" s="38">
        <f t="shared" ref="BK113:BV113" si="784">IF(AG129&gt;0,AG113/AG129,0)</f>
        <v>0</v>
      </c>
      <c r="BL113" s="242">
        <f t="shared" si="784"/>
        <v>0</v>
      </c>
      <c r="BM113" s="242">
        <f t="shared" si="784"/>
        <v>0</v>
      </c>
      <c r="BN113" s="242">
        <f t="shared" si="784"/>
        <v>0</v>
      </c>
      <c r="BO113" s="36">
        <f t="shared" si="784"/>
        <v>0</v>
      </c>
      <c r="BP113" s="242">
        <f t="shared" si="784"/>
        <v>0</v>
      </c>
      <c r="BQ113" s="242">
        <f t="shared" si="784"/>
        <v>0</v>
      </c>
      <c r="BR113" s="243">
        <f t="shared" si="784"/>
        <v>0</v>
      </c>
      <c r="BS113" s="242">
        <f t="shared" si="784"/>
        <v>0</v>
      </c>
      <c r="BT113" s="242">
        <f t="shared" si="784"/>
        <v>0</v>
      </c>
      <c r="BU113" s="242">
        <f t="shared" si="784"/>
        <v>0</v>
      </c>
      <c r="BV113" s="178">
        <f t="shared" si="784"/>
        <v>0</v>
      </c>
      <c r="BW113" s="24" t="e">
        <f>AS113/AS129</f>
        <v>#DIV/0!</v>
      </c>
      <c r="BX113" s="24"/>
      <c r="BY113" s="66" t="s">
        <v>3</v>
      </c>
      <c r="BZ113" s="54">
        <f t="shared" si="750"/>
        <v>0</v>
      </c>
      <c r="CA113" s="55">
        <f t="shared" si="721"/>
        <v>0</v>
      </c>
      <c r="CB113" s="55">
        <f t="shared" si="722"/>
        <v>0</v>
      </c>
      <c r="CC113" s="55">
        <f t="shared" si="723"/>
        <v>0</v>
      </c>
      <c r="CD113" s="58">
        <f t="shared" si="724"/>
        <v>0</v>
      </c>
      <c r="CE113" s="55">
        <f t="shared" si="725"/>
        <v>0</v>
      </c>
      <c r="CF113" s="55">
        <f t="shared" si="726"/>
        <v>0</v>
      </c>
      <c r="CG113" s="246">
        <f t="shared" si="727"/>
        <v>0</v>
      </c>
      <c r="CH113" s="55">
        <f t="shared" si="728"/>
        <v>0</v>
      </c>
      <c r="CI113" s="55">
        <f t="shared" si="729"/>
        <v>0</v>
      </c>
      <c r="CJ113" s="55">
        <f t="shared" si="730"/>
        <v>0</v>
      </c>
      <c r="CK113" s="249">
        <f t="shared" si="730"/>
        <v>0</v>
      </c>
      <c r="CL113" s="55">
        <f t="shared" si="731"/>
        <v>0</v>
      </c>
      <c r="CN113" s="66" t="s">
        <v>3</v>
      </c>
      <c r="CO113" s="54">
        <f t="shared" si="751"/>
        <v>0</v>
      </c>
      <c r="CP113" s="55">
        <f t="shared" si="732"/>
        <v>0</v>
      </c>
      <c r="CQ113" s="55">
        <f t="shared" si="733"/>
        <v>0</v>
      </c>
      <c r="CR113" s="55">
        <f t="shared" si="734"/>
        <v>0</v>
      </c>
      <c r="CS113" s="58">
        <f t="shared" si="735"/>
        <v>0</v>
      </c>
      <c r="CT113" s="55">
        <f t="shared" si="736"/>
        <v>0</v>
      </c>
      <c r="CU113" s="55">
        <f t="shared" si="737"/>
        <v>0</v>
      </c>
      <c r="CV113" s="246">
        <f t="shared" si="738"/>
        <v>0</v>
      </c>
      <c r="CW113" s="55">
        <f t="shared" si="739"/>
        <v>0</v>
      </c>
      <c r="CX113" s="55">
        <f t="shared" si="740"/>
        <v>0</v>
      </c>
      <c r="CY113" s="55">
        <f t="shared" si="741"/>
        <v>0</v>
      </c>
      <c r="CZ113" s="249">
        <f t="shared" si="741"/>
        <v>0</v>
      </c>
      <c r="DA113" s="62" t="e">
        <f t="shared" si="742"/>
        <v>#DIV/0!</v>
      </c>
      <c r="DC113" s="66" t="s">
        <v>3</v>
      </c>
      <c r="DD113" s="198">
        <f t="shared" si="752"/>
        <v>0</v>
      </c>
      <c r="DE113" s="199">
        <f t="shared" si="753"/>
        <v>0</v>
      </c>
      <c r="DF113" s="198">
        <f t="shared" si="754"/>
        <v>0</v>
      </c>
      <c r="DG113" s="199">
        <f t="shared" si="755"/>
        <v>0</v>
      </c>
      <c r="DH113" s="198">
        <f t="shared" si="756"/>
        <v>0</v>
      </c>
      <c r="DI113" s="199">
        <f t="shared" si="757"/>
        <v>0</v>
      </c>
      <c r="DJ113" s="198">
        <f t="shared" si="758"/>
        <v>0</v>
      </c>
      <c r="DK113" s="199">
        <f t="shared" si="759"/>
        <v>0</v>
      </c>
      <c r="DL113" s="193">
        <f t="shared" si="760"/>
        <v>0</v>
      </c>
      <c r="DM113" s="194">
        <f t="shared" si="761"/>
        <v>0</v>
      </c>
      <c r="DN113" s="198">
        <f t="shared" si="762"/>
        <v>0</v>
      </c>
      <c r="DO113" s="199">
        <f t="shared" si="763"/>
        <v>0</v>
      </c>
      <c r="DP113" s="198">
        <f t="shared" si="764"/>
        <v>0</v>
      </c>
      <c r="DQ113" s="199">
        <f t="shared" si="765"/>
        <v>0</v>
      </c>
      <c r="DR113" s="198">
        <f t="shared" si="766"/>
        <v>0</v>
      </c>
      <c r="DS113" s="199">
        <f t="shared" si="767"/>
        <v>0</v>
      </c>
      <c r="DT113" s="198">
        <f t="shared" si="768"/>
        <v>0</v>
      </c>
      <c r="DU113" s="199">
        <f t="shared" si="769"/>
        <v>0</v>
      </c>
      <c r="DV113" s="198">
        <f t="shared" si="770"/>
        <v>0</v>
      </c>
      <c r="DW113" s="199">
        <f t="shared" si="771"/>
        <v>0</v>
      </c>
      <c r="DX113" s="198">
        <f t="shared" si="772"/>
        <v>0</v>
      </c>
      <c r="DY113" s="199">
        <f t="shared" si="773"/>
        <v>0</v>
      </c>
      <c r="DZ113" s="190">
        <f t="shared" si="774"/>
        <v>0</v>
      </c>
      <c r="EA113" s="199">
        <f t="shared" si="743"/>
        <v>0</v>
      </c>
      <c r="EB113" s="190" t="e">
        <f t="shared" si="775"/>
        <v>#DIV/0!</v>
      </c>
      <c r="EC113" s="190" t="e">
        <f t="shared" si="776"/>
        <v>#DIV/0!</v>
      </c>
    </row>
    <row r="114" spans="1:133" x14ac:dyDescent="0.2">
      <c r="A114" s="66" t="s">
        <v>5</v>
      </c>
      <c r="B114" s="38">
        <f>targets!AW107</f>
        <v>0</v>
      </c>
      <c r="C114" s="242">
        <f>targets!AX107</f>
        <v>0</v>
      </c>
      <c r="D114" s="242">
        <f>targets!AY107</f>
        <v>0</v>
      </c>
      <c r="E114" s="242">
        <f>targets!AZ107</f>
        <v>0</v>
      </c>
      <c r="F114" s="242">
        <f>targets!BA107</f>
        <v>0</v>
      </c>
      <c r="G114" s="39">
        <f>SUM(targets!BB107:BG107)</f>
        <v>118350.02838549201</v>
      </c>
      <c r="H114" s="242">
        <f>SUM(targets!BH107:BM107)</f>
        <v>0</v>
      </c>
      <c r="I114" s="243">
        <f t="shared" si="744"/>
        <v>118350.02838549201</v>
      </c>
      <c r="J114" s="242">
        <f>targets!BN107</f>
        <v>0</v>
      </c>
      <c r="K114" s="242">
        <f>targets!BO107</f>
        <v>0</v>
      </c>
      <c r="L114" s="242">
        <f>targets!BP107</f>
        <v>0</v>
      </c>
      <c r="M114" s="178">
        <f t="shared" si="745"/>
        <v>0</v>
      </c>
      <c r="N114" s="17">
        <f t="shared" si="706"/>
        <v>118350.02838549201</v>
      </c>
      <c r="O114" s="17"/>
      <c r="P114" s="17"/>
      <c r="Q114" s="66" t="s">
        <v>5</v>
      </c>
      <c r="R114" s="38">
        <f t="shared" si="707"/>
        <v>0</v>
      </c>
      <c r="S114" s="242">
        <f t="shared" si="708"/>
        <v>0</v>
      </c>
      <c r="T114" s="242">
        <f t="shared" si="709"/>
        <v>0</v>
      </c>
      <c r="U114" s="242">
        <f t="shared" si="710"/>
        <v>0</v>
      </c>
      <c r="V114" s="242">
        <f t="shared" si="711"/>
        <v>0</v>
      </c>
      <c r="W114" s="39">
        <f t="shared" si="712"/>
        <v>0</v>
      </c>
      <c r="X114" s="242">
        <f t="shared" si="713"/>
        <v>0</v>
      </c>
      <c r="Y114" s="243">
        <f t="shared" si="746"/>
        <v>0</v>
      </c>
      <c r="Z114" s="242">
        <f t="shared" si="714"/>
        <v>0</v>
      </c>
      <c r="AA114" s="242">
        <f t="shared" si="715"/>
        <v>0</v>
      </c>
      <c r="AB114" s="242">
        <f t="shared" si="716"/>
        <v>0</v>
      </c>
      <c r="AC114" s="178">
        <f t="shared" si="777"/>
        <v>0</v>
      </c>
      <c r="AD114" s="17">
        <f t="shared" si="717"/>
        <v>0</v>
      </c>
      <c r="AF114" s="66" t="s">
        <v>5</v>
      </c>
      <c r="AG114" s="38">
        <f t="array" ref="AG114">SUM(IF((modeldata!$F:$F=calibration!$AF$106)*(modeldata!$G:$G=calibration!AG$108)*(modeldata!$H:$H=calibration!$AF114),modeldata!$E:$E,0))</f>
        <v>0</v>
      </c>
      <c r="AH114" s="242">
        <f t="array" ref="AH114">SUM(IF((modeldata!$F:$F=calibration!$AF$106)*(modeldata!$G:$G=calibration!AH$108)*(modeldata!$H:$H=calibration!$AF114),modeldata!$E:$E,0))</f>
        <v>0</v>
      </c>
      <c r="AI114" s="242">
        <f t="array" ref="AI114">SUM(IF((modeldata!$F:$F=calibration!$AF$106)*(modeldata!$G:$G=calibration!AI$108)*(modeldata!$H:$H=calibration!$AF114),modeldata!$E:$E,0))</f>
        <v>0</v>
      </c>
      <c r="AJ114" s="242">
        <f t="array" ref="AJ114">SUM(IF((modeldata!$F:$F=calibration!$AF$106)*(modeldata!$G:$G=calibration!AJ$108)*(modeldata!$H:$H=calibration!$AF114),modeldata!$E:$E,0))</f>
        <v>0</v>
      </c>
      <c r="AK114" s="242">
        <f t="array" ref="AK114">SUM(IF((modeldata!$F:$F=calibration!$AF$106)*(modeldata!$G:$G=calibration!AK$108)*(modeldata!$H:$H=calibration!$AF114),modeldata!$E:$E,0))</f>
        <v>0</v>
      </c>
      <c r="AL114" s="39">
        <f t="array" ref="AL114">SUM(IF((modeldata!$F:$F=calibration!$AF$106)*(modeldata!$G:$G=calibration!AL$108)*(modeldata!$H:$H=calibration!$AF114),modeldata!$E:$E,0))</f>
        <v>0</v>
      </c>
      <c r="AM114" s="242">
        <f t="array" ref="AM114">SUM(IF((modeldata!$F:$F=calibration!$AF$106)*(modeldata!$G:$G=calibration!AM$108)*(modeldata!$H:$H=calibration!$AF114),modeldata!$E:$E,0))</f>
        <v>0</v>
      </c>
      <c r="AN114" s="243">
        <f t="shared" ref="AN114:AN119" si="785">AL114+AM114+AL120+AM120</f>
        <v>0</v>
      </c>
      <c r="AO114" s="242">
        <f t="array" ref="AO114">SUM(IF((modeldata!$F:$F=calibration!$AF$106)*(modeldata!$G:$G=calibration!AO$108)*(modeldata!$H:$H=calibration!$AF114),modeldata!$E:$E,0))</f>
        <v>0</v>
      </c>
      <c r="AP114" s="242">
        <f t="array" ref="AP114">SUM(IF((modeldata!$F:$F=calibration!$AF$106)*(modeldata!$G:$G=calibration!AP$108)*(modeldata!$H:$H=calibration!$AF114),modeldata!$E:$E,0))</f>
        <v>0</v>
      </c>
      <c r="AQ114" s="242">
        <f t="array" ref="AQ114">SUM(IF((modeldata!$F:$F=calibration!$AF$106)*(modeldata!$G:$G=calibration!AQ$108)*(modeldata!$H:$H=calibration!$AF114),modeldata!$E:$E,0))</f>
        <v>0</v>
      </c>
      <c r="AR114" s="178">
        <f t="shared" si="778"/>
        <v>0</v>
      </c>
      <c r="AS114" s="17">
        <f t="shared" si="718"/>
        <v>0</v>
      </c>
      <c r="AU114" s="66" t="s">
        <v>5</v>
      </c>
      <c r="AV114" s="38">
        <f t="shared" ref="AV114:BG114" si="786">IF(R129&gt;0,R114/R129,0)</f>
        <v>0</v>
      </c>
      <c r="AW114" s="242">
        <f t="shared" si="786"/>
        <v>0</v>
      </c>
      <c r="AX114" s="242">
        <f t="shared" si="786"/>
        <v>0</v>
      </c>
      <c r="AY114" s="242">
        <f t="shared" si="786"/>
        <v>0</v>
      </c>
      <c r="AZ114" s="242">
        <f t="shared" si="786"/>
        <v>0</v>
      </c>
      <c r="BA114" s="39">
        <f t="shared" si="786"/>
        <v>0</v>
      </c>
      <c r="BB114" s="242">
        <f t="shared" si="786"/>
        <v>0</v>
      </c>
      <c r="BC114" s="243">
        <f t="shared" si="786"/>
        <v>0</v>
      </c>
      <c r="BD114" s="242">
        <f t="shared" si="786"/>
        <v>0</v>
      </c>
      <c r="BE114" s="242">
        <f t="shared" si="786"/>
        <v>0</v>
      </c>
      <c r="BF114" s="242">
        <f t="shared" si="786"/>
        <v>0</v>
      </c>
      <c r="BG114" s="178">
        <f t="shared" si="786"/>
        <v>0</v>
      </c>
      <c r="BH114" s="24" t="e">
        <f>AD114/AD129</f>
        <v>#DIV/0!</v>
      </c>
      <c r="BJ114" s="66" t="s">
        <v>5</v>
      </c>
      <c r="BK114" s="38">
        <f t="shared" ref="BK114:BV114" si="787">IF(AG129&gt;0,AG114/AG129,0)</f>
        <v>0</v>
      </c>
      <c r="BL114" s="242">
        <f t="shared" si="787"/>
        <v>0</v>
      </c>
      <c r="BM114" s="242">
        <f t="shared" si="787"/>
        <v>0</v>
      </c>
      <c r="BN114" s="242">
        <f t="shared" si="787"/>
        <v>0</v>
      </c>
      <c r="BO114" s="242">
        <f t="shared" si="787"/>
        <v>0</v>
      </c>
      <c r="BP114" s="39">
        <f t="shared" si="787"/>
        <v>0</v>
      </c>
      <c r="BQ114" s="242">
        <f t="shared" si="787"/>
        <v>0</v>
      </c>
      <c r="BR114" s="243">
        <f t="shared" si="787"/>
        <v>0</v>
      </c>
      <c r="BS114" s="242">
        <f t="shared" si="787"/>
        <v>0</v>
      </c>
      <c r="BT114" s="242">
        <f t="shared" si="787"/>
        <v>0</v>
      </c>
      <c r="BU114" s="242">
        <f t="shared" si="787"/>
        <v>0</v>
      </c>
      <c r="BV114" s="178">
        <f t="shared" si="787"/>
        <v>0</v>
      </c>
      <c r="BW114" s="24" t="e">
        <f>AS114/AS129</f>
        <v>#DIV/0!</v>
      </c>
      <c r="BX114" s="24"/>
      <c r="BY114" s="66" t="s">
        <v>5</v>
      </c>
      <c r="BZ114" s="54">
        <f t="shared" si="750"/>
        <v>0</v>
      </c>
      <c r="CA114" s="55">
        <f t="shared" si="721"/>
        <v>0</v>
      </c>
      <c r="CB114" s="55">
        <f t="shared" si="722"/>
        <v>0</v>
      </c>
      <c r="CC114" s="55">
        <f t="shared" si="723"/>
        <v>0</v>
      </c>
      <c r="CD114" s="55">
        <f t="shared" si="724"/>
        <v>0</v>
      </c>
      <c r="CE114" s="59">
        <f t="shared" si="725"/>
        <v>0</v>
      </c>
      <c r="CF114" s="55">
        <f t="shared" si="726"/>
        <v>0</v>
      </c>
      <c r="CG114" s="246">
        <f t="shared" si="727"/>
        <v>0</v>
      </c>
      <c r="CH114" s="55">
        <f t="shared" si="728"/>
        <v>0</v>
      </c>
      <c r="CI114" s="55">
        <f t="shared" si="729"/>
        <v>0</v>
      </c>
      <c r="CJ114" s="55">
        <f t="shared" si="730"/>
        <v>0</v>
      </c>
      <c r="CK114" s="249">
        <f t="shared" si="730"/>
        <v>0</v>
      </c>
      <c r="CL114" s="55">
        <f t="shared" si="731"/>
        <v>0</v>
      </c>
      <c r="CN114" s="66" t="s">
        <v>5</v>
      </c>
      <c r="CO114" s="54">
        <f t="shared" si="751"/>
        <v>0</v>
      </c>
      <c r="CP114" s="55">
        <f t="shared" si="732"/>
        <v>0</v>
      </c>
      <c r="CQ114" s="55">
        <f t="shared" si="733"/>
        <v>0</v>
      </c>
      <c r="CR114" s="55">
        <f t="shared" si="734"/>
        <v>0</v>
      </c>
      <c r="CS114" s="55">
        <f t="shared" si="735"/>
        <v>0</v>
      </c>
      <c r="CT114" s="59">
        <f t="shared" si="736"/>
        <v>0</v>
      </c>
      <c r="CU114" s="55">
        <f t="shared" si="737"/>
        <v>0</v>
      </c>
      <c r="CV114" s="246">
        <f t="shared" si="738"/>
        <v>0</v>
      </c>
      <c r="CW114" s="55">
        <f t="shared" si="739"/>
        <v>0</v>
      </c>
      <c r="CX114" s="55">
        <f t="shared" si="740"/>
        <v>0</v>
      </c>
      <c r="CY114" s="55">
        <f t="shared" si="741"/>
        <v>0</v>
      </c>
      <c r="CZ114" s="249">
        <f t="shared" si="741"/>
        <v>0</v>
      </c>
      <c r="DA114" s="62" t="e">
        <f t="shared" si="742"/>
        <v>#DIV/0!</v>
      </c>
      <c r="DC114" s="66" t="s">
        <v>5</v>
      </c>
      <c r="DD114" s="198">
        <f t="shared" si="752"/>
        <v>0</v>
      </c>
      <c r="DE114" s="199">
        <f t="shared" si="753"/>
        <v>0</v>
      </c>
      <c r="DF114" s="198">
        <f t="shared" si="754"/>
        <v>0</v>
      </c>
      <c r="DG114" s="199">
        <f t="shared" si="755"/>
        <v>0</v>
      </c>
      <c r="DH114" s="198">
        <f t="shared" si="756"/>
        <v>0</v>
      </c>
      <c r="DI114" s="199">
        <f t="shared" si="757"/>
        <v>0</v>
      </c>
      <c r="DJ114" s="198">
        <f t="shared" si="758"/>
        <v>0</v>
      </c>
      <c r="DK114" s="199">
        <f t="shared" si="759"/>
        <v>0</v>
      </c>
      <c r="DL114" s="198">
        <f t="shared" si="760"/>
        <v>0</v>
      </c>
      <c r="DM114" s="199">
        <f t="shared" si="761"/>
        <v>0</v>
      </c>
      <c r="DN114" s="195">
        <f t="shared" si="762"/>
        <v>0</v>
      </c>
      <c r="DO114" s="196">
        <f t="shared" si="763"/>
        <v>0</v>
      </c>
      <c r="DP114" s="198">
        <f t="shared" si="764"/>
        <v>0</v>
      </c>
      <c r="DQ114" s="199">
        <f t="shared" si="765"/>
        <v>0</v>
      </c>
      <c r="DR114" s="198">
        <f t="shared" si="766"/>
        <v>0</v>
      </c>
      <c r="DS114" s="199">
        <f t="shared" si="767"/>
        <v>0</v>
      </c>
      <c r="DT114" s="198">
        <f t="shared" si="768"/>
        <v>0</v>
      </c>
      <c r="DU114" s="199">
        <f t="shared" si="769"/>
        <v>0</v>
      </c>
      <c r="DV114" s="198">
        <f t="shared" si="770"/>
        <v>0</v>
      </c>
      <c r="DW114" s="199">
        <f t="shared" si="771"/>
        <v>0</v>
      </c>
      <c r="DX114" s="198">
        <f t="shared" si="772"/>
        <v>0</v>
      </c>
      <c r="DY114" s="199">
        <f t="shared" si="773"/>
        <v>0</v>
      </c>
      <c r="DZ114" s="190">
        <f t="shared" si="774"/>
        <v>0</v>
      </c>
      <c r="EA114" s="199">
        <f t="shared" si="743"/>
        <v>0</v>
      </c>
      <c r="EB114" s="190" t="e">
        <f t="shared" si="775"/>
        <v>#DIV/0!</v>
      </c>
      <c r="EC114" s="190" t="e">
        <f t="shared" si="776"/>
        <v>#DIV/0!</v>
      </c>
    </row>
    <row r="115" spans="1:133" ht="25.5" x14ac:dyDescent="0.2">
      <c r="A115" s="66" t="s">
        <v>344</v>
      </c>
      <c r="B115" s="38">
        <f>targets!AW108</f>
        <v>0</v>
      </c>
      <c r="C115" s="242">
        <f>targets!AX108</f>
        <v>0</v>
      </c>
      <c r="D115" s="242">
        <f>targets!AY108</f>
        <v>0</v>
      </c>
      <c r="E115" s="242">
        <f>targets!AZ108</f>
        <v>0</v>
      </c>
      <c r="F115" s="242">
        <f>targets!BA108</f>
        <v>0</v>
      </c>
      <c r="G115" s="40">
        <f>SUM(targets!BB108:BG108)</f>
        <v>29083.772472595021</v>
      </c>
      <c r="H115" s="242">
        <f>SUM(targets!BH108:BM108)</f>
        <v>0</v>
      </c>
      <c r="I115" s="243">
        <f t="shared" si="744"/>
        <v>29083.772472595021</v>
      </c>
      <c r="J115" s="242">
        <f>targets!BN108</f>
        <v>0</v>
      </c>
      <c r="K115" s="242">
        <f>targets!BO108</f>
        <v>0</v>
      </c>
      <c r="L115" s="242">
        <f>targets!BP108</f>
        <v>0</v>
      </c>
      <c r="M115" s="178">
        <f t="shared" si="745"/>
        <v>0</v>
      </c>
      <c r="N115" s="17">
        <f t="shared" si="706"/>
        <v>29083.772472595021</v>
      </c>
      <c r="O115" s="17"/>
      <c r="P115" s="17"/>
      <c r="Q115" s="66" t="s">
        <v>344</v>
      </c>
      <c r="R115" s="38">
        <f t="shared" si="707"/>
        <v>0</v>
      </c>
      <c r="S115" s="242">
        <f t="shared" si="708"/>
        <v>0</v>
      </c>
      <c r="T115" s="242">
        <f t="shared" si="709"/>
        <v>0</v>
      </c>
      <c r="U115" s="242">
        <f t="shared" si="710"/>
        <v>0</v>
      </c>
      <c r="V115" s="242">
        <f t="shared" si="711"/>
        <v>0</v>
      </c>
      <c r="W115" s="40">
        <f t="shared" si="712"/>
        <v>0</v>
      </c>
      <c r="X115" s="242">
        <f t="shared" si="713"/>
        <v>0</v>
      </c>
      <c r="Y115" s="243">
        <f t="shared" si="746"/>
        <v>0</v>
      </c>
      <c r="Z115" s="242">
        <f t="shared" si="714"/>
        <v>0</v>
      </c>
      <c r="AA115" s="242">
        <f t="shared" si="715"/>
        <v>0</v>
      </c>
      <c r="AB115" s="242">
        <f t="shared" si="716"/>
        <v>0</v>
      </c>
      <c r="AC115" s="178">
        <f t="shared" si="777"/>
        <v>0</v>
      </c>
      <c r="AD115" s="17">
        <f t="shared" si="717"/>
        <v>0</v>
      </c>
      <c r="AF115" s="66" t="s">
        <v>43</v>
      </c>
      <c r="AG115" s="38">
        <f t="array" ref="AG115">SUM(IF((modeldata!$F:$F=calibration!$AF$106)*(modeldata!$G:$G=calibration!AG$108)*(modeldata!$H:$H=calibration!$AF115),modeldata!$E:$E,0))</f>
        <v>0</v>
      </c>
      <c r="AH115" s="242">
        <f t="array" ref="AH115">SUM(IF((modeldata!$F:$F=calibration!$AF$106)*(modeldata!$G:$G=calibration!AH$108)*(modeldata!$H:$H=calibration!$AF115),modeldata!$E:$E,0))</f>
        <v>0</v>
      </c>
      <c r="AI115" s="242">
        <f t="array" ref="AI115">SUM(IF((modeldata!$F:$F=calibration!$AF$106)*(modeldata!$G:$G=calibration!AI$108)*(modeldata!$H:$H=calibration!$AF115),modeldata!$E:$E,0))</f>
        <v>0</v>
      </c>
      <c r="AJ115" s="242">
        <f t="array" ref="AJ115">SUM(IF((modeldata!$F:$F=calibration!$AF$106)*(modeldata!$G:$G=calibration!AJ$108)*(modeldata!$H:$H=calibration!$AF115),modeldata!$E:$E,0))</f>
        <v>0</v>
      </c>
      <c r="AK115" s="242">
        <f t="array" ref="AK115">SUM(IF((modeldata!$F:$F=calibration!$AF$106)*(modeldata!$G:$G=calibration!AK$108)*(modeldata!$H:$H=calibration!$AF115),modeldata!$E:$E,0))</f>
        <v>0</v>
      </c>
      <c r="AL115" s="40">
        <f t="array" ref="AL115">SUM(IF((modeldata!$F:$F=calibration!$AF$106)*(modeldata!$G:$G=calibration!AL$108)*(modeldata!$H:$H=calibration!$AF115),modeldata!$E:$E,0))</f>
        <v>0</v>
      </c>
      <c r="AM115" s="242">
        <f t="array" ref="AM115">SUM(IF((modeldata!$F:$F=calibration!$AF$106)*(modeldata!$G:$G=calibration!AM$108)*(modeldata!$H:$H=calibration!$AF115),modeldata!$E:$E,0))</f>
        <v>0</v>
      </c>
      <c r="AN115" s="243">
        <f t="shared" si="785"/>
        <v>0</v>
      </c>
      <c r="AO115" s="242">
        <f t="array" ref="AO115">SUM(IF((modeldata!$F:$F=calibration!$AF$106)*(modeldata!$G:$G=calibration!AO$108)*(modeldata!$H:$H=calibration!$AF115),modeldata!$E:$E,0))</f>
        <v>0</v>
      </c>
      <c r="AP115" s="242">
        <f t="array" ref="AP115">SUM(IF((modeldata!$F:$F=calibration!$AF$106)*(modeldata!$G:$G=calibration!AP$108)*(modeldata!$H:$H=calibration!$AF115),modeldata!$E:$E,0))</f>
        <v>0</v>
      </c>
      <c r="AQ115" s="242">
        <f t="array" ref="AQ115">SUM(IF((modeldata!$F:$F=calibration!$AF$106)*(modeldata!$G:$G=calibration!AQ$108)*(modeldata!$H:$H=calibration!$AF115),modeldata!$E:$E,0))</f>
        <v>0</v>
      </c>
      <c r="AR115" s="178">
        <f t="shared" si="778"/>
        <v>0</v>
      </c>
      <c r="AS115" s="17">
        <f t="shared" si="718"/>
        <v>0</v>
      </c>
      <c r="AU115" s="66" t="s">
        <v>344</v>
      </c>
      <c r="AV115" s="38">
        <f t="shared" ref="AV115:BG116" si="788">IF(R129&gt;0,R115/R129,0)</f>
        <v>0</v>
      </c>
      <c r="AW115" s="242">
        <f t="shared" si="788"/>
        <v>0</v>
      </c>
      <c r="AX115" s="242">
        <f t="shared" si="788"/>
        <v>0</v>
      </c>
      <c r="AY115" s="242">
        <f t="shared" si="788"/>
        <v>0</v>
      </c>
      <c r="AZ115" s="242">
        <f t="shared" si="788"/>
        <v>0</v>
      </c>
      <c r="BA115" s="40">
        <f t="shared" si="788"/>
        <v>0</v>
      </c>
      <c r="BB115" s="242">
        <f t="shared" si="788"/>
        <v>0</v>
      </c>
      <c r="BC115" s="243">
        <f t="shared" si="788"/>
        <v>0</v>
      </c>
      <c r="BD115" s="242">
        <f t="shared" si="788"/>
        <v>0</v>
      </c>
      <c r="BE115" s="242">
        <f t="shared" si="788"/>
        <v>0</v>
      </c>
      <c r="BF115" s="242">
        <f t="shared" si="788"/>
        <v>0</v>
      </c>
      <c r="BG115" s="178">
        <f t="shared" si="788"/>
        <v>0</v>
      </c>
      <c r="BH115" s="24" t="e">
        <f>AD115/AD129</f>
        <v>#DIV/0!</v>
      </c>
      <c r="BJ115" s="66" t="s">
        <v>344</v>
      </c>
      <c r="BK115" s="38">
        <f t="shared" ref="BK115:BV115" si="789">IF(AG129&gt;0,AG115/AG129,0)</f>
        <v>0</v>
      </c>
      <c r="BL115" s="242">
        <f t="shared" si="789"/>
        <v>0</v>
      </c>
      <c r="BM115" s="242">
        <f t="shared" si="789"/>
        <v>0</v>
      </c>
      <c r="BN115" s="242">
        <f t="shared" si="789"/>
        <v>0</v>
      </c>
      <c r="BO115" s="242">
        <f t="shared" si="789"/>
        <v>0</v>
      </c>
      <c r="BP115" s="40">
        <f t="shared" si="789"/>
        <v>0</v>
      </c>
      <c r="BQ115" s="242">
        <f t="shared" si="789"/>
        <v>0</v>
      </c>
      <c r="BR115" s="243">
        <f t="shared" si="789"/>
        <v>0</v>
      </c>
      <c r="BS115" s="242">
        <f t="shared" si="789"/>
        <v>0</v>
      </c>
      <c r="BT115" s="242">
        <f t="shared" si="789"/>
        <v>0</v>
      </c>
      <c r="BU115" s="242">
        <f t="shared" si="789"/>
        <v>0</v>
      </c>
      <c r="BV115" s="178">
        <f t="shared" si="789"/>
        <v>0</v>
      </c>
      <c r="BW115" s="24" t="e">
        <f>AS115/AS129</f>
        <v>#DIV/0!</v>
      </c>
      <c r="BX115" s="24"/>
      <c r="BY115" s="66" t="s">
        <v>344</v>
      </c>
      <c r="BZ115" s="54">
        <f t="shared" si="750"/>
        <v>0</v>
      </c>
      <c r="CA115" s="55">
        <f t="shared" si="721"/>
        <v>0</v>
      </c>
      <c r="CB115" s="55">
        <f t="shared" si="722"/>
        <v>0</v>
      </c>
      <c r="CC115" s="55">
        <f t="shared" si="723"/>
        <v>0</v>
      </c>
      <c r="CD115" s="55">
        <f t="shared" si="724"/>
        <v>0</v>
      </c>
      <c r="CE115" s="60">
        <f t="shared" si="725"/>
        <v>0</v>
      </c>
      <c r="CF115" s="55">
        <f t="shared" si="726"/>
        <v>0</v>
      </c>
      <c r="CG115" s="246">
        <f t="shared" si="727"/>
        <v>0</v>
      </c>
      <c r="CH115" s="55">
        <f t="shared" si="728"/>
        <v>0</v>
      </c>
      <c r="CI115" s="55">
        <f t="shared" si="729"/>
        <v>0</v>
      </c>
      <c r="CJ115" s="55">
        <f t="shared" si="730"/>
        <v>0</v>
      </c>
      <c r="CK115" s="249">
        <f t="shared" si="730"/>
        <v>0</v>
      </c>
      <c r="CL115" s="55">
        <f t="shared" si="731"/>
        <v>0</v>
      </c>
      <c r="CN115" s="66" t="s">
        <v>344</v>
      </c>
      <c r="CO115" s="54">
        <f t="shared" si="751"/>
        <v>0</v>
      </c>
      <c r="CP115" s="55">
        <f t="shared" si="732"/>
        <v>0</v>
      </c>
      <c r="CQ115" s="55">
        <f t="shared" si="733"/>
        <v>0</v>
      </c>
      <c r="CR115" s="55">
        <f t="shared" si="734"/>
        <v>0</v>
      </c>
      <c r="CS115" s="55">
        <f t="shared" si="735"/>
        <v>0</v>
      </c>
      <c r="CT115" s="60">
        <f t="shared" si="736"/>
        <v>0</v>
      </c>
      <c r="CU115" s="55">
        <f t="shared" si="737"/>
        <v>0</v>
      </c>
      <c r="CV115" s="246">
        <f t="shared" si="738"/>
        <v>0</v>
      </c>
      <c r="CW115" s="55">
        <f t="shared" si="739"/>
        <v>0</v>
      </c>
      <c r="CX115" s="55">
        <f t="shared" si="740"/>
        <v>0</v>
      </c>
      <c r="CY115" s="55">
        <f t="shared" si="741"/>
        <v>0</v>
      </c>
      <c r="CZ115" s="249">
        <f t="shared" si="741"/>
        <v>0</v>
      </c>
      <c r="DA115" s="62" t="e">
        <f t="shared" si="742"/>
        <v>#DIV/0!</v>
      </c>
      <c r="DC115" s="66" t="s">
        <v>344</v>
      </c>
      <c r="DD115" s="198">
        <f t="shared" si="752"/>
        <v>0</v>
      </c>
      <c r="DE115" s="199">
        <f t="shared" si="753"/>
        <v>0</v>
      </c>
      <c r="DF115" s="198">
        <f t="shared" si="754"/>
        <v>0</v>
      </c>
      <c r="DG115" s="199">
        <f t="shared" si="755"/>
        <v>0</v>
      </c>
      <c r="DH115" s="198">
        <f t="shared" si="756"/>
        <v>0</v>
      </c>
      <c r="DI115" s="199">
        <f t="shared" si="757"/>
        <v>0</v>
      </c>
      <c r="DJ115" s="198">
        <f t="shared" si="758"/>
        <v>0</v>
      </c>
      <c r="DK115" s="199">
        <f t="shared" si="759"/>
        <v>0</v>
      </c>
      <c r="DL115" s="198">
        <f t="shared" si="760"/>
        <v>0</v>
      </c>
      <c r="DM115" s="199">
        <f t="shared" si="761"/>
        <v>0</v>
      </c>
      <c r="DN115" s="198">
        <f t="shared" si="762"/>
        <v>0</v>
      </c>
      <c r="DO115" s="199">
        <f t="shared" si="763"/>
        <v>0</v>
      </c>
      <c r="DP115" s="198">
        <f t="shared" si="764"/>
        <v>0</v>
      </c>
      <c r="DQ115" s="199">
        <f t="shared" si="765"/>
        <v>0</v>
      </c>
      <c r="DR115" s="198">
        <f t="shared" si="766"/>
        <v>0</v>
      </c>
      <c r="DS115" s="199">
        <f t="shared" si="767"/>
        <v>0</v>
      </c>
      <c r="DT115" s="198">
        <f t="shared" si="768"/>
        <v>0</v>
      </c>
      <c r="DU115" s="199">
        <f t="shared" si="769"/>
        <v>0</v>
      </c>
      <c r="DV115" s="198">
        <f t="shared" si="770"/>
        <v>0</v>
      </c>
      <c r="DW115" s="199">
        <f t="shared" si="771"/>
        <v>0</v>
      </c>
      <c r="DX115" s="198">
        <f t="shared" si="772"/>
        <v>0</v>
      </c>
      <c r="DY115" s="199">
        <f t="shared" si="773"/>
        <v>0</v>
      </c>
      <c r="DZ115" s="190">
        <f t="shared" si="774"/>
        <v>0</v>
      </c>
      <c r="EA115" s="199">
        <f t="shared" si="743"/>
        <v>0</v>
      </c>
      <c r="EB115" s="190" t="e">
        <f t="shared" si="775"/>
        <v>#DIV/0!</v>
      </c>
      <c r="EC115" s="190" t="e">
        <f t="shared" si="776"/>
        <v>#DIV/0!</v>
      </c>
    </row>
    <row r="116" spans="1:133" x14ac:dyDescent="0.2">
      <c r="A116" s="2" t="s">
        <v>346</v>
      </c>
      <c r="B116" s="38">
        <f>targets!AW109</f>
        <v>0</v>
      </c>
      <c r="C116" s="242">
        <f>targets!AX109</f>
        <v>0</v>
      </c>
      <c r="D116" s="242">
        <f>targets!AY109</f>
        <v>0</v>
      </c>
      <c r="E116" s="242">
        <f>targets!AZ109</f>
        <v>0</v>
      </c>
      <c r="F116" s="242">
        <f>targets!BA109</f>
        <v>0</v>
      </c>
      <c r="G116" s="40">
        <f>SUM(targets!BB109:BG109)</f>
        <v>7598.0727644851604</v>
      </c>
      <c r="H116" s="242">
        <f>SUM(targets!BH109:BM109)</f>
        <v>0</v>
      </c>
      <c r="I116" s="243">
        <f>SUM(G116:H116)</f>
        <v>7598.0727644851604</v>
      </c>
      <c r="J116" s="242">
        <f>targets!BN109</f>
        <v>0</v>
      </c>
      <c r="K116" s="242">
        <f>targets!BO109</f>
        <v>0</v>
      </c>
      <c r="L116" s="242">
        <f>targets!BP109</f>
        <v>0</v>
      </c>
      <c r="M116" s="178">
        <f>SUM(J116:L116)</f>
        <v>0</v>
      </c>
      <c r="N116" s="17">
        <f>SUM(B116:L116)-I116</f>
        <v>7598.0727644851604</v>
      </c>
      <c r="O116" s="17"/>
      <c r="P116" s="17"/>
      <c r="Q116" s="2" t="s">
        <v>346</v>
      </c>
      <c r="R116" s="38">
        <f t="shared" si="707"/>
        <v>0</v>
      </c>
      <c r="S116" s="242">
        <f t="shared" si="708"/>
        <v>0</v>
      </c>
      <c r="T116" s="242">
        <f t="shared" si="709"/>
        <v>0</v>
      </c>
      <c r="U116" s="242">
        <f t="shared" si="710"/>
        <v>0</v>
      </c>
      <c r="V116" s="242">
        <f t="shared" si="711"/>
        <v>0</v>
      </c>
      <c r="W116" s="40">
        <f t="shared" si="712"/>
        <v>0</v>
      </c>
      <c r="X116" s="242">
        <f t="shared" si="713"/>
        <v>0</v>
      </c>
      <c r="Y116" s="243">
        <f>SUM(W116:X116)</f>
        <v>0</v>
      </c>
      <c r="Z116" s="242">
        <f t="shared" si="714"/>
        <v>0</v>
      </c>
      <c r="AA116" s="242">
        <f t="shared" si="715"/>
        <v>0</v>
      </c>
      <c r="AB116" s="242">
        <f t="shared" si="716"/>
        <v>0</v>
      </c>
      <c r="AC116" s="178">
        <f>SUM(Z116:AB116)</f>
        <v>0</v>
      </c>
      <c r="AD116" s="17"/>
      <c r="AF116" s="2" t="s">
        <v>44</v>
      </c>
      <c r="AG116" s="38">
        <f t="array" ref="AG116">SUM(IF((modeldata!$F:$F=calibration!$AF$106)*(modeldata!$G:$G=calibration!AG$108)*(modeldata!$H:$H=calibration!$AF116),modeldata!$E:$E,0))</f>
        <v>0</v>
      </c>
      <c r="AH116" s="242">
        <f t="array" ref="AH116">SUM(IF((modeldata!$F:$F=calibration!$AF$106)*(modeldata!$G:$G=calibration!AH$108)*(modeldata!$H:$H=calibration!$AF116),modeldata!$E:$E,0))</f>
        <v>0</v>
      </c>
      <c r="AI116" s="242">
        <f t="array" ref="AI116">SUM(IF((modeldata!$F:$F=calibration!$AF$106)*(modeldata!$G:$G=calibration!AI$108)*(modeldata!$H:$H=calibration!$AF116),modeldata!$E:$E,0))</f>
        <v>0</v>
      </c>
      <c r="AJ116" s="242">
        <f t="array" ref="AJ116">SUM(IF((modeldata!$F:$F=calibration!$AF$106)*(modeldata!$G:$G=calibration!AJ$108)*(modeldata!$H:$H=calibration!$AF116),modeldata!$E:$E,0))</f>
        <v>0</v>
      </c>
      <c r="AK116" s="242">
        <f t="array" ref="AK116">SUM(IF((modeldata!$F:$F=calibration!$AF$106)*(modeldata!$G:$G=calibration!AK$108)*(modeldata!$H:$H=calibration!$AF116),modeldata!$E:$E,0))</f>
        <v>0</v>
      </c>
      <c r="AL116" s="40">
        <f t="array" ref="AL116">SUM(IF((modeldata!$F:$F=calibration!$AF$106)*(modeldata!$G:$G=calibration!AL$108)*(modeldata!$H:$H=calibration!$AF116),modeldata!$E:$E,0))</f>
        <v>0</v>
      </c>
      <c r="AM116" s="242">
        <f t="array" ref="AM116">SUM(IF((modeldata!$F:$F=calibration!$AF$106)*(modeldata!$G:$G=calibration!AM$108)*(modeldata!$H:$H=calibration!$AF116),modeldata!$E:$E,0))</f>
        <v>0</v>
      </c>
      <c r="AN116" s="243">
        <f t="shared" si="785"/>
        <v>0</v>
      </c>
      <c r="AO116" s="242">
        <f t="array" ref="AO116">SUM(IF((modeldata!$F:$F=calibration!$AF$106)*(modeldata!$G:$G=calibration!AO$108)*(modeldata!$H:$H=calibration!$AF116),modeldata!$E:$E,0))</f>
        <v>0</v>
      </c>
      <c r="AP116" s="242">
        <f t="array" ref="AP116">SUM(IF((modeldata!$F:$F=calibration!$AF$106)*(modeldata!$G:$G=calibration!AP$108)*(modeldata!$H:$H=calibration!$AF116),modeldata!$E:$E,0))</f>
        <v>0</v>
      </c>
      <c r="AQ116" s="242">
        <f t="array" ref="AQ116">SUM(IF((modeldata!$F:$F=calibration!$AF$106)*(modeldata!$G:$G=calibration!AQ$108)*(modeldata!$H:$H=calibration!$AF116),modeldata!$E:$E,0))</f>
        <v>0</v>
      </c>
      <c r="AR116" s="178">
        <f>SUM(AO116:AQ116)</f>
        <v>0</v>
      </c>
      <c r="AS116" s="17">
        <f>SUM(AG116:AQ116)-AN116</f>
        <v>0</v>
      </c>
      <c r="AU116" s="2" t="s">
        <v>346</v>
      </c>
      <c r="AV116" s="38">
        <f t="shared" si="788"/>
        <v>0</v>
      </c>
      <c r="AW116" s="242">
        <f t="shared" si="788"/>
        <v>0</v>
      </c>
      <c r="AX116" s="242">
        <f t="shared" si="788"/>
        <v>0</v>
      </c>
      <c r="AY116" s="242">
        <f t="shared" si="788"/>
        <v>0</v>
      </c>
      <c r="AZ116" s="242">
        <f t="shared" si="788"/>
        <v>0</v>
      </c>
      <c r="BA116" s="40">
        <f t="shared" si="788"/>
        <v>0</v>
      </c>
      <c r="BB116" s="242">
        <f t="shared" si="788"/>
        <v>0</v>
      </c>
      <c r="BC116" s="243">
        <f t="shared" si="788"/>
        <v>0</v>
      </c>
      <c r="BD116" s="242">
        <f t="shared" si="788"/>
        <v>0</v>
      </c>
      <c r="BE116" s="242">
        <f t="shared" si="788"/>
        <v>0</v>
      </c>
      <c r="BF116" s="242">
        <f t="shared" si="788"/>
        <v>0</v>
      </c>
      <c r="BG116" s="178">
        <f t="shared" si="788"/>
        <v>0</v>
      </c>
      <c r="BH116" s="24" t="e">
        <f>AD116/AD130</f>
        <v>#DIV/0!</v>
      </c>
      <c r="BJ116" s="2" t="s">
        <v>346</v>
      </c>
      <c r="BK116" s="38">
        <f t="shared" ref="BK116:BV116" si="790">IF(AG138&gt;0,AG116/AG138,0)</f>
        <v>0</v>
      </c>
      <c r="BL116" s="242">
        <f t="shared" si="790"/>
        <v>0</v>
      </c>
      <c r="BM116" s="242">
        <f t="shared" si="790"/>
        <v>0</v>
      </c>
      <c r="BN116" s="242">
        <f t="shared" si="790"/>
        <v>0</v>
      </c>
      <c r="BO116" s="242">
        <f t="shared" si="790"/>
        <v>0</v>
      </c>
      <c r="BP116" s="40">
        <f t="shared" si="790"/>
        <v>0</v>
      </c>
      <c r="BQ116" s="242">
        <f t="shared" si="790"/>
        <v>0</v>
      </c>
      <c r="BR116" s="243">
        <f t="shared" si="790"/>
        <v>0</v>
      </c>
      <c r="BS116" s="242">
        <f t="shared" si="790"/>
        <v>0</v>
      </c>
      <c r="BT116" s="242">
        <f t="shared" si="790"/>
        <v>0</v>
      </c>
      <c r="BU116" s="242">
        <f t="shared" si="790"/>
        <v>0</v>
      </c>
      <c r="BV116" s="178">
        <f t="shared" si="790"/>
        <v>0</v>
      </c>
      <c r="BW116" s="24" t="e">
        <f>AS116/AS138</f>
        <v>#DIV/0!</v>
      </c>
      <c r="BX116" s="24"/>
      <c r="BY116" s="2" t="s">
        <v>346</v>
      </c>
      <c r="BZ116" s="54">
        <f t="shared" ref="BZ116:CL116" si="791">AG116-R116</f>
        <v>0</v>
      </c>
      <c r="CA116" s="55">
        <f t="shared" si="791"/>
        <v>0</v>
      </c>
      <c r="CB116" s="55">
        <f t="shared" si="791"/>
        <v>0</v>
      </c>
      <c r="CC116" s="55">
        <f t="shared" si="791"/>
        <v>0</v>
      </c>
      <c r="CD116" s="55">
        <f t="shared" si="791"/>
        <v>0</v>
      </c>
      <c r="CE116" s="60">
        <f t="shared" si="791"/>
        <v>0</v>
      </c>
      <c r="CF116" s="55">
        <f t="shared" si="791"/>
        <v>0</v>
      </c>
      <c r="CG116" s="246">
        <f t="shared" si="791"/>
        <v>0</v>
      </c>
      <c r="CH116" s="55">
        <f t="shared" si="791"/>
        <v>0</v>
      </c>
      <c r="CI116" s="55">
        <f t="shared" si="791"/>
        <v>0</v>
      </c>
      <c r="CJ116" s="55">
        <f t="shared" si="791"/>
        <v>0</v>
      </c>
      <c r="CK116" s="249">
        <f t="shared" si="791"/>
        <v>0</v>
      </c>
      <c r="CL116" s="55">
        <f t="shared" si="791"/>
        <v>0</v>
      </c>
      <c r="CN116" s="2" t="s">
        <v>346</v>
      </c>
      <c r="CO116" s="54">
        <f t="shared" ref="CO116:DA116" si="792">BK116-AV116</f>
        <v>0</v>
      </c>
      <c r="CP116" s="55">
        <f t="shared" si="792"/>
        <v>0</v>
      </c>
      <c r="CQ116" s="55">
        <f t="shared" si="792"/>
        <v>0</v>
      </c>
      <c r="CR116" s="55">
        <f t="shared" si="792"/>
        <v>0</v>
      </c>
      <c r="CS116" s="55">
        <f t="shared" si="792"/>
        <v>0</v>
      </c>
      <c r="CT116" s="60">
        <f t="shared" si="792"/>
        <v>0</v>
      </c>
      <c r="CU116" s="55">
        <f t="shared" si="792"/>
        <v>0</v>
      </c>
      <c r="CV116" s="246">
        <f t="shared" si="792"/>
        <v>0</v>
      </c>
      <c r="CW116" s="55">
        <f t="shared" si="792"/>
        <v>0</v>
      </c>
      <c r="CX116" s="55">
        <f t="shared" si="792"/>
        <v>0</v>
      </c>
      <c r="CY116" s="55">
        <f t="shared" si="792"/>
        <v>0</v>
      </c>
      <c r="CZ116" s="249">
        <f t="shared" si="792"/>
        <v>0</v>
      </c>
      <c r="DA116" s="62" t="e">
        <f t="shared" si="792"/>
        <v>#DIV/0!</v>
      </c>
      <c r="DC116" s="2" t="s">
        <v>346</v>
      </c>
      <c r="DD116" s="198">
        <f>AV116</f>
        <v>0</v>
      </c>
      <c r="DE116" s="199">
        <f>BK116</f>
        <v>0</v>
      </c>
      <c r="DF116" s="198">
        <f>AW116</f>
        <v>0</v>
      </c>
      <c r="DG116" s="199">
        <f>BL116</f>
        <v>0</v>
      </c>
      <c r="DH116" s="198">
        <f>AX116</f>
        <v>0</v>
      </c>
      <c r="DI116" s="199">
        <f>BM116</f>
        <v>0</v>
      </c>
      <c r="DJ116" s="198">
        <f>AY116</f>
        <v>0</v>
      </c>
      <c r="DK116" s="199">
        <f>BN116</f>
        <v>0</v>
      </c>
      <c r="DL116" s="198">
        <f>AZ116</f>
        <v>0</v>
      </c>
      <c r="DM116" s="199">
        <f>BO116</f>
        <v>0</v>
      </c>
      <c r="DN116" s="198">
        <f>BA116</f>
        <v>0</v>
      </c>
      <c r="DO116" s="199">
        <f>BP116</f>
        <v>0</v>
      </c>
      <c r="DP116" s="198">
        <f>BB116</f>
        <v>0</v>
      </c>
      <c r="DQ116" s="199">
        <f>BQ116</f>
        <v>0</v>
      </c>
      <c r="DR116" s="198">
        <f>BC116</f>
        <v>0</v>
      </c>
      <c r="DS116" s="199">
        <f>BR116</f>
        <v>0</v>
      </c>
      <c r="DT116" s="198">
        <f>BD116</f>
        <v>0</v>
      </c>
      <c r="DU116" s="199">
        <f>BS116</f>
        <v>0</v>
      </c>
      <c r="DV116" s="198">
        <f>BE116</f>
        <v>0</v>
      </c>
      <c r="DW116" s="199">
        <f>BT116</f>
        <v>0</v>
      </c>
      <c r="DX116" s="198">
        <f>BF116</f>
        <v>0</v>
      </c>
      <c r="DY116" s="199">
        <f>BU116</f>
        <v>0</v>
      </c>
      <c r="DZ116" s="190">
        <f>BG116</f>
        <v>0</v>
      </c>
      <c r="EA116" s="199">
        <f>BV116</f>
        <v>0</v>
      </c>
      <c r="EB116" s="190" t="e">
        <f>BH116</f>
        <v>#DIV/0!</v>
      </c>
      <c r="EC116" s="190" t="e">
        <f>BW116</f>
        <v>#DIV/0!</v>
      </c>
    </row>
    <row r="117" spans="1:133" x14ac:dyDescent="0.2">
      <c r="A117" s="64" t="s">
        <v>45</v>
      </c>
      <c r="B117" s="38">
        <f>targets!AW110</f>
        <v>0</v>
      </c>
      <c r="C117" s="242">
        <f>targets!AX110</f>
        <v>0</v>
      </c>
      <c r="D117" s="242">
        <f>targets!AY110</f>
        <v>0</v>
      </c>
      <c r="E117" s="242">
        <f>targets!AZ110</f>
        <v>0</v>
      </c>
      <c r="F117" s="242">
        <f>targets!BA110</f>
        <v>0</v>
      </c>
      <c r="G117" s="40">
        <f>SUM(targets!BB110:BG110)</f>
        <v>24319.68287957642</v>
      </c>
      <c r="H117" s="242">
        <f>SUM(targets!BH110:BM110)</f>
        <v>0</v>
      </c>
      <c r="I117" s="243">
        <f t="shared" si="744"/>
        <v>24319.68287957642</v>
      </c>
      <c r="J117" s="242">
        <f>targets!BN110</f>
        <v>0</v>
      </c>
      <c r="K117" s="242">
        <f>targets!BO110</f>
        <v>0</v>
      </c>
      <c r="L117" s="242">
        <f>targets!BP110</f>
        <v>0</v>
      </c>
      <c r="M117" s="178">
        <f t="shared" si="745"/>
        <v>0</v>
      </c>
      <c r="N117" s="17">
        <f t="shared" si="706"/>
        <v>24319.68287957642</v>
      </c>
      <c r="O117" s="17"/>
      <c r="P117" s="17"/>
      <c r="Q117" s="64" t="s">
        <v>45</v>
      </c>
      <c r="R117" s="38">
        <f t="shared" si="707"/>
        <v>0</v>
      </c>
      <c r="S117" s="242">
        <f t="shared" si="708"/>
        <v>0</v>
      </c>
      <c r="T117" s="242">
        <f t="shared" si="709"/>
        <v>0</v>
      </c>
      <c r="U117" s="242">
        <f t="shared" si="710"/>
        <v>0</v>
      </c>
      <c r="V117" s="242">
        <f t="shared" si="711"/>
        <v>0</v>
      </c>
      <c r="W117" s="40">
        <f t="shared" si="712"/>
        <v>0</v>
      </c>
      <c r="X117" s="242">
        <f t="shared" si="713"/>
        <v>0</v>
      </c>
      <c r="Y117" s="243">
        <f t="shared" si="746"/>
        <v>0</v>
      </c>
      <c r="Z117" s="242">
        <f t="shared" si="714"/>
        <v>0</v>
      </c>
      <c r="AA117" s="242">
        <f t="shared" si="715"/>
        <v>0</v>
      </c>
      <c r="AB117" s="242">
        <f t="shared" si="716"/>
        <v>0</v>
      </c>
      <c r="AC117" s="178">
        <f t="shared" si="777"/>
        <v>0</v>
      </c>
      <c r="AD117" s="17">
        <f t="shared" si="717"/>
        <v>0</v>
      </c>
      <c r="AF117" s="64" t="s">
        <v>45</v>
      </c>
      <c r="AG117" s="38">
        <f t="array" ref="AG117">SUM(IF((modeldata!$F:$F=calibration!$AF$106)*(modeldata!$G:$G=calibration!AG$108)*(modeldata!$H:$H=calibration!$AF117),modeldata!$E:$E,0))</f>
        <v>0</v>
      </c>
      <c r="AH117" s="242">
        <f t="array" ref="AH117">SUM(IF((modeldata!$F:$F=calibration!$AF$106)*(modeldata!$G:$G=calibration!AH$108)*(modeldata!$H:$H=calibration!$AF117),modeldata!$E:$E,0))</f>
        <v>0</v>
      </c>
      <c r="AI117" s="242">
        <f t="array" ref="AI117">SUM(IF((modeldata!$F:$F=calibration!$AF$106)*(modeldata!$G:$G=calibration!AI$108)*(modeldata!$H:$H=calibration!$AF117),modeldata!$E:$E,0))</f>
        <v>0</v>
      </c>
      <c r="AJ117" s="242">
        <f t="array" ref="AJ117">SUM(IF((modeldata!$F:$F=calibration!$AF$106)*(modeldata!$G:$G=calibration!AJ$108)*(modeldata!$H:$H=calibration!$AF117),modeldata!$E:$E,0))</f>
        <v>0</v>
      </c>
      <c r="AK117" s="242">
        <f t="array" ref="AK117">SUM(IF((modeldata!$F:$F=calibration!$AF$106)*(modeldata!$G:$G=calibration!AK$108)*(modeldata!$H:$H=calibration!$AF117),modeldata!$E:$E,0))</f>
        <v>0</v>
      </c>
      <c r="AL117" s="40">
        <f t="array" ref="AL117">SUM(IF((modeldata!$F:$F=calibration!$AF$106)*(modeldata!$G:$G=calibration!AL$108)*(modeldata!$H:$H=calibration!$AF117),modeldata!$E:$E,0))</f>
        <v>0</v>
      </c>
      <c r="AM117" s="242">
        <f t="array" ref="AM117">SUM(IF((modeldata!$F:$F=calibration!$AF$106)*(modeldata!$G:$G=calibration!AM$108)*(modeldata!$H:$H=calibration!$AF117),modeldata!$E:$E,0))</f>
        <v>0</v>
      </c>
      <c r="AN117" s="243">
        <f t="shared" si="785"/>
        <v>0</v>
      </c>
      <c r="AO117" s="242">
        <f t="array" ref="AO117">SUM(IF((modeldata!$F:$F=calibration!$AF$106)*(modeldata!$G:$G=calibration!AO$108)*(modeldata!$H:$H=calibration!$AF117),modeldata!$E:$E,0))</f>
        <v>0</v>
      </c>
      <c r="AP117" s="242">
        <f t="array" ref="AP117">SUM(IF((modeldata!$F:$F=calibration!$AF$106)*(modeldata!$G:$G=calibration!AP$108)*(modeldata!$H:$H=calibration!$AF117),modeldata!$E:$E,0))</f>
        <v>0</v>
      </c>
      <c r="AQ117" s="242">
        <f t="array" ref="AQ117">SUM(IF((modeldata!$F:$F=calibration!$AF$106)*(modeldata!$G:$G=calibration!AQ$108)*(modeldata!$H:$H=calibration!$AF117),modeldata!$E:$E,0))</f>
        <v>0</v>
      </c>
      <c r="AR117" s="178">
        <f t="shared" si="778"/>
        <v>0</v>
      </c>
      <c r="AS117" s="17">
        <f t="shared" si="718"/>
        <v>0</v>
      </c>
      <c r="AU117" s="64" t="s">
        <v>45</v>
      </c>
      <c r="AV117" s="38">
        <f t="shared" ref="AV117:BG117" si="793">IF(R129&gt;0,R117/R129,0)</f>
        <v>0</v>
      </c>
      <c r="AW117" s="242">
        <f t="shared" si="793"/>
        <v>0</v>
      </c>
      <c r="AX117" s="242">
        <f t="shared" si="793"/>
        <v>0</v>
      </c>
      <c r="AY117" s="242">
        <f t="shared" si="793"/>
        <v>0</v>
      </c>
      <c r="AZ117" s="242">
        <f t="shared" si="793"/>
        <v>0</v>
      </c>
      <c r="BA117" s="40">
        <f t="shared" si="793"/>
        <v>0</v>
      </c>
      <c r="BB117" s="242">
        <f t="shared" si="793"/>
        <v>0</v>
      </c>
      <c r="BC117" s="243">
        <f t="shared" si="793"/>
        <v>0</v>
      </c>
      <c r="BD117" s="242">
        <f t="shared" si="793"/>
        <v>0</v>
      </c>
      <c r="BE117" s="242">
        <f t="shared" si="793"/>
        <v>0</v>
      </c>
      <c r="BF117" s="242">
        <f t="shared" si="793"/>
        <v>0</v>
      </c>
      <c r="BG117" s="178">
        <f t="shared" si="793"/>
        <v>0</v>
      </c>
      <c r="BH117" s="24" t="e">
        <f>AD117/AD129</f>
        <v>#DIV/0!</v>
      </c>
      <c r="BJ117" s="64" t="s">
        <v>45</v>
      </c>
      <c r="BK117" s="38">
        <f t="shared" ref="BK117:BV117" si="794">IF(AG129&gt;0,AG117/AG129,0)</f>
        <v>0</v>
      </c>
      <c r="BL117" s="242">
        <f t="shared" si="794"/>
        <v>0</v>
      </c>
      <c r="BM117" s="242">
        <f t="shared" si="794"/>
        <v>0</v>
      </c>
      <c r="BN117" s="242">
        <f t="shared" si="794"/>
        <v>0</v>
      </c>
      <c r="BO117" s="242">
        <f t="shared" si="794"/>
        <v>0</v>
      </c>
      <c r="BP117" s="40">
        <f t="shared" si="794"/>
        <v>0</v>
      </c>
      <c r="BQ117" s="242">
        <f t="shared" si="794"/>
        <v>0</v>
      </c>
      <c r="BR117" s="243">
        <f t="shared" si="794"/>
        <v>0</v>
      </c>
      <c r="BS117" s="242">
        <f t="shared" si="794"/>
        <v>0</v>
      </c>
      <c r="BT117" s="242">
        <f t="shared" si="794"/>
        <v>0</v>
      </c>
      <c r="BU117" s="242">
        <f t="shared" si="794"/>
        <v>0</v>
      </c>
      <c r="BV117" s="178">
        <f t="shared" si="794"/>
        <v>0</v>
      </c>
      <c r="BW117" s="24" t="e">
        <f>AS117/AS129</f>
        <v>#DIV/0!</v>
      </c>
      <c r="BX117" s="24"/>
      <c r="BY117" s="64" t="s">
        <v>45</v>
      </c>
      <c r="BZ117" s="54">
        <f t="shared" si="750"/>
        <v>0</v>
      </c>
      <c r="CA117" s="55">
        <f t="shared" si="721"/>
        <v>0</v>
      </c>
      <c r="CB117" s="55">
        <f t="shared" si="722"/>
        <v>0</v>
      </c>
      <c r="CC117" s="55">
        <f t="shared" si="723"/>
        <v>0</v>
      </c>
      <c r="CD117" s="55">
        <f t="shared" si="724"/>
        <v>0</v>
      </c>
      <c r="CE117" s="60">
        <f t="shared" si="725"/>
        <v>0</v>
      </c>
      <c r="CF117" s="55">
        <f t="shared" si="726"/>
        <v>0</v>
      </c>
      <c r="CG117" s="246">
        <f t="shared" si="727"/>
        <v>0</v>
      </c>
      <c r="CH117" s="55">
        <f t="shared" si="728"/>
        <v>0</v>
      </c>
      <c r="CI117" s="55">
        <f t="shared" si="729"/>
        <v>0</v>
      </c>
      <c r="CJ117" s="55">
        <f t="shared" si="730"/>
        <v>0</v>
      </c>
      <c r="CK117" s="249">
        <f t="shared" si="730"/>
        <v>0</v>
      </c>
      <c r="CL117" s="55">
        <f t="shared" si="731"/>
        <v>0</v>
      </c>
      <c r="CN117" s="64" t="s">
        <v>45</v>
      </c>
      <c r="CO117" s="54">
        <f t="shared" si="751"/>
        <v>0</v>
      </c>
      <c r="CP117" s="55">
        <f t="shared" si="732"/>
        <v>0</v>
      </c>
      <c r="CQ117" s="55">
        <f t="shared" si="733"/>
        <v>0</v>
      </c>
      <c r="CR117" s="55">
        <f t="shared" si="734"/>
        <v>0</v>
      </c>
      <c r="CS117" s="55">
        <f t="shared" si="735"/>
        <v>0</v>
      </c>
      <c r="CT117" s="60">
        <f t="shared" si="736"/>
        <v>0</v>
      </c>
      <c r="CU117" s="55">
        <f t="shared" si="737"/>
        <v>0</v>
      </c>
      <c r="CV117" s="246">
        <f t="shared" si="738"/>
        <v>0</v>
      </c>
      <c r="CW117" s="55">
        <f t="shared" si="739"/>
        <v>0</v>
      </c>
      <c r="CX117" s="55">
        <f t="shared" si="740"/>
        <v>0</v>
      </c>
      <c r="CY117" s="55">
        <f t="shared" si="741"/>
        <v>0</v>
      </c>
      <c r="CZ117" s="249">
        <f t="shared" si="741"/>
        <v>0</v>
      </c>
      <c r="DA117" s="62" t="e">
        <f t="shared" si="742"/>
        <v>#DIV/0!</v>
      </c>
      <c r="DC117" s="64" t="s">
        <v>45</v>
      </c>
      <c r="DD117" s="198">
        <f t="shared" si="752"/>
        <v>0</v>
      </c>
      <c r="DE117" s="199">
        <f t="shared" si="753"/>
        <v>0</v>
      </c>
      <c r="DF117" s="198">
        <f t="shared" si="754"/>
        <v>0</v>
      </c>
      <c r="DG117" s="199">
        <f t="shared" si="755"/>
        <v>0</v>
      </c>
      <c r="DH117" s="198">
        <f t="shared" si="756"/>
        <v>0</v>
      </c>
      <c r="DI117" s="199">
        <f t="shared" si="757"/>
        <v>0</v>
      </c>
      <c r="DJ117" s="198">
        <f t="shared" si="758"/>
        <v>0</v>
      </c>
      <c r="DK117" s="199">
        <f t="shared" si="759"/>
        <v>0</v>
      </c>
      <c r="DL117" s="198">
        <f t="shared" si="760"/>
        <v>0</v>
      </c>
      <c r="DM117" s="199">
        <f t="shared" si="761"/>
        <v>0</v>
      </c>
      <c r="DN117" s="198">
        <f t="shared" si="762"/>
        <v>0</v>
      </c>
      <c r="DO117" s="199">
        <f t="shared" si="763"/>
        <v>0</v>
      </c>
      <c r="DP117" s="198">
        <f t="shared" si="764"/>
        <v>0</v>
      </c>
      <c r="DQ117" s="199">
        <f t="shared" si="765"/>
        <v>0</v>
      </c>
      <c r="DR117" s="198">
        <f t="shared" si="766"/>
        <v>0</v>
      </c>
      <c r="DS117" s="199">
        <f t="shared" si="767"/>
        <v>0</v>
      </c>
      <c r="DT117" s="198">
        <f t="shared" si="768"/>
        <v>0</v>
      </c>
      <c r="DU117" s="199">
        <f t="shared" si="769"/>
        <v>0</v>
      </c>
      <c r="DV117" s="198">
        <f t="shared" si="770"/>
        <v>0</v>
      </c>
      <c r="DW117" s="199">
        <f t="shared" si="771"/>
        <v>0</v>
      </c>
      <c r="DX117" s="198">
        <f t="shared" si="772"/>
        <v>0</v>
      </c>
      <c r="DY117" s="199">
        <f t="shared" si="773"/>
        <v>0</v>
      </c>
      <c r="DZ117" s="190">
        <f t="shared" si="774"/>
        <v>0</v>
      </c>
      <c r="EA117" s="199">
        <f t="shared" si="743"/>
        <v>0</v>
      </c>
      <c r="EB117" s="190" t="e">
        <f t="shared" si="775"/>
        <v>#DIV/0!</v>
      </c>
      <c r="EC117" s="190" t="e">
        <f t="shared" si="776"/>
        <v>#DIV/0!</v>
      </c>
    </row>
    <row r="118" spans="1:133" x14ac:dyDescent="0.2">
      <c r="A118" s="64" t="s">
        <v>46</v>
      </c>
      <c r="B118" s="38">
        <f>targets!AW111</f>
        <v>0</v>
      </c>
      <c r="C118" s="242">
        <f>targets!AX111</f>
        <v>0</v>
      </c>
      <c r="D118" s="242">
        <f>targets!AY111</f>
        <v>0</v>
      </c>
      <c r="E118" s="242">
        <f>targets!AZ111</f>
        <v>0</v>
      </c>
      <c r="F118" s="242">
        <f>targets!BA111</f>
        <v>0</v>
      </c>
      <c r="G118" s="40">
        <f>SUM(targets!BB111:BG111)</f>
        <v>5312.582108919024</v>
      </c>
      <c r="H118" s="242">
        <f>SUM(targets!BH111:BM111)</f>
        <v>0</v>
      </c>
      <c r="I118" s="243">
        <f t="shared" si="744"/>
        <v>5312.582108919024</v>
      </c>
      <c r="J118" s="242">
        <f>targets!BN111</f>
        <v>0</v>
      </c>
      <c r="K118" s="242">
        <f>targets!BO111</f>
        <v>0</v>
      </c>
      <c r="L118" s="242">
        <f>targets!BP111</f>
        <v>0</v>
      </c>
      <c r="M118" s="178">
        <f t="shared" si="745"/>
        <v>0</v>
      </c>
      <c r="N118" s="17">
        <f t="shared" si="706"/>
        <v>5312.582108919024</v>
      </c>
      <c r="O118" s="17"/>
      <c r="P118" s="17"/>
      <c r="Q118" s="64" t="s">
        <v>46</v>
      </c>
      <c r="R118" s="38">
        <f t="shared" si="707"/>
        <v>0</v>
      </c>
      <c r="S118" s="242">
        <f t="shared" si="708"/>
        <v>0</v>
      </c>
      <c r="T118" s="242">
        <f t="shared" si="709"/>
        <v>0</v>
      </c>
      <c r="U118" s="242">
        <f t="shared" si="710"/>
        <v>0</v>
      </c>
      <c r="V118" s="242">
        <f t="shared" si="711"/>
        <v>0</v>
      </c>
      <c r="W118" s="40">
        <f t="shared" si="712"/>
        <v>0</v>
      </c>
      <c r="X118" s="242">
        <f t="shared" si="713"/>
        <v>0</v>
      </c>
      <c r="Y118" s="243">
        <f t="shared" si="746"/>
        <v>0</v>
      </c>
      <c r="Z118" s="242">
        <f t="shared" si="714"/>
        <v>0</v>
      </c>
      <c r="AA118" s="242">
        <f t="shared" si="715"/>
        <v>0</v>
      </c>
      <c r="AB118" s="242">
        <f t="shared" si="716"/>
        <v>0</v>
      </c>
      <c r="AC118" s="178">
        <f t="shared" si="777"/>
        <v>0</v>
      </c>
      <c r="AD118" s="17">
        <f t="shared" si="717"/>
        <v>0</v>
      </c>
      <c r="AF118" s="64" t="s">
        <v>46</v>
      </c>
      <c r="AG118" s="38">
        <f t="array" ref="AG118">SUM(IF((modeldata!$F:$F=calibration!$AF$106)*(modeldata!$G:$G=calibration!AG$108)*(modeldata!$H:$H=calibration!$AF118),modeldata!$E:$E,0))</f>
        <v>0</v>
      </c>
      <c r="AH118" s="242">
        <f t="array" ref="AH118">SUM(IF((modeldata!$F:$F=calibration!$AF$106)*(modeldata!$G:$G=calibration!AH$108)*(modeldata!$H:$H=calibration!$AF118),modeldata!$E:$E,0))</f>
        <v>0</v>
      </c>
      <c r="AI118" s="242">
        <f t="array" ref="AI118">SUM(IF((modeldata!$F:$F=calibration!$AF$106)*(modeldata!$G:$G=calibration!AI$108)*(modeldata!$H:$H=calibration!$AF118),modeldata!$E:$E,0))</f>
        <v>0</v>
      </c>
      <c r="AJ118" s="242">
        <f t="array" ref="AJ118">SUM(IF((modeldata!$F:$F=calibration!$AF$106)*(modeldata!$G:$G=calibration!AJ$108)*(modeldata!$H:$H=calibration!$AF118),modeldata!$E:$E,0))</f>
        <v>0</v>
      </c>
      <c r="AK118" s="242">
        <f t="array" ref="AK118">SUM(IF((modeldata!$F:$F=calibration!$AF$106)*(modeldata!$G:$G=calibration!AK$108)*(modeldata!$H:$H=calibration!$AF118),modeldata!$E:$E,0))</f>
        <v>0</v>
      </c>
      <c r="AL118" s="40">
        <f t="array" ref="AL118">SUM(IF((modeldata!$F:$F=calibration!$AF$106)*(modeldata!$G:$G=calibration!AL$108)*(modeldata!$H:$H=calibration!$AF118),modeldata!$E:$E,0))</f>
        <v>0</v>
      </c>
      <c r="AM118" s="242">
        <f t="array" ref="AM118">SUM(IF((modeldata!$F:$F=calibration!$AF$106)*(modeldata!$G:$G=calibration!AM$108)*(modeldata!$H:$H=calibration!$AF118),modeldata!$E:$E,0))</f>
        <v>0</v>
      </c>
      <c r="AN118" s="243">
        <f t="shared" si="785"/>
        <v>0</v>
      </c>
      <c r="AO118" s="242">
        <f t="array" ref="AO118">SUM(IF((modeldata!$F:$F=calibration!$AF$106)*(modeldata!$G:$G=calibration!AO$108)*(modeldata!$H:$H=calibration!$AF118),modeldata!$E:$E,0))</f>
        <v>0</v>
      </c>
      <c r="AP118" s="242">
        <f t="array" ref="AP118">SUM(IF((modeldata!$F:$F=calibration!$AF$106)*(modeldata!$G:$G=calibration!AP$108)*(modeldata!$H:$H=calibration!$AF118),modeldata!$E:$E,0))</f>
        <v>0</v>
      </c>
      <c r="AQ118" s="242">
        <f t="array" ref="AQ118">SUM(IF((modeldata!$F:$F=calibration!$AF$106)*(modeldata!$G:$G=calibration!AQ$108)*(modeldata!$H:$H=calibration!$AF118),modeldata!$E:$E,0))</f>
        <v>0</v>
      </c>
      <c r="AR118" s="178">
        <f t="shared" si="778"/>
        <v>0</v>
      </c>
      <c r="AS118" s="17">
        <f t="shared" si="718"/>
        <v>0</v>
      </c>
      <c r="AU118" s="64" t="s">
        <v>46</v>
      </c>
      <c r="AV118" s="38">
        <f t="shared" ref="AV118:BG118" si="795">IF(R129&gt;0,R118/R129,0)</f>
        <v>0</v>
      </c>
      <c r="AW118" s="242">
        <f t="shared" si="795"/>
        <v>0</v>
      </c>
      <c r="AX118" s="242">
        <f t="shared" si="795"/>
        <v>0</v>
      </c>
      <c r="AY118" s="242">
        <f t="shared" si="795"/>
        <v>0</v>
      </c>
      <c r="AZ118" s="242">
        <f t="shared" si="795"/>
        <v>0</v>
      </c>
      <c r="BA118" s="40">
        <f t="shared" si="795"/>
        <v>0</v>
      </c>
      <c r="BB118" s="242">
        <f t="shared" si="795"/>
        <v>0</v>
      </c>
      <c r="BC118" s="243">
        <f t="shared" si="795"/>
        <v>0</v>
      </c>
      <c r="BD118" s="242">
        <f t="shared" si="795"/>
        <v>0</v>
      </c>
      <c r="BE118" s="242">
        <f t="shared" si="795"/>
        <v>0</v>
      </c>
      <c r="BF118" s="242">
        <f t="shared" si="795"/>
        <v>0</v>
      </c>
      <c r="BG118" s="178">
        <f t="shared" si="795"/>
        <v>0</v>
      </c>
      <c r="BH118" s="24" t="e">
        <f>AD118/AD129</f>
        <v>#DIV/0!</v>
      </c>
      <c r="BJ118" s="64" t="s">
        <v>46</v>
      </c>
      <c r="BK118" s="38">
        <f t="shared" ref="BK118:BV118" si="796">IF(AG129&gt;0,AG118/AG129,0)</f>
        <v>0</v>
      </c>
      <c r="BL118" s="242">
        <f t="shared" si="796"/>
        <v>0</v>
      </c>
      <c r="BM118" s="242">
        <f t="shared" si="796"/>
        <v>0</v>
      </c>
      <c r="BN118" s="242">
        <f t="shared" si="796"/>
        <v>0</v>
      </c>
      <c r="BO118" s="242">
        <f t="shared" si="796"/>
        <v>0</v>
      </c>
      <c r="BP118" s="40">
        <f t="shared" si="796"/>
        <v>0</v>
      </c>
      <c r="BQ118" s="242">
        <f t="shared" si="796"/>
        <v>0</v>
      </c>
      <c r="BR118" s="243">
        <f t="shared" si="796"/>
        <v>0</v>
      </c>
      <c r="BS118" s="242">
        <f t="shared" si="796"/>
        <v>0</v>
      </c>
      <c r="BT118" s="242">
        <f t="shared" si="796"/>
        <v>0</v>
      </c>
      <c r="BU118" s="242">
        <f t="shared" si="796"/>
        <v>0</v>
      </c>
      <c r="BV118" s="178">
        <f t="shared" si="796"/>
        <v>0</v>
      </c>
      <c r="BW118" s="24" t="e">
        <f>AS118/AS129</f>
        <v>#DIV/0!</v>
      </c>
      <c r="BX118" s="24"/>
      <c r="BY118" s="64" t="s">
        <v>46</v>
      </c>
      <c r="BZ118" s="54">
        <f t="shared" si="750"/>
        <v>0</v>
      </c>
      <c r="CA118" s="55">
        <f t="shared" si="721"/>
        <v>0</v>
      </c>
      <c r="CB118" s="55">
        <f t="shared" si="722"/>
        <v>0</v>
      </c>
      <c r="CC118" s="55">
        <f t="shared" si="723"/>
        <v>0</v>
      </c>
      <c r="CD118" s="55">
        <f t="shared" si="724"/>
        <v>0</v>
      </c>
      <c r="CE118" s="60">
        <f t="shared" si="725"/>
        <v>0</v>
      </c>
      <c r="CF118" s="55">
        <f t="shared" si="726"/>
        <v>0</v>
      </c>
      <c r="CG118" s="246">
        <f t="shared" si="727"/>
        <v>0</v>
      </c>
      <c r="CH118" s="55">
        <f t="shared" si="728"/>
        <v>0</v>
      </c>
      <c r="CI118" s="55">
        <f t="shared" si="729"/>
        <v>0</v>
      </c>
      <c r="CJ118" s="55">
        <f t="shared" si="730"/>
        <v>0</v>
      </c>
      <c r="CK118" s="249">
        <f t="shared" si="730"/>
        <v>0</v>
      </c>
      <c r="CL118" s="55">
        <f t="shared" si="731"/>
        <v>0</v>
      </c>
      <c r="CN118" s="64" t="s">
        <v>46</v>
      </c>
      <c r="CO118" s="54">
        <f t="shared" si="751"/>
        <v>0</v>
      </c>
      <c r="CP118" s="55">
        <f t="shared" si="732"/>
        <v>0</v>
      </c>
      <c r="CQ118" s="55">
        <f t="shared" si="733"/>
        <v>0</v>
      </c>
      <c r="CR118" s="55">
        <f t="shared" si="734"/>
        <v>0</v>
      </c>
      <c r="CS118" s="55">
        <f t="shared" si="735"/>
        <v>0</v>
      </c>
      <c r="CT118" s="60">
        <f t="shared" si="736"/>
        <v>0</v>
      </c>
      <c r="CU118" s="55">
        <f t="shared" si="737"/>
        <v>0</v>
      </c>
      <c r="CV118" s="246">
        <f t="shared" si="738"/>
        <v>0</v>
      </c>
      <c r="CW118" s="55">
        <f t="shared" si="739"/>
        <v>0</v>
      </c>
      <c r="CX118" s="55">
        <f t="shared" si="740"/>
        <v>0</v>
      </c>
      <c r="CY118" s="55">
        <f t="shared" si="741"/>
        <v>0</v>
      </c>
      <c r="CZ118" s="249">
        <f t="shared" si="741"/>
        <v>0</v>
      </c>
      <c r="DA118" s="62" t="e">
        <f t="shared" si="742"/>
        <v>#DIV/0!</v>
      </c>
      <c r="DC118" s="64" t="s">
        <v>46</v>
      </c>
      <c r="DD118" s="198">
        <f t="shared" si="752"/>
        <v>0</v>
      </c>
      <c r="DE118" s="199">
        <f t="shared" si="753"/>
        <v>0</v>
      </c>
      <c r="DF118" s="198">
        <f t="shared" si="754"/>
        <v>0</v>
      </c>
      <c r="DG118" s="199">
        <f t="shared" si="755"/>
        <v>0</v>
      </c>
      <c r="DH118" s="198">
        <f t="shared" si="756"/>
        <v>0</v>
      </c>
      <c r="DI118" s="199">
        <f t="shared" si="757"/>
        <v>0</v>
      </c>
      <c r="DJ118" s="198">
        <f t="shared" si="758"/>
        <v>0</v>
      </c>
      <c r="DK118" s="199">
        <f t="shared" si="759"/>
        <v>0</v>
      </c>
      <c r="DL118" s="198">
        <f t="shared" si="760"/>
        <v>0</v>
      </c>
      <c r="DM118" s="199">
        <f t="shared" si="761"/>
        <v>0</v>
      </c>
      <c r="DN118" s="198">
        <f t="shared" si="762"/>
        <v>0</v>
      </c>
      <c r="DO118" s="199">
        <f t="shared" si="763"/>
        <v>0</v>
      </c>
      <c r="DP118" s="198">
        <f t="shared" si="764"/>
        <v>0</v>
      </c>
      <c r="DQ118" s="199">
        <f t="shared" si="765"/>
        <v>0</v>
      </c>
      <c r="DR118" s="198">
        <f t="shared" si="766"/>
        <v>0</v>
      </c>
      <c r="DS118" s="199">
        <f t="shared" si="767"/>
        <v>0</v>
      </c>
      <c r="DT118" s="198">
        <f t="shared" si="768"/>
        <v>0</v>
      </c>
      <c r="DU118" s="199">
        <f t="shared" si="769"/>
        <v>0</v>
      </c>
      <c r="DV118" s="198">
        <f t="shared" si="770"/>
        <v>0</v>
      </c>
      <c r="DW118" s="199">
        <f t="shared" si="771"/>
        <v>0</v>
      </c>
      <c r="DX118" s="198">
        <f t="shared" si="772"/>
        <v>0</v>
      </c>
      <c r="DY118" s="199">
        <f t="shared" si="773"/>
        <v>0</v>
      </c>
      <c r="DZ118" s="190">
        <f t="shared" si="774"/>
        <v>0</v>
      </c>
      <c r="EA118" s="199">
        <f t="shared" si="743"/>
        <v>0</v>
      </c>
      <c r="EB118" s="190" t="e">
        <f t="shared" si="775"/>
        <v>#DIV/0!</v>
      </c>
      <c r="EC118" s="190" t="e">
        <f t="shared" si="776"/>
        <v>#DIV/0!</v>
      </c>
    </row>
    <row r="119" spans="1:133" x14ac:dyDescent="0.2">
      <c r="A119" s="64" t="s">
        <v>47</v>
      </c>
      <c r="B119" s="38">
        <f>targets!AW112</f>
        <v>0</v>
      </c>
      <c r="C119" s="242">
        <f>targets!AX112</f>
        <v>0</v>
      </c>
      <c r="D119" s="242">
        <f>targets!AY112</f>
        <v>0</v>
      </c>
      <c r="E119" s="242">
        <f>targets!AZ112</f>
        <v>0</v>
      </c>
      <c r="F119" s="242">
        <f>targets!BA112</f>
        <v>0</v>
      </c>
      <c r="G119" s="41">
        <f>SUM(targets!BB112:BG112)</f>
        <v>8.8806144984749569</v>
      </c>
      <c r="H119" s="242">
        <f>SUM(targets!BH112:BM112)</f>
        <v>0</v>
      </c>
      <c r="I119" s="243">
        <f t="shared" si="744"/>
        <v>8.8806144984749569</v>
      </c>
      <c r="J119" s="242">
        <f>targets!BN112</f>
        <v>0</v>
      </c>
      <c r="K119" s="242">
        <f>targets!BO112</f>
        <v>0</v>
      </c>
      <c r="L119" s="242">
        <f>targets!BP112</f>
        <v>0</v>
      </c>
      <c r="M119" s="178">
        <f t="shared" si="745"/>
        <v>0</v>
      </c>
      <c r="N119" s="17">
        <f t="shared" si="706"/>
        <v>8.8806144984749569</v>
      </c>
      <c r="O119" s="17"/>
      <c r="P119" s="17"/>
      <c r="Q119" s="64" t="s">
        <v>47</v>
      </c>
      <c r="R119" s="38">
        <f t="shared" si="707"/>
        <v>0</v>
      </c>
      <c r="S119" s="242">
        <f t="shared" si="708"/>
        <v>0</v>
      </c>
      <c r="T119" s="242">
        <f t="shared" si="709"/>
        <v>0</v>
      </c>
      <c r="U119" s="242">
        <f t="shared" si="710"/>
        <v>0</v>
      </c>
      <c r="V119" s="242">
        <f t="shared" si="711"/>
        <v>0</v>
      </c>
      <c r="W119" s="41">
        <f t="shared" si="712"/>
        <v>0</v>
      </c>
      <c r="X119" s="242">
        <f t="shared" si="713"/>
        <v>0</v>
      </c>
      <c r="Y119" s="243">
        <f t="shared" si="746"/>
        <v>0</v>
      </c>
      <c r="Z119" s="242">
        <f t="shared" si="714"/>
        <v>0</v>
      </c>
      <c r="AA119" s="242">
        <f t="shared" si="715"/>
        <v>0</v>
      </c>
      <c r="AB119" s="242">
        <f t="shared" si="716"/>
        <v>0</v>
      </c>
      <c r="AC119" s="178">
        <f t="shared" si="777"/>
        <v>0</v>
      </c>
      <c r="AD119" s="17">
        <f t="shared" si="717"/>
        <v>0</v>
      </c>
      <c r="AF119" s="64" t="s">
        <v>47</v>
      </c>
      <c r="AG119" s="38">
        <f t="array" ref="AG119">SUM(IF((modeldata!$F:$F=calibration!$AF$106)*(modeldata!$G:$G=calibration!AG$108)*(modeldata!$H:$H=calibration!$AF119),modeldata!$E:$E,0))</f>
        <v>0</v>
      </c>
      <c r="AH119" s="242">
        <f t="array" ref="AH119">SUM(IF((modeldata!$F:$F=calibration!$AF$106)*(modeldata!$G:$G=calibration!AH$108)*(modeldata!$H:$H=calibration!$AF119),modeldata!$E:$E,0))</f>
        <v>0</v>
      </c>
      <c r="AI119" s="242">
        <f t="array" ref="AI119">SUM(IF((modeldata!$F:$F=calibration!$AF$106)*(modeldata!$G:$G=calibration!AI$108)*(modeldata!$H:$H=calibration!$AF119),modeldata!$E:$E,0))</f>
        <v>0</v>
      </c>
      <c r="AJ119" s="242">
        <f t="array" ref="AJ119">SUM(IF((modeldata!$F:$F=calibration!$AF$106)*(modeldata!$G:$G=calibration!AJ$108)*(modeldata!$H:$H=calibration!$AF119),modeldata!$E:$E,0))</f>
        <v>0</v>
      </c>
      <c r="AK119" s="242">
        <f t="array" ref="AK119">SUM(IF((modeldata!$F:$F=calibration!$AF$106)*(modeldata!$G:$G=calibration!AK$108)*(modeldata!$H:$H=calibration!$AF119),modeldata!$E:$E,0))</f>
        <v>0</v>
      </c>
      <c r="AL119" s="41">
        <f t="array" ref="AL119">SUM(IF((modeldata!$F:$F=calibration!$AF$106)*(modeldata!$G:$G=calibration!AL$108)*(modeldata!$H:$H=calibration!$AF119),modeldata!$E:$E,0))</f>
        <v>0</v>
      </c>
      <c r="AM119" s="242">
        <f t="array" ref="AM119">SUM(IF((modeldata!$F:$F=calibration!$AF$106)*(modeldata!$G:$G=calibration!AM$108)*(modeldata!$H:$H=calibration!$AF119),modeldata!$E:$E,0))</f>
        <v>0</v>
      </c>
      <c r="AN119" s="243">
        <f t="shared" si="785"/>
        <v>0</v>
      </c>
      <c r="AO119" s="242">
        <f t="array" ref="AO119">SUM(IF((modeldata!$F:$F=calibration!$AF$106)*(modeldata!$G:$G=calibration!AO$108)*(modeldata!$H:$H=calibration!$AF119),modeldata!$E:$E,0))</f>
        <v>0</v>
      </c>
      <c r="AP119" s="242">
        <f t="array" ref="AP119">SUM(IF((modeldata!$F:$F=calibration!$AF$106)*(modeldata!$G:$G=calibration!AP$108)*(modeldata!$H:$H=calibration!$AF119),modeldata!$E:$E,0))</f>
        <v>0</v>
      </c>
      <c r="AQ119" s="242">
        <f t="array" ref="AQ119">SUM(IF((modeldata!$F:$F=calibration!$AF$106)*(modeldata!$G:$G=calibration!AQ$108)*(modeldata!$H:$H=calibration!$AF119),modeldata!$E:$E,0))</f>
        <v>0</v>
      </c>
      <c r="AR119" s="178">
        <f t="shared" si="778"/>
        <v>0</v>
      </c>
      <c r="AS119" s="17">
        <f t="shared" si="718"/>
        <v>0</v>
      </c>
      <c r="AU119" s="64" t="s">
        <v>47</v>
      </c>
      <c r="AV119" s="38">
        <f t="shared" ref="AV119:BG119" si="797">IF(R129&gt;0,R119/R129,0)</f>
        <v>0</v>
      </c>
      <c r="AW119" s="242">
        <f t="shared" si="797"/>
        <v>0</v>
      </c>
      <c r="AX119" s="242">
        <f t="shared" si="797"/>
        <v>0</v>
      </c>
      <c r="AY119" s="242">
        <f t="shared" si="797"/>
        <v>0</v>
      </c>
      <c r="AZ119" s="242">
        <f t="shared" si="797"/>
        <v>0</v>
      </c>
      <c r="BA119" s="41">
        <f t="shared" si="797"/>
        <v>0</v>
      </c>
      <c r="BB119" s="242">
        <f t="shared" si="797"/>
        <v>0</v>
      </c>
      <c r="BC119" s="243">
        <f t="shared" si="797"/>
        <v>0</v>
      </c>
      <c r="BD119" s="242">
        <f t="shared" si="797"/>
        <v>0</v>
      </c>
      <c r="BE119" s="242">
        <f t="shared" si="797"/>
        <v>0</v>
      </c>
      <c r="BF119" s="242">
        <f t="shared" si="797"/>
        <v>0</v>
      </c>
      <c r="BG119" s="178">
        <f t="shared" si="797"/>
        <v>0</v>
      </c>
      <c r="BH119" s="24" t="e">
        <f>AD119/AD129</f>
        <v>#DIV/0!</v>
      </c>
      <c r="BJ119" s="64" t="s">
        <v>47</v>
      </c>
      <c r="BK119" s="38">
        <f t="shared" ref="BK119:BV119" si="798">IF(AG129&gt;0,AG119/AG129,0)</f>
        <v>0</v>
      </c>
      <c r="BL119" s="242">
        <f t="shared" si="798"/>
        <v>0</v>
      </c>
      <c r="BM119" s="242">
        <f t="shared" si="798"/>
        <v>0</v>
      </c>
      <c r="BN119" s="242">
        <f t="shared" si="798"/>
        <v>0</v>
      </c>
      <c r="BO119" s="242">
        <f t="shared" si="798"/>
        <v>0</v>
      </c>
      <c r="BP119" s="41">
        <f t="shared" si="798"/>
        <v>0</v>
      </c>
      <c r="BQ119" s="242">
        <f t="shared" si="798"/>
        <v>0</v>
      </c>
      <c r="BR119" s="243">
        <f t="shared" si="798"/>
        <v>0</v>
      </c>
      <c r="BS119" s="242">
        <f t="shared" si="798"/>
        <v>0</v>
      </c>
      <c r="BT119" s="242">
        <f t="shared" si="798"/>
        <v>0</v>
      </c>
      <c r="BU119" s="242">
        <f t="shared" si="798"/>
        <v>0</v>
      </c>
      <c r="BV119" s="178">
        <f t="shared" si="798"/>
        <v>0</v>
      </c>
      <c r="BW119" s="24" t="e">
        <f>AS119/AS129</f>
        <v>#DIV/0!</v>
      </c>
      <c r="BX119" s="24"/>
      <c r="BY119" s="64" t="s">
        <v>47</v>
      </c>
      <c r="BZ119" s="54">
        <f t="shared" si="750"/>
        <v>0</v>
      </c>
      <c r="CA119" s="55">
        <f t="shared" si="721"/>
        <v>0</v>
      </c>
      <c r="CB119" s="55">
        <f t="shared" si="722"/>
        <v>0</v>
      </c>
      <c r="CC119" s="55">
        <f t="shared" si="723"/>
        <v>0</v>
      </c>
      <c r="CD119" s="55">
        <f t="shared" si="724"/>
        <v>0</v>
      </c>
      <c r="CE119" s="61">
        <f t="shared" si="725"/>
        <v>0</v>
      </c>
      <c r="CF119" s="55">
        <f t="shared" si="726"/>
        <v>0</v>
      </c>
      <c r="CG119" s="246">
        <f t="shared" si="727"/>
        <v>0</v>
      </c>
      <c r="CH119" s="55">
        <f t="shared" si="728"/>
        <v>0</v>
      </c>
      <c r="CI119" s="55">
        <f t="shared" si="729"/>
        <v>0</v>
      </c>
      <c r="CJ119" s="55">
        <f t="shared" si="730"/>
        <v>0</v>
      </c>
      <c r="CK119" s="249">
        <f t="shared" si="730"/>
        <v>0</v>
      </c>
      <c r="CL119" s="55">
        <f t="shared" si="731"/>
        <v>0</v>
      </c>
      <c r="CN119" s="64" t="s">
        <v>47</v>
      </c>
      <c r="CO119" s="54">
        <f t="shared" si="751"/>
        <v>0</v>
      </c>
      <c r="CP119" s="55">
        <f t="shared" si="732"/>
        <v>0</v>
      </c>
      <c r="CQ119" s="55">
        <f t="shared" si="733"/>
        <v>0</v>
      </c>
      <c r="CR119" s="55">
        <f t="shared" si="734"/>
        <v>0</v>
      </c>
      <c r="CS119" s="55">
        <f t="shared" si="735"/>
        <v>0</v>
      </c>
      <c r="CT119" s="61">
        <f t="shared" si="736"/>
        <v>0</v>
      </c>
      <c r="CU119" s="55">
        <f t="shared" si="737"/>
        <v>0</v>
      </c>
      <c r="CV119" s="246">
        <f t="shared" si="738"/>
        <v>0</v>
      </c>
      <c r="CW119" s="55">
        <f t="shared" si="739"/>
        <v>0</v>
      </c>
      <c r="CX119" s="55">
        <f t="shared" si="740"/>
        <v>0</v>
      </c>
      <c r="CY119" s="55">
        <f t="shared" si="741"/>
        <v>0</v>
      </c>
      <c r="CZ119" s="249">
        <f t="shared" si="741"/>
        <v>0</v>
      </c>
      <c r="DA119" s="62" t="e">
        <f t="shared" si="742"/>
        <v>#DIV/0!</v>
      </c>
      <c r="DC119" s="64" t="s">
        <v>47</v>
      </c>
      <c r="DD119" s="198">
        <f t="shared" si="752"/>
        <v>0</v>
      </c>
      <c r="DE119" s="199">
        <f t="shared" si="753"/>
        <v>0</v>
      </c>
      <c r="DF119" s="198">
        <f t="shared" si="754"/>
        <v>0</v>
      </c>
      <c r="DG119" s="199">
        <f t="shared" si="755"/>
        <v>0</v>
      </c>
      <c r="DH119" s="198">
        <f t="shared" si="756"/>
        <v>0</v>
      </c>
      <c r="DI119" s="199">
        <f t="shared" si="757"/>
        <v>0</v>
      </c>
      <c r="DJ119" s="198">
        <f t="shared" si="758"/>
        <v>0</v>
      </c>
      <c r="DK119" s="199">
        <f t="shared" si="759"/>
        <v>0</v>
      </c>
      <c r="DL119" s="198">
        <f t="shared" si="760"/>
        <v>0</v>
      </c>
      <c r="DM119" s="199">
        <f t="shared" si="761"/>
        <v>0</v>
      </c>
      <c r="DN119" s="200">
        <f t="shared" si="762"/>
        <v>0</v>
      </c>
      <c r="DO119" s="201">
        <f t="shared" si="763"/>
        <v>0</v>
      </c>
      <c r="DP119" s="198">
        <f t="shared" si="764"/>
        <v>0</v>
      </c>
      <c r="DQ119" s="199">
        <f t="shared" si="765"/>
        <v>0</v>
      </c>
      <c r="DR119" s="198">
        <f t="shared" si="766"/>
        <v>0</v>
      </c>
      <c r="DS119" s="199">
        <f t="shared" si="767"/>
        <v>0</v>
      </c>
      <c r="DT119" s="198">
        <f t="shared" si="768"/>
        <v>0</v>
      </c>
      <c r="DU119" s="199">
        <f t="shared" si="769"/>
        <v>0</v>
      </c>
      <c r="DV119" s="198">
        <f t="shared" si="770"/>
        <v>0</v>
      </c>
      <c r="DW119" s="199">
        <f t="shared" si="771"/>
        <v>0</v>
      </c>
      <c r="DX119" s="198">
        <f t="shared" si="772"/>
        <v>0</v>
      </c>
      <c r="DY119" s="199">
        <f t="shared" si="773"/>
        <v>0</v>
      </c>
      <c r="DZ119" s="190">
        <f t="shared" si="774"/>
        <v>0</v>
      </c>
      <c r="EA119" s="199">
        <f t="shared" si="743"/>
        <v>0</v>
      </c>
      <c r="EB119" s="190" t="e">
        <f t="shared" si="775"/>
        <v>#DIV/0!</v>
      </c>
      <c r="EC119" s="190" t="e">
        <f t="shared" si="776"/>
        <v>#DIV/0!</v>
      </c>
    </row>
    <row r="120" spans="1:133" x14ac:dyDescent="0.2">
      <c r="A120" s="66" t="s">
        <v>40</v>
      </c>
      <c r="B120" s="38">
        <f>targets!AW113</f>
        <v>0</v>
      </c>
      <c r="C120" s="242">
        <f>targets!AX113</f>
        <v>0</v>
      </c>
      <c r="D120" s="242">
        <f>targets!AY113</f>
        <v>0</v>
      </c>
      <c r="E120" s="242">
        <f>targets!AZ113</f>
        <v>0</v>
      </c>
      <c r="F120" s="242">
        <f>targets!BA113</f>
        <v>0</v>
      </c>
      <c r="G120" s="242">
        <f>SUM(targets!BB113:BG113)</f>
        <v>0</v>
      </c>
      <c r="H120" s="39">
        <f>SUM(targets!BH113:BM113)</f>
        <v>380.54689540301604</v>
      </c>
      <c r="I120" s="243">
        <f t="shared" si="744"/>
        <v>380.54689540301604</v>
      </c>
      <c r="J120" s="242">
        <f>targets!BN113</f>
        <v>0</v>
      </c>
      <c r="K120" s="242">
        <f>targets!BO113</f>
        <v>0</v>
      </c>
      <c r="L120" s="242">
        <f>targets!BP113</f>
        <v>0</v>
      </c>
      <c r="M120" s="178">
        <f t="shared" si="745"/>
        <v>0</v>
      </c>
      <c r="N120" s="17">
        <f t="shared" si="706"/>
        <v>380.54689540301604</v>
      </c>
      <c r="O120" s="17"/>
      <c r="P120" s="17"/>
      <c r="Q120" s="66" t="s">
        <v>40</v>
      </c>
      <c r="R120" s="38">
        <f t="shared" si="707"/>
        <v>0</v>
      </c>
      <c r="S120" s="242">
        <f t="shared" si="708"/>
        <v>0</v>
      </c>
      <c r="T120" s="242">
        <f t="shared" si="709"/>
        <v>0</v>
      </c>
      <c r="U120" s="242">
        <f t="shared" si="710"/>
        <v>0</v>
      </c>
      <c r="V120" s="242">
        <f t="shared" si="711"/>
        <v>0</v>
      </c>
      <c r="W120" s="242">
        <f t="shared" si="712"/>
        <v>0</v>
      </c>
      <c r="X120" s="39">
        <f t="shared" si="713"/>
        <v>0</v>
      </c>
      <c r="Y120" s="243">
        <f t="shared" si="746"/>
        <v>0</v>
      </c>
      <c r="Z120" s="242">
        <f t="shared" si="714"/>
        <v>0</v>
      </c>
      <c r="AA120" s="242">
        <f t="shared" si="715"/>
        <v>0</v>
      </c>
      <c r="AB120" s="242">
        <f t="shared" si="716"/>
        <v>0</v>
      </c>
      <c r="AC120" s="178">
        <f t="shared" si="777"/>
        <v>0</v>
      </c>
      <c r="AD120" s="17">
        <f t="shared" si="717"/>
        <v>0</v>
      </c>
      <c r="AF120" s="66" t="s">
        <v>40</v>
      </c>
      <c r="AG120" s="38">
        <f t="array" ref="AG120">SUM(IF((modeldata!$F:$F=calibration!$AF$106)*(modeldata!$G:$G=calibration!AG$108)*(modeldata!$H:$H=calibration!$AF120),modeldata!$E:$E,0))</f>
        <v>0</v>
      </c>
      <c r="AH120" s="242">
        <f t="array" ref="AH120">SUM(IF((modeldata!$F:$F=calibration!$AF$106)*(modeldata!$G:$G=calibration!AH$108)*(modeldata!$H:$H=calibration!$AF120),modeldata!$E:$E,0))</f>
        <v>0</v>
      </c>
      <c r="AI120" s="242">
        <f t="array" ref="AI120">SUM(IF((modeldata!$F:$F=calibration!$AF$106)*(modeldata!$G:$G=calibration!AI$108)*(modeldata!$H:$H=calibration!$AF120),modeldata!$E:$E,0))</f>
        <v>0</v>
      </c>
      <c r="AJ120" s="242">
        <f t="array" ref="AJ120">SUM(IF((modeldata!$F:$F=calibration!$AF$106)*(modeldata!$G:$G=calibration!AJ$108)*(modeldata!$H:$H=calibration!$AF120),modeldata!$E:$E,0))</f>
        <v>0</v>
      </c>
      <c r="AK120" s="242">
        <f t="array" ref="AK120">SUM(IF((modeldata!$F:$F=calibration!$AF$106)*(modeldata!$G:$G=calibration!AK$108)*(modeldata!$H:$H=calibration!$AF120),modeldata!$E:$E,0))</f>
        <v>0</v>
      </c>
      <c r="AL120" s="242">
        <f t="array" ref="AL120">SUM(IF((modeldata!$F:$F=calibration!$AF$106)*(modeldata!$G:$G=calibration!AL$108)*(modeldata!$H:$H=calibration!$AF120),modeldata!$E:$E,0))</f>
        <v>0</v>
      </c>
      <c r="AM120" s="39">
        <f t="array" ref="AM120">SUM(IF((modeldata!$F:$F=calibration!$AF$106)*(modeldata!$G:$G=calibration!AM$108)*(modeldata!$H:$H=calibration!$AF120),modeldata!$E:$E,0))</f>
        <v>0</v>
      </c>
      <c r="AN120" s="243"/>
      <c r="AO120" s="242">
        <f t="array" ref="AO120">SUM(IF((modeldata!$F:$F=calibration!$AF$106)*(modeldata!$G:$G=calibration!AO$108)*(modeldata!$H:$H=calibration!$AF120),modeldata!$E:$E,0))</f>
        <v>0</v>
      </c>
      <c r="AP120" s="242">
        <f t="array" ref="AP120">SUM(IF((modeldata!$F:$F=calibration!$AF$106)*(modeldata!$G:$G=calibration!AP$108)*(modeldata!$H:$H=calibration!$AF120),modeldata!$E:$E,0))</f>
        <v>0</v>
      </c>
      <c r="AQ120" s="242">
        <f t="array" ref="AQ120">SUM(IF((modeldata!$F:$F=calibration!$AF$106)*(modeldata!$G:$G=calibration!AQ$108)*(modeldata!$H:$H=calibration!$AF120),modeldata!$E:$E,0))</f>
        <v>0</v>
      </c>
      <c r="AR120" s="178">
        <f t="shared" si="778"/>
        <v>0</v>
      </c>
      <c r="AS120" s="17">
        <f t="shared" si="718"/>
        <v>0</v>
      </c>
      <c r="AU120" s="66" t="s">
        <v>40</v>
      </c>
      <c r="AV120" s="38">
        <f t="shared" ref="AV120:BG120" si="799">IF(R129&gt;0,R120/R129,0)</f>
        <v>0</v>
      </c>
      <c r="AW120" s="242">
        <f t="shared" si="799"/>
        <v>0</v>
      </c>
      <c r="AX120" s="242">
        <f t="shared" si="799"/>
        <v>0</v>
      </c>
      <c r="AY120" s="242">
        <f t="shared" si="799"/>
        <v>0</v>
      </c>
      <c r="AZ120" s="242">
        <f t="shared" si="799"/>
        <v>0</v>
      </c>
      <c r="BA120" s="242">
        <f t="shared" si="799"/>
        <v>0</v>
      </c>
      <c r="BB120" s="39">
        <f t="shared" si="799"/>
        <v>0</v>
      </c>
      <c r="BC120" s="243">
        <f t="shared" si="799"/>
        <v>0</v>
      </c>
      <c r="BD120" s="242">
        <f t="shared" si="799"/>
        <v>0</v>
      </c>
      <c r="BE120" s="242">
        <f t="shared" si="799"/>
        <v>0</v>
      </c>
      <c r="BF120" s="242">
        <f t="shared" si="799"/>
        <v>0</v>
      </c>
      <c r="BG120" s="178">
        <f t="shared" si="799"/>
        <v>0</v>
      </c>
      <c r="BH120" s="24" t="e">
        <f>AD120/AD129</f>
        <v>#DIV/0!</v>
      </c>
      <c r="BJ120" s="66" t="s">
        <v>40</v>
      </c>
      <c r="BK120" s="38">
        <f t="shared" ref="BK120:BV120" si="800">IF(AG129&gt;0,AG120/AG129,0)</f>
        <v>0</v>
      </c>
      <c r="BL120" s="242">
        <f t="shared" si="800"/>
        <v>0</v>
      </c>
      <c r="BM120" s="242">
        <f t="shared" si="800"/>
        <v>0</v>
      </c>
      <c r="BN120" s="242">
        <f t="shared" si="800"/>
        <v>0</v>
      </c>
      <c r="BO120" s="242">
        <f t="shared" si="800"/>
        <v>0</v>
      </c>
      <c r="BP120" s="242">
        <f t="shared" si="800"/>
        <v>0</v>
      </c>
      <c r="BQ120" s="39">
        <f t="shared" si="800"/>
        <v>0</v>
      </c>
      <c r="BR120" s="243">
        <f t="shared" si="800"/>
        <v>0</v>
      </c>
      <c r="BS120" s="242">
        <f t="shared" si="800"/>
        <v>0</v>
      </c>
      <c r="BT120" s="242">
        <f t="shared" si="800"/>
        <v>0</v>
      </c>
      <c r="BU120" s="242">
        <f t="shared" si="800"/>
        <v>0</v>
      </c>
      <c r="BV120" s="178">
        <f t="shared" si="800"/>
        <v>0</v>
      </c>
      <c r="BW120" s="24" t="e">
        <f>AS120/AS129</f>
        <v>#DIV/0!</v>
      </c>
      <c r="BX120" s="24"/>
      <c r="BY120" s="66" t="s">
        <v>40</v>
      </c>
      <c r="BZ120" s="54">
        <f t="shared" si="750"/>
        <v>0</v>
      </c>
      <c r="CA120" s="55">
        <f t="shared" si="721"/>
        <v>0</v>
      </c>
      <c r="CB120" s="55">
        <f t="shared" si="722"/>
        <v>0</v>
      </c>
      <c r="CC120" s="55">
        <f t="shared" si="723"/>
        <v>0</v>
      </c>
      <c r="CD120" s="55">
        <f t="shared" si="724"/>
        <v>0</v>
      </c>
      <c r="CE120" s="55">
        <f t="shared" si="725"/>
        <v>0</v>
      </c>
      <c r="CF120" s="59">
        <f t="shared" si="726"/>
        <v>0</v>
      </c>
      <c r="CG120" s="246">
        <f t="shared" si="727"/>
        <v>0</v>
      </c>
      <c r="CH120" s="55">
        <f t="shared" si="728"/>
        <v>0</v>
      </c>
      <c r="CI120" s="55">
        <f t="shared" si="729"/>
        <v>0</v>
      </c>
      <c r="CJ120" s="55">
        <f t="shared" si="730"/>
        <v>0</v>
      </c>
      <c r="CK120" s="249">
        <f t="shared" si="730"/>
        <v>0</v>
      </c>
      <c r="CL120" s="55">
        <f t="shared" si="731"/>
        <v>0</v>
      </c>
      <c r="CN120" s="66" t="s">
        <v>40</v>
      </c>
      <c r="CO120" s="54">
        <f t="shared" si="751"/>
        <v>0</v>
      </c>
      <c r="CP120" s="55">
        <f t="shared" si="732"/>
        <v>0</v>
      </c>
      <c r="CQ120" s="55">
        <f t="shared" si="733"/>
        <v>0</v>
      </c>
      <c r="CR120" s="55">
        <f t="shared" si="734"/>
        <v>0</v>
      </c>
      <c r="CS120" s="55">
        <f t="shared" si="735"/>
        <v>0</v>
      </c>
      <c r="CT120" s="55">
        <f t="shared" si="736"/>
        <v>0</v>
      </c>
      <c r="CU120" s="59">
        <f t="shared" si="737"/>
        <v>0</v>
      </c>
      <c r="CV120" s="246">
        <f t="shared" si="738"/>
        <v>0</v>
      </c>
      <c r="CW120" s="55">
        <f t="shared" si="739"/>
        <v>0</v>
      </c>
      <c r="CX120" s="55">
        <f t="shared" si="740"/>
        <v>0</v>
      </c>
      <c r="CY120" s="55">
        <f t="shared" si="741"/>
        <v>0</v>
      </c>
      <c r="CZ120" s="249">
        <f t="shared" si="741"/>
        <v>0</v>
      </c>
      <c r="DA120" s="62" t="e">
        <f t="shared" si="742"/>
        <v>#DIV/0!</v>
      </c>
      <c r="DC120" s="66" t="s">
        <v>40</v>
      </c>
      <c r="DD120" s="198">
        <f t="shared" si="752"/>
        <v>0</v>
      </c>
      <c r="DE120" s="199">
        <f t="shared" si="753"/>
        <v>0</v>
      </c>
      <c r="DF120" s="198">
        <f t="shared" si="754"/>
        <v>0</v>
      </c>
      <c r="DG120" s="199">
        <f t="shared" si="755"/>
        <v>0</v>
      </c>
      <c r="DH120" s="198">
        <f t="shared" si="756"/>
        <v>0</v>
      </c>
      <c r="DI120" s="199">
        <f t="shared" si="757"/>
        <v>0</v>
      </c>
      <c r="DJ120" s="198">
        <f t="shared" si="758"/>
        <v>0</v>
      </c>
      <c r="DK120" s="199">
        <f t="shared" si="759"/>
        <v>0</v>
      </c>
      <c r="DL120" s="198">
        <f t="shared" si="760"/>
        <v>0</v>
      </c>
      <c r="DM120" s="199">
        <f t="shared" si="761"/>
        <v>0</v>
      </c>
      <c r="DN120" s="198">
        <f t="shared" si="762"/>
        <v>0</v>
      </c>
      <c r="DO120" s="199">
        <f t="shared" si="763"/>
        <v>0</v>
      </c>
      <c r="DP120" s="195">
        <f t="shared" si="764"/>
        <v>0</v>
      </c>
      <c r="DQ120" s="196">
        <f t="shared" si="765"/>
        <v>0</v>
      </c>
      <c r="DR120" s="198">
        <f t="shared" si="766"/>
        <v>0</v>
      </c>
      <c r="DS120" s="199">
        <f t="shared" si="767"/>
        <v>0</v>
      </c>
      <c r="DT120" s="198">
        <f t="shared" si="768"/>
        <v>0</v>
      </c>
      <c r="DU120" s="199">
        <f t="shared" si="769"/>
        <v>0</v>
      </c>
      <c r="DV120" s="198">
        <f t="shared" si="770"/>
        <v>0</v>
      </c>
      <c r="DW120" s="199">
        <f t="shared" si="771"/>
        <v>0</v>
      </c>
      <c r="DX120" s="198">
        <f t="shared" si="772"/>
        <v>0</v>
      </c>
      <c r="DY120" s="199">
        <f t="shared" si="773"/>
        <v>0</v>
      </c>
      <c r="DZ120" s="190">
        <f t="shared" si="774"/>
        <v>0</v>
      </c>
      <c r="EA120" s="199">
        <f t="shared" si="743"/>
        <v>0</v>
      </c>
      <c r="EB120" s="190" t="e">
        <f t="shared" si="775"/>
        <v>#DIV/0!</v>
      </c>
      <c r="EC120" s="190" t="e">
        <f t="shared" si="776"/>
        <v>#DIV/0!</v>
      </c>
    </row>
    <row r="121" spans="1:133" ht="25.5" x14ac:dyDescent="0.2">
      <c r="A121" s="66" t="s">
        <v>345</v>
      </c>
      <c r="B121" s="38">
        <f>targets!AW114</f>
        <v>0</v>
      </c>
      <c r="C121" s="242">
        <f>targets!AX114</f>
        <v>0</v>
      </c>
      <c r="D121" s="242">
        <f>targets!AY114</f>
        <v>0</v>
      </c>
      <c r="E121" s="242">
        <f>targets!AZ114</f>
        <v>0</v>
      </c>
      <c r="F121" s="242">
        <f>targets!BA114</f>
        <v>0</v>
      </c>
      <c r="G121" s="242">
        <f>SUM(targets!BB114:BG114)</f>
        <v>0</v>
      </c>
      <c r="H121" s="40">
        <f>SUM(targets!BH114:BM114)</f>
        <v>64.074488547668267</v>
      </c>
      <c r="I121" s="243">
        <f t="shared" si="744"/>
        <v>64.074488547668267</v>
      </c>
      <c r="J121" s="242">
        <f>targets!BN114</f>
        <v>0</v>
      </c>
      <c r="K121" s="242">
        <f>targets!BO114</f>
        <v>0</v>
      </c>
      <c r="L121" s="242">
        <f>targets!BP114</f>
        <v>0</v>
      </c>
      <c r="M121" s="178">
        <f t="shared" si="745"/>
        <v>0</v>
      </c>
      <c r="N121" s="17">
        <f t="shared" si="706"/>
        <v>64.074488547668267</v>
      </c>
      <c r="O121" s="17"/>
      <c r="P121" s="17"/>
      <c r="Q121" s="66" t="s">
        <v>345</v>
      </c>
      <c r="R121" s="38">
        <f t="shared" si="707"/>
        <v>0</v>
      </c>
      <c r="S121" s="242">
        <f t="shared" si="708"/>
        <v>0</v>
      </c>
      <c r="T121" s="242">
        <f t="shared" si="709"/>
        <v>0</v>
      </c>
      <c r="U121" s="242">
        <f t="shared" si="710"/>
        <v>0</v>
      </c>
      <c r="V121" s="242">
        <f t="shared" si="711"/>
        <v>0</v>
      </c>
      <c r="W121" s="242">
        <f t="shared" si="712"/>
        <v>0</v>
      </c>
      <c r="X121" s="40">
        <f t="shared" si="713"/>
        <v>0</v>
      </c>
      <c r="Y121" s="243">
        <f t="shared" si="746"/>
        <v>0</v>
      </c>
      <c r="Z121" s="242">
        <f t="shared" si="714"/>
        <v>0</v>
      </c>
      <c r="AA121" s="242">
        <f t="shared" si="715"/>
        <v>0</v>
      </c>
      <c r="AB121" s="242">
        <f t="shared" si="716"/>
        <v>0</v>
      </c>
      <c r="AC121" s="178">
        <f t="shared" si="777"/>
        <v>0</v>
      </c>
      <c r="AD121" s="17">
        <f t="shared" si="717"/>
        <v>0</v>
      </c>
      <c r="AF121" s="66" t="s">
        <v>345</v>
      </c>
      <c r="AG121" s="38">
        <f t="array" ref="AG121">SUM(IF((modeldata!$F:$F=calibration!$AF$106)*(modeldata!$G:$G=calibration!AG$108)*(modeldata!$H:$H=calibration!$AF121),modeldata!$E:$E,0))</f>
        <v>0</v>
      </c>
      <c r="AH121" s="242">
        <f t="array" ref="AH121">SUM(IF((modeldata!$F:$F=calibration!$AF$106)*(modeldata!$G:$G=calibration!AH$108)*(modeldata!$H:$H=calibration!$AF121),modeldata!$E:$E,0))</f>
        <v>0</v>
      </c>
      <c r="AI121" s="242">
        <f t="array" ref="AI121">SUM(IF((modeldata!$F:$F=calibration!$AF$106)*(modeldata!$G:$G=calibration!AI$108)*(modeldata!$H:$H=calibration!$AF121),modeldata!$E:$E,0))</f>
        <v>0</v>
      </c>
      <c r="AJ121" s="242">
        <f t="array" ref="AJ121">SUM(IF((modeldata!$F:$F=calibration!$AF$106)*(modeldata!$G:$G=calibration!AJ$108)*(modeldata!$H:$H=calibration!$AF121),modeldata!$E:$E,0))</f>
        <v>0</v>
      </c>
      <c r="AK121" s="242">
        <f t="array" ref="AK121">SUM(IF((modeldata!$F:$F=calibration!$AF$106)*(modeldata!$G:$G=calibration!AK$108)*(modeldata!$H:$H=calibration!$AF121),modeldata!$E:$E,0))</f>
        <v>0</v>
      </c>
      <c r="AL121" s="242">
        <f t="array" ref="AL121">SUM(IF((modeldata!$F:$F=calibration!$AF$106)*(modeldata!$G:$G=calibration!AL$108)*(modeldata!$H:$H=calibration!$AF121),modeldata!$E:$E,0))</f>
        <v>0</v>
      </c>
      <c r="AM121" s="40">
        <f t="array" ref="AM121">SUM(IF((modeldata!$F:$F=calibration!$AF$106)*(modeldata!$G:$G=calibration!AM$108)*(modeldata!$H:$H=calibration!$AF121),modeldata!$E:$E,0))</f>
        <v>0</v>
      </c>
      <c r="AN121" s="243"/>
      <c r="AO121" s="242">
        <f t="array" ref="AO121">SUM(IF((modeldata!$F:$F=calibration!$AF$106)*(modeldata!$G:$G=calibration!AO$108)*(modeldata!$H:$H=calibration!$AF121),modeldata!$E:$E,0))</f>
        <v>0</v>
      </c>
      <c r="AP121" s="242">
        <f t="array" ref="AP121">SUM(IF((modeldata!$F:$F=calibration!$AF$106)*(modeldata!$G:$G=calibration!AP$108)*(modeldata!$H:$H=calibration!$AF121),modeldata!$E:$E,0))</f>
        <v>0</v>
      </c>
      <c r="AQ121" s="242">
        <f t="array" ref="AQ121">SUM(IF((modeldata!$F:$F=calibration!$AF$106)*(modeldata!$G:$G=calibration!AQ$108)*(modeldata!$H:$H=calibration!$AF121),modeldata!$E:$E,0))</f>
        <v>0</v>
      </c>
      <c r="AR121" s="178">
        <f t="shared" si="778"/>
        <v>0</v>
      </c>
      <c r="AS121" s="17">
        <f t="shared" si="718"/>
        <v>0</v>
      </c>
      <c r="AU121" s="66" t="s">
        <v>345</v>
      </c>
      <c r="AV121" s="38">
        <f t="shared" ref="AV121:BG121" si="801">IF(R129&gt;0,R121/R129,0)</f>
        <v>0</v>
      </c>
      <c r="AW121" s="242">
        <f t="shared" si="801"/>
        <v>0</v>
      </c>
      <c r="AX121" s="242">
        <f t="shared" si="801"/>
        <v>0</v>
      </c>
      <c r="AY121" s="242">
        <f t="shared" si="801"/>
        <v>0</v>
      </c>
      <c r="AZ121" s="242">
        <f t="shared" si="801"/>
        <v>0</v>
      </c>
      <c r="BA121" s="242">
        <f t="shared" si="801"/>
        <v>0</v>
      </c>
      <c r="BB121" s="40">
        <f t="shared" si="801"/>
        <v>0</v>
      </c>
      <c r="BC121" s="243">
        <f t="shared" si="801"/>
        <v>0</v>
      </c>
      <c r="BD121" s="242">
        <f t="shared" si="801"/>
        <v>0</v>
      </c>
      <c r="BE121" s="242">
        <f t="shared" si="801"/>
        <v>0</v>
      </c>
      <c r="BF121" s="242">
        <f t="shared" si="801"/>
        <v>0</v>
      </c>
      <c r="BG121" s="178">
        <f t="shared" si="801"/>
        <v>0</v>
      </c>
      <c r="BH121" s="24" t="e">
        <f>AD121/AD129</f>
        <v>#DIV/0!</v>
      </c>
      <c r="BJ121" s="66" t="s">
        <v>345</v>
      </c>
      <c r="BK121" s="38">
        <f t="shared" ref="BK121:BV121" si="802">IF(AG129&gt;0,AG121/AG129,0)</f>
        <v>0</v>
      </c>
      <c r="BL121" s="242">
        <f t="shared" si="802"/>
        <v>0</v>
      </c>
      <c r="BM121" s="242">
        <f t="shared" si="802"/>
        <v>0</v>
      </c>
      <c r="BN121" s="242">
        <f t="shared" si="802"/>
        <v>0</v>
      </c>
      <c r="BO121" s="242">
        <f t="shared" si="802"/>
        <v>0</v>
      </c>
      <c r="BP121" s="242">
        <f t="shared" si="802"/>
        <v>0</v>
      </c>
      <c r="BQ121" s="40">
        <f t="shared" si="802"/>
        <v>0</v>
      </c>
      <c r="BR121" s="243">
        <f t="shared" si="802"/>
        <v>0</v>
      </c>
      <c r="BS121" s="242">
        <f t="shared" si="802"/>
        <v>0</v>
      </c>
      <c r="BT121" s="242">
        <f t="shared" si="802"/>
        <v>0</v>
      </c>
      <c r="BU121" s="242">
        <f t="shared" si="802"/>
        <v>0</v>
      </c>
      <c r="BV121" s="178">
        <f t="shared" si="802"/>
        <v>0</v>
      </c>
      <c r="BW121" s="24" t="e">
        <f>AS121/AS129</f>
        <v>#DIV/0!</v>
      </c>
      <c r="BX121" s="24"/>
      <c r="BY121" s="66" t="s">
        <v>345</v>
      </c>
      <c r="BZ121" s="54">
        <f t="shared" si="750"/>
        <v>0</v>
      </c>
      <c r="CA121" s="55">
        <f t="shared" si="721"/>
        <v>0</v>
      </c>
      <c r="CB121" s="55">
        <f t="shared" si="722"/>
        <v>0</v>
      </c>
      <c r="CC121" s="55">
        <f t="shared" si="723"/>
        <v>0</v>
      </c>
      <c r="CD121" s="55">
        <f t="shared" si="724"/>
        <v>0</v>
      </c>
      <c r="CE121" s="55">
        <f t="shared" si="725"/>
        <v>0</v>
      </c>
      <c r="CF121" s="60">
        <f t="shared" si="726"/>
        <v>0</v>
      </c>
      <c r="CG121" s="246">
        <f t="shared" si="727"/>
        <v>0</v>
      </c>
      <c r="CH121" s="55">
        <f t="shared" si="728"/>
        <v>0</v>
      </c>
      <c r="CI121" s="55">
        <f t="shared" si="729"/>
        <v>0</v>
      </c>
      <c r="CJ121" s="55">
        <f t="shared" si="730"/>
        <v>0</v>
      </c>
      <c r="CK121" s="249">
        <f t="shared" si="730"/>
        <v>0</v>
      </c>
      <c r="CL121" s="55">
        <f t="shared" si="731"/>
        <v>0</v>
      </c>
      <c r="CN121" s="66" t="s">
        <v>345</v>
      </c>
      <c r="CO121" s="54">
        <f t="shared" si="751"/>
        <v>0</v>
      </c>
      <c r="CP121" s="55">
        <f t="shared" si="732"/>
        <v>0</v>
      </c>
      <c r="CQ121" s="55">
        <f t="shared" si="733"/>
        <v>0</v>
      </c>
      <c r="CR121" s="55">
        <f t="shared" si="734"/>
        <v>0</v>
      </c>
      <c r="CS121" s="55">
        <f t="shared" si="735"/>
        <v>0</v>
      </c>
      <c r="CT121" s="55">
        <f t="shared" si="736"/>
        <v>0</v>
      </c>
      <c r="CU121" s="60">
        <f t="shared" si="737"/>
        <v>0</v>
      </c>
      <c r="CV121" s="246">
        <f t="shared" si="738"/>
        <v>0</v>
      </c>
      <c r="CW121" s="55">
        <f t="shared" si="739"/>
        <v>0</v>
      </c>
      <c r="CX121" s="55">
        <f t="shared" si="740"/>
        <v>0</v>
      </c>
      <c r="CY121" s="55">
        <f t="shared" si="741"/>
        <v>0</v>
      </c>
      <c r="CZ121" s="249">
        <f t="shared" si="741"/>
        <v>0</v>
      </c>
      <c r="DA121" s="62" t="e">
        <f t="shared" si="742"/>
        <v>#DIV/0!</v>
      </c>
      <c r="DC121" s="66" t="s">
        <v>345</v>
      </c>
      <c r="DD121" s="198">
        <f t="shared" si="752"/>
        <v>0</v>
      </c>
      <c r="DE121" s="199">
        <f t="shared" si="753"/>
        <v>0</v>
      </c>
      <c r="DF121" s="198">
        <f t="shared" si="754"/>
        <v>0</v>
      </c>
      <c r="DG121" s="199">
        <f t="shared" si="755"/>
        <v>0</v>
      </c>
      <c r="DH121" s="198">
        <f t="shared" si="756"/>
        <v>0</v>
      </c>
      <c r="DI121" s="199">
        <f t="shared" si="757"/>
        <v>0</v>
      </c>
      <c r="DJ121" s="198">
        <f t="shared" si="758"/>
        <v>0</v>
      </c>
      <c r="DK121" s="199">
        <f t="shared" si="759"/>
        <v>0</v>
      </c>
      <c r="DL121" s="198">
        <f t="shared" si="760"/>
        <v>0</v>
      </c>
      <c r="DM121" s="199">
        <f t="shared" si="761"/>
        <v>0</v>
      </c>
      <c r="DN121" s="198">
        <f t="shared" si="762"/>
        <v>0</v>
      </c>
      <c r="DO121" s="199">
        <f t="shared" si="763"/>
        <v>0</v>
      </c>
      <c r="DP121" s="198">
        <f t="shared" si="764"/>
        <v>0</v>
      </c>
      <c r="DQ121" s="199">
        <f t="shared" si="765"/>
        <v>0</v>
      </c>
      <c r="DR121" s="198">
        <f t="shared" si="766"/>
        <v>0</v>
      </c>
      <c r="DS121" s="199">
        <f t="shared" si="767"/>
        <v>0</v>
      </c>
      <c r="DT121" s="198">
        <f t="shared" si="768"/>
        <v>0</v>
      </c>
      <c r="DU121" s="199">
        <f t="shared" si="769"/>
        <v>0</v>
      </c>
      <c r="DV121" s="198">
        <f t="shared" si="770"/>
        <v>0</v>
      </c>
      <c r="DW121" s="199">
        <f t="shared" si="771"/>
        <v>0</v>
      </c>
      <c r="DX121" s="198">
        <f t="shared" si="772"/>
        <v>0</v>
      </c>
      <c r="DY121" s="199">
        <f t="shared" si="773"/>
        <v>0</v>
      </c>
      <c r="DZ121" s="190">
        <f t="shared" si="774"/>
        <v>0</v>
      </c>
      <c r="EA121" s="199">
        <f t="shared" si="743"/>
        <v>0</v>
      </c>
      <c r="EB121" s="190" t="e">
        <f t="shared" si="775"/>
        <v>#DIV/0!</v>
      </c>
      <c r="EC121" s="190" t="e">
        <f t="shared" si="776"/>
        <v>#DIV/0!</v>
      </c>
    </row>
    <row r="122" spans="1:133" x14ac:dyDescent="0.2">
      <c r="A122" s="2" t="s">
        <v>347</v>
      </c>
      <c r="B122" s="38">
        <f>targets!AW115</f>
        <v>0</v>
      </c>
      <c r="C122" s="242">
        <f>targets!AX115</f>
        <v>0</v>
      </c>
      <c r="D122" s="242">
        <f>targets!AY115</f>
        <v>0</v>
      </c>
      <c r="E122" s="242">
        <f>targets!AZ115</f>
        <v>0</v>
      </c>
      <c r="F122" s="242">
        <f>targets!BA115</f>
        <v>0</v>
      </c>
      <c r="G122" s="242">
        <f>SUM(targets!BB115:BG115)</f>
        <v>0</v>
      </c>
      <c r="H122" s="40">
        <f>SUM(targets!BH115:BM115)</f>
        <v>10375.553140134803</v>
      </c>
      <c r="I122" s="243">
        <f>SUM(G122:H122)</f>
        <v>10375.553140134803</v>
      </c>
      <c r="J122" s="242">
        <f>targets!BN115</f>
        <v>0</v>
      </c>
      <c r="K122" s="242">
        <f>targets!BO115</f>
        <v>0</v>
      </c>
      <c r="L122" s="242">
        <f>targets!BP115</f>
        <v>0</v>
      </c>
      <c r="M122" s="178">
        <f>SUM(J122:L122)</f>
        <v>0</v>
      </c>
      <c r="N122" s="17">
        <f>SUM(B122:L122)-I122</f>
        <v>10375.553140134803</v>
      </c>
      <c r="O122" s="17"/>
      <c r="P122" s="17"/>
      <c r="Q122" s="2" t="s">
        <v>347</v>
      </c>
      <c r="R122" s="38">
        <f t="shared" si="707"/>
        <v>0</v>
      </c>
      <c r="S122" s="242">
        <f t="shared" si="708"/>
        <v>0</v>
      </c>
      <c r="T122" s="242">
        <f t="shared" si="709"/>
        <v>0</v>
      </c>
      <c r="U122" s="242">
        <f t="shared" si="710"/>
        <v>0</v>
      </c>
      <c r="V122" s="242">
        <f t="shared" si="711"/>
        <v>0</v>
      </c>
      <c r="W122" s="242">
        <f t="shared" si="712"/>
        <v>0</v>
      </c>
      <c r="X122" s="40">
        <f t="shared" si="713"/>
        <v>0</v>
      </c>
      <c r="Y122" s="243">
        <f t="shared" ref="Y122" si="803">SUM(W122:X122)</f>
        <v>0</v>
      </c>
      <c r="Z122" s="242">
        <f t="shared" si="714"/>
        <v>0</v>
      </c>
      <c r="AA122" s="242">
        <f t="shared" si="715"/>
        <v>0</v>
      </c>
      <c r="AB122" s="242">
        <f t="shared" si="716"/>
        <v>0</v>
      </c>
      <c r="AC122" s="178">
        <f t="shared" ref="AC122" si="804">SUM(Z122:AB122)</f>
        <v>0</v>
      </c>
      <c r="AD122" s="17"/>
      <c r="AF122" s="2" t="s">
        <v>347</v>
      </c>
      <c r="AG122" s="38">
        <f t="array" ref="AG122">SUM(IF((modeldata!$F:$F=calibration!$AF$106)*(modeldata!$G:$G=calibration!AG$108)*(modeldata!$H:$H=calibration!$AF122),modeldata!$E:$E,0))</f>
        <v>0</v>
      </c>
      <c r="AH122" s="242">
        <f t="array" ref="AH122">SUM(IF((modeldata!$F:$F=calibration!$AF$106)*(modeldata!$G:$G=calibration!AH$108)*(modeldata!$H:$H=calibration!$AF122),modeldata!$E:$E,0))</f>
        <v>0</v>
      </c>
      <c r="AI122" s="242">
        <f t="array" ref="AI122">SUM(IF((modeldata!$F:$F=calibration!$AF$106)*(modeldata!$G:$G=calibration!AI$108)*(modeldata!$H:$H=calibration!$AF122),modeldata!$E:$E,0))</f>
        <v>0</v>
      </c>
      <c r="AJ122" s="242">
        <f t="array" ref="AJ122">SUM(IF((modeldata!$F:$F=calibration!$AF$106)*(modeldata!$G:$G=calibration!AJ$108)*(modeldata!$H:$H=calibration!$AF122),modeldata!$E:$E,0))</f>
        <v>0</v>
      </c>
      <c r="AK122" s="242">
        <f t="array" ref="AK122">SUM(IF((modeldata!$F:$F=calibration!$AF$106)*(modeldata!$G:$G=calibration!AK$108)*(modeldata!$H:$H=calibration!$AF122),modeldata!$E:$E,0))</f>
        <v>0</v>
      </c>
      <c r="AL122" s="242">
        <f t="array" ref="AL122">SUM(IF((modeldata!$F:$F=calibration!$AF$106)*(modeldata!$G:$G=calibration!AL$108)*(modeldata!$H:$H=calibration!$AF122),modeldata!$E:$E,0))</f>
        <v>0</v>
      </c>
      <c r="AM122" s="40">
        <f t="array" ref="AM122">SUM(IF((modeldata!$F:$F=calibration!$AF$106)*(modeldata!$G:$G=calibration!AM$108)*(modeldata!$H:$H=calibration!$AF122),modeldata!$E:$E,0))</f>
        <v>0</v>
      </c>
      <c r="AN122" s="243"/>
      <c r="AO122" s="242">
        <f t="array" ref="AO122">SUM(IF((modeldata!$F:$F=calibration!$AF$106)*(modeldata!$G:$G=calibration!AO$108)*(modeldata!$H:$H=calibration!$AF122),modeldata!$E:$E,0))</f>
        <v>0</v>
      </c>
      <c r="AP122" s="242">
        <f t="array" ref="AP122">SUM(IF((modeldata!$F:$F=calibration!$AF$106)*(modeldata!$G:$G=calibration!AP$108)*(modeldata!$H:$H=calibration!$AF122),modeldata!$E:$E,0))</f>
        <v>0</v>
      </c>
      <c r="AQ122" s="242">
        <f t="array" ref="AQ122">SUM(IF((modeldata!$F:$F=calibration!$AF$106)*(modeldata!$G:$G=calibration!AQ$108)*(modeldata!$H:$H=calibration!$AF122),modeldata!$E:$E,0))</f>
        <v>0</v>
      </c>
      <c r="AR122" s="178">
        <f>SUM(AO122:AQ122)</f>
        <v>0</v>
      </c>
      <c r="AS122" s="17">
        <f>SUM(AG122:AQ122)-AN122</f>
        <v>0</v>
      </c>
      <c r="AU122" s="2" t="s">
        <v>347</v>
      </c>
      <c r="AV122" s="38">
        <f t="shared" ref="AV122:BG122" si="805">IF(R131&gt;0,R122/R131,0)</f>
        <v>0</v>
      </c>
      <c r="AW122" s="242">
        <f t="shared" si="805"/>
        <v>0</v>
      </c>
      <c r="AX122" s="242">
        <f t="shared" si="805"/>
        <v>0</v>
      </c>
      <c r="AY122" s="242">
        <f t="shared" si="805"/>
        <v>0</v>
      </c>
      <c r="AZ122" s="242">
        <f t="shared" si="805"/>
        <v>0</v>
      </c>
      <c r="BA122" s="242">
        <f t="shared" si="805"/>
        <v>0</v>
      </c>
      <c r="BB122" s="40">
        <f t="shared" si="805"/>
        <v>0</v>
      </c>
      <c r="BC122" s="243">
        <f t="shared" si="805"/>
        <v>0</v>
      </c>
      <c r="BD122" s="242">
        <f t="shared" si="805"/>
        <v>0</v>
      </c>
      <c r="BE122" s="242">
        <f t="shared" si="805"/>
        <v>0</v>
      </c>
      <c r="BF122" s="242">
        <f t="shared" si="805"/>
        <v>0</v>
      </c>
      <c r="BG122" s="178">
        <f t="shared" si="805"/>
        <v>0</v>
      </c>
      <c r="BH122" s="24" t="e">
        <f>AD122/AD131</f>
        <v>#DIV/0!</v>
      </c>
      <c r="BJ122" s="2" t="s">
        <v>347</v>
      </c>
      <c r="BK122" s="38">
        <f t="shared" ref="BK122:BV122" si="806">IF(AG138&gt;0,AG122/AG138,0)</f>
        <v>0</v>
      </c>
      <c r="BL122" s="242">
        <f t="shared" si="806"/>
        <v>0</v>
      </c>
      <c r="BM122" s="242">
        <f t="shared" si="806"/>
        <v>0</v>
      </c>
      <c r="BN122" s="242">
        <f t="shared" si="806"/>
        <v>0</v>
      </c>
      <c r="BO122" s="242">
        <f t="shared" si="806"/>
        <v>0</v>
      </c>
      <c r="BP122" s="242">
        <f t="shared" si="806"/>
        <v>0</v>
      </c>
      <c r="BQ122" s="40">
        <f t="shared" si="806"/>
        <v>0</v>
      </c>
      <c r="BR122" s="243">
        <f t="shared" si="806"/>
        <v>0</v>
      </c>
      <c r="BS122" s="242">
        <f t="shared" si="806"/>
        <v>0</v>
      </c>
      <c r="BT122" s="242">
        <f t="shared" si="806"/>
        <v>0</v>
      </c>
      <c r="BU122" s="242">
        <f t="shared" si="806"/>
        <v>0</v>
      </c>
      <c r="BV122" s="178">
        <f t="shared" si="806"/>
        <v>0</v>
      </c>
      <c r="BW122" s="24" t="e">
        <f>AS122/AS138</f>
        <v>#DIV/0!</v>
      </c>
      <c r="BX122" s="24"/>
      <c r="BY122" s="2" t="s">
        <v>347</v>
      </c>
      <c r="BZ122" s="54">
        <f t="shared" ref="BZ122" si="807">AG122-R122</f>
        <v>0</v>
      </c>
      <c r="CA122" s="55">
        <f t="shared" ref="CA122" si="808">AH122-S122</f>
        <v>0</v>
      </c>
      <c r="CB122" s="55">
        <f t="shared" ref="CB122" si="809">AI122-T122</f>
        <v>0</v>
      </c>
      <c r="CC122" s="55">
        <f t="shared" ref="CC122" si="810">AJ122-U122</f>
        <v>0</v>
      </c>
      <c r="CD122" s="55">
        <f t="shared" ref="CD122" si="811">AK122-V122</f>
        <v>0</v>
      </c>
      <c r="CE122" s="55">
        <f t="shared" ref="CE122" si="812">AL122-W122</f>
        <v>0</v>
      </c>
      <c r="CF122" s="60">
        <f t="shared" ref="CF122" si="813">AM122-X122</f>
        <v>0</v>
      </c>
      <c r="CG122" s="246">
        <f t="shared" ref="CG122" si="814">AN122-Y122</f>
        <v>0</v>
      </c>
      <c r="CH122" s="55">
        <f t="shared" ref="CH122" si="815">AO122-Z122</f>
        <v>0</v>
      </c>
      <c r="CI122" s="55">
        <f t="shared" ref="CI122" si="816">AP122-AA122</f>
        <v>0</v>
      </c>
      <c r="CJ122" s="55">
        <f t="shared" ref="CJ122" si="817">AQ122-AB122</f>
        <v>0</v>
      </c>
      <c r="CK122" s="249">
        <f t="shared" ref="CK122" si="818">AR122-AC122</f>
        <v>0</v>
      </c>
      <c r="CL122" s="55">
        <f t="shared" ref="CL122" si="819">AS122-AD122</f>
        <v>0</v>
      </c>
      <c r="CN122" s="2" t="s">
        <v>347</v>
      </c>
      <c r="CO122" s="54">
        <f t="shared" ref="CO122" si="820">BK122-AV122</f>
        <v>0</v>
      </c>
      <c r="CP122" s="55">
        <f t="shared" ref="CP122" si="821">BL122-AW122</f>
        <v>0</v>
      </c>
      <c r="CQ122" s="55">
        <f t="shared" ref="CQ122" si="822">BM122-AX122</f>
        <v>0</v>
      </c>
      <c r="CR122" s="55">
        <f t="shared" ref="CR122" si="823">BN122-AY122</f>
        <v>0</v>
      </c>
      <c r="CS122" s="55">
        <f t="shared" ref="CS122" si="824">BO122-AZ122</f>
        <v>0</v>
      </c>
      <c r="CT122" s="55">
        <f t="shared" ref="CT122" si="825">BP122-BA122</f>
        <v>0</v>
      </c>
      <c r="CU122" s="60">
        <f t="shared" ref="CU122" si="826">BQ122-BB122</f>
        <v>0</v>
      </c>
      <c r="CV122" s="246">
        <f t="shared" ref="CV122" si="827">BR122-BC122</f>
        <v>0</v>
      </c>
      <c r="CW122" s="55">
        <f t="shared" ref="CW122" si="828">BS122-BD122</f>
        <v>0</v>
      </c>
      <c r="CX122" s="55">
        <f t="shared" ref="CX122" si="829">BT122-BE122</f>
        <v>0</v>
      </c>
      <c r="CY122" s="55">
        <f t="shared" ref="CY122" si="830">BU122-BF122</f>
        <v>0</v>
      </c>
      <c r="CZ122" s="249">
        <f t="shared" ref="CZ122" si="831">BV122-BG122</f>
        <v>0</v>
      </c>
      <c r="DA122" s="62" t="e">
        <f t="shared" ref="DA122" si="832">BW122-BH122</f>
        <v>#DIV/0!</v>
      </c>
      <c r="DC122" s="2" t="s">
        <v>347</v>
      </c>
      <c r="DD122" s="198">
        <f t="shared" ref="DD122" si="833">AV122</f>
        <v>0</v>
      </c>
      <c r="DE122" s="199">
        <f t="shared" ref="DE122" si="834">BK122</f>
        <v>0</v>
      </c>
      <c r="DF122" s="198">
        <f t="shared" ref="DF122" si="835">AW122</f>
        <v>0</v>
      </c>
      <c r="DG122" s="199">
        <f t="shared" ref="DG122" si="836">BL122</f>
        <v>0</v>
      </c>
      <c r="DH122" s="198">
        <f t="shared" ref="DH122" si="837">AX122</f>
        <v>0</v>
      </c>
      <c r="DI122" s="199">
        <f t="shared" ref="DI122" si="838">BM122</f>
        <v>0</v>
      </c>
      <c r="DJ122" s="198">
        <f t="shared" ref="DJ122" si="839">AY122</f>
        <v>0</v>
      </c>
      <c r="DK122" s="199">
        <f t="shared" ref="DK122" si="840">BN122</f>
        <v>0</v>
      </c>
      <c r="DL122" s="198">
        <f t="shared" ref="DL122" si="841">AZ122</f>
        <v>0</v>
      </c>
      <c r="DM122" s="199">
        <f t="shared" ref="DM122" si="842">BO122</f>
        <v>0</v>
      </c>
      <c r="DN122" s="198">
        <f t="shared" ref="DN122" si="843">BA122</f>
        <v>0</v>
      </c>
      <c r="DO122" s="199">
        <f t="shared" ref="DO122" si="844">BP122</f>
        <v>0</v>
      </c>
      <c r="DP122" s="198">
        <f t="shared" ref="DP122" si="845">BB122</f>
        <v>0</v>
      </c>
      <c r="DQ122" s="199">
        <f t="shared" ref="DQ122" si="846">BQ122</f>
        <v>0</v>
      </c>
      <c r="DR122" s="198">
        <f t="shared" ref="DR122" si="847">BC122</f>
        <v>0</v>
      </c>
      <c r="DS122" s="199">
        <f t="shared" ref="DS122" si="848">BR122</f>
        <v>0</v>
      </c>
      <c r="DT122" s="198">
        <f t="shared" ref="DT122" si="849">BD122</f>
        <v>0</v>
      </c>
      <c r="DU122" s="199">
        <f t="shared" ref="DU122" si="850">BS122</f>
        <v>0</v>
      </c>
      <c r="DV122" s="198">
        <f t="shared" ref="DV122" si="851">BE122</f>
        <v>0</v>
      </c>
      <c r="DW122" s="199">
        <f t="shared" ref="DW122" si="852">BT122</f>
        <v>0</v>
      </c>
      <c r="DX122" s="198">
        <f t="shared" ref="DX122" si="853">BF122</f>
        <v>0</v>
      </c>
      <c r="DY122" s="199">
        <f t="shared" ref="DY122" si="854">BU122</f>
        <v>0</v>
      </c>
      <c r="DZ122" s="190">
        <f t="shared" ref="DZ122" si="855">BG122</f>
        <v>0</v>
      </c>
      <c r="EA122" s="199">
        <f t="shared" ref="EA122" si="856">BV122</f>
        <v>0</v>
      </c>
      <c r="EB122" s="190" t="e">
        <f t="shared" ref="EB122" si="857">BH122</f>
        <v>#DIV/0!</v>
      </c>
      <c r="EC122" s="190" t="e">
        <f t="shared" ref="EC122" si="858">BW122</f>
        <v>#DIV/0!</v>
      </c>
    </row>
    <row r="123" spans="1:133" x14ac:dyDescent="0.2">
      <c r="A123" s="64" t="s">
        <v>50</v>
      </c>
      <c r="B123" s="38">
        <f>targets!AW116</f>
        <v>0</v>
      </c>
      <c r="C123" s="242">
        <f>targets!AX116</f>
        <v>0</v>
      </c>
      <c r="D123" s="242">
        <f>targets!AY116</f>
        <v>0</v>
      </c>
      <c r="E123" s="242">
        <f>targets!AZ116</f>
        <v>0</v>
      </c>
      <c r="F123" s="242">
        <f>targets!BA116</f>
        <v>0</v>
      </c>
      <c r="G123" s="242">
        <f>SUM(targets!BB116:BG116)</f>
        <v>0</v>
      </c>
      <c r="H123" s="40">
        <f>SUM(targets!BH116:BM116)</f>
        <v>762.26171878748721</v>
      </c>
      <c r="I123" s="243">
        <f t="shared" si="744"/>
        <v>762.26171878748721</v>
      </c>
      <c r="J123" s="242">
        <f>targets!BN116</f>
        <v>0</v>
      </c>
      <c r="K123" s="242">
        <f>targets!BO116</f>
        <v>0</v>
      </c>
      <c r="L123" s="242">
        <f>targets!BP116</f>
        <v>0</v>
      </c>
      <c r="M123" s="178">
        <f t="shared" si="745"/>
        <v>0</v>
      </c>
      <c r="N123" s="17">
        <f t="shared" si="706"/>
        <v>762.26171878748721</v>
      </c>
      <c r="O123" s="17"/>
      <c r="P123" s="17"/>
      <c r="Q123" s="64" t="s">
        <v>50</v>
      </c>
      <c r="R123" s="38">
        <f t="shared" si="707"/>
        <v>0</v>
      </c>
      <c r="S123" s="242">
        <f t="shared" si="708"/>
        <v>0</v>
      </c>
      <c r="T123" s="242">
        <f t="shared" si="709"/>
        <v>0</v>
      </c>
      <c r="U123" s="242">
        <f t="shared" si="710"/>
        <v>0</v>
      </c>
      <c r="V123" s="242">
        <f t="shared" si="711"/>
        <v>0</v>
      </c>
      <c r="W123" s="242">
        <f t="shared" si="712"/>
        <v>0</v>
      </c>
      <c r="X123" s="40">
        <f t="shared" si="713"/>
        <v>0</v>
      </c>
      <c r="Y123" s="243">
        <f t="shared" si="746"/>
        <v>0</v>
      </c>
      <c r="Z123" s="242">
        <f t="shared" si="714"/>
        <v>0</v>
      </c>
      <c r="AA123" s="242">
        <f t="shared" si="715"/>
        <v>0</v>
      </c>
      <c r="AB123" s="242">
        <f t="shared" si="716"/>
        <v>0</v>
      </c>
      <c r="AC123" s="178">
        <f t="shared" si="777"/>
        <v>0</v>
      </c>
      <c r="AD123" s="17">
        <f t="shared" si="717"/>
        <v>0</v>
      </c>
      <c r="AF123" s="64" t="s">
        <v>50</v>
      </c>
      <c r="AG123" s="38">
        <f t="array" ref="AG123">SUM(IF((modeldata!$F:$F=calibration!$AF$106)*(modeldata!$G:$G=calibration!AG$108)*(modeldata!$H:$H=calibration!$AF123),modeldata!$E:$E,0))</f>
        <v>0</v>
      </c>
      <c r="AH123" s="242">
        <f t="array" ref="AH123">SUM(IF((modeldata!$F:$F=calibration!$AF$106)*(modeldata!$G:$G=calibration!AH$108)*(modeldata!$H:$H=calibration!$AF123),modeldata!$E:$E,0))</f>
        <v>0</v>
      </c>
      <c r="AI123" s="242">
        <f t="array" ref="AI123">SUM(IF((modeldata!$F:$F=calibration!$AF$106)*(modeldata!$G:$G=calibration!AI$108)*(modeldata!$H:$H=calibration!$AF123),modeldata!$E:$E,0))</f>
        <v>0</v>
      </c>
      <c r="AJ123" s="242">
        <f t="array" ref="AJ123">SUM(IF((modeldata!$F:$F=calibration!$AF$106)*(modeldata!$G:$G=calibration!AJ$108)*(modeldata!$H:$H=calibration!$AF123),modeldata!$E:$E,0))</f>
        <v>0</v>
      </c>
      <c r="AK123" s="242">
        <f t="array" ref="AK123">SUM(IF((modeldata!$F:$F=calibration!$AF$106)*(modeldata!$G:$G=calibration!AK$108)*(modeldata!$H:$H=calibration!$AF123),modeldata!$E:$E,0))</f>
        <v>0</v>
      </c>
      <c r="AL123" s="242">
        <f t="array" ref="AL123">SUM(IF((modeldata!$F:$F=calibration!$AF$106)*(modeldata!$G:$G=calibration!AL$108)*(modeldata!$H:$H=calibration!$AF123),modeldata!$E:$E,0))</f>
        <v>0</v>
      </c>
      <c r="AM123" s="40">
        <f t="array" ref="AM123">SUM(IF((modeldata!$F:$F=calibration!$AF$106)*(modeldata!$G:$G=calibration!AM$108)*(modeldata!$H:$H=calibration!$AF123),modeldata!$E:$E,0))</f>
        <v>0</v>
      </c>
      <c r="AN123" s="243"/>
      <c r="AO123" s="242">
        <f t="array" ref="AO123">SUM(IF((modeldata!$F:$F=calibration!$AF$106)*(modeldata!$G:$G=calibration!AO$108)*(modeldata!$H:$H=calibration!$AF123),modeldata!$E:$E,0))</f>
        <v>0</v>
      </c>
      <c r="AP123" s="242">
        <f t="array" ref="AP123">SUM(IF((modeldata!$F:$F=calibration!$AF$106)*(modeldata!$G:$G=calibration!AP$108)*(modeldata!$H:$H=calibration!$AF123),modeldata!$E:$E,0))</f>
        <v>0</v>
      </c>
      <c r="AQ123" s="242">
        <f t="array" ref="AQ123">SUM(IF((modeldata!$F:$F=calibration!$AF$106)*(modeldata!$G:$G=calibration!AQ$108)*(modeldata!$H:$H=calibration!$AF123),modeldata!$E:$E,0))</f>
        <v>0</v>
      </c>
      <c r="AR123" s="178">
        <f t="shared" si="778"/>
        <v>0</v>
      </c>
      <c r="AS123" s="17">
        <f t="shared" si="718"/>
        <v>0</v>
      </c>
      <c r="AU123" s="64" t="s">
        <v>50</v>
      </c>
      <c r="AV123" s="38">
        <f t="shared" ref="AV123:BG123" si="859">IF(R129&gt;0,R123/R129,0)</f>
        <v>0</v>
      </c>
      <c r="AW123" s="242">
        <f t="shared" si="859"/>
        <v>0</v>
      </c>
      <c r="AX123" s="242">
        <f t="shared" si="859"/>
        <v>0</v>
      </c>
      <c r="AY123" s="242">
        <f t="shared" si="859"/>
        <v>0</v>
      </c>
      <c r="AZ123" s="242">
        <f t="shared" si="859"/>
        <v>0</v>
      </c>
      <c r="BA123" s="242">
        <f t="shared" si="859"/>
        <v>0</v>
      </c>
      <c r="BB123" s="40">
        <f t="shared" si="859"/>
        <v>0</v>
      </c>
      <c r="BC123" s="243">
        <f t="shared" si="859"/>
        <v>0</v>
      </c>
      <c r="BD123" s="242">
        <f t="shared" si="859"/>
        <v>0</v>
      </c>
      <c r="BE123" s="242">
        <f t="shared" si="859"/>
        <v>0</v>
      </c>
      <c r="BF123" s="242">
        <f t="shared" si="859"/>
        <v>0</v>
      </c>
      <c r="BG123" s="178">
        <f t="shared" si="859"/>
        <v>0</v>
      </c>
      <c r="BH123" s="24" t="e">
        <f>AD123/AD129</f>
        <v>#DIV/0!</v>
      </c>
      <c r="BJ123" s="64" t="s">
        <v>50</v>
      </c>
      <c r="BK123" s="38">
        <f t="shared" ref="BK123:BV123" si="860">IF(AG129&gt;0,AG123/AG129,0)</f>
        <v>0</v>
      </c>
      <c r="BL123" s="242">
        <f t="shared" si="860"/>
        <v>0</v>
      </c>
      <c r="BM123" s="242">
        <f t="shared" si="860"/>
        <v>0</v>
      </c>
      <c r="BN123" s="242">
        <f t="shared" si="860"/>
        <v>0</v>
      </c>
      <c r="BO123" s="242">
        <f t="shared" si="860"/>
        <v>0</v>
      </c>
      <c r="BP123" s="242">
        <f t="shared" si="860"/>
        <v>0</v>
      </c>
      <c r="BQ123" s="40">
        <f t="shared" si="860"/>
        <v>0</v>
      </c>
      <c r="BR123" s="243">
        <f t="shared" si="860"/>
        <v>0</v>
      </c>
      <c r="BS123" s="242">
        <f t="shared" si="860"/>
        <v>0</v>
      </c>
      <c r="BT123" s="242">
        <f t="shared" si="860"/>
        <v>0</v>
      </c>
      <c r="BU123" s="242">
        <f t="shared" si="860"/>
        <v>0</v>
      </c>
      <c r="BV123" s="178">
        <f t="shared" si="860"/>
        <v>0</v>
      </c>
      <c r="BW123" s="24" t="e">
        <f>AS123/AS129</f>
        <v>#DIV/0!</v>
      </c>
      <c r="BX123" s="24"/>
      <c r="BY123" s="64" t="s">
        <v>50</v>
      </c>
      <c r="BZ123" s="54">
        <f t="shared" si="750"/>
        <v>0</v>
      </c>
      <c r="CA123" s="55">
        <f t="shared" si="721"/>
        <v>0</v>
      </c>
      <c r="CB123" s="55">
        <f t="shared" si="722"/>
        <v>0</v>
      </c>
      <c r="CC123" s="55">
        <f t="shared" si="723"/>
        <v>0</v>
      </c>
      <c r="CD123" s="55">
        <f t="shared" si="724"/>
        <v>0</v>
      </c>
      <c r="CE123" s="55">
        <f t="shared" si="725"/>
        <v>0</v>
      </c>
      <c r="CF123" s="60">
        <f t="shared" si="726"/>
        <v>0</v>
      </c>
      <c r="CG123" s="246">
        <f t="shared" si="727"/>
        <v>0</v>
      </c>
      <c r="CH123" s="55">
        <f t="shared" si="728"/>
        <v>0</v>
      </c>
      <c r="CI123" s="55">
        <f t="shared" si="729"/>
        <v>0</v>
      </c>
      <c r="CJ123" s="55">
        <f t="shared" si="730"/>
        <v>0</v>
      </c>
      <c r="CK123" s="249">
        <f t="shared" si="730"/>
        <v>0</v>
      </c>
      <c r="CL123" s="55">
        <f t="shared" si="731"/>
        <v>0</v>
      </c>
      <c r="CN123" s="64" t="s">
        <v>50</v>
      </c>
      <c r="CO123" s="54">
        <f t="shared" si="751"/>
        <v>0</v>
      </c>
      <c r="CP123" s="55">
        <f t="shared" si="732"/>
        <v>0</v>
      </c>
      <c r="CQ123" s="55">
        <f t="shared" si="733"/>
        <v>0</v>
      </c>
      <c r="CR123" s="55">
        <f t="shared" si="734"/>
        <v>0</v>
      </c>
      <c r="CS123" s="55">
        <f t="shared" si="735"/>
        <v>0</v>
      </c>
      <c r="CT123" s="55">
        <f t="shared" si="736"/>
        <v>0</v>
      </c>
      <c r="CU123" s="60">
        <f t="shared" si="737"/>
        <v>0</v>
      </c>
      <c r="CV123" s="246">
        <f t="shared" si="738"/>
        <v>0</v>
      </c>
      <c r="CW123" s="55">
        <f t="shared" si="739"/>
        <v>0</v>
      </c>
      <c r="CX123" s="55">
        <f t="shared" si="740"/>
        <v>0</v>
      </c>
      <c r="CY123" s="55">
        <f t="shared" si="741"/>
        <v>0</v>
      </c>
      <c r="CZ123" s="249">
        <f t="shared" si="741"/>
        <v>0</v>
      </c>
      <c r="DA123" s="62" t="e">
        <f t="shared" si="742"/>
        <v>#DIV/0!</v>
      </c>
      <c r="DC123" s="64" t="s">
        <v>50</v>
      </c>
      <c r="DD123" s="198">
        <f t="shared" si="752"/>
        <v>0</v>
      </c>
      <c r="DE123" s="199">
        <f t="shared" si="753"/>
        <v>0</v>
      </c>
      <c r="DF123" s="198">
        <f t="shared" si="754"/>
        <v>0</v>
      </c>
      <c r="DG123" s="199">
        <f t="shared" si="755"/>
        <v>0</v>
      </c>
      <c r="DH123" s="198">
        <f t="shared" si="756"/>
        <v>0</v>
      </c>
      <c r="DI123" s="199">
        <f t="shared" si="757"/>
        <v>0</v>
      </c>
      <c r="DJ123" s="198">
        <f t="shared" si="758"/>
        <v>0</v>
      </c>
      <c r="DK123" s="199">
        <f t="shared" si="759"/>
        <v>0</v>
      </c>
      <c r="DL123" s="198">
        <f t="shared" si="760"/>
        <v>0</v>
      </c>
      <c r="DM123" s="199">
        <f t="shared" si="761"/>
        <v>0</v>
      </c>
      <c r="DN123" s="198">
        <f t="shared" si="762"/>
        <v>0</v>
      </c>
      <c r="DO123" s="199">
        <f t="shared" si="763"/>
        <v>0</v>
      </c>
      <c r="DP123" s="198">
        <f t="shared" si="764"/>
        <v>0</v>
      </c>
      <c r="DQ123" s="199">
        <f t="shared" si="765"/>
        <v>0</v>
      </c>
      <c r="DR123" s="198">
        <f t="shared" si="766"/>
        <v>0</v>
      </c>
      <c r="DS123" s="199">
        <f t="shared" si="767"/>
        <v>0</v>
      </c>
      <c r="DT123" s="198">
        <f t="shared" si="768"/>
        <v>0</v>
      </c>
      <c r="DU123" s="199">
        <f t="shared" si="769"/>
        <v>0</v>
      </c>
      <c r="DV123" s="198">
        <f t="shared" si="770"/>
        <v>0</v>
      </c>
      <c r="DW123" s="199">
        <f t="shared" si="771"/>
        <v>0</v>
      </c>
      <c r="DX123" s="198">
        <f t="shared" si="772"/>
        <v>0</v>
      </c>
      <c r="DY123" s="199">
        <f t="shared" si="773"/>
        <v>0</v>
      </c>
      <c r="DZ123" s="190">
        <f t="shared" si="774"/>
        <v>0</v>
      </c>
      <c r="EA123" s="199">
        <f t="shared" si="743"/>
        <v>0</v>
      </c>
      <c r="EB123" s="190" t="e">
        <f t="shared" si="775"/>
        <v>#DIV/0!</v>
      </c>
      <c r="EC123" s="190" t="e">
        <f t="shared" si="776"/>
        <v>#DIV/0!</v>
      </c>
    </row>
    <row r="124" spans="1:133" x14ac:dyDescent="0.2">
      <c r="A124" s="64" t="s">
        <v>51</v>
      </c>
      <c r="B124" s="38">
        <f>targets!AW117</f>
        <v>0</v>
      </c>
      <c r="C124" s="242">
        <f>targets!AX117</f>
        <v>0</v>
      </c>
      <c r="D124" s="242">
        <f>targets!AY117</f>
        <v>0</v>
      </c>
      <c r="E124" s="242">
        <f>targets!AZ117</f>
        <v>0</v>
      </c>
      <c r="F124" s="242">
        <f>targets!BA117</f>
        <v>0</v>
      </c>
      <c r="G124" s="242">
        <f>SUM(targets!BB117:BG117)</f>
        <v>0</v>
      </c>
      <c r="H124" s="40">
        <f>SUM(targets!BH117:BM117)</f>
        <v>0</v>
      </c>
      <c r="I124" s="243">
        <f t="shared" si="744"/>
        <v>0</v>
      </c>
      <c r="J124" s="242">
        <f>targets!BN117</f>
        <v>1771.1510569028364</v>
      </c>
      <c r="K124" s="242">
        <f>targets!BO117</f>
        <v>45.255197656221533</v>
      </c>
      <c r="L124" s="242">
        <f>targets!BP117</f>
        <v>0</v>
      </c>
      <c r="M124" s="178">
        <f t="shared" si="745"/>
        <v>1816.406254559058</v>
      </c>
      <c r="N124" s="17">
        <f t="shared" si="706"/>
        <v>1816.406254559058</v>
      </c>
      <c r="O124" s="17"/>
      <c r="P124" s="17"/>
      <c r="Q124" s="64" t="s">
        <v>51</v>
      </c>
      <c r="R124" s="38">
        <f t="shared" si="707"/>
        <v>0</v>
      </c>
      <c r="S124" s="242">
        <f t="shared" si="708"/>
        <v>0</v>
      </c>
      <c r="T124" s="242">
        <f t="shared" si="709"/>
        <v>0</v>
      </c>
      <c r="U124" s="242">
        <f t="shared" si="710"/>
        <v>0</v>
      </c>
      <c r="V124" s="242">
        <f t="shared" si="711"/>
        <v>0</v>
      </c>
      <c r="W124" s="242">
        <f t="shared" si="712"/>
        <v>0</v>
      </c>
      <c r="X124" s="40">
        <f t="shared" si="713"/>
        <v>0</v>
      </c>
      <c r="Y124" s="243">
        <f t="shared" si="746"/>
        <v>0</v>
      </c>
      <c r="Z124" s="242">
        <f t="shared" si="714"/>
        <v>0</v>
      </c>
      <c r="AA124" s="242">
        <f t="shared" si="715"/>
        <v>0</v>
      </c>
      <c r="AB124" s="242">
        <f t="shared" si="716"/>
        <v>0</v>
      </c>
      <c r="AC124" s="178">
        <f t="shared" si="777"/>
        <v>0</v>
      </c>
      <c r="AD124" s="17">
        <f t="shared" si="717"/>
        <v>0</v>
      </c>
      <c r="AF124" s="64" t="s">
        <v>51</v>
      </c>
      <c r="AG124" s="38">
        <f t="array" ref="AG124">SUM(IF((modeldata!$F:$F=calibration!$AF$106)*(modeldata!$G:$G=calibration!AG$108)*(modeldata!$H:$H=calibration!$AF124),modeldata!$E:$E,0))</f>
        <v>0</v>
      </c>
      <c r="AH124" s="242">
        <f t="array" ref="AH124">SUM(IF((modeldata!$F:$F=calibration!$AF$106)*(modeldata!$G:$G=calibration!AH$108)*(modeldata!$H:$H=calibration!$AF124),modeldata!$E:$E,0))</f>
        <v>0</v>
      </c>
      <c r="AI124" s="242">
        <f t="array" ref="AI124">SUM(IF((modeldata!$F:$F=calibration!$AF$106)*(modeldata!$G:$G=calibration!AI$108)*(modeldata!$H:$H=calibration!$AF124),modeldata!$E:$E,0))</f>
        <v>0</v>
      </c>
      <c r="AJ124" s="242">
        <f t="array" ref="AJ124">SUM(IF((modeldata!$F:$F=calibration!$AF$106)*(modeldata!$G:$G=calibration!AJ$108)*(modeldata!$H:$H=calibration!$AF124),modeldata!$E:$E,0))</f>
        <v>0</v>
      </c>
      <c r="AK124" s="242">
        <f t="array" ref="AK124">SUM(IF((modeldata!$F:$F=calibration!$AF$106)*(modeldata!$G:$G=calibration!AK$108)*(modeldata!$H:$H=calibration!$AF124),modeldata!$E:$E,0))</f>
        <v>0</v>
      </c>
      <c r="AL124" s="242">
        <f t="array" ref="AL124">SUM(IF((modeldata!$F:$F=calibration!$AF$106)*(modeldata!$G:$G=calibration!AL$108)*(modeldata!$H:$H=calibration!$AF124),modeldata!$E:$E,0))</f>
        <v>0</v>
      </c>
      <c r="AM124" s="40">
        <f t="array" ref="AM124">SUM(IF((modeldata!$F:$F=calibration!$AF$106)*(modeldata!$G:$G=calibration!AM$108)*(modeldata!$H:$H=calibration!$AF124),modeldata!$E:$E,0))</f>
        <v>0</v>
      </c>
      <c r="AN124" s="243"/>
      <c r="AO124" s="242">
        <f t="array" ref="AO124">SUM(IF((modeldata!$F:$F=calibration!$AF$106)*(modeldata!$G:$G=calibration!AO$108)*(modeldata!$H:$H=calibration!$AF124),modeldata!$E:$E,0))</f>
        <v>0</v>
      </c>
      <c r="AP124" s="242">
        <f t="array" ref="AP124">SUM(IF((modeldata!$F:$F=calibration!$AF$106)*(modeldata!$G:$G=calibration!AP$108)*(modeldata!$H:$H=calibration!$AF124),modeldata!$E:$E,0))</f>
        <v>0</v>
      </c>
      <c r="AQ124" s="242">
        <f t="array" ref="AQ124">SUM(IF((modeldata!$F:$F=calibration!$AF$106)*(modeldata!$G:$G=calibration!AQ$108)*(modeldata!$H:$H=calibration!$AF124),modeldata!$E:$E,0))</f>
        <v>0</v>
      </c>
      <c r="AR124" s="178">
        <f t="shared" si="778"/>
        <v>0</v>
      </c>
      <c r="AS124" s="17">
        <f t="shared" si="718"/>
        <v>0</v>
      </c>
      <c r="AU124" s="64" t="s">
        <v>51</v>
      </c>
      <c r="AV124" s="38">
        <f t="shared" ref="AV124:BG124" si="861">IF(R129&gt;0,R124/R129,0)</f>
        <v>0</v>
      </c>
      <c r="AW124" s="242">
        <f t="shared" si="861"/>
        <v>0</v>
      </c>
      <c r="AX124" s="242">
        <f t="shared" si="861"/>
        <v>0</v>
      </c>
      <c r="AY124" s="242">
        <f t="shared" si="861"/>
        <v>0</v>
      </c>
      <c r="AZ124" s="242">
        <f t="shared" si="861"/>
        <v>0</v>
      </c>
      <c r="BA124" s="242">
        <f t="shared" si="861"/>
        <v>0</v>
      </c>
      <c r="BB124" s="40">
        <f t="shared" si="861"/>
        <v>0</v>
      </c>
      <c r="BC124" s="243">
        <f t="shared" si="861"/>
        <v>0</v>
      </c>
      <c r="BD124" s="242">
        <f t="shared" si="861"/>
        <v>0</v>
      </c>
      <c r="BE124" s="242">
        <f t="shared" si="861"/>
        <v>0</v>
      </c>
      <c r="BF124" s="242">
        <f t="shared" si="861"/>
        <v>0</v>
      </c>
      <c r="BG124" s="178">
        <f t="shared" si="861"/>
        <v>0</v>
      </c>
      <c r="BH124" s="24" t="e">
        <f>AD124/AD129</f>
        <v>#DIV/0!</v>
      </c>
      <c r="BJ124" s="64" t="s">
        <v>51</v>
      </c>
      <c r="BK124" s="38">
        <f t="shared" ref="BK124:BV124" si="862">IF(AG129&gt;0,AG124/AG129,0)</f>
        <v>0</v>
      </c>
      <c r="BL124" s="242">
        <f t="shared" si="862"/>
        <v>0</v>
      </c>
      <c r="BM124" s="242">
        <f t="shared" si="862"/>
        <v>0</v>
      </c>
      <c r="BN124" s="242">
        <f t="shared" si="862"/>
        <v>0</v>
      </c>
      <c r="BO124" s="242">
        <f t="shared" si="862"/>
        <v>0</v>
      </c>
      <c r="BP124" s="242">
        <f t="shared" si="862"/>
        <v>0</v>
      </c>
      <c r="BQ124" s="40">
        <f t="shared" si="862"/>
        <v>0</v>
      </c>
      <c r="BR124" s="243">
        <f t="shared" si="862"/>
        <v>0</v>
      </c>
      <c r="BS124" s="242">
        <f t="shared" si="862"/>
        <v>0</v>
      </c>
      <c r="BT124" s="242">
        <f t="shared" si="862"/>
        <v>0</v>
      </c>
      <c r="BU124" s="242">
        <f t="shared" si="862"/>
        <v>0</v>
      </c>
      <c r="BV124" s="178">
        <f t="shared" si="862"/>
        <v>0</v>
      </c>
      <c r="BW124" s="24" t="e">
        <f>AS124/AS129</f>
        <v>#DIV/0!</v>
      </c>
      <c r="BX124" s="24"/>
      <c r="BY124" s="64" t="s">
        <v>51</v>
      </c>
      <c r="BZ124" s="54">
        <f t="shared" si="750"/>
        <v>0</v>
      </c>
      <c r="CA124" s="55">
        <f t="shared" si="721"/>
        <v>0</v>
      </c>
      <c r="CB124" s="55">
        <f t="shared" si="722"/>
        <v>0</v>
      </c>
      <c r="CC124" s="55">
        <f t="shared" si="723"/>
        <v>0</v>
      </c>
      <c r="CD124" s="55">
        <f t="shared" si="724"/>
        <v>0</v>
      </c>
      <c r="CE124" s="55">
        <f t="shared" si="725"/>
        <v>0</v>
      </c>
      <c r="CF124" s="60">
        <f t="shared" si="726"/>
        <v>0</v>
      </c>
      <c r="CG124" s="246">
        <f t="shared" si="727"/>
        <v>0</v>
      </c>
      <c r="CH124" s="55">
        <f t="shared" si="728"/>
        <v>0</v>
      </c>
      <c r="CI124" s="55">
        <f t="shared" si="729"/>
        <v>0</v>
      </c>
      <c r="CJ124" s="55">
        <f t="shared" si="730"/>
        <v>0</v>
      </c>
      <c r="CK124" s="249">
        <f t="shared" si="730"/>
        <v>0</v>
      </c>
      <c r="CL124" s="55">
        <f t="shared" si="731"/>
        <v>0</v>
      </c>
      <c r="CN124" s="64" t="s">
        <v>51</v>
      </c>
      <c r="CO124" s="54">
        <f t="shared" si="751"/>
        <v>0</v>
      </c>
      <c r="CP124" s="55">
        <f t="shared" si="732"/>
        <v>0</v>
      </c>
      <c r="CQ124" s="55">
        <f t="shared" si="733"/>
        <v>0</v>
      </c>
      <c r="CR124" s="55">
        <f t="shared" si="734"/>
        <v>0</v>
      </c>
      <c r="CS124" s="55">
        <f t="shared" si="735"/>
        <v>0</v>
      </c>
      <c r="CT124" s="55">
        <f t="shared" si="736"/>
        <v>0</v>
      </c>
      <c r="CU124" s="60">
        <f t="shared" si="737"/>
        <v>0</v>
      </c>
      <c r="CV124" s="246">
        <f t="shared" si="738"/>
        <v>0</v>
      </c>
      <c r="CW124" s="55">
        <f t="shared" si="739"/>
        <v>0</v>
      </c>
      <c r="CX124" s="55">
        <f t="shared" si="740"/>
        <v>0</v>
      </c>
      <c r="CY124" s="55">
        <f t="shared" si="741"/>
        <v>0</v>
      </c>
      <c r="CZ124" s="249">
        <f t="shared" si="741"/>
        <v>0</v>
      </c>
      <c r="DA124" s="62" t="e">
        <f t="shared" si="742"/>
        <v>#DIV/0!</v>
      </c>
      <c r="DC124" s="64" t="s">
        <v>51</v>
      </c>
      <c r="DD124" s="198">
        <f t="shared" si="752"/>
        <v>0</v>
      </c>
      <c r="DE124" s="199">
        <f t="shared" si="753"/>
        <v>0</v>
      </c>
      <c r="DF124" s="198">
        <f t="shared" si="754"/>
        <v>0</v>
      </c>
      <c r="DG124" s="199">
        <f t="shared" si="755"/>
        <v>0</v>
      </c>
      <c r="DH124" s="198">
        <f t="shared" si="756"/>
        <v>0</v>
      </c>
      <c r="DI124" s="199">
        <f t="shared" si="757"/>
        <v>0</v>
      </c>
      <c r="DJ124" s="198">
        <f t="shared" si="758"/>
        <v>0</v>
      </c>
      <c r="DK124" s="199">
        <f t="shared" si="759"/>
        <v>0</v>
      </c>
      <c r="DL124" s="198">
        <f t="shared" si="760"/>
        <v>0</v>
      </c>
      <c r="DM124" s="199">
        <f t="shared" si="761"/>
        <v>0</v>
      </c>
      <c r="DN124" s="198">
        <f t="shared" si="762"/>
        <v>0</v>
      </c>
      <c r="DO124" s="199">
        <f t="shared" si="763"/>
        <v>0</v>
      </c>
      <c r="DP124" s="198">
        <f t="shared" si="764"/>
        <v>0</v>
      </c>
      <c r="DQ124" s="199">
        <f t="shared" si="765"/>
        <v>0</v>
      </c>
      <c r="DR124" s="198">
        <f t="shared" si="766"/>
        <v>0</v>
      </c>
      <c r="DS124" s="199">
        <f t="shared" si="767"/>
        <v>0</v>
      </c>
      <c r="DT124" s="198">
        <f t="shared" si="768"/>
        <v>0</v>
      </c>
      <c r="DU124" s="199">
        <f t="shared" si="769"/>
        <v>0</v>
      </c>
      <c r="DV124" s="198">
        <f t="shared" si="770"/>
        <v>0</v>
      </c>
      <c r="DW124" s="199">
        <f t="shared" si="771"/>
        <v>0</v>
      </c>
      <c r="DX124" s="198">
        <f t="shared" si="772"/>
        <v>0</v>
      </c>
      <c r="DY124" s="199">
        <f t="shared" si="773"/>
        <v>0</v>
      </c>
      <c r="DZ124" s="190">
        <f t="shared" si="774"/>
        <v>0</v>
      </c>
      <c r="EA124" s="199">
        <f t="shared" si="743"/>
        <v>0</v>
      </c>
      <c r="EB124" s="190" t="e">
        <f t="shared" si="775"/>
        <v>#DIV/0!</v>
      </c>
      <c r="EC124" s="190" t="e">
        <f t="shared" si="776"/>
        <v>#DIV/0!</v>
      </c>
    </row>
    <row r="125" spans="1:133" x14ac:dyDescent="0.2">
      <c r="A125" s="64" t="s">
        <v>52</v>
      </c>
      <c r="B125" s="38">
        <f>targets!AW118</f>
        <v>0</v>
      </c>
      <c r="C125" s="242">
        <f>targets!AX118</f>
        <v>0</v>
      </c>
      <c r="D125" s="242">
        <f>targets!AY118</f>
        <v>0</v>
      </c>
      <c r="E125" s="242">
        <f>targets!AZ118</f>
        <v>0</v>
      </c>
      <c r="F125" s="242">
        <f>targets!BA118</f>
        <v>0</v>
      </c>
      <c r="G125" s="242">
        <f>SUM(targets!BB118:BG118)</f>
        <v>0</v>
      </c>
      <c r="H125" s="41">
        <f>SUM(targets!BH118:BM118)</f>
        <v>12108.078857710194</v>
      </c>
      <c r="I125" s="243">
        <f t="shared" si="744"/>
        <v>12108.078857710194</v>
      </c>
      <c r="J125" s="242">
        <f>targets!BN118</f>
        <v>0</v>
      </c>
      <c r="K125" s="242">
        <f>targets!BO118</f>
        <v>15174.7880759173</v>
      </c>
      <c r="L125" s="242">
        <f>targets!BP118</f>
        <v>405.02824222102726</v>
      </c>
      <c r="M125" s="178">
        <f t="shared" si="745"/>
        <v>15579.816318138328</v>
      </c>
      <c r="N125" s="17">
        <f t="shared" si="706"/>
        <v>27687.895175848527</v>
      </c>
      <c r="O125" s="17"/>
      <c r="P125" s="17"/>
      <c r="Q125" s="64" t="s">
        <v>52</v>
      </c>
      <c r="R125" s="38">
        <f t="shared" si="707"/>
        <v>0</v>
      </c>
      <c r="S125" s="242">
        <f t="shared" si="708"/>
        <v>0</v>
      </c>
      <c r="T125" s="242">
        <f t="shared" si="709"/>
        <v>0</v>
      </c>
      <c r="U125" s="242">
        <f t="shared" si="710"/>
        <v>0</v>
      </c>
      <c r="V125" s="242">
        <f t="shared" si="711"/>
        <v>0</v>
      </c>
      <c r="W125" s="242">
        <f t="shared" si="712"/>
        <v>0</v>
      </c>
      <c r="X125" s="41">
        <f t="shared" si="713"/>
        <v>0</v>
      </c>
      <c r="Y125" s="243">
        <f t="shared" si="746"/>
        <v>0</v>
      </c>
      <c r="Z125" s="242">
        <f t="shared" si="714"/>
        <v>0</v>
      </c>
      <c r="AA125" s="242">
        <f t="shared" si="715"/>
        <v>0</v>
      </c>
      <c r="AB125" s="242">
        <f t="shared" si="716"/>
        <v>0</v>
      </c>
      <c r="AC125" s="178">
        <f t="shared" si="777"/>
        <v>0</v>
      </c>
      <c r="AD125" s="17">
        <f t="shared" si="717"/>
        <v>0</v>
      </c>
      <c r="AF125" s="64" t="s">
        <v>52</v>
      </c>
      <c r="AG125" s="38">
        <f t="array" ref="AG125">SUM(IF((modeldata!$F:$F=calibration!$AF$106)*(modeldata!$G:$G=calibration!AG$108)*(modeldata!$H:$H=calibration!$AF125),modeldata!$E:$E,0))</f>
        <v>0</v>
      </c>
      <c r="AH125" s="242">
        <f t="array" ref="AH125">SUM(IF((modeldata!$F:$F=calibration!$AF$106)*(modeldata!$G:$G=calibration!AH$108)*(modeldata!$H:$H=calibration!$AF125),modeldata!$E:$E,0))</f>
        <v>0</v>
      </c>
      <c r="AI125" s="242">
        <f t="array" ref="AI125">SUM(IF((modeldata!$F:$F=calibration!$AF$106)*(modeldata!$G:$G=calibration!AI$108)*(modeldata!$H:$H=calibration!$AF125),modeldata!$E:$E,0))</f>
        <v>0</v>
      </c>
      <c r="AJ125" s="242">
        <f t="array" ref="AJ125">SUM(IF((modeldata!$F:$F=calibration!$AF$106)*(modeldata!$G:$G=calibration!AJ$108)*(modeldata!$H:$H=calibration!$AF125),modeldata!$E:$E,0))</f>
        <v>0</v>
      </c>
      <c r="AK125" s="242">
        <f t="array" ref="AK125">SUM(IF((modeldata!$F:$F=calibration!$AF$106)*(modeldata!$G:$G=calibration!AK$108)*(modeldata!$H:$H=calibration!$AF125),modeldata!$E:$E,0))</f>
        <v>0</v>
      </c>
      <c r="AL125" s="242">
        <f t="array" ref="AL125">SUM(IF((modeldata!$F:$F=calibration!$AF$106)*(modeldata!$G:$G=calibration!AL$108)*(modeldata!$H:$H=calibration!$AF125),modeldata!$E:$E,0))</f>
        <v>0</v>
      </c>
      <c r="AM125" s="41">
        <f t="array" ref="AM125">SUM(IF((modeldata!$F:$F=calibration!$AF$106)*(modeldata!$G:$G=calibration!AM$108)*(modeldata!$H:$H=calibration!$AF125),modeldata!$E:$E,0))</f>
        <v>0</v>
      </c>
      <c r="AN125" s="243"/>
      <c r="AO125" s="242">
        <f t="array" ref="AO125">SUM(IF((modeldata!$F:$F=calibration!$AF$106)*(modeldata!$G:$G=calibration!AO$108)*(modeldata!$H:$H=calibration!$AF125),modeldata!$E:$E,0))</f>
        <v>0</v>
      </c>
      <c r="AP125" s="242">
        <f t="array" ref="AP125">SUM(IF((modeldata!$F:$F=calibration!$AF$106)*(modeldata!$G:$G=calibration!AP$108)*(modeldata!$H:$H=calibration!$AF125),modeldata!$E:$E,0))</f>
        <v>0</v>
      </c>
      <c r="AQ125" s="242">
        <f t="array" ref="AQ125">SUM(IF((modeldata!$F:$F=calibration!$AF$106)*(modeldata!$G:$G=calibration!AQ$108)*(modeldata!$H:$H=calibration!$AF125),modeldata!$E:$E,0))</f>
        <v>0</v>
      </c>
      <c r="AR125" s="178">
        <f t="shared" si="778"/>
        <v>0</v>
      </c>
      <c r="AS125" s="17">
        <f t="shared" si="718"/>
        <v>0</v>
      </c>
      <c r="AU125" s="64" t="s">
        <v>52</v>
      </c>
      <c r="AV125" s="38">
        <f t="shared" ref="AV125:BG125" si="863">IF(R129&gt;0,R125/R129,0)</f>
        <v>0</v>
      </c>
      <c r="AW125" s="242">
        <f t="shared" si="863"/>
        <v>0</v>
      </c>
      <c r="AX125" s="242">
        <f t="shared" si="863"/>
        <v>0</v>
      </c>
      <c r="AY125" s="242">
        <f t="shared" si="863"/>
        <v>0</v>
      </c>
      <c r="AZ125" s="242">
        <f t="shared" si="863"/>
        <v>0</v>
      </c>
      <c r="BA125" s="242">
        <f t="shared" si="863"/>
        <v>0</v>
      </c>
      <c r="BB125" s="41">
        <f t="shared" si="863"/>
        <v>0</v>
      </c>
      <c r="BC125" s="243">
        <f t="shared" si="863"/>
        <v>0</v>
      </c>
      <c r="BD125" s="242">
        <f t="shared" si="863"/>
        <v>0</v>
      </c>
      <c r="BE125" s="242">
        <f t="shared" si="863"/>
        <v>0</v>
      </c>
      <c r="BF125" s="242">
        <f t="shared" si="863"/>
        <v>0</v>
      </c>
      <c r="BG125" s="178">
        <f t="shared" si="863"/>
        <v>0</v>
      </c>
      <c r="BH125" s="24" t="e">
        <f>AD125/AD129</f>
        <v>#DIV/0!</v>
      </c>
      <c r="BJ125" s="64" t="s">
        <v>52</v>
      </c>
      <c r="BK125" s="38">
        <f t="shared" ref="BK125:BV125" si="864">IF(AG129&gt;0,AG125/AG129,0)</f>
        <v>0</v>
      </c>
      <c r="BL125" s="242">
        <f t="shared" si="864"/>
        <v>0</v>
      </c>
      <c r="BM125" s="242">
        <f t="shared" si="864"/>
        <v>0</v>
      </c>
      <c r="BN125" s="242">
        <f t="shared" si="864"/>
        <v>0</v>
      </c>
      <c r="BO125" s="242">
        <f t="shared" si="864"/>
        <v>0</v>
      </c>
      <c r="BP125" s="242">
        <f t="shared" si="864"/>
        <v>0</v>
      </c>
      <c r="BQ125" s="41">
        <f t="shared" si="864"/>
        <v>0</v>
      </c>
      <c r="BR125" s="243">
        <f t="shared" si="864"/>
        <v>0</v>
      </c>
      <c r="BS125" s="242">
        <f t="shared" si="864"/>
        <v>0</v>
      </c>
      <c r="BT125" s="242">
        <f t="shared" si="864"/>
        <v>0</v>
      </c>
      <c r="BU125" s="242">
        <f t="shared" si="864"/>
        <v>0</v>
      </c>
      <c r="BV125" s="178">
        <f t="shared" si="864"/>
        <v>0</v>
      </c>
      <c r="BW125" s="24" t="e">
        <f>AS125/AS129</f>
        <v>#DIV/0!</v>
      </c>
      <c r="BX125" s="24"/>
      <c r="BY125" s="64" t="s">
        <v>52</v>
      </c>
      <c r="BZ125" s="54">
        <f t="shared" si="750"/>
        <v>0</v>
      </c>
      <c r="CA125" s="55">
        <f t="shared" si="721"/>
        <v>0</v>
      </c>
      <c r="CB125" s="55">
        <f t="shared" si="722"/>
        <v>0</v>
      </c>
      <c r="CC125" s="55">
        <f t="shared" si="723"/>
        <v>0</v>
      </c>
      <c r="CD125" s="55">
        <f t="shared" si="724"/>
        <v>0</v>
      </c>
      <c r="CE125" s="55">
        <f t="shared" si="725"/>
        <v>0</v>
      </c>
      <c r="CF125" s="61">
        <f t="shared" si="726"/>
        <v>0</v>
      </c>
      <c r="CG125" s="246">
        <f>AN125-Y125</f>
        <v>0</v>
      </c>
      <c r="CH125" s="55">
        <f t="shared" si="728"/>
        <v>0</v>
      </c>
      <c r="CI125" s="55">
        <f t="shared" si="729"/>
        <v>0</v>
      </c>
      <c r="CJ125" s="55">
        <f t="shared" si="730"/>
        <v>0</v>
      </c>
      <c r="CK125" s="249">
        <f t="shared" si="730"/>
        <v>0</v>
      </c>
      <c r="CL125" s="55">
        <f t="shared" si="731"/>
        <v>0</v>
      </c>
      <c r="CN125" s="64" t="s">
        <v>52</v>
      </c>
      <c r="CO125" s="54">
        <f t="shared" si="751"/>
        <v>0</v>
      </c>
      <c r="CP125" s="55">
        <f t="shared" si="732"/>
        <v>0</v>
      </c>
      <c r="CQ125" s="55">
        <f t="shared" si="733"/>
        <v>0</v>
      </c>
      <c r="CR125" s="55">
        <f t="shared" si="734"/>
        <v>0</v>
      </c>
      <c r="CS125" s="55">
        <f t="shared" si="735"/>
        <v>0</v>
      </c>
      <c r="CT125" s="55">
        <f t="shared" si="736"/>
        <v>0</v>
      </c>
      <c r="CU125" s="61">
        <f t="shared" si="737"/>
        <v>0</v>
      </c>
      <c r="CV125" s="246">
        <f t="shared" si="738"/>
        <v>0</v>
      </c>
      <c r="CW125" s="55">
        <f t="shared" si="739"/>
        <v>0</v>
      </c>
      <c r="CX125" s="55">
        <f t="shared" si="740"/>
        <v>0</v>
      </c>
      <c r="CY125" s="55">
        <f t="shared" si="741"/>
        <v>0</v>
      </c>
      <c r="CZ125" s="249">
        <f t="shared" si="741"/>
        <v>0</v>
      </c>
      <c r="DA125" s="62" t="e">
        <f t="shared" si="742"/>
        <v>#DIV/0!</v>
      </c>
      <c r="DC125" s="64" t="s">
        <v>52</v>
      </c>
      <c r="DD125" s="198">
        <f t="shared" si="752"/>
        <v>0</v>
      </c>
      <c r="DE125" s="199">
        <f t="shared" si="753"/>
        <v>0</v>
      </c>
      <c r="DF125" s="198">
        <f t="shared" si="754"/>
        <v>0</v>
      </c>
      <c r="DG125" s="199">
        <f t="shared" si="755"/>
        <v>0</v>
      </c>
      <c r="DH125" s="198">
        <f t="shared" si="756"/>
        <v>0</v>
      </c>
      <c r="DI125" s="199">
        <f t="shared" si="757"/>
        <v>0</v>
      </c>
      <c r="DJ125" s="198">
        <f t="shared" si="758"/>
        <v>0</v>
      </c>
      <c r="DK125" s="199">
        <f t="shared" si="759"/>
        <v>0</v>
      </c>
      <c r="DL125" s="198">
        <f t="shared" si="760"/>
        <v>0</v>
      </c>
      <c r="DM125" s="199">
        <f t="shared" si="761"/>
        <v>0</v>
      </c>
      <c r="DN125" s="198">
        <f t="shared" si="762"/>
        <v>0</v>
      </c>
      <c r="DO125" s="199">
        <f t="shared" si="763"/>
        <v>0</v>
      </c>
      <c r="DP125" s="200">
        <f t="shared" si="764"/>
        <v>0</v>
      </c>
      <c r="DQ125" s="201">
        <f t="shared" si="765"/>
        <v>0</v>
      </c>
      <c r="DR125" s="198">
        <f t="shared" si="766"/>
        <v>0</v>
      </c>
      <c r="DS125" s="199">
        <f t="shared" si="767"/>
        <v>0</v>
      </c>
      <c r="DT125" s="198">
        <f t="shared" si="768"/>
        <v>0</v>
      </c>
      <c r="DU125" s="199">
        <f t="shared" si="769"/>
        <v>0</v>
      </c>
      <c r="DV125" s="198">
        <f t="shared" si="770"/>
        <v>0</v>
      </c>
      <c r="DW125" s="199">
        <f t="shared" si="771"/>
        <v>0</v>
      </c>
      <c r="DX125" s="198">
        <f t="shared" si="772"/>
        <v>0</v>
      </c>
      <c r="DY125" s="199">
        <f t="shared" si="773"/>
        <v>0</v>
      </c>
      <c r="DZ125" s="190">
        <f t="shared" si="774"/>
        <v>0</v>
      </c>
      <c r="EA125" s="199">
        <f t="shared" si="743"/>
        <v>0</v>
      </c>
      <c r="EB125" s="190" t="e">
        <f t="shared" si="775"/>
        <v>#DIV/0!</v>
      </c>
      <c r="EC125" s="190" t="e">
        <f t="shared" si="776"/>
        <v>#DIV/0!</v>
      </c>
    </row>
    <row r="126" spans="1:133" x14ac:dyDescent="0.2">
      <c r="A126" s="2" t="s">
        <v>6</v>
      </c>
      <c r="B126" s="38">
        <f>targets!AW119</f>
        <v>0</v>
      </c>
      <c r="C126" s="242">
        <f>targets!AX119</f>
        <v>0</v>
      </c>
      <c r="D126" s="242">
        <f>targets!AY119</f>
        <v>0</v>
      </c>
      <c r="E126" s="242">
        <f>targets!AZ119</f>
        <v>0</v>
      </c>
      <c r="F126" s="242">
        <f>targets!BA119</f>
        <v>0</v>
      </c>
      <c r="G126" s="242">
        <f>SUM(targets!BB119:BG119)</f>
        <v>110.2624153999659</v>
      </c>
      <c r="H126" s="242">
        <f>SUM(targets!BH119:BM119)</f>
        <v>0</v>
      </c>
      <c r="I126" s="243">
        <f t="shared" si="744"/>
        <v>110.2624153999659</v>
      </c>
      <c r="J126" s="242">
        <f>targets!BN119</f>
        <v>0</v>
      </c>
      <c r="K126" s="242">
        <f>targets!BO119</f>
        <v>0</v>
      </c>
      <c r="L126" s="242">
        <f>targets!BP119</f>
        <v>820.10452043651583</v>
      </c>
      <c r="M126" s="178">
        <f t="shared" si="745"/>
        <v>820.10452043651583</v>
      </c>
      <c r="N126" s="17">
        <f t="shared" si="706"/>
        <v>930.36693583648184</v>
      </c>
      <c r="O126" s="17"/>
      <c r="P126" s="17"/>
      <c r="Q126" s="2" t="s">
        <v>6</v>
      </c>
      <c r="R126" s="38">
        <f t="shared" si="707"/>
        <v>0</v>
      </c>
      <c r="S126" s="242">
        <f t="shared" si="708"/>
        <v>0</v>
      </c>
      <c r="T126" s="242">
        <f t="shared" si="709"/>
        <v>0</v>
      </c>
      <c r="U126" s="242">
        <f t="shared" si="710"/>
        <v>0</v>
      </c>
      <c r="V126" s="242">
        <f t="shared" si="711"/>
        <v>0</v>
      </c>
      <c r="W126" s="242">
        <f t="shared" si="712"/>
        <v>0</v>
      </c>
      <c r="X126" s="242">
        <f t="shared" si="713"/>
        <v>0</v>
      </c>
      <c r="Y126" s="243">
        <f t="shared" si="746"/>
        <v>0</v>
      </c>
      <c r="Z126" s="242">
        <f t="shared" si="714"/>
        <v>0</v>
      </c>
      <c r="AA126" s="242">
        <f t="shared" si="715"/>
        <v>0</v>
      </c>
      <c r="AB126" s="242">
        <f t="shared" si="716"/>
        <v>0</v>
      </c>
      <c r="AC126" s="178">
        <f t="shared" si="777"/>
        <v>0</v>
      </c>
      <c r="AD126" s="17">
        <f t="shared" si="717"/>
        <v>0</v>
      </c>
      <c r="AF126" s="2" t="s">
        <v>6</v>
      </c>
      <c r="AG126" s="38">
        <f t="array" ref="AG126">SUM(IF((modeldata!$F:$F=calibration!$AF$106)*(modeldata!$G:$G=calibration!AG$108)*(modeldata!$H:$H=calibration!$AF126),modeldata!$E:$E,0))</f>
        <v>0</v>
      </c>
      <c r="AH126" s="242">
        <f t="array" ref="AH126">SUM(IF((modeldata!$F:$F=calibration!$AF$106)*(modeldata!$G:$G=calibration!AH$108)*(modeldata!$H:$H=calibration!$AF126),modeldata!$E:$E,0))</f>
        <v>0</v>
      </c>
      <c r="AI126" s="242">
        <f t="array" ref="AI126">SUM(IF((modeldata!$F:$F=calibration!$AF$106)*(modeldata!$G:$G=calibration!AI$108)*(modeldata!$H:$H=calibration!$AF126),modeldata!$E:$E,0))</f>
        <v>0</v>
      </c>
      <c r="AJ126" s="242">
        <f t="array" ref="AJ126">SUM(IF((modeldata!$F:$F=calibration!$AF$106)*(modeldata!$G:$G=calibration!AJ$108)*(modeldata!$H:$H=calibration!$AF126),modeldata!$E:$E,0))</f>
        <v>0</v>
      </c>
      <c r="AK126" s="242">
        <f t="array" ref="AK126">SUM(IF((modeldata!$F:$F=calibration!$AF$106)*(modeldata!$G:$G=calibration!AK$108)*(modeldata!$H:$H=calibration!$AF126),modeldata!$E:$E,0))</f>
        <v>0</v>
      </c>
      <c r="AL126" s="242">
        <f t="array" ref="AL126">SUM(IF((modeldata!$F:$F=calibration!$AF$106)*(modeldata!$G:$G=calibration!AL$108)*(modeldata!$H:$H=calibration!$AF126),modeldata!$E:$E,0))</f>
        <v>0</v>
      </c>
      <c r="AM126" s="242">
        <f t="array" ref="AM126">SUM(IF((modeldata!$F:$F=calibration!$AF$106)*(modeldata!$G:$G=calibration!AM$108)*(modeldata!$H:$H=calibration!$AF126),modeldata!$E:$E,0))</f>
        <v>0</v>
      </c>
      <c r="AN126" s="243">
        <f t="shared" si="747"/>
        <v>0</v>
      </c>
      <c r="AO126" s="242">
        <f t="array" ref="AO126">SUM(IF((modeldata!$F:$F=calibration!$AF$106)*(modeldata!$G:$G=calibration!AO$108)*(modeldata!$H:$H=calibration!$AF126),modeldata!$E:$E,0))</f>
        <v>0</v>
      </c>
      <c r="AP126" s="242">
        <f t="array" ref="AP126">SUM(IF((modeldata!$F:$F=calibration!$AF$106)*(modeldata!$G:$G=calibration!AP$108)*(modeldata!$H:$H=calibration!$AF126),modeldata!$E:$E,0))</f>
        <v>0</v>
      </c>
      <c r="AQ126" s="242">
        <f t="array" ref="AQ126">SUM(IF((modeldata!$F:$F=calibration!$AF$106)*(modeldata!$G:$G=calibration!AQ$108)*(modeldata!$H:$H=calibration!$AF126),modeldata!$E:$E,0))</f>
        <v>0</v>
      </c>
      <c r="AR126" s="178">
        <f t="shared" ref="AR126:AR128" si="865">SUM(AO126:AQ126)</f>
        <v>0</v>
      </c>
      <c r="AS126" s="17">
        <f t="shared" si="718"/>
        <v>0</v>
      </c>
      <c r="AU126" s="2" t="s">
        <v>6</v>
      </c>
      <c r="AV126" s="38">
        <f t="shared" ref="AV126:BG126" si="866">IF(R129&gt;0,R126/R129,0)</f>
        <v>0</v>
      </c>
      <c r="AW126" s="242">
        <f t="shared" si="866"/>
        <v>0</v>
      </c>
      <c r="AX126" s="242">
        <f t="shared" si="866"/>
        <v>0</v>
      </c>
      <c r="AY126" s="242">
        <f t="shared" si="866"/>
        <v>0</v>
      </c>
      <c r="AZ126" s="242">
        <f t="shared" si="866"/>
        <v>0</v>
      </c>
      <c r="BA126" s="242">
        <f t="shared" si="866"/>
        <v>0</v>
      </c>
      <c r="BB126" s="242">
        <f t="shared" si="866"/>
        <v>0</v>
      </c>
      <c r="BC126" s="243">
        <f t="shared" si="866"/>
        <v>0</v>
      </c>
      <c r="BD126" s="242">
        <f t="shared" si="866"/>
        <v>0</v>
      </c>
      <c r="BE126" s="242">
        <f t="shared" si="866"/>
        <v>0</v>
      </c>
      <c r="BF126" s="242">
        <f t="shared" si="866"/>
        <v>0</v>
      </c>
      <c r="BG126" s="178">
        <f t="shared" si="866"/>
        <v>0</v>
      </c>
      <c r="BH126" s="24" t="e">
        <f>AD126/AD129</f>
        <v>#DIV/0!</v>
      </c>
      <c r="BJ126" s="2" t="s">
        <v>6</v>
      </c>
      <c r="BK126" s="38">
        <f t="shared" ref="BK126:BV126" si="867">IF(AG129&gt;0,AG126/AG129,0)</f>
        <v>0</v>
      </c>
      <c r="BL126" s="242">
        <f t="shared" si="867"/>
        <v>0</v>
      </c>
      <c r="BM126" s="242">
        <f t="shared" si="867"/>
        <v>0</v>
      </c>
      <c r="BN126" s="242">
        <f t="shared" si="867"/>
        <v>0</v>
      </c>
      <c r="BO126" s="242">
        <f t="shared" si="867"/>
        <v>0</v>
      </c>
      <c r="BP126" s="242">
        <f t="shared" si="867"/>
        <v>0</v>
      </c>
      <c r="BQ126" s="242">
        <f t="shared" si="867"/>
        <v>0</v>
      </c>
      <c r="BR126" s="243">
        <f t="shared" si="867"/>
        <v>0</v>
      </c>
      <c r="BS126" s="242">
        <f t="shared" si="867"/>
        <v>0</v>
      </c>
      <c r="BT126" s="242">
        <f t="shared" si="867"/>
        <v>0</v>
      </c>
      <c r="BU126" s="242">
        <f t="shared" si="867"/>
        <v>0</v>
      </c>
      <c r="BV126" s="178">
        <f t="shared" si="867"/>
        <v>0</v>
      </c>
      <c r="BW126" s="24" t="e">
        <f>AS126/AS129</f>
        <v>#DIV/0!</v>
      </c>
      <c r="BX126" s="24"/>
      <c r="BY126" s="2" t="s">
        <v>6</v>
      </c>
      <c r="BZ126" s="54">
        <f t="shared" si="750"/>
        <v>0</v>
      </c>
      <c r="CA126" s="55">
        <f t="shared" si="721"/>
        <v>0</v>
      </c>
      <c r="CB126" s="55">
        <f t="shared" si="722"/>
        <v>0</v>
      </c>
      <c r="CC126" s="55">
        <f t="shared" si="723"/>
        <v>0</v>
      </c>
      <c r="CD126" s="55">
        <f t="shared" si="724"/>
        <v>0</v>
      </c>
      <c r="CE126" s="55">
        <f t="shared" si="725"/>
        <v>0</v>
      </c>
      <c r="CF126" s="55">
        <f t="shared" si="726"/>
        <v>0</v>
      </c>
      <c r="CG126" s="246">
        <f>AN126-Y126</f>
        <v>0</v>
      </c>
      <c r="CH126" s="55">
        <f t="shared" si="728"/>
        <v>0</v>
      </c>
      <c r="CI126" s="55">
        <f t="shared" si="729"/>
        <v>0</v>
      </c>
      <c r="CJ126" s="55">
        <f t="shared" si="730"/>
        <v>0</v>
      </c>
      <c r="CK126" s="249">
        <f t="shared" si="730"/>
        <v>0</v>
      </c>
      <c r="CL126" s="55">
        <f t="shared" si="731"/>
        <v>0</v>
      </c>
      <c r="CN126" s="2" t="s">
        <v>6</v>
      </c>
      <c r="CO126" s="54">
        <f t="shared" si="751"/>
        <v>0</v>
      </c>
      <c r="CP126" s="55">
        <f t="shared" si="732"/>
        <v>0</v>
      </c>
      <c r="CQ126" s="55">
        <f t="shared" si="733"/>
        <v>0</v>
      </c>
      <c r="CR126" s="55">
        <f t="shared" si="734"/>
        <v>0</v>
      </c>
      <c r="CS126" s="55">
        <f t="shared" si="735"/>
        <v>0</v>
      </c>
      <c r="CT126" s="55">
        <f t="shared" si="736"/>
        <v>0</v>
      </c>
      <c r="CU126" s="55">
        <f t="shared" si="737"/>
        <v>0</v>
      </c>
      <c r="CV126" s="246">
        <f t="shared" si="738"/>
        <v>0</v>
      </c>
      <c r="CW126" s="55">
        <f t="shared" si="739"/>
        <v>0</v>
      </c>
      <c r="CX126" s="55">
        <f t="shared" si="740"/>
        <v>0</v>
      </c>
      <c r="CY126" s="55">
        <f t="shared" si="741"/>
        <v>0</v>
      </c>
      <c r="CZ126" s="249">
        <f t="shared" si="741"/>
        <v>0</v>
      </c>
      <c r="DA126" s="62" t="e">
        <f t="shared" si="742"/>
        <v>#DIV/0!</v>
      </c>
      <c r="DC126" s="2" t="s">
        <v>6</v>
      </c>
      <c r="DD126" s="198">
        <f t="shared" si="752"/>
        <v>0</v>
      </c>
      <c r="DE126" s="199">
        <f t="shared" si="753"/>
        <v>0</v>
      </c>
      <c r="DF126" s="198">
        <f t="shared" si="754"/>
        <v>0</v>
      </c>
      <c r="DG126" s="199">
        <f t="shared" si="755"/>
        <v>0</v>
      </c>
      <c r="DH126" s="198">
        <f t="shared" si="756"/>
        <v>0</v>
      </c>
      <c r="DI126" s="199">
        <f t="shared" si="757"/>
        <v>0</v>
      </c>
      <c r="DJ126" s="198">
        <f t="shared" si="758"/>
        <v>0</v>
      </c>
      <c r="DK126" s="199">
        <f t="shared" si="759"/>
        <v>0</v>
      </c>
      <c r="DL126" s="198">
        <f t="shared" si="760"/>
        <v>0</v>
      </c>
      <c r="DM126" s="199">
        <f t="shared" si="761"/>
        <v>0</v>
      </c>
      <c r="DN126" s="198">
        <f t="shared" si="762"/>
        <v>0</v>
      </c>
      <c r="DO126" s="199">
        <f t="shared" si="763"/>
        <v>0</v>
      </c>
      <c r="DP126" s="198">
        <f t="shared" si="764"/>
        <v>0</v>
      </c>
      <c r="DQ126" s="199">
        <f t="shared" si="765"/>
        <v>0</v>
      </c>
      <c r="DR126" s="198">
        <f t="shared" si="766"/>
        <v>0</v>
      </c>
      <c r="DS126" s="199">
        <f t="shared" si="767"/>
        <v>0</v>
      </c>
      <c r="DT126" s="198">
        <f t="shared" si="768"/>
        <v>0</v>
      </c>
      <c r="DU126" s="199">
        <f t="shared" si="769"/>
        <v>0</v>
      </c>
      <c r="DV126" s="198">
        <f t="shared" si="770"/>
        <v>0</v>
      </c>
      <c r="DW126" s="199">
        <f t="shared" si="771"/>
        <v>0</v>
      </c>
      <c r="DX126" s="198">
        <f t="shared" si="772"/>
        <v>0</v>
      </c>
      <c r="DY126" s="199">
        <f t="shared" si="773"/>
        <v>0</v>
      </c>
      <c r="DZ126" s="190">
        <f t="shared" si="774"/>
        <v>0</v>
      </c>
      <c r="EA126" s="199">
        <f t="shared" si="743"/>
        <v>0</v>
      </c>
      <c r="EB126" s="190" t="e">
        <f t="shared" si="775"/>
        <v>#DIV/0!</v>
      </c>
      <c r="EC126" s="190" t="e">
        <f t="shared" si="776"/>
        <v>#DIV/0!</v>
      </c>
    </row>
    <row r="127" spans="1:133" x14ac:dyDescent="0.2">
      <c r="A127" s="2" t="s">
        <v>88</v>
      </c>
      <c r="B127" s="38">
        <f>targets!AW120</f>
        <v>0</v>
      </c>
      <c r="C127" s="242">
        <f>targets!AX120</f>
        <v>0</v>
      </c>
      <c r="D127" s="242">
        <f>targets!AY120</f>
        <v>0</v>
      </c>
      <c r="E127" s="242">
        <f>targets!AZ120</f>
        <v>0</v>
      </c>
      <c r="F127" s="242">
        <f>targets!BA120</f>
        <v>0</v>
      </c>
      <c r="G127" s="242">
        <f>SUM(targets!BB120:BG120)</f>
        <v>1203.9735710054372</v>
      </c>
      <c r="H127" s="242">
        <f>SUM(targets!BH120:BM120)</f>
        <v>38.165202701265329</v>
      </c>
      <c r="I127" s="243">
        <f t="shared" si="744"/>
        <v>1242.1387737067025</v>
      </c>
      <c r="J127" s="242">
        <f>targets!BN120</f>
        <v>0</v>
      </c>
      <c r="K127" s="242">
        <f>targets!BO120</f>
        <v>0</v>
      </c>
      <c r="L127" s="242">
        <f>targets!BP120</f>
        <v>0</v>
      </c>
      <c r="M127" s="178">
        <f t="shared" si="745"/>
        <v>0</v>
      </c>
      <c r="N127" s="17">
        <f t="shared" si="706"/>
        <v>1242.1387737067025</v>
      </c>
      <c r="O127" s="17"/>
      <c r="P127" s="17"/>
      <c r="Q127" s="2" t="s">
        <v>88</v>
      </c>
      <c r="R127" s="38">
        <f t="shared" si="707"/>
        <v>0</v>
      </c>
      <c r="S127" s="242">
        <f t="shared" si="708"/>
        <v>0</v>
      </c>
      <c r="T127" s="242">
        <f t="shared" si="709"/>
        <v>0</v>
      </c>
      <c r="U127" s="242">
        <f t="shared" si="710"/>
        <v>0</v>
      </c>
      <c r="V127" s="242">
        <f t="shared" si="711"/>
        <v>0</v>
      </c>
      <c r="W127" s="242">
        <f t="shared" si="712"/>
        <v>0</v>
      </c>
      <c r="X127" s="242">
        <f t="shared" si="713"/>
        <v>0</v>
      </c>
      <c r="Y127" s="243">
        <f t="shared" si="746"/>
        <v>0</v>
      </c>
      <c r="Z127" s="242">
        <f t="shared" si="714"/>
        <v>0</v>
      </c>
      <c r="AA127" s="242">
        <f t="shared" si="715"/>
        <v>0</v>
      </c>
      <c r="AB127" s="242">
        <f t="shared" si="716"/>
        <v>0</v>
      </c>
      <c r="AC127" s="178">
        <f t="shared" si="777"/>
        <v>0</v>
      </c>
      <c r="AD127" s="17">
        <f t="shared" si="717"/>
        <v>0</v>
      </c>
      <c r="AF127" s="2" t="s">
        <v>88</v>
      </c>
      <c r="AG127" s="38">
        <f t="array" ref="AG127">SUM(IF((modeldata!$F:$F=calibration!$AF$106)*(modeldata!$G:$G=calibration!AG$108)*(modeldata!$H:$H=calibration!$AF127),modeldata!$E:$E,0))</f>
        <v>0</v>
      </c>
      <c r="AH127" s="242">
        <f t="array" ref="AH127">SUM(IF((modeldata!$F:$F=calibration!$AF$106)*(modeldata!$G:$G=calibration!AH$108)*(modeldata!$H:$H=calibration!$AF127),modeldata!$E:$E,0))</f>
        <v>0</v>
      </c>
      <c r="AI127" s="242">
        <f t="array" ref="AI127">SUM(IF((modeldata!$F:$F=calibration!$AF$106)*(modeldata!$G:$G=calibration!AI$108)*(modeldata!$H:$H=calibration!$AF127),modeldata!$E:$E,0))</f>
        <v>0</v>
      </c>
      <c r="AJ127" s="242">
        <f t="array" ref="AJ127">SUM(IF((modeldata!$F:$F=calibration!$AF$106)*(modeldata!$G:$G=calibration!AJ$108)*(modeldata!$H:$H=calibration!$AF127),modeldata!$E:$E,0))</f>
        <v>0</v>
      </c>
      <c r="AK127" s="242">
        <f t="array" ref="AK127">SUM(IF((modeldata!$F:$F=calibration!$AF$106)*(modeldata!$G:$G=calibration!AK$108)*(modeldata!$H:$H=calibration!$AF127),modeldata!$E:$E,0))</f>
        <v>0</v>
      </c>
      <c r="AL127" s="242">
        <f t="array" ref="AL127">SUM(IF((modeldata!$F:$F=calibration!$AF$106)*(modeldata!$G:$G=calibration!AL$108)*(modeldata!$H:$H=calibration!$AF127),modeldata!$E:$E,0))</f>
        <v>0</v>
      </c>
      <c r="AM127" s="242">
        <f t="array" ref="AM127">SUM(IF((modeldata!$F:$F=calibration!$AF$106)*(modeldata!$G:$G=calibration!AM$108)*(modeldata!$H:$H=calibration!$AF127),modeldata!$E:$E,0))</f>
        <v>0</v>
      </c>
      <c r="AN127" s="243">
        <f t="shared" si="747"/>
        <v>0</v>
      </c>
      <c r="AO127" s="242">
        <f t="array" ref="AO127">SUM(IF((modeldata!$F:$F=calibration!$AF$106)*(modeldata!$G:$G=calibration!AO$108)*(modeldata!$H:$H=calibration!$AF127),modeldata!$E:$E,0))</f>
        <v>0</v>
      </c>
      <c r="AP127" s="242">
        <f t="array" ref="AP127">SUM(IF((modeldata!$F:$F=calibration!$AF$106)*(modeldata!$G:$G=calibration!AP$108)*(modeldata!$H:$H=calibration!$AF127),modeldata!$E:$E,0))</f>
        <v>0</v>
      </c>
      <c r="AQ127" s="242">
        <f t="array" ref="AQ127">SUM(IF((modeldata!$F:$F=calibration!$AF$106)*(modeldata!$G:$G=calibration!AQ$108)*(modeldata!$H:$H=calibration!$AF127),modeldata!$E:$E,0))</f>
        <v>0</v>
      </c>
      <c r="AR127" s="178">
        <f t="shared" si="865"/>
        <v>0</v>
      </c>
      <c r="AS127" s="17">
        <f t="shared" si="718"/>
        <v>0</v>
      </c>
      <c r="AU127" s="2" t="s">
        <v>88</v>
      </c>
      <c r="AV127" s="38">
        <f t="shared" ref="AV127:BG127" si="868">IF(R129&gt;0,R127/R129,0)</f>
        <v>0</v>
      </c>
      <c r="AW127" s="242">
        <f t="shared" si="868"/>
        <v>0</v>
      </c>
      <c r="AX127" s="242">
        <f t="shared" si="868"/>
        <v>0</v>
      </c>
      <c r="AY127" s="242">
        <f t="shared" si="868"/>
        <v>0</v>
      </c>
      <c r="AZ127" s="242">
        <f t="shared" si="868"/>
        <v>0</v>
      </c>
      <c r="BA127" s="242">
        <f t="shared" si="868"/>
        <v>0</v>
      </c>
      <c r="BB127" s="242">
        <f t="shared" si="868"/>
        <v>0</v>
      </c>
      <c r="BC127" s="243">
        <f t="shared" si="868"/>
        <v>0</v>
      </c>
      <c r="BD127" s="242">
        <f t="shared" si="868"/>
        <v>0</v>
      </c>
      <c r="BE127" s="242">
        <f t="shared" si="868"/>
        <v>0</v>
      </c>
      <c r="BF127" s="242">
        <f t="shared" si="868"/>
        <v>0</v>
      </c>
      <c r="BG127" s="178">
        <f t="shared" si="868"/>
        <v>0</v>
      </c>
      <c r="BH127" s="24" t="e">
        <f>AD127/AD129</f>
        <v>#DIV/0!</v>
      </c>
      <c r="BJ127" s="2" t="s">
        <v>88</v>
      </c>
      <c r="BK127" s="38">
        <f t="shared" ref="BK127:BV127" si="869">IF(AG129&gt;0,AG127/AG129,0)</f>
        <v>0</v>
      </c>
      <c r="BL127" s="242">
        <f t="shared" si="869"/>
        <v>0</v>
      </c>
      <c r="BM127" s="242">
        <f t="shared" si="869"/>
        <v>0</v>
      </c>
      <c r="BN127" s="242">
        <f t="shared" si="869"/>
        <v>0</v>
      </c>
      <c r="BO127" s="242">
        <f t="shared" si="869"/>
        <v>0</v>
      </c>
      <c r="BP127" s="242">
        <f t="shared" si="869"/>
        <v>0</v>
      </c>
      <c r="BQ127" s="242">
        <f t="shared" si="869"/>
        <v>0</v>
      </c>
      <c r="BR127" s="243">
        <f t="shared" si="869"/>
        <v>0</v>
      </c>
      <c r="BS127" s="242">
        <f t="shared" si="869"/>
        <v>0</v>
      </c>
      <c r="BT127" s="242">
        <f t="shared" si="869"/>
        <v>0</v>
      </c>
      <c r="BU127" s="242">
        <f t="shared" si="869"/>
        <v>0</v>
      </c>
      <c r="BV127" s="178">
        <f t="shared" si="869"/>
        <v>0</v>
      </c>
      <c r="BW127" s="24" t="e">
        <f>AS127/AS129</f>
        <v>#DIV/0!</v>
      </c>
      <c r="BX127" s="24"/>
      <c r="BY127" s="2" t="s">
        <v>88</v>
      </c>
      <c r="BZ127" s="54">
        <f t="shared" si="750"/>
        <v>0</v>
      </c>
      <c r="CA127" s="55">
        <f t="shared" si="721"/>
        <v>0</v>
      </c>
      <c r="CB127" s="55">
        <f t="shared" si="722"/>
        <v>0</v>
      </c>
      <c r="CC127" s="55">
        <f t="shared" si="723"/>
        <v>0</v>
      </c>
      <c r="CD127" s="55">
        <f t="shared" si="724"/>
        <v>0</v>
      </c>
      <c r="CE127" s="55">
        <f t="shared" si="725"/>
        <v>0</v>
      </c>
      <c r="CF127" s="55">
        <f t="shared" si="726"/>
        <v>0</v>
      </c>
      <c r="CG127" s="246">
        <f>AN127-Y127</f>
        <v>0</v>
      </c>
      <c r="CH127" s="55">
        <f t="shared" si="728"/>
        <v>0</v>
      </c>
      <c r="CI127" s="55">
        <f t="shared" si="729"/>
        <v>0</v>
      </c>
      <c r="CJ127" s="55">
        <f t="shared" si="730"/>
        <v>0</v>
      </c>
      <c r="CK127" s="249">
        <f t="shared" si="730"/>
        <v>0</v>
      </c>
      <c r="CL127" s="55">
        <f t="shared" si="731"/>
        <v>0</v>
      </c>
      <c r="CN127" s="2" t="s">
        <v>88</v>
      </c>
      <c r="CO127" s="54">
        <f t="shared" si="751"/>
        <v>0</v>
      </c>
      <c r="CP127" s="55">
        <f t="shared" si="732"/>
        <v>0</v>
      </c>
      <c r="CQ127" s="55">
        <f t="shared" si="733"/>
        <v>0</v>
      </c>
      <c r="CR127" s="55">
        <f t="shared" si="734"/>
        <v>0</v>
      </c>
      <c r="CS127" s="55">
        <f t="shared" si="735"/>
        <v>0</v>
      </c>
      <c r="CT127" s="55">
        <f t="shared" si="736"/>
        <v>0</v>
      </c>
      <c r="CU127" s="55">
        <f t="shared" si="737"/>
        <v>0</v>
      </c>
      <c r="CV127" s="246">
        <f t="shared" si="738"/>
        <v>0</v>
      </c>
      <c r="CW127" s="55">
        <f t="shared" si="739"/>
        <v>0</v>
      </c>
      <c r="CX127" s="55">
        <f t="shared" si="740"/>
        <v>0</v>
      </c>
      <c r="CY127" s="55">
        <f t="shared" si="741"/>
        <v>0</v>
      </c>
      <c r="CZ127" s="249">
        <f t="shared" si="741"/>
        <v>0</v>
      </c>
      <c r="DA127" s="62" t="e">
        <f t="shared" si="742"/>
        <v>#DIV/0!</v>
      </c>
      <c r="DC127" s="2" t="s">
        <v>88</v>
      </c>
      <c r="DD127" s="198">
        <f t="shared" si="752"/>
        <v>0</v>
      </c>
      <c r="DE127" s="199">
        <f t="shared" si="753"/>
        <v>0</v>
      </c>
      <c r="DF127" s="198">
        <f t="shared" si="754"/>
        <v>0</v>
      </c>
      <c r="DG127" s="199">
        <f t="shared" si="755"/>
        <v>0</v>
      </c>
      <c r="DH127" s="198">
        <f t="shared" si="756"/>
        <v>0</v>
      </c>
      <c r="DI127" s="199">
        <f t="shared" si="757"/>
        <v>0</v>
      </c>
      <c r="DJ127" s="198">
        <f t="shared" si="758"/>
        <v>0</v>
      </c>
      <c r="DK127" s="199">
        <f t="shared" si="759"/>
        <v>0</v>
      </c>
      <c r="DL127" s="198">
        <f t="shared" si="760"/>
        <v>0</v>
      </c>
      <c r="DM127" s="199">
        <f t="shared" si="761"/>
        <v>0</v>
      </c>
      <c r="DN127" s="198">
        <f t="shared" si="762"/>
        <v>0</v>
      </c>
      <c r="DO127" s="199">
        <f t="shared" si="763"/>
        <v>0</v>
      </c>
      <c r="DP127" s="198">
        <f t="shared" si="764"/>
        <v>0</v>
      </c>
      <c r="DQ127" s="199">
        <f t="shared" si="765"/>
        <v>0</v>
      </c>
      <c r="DR127" s="198">
        <f t="shared" si="766"/>
        <v>0</v>
      </c>
      <c r="DS127" s="199">
        <f t="shared" si="767"/>
        <v>0</v>
      </c>
      <c r="DT127" s="198">
        <f t="shared" si="768"/>
        <v>0</v>
      </c>
      <c r="DU127" s="199">
        <f t="shared" si="769"/>
        <v>0</v>
      </c>
      <c r="DV127" s="198">
        <f t="shared" si="770"/>
        <v>0</v>
      </c>
      <c r="DW127" s="199">
        <f t="shared" si="771"/>
        <v>0</v>
      </c>
      <c r="DX127" s="198">
        <f t="shared" si="772"/>
        <v>0</v>
      </c>
      <c r="DY127" s="199">
        <f t="shared" si="773"/>
        <v>0</v>
      </c>
      <c r="DZ127" s="190">
        <f t="shared" si="774"/>
        <v>0</v>
      </c>
      <c r="EA127" s="199">
        <f t="shared" si="743"/>
        <v>0</v>
      </c>
      <c r="EB127" s="190" t="e">
        <f t="shared" si="775"/>
        <v>#DIV/0!</v>
      </c>
      <c r="EC127" s="190" t="e">
        <f t="shared" si="776"/>
        <v>#DIV/0!</v>
      </c>
    </row>
    <row r="128" spans="1:133" x14ac:dyDescent="0.2">
      <c r="A128" s="2" t="s">
        <v>89</v>
      </c>
      <c r="B128" s="42">
        <f>targets!AW121</f>
        <v>0</v>
      </c>
      <c r="C128" s="43">
        <f>targets!AX121</f>
        <v>0</v>
      </c>
      <c r="D128" s="43">
        <f>targets!AY121</f>
        <v>0</v>
      </c>
      <c r="E128" s="43">
        <f>targets!AZ121</f>
        <v>0</v>
      </c>
      <c r="F128" s="43">
        <f>targets!BA121</f>
        <v>0</v>
      </c>
      <c r="G128" s="43">
        <f>SUM(targets!BB121:BG121)</f>
        <v>0</v>
      </c>
      <c r="H128" s="43">
        <f>SUM(targets!BH121:BM121)</f>
        <v>58.910185369532591</v>
      </c>
      <c r="I128" s="75">
        <f t="shared" si="744"/>
        <v>58.910185369532591</v>
      </c>
      <c r="J128" s="43">
        <f>targets!BN121</f>
        <v>0</v>
      </c>
      <c r="K128" s="43">
        <f>targets!BO121</f>
        <v>0</v>
      </c>
      <c r="L128" s="43">
        <f>targets!BP121</f>
        <v>0</v>
      </c>
      <c r="M128" s="244">
        <f t="shared" si="745"/>
        <v>0</v>
      </c>
      <c r="N128" s="17">
        <f t="shared" si="706"/>
        <v>58.910185369532591</v>
      </c>
      <c r="O128" s="17"/>
      <c r="P128" s="17"/>
      <c r="Q128" s="2" t="s">
        <v>89</v>
      </c>
      <c r="R128" s="42">
        <f t="shared" si="707"/>
        <v>0</v>
      </c>
      <c r="S128" s="43">
        <f t="shared" si="708"/>
        <v>0</v>
      </c>
      <c r="T128" s="43">
        <f t="shared" si="709"/>
        <v>0</v>
      </c>
      <c r="U128" s="43">
        <f t="shared" si="710"/>
        <v>0</v>
      </c>
      <c r="V128" s="43">
        <f t="shared" si="711"/>
        <v>0</v>
      </c>
      <c r="W128" s="43">
        <f t="shared" si="712"/>
        <v>0</v>
      </c>
      <c r="X128" s="43">
        <f t="shared" si="713"/>
        <v>0</v>
      </c>
      <c r="Y128" s="75">
        <f t="shared" si="746"/>
        <v>0</v>
      </c>
      <c r="Z128" s="43">
        <f t="shared" si="714"/>
        <v>0</v>
      </c>
      <c r="AA128" s="43">
        <f t="shared" si="715"/>
        <v>0</v>
      </c>
      <c r="AB128" s="43">
        <f t="shared" si="716"/>
        <v>0</v>
      </c>
      <c r="AC128" s="244">
        <f t="shared" si="777"/>
        <v>0</v>
      </c>
      <c r="AD128" s="17">
        <f t="shared" si="717"/>
        <v>0</v>
      </c>
      <c r="AF128" s="2" t="s">
        <v>89</v>
      </c>
      <c r="AG128" s="42">
        <f t="array" ref="AG128">SUM(IF((modeldata!$F:$F=calibration!$AF$106)*(modeldata!$G:$G=calibration!AG$108)*(modeldata!$H:$H=calibration!$AF128),modeldata!$E:$E,0))</f>
        <v>0</v>
      </c>
      <c r="AH128" s="43">
        <f t="array" ref="AH128">SUM(IF((modeldata!$F:$F=calibration!$AF$106)*(modeldata!$G:$G=calibration!AH$108)*(modeldata!$H:$H=calibration!$AF128),modeldata!$E:$E,0))</f>
        <v>0</v>
      </c>
      <c r="AI128" s="43">
        <f t="array" ref="AI128">SUM(IF((modeldata!$F:$F=calibration!$AF$106)*(modeldata!$G:$G=calibration!AI$108)*(modeldata!$H:$H=calibration!$AF128),modeldata!$E:$E,0))</f>
        <v>0</v>
      </c>
      <c r="AJ128" s="43">
        <f t="array" ref="AJ128">SUM(IF((modeldata!$F:$F=calibration!$AF$106)*(modeldata!$G:$G=calibration!AJ$108)*(modeldata!$H:$H=calibration!$AF128),modeldata!$E:$E,0))</f>
        <v>0</v>
      </c>
      <c r="AK128" s="43">
        <f t="array" ref="AK128">SUM(IF((modeldata!$F:$F=calibration!$AF$106)*(modeldata!$G:$G=calibration!AK$108)*(modeldata!$H:$H=calibration!$AF128),modeldata!$E:$E,0))</f>
        <v>0</v>
      </c>
      <c r="AL128" s="43">
        <f t="array" ref="AL128">SUM(IF((modeldata!$F:$F=calibration!$AF$106)*(modeldata!$G:$G=calibration!AL$108)*(modeldata!$H:$H=calibration!$AF128),modeldata!$E:$E,0))</f>
        <v>0</v>
      </c>
      <c r="AM128" s="43">
        <f t="array" ref="AM128">SUM(IF((modeldata!$F:$F=calibration!$AF$106)*(modeldata!$G:$G=calibration!AM$108)*(modeldata!$H:$H=calibration!$AF128),modeldata!$E:$E,0))</f>
        <v>0</v>
      </c>
      <c r="AN128" s="75">
        <f t="shared" si="747"/>
        <v>0</v>
      </c>
      <c r="AO128" s="43">
        <f t="array" ref="AO128">SUM(IF((modeldata!$F:$F=calibration!$AF$106)*(modeldata!$G:$G=calibration!AO$108)*(modeldata!$H:$H=calibration!$AF128),modeldata!$E:$E,0))</f>
        <v>0</v>
      </c>
      <c r="AP128" s="43">
        <f t="array" ref="AP128">SUM(IF((modeldata!$F:$F=calibration!$AF$106)*(modeldata!$G:$G=calibration!AP$108)*(modeldata!$H:$H=calibration!$AF128),modeldata!$E:$E,0))</f>
        <v>0</v>
      </c>
      <c r="AQ128" s="43">
        <f t="array" ref="AQ128">SUM(IF((modeldata!$F:$F=calibration!$AF$106)*(modeldata!$G:$G=calibration!AQ$108)*(modeldata!$H:$H=calibration!$AF128),modeldata!$E:$E,0))</f>
        <v>0</v>
      </c>
      <c r="AR128" s="244">
        <f t="shared" si="865"/>
        <v>0</v>
      </c>
      <c r="AS128" s="17">
        <f t="shared" si="718"/>
        <v>0</v>
      </c>
      <c r="AU128" s="2" t="s">
        <v>89</v>
      </c>
      <c r="AV128" s="42">
        <f t="shared" ref="AV128:BG128" si="870">IF(R129&gt;0,R128/R129,0)</f>
        <v>0</v>
      </c>
      <c r="AW128" s="43">
        <f t="shared" si="870"/>
        <v>0</v>
      </c>
      <c r="AX128" s="43">
        <f t="shared" si="870"/>
        <v>0</v>
      </c>
      <c r="AY128" s="43">
        <f t="shared" si="870"/>
        <v>0</v>
      </c>
      <c r="AZ128" s="43">
        <f t="shared" si="870"/>
        <v>0</v>
      </c>
      <c r="BA128" s="43">
        <f t="shared" si="870"/>
        <v>0</v>
      </c>
      <c r="BB128" s="43">
        <f t="shared" si="870"/>
        <v>0</v>
      </c>
      <c r="BC128" s="75">
        <f t="shared" si="870"/>
        <v>0</v>
      </c>
      <c r="BD128" s="43">
        <f t="shared" si="870"/>
        <v>0</v>
      </c>
      <c r="BE128" s="43">
        <f t="shared" si="870"/>
        <v>0</v>
      </c>
      <c r="BF128" s="43">
        <f t="shared" si="870"/>
        <v>0</v>
      </c>
      <c r="BG128" s="244">
        <f t="shared" si="870"/>
        <v>0</v>
      </c>
      <c r="BH128" s="24" t="e">
        <f>AD128/AD129</f>
        <v>#DIV/0!</v>
      </c>
      <c r="BJ128" s="2" t="s">
        <v>89</v>
      </c>
      <c r="BK128" s="42">
        <f t="shared" ref="BK128:BV128" si="871">IF(AG129&gt;0,AG128/AG129,0)</f>
        <v>0</v>
      </c>
      <c r="BL128" s="43">
        <f t="shared" si="871"/>
        <v>0</v>
      </c>
      <c r="BM128" s="43">
        <f t="shared" si="871"/>
        <v>0</v>
      </c>
      <c r="BN128" s="43">
        <f t="shared" si="871"/>
        <v>0</v>
      </c>
      <c r="BO128" s="43">
        <f t="shared" si="871"/>
        <v>0</v>
      </c>
      <c r="BP128" s="43">
        <f t="shared" si="871"/>
        <v>0</v>
      </c>
      <c r="BQ128" s="43">
        <f t="shared" si="871"/>
        <v>0</v>
      </c>
      <c r="BR128" s="75">
        <f t="shared" si="871"/>
        <v>0</v>
      </c>
      <c r="BS128" s="43">
        <f t="shared" si="871"/>
        <v>0</v>
      </c>
      <c r="BT128" s="43">
        <f t="shared" si="871"/>
        <v>0</v>
      </c>
      <c r="BU128" s="43">
        <f t="shared" si="871"/>
        <v>0</v>
      </c>
      <c r="BV128" s="244">
        <f t="shared" si="871"/>
        <v>0</v>
      </c>
      <c r="BW128" s="24" t="e">
        <f>AS128/AS129</f>
        <v>#DIV/0!</v>
      </c>
      <c r="BX128" s="24"/>
      <c r="BY128" s="2" t="s">
        <v>89</v>
      </c>
      <c r="BZ128" s="56">
        <f t="shared" si="750"/>
        <v>0</v>
      </c>
      <c r="CA128" s="57">
        <f t="shared" si="721"/>
        <v>0</v>
      </c>
      <c r="CB128" s="57">
        <f t="shared" si="722"/>
        <v>0</v>
      </c>
      <c r="CC128" s="57">
        <f t="shared" si="723"/>
        <v>0</v>
      </c>
      <c r="CD128" s="57">
        <f t="shared" si="724"/>
        <v>0</v>
      </c>
      <c r="CE128" s="57">
        <f t="shared" si="725"/>
        <v>0</v>
      </c>
      <c r="CF128" s="57">
        <f t="shared" si="726"/>
        <v>0</v>
      </c>
      <c r="CG128" s="247">
        <f>AN128-Y128</f>
        <v>0</v>
      </c>
      <c r="CH128" s="57">
        <f t="shared" si="728"/>
        <v>0</v>
      </c>
      <c r="CI128" s="57">
        <f t="shared" si="729"/>
        <v>0</v>
      </c>
      <c r="CJ128" s="57">
        <f t="shared" si="730"/>
        <v>0</v>
      </c>
      <c r="CK128" s="250">
        <f t="shared" si="730"/>
        <v>0</v>
      </c>
      <c r="CL128" s="55">
        <f t="shared" si="731"/>
        <v>0</v>
      </c>
      <c r="CN128" s="2" t="s">
        <v>89</v>
      </c>
      <c r="CO128" s="56">
        <f t="shared" si="751"/>
        <v>0</v>
      </c>
      <c r="CP128" s="57">
        <f t="shared" si="732"/>
        <v>0</v>
      </c>
      <c r="CQ128" s="57">
        <f t="shared" si="733"/>
        <v>0</v>
      </c>
      <c r="CR128" s="57">
        <f t="shared" si="734"/>
        <v>0</v>
      </c>
      <c r="CS128" s="57">
        <f t="shared" si="735"/>
        <v>0</v>
      </c>
      <c r="CT128" s="57">
        <f t="shared" si="736"/>
        <v>0</v>
      </c>
      <c r="CU128" s="57">
        <f t="shared" si="737"/>
        <v>0</v>
      </c>
      <c r="CV128" s="247">
        <f t="shared" si="738"/>
        <v>0</v>
      </c>
      <c r="CW128" s="57">
        <f t="shared" si="739"/>
        <v>0</v>
      </c>
      <c r="CX128" s="57">
        <f t="shared" si="740"/>
        <v>0</v>
      </c>
      <c r="CY128" s="57">
        <f t="shared" si="741"/>
        <v>0</v>
      </c>
      <c r="CZ128" s="250">
        <f t="shared" si="741"/>
        <v>0</v>
      </c>
      <c r="DA128" s="62" t="e">
        <f t="shared" si="742"/>
        <v>#DIV/0!</v>
      </c>
      <c r="DC128" s="2" t="s">
        <v>89</v>
      </c>
      <c r="DD128" s="200">
        <f t="shared" si="752"/>
        <v>0</v>
      </c>
      <c r="DE128" s="201">
        <f t="shared" si="753"/>
        <v>0</v>
      </c>
      <c r="DF128" s="200">
        <f t="shared" si="754"/>
        <v>0</v>
      </c>
      <c r="DG128" s="201">
        <f t="shared" si="755"/>
        <v>0</v>
      </c>
      <c r="DH128" s="200">
        <f t="shared" si="756"/>
        <v>0</v>
      </c>
      <c r="DI128" s="201">
        <f t="shared" si="757"/>
        <v>0</v>
      </c>
      <c r="DJ128" s="200">
        <f t="shared" si="758"/>
        <v>0</v>
      </c>
      <c r="DK128" s="201">
        <f t="shared" si="759"/>
        <v>0</v>
      </c>
      <c r="DL128" s="200">
        <f t="shared" si="760"/>
        <v>0</v>
      </c>
      <c r="DM128" s="201">
        <f t="shared" si="761"/>
        <v>0</v>
      </c>
      <c r="DN128" s="200">
        <f t="shared" si="762"/>
        <v>0</v>
      </c>
      <c r="DO128" s="201">
        <f t="shared" si="763"/>
        <v>0</v>
      </c>
      <c r="DP128" s="200">
        <f t="shared" si="764"/>
        <v>0</v>
      </c>
      <c r="DQ128" s="201">
        <f t="shared" si="765"/>
        <v>0</v>
      </c>
      <c r="DR128" s="200">
        <f t="shared" si="766"/>
        <v>0</v>
      </c>
      <c r="DS128" s="201">
        <f t="shared" si="767"/>
        <v>0</v>
      </c>
      <c r="DT128" s="200">
        <f t="shared" si="768"/>
        <v>0</v>
      </c>
      <c r="DU128" s="201">
        <f t="shared" si="769"/>
        <v>0</v>
      </c>
      <c r="DV128" s="200">
        <f t="shared" si="770"/>
        <v>0</v>
      </c>
      <c r="DW128" s="201">
        <f t="shared" si="771"/>
        <v>0</v>
      </c>
      <c r="DX128" s="200">
        <f t="shared" si="772"/>
        <v>0</v>
      </c>
      <c r="DY128" s="201">
        <f t="shared" si="773"/>
        <v>0</v>
      </c>
      <c r="DZ128" s="202">
        <f t="shared" si="774"/>
        <v>0</v>
      </c>
      <c r="EA128" s="201">
        <f t="shared" si="743"/>
        <v>0</v>
      </c>
      <c r="EB128" s="190" t="e">
        <f t="shared" si="775"/>
        <v>#DIV/0!</v>
      </c>
      <c r="EC128" s="190" t="e">
        <f t="shared" si="776"/>
        <v>#DIV/0!</v>
      </c>
    </row>
    <row r="129" spans="1:133" x14ac:dyDescent="0.2">
      <c r="A129" s="65" t="s">
        <v>54</v>
      </c>
      <c r="B129" s="17">
        <f t="shared" ref="B129:M129" si="872">SUM(B109:B128)</f>
        <v>2085859.2518599546</v>
      </c>
      <c r="C129" s="17">
        <f t="shared" si="872"/>
        <v>1534166.2496961206</v>
      </c>
      <c r="D129" s="17">
        <f t="shared" si="872"/>
        <v>994680.64414212806</v>
      </c>
      <c r="E129" s="17">
        <f t="shared" si="872"/>
        <v>2059207.8689737492</v>
      </c>
      <c r="F129" s="17">
        <f t="shared" si="872"/>
        <v>175707.17240165221</v>
      </c>
      <c r="G129" s="17">
        <f t="shared" si="872"/>
        <v>294564.48965744697</v>
      </c>
      <c r="H129" s="17">
        <f t="shared" si="872"/>
        <v>23787.590488653965</v>
      </c>
      <c r="I129" s="17">
        <f t="shared" si="872"/>
        <v>318352.0801461009</v>
      </c>
      <c r="J129" s="17">
        <f t="shared" si="872"/>
        <v>4938.5236768059021</v>
      </c>
      <c r="K129" s="17">
        <f t="shared" si="872"/>
        <v>22203.818159408987</v>
      </c>
      <c r="L129" s="17">
        <f t="shared" si="872"/>
        <v>1739.9379501634389</v>
      </c>
      <c r="M129" s="17">
        <f t="shared" si="872"/>
        <v>28882.279786378327</v>
      </c>
      <c r="N129" s="17">
        <f t="shared" si="706"/>
        <v>7196855.5470060818</v>
      </c>
      <c r="O129" s="17"/>
      <c r="P129" s="17"/>
      <c r="Q129" s="65" t="s">
        <v>54</v>
      </c>
      <c r="R129" s="17">
        <f t="shared" ref="R129:AC129" si="873">SUM(R109:R128)</f>
        <v>0</v>
      </c>
      <c r="S129" s="17">
        <f t="shared" si="873"/>
        <v>0</v>
      </c>
      <c r="T129" s="17">
        <f t="shared" si="873"/>
        <v>0</v>
      </c>
      <c r="U129" s="17">
        <f t="shared" si="873"/>
        <v>0</v>
      </c>
      <c r="V129" s="17">
        <f t="shared" si="873"/>
        <v>0</v>
      </c>
      <c r="W129" s="17">
        <f t="shared" si="873"/>
        <v>0</v>
      </c>
      <c r="X129" s="17">
        <f t="shared" si="873"/>
        <v>0</v>
      </c>
      <c r="Y129" s="17">
        <f t="shared" si="873"/>
        <v>0</v>
      </c>
      <c r="Z129" s="17">
        <f t="shared" si="873"/>
        <v>0</v>
      </c>
      <c r="AA129" s="17">
        <f t="shared" si="873"/>
        <v>0</v>
      </c>
      <c r="AB129" s="17">
        <f t="shared" si="873"/>
        <v>0</v>
      </c>
      <c r="AC129" s="17">
        <f t="shared" si="873"/>
        <v>0</v>
      </c>
      <c r="AD129" s="17">
        <f t="shared" si="717"/>
        <v>0</v>
      </c>
      <c r="AF129" s="65" t="s">
        <v>54</v>
      </c>
      <c r="AG129" s="17">
        <f t="shared" ref="AG129:AR129" si="874">SUM(AG109:AG128)</f>
        <v>0</v>
      </c>
      <c r="AH129" s="17">
        <f t="shared" si="874"/>
        <v>0</v>
      </c>
      <c r="AI129" s="17">
        <f t="shared" si="874"/>
        <v>0</v>
      </c>
      <c r="AJ129" s="17">
        <f t="shared" si="874"/>
        <v>0</v>
      </c>
      <c r="AK129" s="17">
        <f t="shared" si="874"/>
        <v>0</v>
      </c>
      <c r="AL129" s="17">
        <f t="shared" si="874"/>
        <v>0</v>
      </c>
      <c r="AM129" s="17">
        <f t="shared" si="874"/>
        <v>0</v>
      </c>
      <c r="AN129" s="17">
        <f t="shared" si="874"/>
        <v>0</v>
      </c>
      <c r="AO129" s="17">
        <f t="shared" si="874"/>
        <v>0</v>
      </c>
      <c r="AP129" s="17">
        <f t="shared" si="874"/>
        <v>0</v>
      </c>
      <c r="AQ129" s="17">
        <f t="shared" si="874"/>
        <v>0</v>
      </c>
      <c r="AR129" s="17">
        <f t="shared" si="874"/>
        <v>0</v>
      </c>
      <c r="AS129" s="17">
        <f t="shared" si="718"/>
        <v>0</v>
      </c>
      <c r="AU129" s="65" t="s">
        <v>54</v>
      </c>
      <c r="AV129" s="17">
        <f t="shared" ref="AV129:BH129" si="875">SUM(AV109:AV128)</f>
        <v>0</v>
      </c>
      <c r="AW129" s="17">
        <f t="shared" si="875"/>
        <v>0</v>
      </c>
      <c r="AX129" s="17">
        <f t="shared" si="875"/>
        <v>0</v>
      </c>
      <c r="AY129" s="17">
        <f t="shared" si="875"/>
        <v>0</v>
      </c>
      <c r="AZ129" s="17">
        <f t="shared" si="875"/>
        <v>0</v>
      </c>
      <c r="BA129" s="17">
        <f t="shared" si="875"/>
        <v>0</v>
      </c>
      <c r="BB129" s="17">
        <f t="shared" si="875"/>
        <v>0</v>
      </c>
      <c r="BC129" s="17">
        <f t="shared" si="875"/>
        <v>0</v>
      </c>
      <c r="BD129" s="17">
        <f t="shared" si="875"/>
        <v>0</v>
      </c>
      <c r="BE129" s="17">
        <f t="shared" si="875"/>
        <v>0</v>
      </c>
      <c r="BF129" s="17">
        <f t="shared" si="875"/>
        <v>0</v>
      </c>
      <c r="BG129" s="17">
        <f t="shared" si="875"/>
        <v>0</v>
      </c>
      <c r="BH129" s="24" t="e">
        <f t="shared" si="875"/>
        <v>#DIV/0!</v>
      </c>
      <c r="BJ129" s="65" t="s">
        <v>54</v>
      </c>
      <c r="BK129" s="24">
        <f t="shared" ref="BK129:BW129" si="876">SUM(BK109:BK128)</f>
        <v>0</v>
      </c>
      <c r="BL129" s="24">
        <f t="shared" si="876"/>
        <v>0</v>
      </c>
      <c r="BM129" s="24">
        <f t="shared" si="876"/>
        <v>0</v>
      </c>
      <c r="BN129" s="24">
        <f t="shared" si="876"/>
        <v>0</v>
      </c>
      <c r="BO129" s="24">
        <f t="shared" si="876"/>
        <v>0</v>
      </c>
      <c r="BP129" s="24">
        <f t="shared" si="876"/>
        <v>0</v>
      </c>
      <c r="BQ129" s="24">
        <f t="shared" si="876"/>
        <v>0</v>
      </c>
      <c r="BR129" s="24">
        <f t="shared" si="876"/>
        <v>0</v>
      </c>
      <c r="BS129" s="24">
        <f t="shared" si="876"/>
        <v>0</v>
      </c>
      <c r="BT129" s="24">
        <f t="shared" si="876"/>
        <v>0</v>
      </c>
      <c r="BU129" s="24">
        <f t="shared" si="876"/>
        <v>0</v>
      </c>
      <c r="BV129" s="24">
        <f t="shared" si="876"/>
        <v>0</v>
      </c>
      <c r="BW129" s="24" t="e">
        <f t="shared" si="876"/>
        <v>#DIV/0!</v>
      </c>
      <c r="BX129" s="24"/>
      <c r="BY129" s="65" t="s">
        <v>54</v>
      </c>
      <c r="BZ129" s="55">
        <f t="shared" si="750"/>
        <v>0</v>
      </c>
      <c r="CA129" s="55">
        <f t="shared" si="721"/>
        <v>0</v>
      </c>
      <c r="CB129" s="55">
        <f t="shared" si="722"/>
        <v>0</v>
      </c>
      <c r="CC129" s="55">
        <f t="shared" si="723"/>
        <v>0</v>
      </c>
      <c r="CD129" s="55">
        <f t="shared" si="724"/>
        <v>0</v>
      </c>
      <c r="CE129" s="55">
        <f t="shared" si="725"/>
        <v>0</v>
      </c>
      <c r="CF129" s="55">
        <f t="shared" si="726"/>
        <v>0</v>
      </c>
      <c r="CG129" s="55">
        <f>AN129-Y129</f>
        <v>0</v>
      </c>
      <c r="CH129" s="55">
        <f t="shared" si="728"/>
        <v>0</v>
      </c>
      <c r="CI129" s="55">
        <f t="shared" si="729"/>
        <v>0</v>
      </c>
      <c r="CJ129" s="55">
        <f t="shared" si="730"/>
        <v>0</v>
      </c>
      <c r="CK129" s="55">
        <f t="shared" si="730"/>
        <v>0</v>
      </c>
      <c r="CL129" s="55">
        <f t="shared" si="731"/>
        <v>0</v>
      </c>
      <c r="CN129" s="65" t="s">
        <v>54</v>
      </c>
      <c r="CO129" s="55">
        <f t="shared" si="751"/>
        <v>0</v>
      </c>
      <c r="CP129" s="55">
        <f t="shared" si="732"/>
        <v>0</v>
      </c>
      <c r="CQ129" s="55">
        <f t="shared" si="733"/>
        <v>0</v>
      </c>
      <c r="CR129" s="55">
        <f t="shared" si="734"/>
        <v>0</v>
      </c>
      <c r="CS129" s="55">
        <f t="shared" si="735"/>
        <v>0</v>
      </c>
      <c r="CT129" s="55">
        <f t="shared" si="736"/>
        <v>0</v>
      </c>
      <c r="CU129" s="55">
        <f t="shared" si="737"/>
        <v>0</v>
      </c>
      <c r="CV129" s="55">
        <f t="shared" si="738"/>
        <v>0</v>
      </c>
      <c r="CW129" s="55">
        <f t="shared" si="739"/>
        <v>0</v>
      </c>
      <c r="CX129" s="55">
        <f t="shared" si="740"/>
        <v>0</v>
      </c>
      <c r="CY129" s="55">
        <f t="shared" si="741"/>
        <v>0</v>
      </c>
      <c r="CZ129" s="55">
        <f t="shared" si="741"/>
        <v>0</v>
      </c>
      <c r="DA129" s="62" t="e">
        <f t="shared" si="742"/>
        <v>#DIV/0!</v>
      </c>
      <c r="DC129" s="65" t="s">
        <v>54</v>
      </c>
      <c r="DD129" s="190">
        <f t="shared" ref="DD129:EC129" si="877">SUM(DD109:DD128)</f>
        <v>0</v>
      </c>
      <c r="DE129" s="190">
        <f t="shared" si="877"/>
        <v>0</v>
      </c>
      <c r="DF129" s="190">
        <f t="shared" si="877"/>
        <v>0</v>
      </c>
      <c r="DG129" s="190">
        <f t="shared" si="877"/>
        <v>0</v>
      </c>
      <c r="DH129" s="190">
        <f t="shared" si="877"/>
        <v>0</v>
      </c>
      <c r="DI129" s="190">
        <f t="shared" si="877"/>
        <v>0</v>
      </c>
      <c r="DJ129" s="190">
        <f t="shared" si="877"/>
        <v>0</v>
      </c>
      <c r="DK129" s="190">
        <f t="shared" si="877"/>
        <v>0</v>
      </c>
      <c r="DL129" s="190">
        <f t="shared" si="877"/>
        <v>0</v>
      </c>
      <c r="DM129" s="190">
        <f t="shared" si="877"/>
        <v>0</v>
      </c>
      <c r="DN129" s="190">
        <f t="shared" si="877"/>
        <v>0</v>
      </c>
      <c r="DO129" s="190">
        <f t="shared" si="877"/>
        <v>0</v>
      </c>
      <c r="DP129" s="190">
        <f t="shared" si="877"/>
        <v>0</v>
      </c>
      <c r="DQ129" s="190">
        <f t="shared" si="877"/>
        <v>0</v>
      </c>
      <c r="DR129" s="190">
        <f t="shared" si="877"/>
        <v>0</v>
      </c>
      <c r="DS129" s="190">
        <f t="shared" si="877"/>
        <v>0</v>
      </c>
      <c r="DT129" s="190">
        <f t="shared" si="877"/>
        <v>0</v>
      </c>
      <c r="DU129" s="190">
        <f t="shared" si="877"/>
        <v>0</v>
      </c>
      <c r="DV129" s="190">
        <f t="shared" si="877"/>
        <v>0</v>
      </c>
      <c r="DW129" s="190">
        <f t="shared" si="877"/>
        <v>0</v>
      </c>
      <c r="DX129" s="190">
        <f t="shared" si="877"/>
        <v>0</v>
      </c>
      <c r="DY129" s="190">
        <f t="shared" si="877"/>
        <v>0</v>
      </c>
      <c r="DZ129" s="190">
        <f t="shared" si="877"/>
        <v>0</v>
      </c>
      <c r="EA129" s="190">
        <f t="shared" si="877"/>
        <v>0</v>
      </c>
      <c r="EB129" s="190" t="e">
        <f t="shared" si="877"/>
        <v>#DIV/0!</v>
      </c>
      <c r="EC129" s="190" t="e">
        <f t="shared" si="877"/>
        <v>#DIV/0!</v>
      </c>
    </row>
    <row r="130" spans="1:133" x14ac:dyDescent="0.2">
      <c r="DC130" s="2"/>
    </row>
    <row r="131" spans="1:133" x14ac:dyDescent="0.2">
      <c r="DC131" s="2"/>
    </row>
    <row r="132" spans="1:133" s="13" customFormat="1" x14ac:dyDescent="0.2">
      <c r="A132" s="6" t="s">
        <v>77</v>
      </c>
      <c r="Q132" s="6" t="s">
        <v>77</v>
      </c>
      <c r="AF132" s="6" t="s">
        <v>77</v>
      </c>
      <c r="AU132" s="6" t="s">
        <v>77</v>
      </c>
      <c r="BJ132" s="6" t="s">
        <v>77</v>
      </c>
      <c r="BK132" s="6" t="s">
        <v>77</v>
      </c>
      <c r="BY132" s="6" t="s">
        <v>77</v>
      </c>
      <c r="CN132" s="6" t="s">
        <v>77</v>
      </c>
      <c r="DC132" s="6" t="s">
        <v>77</v>
      </c>
      <c r="DD132" s="188"/>
      <c r="DE132" s="189"/>
      <c r="DF132" s="189"/>
      <c r="DG132" s="189"/>
      <c r="DH132" s="189"/>
      <c r="DI132" s="189"/>
      <c r="DJ132" s="189"/>
      <c r="DK132" s="189"/>
      <c r="DL132" s="189"/>
      <c r="DM132" s="189"/>
      <c r="DN132" s="189"/>
      <c r="DO132" s="189"/>
      <c r="DP132" s="189"/>
      <c r="DQ132" s="189"/>
      <c r="DR132" s="189"/>
      <c r="DS132" s="189"/>
      <c r="DT132" s="189"/>
      <c r="DU132" s="189"/>
      <c r="DV132" s="189"/>
      <c r="DW132" s="189"/>
      <c r="DX132" s="189"/>
      <c r="DY132" s="189"/>
      <c r="DZ132" s="189"/>
      <c r="EA132" s="189"/>
      <c r="EB132" s="189"/>
      <c r="EC132" s="189"/>
    </row>
    <row r="133" spans="1:133" x14ac:dyDescent="0.2">
      <c r="A133" s="63"/>
      <c r="B133" s="5" t="s">
        <v>0</v>
      </c>
      <c r="Q133" s="63"/>
      <c r="R133" s="5" t="s">
        <v>0</v>
      </c>
      <c r="AF133" s="63"/>
      <c r="AG133" s="5" t="s">
        <v>0</v>
      </c>
      <c r="AU133" s="63"/>
      <c r="AV133" s="5" t="s">
        <v>0</v>
      </c>
      <c r="BJ133" s="63"/>
      <c r="BK133" s="5" t="s">
        <v>0</v>
      </c>
      <c r="BY133" s="63"/>
      <c r="BZ133" s="5" t="s">
        <v>0</v>
      </c>
      <c r="CN133" s="63"/>
      <c r="CO133" s="5" t="s">
        <v>0</v>
      </c>
      <c r="DC133" s="63"/>
      <c r="DD133" s="190" t="s">
        <v>124</v>
      </c>
      <c r="DE133" s="190" t="s">
        <v>125</v>
      </c>
      <c r="DF133" s="190" t="s">
        <v>124</v>
      </c>
      <c r="DG133" s="190" t="s">
        <v>125</v>
      </c>
      <c r="DH133" s="190" t="s">
        <v>124</v>
      </c>
      <c r="DI133" s="190" t="s">
        <v>125</v>
      </c>
      <c r="DJ133" s="190" t="s">
        <v>124</v>
      </c>
      <c r="DK133" s="190" t="s">
        <v>125</v>
      </c>
      <c r="DL133" s="190" t="s">
        <v>124</v>
      </c>
      <c r="DM133" s="190" t="s">
        <v>125</v>
      </c>
      <c r="DN133" s="190" t="s">
        <v>124</v>
      </c>
      <c r="DO133" s="190" t="s">
        <v>125</v>
      </c>
      <c r="DP133" s="190" t="s">
        <v>124</v>
      </c>
      <c r="DQ133" s="190" t="s">
        <v>125</v>
      </c>
      <c r="DR133" s="190" t="s">
        <v>124</v>
      </c>
      <c r="DS133" s="190" t="s">
        <v>125</v>
      </c>
      <c r="DT133" s="190" t="s">
        <v>124</v>
      </c>
      <c r="DU133" s="190" t="s">
        <v>125</v>
      </c>
      <c r="DV133" s="190" t="s">
        <v>124</v>
      </c>
      <c r="DW133" s="190" t="s">
        <v>125</v>
      </c>
      <c r="DX133" s="190" t="s">
        <v>124</v>
      </c>
      <c r="DY133" s="190" t="s">
        <v>125</v>
      </c>
      <c r="DZ133" s="190" t="s">
        <v>124</v>
      </c>
      <c r="EA133" s="190" t="s">
        <v>125</v>
      </c>
      <c r="EB133" s="190" t="s">
        <v>124</v>
      </c>
      <c r="EC133" s="190" t="s">
        <v>125</v>
      </c>
    </row>
    <row r="134" spans="1:133" ht="25.5" x14ac:dyDescent="0.2">
      <c r="A134" s="5" t="s">
        <v>1</v>
      </c>
      <c r="B134" s="21" t="s">
        <v>4</v>
      </c>
      <c r="C134" s="21" t="s">
        <v>41</v>
      </c>
      <c r="D134" s="21" t="s">
        <v>42</v>
      </c>
      <c r="E134" s="21" t="s">
        <v>2</v>
      </c>
      <c r="F134" s="21" t="s">
        <v>3</v>
      </c>
      <c r="G134" s="21" t="s">
        <v>38</v>
      </c>
      <c r="H134" s="21" t="s">
        <v>39</v>
      </c>
      <c r="I134" s="71" t="s">
        <v>148</v>
      </c>
      <c r="J134" s="21" t="s">
        <v>6</v>
      </c>
      <c r="K134" s="21" t="s">
        <v>88</v>
      </c>
      <c r="L134" s="21" t="s">
        <v>89</v>
      </c>
      <c r="M134" s="73" t="s">
        <v>323</v>
      </c>
      <c r="N134" s="52" t="s">
        <v>53</v>
      </c>
      <c r="O134" s="52"/>
      <c r="P134" s="52"/>
      <c r="Q134" s="5" t="s">
        <v>1</v>
      </c>
      <c r="R134" s="21" t="s">
        <v>4</v>
      </c>
      <c r="S134" s="21" t="s">
        <v>41</v>
      </c>
      <c r="T134" s="21" t="s">
        <v>42</v>
      </c>
      <c r="U134" s="21" t="s">
        <v>2</v>
      </c>
      <c r="V134" s="21" t="s">
        <v>3</v>
      </c>
      <c r="W134" s="21" t="s">
        <v>38</v>
      </c>
      <c r="X134" s="21" t="s">
        <v>39</v>
      </c>
      <c r="Y134" s="71" t="s">
        <v>148</v>
      </c>
      <c r="Z134" s="21" t="s">
        <v>6</v>
      </c>
      <c r="AA134" s="21" t="s">
        <v>88</v>
      </c>
      <c r="AB134" s="21" t="s">
        <v>89</v>
      </c>
      <c r="AC134" s="73" t="s">
        <v>323</v>
      </c>
      <c r="AD134" s="52" t="s">
        <v>53</v>
      </c>
      <c r="AF134" s="5" t="s">
        <v>1</v>
      </c>
      <c r="AG134" s="21" t="s">
        <v>4</v>
      </c>
      <c r="AH134" s="21" t="s">
        <v>41</v>
      </c>
      <c r="AI134" s="21" t="s">
        <v>42</v>
      </c>
      <c r="AJ134" s="21" t="s">
        <v>2</v>
      </c>
      <c r="AK134" s="21" t="s">
        <v>3</v>
      </c>
      <c r="AL134" s="21" t="s">
        <v>38</v>
      </c>
      <c r="AM134" s="21" t="s">
        <v>39</v>
      </c>
      <c r="AN134" s="71" t="s">
        <v>148</v>
      </c>
      <c r="AO134" s="21" t="s">
        <v>6</v>
      </c>
      <c r="AP134" s="21" t="s">
        <v>88</v>
      </c>
      <c r="AQ134" s="21" t="s">
        <v>89</v>
      </c>
      <c r="AR134" s="73" t="s">
        <v>323</v>
      </c>
      <c r="AS134" s="52" t="s">
        <v>53</v>
      </c>
      <c r="AU134" s="5" t="s">
        <v>1</v>
      </c>
      <c r="AV134" s="21" t="s">
        <v>4</v>
      </c>
      <c r="AW134" s="21" t="s">
        <v>41</v>
      </c>
      <c r="AX134" s="21" t="s">
        <v>42</v>
      </c>
      <c r="AY134" s="21" t="s">
        <v>2</v>
      </c>
      <c r="AZ134" s="21" t="s">
        <v>3</v>
      </c>
      <c r="BA134" s="21" t="s">
        <v>38</v>
      </c>
      <c r="BB134" s="21" t="s">
        <v>39</v>
      </c>
      <c r="BC134" s="71" t="s">
        <v>148</v>
      </c>
      <c r="BD134" s="21" t="s">
        <v>6</v>
      </c>
      <c r="BE134" s="21" t="s">
        <v>88</v>
      </c>
      <c r="BF134" s="21" t="s">
        <v>89</v>
      </c>
      <c r="BG134" s="73" t="s">
        <v>323</v>
      </c>
      <c r="BH134" s="21" t="s">
        <v>147</v>
      </c>
      <c r="BJ134" s="5" t="s">
        <v>1</v>
      </c>
      <c r="BK134" s="21" t="s">
        <v>4</v>
      </c>
      <c r="BL134" s="21" t="s">
        <v>41</v>
      </c>
      <c r="BM134" s="21" t="s">
        <v>42</v>
      </c>
      <c r="BN134" s="21" t="s">
        <v>2</v>
      </c>
      <c r="BO134" s="21" t="s">
        <v>3</v>
      </c>
      <c r="BP134" s="21" t="s">
        <v>38</v>
      </c>
      <c r="BQ134" s="21" t="s">
        <v>39</v>
      </c>
      <c r="BR134" s="73" t="s">
        <v>148</v>
      </c>
      <c r="BS134" s="21" t="s">
        <v>6</v>
      </c>
      <c r="BT134" s="21" t="s">
        <v>88</v>
      </c>
      <c r="BU134" s="21" t="s">
        <v>89</v>
      </c>
      <c r="BV134" s="73" t="s">
        <v>323</v>
      </c>
      <c r="BW134" s="21" t="s">
        <v>53</v>
      </c>
      <c r="BX134" s="21"/>
      <c r="BY134" s="5" t="s">
        <v>1</v>
      </c>
      <c r="BZ134" s="21" t="s">
        <v>4</v>
      </c>
      <c r="CA134" s="21" t="s">
        <v>41</v>
      </c>
      <c r="CB134" s="21" t="s">
        <v>42</v>
      </c>
      <c r="CC134" s="21" t="s">
        <v>2</v>
      </c>
      <c r="CD134" s="21" t="s">
        <v>3</v>
      </c>
      <c r="CE134" s="21" t="s">
        <v>38</v>
      </c>
      <c r="CF134" s="21" t="s">
        <v>39</v>
      </c>
      <c r="CG134" s="21" t="s">
        <v>148</v>
      </c>
      <c r="CH134" s="21" t="s">
        <v>6</v>
      </c>
      <c r="CI134" s="21" t="s">
        <v>88</v>
      </c>
      <c r="CJ134" s="21" t="s">
        <v>89</v>
      </c>
      <c r="CK134" s="21" t="s">
        <v>323</v>
      </c>
      <c r="CL134" s="21" t="s">
        <v>53</v>
      </c>
      <c r="CN134" s="5" t="s">
        <v>1</v>
      </c>
      <c r="CO134" s="21" t="s">
        <v>4</v>
      </c>
      <c r="CP134" s="21" t="s">
        <v>41</v>
      </c>
      <c r="CQ134" s="21" t="s">
        <v>42</v>
      </c>
      <c r="CR134" s="21" t="s">
        <v>2</v>
      </c>
      <c r="CS134" s="21" t="s">
        <v>3</v>
      </c>
      <c r="CT134" s="21" t="s">
        <v>38</v>
      </c>
      <c r="CU134" s="21" t="s">
        <v>39</v>
      </c>
      <c r="CV134" s="21" t="s">
        <v>148</v>
      </c>
      <c r="CW134" s="21" t="s">
        <v>6</v>
      </c>
      <c r="CX134" s="21" t="s">
        <v>88</v>
      </c>
      <c r="CY134" s="21" t="s">
        <v>89</v>
      </c>
      <c r="CZ134" s="21" t="s">
        <v>323</v>
      </c>
      <c r="DA134" s="21" t="s">
        <v>53</v>
      </c>
      <c r="DC134" s="5" t="s">
        <v>1</v>
      </c>
      <c r="DD134" s="191" t="s">
        <v>4</v>
      </c>
      <c r="DE134" s="191" t="s">
        <v>4</v>
      </c>
      <c r="DF134" s="191" t="s">
        <v>41</v>
      </c>
      <c r="DG134" s="191" t="s">
        <v>41</v>
      </c>
      <c r="DH134" s="191" t="s">
        <v>42</v>
      </c>
      <c r="DI134" s="191" t="s">
        <v>42</v>
      </c>
      <c r="DJ134" s="191" t="s">
        <v>2</v>
      </c>
      <c r="DK134" s="191" t="s">
        <v>2</v>
      </c>
      <c r="DL134" s="191" t="s">
        <v>3</v>
      </c>
      <c r="DM134" s="191" t="s">
        <v>3</v>
      </c>
      <c r="DN134" s="191" t="s">
        <v>38</v>
      </c>
      <c r="DO134" s="191" t="s">
        <v>38</v>
      </c>
      <c r="DP134" s="191" t="s">
        <v>39</v>
      </c>
      <c r="DQ134" s="191" t="s">
        <v>39</v>
      </c>
      <c r="DR134" s="191" t="s">
        <v>148</v>
      </c>
      <c r="DS134" s="191" t="s">
        <v>148</v>
      </c>
      <c r="DT134" s="191" t="s">
        <v>6</v>
      </c>
      <c r="DU134" s="191" t="s">
        <v>6</v>
      </c>
      <c r="DV134" s="191" t="s">
        <v>88</v>
      </c>
      <c r="DW134" s="191" t="s">
        <v>88</v>
      </c>
      <c r="DX134" s="191" t="s">
        <v>89</v>
      </c>
      <c r="DY134" s="191" t="s">
        <v>89</v>
      </c>
      <c r="DZ134" s="191" t="s">
        <v>323</v>
      </c>
      <c r="EA134" s="191" t="s">
        <v>323</v>
      </c>
      <c r="EB134" s="192" t="s">
        <v>126</v>
      </c>
      <c r="EC134" s="192" t="s">
        <v>126</v>
      </c>
    </row>
    <row r="135" spans="1:133" x14ac:dyDescent="0.2">
      <c r="A135" s="66" t="s">
        <v>4</v>
      </c>
      <c r="B135" s="36">
        <f>targets!AW126</f>
        <v>260118.99434358403</v>
      </c>
      <c r="C135" s="37">
        <f>targets!AX126</f>
        <v>12592.709291969542</v>
      </c>
      <c r="D135" s="37">
        <f>targets!AY126</f>
        <v>6127.0111729750306</v>
      </c>
      <c r="E135" s="37">
        <f>targets!AZ126</f>
        <v>0</v>
      </c>
      <c r="F135" s="37">
        <f>targets!BA126</f>
        <v>0</v>
      </c>
      <c r="G135" s="37">
        <f>SUM(targets!BB126:BG126)</f>
        <v>0</v>
      </c>
      <c r="H135" s="37">
        <f>SUM(targets!BH126:BM126)</f>
        <v>0</v>
      </c>
      <c r="I135" s="74">
        <f>SUM(G135:H135)</f>
        <v>0</v>
      </c>
      <c r="J135" s="37">
        <f>targets!BN126</f>
        <v>0</v>
      </c>
      <c r="K135" s="37">
        <f>targets!BO126</f>
        <v>0</v>
      </c>
      <c r="L135" s="37">
        <f>targets!BP126</f>
        <v>0</v>
      </c>
      <c r="M135" s="177">
        <f>SUM(J135:L135)</f>
        <v>0</v>
      </c>
      <c r="N135" s="17">
        <f t="shared" ref="N135:N155" si="878">SUM(B135:L135)-I135</f>
        <v>278838.7148085286</v>
      </c>
      <c r="O135" s="17"/>
      <c r="P135" s="17"/>
      <c r="Q135" s="66" t="s">
        <v>4</v>
      </c>
      <c r="R135" s="36">
        <f t="shared" ref="R135:R154" si="879">B135*(AG$155/B$155)</f>
        <v>0</v>
      </c>
      <c r="S135" s="37">
        <f t="shared" ref="S135:S154" si="880">C135*(AH$155/C$155)</f>
        <v>0</v>
      </c>
      <c r="T135" s="37">
        <f t="shared" ref="T135:T154" si="881">D135*(AI$155/D$155)</f>
        <v>0</v>
      </c>
      <c r="U135" s="37">
        <f t="shared" ref="U135:U154" si="882">E135*(AJ$155/E$155)</f>
        <v>0</v>
      </c>
      <c r="V135" s="37">
        <f t="shared" ref="V135:V154" si="883">F135*(AK$155/F$155)</f>
        <v>0</v>
      </c>
      <c r="W135" s="37">
        <f t="shared" ref="W135:W154" si="884">G135*(AL$155/G$155)</f>
        <v>0</v>
      </c>
      <c r="X135" s="37">
        <f t="shared" ref="X135:X154" si="885">H135*(AM$155/H$155)</f>
        <v>0</v>
      </c>
      <c r="Y135" s="74">
        <f>SUM(W135:X135)</f>
        <v>0</v>
      </c>
      <c r="Z135" s="37">
        <f t="shared" ref="Z135:Z154" si="886">J135*(AO$155/J$155)</f>
        <v>0</v>
      </c>
      <c r="AA135" s="37">
        <f t="shared" ref="AA135:AA154" si="887">K135*(AP$155/K$155)</f>
        <v>0</v>
      </c>
      <c r="AB135" s="37">
        <f t="shared" ref="AB135:AB154" si="888">L135*(AQ$155/L$155)</f>
        <v>0</v>
      </c>
      <c r="AC135" s="177">
        <f>SUM(Z135:AB135)</f>
        <v>0</v>
      </c>
      <c r="AD135" s="17">
        <f t="shared" ref="AD135:AD155" si="889">SUM(R135:AB135)-Y135</f>
        <v>0</v>
      </c>
      <c r="AF135" s="66" t="s">
        <v>4</v>
      </c>
      <c r="AG135" s="36">
        <f t="array" ref="AG135">SUM(IF((modeldata!$F:$F=calibration!$AF$132)*(modeldata!$G:$G=calibration!AG$134)*(modeldata!$H:$H=calibration!$AF135),modeldata!$E:$E,0))</f>
        <v>0</v>
      </c>
      <c r="AH135" s="37">
        <f t="array" ref="AH135">SUM(IF((modeldata!$F:$F=calibration!$AF$132)*(modeldata!$G:$G=calibration!AH$134)*(modeldata!$H:$H=calibration!$AF135),modeldata!$E:$E,0))</f>
        <v>0</v>
      </c>
      <c r="AI135" s="37">
        <f t="array" ref="AI135">SUM(IF((modeldata!$F:$F=calibration!$AF$132)*(modeldata!$G:$G=calibration!AI$134)*(modeldata!$H:$H=calibration!$AF135),modeldata!$E:$E,0))</f>
        <v>0</v>
      </c>
      <c r="AJ135" s="37">
        <f t="array" ref="AJ135">SUM(IF((modeldata!$F:$F=calibration!$AF$132)*(modeldata!$G:$G=calibration!AJ$134)*(modeldata!$H:$H=calibration!$AF135),modeldata!$E:$E,0))</f>
        <v>0</v>
      </c>
      <c r="AK135" s="37">
        <f t="array" ref="AK135">SUM(IF((modeldata!$F:$F=calibration!$AF$132)*(modeldata!$G:$G=calibration!AK$134)*(modeldata!$H:$H=calibration!$AF135),modeldata!$E:$E,0))</f>
        <v>0</v>
      </c>
      <c r="AL135" s="37">
        <f t="array" ref="AL135">SUM(IF((modeldata!$F:$F=calibration!$AF$132)*(modeldata!$G:$G=calibration!AL$134)*(modeldata!$H:$H=calibration!$AF135),modeldata!$E:$E,0))</f>
        <v>0</v>
      </c>
      <c r="AM135" s="37">
        <f t="array" ref="AM135">SUM(IF((modeldata!$F:$F=calibration!$AF$132)*(modeldata!$G:$G=calibration!AM$134)*(modeldata!$H:$H=calibration!$AF135),modeldata!$E:$E,0))</f>
        <v>0</v>
      </c>
      <c r="AN135" s="74">
        <f>AL135+AM135</f>
        <v>0</v>
      </c>
      <c r="AO135" s="37">
        <f t="array" ref="AO135">SUM(IF((modeldata!$F:$F=calibration!$AF$132)*(modeldata!$G:$G=calibration!AO$134)*(modeldata!$H:$H=calibration!$AF135),modeldata!$E:$E,0))</f>
        <v>0</v>
      </c>
      <c r="AP135" s="37">
        <f t="array" ref="AP135">SUM(IF((modeldata!$F:$F=calibration!$AF$132)*(modeldata!$G:$G=calibration!AP$134)*(modeldata!$H:$H=calibration!$AF135),modeldata!$E:$E,0))</f>
        <v>0</v>
      </c>
      <c r="AQ135" s="37">
        <f t="array" ref="AQ135">SUM(IF((modeldata!$F:$F=calibration!$AF$132)*(modeldata!$G:$G=calibration!AQ$134)*(modeldata!$H:$H=calibration!$AF135),modeldata!$E:$E,0))</f>
        <v>0</v>
      </c>
      <c r="AR135" s="177"/>
      <c r="AS135" s="17">
        <f t="shared" ref="AS135:AS155" si="890">SUM(AG135:AQ135)-AN135</f>
        <v>0</v>
      </c>
      <c r="AU135" s="66" t="s">
        <v>4</v>
      </c>
      <c r="AV135" s="36">
        <f t="shared" ref="AV135:BG135" si="891">IF(R155&gt;0,R135/R155,0)</f>
        <v>0</v>
      </c>
      <c r="AW135" s="37">
        <f t="shared" si="891"/>
        <v>0</v>
      </c>
      <c r="AX135" s="37">
        <f t="shared" si="891"/>
        <v>0</v>
      </c>
      <c r="AY135" s="37">
        <f t="shared" si="891"/>
        <v>0</v>
      </c>
      <c r="AZ135" s="37">
        <f t="shared" si="891"/>
        <v>0</v>
      </c>
      <c r="BA135" s="37">
        <f t="shared" si="891"/>
        <v>0</v>
      </c>
      <c r="BB135" s="37">
        <f t="shared" si="891"/>
        <v>0</v>
      </c>
      <c r="BC135" s="74">
        <f t="shared" si="891"/>
        <v>0</v>
      </c>
      <c r="BD135" s="37">
        <f t="shared" si="891"/>
        <v>0</v>
      </c>
      <c r="BE135" s="37">
        <f t="shared" si="891"/>
        <v>0</v>
      </c>
      <c r="BF135" s="37">
        <f t="shared" si="891"/>
        <v>0</v>
      </c>
      <c r="BG135" s="177">
        <f t="shared" si="891"/>
        <v>0</v>
      </c>
      <c r="BH135" s="24" t="e">
        <f>AD135/AD155</f>
        <v>#DIV/0!</v>
      </c>
      <c r="BJ135" s="66" t="s">
        <v>4</v>
      </c>
      <c r="BK135" s="36">
        <f t="shared" ref="BK135:BV135" si="892">IF(AG155&gt;0,AG135/AG155,0)</f>
        <v>0</v>
      </c>
      <c r="BL135" s="37">
        <f t="shared" si="892"/>
        <v>0</v>
      </c>
      <c r="BM135" s="37">
        <f t="shared" si="892"/>
        <v>0</v>
      </c>
      <c r="BN135" s="37">
        <f t="shared" si="892"/>
        <v>0</v>
      </c>
      <c r="BO135" s="37">
        <f t="shared" si="892"/>
        <v>0</v>
      </c>
      <c r="BP135" s="37">
        <f t="shared" si="892"/>
        <v>0</v>
      </c>
      <c r="BQ135" s="37">
        <f t="shared" si="892"/>
        <v>0</v>
      </c>
      <c r="BR135" s="74">
        <f t="shared" si="892"/>
        <v>0</v>
      </c>
      <c r="BS135" s="37">
        <f t="shared" si="892"/>
        <v>0</v>
      </c>
      <c r="BT135" s="37">
        <f t="shared" si="892"/>
        <v>0</v>
      </c>
      <c r="BU135" s="37">
        <f t="shared" si="892"/>
        <v>0</v>
      </c>
      <c r="BV135" s="177">
        <f t="shared" si="892"/>
        <v>0</v>
      </c>
      <c r="BW135" s="24" t="e">
        <f>AS135/AS155</f>
        <v>#DIV/0!</v>
      </c>
      <c r="BX135" s="24"/>
      <c r="BY135" s="66" t="s">
        <v>4</v>
      </c>
      <c r="BZ135" s="58">
        <f>AG135-R135</f>
        <v>0</v>
      </c>
      <c r="CA135" s="53">
        <f t="shared" ref="CA135:CA155" si="893">AH135-S135</f>
        <v>0</v>
      </c>
      <c r="CB135" s="53">
        <f t="shared" ref="CB135:CB155" si="894">AI135-T135</f>
        <v>0</v>
      </c>
      <c r="CC135" s="53">
        <f t="shared" ref="CC135:CC155" si="895">AJ135-U135</f>
        <v>0</v>
      </c>
      <c r="CD135" s="53">
        <f t="shared" ref="CD135:CD155" si="896">AK135-V135</f>
        <v>0</v>
      </c>
      <c r="CE135" s="53">
        <f t="shared" ref="CE135:CE155" si="897">AL135-W135</f>
        <v>0</v>
      </c>
      <c r="CF135" s="53">
        <f t="shared" ref="CF135:CF155" si="898">AM135-X135</f>
        <v>0</v>
      </c>
      <c r="CG135" s="245">
        <f t="shared" ref="CG135:CG150" si="899">AN135-Y135</f>
        <v>0</v>
      </c>
      <c r="CH135" s="53">
        <f t="shared" ref="CH135:CH155" si="900">AO135-Z135</f>
        <v>0</v>
      </c>
      <c r="CI135" s="53">
        <f t="shared" ref="CI135:CI155" si="901">AP135-AA135</f>
        <v>0</v>
      </c>
      <c r="CJ135" s="53">
        <f t="shared" ref="CJ135:CK155" si="902">AQ135-AB135</f>
        <v>0</v>
      </c>
      <c r="CK135" s="248">
        <f>AR135-AC135</f>
        <v>0</v>
      </c>
      <c r="CL135" s="55">
        <f t="shared" ref="CL135:CL155" si="903">AS135-AD135</f>
        <v>0</v>
      </c>
      <c r="CN135" s="66" t="s">
        <v>4</v>
      </c>
      <c r="CO135" s="58">
        <f>BK135-AV135</f>
        <v>0</v>
      </c>
      <c r="CP135" s="53">
        <f t="shared" ref="CP135:CP155" si="904">BL135-AW135</f>
        <v>0</v>
      </c>
      <c r="CQ135" s="53">
        <f t="shared" ref="CQ135:CQ155" si="905">BM135-AX135</f>
        <v>0</v>
      </c>
      <c r="CR135" s="53">
        <f t="shared" ref="CR135:CR155" si="906">BN135-AY135</f>
        <v>0</v>
      </c>
      <c r="CS135" s="53">
        <f t="shared" ref="CS135:CS155" si="907">BO135-AZ135</f>
        <v>0</v>
      </c>
      <c r="CT135" s="53">
        <f t="shared" ref="CT135:CT155" si="908">BP135-BA135</f>
        <v>0</v>
      </c>
      <c r="CU135" s="53">
        <f t="shared" ref="CU135:CU155" si="909">BQ135-BB135</f>
        <v>0</v>
      </c>
      <c r="CV135" s="245">
        <f t="shared" ref="CV135:CV155" si="910">BR135-BC135</f>
        <v>0</v>
      </c>
      <c r="CW135" s="53">
        <f t="shared" ref="CW135:CW155" si="911">BS135-BD135</f>
        <v>0</v>
      </c>
      <c r="CX135" s="53">
        <f t="shared" ref="CX135:CX155" si="912">BT135-BE135</f>
        <v>0</v>
      </c>
      <c r="CY135" s="53">
        <f t="shared" ref="CY135:CZ155" si="913">BU135-BF135</f>
        <v>0</v>
      </c>
      <c r="CZ135" s="248">
        <f>BV135-BG135</f>
        <v>0</v>
      </c>
      <c r="DA135" s="62" t="e">
        <f t="shared" ref="DA135:DA155" si="914">BW135-BH135</f>
        <v>#DIV/0!</v>
      </c>
      <c r="DC135" s="66" t="s">
        <v>4</v>
      </c>
      <c r="DD135" s="193">
        <f>AV135</f>
        <v>0</v>
      </c>
      <c r="DE135" s="194">
        <f>BK135</f>
        <v>0</v>
      </c>
      <c r="DF135" s="195">
        <f>AW135</f>
        <v>0</v>
      </c>
      <c r="DG135" s="196">
        <f>BL135</f>
        <v>0</v>
      </c>
      <c r="DH135" s="195">
        <f>AX135</f>
        <v>0</v>
      </c>
      <c r="DI135" s="196">
        <f>BM135</f>
        <v>0</v>
      </c>
      <c r="DJ135" s="195">
        <f>AY135</f>
        <v>0</v>
      </c>
      <c r="DK135" s="196">
        <f>BN135</f>
        <v>0</v>
      </c>
      <c r="DL135" s="195">
        <f>AZ135</f>
        <v>0</v>
      </c>
      <c r="DM135" s="196">
        <f>BO135</f>
        <v>0</v>
      </c>
      <c r="DN135" s="195">
        <f>BA135</f>
        <v>0</v>
      </c>
      <c r="DO135" s="196">
        <f>BP135</f>
        <v>0</v>
      </c>
      <c r="DP135" s="195">
        <f>BB135</f>
        <v>0</v>
      </c>
      <c r="DQ135" s="196">
        <f>BQ135</f>
        <v>0</v>
      </c>
      <c r="DR135" s="195">
        <f>BC135</f>
        <v>0</v>
      </c>
      <c r="DS135" s="196">
        <f>BR135</f>
        <v>0</v>
      </c>
      <c r="DT135" s="195">
        <f>BD135</f>
        <v>0</v>
      </c>
      <c r="DU135" s="196">
        <f>BS135</f>
        <v>0</v>
      </c>
      <c r="DV135" s="195">
        <f>BE135</f>
        <v>0</v>
      </c>
      <c r="DW135" s="196">
        <f>BT135</f>
        <v>0</v>
      </c>
      <c r="DX135" s="195">
        <f>BF135</f>
        <v>0</v>
      </c>
      <c r="DY135" s="196">
        <f>BU135</f>
        <v>0</v>
      </c>
      <c r="DZ135" s="197">
        <f>BG135</f>
        <v>0</v>
      </c>
      <c r="EA135" s="196">
        <f t="shared" ref="EA135:EA154" si="915">BV135</f>
        <v>0</v>
      </c>
      <c r="EB135" s="190" t="e">
        <f>BH135</f>
        <v>#DIV/0!</v>
      </c>
      <c r="EC135" s="190" t="e">
        <f>BW135</f>
        <v>#DIV/0!</v>
      </c>
    </row>
    <row r="136" spans="1:133" x14ac:dyDescent="0.2">
      <c r="A136" s="66" t="s">
        <v>41</v>
      </c>
      <c r="B136" s="38">
        <f>targets!AW127</f>
        <v>0</v>
      </c>
      <c r="C136" s="36">
        <f>targets!AX127</f>
        <v>117220.39286892019</v>
      </c>
      <c r="D136" s="242">
        <f>targets!AY127</f>
        <v>8714.4754783747539</v>
      </c>
      <c r="E136" s="242">
        <f>targets!AZ127</f>
        <v>0</v>
      </c>
      <c r="F136" s="242">
        <f>targets!BA127</f>
        <v>0</v>
      </c>
      <c r="G136" s="242">
        <f>SUM(targets!BB127:BG127)</f>
        <v>116.59952034706812</v>
      </c>
      <c r="H136" s="242">
        <f>SUM(targets!BH127:BM127)</f>
        <v>0</v>
      </c>
      <c r="I136" s="243">
        <f t="shared" ref="I136:I154" si="916">SUM(G136:H136)</f>
        <v>116.59952034706812</v>
      </c>
      <c r="J136" s="242">
        <f>targets!BN127</f>
        <v>0</v>
      </c>
      <c r="K136" s="242">
        <f>targets!BO127</f>
        <v>31.799332482195709</v>
      </c>
      <c r="L136" s="242">
        <f>targets!BP127</f>
        <v>0</v>
      </c>
      <c r="M136" s="178">
        <f t="shared" ref="M136:M154" si="917">SUM(J136:L136)</f>
        <v>31.799332482195709</v>
      </c>
      <c r="N136" s="17">
        <f t="shared" si="878"/>
        <v>126083.2672001242</v>
      </c>
      <c r="O136" s="17"/>
      <c r="P136" s="17"/>
      <c r="Q136" s="66" t="s">
        <v>41</v>
      </c>
      <c r="R136" s="38">
        <f t="shared" si="879"/>
        <v>0</v>
      </c>
      <c r="S136" s="36">
        <f t="shared" si="880"/>
        <v>0</v>
      </c>
      <c r="T136" s="242">
        <f t="shared" si="881"/>
        <v>0</v>
      </c>
      <c r="U136" s="242">
        <f t="shared" si="882"/>
        <v>0</v>
      </c>
      <c r="V136" s="242">
        <f t="shared" si="883"/>
        <v>0</v>
      </c>
      <c r="W136" s="242">
        <f t="shared" si="884"/>
        <v>0</v>
      </c>
      <c r="X136" s="242">
        <f t="shared" si="885"/>
        <v>0</v>
      </c>
      <c r="Y136" s="243">
        <f t="shared" ref="Y136:Y154" si="918">SUM(W136:X136)</f>
        <v>0</v>
      </c>
      <c r="Z136" s="242">
        <f t="shared" si="886"/>
        <v>0</v>
      </c>
      <c r="AA136" s="242">
        <f t="shared" si="887"/>
        <v>0</v>
      </c>
      <c r="AB136" s="242">
        <f t="shared" si="888"/>
        <v>0</v>
      </c>
      <c r="AC136" s="178">
        <f t="shared" ref="AC136:AC154" si="919">SUM(Z136:AB136)</f>
        <v>0</v>
      </c>
      <c r="AD136" s="17">
        <f t="shared" si="889"/>
        <v>0</v>
      </c>
      <c r="AF136" s="66" t="s">
        <v>41</v>
      </c>
      <c r="AG136" s="38">
        <f t="array" ref="AG136">SUM(IF((modeldata!$F:$F=calibration!$AF$132)*(modeldata!$G:$G=calibration!AG$134)*(modeldata!$H:$H=calibration!$AF136),modeldata!$E:$E,0))</f>
        <v>0</v>
      </c>
      <c r="AH136" s="36">
        <f t="array" ref="AH136">SUM(IF((modeldata!$F:$F=calibration!$AF$132)*(modeldata!$G:$G=calibration!AH$134)*(modeldata!$H:$H=calibration!$AF136),modeldata!$E:$E,0))</f>
        <v>0</v>
      </c>
      <c r="AI136" s="242">
        <f t="array" ref="AI136">SUM(IF((modeldata!$F:$F=calibration!$AF$132)*(modeldata!$G:$G=calibration!AI$134)*(modeldata!$H:$H=calibration!$AF136),modeldata!$E:$E,0))</f>
        <v>0</v>
      </c>
      <c r="AJ136" s="242">
        <f t="array" ref="AJ136">SUM(IF((modeldata!$F:$F=calibration!$AF$132)*(modeldata!$G:$G=calibration!AJ$134)*(modeldata!$H:$H=calibration!$AF136),modeldata!$E:$E,0))</f>
        <v>0</v>
      </c>
      <c r="AK136" s="242">
        <f t="array" ref="AK136">SUM(IF((modeldata!$F:$F=calibration!$AF$132)*(modeldata!$G:$G=calibration!AK$134)*(modeldata!$H:$H=calibration!$AF136),modeldata!$E:$E,0))</f>
        <v>0</v>
      </c>
      <c r="AL136" s="242">
        <f t="array" ref="AL136">SUM(IF((modeldata!$F:$F=calibration!$AF$132)*(modeldata!$G:$G=calibration!AL$134)*(modeldata!$H:$H=calibration!$AF136),modeldata!$E:$E,0))</f>
        <v>0</v>
      </c>
      <c r="AM136" s="242">
        <f t="array" ref="AM136">SUM(IF((modeldata!$F:$F=calibration!$AF$132)*(modeldata!$G:$G=calibration!AM$134)*(modeldata!$H:$H=calibration!$AF136),modeldata!$E:$E,0))</f>
        <v>0</v>
      </c>
      <c r="AN136" s="243">
        <f t="shared" ref="AN136:AN154" si="920">AL136+AM136</f>
        <v>0</v>
      </c>
      <c r="AO136" s="242">
        <f t="array" ref="AO136">SUM(IF((modeldata!$F:$F=calibration!$AF$132)*(modeldata!$G:$G=calibration!AO$134)*(modeldata!$H:$H=calibration!$AF136),modeldata!$E:$E,0))</f>
        <v>0</v>
      </c>
      <c r="AP136" s="242">
        <f t="array" ref="AP136">SUM(IF((modeldata!$F:$F=calibration!$AF$132)*(modeldata!$G:$G=calibration!AP$134)*(modeldata!$H:$H=calibration!$AF136),modeldata!$E:$E,0))</f>
        <v>0</v>
      </c>
      <c r="AQ136" s="242">
        <f t="array" ref="AQ136">SUM(IF((modeldata!$F:$F=calibration!$AF$132)*(modeldata!$G:$G=calibration!AQ$134)*(modeldata!$H:$H=calibration!$AF136),modeldata!$E:$E,0))</f>
        <v>0</v>
      </c>
      <c r="AR136" s="178">
        <f>SUM(AO136:AQ136)</f>
        <v>0</v>
      </c>
      <c r="AS136" s="17">
        <f t="shared" si="890"/>
        <v>0</v>
      </c>
      <c r="AU136" s="66" t="s">
        <v>41</v>
      </c>
      <c r="AV136" s="38">
        <f t="shared" ref="AV136:BG136" si="921">IF(R155&gt;0,R136/R155,0)</f>
        <v>0</v>
      </c>
      <c r="AW136" s="36">
        <f t="shared" si="921"/>
        <v>0</v>
      </c>
      <c r="AX136" s="242">
        <f t="shared" si="921"/>
        <v>0</v>
      </c>
      <c r="AY136" s="242">
        <f t="shared" si="921"/>
        <v>0</v>
      </c>
      <c r="AZ136" s="242">
        <f t="shared" si="921"/>
        <v>0</v>
      </c>
      <c r="BA136" s="242">
        <f t="shared" si="921"/>
        <v>0</v>
      </c>
      <c r="BB136" s="242">
        <f t="shared" si="921"/>
        <v>0</v>
      </c>
      <c r="BC136" s="243">
        <f t="shared" si="921"/>
        <v>0</v>
      </c>
      <c r="BD136" s="242">
        <f t="shared" si="921"/>
        <v>0</v>
      </c>
      <c r="BE136" s="242">
        <f t="shared" si="921"/>
        <v>0</v>
      </c>
      <c r="BF136" s="242">
        <f t="shared" si="921"/>
        <v>0</v>
      </c>
      <c r="BG136" s="178">
        <f t="shared" si="921"/>
        <v>0</v>
      </c>
      <c r="BH136" s="24" t="e">
        <f>AD136/AD155</f>
        <v>#DIV/0!</v>
      </c>
      <c r="BJ136" s="66" t="s">
        <v>41</v>
      </c>
      <c r="BK136" s="38">
        <f t="shared" ref="BK136:BV136" si="922">IF(AG155&gt;0,AG136/AG155,0)</f>
        <v>0</v>
      </c>
      <c r="BL136" s="36">
        <f t="shared" si="922"/>
        <v>0</v>
      </c>
      <c r="BM136" s="242">
        <f t="shared" si="922"/>
        <v>0</v>
      </c>
      <c r="BN136" s="242">
        <f t="shared" si="922"/>
        <v>0</v>
      </c>
      <c r="BO136" s="242">
        <f t="shared" si="922"/>
        <v>0</v>
      </c>
      <c r="BP136" s="242">
        <f t="shared" si="922"/>
        <v>0</v>
      </c>
      <c r="BQ136" s="242">
        <f t="shared" si="922"/>
        <v>0</v>
      </c>
      <c r="BR136" s="243">
        <f t="shared" si="922"/>
        <v>0</v>
      </c>
      <c r="BS136" s="242">
        <f t="shared" si="922"/>
        <v>0</v>
      </c>
      <c r="BT136" s="242">
        <f t="shared" si="922"/>
        <v>0</v>
      </c>
      <c r="BU136" s="242">
        <f t="shared" si="922"/>
        <v>0</v>
      </c>
      <c r="BV136" s="178">
        <f t="shared" si="922"/>
        <v>0</v>
      </c>
      <c r="BW136" s="24" t="e">
        <f>AS136/AS155</f>
        <v>#DIV/0!</v>
      </c>
      <c r="BX136" s="24"/>
      <c r="BY136" s="66" t="s">
        <v>41</v>
      </c>
      <c r="BZ136" s="54">
        <f t="shared" ref="BZ136:BZ155" si="923">AG136-R136</f>
        <v>0</v>
      </c>
      <c r="CA136" s="58">
        <f t="shared" si="893"/>
        <v>0</v>
      </c>
      <c r="CB136" s="55">
        <f t="shared" si="894"/>
        <v>0</v>
      </c>
      <c r="CC136" s="55">
        <f t="shared" si="895"/>
        <v>0</v>
      </c>
      <c r="CD136" s="55">
        <f t="shared" si="896"/>
        <v>0</v>
      </c>
      <c r="CE136" s="55">
        <f t="shared" si="897"/>
        <v>0</v>
      </c>
      <c r="CF136" s="55">
        <f t="shared" si="898"/>
        <v>0</v>
      </c>
      <c r="CG136" s="246">
        <f t="shared" si="899"/>
        <v>0</v>
      </c>
      <c r="CH136" s="55">
        <f t="shared" si="900"/>
        <v>0</v>
      </c>
      <c r="CI136" s="55">
        <f t="shared" si="901"/>
        <v>0</v>
      </c>
      <c r="CJ136" s="55">
        <f t="shared" si="902"/>
        <v>0</v>
      </c>
      <c r="CK136" s="249">
        <f t="shared" si="902"/>
        <v>0</v>
      </c>
      <c r="CL136" s="55">
        <f t="shared" si="903"/>
        <v>0</v>
      </c>
      <c r="CN136" s="66" t="s">
        <v>41</v>
      </c>
      <c r="CO136" s="54">
        <f t="shared" ref="CO136:CO155" si="924">BK136-AV136</f>
        <v>0</v>
      </c>
      <c r="CP136" s="58">
        <f t="shared" si="904"/>
        <v>0</v>
      </c>
      <c r="CQ136" s="55">
        <f t="shared" si="905"/>
        <v>0</v>
      </c>
      <c r="CR136" s="55">
        <f t="shared" si="906"/>
        <v>0</v>
      </c>
      <c r="CS136" s="55">
        <f t="shared" si="907"/>
        <v>0</v>
      </c>
      <c r="CT136" s="55">
        <f t="shared" si="908"/>
        <v>0</v>
      </c>
      <c r="CU136" s="55">
        <f t="shared" si="909"/>
        <v>0</v>
      </c>
      <c r="CV136" s="246">
        <f t="shared" si="910"/>
        <v>0</v>
      </c>
      <c r="CW136" s="55">
        <f t="shared" si="911"/>
        <v>0</v>
      </c>
      <c r="CX136" s="55">
        <f t="shared" si="912"/>
        <v>0</v>
      </c>
      <c r="CY136" s="55">
        <f t="shared" si="913"/>
        <v>0</v>
      </c>
      <c r="CZ136" s="249">
        <f t="shared" si="913"/>
        <v>0</v>
      </c>
      <c r="DA136" s="62" t="e">
        <f t="shared" si="914"/>
        <v>#DIV/0!</v>
      </c>
      <c r="DC136" s="66" t="s">
        <v>41</v>
      </c>
      <c r="DD136" s="198">
        <f t="shared" ref="DD136:DD154" si="925">AV136</f>
        <v>0</v>
      </c>
      <c r="DE136" s="199">
        <f t="shared" ref="DE136:DE154" si="926">BK136</f>
        <v>0</v>
      </c>
      <c r="DF136" s="193">
        <f t="shared" ref="DF136:DF154" si="927">AW136</f>
        <v>0</v>
      </c>
      <c r="DG136" s="194">
        <f t="shared" ref="DG136:DG154" si="928">BL136</f>
        <v>0</v>
      </c>
      <c r="DH136" s="198">
        <f t="shared" ref="DH136:DH154" si="929">AX136</f>
        <v>0</v>
      </c>
      <c r="DI136" s="199">
        <f t="shared" ref="DI136:DI154" si="930">BM136</f>
        <v>0</v>
      </c>
      <c r="DJ136" s="198">
        <f t="shared" ref="DJ136:DJ154" si="931">AY136</f>
        <v>0</v>
      </c>
      <c r="DK136" s="199">
        <f t="shared" ref="DK136:DK154" si="932">BN136</f>
        <v>0</v>
      </c>
      <c r="DL136" s="198">
        <f t="shared" ref="DL136:DL154" si="933">AZ136</f>
        <v>0</v>
      </c>
      <c r="DM136" s="199">
        <f t="shared" ref="DM136:DM154" si="934">BO136</f>
        <v>0</v>
      </c>
      <c r="DN136" s="198">
        <f t="shared" ref="DN136:DN154" si="935">BA136</f>
        <v>0</v>
      </c>
      <c r="DO136" s="199">
        <f t="shared" ref="DO136:DO154" si="936">BP136</f>
        <v>0</v>
      </c>
      <c r="DP136" s="198">
        <f t="shared" ref="DP136:DP154" si="937">BB136</f>
        <v>0</v>
      </c>
      <c r="DQ136" s="199">
        <f t="shared" ref="DQ136:DQ154" si="938">BQ136</f>
        <v>0</v>
      </c>
      <c r="DR136" s="198">
        <f t="shared" ref="DR136:DR154" si="939">BC136</f>
        <v>0</v>
      </c>
      <c r="DS136" s="199">
        <f t="shared" ref="DS136:DS154" si="940">BR136</f>
        <v>0</v>
      </c>
      <c r="DT136" s="198">
        <f t="shared" ref="DT136:DT154" si="941">BD136</f>
        <v>0</v>
      </c>
      <c r="DU136" s="199">
        <f t="shared" ref="DU136:DU154" si="942">BS136</f>
        <v>0</v>
      </c>
      <c r="DV136" s="198">
        <f t="shared" ref="DV136:DV154" si="943">BE136</f>
        <v>0</v>
      </c>
      <c r="DW136" s="199">
        <f t="shared" ref="DW136:DW154" si="944">BT136</f>
        <v>0</v>
      </c>
      <c r="DX136" s="198">
        <f t="shared" ref="DX136:DX154" si="945">BF136</f>
        <v>0</v>
      </c>
      <c r="DY136" s="199">
        <f t="shared" ref="DY136:DY154" si="946">BU136</f>
        <v>0</v>
      </c>
      <c r="DZ136" s="190">
        <f t="shared" ref="DZ136:DZ154" si="947">BG136</f>
        <v>0</v>
      </c>
      <c r="EA136" s="199">
        <f t="shared" si="915"/>
        <v>0</v>
      </c>
      <c r="EB136" s="190" t="e">
        <f t="shared" ref="EB136:EB154" si="948">BH136</f>
        <v>#DIV/0!</v>
      </c>
      <c r="EC136" s="190" t="e">
        <f t="shared" ref="EC136:EC154" si="949">BW136</f>
        <v>#DIV/0!</v>
      </c>
    </row>
    <row r="137" spans="1:133" x14ac:dyDescent="0.2">
      <c r="A137" s="66" t="s">
        <v>42</v>
      </c>
      <c r="B137" s="38">
        <f>targets!AW128</f>
        <v>0</v>
      </c>
      <c r="C137" s="242">
        <f>targets!AX128</f>
        <v>0</v>
      </c>
      <c r="D137" s="36">
        <f>targets!AY128</f>
        <v>32387.749635410844</v>
      </c>
      <c r="E137" s="242">
        <f>targets!AZ128</f>
        <v>0</v>
      </c>
      <c r="F137" s="242">
        <f>targets!BA128</f>
        <v>0</v>
      </c>
      <c r="G137" s="242">
        <f>SUM(targets!BB128:BG128)</f>
        <v>0</v>
      </c>
      <c r="H137" s="242">
        <f>SUM(targets!BH128:BM128)</f>
        <v>0</v>
      </c>
      <c r="I137" s="243">
        <f t="shared" si="916"/>
        <v>0</v>
      </c>
      <c r="J137" s="242">
        <f>targets!BN128</f>
        <v>0</v>
      </c>
      <c r="K137" s="242">
        <f>targets!BO128</f>
        <v>176.31546886792793</v>
      </c>
      <c r="L137" s="242">
        <f>targets!BP128</f>
        <v>0</v>
      </c>
      <c r="M137" s="178">
        <f t="shared" si="917"/>
        <v>176.31546886792793</v>
      </c>
      <c r="N137" s="17">
        <f t="shared" si="878"/>
        <v>32564.065104278772</v>
      </c>
      <c r="O137" s="17"/>
      <c r="P137" s="17"/>
      <c r="Q137" s="66" t="s">
        <v>42</v>
      </c>
      <c r="R137" s="38">
        <f t="shared" si="879"/>
        <v>0</v>
      </c>
      <c r="S137" s="242">
        <f t="shared" si="880"/>
        <v>0</v>
      </c>
      <c r="T137" s="36">
        <f t="shared" si="881"/>
        <v>0</v>
      </c>
      <c r="U137" s="242">
        <f t="shared" si="882"/>
        <v>0</v>
      </c>
      <c r="V137" s="242">
        <f t="shared" si="883"/>
        <v>0</v>
      </c>
      <c r="W137" s="242">
        <f t="shared" si="884"/>
        <v>0</v>
      </c>
      <c r="X137" s="242">
        <f t="shared" si="885"/>
        <v>0</v>
      </c>
      <c r="Y137" s="243">
        <f t="shared" si="918"/>
        <v>0</v>
      </c>
      <c r="Z137" s="242">
        <f t="shared" si="886"/>
        <v>0</v>
      </c>
      <c r="AA137" s="242">
        <f t="shared" si="887"/>
        <v>0</v>
      </c>
      <c r="AB137" s="242">
        <f t="shared" si="888"/>
        <v>0</v>
      </c>
      <c r="AC137" s="178">
        <f t="shared" si="919"/>
        <v>0</v>
      </c>
      <c r="AD137" s="17">
        <f t="shared" si="889"/>
        <v>0</v>
      </c>
      <c r="AF137" s="66" t="s">
        <v>42</v>
      </c>
      <c r="AG137" s="38">
        <f t="array" ref="AG137">SUM(IF((modeldata!$F:$F=calibration!$AF$132)*(modeldata!$G:$G=calibration!AG$134)*(modeldata!$H:$H=calibration!$AF137),modeldata!$E:$E,0))</f>
        <v>0</v>
      </c>
      <c r="AH137" s="242">
        <f t="array" ref="AH137">SUM(IF((modeldata!$F:$F=calibration!$AF$132)*(modeldata!$G:$G=calibration!AH$134)*(modeldata!$H:$H=calibration!$AF137),modeldata!$E:$E,0))</f>
        <v>0</v>
      </c>
      <c r="AI137" s="36">
        <f t="array" ref="AI137">SUM(IF((modeldata!$F:$F=calibration!$AF$132)*(modeldata!$G:$G=calibration!AI$134)*(modeldata!$H:$H=calibration!$AF137),modeldata!$E:$E,0))</f>
        <v>0</v>
      </c>
      <c r="AJ137" s="242">
        <f t="array" ref="AJ137">SUM(IF((modeldata!$F:$F=calibration!$AF$132)*(modeldata!$G:$G=calibration!AJ$134)*(modeldata!$H:$H=calibration!$AF137),modeldata!$E:$E,0))</f>
        <v>0</v>
      </c>
      <c r="AK137" s="242">
        <f t="array" ref="AK137">SUM(IF((modeldata!$F:$F=calibration!$AF$132)*(modeldata!$G:$G=calibration!AK$134)*(modeldata!$H:$H=calibration!$AF137),modeldata!$E:$E,0))</f>
        <v>0</v>
      </c>
      <c r="AL137" s="242">
        <f t="array" ref="AL137">SUM(IF((modeldata!$F:$F=calibration!$AF$132)*(modeldata!$G:$G=calibration!AL$134)*(modeldata!$H:$H=calibration!$AF137),modeldata!$E:$E,0))</f>
        <v>0</v>
      </c>
      <c r="AM137" s="242">
        <f t="array" ref="AM137">SUM(IF((modeldata!$F:$F=calibration!$AF$132)*(modeldata!$G:$G=calibration!AM$134)*(modeldata!$H:$H=calibration!$AF137),modeldata!$E:$E,0))</f>
        <v>0</v>
      </c>
      <c r="AN137" s="243">
        <f t="shared" si="920"/>
        <v>0</v>
      </c>
      <c r="AO137" s="242">
        <f t="array" ref="AO137">SUM(IF((modeldata!$F:$F=calibration!$AF$132)*(modeldata!$G:$G=calibration!AO$134)*(modeldata!$H:$H=calibration!$AF137),modeldata!$E:$E,0))</f>
        <v>0</v>
      </c>
      <c r="AP137" s="242">
        <f t="array" ref="AP137">SUM(IF((modeldata!$F:$F=calibration!$AF$132)*(modeldata!$G:$G=calibration!AP$134)*(modeldata!$H:$H=calibration!$AF137),modeldata!$E:$E,0))</f>
        <v>0</v>
      </c>
      <c r="AQ137" s="242">
        <f t="array" ref="AQ137">SUM(IF((modeldata!$F:$F=calibration!$AF$132)*(modeldata!$G:$G=calibration!AQ$134)*(modeldata!$H:$H=calibration!$AF137),modeldata!$E:$E,0))</f>
        <v>0</v>
      </c>
      <c r="AR137" s="178">
        <f t="shared" ref="AR137:AR151" si="950">SUM(AO137:AQ137)</f>
        <v>0</v>
      </c>
      <c r="AS137" s="17">
        <f t="shared" si="890"/>
        <v>0</v>
      </c>
      <c r="AU137" s="66" t="s">
        <v>42</v>
      </c>
      <c r="AV137" s="38">
        <f t="shared" ref="AV137:BG137" si="951">IF(R155&gt;0,R137/R155,0)</f>
        <v>0</v>
      </c>
      <c r="AW137" s="242">
        <f t="shared" si="951"/>
        <v>0</v>
      </c>
      <c r="AX137" s="36">
        <f t="shared" si="951"/>
        <v>0</v>
      </c>
      <c r="AY137" s="242">
        <f t="shared" si="951"/>
        <v>0</v>
      </c>
      <c r="AZ137" s="242">
        <f t="shared" si="951"/>
        <v>0</v>
      </c>
      <c r="BA137" s="242">
        <f t="shared" si="951"/>
        <v>0</v>
      </c>
      <c r="BB137" s="242">
        <f t="shared" si="951"/>
        <v>0</v>
      </c>
      <c r="BC137" s="243">
        <f t="shared" si="951"/>
        <v>0</v>
      </c>
      <c r="BD137" s="242">
        <f t="shared" si="951"/>
        <v>0</v>
      </c>
      <c r="BE137" s="242">
        <f t="shared" si="951"/>
        <v>0</v>
      </c>
      <c r="BF137" s="242">
        <f t="shared" si="951"/>
        <v>0</v>
      </c>
      <c r="BG137" s="178">
        <f t="shared" si="951"/>
        <v>0</v>
      </c>
      <c r="BH137" s="24" t="e">
        <f>AD137/AD155</f>
        <v>#DIV/0!</v>
      </c>
      <c r="BJ137" s="66" t="s">
        <v>42</v>
      </c>
      <c r="BK137" s="38">
        <f t="shared" ref="BK137:BV137" si="952">IF(AG155&gt;0,AG137/AG155,0)</f>
        <v>0</v>
      </c>
      <c r="BL137" s="242">
        <f t="shared" si="952"/>
        <v>0</v>
      </c>
      <c r="BM137" s="36">
        <f t="shared" si="952"/>
        <v>0</v>
      </c>
      <c r="BN137" s="242">
        <f t="shared" si="952"/>
        <v>0</v>
      </c>
      <c r="BO137" s="242">
        <f t="shared" si="952"/>
        <v>0</v>
      </c>
      <c r="BP137" s="242">
        <f t="shared" si="952"/>
        <v>0</v>
      </c>
      <c r="BQ137" s="242">
        <f t="shared" si="952"/>
        <v>0</v>
      </c>
      <c r="BR137" s="243">
        <f t="shared" si="952"/>
        <v>0</v>
      </c>
      <c r="BS137" s="242">
        <f t="shared" si="952"/>
        <v>0</v>
      </c>
      <c r="BT137" s="242">
        <f t="shared" si="952"/>
        <v>0</v>
      </c>
      <c r="BU137" s="242">
        <f t="shared" si="952"/>
        <v>0</v>
      </c>
      <c r="BV137" s="178">
        <f t="shared" si="952"/>
        <v>0</v>
      </c>
      <c r="BW137" s="24" t="e">
        <f>AS137/AS155</f>
        <v>#DIV/0!</v>
      </c>
      <c r="BX137" s="24"/>
      <c r="BY137" s="66" t="s">
        <v>42</v>
      </c>
      <c r="BZ137" s="54">
        <f t="shared" si="923"/>
        <v>0</v>
      </c>
      <c r="CA137" s="55">
        <f t="shared" si="893"/>
        <v>0</v>
      </c>
      <c r="CB137" s="58">
        <f t="shared" si="894"/>
        <v>0</v>
      </c>
      <c r="CC137" s="55">
        <f t="shared" si="895"/>
        <v>0</v>
      </c>
      <c r="CD137" s="55">
        <f t="shared" si="896"/>
        <v>0</v>
      </c>
      <c r="CE137" s="55">
        <f t="shared" si="897"/>
        <v>0</v>
      </c>
      <c r="CF137" s="55">
        <f t="shared" si="898"/>
        <v>0</v>
      </c>
      <c r="CG137" s="246">
        <f t="shared" si="899"/>
        <v>0</v>
      </c>
      <c r="CH137" s="55">
        <f t="shared" si="900"/>
        <v>0</v>
      </c>
      <c r="CI137" s="55">
        <f t="shared" si="901"/>
        <v>0</v>
      </c>
      <c r="CJ137" s="55">
        <f t="shared" si="902"/>
        <v>0</v>
      </c>
      <c r="CK137" s="249">
        <f t="shared" si="902"/>
        <v>0</v>
      </c>
      <c r="CL137" s="55">
        <f t="shared" si="903"/>
        <v>0</v>
      </c>
      <c r="CN137" s="66" t="s">
        <v>42</v>
      </c>
      <c r="CO137" s="54">
        <f t="shared" si="924"/>
        <v>0</v>
      </c>
      <c r="CP137" s="55">
        <f t="shared" si="904"/>
        <v>0</v>
      </c>
      <c r="CQ137" s="58">
        <f t="shared" si="905"/>
        <v>0</v>
      </c>
      <c r="CR137" s="55">
        <f t="shared" si="906"/>
        <v>0</v>
      </c>
      <c r="CS137" s="55">
        <f t="shared" si="907"/>
        <v>0</v>
      </c>
      <c r="CT137" s="55">
        <f t="shared" si="908"/>
        <v>0</v>
      </c>
      <c r="CU137" s="55">
        <f t="shared" si="909"/>
        <v>0</v>
      </c>
      <c r="CV137" s="246">
        <f t="shared" si="910"/>
        <v>0</v>
      </c>
      <c r="CW137" s="55">
        <f t="shared" si="911"/>
        <v>0</v>
      </c>
      <c r="CX137" s="55">
        <f t="shared" si="912"/>
        <v>0</v>
      </c>
      <c r="CY137" s="55">
        <f t="shared" si="913"/>
        <v>0</v>
      </c>
      <c r="CZ137" s="249">
        <f t="shared" si="913"/>
        <v>0</v>
      </c>
      <c r="DA137" s="62" t="e">
        <f t="shared" si="914"/>
        <v>#DIV/0!</v>
      </c>
      <c r="DC137" s="66" t="s">
        <v>42</v>
      </c>
      <c r="DD137" s="198">
        <f t="shared" si="925"/>
        <v>0</v>
      </c>
      <c r="DE137" s="199">
        <f t="shared" si="926"/>
        <v>0</v>
      </c>
      <c r="DF137" s="198">
        <f t="shared" si="927"/>
        <v>0</v>
      </c>
      <c r="DG137" s="199">
        <f t="shared" si="928"/>
        <v>0</v>
      </c>
      <c r="DH137" s="193">
        <f t="shared" si="929"/>
        <v>0</v>
      </c>
      <c r="DI137" s="194">
        <f t="shared" si="930"/>
        <v>0</v>
      </c>
      <c r="DJ137" s="198">
        <f t="shared" si="931"/>
        <v>0</v>
      </c>
      <c r="DK137" s="199">
        <f t="shared" si="932"/>
        <v>0</v>
      </c>
      <c r="DL137" s="198">
        <f t="shared" si="933"/>
        <v>0</v>
      </c>
      <c r="DM137" s="199">
        <f t="shared" si="934"/>
        <v>0</v>
      </c>
      <c r="DN137" s="198">
        <f t="shared" si="935"/>
        <v>0</v>
      </c>
      <c r="DO137" s="199">
        <f t="shared" si="936"/>
        <v>0</v>
      </c>
      <c r="DP137" s="198">
        <f t="shared" si="937"/>
        <v>0</v>
      </c>
      <c r="DQ137" s="199">
        <f t="shared" si="938"/>
        <v>0</v>
      </c>
      <c r="DR137" s="198">
        <f t="shared" si="939"/>
        <v>0</v>
      </c>
      <c r="DS137" s="199">
        <f t="shared" si="940"/>
        <v>0</v>
      </c>
      <c r="DT137" s="198">
        <f t="shared" si="941"/>
        <v>0</v>
      </c>
      <c r="DU137" s="199">
        <f t="shared" si="942"/>
        <v>0</v>
      </c>
      <c r="DV137" s="198">
        <f t="shared" si="943"/>
        <v>0</v>
      </c>
      <c r="DW137" s="199">
        <f t="shared" si="944"/>
        <v>0</v>
      </c>
      <c r="DX137" s="198">
        <f t="shared" si="945"/>
        <v>0</v>
      </c>
      <c r="DY137" s="199">
        <f t="shared" si="946"/>
        <v>0</v>
      </c>
      <c r="DZ137" s="190">
        <f t="shared" si="947"/>
        <v>0</v>
      </c>
      <c r="EA137" s="199">
        <f t="shared" si="915"/>
        <v>0</v>
      </c>
      <c r="EB137" s="190" t="e">
        <f t="shared" si="948"/>
        <v>#DIV/0!</v>
      </c>
      <c r="EC137" s="190" t="e">
        <f t="shared" si="949"/>
        <v>#DIV/0!</v>
      </c>
    </row>
    <row r="138" spans="1:133" x14ac:dyDescent="0.2">
      <c r="A138" s="66" t="s">
        <v>2</v>
      </c>
      <c r="B138" s="38">
        <f>targets!AW129</f>
        <v>7973.2902700912282</v>
      </c>
      <c r="C138" s="242">
        <f>targets!AX129</f>
        <v>2057.6186352315781</v>
      </c>
      <c r="D138" s="242">
        <f>targets!AY129</f>
        <v>1755.9394882591837</v>
      </c>
      <c r="E138" s="36">
        <f>targets!AZ129</f>
        <v>285264.06674268906</v>
      </c>
      <c r="F138" s="242">
        <f>targets!BA129</f>
        <v>480.4353245513791</v>
      </c>
      <c r="G138" s="242">
        <f>SUM(targets!BB129:BG129)</f>
        <v>2429.5806846412452</v>
      </c>
      <c r="H138" s="242">
        <f>SUM(targets!BH129:BM129)</f>
        <v>0</v>
      </c>
      <c r="I138" s="243">
        <f t="shared" si="916"/>
        <v>2429.5806846412452</v>
      </c>
      <c r="J138" s="242">
        <f>targets!BN129</f>
        <v>0</v>
      </c>
      <c r="K138" s="242">
        <f>targets!BO129</f>
        <v>402.8198879576363</v>
      </c>
      <c r="L138" s="242">
        <f>targets!BP129</f>
        <v>0</v>
      </c>
      <c r="M138" s="178">
        <f t="shared" si="917"/>
        <v>402.8198879576363</v>
      </c>
      <c r="N138" s="17">
        <f t="shared" si="878"/>
        <v>300363.75103342131</v>
      </c>
      <c r="O138" s="17"/>
      <c r="P138" s="17"/>
      <c r="Q138" s="66" t="s">
        <v>2</v>
      </c>
      <c r="R138" s="38">
        <f t="shared" si="879"/>
        <v>0</v>
      </c>
      <c r="S138" s="242">
        <f t="shared" si="880"/>
        <v>0</v>
      </c>
      <c r="T138" s="242">
        <f t="shared" si="881"/>
        <v>0</v>
      </c>
      <c r="U138" s="36">
        <f t="shared" si="882"/>
        <v>0</v>
      </c>
      <c r="V138" s="242">
        <f t="shared" si="883"/>
        <v>0</v>
      </c>
      <c r="W138" s="242">
        <f t="shared" si="884"/>
        <v>0</v>
      </c>
      <c r="X138" s="242">
        <f t="shared" si="885"/>
        <v>0</v>
      </c>
      <c r="Y138" s="243">
        <f t="shared" si="918"/>
        <v>0</v>
      </c>
      <c r="Z138" s="242">
        <f t="shared" si="886"/>
        <v>0</v>
      </c>
      <c r="AA138" s="242">
        <f t="shared" si="887"/>
        <v>0</v>
      </c>
      <c r="AB138" s="242">
        <f t="shared" si="888"/>
        <v>0</v>
      </c>
      <c r="AC138" s="178">
        <f t="shared" si="919"/>
        <v>0</v>
      </c>
      <c r="AD138" s="17">
        <f t="shared" si="889"/>
        <v>0</v>
      </c>
      <c r="AF138" s="66" t="s">
        <v>2</v>
      </c>
      <c r="AG138" s="38">
        <f t="array" ref="AG138">SUM(IF((modeldata!$F:$F=calibration!$AF$132)*(modeldata!$G:$G=calibration!AG$134)*(modeldata!$H:$H=calibration!$AF138),modeldata!$E:$E,0))</f>
        <v>0</v>
      </c>
      <c r="AH138" s="242">
        <f t="array" ref="AH138">SUM(IF((modeldata!$F:$F=calibration!$AF$132)*(modeldata!$G:$G=calibration!AH$134)*(modeldata!$H:$H=calibration!$AF138),modeldata!$E:$E,0))</f>
        <v>0</v>
      </c>
      <c r="AI138" s="242">
        <f t="array" ref="AI138">SUM(IF((modeldata!$F:$F=calibration!$AF$132)*(modeldata!$G:$G=calibration!AI$134)*(modeldata!$H:$H=calibration!$AF138),modeldata!$E:$E,0))</f>
        <v>0</v>
      </c>
      <c r="AJ138" s="36">
        <f t="array" ref="AJ138">SUM(IF((modeldata!$F:$F=calibration!$AF$132)*(modeldata!$G:$G=calibration!AJ$134)*(modeldata!$H:$H=calibration!$AF138),modeldata!$E:$E,0))</f>
        <v>0</v>
      </c>
      <c r="AK138" s="242">
        <f t="array" ref="AK138">SUM(IF((modeldata!$F:$F=calibration!$AF$132)*(modeldata!$G:$G=calibration!AK$134)*(modeldata!$H:$H=calibration!$AF138),modeldata!$E:$E,0))</f>
        <v>0</v>
      </c>
      <c r="AL138" s="242">
        <f t="array" ref="AL138">SUM(IF((modeldata!$F:$F=calibration!$AF$132)*(modeldata!$G:$G=calibration!AL$134)*(modeldata!$H:$H=calibration!$AF138),modeldata!$E:$E,0))</f>
        <v>0</v>
      </c>
      <c r="AM138" s="242">
        <f t="array" ref="AM138">SUM(IF((modeldata!$F:$F=calibration!$AF$132)*(modeldata!$G:$G=calibration!AM$134)*(modeldata!$H:$H=calibration!$AF138),modeldata!$E:$E,0))</f>
        <v>0</v>
      </c>
      <c r="AN138" s="243">
        <f t="shared" si="920"/>
        <v>0</v>
      </c>
      <c r="AO138" s="242">
        <f t="array" ref="AO138">SUM(IF((modeldata!$F:$F=calibration!$AF$132)*(modeldata!$G:$G=calibration!AO$134)*(modeldata!$H:$H=calibration!$AF138),modeldata!$E:$E,0))</f>
        <v>0</v>
      </c>
      <c r="AP138" s="242">
        <f t="array" ref="AP138">SUM(IF((modeldata!$F:$F=calibration!$AF$132)*(modeldata!$G:$G=calibration!AP$134)*(modeldata!$H:$H=calibration!$AF138),modeldata!$E:$E,0))</f>
        <v>0</v>
      </c>
      <c r="AQ138" s="242">
        <f t="array" ref="AQ138">SUM(IF((modeldata!$F:$F=calibration!$AF$132)*(modeldata!$G:$G=calibration!AQ$134)*(modeldata!$H:$H=calibration!$AF138),modeldata!$E:$E,0))</f>
        <v>0</v>
      </c>
      <c r="AR138" s="178">
        <f t="shared" si="950"/>
        <v>0</v>
      </c>
      <c r="AS138" s="17">
        <f t="shared" si="890"/>
        <v>0</v>
      </c>
      <c r="AU138" s="66" t="s">
        <v>2</v>
      </c>
      <c r="AV138" s="38">
        <f t="shared" ref="AV138:BG138" si="953">IF(R155&gt;0,R138/R155,0)</f>
        <v>0</v>
      </c>
      <c r="AW138" s="242">
        <f t="shared" si="953"/>
        <v>0</v>
      </c>
      <c r="AX138" s="242">
        <f t="shared" si="953"/>
        <v>0</v>
      </c>
      <c r="AY138" s="36">
        <f t="shared" si="953"/>
        <v>0</v>
      </c>
      <c r="AZ138" s="242">
        <f t="shared" si="953"/>
        <v>0</v>
      </c>
      <c r="BA138" s="242">
        <f t="shared" si="953"/>
        <v>0</v>
      </c>
      <c r="BB138" s="242">
        <f t="shared" si="953"/>
        <v>0</v>
      </c>
      <c r="BC138" s="243">
        <f t="shared" si="953"/>
        <v>0</v>
      </c>
      <c r="BD138" s="242">
        <f t="shared" si="953"/>
        <v>0</v>
      </c>
      <c r="BE138" s="242">
        <f t="shared" si="953"/>
        <v>0</v>
      </c>
      <c r="BF138" s="242">
        <f t="shared" si="953"/>
        <v>0</v>
      </c>
      <c r="BG138" s="178">
        <f t="shared" si="953"/>
        <v>0</v>
      </c>
      <c r="BH138" s="24" t="e">
        <f>AD138/AD155</f>
        <v>#DIV/0!</v>
      </c>
      <c r="BJ138" s="66" t="s">
        <v>2</v>
      </c>
      <c r="BK138" s="38">
        <f t="shared" ref="BK138:BV138" si="954">IF(AG155&gt;0,AG138/AG155,0)</f>
        <v>0</v>
      </c>
      <c r="BL138" s="242">
        <f t="shared" si="954"/>
        <v>0</v>
      </c>
      <c r="BM138" s="242">
        <f t="shared" si="954"/>
        <v>0</v>
      </c>
      <c r="BN138" s="36">
        <f t="shared" si="954"/>
        <v>0</v>
      </c>
      <c r="BO138" s="242">
        <f t="shared" si="954"/>
        <v>0</v>
      </c>
      <c r="BP138" s="242">
        <f t="shared" si="954"/>
        <v>0</v>
      </c>
      <c r="BQ138" s="242">
        <f t="shared" si="954"/>
        <v>0</v>
      </c>
      <c r="BR138" s="243">
        <f t="shared" si="954"/>
        <v>0</v>
      </c>
      <c r="BS138" s="242">
        <f t="shared" si="954"/>
        <v>0</v>
      </c>
      <c r="BT138" s="242">
        <f t="shared" si="954"/>
        <v>0</v>
      </c>
      <c r="BU138" s="242">
        <f t="shared" si="954"/>
        <v>0</v>
      </c>
      <c r="BV138" s="178">
        <f t="shared" si="954"/>
        <v>0</v>
      </c>
      <c r="BW138" s="24" t="e">
        <f>AS138/AS155</f>
        <v>#DIV/0!</v>
      </c>
      <c r="BX138" s="24"/>
      <c r="BY138" s="66" t="s">
        <v>2</v>
      </c>
      <c r="BZ138" s="54">
        <f t="shared" si="923"/>
        <v>0</v>
      </c>
      <c r="CA138" s="55">
        <f t="shared" si="893"/>
        <v>0</v>
      </c>
      <c r="CB138" s="55">
        <f t="shared" si="894"/>
        <v>0</v>
      </c>
      <c r="CC138" s="58">
        <f t="shared" si="895"/>
        <v>0</v>
      </c>
      <c r="CD138" s="55">
        <f t="shared" si="896"/>
        <v>0</v>
      </c>
      <c r="CE138" s="55">
        <f t="shared" si="897"/>
        <v>0</v>
      </c>
      <c r="CF138" s="55">
        <f t="shared" si="898"/>
        <v>0</v>
      </c>
      <c r="CG138" s="246">
        <f t="shared" si="899"/>
        <v>0</v>
      </c>
      <c r="CH138" s="55">
        <f t="shared" si="900"/>
        <v>0</v>
      </c>
      <c r="CI138" s="55">
        <f t="shared" si="901"/>
        <v>0</v>
      </c>
      <c r="CJ138" s="55">
        <f t="shared" si="902"/>
        <v>0</v>
      </c>
      <c r="CK138" s="249">
        <f t="shared" si="902"/>
        <v>0</v>
      </c>
      <c r="CL138" s="55">
        <f t="shared" si="903"/>
        <v>0</v>
      </c>
      <c r="CN138" s="66" t="s">
        <v>2</v>
      </c>
      <c r="CO138" s="54">
        <f t="shared" si="924"/>
        <v>0</v>
      </c>
      <c r="CP138" s="55">
        <f t="shared" si="904"/>
        <v>0</v>
      </c>
      <c r="CQ138" s="55">
        <f t="shared" si="905"/>
        <v>0</v>
      </c>
      <c r="CR138" s="58">
        <f t="shared" si="906"/>
        <v>0</v>
      </c>
      <c r="CS138" s="55">
        <f t="shared" si="907"/>
        <v>0</v>
      </c>
      <c r="CT138" s="55">
        <f t="shared" si="908"/>
        <v>0</v>
      </c>
      <c r="CU138" s="55">
        <f t="shared" si="909"/>
        <v>0</v>
      </c>
      <c r="CV138" s="246">
        <f t="shared" si="910"/>
        <v>0</v>
      </c>
      <c r="CW138" s="55">
        <f t="shared" si="911"/>
        <v>0</v>
      </c>
      <c r="CX138" s="55">
        <f t="shared" si="912"/>
        <v>0</v>
      </c>
      <c r="CY138" s="55">
        <f t="shared" si="913"/>
        <v>0</v>
      </c>
      <c r="CZ138" s="249">
        <f t="shared" si="913"/>
        <v>0</v>
      </c>
      <c r="DA138" s="62" t="e">
        <f t="shared" si="914"/>
        <v>#DIV/0!</v>
      </c>
      <c r="DC138" s="66" t="s">
        <v>2</v>
      </c>
      <c r="DD138" s="198">
        <f t="shared" si="925"/>
        <v>0</v>
      </c>
      <c r="DE138" s="199">
        <f t="shared" si="926"/>
        <v>0</v>
      </c>
      <c r="DF138" s="198">
        <f t="shared" si="927"/>
        <v>0</v>
      </c>
      <c r="DG138" s="199">
        <f t="shared" si="928"/>
        <v>0</v>
      </c>
      <c r="DH138" s="198">
        <f t="shared" si="929"/>
        <v>0</v>
      </c>
      <c r="DI138" s="199">
        <f t="shared" si="930"/>
        <v>0</v>
      </c>
      <c r="DJ138" s="193">
        <f t="shared" si="931"/>
        <v>0</v>
      </c>
      <c r="DK138" s="194">
        <f t="shared" si="932"/>
        <v>0</v>
      </c>
      <c r="DL138" s="198">
        <f t="shared" si="933"/>
        <v>0</v>
      </c>
      <c r="DM138" s="199">
        <f t="shared" si="934"/>
        <v>0</v>
      </c>
      <c r="DN138" s="198">
        <f t="shared" si="935"/>
        <v>0</v>
      </c>
      <c r="DO138" s="199">
        <f t="shared" si="936"/>
        <v>0</v>
      </c>
      <c r="DP138" s="198">
        <f t="shared" si="937"/>
        <v>0</v>
      </c>
      <c r="DQ138" s="199">
        <f t="shared" si="938"/>
        <v>0</v>
      </c>
      <c r="DR138" s="198">
        <f t="shared" si="939"/>
        <v>0</v>
      </c>
      <c r="DS138" s="199">
        <f t="shared" si="940"/>
        <v>0</v>
      </c>
      <c r="DT138" s="198">
        <f t="shared" si="941"/>
        <v>0</v>
      </c>
      <c r="DU138" s="199">
        <f t="shared" si="942"/>
        <v>0</v>
      </c>
      <c r="DV138" s="198">
        <f t="shared" si="943"/>
        <v>0</v>
      </c>
      <c r="DW138" s="199">
        <f t="shared" si="944"/>
        <v>0</v>
      </c>
      <c r="DX138" s="198">
        <f t="shared" si="945"/>
        <v>0</v>
      </c>
      <c r="DY138" s="199">
        <f t="shared" si="946"/>
        <v>0</v>
      </c>
      <c r="DZ138" s="190">
        <f t="shared" si="947"/>
        <v>0</v>
      </c>
      <c r="EA138" s="199">
        <f t="shared" si="915"/>
        <v>0</v>
      </c>
      <c r="EB138" s="190" t="e">
        <f t="shared" si="948"/>
        <v>#DIV/0!</v>
      </c>
      <c r="EC138" s="190" t="e">
        <f t="shared" si="949"/>
        <v>#DIV/0!</v>
      </c>
    </row>
    <row r="139" spans="1:133" x14ac:dyDescent="0.2">
      <c r="A139" s="66" t="s">
        <v>3</v>
      </c>
      <c r="B139" s="38">
        <f>targets!AW130</f>
        <v>0</v>
      </c>
      <c r="C139" s="242">
        <f>targets!AX130</f>
        <v>0</v>
      </c>
      <c r="D139" s="242">
        <f>targets!AY130</f>
        <v>0</v>
      </c>
      <c r="E139" s="242">
        <f>targets!AZ130</f>
        <v>0</v>
      </c>
      <c r="F139" s="36">
        <f>targets!BA130</f>
        <v>15930.457457478924</v>
      </c>
      <c r="G139" s="242">
        <f>SUM(targets!BB130:BG130)</f>
        <v>0</v>
      </c>
      <c r="H139" s="242">
        <f>SUM(targets!BH130:BM130)</f>
        <v>0</v>
      </c>
      <c r="I139" s="243">
        <f t="shared" si="916"/>
        <v>0</v>
      </c>
      <c r="J139" s="242">
        <f>targets!BN130</f>
        <v>0</v>
      </c>
      <c r="K139" s="242">
        <f>targets!BO130</f>
        <v>0</v>
      </c>
      <c r="L139" s="242">
        <f>targets!BP130</f>
        <v>0</v>
      </c>
      <c r="M139" s="178">
        <f t="shared" si="917"/>
        <v>0</v>
      </c>
      <c r="N139" s="17">
        <f t="shared" si="878"/>
        <v>15930.457457478924</v>
      </c>
      <c r="O139" s="17"/>
      <c r="P139" s="17"/>
      <c r="Q139" s="66" t="s">
        <v>3</v>
      </c>
      <c r="R139" s="38">
        <f t="shared" si="879"/>
        <v>0</v>
      </c>
      <c r="S139" s="242">
        <f t="shared" si="880"/>
        <v>0</v>
      </c>
      <c r="T139" s="242">
        <f t="shared" si="881"/>
        <v>0</v>
      </c>
      <c r="U139" s="242">
        <f t="shared" si="882"/>
        <v>0</v>
      </c>
      <c r="V139" s="36">
        <f t="shared" si="883"/>
        <v>0</v>
      </c>
      <c r="W139" s="242">
        <f t="shared" si="884"/>
        <v>0</v>
      </c>
      <c r="X139" s="242">
        <f t="shared" si="885"/>
        <v>0</v>
      </c>
      <c r="Y139" s="243">
        <f t="shared" si="918"/>
        <v>0</v>
      </c>
      <c r="Z139" s="242">
        <f t="shared" si="886"/>
        <v>0</v>
      </c>
      <c r="AA139" s="242">
        <f t="shared" si="887"/>
        <v>0</v>
      </c>
      <c r="AB139" s="242">
        <f t="shared" si="888"/>
        <v>0</v>
      </c>
      <c r="AC139" s="178">
        <f t="shared" si="919"/>
        <v>0</v>
      </c>
      <c r="AD139" s="17">
        <f t="shared" si="889"/>
        <v>0</v>
      </c>
      <c r="AF139" s="66" t="s">
        <v>3</v>
      </c>
      <c r="AG139" s="38">
        <f t="array" ref="AG139">SUM(IF((modeldata!$F:$F=calibration!$AF$132)*(modeldata!$G:$G=calibration!AG$134)*(modeldata!$H:$H=calibration!$AF139),modeldata!$E:$E,0))</f>
        <v>0</v>
      </c>
      <c r="AH139" s="242">
        <f t="array" ref="AH139">SUM(IF((modeldata!$F:$F=calibration!$AF$132)*(modeldata!$G:$G=calibration!AH$134)*(modeldata!$H:$H=calibration!$AF139),modeldata!$E:$E,0))</f>
        <v>0</v>
      </c>
      <c r="AI139" s="242">
        <f t="array" ref="AI139">SUM(IF((modeldata!$F:$F=calibration!$AF$132)*(modeldata!$G:$G=calibration!AI$134)*(modeldata!$H:$H=calibration!$AF139),modeldata!$E:$E,0))</f>
        <v>0</v>
      </c>
      <c r="AJ139" s="242">
        <f t="array" ref="AJ139">SUM(IF((modeldata!$F:$F=calibration!$AF$132)*(modeldata!$G:$G=calibration!AJ$134)*(modeldata!$H:$H=calibration!$AF139),modeldata!$E:$E,0))</f>
        <v>0</v>
      </c>
      <c r="AK139" s="36">
        <f t="array" ref="AK139">SUM(IF((modeldata!$F:$F=calibration!$AF$132)*(modeldata!$G:$G=calibration!AK$134)*(modeldata!$H:$H=calibration!$AF139),modeldata!$E:$E,0))</f>
        <v>0</v>
      </c>
      <c r="AL139" s="242">
        <f t="array" ref="AL139">SUM(IF((modeldata!$F:$F=calibration!$AF$132)*(modeldata!$G:$G=calibration!AL$134)*(modeldata!$H:$H=calibration!$AF139),modeldata!$E:$E,0))</f>
        <v>0</v>
      </c>
      <c r="AM139" s="242">
        <f t="array" ref="AM139">SUM(IF((modeldata!$F:$F=calibration!$AF$132)*(modeldata!$G:$G=calibration!AM$134)*(modeldata!$H:$H=calibration!$AF139),modeldata!$E:$E,0))</f>
        <v>0</v>
      </c>
      <c r="AN139" s="243">
        <f t="shared" si="920"/>
        <v>0</v>
      </c>
      <c r="AO139" s="242">
        <f t="array" ref="AO139">SUM(IF((modeldata!$F:$F=calibration!$AF$132)*(modeldata!$G:$G=calibration!AO$134)*(modeldata!$H:$H=calibration!$AF139),modeldata!$E:$E,0))</f>
        <v>0</v>
      </c>
      <c r="AP139" s="242">
        <f t="array" ref="AP139">SUM(IF((modeldata!$F:$F=calibration!$AF$132)*(modeldata!$G:$G=calibration!AP$134)*(modeldata!$H:$H=calibration!$AF139),modeldata!$E:$E,0))</f>
        <v>0</v>
      </c>
      <c r="AQ139" s="242">
        <f t="array" ref="AQ139">SUM(IF((modeldata!$F:$F=calibration!$AF$132)*(modeldata!$G:$G=calibration!AQ$134)*(modeldata!$H:$H=calibration!$AF139),modeldata!$E:$E,0))</f>
        <v>0</v>
      </c>
      <c r="AR139" s="178">
        <f t="shared" si="950"/>
        <v>0</v>
      </c>
      <c r="AS139" s="17">
        <f t="shared" si="890"/>
        <v>0</v>
      </c>
      <c r="AU139" s="66" t="s">
        <v>3</v>
      </c>
      <c r="AV139" s="38">
        <f t="shared" ref="AV139:BG139" si="955">IF(R155&gt;0,R139/R155,0)</f>
        <v>0</v>
      </c>
      <c r="AW139" s="242">
        <f t="shared" si="955"/>
        <v>0</v>
      </c>
      <c r="AX139" s="242">
        <f t="shared" si="955"/>
        <v>0</v>
      </c>
      <c r="AY139" s="242">
        <f t="shared" si="955"/>
        <v>0</v>
      </c>
      <c r="AZ139" s="36">
        <f t="shared" si="955"/>
        <v>0</v>
      </c>
      <c r="BA139" s="242">
        <f t="shared" si="955"/>
        <v>0</v>
      </c>
      <c r="BB139" s="242">
        <f t="shared" si="955"/>
        <v>0</v>
      </c>
      <c r="BC139" s="243">
        <f t="shared" si="955"/>
        <v>0</v>
      </c>
      <c r="BD139" s="242">
        <f t="shared" si="955"/>
        <v>0</v>
      </c>
      <c r="BE139" s="242">
        <f t="shared" si="955"/>
        <v>0</v>
      </c>
      <c r="BF139" s="242">
        <f t="shared" si="955"/>
        <v>0</v>
      </c>
      <c r="BG139" s="178">
        <f t="shared" si="955"/>
        <v>0</v>
      </c>
      <c r="BH139" s="24" t="e">
        <f>AD139/AD155</f>
        <v>#DIV/0!</v>
      </c>
      <c r="BJ139" s="66" t="s">
        <v>3</v>
      </c>
      <c r="BK139" s="38">
        <f t="shared" ref="BK139:BV139" si="956">IF(AG155&gt;0,AG139/AG155,0)</f>
        <v>0</v>
      </c>
      <c r="BL139" s="242">
        <f t="shared" si="956"/>
        <v>0</v>
      </c>
      <c r="BM139" s="242">
        <f t="shared" si="956"/>
        <v>0</v>
      </c>
      <c r="BN139" s="242">
        <f t="shared" si="956"/>
        <v>0</v>
      </c>
      <c r="BO139" s="36">
        <f t="shared" si="956"/>
        <v>0</v>
      </c>
      <c r="BP139" s="242">
        <f t="shared" si="956"/>
        <v>0</v>
      </c>
      <c r="BQ139" s="242">
        <f t="shared" si="956"/>
        <v>0</v>
      </c>
      <c r="BR139" s="243">
        <f t="shared" si="956"/>
        <v>0</v>
      </c>
      <c r="BS139" s="242">
        <f t="shared" si="956"/>
        <v>0</v>
      </c>
      <c r="BT139" s="242">
        <f t="shared" si="956"/>
        <v>0</v>
      </c>
      <c r="BU139" s="242">
        <f t="shared" si="956"/>
        <v>0</v>
      </c>
      <c r="BV139" s="178">
        <f t="shared" si="956"/>
        <v>0</v>
      </c>
      <c r="BW139" s="24" t="e">
        <f>AS139/AS155</f>
        <v>#DIV/0!</v>
      </c>
      <c r="BX139" s="24"/>
      <c r="BY139" s="66" t="s">
        <v>3</v>
      </c>
      <c r="BZ139" s="54">
        <f t="shared" si="923"/>
        <v>0</v>
      </c>
      <c r="CA139" s="55">
        <f t="shared" si="893"/>
        <v>0</v>
      </c>
      <c r="CB139" s="55">
        <f t="shared" si="894"/>
        <v>0</v>
      </c>
      <c r="CC139" s="55">
        <f t="shared" si="895"/>
        <v>0</v>
      </c>
      <c r="CD139" s="58">
        <f t="shared" si="896"/>
        <v>0</v>
      </c>
      <c r="CE139" s="55">
        <f t="shared" si="897"/>
        <v>0</v>
      </c>
      <c r="CF139" s="55">
        <f t="shared" si="898"/>
        <v>0</v>
      </c>
      <c r="CG139" s="246">
        <f t="shared" si="899"/>
        <v>0</v>
      </c>
      <c r="CH139" s="55">
        <f t="shared" si="900"/>
        <v>0</v>
      </c>
      <c r="CI139" s="55">
        <f t="shared" si="901"/>
        <v>0</v>
      </c>
      <c r="CJ139" s="55">
        <f t="shared" si="902"/>
        <v>0</v>
      </c>
      <c r="CK139" s="249">
        <f t="shared" si="902"/>
        <v>0</v>
      </c>
      <c r="CL139" s="55">
        <f t="shared" si="903"/>
        <v>0</v>
      </c>
      <c r="CN139" s="66" t="s">
        <v>3</v>
      </c>
      <c r="CO139" s="54">
        <f t="shared" si="924"/>
        <v>0</v>
      </c>
      <c r="CP139" s="55">
        <f t="shared" si="904"/>
        <v>0</v>
      </c>
      <c r="CQ139" s="55">
        <f t="shared" si="905"/>
        <v>0</v>
      </c>
      <c r="CR139" s="55">
        <f t="shared" si="906"/>
        <v>0</v>
      </c>
      <c r="CS139" s="58">
        <f t="shared" si="907"/>
        <v>0</v>
      </c>
      <c r="CT139" s="55">
        <f t="shared" si="908"/>
        <v>0</v>
      </c>
      <c r="CU139" s="55">
        <f t="shared" si="909"/>
        <v>0</v>
      </c>
      <c r="CV139" s="246">
        <f t="shared" si="910"/>
        <v>0</v>
      </c>
      <c r="CW139" s="55">
        <f t="shared" si="911"/>
        <v>0</v>
      </c>
      <c r="CX139" s="55">
        <f t="shared" si="912"/>
        <v>0</v>
      </c>
      <c r="CY139" s="55">
        <f t="shared" si="913"/>
        <v>0</v>
      </c>
      <c r="CZ139" s="249">
        <f t="shared" si="913"/>
        <v>0</v>
      </c>
      <c r="DA139" s="62" t="e">
        <f t="shared" si="914"/>
        <v>#DIV/0!</v>
      </c>
      <c r="DC139" s="66" t="s">
        <v>3</v>
      </c>
      <c r="DD139" s="198">
        <f t="shared" si="925"/>
        <v>0</v>
      </c>
      <c r="DE139" s="199">
        <f t="shared" si="926"/>
        <v>0</v>
      </c>
      <c r="DF139" s="198">
        <f t="shared" si="927"/>
        <v>0</v>
      </c>
      <c r="DG139" s="199">
        <f t="shared" si="928"/>
        <v>0</v>
      </c>
      <c r="DH139" s="198">
        <f t="shared" si="929"/>
        <v>0</v>
      </c>
      <c r="DI139" s="199">
        <f t="shared" si="930"/>
        <v>0</v>
      </c>
      <c r="DJ139" s="198">
        <f t="shared" si="931"/>
        <v>0</v>
      </c>
      <c r="DK139" s="199">
        <f t="shared" si="932"/>
        <v>0</v>
      </c>
      <c r="DL139" s="193">
        <f t="shared" si="933"/>
        <v>0</v>
      </c>
      <c r="DM139" s="194">
        <f t="shared" si="934"/>
        <v>0</v>
      </c>
      <c r="DN139" s="198">
        <f t="shared" si="935"/>
        <v>0</v>
      </c>
      <c r="DO139" s="199">
        <f t="shared" si="936"/>
        <v>0</v>
      </c>
      <c r="DP139" s="198">
        <f t="shared" si="937"/>
        <v>0</v>
      </c>
      <c r="DQ139" s="199">
        <f t="shared" si="938"/>
        <v>0</v>
      </c>
      <c r="DR139" s="198">
        <f t="shared" si="939"/>
        <v>0</v>
      </c>
      <c r="DS139" s="199">
        <f t="shared" si="940"/>
        <v>0</v>
      </c>
      <c r="DT139" s="198">
        <f t="shared" si="941"/>
        <v>0</v>
      </c>
      <c r="DU139" s="199">
        <f t="shared" si="942"/>
        <v>0</v>
      </c>
      <c r="DV139" s="198">
        <f t="shared" si="943"/>
        <v>0</v>
      </c>
      <c r="DW139" s="199">
        <f t="shared" si="944"/>
        <v>0</v>
      </c>
      <c r="DX139" s="198">
        <f t="shared" si="945"/>
        <v>0</v>
      </c>
      <c r="DY139" s="199">
        <f t="shared" si="946"/>
        <v>0</v>
      </c>
      <c r="DZ139" s="190">
        <f t="shared" si="947"/>
        <v>0</v>
      </c>
      <c r="EA139" s="199">
        <f t="shared" si="915"/>
        <v>0</v>
      </c>
      <c r="EB139" s="190" t="e">
        <f t="shared" si="948"/>
        <v>#DIV/0!</v>
      </c>
      <c r="EC139" s="190" t="e">
        <f t="shared" si="949"/>
        <v>#DIV/0!</v>
      </c>
    </row>
    <row r="140" spans="1:133" x14ac:dyDescent="0.2">
      <c r="A140" s="66" t="s">
        <v>5</v>
      </c>
      <c r="B140" s="38">
        <f>targets!AW131</f>
        <v>0</v>
      </c>
      <c r="C140" s="242">
        <f>targets!AX131</f>
        <v>0</v>
      </c>
      <c r="D140" s="242">
        <f>targets!AY131</f>
        <v>0</v>
      </c>
      <c r="E140" s="242">
        <f>targets!AZ131</f>
        <v>0</v>
      </c>
      <c r="F140" s="242">
        <f>targets!BA131</f>
        <v>0</v>
      </c>
      <c r="G140" s="39">
        <f>SUM(targets!BB131:BG131)</f>
        <v>7989.6646976826951</v>
      </c>
      <c r="H140" s="242">
        <f>SUM(targets!BH131:BM131)</f>
        <v>0</v>
      </c>
      <c r="I140" s="243">
        <f t="shared" si="916"/>
        <v>7989.6646976826951</v>
      </c>
      <c r="J140" s="242">
        <f>targets!BN131</f>
        <v>0</v>
      </c>
      <c r="K140" s="242">
        <f>targets!BO131</f>
        <v>0</v>
      </c>
      <c r="L140" s="242">
        <f>targets!BP131</f>
        <v>0</v>
      </c>
      <c r="M140" s="178">
        <f t="shared" si="917"/>
        <v>0</v>
      </c>
      <c r="N140" s="17">
        <f t="shared" si="878"/>
        <v>7989.6646976826951</v>
      </c>
      <c r="O140" s="17"/>
      <c r="P140" s="17"/>
      <c r="Q140" s="66" t="s">
        <v>5</v>
      </c>
      <c r="R140" s="38">
        <f t="shared" si="879"/>
        <v>0</v>
      </c>
      <c r="S140" s="242">
        <f t="shared" si="880"/>
        <v>0</v>
      </c>
      <c r="T140" s="242">
        <f t="shared" si="881"/>
        <v>0</v>
      </c>
      <c r="U140" s="242">
        <f t="shared" si="882"/>
        <v>0</v>
      </c>
      <c r="V140" s="242">
        <f t="shared" si="883"/>
        <v>0</v>
      </c>
      <c r="W140" s="39">
        <f t="shared" si="884"/>
        <v>0</v>
      </c>
      <c r="X140" s="242">
        <f t="shared" si="885"/>
        <v>0</v>
      </c>
      <c r="Y140" s="243">
        <f t="shared" si="918"/>
        <v>0</v>
      </c>
      <c r="Z140" s="242">
        <f t="shared" si="886"/>
        <v>0</v>
      </c>
      <c r="AA140" s="242">
        <f t="shared" si="887"/>
        <v>0</v>
      </c>
      <c r="AB140" s="242">
        <f t="shared" si="888"/>
        <v>0</v>
      </c>
      <c r="AC140" s="178">
        <f t="shared" si="919"/>
        <v>0</v>
      </c>
      <c r="AD140" s="17">
        <f t="shared" si="889"/>
        <v>0</v>
      </c>
      <c r="AF140" s="66" t="s">
        <v>5</v>
      </c>
      <c r="AG140" s="38">
        <f t="array" ref="AG140">SUM(IF((modeldata!$F:$F=calibration!$AF$132)*(modeldata!$G:$G=calibration!AG$134)*(modeldata!$H:$H=calibration!$AF140),modeldata!$E:$E,0))</f>
        <v>0</v>
      </c>
      <c r="AH140" s="242">
        <f t="array" ref="AH140">SUM(IF((modeldata!$F:$F=calibration!$AF$132)*(modeldata!$G:$G=calibration!AH$134)*(modeldata!$H:$H=calibration!$AF140),modeldata!$E:$E,0))</f>
        <v>0</v>
      </c>
      <c r="AI140" s="242">
        <f t="array" ref="AI140">SUM(IF((modeldata!$F:$F=calibration!$AF$132)*(modeldata!$G:$G=calibration!AI$134)*(modeldata!$H:$H=calibration!$AF140),modeldata!$E:$E,0))</f>
        <v>0</v>
      </c>
      <c r="AJ140" s="242">
        <f t="array" ref="AJ140">SUM(IF((modeldata!$F:$F=calibration!$AF$132)*(modeldata!$G:$G=calibration!AJ$134)*(modeldata!$H:$H=calibration!$AF140),modeldata!$E:$E,0))</f>
        <v>0</v>
      </c>
      <c r="AK140" s="242">
        <f t="array" ref="AK140">SUM(IF((modeldata!$F:$F=calibration!$AF$132)*(modeldata!$G:$G=calibration!AK$134)*(modeldata!$H:$H=calibration!$AF140),modeldata!$E:$E,0))</f>
        <v>0</v>
      </c>
      <c r="AL140" s="39">
        <f t="array" ref="AL140">SUM(IF((modeldata!$F:$F=calibration!$AF$132)*(modeldata!$G:$G=calibration!AL$134)*(modeldata!$H:$H=calibration!$AF140),modeldata!$E:$E,0))</f>
        <v>0</v>
      </c>
      <c r="AM140" s="242">
        <f t="array" ref="AM140">SUM(IF((modeldata!$F:$F=calibration!$AF$132)*(modeldata!$G:$G=calibration!AM$134)*(modeldata!$H:$H=calibration!$AF140),modeldata!$E:$E,0))</f>
        <v>0</v>
      </c>
      <c r="AN140" s="243">
        <f t="shared" ref="AN140:AN145" si="957">AL140+AM140+AL146+AM146</f>
        <v>0</v>
      </c>
      <c r="AO140" s="242">
        <f t="array" ref="AO140">SUM(IF((modeldata!$F:$F=calibration!$AF$132)*(modeldata!$G:$G=calibration!AO$134)*(modeldata!$H:$H=calibration!$AF140),modeldata!$E:$E,0))</f>
        <v>0</v>
      </c>
      <c r="AP140" s="242">
        <f t="array" ref="AP140">SUM(IF((modeldata!$F:$F=calibration!$AF$132)*(modeldata!$G:$G=calibration!AP$134)*(modeldata!$H:$H=calibration!$AF140),modeldata!$E:$E,0))</f>
        <v>0</v>
      </c>
      <c r="AQ140" s="242">
        <f t="array" ref="AQ140">SUM(IF((modeldata!$F:$F=calibration!$AF$132)*(modeldata!$G:$G=calibration!AQ$134)*(modeldata!$H:$H=calibration!$AF140),modeldata!$E:$E,0))</f>
        <v>0</v>
      </c>
      <c r="AR140" s="178">
        <f t="shared" si="950"/>
        <v>0</v>
      </c>
      <c r="AS140" s="17">
        <f t="shared" si="890"/>
        <v>0</v>
      </c>
      <c r="AU140" s="66" t="s">
        <v>5</v>
      </c>
      <c r="AV140" s="38">
        <f t="shared" ref="AV140:BG140" si="958">IF(R155&gt;0,R140/R155,0)</f>
        <v>0</v>
      </c>
      <c r="AW140" s="242">
        <f t="shared" si="958"/>
        <v>0</v>
      </c>
      <c r="AX140" s="242">
        <f t="shared" si="958"/>
        <v>0</v>
      </c>
      <c r="AY140" s="242">
        <f t="shared" si="958"/>
        <v>0</v>
      </c>
      <c r="AZ140" s="242">
        <f t="shared" si="958"/>
        <v>0</v>
      </c>
      <c r="BA140" s="39">
        <f t="shared" si="958"/>
        <v>0</v>
      </c>
      <c r="BB140" s="242">
        <f t="shared" si="958"/>
        <v>0</v>
      </c>
      <c r="BC140" s="243">
        <f t="shared" si="958"/>
        <v>0</v>
      </c>
      <c r="BD140" s="242">
        <f t="shared" si="958"/>
        <v>0</v>
      </c>
      <c r="BE140" s="242">
        <f t="shared" si="958"/>
        <v>0</v>
      </c>
      <c r="BF140" s="242">
        <f t="shared" si="958"/>
        <v>0</v>
      </c>
      <c r="BG140" s="178">
        <f t="shared" si="958"/>
        <v>0</v>
      </c>
      <c r="BH140" s="24" t="e">
        <f>AD140/AD155</f>
        <v>#DIV/0!</v>
      </c>
      <c r="BJ140" s="66" t="s">
        <v>5</v>
      </c>
      <c r="BK140" s="38">
        <f t="shared" ref="BK140:BV140" si="959">IF(AG155&gt;0,AG140/AG155,0)</f>
        <v>0</v>
      </c>
      <c r="BL140" s="242">
        <f t="shared" si="959"/>
        <v>0</v>
      </c>
      <c r="BM140" s="242">
        <f t="shared" si="959"/>
        <v>0</v>
      </c>
      <c r="BN140" s="242">
        <f t="shared" si="959"/>
        <v>0</v>
      </c>
      <c r="BO140" s="242">
        <f t="shared" si="959"/>
        <v>0</v>
      </c>
      <c r="BP140" s="39">
        <f t="shared" si="959"/>
        <v>0</v>
      </c>
      <c r="BQ140" s="242">
        <f t="shared" si="959"/>
        <v>0</v>
      </c>
      <c r="BR140" s="243">
        <f t="shared" si="959"/>
        <v>0</v>
      </c>
      <c r="BS140" s="242">
        <f t="shared" si="959"/>
        <v>0</v>
      </c>
      <c r="BT140" s="242">
        <f t="shared" si="959"/>
        <v>0</v>
      </c>
      <c r="BU140" s="242">
        <f t="shared" si="959"/>
        <v>0</v>
      </c>
      <c r="BV140" s="178">
        <f t="shared" si="959"/>
        <v>0</v>
      </c>
      <c r="BW140" s="24" t="e">
        <f>AS140/AS155</f>
        <v>#DIV/0!</v>
      </c>
      <c r="BX140" s="24"/>
      <c r="BY140" s="66" t="s">
        <v>5</v>
      </c>
      <c r="BZ140" s="54">
        <f t="shared" si="923"/>
        <v>0</v>
      </c>
      <c r="CA140" s="55">
        <f t="shared" si="893"/>
        <v>0</v>
      </c>
      <c r="CB140" s="55">
        <f t="shared" si="894"/>
        <v>0</v>
      </c>
      <c r="CC140" s="55">
        <f t="shared" si="895"/>
        <v>0</v>
      </c>
      <c r="CD140" s="55">
        <f t="shared" si="896"/>
        <v>0</v>
      </c>
      <c r="CE140" s="59">
        <f t="shared" si="897"/>
        <v>0</v>
      </c>
      <c r="CF140" s="55">
        <f t="shared" si="898"/>
        <v>0</v>
      </c>
      <c r="CG140" s="246">
        <f t="shared" si="899"/>
        <v>0</v>
      </c>
      <c r="CH140" s="55">
        <f t="shared" si="900"/>
        <v>0</v>
      </c>
      <c r="CI140" s="55">
        <f t="shared" si="901"/>
        <v>0</v>
      </c>
      <c r="CJ140" s="55">
        <f t="shared" si="902"/>
        <v>0</v>
      </c>
      <c r="CK140" s="249">
        <f t="shared" si="902"/>
        <v>0</v>
      </c>
      <c r="CL140" s="55">
        <f t="shared" si="903"/>
        <v>0</v>
      </c>
      <c r="CN140" s="66" t="s">
        <v>5</v>
      </c>
      <c r="CO140" s="54">
        <f t="shared" si="924"/>
        <v>0</v>
      </c>
      <c r="CP140" s="55">
        <f t="shared" si="904"/>
        <v>0</v>
      </c>
      <c r="CQ140" s="55">
        <f t="shared" si="905"/>
        <v>0</v>
      </c>
      <c r="CR140" s="55">
        <f t="shared" si="906"/>
        <v>0</v>
      </c>
      <c r="CS140" s="55">
        <f t="shared" si="907"/>
        <v>0</v>
      </c>
      <c r="CT140" s="59">
        <f t="shared" si="908"/>
        <v>0</v>
      </c>
      <c r="CU140" s="55">
        <f t="shared" si="909"/>
        <v>0</v>
      </c>
      <c r="CV140" s="246">
        <f t="shared" si="910"/>
        <v>0</v>
      </c>
      <c r="CW140" s="55">
        <f t="shared" si="911"/>
        <v>0</v>
      </c>
      <c r="CX140" s="55">
        <f t="shared" si="912"/>
        <v>0</v>
      </c>
      <c r="CY140" s="55">
        <f t="shared" si="913"/>
        <v>0</v>
      </c>
      <c r="CZ140" s="249">
        <f t="shared" si="913"/>
        <v>0</v>
      </c>
      <c r="DA140" s="62" t="e">
        <f t="shared" si="914"/>
        <v>#DIV/0!</v>
      </c>
      <c r="DC140" s="66" t="s">
        <v>5</v>
      </c>
      <c r="DD140" s="198">
        <f t="shared" si="925"/>
        <v>0</v>
      </c>
      <c r="DE140" s="199">
        <f t="shared" si="926"/>
        <v>0</v>
      </c>
      <c r="DF140" s="198">
        <f t="shared" si="927"/>
        <v>0</v>
      </c>
      <c r="DG140" s="199">
        <f t="shared" si="928"/>
        <v>0</v>
      </c>
      <c r="DH140" s="198">
        <f t="shared" si="929"/>
        <v>0</v>
      </c>
      <c r="DI140" s="199">
        <f t="shared" si="930"/>
        <v>0</v>
      </c>
      <c r="DJ140" s="198">
        <f t="shared" si="931"/>
        <v>0</v>
      </c>
      <c r="DK140" s="199">
        <f t="shared" si="932"/>
        <v>0</v>
      </c>
      <c r="DL140" s="198">
        <f t="shared" si="933"/>
        <v>0</v>
      </c>
      <c r="DM140" s="199">
        <f t="shared" si="934"/>
        <v>0</v>
      </c>
      <c r="DN140" s="195">
        <f t="shared" si="935"/>
        <v>0</v>
      </c>
      <c r="DO140" s="196">
        <f t="shared" si="936"/>
        <v>0</v>
      </c>
      <c r="DP140" s="198">
        <f t="shared" si="937"/>
        <v>0</v>
      </c>
      <c r="DQ140" s="199">
        <f t="shared" si="938"/>
        <v>0</v>
      </c>
      <c r="DR140" s="198">
        <f t="shared" si="939"/>
        <v>0</v>
      </c>
      <c r="DS140" s="199">
        <f t="shared" si="940"/>
        <v>0</v>
      </c>
      <c r="DT140" s="198">
        <f t="shared" si="941"/>
        <v>0</v>
      </c>
      <c r="DU140" s="199">
        <f t="shared" si="942"/>
        <v>0</v>
      </c>
      <c r="DV140" s="198">
        <f t="shared" si="943"/>
        <v>0</v>
      </c>
      <c r="DW140" s="199">
        <f t="shared" si="944"/>
        <v>0</v>
      </c>
      <c r="DX140" s="198">
        <f t="shared" si="945"/>
        <v>0</v>
      </c>
      <c r="DY140" s="199">
        <f t="shared" si="946"/>
        <v>0</v>
      </c>
      <c r="DZ140" s="190">
        <f t="shared" si="947"/>
        <v>0</v>
      </c>
      <c r="EA140" s="199">
        <f t="shared" si="915"/>
        <v>0</v>
      </c>
      <c r="EB140" s="190" t="e">
        <f t="shared" si="948"/>
        <v>#DIV/0!</v>
      </c>
      <c r="EC140" s="190" t="e">
        <f t="shared" si="949"/>
        <v>#DIV/0!</v>
      </c>
    </row>
    <row r="141" spans="1:133" ht="25.5" x14ac:dyDescent="0.2">
      <c r="A141" s="66" t="s">
        <v>344</v>
      </c>
      <c r="B141" s="38">
        <f>targets!AW132</f>
        <v>0</v>
      </c>
      <c r="C141" s="242">
        <f>targets!AX132</f>
        <v>0</v>
      </c>
      <c r="D141" s="242">
        <f>targets!AY132</f>
        <v>0</v>
      </c>
      <c r="E141" s="242">
        <f>targets!AZ132</f>
        <v>0</v>
      </c>
      <c r="F141" s="242">
        <f>targets!BA132</f>
        <v>0</v>
      </c>
      <c r="G141" s="40">
        <f>SUM(targets!BB132:BG132)</f>
        <v>402.73288995926612</v>
      </c>
      <c r="H141" s="242">
        <f>SUM(targets!BH132:BM132)</f>
        <v>0</v>
      </c>
      <c r="I141" s="243">
        <f t="shared" si="916"/>
        <v>402.73288995926612</v>
      </c>
      <c r="J141" s="242">
        <f>targets!BN132</f>
        <v>0</v>
      </c>
      <c r="K141" s="242">
        <f>targets!BO132</f>
        <v>0</v>
      </c>
      <c r="L141" s="242">
        <f>targets!BP132</f>
        <v>0</v>
      </c>
      <c r="M141" s="178">
        <f t="shared" si="917"/>
        <v>0</v>
      </c>
      <c r="N141" s="17">
        <f t="shared" si="878"/>
        <v>402.73288995926612</v>
      </c>
      <c r="O141" s="17"/>
      <c r="P141" s="17"/>
      <c r="Q141" s="66" t="s">
        <v>344</v>
      </c>
      <c r="R141" s="38">
        <f t="shared" si="879"/>
        <v>0</v>
      </c>
      <c r="S141" s="242">
        <f t="shared" si="880"/>
        <v>0</v>
      </c>
      <c r="T141" s="242">
        <f t="shared" si="881"/>
        <v>0</v>
      </c>
      <c r="U141" s="242">
        <f t="shared" si="882"/>
        <v>0</v>
      </c>
      <c r="V141" s="242">
        <f t="shared" si="883"/>
        <v>0</v>
      </c>
      <c r="W141" s="40">
        <f t="shared" si="884"/>
        <v>0</v>
      </c>
      <c r="X141" s="242">
        <f t="shared" si="885"/>
        <v>0</v>
      </c>
      <c r="Y141" s="243">
        <f t="shared" si="918"/>
        <v>0</v>
      </c>
      <c r="Z141" s="242">
        <f t="shared" si="886"/>
        <v>0</v>
      </c>
      <c r="AA141" s="242">
        <f t="shared" si="887"/>
        <v>0</v>
      </c>
      <c r="AB141" s="242">
        <f t="shared" si="888"/>
        <v>0</v>
      </c>
      <c r="AC141" s="178">
        <f t="shared" si="919"/>
        <v>0</v>
      </c>
      <c r="AD141" s="17">
        <f t="shared" si="889"/>
        <v>0</v>
      </c>
      <c r="AF141" s="66" t="s">
        <v>43</v>
      </c>
      <c r="AG141" s="38">
        <f t="array" ref="AG141">SUM(IF((modeldata!$F:$F=calibration!$AF$132)*(modeldata!$G:$G=calibration!AG$134)*(modeldata!$H:$H=calibration!$AF141),modeldata!$E:$E,0))</f>
        <v>0</v>
      </c>
      <c r="AH141" s="242">
        <f t="array" ref="AH141">SUM(IF((modeldata!$F:$F=calibration!$AF$132)*(modeldata!$G:$G=calibration!AH$134)*(modeldata!$H:$H=calibration!$AF141),modeldata!$E:$E,0))</f>
        <v>0</v>
      </c>
      <c r="AI141" s="242">
        <f t="array" ref="AI141">SUM(IF((modeldata!$F:$F=calibration!$AF$132)*(modeldata!$G:$G=calibration!AI$134)*(modeldata!$H:$H=calibration!$AF141),modeldata!$E:$E,0))</f>
        <v>0</v>
      </c>
      <c r="AJ141" s="242">
        <f t="array" ref="AJ141">SUM(IF((modeldata!$F:$F=calibration!$AF$132)*(modeldata!$G:$G=calibration!AJ$134)*(modeldata!$H:$H=calibration!$AF141),modeldata!$E:$E,0))</f>
        <v>0</v>
      </c>
      <c r="AK141" s="242">
        <f t="array" ref="AK141">SUM(IF((modeldata!$F:$F=calibration!$AF$132)*(modeldata!$G:$G=calibration!AK$134)*(modeldata!$H:$H=calibration!$AF141),modeldata!$E:$E,0))</f>
        <v>0</v>
      </c>
      <c r="AL141" s="40">
        <f t="array" ref="AL141">SUM(IF((modeldata!$F:$F=calibration!$AF$132)*(modeldata!$G:$G=calibration!AL$134)*(modeldata!$H:$H=calibration!$AF141),modeldata!$E:$E,0))</f>
        <v>0</v>
      </c>
      <c r="AM141" s="242">
        <f t="array" ref="AM141">SUM(IF((modeldata!$F:$F=calibration!$AF$132)*(modeldata!$G:$G=calibration!AM$134)*(modeldata!$H:$H=calibration!$AF141),modeldata!$E:$E,0))</f>
        <v>0</v>
      </c>
      <c r="AN141" s="243">
        <f t="shared" si="957"/>
        <v>0</v>
      </c>
      <c r="AO141" s="242">
        <f t="array" ref="AO141">SUM(IF((modeldata!$F:$F=calibration!$AF$132)*(modeldata!$G:$G=calibration!AO$134)*(modeldata!$H:$H=calibration!$AF141),modeldata!$E:$E,0))</f>
        <v>0</v>
      </c>
      <c r="AP141" s="242">
        <f t="array" ref="AP141">SUM(IF((modeldata!$F:$F=calibration!$AF$132)*(modeldata!$G:$G=calibration!AP$134)*(modeldata!$H:$H=calibration!$AF141),modeldata!$E:$E,0))</f>
        <v>0</v>
      </c>
      <c r="AQ141" s="242">
        <f t="array" ref="AQ141">SUM(IF((modeldata!$F:$F=calibration!$AF$132)*(modeldata!$G:$G=calibration!AQ$134)*(modeldata!$H:$H=calibration!$AF141),modeldata!$E:$E,0))</f>
        <v>0</v>
      </c>
      <c r="AR141" s="178">
        <f t="shared" si="950"/>
        <v>0</v>
      </c>
      <c r="AS141" s="17">
        <f t="shared" si="890"/>
        <v>0</v>
      </c>
      <c r="AU141" s="66" t="s">
        <v>344</v>
      </c>
      <c r="AV141" s="38">
        <f t="shared" ref="AV141:BG142" si="960">IF(R155&gt;0,R141/R155,0)</f>
        <v>0</v>
      </c>
      <c r="AW141" s="242">
        <f t="shared" si="960"/>
        <v>0</v>
      </c>
      <c r="AX141" s="242">
        <f t="shared" si="960"/>
        <v>0</v>
      </c>
      <c r="AY141" s="242">
        <f t="shared" si="960"/>
        <v>0</v>
      </c>
      <c r="AZ141" s="242">
        <f t="shared" si="960"/>
        <v>0</v>
      </c>
      <c r="BA141" s="40">
        <f t="shared" si="960"/>
        <v>0</v>
      </c>
      <c r="BB141" s="242">
        <f t="shared" si="960"/>
        <v>0</v>
      </c>
      <c r="BC141" s="243">
        <f t="shared" si="960"/>
        <v>0</v>
      </c>
      <c r="BD141" s="242">
        <f t="shared" si="960"/>
        <v>0</v>
      </c>
      <c r="BE141" s="242">
        <f t="shared" si="960"/>
        <v>0</v>
      </c>
      <c r="BF141" s="242">
        <f t="shared" si="960"/>
        <v>0</v>
      </c>
      <c r="BG141" s="178">
        <f t="shared" si="960"/>
        <v>0</v>
      </c>
      <c r="BH141" s="24" t="e">
        <f>AD141/AD155</f>
        <v>#DIV/0!</v>
      </c>
      <c r="BJ141" s="66" t="s">
        <v>344</v>
      </c>
      <c r="BK141" s="38">
        <f t="shared" ref="BK141:BV141" si="961">IF(AG155&gt;0,AG141/AG155,0)</f>
        <v>0</v>
      </c>
      <c r="BL141" s="242">
        <f t="shared" si="961"/>
        <v>0</v>
      </c>
      <c r="BM141" s="242">
        <f t="shared" si="961"/>
        <v>0</v>
      </c>
      <c r="BN141" s="242">
        <f t="shared" si="961"/>
        <v>0</v>
      </c>
      <c r="BO141" s="242">
        <f t="shared" si="961"/>
        <v>0</v>
      </c>
      <c r="BP141" s="40">
        <f t="shared" si="961"/>
        <v>0</v>
      </c>
      <c r="BQ141" s="242">
        <f t="shared" si="961"/>
        <v>0</v>
      </c>
      <c r="BR141" s="243">
        <f t="shared" si="961"/>
        <v>0</v>
      </c>
      <c r="BS141" s="242">
        <f t="shared" si="961"/>
        <v>0</v>
      </c>
      <c r="BT141" s="242">
        <f t="shared" si="961"/>
        <v>0</v>
      </c>
      <c r="BU141" s="242">
        <f t="shared" si="961"/>
        <v>0</v>
      </c>
      <c r="BV141" s="178">
        <f t="shared" si="961"/>
        <v>0</v>
      </c>
      <c r="BW141" s="24" t="e">
        <f>AS141/AS155</f>
        <v>#DIV/0!</v>
      </c>
      <c r="BX141" s="24"/>
      <c r="BY141" s="66" t="s">
        <v>344</v>
      </c>
      <c r="BZ141" s="54">
        <f t="shared" si="923"/>
        <v>0</v>
      </c>
      <c r="CA141" s="55">
        <f t="shared" si="893"/>
        <v>0</v>
      </c>
      <c r="CB141" s="55">
        <f t="shared" si="894"/>
        <v>0</v>
      </c>
      <c r="CC141" s="55">
        <f t="shared" si="895"/>
        <v>0</v>
      </c>
      <c r="CD141" s="55">
        <f t="shared" si="896"/>
        <v>0</v>
      </c>
      <c r="CE141" s="60">
        <f t="shared" si="897"/>
        <v>0</v>
      </c>
      <c r="CF141" s="55">
        <f t="shared" si="898"/>
        <v>0</v>
      </c>
      <c r="CG141" s="246">
        <f t="shared" si="899"/>
        <v>0</v>
      </c>
      <c r="CH141" s="55">
        <f t="shared" si="900"/>
        <v>0</v>
      </c>
      <c r="CI141" s="55">
        <f t="shared" si="901"/>
        <v>0</v>
      </c>
      <c r="CJ141" s="55">
        <f t="shared" si="902"/>
        <v>0</v>
      </c>
      <c r="CK141" s="249">
        <f t="shared" si="902"/>
        <v>0</v>
      </c>
      <c r="CL141" s="55">
        <f t="shared" si="903"/>
        <v>0</v>
      </c>
      <c r="CN141" s="66" t="s">
        <v>344</v>
      </c>
      <c r="CO141" s="54">
        <f t="shared" si="924"/>
        <v>0</v>
      </c>
      <c r="CP141" s="55">
        <f t="shared" si="904"/>
        <v>0</v>
      </c>
      <c r="CQ141" s="55">
        <f t="shared" si="905"/>
        <v>0</v>
      </c>
      <c r="CR141" s="55">
        <f t="shared" si="906"/>
        <v>0</v>
      </c>
      <c r="CS141" s="55">
        <f t="shared" si="907"/>
        <v>0</v>
      </c>
      <c r="CT141" s="60">
        <f t="shared" si="908"/>
        <v>0</v>
      </c>
      <c r="CU141" s="55">
        <f t="shared" si="909"/>
        <v>0</v>
      </c>
      <c r="CV141" s="246">
        <f t="shared" si="910"/>
        <v>0</v>
      </c>
      <c r="CW141" s="55">
        <f t="shared" si="911"/>
        <v>0</v>
      </c>
      <c r="CX141" s="55">
        <f t="shared" si="912"/>
        <v>0</v>
      </c>
      <c r="CY141" s="55">
        <f t="shared" si="913"/>
        <v>0</v>
      </c>
      <c r="CZ141" s="249">
        <f t="shared" si="913"/>
        <v>0</v>
      </c>
      <c r="DA141" s="62" t="e">
        <f t="shared" si="914"/>
        <v>#DIV/0!</v>
      </c>
      <c r="DC141" s="66" t="s">
        <v>344</v>
      </c>
      <c r="DD141" s="198">
        <f t="shared" si="925"/>
        <v>0</v>
      </c>
      <c r="DE141" s="199">
        <f t="shared" si="926"/>
        <v>0</v>
      </c>
      <c r="DF141" s="198">
        <f t="shared" si="927"/>
        <v>0</v>
      </c>
      <c r="DG141" s="199">
        <f t="shared" si="928"/>
        <v>0</v>
      </c>
      <c r="DH141" s="198">
        <f t="shared" si="929"/>
        <v>0</v>
      </c>
      <c r="DI141" s="199">
        <f t="shared" si="930"/>
        <v>0</v>
      </c>
      <c r="DJ141" s="198">
        <f t="shared" si="931"/>
        <v>0</v>
      </c>
      <c r="DK141" s="199">
        <f t="shared" si="932"/>
        <v>0</v>
      </c>
      <c r="DL141" s="198">
        <f t="shared" si="933"/>
        <v>0</v>
      </c>
      <c r="DM141" s="199">
        <f t="shared" si="934"/>
        <v>0</v>
      </c>
      <c r="DN141" s="198">
        <f t="shared" si="935"/>
        <v>0</v>
      </c>
      <c r="DO141" s="199">
        <f t="shared" si="936"/>
        <v>0</v>
      </c>
      <c r="DP141" s="198">
        <f t="shared" si="937"/>
        <v>0</v>
      </c>
      <c r="DQ141" s="199">
        <f t="shared" si="938"/>
        <v>0</v>
      </c>
      <c r="DR141" s="198">
        <f t="shared" si="939"/>
        <v>0</v>
      </c>
      <c r="DS141" s="199">
        <f t="shared" si="940"/>
        <v>0</v>
      </c>
      <c r="DT141" s="198">
        <f t="shared" si="941"/>
        <v>0</v>
      </c>
      <c r="DU141" s="199">
        <f t="shared" si="942"/>
        <v>0</v>
      </c>
      <c r="DV141" s="198">
        <f t="shared" si="943"/>
        <v>0</v>
      </c>
      <c r="DW141" s="199">
        <f t="shared" si="944"/>
        <v>0</v>
      </c>
      <c r="DX141" s="198">
        <f t="shared" si="945"/>
        <v>0</v>
      </c>
      <c r="DY141" s="199">
        <f t="shared" si="946"/>
        <v>0</v>
      </c>
      <c r="DZ141" s="190">
        <f t="shared" si="947"/>
        <v>0</v>
      </c>
      <c r="EA141" s="199">
        <f t="shared" si="915"/>
        <v>0</v>
      </c>
      <c r="EB141" s="190" t="e">
        <f t="shared" si="948"/>
        <v>#DIV/0!</v>
      </c>
      <c r="EC141" s="190" t="e">
        <f t="shared" si="949"/>
        <v>#DIV/0!</v>
      </c>
    </row>
    <row r="142" spans="1:133" x14ac:dyDescent="0.2">
      <c r="A142" s="2" t="s">
        <v>346</v>
      </c>
      <c r="B142" s="38">
        <f>targets!AW133</f>
        <v>0</v>
      </c>
      <c r="C142" s="242">
        <f>targets!AX133</f>
        <v>0</v>
      </c>
      <c r="D142" s="242">
        <f>targets!AY133</f>
        <v>0</v>
      </c>
      <c r="E142" s="242">
        <f>targets!AZ133</f>
        <v>0</v>
      </c>
      <c r="F142" s="242">
        <f>targets!BA133</f>
        <v>0</v>
      </c>
      <c r="G142" s="40">
        <f>SUM(targets!BB133:BG133)</f>
        <v>371.58323194784356</v>
      </c>
      <c r="H142" s="242">
        <f>SUM(targets!BH133:BM133)</f>
        <v>0</v>
      </c>
      <c r="I142" s="243">
        <f>SUM(G142:H142)</f>
        <v>371.58323194784356</v>
      </c>
      <c r="J142" s="242">
        <f>targets!BN133</f>
        <v>0</v>
      </c>
      <c r="K142" s="242">
        <f>targets!BO133</f>
        <v>0</v>
      </c>
      <c r="L142" s="242">
        <f>targets!BP133</f>
        <v>0</v>
      </c>
      <c r="M142" s="178">
        <f>SUM(J142:L142)</f>
        <v>0</v>
      </c>
      <c r="N142" s="17">
        <f>SUM(B142:L142)-I142</f>
        <v>371.58323194784356</v>
      </c>
      <c r="O142" s="17"/>
      <c r="P142" s="17"/>
      <c r="Q142" s="2" t="s">
        <v>346</v>
      </c>
      <c r="R142" s="38">
        <f t="shared" si="879"/>
        <v>0</v>
      </c>
      <c r="S142" s="242">
        <f t="shared" si="880"/>
        <v>0</v>
      </c>
      <c r="T142" s="242">
        <f t="shared" si="881"/>
        <v>0</v>
      </c>
      <c r="U142" s="242">
        <f t="shared" si="882"/>
        <v>0</v>
      </c>
      <c r="V142" s="242">
        <f t="shared" si="883"/>
        <v>0</v>
      </c>
      <c r="W142" s="40">
        <f t="shared" si="884"/>
        <v>0</v>
      </c>
      <c r="X142" s="242">
        <f t="shared" si="885"/>
        <v>0</v>
      </c>
      <c r="Y142" s="243">
        <f>SUM(W142:X142)</f>
        <v>0</v>
      </c>
      <c r="Z142" s="242">
        <f t="shared" si="886"/>
        <v>0</v>
      </c>
      <c r="AA142" s="242">
        <f t="shared" si="887"/>
        <v>0</v>
      </c>
      <c r="AB142" s="242">
        <f t="shared" si="888"/>
        <v>0</v>
      </c>
      <c r="AC142" s="178">
        <f>SUM(Z142:AB142)</f>
        <v>0</v>
      </c>
      <c r="AD142" s="17"/>
      <c r="AF142" s="2" t="s">
        <v>44</v>
      </c>
      <c r="AG142" s="38">
        <f t="array" ref="AG142">SUM(IF((modeldata!$F:$F=calibration!$AF$132)*(modeldata!$G:$G=calibration!AG$134)*(modeldata!$H:$H=calibration!$AF142),modeldata!$E:$E,0))</f>
        <v>0</v>
      </c>
      <c r="AH142" s="242">
        <f t="array" ref="AH142">SUM(IF((modeldata!$F:$F=calibration!$AF$132)*(modeldata!$G:$G=calibration!AH$134)*(modeldata!$H:$H=calibration!$AF142),modeldata!$E:$E,0))</f>
        <v>0</v>
      </c>
      <c r="AI142" s="242">
        <f t="array" ref="AI142">SUM(IF((modeldata!$F:$F=calibration!$AF$132)*(modeldata!$G:$G=calibration!AI$134)*(modeldata!$H:$H=calibration!$AF142),modeldata!$E:$E,0))</f>
        <v>0</v>
      </c>
      <c r="AJ142" s="242">
        <f t="array" ref="AJ142">SUM(IF((modeldata!$F:$F=calibration!$AF$132)*(modeldata!$G:$G=calibration!AJ$134)*(modeldata!$H:$H=calibration!$AF142),modeldata!$E:$E,0))</f>
        <v>0</v>
      </c>
      <c r="AK142" s="242">
        <f t="array" ref="AK142">SUM(IF((modeldata!$F:$F=calibration!$AF$132)*(modeldata!$G:$G=calibration!AK$134)*(modeldata!$H:$H=calibration!$AF142),modeldata!$E:$E,0))</f>
        <v>0</v>
      </c>
      <c r="AL142" s="40">
        <f t="array" ref="AL142">SUM(IF((modeldata!$F:$F=calibration!$AF$132)*(modeldata!$G:$G=calibration!AL$134)*(modeldata!$H:$H=calibration!$AF142),modeldata!$E:$E,0))</f>
        <v>0</v>
      </c>
      <c r="AM142" s="242">
        <f t="array" ref="AM142">SUM(IF((modeldata!$F:$F=calibration!$AF$132)*(modeldata!$G:$G=calibration!AM$134)*(modeldata!$H:$H=calibration!$AF142),modeldata!$E:$E,0))</f>
        <v>0</v>
      </c>
      <c r="AN142" s="243">
        <f t="shared" si="957"/>
        <v>0</v>
      </c>
      <c r="AO142" s="242">
        <f t="array" ref="AO142">SUM(IF((modeldata!$F:$F=calibration!$AF$132)*(modeldata!$G:$G=calibration!AO$134)*(modeldata!$H:$H=calibration!$AF142),modeldata!$E:$E,0))</f>
        <v>0</v>
      </c>
      <c r="AP142" s="242">
        <f t="array" ref="AP142">SUM(IF((modeldata!$F:$F=calibration!$AF$132)*(modeldata!$G:$G=calibration!AP$134)*(modeldata!$H:$H=calibration!$AF142),modeldata!$E:$E,0))</f>
        <v>0</v>
      </c>
      <c r="AQ142" s="242">
        <f t="array" ref="AQ142">SUM(IF((modeldata!$F:$F=calibration!$AF$132)*(modeldata!$G:$G=calibration!AQ$134)*(modeldata!$H:$H=calibration!$AF142),modeldata!$E:$E,0))</f>
        <v>0</v>
      </c>
      <c r="AR142" s="178">
        <f>SUM(AO142:AQ142)</f>
        <v>0</v>
      </c>
      <c r="AS142" s="17">
        <f>SUM(AG142:AQ142)-AN142</f>
        <v>0</v>
      </c>
      <c r="AU142" s="2" t="s">
        <v>346</v>
      </c>
      <c r="AV142" s="38">
        <f t="shared" si="960"/>
        <v>0</v>
      </c>
      <c r="AW142" s="242">
        <f t="shared" si="960"/>
        <v>0</v>
      </c>
      <c r="AX142" s="242">
        <f t="shared" si="960"/>
        <v>0</v>
      </c>
      <c r="AY142" s="242">
        <f t="shared" si="960"/>
        <v>0</v>
      </c>
      <c r="AZ142" s="242">
        <f t="shared" si="960"/>
        <v>0</v>
      </c>
      <c r="BA142" s="40">
        <f t="shared" si="960"/>
        <v>0</v>
      </c>
      <c r="BB142" s="242">
        <f t="shared" si="960"/>
        <v>0</v>
      </c>
      <c r="BC142" s="243">
        <f t="shared" si="960"/>
        <v>0</v>
      </c>
      <c r="BD142" s="242">
        <f t="shared" si="960"/>
        <v>0</v>
      </c>
      <c r="BE142" s="242">
        <f t="shared" si="960"/>
        <v>0</v>
      </c>
      <c r="BF142" s="242">
        <f t="shared" si="960"/>
        <v>0</v>
      </c>
      <c r="BG142" s="178">
        <f t="shared" si="960"/>
        <v>0</v>
      </c>
      <c r="BH142" s="24" t="e">
        <f>AD142/AD156</f>
        <v>#DIV/0!</v>
      </c>
      <c r="BJ142" s="2" t="s">
        <v>346</v>
      </c>
      <c r="BK142" s="38">
        <f t="shared" ref="BK142:BV142" si="962">IF(AG164&gt;0,AG142/AG164,0)</f>
        <v>0</v>
      </c>
      <c r="BL142" s="242">
        <f t="shared" si="962"/>
        <v>0</v>
      </c>
      <c r="BM142" s="242">
        <f t="shared" si="962"/>
        <v>0</v>
      </c>
      <c r="BN142" s="242">
        <f t="shared" si="962"/>
        <v>0</v>
      </c>
      <c r="BO142" s="242">
        <f t="shared" si="962"/>
        <v>0</v>
      </c>
      <c r="BP142" s="40">
        <f t="shared" si="962"/>
        <v>0</v>
      </c>
      <c r="BQ142" s="242">
        <f t="shared" si="962"/>
        <v>0</v>
      </c>
      <c r="BR142" s="243">
        <f t="shared" si="962"/>
        <v>0</v>
      </c>
      <c r="BS142" s="242">
        <f t="shared" si="962"/>
        <v>0</v>
      </c>
      <c r="BT142" s="242">
        <f t="shared" si="962"/>
        <v>0</v>
      </c>
      <c r="BU142" s="242">
        <f t="shared" si="962"/>
        <v>0</v>
      </c>
      <c r="BV142" s="178">
        <f t="shared" si="962"/>
        <v>0</v>
      </c>
      <c r="BW142" s="24" t="e">
        <f>AS142/AS164</f>
        <v>#DIV/0!</v>
      </c>
      <c r="BX142" s="24"/>
      <c r="BY142" s="2" t="s">
        <v>346</v>
      </c>
      <c r="BZ142" s="54">
        <f t="shared" ref="BZ142:CL142" si="963">AG142-R142</f>
        <v>0</v>
      </c>
      <c r="CA142" s="55">
        <f t="shared" si="963"/>
        <v>0</v>
      </c>
      <c r="CB142" s="55">
        <f t="shared" si="963"/>
        <v>0</v>
      </c>
      <c r="CC142" s="55">
        <f t="shared" si="963"/>
        <v>0</v>
      </c>
      <c r="CD142" s="55">
        <f t="shared" si="963"/>
        <v>0</v>
      </c>
      <c r="CE142" s="60">
        <f t="shared" si="963"/>
        <v>0</v>
      </c>
      <c r="CF142" s="55">
        <f t="shared" si="963"/>
        <v>0</v>
      </c>
      <c r="CG142" s="246">
        <f t="shared" si="963"/>
        <v>0</v>
      </c>
      <c r="CH142" s="55">
        <f t="shared" si="963"/>
        <v>0</v>
      </c>
      <c r="CI142" s="55">
        <f t="shared" si="963"/>
        <v>0</v>
      </c>
      <c r="CJ142" s="55">
        <f t="shared" si="963"/>
        <v>0</v>
      </c>
      <c r="CK142" s="249">
        <f t="shared" si="963"/>
        <v>0</v>
      </c>
      <c r="CL142" s="55">
        <f t="shared" si="963"/>
        <v>0</v>
      </c>
      <c r="CN142" s="2" t="s">
        <v>346</v>
      </c>
      <c r="CO142" s="54">
        <f t="shared" ref="CO142:DA142" si="964">BK142-AV142</f>
        <v>0</v>
      </c>
      <c r="CP142" s="55">
        <f t="shared" si="964"/>
        <v>0</v>
      </c>
      <c r="CQ142" s="55">
        <f t="shared" si="964"/>
        <v>0</v>
      </c>
      <c r="CR142" s="55">
        <f t="shared" si="964"/>
        <v>0</v>
      </c>
      <c r="CS142" s="55">
        <f t="shared" si="964"/>
        <v>0</v>
      </c>
      <c r="CT142" s="60">
        <f t="shared" si="964"/>
        <v>0</v>
      </c>
      <c r="CU142" s="55">
        <f t="shared" si="964"/>
        <v>0</v>
      </c>
      <c r="CV142" s="246">
        <f t="shared" si="964"/>
        <v>0</v>
      </c>
      <c r="CW142" s="55">
        <f t="shared" si="964"/>
        <v>0</v>
      </c>
      <c r="CX142" s="55">
        <f t="shared" si="964"/>
        <v>0</v>
      </c>
      <c r="CY142" s="55">
        <f t="shared" si="964"/>
        <v>0</v>
      </c>
      <c r="CZ142" s="249">
        <f t="shared" si="964"/>
        <v>0</v>
      </c>
      <c r="DA142" s="62" t="e">
        <f t="shared" si="964"/>
        <v>#DIV/0!</v>
      </c>
      <c r="DC142" s="2" t="s">
        <v>346</v>
      </c>
      <c r="DD142" s="198">
        <f>AV142</f>
        <v>0</v>
      </c>
      <c r="DE142" s="199">
        <f>BK142</f>
        <v>0</v>
      </c>
      <c r="DF142" s="198">
        <f>AW142</f>
        <v>0</v>
      </c>
      <c r="DG142" s="199">
        <f>BL142</f>
        <v>0</v>
      </c>
      <c r="DH142" s="198">
        <f>AX142</f>
        <v>0</v>
      </c>
      <c r="DI142" s="199">
        <f>BM142</f>
        <v>0</v>
      </c>
      <c r="DJ142" s="198">
        <f>AY142</f>
        <v>0</v>
      </c>
      <c r="DK142" s="199">
        <f>BN142</f>
        <v>0</v>
      </c>
      <c r="DL142" s="198">
        <f>AZ142</f>
        <v>0</v>
      </c>
      <c r="DM142" s="199">
        <f>BO142</f>
        <v>0</v>
      </c>
      <c r="DN142" s="198">
        <f>BA142</f>
        <v>0</v>
      </c>
      <c r="DO142" s="199">
        <f>BP142</f>
        <v>0</v>
      </c>
      <c r="DP142" s="198">
        <f>BB142</f>
        <v>0</v>
      </c>
      <c r="DQ142" s="199">
        <f>BQ142</f>
        <v>0</v>
      </c>
      <c r="DR142" s="198">
        <f>BC142</f>
        <v>0</v>
      </c>
      <c r="DS142" s="199">
        <f>BR142</f>
        <v>0</v>
      </c>
      <c r="DT142" s="198">
        <f>BD142</f>
        <v>0</v>
      </c>
      <c r="DU142" s="199">
        <f>BS142</f>
        <v>0</v>
      </c>
      <c r="DV142" s="198">
        <f>BE142</f>
        <v>0</v>
      </c>
      <c r="DW142" s="199">
        <f>BT142</f>
        <v>0</v>
      </c>
      <c r="DX142" s="198">
        <f>BF142</f>
        <v>0</v>
      </c>
      <c r="DY142" s="199">
        <f>BU142</f>
        <v>0</v>
      </c>
      <c r="DZ142" s="190">
        <f>BG142</f>
        <v>0</v>
      </c>
      <c r="EA142" s="199">
        <f>BV142</f>
        <v>0</v>
      </c>
      <c r="EB142" s="190" t="e">
        <f>BH142</f>
        <v>#DIV/0!</v>
      </c>
      <c r="EC142" s="190" t="e">
        <f>BW142</f>
        <v>#DIV/0!</v>
      </c>
    </row>
    <row r="143" spans="1:133" x14ac:dyDescent="0.2">
      <c r="A143" s="64" t="s">
        <v>45</v>
      </c>
      <c r="B143" s="38">
        <f>targets!AW134</f>
        <v>0</v>
      </c>
      <c r="C143" s="242">
        <f>targets!AX134</f>
        <v>0</v>
      </c>
      <c r="D143" s="242">
        <f>targets!AY134</f>
        <v>0</v>
      </c>
      <c r="E143" s="242">
        <f>targets!AZ134</f>
        <v>0</v>
      </c>
      <c r="F143" s="242">
        <f>targets!BA134</f>
        <v>0</v>
      </c>
      <c r="G143" s="40">
        <f>SUM(targets!BB134:BG134)</f>
        <v>1919.3397848208488</v>
      </c>
      <c r="H143" s="242">
        <f>SUM(targets!BH134:BM134)</f>
        <v>0</v>
      </c>
      <c r="I143" s="243">
        <f t="shared" si="916"/>
        <v>1919.3397848208488</v>
      </c>
      <c r="J143" s="242">
        <f>targets!BN134</f>
        <v>0</v>
      </c>
      <c r="K143" s="242">
        <f>targets!BO134</f>
        <v>0</v>
      </c>
      <c r="L143" s="242">
        <f>targets!BP134</f>
        <v>0</v>
      </c>
      <c r="M143" s="178">
        <f t="shared" si="917"/>
        <v>0</v>
      </c>
      <c r="N143" s="17">
        <f t="shared" si="878"/>
        <v>1919.3397848208488</v>
      </c>
      <c r="O143" s="17"/>
      <c r="P143" s="17"/>
      <c r="Q143" s="64" t="s">
        <v>45</v>
      </c>
      <c r="R143" s="38">
        <f t="shared" si="879"/>
        <v>0</v>
      </c>
      <c r="S143" s="242">
        <f t="shared" si="880"/>
        <v>0</v>
      </c>
      <c r="T143" s="242">
        <f t="shared" si="881"/>
        <v>0</v>
      </c>
      <c r="U143" s="242">
        <f t="shared" si="882"/>
        <v>0</v>
      </c>
      <c r="V143" s="242">
        <f t="shared" si="883"/>
        <v>0</v>
      </c>
      <c r="W143" s="40">
        <f t="shared" si="884"/>
        <v>0</v>
      </c>
      <c r="X143" s="242">
        <f t="shared" si="885"/>
        <v>0</v>
      </c>
      <c r="Y143" s="243">
        <f t="shared" si="918"/>
        <v>0</v>
      </c>
      <c r="Z143" s="242">
        <f t="shared" si="886"/>
        <v>0</v>
      </c>
      <c r="AA143" s="242">
        <f t="shared" si="887"/>
        <v>0</v>
      </c>
      <c r="AB143" s="242">
        <f t="shared" si="888"/>
        <v>0</v>
      </c>
      <c r="AC143" s="178">
        <f t="shared" si="919"/>
        <v>0</v>
      </c>
      <c r="AD143" s="17">
        <f t="shared" si="889"/>
        <v>0</v>
      </c>
      <c r="AF143" s="64" t="s">
        <v>45</v>
      </c>
      <c r="AG143" s="38">
        <f t="array" ref="AG143">SUM(IF((modeldata!$F:$F=calibration!$AF$132)*(modeldata!$G:$G=calibration!AG$134)*(modeldata!$H:$H=calibration!$AF143),modeldata!$E:$E,0))</f>
        <v>0</v>
      </c>
      <c r="AH143" s="242">
        <f t="array" ref="AH143">SUM(IF((modeldata!$F:$F=calibration!$AF$132)*(modeldata!$G:$G=calibration!AH$134)*(modeldata!$H:$H=calibration!$AF143),modeldata!$E:$E,0))</f>
        <v>0</v>
      </c>
      <c r="AI143" s="242">
        <f t="array" ref="AI143">SUM(IF((modeldata!$F:$F=calibration!$AF$132)*(modeldata!$G:$G=calibration!AI$134)*(modeldata!$H:$H=calibration!$AF143),modeldata!$E:$E,0))</f>
        <v>0</v>
      </c>
      <c r="AJ143" s="242">
        <f t="array" ref="AJ143">SUM(IF((modeldata!$F:$F=calibration!$AF$132)*(modeldata!$G:$G=calibration!AJ$134)*(modeldata!$H:$H=calibration!$AF143),modeldata!$E:$E,0))</f>
        <v>0</v>
      </c>
      <c r="AK143" s="242">
        <f t="array" ref="AK143">SUM(IF((modeldata!$F:$F=calibration!$AF$132)*(modeldata!$G:$G=calibration!AK$134)*(modeldata!$H:$H=calibration!$AF143),modeldata!$E:$E,0))</f>
        <v>0</v>
      </c>
      <c r="AL143" s="40">
        <f t="array" ref="AL143">SUM(IF((modeldata!$F:$F=calibration!$AF$132)*(modeldata!$G:$G=calibration!AL$134)*(modeldata!$H:$H=calibration!$AF143),modeldata!$E:$E,0))</f>
        <v>0</v>
      </c>
      <c r="AM143" s="242">
        <f t="array" ref="AM143">SUM(IF((modeldata!$F:$F=calibration!$AF$132)*(modeldata!$G:$G=calibration!AM$134)*(modeldata!$H:$H=calibration!$AF143),modeldata!$E:$E,0))</f>
        <v>0</v>
      </c>
      <c r="AN143" s="243">
        <f t="shared" si="957"/>
        <v>0</v>
      </c>
      <c r="AO143" s="242">
        <f t="array" ref="AO143">SUM(IF((modeldata!$F:$F=calibration!$AF$132)*(modeldata!$G:$G=calibration!AO$134)*(modeldata!$H:$H=calibration!$AF143),modeldata!$E:$E,0))</f>
        <v>0</v>
      </c>
      <c r="AP143" s="242">
        <f t="array" ref="AP143">SUM(IF((modeldata!$F:$F=calibration!$AF$132)*(modeldata!$G:$G=calibration!AP$134)*(modeldata!$H:$H=calibration!$AF143),modeldata!$E:$E,0))</f>
        <v>0</v>
      </c>
      <c r="AQ143" s="242">
        <f t="array" ref="AQ143">SUM(IF((modeldata!$F:$F=calibration!$AF$132)*(modeldata!$G:$G=calibration!AQ$134)*(modeldata!$H:$H=calibration!$AF143),modeldata!$E:$E,0))</f>
        <v>0</v>
      </c>
      <c r="AR143" s="178">
        <f t="shared" si="950"/>
        <v>0</v>
      </c>
      <c r="AS143" s="17">
        <f t="shared" si="890"/>
        <v>0</v>
      </c>
      <c r="AU143" s="64" t="s">
        <v>45</v>
      </c>
      <c r="AV143" s="38">
        <f t="shared" ref="AV143:BG143" si="965">IF(R155&gt;0,R143/R155,0)</f>
        <v>0</v>
      </c>
      <c r="AW143" s="242">
        <f t="shared" si="965"/>
        <v>0</v>
      </c>
      <c r="AX143" s="242">
        <f t="shared" si="965"/>
        <v>0</v>
      </c>
      <c r="AY143" s="242">
        <f t="shared" si="965"/>
        <v>0</v>
      </c>
      <c r="AZ143" s="242">
        <f t="shared" si="965"/>
        <v>0</v>
      </c>
      <c r="BA143" s="40">
        <f t="shared" si="965"/>
        <v>0</v>
      </c>
      <c r="BB143" s="242">
        <f t="shared" si="965"/>
        <v>0</v>
      </c>
      <c r="BC143" s="243">
        <f t="shared" si="965"/>
        <v>0</v>
      </c>
      <c r="BD143" s="242">
        <f t="shared" si="965"/>
        <v>0</v>
      </c>
      <c r="BE143" s="242">
        <f t="shared" si="965"/>
        <v>0</v>
      </c>
      <c r="BF143" s="242">
        <f t="shared" si="965"/>
        <v>0</v>
      </c>
      <c r="BG143" s="178">
        <f t="shared" si="965"/>
        <v>0</v>
      </c>
      <c r="BH143" s="24" t="e">
        <f>AD143/AD155</f>
        <v>#DIV/0!</v>
      </c>
      <c r="BJ143" s="64" t="s">
        <v>45</v>
      </c>
      <c r="BK143" s="38">
        <f t="shared" ref="BK143:BV143" si="966">IF(AG155&gt;0,AG143/AG155,0)</f>
        <v>0</v>
      </c>
      <c r="BL143" s="242">
        <f t="shared" si="966"/>
        <v>0</v>
      </c>
      <c r="BM143" s="242">
        <f t="shared" si="966"/>
        <v>0</v>
      </c>
      <c r="BN143" s="242">
        <f t="shared" si="966"/>
        <v>0</v>
      </c>
      <c r="BO143" s="242">
        <f t="shared" si="966"/>
        <v>0</v>
      </c>
      <c r="BP143" s="40">
        <f t="shared" si="966"/>
        <v>0</v>
      </c>
      <c r="BQ143" s="242">
        <f t="shared" si="966"/>
        <v>0</v>
      </c>
      <c r="BR143" s="243">
        <f t="shared" si="966"/>
        <v>0</v>
      </c>
      <c r="BS143" s="242">
        <f t="shared" si="966"/>
        <v>0</v>
      </c>
      <c r="BT143" s="242">
        <f t="shared" si="966"/>
        <v>0</v>
      </c>
      <c r="BU143" s="242">
        <f t="shared" si="966"/>
        <v>0</v>
      </c>
      <c r="BV143" s="178">
        <f t="shared" si="966"/>
        <v>0</v>
      </c>
      <c r="BW143" s="24" t="e">
        <f>AS143/AS155</f>
        <v>#DIV/0!</v>
      </c>
      <c r="BX143" s="24"/>
      <c r="BY143" s="64" t="s">
        <v>45</v>
      </c>
      <c r="BZ143" s="54">
        <f t="shared" si="923"/>
        <v>0</v>
      </c>
      <c r="CA143" s="55">
        <f t="shared" si="893"/>
        <v>0</v>
      </c>
      <c r="CB143" s="55">
        <f t="shared" si="894"/>
        <v>0</v>
      </c>
      <c r="CC143" s="55">
        <f t="shared" si="895"/>
        <v>0</v>
      </c>
      <c r="CD143" s="55">
        <f t="shared" si="896"/>
        <v>0</v>
      </c>
      <c r="CE143" s="60">
        <f t="shared" si="897"/>
        <v>0</v>
      </c>
      <c r="CF143" s="55">
        <f t="shared" si="898"/>
        <v>0</v>
      </c>
      <c r="CG143" s="246">
        <f t="shared" si="899"/>
        <v>0</v>
      </c>
      <c r="CH143" s="55">
        <f t="shared" si="900"/>
        <v>0</v>
      </c>
      <c r="CI143" s="55">
        <f t="shared" si="901"/>
        <v>0</v>
      </c>
      <c r="CJ143" s="55">
        <f t="shared" si="902"/>
        <v>0</v>
      </c>
      <c r="CK143" s="249">
        <f t="shared" si="902"/>
        <v>0</v>
      </c>
      <c r="CL143" s="55">
        <f t="shared" si="903"/>
        <v>0</v>
      </c>
      <c r="CN143" s="64" t="s">
        <v>45</v>
      </c>
      <c r="CO143" s="54">
        <f t="shared" si="924"/>
        <v>0</v>
      </c>
      <c r="CP143" s="55">
        <f t="shared" si="904"/>
        <v>0</v>
      </c>
      <c r="CQ143" s="55">
        <f t="shared" si="905"/>
        <v>0</v>
      </c>
      <c r="CR143" s="55">
        <f t="shared" si="906"/>
        <v>0</v>
      </c>
      <c r="CS143" s="55">
        <f t="shared" si="907"/>
        <v>0</v>
      </c>
      <c r="CT143" s="60">
        <f t="shared" si="908"/>
        <v>0</v>
      </c>
      <c r="CU143" s="55">
        <f t="shared" si="909"/>
        <v>0</v>
      </c>
      <c r="CV143" s="246">
        <f t="shared" si="910"/>
        <v>0</v>
      </c>
      <c r="CW143" s="55">
        <f t="shared" si="911"/>
        <v>0</v>
      </c>
      <c r="CX143" s="55">
        <f t="shared" si="912"/>
        <v>0</v>
      </c>
      <c r="CY143" s="55">
        <f t="shared" si="913"/>
        <v>0</v>
      </c>
      <c r="CZ143" s="249">
        <f t="shared" si="913"/>
        <v>0</v>
      </c>
      <c r="DA143" s="62" t="e">
        <f t="shared" si="914"/>
        <v>#DIV/0!</v>
      </c>
      <c r="DC143" s="64" t="s">
        <v>45</v>
      </c>
      <c r="DD143" s="198">
        <f t="shared" si="925"/>
        <v>0</v>
      </c>
      <c r="DE143" s="199">
        <f t="shared" si="926"/>
        <v>0</v>
      </c>
      <c r="DF143" s="198">
        <f t="shared" si="927"/>
        <v>0</v>
      </c>
      <c r="DG143" s="199">
        <f t="shared" si="928"/>
        <v>0</v>
      </c>
      <c r="DH143" s="198">
        <f t="shared" si="929"/>
        <v>0</v>
      </c>
      <c r="DI143" s="199">
        <f t="shared" si="930"/>
        <v>0</v>
      </c>
      <c r="DJ143" s="198">
        <f t="shared" si="931"/>
        <v>0</v>
      </c>
      <c r="DK143" s="199">
        <f t="shared" si="932"/>
        <v>0</v>
      </c>
      <c r="DL143" s="198">
        <f t="shared" si="933"/>
        <v>0</v>
      </c>
      <c r="DM143" s="199">
        <f t="shared" si="934"/>
        <v>0</v>
      </c>
      <c r="DN143" s="198">
        <f t="shared" si="935"/>
        <v>0</v>
      </c>
      <c r="DO143" s="199">
        <f t="shared" si="936"/>
        <v>0</v>
      </c>
      <c r="DP143" s="198">
        <f t="shared" si="937"/>
        <v>0</v>
      </c>
      <c r="DQ143" s="199">
        <f t="shared" si="938"/>
        <v>0</v>
      </c>
      <c r="DR143" s="198">
        <f t="shared" si="939"/>
        <v>0</v>
      </c>
      <c r="DS143" s="199">
        <f t="shared" si="940"/>
        <v>0</v>
      </c>
      <c r="DT143" s="198">
        <f t="shared" si="941"/>
        <v>0</v>
      </c>
      <c r="DU143" s="199">
        <f t="shared" si="942"/>
        <v>0</v>
      </c>
      <c r="DV143" s="198">
        <f t="shared" si="943"/>
        <v>0</v>
      </c>
      <c r="DW143" s="199">
        <f t="shared" si="944"/>
        <v>0</v>
      </c>
      <c r="DX143" s="198">
        <f t="shared" si="945"/>
        <v>0</v>
      </c>
      <c r="DY143" s="199">
        <f t="shared" si="946"/>
        <v>0</v>
      </c>
      <c r="DZ143" s="190">
        <f t="shared" si="947"/>
        <v>0</v>
      </c>
      <c r="EA143" s="199">
        <f t="shared" si="915"/>
        <v>0</v>
      </c>
      <c r="EB143" s="190" t="e">
        <f t="shared" si="948"/>
        <v>#DIV/0!</v>
      </c>
      <c r="EC143" s="190" t="e">
        <f t="shared" si="949"/>
        <v>#DIV/0!</v>
      </c>
    </row>
    <row r="144" spans="1:133" x14ac:dyDescent="0.2">
      <c r="A144" s="64" t="s">
        <v>46</v>
      </c>
      <c r="B144" s="38">
        <f>targets!AW135</f>
        <v>0</v>
      </c>
      <c r="C144" s="242">
        <f>targets!AX135</f>
        <v>0</v>
      </c>
      <c r="D144" s="242">
        <f>targets!AY135</f>
        <v>0</v>
      </c>
      <c r="E144" s="242">
        <f>targets!AZ135</f>
        <v>0</v>
      </c>
      <c r="F144" s="242">
        <f>targets!BA135</f>
        <v>0</v>
      </c>
      <c r="G144" s="40">
        <f>SUM(targets!BB135:BG135)</f>
        <v>63.054570464594761</v>
      </c>
      <c r="H144" s="242">
        <f>SUM(targets!BH135:BM135)</f>
        <v>0</v>
      </c>
      <c r="I144" s="243">
        <f t="shared" si="916"/>
        <v>63.054570464594761</v>
      </c>
      <c r="J144" s="242">
        <f>targets!BN135</f>
        <v>0</v>
      </c>
      <c r="K144" s="242">
        <f>targets!BO135</f>
        <v>0</v>
      </c>
      <c r="L144" s="242">
        <f>targets!BP135</f>
        <v>0</v>
      </c>
      <c r="M144" s="178">
        <f t="shared" si="917"/>
        <v>0</v>
      </c>
      <c r="N144" s="17">
        <f t="shared" si="878"/>
        <v>63.054570464594761</v>
      </c>
      <c r="O144" s="17"/>
      <c r="P144" s="17"/>
      <c r="Q144" s="64" t="s">
        <v>46</v>
      </c>
      <c r="R144" s="38">
        <f t="shared" si="879"/>
        <v>0</v>
      </c>
      <c r="S144" s="242">
        <f t="shared" si="880"/>
        <v>0</v>
      </c>
      <c r="T144" s="242">
        <f t="shared" si="881"/>
        <v>0</v>
      </c>
      <c r="U144" s="242">
        <f t="shared" si="882"/>
        <v>0</v>
      </c>
      <c r="V144" s="242">
        <f t="shared" si="883"/>
        <v>0</v>
      </c>
      <c r="W144" s="40">
        <f t="shared" si="884"/>
        <v>0</v>
      </c>
      <c r="X144" s="242">
        <f t="shared" si="885"/>
        <v>0</v>
      </c>
      <c r="Y144" s="243">
        <f t="shared" si="918"/>
        <v>0</v>
      </c>
      <c r="Z144" s="242">
        <f t="shared" si="886"/>
        <v>0</v>
      </c>
      <c r="AA144" s="242">
        <f t="shared" si="887"/>
        <v>0</v>
      </c>
      <c r="AB144" s="242">
        <f t="shared" si="888"/>
        <v>0</v>
      </c>
      <c r="AC144" s="178">
        <f t="shared" si="919"/>
        <v>0</v>
      </c>
      <c r="AD144" s="17">
        <f t="shared" si="889"/>
        <v>0</v>
      </c>
      <c r="AF144" s="64" t="s">
        <v>46</v>
      </c>
      <c r="AG144" s="38">
        <f t="array" ref="AG144">SUM(IF((modeldata!$F:$F=calibration!$AF$132)*(modeldata!$G:$G=calibration!AG$134)*(modeldata!$H:$H=calibration!$AF144),modeldata!$E:$E,0))</f>
        <v>0</v>
      </c>
      <c r="AH144" s="242">
        <f t="array" ref="AH144">SUM(IF((modeldata!$F:$F=calibration!$AF$132)*(modeldata!$G:$G=calibration!AH$134)*(modeldata!$H:$H=calibration!$AF144),modeldata!$E:$E,0))</f>
        <v>0</v>
      </c>
      <c r="AI144" s="242">
        <f t="array" ref="AI144">SUM(IF((modeldata!$F:$F=calibration!$AF$132)*(modeldata!$G:$G=calibration!AI$134)*(modeldata!$H:$H=calibration!$AF144),modeldata!$E:$E,0))</f>
        <v>0</v>
      </c>
      <c r="AJ144" s="242">
        <f t="array" ref="AJ144">SUM(IF((modeldata!$F:$F=calibration!$AF$132)*(modeldata!$G:$G=calibration!AJ$134)*(modeldata!$H:$H=calibration!$AF144),modeldata!$E:$E,0))</f>
        <v>0</v>
      </c>
      <c r="AK144" s="242">
        <f t="array" ref="AK144">SUM(IF((modeldata!$F:$F=calibration!$AF$132)*(modeldata!$G:$G=calibration!AK$134)*(modeldata!$H:$H=calibration!$AF144),modeldata!$E:$E,0))</f>
        <v>0</v>
      </c>
      <c r="AL144" s="40">
        <f t="array" ref="AL144">SUM(IF((modeldata!$F:$F=calibration!$AF$132)*(modeldata!$G:$G=calibration!AL$134)*(modeldata!$H:$H=calibration!$AF144),modeldata!$E:$E,0))</f>
        <v>0</v>
      </c>
      <c r="AM144" s="242">
        <f t="array" ref="AM144">SUM(IF((modeldata!$F:$F=calibration!$AF$132)*(modeldata!$G:$G=calibration!AM$134)*(modeldata!$H:$H=calibration!$AF144),modeldata!$E:$E,0))</f>
        <v>0</v>
      </c>
      <c r="AN144" s="243">
        <f t="shared" si="957"/>
        <v>0</v>
      </c>
      <c r="AO144" s="242">
        <f t="array" ref="AO144">SUM(IF((modeldata!$F:$F=calibration!$AF$132)*(modeldata!$G:$G=calibration!AO$134)*(modeldata!$H:$H=calibration!$AF144),modeldata!$E:$E,0))</f>
        <v>0</v>
      </c>
      <c r="AP144" s="242">
        <f t="array" ref="AP144">SUM(IF((modeldata!$F:$F=calibration!$AF$132)*(modeldata!$G:$G=calibration!AP$134)*(modeldata!$H:$H=calibration!$AF144),modeldata!$E:$E,0))</f>
        <v>0</v>
      </c>
      <c r="AQ144" s="242">
        <f t="array" ref="AQ144">SUM(IF((modeldata!$F:$F=calibration!$AF$132)*(modeldata!$G:$G=calibration!AQ$134)*(modeldata!$H:$H=calibration!$AF144),modeldata!$E:$E,0))</f>
        <v>0</v>
      </c>
      <c r="AR144" s="178">
        <f t="shared" si="950"/>
        <v>0</v>
      </c>
      <c r="AS144" s="17">
        <f t="shared" si="890"/>
        <v>0</v>
      </c>
      <c r="AU144" s="64" t="s">
        <v>46</v>
      </c>
      <c r="AV144" s="38">
        <f t="shared" ref="AV144:BG144" si="967">IF(R155&gt;0,R144/R155,0)</f>
        <v>0</v>
      </c>
      <c r="AW144" s="242">
        <f t="shared" si="967"/>
        <v>0</v>
      </c>
      <c r="AX144" s="242">
        <f t="shared" si="967"/>
        <v>0</v>
      </c>
      <c r="AY144" s="242">
        <f t="shared" si="967"/>
        <v>0</v>
      </c>
      <c r="AZ144" s="242">
        <f t="shared" si="967"/>
        <v>0</v>
      </c>
      <c r="BA144" s="40">
        <f t="shared" si="967"/>
        <v>0</v>
      </c>
      <c r="BB144" s="242">
        <f t="shared" si="967"/>
        <v>0</v>
      </c>
      <c r="BC144" s="243">
        <f t="shared" si="967"/>
        <v>0</v>
      </c>
      <c r="BD144" s="242">
        <f t="shared" si="967"/>
        <v>0</v>
      </c>
      <c r="BE144" s="242">
        <f t="shared" si="967"/>
        <v>0</v>
      </c>
      <c r="BF144" s="242">
        <f t="shared" si="967"/>
        <v>0</v>
      </c>
      <c r="BG144" s="178">
        <f t="shared" si="967"/>
        <v>0</v>
      </c>
      <c r="BH144" s="24" t="e">
        <f>AD144/AD155</f>
        <v>#DIV/0!</v>
      </c>
      <c r="BJ144" s="64" t="s">
        <v>46</v>
      </c>
      <c r="BK144" s="38">
        <f t="shared" ref="BK144:BV144" si="968">IF(AG155&gt;0,AG144/AG155,0)</f>
        <v>0</v>
      </c>
      <c r="BL144" s="242">
        <f t="shared" si="968"/>
        <v>0</v>
      </c>
      <c r="BM144" s="242">
        <f t="shared" si="968"/>
        <v>0</v>
      </c>
      <c r="BN144" s="242">
        <f t="shared" si="968"/>
        <v>0</v>
      </c>
      <c r="BO144" s="242">
        <f t="shared" si="968"/>
        <v>0</v>
      </c>
      <c r="BP144" s="40">
        <f t="shared" si="968"/>
        <v>0</v>
      </c>
      <c r="BQ144" s="242">
        <f t="shared" si="968"/>
        <v>0</v>
      </c>
      <c r="BR144" s="243">
        <f t="shared" si="968"/>
        <v>0</v>
      </c>
      <c r="BS144" s="242">
        <f t="shared" si="968"/>
        <v>0</v>
      </c>
      <c r="BT144" s="242">
        <f t="shared" si="968"/>
        <v>0</v>
      </c>
      <c r="BU144" s="242">
        <f t="shared" si="968"/>
        <v>0</v>
      </c>
      <c r="BV144" s="178">
        <f t="shared" si="968"/>
        <v>0</v>
      </c>
      <c r="BW144" s="24" t="e">
        <f>AS144/AS155</f>
        <v>#DIV/0!</v>
      </c>
      <c r="BX144" s="24"/>
      <c r="BY144" s="64" t="s">
        <v>46</v>
      </c>
      <c r="BZ144" s="54">
        <f t="shared" si="923"/>
        <v>0</v>
      </c>
      <c r="CA144" s="55">
        <f t="shared" si="893"/>
        <v>0</v>
      </c>
      <c r="CB144" s="55">
        <f t="shared" si="894"/>
        <v>0</v>
      </c>
      <c r="CC144" s="55">
        <f t="shared" si="895"/>
        <v>0</v>
      </c>
      <c r="CD144" s="55">
        <f t="shared" si="896"/>
        <v>0</v>
      </c>
      <c r="CE144" s="60">
        <f t="shared" si="897"/>
        <v>0</v>
      </c>
      <c r="CF144" s="55">
        <f t="shared" si="898"/>
        <v>0</v>
      </c>
      <c r="CG144" s="246">
        <f t="shared" si="899"/>
        <v>0</v>
      </c>
      <c r="CH144" s="55">
        <f t="shared" si="900"/>
        <v>0</v>
      </c>
      <c r="CI144" s="55">
        <f t="shared" si="901"/>
        <v>0</v>
      </c>
      <c r="CJ144" s="55">
        <f t="shared" si="902"/>
        <v>0</v>
      </c>
      <c r="CK144" s="249">
        <f t="shared" si="902"/>
        <v>0</v>
      </c>
      <c r="CL144" s="55">
        <f t="shared" si="903"/>
        <v>0</v>
      </c>
      <c r="CN144" s="64" t="s">
        <v>46</v>
      </c>
      <c r="CO144" s="54">
        <f t="shared" si="924"/>
        <v>0</v>
      </c>
      <c r="CP144" s="55">
        <f t="shared" si="904"/>
        <v>0</v>
      </c>
      <c r="CQ144" s="55">
        <f t="shared" si="905"/>
        <v>0</v>
      </c>
      <c r="CR144" s="55">
        <f t="shared" si="906"/>
        <v>0</v>
      </c>
      <c r="CS144" s="55">
        <f t="shared" si="907"/>
        <v>0</v>
      </c>
      <c r="CT144" s="60">
        <f t="shared" si="908"/>
        <v>0</v>
      </c>
      <c r="CU144" s="55">
        <f t="shared" si="909"/>
        <v>0</v>
      </c>
      <c r="CV144" s="246">
        <f t="shared" si="910"/>
        <v>0</v>
      </c>
      <c r="CW144" s="55">
        <f t="shared" si="911"/>
        <v>0</v>
      </c>
      <c r="CX144" s="55">
        <f t="shared" si="912"/>
        <v>0</v>
      </c>
      <c r="CY144" s="55">
        <f t="shared" si="913"/>
        <v>0</v>
      </c>
      <c r="CZ144" s="249">
        <f t="shared" si="913"/>
        <v>0</v>
      </c>
      <c r="DA144" s="62" t="e">
        <f t="shared" si="914"/>
        <v>#DIV/0!</v>
      </c>
      <c r="DC144" s="64" t="s">
        <v>46</v>
      </c>
      <c r="DD144" s="198">
        <f t="shared" si="925"/>
        <v>0</v>
      </c>
      <c r="DE144" s="199">
        <f t="shared" si="926"/>
        <v>0</v>
      </c>
      <c r="DF144" s="198">
        <f t="shared" si="927"/>
        <v>0</v>
      </c>
      <c r="DG144" s="199">
        <f t="shared" si="928"/>
        <v>0</v>
      </c>
      <c r="DH144" s="198">
        <f t="shared" si="929"/>
        <v>0</v>
      </c>
      <c r="DI144" s="199">
        <f t="shared" si="930"/>
        <v>0</v>
      </c>
      <c r="DJ144" s="198">
        <f t="shared" si="931"/>
        <v>0</v>
      </c>
      <c r="DK144" s="199">
        <f t="shared" si="932"/>
        <v>0</v>
      </c>
      <c r="DL144" s="198">
        <f t="shared" si="933"/>
        <v>0</v>
      </c>
      <c r="DM144" s="199">
        <f t="shared" si="934"/>
        <v>0</v>
      </c>
      <c r="DN144" s="198">
        <f t="shared" si="935"/>
        <v>0</v>
      </c>
      <c r="DO144" s="199">
        <f t="shared" si="936"/>
        <v>0</v>
      </c>
      <c r="DP144" s="198">
        <f t="shared" si="937"/>
        <v>0</v>
      </c>
      <c r="DQ144" s="199">
        <f t="shared" si="938"/>
        <v>0</v>
      </c>
      <c r="DR144" s="198">
        <f t="shared" si="939"/>
        <v>0</v>
      </c>
      <c r="DS144" s="199">
        <f t="shared" si="940"/>
        <v>0</v>
      </c>
      <c r="DT144" s="198">
        <f t="shared" si="941"/>
        <v>0</v>
      </c>
      <c r="DU144" s="199">
        <f t="shared" si="942"/>
        <v>0</v>
      </c>
      <c r="DV144" s="198">
        <f t="shared" si="943"/>
        <v>0</v>
      </c>
      <c r="DW144" s="199">
        <f t="shared" si="944"/>
        <v>0</v>
      </c>
      <c r="DX144" s="198">
        <f t="shared" si="945"/>
        <v>0</v>
      </c>
      <c r="DY144" s="199">
        <f t="shared" si="946"/>
        <v>0</v>
      </c>
      <c r="DZ144" s="190">
        <f t="shared" si="947"/>
        <v>0</v>
      </c>
      <c r="EA144" s="199">
        <f t="shared" si="915"/>
        <v>0</v>
      </c>
      <c r="EB144" s="190" t="e">
        <f t="shared" si="948"/>
        <v>#DIV/0!</v>
      </c>
      <c r="EC144" s="190" t="e">
        <f t="shared" si="949"/>
        <v>#DIV/0!</v>
      </c>
    </row>
    <row r="145" spans="1:133" x14ac:dyDescent="0.2">
      <c r="A145" s="64" t="s">
        <v>47</v>
      </c>
      <c r="B145" s="38">
        <f>targets!AW136</f>
        <v>0</v>
      </c>
      <c r="C145" s="242">
        <f>targets!AX136</f>
        <v>0</v>
      </c>
      <c r="D145" s="242">
        <f>targets!AY136</f>
        <v>0</v>
      </c>
      <c r="E145" s="242">
        <f>targets!AZ136</f>
        <v>0</v>
      </c>
      <c r="F145" s="242">
        <f>targets!BA136</f>
        <v>0</v>
      </c>
      <c r="G145" s="41">
        <f>SUM(targets!BB136:BG136)</f>
        <v>0</v>
      </c>
      <c r="H145" s="242">
        <f>SUM(targets!BH136:BM136)</f>
        <v>0</v>
      </c>
      <c r="I145" s="243">
        <f t="shared" si="916"/>
        <v>0</v>
      </c>
      <c r="J145" s="242">
        <f>targets!BN136</f>
        <v>0</v>
      </c>
      <c r="K145" s="242">
        <f>targets!BO136</f>
        <v>0</v>
      </c>
      <c r="L145" s="242">
        <f>targets!BP136</f>
        <v>0</v>
      </c>
      <c r="M145" s="178">
        <f t="shared" si="917"/>
        <v>0</v>
      </c>
      <c r="N145" s="17">
        <f t="shared" si="878"/>
        <v>0</v>
      </c>
      <c r="O145" s="17"/>
      <c r="P145" s="17"/>
      <c r="Q145" s="64" t="s">
        <v>47</v>
      </c>
      <c r="R145" s="38">
        <f t="shared" si="879"/>
        <v>0</v>
      </c>
      <c r="S145" s="242">
        <f t="shared" si="880"/>
        <v>0</v>
      </c>
      <c r="T145" s="242">
        <f t="shared" si="881"/>
        <v>0</v>
      </c>
      <c r="U145" s="242">
        <f t="shared" si="882"/>
        <v>0</v>
      </c>
      <c r="V145" s="242">
        <f t="shared" si="883"/>
        <v>0</v>
      </c>
      <c r="W145" s="41">
        <f t="shared" si="884"/>
        <v>0</v>
      </c>
      <c r="X145" s="242">
        <f t="shared" si="885"/>
        <v>0</v>
      </c>
      <c r="Y145" s="243">
        <f t="shared" si="918"/>
        <v>0</v>
      </c>
      <c r="Z145" s="242">
        <f t="shared" si="886"/>
        <v>0</v>
      </c>
      <c r="AA145" s="242">
        <f t="shared" si="887"/>
        <v>0</v>
      </c>
      <c r="AB145" s="242">
        <f t="shared" si="888"/>
        <v>0</v>
      </c>
      <c r="AC145" s="178">
        <f t="shared" si="919"/>
        <v>0</v>
      </c>
      <c r="AD145" s="17">
        <f t="shared" si="889"/>
        <v>0</v>
      </c>
      <c r="AF145" s="64" t="s">
        <v>47</v>
      </c>
      <c r="AG145" s="38">
        <f t="array" ref="AG145">SUM(IF((modeldata!$F:$F=calibration!$AF$132)*(modeldata!$G:$G=calibration!AG$134)*(modeldata!$H:$H=calibration!$AF145),modeldata!$E:$E,0))</f>
        <v>0</v>
      </c>
      <c r="AH145" s="242">
        <f t="array" ref="AH145">SUM(IF((modeldata!$F:$F=calibration!$AF$132)*(modeldata!$G:$G=calibration!AH$134)*(modeldata!$H:$H=calibration!$AF145),modeldata!$E:$E,0))</f>
        <v>0</v>
      </c>
      <c r="AI145" s="242">
        <f t="array" ref="AI145">SUM(IF((modeldata!$F:$F=calibration!$AF$132)*(modeldata!$G:$G=calibration!AI$134)*(modeldata!$H:$H=calibration!$AF145),modeldata!$E:$E,0))</f>
        <v>0</v>
      </c>
      <c r="AJ145" s="242">
        <f t="array" ref="AJ145">SUM(IF((modeldata!$F:$F=calibration!$AF$132)*(modeldata!$G:$G=calibration!AJ$134)*(modeldata!$H:$H=calibration!$AF145),modeldata!$E:$E,0))</f>
        <v>0</v>
      </c>
      <c r="AK145" s="242">
        <f t="array" ref="AK145">SUM(IF((modeldata!$F:$F=calibration!$AF$132)*(modeldata!$G:$G=calibration!AK$134)*(modeldata!$H:$H=calibration!$AF145),modeldata!$E:$E,0))</f>
        <v>0</v>
      </c>
      <c r="AL145" s="41">
        <f t="array" ref="AL145">SUM(IF((modeldata!$F:$F=calibration!$AF$132)*(modeldata!$G:$G=calibration!AL$134)*(modeldata!$H:$H=calibration!$AF145),modeldata!$E:$E,0))</f>
        <v>0</v>
      </c>
      <c r="AM145" s="242">
        <f t="array" ref="AM145">SUM(IF((modeldata!$F:$F=calibration!$AF$132)*(modeldata!$G:$G=calibration!AM$134)*(modeldata!$H:$H=calibration!$AF145),modeldata!$E:$E,0))</f>
        <v>0</v>
      </c>
      <c r="AN145" s="243">
        <f t="shared" si="957"/>
        <v>0</v>
      </c>
      <c r="AO145" s="242">
        <f t="array" ref="AO145">SUM(IF((modeldata!$F:$F=calibration!$AF$132)*(modeldata!$G:$G=calibration!AO$134)*(modeldata!$H:$H=calibration!$AF145),modeldata!$E:$E,0))</f>
        <v>0</v>
      </c>
      <c r="AP145" s="242">
        <f t="array" ref="AP145">SUM(IF((modeldata!$F:$F=calibration!$AF$132)*(modeldata!$G:$G=calibration!AP$134)*(modeldata!$H:$H=calibration!$AF145),modeldata!$E:$E,0))</f>
        <v>0</v>
      </c>
      <c r="AQ145" s="242">
        <f t="array" ref="AQ145">SUM(IF((modeldata!$F:$F=calibration!$AF$132)*(modeldata!$G:$G=calibration!AQ$134)*(modeldata!$H:$H=calibration!$AF145),modeldata!$E:$E,0))</f>
        <v>0</v>
      </c>
      <c r="AR145" s="178">
        <f t="shared" si="950"/>
        <v>0</v>
      </c>
      <c r="AS145" s="17">
        <f t="shared" si="890"/>
        <v>0</v>
      </c>
      <c r="AU145" s="64" t="s">
        <v>47</v>
      </c>
      <c r="AV145" s="38">
        <f t="shared" ref="AV145:BG145" si="969">IF(R155&gt;0,R145/R155,0)</f>
        <v>0</v>
      </c>
      <c r="AW145" s="242">
        <f t="shared" si="969"/>
        <v>0</v>
      </c>
      <c r="AX145" s="242">
        <f t="shared" si="969"/>
        <v>0</v>
      </c>
      <c r="AY145" s="242">
        <f t="shared" si="969"/>
        <v>0</v>
      </c>
      <c r="AZ145" s="242">
        <f t="shared" si="969"/>
        <v>0</v>
      </c>
      <c r="BA145" s="41">
        <f t="shared" si="969"/>
        <v>0</v>
      </c>
      <c r="BB145" s="242">
        <f t="shared" si="969"/>
        <v>0</v>
      </c>
      <c r="BC145" s="243">
        <f t="shared" si="969"/>
        <v>0</v>
      </c>
      <c r="BD145" s="242">
        <f t="shared" si="969"/>
        <v>0</v>
      </c>
      <c r="BE145" s="242">
        <f t="shared" si="969"/>
        <v>0</v>
      </c>
      <c r="BF145" s="242">
        <f t="shared" si="969"/>
        <v>0</v>
      </c>
      <c r="BG145" s="178">
        <f t="shared" si="969"/>
        <v>0</v>
      </c>
      <c r="BH145" s="24" t="e">
        <f>AD145/AD155</f>
        <v>#DIV/0!</v>
      </c>
      <c r="BJ145" s="64" t="s">
        <v>47</v>
      </c>
      <c r="BK145" s="38">
        <f t="shared" ref="BK145:BV145" si="970">IF(AG155&gt;0,AG145/AG155,0)</f>
        <v>0</v>
      </c>
      <c r="BL145" s="242">
        <f t="shared" si="970"/>
        <v>0</v>
      </c>
      <c r="BM145" s="242">
        <f t="shared" si="970"/>
        <v>0</v>
      </c>
      <c r="BN145" s="242">
        <f t="shared" si="970"/>
        <v>0</v>
      </c>
      <c r="BO145" s="242">
        <f t="shared" si="970"/>
        <v>0</v>
      </c>
      <c r="BP145" s="41">
        <f t="shared" si="970"/>
        <v>0</v>
      </c>
      <c r="BQ145" s="242">
        <f t="shared" si="970"/>
        <v>0</v>
      </c>
      <c r="BR145" s="243">
        <f t="shared" si="970"/>
        <v>0</v>
      </c>
      <c r="BS145" s="242">
        <f t="shared" si="970"/>
        <v>0</v>
      </c>
      <c r="BT145" s="242">
        <f t="shared" si="970"/>
        <v>0</v>
      </c>
      <c r="BU145" s="242">
        <f t="shared" si="970"/>
        <v>0</v>
      </c>
      <c r="BV145" s="178">
        <f t="shared" si="970"/>
        <v>0</v>
      </c>
      <c r="BW145" s="24" t="e">
        <f>AS145/AS155</f>
        <v>#DIV/0!</v>
      </c>
      <c r="BX145" s="24"/>
      <c r="BY145" s="64" t="s">
        <v>47</v>
      </c>
      <c r="BZ145" s="54">
        <f t="shared" si="923"/>
        <v>0</v>
      </c>
      <c r="CA145" s="55">
        <f t="shared" si="893"/>
        <v>0</v>
      </c>
      <c r="CB145" s="55">
        <f t="shared" si="894"/>
        <v>0</v>
      </c>
      <c r="CC145" s="55">
        <f t="shared" si="895"/>
        <v>0</v>
      </c>
      <c r="CD145" s="55">
        <f t="shared" si="896"/>
        <v>0</v>
      </c>
      <c r="CE145" s="61">
        <f t="shared" si="897"/>
        <v>0</v>
      </c>
      <c r="CF145" s="55">
        <f t="shared" si="898"/>
        <v>0</v>
      </c>
      <c r="CG145" s="246">
        <f t="shared" si="899"/>
        <v>0</v>
      </c>
      <c r="CH145" s="55">
        <f t="shared" si="900"/>
        <v>0</v>
      </c>
      <c r="CI145" s="55">
        <f t="shared" si="901"/>
        <v>0</v>
      </c>
      <c r="CJ145" s="55">
        <f t="shared" si="902"/>
        <v>0</v>
      </c>
      <c r="CK145" s="249">
        <f t="shared" si="902"/>
        <v>0</v>
      </c>
      <c r="CL145" s="55">
        <f t="shared" si="903"/>
        <v>0</v>
      </c>
      <c r="CN145" s="64" t="s">
        <v>47</v>
      </c>
      <c r="CO145" s="54">
        <f t="shared" si="924"/>
        <v>0</v>
      </c>
      <c r="CP145" s="55">
        <f t="shared" si="904"/>
        <v>0</v>
      </c>
      <c r="CQ145" s="55">
        <f t="shared" si="905"/>
        <v>0</v>
      </c>
      <c r="CR145" s="55">
        <f t="shared" si="906"/>
        <v>0</v>
      </c>
      <c r="CS145" s="55">
        <f t="shared" si="907"/>
        <v>0</v>
      </c>
      <c r="CT145" s="61">
        <f t="shared" si="908"/>
        <v>0</v>
      </c>
      <c r="CU145" s="55">
        <f t="shared" si="909"/>
        <v>0</v>
      </c>
      <c r="CV145" s="246">
        <f t="shared" si="910"/>
        <v>0</v>
      </c>
      <c r="CW145" s="55">
        <f t="shared" si="911"/>
        <v>0</v>
      </c>
      <c r="CX145" s="55">
        <f t="shared" si="912"/>
        <v>0</v>
      </c>
      <c r="CY145" s="55">
        <f t="shared" si="913"/>
        <v>0</v>
      </c>
      <c r="CZ145" s="249">
        <f t="shared" si="913"/>
        <v>0</v>
      </c>
      <c r="DA145" s="62" t="e">
        <f t="shared" si="914"/>
        <v>#DIV/0!</v>
      </c>
      <c r="DC145" s="64" t="s">
        <v>47</v>
      </c>
      <c r="DD145" s="198">
        <f t="shared" si="925"/>
        <v>0</v>
      </c>
      <c r="DE145" s="199">
        <f t="shared" si="926"/>
        <v>0</v>
      </c>
      <c r="DF145" s="198">
        <f t="shared" si="927"/>
        <v>0</v>
      </c>
      <c r="DG145" s="199">
        <f t="shared" si="928"/>
        <v>0</v>
      </c>
      <c r="DH145" s="198">
        <f t="shared" si="929"/>
        <v>0</v>
      </c>
      <c r="DI145" s="199">
        <f t="shared" si="930"/>
        <v>0</v>
      </c>
      <c r="DJ145" s="198">
        <f t="shared" si="931"/>
        <v>0</v>
      </c>
      <c r="DK145" s="199">
        <f t="shared" si="932"/>
        <v>0</v>
      </c>
      <c r="DL145" s="198">
        <f t="shared" si="933"/>
        <v>0</v>
      </c>
      <c r="DM145" s="199">
        <f t="shared" si="934"/>
        <v>0</v>
      </c>
      <c r="DN145" s="200">
        <f t="shared" si="935"/>
        <v>0</v>
      </c>
      <c r="DO145" s="201">
        <f t="shared" si="936"/>
        <v>0</v>
      </c>
      <c r="DP145" s="198">
        <f t="shared" si="937"/>
        <v>0</v>
      </c>
      <c r="DQ145" s="199">
        <f t="shared" si="938"/>
        <v>0</v>
      </c>
      <c r="DR145" s="198">
        <f t="shared" si="939"/>
        <v>0</v>
      </c>
      <c r="DS145" s="199">
        <f t="shared" si="940"/>
        <v>0</v>
      </c>
      <c r="DT145" s="198">
        <f t="shared" si="941"/>
        <v>0</v>
      </c>
      <c r="DU145" s="199">
        <f t="shared" si="942"/>
        <v>0</v>
      </c>
      <c r="DV145" s="198">
        <f t="shared" si="943"/>
        <v>0</v>
      </c>
      <c r="DW145" s="199">
        <f t="shared" si="944"/>
        <v>0</v>
      </c>
      <c r="DX145" s="198">
        <f t="shared" si="945"/>
        <v>0</v>
      </c>
      <c r="DY145" s="199">
        <f t="shared" si="946"/>
        <v>0</v>
      </c>
      <c r="DZ145" s="190">
        <f t="shared" si="947"/>
        <v>0</v>
      </c>
      <c r="EA145" s="199">
        <f t="shared" si="915"/>
        <v>0</v>
      </c>
      <c r="EB145" s="190" t="e">
        <f t="shared" si="948"/>
        <v>#DIV/0!</v>
      </c>
      <c r="EC145" s="190" t="e">
        <f t="shared" si="949"/>
        <v>#DIV/0!</v>
      </c>
    </row>
    <row r="146" spans="1:133" x14ac:dyDescent="0.2">
      <c r="A146" s="66" t="s">
        <v>40</v>
      </c>
      <c r="B146" s="38">
        <f>targets!AW137</f>
        <v>0</v>
      </c>
      <c r="C146" s="242">
        <f>targets!AX137</f>
        <v>0</v>
      </c>
      <c r="D146" s="242">
        <f>targets!AY137</f>
        <v>0</v>
      </c>
      <c r="E146" s="242">
        <f>targets!AZ137</f>
        <v>0</v>
      </c>
      <c r="F146" s="242">
        <f>targets!BA137</f>
        <v>0</v>
      </c>
      <c r="G146" s="242">
        <f>SUM(targets!BB137:BG137)</f>
        <v>0</v>
      </c>
      <c r="H146" s="39">
        <f>SUM(targets!BH137:BM137)</f>
        <v>0</v>
      </c>
      <c r="I146" s="243">
        <f t="shared" si="916"/>
        <v>0</v>
      </c>
      <c r="J146" s="242">
        <f>targets!BN137</f>
        <v>0</v>
      </c>
      <c r="K146" s="242">
        <f>targets!BO137</f>
        <v>0</v>
      </c>
      <c r="L146" s="242">
        <f>targets!BP137</f>
        <v>0</v>
      </c>
      <c r="M146" s="178">
        <f t="shared" si="917"/>
        <v>0</v>
      </c>
      <c r="N146" s="17">
        <f t="shared" si="878"/>
        <v>0</v>
      </c>
      <c r="O146" s="17"/>
      <c r="P146" s="17"/>
      <c r="Q146" s="66" t="s">
        <v>40</v>
      </c>
      <c r="R146" s="38">
        <f t="shared" si="879"/>
        <v>0</v>
      </c>
      <c r="S146" s="242">
        <f t="shared" si="880"/>
        <v>0</v>
      </c>
      <c r="T146" s="242">
        <f t="shared" si="881"/>
        <v>0</v>
      </c>
      <c r="U146" s="242">
        <f t="shared" si="882"/>
        <v>0</v>
      </c>
      <c r="V146" s="242">
        <f t="shared" si="883"/>
        <v>0</v>
      </c>
      <c r="W146" s="242">
        <f t="shared" si="884"/>
        <v>0</v>
      </c>
      <c r="X146" s="39">
        <f t="shared" si="885"/>
        <v>0</v>
      </c>
      <c r="Y146" s="243">
        <f t="shared" si="918"/>
        <v>0</v>
      </c>
      <c r="Z146" s="242">
        <f t="shared" si="886"/>
        <v>0</v>
      </c>
      <c r="AA146" s="242">
        <f t="shared" si="887"/>
        <v>0</v>
      </c>
      <c r="AB146" s="242">
        <f t="shared" si="888"/>
        <v>0</v>
      </c>
      <c r="AC146" s="178">
        <f t="shared" si="919"/>
        <v>0</v>
      </c>
      <c r="AD146" s="17">
        <f t="shared" si="889"/>
        <v>0</v>
      </c>
      <c r="AF146" s="66" t="s">
        <v>40</v>
      </c>
      <c r="AG146" s="38">
        <f t="array" ref="AG146">SUM(IF((modeldata!$F:$F=calibration!$AF$132)*(modeldata!$G:$G=calibration!AG$134)*(modeldata!$H:$H=calibration!$AF146),modeldata!$E:$E,0))</f>
        <v>0</v>
      </c>
      <c r="AH146" s="242">
        <f t="array" ref="AH146">SUM(IF((modeldata!$F:$F=calibration!$AF$132)*(modeldata!$G:$G=calibration!AH$134)*(modeldata!$H:$H=calibration!$AF146),modeldata!$E:$E,0))</f>
        <v>0</v>
      </c>
      <c r="AI146" s="242">
        <f t="array" ref="AI146">SUM(IF((modeldata!$F:$F=calibration!$AF$132)*(modeldata!$G:$G=calibration!AI$134)*(modeldata!$H:$H=calibration!$AF146),modeldata!$E:$E,0))</f>
        <v>0</v>
      </c>
      <c r="AJ146" s="242">
        <f t="array" ref="AJ146">SUM(IF((modeldata!$F:$F=calibration!$AF$132)*(modeldata!$G:$G=calibration!AJ$134)*(modeldata!$H:$H=calibration!$AF146),modeldata!$E:$E,0))</f>
        <v>0</v>
      </c>
      <c r="AK146" s="242">
        <f t="array" ref="AK146">SUM(IF((modeldata!$F:$F=calibration!$AF$132)*(modeldata!$G:$G=calibration!AK$134)*(modeldata!$H:$H=calibration!$AF146),modeldata!$E:$E,0))</f>
        <v>0</v>
      </c>
      <c r="AL146" s="242">
        <f t="array" ref="AL146">SUM(IF((modeldata!$F:$F=calibration!$AF$132)*(modeldata!$G:$G=calibration!AL$134)*(modeldata!$H:$H=calibration!$AF146),modeldata!$E:$E,0))</f>
        <v>0</v>
      </c>
      <c r="AM146" s="39">
        <f t="array" ref="AM146">SUM(IF((modeldata!$F:$F=calibration!$AF$132)*(modeldata!$G:$G=calibration!AM$134)*(modeldata!$H:$H=calibration!$AF146),modeldata!$E:$E,0))</f>
        <v>0</v>
      </c>
      <c r="AN146" s="243"/>
      <c r="AO146" s="242">
        <f t="array" ref="AO146">SUM(IF((modeldata!$F:$F=calibration!$AF$132)*(modeldata!$G:$G=calibration!AO$134)*(modeldata!$H:$H=calibration!$AF146),modeldata!$E:$E,0))</f>
        <v>0</v>
      </c>
      <c r="AP146" s="242">
        <f t="array" ref="AP146">SUM(IF((modeldata!$F:$F=calibration!$AF$132)*(modeldata!$G:$G=calibration!AP$134)*(modeldata!$H:$H=calibration!$AF146),modeldata!$E:$E,0))</f>
        <v>0</v>
      </c>
      <c r="AQ146" s="242">
        <f t="array" ref="AQ146">SUM(IF((modeldata!$F:$F=calibration!$AF$132)*(modeldata!$G:$G=calibration!AQ$134)*(modeldata!$H:$H=calibration!$AF146),modeldata!$E:$E,0))</f>
        <v>0</v>
      </c>
      <c r="AR146" s="178">
        <f t="shared" si="950"/>
        <v>0</v>
      </c>
      <c r="AS146" s="17">
        <f t="shared" si="890"/>
        <v>0</v>
      </c>
      <c r="AU146" s="66" t="s">
        <v>40</v>
      </c>
      <c r="AV146" s="38">
        <f t="shared" ref="AV146:BG146" si="971">IF(R155&gt;0,R146/R155,0)</f>
        <v>0</v>
      </c>
      <c r="AW146" s="242">
        <f t="shared" si="971"/>
        <v>0</v>
      </c>
      <c r="AX146" s="242">
        <f t="shared" si="971"/>
        <v>0</v>
      </c>
      <c r="AY146" s="242">
        <f t="shared" si="971"/>
        <v>0</v>
      </c>
      <c r="AZ146" s="242">
        <f t="shared" si="971"/>
        <v>0</v>
      </c>
      <c r="BA146" s="242">
        <f t="shared" si="971"/>
        <v>0</v>
      </c>
      <c r="BB146" s="39">
        <f t="shared" si="971"/>
        <v>0</v>
      </c>
      <c r="BC146" s="243">
        <f t="shared" si="971"/>
        <v>0</v>
      </c>
      <c r="BD146" s="242">
        <f t="shared" si="971"/>
        <v>0</v>
      </c>
      <c r="BE146" s="242">
        <f t="shared" si="971"/>
        <v>0</v>
      </c>
      <c r="BF146" s="242">
        <f t="shared" si="971"/>
        <v>0</v>
      </c>
      <c r="BG146" s="178">
        <f t="shared" si="971"/>
        <v>0</v>
      </c>
      <c r="BH146" s="24" t="e">
        <f>AD146/AD155</f>
        <v>#DIV/0!</v>
      </c>
      <c r="BJ146" s="66" t="s">
        <v>40</v>
      </c>
      <c r="BK146" s="38">
        <f t="shared" ref="BK146:BV146" si="972">IF(AG155&gt;0,AG146/AG155,0)</f>
        <v>0</v>
      </c>
      <c r="BL146" s="242">
        <f t="shared" si="972"/>
        <v>0</v>
      </c>
      <c r="BM146" s="242">
        <f t="shared" si="972"/>
        <v>0</v>
      </c>
      <c r="BN146" s="242">
        <f t="shared" si="972"/>
        <v>0</v>
      </c>
      <c r="BO146" s="242">
        <f t="shared" si="972"/>
        <v>0</v>
      </c>
      <c r="BP146" s="242">
        <f t="shared" si="972"/>
        <v>0</v>
      </c>
      <c r="BQ146" s="39">
        <f t="shared" si="972"/>
        <v>0</v>
      </c>
      <c r="BR146" s="243">
        <f t="shared" si="972"/>
        <v>0</v>
      </c>
      <c r="BS146" s="242">
        <f t="shared" si="972"/>
        <v>0</v>
      </c>
      <c r="BT146" s="242">
        <f t="shared" si="972"/>
        <v>0</v>
      </c>
      <c r="BU146" s="242">
        <f t="shared" si="972"/>
        <v>0</v>
      </c>
      <c r="BV146" s="178">
        <f t="shared" si="972"/>
        <v>0</v>
      </c>
      <c r="BW146" s="24" t="e">
        <f>AS146/AS155</f>
        <v>#DIV/0!</v>
      </c>
      <c r="BX146" s="24"/>
      <c r="BY146" s="66" t="s">
        <v>40</v>
      </c>
      <c r="BZ146" s="54">
        <f t="shared" si="923"/>
        <v>0</v>
      </c>
      <c r="CA146" s="55">
        <f t="shared" si="893"/>
        <v>0</v>
      </c>
      <c r="CB146" s="55">
        <f t="shared" si="894"/>
        <v>0</v>
      </c>
      <c r="CC146" s="55">
        <f t="shared" si="895"/>
        <v>0</v>
      </c>
      <c r="CD146" s="55">
        <f t="shared" si="896"/>
        <v>0</v>
      </c>
      <c r="CE146" s="55">
        <f t="shared" si="897"/>
        <v>0</v>
      </c>
      <c r="CF146" s="59">
        <f t="shared" si="898"/>
        <v>0</v>
      </c>
      <c r="CG146" s="246">
        <f t="shared" si="899"/>
        <v>0</v>
      </c>
      <c r="CH146" s="55">
        <f t="shared" si="900"/>
        <v>0</v>
      </c>
      <c r="CI146" s="55">
        <f t="shared" si="901"/>
        <v>0</v>
      </c>
      <c r="CJ146" s="55">
        <f t="shared" si="902"/>
        <v>0</v>
      </c>
      <c r="CK146" s="249">
        <f t="shared" si="902"/>
        <v>0</v>
      </c>
      <c r="CL146" s="55">
        <f t="shared" si="903"/>
        <v>0</v>
      </c>
      <c r="CN146" s="66" t="s">
        <v>40</v>
      </c>
      <c r="CO146" s="54">
        <f t="shared" si="924"/>
        <v>0</v>
      </c>
      <c r="CP146" s="55">
        <f t="shared" si="904"/>
        <v>0</v>
      </c>
      <c r="CQ146" s="55">
        <f t="shared" si="905"/>
        <v>0</v>
      </c>
      <c r="CR146" s="55">
        <f t="shared" si="906"/>
        <v>0</v>
      </c>
      <c r="CS146" s="55">
        <f t="shared" si="907"/>
        <v>0</v>
      </c>
      <c r="CT146" s="55">
        <f t="shared" si="908"/>
        <v>0</v>
      </c>
      <c r="CU146" s="59">
        <f t="shared" si="909"/>
        <v>0</v>
      </c>
      <c r="CV146" s="246">
        <f t="shared" si="910"/>
        <v>0</v>
      </c>
      <c r="CW146" s="55">
        <f t="shared" si="911"/>
        <v>0</v>
      </c>
      <c r="CX146" s="55">
        <f t="shared" si="912"/>
        <v>0</v>
      </c>
      <c r="CY146" s="55">
        <f t="shared" si="913"/>
        <v>0</v>
      </c>
      <c r="CZ146" s="249">
        <f t="shared" si="913"/>
        <v>0</v>
      </c>
      <c r="DA146" s="62" t="e">
        <f t="shared" si="914"/>
        <v>#DIV/0!</v>
      </c>
      <c r="DC146" s="66" t="s">
        <v>40</v>
      </c>
      <c r="DD146" s="198">
        <f t="shared" si="925"/>
        <v>0</v>
      </c>
      <c r="DE146" s="199">
        <f t="shared" si="926"/>
        <v>0</v>
      </c>
      <c r="DF146" s="198">
        <f t="shared" si="927"/>
        <v>0</v>
      </c>
      <c r="DG146" s="199">
        <f t="shared" si="928"/>
        <v>0</v>
      </c>
      <c r="DH146" s="198">
        <f t="shared" si="929"/>
        <v>0</v>
      </c>
      <c r="DI146" s="199">
        <f t="shared" si="930"/>
        <v>0</v>
      </c>
      <c r="DJ146" s="198">
        <f t="shared" si="931"/>
        <v>0</v>
      </c>
      <c r="DK146" s="199">
        <f t="shared" si="932"/>
        <v>0</v>
      </c>
      <c r="DL146" s="198">
        <f t="shared" si="933"/>
        <v>0</v>
      </c>
      <c r="DM146" s="199">
        <f t="shared" si="934"/>
        <v>0</v>
      </c>
      <c r="DN146" s="198">
        <f t="shared" si="935"/>
        <v>0</v>
      </c>
      <c r="DO146" s="199">
        <f t="shared" si="936"/>
        <v>0</v>
      </c>
      <c r="DP146" s="195">
        <f t="shared" si="937"/>
        <v>0</v>
      </c>
      <c r="DQ146" s="196">
        <f t="shared" si="938"/>
        <v>0</v>
      </c>
      <c r="DR146" s="198">
        <f t="shared" si="939"/>
        <v>0</v>
      </c>
      <c r="DS146" s="199">
        <f t="shared" si="940"/>
        <v>0</v>
      </c>
      <c r="DT146" s="198">
        <f t="shared" si="941"/>
        <v>0</v>
      </c>
      <c r="DU146" s="199">
        <f t="shared" si="942"/>
        <v>0</v>
      </c>
      <c r="DV146" s="198">
        <f t="shared" si="943"/>
        <v>0</v>
      </c>
      <c r="DW146" s="199">
        <f t="shared" si="944"/>
        <v>0</v>
      </c>
      <c r="DX146" s="198">
        <f t="shared" si="945"/>
        <v>0</v>
      </c>
      <c r="DY146" s="199">
        <f t="shared" si="946"/>
        <v>0</v>
      </c>
      <c r="DZ146" s="190">
        <f t="shared" si="947"/>
        <v>0</v>
      </c>
      <c r="EA146" s="199">
        <f t="shared" si="915"/>
        <v>0</v>
      </c>
      <c r="EB146" s="190" t="e">
        <f t="shared" si="948"/>
        <v>#DIV/0!</v>
      </c>
      <c r="EC146" s="190" t="e">
        <f t="shared" si="949"/>
        <v>#DIV/0!</v>
      </c>
    </row>
    <row r="147" spans="1:133" ht="25.5" x14ac:dyDescent="0.2">
      <c r="A147" s="66" t="s">
        <v>345</v>
      </c>
      <c r="B147" s="38">
        <f>targets!AW138</f>
        <v>0</v>
      </c>
      <c r="C147" s="242">
        <f>targets!AX138</f>
        <v>0</v>
      </c>
      <c r="D147" s="242">
        <f>targets!AY138</f>
        <v>0</v>
      </c>
      <c r="E147" s="242">
        <f>targets!AZ138</f>
        <v>0</v>
      </c>
      <c r="F147" s="242">
        <f>targets!BA138</f>
        <v>0</v>
      </c>
      <c r="G147" s="242">
        <f>SUM(targets!BB138:BG138)</f>
        <v>0</v>
      </c>
      <c r="H147" s="40">
        <f>SUM(targets!BH138:BM138)</f>
        <v>0</v>
      </c>
      <c r="I147" s="243">
        <f t="shared" si="916"/>
        <v>0</v>
      </c>
      <c r="J147" s="242">
        <f>targets!BN138</f>
        <v>0</v>
      </c>
      <c r="K147" s="242">
        <f>targets!BO138</f>
        <v>0</v>
      </c>
      <c r="L147" s="242">
        <f>targets!BP138</f>
        <v>0</v>
      </c>
      <c r="M147" s="178">
        <f t="shared" si="917"/>
        <v>0</v>
      </c>
      <c r="N147" s="17">
        <f t="shared" si="878"/>
        <v>0</v>
      </c>
      <c r="O147" s="17"/>
      <c r="P147" s="17"/>
      <c r="Q147" s="66" t="s">
        <v>345</v>
      </c>
      <c r="R147" s="38">
        <f t="shared" si="879"/>
        <v>0</v>
      </c>
      <c r="S147" s="242">
        <f t="shared" si="880"/>
        <v>0</v>
      </c>
      <c r="T147" s="242">
        <f t="shared" si="881"/>
        <v>0</v>
      </c>
      <c r="U147" s="242">
        <f t="shared" si="882"/>
        <v>0</v>
      </c>
      <c r="V147" s="242">
        <f t="shared" si="883"/>
        <v>0</v>
      </c>
      <c r="W147" s="242">
        <f t="shared" si="884"/>
        <v>0</v>
      </c>
      <c r="X147" s="40">
        <f t="shared" si="885"/>
        <v>0</v>
      </c>
      <c r="Y147" s="243">
        <f t="shared" si="918"/>
        <v>0</v>
      </c>
      <c r="Z147" s="242">
        <f t="shared" si="886"/>
        <v>0</v>
      </c>
      <c r="AA147" s="242">
        <f t="shared" si="887"/>
        <v>0</v>
      </c>
      <c r="AB147" s="242">
        <f t="shared" si="888"/>
        <v>0</v>
      </c>
      <c r="AC147" s="178">
        <f t="shared" si="919"/>
        <v>0</v>
      </c>
      <c r="AD147" s="17">
        <f t="shared" si="889"/>
        <v>0</v>
      </c>
      <c r="AF147" s="66" t="s">
        <v>345</v>
      </c>
      <c r="AG147" s="38">
        <f t="array" ref="AG147">SUM(IF((modeldata!$F:$F=calibration!$AF$132)*(modeldata!$G:$G=calibration!AG$134)*(modeldata!$H:$H=calibration!$AF147),modeldata!$E:$E,0))</f>
        <v>0</v>
      </c>
      <c r="AH147" s="242">
        <f t="array" ref="AH147">SUM(IF((modeldata!$F:$F=calibration!$AF$132)*(modeldata!$G:$G=calibration!AH$134)*(modeldata!$H:$H=calibration!$AF147),modeldata!$E:$E,0))</f>
        <v>0</v>
      </c>
      <c r="AI147" s="242">
        <f t="array" ref="AI147">SUM(IF((modeldata!$F:$F=calibration!$AF$132)*(modeldata!$G:$G=calibration!AI$134)*(modeldata!$H:$H=calibration!$AF147),modeldata!$E:$E,0))</f>
        <v>0</v>
      </c>
      <c r="AJ147" s="242">
        <f t="array" ref="AJ147">SUM(IF((modeldata!$F:$F=calibration!$AF$132)*(modeldata!$G:$G=calibration!AJ$134)*(modeldata!$H:$H=calibration!$AF147),modeldata!$E:$E,0))</f>
        <v>0</v>
      </c>
      <c r="AK147" s="242">
        <f t="array" ref="AK147">SUM(IF((modeldata!$F:$F=calibration!$AF$132)*(modeldata!$G:$G=calibration!AK$134)*(modeldata!$H:$H=calibration!$AF147),modeldata!$E:$E,0))</f>
        <v>0</v>
      </c>
      <c r="AL147" s="242">
        <f t="array" ref="AL147">SUM(IF((modeldata!$F:$F=calibration!$AF$132)*(modeldata!$G:$G=calibration!AL$134)*(modeldata!$H:$H=calibration!$AF147),modeldata!$E:$E,0))</f>
        <v>0</v>
      </c>
      <c r="AM147" s="40">
        <f t="array" ref="AM147">SUM(IF((modeldata!$F:$F=calibration!$AF$132)*(modeldata!$G:$G=calibration!AM$134)*(modeldata!$H:$H=calibration!$AF147),modeldata!$E:$E,0))</f>
        <v>0</v>
      </c>
      <c r="AN147" s="243"/>
      <c r="AO147" s="242">
        <f t="array" ref="AO147">SUM(IF((modeldata!$F:$F=calibration!$AF$132)*(modeldata!$G:$G=calibration!AO$134)*(modeldata!$H:$H=calibration!$AF147),modeldata!$E:$E,0))</f>
        <v>0</v>
      </c>
      <c r="AP147" s="242">
        <f t="array" ref="AP147">SUM(IF((modeldata!$F:$F=calibration!$AF$132)*(modeldata!$G:$G=calibration!AP$134)*(modeldata!$H:$H=calibration!$AF147),modeldata!$E:$E,0))</f>
        <v>0</v>
      </c>
      <c r="AQ147" s="242">
        <f t="array" ref="AQ147">SUM(IF((modeldata!$F:$F=calibration!$AF$132)*(modeldata!$G:$G=calibration!AQ$134)*(modeldata!$H:$H=calibration!$AF147),modeldata!$E:$E,0))</f>
        <v>0</v>
      </c>
      <c r="AR147" s="178">
        <f t="shared" si="950"/>
        <v>0</v>
      </c>
      <c r="AS147" s="17">
        <f t="shared" si="890"/>
        <v>0</v>
      </c>
      <c r="AU147" s="66" t="s">
        <v>345</v>
      </c>
      <c r="AV147" s="38">
        <f t="shared" ref="AV147:BG147" si="973">IF(R155&gt;0,R147/R155,0)</f>
        <v>0</v>
      </c>
      <c r="AW147" s="242">
        <f t="shared" si="973"/>
        <v>0</v>
      </c>
      <c r="AX147" s="242">
        <f t="shared" si="973"/>
        <v>0</v>
      </c>
      <c r="AY147" s="242">
        <f t="shared" si="973"/>
        <v>0</v>
      </c>
      <c r="AZ147" s="242">
        <f t="shared" si="973"/>
        <v>0</v>
      </c>
      <c r="BA147" s="242">
        <f t="shared" si="973"/>
        <v>0</v>
      </c>
      <c r="BB147" s="40">
        <f t="shared" si="973"/>
        <v>0</v>
      </c>
      <c r="BC147" s="243">
        <f t="shared" si="973"/>
        <v>0</v>
      </c>
      <c r="BD147" s="242">
        <f t="shared" si="973"/>
        <v>0</v>
      </c>
      <c r="BE147" s="242">
        <f t="shared" si="973"/>
        <v>0</v>
      </c>
      <c r="BF147" s="242">
        <f t="shared" si="973"/>
        <v>0</v>
      </c>
      <c r="BG147" s="178">
        <f t="shared" si="973"/>
        <v>0</v>
      </c>
      <c r="BH147" s="24" t="e">
        <f>AD147/AD155</f>
        <v>#DIV/0!</v>
      </c>
      <c r="BJ147" s="66" t="s">
        <v>345</v>
      </c>
      <c r="BK147" s="38">
        <f t="shared" ref="BK147:BV147" si="974">IF(AG155&gt;0,AG147/AG155,0)</f>
        <v>0</v>
      </c>
      <c r="BL147" s="242">
        <f t="shared" si="974"/>
        <v>0</v>
      </c>
      <c r="BM147" s="242">
        <f t="shared" si="974"/>
        <v>0</v>
      </c>
      <c r="BN147" s="242">
        <f t="shared" si="974"/>
        <v>0</v>
      </c>
      <c r="BO147" s="242">
        <f t="shared" si="974"/>
        <v>0</v>
      </c>
      <c r="BP147" s="242">
        <f t="shared" si="974"/>
        <v>0</v>
      </c>
      <c r="BQ147" s="40">
        <f t="shared" si="974"/>
        <v>0</v>
      </c>
      <c r="BR147" s="243">
        <f t="shared" si="974"/>
        <v>0</v>
      </c>
      <c r="BS147" s="242">
        <f t="shared" si="974"/>
        <v>0</v>
      </c>
      <c r="BT147" s="242">
        <f t="shared" si="974"/>
        <v>0</v>
      </c>
      <c r="BU147" s="242">
        <f t="shared" si="974"/>
        <v>0</v>
      </c>
      <c r="BV147" s="178">
        <f t="shared" si="974"/>
        <v>0</v>
      </c>
      <c r="BW147" s="24" t="e">
        <f>AS147/AS155</f>
        <v>#DIV/0!</v>
      </c>
      <c r="BX147" s="24"/>
      <c r="BY147" s="66" t="s">
        <v>345</v>
      </c>
      <c r="BZ147" s="54">
        <f t="shared" si="923"/>
        <v>0</v>
      </c>
      <c r="CA147" s="55">
        <f t="shared" si="893"/>
        <v>0</v>
      </c>
      <c r="CB147" s="55">
        <f t="shared" si="894"/>
        <v>0</v>
      </c>
      <c r="CC147" s="55">
        <f t="shared" si="895"/>
        <v>0</v>
      </c>
      <c r="CD147" s="55">
        <f t="shared" si="896"/>
        <v>0</v>
      </c>
      <c r="CE147" s="55">
        <f t="shared" si="897"/>
        <v>0</v>
      </c>
      <c r="CF147" s="60">
        <f t="shared" si="898"/>
        <v>0</v>
      </c>
      <c r="CG147" s="246">
        <f t="shared" si="899"/>
        <v>0</v>
      </c>
      <c r="CH147" s="55">
        <f t="shared" si="900"/>
        <v>0</v>
      </c>
      <c r="CI147" s="55">
        <f t="shared" si="901"/>
        <v>0</v>
      </c>
      <c r="CJ147" s="55">
        <f t="shared" si="902"/>
        <v>0</v>
      </c>
      <c r="CK147" s="249">
        <f t="shared" si="902"/>
        <v>0</v>
      </c>
      <c r="CL147" s="55">
        <f t="shared" si="903"/>
        <v>0</v>
      </c>
      <c r="CN147" s="66" t="s">
        <v>345</v>
      </c>
      <c r="CO147" s="54">
        <f t="shared" si="924"/>
        <v>0</v>
      </c>
      <c r="CP147" s="55">
        <f t="shared" si="904"/>
        <v>0</v>
      </c>
      <c r="CQ147" s="55">
        <f t="shared" si="905"/>
        <v>0</v>
      </c>
      <c r="CR147" s="55">
        <f t="shared" si="906"/>
        <v>0</v>
      </c>
      <c r="CS147" s="55">
        <f t="shared" si="907"/>
        <v>0</v>
      </c>
      <c r="CT147" s="55">
        <f t="shared" si="908"/>
        <v>0</v>
      </c>
      <c r="CU147" s="60">
        <f t="shared" si="909"/>
        <v>0</v>
      </c>
      <c r="CV147" s="246">
        <f t="shared" si="910"/>
        <v>0</v>
      </c>
      <c r="CW147" s="55">
        <f t="shared" si="911"/>
        <v>0</v>
      </c>
      <c r="CX147" s="55">
        <f t="shared" si="912"/>
        <v>0</v>
      </c>
      <c r="CY147" s="55">
        <f t="shared" si="913"/>
        <v>0</v>
      </c>
      <c r="CZ147" s="249">
        <f t="shared" si="913"/>
        <v>0</v>
      </c>
      <c r="DA147" s="62" t="e">
        <f t="shared" si="914"/>
        <v>#DIV/0!</v>
      </c>
      <c r="DC147" s="66" t="s">
        <v>345</v>
      </c>
      <c r="DD147" s="198">
        <f t="shared" si="925"/>
        <v>0</v>
      </c>
      <c r="DE147" s="199">
        <f t="shared" si="926"/>
        <v>0</v>
      </c>
      <c r="DF147" s="198">
        <f t="shared" si="927"/>
        <v>0</v>
      </c>
      <c r="DG147" s="199">
        <f t="shared" si="928"/>
        <v>0</v>
      </c>
      <c r="DH147" s="198">
        <f t="shared" si="929"/>
        <v>0</v>
      </c>
      <c r="DI147" s="199">
        <f t="shared" si="930"/>
        <v>0</v>
      </c>
      <c r="DJ147" s="198">
        <f t="shared" si="931"/>
        <v>0</v>
      </c>
      <c r="DK147" s="199">
        <f t="shared" si="932"/>
        <v>0</v>
      </c>
      <c r="DL147" s="198">
        <f t="shared" si="933"/>
        <v>0</v>
      </c>
      <c r="DM147" s="199">
        <f t="shared" si="934"/>
        <v>0</v>
      </c>
      <c r="DN147" s="198">
        <f t="shared" si="935"/>
        <v>0</v>
      </c>
      <c r="DO147" s="199">
        <f t="shared" si="936"/>
        <v>0</v>
      </c>
      <c r="DP147" s="198">
        <f t="shared" si="937"/>
        <v>0</v>
      </c>
      <c r="DQ147" s="199">
        <f t="shared" si="938"/>
        <v>0</v>
      </c>
      <c r="DR147" s="198">
        <f t="shared" si="939"/>
        <v>0</v>
      </c>
      <c r="DS147" s="199">
        <f t="shared" si="940"/>
        <v>0</v>
      </c>
      <c r="DT147" s="198">
        <f t="shared" si="941"/>
        <v>0</v>
      </c>
      <c r="DU147" s="199">
        <f t="shared" si="942"/>
        <v>0</v>
      </c>
      <c r="DV147" s="198">
        <f t="shared" si="943"/>
        <v>0</v>
      </c>
      <c r="DW147" s="199">
        <f t="shared" si="944"/>
        <v>0</v>
      </c>
      <c r="DX147" s="198">
        <f t="shared" si="945"/>
        <v>0</v>
      </c>
      <c r="DY147" s="199">
        <f t="shared" si="946"/>
        <v>0</v>
      </c>
      <c r="DZ147" s="190">
        <f t="shared" si="947"/>
        <v>0</v>
      </c>
      <c r="EA147" s="199">
        <f t="shared" si="915"/>
        <v>0</v>
      </c>
      <c r="EB147" s="190" t="e">
        <f t="shared" si="948"/>
        <v>#DIV/0!</v>
      </c>
      <c r="EC147" s="190" t="e">
        <f t="shared" si="949"/>
        <v>#DIV/0!</v>
      </c>
    </row>
    <row r="148" spans="1:133" x14ac:dyDescent="0.2">
      <c r="A148" s="2" t="s">
        <v>347</v>
      </c>
      <c r="B148" s="38">
        <f>targets!AW139</f>
        <v>0</v>
      </c>
      <c r="C148" s="242">
        <f>targets!AX139</f>
        <v>0</v>
      </c>
      <c r="D148" s="242">
        <f>targets!AY139</f>
        <v>0</v>
      </c>
      <c r="E148" s="242">
        <f>targets!AZ139</f>
        <v>0</v>
      </c>
      <c r="F148" s="242">
        <f>targets!BA139</f>
        <v>0</v>
      </c>
      <c r="G148" s="242">
        <f>SUM(targets!BB139:BG139)</f>
        <v>0</v>
      </c>
      <c r="H148" s="40">
        <f>SUM(targets!BH139:BM139)</f>
        <v>3395.4820376121588</v>
      </c>
      <c r="I148" s="243">
        <f>SUM(G148:H148)</f>
        <v>3395.4820376121588</v>
      </c>
      <c r="J148" s="242">
        <f>targets!BN139</f>
        <v>0</v>
      </c>
      <c r="K148" s="242">
        <f>targets!BO139</f>
        <v>0</v>
      </c>
      <c r="L148" s="242">
        <f>targets!BP139</f>
        <v>0</v>
      </c>
      <c r="M148" s="178">
        <f>SUM(J148:L148)</f>
        <v>0</v>
      </c>
      <c r="N148" s="17">
        <f>SUM(B148:L148)-I148</f>
        <v>3395.4820376121588</v>
      </c>
      <c r="O148" s="17"/>
      <c r="P148" s="17"/>
      <c r="Q148" s="2" t="s">
        <v>347</v>
      </c>
      <c r="R148" s="38">
        <f t="shared" si="879"/>
        <v>0</v>
      </c>
      <c r="S148" s="242">
        <f t="shared" si="880"/>
        <v>0</v>
      </c>
      <c r="T148" s="242">
        <f t="shared" si="881"/>
        <v>0</v>
      </c>
      <c r="U148" s="242">
        <f t="shared" si="882"/>
        <v>0</v>
      </c>
      <c r="V148" s="242">
        <f t="shared" si="883"/>
        <v>0</v>
      </c>
      <c r="W148" s="242">
        <f t="shared" si="884"/>
        <v>0</v>
      </c>
      <c r="X148" s="40">
        <f t="shared" si="885"/>
        <v>0</v>
      </c>
      <c r="Y148" s="243">
        <f t="shared" ref="Y148" si="975">SUM(W148:X148)</f>
        <v>0</v>
      </c>
      <c r="Z148" s="242">
        <f t="shared" si="886"/>
        <v>0</v>
      </c>
      <c r="AA148" s="242">
        <f t="shared" si="887"/>
        <v>0</v>
      </c>
      <c r="AB148" s="242">
        <f t="shared" si="888"/>
        <v>0</v>
      </c>
      <c r="AC148" s="178">
        <f t="shared" ref="AC148" si="976">SUM(Z148:AB148)</f>
        <v>0</v>
      </c>
      <c r="AD148" s="17"/>
      <c r="AF148" s="2" t="s">
        <v>347</v>
      </c>
      <c r="AG148" s="38">
        <f t="array" ref="AG148">SUM(IF((modeldata!$F:$F=calibration!$AF$132)*(modeldata!$G:$G=calibration!AG$134)*(modeldata!$H:$H=calibration!$AF148),modeldata!$E:$E,0))</f>
        <v>0</v>
      </c>
      <c r="AH148" s="242">
        <f t="array" ref="AH148">SUM(IF((modeldata!$F:$F=calibration!$AF$132)*(modeldata!$G:$G=calibration!AH$134)*(modeldata!$H:$H=calibration!$AF148),modeldata!$E:$E,0))</f>
        <v>0</v>
      </c>
      <c r="AI148" s="242">
        <f t="array" ref="AI148">SUM(IF((modeldata!$F:$F=calibration!$AF$132)*(modeldata!$G:$G=calibration!AI$134)*(modeldata!$H:$H=calibration!$AF148),modeldata!$E:$E,0))</f>
        <v>0</v>
      </c>
      <c r="AJ148" s="242">
        <f t="array" ref="AJ148">SUM(IF((modeldata!$F:$F=calibration!$AF$132)*(modeldata!$G:$G=calibration!AJ$134)*(modeldata!$H:$H=calibration!$AF148),modeldata!$E:$E,0))</f>
        <v>0</v>
      </c>
      <c r="AK148" s="242">
        <f t="array" ref="AK148">SUM(IF((modeldata!$F:$F=calibration!$AF$132)*(modeldata!$G:$G=calibration!AK$134)*(modeldata!$H:$H=calibration!$AF148),modeldata!$E:$E,0))</f>
        <v>0</v>
      </c>
      <c r="AL148" s="242">
        <f t="array" ref="AL148">SUM(IF((modeldata!$F:$F=calibration!$AF$132)*(modeldata!$G:$G=calibration!AL$134)*(modeldata!$H:$H=calibration!$AF148),modeldata!$E:$E,0))</f>
        <v>0</v>
      </c>
      <c r="AM148" s="40">
        <f t="array" ref="AM148">SUM(IF((modeldata!$F:$F=calibration!$AF$132)*(modeldata!$G:$G=calibration!AM$134)*(modeldata!$H:$H=calibration!$AF148),modeldata!$E:$E,0))</f>
        <v>0</v>
      </c>
      <c r="AN148" s="243"/>
      <c r="AO148" s="242">
        <f t="array" ref="AO148">SUM(IF((modeldata!$F:$F=calibration!$AF$132)*(modeldata!$G:$G=calibration!AO$134)*(modeldata!$H:$H=calibration!$AF148),modeldata!$E:$E,0))</f>
        <v>0</v>
      </c>
      <c r="AP148" s="242">
        <f t="array" ref="AP148">SUM(IF((modeldata!$F:$F=calibration!$AF$132)*(modeldata!$G:$G=calibration!AP$134)*(modeldata!$H:$H=calibration!$AF148),modeldata!$E:$E,0))</f>
        <v>0</v>
      </c>
      <c r="AQ148" s="242">
        <f t="array" ref="AQ148">SUM(IF((modeldata!$F:$F=calibration!$AF$132)*(modeldata!$G:$G=calibration!AQ$134)*(modeldata!$H:$H=calibration!$AF148),modeldata!$E:$E,0))</f>
        <v>0</v>
      </c>
      <c r="AR148" s="178">
        <f>SUM(AO148:AQ148)</f>
        <v>0</v>
      </c>
      <c r="AS148" s="17">
        <f>SUM(AG148:AQ148)-AN148</f>
        <v>0</v>
      </c>
      <c r="AU148" s="2" t="s">
        <v>347</v>
      </c>
      <c r="AV148" s="38">
        <f t="shared" ref="AV148:BG148" si="977">IF(R157&gt;0,R148/R157,0)</f>
        <v>0</v>
      </c>
      <c r="AW148" s="242">
        <f t="shared" si="977"/>
        <v>0</v>
      </c>
      <c r="AX148" s="242">
        <f t="shared" si="977"/>
        <v>0</v>
      </c>
      <c r="AY148" s="242">
        <f t="shared" si="977"/>
        <v>0</v>
      </c>
      <c r="AZ148" s="242">
        <f t="shared" si="977"/>
        <v>0</v>
      </c>
      <c r="BA148" s="242">
        <f t="shared" si="977"/>
        <v>0</v>
      </c>
      <c r="BB148" s="40">
        <f t="shared" si="977"/>
        <v>0</v>
      </c>
      <c r="BC148" s="243">
        <f t="shared" si="977"/>
        <v>0</v>
      </c>
      <c r="BD148" s="242">
        <f t="shared" si="977"/>
        <v>0</v>
      </c>
      <c r="BE148" s="242">
        <f t="shared" si="977"/>
        <v>0</v>
      </c>
      <c r="BF148" s="242">
        <f t="shared" si="977"/>
        <v>0</v>
      </c>
      <c r="BG148" s="178">
        <f t="shared" si="977"/>
        <v>0</v>
      </c>
      <c r="BH148" s="24" t="e">
        <f>AD148/AD157</f>
        <v>#DIV/0!</v>
      </c>
      <c r="BJ148" s="2" t="s">
        <v>347</v>
      </c>
      <c r="BK148" s="38">
        <f t="shared" ref="BK148:BV148" si="978">IF(AG164&gt;0,AG148/AG164,0)</f>
        <v>0</v>
      </c>
      <c r="BL148" s="242">
        <f t="shared" si="978"/>
        <v>0</v>
      </c>
      <c r="BM148" s="242">
        <f t="shared" si="978"/>
        <v>0</v>
      </c>
      <c r="BN148" s="242">
        <f t="shared" si="978"/>
        <v>0</v>
      </c>
      <c r="BO148" s="242">
        <f t="shared" si="978"/>
        <v>0</v>
      </c>
      <c r="BP148" s="242">
        <f t="shared" si="978"/>
        <v>0</v>
      </c>
      <c r="BQ148" s="40">
        <f t="shared" si="978"/>
        <v>0</v>
      </c>
      <c r="BR148" s="243">
        <f t="shared" si="978"/>
        <v>0</v>
      </c>
      <c r="BS148" s="242">
        <f t="shared" si="978"/>
        <v>0</v>
      </c>
      <c r="BT148" s="242">
        <f t="shared" si="978"/>
        <v>0</v>
      </c>
      <c r="BU148" s="242">
        <f t="shared" si="978"/>
        <v>0</v>
      </c>
      <c r="BV148" s="178">
        <f t="shared" si="978"/>
        <v>0</v>
      </c>
      <c r="BW148" s="24" t="e">
        <f>AS148/AS164</f>
        <v>#DIV/0!</v>
      </c>
      <c r="BX148" s="24"/>
      <c r="BY148" s="2" t="s">
        <v>347</v>
      </c>
      <c r="BZ148" s="54">
        <f t="shared" ref="BZ148" si="979">AG148-R148</f>
        <v>0</v>
      </c>
      <c r="CA148" s="55">
        <f t="shared" ref="CA148" si="980">AH148-S148</f>
        <v>0</v>
      </c>
      <c r="CB148" s="55">
        <f t="shared" ref="CB148" si="981">AI148-T148</f>
        <v>0</v>
      </c>
      <c r="CC148" s="55">
        <f t="shared" ref="CC148" si="982">AJ148-U148</f>
        <v>0</v>
      </c>
      <c r="CD148" s="55">
        <f t="shared" ref="CD148" si="983">AK148-V148</f>
        <v>0</v>
      </c>
      <c r="CE148" s="55">
        <f t="shared" ref="CE148" si="984">AL148-W148</f>
        <v>0</v>
      </c>
      <c r="CF148" s="60">
        <f t="shared" ref="CF148" si="985">AM148-X148</f>
        <v>0</v>
      </c>
      <c r="CG148" s="246">
        <f t="shared" ref="CG148" si="986">AN148-Y148</f>
        <v>0</v>
      </c>
      <c r="CH148" s="55">
        <f t="shared" ref="CH148" si="987">AO148-Z148</f>
        <v>0</v>
      </c>
      <c r="CI148" s="55">
        <f t="shared" ref="CI148" si="988">AP148-AA148</f>
        <v>0</v>
      </c>
      <c r="CJ148" s="55">
        <f t="shared" ref="CJ148" si="989">AQ148-AB148</f>
        <v>0</v>
      </c>
      <c r="CK148" s="249">
        <f t="shared" ref="CK148" si="990">AR148-AC148</f>
        <v>0</v>
      </c>
      <c r="CL148" s="55">
        <f t="shared" ref="CL148" si="991">AS148-AD148</f>
        <v>0</v>
      </c>
      <c r="CN148" s="2" t="s">
        <v>347</v>
      </c>
      <c r="CO148" s="54">
        <f t="shared" ref="CO148" si="992">BK148-AV148</f>
        <v>0</v>
      </c>
      <c r="CP148" s="55">
        <f t="shared" ref="CP148" si="993">BL148-AW148</f>
        <v>0</v>
      </c>
      <c r="CQ148" s="55">
        <f t="shared" ref="CQ148" si="994">BM148-AX148</f>
        <v>0</v>
      </c>
      <c r="CR148" s="55">
        <f t="shared" ref="CR148" si="995">BN148-AY148</f>
        <v>0</v>
      </c>
      <c r="CS148" s="55">
        <f t="shared" ref="CS148" si="996">BO148-AZ148</f>
        <v>0</v>
      </c>
      <c r="CT148" s="55">
        <f t="shared" ref="CT148" si="997">BP148-BA148</f>
        <v>0</v>
      </c>
      <c r="CU148" s="60">
        <f t="shared" ref="CU148" si="998">BQ148-BB148</f>
        <v>0</v>
      </c>
      <c r="CV148" s="246">
        <f t="shared" ref="CV148" si="999">BR148-BC148</f>
        <v>0</v>
      </c>
      <c r="CW148" s="55">
        <f t="shared" ref="CW148" si="1000">BS148-BD148</f>
        <v>0</v>
      </c>
      <c r="CX148" s="55">
        <f t="shared" ref="CX148" si="1001">BT148-BE148</f>
        <v>0</v>
      </c>
      <c r="CY148" s="55">
        <f t="shared" ref="CY148" si="1002">BU148-BF148</f>
        <v>0</v>
      </c>
      <c r="CZ148" s="249">
        <f t="shared" ref="CZ148" si="1003">BV148-BG148</f>
        <v>0</v>
      </c>
      <c r="DA148" s="62" t="e">
        <f t="shared" ref="DA148" si="1004">BW148-BH148</f>
        <v>#DIV/0!</v>
      </c>
      <c r="DC148" s="2" t="s">
        <v>347</v>
      </c>
      <c r="DD148" s="198">
        <f t="shared" ref="DD148" si="1005">AV148</f>
        <v>0</v>
      </c>
      <c r="DE148" s="199">
        <f t="shared" ref="DE148" si="1006">BK148</f>
        <v>0</v>
      </c>
      <c r="DF148" s="198">
        <f t="shared" ref="DF148" si="1007">AW148</f>
        <v>0</v>
      </c>
      <c r="DG148" s="199">
        <f t="shared" ref="DG148" si="1008">BL148</f>
        <v>0</v>
      </c>
      <c r="DH148" s="198">
        <f t="shared" ref="DH148" si="1009">AX148</f>
        <v>0</v>
      </c>
      <c r="DI148" s="199">
        <f t="shared" ref="DI148" si="1010">BM148</f>
        <v>0</v>
      </c>
      <c r="DJ148" s="198">
        <f t="shared" ref="DJ148" si="1011">AY148</f>
        <v>0</v>
      </c>
      <c r="DK148" s="199">
        <f t="shared" ref="DK148" si="1012">BN148</f>
        <v>0</v>
      </c>
      <c r="DL148" s="198">
        <f t="shared" ref="DL148" si="1013">AZ148</f>
        <v>0</v>
      </c>
      <c r="DM148" s="199">
        <f t="shared" ref="DM148" si="1014">BO148</f>
        <v>0</v>
      </c>
      <c r="DN148" s="198">
        <f t="shared" ref="DN148" si="1015">BA148</f>
        <v>0</v>
      </c>
      <c r="DO148" s="199">
        <f t="shared" ref="DO148" si="1016">BP148</f>
        <v>0</v>
      </c>
      <c r="DP148" s="198">
        <f t="shared" ref="DP148" si="1017">BB148</f>
        <v>0</v>
      </c>
      <c r="DQ148" s="199">
        <f t="shared" ref="DQ148" si="1018">BQ148</f>
        <v>0</v>
      </c>
      <c r="DR148" s="198">
        <f t="shared" ref="DR148" si="1019">BC148</f>
        <v>0</v>
      </c>
      <c r="DS148" s="199">
        <f t="shared" ref="DS148" si="1020">BR148</f>
        <v>0</v>
      </c>
      <c r="DT148" s="198">
        <f t="shared" ref="DT148" si="1021">BD148</f>
        <v>0</v>
      </c>
      <c r="DU148" s="199">
        <f t="shared" ref="DU148" si="1022">BS148</f>
        <v>0</v>
      </c>
      <c r="DV148" s="198">
        <f t="shared" ref="DV148" si="1023">BE148</f>
        <v>0</v>
      </c>
      <c r="DW148" s="199">
        <f t="shared" ref="DW148" si="1024">BT148</f>
        <v>0</v>
      </c>
      <c r="DX148" s="198">
        <f t="shared" ref="DX148" si="1025">BF148</f>
        <v>0</v>
      </c>
      <c r="DY148" s="199">
        <f t="shared" ref="DY148" si="1026">BU148</f>
        <v>0</v>
      </c>
      <c r="DZ148" s="190">
        <f t="shared" ref="DZ148" si="1027">BG148</f>
        <v>0</v>
      </c>
      <c r="EA148" s="199">
        <f t="shared" ref="EA148" si="1028">BV148</f>
        <v>0</v>
      </c>
      <c r="EB148" s="190" t="e">
        <f t="shared" ref="EB148" si="1029">BH148</f>
        <v>#DIV/0!</v>
      </c>
      <c r="EC148" s="190" t="e">
        <f t="shared" ref="EC148" si="1030">BW148</f>
        <v>#DIV/0!</v>
      </c>
    </row>
    <row r="149" spans="1:133" x14ac:dyDescent="0.2">
      <c r="A149" s="64" t="s">
        <v>50</v>
      </c>
      <c r="B149" s="38">
        <f>targets!AW140</f>
        <v>0</v>
      </c>
      <c r="C149" s="242">
        <f>targets!AX140</f>
        <v>0</v>
      </c>
      <c r="D149" s="242">
        <f>targets!AY140</f>
        <v>0</v>
      </c>
      <c r="E149" s="242">
        <f>targets!AZ140</f>
        <v>0</v>
      </c>
      <c r="F149" s="242">
        <f>targets!BA140</f>
        <v>0</v>
      </c>
      <c r="G149" s="242">
        <f>SUM(targets!BB140:BG140)</f>
        <v>0</v>
      </c>
      <c r="H149" s="40">
        <f>SUM(targets!BH140:BM140)</f>
        <v>0</v>
      </c>
      <c r="I149" s="243">
        <f t="shared" si="916"/>
        <v>0</v>
      </c>
      <c r="J149" s="242">
        <f>targets!BN140</f>
        <v>0</v>
      </c>
      <c r="K149" s="242">
        <f>targets!BO140</f>
        <v>0</v>
      </c>
      <c r="L149" s="242">
        <f>targets!BP140</f>
        <v>0</v>
      </c>
      <c r="M149" s="178">
        <f t="shared" si="917"/>
        <v>0</v>
      </c>
      <c r="N149" s="17">
        <f t="shared" si="878"/>
        <v>0</v>
      </c>
      <c r="O149" s="17"/>
      <c r="P149" s="17"/>
      <c r="Q149" s="64" t="s">
        <v>50</v>
      </c>
      <c r="R149" s="38">
        <f t="shared" si="879"/>
        <v>0</v>
      </c>
      <c r="S149" s="242">
        <f t="shared" si="880"/>
        <v>0</v>
      </c>
      <c r="T149" s="242">
        <f t="shared" si="881"/>
        <v>0</v>
      </c>
      <c r="U149" s="242">
        <f t="shared" si="882"/>
        <v>0</v>
      </c>
      <c r="V149" s="242">
        <f t="shared" si="883"/>
        <v>0</v>
      </c>
      <c r="W149" s="242">
        <f t="shared" si="884"/>
        <v>0</v>
      </c>
      <c r="X149" s="40">
        <f t="shared" si="885"/>
        <v>0</v>
      </c>
      <c r="Y149" s="243">
        <f t="shared" si="918"/>
        <v>0</v>
      </c>
      <c r="Z149" s="242">
        <f t="shared" si="886"/>
        <v>0</v>
      </c>
      <c r="AA149" s="242">
        <f t="shared" si="887"/>
        <v>0</v>
      </c>
      <c r="AB149" s="242">
        <f t="shared" si="888"/>
        <v>0</v>
      </c>
      <c r="AC149" s="178">
        <f t="shared" si="919"/>
        <v>0</v>
      </c>
      <c r="AD149" s="17">
        <f t="shared" si="889"/>
        <v>0</v>
      </c>
      <c r="AF149" s="64" t="s">
        <v>50</v>
      </c>
      <c r="AG149" s="38">
        <f t="array" ref="AG149">SUM(IF((modeldata!$F:$F=calibration!$AF$132)*(modeldata!$G:$G=calibration!AG$134)*(modeldata!$H:$H=calibration!$AF149),modeldata!$E:$E,0))</f>
        <v>0</v>
      </c>
      <c r="AH149" s="242">
        <f t="array" ref="AH149">SUM(IF((modeldata!$F:$F=calibration!$AF$132)*(modeldata!$G:$G=calibration!AH$134)*(modeldata!$H:$H=calibration!$AF149),modeldata!$E:$E,0))</f>
        <v>0</v>
      </c>
      <c r="AI149" s="242">
        <f t="array" ref="AI149">SUM(IF((modeldata!$F:$F=calibration!$AF$132)*(modeldata!$G:$G=calibration!AI$134)*(modeldata!$H:$H=calibration!$AF149),modeldata!$E:$E,0))</f>
        <v>0</v>
      </c>
      <c r="AJ149" s="242">
        <f t="array" ref="AJ149">SUM(IF((modeldata!$F:$F=calibration!$AF$132)*(modeldata!$G:$G=calibration!AJ$134)*(modeldata!$H:$H=calibration!$AF149),modeldata!$E:$E,0))</f>
        <v>0</v>
      </c>
      <c r="AK149" s="242">
        <f t="array" ref="AK149">SUM(IF((modeldata!$F:$F=calibration!$AF$132)*(modeldata!$G:$G=calibration!AK$134)*(modeldata!$H:$H=calibration!$AF149),modeldata!$E:$E,0))</f>
        <v>0</v>
      </c>
      <c r="AL149" s="242">
        <f t="array" ref="AL149">SUM(IF((modeldata!$F:$F=calibration!$AF$132)*(modeldata!$G:$G=calibration!AL$134)*(modeldata!$H:$H=calibration!$AF149),modeldata!$E:$E,0))</f>
        <v>0</v>
      </c>
      <c r="AM149" s="40">
        <f t="array" ref="AM149">SUM(IF((modeldata!$F:$F=calibration!$AF$132)*(modeldata!$G:$G=calibration!AM$134)*(modeldata!$H:$H=calibration!$AF149),modeldata!$E:$E,0))</f>
        <v>0</v>
      </c>
      <c r="AN149" s="243"/>
      <c r="AO149" s="242">
        <f t="array" ref="AO149">SUM(IF((modeldata!$F:$F=calibration!$AF$132)*(modeldata!$G:$G=calibration!AO$134)*(modeldata!$H:$H=calibration!$AF149),modeldata!$E:$E,0))</f>
        <v>0</v>
      </c>
      <c r="AP149" s="242">
        <f t="array" ref="AP149">SUM(IF((modeldata!$F:$F=calibration!$AF$132)*(modeldata!$G:$G=calibration!AP$134)*(modeldata!$H:$H=calibration!$AF149),modeldata!$E:$E,0))</f>
        <v>0</v>
      </c>
      <c r="AQ149" s="242">
        <f t="array" ref="AQ149">SUM(IF((modeldata!$F:$F=calibration!$AF$132)*(modeldata!$G:$G=calibration!AQ$134)*(modeldata!$H:$H=calibration!$AF149),modeldata!$E:$E,0))</f>
        <v>0</v>
      </c>
      <c r="AR149" s="178">
        <f t="shared" si="950"/>
        <v>0</v>
      </c>
      <c r="AS149" s="17">
        <f t="shared" si="890"/>
        <v>0</v>
      </c>
      <c r="AU149" s="64" t="s">
        <v>50</v>
      </c>
      <c r="AV149" s="38">
        <f t="shared" ref="AV149:BG149" si="1031">IF(R155&gt;0,R149/R155,0)</f>
        <v>0</v>
      </c>
      <c r="AW149" s="242">
        <f t="shared" si="1031"/>
        <v>0</v>
      </c>
      <c r="AX149" s="242">
        <f t="shared" si="1031"/>
        <v>0</v>
      </c>
      <c r="AY149" s="242">
        <f t="shared" si="1031"/>
        <v>0</v>
      </c>
      <c r="AZ149" s="242">
        <f t="shared" si="1031"/>
        <v>0</v>
      </c>
      <c r="BA149" s="242">
        <f t="shared" si="1031"/>
        <v>0</v>
      </c>
      <c r="BB149" s="40">
        <f t="shared" si="1031"/>
        <v>0</v>
      </c>
      <c r="BC149" s="243">
        <f t="shared" si="1031"/>
        <v>0</v>
      </c>
      <c r="BD149" s="242">
        <f t="shared" si="1031"/>
        <v>0</v>
      </c>
      <c r="BE149" s="242">
        <f t="shared" si="1031"/>
        <v>0</v>
      </c>
      <c r="BF149" s="242">
        <f t="shared" si="1031"/>
        <v>0</v>
      </c>
      <c r="BG149" s="178">
        <f t="shared" si="1031"/>
        <v>0</v>
      </c>
      <c r="BH149" s="24" t="e">
        <f>AD149/AD155</f>
        <v>#DIV/0!</v>
      </c>
      <c r="BJ149" s="64" t="s">
        <v>50</v>
      </c>
      <c r="BK149" s="38">
        <f t="shared" ref="BK149:BV149" si="1032">IF(AG155&gt;0,AG149/AG155,0)</f>
        <v>0</v>
      </c>
      <c r="BL149" s="242">
        <f t="shared" si="1032"/>
        <v>0</v>
      </c>
      <c r="BM149" s="242">
        <f t="shared" si="1032"/>
        <v>0</v>
      </c>
      <c r="BN149" s="242">
        <f t="shared" si="1032"/>
        <v>0</v>
      </c>
      <c r="BO149" s="242">
        <f t="shared" si="1032"/>
        <v>0</v>
      </c>
      <c r="BP149" s="242">
        <f t="shared" si="1032"/>
        <v>0</v>
      </c>
      <c r="BQ149" s="40">
        <f t="shared" si="1032"/>
        <v>0</v>
      </c>
      <c r="BR149" s="243">
        <f t="shared" si="1032"/>
        <v>0</v>
      </c>
      <c r="BS149" s="242">
        <f t="shared" si="1032"/>
        <v>0</v>
      </c>
      <c r="BT149" s="242">
        <f t="shared" si="1032"/>
        <v>0</v>
      </c>
      <c r="BU149" s="242">
        <f t="shared" si="1032"/>
        <v>0</v>
      </c>
      <c r="BV149" s="178">
        <f t="shared" si="1032"/>
        <v>0</v>
      </c>
      <c r="BW149" s="24" t="e">
        <f>AS149/AS155</f>
        <v>#DIV/0!</v>
      </c>
      <c r="BX149" s="24"/>
      <c r="BY149" s="64" t="s">
        <v>50</v>
      </c>
      <c r="BZ149" s="54">
        <f t="shared" si="923"/>
        <v>0</v>
      </c>
      <c r="CA149" s="55">
        <f t="shared" si="893"/>
        <v>0</v>
      </c>
      <c r="CB149" s="55">
        <f t="shared" si="894"/>
        <v>0</v>
      </c>
      <c r="CC149" s="55">
        <f t="shared" si="895"/>
        <v>0</v>
      </c>
      <c r="CD149" s="55">
        <f t="shared" si="896"/>
        <v>0</v>
      </c>
      <c r="CE149" s="55">
        <f t="shared" si="897"/>
        <v>0</v>
      </c>
      <c r="CF149" s="60">
        <f t="shared" si="898"/>
        <v>0</v>
      </c>
      <c r="CG149" s="246">
        <f t="shared" si="899"/>
        <v>0</v>
      </c>
      <c r="CH149" s="55">
        <f t="shared" si="900"/>
        <v>0</v>
      </c>
      <c r="CI149" s="55">
        <f t="shared" si="901"/>
        <v>0</v>
      </c>
      <c r="CJ149" s="55">
        <f t="shared" si="902"/>
        <v>0</v>
      </c>
      <c r="CK149" s="249">
        <f t="shared" si="902"/>
        <v>0</v>
      </c>
      <c r="CL149" s="55">
        <f t="shared" si="903"/>
        <v>0</v>
      </c>
      <c r="CN149" s="64" t="s">
        <v>50</v>
      </c>
      <c r="CO149" s="54">
        <f t="shared" si="924"/>
        <v>0</v>
      </c>
      <c r="CP149" s="55">
        <f t="shared" si="904"/>
        <v>0</v>
      </c>
      <c r="CQ149" s="55">
        <f t="shared" si="905"/>
        <v>0</v>
      </c>
      <c r="CR149" s="55">
        <f t="shared" si="906"/>
        <v>0</v>
      </c>
      <c r="CS149" s="55">
        <f t="shared" si="907"/>
        <v>0</v>
      </c>
      <c r="CT149" s="55">
        <f t="shared" si="908"/>
        <v>0</v>
      </c>
      <c r="CU149" s="60">
        <f t="shared" si="909"/>
        <v>0</v>
      </c>
      <c r="CV149" s="246">
        <f t="shared" si="910"/>
        <v>0</v>
      </c>
      <c r="CW149" s="55">
        <f t="shared" si="911"/>
        <v>0</v>
      </c>
      <c r="CX149" s="55">
        <f t="shared" si="912"/>
        <v>0</v>
      </c>
      <c r="CY149" s="55">
        <f t="shared" si="913"/>
        <v>0</v>
      </c>
      <c r="CZ149" s="249">
        <f t="shared" si="913"/>
        <v>0</v>
      </c>
      <c r="DA149" s="62" t="e">
        <f t="shared" si="914"/>
        <v>#DIV/0!</v>
      </c>
      <c r="DC149" s="64" t="s">
        <v>50</v>
      </c>
      <c r="DD149" s="198">
        <f t="shared" si="925"/>
        <v>0</v>
      </c>
      <c r="DE149" s="199">
        <f t="shared" si="926"/>
        <v>0</v>
      </c>
      <c r="DF149" s="198">
        <f t="shared" si="927"/>
        <v>0</v>
      </c>
      <c r="DG149" s="199">
        <f t="shared" si="928"/>
        <v>0</v>
      </c>
      <c r="DH149" s="198">
        <f t="shared" si="929"/>
        <v>0</v>
      </c>
      <c r="DI149" s="199">
        <f t="shared" si="930"/>
        <v>0</v>
      </c>
      <c r="DJ149" s="198">
        <f t="shared" si="931"/>
        <v>0</v>
      </c>
      <c r="DK149" s="199">
        <f t="shared" si="932"/>
        <v>0</v>
      </c>
      <c r="DL149" s="198">
        <f t="shared" si="933"/>
        <v>0</v>
      </c>
      <c r="DM149" s="199">
        <f t="shared" si="934"/>
        <v>0</v>
      </c>
      <c r="DN149" s="198">
        <f t="shared" si="935"/>
        <v>0</v>
      </c>
      <c r="DO149" s="199">
        <f t="shared" si="936"/>
        <v>0</v>
      </c>
      <c r="DP149" s="198">
        <f t="shared" si="937"/>
        <v>0</v>
      </c>
      <c r="DQ149" s="199">
        <f t="shared" si="938"/>
        <v>0</v>
      </c>
      <c r="DR149" s="198">
        <f t="shared" si="939"/>
        <v>0</v>
      </c>
      <c r="DS149" s="199">
        <f t="shared" si="940"/>
        <v>0</v>
      </c>
      <c r="DT149" s="198">
        <f t="shared" si="941"/>
        <v>0</v>
      </c>
      <c r="DU149" s="199">
        <f t="shared" si="942"/>
        <v>0</v>
      </c>
      <c r="DV149" s="198">
        <f t="shared" si="943"/>
        <v>0</v>
      </c>
      <c r="DW149" s="199">
        <f t="shared" si="944"/>
        <v>0</v>
      </c>
      <c r="DX149" s="198">
        <f t="shared" si="945"/>
        <v>0</v>
      </c>
      <c r="DY149" s="199">
        <f t="shared" si="946"/>
        <v>0</v>
      </c>
      <c r="DZ149" s="190">
        <f t="shared" si="947"/>
        <v>0</v>
      </c>
      <c r="EA149" s="199">
        <f t="shared" si="915"/>
        <v>0</v>
      </c>
      <c r="EB149" s="190" t="e">
        <f t="shared" si="948"/>
        <v>#DIV/0!</v>
      </c>
      <c r="EC149" s="190" t="e">
        <f t="shared" si="949"/>
        <v>#DIV/0!</v>
      </c>
    </row>
    <row r="150" spans="1:133" x14ac:dyDescent="0.2">
      <c r="A150" s="64" t="s">
        <v>51</v>
      </c>
      <c r="B150" s="38">
        <f>targets!AW141</f>
        <v>0</v>
      </c>
      <c r="C150" s="242">
        <f>targets!AX141</f>
        <v>0</v>
      </c>
      <c r="D150" s="242">
        <f>targets!AY141</f>
        <v>0</v>
      </c>
      <c r="E150" s="242">
        <f>targets!AZ141</f>
        <v>0</v>
      </c>
      <c r="F150" s="242">
        <f>targets!BA141</f>
        <v>0</v>
      </c>
      <c r="G150" s="242">
        <f>SUM(targets!BB141:BG141)</f>
        <v>0</v>
      </c>
      <c r="H150" s="40">
        <f>SUM(targets!BH141:BM141)</f>
        <v>0</v>
      </c>
      <c r="I150" s="243">
        <f t="shared" si="916"/>
        <v>0</v>
      </c>
      <c r="J150" s="242">
        <f>targets!BN141</f>
        <v>85.131617439449343</v>
      </c>
      <c r="K150" s="242">
        <f>targets!BO141</f>
        <v>0</v>
      </c>
      <c r="L150" s="242">
        <f>targets!BP141</f>
        <v>0</v>
      </c>
      <c r="M150" s="178">
        <f t="shared" si="917"/>
        <v>85.131617439449343</v>
      </c>
      <c r="N150" s="17">
        <f t="shared" si="878"/>
        <v>85.131617439449343</v>
      </c>
      <c r="O150" s="17"/>
      <c r="P150" s="17"/>
      <c r="Q150" s="64" t="s">
        <v>51</v>
      </c>
      <c r="R150" s="38">
        <f t="shared" si="879"/>
        <v>0</v>
      </c>
      <c r="S150" s="242">
        <f t="shared" si="880"/>
        <v>0</v>
      </c>
      <c r="T150" s="242">
        <f t="shared" si="881"/>
        <v>0</v>
      </c>
      <c r="U150" s="242">
        <f t="shared" si="882"/>
        <v>0</v>
      </c>
      <c r="V150" s="242">
        <f t="shared" si="883"/>
        <v>0</v>
      </c>
      <c r="W150" s="242">
        <f t="shared" si="884"/>
        <v>0</v>
      </c>
      <c r="X150" s="40">
        <f t="shared" si="885"/>
        <v>0</v>
      </c>
      <c r="Y150" s="243">
        <f t="shared" si="918"/>
        <v>0</v>
      </c>
      <c r="Z150" s="242">
        <f t="shared" si="886"/>
        <v>0</v>
      </c>
      <c r="AA150" s="242">
        <f t="shared" si="887"/>
        <v>0</v>
      </c>
      <c r="AB150" s="242">
        <f t="shared" si="888"/>
        <v>0</v>
      </c>
      <c r="AC150" s="178">
        <f t="shared" si="919"/>
        <v>0</v>
      </c>
      <c r="AD150" s="17">
        <f t="shared" si="889"/>
        <v>0</v>
      </c>
      <c r="AF150" s="64" t="s">
        <v>51</v>
      </c>
      <c r="AG150" s="38">
        <f t="array" ref="AG150">SUM(IF((modeldata!$F:$F=calibration!$AF$132)*(modeldata!$G:$G=calibration!AG$134)*(modeldata!$H:$H=calibration!$AF150),modeldata!$E:$E,0))</f>
        <v>0</v>
      </c>
      <c r="AH150" s="242">
        <f t="array" ref="AH150">SUM(IF((modeldata!$F:$F=calibration!$AF$132)*(modeldata!$G:$G=calibration!AH$134)*(modeldata!$H:$H=calibration!$AF150),modeldata!$E:$E,0))</f>
        <v>0</v>
      </c>
      <c r="AI150" s="242">
        <f t="array" ref="AI150">SUM(IF((modeldata!$F:$F=calibration!$AF$132)*(modeldata!$G:$G=calibration!AI$134)*(modeldata!$H:$H=calibration!$AF150),modeldata!$E:$E,0))</f>
        <v>0</v>
      </c>
      <c r="AJ150" s="242">
        <f t="array" ref="AJ150">SUM(IF((modeldata!$F:$F=calibration!$AF$132)*(modeldata!$G:$G=calibration!AJ$134)*(modeldata!$H:$H=calibration!$AF150),modeldata!$E:$E,0))</f>
        <v>0</v>
      </c>
      <c r="AK150" s="242">
        <f t="array" ref="AK150">SUM(IF((modeldata!$F:$F=calibration!$AF$132)*(modeldata!$G:$G=calibration!AK$134)*(modeldata!$H:$H=calibration!$AF150),modeldata!$E:$E,0))</f>
        <v>0</v>
      </c>
      <c r="AL150" s="242">
        <f t="array" ref="AL150">SUM(IF((modeldata!$F:$F=calibration!$AF$132)*(modeldata!$G:$G=calibration!AL$134)*(modeldata!$H:$H=calibration!$AF150),modeldata!$E:$E,0))</f>
        <v>0</v>
      </c>
      <c r="AM150" s="40">
        <f t="array" ref="AM150">SUM(IF((modeldata!$F:$F=calibration!$AF$132)*(modeldata!$G:$G=calibration!AM$134)*(modeldata!$H:$H=calibration!$AF150),modeldata!$E:$E,0))</f>
        <v>0</v>
      </c>
      <c r="AN150" s="243"/>
      <c r="AO150" s="242">
        <f t="array" ref="AO150">SUM(IF((modeldata!$F:$F=calibration!$AF$132)*(modeldata!$G:$G=calibration!AO$134)*(modeldata!$H:$H=calibration!$AF150),modeldata!$E:$E,0))</f>
        <v>0</v>
      </c>
      <c r="AP150" s="242">
        <f t="array" ref="AP150">SUM(IF((modeldata!$F:$F=calibration!$AF$132)*(modeldata!$G:$G=calibration!AP$134)*(modeldata!$H:$H=calibration!$AF150),modeldata!$E:$E,0))</f>
        <v>0</v>
      </c>
      <c r="AQ150" s="242">
        <f t="array" ref="AQ150">SUM(IF((modeldata!$F:$F=calibration!$AF$132)*(modeldata!$G:$G=calibration!AQ$134)*(modeldata!$H:$H=calibration!$AF150),modeldata!$E:$E,0))</f>
        <v>0</v>
      </c>
      <c r="AR150" s="178">
        <f t="shared" si="950"/>
        <v>0</v>
      </c>
      <c r="AS150" s="17">
        <f t="shared" si="890"/>
        <v>0</v>
      </c>
      <c r="AU150" s="64" t="s">
        <v>51</v>
      </c>
      <c r="AV150" s="38">
        <f t="shared" ref="AV150:BG150" si="1033">IF(R155&gt;0,R150/R155,0)</f>
        <v>0</v>
      </c>
      <c r="AW150" s="242">
        <f t="shared" si="1033"/>
        <v>0</v>
      </c>
      <c r="AX150" s="242">
        <f t="shared" si="1033"/>
        <v>0</v>
      </c>
      <c r="AY150" s="242">
        <f t="shared" si="1033"/>
        <v>0</v>
      </c>
      <c r="AZ150" s="242">
        <f t="shared" si="1033"/>
        <v>0</v>
      </c>
      <c r="BA150" s="242">
        <f t="shared" si="1033"/>
        <v>0</v>
      </c>
      <c r="BB150" s="40">
        <f t="shared" si="1033"/>
        <v>0</v>
      </c>
      <c r="BC150" s="243">
        <f t="shared" si="1033"/>
        <v>0</v>
      </c>
      <c r="BD150" s="242">
        <f t="shared" si="1033"/>
        <v>0</v>
      </c>
      <c r="BE150" s="242">
        <f t="shared" si="1033"/>
        <v>0</v>
      </c>
      <c r="BF150" s="242">
        <f t="shared" si="1033"/>
        <v>0</v>
      </c>
      <c r="BG150" s="178">
        <f t="shared" si="1033"/>
        <v>0</v>
      </c>
      <c r="BH150" s="24" t="e">
        <f>AD150/AD155</f>
        <v>#DIV/0!</v>
      </c>
      <c r="BJ150" s="64" t="s">
        <v>51</v>
      </c>
      <c r="BK150" s="38">
        <f t="shared" ref="BK150:BV150" si="1034">IF(AG155&gt;0,AG150/AG155,0)</f>
        <v>0</v>
      </c>
      <c r="BL150" s="242">
        <f t="shared" si="1034"/>
        <v>0</v>
      </c>
      <c r="BM150" s="242">
        <f t="shared" si="1034"/>
        <v>0</v>
      </c>
      <c r="BN150" s="242">
        <f t="shared" si="1034"/>
        <v>0</v>
      </c>
      <c r="BO150" s="242">
        <f t="shared" si="1034"/>
        <v>0</v>
      </c>
      <c r="BP150" s="242">
        <f t="shared" si="1034"/>
        <v>0</v>
      </c>
      <c r="BQ150" s="40">
        <f t="shared" si="1034"/>
        <v>0</v>
      </c>
      <c r="BR150" s="243">
        <f t="shared" si="1034"/>
        <v>0</v>
      </c>
      <c r="BS150" s="242">
        <f t="shared" si="1034"/>
        <v>0</v>
      </c>
      <c r="BT150" s="242">
        <f t="shared" si="1034"/>
        <v>0</v>
      </c>
      <c r="BU150" s="242">
        <f t="shared" si="1034"/>
        <v>0</v>
      </c>
      <c r="BV150" s="178">
        <f t="shared" si="1034"/>
        <v>0</v>
      </c>
      <c r="BW150" s="24" t="e">
        <f>AS150/AS155</f>
        <v>#DIV/0!</v>
      </c>
      <c r="BX150" s="24"/>
      <c r="BY150" s="64" t="s">
        <v>51</v>
      </c>
      <c r="BZ150" s="54">
        <f t="shared" si="923"/>
        <v>0</v>
      </c>
      <c r="CA150" s="55">
        <f t="shared" si="893"/>
        <v>0</v>
      </c>
      <c r="CB150" s="55">
        <f t="shared" si="894"/>
        <v>0</v>
      </c>
      <c r="CC150" s="55">
        <f t="shared" si="895"/>
        <v>0</v>
      </c>
      <c r="CD150" s="55">
        <f t="shared" si="896"/>
        <v>0</v>
      </c>
      <c r="CE150" s="55">
        <f t="shared" si="897"/>
        <v>0</v>
      </c>
      <c r="CF150" s="60">
        <f t="shared" si="898"/>
        <v>0</v>
      </c>
      <c r="CG150" s="246">
        <f t="shared" si="899"/>
        <v>0</v>
      </c>
      <c r="CH150" s="55">
        <f t="shared" si="900"/>
        <v>0</v>
      </c>
      <c r="CI150" s="55">
        <f t="shared" si="901"/>
        <v>0</v>
      </c>
      <c r="CJ150" s="55">
        <f t="shared" si="902"/>
        <v>0</v>
      </c>
      <c r="CK150" s="249">
        <f t="shared" si="902"/>
        <v>0</v>
      </c>
      <c r="CL150" s="55">
        <f t="shared" si="903"/>
        <v>0</v>
      </c>
      <c r="CN150" s="64" t="s">
        <v>51</v>
      </c>
      <c r="CO150" s="54">
        <f t="shared" si="924"/>
        <v>0</v>
      </c>
      <c r="CP150" s="55">
        <f t="shared" si="904"/>
        <v>0</v>
      </c>
      <c r="CQ150" s="55">
        <f t="shared" si="905"/>
        <v>0</v>
      </c>
      <c r="CR150" s="55">
        <f t="shared" si="906"/>
        <v>0</v>
      </c>
      <c r="CS150" s="55">
        <f t="shared" si="907"/>
        <v>0</v>
      </c>
      <c r="CT150" s="55">
        <f t="shared" si="908"/>
        <v>0</v>
      </c>
      <c r="CU150" s="60">
        <f t="shared" si="909"/>
        <v>0</v>
      </c>
      <c r="CV150" s="246">
        <f t="shared" si="910"/>
        <v>0</v>
      </c>
      <c r="CW150" s="55">
        <f t="shared" si="911"/>
        <v>0</v>
      </c>
      <c r="CX150" s="55">
        <f t="shared" si="912"/>
        <v>0</v>
      </c>
      <c r="CY150" s="55">
        <f t="shared" si="913"/>
        <v>0</v>
      </c>
      <c r="CZ150" s="249">
        <f t="shared" si="913"/>
        <v>0</v>
      </c>
      <c r="DA150" s="62" t="e">
        <f t="shared" si="914"/>
        <v>#DIV/0!</v>
      </c>
      <c r="DC150" s="64" t="s">
        <v>51</v>
      </c>
      <c r="DD150" s="198">
        <f t="shared" si="925"/>
        <v>0</v>
      </c>
      <c r="DE150" s="199">
        <f t="shared" si="926"/>
        <v>0</v>
      </c>
      <c r="DF150" s="198">
        <f t="shared" si="927"/>
        <v>0</v>
      </c>
      <c r="DG150" s="199">
        <f t="shared" si="928"/>
        <v>0</v>
      </c>
      <c r="DH150" s="198">
        <f t="shared" si="929"/>
        <v>0</v>
      </c>
      <c r="DI150" s="199">
        <f t="shared" si="930"/>
        <v>0</v>
      </c>
      <c r="DJ150" s="198">
        <f t="shared" si="931"/>
        <v>0</v>
      </c>
      <c r="DK150" s="199">
        <f t="shared" si="932"/>
        <v>0</v>
      </c>
      <c r="DL150" s="198">
        <f t="shared" si="933"/>
        <v>0</v>
      </c>
      <c r="DM150" s="199">
        <f t="shared" si="934"/>
        <v>0</v>
      </c>
      <c r="DN150" s="198">
        <f t="shared" si="935"/>
        <v>0</v>
      </c>
      <c r="DO150" s="199">
        <f t="shared" si="936"/>
        <v>0</v>
      </c>
      <c r="DP150" s="198">
        <f t="shared" si="937"/>
        <v>0</v>
      </c>
      <c r="DQ150" s="199">
        <f t="shared" si="938"/>
        <v>0</v>
      </c>
      <c r="DR150" s="198">
        <f t="shared" si="939"/>
        <v>0</v>
      </c>
      <c r="DS150" s="199">
        <f t="shared" si="940"/>
        <v>0</v>
      </c>
      <c r="DT150" s="198">
        <f t="shared" si="941"/>
        <v>0</v>
      </c>
      <c r="DU150" s="199">
        <f t="shared" si="942"/>
        <v>0</v>
      </c>
      <c r="DV150" s="198">
        <f t="shared" si="943"/>
        <v>0</v>
      </c>
      <c r="DW150" s="199">
        <f t="shared" si="944"/>
        <v>0</v>
      </c>
      <c r="DX150" s="198">
        <f t="shared" si="945"/>
        <v>0</v>
      </c>
      <c r="DY150" s="199">
        <f t="shared" si="946"/>
        <v>0</v>
      </c>
      <c r="DZ150" s="190">
        <f t="shared" si="947"/>
        <v>0</v>
      </c>
      <c r="EA150" s="199">
        <f t="shared" si="915"/>
        <v>0</v>
      </c>
      <c r="EB150" s="190" t="e">
        <f t="shared" si="948"/>
        <v>#DIV/0!</v>
      </c>
      <c r="EC150" s="190" t="e">
        <f t="shared" si="949"/>
        <v>#DIV/0!</v>
      </c>
    </row>
    <row r="151" spans="1:133" x14ac:dyDescent="0.2">
      <c r="A151" s="64" t="s">
        <v>52</v>
      </c>
      <c r="B151" s="38">
        <f>targets!AW142</f>
        <v>0</v>
      </c>
      <c r="C151" s="242">
        <f>targets!AX142</f>
        <v>0</v>
      </c>
      <c r="D151" s="242">
        <f>targets!AY142</f>
        <v>0</v>
      </c>
      <c r="E151" s="242">
        <f>targets!AZ142</f>
        <v>0</v>
      </c>
      <c r="F151" s="242">
        <f>targets!BA142</f>
        <v>0</v>
      </c>
      <c r="G151" s="242">
        <f>SUM(targets!BB142:BG142)</f>
        <v>0</v>
      </c>
      <c r="H151" s="41">
        <f>SUM(targets!BH142:BM142)</f>
        <v>0</v>
      </c>
      <c r="I151" s="243">
        <f t="shared" si="916"/>
        <v>0</v>
      </c>
      <c r="J151" s="242">
        <f>targets!BN142</f>
        <v>0</v>
      </c>
      <c r="K151" s="242">
        <f>targets!BO142</f>
        <v>927.95720680387535</v>
      </c>
      <c r="L151" s="242">
        <f>targets!BP142</f>
        <v>88.806176269049899</v>
      </c>
      <c r="M151" s="178">
        <f t="shared" si="917"/>
        <v>1016.7633830729253</v>
      </c>
      <c r="N151" s="17">
        <f t="shared" si="878"/>
        <v>1016.7633830729253</v>
      </c>
      <c r="O151" s="17"/>
      <c r="P151" s="17"/>
      <c r="Q151" s="64" t="s">
        <v>52</v>
      </c>
      <c r="R151" s="38">
        <f t="shared" si="879"/>
        <v>0</v>
      </c>
      <c r="S151" s="242">
        <f t="shared" si="880"/>
        <v>0</v>
      </c>
      <c r="T151" s="242">
        <f t="shared" si="881"/>
        <v>0</v>
      </c>
      <c r="U151" s="242">
        <f t="shared" si="882"/>
        <v>0</v>
      </c>
      <c r="V151" s="242">
        <f t="shared" si="883"/>
        <v>0</v>
      </c>
      <c r="W151" s="242">
        <f t="shared" si="884"/>
        <v>0</v>
      </c>
      <c r="X151" s="41">
        <f t="shared" si="885"/>
        <v>0</v>
      </c>
      <c r="Y151" s="243">
        <f>SUM(W151:X151)</f>
        <v>0</v>
      </c>
      <c r="Z151" s="242">
        <f t="shared" si="886"/>
        <v>0</v>
      </c>
      <c r="AA151" s="242">
        <f t="shared" si="887"/>
        <v>0</v>
      </c>
      <c r="AB151" s="242">
        <f t="shared" si="888"/>
        <v>0</v>
      </c>
      <c r="AC151" s="178">
        <f t="shared" si="919"/>
        <v>0</v>
      </c>
      <c r="AD151" s="17">
        <f t="shared" si="889"/>
        <v>0</v>
      </c>
      <c r="AF151" s="64" t="s">
        <v>52</v>
      </c>
      <c r="AG151" s="38">
        <f t="array" ref="AG151">SUM(IF((modeldata!$F:$F=calibration!$AF$132)*(modeldata!$G:$G=calibration!AG$134)*(modeldata!$H:$H=calibration!$AF151),modeldata!$E:$E,0))</f>
        <v>0</v>
      </c>
      <c r="AH151" s="242">
        <f t="array" ref="AH151">SUM(IF((modeldata!$F:$F=calibration!$AF$132)*(modeldata!$G:$G=calibration!AH$134)*(modeldata!$H:$H=calibration!$AF151),modeldata!$E:$E,0))</f>
        <v>0</v>
      </c>
      <c r="AI151" s="242">
        <f t="array" ref="AI151">SUM(IF((modeldata!$F:$F=calibration!$AF$132)*(modeldata!$G:$G=calibration!AI$134)*(modeldata!$H:$H=calibration!$AF151),modeldata!$E:$E,0))</f>
        <v>0</v>
      </c>
      <c r="AJ151" s="242">
        <f t="array" ref="AJ151">SUM(IF((modeldata!$F:$F=calibration!$AF$132)*(modeldata!$G:$G=calibration!AJ$134)*(modeldata!$H:$H=calibration!$AF151),modeldata!$E:$E,0))</f>
        <v>0</v>
      </c>
      <c r="AK151" s="242">
        <f t="array" ref="AK151">SUM(IF((modeldata!$F:$F=calibration!$AF$132)*(modeldata!$G:$G=calibration!AK$134)*(modeldata!$H:$H=calibration!$AF151),modeldata!$E:$E,0))</f>
        <v>0</v>
      </c>
      <c r="AL151" s="242">
        <f t="array" ref="AL151">SUM(IF((modeldata!$F:$F=calibration!$AF$132)*(modeldata!$G:$G=calibration!AL$134)*(modeldata!$H:$H=calibration!$AF151),modeldata!$E:$E,0))</f>
        <v>0</v>
      </c>
      <c r="AM151" s="41">
        <f t="array" ref="AM151">SUM(IF((modeldata!$F:$F=calibration!$AF$132)*(modeldata!$G:$G=calibration!AM$134)*(modeldata!$H:$H=calibration!$AF151),modeldata!$E:$E,0))</f>
        <v>0</v>
      </c>
      <c r="AN151" s="243"/>
      <c r="AO151" s="242">
        <f t="array" ref="AO151">SUM(IF((modeldata!$F:$F=calibration!$AF$132)*(modeldata!$G:$G=calibration!AO$134)*(modeldata!$H:$H=calibration!$AF151),modeldata!$E:$E,0))</f>
        <v>0</v>
      </c>
      <c r="AP151" s="242">
        <f t="array" ref="AP151">SUM(IF((modeldata!$F:$F=calibration!$AF$132)*(modeldata!$G:$G=calibration!AP$134)*(modeldata!$H:$H=calibration!$AF151),modeldata!$E:$E,0))</f>
        <v>0</v>
      </c>
      <c r="AQ151" s="242">
        <f t="array" ref="AQ151">SUM(IF((modeldata!$F:$F=calibration!$AF$132)*(modeldata!$G:$G=calibration!AQ$134)*(modeldata!$H:$H=calibration!$AF151),modeldata!$E:$E,0))</f>
        <v>0</v>
      </c>
      <c r="AR151" s="178">
        <f t="shared" si="950"/>
        <v>0</v>
      </c>
      <c r="AS151" s="17">
        <f t="shared" si="890"/>
        <v>0</v>
      </c>
      <c r="AU151" s="64" t="s">
        <v>52</v>
      </c>
      <c r="AV151" s="38">
        <f t="shared" ref="AV151:BG151" si="1035">IF(R155&gt;0,R151/R155,0)</f>
        <v>0</v>
      </c>
      <c r="AW151" s="242">
        <f t="shared" si="1035"/>
        <v>0</v>
      </c>
      <c r="AX151" s="242">
        <f t="shared" si="1035"/>
        <v>0</v>
      </c>
      <c r="AY151" s="242">
        <f t="shared" si="1035"/>
        <v>0</v>
      </c>
      <c r="AZ151" s="242">
        <f t="shared" si="1035"/>
        <v>0</v>
      </c>
      <c r="BA151" s="242">
        <f t="shared" si="1035"/>
        <v>0</v>
      </c>
      <c r="BB151" s="41">
        <f t="shared" si="1035"/>
        <v>0</v>
      </c>
      <c r="BC151" s="243">
        <f t="shared" si="1035"/>
        <v>0</v>
      </c>
      <c r="BD151" s="242">
        <f t="shared" si="1035"/>
        <v>0</v>
      </c>
      <c r="BE151" s="242">
        <f t="shared" si="1035"/>
        <v>0</v>
      </c>
      <c r="BF151" s="242">
        <f t="shared" si="1035"/>
        <v>0</v>
      </c>
      <c r="BG151" s="178">
        <f t="shared" si="1035"/>
        <v>0</v>
      </c>
      <c r="BH151" s="24" t="e">
        <f>AD151/AD155</f>
        <v>#DIV/0!</v>
      </c>
      <c r="BJ151" s="64" t="s">
        <v>52</v>
      </c>
      <c r="BK151" s="38">
        <f t="shared" ref="BK151:BV151" si="1036">IF(AG155&gt;0,AG151/AG155,0)</f>
        <v>0</v>
      </c>
      <c r="BL151" s="242">
        <f t="shared" si="1036"/>
        <v>0</v>
      </c>
      <c r="BM151" s="242">
        <f t="shared" si="1036"/>
        <v>0</v>
      </c>
      <c r="BN151" s="242">
        <f t="shared" si="1036"/>
        <v>0</v>
      </c>
      <c r="BO151" s="242">
        <f t="shared" si="1036"/>
        <v>0</v>
      </c>
      <c r="BP151" s="242">
        <f t="shared" si="1036"/>
        <v>0</v>
      </c>
      <c r="BQ151" s="41">
        <f t="shared" si="1036"/>
        <v>0</v>
      </c>
      <c r="BR151" s="243">
        <f t="shared" si="1036"/>
        <v>0</v>
      </c>
      <c r="BS151" s="242">
        <f t="shared" si="1036"/>
        <v>0</v>
      </c>
      <c r="BT151" s="242">
        <f t="shared" si="1036"/>
        <v>0</v>
      </c>
      <c r="BU151" s="242">
        <f t="shared" si="1036"/>
        <v>0</v>
      </c>
      <c r="BV151" s="178">
        <f t="shared" si="1036"/>
        <v>0</v>
      </c>
      <c r="BW151" s="24" t="e">
        <f>AS151/AS155</f>
        <v>#DIV/0!</v>
      </c>
      <c r="BX151" s="24"/>
      <c r="BY151" s="64" t="s">
        <v>52</v>
      </c>
      <c r="BZ151" s="54">
        <f t="shared" si="923"/>
        <v>0</v>
      </c>
      <c r="CA151" s="55">
        <f t="shared" si="893"/>
        <v>0</v>
      </c>
      <c r="CB151" s="55">
        <f t="shared" si="894"/>
        <v>0</v>
      </c>
      <c r="CC151" s="55">
        <f t="shared" si="895"/>
        <v>0</v>
      </c>
      <c r="CD151" s="55">
        <f t="shared" si="896"/>
        <v>0</v>
      </c>
      <c r="CE151" s="55">
        <f t="shared" si="897"/>
        <v>0</v>
      </c>
      <c r="CF151" s="61">
        <f t="shared" si="898"/>
        <v>0</v>
      </c>
      <c r="CG151" s="246">
        <f>AN151-Y151</f>
        <v>0</v>
      </c>
      <c r="CH151" s="55">
        <f t="shared" si="900"/>
        <v>0</v>
      </c>
      <c r="CI151" s="55">
        <f t="shared" si="901"/>
        <v>0</v>
      </c>
      <c r="CJ151" s="55">
        <f t="shared" si="902"/>
        <v>0</v>
      </c>
      <c r="CK151" s="249">
        <f t="shared" si="902"/>
        <v>0</v>
      </c>
      <c r="CL151" s="55">
        <f t="shared" si="903"/>
        <v>0</v>
      </c>
      <c r="CN151" s="64" t="s">
        <v>52</v>
      </c>
      <c r="CO151" s="54">
        <f t="shared" si="924"/>
        <v>0</v>
      </c>
      <c r="CP151" s="55">
        <f t="shared" si="904"/>
        <v>0</v>
      </c>
      <c r="CQ151" s="55">
        <f t="shared" si="905"/>
        <v>0</v>
      </c>
      <c r="CR151" s="55">
        <f t="shared" si="906"/>
        <v>0</v>
      </c>
      <c r="CS151" s="55">
        <f t="shared" si="907"/>
        <v>0</v>
      </c>
      <c r="CT151" s="55">
        <f t="shared" si="908"/>
        <v>0</v>
      </c>
      <c r="CU151" s="61">
        <f t="shared" si="909"/>
        <v>0</v>
      </c>
      <c r="CV151" s="246">
        <f t="shared" si="910"/>
        <v>0</v>
      </c>
      <c r="CW151" s="55">
        <f t="shared" si="911"/>
        <v>0</v>
      </c>
      <c r="CX151" s="55">
        <f t="shared" si="912"/>
        <v>0</v>
      </c>
      <c r="CY151" s="55">
        <f t="shared" si="913"/>
        <v>0</v>
      </c>
      <c r="CZ151" s="249">
        <f t="shared" si="913"/>
        <v>0</v>
      </c>
      <c r="DA151" s="62" t="e">
        <f t="shared" si="914"/>
        <v>#DIV/0!</v>
      </c>
      <c r="DC151" s="64" t="s">
        <v>52</v>
      </c>
      <c r="DD151" s="198">
        <f t="shared" si="925"/>
        <v>0</v>
      </c>
      <c r="DE151" s="199">
        <f t="shared" si="926"/>
        <v>0</v>
      </c>
      <c r="DF151" s="198">
        <f t="shared" si="927"/>
        <v>0</v>
      </c>
      <c r="DG151" s="199">
        <f t="shared" si="928"/>
        <v>0</v>
      </c>
      <c r="DH151" s="198">
        <f t="shared" si="929"/>
        <v>0</v>
      </c>
      <c r="DI151" s="199">
        <f t="shared" si="930"/>
        <v>0</v>
      </c>
      <c r="DJ151" s="198">
        <f t="shared" si="931"/>
        <v>0</v>
      </c>
      <c r="DK151" s="199">
        <f t="shared" si="932"/>
        <v>0</v>
      </c>
      <c r="DL151" s="198">
        <f t="shared" si="933"/>
        <v>0</v>
      </c>
      <c r="DM151" s="199">
        <f t="shared" si="934"/>
        <v>0</v>
      </c>
      <c r="DN151" s="198">
        <f t="shared" si="935"/>
        <v>0</v>
      </c>
      <c r="DO151" s="199">
        <f t="shared" si="936"/>
        <v>0</v>
      </c>
      <c r="DP151" s="200">
        <f t="shared" si="937"/>
        <v>0</v>
      </c>
      <c r="DQ151" s="201">
        <f t="shared" si="938"/>
        <v>0</v>
      </c>
      <c r="DR151" s="198">
        <f t="shared" si="939"/>
        <v>0</v>
      </c>
      <c r="DS151" s="199">
        <f t="shared" si="940"/>
        <v>0</v>
      </c>
      <c r="DT151" s="198">
        <f t="shared" si="941"/>
        <v>0</v>
      </c>
      <c r="DU151" s="199">
        <f t="shared" si="942"/>
        <v>0</v>
      </c>
      <c r="DV151" s="198">
        <f t="shared" si="943"/>
        <v>0</v>
      </c>
      <c r="DW151" s="199">
        <f t="shared" si="944"/>
        <v>0</v>
      </c>
      <c r="DX151" s="198">
        <f t="shared" si="945"/>
        <v>0</v>
      </c>
      <c r="DY151" s="199">
        <f t="shared" si="946"/>
        <v>0</v>
      </c>
      <c r="DZ151" s="190">
        <f t="shared" si="947"/>
        <v>0</v>
      </c>
      <c r="EA151" s="199">
        <f t="shared" si="915"/>
        <v>0</v>
      </c>
      <c r="EB151" s="190" t="e">
        <f t="shared" si="948"/>
        <v>#DIV/0!</v>
      </c>
      <c r="EC151" s="190" t="e">
        <f t="shared" si="949"/>
        <v>#DIV/0!</v>
      </c>
    </row>
    <row r="152" spans="1:133" x14ac:dyDescent="0.2">
      <c r="A152" s="2" t="s">
        <v>6</v>
      </c>
      <c r="B152" s="38">
        <f>targets!AW143</f>
        <v>0</v>
      </c>
      <c r="C152" s="242">
        <f>targets!AX143</f>
        <v>0</v>
      </c>
      <c r="D152" s="242">
        <f>targets!AY143</f>
        <v>0</v>
      </c>
      <c r="E152" s="242">
        <f>targets!AZ143</f>
        <v>0</v>
      </c>
      <c r="F152" s="242">
        <f>targets!BA143</f>
        <v>0</v>
      </c>
      <c r="G152" s="242">
        <f>SUM(targets!BB143:BG143)</f>
        <v>0</v>
      </c>
      <c r="H152" s="242">
        <f>SUM(targets!BH143:BM143)</f>
        <v>0</v>
      </c>
      <c r="I152" s="243">
        <f t="shared" si="916"/>
        <v>0</v>
      </c>
      <c r="J152" s="242">
        <f>targets!BN143</f>
        <v>0</v>
      </c>
      <c r="K152" s="242">
        <f>targets!BO143</f>
        <v>0</v>
      </c>
      <c r="L152" s="242">
        <f>targets!BP143</f>
        <v>88.806176269049899</v>
      </c>
      <c r="M152" s="178">
        <f t="shared" si="917"/>
        <v>88.806176269049899</v>
      </c>
      <c r="N152" s="17">
        <f t="shared" si="878"/>
        <v>88.806176269049899</v>
      </c>
      <c r="O152" s="17"/>
      <c r="P152" s="17"/>
      <c r="Q152" s="2" t="s">
        <v>6</v>
      </c>
      <c r="R152" s="38">
        <f t="shared" si="879"/>
        <v>0</v>
      </c>
      <c r="S152" s="242">
        <f t="shared" si="880"/>
        <v>0</v>
      </c>
      <c r="T152" s="242">
        <f t="shared" si="881"/>
        <v>0</v>
      </c>
      <c r="U152" s="242">
        <f t="shared" si="882"/>
        <v>0</v>
      </c>
      <c r="V152" s="242">
        <f t="shared" si="883"/>
        <v>0</v>
      </c>
      <c r="W152" s="242">
        <f t="shared" si="884"/>
        <v>0</v>
      </c>
      <c r="X152" s="242">
        <f t="shared" si="885"/>
        <v>0</v>
      </c>
      <c r="Y152" s="243">
        <f t="shared" si="918"/>
        <v>0</v>
      </c>
      <c r="Z152" s="242">
        <f t="shared" si="886"/>
        <v>0</v>
      </c>
      <c r="AA152" s="242">
        <f t="shared" si="887"/>
        <v>0</v>
      </c>
      <c r="AB152" s="242">
        <f t="shared" si="888"/>
        <v>0</v>
      </c>
      <c r="AC152" s="178">
        <f t="shared" si="919"/>
        <v>0</v>
      </c>
      <c r="AD152" s="17">
        <f t="shared" si="889"/>
        <v>0</v>
      </c>
      <c r="AF152" s="2" t="s">
        <v>6</v>
      </c>
      <c r="AG152" s="38">
        <f t="array" ref="AG152">SUM(IF((modeldata!$F:$F=calibration!$AF$132)*(modeldata!$G:$G=calibration!AG$134)*(modeldata!$H:$H=calibration!$AF152),modeldata!$E:$E,0))</f>
        <v>0</v>
      </c>
      <c r="AH152" s="242">
        <f t="array" ref="AH152">SUM(IF((modeldata!$F:$F=calibration!$AF$132)*(modeldata!$G:$G=calibration!AH$134)*(modeldata!$H:$H=calibration!$AF152),modeldata!$E:$E,0))</f>
        <v>0</v>
      </c>
      <c r="AI152" s="242">
        <f t="array" ref="AI152">SUM(IF((modeldata!$F:$F=calibration!$AF$132)*(modeldata!$G:$G=calibration!AI$134)*(modeldata!$H:$H=calibration!$AF152),modeldata!$E:$E,0))</f>
        <v>0</v>
      </c>
      <c r="AJ152" s="242">
        <f t="array" ref="AJ152">SUM(IF((modeldata!$F:$F=calibration!$AF$132)*(modeldata!$G:$G=calibration!AJ$134)*(modeldata!$H:$H=calibration!$AF152),modeldata!$E:$E,0))</f>
        <v>0</v>
      </c>
      <c r="AK152" s="242">
        <f t="array" ref="AK152">SUM(IF((modeldata!$F:$F=calibration!$AF$132)*(modeldata!$G:$G=calibration!AK$134)*(modeldata!$H:$H=calibration!$AF152),modeldata!$E:$E,0))</f>
        <v>0</v>
      </c>
      <c r="AL152" s="242">
        <f t="array" ref="AL152">SUM(IF((modeldata!$F:$F=calibration!$AF$132)*(modeldata!$G:$G=calibration!AL$134)*(modeldata!$H:$H=calibration!$AF152),modeldata!$E:$E,0))</f>
        <v>0</v>
      </c>
      <c r="AM152" s="242">
        <f t="array" ref="AM152">SUM(IF((modeldata!$F:$F=calibration!$AF$132)*(modeldata!$G:$G=calibration!AM$134)*(modeldata!$H:$H=calibration!$AF152),modeldata!$E:$E,0))</f>
        <v>0</v>
      </c>
      <c r="AN152" s="243">
        <f t="shared" si="920"/>
        <v>0</v>
      </c>
      <c r="AO152" s="242">
        <f t="array" ref="AO152">SUM(IF((modeldata!$F:$F=calibration!$AF$132)*(modeldata!$G:$G=calibration!AO$134)*(modeldata!$H:$H=calibration!$AF152),modeldata!$E:$E,0))</f>
        <v>0</v>
      </c>
      <c r="AP152" s="242">
        <f t="array" ref="AP152">SUM(IF((modeldata!$F:$F=calibration!$AF$132)*(modeldata!$G:$G=calibration!AP$134)*(modeldata!$H:$H=calibration!$AF152),modeldata!$E:$E,0))</f>
        <v>0</v>
      </c>
      <c r="AQ152" s="242">
        <f t="array" ref="AQ152">SUM(IF((modeldata!$F:$F=calibration!$AF$132)*(modeldata!$G:$G=calibration!AQ$134)*(modeldata!$H:$H=calibration!$AF152),modeldata!$E:$E,0))</f>
        <v>0</v>
      </c>
      <c r="AR152" s="178">
        <f t="shared" ref="AR152:AR154" si="1037">SUM(AO152:AQ152)</f>
        <v>0</v>
      </c>
      <c r="AS152" s="17">
        <f t="shared" si="890"/>
        <v>0</v>
      </c>
      <c r="AU152" s="2" t="s">
        <v>6</v>
      </c>
      <c r="AV152" s="38">
        <f t="shared" ref="AV152:BG152" si="1038">IF(R155&gt;0,R152/R155,0)</f>
        <v>0</v>
      </c>
      <c r="AW152" s="242">
        <f t="shared" si="1038"/>
        <v>0</v>
      </c>
      <c r="AX152" s="242">
        <f t="shared" si="1038"/>
        <v>0</v>
      </c>
      <c r="AY152" s="242">
        <f t="shared" si="1038"/>
        <v>0</v>
      </c>
      <c r="AZ152" s="242">
        <f t="shared" si="1038"/>
        <v>0</v>
      </c>
      <c r="BA152" s="242">
        <f t="shared" si="1038"/>
        <v>0</v>
      </c>
      <c r="BB152" s="242">
        <f t="shared" si="1038"/>
        <v>0</v>
      </c>
      <c r="BC152" s="243">
        <f t="shared" si="1038"/>
        <v>0</v>
      </c>
      <c r="BD152" s="242">
        <f t="shared" si="1038"/>
        <v>0</v>
      </c>
      <c r="BE152" s="242">
        <f t="shared" si="1038"/>
        <v>0</v>
      </c>
      <c r="BF152" s="242">
        <f t="shared" si="1038"/>
        <v>0</v>
      </c>
      <c r="BG152" s="178">
        <f t="shared" si="1038"/>
        <v>0</v>
      </c>
      <c r="BH152" s="24" t="e">
        <f>AD152/AD155</f>
        <v>#DIV/0!</v>
      </c>
      <c r="BJ152" s="2" t="s">
        <v>6</v>
      </c>
      <c r="BK152" s="38">
        <f t="shared" ref="BK152:BV152" si="1039">IF(AG155&gt;0,AG152/AG155,0)</f>
        <v>0</v>
      </c>
      <c r="BL152" s="242">
        <f t="shared" si="1039"/>
        <v>0</v>
      </c>
      <c r="BM152" s="242">
        <f t="shared" si="1039"/>
        <v>0</v>
      </c>
      <c r="BN152" s="242">
        <f t="shared" si="1039"/>
        <v>0</v>
      </c>
      <c r="BO152" s="242">
        <f t="shared" si="1039"/>
        <v>0</v>
      </c>
      <c r="BP152" s="242">
        <f t="shared" si="1039"/>
        <v>0</v>
      </c>
      <c r="BQ152" s="242">
        <f t="shared" si="1039"/>
        <v>0</v>
      </c>
      <c r="BR152" s="243">
        <f t="shared" si="1039"/>
        <v>0</v>
      </c>
      <c r="BS152" s="242">
        <f t="shared" si="1039"/>
        <v>0</v>
      </c>
      <c r="BT152" s="242">
        <f t="shared" si="1039"/>
        <v>0</v>
      </c>
      <c r="BU152" s="242">
        <f t="shared" si="1039"/>
        <v>0</v>
      </c>
      <c r="BV152" s="178">
        <f t="shared" si="1039"/>
        <v>0</v>
      </c>
      <c r="BW152" s="24" t="e">
        <f>AS152/AS155</f>
        <v>#DIV/0!</v>
      </c>
      <c r="BX152" s="24"/>
      <c r="BY152" s="2" t="s">
        <v>6</v>
      </c>
      <c r="BZ152" s="54">
        <f t="shared" si="923"/>
        <v>0</v>
      </c>
      <c r="CA152" s="55">
        <f t="shared" si="893"/>
        <v>0</v>
      </c>
      <c r="CB152" s="55">
        <f t="shared" si="894"/>
        <v>0</v>
      </c>
      <c r="CC152" s="55">
        <f t="shared" si="895"/>
        <v>0</v>
      </c>
      <c r="CD152" s="55">
        <f t="shared" si="896"/>
        <v>0</v>
      </c>
      <c r="CE152" s="55">
        <f t="shared" si="897"/>
        <v>0</v>
      </c>
      <c r="CF152" s="55">
        <f t="shared" si="898"/>
        <v>0</v>
      </c>
      <c r="CG152" s="246">
        <f>AN152-Y152</f>
        <v>0</v>
      </c>
      <c r="CH152" s="55">
        <f t="shared" si="900"/>
        <v>0</v>
      </c>
      <c r="CI152" s="55">
        <f t="shared" si="901"/>
        <v>0</v>
      </c>
      <c r="CJ152" s="55">
        <f t="shared" si="902"/>
        <v>0</v>
      </c>
      <c r="CK152" s="249">
        <f t="shared" si="902"/>
        <v>0</v>
      </c>
      <c r="CL152" s="55">
        <f t="shared" si="903"/>
        <v>0</v>
      </c>
      <c r="CN152" s="2" t="s">
        <v>6</v>
      </c>
      <c r="CO152" s="54">
        <f t="shared" si="924"/>
        <v>0</v>
      </c>
      <c r="CP152" s="55">
        <f t="shared" si="904"/>
        <v>0</v>
      </c>
      <c r="CQ152" s="55">
        <f t="shared" si="905"/>
        <v>0</v>
      </c>
      <c r="CR152" s="55">
        <f t="shared" si="906"/>
        <v>0</v>
      </c>
      <c r="CS152" s="55">
        <f t="shared" si="907"/>
        <v>0</v>
      </c>
      <c r="CT152" s="55">
        <f t="shared" si="908"/>
        <v>0</v>
      </c>
      <c r="CU152" s="55">
        <f t="shared" si="909"/>
        <v>0</v>
      </c>
      <c r="CV152" s="246">
        <f t="shared" si="910"/>
        <v>0</v>
      </c>
      <c r="CW152" s="55">
        <f t="shared" si="911"/>
        <v>0</v>
      </c>
      <c r="CX152" s="55">
        <f t="shared" si="912"/>
        <v>0</v>
      </c>
      <c r="CY152" s="55">
        <f t="shared" si="913"/>
        <v>0</v>
      </c>
      <c r="CZ152" s="249">
        <f t="shared" si="913"/>
        <v>0</v>
      </c>
      <c r="DA152" s="62" t="e">
        <f t="shared" si="914"/>
        <v>#DIV/0!</v>
      </c>
      <c r="DC152" s="2" t="s">
        <v>6</v>
      </c>
      <c r="DD152" s="198">
        <f t="shared" si="925"/>
        <v>0</v>
      </c>
      <c r="DE152" s="199">
        <f t="shared" si="926"/>
        <v>0</v>
      </c>
      <c r="DF152" s="198">
        <f t="shared" si="927"/>
        <v>0</v>
      </c>
      <c r="DG152" s="199">
        <f t="shared" si="928"/>
        <v>0</v>
      </c>
      <c r="DH152" s="198">
        <f t="shared" si="929"/>
        <v>0</v>
      </c>
      <c r="DI152" s="199">
        <f t="shared" si="930"/>
        <v>0</v>
      </c>
      <c r="DJ152" s="198">
        <f t="shared" si="931"/>
        <v>0</v>
      </c>
      <c r="DK152" s="199">
        <f t="shared" si="932"/>
        <v>0</v>
      </c>
      <c r="DL152" s="198">
        <f t="shared" si="933"/>
        <v>0</v>
      </c>
      <c r="DM152" s="199">
        <f t="shared" si="934"/>
        <v>0</v>
      </c>
      <c r="DN152" s="198">
        <f t="shared" si="935"/>
        <v>0</v>
      </c>
      <c r="DO152" s="199">
        <f t="shared" si="936"/>
        <v>0</v>
      </c>
      <c r="DP152" s="198">
        <f t="shared" si="937"/>
        <v>0</v>
      </c>
      <c r="DQ152" s="199">
        <f t="shared" si="938"/>
        <v>0</v>
      </c>
      <c r="DR152" s="198">
        <f t="shared" si="939"/>
        <v>0</v>
      </c>
      <c r="DS152" s="199">
        <f t="shared" si="940"/>
        <v>0</v>
      </c>
      <c r="DT152" s="198">
        <f t="shared" si="941"/>
        <v>0</v>
      </c>
      <c r="DU152" s="199">
        <f t="shared" si="942"/>
        <v>0</v>
      </c>
      <c r="DV152" s="198">
        <f t="shared" si="943"/>
        <v>0</v>
      </c>
      <c r="DW152" s="199">
        <f t="shared" si="944"/>
        <v>0</v>
      </c>
      <c r="DX152" s="198">
        <f t="shared" si="945"/>
        <v>0</v>
      </c>
      <c r="DY152" s="199">
        <f t="shared" si="946"/>
        <v>0</v>
      </c>
      <c r="DZ152" s="190">
        <f t="shared" si="947"/>
        <v>0</v>
      </c>
      <c r="EA152" s="199">
        <f t="shared" si="915"/>
        <v>0</v>
      </c>
      <c r="EB152" s="190" t="e">
        <f t="shared" si="948"/>
        <v>#DIV/0!</v>
      </c>
      <c r="EC152" s="190" t="e">
        <f t="shared" si="949"/>
        <v>#DIV/0!</v>
      </c>
    </row>
    <row r="153" spans="1:133" x14ac:dyDescent="0.2">
      <c r="A153" s="2" t="s">
        <v>88</v>
      </c>
      <c r="B153" s="38">
        <f>targets!AW144</f>
        <v>0</v>
      </c>
      <c r="C153" s="242">
        <f>targets!AX144</f>
        <v>0</v>
      </c>
      <c r="D153" s="242">
        <f>targets!AY144</f>
        <v>0</v>
      </c>
      <c r="E153" s="242">
        <f>targets!AZ144</f>
        <v>0</v>
      </c>
      <c r="F153" s="242">
        <f>targets!BA144</f>
        <v>0</v>
      </c>
      <c r="G153" s="242">
        <f>SUM(targets!BB144:BG144)</f>
        <v>0</v>
      </c>
      <c r="H153" s="242">
        <f>SUM(targets!BH144:BM144)</f>
        <v>0</v>
      </c>
      <c r="I153" s="243">
        <f t="shared" si="916"/>
        <v>0</v>
      </c>
      <c r="J153" s="242">
        <f>targets!BN144</f>
        <v>0</v>
      </c>
      <c r="K153" s="242">
        <f>targets!BO144</f>
        <v>0</v>
      </c>
      <c r="L153" s="242">
        <f>targets!BP144</f>
        <v>0</v>
      </c>
      <c r="M153" s="178">
        <f t="shared" si="917"/>
        <v>0</v>
      </c>
      <c r="N153" s="17">
        <f t="shared" si="878"/>
        <v>0</v>
      </c>
      <c r="O153" s="17"/>
      <c r="P153" s="17"/>
      <c r="Q153" s="2" t="s">
        <v>88</v>
      </c>
      <c r="R153" s="38">
        <f t="shared" si="879"/>
        <v>0</v>
      </c>
      <c r="S153" s="242">
        <f t="shared" si="880"/>
        <v>0</v>
      </c>
      <c r="T153" s="242">
        <f t="shared" si="881"/>
        <v>0</v>
      </c>
      <c r="U153" s="242">
        <f t="shared" si="882"/>
        <v>0</v>
      </c>
      <c r="V153" s="242">
        <f t="shared" si="883"/>
        <v>0</v>
      </c>
      <c r="W153" s="242">
        <f t="shared" si="884"/>
        <v>0</v>
      </c>
      <c r="X153" s="242">
        <f t="shared" si="885"/>
        <v>0</v>
      </c>
      <c r="Y153" s="243">
        <f t="shared" si="918"/>
        <v>0</v>
      </c>
      <c r="Z153" s="242">
        <f t="shared" si="886"/>
        <v>0</v>
      </c>
      <c r="AA153" s="242">
        <f t="shared" si="887"/>
        <v>0</v>
      </c>
      <c r="AB153" s="242">
        <f t="shared" si="888"/>
        <v>0</v>
      </c>
      <c r="AC153" s="178">
        <f t="shared" si="919"/>
        <v>0</v>
      </c>
      <c r="AD153" s="17">
        <f t="shared" si="889"/>
        <v>0</v>
      </c>
      <c r="AF153" s="2" t="s">
        <v>88</v>
      </c>
      <c r="AG153" s="38">
        <f t="array" ref="AG153">SUM(IF((modeldata!$F:$F=calibration!$AF$132)*(modeldata!$G:$G=calibration!AG$134)*(modeldata!$H:$H=calibration!$AF153),modeldata!$E:$E,0))</f>
        <v>0</v>
      </c>
      <c r="AH153" s="242">
        <f t="array" ref="AH153">SUM(IF((modeldata!$F:$F=calibration!$AF$132)*(modeldata!$G:$G=calibration!AH$134)*(modeldata!$H:$H=calibration!$AF153),modeldata!$E:$E,0))</f>
        <v>0</v>
      </c>
      <c r="AI153" s="242">
        <f t="array" ref="AI153">SUM(IF((modeldata!$F:$F=calibration!$AF$132)*(modeldata!$G:$G=calibration!AI$134)*(modeldata!$H:$H=calibration!$AF153),modeldata!$E:$E,0))</f>
        <v>0</v>
      </c>
      <c r="AJ153" s="242">
        <f t="array" ref="AJ153">SUM(IF((modeldata!$F:$F=calibration!$AF$132)*(modeldata!$G:$G=calibration!AJ$134)*(modeldata!$H:$H=calibration!$AF153),modeldata!$E:$E,0))</f>
        <v>0</v>
      </c>
      <c r="AK153" s="242">
        <f t="array" ref="AK153">SUM(IF((modeldata!$F:$F=calibration!$AF$132)*(modeldata!$G:$G=calibration!AK$134)*(modeldata!$H:$H=calibration!$AF153),modeldata!$E:$E,0))</f>
        <v>0</v>
      </c>
      <c r="AL153" s="242">
        <f t="array" ref="AL153">SUM(IF((modeldata!$F:$F=calibration!$AF$132)*(modeldata!$G:$G=calibration!AL$134)*(modeldata!$H:$H=calibration!$AF153),modeldata!$E:$E,0))</f>
        <v>0</v>
      </c>
      <c r="AM153" s="242">
        <f t="array" ref="AM153">SUM(IF((modeldata!$F:$F=calibration!$AF$132)*(modeldata!$G:$G=calibration!AM$134)*(modeldata!$H:$H=calibration!$AF153),modeldata!$E:$E,0))</f>
        <v>0</v>
      </c>
      <c r="AN153" s="243">
        <f t="shared" si="920"/>
        <v>0</v>
      </c>
      <c r="AO153" s="242">
        <f t="array" ref="AO153">SUM(IF((modeldata!$F:$F=calibration!$AF$132)*(modeldata!$G:$G=calibration!AO$134)*(modeldata!$H:$H=calibration!$AF153),modeldata!$E:$E,0))</f>
        <v>0</v>
      </c>
      <c r="AP153" s="242">
        <f t="array" ref="AP153">SUM(IF((modeldata!$F:$F=calibration!$AF$132)*(modeldata!$G:$G=calibration!AP$134)*(modeldata!$H:$H=calibration!$AF153),modeldata!$E:$E,0))</f>
        <v>0</v>
      </c>
      <c r="AQ153" s="242">
        <f t="array" ref="AQ153">SUM(IF((modeldata!$F:$F=calibration!$AF$132)*(modeldata!$G:$G=calibration!AQ$134)*(modeldata!$H:$H=calibration!$AF153),modeldata!$E:$E,0))</f>
        <v>0</v>
      </c>
      <c r="AR153" s="178">
        <f t="shared" si="1037"/>
        <v>0</v>
      </c>
      <c r="AS153" s="17">
        <f t="shared" si="890"/>
        <v>0</v>
      </c>
      <c r="AU153" s="2" t="s">
        <v>88</v>
      </c>
      <c r="AV153" s="38">
        <f t="shared" ref="AV153:BG153" si="1040">IF(R155&gt;0,R153/R155,0)</f>
        <v>0</v>
      </c>
      <c r="AW153" s="242">
        <f t="shared" si="1040"/>
        <v>0</v>
      </c>
      <c r="AX153" s="242">
        <f t="shared" si="1040"/>
        <v>0</v>
      </c>
      <c r="AY153" s="242">
        <f t="shared" si="1040"/>
        <v>0</v>
      </c>
      <c r="AZ153" s="242">
        <f t="shared" si="1040"/>
        <v>0</v>
      </c>
      <c r="BA153" s="242">
        <f t="shared" si="1040"/>
        <v>0</v>
      </c>
      <c r="BB153" s="242">
        <f t="shared" si="1040"/>
        <v>0</v>
      </c>
      <c r="BC153" s="243">
        <f t="shared" si="1040"/>
        <v>0</v>
      </c>
      <c r="BD153" s="242">
        <f t="shared" si="1040"/>
        <v>0</v>
      </c>
      <c r="BE153" s="242">
        <f t="shared" si="1040"/>
        <v>0</v>
      </c>
      <c r="BF153" s="242">
        <f t="shared" si="1040"/>
        <v>0</v>
      </c>
      <c r="BG153" s="178">
        <f t="shared" si="1040"/>
        <v>0</v>
      </c>
      <c r="BH153" s="24" t="e">
        <f>AD153/AD155</f>
        <v>#DIV/0!</v>
      </c>
      <c r="BJ153" s="2" t="s">
        <v>88</v>
      </c>
      <c r="BK153" s="38">
        <f t="shared" ref="BK153:BV153" si="1041">IF(AG155&gt;0,AG153/AG155,0)</f>
        <v>0</v>
      </c>
      <c r="BL153" s="242">
        <f t="shared" si="1041"/>
        <v>0</v>
      </c>
      <c r="BM153" s="242">
        <f t="shared" si="1041"/>
        <v>0</v>
      </c>
      <c r="BN153" s="242">
        <f t="shared" si="1041"/>
        <v>0</v>
      </c>
      <c r="BO153" s="242">
        <f t="shared" si="1041"/>
        <v>0</v>
      </c>
      <c r="BP153" s="242">
        <f t="shared" si="1041"/>
        <v>0</v>
      </c>
      <c r="BQ153" s="242">
        <f t="shared" si="1041"/>
        <v>0</v>
      </c>
      <c r="BR153" s="243">
        <f t="shared" si="1041"/>
        <v>0</v>
      </c>
      <c r="BS153" s="242">
        <f t="shared" si="1041"/>
        <v>0</v>
      </c>
      <c r="BT153" s="242">
        <f t="shared" si="1041"/>
        <v>0</v>
      </c>
      <c r="BU153" s="242">
        <f t="shared" si="1041"/>
        <v>0</v>
      </c>
      <c r="BV153" s="178">
        <f t="shared" si="1041"/>
        <v>0</v>
      </c>
      <c r="BW153" s="24" t="e">
        <f>AS153/AS155</f>
        <v>#DIV/0!</v>
      </c>
      <c r="BX153" s="24"/>
      <c r="BY153" s="2" t="s">
        <v>88</v>
      </c>
      <c r="BZ153" s="54">
        <f t="shared" si="923"/>
        <v>0</v>
      </c>
      <c r="CA153" s="55">
        <f t="shared" si="893"/>
        <v>0</v>
      </c>
      <c r="CB153" s="55">
        <f t="shared" si="894"/>
        <v>0</v>
      </c>
      <c r="CC153" s="55">
        <f t="shared" si="895"/>
        <v>0</v>
      </c>
      <c r="CD153" s="55">
        <f t="shared" si="896"/>
        <v>0</v>
      </c>
      <c r="CE153" s="55">
        <f t="shared" si="897"/>
        <v>0</v>
      </c>
      <c r="CF153" s="55">
        <f t="shared" si="898"/>
        <v>0</v>
      </c>
      <c r="CG153" s="246">
        <f>AN153-Y153</f>
        <v>0</v>
      </c>
      <c r="CH153" s="55">
        <f t="shared" si="900"/>
        <v>0</v>
      </c>
      <c r="CI153" s="55">
        <f t="shared" si="901"/>
        <v>0</v>
      </c>
      <c r="CJ153" s="55">
        <f t="shared" si="902"/>
        <v>0</v>
      </c>
      <c r="CK153" s="249">
        <f t="shared" si="902"/>
        <v>0</v>
      </c>
      <c r="CL153" s="55">
        <f t="shared" si="903"/>
        <v>0</v>
      </c>
      <c r="CN153" s="2" t="s">
        <v>88</v>
      </c>
      <c r="CO153" s="54">
        <f t="shared" si="924"/>
        <v>0</v>
      </c>
      <c r="CP153" s="55">
        <f t="shared" si="904"/>
        <v>0</v>
      </c>
      <c r="CQ153" s="55">
        <f t="shared" si="905"/>
        <v>0</v>
      </c>
      <c r="CR153" s="55">
        <f t="shared" si="906"/>
        <v>0</v>
      </c>
      <c r="CS153" s="55">
        <f t="shared" si="907"/>
        <v>0</v>
      </c>
      <c r="CT153" s="55">
        <f t="shared" si="908"/>
        <v>0</v>
      </c>
      <c r="CU153" s="55">
        <f t="shared" si="909"/>
        <v>0</v>
      </c>
      <c r="CV153" s="246">
        <f t="shared" si="910"/>
        <v>0</v>
      </c>
      <c r="CW153" s="55">
        <f t="shared" si="911"/>
        <v>0</v>
      </c>
      <c r="CX153" s="55">
        <f t="shared" si="912"/>
        <v>0</v>
      </c>
      <c r="CY153" s="55">
        <f t="shared" si="913"/>
        <v>0</v>
      </c>
      <c r="CZ153" s="249">
        <f t="shared" si="913"/>
        <v>0</v>
      </c>
      <c r="DA153" s="62" t="e">
        <f t="shared" si="914"/>
        <v>#DIV/0!</v>
      </c>
      <c r="DC153" s="2" t="s">
        <v>88</v>
      </c>
      <c r="DD153" s="198">
        <f t="shared" si="925"/>
        <v>0</v>
      </c>
      <c r="DE153" s="199">
        <f t="shared" si="926"/>
        <v>0</v>
      </c>
      <c r="DF153" s="198">
        <f t="shared" si="927"/>
        <v>0</v>
      </c>
      <c r="DG153" s="199">
        <f t="shared" si="928"/>
        <v>0</v>
      </c>
      <c r="DH153" s="198">
        <f t="shared" si="929"/>
        <v>0</v>
      </c>
      <c r="DI153" s="199">
        <f t="shared" si="930"/>
        <v>0</v>
      </c>
      <c r="DJ153" s="198">
        <f t="shared" si="931"/>
        <v>0</v>
      </c>
      <c r="DK153" s="199">
        <f t="shared" si="932"/>
        <v>0</v>
      </c>
      <c r="DL153" s="198">
        <f t="shared" si="933"/>
        <v>0</v>
      </c>
      <c r="DM153" s="199">
        <f t="shared" si="934"/>
        <v>0</v>
      </c>
      <c r="DN153" s="198">
        <f t="shared" si="935"/>
        <v>0</v>
      </c>
      <c r="DO153" s="199">
        <f t="shared" si="936"/>
        <v>0</v>
      </c>
      <c r="DP153" s="198">
        <f t="shared" si="937"/>
        <v>0</v>
      </c>
      <c r="DQ153" s="199">
        <f t="shared" si="938"/>
        <v>0</v>
      </c>
      <c r="DR153" s="198">
        <f t="shared" si="939"/>
        <v>0</v>
      </c>
      <c r="DS153" s="199">
        <f t="shared" si="940"/>
        <v>0</v>
      </c>
      <c r="DT153" s="198">
        <f t="shared" si="941"/>
        <v>0</v>
      </c>
      <c r="DU153" s="199">
        <f t="shared" si="942"/>
        <v>0</v>
      </c>
      <c r="DV153" s="198">
        <f t="shared" si="943"/>
        <v>0</v>
      </c>
      <c r="DW153" s="199">
        <f t="shared" si="944"/>
        <v>0</v>
      </c>
      <c r="DX153" s="198">
        <f t="shared" si="945"/>
        <v>0</v>
      </c>
      <c r="DY153" s="199">
        <f t="shared" si="946"/>
        <v>0</v>
      </c>
      <c r="DZ153" s="190">
        <f t="shared" si="947"/>
        <v>0</v>
      </c>
      <c r="EA153" s="199">
        <f t="shared" si="915"/>
        <v>0</v>
      </c>
      <c r="EB153" s="190" t="e">
        <f t="shared" si="948"/>
        <v>#DIV/0!</v>
      </c>
      <c r="EC153" s="190" t="e">
        <f t="shared" si="949"/>
        <v>#DIV/0!</v>
      </c>
    </row>
    <row r="154" spans="1:133" x14ac:dyDescent="0.2">
      <c r="A154" s="2" t="s">
        <v>89</v>
      </c>
      <c r="B154" s="42">
        <f>targets!AW145</f>
        <v>0</v>
      </c>
      <c r="C154" s="43">
        <f>targets!AX145</f>
        <v>0</v>
      </c>
      <c r="D154" s="43">
        <f>targets!AY145</f>
        <v>0</v>
      </c>
      <c r="E154" s="43">
        <f>targets!AZ145</f>
        <v>0</v>
      </c>
      <c r="F154" s="43">
        <f>targets!BA145</f>
        <v>0</v>
      </c>
      <c r="G154" s="43">
        <f>SUM(targets!BB145:BG145)</f>
        <v>0</v>
      </c>
      <c r="H154" s="43">
        <f>SUM(targets!BH145:BM145)</f>
        <v>0</v>
      </c>
      <c r="I154" s="75">
        <f t="shared" si="916"/>
        <v>0</v>
      </c>
      <c r="J154" s="43">
        <f>targets!BN145</f>
        <v>0</v>
      </c>
      <c r="K154" s="43">
        <f>targets!BO145</f>
        <v>0</v>
      </c>
      <c r="L154" s="43">
        <f>targets!BP145</f>
        <v>0</v>
      </c>
      <c r="M154" s="244">
        <f t="shared" si="917"/>
        <v>0</v>
      </c>
      <c r="N154" s="17">
        <f t="shared" si="878"/>
        <v>0</v>
      </c>
      <c r="O154" s="17"/>
      <c r="P154" s="17"/>
      <c r="Q154" s="2" t="s">
        <v>89</v>
      </c>
      <c r="R154" s="42">
        <f t="shared" si="879"/>
        <v>0</v>
      </c>
      <c r="S154" s="43">
        <f t="shared" si="880"/>
        <v>0</v>
      </c>
      <c r="T154" s="43">
        <f t="shared" si="881"/>
        <v>0</v>
      </c>
      <c r="U154" s="43">
        <f t="shared" si="882"/>
        <v>0</v>
      </c>
      <c r="V154" s="43">
        <f t="shared" si="883"/>
        <v>0</v>
      </c>
      <c r="W154" s="43">
        <f t="shared" si="884"/>
        <v>0</v>
      </c>
      <c r="X154" s="43">
        <f t="shared" si="885"/>
        <v>0</v>
      </c>
      <c r="Y154" s="75">
        <f t="shared" si="918"/>
        <v>0</v>
      </c>
      <c r="Z154" s="43">
        <f t="shared" si="886"/>
        <v>0</v>
      </c>
      <c r="AA154" s="43">
        <f t="shared" si="887"/>
        <v>0</v>
      </c>
      <c r="AB154" s="43">
        <f t="shared" si="888"/>
        <v>0</v>
      </c>
      <c r="AC154" s="244">
        <f t="shared" si="919"/>
        <v>0</v>
      </c>
      <c r="AD154" s="17">
        <f t="shared" si="889"/>
        <v>0</v>
      </c>
      <c r="AF154" s="2" t="s">
        <v>89</v>
      </c>
      <c r="AG154" s="42">
        <f t="array" ref="AG154">SUM(IF((modeldata!$F:$F=calibration!$AF$132)*(modeldata!$G:$G=calibration!AG$134)*(modeldata!$H:$H=calibration!$AF154),modeldata!$E:$E,0))</f>
        <v>0</v>
      </c>
      <c r="AH154" s="43">
        <f t="array" ref="AH154">SUM(IF((modeldata!$F:$F=calibration!$AF$132)*(modeldata!$G:$G=calibration!AH$134)*(modeldata!$H:$H=calibration!$AF154),modeldata!$E:$E,0))</f>
        <v>0</v>
      </c>
      <c r="AI154" s="43">
        <f t="array" ref="AI154">SUM(IF((modeldata!$F:$F=calibration!$AF$132)*(modeldata!$G:$G=calibration!AI$134)*(modeldata!$H:$H=calibration!$AF154),modeldata!$E:$E,0))</f>
        <v>0</v>
      </c>
      <c r="AJ154" s="43">
        <f t="array" ref="AJ154">SUM(IF((modeldata!$F:$F=calibration!$AF$132)*(modeldata!$G:$G=calibration!AJ$134)*(modeldata!$H:$H=calibration!$AF154),modeldata!$E:$E,0))</f>
        <v>0</v>
      </c>
      <c r="AK154" s="43">
        <f t="array" ref="AK154">SUM(IF((modeldata!$F:$F=calibration!$AF$132)*(modeldata!$G:$G=calibration!AK$134)*(modeldata!$H:$H=calibration!$AF154),modeldata!$E:$E,0))</f>
        <v>0</v>
      </c>
      <c r="AL154" s="43">
        <f t="array" ref="AL154">SUM(IF((modeldata!$F:$F=calibration!$AF$132)*(modeldata!$G:$G=calibration!AL$134)*(modeldata!$H:$H=calibration!$AF154),modeldata!$E:$E,0))</f>
        <v>0</v>
      </c>
      <c r="AM154" s="43">
        <f t="array" ref="AM154">SUM(IF((modeldata!$F:$F=calibration!$AF$132)*(modeldata!$G:$G=calibration!AM$134)*(modeldata!$H:$H=calibration!$AF154),modeldata!$E:$E,0))</f>
        <v>0</v>
      </c>
      <c r="AN154" s="75">
        <f t="shared" si="920"/>
        <v>0</v>
      </c>
      <c r="AO154" s="43">
        <f t="array" ref="AO154">SUM(IF((modeldata!$F:$F=calibration!$AF$132)*(modeldata!$G:$G=calibration!AO$134)*(modeldata!$H:$H=calibration!$AF154),modeldata!$E:$E,0))</f>
        <v>0</v>
      </c>
      <c r="AP154" s="43">
        <f t="array" ref="AP154">SUM(IF((modeldata!$F:$F=calibration!$AF$132)*(modeldata!$G:$G=calibration!AP$134)*(modeldata!$H:$H=calibration!$AF154),modeldata!$E:$E,0))</f>
        <v>0</v>
      </c>
      <c r="AQ154" s="43">
        <f t="array" ref="AQ154">SUM(IF((modeldata!$F:$F=calibration!$AF$132)*(modeldata!$G:$G=calibration!AQ$134)*(modeldata!$H:$H=calibration!$AF154),modeldata!$E:$E,0))</f>
        <v>0</v>
      </c>
      <c r="AR154" s="244">
        <f t="shared" si="1037"/>
        <v>0</v>
      </c>
      <c r="AS154" s="17">
        <f t="shared" si="890"/>
        <v>0</v>
      </c>
      <c r="AU154" s="2" t="s">
        <v>89</v>
      </c>
      <c r="AV154" s="42">
        <f t="shared" ref="AV154:BG154" si="1042">IF(R155&gt;0,R154/R155,0)</f>
        <v>0</v>
      </c>
      <c r="AW154" s="43">
        <f t="shared" si="1042"/>
        <v>0</v>
      </c>
      <c r="AX154" s="43">
        <f t="shared" si="1042"/>
        <v>0</v>
      </c>
      <c r="AY154" s="43">
        <f t="shared" si="1042"/>
        <v>0</v>
      </c>
      <c r="AZ154" s="43">
        <f t="shared" si="1042"/>
        <v>0</v>
      </c>
      <c r="BA154" s="43">
        <f t="shared" si="1042"/>
        <v>0</v>
      </c>
      <c r="BB154" s="43">
        <f t="shared" si="1042"/>
        <v>0</v>
      </c>
      <c r="BC154" s="75">
        <f t="shared" si="1042"/>
        <v>0</v>
      </c>
      <c r="BD154" s="43">
        <f t="shared" si="1042"/>
        <v>0</v>
      </c>
      <c r="BE154" s="43">
        <f t="shared" si="1042"/>
        <v>0</v>
      </c>
      <c r="BF154" s="43">
        <f t="shared" si="1042"/>
        <v>0</v>
      </c>
      <c r="BG154" s="244">
        <f t="shared" si="1042"/>
        <v>0</v>
      </c>
      <c r="BH154" s="24" t="e">
        <f>AD154/AD155</f>
        <v>#DIV/0!</v>
      </c>
      <c r="BJ154" s="2" t="s">
        <v>89</v>
      </c>
      <c r="BK154" s="42">
        <f t="shared" ref="BK154:BV154" si="1043">IF(AG155&gt;0,AG154/AG155,0)</f>
        <v>0</v>
      </c>
      <c r="BL154" s="43">
        <f t="shared" si="1043"/>
        <v>0</v>
      </c>
      <c r="BM154" s="43">
        <f t="shared" si="1043"/>
        <v>0</v>
      </c>
      <c r="BN154" s="43">
        <f t="shared" si="1043"/>
        <v>0</v>
      </c>
      <c r="BO154" s="43">
        <f t="shared" si="1043"/>
        <v>0</v>
      </c>
      <c r="BP154" s="43">
        <f t="shared" si="1043"/>
        <v>0</v>
      </c>
      <c r="BQ154" s="43">
        <f t="shared" si="1043"/>
        <v>0</v>
      </c>
      <c r="BR154" s="75">
        <f t="shared" si="1043"/>
        <v>0</v>
      </c>
      <c r="BS154" s="43">
        <f t="shared" si="1043"/>
        <v>0</v>
      </c>
      <c r="BT154" s="43">
        <f t="shared" si="1043"/>
        <v>0</v>
      </c>
      <c r="BU154" s="43">
        <f t="shared" si="1043"/>
        <v>0</v>
      </c>
      <c r="BV154" s="244">
        <f t="shared" si="1043"/>
        <v>0</v>
      </c>
      <c r="BW154" s="24" t="e">
        <f>AS154/AS155</f>
        <v>#DIV/0!</v>
      </c>
      <c r="BX154" s="24"/>
      <c r="BY154" s="2" t="s">
        <v>89</v>
      </c>
      <c r="BZ154" s="56">
        <f t="shared" si="923"/>
        <v>0</v>
      </c>
      <c r="CA154" s="57">
        <f t="shared" si="893"/>
        <v>0</v>
      </c>
      <c r="CB154" s="57">
        <f t="shared" si="894"/>
        <v>0</v>
      </c>
      <c r="CC154" s="57">
        <f t="shared" si="895"/>
        <v>0</v>
      </c>
      <c r="CD154" s="57">
        <f t="shared" si="896"/>
        <v>0</v>
      </c>
      <c r="CE154" s="57">
        <f t="shared" si="897"/>
        <v>0</v>
      </c>
      <c r="CF154" s="57">
        <f t="shared" si="898"/>
        <v>0</v>
      </c>
      <c r="CG154" s="247">
        <f>AN154-Y154</f>
        <v>0</v>
      </c>
      <c r="CH154" s="57">
        <f t="shared" si="900"/>
        <v>0</v>
      </c>
      <c r="CI154" s="57">
        <f t="shared" si="901"/>
        <v>0</v>
      </c>
      <c r="CJ154" s="57">
        <f t="shared" si="902"/>
        <v>0</v>
      </c>
      <c r="CK154" s="250">
        <f t="shared" si="902"/>
        <v>0</v>
      </c>
      <c r="CL154" s="55">
        <f t="shared" si="903"/>
        <v>0</v>
      </c>
      <c r="CN154" s="2" t="s">
        <v>89</v>
      </c>
      <c r="CO154" s="56">
        <f t="shared" si="924"/>
        <v>0</v>
      </c>
      <c r="CP154" s="57">
        <f t="shared" si="904"/>
        <v>0</v>
      </c>
      <c r="CQ154" s="57">
        <f t="shared" si="905"/>
        <v>0</v>
      </c>
      <c r="CR154" s="57">
        <f t="shared" si="906"/>
        <v>0</v>
      </c>
      <c r="CS154" s="57">
        <f t="shared" si="907"/>
        <v>0</v>
      </c>
      <c r="CT154" s="57">
        <f t="shared" si="908"/>
        <v>0</v>
      </c>
      <c r="CU154" s="57">
        <f t="shared" si="909"/>
        <v>0</v>
      </c>
      <c r="CV154" s="247">
        <f t="shared" si="910"/>
        <v>0</v>
      </c>
      <c r="CW154" s="57">
        <f t="shared" si="911"/>
        <v>0</v>
      </c>
      <c r="CX154" s="57">
        <f t="shared" si="912"/>
        <v>0</v>
      </c>
      <c r="CY154" s="57">
        <f t="shared" si="913"/>
        <v>0</v>
      </c>
      <c r="CZ154" s="250">
        <f t="shared" si="913"/>
        <v>0</v>
      </c>
      <c r="DA154" s="62" t="e">
        <f t="shared" si="914"/>
        <v>#DIV/0!</v>
      </c>
      <c r="DC154" s="2" t="s">
        <v>89</v>
      </c>
      <c r="DD154" s="200">
        <f t="shared" si="925"/>
        <v>0</v>
      </c>
      <c r="DE154" s="201">
        <f t="shared" si="926"/>
        <v>0</v>
      </c>
      <c r="DF154" s="200">
        <f t="shared" si="927"/>
        <v>0</v>
      </c>
      <c r="DG154" s="201">
        <f t="shared" si="928"/>
        <v>0</v>
      </c>
      <c r="DH154" s="200">
        <f t="shared" si="929"/>
        <v>0</v>
      </c>
      <c r="DI154" s="201">
        <f t="shared" si="930"/>
        <v>0</v>
      </c>
      <c r="DJ154" s="200">
        <f t="shared" si="931"/>
        <v>0</v>
      </c>
      <c r="DK154" s="201">
        <f t="shared" si="932"/>
        <v>0</v>
      </c>
      <c r="DL154" s="200">
        <f t="shared" si="933"/>
        <v>0</v>
      </c>
      <c r="DM154" s="201">
        <f t="shared" si="934"/>
        <v>0</v>
      </c>
      <c r="DN154" s="200">
        <f t="shared" si="935"/>
        <v>0</v>
      </c>
      <c r="DO154" s="201">
        <f t="shared" si="936"/>
        <v>0</v>
      </c>
      <c r="DP154" s="200">
        <f t="shared" si="937"/>
        <v>0</v>
      </c>
      <c r="DQ154" s="201">
        <f t="shared" si="938"/>
        <v>0</v>
      </c>
      <c r="DR154" s="200">
        <f t="shared" si="939"/>
        <v>0</v>
      </c>
      <c r="DS154" s="201">
        <f t="shared" si="940"/>
        <v>0</v>
      </c>
      <c r="DT154" s="200">
        <f t="shared" si="941"/>
        <v>0</v>
      </c>
      <c r="DU154" s="201">
        <f t="shared" si="942"/>
        <v>0</v>
      </c>
      <c r="DV154" s="200">
        <f t="shared" si="943"/>
        <v>0</v>
      </c>
      <c r="DW154" s="201">
        <f t="shared" si="944"/>
        <v>0</v>
      </c>
      <c r="DX154" s="200">
        <f t="shared" si="945"/>
        <v>0</v>
      </c>
      <c r="DY154" s="201">
        <f t="shared" si="946"/>
        <v>0</v>
      </c>
      <c r="DZ154" s="202">
        <f t="shared" si="947"/>
        <v>0</v>
      </c>
      <c r="EA154" s="201">
        <f t="shared" si="915"/>
        <v>0</v>
      </c>
      <c r="EB154" s="190" t="e">
        <f t="shared" si="948"/>
        <v>#DIV/0!</v>
      </c>
      <c r="EC154" s="190" t="e">
        <f t="shared" si="949"/>
        <v>#DIV/0!</v>
      </c>
    </row>
    <row r="155" spans="1:133" x14ac:dyDescent="0.2">
      <c r="A155" s="65" t="s">
        <v>54</v>
      </c>
      <c r="B155" s="17">
        <f t="shared" ref="B155:M155" si="1044">SUM(B135:B154)</f>
        <v>268092.28461367526</v>
      </c>
      <c r="C155" s="17">
        <f t="shared" si="1044"/>
        <v>131870.72079612131</v>
      </c>
      <c r="D155" s="17">
        <f t="shared" si="1044"/>
        <v>48985.175775019808</v>
      </c>
      <c r="E155" s="17">
        <f t="shared" si="1044"/>
        <v>285264.06674268906</v>
      </c>
      <c r="F155" s="17">
        <f t="shared" si="1044"/>
        <v>16410.892782030303</v>
      </c>
      <c r="G155" s="17">
        <f t="shared" si="1044"/>
        <v>13292.555379863563</v>
      </c>
      <c r="H155" s="17">
        <f t="shared" si="1044"/>
        <v>3395.4820376121588</v>
      </c>
      <c r="I155" s="72">
        <f t="shared" si="1044"/>
        <v>16688.037417475723</v>
      </c>
      <c r="J155" s="17">
        <f t="shared" si="1044"/>
        <v>85.131617439449343</v>
      </c>
      <c r="K155" s="17">
        <f t="shared" si="1044"/>
        <v>1538.8918961116353</v>
      </c>
      <c r="L155" s="17">
        <f t="shared" si="1044"/>
        <v>177.6123525380998</v>
      </c>
      <c r="M155" s="72">
        <f t="shared" si="1044"/>
        <v>1801.6358660891847</v>
      </c>
      <c r="N155" s="17">
        <f t="shared" si="878"/>
        <v>769112.81399310078</v>
      </c>
      <c r="O155" s="17"/>
      <c r="P155" s="17"/>
      <c r="Q155" s="65" t="s">
        <v>54</v>
      </c>
      <c r="R155" s="17">
        <f t="shared" ref="R155:AC155" si="1045">SUM(R135:R154)</f>
        <v>0</v>
      </c>
      <c r="S155" s="17">
        <f t="shared" si="1045"/>
        <v>0</v>
      </c>
      <c r="T155" s="17">
        <f t="shared" si="1045"/>
        <v>0</v>
      </c>
      <c r="U155" s="17">
        <f t="shared" si="1045"/>
        <v>0</v>
      </c>
      <c r="V155" s="17">
        <f t="shared" si="1045"/>
        <v>0</v>
      </c>
      <c r="W155" s="17">
        <f t="shared" si="1045"/>
        <v>0</v>
      </c>
      <c r="X155" s="17">
        <f t="shared" si="1045"/>
        <v>0</v>
      </c>
      <c r="Y155" s="72">
        <f t="shared" si="1045"/>
        <v>0</v>
      </c>
      <c r="Z155" s="17">
        <f t="shared" si="1045"/>
        <v>0</v>
      </c>
      <c r="AA155" s="17">
        <f t="shared" si="1045"/>
        <v>0</v>
      </c>
      <c r="AB155" s="17">
        <f t="shared" si="1045"/>
        <v>0</v>
      </c>
      <c r="AC155" s="72">
        <f t="shared" si="1045"/>
        <v>0</v>
      </c>
      <c r="AD155" s="17">
        <f t="shared" si="889"/>
        <v>0</v>
      </c>
      <c r="AF155" s="65" t="s">
        <v>54</v>
      </c>
      <c r="AG155" s="17">
        <f t="shared" ref="AG155:AR155" si="1046">SUM(AG135:AG154)</f>
        <v>0</v>
      </c>
      <c r="AH155" s="17">
        <f t="shared" si="1046"/>
        <v>0</v>
      </c>
      <c r="AI155" s="17">
        <f t="shared" si="1046"/>
        <v>0</v>
      </c>
      <c r="AJ155" s="17">
        <f t="shared" si="1046"/>
        <v>0</v>
      </c>
      <c r="AK155" s="17">
        <f t="shared" si="1046"/>
        <v>0</v>
      </c>
      <c r="AL155" s="17">
        <f t="shared" si="1046"/>
        <v>0</v>
      </c>
      <c r="AM155" s="17">
        <f t="shared" si="1046"/>
        <v>0</v>
      </c>
      <c r="AN155" s="72">
        <f t="shared" si="1046"/>
        <v>0</v>
      </c>
      <c r="AO155" s="17">
        <f t="shared" si="1046"/>
        <v>0</v>
      </c>
      <c r="AP155" s="17">
        <f t="shared" si="1046"/>
        <v>0</v>
      </c>
      <c r="AQ155" s="17">
        <f t="shared" si="1046"/>
        <v>0</v>
      </c>
      <c r="AR155" s="72">
        <f t="shared" si="1046"/>
        <v>0</v>
      </c>
      <c r="AS155" s="17">
        <f t="shared" si="890"/>
        <v>0</v>
      </c>
      <c r="AU155" s="65" t="s">
        <v>54</v>
      </c>
      <c r="AV155" s="17">
        <f t="shared" ref="AV155:BH155" si="1047">SUM(AV135:AV154)</f>
        <v>0</v>
      </c>
      <c r="AW155" s="17">
        <f t="shared" si="1047"/>
        <v>0</v>
      </c>
      <c r="AX155" s="17">
        <f t="shared" si="1047"/>
        <v>0</v>
      </c>
      <c r="AY155" s="17">
        <f t="shared" si="1047"/>
        <v>0</v>
      </c>
      <c r="AZ155" s="17">
        <f t="shared" si="1047"/>
        <v>0</v>
      </c>
      <c r="BA155" s="17">
        <f t="shared" si="1047"/>
        <v>0</v>
      </c>
      <c r="BB155" s="17">
        <f t="shared" si="1047"/>
        <v>0</v>
      </c>
      <c r="BC155" s="72">
        <f t="shared" si="1047"/>
        <v>0</v>
      </c>
      <c r="BD155" s="17">
        <f t="shared" si="1047"/>
        <v>0</v>
      </c>
      <c r="BE155" s="17">
        <f t="shared" si="1047"/>
        <v>0</v>
      </c>
      <c r="BF155" s="17">
        <f t="shared" si="1047"/>
        <v>0</v>
      </c>
      <c r="BG155" s="72">
        <f t="shared" si="1047"/>
        <v>0</v>
      </c>
      <c r="BH155" s="24" t="e">
        <f t="shared" si="1047"/>
        <v>#DIV/0!</v>
      </c>
      <c r="BJ155" s="65" t="s">
        <v>54</v>
      </c>
      <c r="BK155" s="24">
        <f t="shared" ref="BK155:BW155" si="1048">SUM(BK135:BK154)</f>
        <v>0</v>
      </c>
      <c r="BL155" s="24">
        <f t="shared" si="1048"/>
        <v>0</v>
      </c>
      <c r="BM155" s="24">
        <f t="shared" si="1048"/>
        <v>0</v>
      </c>
      <c r="BN155" s="24">
        <f t="shared" si="1048"/>
        <v>0</v>
      </c>
      <c r="BO155" s="24">
        <f t="shared" si="1048"/>
        <v>0</v>
      </c>
      <c r="BP155" s="24">
        <f t="shared" si="1048"/>
        <v>0</v>
      </c>
      <c r="BQ155" s="24">
        <f t="shared" si="1048"/>
        <v>0</v>
      </c>
      <c r="BR155" s="24">
        <f t="shared" si="1048"/>
        <v>0</v>
      </c>
      <c r="BS155" s="24">
        <f t="shared" si="1048"/>
        <v>0</v>
      </c>
      <c r="BT155" s="24">
        <f t="shared" si="1048"/>
        <v>0</v>
      </c>
      <c r="BU155" s="24">
        <f t="shared" si="1048"/>
        <v>0</v>
      </c>
      <c r="BV155" s="24">
        <f t="shared" si="1048"/>
        <v>0</v>
      </c>
      <c r="BW155" s="24" t="e">
        <f t="shared" si="1048"/>
        <v>#DIV/0!</v>
      </c>
      <c r="BX155" s="24"/>
      <c r="BY155" s="65" t="s">
        <v>54</v>
      </c>
      <c r="BZ155" s="55">
        <f t="shared" si="923"/>
        <v>0</v>
      </c>
      <c r="CA155" s="55">
        <f t="shared" si="893"/>
        <v>0</v>
      </c>
      <c r="CB155" s="55">
        <f t="shared" si="894"/>
        <v>0</v>
      </c>
      <c r="CC155" s="55">
        <f t="shared" si="895"/>
        <v>0</v>
      </c>
      <c r="CD155" s="55">
        <f t="shared" si="896"/>
        <v>0</v>
      </c>
      <c r="CE155" s="55">
        <f t="shared" si="897"/>
        <v>0</v>
      </c>
      <c r="CF155" s="55">
        <f t="shared" si="898"/>
        <v>0</v>
      </c>
      <c r="CG155" s="55">
        <f>AN155-Y155</f>
        <v>0</v>
      </c>
      <c r="CH155" s="55">
        <f t="shared" si="900"/>
        <v>0</v>
      </c>
      <c r="CI155" s="55">
        <f t="shared" si="901"/>
        <v>0</v>
      </c>
      <c r="CJ155" s="55">
        <f t="shared" si="902"/>
        <v>0</v>
      </c>
      <c r="CK155" s="55">
        <f t="shared" si="902"/>
        <v>0</v>
      </c>
      <c r="CL155" s="55">
        <f t="shared" si="903"/>
        <v>0</v>
      </c>
      <c r="CN155" s="65" t="s">
        <v>54</v>
      </c>
      <c r="CO155" s="55">
        <f t="shared" si="924"/>
        <v>0</v>
      </c>
      <c r="CP155" s="55">
        <f t="shared" si="904"/>
        <v>0</v>
      </c>
      <c r="CQ155" s="55">
        <f t="shared" si="905"/>
        <v>0</v>
      </c>
      <c r="CR155" s="55">
        <f t="shared" si="906"/>
        <v>0</v>
      </c>
      <c r="CS155" s="55">
        <f t="shared" si="907"/>
        <v>0</v>
      </c>
      <c r="CT155" s="55">
        <f t="shared" si="908"/>
        <v>0</v>
      </c>
      <c r="CU155" s="55">
        <f t="shared" si="909"/>
        <v>0</v>
      </c>
      <c r="CV155" s="55">
        <f t="shared" si="910"/>
        <v>0</v>
      </c>
      <c r="CW155" s="55">
        <f t="shared" si="911"/>
        <v>0</v>
      </c>
      <c r="CX155" s="55">
        <f t="shared" si="912"/>
        <v>0</v>
      </c>
      <c r="CY155" s="55">
        <f t="shared" si="913"/>
        <v>0</v>
      </c>
      <c r="CZ155" s="55">
        <f t="shared" si="913"/>
        <v>0</v>
      </c>
      <c r="DA155" s="62" t="e">
        <f t="shared" si="914"/>
        <v>#DIV/0!</v>
      </c>
      <c r="DC155" s="65" t="s">
        <v>54</v>
      </c>
      <c r="DD155" s="190">
        <f t="shared" ref="DD155:EC155" si="1049">SUM(DD135:DD154)</f>
        <v>0</v>
      </c>
      <c r="DE155" s="190">
        <f t="shared" si="1049"/>
        <v>0</v>
      </c>
      <c r="DF155" s="190">
        <f t="shared" si="1049"/>
        <v>0</v>
      </c>
      <c r="DG155" s="190">
        <f t="shared" si="1049"/>
        <v>0</v>
      </c>
      <c r="DH155" s="190">
        <f t="shared" si="1049"/>
        <v>0</v>
      </c>
      <c r="DI155" s="190">
        <f t="shared" si="1049"/>
        <v>0</v>
      </c>
      <c r="DJ155" s="190">
        <f t="shared" si="1049"/>
        <v>0</v>
      </c>
      <c r="DK155" s="190">
        <f t="shared" si="1049"/>
        <v>0</v>
      </c>
      <c r="DL155" s="190">
        <f t="shared" si="1049"/>
        <v>0</v>
      </c>
      <c r="DM155" s="190">
        <f t="shared" si="1049"/>
        <v>0</v>
      </c>
      <c r="DN155" s="190">
        <f t="shared" si="1049"/>
        <v>0</v>
      </c>
      <c r="DO155" s="190">
        <f t="shared" si="1049"/>
        <v>0</v>
      </c>
      <c r="DP155" s="190">
        <f t="shared" si="1049"/>
        <v>0</v>
      </c>
      <c r="DQ155" s="190">
        <f t="shared" si="1049"/>
        <v>0</v>
      </c>
      <c r="DR155" s="190">
        <f t="shared" si="1049"/>
        <v>0</v>
      </c>
      <c r="DS155" s="190">
        <f t="shared" si="1049"/>
        <v>0</v>
      </c>
      <c r="DT155" s="190">
        <f t="shared" si="1049"/>
        <v>0</v>
      </c>
      <c r="DU155" s="190">
        <f t="shared" si="1049"/>
        <v>0</v>
      </c>
      <c r="DV155" s="190">
        <f t="shared" si="1049"/>
        <v>0</v>
      </c>
      <c r="DW155" s="190">
        <f t="shared" si="1049"/>
        <v>0</v>
      </c>
      <c r="DX155" s="190">
        <f t="shared" si="1049"/>
        <v>0</v>
      </c>
      <c r="DY155" s="190">
        <f t="shared" si="1049"/>
        <v>0</v>
      </c>
      <c r="DZ155" s="190">
        <f t="shared" si="1049"/>
        <v>0</v>
      </c>
      <c r="EA155" s="190">
        <f t="shared" si="1049"/>
        <v>0</v>
      </c>
      <c r="EB155" s="190" t="e">
        <f t="shared" si="1049"/>
        <v>#DIV/0!</v>
      </c>
      <c r="EC155" s="190" t="e">
        <f t="shared" si="1049"/>
        <v>#DIV/0!</v>
      </c>
    </row>
    <row r="156" spans="1:133" x14ac:dyDescent="0.2">
      <c r="DC156" s="2"/>
    </row>
    <row r="157" spans="1:133" x14ac:dyDescent="0.2">
      <c r="DC157" s="2"/>
    </row>
    <row r="158" spans="1:133" s="13" customFormat="1" x14ac:dyDescent="0.2">
      <c r="A158" s="6" t="s">
        <v>95</v>
      </c>
      <c r="Q158" s="6" t="s">
        <v>95</v>
      </c>
      <c r="AF158" s="6" t="s">
        <v>95</v>
      </c>
      <c r="AU158" s="6" t="s">
        <v>95</v>
      </c>
      <c r="BJ158" s="6" t="s">
        <v>95</v>
      </c>
      <c r="BK158" s="6" t="s">
        <v>95</v>
      </c>
      <c r="BY158" s="6" t="s">
        <v>95</v>
      </c>
      <c r="CN158" s="6" t="s">
        <v>95</v>
      </c>
      <c r="DC158" s="6" t="s">
        <v>95</v>
      </c>
      <c r="DD158" s="188"/>
      <c r="DE158" s="189"/>
      <c r="DF158" s="189"/>
      <c r="DG158" s="189"/>
      <c r="DH158" s="189"/>
      <c r="DI158" s="189"/>
      <c r="DJ158" s="189"/>
      <c r="DK158" s="189"/>
      <c r="DL158" s="189"/>
      <c r="DM158" s="189"/>
      <c r="DN158" s="189"/>
      <c r="DO158" s="189"/>
      <c r="DP158" s="189"/>
      <c r="DQ158" s="189"/>
      <c r="DR158" s="189"/>
      <c r="DS158" s="189"/>
      <c r="DT158" s="189"/>
      <c r="DU158" s="189"/>
      <c r="DV158" s="189"/>
      <c r="DW158" s="189"/>
      <c r="DX158" s="189"/>
      <c r="DY158" s="189"/>
      <c r="DZ158" s="189"/>
      <c r="EA158" s="189"/>
      <c r="EB158" s="189"/>
      <c r="EC158" s="189"/>
    </row>
    <row r="159" spans="1:133" x14ac:dyDescent="0.2">
      <c r="A159" s="63"/>
      <c r="B159" s="5" t="s">
        <v>0</v>
      </c>
      <c r="Q159" s="63"/>
      <c r="R159" s="5" t="s">
        <v>0</v>
      </c>
      <c r="AF159" s="63"/>
      <c r="AG159" s="5" t="s">
        <v>0</v>
      </c>
      <c r="AU159" s="63"/>
      <c r="AV159" s="5" t="s">
        <v>0</v>
      </c>
      <c r="BJ159" s="63"/>
      <c r="BK159" s="5" t="s">
        <v>0</v>
      </c>
      <c r="BY159" s="63"/>
      <c r="BZ159" s="5" t="s">
        <v>0</v>
      </c>
      <c r="CN159" s="63"/>
      <c r="CO159" s="5" t="s">
        <v>0</v>
      </c>
      <c r="DC159" s="63"/>
      <c r="DD159" s="190" t="s">
        <v>124</v>
      </c>
      <c r="DE159" s="190" t="s">
        <v>125</v>
      </c>
      <c r="DF159" s="190" t="s">
        <v>124</v>
      </c>
      <c r="DG159" s="190" t="s">
        <v>125</v>
      </c>
      <c r="DH159" s="190" t="s">
        <v>124</v>
      </c>
      <c r="DI159" s="190" t="s">
        <v>125</v>
      </c>
      <c r="DJ159" s="190" t="s">
        <v>124</v>
      </c>
      <c r="DK159" s="190" t="s">
        <v>125</v>
      </c>
      <c r="DL159" s="190" t="s">
        <v>124</v>
      </c>
      <c r="DM159" s="190" t="s">
        <v>125</v>
      </c>
      <c r="DN159" s="190" t="s">
        <v>124</v>
      </c>
      <c r="DO159" s="190" t="s">
        <v>125</v>
      </c>
      <c r="DP159" s="190" t="s">
        <v>124</v>
      </c>
      <c r="DQ159" s="190" t="s">
        <v>125</v>
      </c>
      <c r="DR159" s="190" t="s">
        <v>124</v>
      </c>
      <c r="DS159" s="190" t="s">
        <v>125</v>
      </c>
      <c r="DT159" s="190" t="s">
        <v>124</v>
      </c>
      <c r="DU159" s="190" t="s">
        <v>125</v>
      </c>
      <c r="DV159" s="190" t="s">
        <v>124</v>
      </c>
      <c r="DW159" s="190" t="s">
        <v>125</v>
      </c>
      <c r="DX159" s="190" t="s">
        <v>124</v>
      </c>
      <c r="DY159" s="190" t="s">
        <v>125</v>
      </c>
      <c r="DZ159" s="190" t="s">
        <v>124</v>
      </c>
      <c r="EA159" s="190" t="s">
        <v>125</v>
      </c>
      <c r="EB159" s="190" t="s">
        <v>124</v>
      </c>
      <c r="EC159" s="190" t="s">
        <v>125</v>
      </c>
    </row>
    <row r="160" spans="1:133" ht="25.5" x14ac:dyDescent="0.2">
      <c r="A160" s="5" t="s">
        <v>1</v>
      </c>
      <c r="B160" s="264" t="s">
        <v>117</v>
      </c>
      <c r="C160" s="264"/>
      <c r="D160" s="264"/>
      <c r="E160" s="21" t="s">
        <v>2</v>
      </c>
      <c r="F160" s="21" t="s">
        <v>3</v>
      </c>
      <c r="G160" s="21" t="s">
        <v>38</v>
      </c>
      <c r="H160" s="21" t="s">
        <v>39</v>
      </c>
      <c r="I160" s="71" t="s">
        <v>148</v>
      </c>
      <c r="J160" s="21" t="s">
        <v>6</v>
      </c>
      <c r="K160" s="21" t="s">
        <v>88</v>
      </c>
      <c r="L160" s="21" t="s">
        <v>89</v>
      </c>
      <c r="M160" s="73" t="s">
        <v>323</v>
      </c>
      <c r="N160" s="52" t="s">
        <v>53</v>
      </c>
      <c r="O160" s="52"/>
      <c r="P160" s="52"/>
      <c r="Q160" s="5" t="s">
        <v>1</v>
      </c>
      <c r="R160" s="264" t="s">
        <v>4</v>
      </c>
      <c r="S160" s="264" t="s">
        <v>41</v>
      </c>
      <c r="T160" s="264" t="s">
        <v>42</v>
      </c>
      <c r="U160" s="21" t="s">
        <v>2</v>
      </c>
      <c r="V160" s="21" t="s">
        <v>3</v>
      </c>
      <c r="W160" s="21" t="s">
        <v>38</v>
      </c>
      <c r="X160" s="21" t="s">
        <v>39</v>
      </c>
      <c r="Y160" s="71" t="s">
        <v>148</v>
      </c>
      <c r="Z160" s="21" t="s">
        <v>6</v>
      </c>
      <c r="AA160" s="21" t="s">
        <v>88</v>
      </c>
      <c r="AB160" s="21" t="s">
        <v>89</v>
      </c>
      <c r="AC160" s="73" t="s">
        <v>323</v>
      </c>
      <c r="AD160" s="52" t="s">
        <v>53</v>
      </c>
      <c r="AF160" s="5" t="s">
        <v>1</v>
      </c>
      <c r="AG160" s="264" t="s">
        <v>117</v>
      </c>
      <c r="AH160" s="264"/>
      <c r="AI160" s="264"/>
      <c r="AJ160" s="21" t="s">
        <v>2</v>
      </c>
      <c r="AK160" s="21" t="s">
        <v>3</v>
      </c>
      <c r="AL160" s="21" t="s">
        <v>38</v>
      </c>
      <c r="AM160" s="21" t="s">
        <v>39</v>
      </c>
      <c r="AN160" s="71" t="s">
        <v>148</v>
      </c>
      <c r="AO160" s="21" t="s">
        <v>6</v>
      </c>
      <c r="AP160" s="21" t="s">
        <v>88</v>
      </c>
      <c r="AQ160" s="21" t="s">
        <v>89</v>
      </c>
      <c r="AR160" s="73" t="s">
        <v>323</v>
      </c>
      <c r="AS160" s="52" t="s">
        <v>53</v>
      </c>
      <c r="AU160" s="5" t="s">
        <v>1</v>
      </c>
      <c r="AV160" s="264" t="s">
        <v>117</v>
      </c>
      <c r="AW160" s="264" t="s">
        <v>41</v>
      </c>
      <c r="AX160" s="264" t="s">
        <v>42</v>
      </c>
      <c r="AY160" s="21" t="s">
        <v>2</v>
      </c>
      <c r="AZ160" s="21" t="s">
        <v>3</v>
      </c>
      <c r="BA160" s="21" t="s">
        <v>38</v>
      </c>
      <c r="BB160" s="21" t="s">
        <v>39</v>
      </c>
      <c r="BC160" s="71" t="s">
        <v>148</v>
      </c>
      <c r="BD160" s="21" t="s">
        <v>6</v>
      </c>
      <c r="BE160" s="21" t="s">
        <v>88</v>
      </c>
      <c r="BF160" s="21" t="s">
        <v>89</v>
      </c>
      <c r="BG160" s="73" t="s">
        <v>323</v>
      </c>
      <c r="BH160" s="52" t="s">
        <v>53</v>
      </c>
      <c r="BJ160" s="5" t="s">
        <v>1</v>
      </c>
      <c r="BK160" s="167" t="s">
        <v>4</v>
      </c>
      <c r="BL160" s="167" t="s">
        <v>41</v>
      </c>
      <c r="BM160" s="167" t="s">
        <v>42</v>
      </c>
      <c r="BN160" s="21" t="s">
        <v>2</v>
      </c>
      <c r="BO160" s="21" t="s">
        <v>3</v>
      </c>
      <c r="BP160" s="21" t="s">
        <v>38</v>
      </c>
      <c r="BQ160" s="21" t="s">
        <v>39</v>
      </c>
      <c r="BR160" s="73" t="s">
        <v>148</v>
      </c>
      <c r="BS160" s="21" t="s">
        <v>6</v>
      </c>
      <c r="BT160" s="21" t="s">
        <v>88</v>
      </c>
      <c r="BU160" s="21" t="s">
        <v>89</v>
      </c>
      <c r="BV160" s="73" t="s">
        <v>323</v>
      </c>
      <c r="BW160" s="52" t="s">
        <v>53</v>
      </c>
      <c r="BX160" s="52"/>
      <c r="BY160" s="5" t="s">
        <v>1</v>
      </c>
      <c r="BZ160" s="21" t="s">
        <v>4</v>
      </c>
      <c r="CA160" s="21" t="s">
        <v>41</v>
      </c>
      <c r="CB160" s="21" t="s">
        <v>42</v>
      </c>
      <c r="CC160" s="21" t="s">
        <v>2</v>
      </c>
      <c r="CD160" s="21" t="s">
        <v>3</v>
      </c>
      <c r="CE160" s="21" t="s">
        <v>38</v>
      </c>
      <c r="CF160" s="21" t="s">
        <v>39</v>
      </c>
      <c r="CG160" s="21" t="s">
        <v>148</v>
      </c>
      <c r="CH160" s="21" t="s">
        <v>6</v>
      </c>
      <c r="CI160" s="21" t="s">
        <v>88</v>
      </c>
      <c r="CJ160" s="21" t="s">
        <v>89</v>
      </c>
      <c r="CK160" s="21" t="s">
        <v>323</v>
      </c>
      <c r="CL160" s="21" t="s">
        <v>53</v>
      </c>
      <c r="CN160" s="5" t="s">
        <v>1</v>
      </c>
      <c r="CO160" s="21" t="s">
        <v>4</v>
      </c>
      <c r="CP160" s="21" t="s">
        <v>41</v>
      </c>
      <c r="CQ160" s="21" t="s">
        <v>42</v>
      </c>
      <c r="CR160" s="21" t="s">
        <v>2</v>
      </c>
      <c r="CS160" s="21" t="s">
        <v>3</v>
      </c>
      <c r="CT160" s="21" t="s">
        <v>38</v>
      </c>
      <c r="CU160" s="21" t="s">
        <v>39</v>
      </c>
      <c r="CV160" s="21" t="s">
        <v>148</v>
      </c>
      <c r="CW160" s="21" t="s">
        <v>6</v>
      </c>
      <c r="CX160" s="21" t="s">
        <v>88</v>
      </c>
      <c r="CY160" s="21" t="s">
        <v>89</v>
      </c>
      <c r="CZ160" s="21" t="s">
        <v>323</v>
      </c>
      <c r="DA160" s="52" t="s">
        <v>53</v>
      </c>
      <c r="DC160" s="5" t="s">
        <v>1</v>
      </c>
      <c r="DD160" s="191" t="s">
        <v>4</v>
      </c>
      <c r="DE160" s="191" t="s">
        <v>4</v>
      </c>
      <c r="DF160" s="191" t="s">
        <v>41</v>
      </c>
      <c r="DG160" s="191" t="s">
        <v>41</v>
      </c>
      <c r="DH160" s="191" t="s">
        <v>42</v>
      </c>
      <c r="DI160" s="191" t="s">
        <v>42</v>
      </c>
      <c r="DJ160" s="191" t="s">
        <v>2</v>
      </c>
      <c r="DK160" s="191" t="s">
        <v>2</v>
      </c>
      <c r="DL160" s="191" t="s">
        <v>3</v>
      </c>
      <c r="DM160" s="191" t="s">
        <v>3</v>
      </c>
      <c r="DN160" s="191" t="s">
        <v>38</v>
      </c>
      <c r="DO160" s="191" t="s">
        <v>38</v>
      </c>
      <c r="DP160" s="191" t="s">
        <v>39</v>
      </c>
      <c r="DQ160" s="191" t="s">
        <v>39</v>
      </c>
      <c r="DR160" s="191" t="s">
        <v>148</v>
      </c>
      <c r="DS160" s="191" t="s">
        <v>148</v>
      </c>
      <c r="DT160" s="191" t="s">
        <v>6</v>
      </c>
      <c r="DU160" s="191" t="s">
        <v>6</v>
      </c>
      <c r="DV160" s="191" t="s">
        <v>88</v>
      </c>
      <c r="DW160" s="191" t="s">
        <v>88</v>
      </c>
      <c r="DX160" s="191" t="s">
        <v>89</v>
      </c>
      <c r="DY160" s="191" t="s">
        <v>89</v>
      </c>
      <c r="DZ160" s="191" t="s">
        <v>323</v>
      </c>
      <c r="EA160" s="191" t="s">
        <v>323</v>
      </c>
      <c r="EB160" s="192" t="s">
        <v>126</v>
      </c>
      <c r="EC160" s="192" t="s">
        <v>126</v>
      </c>
    </row>
    <row r="161" spans="1:133" x14ac:dyDescent="0.2">
      <c r="A161" s="66" t="s">
        <v>4</v>
      </c>
      <c r="B161" s="265">
        <f>SUM(targets!AW150:AY150)</f>
        <v>4731.1557245675904</v>
      </c>
      <c r="C161" s="266"/>
      <c r="D161" s="267"/>
      <c r="E161" s="37">
        <f>targets!AZ150</f>
        <v>0</v>
      </c>
      <c r="F161" s="37">
        <f>targets!BA150</f>
        <v>0</v>
      </c>
      <c r="G161" s="37">
        <f>SUM(targets!BB150:BG150)</f>
        <v>0</v>
      </c>
      <c r="H161" s="37">
        <f>SUM(targets!BH150:BM150)</f>
        <v>0</v>
      </c>
      <c r="I161" s="74">
        <f>SUM(G161:H161)</f>
        <v>0</v>
      </c>
      <c r="J161" s="37">
        <f>targets!BN150</f>
        <v>0</v>
      </c>
      <c r="K161" s="37">
        <f>targets!BO150</f>
        <v>0</v>
      </c>
      <c r="L161" s="37">
        <f>targets!BP150</f>
        <v>0</v>
      </c>
      <c r="M161" s="177">
        <f>SUM(J161:L161)</f>
        <v>0</v>
      </c>
      <c r="N161" s="17">
        <f t="shared" ref="N161:N180" si="1050">SUM(B161:L161)-I161</f>
        <v>4731.1557245675904</v>
      </c>
      <c r="O161" s="227"/>
      <c r="P161" s="17"/>
      <c r="Q161" s="66" t="s">
        <v>4</v>
      </c>
      <c r="R161" s="265">
        <f>B161*(AG$181/B$181)</f>
        <v>0</v>
      </c>
      <c r="S161" s="266"/>
      <c r="T161" s="267"/>
      <c r="U161" s="37">
        <f t="shared" ref="U161:U180" si="1051">E161*(AJ$181/E$181)</f>
        <v>0</v>
      </c>
      <c r="V161" s="37">
        <f t="shared" ref="V161:V180" si="1052">F161*(AK$181/F$181)</f>
        <v>0</v>
      </c>
      <c r="W161" s="37">
        <f t="shared" ref="W161:W180" si="1053">G161*(AL$181/G$181)</f>
        <v>0</v>
      </c>
      <c r="X161" s="37">
        <f t="shared" ref="X161:X180" si="1054">H161*(AM$181/H$181)</f>
        <v>0</v>
      </c>
      <c r="Y161" s="74">
        <f t="shared" ref="Y161:Y180" si="1055">SUM(W161:X161)</f>
        <v>0</v>
      </c>
      <c r="Z161" s="37">
        <f t="shared" ref="Z161:Z180" si="1056">J161*(AO$181/J$181)</f>
        <v>0</v>
      </c>
      <c r="AA161" s="37">
        <f t="shared" ref="AA161:AA180" si="1057">K161*(AP$181/K$181)</f>
        <v>0</v>
      </c>
      <c r="AB161" s="37"/>
      <c r="AC161" s="177">
        <f t="shared" ref="AC161:AC180" si="1058">SUM(Z161:AB161)</f>
        <v>0</v>
      </c>
      <c r="AD161" s="17">
        <f t="shared" ref="AD161:AD181" si="1059">SUM(R161:AB161)-Y161</f>
        <v>0</v>
      </c>
      <c r="AF161" s="66" t="s">
        <v>4</v>
      </c>
      <c r="AG161" s="265">
        <f>SUM(IF((modeldata!$F:$F=calibration!$AF$158)*(modeldata!$G:$G=calibration!AG$160)*(modeldata!$H:$H=calibration!$AF161),modeldata!$E:$E,0))</f>
        <v>0</v>
      </c>
      <c r="AH161" s="266"/>
      <c r="AI161" s="267"/>
      <c r="AJ161" s="37">
        <f t="array" ref="AJ161">SUM(IF((modeldata!$F:$F=calibration!$AF$158)*(modeldata!$G:$G=calibration!AJ$160)*(modeldata!$H:$H=calibration!$AF161),modeldata!$E:$E,0))</f>
        <v>0</v>
      </c>
      <c r="AK161" s="37">
        <f t="array" ref="AK161">SUM(IF((modeldata!$F:$F=calibration!$AF$158)*(modeldata!$G:$G=calibration!AK$160)*(modeldata!$H:$H=calibration!$AF161),modeldata!$E:$E,0))</f>
        <v>0</v>
      </c>
      <c r="AL161" s="37">
        <f t="array" ref="AL161">SUM(IF((modeldata!$F:$F=calibration!$AF$158)*(modeldata!$G:$G=calibration!AL$160)*(modeldata!$H:$H=calibration!$AF161),modeldata!$E:$E,0))</f>
        <v>0</v>
      </c>
      <c r="AM161" s="37">
        <f t="array" ref="AM161">SUM(IF((modeldata!$F:$F=calibration!$AF$158)*(modeldata!$G:$G=calibration!AM$160)*(modeldata!$H:$H=calibration!$AF161),modeldata!$E:$E,0))</f>
        <v>0</v>
      </c>
      <c r="AN161" s="74">
        <f>AL161+AM161</f>
        <v>0</v>
      </c>
      <c r="AO161" s="37">
        <f t="array" ref="AO161">SUM(IF((modeldata!$F:$F=calibration!$AF$158)*(modeldata!$G:$G=calibration!AO$160)*(modeldata!$H:$H=calibration!$AF161),modeldata!$E:$E,0))</f>
        <v>0</v>
      </c>
      <c r="AP161" s="37">
        <f t="array" ref="AP161">SUM(IF((modeldata!$F:$F=calibration!$AF$158)*(modeldata!$G:$G=calibration!AP$160)*(modeldata!$H:$H=calibration!$AF161),modeldata!$E:$E,0))</f>
        <v>0</v>
      </c>
      <c r="AQ161" s="37">
        <f t="array" ref="AQ161">SUM(IF((modeldata!$F:$F=calibration!$AF$158)*(modeldata!$G:$G=calibration!AQ$160)*(modeldata!$H:$H=calibration!$AF161),modeldata!$E:$E,0))</f>
        <v>0</v>
      </c>
      <c r="AR161" s="177"/>
      <c r="AS161" s="17">
        <f t="shared" ref="AS161:AS181" si="1060">SUM(AG161:AQ161)-AN161</f>
        <v>0</v>
      </c>
      <c r="AU161" s="66" t="s">
        <v>4</v>
      </c>
      <c r="AV161" s="265">
        <f>IF(R181&gt;0,R161/R181,0)</f>
        <v>0</v>
      </c>
      <c r="AW161" s="266">
        <f>IF(C181&gt;0,C161/C181,0)</f>
        <v>0</v>
      </c>
      <c r="AX161" s="267">
        <f>IF(D181&gt;0,D161/D181,0)</f>
        <v>0</v>
      </c>
      <c r="AY161" s="37">
        <f t="shared" ref="AY161:BG161" si="1061">IF(U181&gt;0,U161/U181,0)</f>
        <v>0</v>
      </c>
      <c r="AZ161" s="37">
        <f t="shared" si="1061"/>
        <v>0</v>
      </c>
      <c r="BA161" s="37">
        <f t="shared" si="1061"/>
        <v>0</v>
      </c>
      <c r="BB161" s="37">
        <f t="shared" si="1061"/>
        <v>0</v>
      </c>
      <c r="BC161" s="74">
        <f t="shared" si="1061"/>
        <v>0</v>
      </c>
      <c r="BD161" s="37">
        <f t="shared" si="1061"/>
        <v>0</v>
      </c>
      <c r="BE161" s="37">
        <f t="shared" si="1061"/>
        <v>0</v>
      </c>
      <c r="BF161" s="37">
        <f>IF(AB181&gt;0,AB161/AB181,0)</f>
        <v>0</v>
      </c>
      <c r="BG161" s="177">
        <f t="shared" si="1061"/>
        <v>0</v>
      </c>
      <c r="BH161" s="24" t="e">
        <f>AD161/AD181</f>
        <v>#DIV/0!</v>
      </c>
      <c r="BJ161" s="66" t="s">
        <v>4</v>
      </c>
      <c r="BK161" s="265">
        <f>IF(AG181&gt;0,AG161/AG181,0)</f>
        <v>0</v>
      </c>
      <c r="BL161" s="266"/>
      <c r="BM161" s="267"/>
      <c r="BN161" s="23">
        <f t="shared" ref="BN161:BV161" si="1062">IF(AJ181&gt;0,AJ161/AJ181,0)</f>
        <v>0</v>
      </c>
      <c r="BO161" s="23">
        <f t="shared" si="1062"/>
        <v>0</v>
      </c>
      <c r="BP161" s="23">
        <f t="shared" si="1062"/>
        <v>0</v>
      </c>
      <c r="BQ161" s="23">
        <f t="shared" si="1062"/>
        <v>0</v>
      </c>
      <c r="BR161" s="76">
        <f t="shared" si="1062"/>
        <v>0</v>
      </c>
      <c r="BS161" s="23">
        <f t="shared" si="1062"/>
        <v>0</v>
      </c>
      <c r="BT161" s="23">
        <f t="shared" si="1062"/>
        <v>0</v>
      </c>
      <c r="BU161" s="23">
        <f t="shared" si="1062"/>
        <v>0</v>
      </c>
      <c r="BV161" s="179">
        <f t="shared" si="1062"/>
        <v>0</v>
      </c>
      <c r="BW161" s="24" t="e">
        <f>AS161/AS181</f>
        <v>#DIV/0!</v>
      </c>
      <c r="BX161" s="24"/>
      <c r="BY161" s="66" t="s">
        <v>4</v>
      </c>
      <c r="BZ161" s="58">
        <f>AG161-R161</f>
        <v>0</v>
      </c>
      <c r="CA161" s="53">
        <f t="shared" ref="CA161:CA181" si="1063">AH161-S161</f>
        <v>0</v>
      </c>
      <c r="CB161" s="53">
        <f t="shared" ref="CB161:CB181" si="1064">AI161-T161</f>
        <v>0</v>
      </c>
      <c r="CC161" s="53">
        <f t="shared" ref="CC161:CC181" si="1065">AJ161-U161</f>
        <v>0</v>
      </c>
      <c r="CD161" s="53">
        <f t="shared" ref="CD161:CD181" si="1066">AK161-V161</f>
        <v>0</v>
      </c>
      <c r="CE161" s="53">
        <f t="shared" ref="CE161:CE181" si="1067">AL161-W161</f>
        <v>0</v>
      </c>
      <c r="CF161" s="53">
        <f t="shared" ref="CF161:CF181" si="1068">AM161-X161</f>
        <v>0</v>
      </c>
      <c r="CG161" s="245">
        <f t="shared" ref="CG161:CG176" si="1069">AN161-Y161</f>
        <v>0</v>
      </c>
      <c r="CH161" s="53">
        <f t="shared" ref="CH161:CH181" si="1070">AO161-Z161</f>
        <v>0</v>
      </c>
      <c r="CI161" s="53">
        <f t="shared" ref="CI161:CI181" si="1071">AP161-AA161</f>
        <v>0</v>
      </c>
      <c r="CJ161" s="53">
        <f t="shared" ref="CJ161:CK181" si="1072">AQ161-AB161</f>
        <v>0</v>
      </c>
      <c r="CK161" s="248">
        <f>AR161-AC161</f>
        <v>0</v>
      </c>
      <c r="CL161" s="55">
        <f t="shared" ref="CL161:CL181" si="1073">AS161-AD161</f>
        <v>0</v>
      </c>
      <c r="CN161" s="66" t="s">
        <v>4</v>
      </c>
      <c r="CO161" s="58">
        <f>BK161-AV161</f>
        <v>0</v>
      </c>
      <c r="CP161" s="53">
        <f t="shared" ref="CP161:CP181" si="1074">BL161-AW161</f>
        <v>0</v>
      </c>
      <c r="CQ161" s="53">
        <f t="shared" ref="CQ161:CQ181" si="1075">BM161-AX161</f>
        <v>0</v>
      </c>
      <c r="CR161" s="53">
        <f t="shared" ref="CR161:CR180" si="1076">BN161-AY161</f>
        <v>0</v>
      </c>
      <c r="CS161" s="53">
        <f t="shared" ref="CS161:CS180" si="1077">BO161-AZ161</f>
        <v>0</v>
      </c>
      <c r="CT161" s="53">
        <f t="shared" ref="CT161:CT180" si="1078">BP161-BA161</f>
        <v>0</v>
      </c>
      <c r="CU161" s="53">
        <f t="shared" ref="CU161:CU180" si="1079">BQ161-BB161</f>
        <v>0</v>
      </c>
      <c r="CV161" s="245">
        <f t="shared" ref="CV161:CV180" si="1080">BR161-BC161</f>
        <v>0</v>
      </c>
      <c r="CW161" s="53">
        <f t="shared" ref="CW161:CW180" si="1081">BS161-BD161</f>
        <v>0</v>
      </c>
      <c r="CX161" s="53">
        <f t="shared" ref="CX161:CX180" si="1082">BT161-BE161</f>
        <v>0</v>
      </c>
      <c r="CY161" s="53">
        <f t="shared" ref="CY161:CZ180" si="1083">BU161-BF161</f>
        <v>0</v>
      </c>
      <c r="CZ161" s="248">
        <f>BV161-BG161</f>
        <v>0</v>
      </c>
      <c r="DA161" s="62" t="e">
        <f t="shared" ref="DA161:DA180" si="1084">BW161-BH161</f>
        <v>#DIV/0!</v>
      </c>
      <c r="DC161" s="66" t="s">
        <v>4</v>
      </c>
      <c r="DD161" s="193">
        <f>AV161</f>
        <v>0</v>
      </c>
      <c r="DE161" s="194">
        <f>BK161</f>
        <v>0</v>
      </c>
      <c r="DF161" s="195">
        <f>AW161</f>
        <v>0</v>
      </c>
      <c r="DG161" s="196">
        <f>BL161</f>
        <v>0</v>
      </c>
      <c r="DH161" s="195">
        <f>AX161</f>
        <v>0</v>
      </c>
      <c r="DI161" s="196">
        <f>BM161</f>
        <v>0</v>
      </c>
      <c r="DJ161" s="195">
        <f>AY161</f>
        <v>0</v>
      </c>
      <c r="DK161" s="196">
        <f>BN161</f>
        <v>0</v>
      </c>
      <c r="DL161" s="195">
        <f>AZ161</f>
        <v>0</v>
      </c>
      <c r="DM161" s="196">
        <f>BO161</f>
        <v>0</v>
      </c>
      <c r="DN161" s="195">
        <f>BA161</f>
        <v>0</v>
      </c>
      <c r="DO161" s="196">
        <f>BP161</f>
        <v>0</v>
      </c>
      <c r="DP161" s="195">
        <f>BB161</f>
        <v>0</v>
      </c>
      <c r="DQ161" s="196">
        <f>BQ161</f>
        <v>0</v>
      </c>
      <c r="DR161" s="195">
        <f>BC161</f>
        <v>0</v>
      </c>
      <c r="DS161" s="196">
        <f>BR161</f>
        <v>0</v>
      </c>
      <c r="DT161" s="195">
        <f>BD161</f>
        <v>0</v>
      </c>
      <c r="DU161" s="196">
        <f>BS161</f>
        <v>0</v>
      </c>
      <c r="DV161" s="195">
        <f>BE161</f>
        <v>0</v>
      </c>
      <c r="DW161" s="196">
        <f>BT161</f>
        <v>0</v>
      </c>
      <c r="DX161" s="195">
        <f>BF161</f>
        <v>0</v>
      </c>
      <c r="DY161" s="196">
        <f>BU161</f>
        <v>0</v>
      </c>
      <c r="DZ161" s="197">
        <f>BG161</f>
        <v>0</v>
      </c>
      <c r="EA161" s="196">
        <f t="shared" ref="EA161:EA180" si="1085">BV161</f>
        <v>0</v>
      </c>
      <c r="EB161" s="190" t="e">
        <f>BH161</f>
        <v>#DIV/0!</v>
      </c>
      <c r="EC161" s="190" t="e">
        <f>BW161</f>
        <v>#DIV/0!</v>
      </c>
    </row>
    <row r="162" spans="1:133" x14ac:dyDescent="0.2">
      <c r="A162" s="66" t="s">
        <v>41</v>
      </c>
      <c r="B162" s="262">
        <f>SUM(targets!AW151:AY151)</f>
        <v>781220.30778969277</v>
      </c>
      <c r="C162" s="263"/>
      <c r="D162" s="268"/>
      <c r="E162" s="242">
        <f>targets!AZ151</f>
        <v>0</v>
      </c>
      <c r="F162" s="242">
        <f>targets!BA151</f>
        <v>0</v>
      </c>
      <c r="G162" s="242">
        <f>SUM(targets!BB151:BG151)</f>
        <v>103.07900410406035</v>
      </c>
      <c r="H162" s="242">
        <f>SUM(targets!BH151:BM151)</f>
        <v>0</v>
      </c>
      <c r="I162" s="243">
        <f t="shared" ref="I162:I180" si="1086">SUM(G162:H162)</f>
        <v>103.07900410406035</v>
      </c>
      <c r="J162" s="242">
        <f>targets!BN151</f>
        <v>0</v>
      </c>
      <c r="K162" s="242">
        <f>targets!BO151</f>
        <v>39.262277864884311</v>
      </c>
      <c r="L162" s="242">
        <f>targets!BP151</f>
        <v>0</v>
      </c>
      <c r="M162" s="178">
        <f t="shared" ref="M162:M180" si="1087">SUM(J162:L162)</f>
        <v>39.262277864884311</v>
      </c>
      <c r="N162" s="17">
        <f t="shared" si="1050"/>
        <v>781362.64907166164</v>
      </c>
      <c r="O162" s="227"/>
      <c r="P162" s="17"/>
      <c r="Q162" s="66" t="s">
        <v>41</v>
      </c>
      <c r="R162" s="262">
        <f>B162*(AG$181/B$181)</f>
        <v>0</v>
      </c>
      <c r="S162" s="263"/>
      <c r="T162" s="268"/>
      <c r="U162" s="242">
        <f t="shared" si="1051"/>
        <v>0</v>
      </c>
      <c r="V162" s="242">
        <f t="shared" si="1052"/>
        <v>0</v>
      </c>
      <c r="W162" s="242">
        <f t="shared" si="1053"/>
        <v>0</v>
      </c>
      <c r="X162" s="242">
        <f t="shared" si="1054"/>
        <v>0</v>
      </c>
      <c r="Y162" s="243">
        <f t="shared" si="1055"/>
        <v>0</v>
      </c>
      <c r="Z162" s="242">
        <f t="shared" si="1056"/>
        <v>0</v>
      </c>
      <c r="AA162" s="242">
        <f t="shared" si="1057"/>
        <v>0</v>
      </c>
      <c r="AB162" s="242"/>
      <c r="AC162" s="178">
        <f t="shared" si="1058"/>
        <v>0</v>
      </c>
      <c r="AD162" s="17">
        <f t="shared" si="1059"/>
        <v>0</v>
      </c>
      <c r="AF162" s="66" t="s">
        <v>41</v>
      </c>
      <c r="AG162" s="262">
        <f t="array" ref="AG162">SUM(IF((modeldata!$F:$F=calibration!$AF$158)*(modeldata!$G:$G=calibration!AG$160)*(modeldata!$H:$H=calibration!$AF162),modeldata!$E:$E,0))</f>
        <v>0</v>
      </c>
      <c r="AH162" s="263"/>
      <c r="AI162" s="268"/>
      <c r="AJ162" s="242">
        <f t="array" ref="AJ162">SUM(IF((modeldata!$F:$F=calibration!$AF$158)*(modeldata!$G:$G=calibration!AJ$160)*(modeldata!$H:$H=calibration!$AF162),modeldata!$E:$E,0))</f>
        <v>0</v>
      </c>
      <c r="AK162" s="242">
        <f t="array" ref="AK162">SUM(IF((modeldata!$F:$F=calibration!$AF$158)*(modeldata!$G:$G=calibration!AK$160)*(modeldata!$H:$H=calibration!$AF162),modeldata!$E:$E,0))</f>
        <v>0</v>
      </c>
      <c r="AL162" s="242">
        <f t="array" ref="AL162">SUM(IF((modeldata!$F:$F=calibration!$AF$158)*(modeldata!$G:$G=calibration!AL$160)*(modeldata!$H:$H=calibration!$AF162),modeldata!$E:$E,0))</f>
        <v>0</v>
      </c>
      <c r="AM162" s="242">
        <f t="array" ref="AM162">SUM(IF((modeldata!$F:$F=calibration!$AF$158)*(modeldata!$G:$G=calibration!AM$160)*(modeldata!$H:$H=calibration!$AF162),modeldata!$E:$E,0))</f>
        <v>0</v>
      </c>
      <c r="AN162" s="243">
        <f t="shared" ref="AN162:AN180" si="1088">AL162+AM162</f>
        <v>0</v>
      </c>
      <c r="AO162" s="242">
        <f t="array" ref="AO162">SUM(IF((modeldata!$F:$F=calibration!$AF$158)*(modeldata!$G:$G=calibration!AO$160)*(modeldata!$H:$H=calibration!$AF162),modeldata!$E:$E,0))</f>
        <v>0</v>
      </c>
      <c r="AP162" s="242">
        <f t="array" ref="AP162">SUM(IF((modeldata!$F:$F=calibration!$AF$158)*(modeldata!$G:$G=calibration!AP$160)*(modeldata!$H:$H=calibration!$AF162),modeldata!$E:$E,0))</f>
        <v>0</v>
      </c>
      <c r="AQ162" s="242">
        <f t="array" ref="AQ162">SUM(IF((modeldata!$F:$F=calibration!$AF$158)*(modeldata!$G:$G=calibration!AQ$160)*(modeldata!$H:$H=calibration!$AF162),modeldata!$E:$E,0))</f>
        <v>0</v>
      </c>
      <c r="AR162" s="178">
        <f>SUM(AO162:AQ162)</f>
        <v>0</v>
      </c>
      <c r="AS162" s="17">
        <f t="shared" si="1060"/>
        <v>0</v>
      </c>
      <c r="AU162" s="66" t="s">
        <v>41</v>
      </c>
      <c r="AV162" s="262">
        <f>IF(R181&gt;0,R162/R181,0)</f>
        <v>0</v>
      </c>
      <c r="AW162" s="263">
        <f>IF(C181&gt;0,C162/C181,0)</f>
        <v>0</v>
      </c>
      <c r="AX162" s="268">
        <f>IF(D181&gt;0,D162/D181,0)</f>
        <v>0</v>
      </c>
      <c r="AY162" s="242">
        <f t="shared" ref="AY162:BG162" si="1089">IF(U181&gt;0,U162/U181,0)</f>
        <v>0</v>
      </c>
      <c r="AZ162" s="242">
        <f t="shared" si="1089"/>
        <v>0</v>
      </c>
      <c r="BA162" s="242">
        <f t="shared" si="1089"/>
        <v>0</v>
      </c>
      <c r="BB162" s="242">
        <f t="shared" si="1089"/>
        <v>0</v>
      </c>
      <c r="BC162" s="243">
        <f t="shared" si="1089"/>
        <v>0</v>
      </c>
      <c r="BD162" s="242">
        <f t="shared" si="1089"/>
        <v>0</v>
      </c>
      <c r="BE162" s="242">
        <f t="shared" si="1089"/>
        <v>0</v>
      </c>
      <c r="BF162" s="242">
        <f t="shared" si="1089"/>
        <v>0</v>
      </c>
      <c r="BG162" s="178">
        <f t="shared" si="1089"/>
        <v>0</v>
      </c>
      <c r="BH162" s="24" t="e">
        <f>AD162/AD181</f>
        <v>#DIV/0!</v>
      </c>
      <c r="BJ162" s="66" t="s">
        <v>41</v>
      </c>
      <c r="BK162" s="277">
        <f t="shared" ref="BK162:BV162" si="1090">IF(AG181&gt;0,AG162/AG181,0)</f>
        <v>0</v>
      </c>
      <c r="BL162" s="278">
        <f t="shared" si="1090"/>
        <v>0</v>
      </c>
      <c r="BM162" s="279">
        <f t="shared" si="1090"/>
        <v>0</v>
      </c>
      <c r="BN162" s="24">
        <f t="shared" si="1090"/>
        <v>0</v>
      </c>
      <c r="BO162" s="24">
        <f t="shared" si="1090"/>
        <v>0</v>
      </c>
      <c r="BP162" s="24">
        <f t="shared" si="1090"/>
        <v>0</v>
      </c>
      <c r="BQ162" s="24">
        <f t="shared" si="1090"/>
        <v>0</v>
      </c>
      <c r="BR162" s="77">
        <f t="shared" si="1090"/>
        <v>0</v>
      </c>
      <c r="BS162" s="24">
        <f t="shared" si="1090"/>
        <v>0</v>
      </c>
      <c r="BT162" s="24">
        <f t="shared" si="1090"/>
        <v>0</v>
      </c>
      <c r="BU162" s="24">
        <f t="shared" si="1090"/>
        <v>0</v>
      </c>
      <c r="BV162" s="180">
        <f t="shared" si="1090"/>
        <v>0</v>
      </c>
      <c r="BW162" s="24" t="e">
        <f>AS162/AS181</f>
        <v>#DIV/0!</v>
      </c>
      <c r="BX162" s="24"/>
      <c r="BY162" s="66" t="s">
        <v>41</v>
      </c>
      <c r="BZ162" s="54">
        <f t="shared" ref="BZ162:BZ181" si="1091">AG162-R162</f>
        <v>0</v>
      </c>
      <c r="CA162" s="58">
        <f t="shared" si="1063"/>
        <v>0</v>
      </c>
      <c r="CB162" s="55">
        <f t="shared" si="1064"/>
        <v>0</v>
      </c>
      <c r="CC162" s="55">
        <f t="shared" si="1065"/>
        <v>0</v>
      </c>
      <c r="CD162" s="55">
        <f t="shared" si="1066"/>
        <v>0</v>
      </c>
      <c r="CE162" s="55">
        <f t="shared" si="1067"/>
        <v>0</v>
      </c>
      <c r="CF162" s="55">
        <f t="shared" si="1068"/>
        <v>0</v>
      </c>
      <c r="CG162" s="246">
        <f t="shared" si="1069"/>
        <v>0</v>
      </c>
      <c r="CH162" s="55">
        <f t="shared" si="1070"/>
        <v>0</v>
      </c>
      <c r="CI162" s="55">
        <f t="shared" si="1071"/>
        <v>0</v>
      </c>
      <c r="CJ162" s="55">
        <f t="shared" si="1072"/>
        <v>0</v>
      </c>
      <c r="CK162" s="249">
        <f t="shared" si="1072"/>
        <v>0</v>
      </c>
      <c r="CL162" s="55">
        <f t="shared" si="1073"/>
        <v>0</v>
      </c>
      <c r="CN162" s="66" t="s">
        <v>41</v>
      </c>
      <c r="CO162" s="54">
        <f t="shared" ref="CO162:CO180" si="1092">BK162-AV162</f>
        <v>0</v>
      </c>
      <c r="CP162" s="58">
        <f t="shared" si="1074"/>
        <v>0</v>
      </c>
      <c r="CQ162" s="55">
        <f t="shared" si="1075"/>
        <v>0</v>
      </c>
      <c r="CR162" s="55">
        <f t="shared" si="1076"/>
        <v>0</v>
      </c>
      <c r="CS162" s="55">
        <f t="shared" si="1077"/>
        <v>0</v>
      </c>
      <c r="CT162" s="55">
        <f t="shared" si="1078"/>
        <v>0</v>
      </c>
      <c r="CU162" s="55">
        <f t="shared" si="1079"/>
        <v>0</v>
      </c>
      <c r="CV162" s="246">
        <f t="shared" si="1080"/>
        <v>0</v>
      </c>
      <c r="CW162" s="55">
        <f t="shared" si="1081"/>
        <v>0</v>
      </c>
      <c r="CX162" s="55">
        <f t="shared" si="1082"/>
        <v>0</v>
      </c>
      <c r="CY162" s="55">
        <f t="shared" si="1083"/>
        <v>0</v>
      </c>
      <c r="CZ162" s="249">
        <f t="shared" si="1083"/>
        <v>0</v>
      </c>
      <c r="DA162" s="62" t="e">
        <f t="shared" si="1084"/>
        <v>#DIV/0!</v>
      </c>
      <c r="DC162" s="66" t="s">
        <v>41</v>
      </c>
      <c r="DD162" s="198">
        <f t="shared" ref="DD162:DD180" si="1093">AV162</f>
        <v>0</v>
      </c>
      <c r="DE162" s="199">
        <f t="shared" ref="DE162:DE180" si="1094">BK162</f>
        <v>0</v>
      </c>
      <c r="DF162" s="193">
        <f t="shared" ref="DF162:DF180" si="1095">AW162</f>
        <v>0</v>
      </c>
      <c r="DG162" s="194">
        <f t="shared" ref="DG162:DG180" si="1096">BL162</f>
        <v>0</v>
      </c>
      <c r="DH162" s="198">
        <f t="shared" ref="DH162:DH180" si="1097">AX162</f>
        <v>0</v>
      </c>
      <c r="DI162" s="199">
        <f t="shared" ref="DI162:DI180" si="1098">BM162</f>
        <v>0</v>
      </c>
      <c r="DJ162" s="198">
        <f t="shared" ref="DJ162:DJ180" si="1099">AY162</f>
        <v>0</v>
      </c>
      <c r="DK162" s="199">
        <f t="shared" ref="DK162:DK180" si="1100">BN162</f>
        <v>0</v>
      </c>
      <c r="DL162" s="198">
        <f t="shared" ref="DL162:DL180" si="1101">AZ162</f>
        <v>0</v>
      </c>
      <c r="DM162" s="199">
        <f t="shared" ref="DM162:DM180" si="1102">BO162</f>
        <v>0</v>
      </c>
      <c r="DN162" s="198">
        <f t="shared" ref="DN162:DN180" si="1103">BA162</f>
        <v>0</v>
      </c>
      <c r="DO162" s="199">
        <f t="shared" ref="DO162:DO180" si="1104">BP162</f>
        <v>0</v>
      </c>
      <c r="DP162" s="198">
        <f t="shared" ref="DP162:DP180" si="1105">BB162</f>
        <v>0</v>
      </c>
      <c r="DQ162" s="199">
        <f t="shared" ref="DQ162:DQ180" si="1106">BQ162</f>
        <v>0</v>
      </c>
      <c r="DR162" s="198">
        <f t="shared" ref="DR162:DR180" si="1107">BC162</f>
        <v>0</v>
      </c>
      <c r="DS162" s="199">
        <f t="shared" ref="DS162:DS180" si="1108">BR162</f>
        <v>0</v>
      </c>
      <c r="DT162" s="198">
        <f t="shared" ref="DT162:DT180" si="1109">BD162</f>
        <v>0</v>
      </c>
      <c r="DU162" s="199">
        <f t="shared" ref="DU162:DU180" si="1110">BS162</f>
        <v>0</v>
      </c>
      <c r="DV162" s="198">
        <f t="shared" ref="DV162:DV180" si="1111">BE162</f>
        <v>0</v>
      </c>
      <c r="DW162" s="199">
        <f t="shared" ref="DW162:DW180" si="1112">BT162</f>
        <v>0</v>
      </c>
      <c r="DX162" s="198">
        <f t="shared" ref="DX162:DX180" si="1113">BF162</f>
        <v>0</v>
      </c>
      <c r="DY162" s="199">
        <f t="shared" ref="DY162:DY180" si="1114">BU162</f>
        <v>0</v>
      </c>
      <c r="DZ162" s="190">
        <f t="shared" ref="DZ162:DZ180" si="1115">BG162</f>
        <v>0</v>
      </c>
      <c r="EA162" s="199">
        <f t="shared" si="1085"/>
        <v>0</v>
      </c>
      <c r="EB162" s="190" t="e">
        <f t="shared" ref="EB162:EB180" si="1116">BH162</f>
        <v>#DIV/0!</v>
      </c>
      <c r="EC162" s="190" t="e">
        <f t="shared" ref="EC162:EC180" si="1117">BW162</f>
        <v>#DIV/0!</v>
      </c>
    </row>
    <row r="163" spans="1:133" x14ac:dyDescent="0.2">
      <c r="A163" s="66" t="s">
        <v>42</v>
      </c>
      <c r="B163" s="269">
        <f>SUM(targets!AW152:AY152)</f>
        <v>1268320.0522981412</v>
      </c>
      <c r="C163" s="270"/>
      <c r="D163" s="271"/>
      <c r="E163" s="242">
        <f>targets!AZ152</f>
        <v>0</v>
      </c>
      <c r="F163" s="242">
        <f>targets!BA152</f>
        <v>0</v>
      </c>
      <c r="G163" s="242">
        <f>SUM(targets!BB152:BG152)</f>
        <v>82.694753297608145</v>
      </c>
      <c r="H163" s="242">
        <f>SUM(targets!BH152:BM152)</f>
        <v>0</v>
      </c>
      <c r="I163" s="243">
        <f t="shared" si="1086"/>
        <v>82.694753297608145</v>
      </c>
      <c r="J163" s="242">
        <f>targets!BN152</f>
        <v>0</v>
      </c>
      <c r="K163" s="242">
        <f>targets!BO152</f>
        <v>5236.1074713835033</v>
      </c>
      <c r="L163" s="242">
        <f>targets!BP152</f>
        <v>0</v>
      </c>
      <c r="M163" s="178">
        <f t="shared" si="1087"/>
        <v>5236.1074713835033</v>
      </c>
      <c r="N163" s="17">
        <f t="shared" si="1050"/>
        <v>1273638.8545228222</v>
      </c>
      <c r="O163" s="229"/>
      <c r="P163" s="17"/>
      <c r="Q163" s="66" t="s">
        <v>42</v>
      </c>
      <c r="R163" s="269">
        <f>B163*(AG$181/B$181)</f>
        <v>0</v>
      </c>
      <c r="S163" s="270"/>
      <c r="T163" s="271"/>
      <c r="U163" s="242">
        <f t="shared" si="1051"/>
        <v>0</v>
      </c>
      <c r="V163" s="242">
        <f t="shared" si="1052"/>
        <v>0</v>
      </c>
      <c r="W163" s="242">
        <f t="shared" si="1053"/>
        <v>0</v>
      </c>
      <c r="X163" s="242">
        <f t="shared" si="1054"/>
        <v>0</v>
      </c>
      <c r="Y163" s="243">
        <f t="shared" si="1055"/>
        <v>0</v>
      </c>
      <c r="Z163" s="242">
        <f t="shared" si="1056"/>
        <v>0</v>
      </c>
      <c r="AA163" s="242">
        <f t="shared" si="1057"/>
        <v>0</v>
      </c>
      <c r="AB163" s="242"/>
      <c r="AC163" s="178">
        <f t="shared" si="1058"/>
        <v>0</v>
      </c>
      <c r="AD163" s="17">
        <f t="shared" si="1059"/>
        <v>0</v>
      </c>
      <c r="AF163" s="66" t="s">
        <v>42</v>
      </c>
      <c r="AG163" s="269">
        <f t="array" ref="AG163">SUM(IF((modeldata!$F:$F=calibration!$AF$158)*(modeldata!$G:$G=calibration!AG$160)*(modeldata!$H:$H=calibration!$AF163),modeldata!$E:$E,0))</f>
        <v>0</v>
      </c>
      <c r="AH163" s="270"/>
      <c r="AI163" s="271"/>
      <c r="AJ163" s="242">
        <f t="array" ref="AJ163">SUM(IF((modeldata!$F:$F=calibration!$AF$158)*(modeldata!$G:$G=calibration!AJ$160)*(modeldata!$H:$H=calibration!$AF163),modeldata!$E:$E,0))</f>
        <v>0</v>
      </c>
      <c r="AK163" s="242">
        <f t="array" ref="AK163">SUM(IF((modeldata!$F:$F=calibration!$AF$158)*(modeldata!$G:$G=calibration!AK$160)*(modeldata!$H:$H=calibration!$AF163),modeldata!$E:$E,0))</f>
        <v>0</v>
      </c>
      <c r="AL163" s="242">
        <f t="array" ref="AL163">SUM(IF((modeldata!$F:$F=calibration!$AF$158)*(modeldata!$G:$G=calibration!AL$160)*(modeldata!$H:$H=calibration!$AF163),modeldata!$E:$E,0))</f>
        <v>0</v>
      </c>
      <c r="AM163" s="242">
        <f t="array" ref="AM163">SUM(IF((modeldata!$F:$F=calibration!$AF$158)*(modeldata!$G:$G=calibration!AM$160)*(modeldata!$H:$H=calibration!$AF163),modeldata!$E:$E,0))</f>
        <v>0</v>
      </c>
      <c r="AN163" s="243">
        <f t="shared" si="1088"/>
        <v>0</v>
      </c>
      <c r="AO163" s="242">
        <f t="array" ref="AO163">SUM(IF((modeldata!$F:$F=calibration!$AF$158)*(modeldata!$G:$G=calibration!AO$160)*(modeldata!$H:$H=calibration!$AF163),modeldata!$E:$E,0))</f>
        <v>0</v>
      </c>
      <c r="AP163" s="242">
        <f t="array" ref="AP163">SUM(IF((modeldata!$F:$F=calibration!$AF$158)*(modeldata!$G:$G=calibration!AP$160)*(modeldata!$H:$H=calibration!$AF163),modeldata!$E:$E,0))</f>
        <v>0</v>
      </c>
      <c r="AQ163" s="242">
        <f t="array" ref="AQ163">SUM(IF((modeldata!$F:$F=calibration!$AF$158)*(modeldata!$G:$G=calibration!AQ$160)*(modeldata!$H:$H=calibration!$AF163),modeldata!$E:$E,0))</f>
        <v>0</v>
      </c>
      <c r="AR163" s="178">
        <f t="shared" ref="AR163:AR177" si="1118">SUM(AO163:AQ163)</f>
        <v>0</v>
      </c>
      <c r="AS163" s="17">
        <f t="shared" si="1060"/>
        <v>0</v>
      </c>
      <c r="AU163" s="66" t="s">
        <v>42</v>
      </c>
      <c r="AV163" s="269">
        <f>IF(R181&gt;0,R163/R181,0)</f>
        <v>0</v>
      </c>
      <c r="AW163" s="270">
        <f>IF(C181&gt;0,C163/C181,0)</f>
        <v>0</v>
      </c>
      <c r="AX163" s="271">
        <f>IF(D181&gt;0,D163/D181,0)</f>
        <v>0</v>
      </c>
      <c r="AY163" s="242">
        <f t="shared" ref="AY163:BG163" si="1119">IF(U181&gt;0,U163/U181,0)</f>
        <v>0</v>
      </c>
      <c r="AZ163" s="242">
        <f t="shared" si="1119"/>
        <v>0</v>
      </c>
      <c r="BA163" s="242">
        <f t="shared" si="1119"/>
        <v>0</v>
      </c>
      <c r="BB163" s="242">
        <f t="shared" si="1119"/>
        <v>0</v>
      </c>
      <c r="BC163" s="243">
        <f t="shared" si="1119"/>
        <v>0</v>
      </c>
      <c r="BD163" s="242">
        <f t="shared" si="1119"/>
        <v>0</v>
      </c>
      <c r="BE163" s="242">
        <f t="shared" si="1119"/>
        <v>0</v>
      </c>
      <c r="BF163" s="242">
        <f t="shared" si="1119"/>
        <v>0</v>
      </c>
      <c r="BG163" s="178">
        <f t="shared" si="1119"/>
        <v>0</v>
      </c>
      <c r="BH163" s="24" t="e">
        <f>AD163/AD181</f>
        <v>#DIV/0!</v>
      </c>
      <c r="BJ163" s="66" t="s">
        <v>42</v>
      </c>
      <c r="BK163" s="273">
        <f>IF(AG181&gt;0,AG163/AG181,0)</f>
        <v>0</v>
      </c>
      <c r="BL163" s="274"/>
      <c r="BM163" s="280"/>
      <c r="BN163" s="24">
        <f t="shared" ref="BN163:BV163" si="1120">IF(AJ181&gt;0,AJ163/AJ181,0)</f>
        <v>0</v>
      </c>
      <c r="BO163" s="24">
        <f t="shared" si="1120"/>
        <v>0</v>
      </c>
      <c r="BP163" s="24">
        <f t="shared" si="1120"/>
        <v>0</v>
      </c>
      <c r="BQ163" s="24">
        <f t="shared" si="1120"/>
        <v>0</v>
      </c>
      <c r="BR163" s="77">
        <f t="shared" si="1120"/>
        <v>0</v>
      </c>
      <c r="BS163" s="24">
        <f t="shared" si="1120"/>
        <v>0</v>
      </c>
      <c r="BT163" s="24">
        <f t="shared" si="1120"/>
        <v>0</v>
      </c>
      <c r="BU163" s="24">
        <f t="shared" si="1120"/>
        <v>0</v>
      </c>
      <c r="BV163" s="180">
        <f t="shared" si="1120"/>
        <v>0</v>
      </c>
      <c r="BW163" s="24" t="e">
        <f>AS163/AS181</f>
        <v>#DIV/0!</v>
      </c>
      <c r="BX163" s="24"/>
      <c r="BY163" s="66" t="s">
        <v>42</v>
      </c>
      <c r="BZ163" s="54">
        <f t="shared" si="1091"/>
        <v>0</v>
      </c>
      <c r="CA163" s="55">
        <f t="shared" si="1063"/>
        <v>0</v>
      </c>
      <c r="CB163" s="58">
        <f t="shared" si="1064"/>
        <v>0</v>
      </c>
      <c r="CC163" s="55">
        <f t="shared" si="1065"/>
        <v>0</v>
      </c>
      <c r="CD163" s="55">
        <f t="shared" si="1066"/>
        <v>0</v>
      </c>
      <c r="CE163" s="55">
        <f t="shared" si="1067"/>
        <v>0</v>
      </c>
      <c r="CF163" s="55">
        <f t="shared" si="1068"/>
        <v>0</v>
      </c>
      <c r="CG163" s="246">
        <f t="shared" si="1069"/>
        <v>0</v>
      </c>
      <c r="CH163" s="55">
        <f t="shared" si="1070"/>
        <v>0</v>
      </c>
      <c r="CI163" s="55">
        <f t="shared" si="1071"/>
        <v>0</v>
      </c>
      <c r="CJ163" s="55">
        <f t="shared" si="1072"/>
        <v>0</v>
      </c>
      <c r="CK163" s="249">
        <f t="shared" si="1072"/>
        <v>0</v>
      </c>
      <c r="CL163" s="55">
        <f t="shared" si="1073"/>
        <v>0</v>
      </c>
      <c r="CN163" s="66" t="s">
        <v>42</v>
      </c>
      <c r="CO163" s="54">
        <f t="shared" si="1092"/>
        <v>0</v>
      </c>
      <c r="CP163" s="55">
        <f t="shared" si="1074"/>
        <v>0</v>
      </c>
      <c r="CQ163" s="58">
        <f t="shared" si="1075"/>
        <v>0</v>
      </c>
      <c r="CR163" s="55">
        <f t="shared" si="1076"/>
        <v>0</v>
      </c>
      <c r="CS163" s="55">
        <f t="shared" si="1077"/>
        <v>0</v>
      </c>
      <c r="CT163" s="55">
        <f t="shared" si="1078"/>
        <v>0</v>
      </c>
      <c r="CU163" s="55">
        <f t="shared" si="1079"/>
        <v>0</v>
      </c>
      <c r="CV163" s="246">
        <f t="shared" si="1080"/>
        <v>0</v>
      </c>
      <c r="CW163" s="55">
        <f t="shared" si="1081"/>
        <v>0</v>
      </c>
      <c r="CX163" s="55">
        <f t="shared" si="1082"/>
        <v>0</v>
      </c>
      <c r="CY163" s="55">
        <f t="shared" si="1083"/>
        <v>0</v>
      </c>
      <c r="CZ163" s="249">
        <f t="shared" si="1083"/>
        <v>0</v>
      </c>
      <c r="DA163" s="62" t="e">
        <f t="shared" si="1084"/>
        <v>#DIV/0!</v>
      </c>
      <c r="DC163" s="66" t="s">
        <v>42</v>
      </c>
      <c r="DD163" s="198">
        <f t="shared" si="1093"/>
        <v>0</v>
      </c>
      <c r="DE163" s="199">
        <f t="shared" si="1094"/>
        <v>0</v>
      </c>
      <c r="DF163" s="198">
        <f t="shared" si="1095"/>
        <v>0</v>
      </c>
      <c r="DG163" s="199">
        <f t="shared" si="1096"/>
        <v>0</v>
      </c>
      <c r="DH163" s="193">
        <f t="shared" si="1097"/>
        <v>0</v>
      </c>
      <c r="DI163" s="194">
        <f t="shared" si="1098"/>
        <v>0</v>
      </c>
      <c r="DJ163" s="198">
        <f t="shared" si="1099"/>
        <v>0</v>
      </c>
      <c r="DK163" s="199">
        <f t="shared" si="1100"/>
        <v>0</v>
      </c>
      <c r="DL163" s="198">
        <f t="shared" si="1101"/>
        <v>0</v>
      </c>
      <c r="DM163" s="199">
        <f t="shared" si="1102"/>
        <v>0</v>
      </c>
      <c r="DN163" s="198">
        <f t="shared" si="1103"/>
        <v>0</v>
      </c>
      <c r="DO163" s="199">
        <f t="shared" si="1104"/>
        <v>0</v>
      </c>
      <c r="DP163" s="198">
        <f t="shared" si="1105"/>
        <v>0</v>
      </c>
      <c r="DQ163" s="199">
        <f t="shared" si="1106"/>
        <v>0</v>
      </c>
      <c r="DR163" s="198">
        <f t="shared" si="1107"/>
        <v>0</v>
      </c>
      <c r="DS163" s="199">
        <f t="shared" si="1108"/>
        <v>0</v>
      </c>
      <c r="DT163" s="198">
        <f t="shared" si="1109"/>
        <v>0</v>
      </c>
      <c r="DU163" s="199">
        <f t="shared" si="1110"/>
        <v>0</v>
      </c>
      <c r="DV163" s="198">
        <f t="shared" si="1111"/>
        <v>0</v>
      </c>
      <c r="DW163" s="199">
        <f t="shared" si="1112"/>
        <v>0</v>
      </c>
      <c r="DX163" s="198">
        <f t="shared" si="1113"/>
        <v>0</v>
      </c>
      <c r="DY163" s="199">
        <f t="shared" si="1114"/>
        <v>0</v>
      </c>
      <c r="DZ163" s="190">
        <f t="shared" si="1115"/>
        <v>0</v>
      </c>
      <c r="EA163" s="199">
        <f t="shared" si="1085"/>
        <v>0</v>
      </c>
      <c r="EB163" s="190" t="e">
        <f t="shared" si="1116"/>
        <v>#DIV/0!</v>
      </c>
      <c r="EC163" s="190" t="e">
        <f t="shared" si="1117"/>
        <v>#DIV/0!</v>
      </c>
    </row>
    <row r="164" spans="1:133" x14ac:dyDescent="0.2">
      <c r="A164" s="66" t="s">
        <v>2</v>
      </c>
      <c r="B164" s="262">
        <f>SUM(targets!AW153:AY153)</f>
        <v>27561.501990179611</v>
      </c>
      <c r="C164" s="263"/>
      <c r="D164" s="263"/>
      <c r="E164" s="36">
        <f>targets!AZ153</f>
        <v>313857.50790392491</v>
      </c>
      <c r="F164" s="242">
        <f>targets!BA153</f>
        <v>0</v>
      </c>
      <c r="G164" s="242">
        <f>SUM(targets!BB153:BG153)</f>
        <v>919.53937470949302</v>
      </c>
      <c r="H164" s="242">
        <f>SUM(targets!BH153:BM153)</f>
        <v>0</v>
      </c>
      <c r="I164" s="243">
        <f t="shared" si="1086"/>
        <v>919.53937470949302</v>
      </c>
      <c r="J164" s="242">
        <f>targets!BN153</f>
        <v>0</v>
      </c>
      <c r="K164" s="242">
        <f>targets!BO153</f>
        <v>183.8467040235974</v>
      </c>
      <c r="L164" s="242">
        <f>targets!BP153</f>
        <v>0</v>
      </c>
      <c r="M164" s="178">
        <f t="shared" si="1087"/>
        <v>183.8467040235974</v>
      </c>
      <c r="N164" s="17">
        <f t="shared" si="1050"/>
        <v>342522.39597283758</v>
      </c>
      <c r="O164" s="208"/>
      <c r="P164" s="17"/>
      <c r="Q164" s="66" t="s">
        <v>2</v>
      </c>
      <c r="R164" s="262">
        <f>B164*(AG$181/B$181)</f>
        <v>0</v>
      </c>
      <c r="S164" s="263"/>
      <c r="T164" s="263"/>
      <c r="U164" s="36">
        <f t="shared" si="1051"/>
        <v>0</v>
      </c>
      <c r="V164" s="242">
        <f t="shared" si="1052"/>
        <v>0</v>
      </c>
      <c r="W164" s="242">
        <f t="shared" si="1053"/>
        <v>0</v>
      </c>
      <c r="X164" s="242">
        <f t="shared" si="1054"/>
        <v>0</v>
      </c>
      <c r="Y164" s="243">
        <f t="shared" si="1055"/>
        <v>0</v>
      </c>
      <c r="Z164" s="242">
        <f t="shared" si="1056"/>
        <v>0</v>
      </c>
      <c r="AA164" s="242">
        <f t="shared" si="1057"/>
        <v>0</v>
      </c>
      <c r="AB164" s="242"/>
      <c r="AC164" s="178">
        <f t="shared" si="1058"/>
        <v>0</v>
      </c>
      <c r="AD164" s="17">
        <f t="shared" si="1059"/>
        <v>0</v>
      </c>
      <c r="AF164" s="66" t="s">
        <v>2</v>
      </c>
      <c r="AG164" s="262">
        <f t="array" ref="AG164">SUM(IF((modeldata!$F:$F=calibration!$AF$158)*(modeldata!$G:$G=calibration!AG$160)*(modeldata!$H:$H=calibration!$AF164),modeldata!$E:$E,0))</f>
        <v>0</v>
      </c>
      <c r="AH164" s="263"/>
      <c r="AI164" s="263"/>
      <c r="AJ164" s="36">
        <f t="array" ref="AJ164">SUM(IF((modeldata!$F:$F=calibration!$AF$158)*(modeldata!$G:$G=calibration!AJ$160)*(modeldata!$H:$H=calibration!$AF164),modeldata!$E:$E,0))</f>
        <v>0</v>
      </c>
      <c r="AK164" s="242">
        <f t="array" ref="AK164">SUM(IF((modeldata!$F:$F=calibration!$AF$158)*(modeldata!$G:$G=calibration!AK$160)*(modeldata!$H:$H=calibration!$AF164),modeldata!$E:$E,0))</f>
        <v>0</v>
      </c>
      <c r="AL164" s="242">
        <f t="array" ref="AL164">SUM(IF((modeldata!$F:$F=calibration!$AF$158)*(modeldata!$G:$G=calibration!AL$160)*(modeldata!$H:$H=calibration!$AF164),modeldata!$E:$E,0))</f>
        <v>0</v>
      </c>
      <c r="AM164" s="242">
        <f t="array" ref="AM164">SUM(IF((modeldata!$F:$F=calibration!$AF$158)*(modeldata!$G:$G=calibration!AM$160)*(modeldata!$H:$H=calibration!$AF164),modeldata!$E:$E,0))</f>
        <v>0</v>
      </c>
      <c r="AN164" s="243">
        <f t="shared" si="1088"/>
        <v>0</v>
      </c>
      <c r="AO164" s="242">
        <f t="array" ref="AO164">SUM(IF((modeldata!$F:$F=calibration!$AF$158)*(modeldata!$G:$G=calibration!AO$160)*(modeldata!$H:$H=calibration!$AF164),modeldata!$E:$E,0))</f>
        <v>0</v>
      </c>
      <c r="AP164" s="242">
        <f t="array" ref="AP164">SUM(IF((modeldata!$F:$F=calibration!$AF$158)*(modeldata!$G:$G=calibration!AP$160)*(modeldata!$H:$H=calibration!$AF164),modeldata!$E:$E,0))</f>
        <v>0</v>
      </c>
      <c r="AQ164" s="242">
        <f t="array" ref="AQ164">SUM(IF((modeldata!$F:$F=calibration!$AF$158)*(modeldata!$G:$G=calibration!AQ$160)*(modeldata!$H:$H=calibration!$AF164),modeldata!$E:$E,0))</f>
        <v>0</v>
      </c>
      <c r="AR164" s="178">
        <f t="shared" si="1118"/>
        <v>0</v>
      </c>
      <c r="AS164" s="17">
        <f t="shared" si="1060"/>
        <v>0</v>
      </c>
      <c r="AU164" s="66" t="s">
        <v>2</v>
      </c>
      <c r="AV164" s="262">
        <f>IF(R181&gt;0,R164/R181,0)</f>
        <v>0</v>
      </c>
      <c r="AW164" s="263">
        <f>IF(C181&gt;0,C164/C181,0)</f>
        <v>0</v>
      </c>
      <c r="AX164" s="263">
        <f>IF(D181&gt;0,D164/D181,0)</f>
        <v>0</v>
      </c>
      <c r="AY164" s="36">
        <f t="shared" ref="AY164:BG164" si="1121">IF(U181&gt;0,U164/U181,0)</f>
        <v>0</v>
      </c>
      <c r="AZ164" s="242">
        <f t="shared" si="1121"/>
        <v>0</v>
      </c>
      <c r="BA164" s="242">
        <f t="shared" si="1121"/>
        <v>0</v>
      </c>
      <c r="BB164" s="242">
        <f t="shared" si="1121"/>
        <v>0</v>
      </c>
      <c r="BC164" s="243">
        <f t="shared" si="1121"/>
        <v>0</v>
      </c>
      <c r="BD164" s="242">
        <f t="shared" si="1121"/>
        <v>0</v>
      </c>
      <c r="BE164" s="242">
        <f t="shared" si="1121"/>
        <v>0</v>
      </c>
      <c r="BF164" s="242">
        <f t="shared" si="1121"/>
        <v>0</v>
      </c>
      <c r="BG164" s="178">
        <f t="shared" si="1121"/>
        <v>0</v>
      </c>
      <c r="BH164" s="24" t="e">
        <f>AD164/AD181</f>
        <v>#DIV/0!</v>
      </c>
      <c r="BJ164" s="66" t="s">
        <v>2</v>
      </c>
      <c r="BK164" s="239">
        <f t="shared" ref="BK164:BV164" si="1122">IF(AG181&gt;0,AG164/AG181,0)</f>
        <v>0</v>
      </c>
      <c r="BL164" s="240">
        <f t="shared" si="1122"/>
        <v>0</v>
      </c>
      <c r="BM164" s="241">
        <f t="shared" si="1122"/>
        <v>0</v>
      </c>
      <c r="BN164" s="22">
        <f t="shared" si="1122"/>
        <v>0</v>
      </c>
      <c r="BO164" s="24">
        <f t="shared" si="1122"/>
        <v>0</v>
      </c>
      <c r="BP164" s="24">
        <f t="shared" si="1122"/>
        <v>0</v>
      </c>
      <c r="BQ164" s="24">
        <f t="shared" si="1122"/>
        <v>0</v>
      </c>
      <c r="BR164" s="77">
        <f t="shared" si="1122"/>
        <v>0</v>
      </c>
      <c r="BS164" s="24">
        <f t="shared" si="1122"/>
        <v>0</v>
      </c>
      <c r="BT164" s="24">
        <f t="shared" si="1122"/>
        <v>0</v>
      </c>
      <c r="BU164" s="24">
        <f t="shared" si="1122"/>
        <v>0</v>
      </c>
      <c r="BV164" s="180">
        <f t="shared" si="1122"/>
        <v>0</v>
      </c>
      <c r="BW164" s="24" t="e">
        <f>AS164/AS181</f>
        <v>#DIV/0!</v>
      </c>
      <c r="BX164" s="24"/>
      <c r="BY164" s="66" t="s">
        <v>2</v>
      </c>
      <c r="BZ164" s="54">
        <f t="shared" si="1091"/>
        <v>0</v>
      </c>
      <c r="CA164" s="55">
        <f t="shared" si="1063"/>
        <v>0</v>
      </c>
      <c r="CB164" s="55">
        <f t="shared" si="1064"/>
        <v>0</v>
      </c>
      <c r="CC164" s="58">
        <f t="shared" si="1065"/>
        <v>0</v>
      </c>
      <c r="CD164" s="55">
        <f t="shared" si="1066"/>
        <v>0</v>
      </c>
      <c r="CE164" s="55">
        <f t="shared" si="1067"/>
        <v>0</v>
      </c>
      <c r="CF164" s="55">
        <f t="shared" si="1068"/>
        <v>0</v>
      </c>
      <c r="CG164" s="246">
        <f t="shared" si="1069"/>
        <v>0</v>
      </c>
      <c r="CH164" s="55">
        <f t="shared" si="1070"/>
        <v>0</v>
      </c>
      <c r="CI164" s="55">
        <f t="shared" si="1071"/>
        <v>0</v>
      </c>
      <c r="CJ164" s="55">
        <f t="shared" si="1072"/>
        <v>0</v>
      </c>
      <c r="CK164" s="249">
        <f t="shared" si="1072"/>
        <v>0</v>
      </c>
      <c r="CL164" s="55">
        <f t="shared" si="1073"/>
        <v>0</v>
      </c>
      <c r="CN164" s="66" t="s">
        <v>2</v>
      </c>
      <c r="CO164" s="54">
        <f t="shared" si="1092"/>
        <v>0</v>
      </c>
      <c r="CP164" s="55">
        <f t="shared" si="1074"/>
        <v>0</v>
      </c>
      <c r="CQ164" s="55">
        <f t="shared" si="1075"/>
        <v>0</v>
      </c>
      <c r="CR164" s="58">
        <f t="shared" si="1076"/>
        <v>0</v>
      </c>
      <c r="CS164" s="55">
        <f t="shared" si="1077"/>
        <v>0</v>
      </c>
      <c r="CT164" s="55">
        <f t="shared" si="1078"/>
        <v>0</v>
      </c>
      <c r="CU164" s="55">
        <f t="shared" si="1079"/>
        <v>0</v>
      </c>
      <c r="CV164" s="246">
        <f t="shared" si="1080"/>
        <v>0</v>
      </c>
      <c r="CW164" s="55">
        <f t="shared" si="1081"/>
        <v>0</v>
      </c>
      <c r="CX164" s="55">
        <f t="shared" si="1082"/>
        <v>0</v>
      </c>
      <c r="CY164" s="55">
        <f t="shared" si="1083"/>
        <v>0</v>
      </c>
      <c r="CZ164" s="249">
        <f t="shared" si="1083"/>
        <v>0</v>
      </c>
      <c r="DA164" s="62" t="e">
        <f t="shared" si="1084"/>
        <v>#DIV/0!</v>
      </c>
      <c r="DC164" s="66" t="s">
        <v>2</v>
      </c>
      <c r="DD164" s="198">
        <f t="shared" si="1093"/>
        <v>0</v>
      </c>
      <c r="DE164" s="199">
        <f t="shared" si="1094"/>
        <v>0</v>
      </c>
      <c r="DF164" s="198">
        <f t="shared" si="1095"/>
        <v>0</v>
      </c>
      <c r="DG164" s="199">
        <f t="shared" si="1096"/>
        <v>0</v>
      </c>
      <c r="DH164" s="198">
        <f t="shared" si="1097"/>
        <v>0</v>
      </c>
      <c r="DI164" s="199">
        <f t="shared" si="1098"/>
        <v>0</v>
      </c>
      <c r="DJ164" s="193">
        <f t="shared" si="1099"/>
        <v>0</v>
      </c>
      <c r="DK164" s="194">
        <f t="shared" si="1100"/>
        <v>0</v>
      </c>
      <c r="DL164" s="198">
        <f t="shared" si="1101"/>
        <v>0</v>
      </c>
      <c r="DM164" s="199">
        <f t="shared" si="1102"/>
        <v>0</v>
      </c>
      <c r="DN164" s="198">
        <f t="shared" si="1103"/>
        <v>0</v>
      </c>
      <c r="DO164" s="199">
        <f t="shared" si="1104"/>
        <v>0</v>
      </c>
      <c r="DP164" s="198">
        <f t="shared" si="1105"/>
        <v>0</v>
      </c>
      <c r="DQ164" s="199">
        <f t="shared" si="1106"/>
        <v>0</v>
      </c>
      <c r="DR164" s="198">
        <f t="shared" si="1107"/>
        <v>0</v>
      </c>
      <c r="DS164" s="199">
        <f t="shared" si="1108"/>
        <v>0</v>
      </c>
      <c r="DT164" s="198">
        <f t="shared" si="1109"/>
        <v>0</v>
      </c>
      <c r="DU164" s="199">
        <f t="shared" si="1110"/>
        <v>0</v>
      </c>
      <c r="DV164" s="198">
        <f t="shared" si="1111"/>
        <v>0</v>
      </c>
      <c r="DW164" s="199">
        <f t="shared" si="1112"/>
        <v>0</v>
      </c>
      <c r="DX164" s="198">
        <f t="shared" si="1113"/>
        <v>0</v>
      </c>
      <c r="DY164" s="199">
        <f t="shared" si="1114"/>
        <v>0</v>
      </c>
      <c r="DZ164" s="190">
        <f t="shared" si="1115"/>
        <v>0</v>
      </c>
      <c r="EA164" s="199">
        <f t="shared" si="1085"/>
        <v>0</v>
      </c>
      <c r="EB164" s="190" t="e">
        <f t="shared" si="1116"/>
        <v>#DIV/0!</v>
      </c>
      <c r="EC164" s="190" t="e">
        <f t="shared" si="1117"/>
        <v>#DIV/0!</v>
      </c>
    </row>
    <row r="165" spans="1:133" x14ac:dyDescent="0.2">
      <c r="A165" s="66" t="s">
        <v>3</v>
      </c>
      <c r="B165" s="262">
        <f>SUM(targets!AW154:AY154)</f>
        <v>0</v>
      </c>
      <c r="C165" s="263"/>
      <c r="D165" s="263"/>
      <c r="E165" s="242">
        <f>targets!AZ154</f>
        <v>0</v>
      </c>
      <c r="F165" s="36">
        <f>targets!BA154</f>
        <v>5255.4772905342534</v>
      </c>
      <c r="G165" s="242">
        <f>SUM(targets!BB154:BG154)</f>
        <v>0</v>
      </c>
      <c r="H165" s="242">
        <f>SUM(targets!BH154:BM154)</f>
        <v>0</v>
      </c>
      <c r="I165" s="243">
        <f t="shared" si="1086"/>
        <v>0</v>
      </c>
      <c r="J165" s="242">
        <f>targets!BN154</f>
        <v>0</v>
      </c>
      <c r="K165" s="242">
        <f>targets!BO154</f>
        <v>0</v>
      </c>
      <c r="L165" s="242">
        <f>targets!BP154</f>
        <v>0</v>
      </c>
      <c r="M165" s="178">
        <f t="shared" si="1087"/>
        <v>0</v>
      </c>
      <c r="N165" s="17">
        <f t="shared" si="1050"/>
        <v>5255.4772905342534</v>
      </c>
      <c r="O165" s="208"/>
      <c r="P165" s="17"/>
      <c r="Q165" s="66" t="s">
        <v>3</v>
      </c>
      <c r="R165" s="262">
        <f>B165*(AG$181/B$181)</f>
        <v>0</v>
      </c>
      <c r="S165" s="263"/>
      <c r="T165" s="263"/>
      <c r="U165" s="242">
        <f t="shared" si="1051"/>
        <v>0</v>
      </c>
      <c r="V165" s="36">
        <f t="shared" si="1052"/>
        <v>0</v>
      </c>
      <c r="W165" s="242">
        <f t="shared" si="1053"/>
        <v>0</v>
      </c>
      <c r="X165" s="242">
        <f t="shared" si="1054"/>
        <v>0</v>
      </c>
      <c r="Y165" s="243">
        <f t="shared" si="1055"/>
        <v>0</v>
      </c>
      <c r="Z165" s="242">
        <f t="shared" si="1056"/>
        <v>0</v>
      </c>
      <c r="AA165" s="242">
        <f t="shared" si="1057"/>
        <v>0</v>
      </c>
      <c r="AB165" s="242"/>
      <c r="AC165" s="178">
        <f t="shared" si="1058"/>
        <v>0</v>
      </c>
      <c r="AD165" s="17">
        <f t="shared" si="1059"/>
        <v>0</v>
      </c>
      <c r="AF165" s="66" t="s">
        <v>3</v>
      </c>
      <c r="AG165" s="262">
        <f t="array" ref="AG165">SUM(IF((modeldata!$F:$F=calibration!$AF$158)*(modeldata!$G:$G=calibration!AG$160)*(modeldata!$H:$H=calibration!$AF165),modeldata!$E:$E,0))</f>
        <v>0</v>
      </c>
      <c r="AH165" s="263">
        <f t="array" ref="AH165">SUM(IF((modeldata!$F:$F=calibration!$AF$158)*(modeldata!$G:$G=calibration!AH$160)*(modeldata!$H:$H=calibration!$AF165),modeldata!$E:$E,0))</f>
        <v>0</v>
      </c>
      <c r="AI165" s="263">
        <f t="array" ref="AI165">SUM(IF((modeldata!$F:$F=calibration!$AF$158)*(modeldata!$G:$G=calibration!AI$160)*(modeldata!$H:$H=calibration!$AF165),modeldata!$E:$E,0))</f>
        <v>0</v>
      </c>
      <c r="AJ165" s="242">
        <f t="array" ref="AJ165">SUM(IF((modeldata!$F:$F=calibration!$AF$158)*(modeldata!$G:$G=calibration!AJ$160)*(modeldata!$H:$H=calibration!$AF165),modeldata!$E:$E,0))</f>
        <v>0</v>
      </c>
      <c r="AK165" s="36">
        <f t="array" ref="AK165">SUM(IF((modeldata!$F:$F=calibration!$AF$158)*(modeldata!$G:$G=calibration!AK$160)*(modeldata!$H:$H=calibration!$AF165),modeldata!$E:$E,0))</f>
        <v>0</v>
      </c>
      <c r="AL165" s="242">
        <f t="array" ref="AL165">SUM(IF((modeldata!$F:$F=calibration!$AF$158)*(modeldata!$G:$G=calibration!AL$160)*(modeldata!$H:$H=calibration!$AF165),modeldata!$E:$E,0))</f>
        <v>0</v>
      </c>
      <c r="AM165" s="242">
        <f t="array" ref="AM165">SUM(IF((modeldata!$F:$F=calibration!$AF$158)*(modeldata!$G:$G=calibration!AM$160)*(modeldata!$H:$H=calibration!$AF165),modeldata!$E:$E,0))</f>
        <v>0</v>
      </c>
      <c r="AN165" s="243">
        <f t="shared" si="1088"/>
        <v>0</v>
      </c>
      <c r="AO165" s="242">
        <f t="array" ref="AO165">SUM(IF((modeldata!$F:$F=calibration!$AF$158)*(modeldata!$G:$G=calibration!AO$160)*(modeldata!$H:$H=calibration!$AF165),modeldata!$E:$E,0))</f>
        <v>0</v>
      </c>
      <c r="AP165" s="242">
        <f t="array" ref="AP165">SUM(IF((modeldata!$F:$F=calibration!$AF$158)*(modeldata!$G:$G=calibration!AP$160)*(modeldata!$H:$H=calibration!$AF165),modeldata!$E:$E,0))</f>
        <v>0</v>
      </c>
      <c r="AQ165" s="242">
        <f t="array" ref="AQ165">SUM(IF((modeldata!$F:$F=calibration!$AF$158)*(modeldata!$G:$G=calibration!AQ$160)*(modeldata!$H:$H=calibration!$AF165),modeldata!$E:$E,0))</f>
        <v>0</v>
      </c>
      <c r="AR165" s="178">
        <f t="shared" si="1118"/>
        <v>0</v>
      </c>
      <c r="AS165" s="17">
        <f t="shared" si="1060"/>
        <v>0</v>
      </c>
      <c r="AU165" s="66" t="s">
        <v>3</v>
      </c>
      <c r="AV165" s="262">
        <f t="shared" ref="AV165:BG165" si="1123">IF(R181&gt;0,R165/R181,0)</f>
        <v>0</v>
      </c>
      <c r="AW165" s="263">
        <f t="shared" si="1123"/>
        <v>0</v>
      </c>
      <c r="AX165" s="263">
        <f t="shared" si="1123"/>
        <v>0</v>
      </c>
      <c r="AY165" s="242">
        <f t="shared" si="1123"/>
        <v>0</v>
      </c>
      <c r="AZ165" s="36">
        <f t="shared" si="1123"/>
        <v>0</v>
      </c>
      <c r="BA165" s="242">
        <f t="shared" si="1123"/>
        <v>0</v>
      </c>
      <c r="BB165" s="242">
        <f t="shared" si="1123"/>
        <v>0</v>
      </c>
      <c r="BC165" s="243">
        <f t="shared" si="1123"/>
        <v>0</v>
      </c>
      <c r="BD165" s="242">
        <f t="shared" si="1123"/>
        <v>0</v>
      </c>
      <c r="BE165" s="242">
        <f t="shared" si="1123"/>
        <v>0</v>
      </c>
      <c r="BF165" s="242">
        <f t="shared" si="1123"/>
        <v>0</v>
      </c>
      <c r="BG165" s="178">
        <f t="shared" si="1123"/>
        <v>0</v>
      </c>
      <c r="BH165" s="24" t="e">
        <f>AD165/AD181</f>
        <v>#DIV/0!</v>
      </c>
      <c r="BJ165" s="66" t="s">
        <v>3</v>
      </c>
      <c r="BK165" s="25">
        <f t="shared" ref="BK165:BV165" si="1124">IF(AG181&gt;0,AG165/AG181,0)</f>
        <v>0</v>
      </c>
      <c r="BL165" s="24">
        <f t="shared" si="1124"/>
        <v>0</v>
      </c>
      <c r="BM165" s="24">
        <f t="shared" si="1124"/>
        <v>0</v>
      </c>
      <c r="BN165" s="24">
        <f t="shared" si="1124"/>
        <v>0</v>
      </c>
      <c r="BO165" s="22">
        <f t="shared" si="1124"/>
        <v>0</v>
      </c>
      <c r="BP165" s="24">
        <f t="shared" si="1124"/>
        <v>0</v>
      </c>
      <c r="BQ165" s="24">
        <f t="shared" si="1124"/>
        <v>0</v>
      </c>
      <c r="BR165" s="77">
        <f t="shared" si="1124"/>
        <v>0</v>
      </c>
      <c r="BS165" s="24">
        <f t="shared" si="1124"/>
        <v>0</v>
      </c>
      <c r="BT165" s="24">
        <f t="shared" si="1124"/>
        <v>0</v>
      </c>
      <c r="BU165" s="24">
        <f t="shared" si="1124"/>
        <v>0</v>
      </c>
      <c r="BV165" s="180">
        <f t="shared" si="1124"/>
        <v>0</v>
      </c>
      <c r="BW165" s="24" t="e">
        <f>AS165/AS181</f>
        <v>#DIV/0!</v>
      </c>
      <c r="BX165" s="24"/>
      <c r="BY165" s="66" t="s">
        <v>3</v>
      </c>
      <c r="BZ165" s="54">
        <f t="shared" si="1091"/>
        <v>0</v>
      </c>
      <c r="CA165" s="55">
        <f t="shared" si="1063"/>
        <v>0</v>
      </c>
      <c r="CB165" s="55">
        <f t="shared" si="1064"/>
        <v>0</v>
      </c>
      <c r="CC165" s="55">
        <f t="shared" si="1065"/>
        <v>0</v>
      </c>
      <c r="CD165" s="58">
        <f t="shared" si="1066"/>
        <v>0</v>
      </c>
      <c r="CE165" s="55">
        <f t="shared" si="1067"/>
        <v>0</v>
      </c>
      <c r="CF165" s="55">
        <f t="shared" si="1068"/>
        <v>0</v>
      </c>
      <c r="CG165" s="246">
        <f t="shared" si="1069"/>
        <v>0</v>
      </c>
      <c r="CH165" s="55">
        <f t="shared" si="1070"/>
        <v>0</v>
      </c>
      <c r="CI165" s="55">
        <f t="shared" si="1071"/>
        <v>0</v>
      </c>
      <c r="CJ165" s="55">
        <f t="shared" si="1072"/>
        <v>0</v>
      </c>
      <c r="CK165" s="249">
        <f t="shared" si="1072"/>
        <v>0</v>
      </c>
      <c r="CL165" s="55">
        <f t="shared" si="1073"/>
        <v>0</v>
      </c>
      <c r="CN165" s="66" t="s">
        <v>3</v>
      </c>
      <c r="CO165" s="54">
        <f t="shared" si="1092"/>
        <v>0</v>
      </c>
      <c r="CP165" s="55">
        <f t="shared" si="1074"/>
        <v>0</v>
      </c>
      <c r="CQ165" s="55">
        <f t="shared" si="1075"/>
        <v>0</v>
      </c>
      <c r="CR165" s="55">
        <f t="shared" si="1076"/>
        <v>0</v>
      </c>
      <c r="CS165" s="58">
        <f t="shared" si="1077"/>
        <v>0</v>
      </c>
      <c r="CT165" s="55">
        <f t="shared" si="1078"/>
        <v>0</v>
      </c>
      <c r="CU165" s="55">
        <f t="shared" si="1079"/>
        <v>0</v>
      </c>
      <c r="CV165" s="246">
        <f t="shared" si="1080"/>
        <v>0</v>
      </c>
      <c r="CW165" s="55">
        <f t="shared" si="1081"/>
        <v>0</v>
      </c>
      <c r="CX165" s="55">
        <f t="shared" si="1082"/>
        <v>0</v>
      </c>
      <c r="CY165" s="55">
        <f t="shared" si="1083"/>
        <v>0</v>
      </c>
      <c r="CZ165" s="249">
        <f t="shared" si="1083"/>
        <v>0</v>
      </c>
      <c r="DA165" s="62" t="e">
        <f t="shared" si="1084"/>
        <v>#DIV/0!</v>
      </c>
      <c r="DC165" s="66" t="s">
        <v>3</v>
      </c>
      <c r="DD165" s="198">
        <f t="shared" si="1093"/>
        <v>0</v>
      </c>
      <c r="DE165" s="199">
        <f t="shared" si="1094"/>
        <v>0</v>
      </c>
      <c r="DF165" s="198">
        <f t="shared" si="1095"/>
        <v>0</v>
      </c>
      <c r="DG165" s="199">
        <f t="shared" si="1096"/>
        <v>0</v>
      </c>
      <c r="DH165" s="198">
        <f t="shared" si="1097"/>
        <v>0</v>
      </c>
      <c r="DI165" s="199">
        <f t="shared" si="1098"/>
        <v>0</v>
      </c>
      <c r="DJ165" s="198">
        <f t="shared" si="1099"/>
        <v>0</v>
      </c>
      <c r="DK165" s="199">
        <f t="shared" si="1100"/>
        <v>0</v>
      </c>
      <c r="DL165" s="193">
        <f t="shared" si="1101"/>
        <v>0</v>
      </c>
      <c r="DM165" s="194">
        <f t="shared" si="1102"/>
        <v>0</v>
      </c>
      <c r="DN165" s="198">
        <f t="shared" si="1103"/>
        <v>0</v>
      </c>
      <c r="DO165" s="199">
        <f t="shared" si="1104"/>
        <v>0</v>
      </c>
      <c r="DP165" s="198">
        <f t="shared" si="1105"/>
        <v>0</v>
      </c>
      <c r="DQ165" s="199">
        <f t="shared" si="1106"/>
        <v>0</v>
      </c>
      <c r="DR165" s="198">
        <f t="shared" si="1107"/>
        <v>0</v>
      </c>
      <c r="DS165" s="199">
        <f t="shared" si="1108"/>
        <v>0</v>
      </c>
      <c r="DT165" s="198">
        <f t="shared" si="1109"/>
        <v>0</v>
      </c>
      <c r="DU165" s="199">
        <f t="shared" si="1110"/>
        <v>0</v>
      </c>
      <c r="DV165" s="198">
        <f t="shared" si="1111"/>
        <v>0</v>
      </c>
      <c r="DW165" s="199">
        <f t="shared" si="1112"/>
        <v>0</v>
      </c>
      <c r="DX165" s="198">
        <f t="shared" si="1113"/>
        <v>0</v>
      </c>
      <c r="DY165" s="199">
        <f t="shared" si="1114"/>
        <v>0</v>
      </c>
      <c r="DZ165" s="190">
        <f t="shared" si="1115"/>
        <v>0</v>
      </c>
      <c r="EA165" s="199">
        <f t="shared" si="1085"/>
        <v>0</v>
      </c>
      <c r="EB165" s="190" t="e">
        <f t="shared" si="1116"/>
        <v>#DIV/0!</v>
      </c>
      <c r="EC165" s="190" t="e">
        <f t="shared" si="1117"/>
        <v>#DIV/0!</v>
      </c>
    </row>
    <row r="166" spans="1:133" x14ac:dyDescent="0.2">
      <c r="A166" s="66" t="s">
        <v>5</v>
      </c>
      <c r="B166" s="38">
        <f>targets!AW155</f>
        <v>0</v>
      </c>
      <c r="C166" s="242">
        <f>targets!AX155</f>
        <v>0</v>
      </c>
      <c r="D166" s="242">
        <f>targets!AY155</f>
        <v>0</v>
      </c>
      <c r="E166" s="242">
        <f>targets!AZ155</f>
        <v>0</v>
      </c>
      <c r="F166" s="242">
        <f>targets!BA155</f>
        <v>0</v>
      </c>
      <c r="G166" s="39">
        <f>SUM(targets!BB155:BG155)</f>
        <v>12526.824740272319</v>
      </c>
      <c r="H166" s="242">
        <f>SUM(targets!BH155:BM155)</f>
        <v>0</v>
      </c>
      <c r="I166" s="243">
        <f t="shared" si="1086"/>
        <v>12526.824740272319</v>
      </c>
      <c r="J166" s="242">
        <f>targets!BN155</f>
        <v>0</v>
      </c>
      <c r="K166" s="242">
        <f>targets!BO155</f>
        <v>0</v>
      </c>
      <c r="L166" s="242">
        <f>targets!BP155</f>
        <v>0</v>
      </c>
      <c r="M166" s="178">
        <f t="shared" si="1087"/>
        <v>0</v>
      </c>
      <c r="N166" s="17">
        <f t="shared" si="1050"/>
        <v>12526.824740272319</v>
      </c>
      <c r="O166" s="208"/>
      <c r="P166" s="17"/>
      <c r="Q166" s="66" t="s">
        <v>5</v>
      </c>
      <c r="R166" s="38"/>
      <c r="S166" s="242"/>
      <c r="T166" s="242"/>
      <c r="U166" s="242">
        <f t="shared" si="1051"/>
        <v>0</v>
      </c>
      <c r="V166" s="242">
        <f t="shared" si="1052"/>
        <v>0</v>
      </c>
      <c r="W166" s="39">
        <f t="shared" si="1053"/>
        <v>0</v>
      </c>
      <c r="X166" s="242">
        <f t="shared" si="1054"/>
        <v>0</v>
      </c>
      <c r="Y166" s="243">
        <f t="shared" si="1055"/>
        <v>0</v>
      </c>
      <c r="Z166" s="242">
        <f t="shared" si="1056"/>
        <v>0</v>
      </c>
      <c r="AA166" s="242">
        <f t="shared" si="1057"/>
        <v>0</v>
      </c>
      <c r="AB166" s="242"/>
      <c r="AC166" s="178">
        <f t="shared" si="1058"/>
        <v>0</v>
      </c>
      <c r="AD166" s="17">
        <f t="shared" si="1059"/>
        <v>0</v>
      </c>
      <c r="AF166" s="66" t="s">
        <v>5</v>
      </c>
      <c r="AG166" s="38">
        <f t="array" ref="AG166">SUM(IF((modeldata!$F:$F=calibration!$AF$158)*(modeldata!$G:$G=calibration!AG$160)*(modeldata!$H:$H=calibration!$AF166),modeldata!$E:$E,0))</f>
        <v>0</v>
      </c>
      <c r="AH166" s="242">
        <f t="array" ref="AH166">SUM(IF((modeldata!$F:$F=calibration!$AF$158)*(modeldata!$G:$G=calibration!AH$160)*(modeldata!$H:$H=calibration!$AF166),modeldata!$E:$E,0))</f>
        <v>0</v>
      </c>
      <c r="AI166" s="242">
        <f t="array" ref="AI166">SUM(IF((modeldata!$F:$F=calibration!$AF$158)*(modeldata!$G:$G=calibration!AI$160)*(modeldata!$H:$H=calibration!$AF166),modeldata!$E:$E,0))</f>
        <v>0</v>
      </c>
      <c r="AJ166" s="242">
        <f t="array" ref="AJ166">SUM(IF((modeldata!$F:$F=calibration!$AF$158)*(modeldata!$G:$G=calibration!AJ$160)*(modeldata!$H:$H=calibration!$AF166),modeldata!$E:$E,0))</f>
        <v>0</v>
      </c>
      <c r="AK166" s="242">
        <f t="array" ref="AK166">SUM(IF((modeldata!$F:$F=calibration!$AF$158)*(modeldata!$G:$G=calibration!AK$160)*(modeldata!$H:$H=calibration!$AF166),modeldata!$E:$E,0))</f>
        <v>0</v>
      </c>
      <c r="AL166" s="39">
        <f t="array" ref="AL166">SUM(IF((modeldata!$F:$F=calibration!$AF$158)*(modeldata!$G:$G=calibration!AL$160)*(modeldata!$H:$H=calibration!$AF166),modeldata!$E:$E,0))</f>
        <v>0</v>
      </c>
      <c r="AM166" s="242">
        <f t="array" ref="AM166">SUM(IF((modeldata!$F:$F=calibration!$AF$158)*(modeldata!$G:$G=calibration!AM$160)*(modeldata!$H:$H=calibration!$AF166),modeldata!$E:$E,0))</f>
        <v>0</v>
      </c>
      <c r="AN166" s="243">
        <f t="shared" ref="AN166:AN171" si="1125">AL166+AM166+AL172+AM172</f>
        <v>0</v>
      </c>
      <c r="AO166" s="242">
        <f t="array" ref="AO166">SUM(IF((modeldata!$F:$F=calibration!$AF$158)*(modeldata!$G:$G=calibration!AO$160)*(modeldata!$H:$H=calibration!$AF166),modeldata!$E:$E,0))</f>
        <v>0</v>
      </c>
      <c r="AP166" s="242">
        <f t="array" ref="AP166">SUM(IF((modeldata!$F:$F=calibration!$AF$158)*(modeldata!$G:$G=calibration!AP$160)*(modeldata!$H:$H=calibration!$AF166),modeldata!$E:$E,0))</f>
        <v>0</v>
      </c>
      <c r="AQ166" s="242">
        <f t="array" ref="AQ166">SUM(IF((modeldata!$F:$F=calibration!$AF$158)*(modeldata!$G:$G=calibration!AQ$160)*(modeldata!$H:$H=calibration!$AF166),modeldata!$E:$E,0))</f>
        <v>0</v>
      </c>
      <c r="AR166" s="178">
        <f t="shared" si="1118"/>
        <v>0</v>
      </c>
      <c r="AS166" s="17">
        <f t="shared" si="1060"/>
        <v>0</v>
      </c>
      <c r="AU166" s="66" t="s">
        <v>5</v>
      </c>
      <c r="AV166" s="38">
        <f t="shared" ref="AV166:BG166" si="1126">IF(R181&gt;0,R166/R181,0)</f>
        <v>0</v>
      </c>
      <c r="AW166" s="242">
        <f t="shared" si="1126"/>
        <v>0</v>
      </c>
      <c r="AX166" s="242">
        <f t="shared" si="1126"/>
        <v>0</v>
      </c>
      <c r="AY166" s="242">
        <f t="shared" si="1126"/>
        <v>0</v>
      </c>
      <c r="AZ166" s="242">
        <f t="shared" si="1126"/>
        <v>0</v>
      </c>
      <c r="BA166" s="39">
        <f t="shared" si="1126"/>
        <v>0</v>
      </c>
      <c r="BB166" s="242">
        <f t="shared" si="1126"/>
        <v>0</v>
      </c>
      <c r="BC166" s="243">
        <f t="shared" si="1126"/>
        <v>0</v>
      </c>
      <c r="BD166" s="242">
        <f t="shared" si="1126"/>
        <v>0</v>
      </c>
      <c r="BE166" s="242">
        <f t="shared" si="1126"/>
        <v>0</v>
      </c>
      <c r="BF166" s="242">
        <f t="shared" si="1126"/>
        <v>0</v>
      </c>
      <c r="BG166" s="178">
        <f t="shared" si="1126"/>
        <v>0</v>
      </c>
      <c r="BH166" s="24" t="e">
        <f>AD166/AD181</f>
        <v>#DIV/0!</v>
      </c>
      <c r="BJ166" s="66" t="s">
        <v>5</v>
      </c>
      <c r="BK166" s="25">
        <f t="shared" ref="BK166:BV166" si="1127">IF(AG181&gt;0,AG166/AG181,0)</f>
        <v>0</v>
      </c>
      <c r="BL166" s="24">
        <f t="shared" si="1127"/>
        <v>0</v>
      </c>
      <c r="BM166" s="24">
        <f t="shared" si="1127"/>
        <v>0</v>
      </c>
      <c r="BN166" s="24">
        <f t="shared" si="1127"/>
        <v>0</v>
      </c>
      <c r="BO166" s="24">
        <f t="shared" si="1127"/>
        <v>0</v>
      </c>
      <c r="BP166" s="27">
        <f t="shared" si="1127"/>
        <v>0</v>
      </c>
      <c r="BQ166" s="24">
        <f t="shared" si="1127"/>
        <v>0</v>
      </c>
      <c r="BR166" s="77">
        <f t="shared" si="1127"/>
        <v>0</v>
      </c>
      <c r="BS166" s="24">
        <f t="shared" si="1127"/>
        <v>0</v>
      </c>
      <c r="BT166" s="24">
        <f t="shared" si="1127"/>
        <v>0</v>
      </c>
      <c r="BU166" s="24">
        <f t="shared" si="1127"/>
        <v>0</v>
      </c>
      <c r="BV166" s="180">
        <f t="shared" si="1127"/>
        <v>0</v>
      </c>
      <c r="BW166" s="24" t="e">
        <f>AS166/AS181</f>
        <v>#DIV/0!</v>
      </c>
      <c r="BX166" s="24"/>
      <c r="BY166" s="66" t="s">
        <v>5</v>
      </c>
      <c r="BZ166" s="54">
        <f t="shared" si="1091"/>
        <v>0</v>
      </c>
      <c r="CA166" s="55">
        <f t="shared" si="1063"/>
        <v>0</v>
      </c>
      <c r="CB166" s="55">
        <f t="shared" si="1064"/>
        <v>0</v>
      </c>
      <c r="CC166" s="55">
        <f t="shared" si="1065"/>
        <v>0</v>
      </c>
      <c r="CD166" s="55">
        <f t="shared" si="1066"/>
        <v>0</v>
      </c>
      <c r="CE166" s="59">
        <f t="shared" si="1067"/>
        <v>0</v>
      </c>
      <c r="CF166" s="55">
        <f t="shared" si="1068"/>
        <v>0</v>
      </c>
      <c r="CG166" s="246">
        <f t="shared" si="1069"/>
        <v>0</v>
      </c>
      <c r="CH166" s="55">
        <f t="shared" si="1070"/>
        <v>0</v>
      </c>
      <c r="CI166" s="55">
        <f t="shared" si="1071"/>
        <v>0</v>
      </c>
      <c r="CJ166" s="55">
        <f t="shared" si="1072"/>
        <v>0</v>
      </c>
      <c r="CK166" s="249">
        <f t="shared" si="1072"/>
        <v>0</v>
      </c>
      <c r="CL166" s="55">
        <f t="shared" si="1073"/>
        <v>0</v>
      </c>
      <c r="CN166" s="66" t="s">
        <v>5</v>
      </c>
      <c r="CO166" s="54">
        <f t="shared" si="1092"/>
        <v>0</v>
      </c>
      <c r="CP166" s="55">
        <f t="shared" si="1074"/>
        <v>0</v>
      </c>
      <c r="CQ166" s="55">
        <f t="shared" si="1075"/>
        <v>0</v>
      </c>
      <c r="CR166" s="55">
        <f t="shared" si="1076"/>
        <v>0</v>
      </c>
      <c r="CS166" s="55">
        <f t="shared" si="1077"/>
        <v>0</v>
      </c>
      <c r="CT166" s="59">
        <f t="shared" si="1078"/>
        <v>0</v>
      </c>
      <c r="CU166" s="55">
        <f t="shared" si="1079"/>
        <v>0</v>
      </c>
      <c r="CV166" s="246">
        <f t="shared" si="1080"/>
        <v>0</v>
      </c>
      <c r="CW166" s="55">
        <f t="shared" si="1081"/>
        <v>0</v>
      </c>
      <c r="CX166" s="55">
        <f t="shared" si="1082"/>
        <v>0</v>
      </c>
      <c r="CY166" s="55">
        <f t="shared" si="1083"/>
        <v>0</v>
      </c>
      <c r="CZ166" s="249">
        <f t="shared" si="1083"/>
        <v>0</v>
      </c>
      <c r="DA166" s="62" t="e">
        <f t="shared" si="1084"/>
        <v>#DIV/0!</v>
      </c>
      <c r="DC166" s="66" t="s">
        <v>5</v>
      </c>
      <c r="DD166" s="198">
        <f t="shared" si="1093"/>
        <v>0</v>
      </c>
      <c r="DE166" s="199">
        <f t="shared" si="1094"/>
        <v>0</v>
      </c>
      <c r="DF166" s="198">
        <f t="shared" si="1095"/>
        <v>0</v>
      </c>
      <c r="DG166" s="199">
        <f t="shared" si="1096"/>
        <v>0</v>
      </c>
      <c r="DH166" s="198">
        <f t="shared" si="1097"/>
        <v>0</v>
      </c>
      <c r="DI166" s="199">
        <f t="shared" si="1098"/>
        <v>0</v>
      </c>
      <c r="DJ166" s="198">
        <f t="shared" si="1099"/>
        <v>0</v>
      </c>
      <c r="DK166" s="199">
        <f t="shared" si="1100"/>
        <v>0</v>
      </c>
      <c r="DL166" s="198">
        <f t="shared" si="1101"/>
        <v>0</v>
      </c>
      <c r="DM166" s="199">
        <f t="shared" si="1102"/>
        <v>0</v>
      </c>
      <c r="DN166" s="195">
        <f t="shared" si="1103"/>
        <v>0</v>
      </c>
      <c r="DO166" s="196">
        <f t="shared" si="1104"/>
        <v>0</v>
      </c>
      <c r="DP166" s="198">
        <f t="shared" si="1105"/>
        <v>0</v>
      </c>
      <c r="DQ166" s="199">
        <f t="shared" si="1106"/>
        <v>0</v>
      </c>
      <c r="DR166" s="198">
        <f t="shared" si="1107"/>
        <v>0</v>
      </c>
      <c r="DS166" s="199">
        <f t="shared" si="1108"/>
        <v>0</v>
      </c>
      <c r="DT166" s="198">
        <f t="shared" si="1109"/>
        <v>0</v>
      </c>
      <c r="DU166" s="199">
        <f t="shared" si="1110"/>
        <v>0</v>
      </c>
      <c r="DV166" s="198">
        <f t="shared" si="1111"/>
        <v>0</v>
      </c>
      <c r="DW166" s="199">
        <f t="shared" si="1112"/>
        <v>0</v>
      </c>
      <c r="DX166" s="198">
        <f t="shared" si="1113"/>
        <v>0</v>
      </c>
      <c r="DY166" s="199">
        <f t="shared" si="1114"/>
        <v>0</v>
      </c>
      <c r="DZ166" s="190">
        <f t="shared" si="1115"/>
        <v>0</v>
      </c>
      <c r="EA166" s="199">
        <f t="shared" si="1085"/>
        <v>0</v>
      </c>
      <c r="EB166" s="190" t="e">
        <f t="shared" si="1116"/>
        <v>#DIV/0!</v>
      </c>
      <c r="EC166" s="190" t="e">
        <f t="shared" si="1117"/>
        <v>#DIV/0!</v>
      </c>
    </row>
    <row r="167" spans="1:133" ht="25.5" x14ac:dyDescent="0.2">
      <c r="A167" s="66" t="s">
        <v>344</v>
      </c>
      <c r="B167" s="38">
        <f>targets!AW156</f>
        <v>0</v>
      </c>
      <c r="C167" s="242">
        <f>targets!AX156</f>
        <v>0</v>
      </c>
      <c r="D167" s="242">
        <f>targets!AY156</f>
        <v>0</v>
      </c>
      <c r="E167" s="242">
        <f>targets!AZ156</f>
        <v>0</v>
      </c>
      <c r="F167" s="242">
        <f>targets!BA156</f>
        <v>0</v>
      </c>
      <c r="G167" s="40">
        <f>SUM(targets!BB156:BG156)</f>
        <v>390.45565727371502</v>
      </c>
      <c r="H167" s="242">
        <f>SUM(targets!BH156:BM156)</f>
        <v>0</v>
      </c>
      <c r="I167" s="243">
        <f t="shared" si="1086"/>
        <v>390.45565727371502</v>
      </c>
      <c r="J167" s="242">
        <f>targets!BN156</f>
        <v>0</v>
      </c>
      <c r="K167" s="242">
        <f>targets!BO156</f>
        <v>0</v>
      </c>
      <c r="L167" s="242">
        <f>targets!BP156</f>
        <v>0</v>
      </c>
      <c r="M167" s="178">
        <f t="shared" si="1087"/>
        <v>0</v>
      </c>
      <c r="N167" s="17">
        <f t="shared" si="1050"/>
        <v>390.45565727371502</v>
      </c>
      <c r="O167" s="208"/>
      <c r="P167" s="17"/>
      <c r="Q167" s="66" t="s">
        <v>344</v>
      </c>
      <c r="R167" s="38"/>
      <c r="S167" s="242"/>
      <c r="T167" s="242"/>
      <c r="U167" s="242">
        <f t="shared" si="1051"/>
        <v>0</v>
      </c>
      <c r="V167" s="242">
        <f t="shared" si="1052"/>
        <v>0</v>
      </c>
      <c r="W167" s="40">
        <f t="shared" si="1053"/>
        <v>0</v>
      </c>
      <c r="X167" s="242">
        <f t="shared" si="1054"/>
        <v>0</v>
      </c>
      <c r="Y167" s="243">
        <f t="shared" si="1055"/>
        <v>0</v>
      </c>
      <c r="Z167" s="242">
        <f t="shared" si="1056"/>
        <v>0</v>
      </c>
      <c r="AA167" s="242">
        <f t="shared" si="1057"/>
        <v>0</v>
      </c>
      <c r="AB167" s="242"/>
      <c r="AC167" s="178">
        <f t="shared" si="1058"/>
        <v>0</v>
      </c>
      <c r="AD167" s="17">
        <f t="shared" si="1059"/>
        <v>0</v>
      </c>
      <c r="AF167" s="66" t="s">
        <v>43</v>
      </c>
      <c r="AG167" s="38">
        <f t="array" ref="AG167">SUM(IF((modeldata!$F:$F=calibration!$AF$158)*(modeldata!$G:$G=calibration!AG$160)*(modeldata!$H:$H=calibration!$AF167),modeldata!$E:$E,0))</f>
        <v>0</v>
      </c>
      <c r="AH167" s="242">
        <f t="array" ref="AH167">SUM(IF((modeldata!$F:$F=calibration!$AF$158)*(modeldata!$G:$G=calibration!AH$160)*(modeldata!$H:$H=calibration!$AF167),modeldata!$E:$E,0))</f>
        <v>0</v>
      </c>
      <c r="AI167" s="242">
        <f t="array" ref="AI167">SUM(IF((modeldata!$F:$F=calibration!$AF$158)*(modeldata!$G:$G=calibration!AI$160)*(modeldata!$H:$H=calibration!$AF167),modeldata!$E:$E,0))</f>
        <v>0</v>
      </c>
      <c r="AJ167" s="242">
        <f t="array" ref="AJ167">SUM(IF((modeldata!$F:$F=calibration!$AF$158)*(modeldata!$G:$G=calibration!AJ$160)*(modeldata!$H:$H=calibration!$AF167),modeldata!$E:$E,0))</f>
        <v>0</v>
      </c>
      <c r="AK167" s="242">
        <f t="array" ref="AK167">SUM(IF((modeldata!$F:$F=calibration!$AF$158)*(modeldata!$G:$G=calibration!AK$160)*(modeldata!$H:$H=calibration!$AF167),modeldata!$E:$E,0))</f>
        <v>0</v>
      </c>
      <c r="AL167" s="40">
        <f t="array" ref="AL167">SUM(IF((modeldata!$F:$F=calibration!$AF$158)*(modeldata!$G:$G=calibration!AL$160)*(modeldata!$H:$H=calibration!$AF167),modeldata!$E:$E,0))</f>
        <v>0</v>
      </c>
      <c r="AM167" s="242">
        <f t="array" ref="AM167">SUM(IF((modeldata!$F:$F=calibration!$AF$158)*(modeldata!$G:$G=calibration!AM$160)*(modeldata!$H:$H=calibration!$AF167),modeldata!$E:$E,0))</f>
        <v>0</v>
      </c>
      <c r="AN167" s="243">
        <f t="shared" si="1125"/>
        <v>0</v>
      </c>
      <c r="AO167" s="242">
        <f t="array" ref="AO167">SUM(IF((modeldata!$F:$F=calibration!$AF$158)*(modeldata!$G:$G=calibration!AO$160)*(modeldata!$H:$H=calibration!$AF167),modeldata!$E:$E,0))</f>
        <v>0</v>
      </c>
      <c r="AP167" s="242">
        <f t="array" ref="AP167">SUM(IF((modeldata!$F:$F=calibration!$AF$158)*(modeldata!$G:$G=calibration!AP$160)*(modeldata!$H:$H=calibration!$AF167),modeldata!$E:$E,0))</f>
        <v>0</v>
      </c>
      <c r="AQ167" s="242">
        <f t="array" ref="AQ167">SUM(IF((modeldata!$F:$F=calibration!$AF$158)*(modeldata!$G:$G=calibration!AQ$160)*(modeldata!$H:$H=calibration!$AF167),modeldata!$E:$E,0))</f>
        <v>0</v>
      </c>
      <c r="AR167" s="178">
        <f t="shared" si="1118"/>
        <v>0</v>
      </c>
      <c r="AS167" s="17">
        <f t="shared" si="1060"/>
        <v>0</v>
      </c>
      <c r="AU167" s="66" t="s">
        <v>344</v>
      </c>
      <c r="AV167" s="38">
        <f t="shared" ref="AV167:BG167" si="1128">IF(R181&gt;0,R167/R181,0)</f>
        <v>0</v>
      </c>
      <c r="AW167" s="242">
        <f t="shared" si="1128"/>
        <v>0</v>
      </c>
      <c r="AX167" s="242">
        <f t="shared" si="1128"/>
        <v>0</v>
      </c>
      <c r="AY167" s="242">
        <f t="shared" si="1128"/>
        <v>0</v>
      </c>
      <c r="AZ167" s="242">
        <f t="shared" si="1128"/>
        <v>0</v>
      </c>
      <c r="BA167" s="40">
        <f t="shared" si="1128"/>
        <v>0</v>
      </c>
      <c r="BB167" s="242">
        <f t="shared" si="1128"/>
        <v>0</v>
      </c>
      <c r="BC167" s="243">
        <f t="shared" si="1128"/>
        <v>0</v>
      </c>
      <c r="BD167" s="242">
        <f t="shared" si="1128"/>
        <v>0</v>
      </c>
      <c r="BE167" s="242">
        <f t="shared" si="1128"/>
        <v>0</v>
      </c>
      <c r="BF167" s="242">
        <f t="shared" si="1128"/>
        <v>0</v>
      </c>
      <c r="BG167" s="178">
        <f t="shared" si="1128"/>
        <v>0</v>
      </c>
      <c r="BH167" s="24" t="e">
        <f>AD167/AD181</f>
        <v>#DIV/0!</v>
      </c>
      <c r="BJ167" s="66" t="s">
        <v>344</v>
      </c>
      <c r="BK167" s="25">
        <f t="shared" ref="BK167:BV167" si="1129">IF(AG181&gt;0,AG167/AG181,0)</f>
        <v>0</v>
      </c>
      <c r="BL167" s="24">
        <f t="shared" si="1129"/>
        <v>0</v>
      </c>
      <c r="BM167" s="24">
        <f t="shared" si="1129"/>
        <v>0</v>
      </c>
      <c r="BN167" s="24">
        <f t="shared" si="1129"/>
        <v>0</v>
      </c>
      <c r="BO167" s="24">
        <f t="shared" si="1129"/>
        <v>0</v>
      </c>
      <c r="BP167" s="28">
        <f t="shared" si="1129"/>
        <v>0</v>
      </c>
      <c r="BQ167" s="24">
        <f t="shared" si="1129"/>
        <v>0</v>
      </c>
      <c r="BR167" s="77">
        <f t="shared" si="1129"/>
        <v>0</v>
      </c>
      <c r="BS167" s="24">
        <f t="shared" si="1129"/>
        <v>0</v>
      </c>
      <c r="BT167" s="24">
        <f t="shared" si="1129"/>
        <v>0</v>
      </c>
      <c r="BU167" s="24">
        <f t="shared" si="1129"/>
        <v>0</v>
      </c>
      <c r="BV167" s="180">
        <f t="shared" si="1129"/>
        <v>0</v>
      </c>
      <c r="BW167" s="24" t="e">
        <f>AS167/AS181</f>
        <v>#DIV/0!</v>
      </c>
      <c r="BX167" s="24"/>
      <c r="BY167" s="66" t="s">
        <v>344</v>
      </c>
      <c r="BZ167" s="54">
        <f t="shared" si="1091"/>
        <v>0</v>
      </c>
      <c r="CA167" s="55">
        <f t="shared" si="1063"/>
        <v>0</v>
      </c>
      <c r="CB167" s="55">
        <f t="shared" si="1064"/>
        <v>0</v>
      </c>
      <c r="CC167" s="55">
        <f t="shared" si="1065"/>
        <v>0</v>
      </c>
      <c r="CD167" s="55">
        <f t="shared" si="1066"/>
        <v>0</v>
      </c>
      <c r="CE167" s="60">
        <f t="shared" si="1067"/>
        <v>0</v>
      </c>
      <c r="CF167" s="55">
        <f t="shared" si="1068"/>
        <v>0</v>
      </c>
      <c r="CG167" s="246">
        <f t="shared" si="1069"/>
        <v>0</v>
      </c>
      <c r="CH167" s="55">
        <f t="shared" si="1070"/>
        <v>0</v>
      </c>
      <c r="CI167" s="55">
        <f t="shared" si="1071"/>
        <v>0</v>
      </c>
      <c r="CJ167" s="55">
        <f t="shared" si="1072"/>
        <v>0</v>
      </c>
      <c r="CK167" s="249">
        <f t="shared" si="1072"/>
        <v>0</v>
      </c>
      <c r="CL167" s="55">
        <f t="shared" si="1073"/>
        <v>0</v>
      </c>
      <c r="CN167" s="66" t="s">
        <v>344</v>
      </c>
      <c r="CO167" s="54">
        <f t="shared" si="1092"/>
        <v>0</v>
      </c>
      <c r="CP167" s="55">
        <f t="shared" si="1074"/>
        <v>0</v>
      </c>
      <c r="CQ167" s="55">
        <f t="shared" si="1075"/>
        <v>0</v>
      </c>
      <c r="CR167" s="55">
        <f t="shared" si="1076"/>
        <v>0</v>
      </c>
      <c r="CS167" s="55">
        <f t="shared" si="1077"/>
        <v>0</v>
      </c>
      <c r="CT167" s="60">
        <f t="shared" si="1078"/>
        <v>0</v>
      </c>
      <c r="CU167" s="55">
        <f t="shared" si="1079"/>
        <v>0</v>
      </c>
      <c r="CV167" s="246">
        <f t="shared" si="1080"/>
        <v>0</v>
      </c>
      <c r="CW167" s="55">
        <f t="shared" si="1081"/>
        <v>0</v>
      </c>
      <c r="CX167" s="55">
        <f t="shared" si="1082"/>
        <v>0</v>
      </c>
      <c r="CY167" s="55">
        <f t="shared" si="1083"/>
        <v>0</v>
      </c>
      <c r="CZ167" s="249">
        <f t="shared" si="1083"/>
        <v>0</v>
      </c>
      <c r="DA167" s="62" t="e">
        <f t="shared" si="1084"/>
        <v>#DIV/0!</v>
      </c>
      <c r="DC167" s="66" t="s">
        <v>344</v>
      </c>
      <c r="DD167" s="198">
        <f t="shared" si="1093"/>
        <v>0</v>
      </c>
      <c r="DE167" s="199">
        <f t="shared" si="1094"/>
        <v>0</v>
      </c>
      <c r="DF167" s="198">
        <f t="shared" si="1095"/>
        <v>0</v>
      </c>
      <c r="DG167" s="199">
        <f t="shared" si="1096"/>
        <v>0</v>
      </c>
      <c r="DH167" s="198">
        <f t="shared" si="1097"/>
        <v>0</v>
      </c>
      <c r="DI167" s="199">
        <f t="shared" si="1098"/>
        <v>0</v>
      </c>
      <c r="DJ167" s="198">
        <f t="shared" si="1099"/>
        <v>0</v>
      </c>
      <c r="DK167" s="199">
        <f t="shared" si="1100"/>
        <v>0</v>
      </c>
      <c r="DL167" s="198">
        <f t="shared" si="1101"/>
        <v>0</v>
      </c>
      <c r="DM167" s="199">
        <f t="shared" si="1102"/>
        <v>0</v>
      </c>
      <c r="DN167" s="198">
        <f t="shared" si="1103"/>
        <v>0</v>
      </c>
      <c r="DO167" s="199">
        <f t="shared" si="1104"/>
        <v>0</v>
      </c>
      <c r="DP167" s="198">
        <f t="shared" si="1105"/>
        <v>0</v>
      </c>
      <c r="DQ167" s="199">
        <f t="shared" si="1106"/>
        <v>0</v>
      </c>
      <c r="DR167" s="198">
        <f t="shared" si="1107"/>
        <v>0</v>
      </c>
      <c r="DS167" s="199">
        <f t="shared" si="1108"/>
        <v>0</v>
      </c>
      <c r="DT167" s="198">
        <f t="shared" si="1109"/>
        <v>0</v>
      </c>
      <c r="DU167" s="199">
        <f t="shared" si="1110"/>
        <v>0</v>
      </c>
      <c r="DV167" s="198">
        <f t="shared" si="1111"/>
        <v>0</v>
      </c>
      <c r="DW167" s="199">
        <f t="shared" si="1112"/>
        <v>0</v>
      </c>
      <c r="DX167" s="198">
        <f t="shared" si="1113"/>
        <v>0</v>
      </c>
      <c r="DY167" s="199">
        <f t="shared" si="1114"/>
        <v>0</v>
      </c>
      <c r="DZ167" s="190">
        <f t="shared" si="1115"/>
        <v>0</v>
      </c>
      <c r="EA167" s="199">
        <f t="shared" si="1085"/>
        <v>0</v>
      </c>
      <c r="EB167" s="190" t="e">
        <f t="shared" si="1116"/>
        <v>#DIV/0!</v>
      </c>
      <c r="EC167" s="190" t="e">
        <f t="shared" si="1117"/>
        <v>#DIV/0!</v>
      </c>
    </row>
    <row r="168" spans="1:133" x14ac:dyDescent="0.2">
      <c r="A168" s="2" t="s">
        <v>346</v>
      </c>
      <c r="B168" s="38">
        <f>targets!AW157</f>
        <v>0</v>
      </c>
      <c r="C168" s="242">
        <f>targets!AX157</f>
        <v>0</v>
      </c>
      <c r="D168" s="242">
        <f>targets!AY157</f>
        <v>0</v>
      </c>
      <c r="E168" s="242">
        <f>targets!AZ157</f>
        <v>0</v>
      </c>
      <c r="F168" s="242">
        <f>targets!BA157</f>
        <v>0</v>
      </c>
      <c r="G168" s="40">
        <f>SUM(targets!BB157:BG157)</f>
        <v>23.556453878673604</v>
      </c>
      <c r="H168" s="242">
        <f>SUM(targets!BH157:BM157)</f>
        <v>0</v>
      </c>
      <c r="I168" s="243">
        <f>SUM(G168:H168)</f>
        <v>23.556453878673604</v>
      </c>
      <c r="J168" s="242">
        <f>targets!BN157</f>
        <v>0</v>
      </c>
      <c r="K168" s="242">
        <f>targets!BO157</f>
        <v>0</v>
      </c>
      <c r="L168" s="242">
        <f>targets!BP157</f>
        <v>0</v>
      </c>
      <c r="M168" s="178">
        <f>SUM(J168:L168)</f>
        <v>0</v>
      </c>
      <c r="N168" s="17">
        <f>SUM(B168:L168)-I168</f>
        <v>23.556453878673604</v>
      </c>
      <c r="O168" s="208"/>
      <c r="P168" s="17"/>
      <c r="Q168" s="2" t="s">
        <v>346</v>
      </c>
      <c r="R168" s="38">
        <f>B168*(AG$181/B$181)</f>
        <v>0</v>
      </c>
      <c r="S168" s="242">
        <f>C168*(AH$181/B$181)</f>
        <v>0</v>
      </c>
      <c r="T168" s="242">
        <f>D168*(AI$181/B$181)</f>
        <v>0</v>
      </c>
      <c r="U168" s="242">
        <f t="shared" si="1051"/>
        <v>0</v>
      </c>
      <c r="V168" s="242">
        <f t="shared" si="1052"/>
        <v>0</v>
      </c>
      <c r="W168" s="40">
        <f t="shared" si="1053"/>
        <v>0</v>
      </c>
      <c r="X168" s="242">
        <f t="shared" si="1054"/>
        <v>0</v>
      </c>
      <c r="Y168" s="243">
        <f>SUM(W168:X168)</f>
        <v>0</v>
      </c>
      <c r="Z168" s="242">
        <f t="shared" si="1056"/>
        <v>0</v>
      </c>
      <c r="AA168" s="242">
        <f t="shared" si="1057"/>
        <v>0</v>
      </c>
      <c r="AB168" s="242"/>
      <c r="AC168" s="178">
        <f>SUM(Z168:AB168)</f>
        <v>0</v>
      </c>
      <c r="AD168" s="17">
        <f>SUM(R168:AB168)-Y168</f>
        <v>0</v>
      </c>
      <c r="AF168" s="2" t="s">
        <v>44</v>
      </c>
      <c r="AG168" s="38">
        <f t="array" ref="AG168">SUM(IF((modeldata!$F:$F=calibration!$AF$106)*(modeldata!$G:$G=calibration!AG$108)*(modeldata!$H:$H=calibration!$AF168),modeldata!$E:$E,0))</f>
        <v>0</v>
      </c>
      <c r="AH168" s="242">
        <f t="array" ref="AH168">SUM(IF((modeldata!$F:$F=calibration!$AF$106)*(modeldata!$G:$G=calibration!AH$108)*(modeldata!$H:$H=calibration!$AF168),modeldata!$E:$E,0))</f>
        <v>0</v>
      </c>
      <c r="AI168" s="242">
        <f t="array" ref="AI168">SUM(IF((modeldata!$F:$F=calibration!$AF$106)*(modeldata!$G:$G=calibration!AI$108)*(modeldata!$H:$H=calibration!$AF168),modeldata!$E:$E,0))</f>
        <v>0</v>
      </c>
      <c r="AJ168" s="242">
        <f t="array" ref="AJ168">SUM(IF((modeldata!$F:$F=calibration!$AF$106)*(modeldata!$G:$G=calibration!AJ$108)*(modeldata!$H:$H=calibration!$AF168),modeldata!$E:$E,0))</f>
        <v>0</v>
      </c>
      <c r="AK168" s="242">
        <f t="array" ref="AK168">SUM(IF((modeldata!$F:$F=calibration!$AF$106)*(modeldata!$G:$G=calibration!AK$108)*(modeldata!$H:$H=calibration!$AF168),modeldata!$E:$E,0))</f>
        <v>0</v>
      </c>
      <c r="AL168" s="40">
        <f t="array" ref="AL168">SUM(IF((modeldata!$F:$F=calibration!$AF$106)*(modeldata!$G:$G=calibration!AL$108)*(modeldata!$H:$H=calibration!$AF168),modeldata!$E:$E,0))</f>
        <v>0</v>
      </c>
      <c r="AM168" s="242">
        <f t="array" ref="AM168">SUM(IF((modeldata!$F:$F=calibration!$AF$106)*(modeldata!$G:$G=calibration!AM$108)*(modeldata!$H:$H=calibration!$AF168),modeldata!$E:$E,0))</f>
        <v>0</v>
      </c>
      <c r="AN168" s="243">
        <f t="shared" si="1125"/>
        <v>0</v>
      </c>
      <c r="AO168" s="242">
        <f t="array" ref="AO168">SUM(IF((modeldata!$F:$F=calibration!$AF$106)*(modeldata!$G:$G=calibration!AO$108)*(modeldata!$H:$H=calibration!$AF168),modeldata!$E:$E,0))</f>
        <v>0</v>
      </c>
      <c r="AP168" s="242">
        <f t="array" ref="AP168">SUM(IF((modeldata!$F:$F=calibration!$AF$106)*(modeldata!$G:$G=calibration!AP$108)*(modeldata!$H:$H=calibration!$AF168),modeldata!$E:$E,0))</f>
        <v>0</v>
      </c>
      <c r="AQ168" s="242">
        <f t="array" ref="AQ168">SUM(IF((modeldata!$F:$F=calibration!$AF$106)*(modeldata!$G:$G=calibration!AQ$108)*(modeldata!$H:$H=calibration!$AF168),modeldata!$E:$E,0))</f>
        <v>0</v>
      </c>
      <c r="AR168" s="178">
        <f>SUM(AO168:AQ168)</f>
        <v>0</v>
      </c>
      <c r="AS168" s="17">
        <f>SUM(AG168:AQ168)-AN168</f>
        <v>0</v>
      </c>
      <c r="AU168" s="2" t="s">
        <v>346</v>
      </c>
      <c r="AV168" s="38">
        <f t="shared" ref="AV168:BG168" si="1130">IF(R188&gt;0,R168/R188,0)</f>
        <v>0</v>
      </c>
      <c r="AW168" s="242">
        <f t="shared" si="1130"/>
        <v>0</v>
      </c>
      <c r="AX168" s="242">
        <f t="shared" si="1130"/>
        <v>0</v>
      </c>
      <c r="AY168" s="242">
        <f t="shared" si="1130"/>
        <v>0</v>
      </c>
      <c r="AZ168" s="242">
        <f t="shared" si="1130"/>
        <v>0</v>
      </c>
      <c r="BA168" s="40">
        <f t="shared" si="1130"/>
        <v>0</v>
      </c>
      <c r="BB168" s="242">
        <f t="shared" si="1130"/>
        <v>0</v>
      </c>
      <c r="BC168" s="243">
        <f t="shared" si="1130"/>
        <v>0</v>
      </c>
      <c r="BD168" s="242">
        <f t="shared" si="1130"/>
        <v>0</v>
      </c>
      <c r="BE168" s="242">
        <f t="shared" si="1130"/>
        <v>0</v>
      </c>
      <c r="BF168" s="242">
        <f t="shared" si="1130"/>
        <v>0</v>
      </c>
      <c r="BG168" s="178">
        <f t="shared" si="1130"/>
        <v>0</v>
      </c>
      <c r="BH168" s="24" t="e">
        <f>AD168/AD182</f>
        <v>#DIV/0!</v>
      </c>
      <c r="BJ168" s="2" t="s">
        <v>346</v>
      </c>
      <c r="BK168" s="25">
        <f t="shared" ref="BK168:BV168" si="1131">IF(AG190&gt;0,AG168/AG190,0)</f>
        <v>0</v>
      </c>
      <c r="BL168" s="24">
        <f t="shared" si="1131"/>
        <v>0</v>
      </c>
      <c r="BM168" s="24">
        <f t="shared" si="1131"/>
        <v>0</v>
      </c>
      <c r="BN168" s="24">
        <f t="shared" si="1131"/>
        <v>0</v>
      </c>
      <c r="BO168" s="24">
        <f t="shared" si="1131"/>
        <v>0</v>
      </c>
      <c r="BP168" s="28">
        <f t="shared" si="1131"/>
        <v>0</v>
      </c>
      <c r="BQ168" s="24">
        <f t="shared" si="1131"/>
        <v>0</v>
      </c>
      <c r="BR168" s="77">
        <f t="shared" si="1131"/>
        <v>0</v>
      </c>
      <c r="BS168" s="24">
        <f t="shared" si="1131"/>
        <v>0</v>
      </c>
      <c r="BT168" s="24">
        <f t="shared" si="1131"/>
        <v>0</v>
      </c>
      <c r="BU168" s="24">
        <f t="shared" si="1131"/>
        <v>0</v>
      </c>
      <c r="BV168" s="180">
        <f t="shared" si="1131"/>
        <v>0</v>
      </c>
      <c r="BW168" s="24" t="e">
        <f>AS168/AS182</f>
        <v>#DIV/0!</v>
      </c>
      <c r="BX168" s="24"/>
      <c r="BY168" s="2" t="s">
        <v>346</v>
      </c>
      <c r="BZ168" s="54">
        <f t="shared" ref="BZ168:CL168" si="1132">AG168-R168</f>
        <v>0</v>
      </c>
      <c r="CA168" s="55">
        <f t="shared" si="1132"/>
        <v>0</v>
      </c>
      <c r="CB168" s="55">
        <f t="shared" si="1132"/>
        <v>0</v>
      </c>
      <c r="CC168" s="55">
        <f t="shared" si="1132"/>
        <v>0</v>
      </c>
      <c r="CD168" s="55">
        <f t="shared" si="1132"/>
        <v>0</v>
      </c>
      <c r="CE168" s="60">
        <f t="shared" si="1132"/>
        <v>0</v>
      </c>
      <c r="CF168" s="55">
        <f t="shared" si="1132"/>
        <v>0</v>
      </c>
      <c r="CG168" s="246">
        <f t="shared" si="1132"/>
        <v>0</v>
      </c>
      <c r="CH168" s="55">
        <f t="shared" si="1132"/>
        <v>0</v>
      </c>
      <c r="CI168" s="55">
        <f t="shared" si="1132"/>
        <v>0</v>
      </c>
      <c r="CJ168" s="55">
        <f t="shared" si="1132"/>
        <v>0</v>
      </c>
      <c r="CK168" s="249">
        <f t="shared" si="1132"/>
        <v>0</v>
      </c>
      <c r="CL168" s="55">
        <f t="shared" si="1132"/>
        <v>0</v>
      </c>
      <c r="CN168" s="2" t="s">
        <v>346</v>
      </c>
      <c r="CO168" s="54">
        <f t="shared" ref="CO168:DA168" si="1133">BK168-AV168</f>
        <v>0</v>
      </c>
      <c r="CP168" s="55">
        <f t="shared" si="1133"/>
        <v>0</v>
      </c>
      <c r="CQ168" s="55">
        <f t="shared" si="1133"/>
        <v>0</v>
      </c>
      <c r="CR168" s="55">
        <f t="shared" si="1133"/>
        <v>0</v>
      </c>
      <c r="CS168" s="55">
        <f t="shared" si="1133"/>
        <v>0</v>
      </c>
      <c r="CT168" s="60">
        <f t="shared" si="1133"/>
        <v>0</v>
      </c>
      <c r="CU168" s="55">
        <f t="shared" si="1133"/>
        <v>0</v>
      </c>
      <c r="CV168" s="246">
        <f t="shared" si="1133"/>
        <v>0</v>
      </c>
      <c r="CW168" s="55">
        <f t="shared" si="1133"/>
        <v>0</v>
      </c>
      <c r="CX168" s="55">
        <f t="shared" si="1133"/>
        <v>0</v>
      </c>
      <c r="CY168" s="55">
        <f t="shared" si="1133"/>
        <v>0</v>
      </c>
      <c r="CZ168" s="249">
        <f t="shared" si="1133"/>
        <v>0</v>
      </c>
      <c r="DA168" s="62" t="e">
        <f t="shared" si="1133"/>
        <v>#DIV/0!</v>
      </c>
      <c r="DC168" s="2" t="s">
        <v>346</v>
      </c>
      <c r="DD168" s="198">
        <f>AV168</f>
        <v>0</v>
      </c>
      <c r="DE168" s="199">
        <f>BK168</f>
        <v>0</v>
      </c>
      <c r="DF168" s="198">
        <f>AW168</f>
        <v>0</v>
      </c>
      <c r="DG168" s="199">
        <f>BL168</f>
        <v>0</v>
      </c>
      <c r="DH168" s="198">
        <f>AX168</f>
        <v>0</v>
      </c>
      <c r="DI168" s="199">
        <f>BM168</f>
        <v>0</v>
      </c>
      <c r="DJ168" s="198">
        <f>AY168</f>
        <v>0</v>
      </c>
      <c r="DK168" s="199">
        <f>BN168</f>
        <v>0</v>
      </c>
      <c r="DL168" s="198">
        <f>AZ168</f>
        <v>0</v>
      </c>
      <c r="DM168" s="199">
        <f>BO168</f>
        <v>0</v>
      </c>
      <c r="DN168" s="198">
        <f>BA168</f>
        <v>0</v>
      </c>
      <c r="DO168" s="199">
        <f>BP168</f>
        <v>0</v>
      </c>
      <c r="DP168" s="198">
        <f>BB168</f>
        <v>0</v>
      </c>
      <c r="DQ168" s="199">
        <f>BQ168</f>
        <v>0</v>
      </c>
      <c r="DR168" s="198">
        <f>BC168</f>
        <v>0</v>
      </c>
      <c r="DS168" s="199">
        <f>BR168</f>
        <v>0</v>
      </c>
      <c r="DT168" s="198">
        <f>BD168</f>
        <v>0</v>
      </c>
      <c r="DU168" s="199">
        <f>BS168</f>
        <v>0</v>
      </c>
      <c r="DV168" s="198">
        <f>BE168</f>
        <v>0</v>
      </c>
      <c r="DW168" s="199">
        <f>BT168</f>
        <v>0</v>
      </c>
      <c r="DX168" s="198">
        <f>BF168</f>
        <v>0</v>
      </c>
      <c r="DY168" s="199">
        <f>BU168</f>
        <v>0</v>
      </c>
      <c r="DZ168" s="190">
        <f>BG168</f>
        <v>0</v>
      </c>
      <c r="EA168" s="199">
        <f>BV168</f>
        <v>0</v>
      </c>
      <c r="EB168" s="190" t="e">
        <f>BH168</f>
        <v>#DIV/0!</v>
      </c>
      <c r="EC168" s="190" t="e">
        <f>BW168</f>
        <v>#DIV/0!</v>
      </c>
    </row>
    <row r="169" spans="1:133" x14ac:dyDescent="0.2">
      <c r="A169" s="64" t="s">
        <v>45</v>
      </c>
      <c r="B169" s="38">
        <f>targets!AW158</f>
        <v>0</v>
      </c>
      <c r="C169" s="242">
        <f>targets!AX158</f>
        <v>0</v>
      </c>
      <c r="D169" s="242">
        <f>targets!AY158</f>
        <v>0</v>
      </c>
      <c r="E169" s="242">
        <f>targets!AZ158</f>
        <v>0</v>
      </c>
      <c r="F169" s="242">
        <f>targets!BA158</f>
        <v>0</v>
      </c>
      <c r="G169" s="40">
        <f>SUM(targets!BB158:BG158)</f>
        <v>39.925277866918549</v>
      </c>
      <c r="H169" s="242">
        <f>SUM(targets!BH158:BM158)</f>
        <v>0</v>
      </c>
      <c r="I169" s="243">
        <f t="shared" si="1086"/>
        <v>39.925277866918549</v>
      </c>
      <c r="J169" s="242">
        <f>targets!BN158</f>
        <v>0</v>
      </c>
      <c r="K169" s="242">
        <f>targets!BO158</f>
        <v>0</v>
      </c>
      <c r="L169" s="242">
        <f>targets!BP158</f>
        <v>0</v>
      </c>
      <c r="M169" s="178">
        <f t="shared" si="1087"/>
        <v>0</v>
      </c>
      <c r="N169" s="17">
        <f t="shared" si="1050"/>
        <v>39.925277866918549</v>
      </c>
      <c r="O169" s="208"/>
      <c r="P169" s="17"/>
      <c r="Q169" s="64" t="s">
        <v>45</v>
      </c>
      <c r="R169" s="38"/>
      <c r="S169" s="242"/>
      <c r="T169" s="242"/>
      <c r="U169" s="242">
        <f t="shared" si="1051"/>
        <v>0</v>
      </c>
      <c r="V169" s="242">
        <f t="shared" si="1052"/>
        <v>0</v>
      </c>
      <c r="W169" s="40">
        <f t="shared" si="1053"/>
        <v>0</v>
      </c>
      <c r="X169" s="242">
        <f t="shared" si="1054"/>
        <v>0</v>
      </c>
      <c r="Y169" s="243">
        <f t="shared" si="1055"/>
        <v>0</v>
      </c>
      <c r="Z169" s="242">
        <f t="shared" si="1056"/>
        <v>0</v>
      </c>
      <c r="AA169" s="242">
        <f t="shared" si="1057"/>
        <v>0</v>
      </c>
      <c r="AB169" s="242"/>
      <c r="AC169" s="178">
        <f t="shared" si="1058"/>
        <v>0</v>
      </c>
      <c r="AD169" s="17">
        <f t="shared" si="1059"/>
        <v>0</v>
      </c>
      <c r="AF169" s="64" t="s">
        <v>45</v>
      </c>
      <c r="AG169" s="38">
        <f t="array" ref="AG169">SUM(IF((modeldata!$F:$F=calibration!$AF$158)*(modeldata!$G:$G=calibration!AG$160)*(modeldata!$H:$H=calibration!$AF169),modeldata!$E:$E,0))</f>
        <v>0</v>
      </c>
      <c r="AH169" s="242">
        <f t="array" ref="AH169">SUM(IF((modeldata!$F:$F=calibration!$AF$158)*(modeldata!$G:$G=calibration!AH$160)*(modeldata!$H:$H=calibration!$AF169),modeldata!$E:$E,0))</f>
        <v>0</v>
      </c>
      <c r="AI169" s="242">
        <f t="array" ref="AI169">SUM(IF((modeldata!$F:$F=calibration!$AF$158)*(modeldata!$G:$G=calibration!AI$160)*(modeldata!$H:$H=calibration!$AF169),modeldata!$E:$E,0))</f>
        <v>0</v>
      </c>
      <c r="AJ169" s="242">
        <f t="array" ref="AJ169">SUM(IF((modeldata!$F:$F=calibration!$AF$158)*(modeldata!$G:$G=calibration!AJ$160)*(modeldata!$H:$H=calibration!$AF169),modeldata!$E:$E,0))</f>
        <v>0</v>
      </c>
      <c r="AK169" s="242">
        <f t="array" ref="AK169">SUM(IF((modeldata!$F:$F=calibration!$AF$158)*(modeldata!$G:$G=calibration!AK$160)*(modeldata!$H:$H=calibration!$AF169),modeldata!$E:$E,0))</f>
        <v>0</v>
      </c>
      <c r="AL169" s="40">
        <f t="array" ref="AL169">SUM(IF((modeldata!$F:$F=calibration!$AF$158)*(modeldata!$G:$G=calibration!AL$160)*(modeldata!$H:$H=calibration!$AF169),modeldata!$E:$E,0))</f>
        <v>0</v>
      </c>
      <c r="AM169" s="242">
        <f t="array" ref="AM169">SUM(IF((modeldata!$F:$F=calibration!$AF$158)*(modeldata!$G:$G=calibration!AM$160)*(modeldata!$H:$H=calibration!$AF169),modeldata!$E:$E,0))</f>
        <v>0</v>
      </c>
      <c r="AN169" s="243">
        <f t="shared" si="1125"/>
        <v>0</v>
      </c>
      <c r="AO169" s="242">
        <f t="array" ref="AO169">SUM(IF((modeldata!$F:$F=calibration!$AF$158)*(modeldata!$G:$G=calibration!AO$160)*(modeldata!$H:$H=calibration!$AF169),modeldata!$E:$E,0))</f>
        <v>0</v>
      </c>
      <c r="AP169" s="242">
        <f t="array" ref="AP169">SUM(IF((modeldata!$F:$F=calibration!$AF$158)*(modeldata!$G:$G=calibration!AP$160)*(modeldata!$H:$H=calibration!$AF169),modeldata!$E:$E,0))</f>
        <v>0</v>
      </c>
      <c r="AQ169" s="242">
        <f t="array" ref="AQ169">SUM(IF((modeldata!$F:$F=calibration!$AF$158)*(modeldata!$G:$G=calibration!AQ$160)*(modeldata!$H:$H=calibration!$AF169),modeldata!$E:$E,0))</f>
        <v>0</v>
      </c>
      <c r="AR169" s="178">
        <f t="shared" si="1118"/>
        <v>0</v>
      </c>
      <c r="AS169" s="17">
        <f t="shared" si="1060"/>
        <v>0</v>
      </c>
      <c r="AU169" s="64" t="s">
        <v>45</v>
      </c>
      <c r="AV169" s="38">
        <f t="shared" ref="AV169:BG169" si="1134">IF(R181&gt;0,R169/R181,0)</f>
        <v>0</v>
      </c>
      <c r="AW169" s="242">
        <f t="shared" si="1134"/>
        <v>0</v>
      </c>
      <c r="AX169" s="242">
        <f t="shared" si="1134"/>
        <v>0</v>
      </c>
      <c r="AY169" s="242">
        <f t="shared" si="1134"/>
        <v>0</v>
      </c>
      <c r="AZ169" s="242">
        <f t="shared" si="1134"/>
        <v>0</v>
      </c>
      <c r="BA169" s="40">
        <f t="shared" si="1134"/>
        <v>0</v>
      </c>
      <c r="BB169" s="242">
        <f t="shared" si="1134"/>
        <v>0</v>
      </c>
      <c r="BC169" s="243">
        <f t="shared" si="1134"/>
        <v>0</v>
      </c>
      <c r="BD169" s="242">
        <f t="shared" si="1134"/>
        <v>0</v>
      </c>
      <c r="BE169" s="242">
        <f t="shared" si="1134"/>
        <v>0</v>
      </c>
      <c r="BF169" s="242">
        <f t="shared" si="1134"/>
        <v>0</v>
      </c>
      <c r="BG169" s="178">
        <f t="shared" si="1134"/>
        <v>0</v>
      </c>
      <c r="BH169" s="24" t="e">
        <f>AD169/AD181</f>
        <v>#DIV/0!</v>
      </c>
      <c r="BJ169" s="64" t="s">
        <v>45</v>
      </c>
      <c r="BK169" s="25">
        <f t="shared" ref="BK169:BV169" si="1135">IF(AG181&gt;0,AG169/AG181,0)</f>
        <v>0</v>
      </c>
      <c r="BL169" s="24">
        <f t="shared" si="1135"/>
        <v>0</v>
      </c>
      <c r="BM169" s="24">
        <f t="shared" si="1135"/>
        <v>0</v>
      </c>
      <c r="BN169" s="24">
        <f t="shared" si="1135"/>
        <v>0</v>
      </c>
      <c r="BO169" s="24">
        <f t="shared" si="1135"/>
        <v>0</v>
      </c>
      <c r="BP169" s="28">
        <f t="shared" si="1135"/>
        <v>0</v>
      </c>
      <c r="BQ169" s="24">
        <f t="shared" si="1135"/>
        <v>0</v>
      </c>
      <c r="BR169" s="77">
        <f t="shared" si="1135"/>
        <v>0</v>
      </c>
      <c r="BS169" s="24">
        <f t="shared" si="1135"/>
        <v>0</v>
      </c>
      <c r="BT169" s="24">
        <f t="shared" si="1135"/>
        <v>0</v>
      </c>
      <c r="BU169" s="24">
        <f t="shared" si="1135"/>
        <v>0</v>
      </c>
      <c r="BV169" s="180">
        <f t="shared" si="1135"/>
        <v>0</v>
      </c>
      <c r="BW169" s="24" t="e">
        <f>AS169/AS181</f>
        <v>#DIV/0!</v>
      </c>
      <c r="BX169" s="24"/>
      <c r="BY169" s="64" t="s">
        <v>45</v>
      </c>
      <c r="BZ169" s="54">
        <f t="shared" si="1091"/>
        <v>0</v>
      </c>
      <c r="CA169" s="55">
        <f t="shared" si="1063"/>
        <v>0</v>
      </c>
      <c r="CB169" s="55">
        <f t="shared" si="1064"/>
        <v>0</v>
      </c>
      <c r="CC169" s="55">
        <f t="shared" si="1065"/>
        <v>0</v>
      </c>
      <c r="CD169" s="55">
        <f t="shared" si="1066"/>
        <v>0</v>
      </c>
      <c r="CE169" s="60">
        <f t="shared" si="1067"/>
        <v>0</v>
      </c>
      <c r="CF169" s="55">
        <f t="shared" si="1068"/>
        <v>0</v>
      </c>
      <c r="CG169" s="246">
        <f t="shared" si="1069"/>
        <v>0</v>
      </c>
      <c r="CH169" s="55">
        <f t="shared" si="1070"/>
        <v>0</v>
      </c>
      <c r="CI169" s="55">
        <f t="shared" si="1071"/>
        <v>0</v>
      </c>
      <c r="CJ169" s="55">
        <f t="shared" si="1072"/>
        <v>0</v>
      </c>
      <c r="CK169" s="249">
        <f t="shared" si="1072"/>
        <v>0</v>
      </c>
      <c r="CL169" s="55">
        <f t="shared" si="1073"/>
        <v>0</v>
      </c>
      <c r="CN169" s="64" t="s">
        <v>45</v>
      </c>
      <c r="CO169" s="54">
        <f t="shared" si="1092"/>
        <v>0</v>
      </c>
      <c r="CP169" s="55">
        <f t="shared" si="1074"/>
        <v>0</v>
      </c>
      <c r="CQ169" s="55">
        <f t="shared" si="1075"/>
        <v>0</v>
      </c>
      <c r="CR169" s="55">
        <f t="shared" si="1076"/>
        <v>0</v>
      </c>
      <c r="CS169" s="55">
        <f t="shared" si="1077"/>
        <v>0</v>
      </c>
      <c r="CT169" s="60">
        <f t="shared" si="1078"/>
        <v>0</v>
      </c>
      <c r="CU169" s="55">
        <f t="shared" si="1079"/>
        <v>0</v>
      </c>
      <c r="CV169" s="246">
        <f t="shared" si="1080"/>
        <v>0</v>
      </c>
      <c r="CW169" s="55">
        <f t="shared" si="1081"/>
        <v>0</v>
      </c>
      <c r="CX169" s="55">
        <f t="shared" si="1082"/>
        <v>0</v>
      </c>
      <c r="CY169" s="55">
        <f t="shared" si="1083"/>
        <v>0</v>
      </c>
      <c r="CZ169" s="249">
        <f t="shared" si="1083"/>
        <v>0</v>
      </c>
      <c r="DA169" s="62" t="e">
        <f t="shared" si="1084"/>
        <v>#DIV/0!</v>
      </c>
      <c r="DC169" s="64" t="s">
        <v>45</v>
      </c>
      <c r="DD169" s="198">
        <f t="shared" si="1093"/>
        <v>0</v>
      </c>
      <c r="DE169" s="199">
        <f t="shared" si="1094"/>
        <v>0</v>
      </c>
      <c r="DF169" s="198">
        <f t="shared" si="1095"/>
        <v>0</v>
      </c>
      <c r="DG169" s="199">
        <f t="shared" si="1096"/>
        <v>0</v>
      </c>
      <c r="DH169" s="198">
        <f t="shared" si="1097"/>
        <v>0</v>
      </c>
      <c r="DI169" s="199">
        <f t="shared" si="1098"/>
        <v>0</v>
      </c>
      <c r="DJ169" s="198">
        <f t="shared" si="1099"/>
        <v>0</v>
      </c>
      <c r="DK169" s="199">
        <f t="shared" si="1100"/>
        <v>0</v>
      </c>
      <c r="DL169" s="198">
        <f t="shared" si="1101"/>
        <v>0</v>
      </c>
      <c r="DM169" s="199">
        <f t="shared" si="1102"/>
        <v>0</v>
      </c>
      <c r="DN169" s="198">
        <f t="shared" si="1103"/>
        <v>0</v>
      </c>
      <c r="DO169" s="199">
        <f t="shared" si="1104"/>
        <v>0</v>
      </c>
      <c r="DP169" s="198">
        <f t="shared" si="1105"/>
        <v>0</v>
      </c>
      <c r="DQ169" s="199">
        <f t="shared" si="1106"/>
        <v>0</v>
      </c>
      <c r="DR169" s="198">
        <f t="shared" si="1107"/>
        <v>0</v>
      </c>
      <c r="DS169" s="199">
        <f t="shared" si="1108"/>
        <v>0</v>
      </c>
      <c r="DT169" s="198">
        <f t="shared" si="1109"/>
        <v>0</v>
      </c>
      <c r="DU169" s="199">
        <f t="shared" si="1110"/>
        <v>0</v>
      </c>
      <c r="DV169" s="198">
        <f t="shared" si="1111"/>
        <v>0</v>
      </c>
      <c r="DW169" s="199">
        <f t="shared" si="1112"/>
        <v>0</v>
      </c>
      <c r="DX169" s="198">
        <f t="shared" si="1113"/>
        <v>0</v>
      </c>
      <c r="DY169" s="199">
        <f t="shared" si="1114"/>
        <v>0</v>
      </c>
      <c r="DZ169" s="190">
        <f t="shared" si="1115"/>
        <v>0</v>
      </c>
      <c r="EA169" s="199">
        <f t="shared" si="1085"/>
        <v>0</v>
      </c>
      <c r="EB169" s="190" t="e">
        <f t="shared" si="1116"/>
        <v>#DIV/0!</v>
      </c>
      <c r="EC169" s="190" t="e">
        <f t="shared" si="1117"/>
        <v>#DIV/0!</v>
      </c>
    </row>
    <row r="170" spans="1:133" x14ac:dyDescent="0.2">
      <c r="A170" s="64" t="s">
        <v>46</v>
      </c>
      <c r="B170" s="38">
        <f>targets!AW159</f>
        <v>0</v>
      </c>
      <c r="C170" s="242">
        <f>targets!AX159</f>
        <v>0</v>
      </c>
      <c r="D170" s="242">
        <f>targets!AY159</f>
        <v>0</v>
      </c>
      <c r="E170" s="242">
        <f>targets!AZ159</f>
        <v>0</v>
      </c>
      <c r="F170" s="242">
        <f>targets!BA159</f>
        <v>0</v>
      </c>
      <c r="G170" s="40">
        <f>SUM(targets!BB159:BG159)</f>
        <v>711.53888926467164</v>
      </c>
      <c r="H170" s="242">
        <f>SUM(targets!BH159:BM159)</f>
        <v>0</v>
      </c>
      <c r="I170" s="243">
        <f t="shared" si="1086"/>
        <v>711.53888926467164</v>
      </c>
      <c r="J170" s="242">
        <f>targets!BN159</f>
        <v>0</v>
      </c>
      <c r="K170" s="242">
        <f>targets!BO159</f>
        <v>0</v>
      </c>
      <c r="L170" s="242">
        <f>targets!BP159</f>
        <v>0</v>
      </c>
      <c r="M170" s="178">
        <f t="shared" si="1087"/>
        <v>0</v>
      </c>
      <c r="N170" s="17">
        <f t="shared" si="1050"/>
        <v>711.53888926467164</v>
      </c>
      <c r="O170" s="208"/>
      <c r="P170" s="17"/>
      <c r="Q170" s="64" t="s">
        <v>46</v>
      </c>
      <c r="R170" s="38"/>
      <c r="S170" s="242"/>
      <c r="T170" s="242"/>
      <c r="U170" s="242">
        <f t="shared" si="1051"/>
        <v>0</v>
      </c>
      <c r="V170" s="242">
        <f t="shared" si="1052"/>
        <v>0</v>
      </c>
      <c r="W170" s="40">
        <f t="shared" si="1053"/>
        <v>0</v>
      </c>
      <c r="X170" s="242">
        <f t="shared" si="1054"/>
        <v>0</v>
      </c>
      <c r="Y170" s="243">
        <f t="shared" si="1055"/>
        <v>0</v>
      </c>
      <c r="Z170" s="242">
        <f t="shared" si="1056"/>
        <v>0</v>
      </c>
      <c r="AA170" s="242">
        <f t="shared" si="1057"/>
        <v>0</v>
      </c>
      <c r="AB170" s="242"/>
      <c r="AC170" s="178">
        <f t="shared" si="1058"/>
        <v>0</v>
      </c>
      <c r="AD170" s="17">
        <f t="shared" si="1059"/>
        <v>0</v>
      </c>
      <c r="AF170" s="64" t="s">
        <v>46</v>
      </c>
      <c r="AG170" s="38">
        <f t="array" ref="AG170">SUM(IF((modeldata!$F:$F=calibration!$AF$158)*(modeldata!$G:$G=calibration!AG$160)*(modeldata!$H:$H=calibration!$AF170),modeldata!$E:$E,0))</f>
        <v>0</v>
      </c>
      <c r="AH170" s="242">
        <f t="array" ref="AH170">SUM(IF((modeldata!$F:$F=calibration!$AF$158)*(modeldata!$G:$G=calibration!AH$160)*(modeldata!$H:$H=calibration!$AF170),modeldata!$E:$E,0))</f>
        <v>0</v>
      </c>
      <c r="AI170" s="242">
        <f t="array" ref="AI170">SUM(IF((modeldata!$F:$F=calibration!$AF$158)*(modeldata!$G:$G=calibration!AI$160)*(modeldata!$H:$H=calibration!$AF170),modeldata!$E:$E,0))</f>
        <v>0</v>
      </c>
      <c r="AJ170" s="242">
        <f t="array" ref="AJ170">SUM(IF((modeldata!$F:$F=calibration!$AF$158)*(modeldata!$G:$G=calibration!AJ$160)*(modeldata!$H:$H=calibration!$AF170),modeldata!$E:$E,0))</f>
        <v>0</v>
      </c>
      <c r="AK170" s="242">
        <f t="array" ref="AK170">SUM(IF((modeldata!$F:$F=calibration!$AF$158)*(modeldata!$G:$G=calibration!AK$160)*(modeldata!$H:$H=calibration!$AF170),modeldata!$E:$E,0))</f>
        <v>0</v>
      </c>
      <c r="AL170" s="40">
        <f t="array" ref="AL170">SUM(IF((modeldata!$F:$F=calibration!$AF$158)*(modeldata!$G:$G=calibration!AL$160)*(modeldata!$H:$H=calibration!$AF170),modeldata!$E:$E,0))</f>
        <v>0</v>
      </c>
      <c r="AM170" s="242">
        <f t="array" ref="AM170">SUM(IF((modeldata!$F:$F=calibration!$AF$158)*(modeldata!$G:$G=calibration!AM$160)*(modeldata!$H:$H=calibration!$AF170),modeldata!$E:$E,0))</f>
        <v>0</v>
      </c>
      <c r="AN170" s="243">
        <f t="shared" si="1125"/>
        <v>0</v>
      </c>
      <c r="AO170" s="242">
        <f t="array" ref="AO170">SUM(IF((modeldata!$F:$F=calibration!$AF$158)*(modeldata!$G:$G=calibration!AO$160)*(modeldata!$H:$H=calibration!$AF170),modeldata!$E:$E,0))</f>
        <v>0</v>
      </c>
      <c r="AP170" s="242">
        <f t="array" ref="AP170">SUM(IF((modeldata!$F:$F=calibration!$AF$158)*(modeldata!$G:$G=calibration!AP$160)*(modeldata!$H:$H=calibration!$AF170),modeldata!$E:$E,0))</f>
        <v>0</v>
      </c>
      <c r="AQ170" s="242">
        <f t="array" ref="AQ170">SUM(IF((modeldata!$F:$F=calibration!$AF$158)*(modeldata!$G:$G=calibration!AQ$160)*(modeldata!$H:$H=calibration!$AF170),modeldata!$E:$E,0))</f>
        <v>0</v>
      </c>
      <c r="AR170" s="178">
        <f t="shared" si="1118"/>
        <v>0</v>
      </c>
      <c r="AS170" s="17">
        <f t="shared" si="1060"/>
        <v>0</v>
      </c>
      <c r="AU170" s="64" t="s">
        <v>46</v>
      </c>
      <c r="AV170" s="38">
        <f t="shared" ref="AV170:BG170" si="1136">IF(R181&gt;0,R170/R181,0)</f>
        <v>0</v>
      </c>
      <c r="AW170" s="242">
        <f t="shared" si="1136"/>
        <v>0</v>
      </c>
      <c r="AX170" s="242">
        <f t="shared" si="1136"/>
        <v>0</v>
      </c>
      <c r="AY170" s="242">
        <f t="shared" si="1136"/>
        <v>0</v>
      </c>
      <c r="AZ170" s="242">
        <f t="shared" si="1136"/>
        <v>0</v>
      </c>
      <c r="BA170" s="40">
        <f t="shared" si="1136"/>
        <v>0</v>
      </c>
      <c r="BB170" s="242">
        <f t="shared" si="1136"/>
        <v>0</v>
      </c>
      <c r="BC170" s="243">
        <f t="shared" si="1136"/>
        <v>0</v>
      </c>
      <c r="BD170" s="242">
        <f t="shared" si="1136"/>
        <v>0</v>
      </c>
      <c r="BE170" s="242">
        <f t="shared" si="1136"/>
        <v>0</v>
      </c>
      <c r="BF170" s="242">
        <f t="shared" si="1136"/>
        <v>0</v>
      </c>
      <c r="BG170" s="178">
        <f t="shared" si="1136"/>
        <v>0</v>
      </c>
      <c r="BH170" s="24" t="e">
        <f>AD170/AD181</f>
        <v>#DIV/0!</v>
      </c>
      <c r="BJ170" s="64" t="s">
        <v>46</v>
      </c>
      <c r="BK170" s="25">
        <f t="shared" ref="BK170:BV170" si="1137">IF(AG181&gt;0,AG170/AG181,0)</f>
        <v>0</v>
      </c>
      <c r="BL170" s="24">
        <f t="shared" si="1137"/>
        <v>0</v>
      </c>
      <c r="BM170" s="24">
        <f t="shared" si="1137"/>
        <v>0</v>
      </c>
      <c r="BN170" s="24">
        <f t="shared" si="1137"/>
        <v>0</v>
      </c>
      <c r="BO170" s="24">
        <f t="shared" si="1137"/>
        <v>0</v>
      </c>
      <c r="BP170" s="28">
        <f t="shared" si="1137"/>
        <v>0</v>
      </c>
      <c r="BQ170" s="24">
        <f t="shared" si="1137"/>
        <v>0</v>
      </c>
      <c r="BR170" s="77">
        <f t="shared" si="1137"/>
        <v>0</v>
      </c>
      <c r="BS170" s="24">
        <f t="shared" si="1137"/>
        <v>0</v>
      </c>
      <c r="BT170" s="24">
        <f t="shared" si="1137"/>
        <v>0</v>
      </c>
      <c r="BU170" s="24">
        <f t="shared" si="1137"/>
        <v>0</v>
      </c>
      <c r="BV170" s="180">
        <f t="shared" si="1137"/>
        <v>0</v>
      </c>
      <c r="BW170" s="24" t="e">
        <f>AS170/AS181</f>
        <v>#DIV/0!</v>
      </c>
      <c r="BX170" s="24"/>
      <c r="BY170" s="64" t="s">
        <v>46</v>
      </c>
      <c r="BZ170" s="54">
        <f t="shared" si="1091"/>
        <v>0</v>
      </c>
      <c r="CA170" s="55">
        <f t="shared" si="1063"/>
        <v>0</v>
      </c>
      <c r="CB170" s="55">
        <f t="shared" si="1064"/>
        <v>0</v>
      </c>
      <c r="CC170" s="55">
        <f t="shared" si="1065"/>
        <v>0</v>
      </c>
      <c r="CD170" s="55">
        <f t="shared" si="1066"/>
        <v>0</v>
      </c>
      <c r="CE170" s="60">
        <f t="shared" si="1067"/>
        <v>0</v>
      </c>
      <c r="CF170" s="55">
        <f t="shared" si="1068"/>
        <v>0</v>
      </c>
      <c r="CG170" s="246">
        <f t="shared" si="1069"/>
        <v>0</v>
      </c>
      <c r="CH170" s="55">
        <f t="shared" si="1070"/>
        <v>0</v>
      </c>
      <c r="CI170" s="55">
        <f t="shared" si="1071"/>
        <v>0</v>
      </c>
      <c r="CJ170" s="55">
        <f t="shared" si="1072"/>
        <v>0</v>
      </c>
      <c r="CK170" s="249">
        <f t="shared" si="1072"/>
        <v>0</v>
      </c>
      <c r="CL170" s="55">
        <f t="shared" si="1073"/>
        <v>0</v>
      </c>
      <c r="CN170" s="64" t="s">
        <v>46</v>
      </c>
      <c r="CO170" s="54">
        <f t="shared" si="1092"/>
        <v>0</v>
      </c>
      <c r="CP170" s="55">
        <f t="shared" si="1074"/>
        <v>0</v>
      </c>
      <c r="CQ170" s="55">
        <f t="shared" si="1075"/>
        <v>0</v>
      </c>
      <c r="CR170" s="55">
        <f t="shared" si="1076"/>
        <v>0</v>
      </c>
      <c r="CS170" s="55">
        <f t="shared" si="1077"/>
        <v>0</v>
      </c>
      <c r="CT170" s="60">
        <f t="shared" si="1078"/>
        <v>0</v>
      </c>
      <c r="CU170" s="55">
        <f t="shared" si="1079"/>
        <v>0</v>
      </c>
      <c r="CV170" s="246">
        <f t="shared" si="1080"/>
        <v>0</v>
      </c>
      <c r="CW170" s="55">
        <f t="shared" si="1081"/>
        <v>0</v>
      </c>
      <c r="CX170" s="55">
        <f t="shared" si="1082"/>
        <v>0</v>
      </c>
      <c r="CY170" s="55">
        <f t="shared" si="1083"/>
        <v>0</v>
      </c>
      <c r="CZ170" s="249">
        <f t="shared" si="1083"/>
        <v>0</v>
      </c>
      <c r="DA170" s="62" t="e">
        <f t="shared" si="1084"/>
        <v>#DIV/0!</v>
      </c>
      <c r="DC170" s="64" t="s">
        <v>46</v>
      </c>
      <c r="DD170" s="198">
        <f t="shared" si="1093"/>
        <v>0</v>
      </c>
      <c r="DE170" s="199">
        <f t="shared" si="1094"/>
        <v>0</v>
      </c>
      <c r="DF170" s="198">
        <f t="shared" si="1095"/>
        <v>0</v>
      </c>
      <c r="DG170" s="199">
        <f t="shared" si="1096"/>
        <v>0</v>
      </c>
      <c r="DH170" s="198">
        <f t="shared" si="1097"/>
        <v>0</v>
      </c>
      <c r="DI170" s="199">
        <f t="shared" si="1098"/>
        <v>0</v>
      </c>
      <c r="DJ170" s="198">
        <f t="shared" si="1099"/>
        <v>0</v>
      </c>
      <c r="DK170" s="199">
        <f t="shared" si="1100"/>
        <v>0</v>
      </c>
      <c r="DL170" s="198">
        <f t="shared" si="1101"/>
        <v>0</v>
      </c>
      <c r="DM170" s="199">
        <f t="shared" si="1102"/>
        <v>0</v>
      </c>
      <c r="DN170" s="198">
        <f t="shared" si="1103"/>
        <v>0</v>
      </c>
      <c r="DO170" s="199">
        <f t="shared" si="1104"/>
        <v>0</v>
      </c>
      <c r="DP170" s="198">
        <f t="shared" si="1105"/>
        <v>0</v>
      </c>
      <c r="DQ170" s="199">
        <f t="shared" si="1106"/>
        <v>0</v>
      </c>
      <c r="DR170" s="198">
        <f t="shared" si="1107"/>
        <v>0</v>
      </c>
      <c r="DS170" s="199">
        <f t="shared" si="1108"/>
        <v>0</v>
      </c>
      <c r="DT170" s="198">
        <f t="shared" si="1109"/>
        <v>0</v>
      </c>
      <c r="DU170" s="199">
        <f t="shared" si="1110"/>
        <v>0</v>
      </c>
      <c r="DV170" s="198">
        <f t="shared" si="1111"/>
        <v>0</v>
      </c>
      <c r="DW170" s="199">
        <f t="shared" si="1112"/>
        <v>0</v>
      </c>
      <c r="DX170" s="198">
        <f t="shared" si="1113"/>
        <v>0</v>
      </c>
      <c r="DY170" s="199">
        <f t="shared" si="1114"/>
        <v>0</v>
      </c>
      <c r="DZ170" s="190">
        <f t="shared" si="1115"/>
        <v>0</v>
      </c>
      <c r="EA170" s="199">
        <f t="shared" si="1085"/>
        <v>0</v>
      </c>
      <c r="EB170" s="190" t="e">
        <f t="shared" si="1116"/>
        <v>#DIV/0!</v>
      </c>
      <c r="EC170" s="190" t="e">
        <f t="shared" si="1117"/>
        <v>#DIV/0!</v>
      </c>
    </row>
    <row r="171" spans="1:133" x14ac:dyDescent="0.2">
      <c r="A171" s="64" t="s">
        <v>47</v>
      </c>
      <c r="B171" s="38">
        <f>targets!AW160</f>
        <v>0</v>
      </c>
      <c r="C171" s="242">
        <f>targets!AX160</f>
        <v>0</v>
      </c>
      <c r="D171" s="242">
        <f>targets!AY160</f>
        <v>0</v>
      </c>
      <c r="E171" s="242">
        <f>targets!AZ160</f>
        <v>0</v>
      </c>
      <c r="F171" s="242">
        <f>targets!BA160</f>
        <v>0</v>
      </c>
      <c r="G171" s="41">
        <f>SUM(targets!BB160:BG160)</f>
        <v>0</v>
      </c>
      <c r="H171" s="242">
        <f>SUM(targets!BH160:BM160)</f>
        <v>0</v>
      </c>
      <c r="I171" s="243">
        <f t="shared" si="1086"/>
        <v>0</v>
      </c>
      <c r="J171" s="242">
        <f>targets!BN160</f>
        <v>0</v>
      </c>
      <c r="K171" s="242">
        <f>targets!BO160</f>
        <v>0</v>
      </c>
      <c r="L171" s="242">
        <f>targets!BP160</f>
        <v>0</v>
      </c>
      <c r="M171" s="178">
        <f t="shared" si="1087"/>
        <v>0</v>
      </c>
      <c r="N171" s="17">
        <f t="shared" si="1050"/>
        <v>0</v>
      </c>
      <c r="O171" s="208"/>
      <c r="P171" s="17"/>
      <c r="Q171" s="64" t="s">
        <v>47</v>
      </c>
      <c r="R171" s="38"/>
      <c r="S171" s="242"/>
      <c r="T171" s="242"/>
      <c r="U171" s="242">
        <f t="shared" si="1051"/>
        <v>0</v>
      </c>
      <c r="V171" s="242">
        <f t="shared" si="1052"/>
        <v>0</v>
      </c>
      <c r="W171" s="41">
        <f t="shared" si="1053"/>
        <v>0</v>
      </c>
      <c r="X171" s="242">
        <f t="shared" si="1054"/>
        <v>0</v>
      </c>
      <c r="Y171" s="243">
        <f t="shared" si="1055"/>
        <v>0</v>
      </c>
      <c r="Z171" s="242">
        <f t="shared" si="1056"/>
        <v>0</v>
      </c>
      <c r="AA171" s="242">
        <f t="shared" si="1057"/>
        <v>0</v>
      </c>
      <c r="AB171" s="242"/>
      <c r="AC171" s="178">
        <f t="shared" si="1058"/>
        <v>0</v>
      </c>
      <c r="AD171" s="17">
        <f t="shared" si="1059"/>
        <v>0</v>
      </c>
      <c r="AF171" s="64" t="s">
        <v>47</v>
      </c>
      <c r="AG171" s="38">
        <f t="array" ref="AG171">SUM(IF((modeldata!$F:$F=calibration!$AF$158)*(modeldata!$G:$G=calibration!AG$160)*(modeldata!$H:$H=calibration!$AF171),modeldata!$E:$E,0))</f>
        <v>0</v>
      </c>
      <c r="AH171" s="242">
        <f t="array" ref="AH171">SUM(IF((modeldata!$F:$F=calibration!$AF$158)*(modeldata!$G:$G=calibration!AH$160)*(modeldata!$H:$H=calibration!$AF171),modeldata!$E:$E,0))</f>
        <v>0</v>
      </c>
      <c r="AI171" s="242">
        <f t="array" ref="AI171">SUM(IF((modeldata!$F:$F=calibration!$AF$158)*(modeldata!$G:$G=calibration!AI$160)*(modeldata!$H:$H=calibration!$AF171),modeldata!$E:$E,0))</f>
        <v>0</v>
      </c>
      <c r="AJ171" s="242">
        <f t="array" ref="AJ171">SUM(IF((modeldata!$F:$F=calibration!$AF$158)*(modeldata!$G:$G=calibration!AJ$160)*(modeldata!$H:$H=calibration!$AF171),modeldata!$E:$E,0))</f>
        <v>0</v>
      </c>
      <c r="AK171" s="242">
        <f t="array" ref="AK171">SUM(IF((modeldata!$F:$F=calibration!$AF$158)*(modeldata!$G:$G=calibration!AK$160)*(modeldata!$H:$H=calibration!$AF171),modeldata!$E:$E,0))</f>
        <v>0</v>
      </c>
      <c r="AL171" s="41">
        <f t="array" ref="AL171">SUM(IF((modeldata!$F:$F=calibration!$AF$158)*(modeldata!$G:$G=calibration!AL$160)*(modeldata!$H:$H=calibration!$AF171),modeldata!$E:$E,0))</f>
        <v>0</v>
      </c>
      <c r="AM171" s="242">
        <f t="array" ref="AM171">SUM(IF((modeldata!$F:$F=calibration!$AF$158)*(modeldata!$G:$G=calibration!AM$160)*(modeldata!$H:$H=calibration!$AF171),modeldata!$E:$E,0))</f>
        <v>0</v>
      </c>
      <c r="AN171" s="243">
        <f t="shared" si="1125"/>
        <v>0</v>
      </c>
      <c r="AO171" s="242">
        <f t="array" ref="AO171">SUM(IF((modeldata!$F:$F=calibration!$AF$158)*(modeldata!$G:$G=calibration!AO$160)*(modeldata!$H:$H=calibration!$AF171),modeldata!$E:$E,0))</f>
        <v>0</v>
      </c>
      <c r="AP171" s="242">
        <f t="array" ref="AP171">SUM(IF((modeldata!$F:$F=calibration!$AF$158)*(modeldata!$G:$G=calibration!AP$160)*(modeldata!$H:$H=calibration!$AF171),modeldata!$E:$E,0))</f>
        <v>0</v>
      </c>
      <c r="AQ171" s="242">
        <f t="array" ref="AQ171">SUM(IF((modeldata!$F:$F=calibration!$AF$158)*(modeldata!$G:$G=calibration!AQ$160)*(modeldata!$H:$H=calibration!$AF171),modeldata!$E:$E,0))</f>
        <v>0</v>
      </c>
      <c r="AR171" s="178">
        <f t="shared" si="1118"/>
        <v>0</v>
      </c>
      <c r="AS171" s="17">
        <f t="shared" si="1060"/>
        <v>0</v>
      </c>
      <c r="AU171" s="64" t="s">
        <v>47</v>
      </c>
      <c r="AV171" s="38">
        <f t="shared" ref="AV171:BG171" si="1138">IF(R181&gt;0,R171/R181,0)</f>
        <v>0</v>
      </c>
      <c r="AW171" s="242">
        <f t="shared" si="1138"/>
        <v>0</v>
      </c>
      <c r="AX171" s="242">
        <f t="shared" si="1138"/>
        <v>0</v>
      </c>
      <c r="AY171" s="242">
        <f t="shared" si="1138"/>
        <v>0</v>
      </c>
      <c r="AZ171" s="242">
        <f t="shared" si="1138"/>
        <v>0</v>
      </c>
      <c r="BA171" s="41">
        <f t="shared" si="1138"/>
        <v>0</v>
      </c>
      <c r="BB171" s="242">
        <f t="shared" si="1138"/>
        <v>0</v>
      </c>
      <c r="BC171" s="243">
        <f t="shared" si="1138"/>
        <v>0</v>
      </c>
      <c r="BD171" s="242">
        <f t="shared" si="1138"/>
        <v>0</v>
      </c>
      <c r="BE171" s="242">
        <f t="shared" si="1138"/>
        <v>0</v>
      </c>
      <c r="BF171" s="242">
        <f t="shared" si="1138"/>
        <v>0</v>
      </c>
      <c r="BG171" s="178">
        <f t="shared" si="1138"/>
        <v>0</v>
      </c>
      <c r="BH171" s="24" t="e">
        <f>AD171/AD181</f>
        <v>#DIV/0!</v>
      </c>
      <c r="BJ171" s="64" t="s">
        <v>47</v>
      </c>
      <c r="BK171" s="25">
        <f t="shared" ref="BK171:BV171" si="1139">IF(AG181&gt;0,AG171/AG181,0)</f>
        <v>0</v>
      </c>
      <c r="BL171" s="24">
        <f t="shared" si="1139"/>
        <v>0</v>
      </c>
      <c r="BM171" s="24">
        <f t="shared" si="1139"/>
        <v>0</v>
      </c>
      <c r="BN171" s="24">
        <f t="shared" si="1139"/>
        <v>0</v>
      </c>
      <c r="BO171" s="24">
        <f t="shared" si="1139"/>
        <v>0</v>
      </c>
      <c r="BP171" s="29">
        <f t="shared" si="1139"/>
        <v>0</v>
      </c>
      <c r="BQ171" s="24">
        <f t="shared" si="1139"/>
        <v>0</v>
      </c>
      <c r="BR171" s="77">
        <f t="shared" si="1139"/>
        <v>0</v>
      </c>
      <c r="BS171" s="24">
        <f t="shared" si="1139"/>
        <v>0</v>
      </c>
      <c r="BT171" s="24">
        <f t="shared" si="1139"/>
        <v>0</v>
      </c>
      <c r="BU171" s="24">
        <f t="shared" si="1139"/>
        <v>0</v>
      </c>
      <c r="BV171" s="180">
        <f t="shared" si="1139"/>
        <v>0</v>
      </c>
      <c r="BW171" s="24" t="e">
        <f>AS171/AS181</f>
        <v>#DIV/0!</v>
      </c>
      <c r="BX171" s="24"/>
      <c r="BY171" s="64" t="s">
        <v>47</v>
      </c>
      <c r="BZ171" s="54">
        <f t="shared" si="1091"/>
        <v>0</v>
      </c>
      <c r="CA171" s="55">
        <f t="shared" si="1063"/>
        <v>0</v>
      </c>
      <c r="CB171" s="55">
        <f t="shared" si="1064"/>
        <v>0</v>
      </c>
      <c r="CC171" s="55">
        <f t="shared" si="1065"/>
        <v>0</v>
      </c>
      <c r="CD171" s="55">
        <f t="shared" si="1066"/>
        <v>0</v>
      </c>
      <c r="CE171" s="61">
        <f t="shared" si="1067"/>
        <v>0</v>
      </c>
      <c r="CF171" s="55">
        <f t="shared" si="1068"/>
        <v>0</v>
      </c>
      <c r="CG171" s="246">
        <f t="shared" si="1069"/>
        <v>0</v>
      </c>
      <c r="CH171" s="55">
        <f t="shared" si="1070"/>
        <v>0</v>
      </c>
      <c r="CI171" s="55">
        <f t="shared" si="1071"/>
        <v>0</v>
      </c>
      <c r="CJ171" s="55">
        <f t="shared" si="1072"/>
        <v>0</v>
      </c>
      <c r="CK171" s="249">
        <f t="shared" si="1072"/>
        <v>0</v>
      </c>
      <c r="CL171" s="55">
        <f t="shared" si="1073"/>
        <v>0</v>
      </c>
      <c r="CN171" s="64" t="s">
        <v>47</v>
      </c>
      <c r="CO171" s="54">
        <f t="shared" si="1092"/>
        <v>0</v>
      </c>
      <c r="CP171" s="55">
        <f t="shared" si="1074"/>
        <v>0</v>
      </c>
      <c r="CQ171" s="55">
        <f t="shared" si="1075"/>
        <v>0</v>
      </c>
      <c r="CR171" s="55">
        <f t="shared" si="1076"/>
        <v>0</v>
      </c>
      <c r="CS171" s="55">
        <f t="shared" si="1077"/>
        <v>0</v>
      </c>
      <c r="CT171" s="61">
        <f t="shared" si="1078"/>
        <v>0</v>
      </c>
      <c r="CU171" s="55">
        <f t="shared" si="1079"/>
        <v>0</v>
      </c>
      <c r="CV171" s="246">
        <f t="shared" si="1080"/>
        <v>0</v>
      </c>
      <c r="CW171" s="55">
        <f t="shared" si="1081"/>
        <v>0</v>
      </c>
      <c r="CX171" s="55">
        <f t="shared" si="1082"/>
        <v>0</v>
      </c>
      <c r="CY171" s="55">
        <f t="shared" si="1083"/>
        <v>0</v>
      </c>
      <c r="CZ171" s="249">
        <f t="shared" si="1083"/>
        <v>0</v>
      </c>
      <c r="DA171" s="62" t="e">
        <f t="shared" si="1084"/>
        <v>#DIV/0!</v>
      </c>
      <c r="DC171" s="64" t="s">
        <v>47</v>
      </c>
      <c r="DD171" s="198">
        <f t="shared" si="1093"/>
        <v>0</v>
      </c>
      <c r="DE171" s="199">
        <f t="shared" si="1094"/>
        <v>0</v>
      </c>
      <c r="DF171" s="198">
        <f t="shared" si="1095"/>
        <v>0</v>
      </c>
      <c r="DG171" s="199">
        <f t="shared" si="1096"/>
        <v>0</v>
      </c>
      <c r="DH171" s="198">
        <f t="shared" si="1097"/>
        <v>0</v>
      </c>
      <c r="DI171" s="199">
        <f t="shared" si="1098"/>
        <v>0</v>
      </c>
      <c r="DJ171" s="198">
        <f t="shared" si="1099"/>
        <v>0</v>
      </c>
      <c r="DK171" s="199">
        <f t="shared" si="1100"/>
        <v>0</v>
      </c>
      <c r="DL171" s="198">
        <f t="shared" si="1101"/>
        <v>0</v>
      </c>
      <c r="DM171" s="199">
        <f t="shared" si="1102"/>
        <v>0</v>
      </c>
      <c r="DN171" s="200">
        <f t="shared" si="1103"/>
        <v>0</v>
      </c>
      <c r="DO171" s="201">
        <f t="shared" si="1104"/>
        <v>0</v>
      </c>
      <c r="DP171" s="198">
        <f t="shared" si="1105"/>
        <v>0</v>
      </c>
      <c r="DQ171" s="199">
        <f t="shared" si="1106"/>
        <v>0</v>
      </c>
      <c r="DR171" s="198">
        <f t="shared" si="1107"/>
        <v>0</v>
      </c>
      <c r="DS171" s="199">
        <f t="shared" si="1108"/>
        <v>0</v>
      </c>
      <c r="DT171" s="198">
        <f t="shared" si="1109"/>
        <v>0</v>
      </c>
      <c r="DU171" s="199">
        <f t="shared" si="1110"/>
        <v>0</v>
      </c>
      <c r="DV171" s="198">
        <f t="shared" si="1111"/>
        <v>0</v>
      </c>
      <c r="DW171" s="199">
        <f t="shared" si="1112"/>
        <v>0</v>
      </c>
      <c r="DX171" s="198">
        <f t="shared" si="1113"/>
        <v>0</v>
      </c>
      <c r="DY171" s="199">
        <f t="shared" si="1114"/>
        <v>0</v>
      </c>
      <c r="DZ171" s="190">
        <f t="shared" si="1115"/>
        <v>0</v>
      </c>
      <c r="EA171" s="199">
        <f t="shared" si="1085"/>
        <v>0</v>
      </c>
      <c r="EB171" s="190" t="e">
        <f t="shared" si="1116"/>
        <v>#DIV/0!</v>
      </c>
      <c r="EC171" s="190" t="e">
        <f t="shared" si="1117"/>
        <v>#DIV/0!</v>
      </c>
    </row>
    <row r="172" spans="1:133" x14ac:dyDescent="0.2">
      <c r="A172" s="66" t="s">
        <v>40</v>
      </c>
      <c r="B172" s="38">
        <f>targets!AW161</f>
        <v>0</v>
      </c>
      <c r="C172" s="242">
        <f>targets!AX161</f>
        <v>0</v>
      </c>
      <c r="D172" s="242">
        <f>targets!AY161</f>
        <v>0</v>
      </c>
      <c r="E172" s="242">
        <f>targets!AZ161</f>
        <v>0</v>
      </c>
      <c r="F172" s="242">
        <f>targets!BA161</f>
        <v>0</v>
      </c>
      <c r="G172" s="242">
        <f>SUM(targets!BB161:BG161)</f>
        <v>0</v>
      </c>
      <c r="H172" s="39">
        <f>SUM(targets!BH161:BM161)</f>
        <v>470.15029527199732</v>
      </c>
      <c r="I172" s="243">
        <f t="shared" si="1086"/>
        <v>470.15029527199732</v>
      </c>
      <c r="J172" s="242">
        <f>targets!BN161</f>
        <v>0</v>
      </c>
      <c r="K172" s="242">
        <f>targets!BO161</f>
        <v>0</v>
      </c>
      <c r="L172" s="242">
        <f>targets!BP161</f>
        <v>0</v>
      </c>
      <c r="M172" s="178">
        <f t="shared" si="1087"/>
        <v>0</v>
      </c>
      <c r="N172" s="17">
        <f t="shared" si="1050"/>
        <v>470.15029527199732</v>
      </c>
      <c r="O172" s="208"/>
      <c r="P172" s="17"/>
      <c r="Q172" s="66" t="s">
        <v>40</v>
      </c>
      <c r="R172" s="38"/>
      <c r="S172" s="242"/>
      <c r="T172" s="242"/>
      <c r="U172" s="242">
        <f t="shared" si="1051"/>
        <v>0</v>
      </c>
      <c r="V172" s="242">
        <f t="shared" si="1052"/>
        <v>0</v>
      </c>
      <c r="W172" s="242">
        <f t="shared" si="1053"/>
        <v>0</v>
      </c>
      <c r="X172" s="39">
        <f t="shared" si="1054"/>
        <v>0</v>
      </c>
      <c r="Y172" s="243">
        <f t="shared" si="1055"/>
        <v>0</v>
      </c>
      <c r="Z172" s="242">
        <f t="shared" si="1056"/>
        <v>0</v>
      </c>
      <c r="AA172" s="242">
        <f t="shared" si="1057"/>
        <v>0</v>
      </c>
      <c r="AB172" s="242"/>
      <c r="AC172" s="178">
        <f t="shared" si="1058"/>
        <v>0</v>
      </c>
      <c r="AD172" s="17">
        <f t="shared" si="1059"/>
        <v>0</v>
      </c>
      <c r="AF172" s="66" t="s">
        <v>40</v>
      </c>
      <c r="AG172" s="38">
        <f t="array" ref="AG172">SUM(IF((modeldata!$F:$F=calibration!$AF$158)*(modeldata!$G:$G=calibration!AG$160)*(modeldata!$H:$H=calibration!$AF172),modeldata!$E:$E,0))</f>
        <v>0</v>
      </c>
      <c r="AH172" s="242">
        <f t="array" ref="AH172">SUM(IF((modeldata!$F:$F=calibration!$AF$158)*(modeldata!$G:$G=calibration!AH$160)*(modeldata!$H:$H=calibration!$AF172),modeldata!$E:$E,0))</f>
        <v>0</v>
      </c>
      <c r="AI172" s="242">
        <f t="array" ref="AI172">SUM(IF((modeldata!$F:$F=calibration!$AF$158)*(modeldata!$G:$G=calibration!AI$160)*(modeldata!$H:$H=calibration!$AF172),modeldata!$E:$E,0))</f>
        <v>0</v>
      </c>
      <c r="AJ172" s="242">
        <f t="array" ref="AJ172">SUM(IF((modeldata!$F:$F=calibration!$AF$158)*(modeldata!$G:$G=calibration!AJ$160)*(modeldata!$H:$H=calibration!$AF172),modeldata!$E:$E,0))</f>
        <v>0</v>
      </c>
      <c r="AK172" s="242">
        <f t="array" ref="AK172">SUM(IF((modeldata!$F:$F=calibration!$AF$158)*(modeldata!$G:$G=calibration!AK$160)*(modeldata!$H:$H=calibration!$AF172),modeldata!$E:$E,0))</f>
        <v>0</v>
      </c>
      <c r="AL172" s="242">
        <f t="array" ref="AL172">SUM(IF((modeldata!$F:$F=calibration!$AF$158)*(modeldata!$G:$G=calibration!AL$160)*(modeldata!$H:$H=calibration!$AF172),modeldata!$E:$E,0))</f>
        <v>0</v>
      </c>
      <c r="AM172" s="39">
        <f t="array" ref="AM172">SUM(IF((modeldata!$F:$F=calibration!$AF$158)*(modeldata!$G:$G=calibration!AM$160)*(modeldata!$H:$H=calibration!$AF172),modeldata!$E:$E,0))</f>
        <v>0</v>
      </c>
      <c r="AN172" s="243"/>
      <c r="AO172" s="242">
        <f t="array" ref="AO172">SUM(IF((modeldata!$F:$F=calibration!$AF$158)*(modeldata!$G:$G=calibration!AO$160)*(modeldata!$H:$H=calibration!$AF172),modeldata!$E:$E,0))</f>
        <v>0</v>
      </c>
      <c r="AP172" s="242">
        <f t="array" ref="AP172">SUM(IF((modeldata!$F:$F=calibration!$AF$158)*(modeldata!$G:$G=calibration!AP$160)*(modeldata!$H:$H=calibration!$AF172),modeldata!$E:$E,0))</f>
        <v>0</v>
      </c>
      <c r="AQ172" s="242">
        <f t="array" ref="AQ172">SUM(IF((modeldata!$F:$F=calibration!$AF$158)*(modeldata!$G:$G=calibration!AQ$160)*(modeldata!$H:$H=calibration!$AF172),modeldata!$E:$E,0))</f>
        <v>0</v>
      </c>
      <c r="AR172" s="178">
        <f t="shared" si="1118"/>
        <v>0</v>
      </c>
      <c r="AS172" s="17">
        <f t="shared" si="1060"/>
        <v>0</v>
      </c>
      <c r="AU172" s="66" t="s">
        <v>40</v>
      </c>
      <c r="AV172" s="38">
        <f t="shared" ref="AV172:BG172" si="1140">IF(R181&gt;0,R172/R181,0)</f>
        <v>0</v>
      </c>
      <c r="AW172" s="242">
        <f t="shared" si="1140"/>
        <v>0</v>
      </c>
      <c r="AX172" s="242">
        <f t="shared" si="1140"/>
        <v>0</v>
      </c>
      <c r="AY172" s="242">
        <f t="shared" si="1140"/>
        <v>0</v>
      </c>
      <c r="AZ172" s="242">
        <f t="shared" si="1140"/>
        <v>0</v>
      </c>
      <c r="BA172" s="242">
        <f t="shared" si="1140"/>
        <v>0</v>
      </c>
      <c r="BB172" s="39">
        <f t="shared" si="1140"/>
        <v>0</v>
      </c>
      <c r="BC172" s="243">
        <f t="shared" si="1140"/>
        <v>0</v>
      </c>
      <c r="BD172" s="242">
        <f t="shared" si="1140"/>
        <v>0</v>
      </c>
      <c r="BE172" s="242">
        <f t="shared" si="1140"/>
        <v>0</v>
      </c>
      <c r="BF172" s="242">
        <f t="shared" si="1140"/>
        <v>0</v>
      </c>
      <c r="BG172" s="178">
        <f t="shared" si="1140"/>
        <v>0</v>
      </c>
      <c r="BH172" s="24" t="e">
        <f>AD172/AD181</f>
        <v>#DIV/0!</v>
      </c>
      <c r="BJ172" s="66" t="s">
        <v>40</v>
      </c>
      <c r="BK172" s="25">
        <f t="shared" ref="BK172:BV172" si="1141">IF(AG181&gt;0,AG172/AG181,0)</f>
        <v>0</v>
      </c>
      <c r="BL172" s="24">
        <f t="shared" si="1141"/>
        <v>0</v>
      </c>
      <c r="BM172" s="24">
        <f t="shared" si="1141"/>
        <v>0</v>
      </c>
      <c r="BN172" s="24">
        <f t="shared" si="1141"/>
        <v>0</v>
      </c>
      <c r="BO172" s="24">
        <f t="shared" si="1141"/>
        <v>0</v>
      </c>
      <c r="BP172" s="24">
        <f t="shared" si="1141"/>
        <v>0</v>
      </c>
      <c r="BQ172" s="27">
        <f t="shared" si="1141"/>
        <v>0</v>
      </c>
      <c r="BR172" s="77">
        <f t="shared" si="1141"/>
        <v>0</v>
      </c>
      <c r="BS172" s="24">
        <f t="shared" si="1141"/>
        <v>0</v>
      </c>
      <c r="BT172" s="24">
        <f t="shared" si="1141"/>
        <v>0</v>
      </c>
      <c r="BU172" s="24">
        <f t="shared" si="1141"/>
        <v>0</v>
      </c>
      <c r="BV172" s="180">
        <f t="shared" si="1141"/>
        <v>0</v>
      </c>
      <c r="BW172" s="24" t="e">
        <f>AS172/AS181</f>
        <v>#DIV/0!</v>
      </c>
      <c r="BX172" s="24"/>
      <c r="BY172" s="66" t="s">
        <v>40</v>
      </c>
      <c r="BZ172" s="54">
        <f t="shared" si="1091"/>
        <v>0</v>
      </c>
      <c r="CA172" s="55">
        <f t="shared" si="1063"/>
        <v>0</v>
      </c>
      <c r="CB172" s="55">
        <f t="shared" si="1064"/>
        <v>0</v>
      </c>
      <c r="CC172" s="55">
        <f t="shared" si="1065"/>
        <v>0</v>
      </c>
      <c r="CD172" s="55">
        <f t="shared" si="1066"/>
        <v>0</v>
      </c>
      <c r="CE172" s="55">
        <f t="shared" si="1067"/>
        <v>0</v>
      </c>
      <c r="CF172" s="59">
        <f t="shared" si="1068"/>
        <v>0</v>
      </c>
      <c r="CG172" s="246">
        <f t="shared" si="1069"/>
        <v>0</v>
      </c>
      <c r="CH172" s="55">
        <f t="shared" si="1070"/>
        <v>0</v>
      </c>
      <c r="CI172" s="55">
        <f t="shared" si="1071"/>
        <v>0</v>
      </c>
      <c r="CJ172" s="55">
        <f t="shared" si="1072"/>
        <v>0</v>
      </c>
      <c r="CK172" s="249">
        <f t="shared" si="1072"/>
        <v>0</v>
      </c>
      <c r="CL172" s="55">
        <f t="shared" si="1073"/>
        <v>0</v>
      </c>
      <c r="CN172" s="66" t="s">
        <v>40</v>
      </c>
      <c r="CO172" s="54">
        <f t="shared" si="1092"/>
        <v>0</v>
      </c>
      <c r="CP172" s="55">
        <f t="shared" si="1074"/>
        <v>0</v>
      </c>
      <c r="CQ172" s="55">
        <f t="shared" si="1075"/>
        <v>0</v>
      </c>
      <c r="CR172" s="55">
        <f t="shared" si="1076"/>
        <v>0</v>
      </c>
      <c r="CS172" s="55">
        <f t="shared" si="1077"/>
        <v>0</v>
      </c>
      <c r="CT172" s="55">
        <f t="shared" si="1078"/>
        <v>0</v>
      </c>
      <c r="CU172" s="59">
        <f t="shared" si="1079"/>
        <v>0</v>
      </c>
      <c r="CV172" s="246">
        <f t="shared" si="1080"/>
        <v>0</v>
      </c>
      <c r="CW172" s="55">
        <f t="shared" si="1081"/>
        <v>0</v>
      </c>
      <c r="CX172" s="55">
        <f t="shared" si="1082"/>
        <v>0</v>
      </c>
      <c r="CY172" s="55">
        <f t="shared" si="1083"/>
        <v>0</v>
      </c>
      <c r="CZ172" s="249">
        <f t="shared" si="1083"/>
        <v>0</v>
      </c>
      <c r="DA172" s="62" t="e">
        <f t="shared" si="1084"/>
        <v>#DIV/0!</v>
      </c>
      <c r="DC172" s="66" t="s">
        <v>40</v>
      </c>
      <c r="DD172" s="198">
        <f t="shared" si="1093"/>
        <v>0</v>
      </c>
      <c r="DE172" s="199">
        <f t="shared" si="1094"/>
        <v>0</v>
      </c>
      <c r="DF172" s="198">
        <f t="shared" si="1095"/>
        <v>0</v>
      </c>
      <c r="DG172" s="199">
        <f t="shared" si="1096"/>
        <v>0</v>
      </c>
      <c r="DH172" s="198">
        <f t="shared" si="1097"/>
        <v>0</v>
      </c>
      <c r="DI172" s="199">
        <f t="shared" si="1098"/>
        <v>0</v>
      </c>
      <c r="DJ172" s="198">
        <f t="shared" si="1099"/>
        <v>0</v>
      </c>
      <c r="DK172" s="199">
        <f t="shared" si="1100"/>
        <v>0</v>
      </c>
      <c r="DL172" s="198">
        <f t="shared" si="1101"/>
        <v>0</v>
      </c>
      <c r="DM172" s="199">
        <f t="shared" si="1102"/>
        <v>0</v>
      </c>
      <c r="DN172" s="198">
        <f t="shared" si="1103"/>
        <v>0</v>
      </c>
      <c r="DO172" s="199">
        <f t="shared" si="1104"/>
        <v>0</v>
      </c>
      <c r="DP172" s="195">
        <f t="shared" si="1105"/>
        <v>0</v>
      </c>
      <c r="DQ172" s="196">
        <f t="shared" si="1106"/>
        <v>0</v>
      </c>
      <c r="DR172" s="198">
        <f t="shared" si="1107"/>
        <v>0</v>
      </c>
      <c r="DS172" s="199">
        <f t="shared" si="1108"/>
        <v>0</v>
      </c>
      <c r="DT172" s="198">
        <f t="shared" si="1109"/>
        <v>0</v>
      </c>
      <c r="DU172" s="199">
        <f t="shared" si="1110"/>
        <v>0</v>
      </c>
      <c r="DV172" s="198">
        <f t="shared" si="1111"/>
        <v>0</v>
      </c>
      <c r="DW172" s="199">
        <f t="shared" si="1112"/>
        <v>0</v>
      </c>
      <c r="DX172" s="198">
        <f t="shared" si="1113"/>
        <v>0</v>
      </c>
      <c r="DY172" s="199">
        <f t="shared" si="1114"/>
        <v>0</v>
      </c>
      <c r="DZ172" s="190">
        <f t="shared" si="1115"/>
        <v>0</v>
      </c>
      <c r="EA172" s="199">
        <f t="shared" si="1085"/>
        <v>0</v>
      </c>
      <c r="EB172" s="190" t="e">
        <f t="shared" si="1116"/>
        <v>#DIV/0!</v>
      </c>
      <c r="EC172" s="190" t="e">
        <f t="shared" si="1117"/>
        <v>#DIV/0!</v>
      </c>
    </row>
    <row r="173" spans="1:133" ht="25.5" x14ac:dyDescent="0.2">
      <c r="A173" s="66" t="s">
        <v>345</v>
      </c>
      <c r="B173" s="38">
        <f>targets!AW162</f>
        <v>0</v>
      </c>
      <c r="C173" s="242">
        <f>targets!AX162</f>
        <v>0</v>
      </c>
      <c r="D173" s="242">
        <f>targets!AY162</f>
        <v>0</v>
      </c>
      <c r="E173" s="242">
        <f>targets!AZ162</f>
        <v>0</v>
      </c>
      <c r="F173" s="242">
        <f>targets!BA162</f>
        <v>0</v>
      </c>
      <c r="G173" s="242">
        <f>SUM(targets!BB162:BG162)</f>
        <v>0</v>
      </c>
      <c r="H173" s="40">
        <f>SUM(targets!BH162:BM162)</f>
        <v>0</v>
      </c>
      <c r="I173" s="243">
        <f t="shared" si="1086"/>
        <v>0</v>
      </c>
      <c r="J173" s="242">
        <f>targets!BN162</f>
        <v>0</v>
      </c>
      <c r="K173" s="242">
        <f>targets!BO162</f>
        <v>0</v>
      </c>
      <c r="L173" s="242">
        <f>targets!BP162</f>
        <v>0</v>
      </c>
      <c r="M173" s="178">
        <f t="shared" si="1087"/>
        <v>0</v>
      </c>
      <c r="N173" s="17">
        <f t="shared" si="1050"/>
        <v>0</v>
      </c>
      <c r="O173" s="208"/>
      <c r="P173" s="17"/>
      <c r="Q173" s="66" t="s">
        <v>345</v>
      </c>
      <c r="R173" s="38"/>
      <c r="S173" s="242"/>
      <c r="T173" s="242"/>
      <c r="U173" s="242">
        <f t="shared" si="1051"/>
        <v>0</v>
      </c>
      <c r="V173" s="242">
        <f t="shared" si="1052"/>
        <v>0</v>
      </c>
      <c r="W173" s="242">
        <f t="shared" si="1053"/>
        <v>0</v>
      </c>
      <c r="X173" s="40">
        <f t="shared" si="1054"/>
        <v>0</v>
      </c>
      <c r="Y173" s="243">
        <f t="shared" si="1055"/>
        <v>0</v>
      </c>
      <c r="Z173" s="242">
        <f t="shared" si="1056"/>
        <v>0</v>
      </c>
      <c r="AA173" s="242">
        <f t="shared" si="1057"/>
        <v>0</v>
      </c>
      <c r="AB173" s="242"/>
      <c r="AC173" s="178">
        <f t="shared" si="1058"/>
        <v>0</v>
      </c>
      <c r="AD173" s="17">
        <f t="shared" si="1059"/>
        <v>0</v>
      </c>
      <c r="AF173" s="66" t="s">
        <v>345</v>
      </c>
      <c r="AG173" s="38">
        <f t="array" ref="AG173">SUM(IF((modeldata!$F:$F=calibration!$AF$158)*(modeldata!$G:$G=calibration!AG$160)*(modeldata!$H:$H=calibration!$AF173),modeldata!$E:$E,0))</f>
        <v>0</v>
      </c>
      <c r="AH173" s="242">
        <f t="array" ref="AH173">SUM(IF((modeldata!$F:$F=calibration!$AF$158)*(modeldata!$G:$G=calibration!AH$160)*(modeldata!$H:$H=calibration!$AF173),modeldata!$E:$E,0))</f>
        <v>0</v>
      </c>
      <c r="AI173" s="242">
        <f t="array" ref="AI173">SUM(IF((modeldata!$F:$F=calibration!$AF$158)*(modeldata!$G:$G=calibration!AI$160)*(modeldata!$H:$H=calibration!$AF173),modeldata!$E:$E,0))</f>
        <v>0</v>
      </c>
      <c r="AJ173" s="242">
        <f t="array" ref="AJ173">SUM(IF((modeldata!$F:$F=calibration!$AF$158)*(modeldata!$G:$G=calibration!AJ$160)*(modeldata!$H:$H=calibration!$AF173),modeldata!$E:$E,0))</f>
        <v>0</v>
      </c>
      <c r="AK173" s="242">
        <f t="array" ref="AK173">SUM(IF((modeldata!$F:$F=calibration!$AF$158)*(modeldata!$G:$G=calibration!AK$160)*(modeldata!$H:$H=calibration!$AF173),modeldata!$E:$E,0))</f>
        <v>0</v>
      </c>
      <c r="AL173" s="242">
        <f t="array" ref="AL173">SUM(IF((modeldata!$F:$F=calibration!$AF$158)*(modeldata!$G:$G=calibration!AL$160)*(modeldata!$H:$H=calibration!$AF173),modeldata!$E:$E,0))</f>
        <v>0</v>
      </c>
      <c r="AM173" s="40">
        <f t="array" ref="AM173">SUM(IF((modeldata!$F:$F=calibration!$AF$158)*(modeldata!$G:$G=calibration!AM$160)*(modeldata!$H:$H=calibration!$AF173),modeldata!$E:$E,0))</f>
        <v>0</v>
      </c>
      <c r="AN173" s="243"/>
      <c r="AO173" s="242">
        <f t="array" ref="AO173">SUM(IF((modeldata!$F:$F=calibration!$AF$158)*(modeldata!$G:$G=calibration!AO$160)*(modeldata!$H:$H=calibration!$AF173),modeldata!$E:$E,0))</f>
        <v>0</v>
      </c>
      <c r="AP173" s="242">
        <f t="array" ref="AP173">SUM(IF((modeldata!$F:$F=calibration!$AF$158)*(modeldata!$G:$G=calibration!AP$160)*(modeldata!$H:$H=calibration!$AF173),modeldata!$E:$E,0))</f>
        <v>0</v>
      </c>
      <c r="AQ173" s="242">
        <f t="array" ref="AQ173">SUM(IF((modeldata!$F:$F=calibration!$AF$158)*(modeldata!$G:$G=calibration!AQ$160)*(modeldata!$H:$H=calibration!$AF173),modeldata!$E:$E,0))</f>
        <v>0</v>
      </c>
      <c r="AR173" s="178">
        <f t="shared" si="1118"/>
        <v>0</v>
      </c>
      <c r="AS173" s="17">
        <f t="shared" si="1060"/>
        <v>0</v>
      </c>
      <c r="AU173" s="66" t="s">
        <v>345</v>
      </c>
      <c r="AV173" s="38">
        <f t="shared" ref="AV173:BG173" si="1142">IF(R181&gt;0,R173/R181,0)</f>
        <v>0</v>
      </c>
      <c r="AW173" s="242">
        <f t="shared" si="1142"/>
        <v>0</v>
      </c>
      <c r="AX173" s="242">
        <f t="shared" si="1142"/>
        <v>0</v>
      </c>
      <c r="AY173" s="242">
        <f t="shared" si="1142"/>
        <v>0</v>
      </c>
      <c r="AZ173" s="242">
        <f t="shared" si="1142"/>
        <v>0</v>
      </c>
      <c r="BA173" s="242">
        <f t="shared" si="1142"/>
        <v>0</v>
      </c>
      <c r="BB173" s="40">
        <f t="shared" si="1142"/>
        <v>0</v>
      </c>
      <c r="BC173" s="243">
        <f t="shared" si="1142"/>
        <v>0</v>
      </c>
      <c r="BD173" s="242">
        <f t="shared" si="1142"/>
        <v>0</v>
      </c>
      <c r="BE173" s="242">
        <f t="shared" si="1142"/>
        <v>0</v>
      </c>
      <c r="BF173" s="242">
        <f t="shared" si="1142"/>
        <v>0</v>
      </c>
      <c r="BG173" s="178">
        <f t="shared" si="1142"/>
        <v>0</v>
      </c>
      <c r="BH173" s="24" t="e">
        <f>AD173/AD181</f>
        <v>#DIV/0!</v>
      </c>
      <c r="BJ173" s="66" t="s">
        <v>345</v>
      </c>
      <c r="BK173" s="25">
        <f t="shared" ref="BK173:BV173" si="1143">IF(AG181&gt;0,AG173/AG181,0)</f>
        <v>0</v>
      </c>
      <c r="BL173" s="24">
        <f t="shared" si="1143"/>
        <v>0</v>
      </c>
      <c r="BM173" s="24">
        <f t="shared" si="1143"/>
        <v>0</v>
      </c>
      <c r="BN173" s="24">
        <f t="shared" si="1143"/>
        <v>0</v>
      </c>
      <c r="BO173" s="24">
        <f t="shared" si="1143"/>
        <v>0</v>
      </c>
      <c r="BP173" s="24">
        <f t="shared" si="1143"/>
        <v>0</v>
      </c>
      <c r="BQ173" s="28">
        <f t="shared" si="1143"/>
        <v>0</v>
      </c>
      <c r="BR173" s="77">
        <f t="shared" si="1143"/>
        <v>0</v>
      </c>
      <c r="BS173" s="24">
        <f t="shared" si="1143"/>
        <v>0</v>
      </c>
      <c r="BT173" s="24">
        <f t="shared" si="1143"/>
        <v>0</v>
      </c>
      <c r="BU173" s="24">
        <f t="shared" si="1143"/>
        <v>0</v>
      </c>
      <c r="BV173" s="180">
        <f t="shared" si="1143"/>
        <v>0</v>
      </c>
      <c r="BW173" s="24" t="e">
        <f>AS173/AS181</f>
        <v>#DIV/0!</v>
      </c>
      <c r="BX173" s="24"/>
      <c r="BY173" s="66" t="s">
        <v>345</v>
      </c>
      <c r="BZ173" s="54">
        <f t="shared" si="1091"/>
        <v>0</v>
      </c>
      <c r="CA173" s="55">
        <f t="shared" si="1063"/>
        <v>0</v>
      </c>
      <c r="CB173" s="55">
        <f t="shared" si="1064"/>
        <v>0</v>
      </c>
      <c r="CC173" s="55">
        <f t="shared" si="1065"/>
        <v>0</v>
      </c>
      <c r="CD173" s="55">
        <f t="shared" si="1066"/>
        <v>0</v>
      </c>
      <c r="CE173" s="55">
        <f t="shared" si="1067"/>
        <v>0</v>
      </c>
      <c r="CF173" s="60">
        <f t="shared" si="1068"/>
        <v>0</v>
      </c>
      <c r="CG173" s="246">
        <f t="shared" si="1069"/>
        <v>0</v>
      </c>
      <c r="CH173" s="55">
        <f t="shared" si="1070"/>
        <v>0</v>
      </c>
      <c r="CI173" s="55">
        <f t="shared" si="1071"/>
        <v>0</v>
      </c>
      <c r="CJ173" s="55">
        <f t="shared" si="1072"/>
        <v>0</v>
      </c>
      <c r="CK173" s="249">
        <f t="shared" si="1072"/>
        <v>0</v>
      </c>
      <c r="CL173" s="55">
        <f t="shared" si="1073"/>
        <v>0</v>
      </c>
      <c r="CN173" s="66" t="s">
        <v>345</v>
      </c>
      <c r="CO173" s="54">
        <f t="shared" si="1092"/>
        <v>0</v>
      </c>
      <c r="CP173" s="55">
        <f t="shared" si="1074"/>
        <v>0</v>
      </c>
      <c r="CQ173" s="55">
        <f t="shared" si="1075"/>
        <v>0</v>
      </c>
      <c r="CR173" s="55">
        <f t="shared" si="1076"/>
        <v>0</v>
      </c>
      <c r="CS173" s="55">
        <f t="shared" si="1077"/>
        <v>0</v>
      </c>
      <c r="CT173" s="55">
        <f t="shared" si="1078"/>
        <v>0</v>
      </c>
      <c r="CU173" s="60">
        <f t="shared" si="1079"/>
        <v>0</v>
      </c>
      <c r="CV173" s="246">
        <f t="shared" si="1080"/>
        <v>0</v>
      </c>
      <c r="CW173" s="55">
        <f t="shared" si="1081"/>
        <v>0</v>
      </c>
      <c r="CX173" s="55">
        <f t="shared" si="1082"/>
        <v>0</v>
      </c>
      <c r="CY173" s="55">
        <f t="shared" si="1083"/>
        <v>0</v>
      </c>
      <c r="CZ173" s="249">
        <f t="shared" si="1083"/>
        <v>0</v>
      </c>
      <c r="DA173" s="62" t="e">
        <f t="shared" si="1084"/>
        <v>#DIV/0!</v>
      </c>
      <c r="DC173" s="66" t="s">
        <v>345</v>
      </c>
      <c r="DD173" s="198">
        <f t="shared" si="1093"/>
        <v>0</v>
      </c>
      <c r="DE173" s="199">
        <f t="shared" si="1094"/>
        <v>0</v>
      </c>
      <c r="DF173" s="198">
        <f t="shared" si="1095"/>
        <v>0</v>
      </c>
      <c r="DG173" s="199">
        <f t="shared" si="1096"/>
        <v>0</v>
      </c>
      <c r="DH173" s="198">
        <f t="shared" si="1097"/>
        <v>0</v>
      </c>
      <c r="DI173" s="199">
        <f t="shared" si="1098"/>
        <v>0</v>
      </c>
      <c r="DJ173" s="198">
        <f t="shared" si="1099"/>
        <v>0</v>
      </c>
      <c r="DK173" s="199">
        <f t="shared" si="1100"/>
        <v>0</v>
      </c>
      <c r="DL173" s="198">
        <f t="shared" si="1101"/>
        <v>0</v>
      </c>
      <c r="DM173" s="199">
        <f t="shared" si="1102"/>
        <v>0</v>
      </c>
      <c r="DN173" s="198">
        <f t="shared" si="1103"/>
        <v>0</v>
      </c>
      <c r="DO173" s="199">
        <f t="shared" si="1104"/>
        <v>0</v>
      </c>
      <c r="DP173" s="198">
        <f t="shared" si="1105"/>
        <v>0</v>
      </c>
      <c r="DQ173" s="199">
        <f t="shared" si="1106"/>
        <v>0</v>
      </c>
      <c r="DR173" s="198">
        <f t="shared" si="1107"/>
        <v>0</v>
      </c>
      <c r="DS173" s="199">
        <f t="shared" si="1108"/>
        <v>0</v>
      </c>
      <c r="DT173" s="198">
        <f t="shared" si="1109"/>
        <v>0</v>
      </c>
      <c r="DU173" s="199">
        <f t="shared" si="1110"/>
        <v>0</v>
      </c>
      <c r="DV173" s="198">
        <f t="shared" si="1111"/>
        <v>0</v>
      </c>
      <c r="DW173" s="199">
        <f t="shared" si="1112"/>
        <v>0</v>
      </c>
      <c r="DX173" s="198">
        <f t="shared" si="1113"/>
        <v>0</v>
      </c>
      <c r="DY173" s="199">
        <f t="shared" si="1114"/>
        <v>0</v>
      </c>
      <c r="DZ173" s="190">
        <f t="shared" si="1115"/>
        <v>0</v>
      </c>
      <c r="EA173" s="199">
        <f t="shared" si="1085"/>
        <v>0</v>
      </c>
      <c r="EB173" s="190" t="e">
        <f t="shared" si="1116"/>
        <v>#DIV/0!</v>
      </c>
      <c r="EC173" s="190" t="e">
        <f t="shared" si="1117"/>
        <v>#DIV/0!</v>
      </c>
    </row>
    <row r="174" spans="1:133" x14ac:dyDescent="0.2">
      <c r="A174" s="2" t="s">
        <v>347</v>
      </c>
      <c r="B174" s="38">
        <f>targets!AW163</f>
        <v>0</v>
      </c>
      <c r="C174" s="242">
        <f>targets!AX163</f>
        <v>0</v>
      </c>
      <c r="D174" s="242">
        <f>targets!AY163</f>
        <v>0</v>
      </c>
      <c r="E174" s="242">
        <f>targets!AZ163</f>
        <v>0</v>
      </c>
      <c r="F174" s="242">
        <f>targets!BA163</f>
        <v>0</v>
      </c>
      <c r="G174" s="242">
        <f>SUM(targets!BB163:BG163)</f>
        <v>0</v>
      </c>
      <c r="H174" s="40">
        <f>SUM(targets!BH163:BM163)</f>
        <v>4888.8812883566216</v>
      </c>
      <c r="I174" s="243">
        <f>SUM(G174:H174)</f>
        <v>4888.8812883566216</v>
      </c>
      <c r="J174" s="242">
        <f>targets!BN163</f>
        <v>0</v>
      </c>
      <c r="K174" s="242">
        <f>targets!BO163</f>
        <v>0</v>
      </c>
      <c r="L174" s="242">
        <f>targets!BP163</f>
        <v>0</v>
      </c>
      <c r="M174" s="178">
        <f t="shared" ref="M174" si="1144">SUM(J174:L174)</f>
        <v>0</v>
      </c>
      <c r="N174" s="17">
        <f t="shared" ref="N174" si="1145">SUM(B174:L174)-I174</f>
        <v>4888.8812883566216</v>
      </c>
      <c r="O174" s="208"/>
      <c r="P174" s="17"/>
      <c r="Q174" s="2" t="s">
        <v>347</v>
      </c>
      <c r="R174" s="38">
        <f>B174*(AG$181/B$181)</f>
        <v>0</v>
      </c>
      <c r="S174" s="242">
        <f>C174*(AH$181/B$181)</f>
        <v>0</v>
      </c>
      <c r="T174" s="242">
        <f>D174*(AI$181/B$181)</f>
        <v>0</v>
      </c>
      <c r="U174" s="242">
        <f t="shared" si="1051"/>
        <v>0</v>
      </c>
      <c r="V174" s="242">
        <f t="shared" si="1052"/>
        <v>0</v>
      </c>
      <c r="W174" s="242">
        <f t="shared" si="1053"/>
        <v>0</v>
      </c>
      <c r="X174" s="40">
        <f t="shared" si="1054"/>
        <v>0</v>
      </c>
      <c r="Y174" s="243">
        <f t="shared" ref="Y174" si="1146">SUM(W174:X174)</f>
        <v>0</v>
      </c>
      <c r="Z174" s="242">
        <f t="shared" si="1056"/>
        <v>0</v>
      </c>
      <c r="AA174" s="242">
        <f t="shared" si="1057"/>
        <v>0</v>
      </c>
      <c r="AB174" s="242"/>
      <c r="AC174" s="178">
        <f t="shared" ref="AC174" si="1147">SUM(Z174:AB174)</f>
        <v>0</v>
      </c>
      <c r="AD174" s="17">
        <f>SUM(R174:AB174)-Y174</f>
        <v>0</v>
      </c>
      <c r="AF174" s="2" t="s">
        <v>347</v>
      </c>
      <c r="AG174" s="38">
        <f t="array" ref="AG174">SUM(IF((modeldata!$F:$F=calibration!$AF$106)*(modeldata!$G:$G=calibration!AG$108)*(modeldata!$H:$H=calibration!$AF174),modeldata!$E:$E,0))</f>
        <v>0</v>
      </c>
      <c r="AH174" s="242">
        <f t="array" ref="AH174">SUM(IF((modeldata!$F:$F=calibration!$AF$106)*(modeldata!$G:$G=calibration!AH$108)*(modeldata!$H:$H=calibration!$AF174),modeldata!$E:$E,0))</f>
        <v>0</v>
      </c>
      <c r="AI174" s="242">
        <f t="array" ref="AI174">SUM(IF((modeldata!$F:$F=calibration!$AF$106)*(modeldata!$G:$G=calibration!AI$108)*(modeldata!$H:$H=calibration!$AF174),modeldata!$E:$E,0))</f>
        <v>0</v>
      </c>
      <c r="AJ174" s="242">
        <f t="array" ref="AJ174">SUM(IF((modeldata!$F:$F=calibration!$AF$106)*(modeldata!$G:$G=calibration!AJ$108)*(modeldata!$H:$H=calibration!$AF174),modeldata!$E:$E,0))</f>
        <v>0</v>
      </c>
      <c r="AK174" s="242">
        <f t="array" ref="AK174">SUM(IF((modeldata!$F:$F=calibration!$AF$106)*(modeldata!$G:$G=calibration!AK$108)*(modeldata!$H:$H=calibration!$AF174),modeldata!$E:$E,0))</f>
        <v>0</v>
      </c>
      <c r="AL174" s="242">
        <f t="array" ref="AL174">SUM(IF((modeldata!$F:$F=calibration!$AF$106)*(modeldata!$G:$G=calibration!AL$108)*(modeldata!$H:$H=calibration!$AF174),modeldata!$E:$E,0))</f>
        <v>0</v>
      </c>
      <c r="AM174" s="40">
        <f t="array" ref="AM174">SUM(IF((modeldata!$F:$F=calibration!$AF$106)*(modeldata!$G:$G=calibration!AM$108)*(modeldata!$H:$H=calibration!$AF174),modeldata!$E:$E,0))</f>
        <v>0</v>
      </c>
      <c r="AN174" s="243"/>
      <c r="AO174" s="242">
        <f t="array" ref="AO174">SUM(IF((modeldata!$F:$F=calibration!$AF$106)*(modeldata!$G:$G=calibration!AO$108)*(modeldata!$H:$H=calibration!$AF174),modeldata!$E:$E,0))</f>
        <v>0</v>
      </c>
      <c r="AP174" s="242">
        <f t="array" ref="AP174">SUM(IF((modeldata!$F:$F=calibration!$AF$106)*(modeldata!$G:$G=calibration!AP$108)*(modeldata!$H:$H=calibration!$AF174),modeldata!$E:$E,0))</f>
        <v>0</v>
      </c>
      <c r="AQ174" s="242">
        <f t="array" ref="AQ174">SUM(IF((modeldata!$F:$F=calibration!$AF$106)*(modeldata!$G:$G=calibration!AQ$108)*(modeldata!$H:$H=calibration!$AF174),modeldata!$E:$E,0))</f>
        <v>0</v>
      </c>
      <c r="AR174" s="178">
        <f>SUM(AO174:AQ174)</f>
        <v>0</v>
      </c>
      <c r="AS174" s="17">
        <f>SUM(AG174:AQ174)-AN174</f>
        <v>0</v>
      </c>
      <c r="AU174" s="2" t="s">
        <v>347</v>
      </c>
      <c r="AV174" s="38">
        <f t="shared" ref="AV174:BG174" si="1148">IF(R189&gt;0,R174/R189,0)</f>
        <v>0</v>
      </c>
      <c r="AW174" s="242">
        <f t="shared" si="1148"/>
        <v>0</v>
      </c>
      <c r="AX174" s="242">
        <f t="shared" si="1148"/>
        <v>0</v>
      </c>
      <c r="AY174" s="242">
        <f t="shared" si="1148"/>
        <v>0</v>
      </c>
      <c r="AZ174" s="242">
        <f t="shared" si="1148"/>
        <v>0</v>
      </c>
      <c r="BA174" s="242">
        <f t="shared" si="1148"/>
        <v>0</v>
      </c>
      <c r="BB174" s="40">
        <f t="shared" si="1148"/>
        <v>0</v>
      </c>
      <c r="BC174" s="243">
        <f t="shared" si="1148"/>
        <v>0</v>
      </c>
      <c r="BD174" s="242">
        <f t="shared" si="1148"/>
        <v>0</v>
      </c>
      <c r="BE174" s="242">
        <f t="shared" si="1148"/>
        <v>0</v>
      </c>
      <c r="BF174" s="242">
        <f t="shared" si="1148"/>
        <v>0</v>
      </c>
      <c r="BG174" s="178">
        <f t="shared" si="1148"/>
        <v>0</v>
      </c>
      <c r="BH174" s="24" t="e">
        <f>AD174/AD183</f>
        <v>#DIV/0!</v>
      </c>
      <c r="BJ174" s="2" t="s">
        <v>347</v>
      </c>
      <c r="BK174" s="25">
        <f t="shared" ref="BK174:BV174" si="1149">IF(AG190&gt;0,AG174/AG190,0)</f>
        <v>0</v>
      </c>
      <c r="BL174" s="24">
        <f t="shared" si="1149"/>
        <v>0</v>
      </c>
      <c r="BM174" s="24">
        <f t="shared" si="1149"/>
        <v>0</v>
      </c>
      <c r="BN174" s="24">
        <f t="shared" si="1149"/>
        <v>0</v>
      </c>
      <c r="BO174" s="24">
        <f t="shared" si="1149"/>
        <v>0</v>
      </c>
      <c r="BP174" s="24">
        <f t="shared" si="1149"/>
        <v>0</v>
      </c>
      <c r="BQ174" s="28">
        <f t="shared" si="1149"/>
        <v>0</v>
      </c>
      <c r="BR174" s="77">
        <f t="shared" si="1149"/>
        <v>0</v>
      </c>
      <c r="BS174" s="24">
        <f t="shared" si="1149"/>
        <v>0</v>
      </c>
      <c r="BT174" s="24">
        <f t="shared" si="1149"/>
        <v>0</v>
      </c>
      <c r="BU174" s="24">
        <f t="shared" si="1149"/>
        <v>0</v>
      </c>
      <c r="BV174" s="180">
        <f t="shared" si="1149"/>
        <v>0</v>
      </c>
      <c r="BW174" s="24" t="e">
        <f>AS174/AS183</f>
        <v>#DIV/0!</v>
      </c>
      <c r="BX174" s="24"/>
      <c r="BY174" s="2" t="s">
        <v>347</v>
      </c>
      <c r="BZ174" s="54">
        <f t="shared" ref="BZ174" si="1150">AG174-R174</f>
        <v>0</v>
      </c>
      <c r="CA174" s="55">
        <f t="shared" ref="CA174" si="1151">AH174-S174</f>
        <v>0</v>
      </c>
      <c r="CB174" s="55">
        <f t="shared" ref="CB174" si="1152">AI174-T174</f>
        <v>0</v>
      </c>
      <c r="CC174" s="55">
        <f t="shared" ref="CC174" si="1153">AJ174-U174</f>
        <v>0</v>
      </c>
      <c r="CD174" s="55">
        <f t="shared" ref="CD174" si="1154">AK174-V174</f>
        <v>0</v>
      </c>
      <c r="CE174" s="55">
        <f t="shared" ref="CE174" si="1155">AL174-W174</f>
        <v>0</v>
      </c>
      <c r="CF174" s="60">
        <f t="shared" ref="CF174" si="1156">AM174-X174</f>
        <v>0</v>
      </c>
      <c r="CG174" s="246">
        <f t="shared" ref="CG174" si="1157">AN174-Y174</f>
        <v>0</v>
      </c>
      <c r="CH174" s="55">
        <f t="shared" ref="CH174" si="1158">AO174-Z174</f>
        <v>0</v>
      </c>
      <c r="CI174" s="55">
        <f t="shared" ref="CI174" si="1159">AP174-AA174</f>
        <v>0</v>
      </c>
      <c r="CJ174" s="55">
        <f t="shared" ref="CJ174" si="1160">AQ174-AB174</f>
        <v>0</v>
      </c>
      <c r="CK174" s="249">
        <f t="shared" ref="CK174" si="1161">AR174-AC174</f>
        <v>0</v>
      </c>
      <c r="CL174" s="55">
        <f>AS174-AD174</f>
        <v>0</v>
      </c>
      <c r="CN174" s="2" t="s">
        <v>347</v>
      </c>
      <c r="CO174" s="54">
        <f t="shared" ref="CO174" si="1162">BK174-AV174</f>
        <v>0</v>
      </c>
      <c r="CP174" s="55">
        <f t="shared" ref="CP174" si="1163">BL174-AW174</f>
        <v>0</v>
      </c>
      <c r="CQ174" s="55">
        <f t="shared" ref="CQ174" si="1164">BM174-AX174</f>
        <v>0</v>
      </c>
      <c r="CR174" s="55">
        <f t="shared" ref="CR174" si="1165">BN174-AY174</f>
        <v>0</v>
      </c>
      <c r="CS174" s="55">
        <f t="shared" ref="CS174" si="1166">BO174-AZ174</f>
        <v>0</v>
      </c>
      <c r="CT174" s="55">
        <f t="shared" ref="CT174" si="1167">BP174-BA174</f>
        <v>0</v>
      </c>
      <c r="CU174" s="60">
        <f t="shared" ref="CU174" si="1168">BQ174-BB174</f>
        <v>0</v>
      </c>
      <c r="CV174" s="246">
        <f t="shared" ref="CV174" si="1169">BR174-BC174</f>
        <v>0</v>
      </c>
      <c r="CW174" s="55">
        <f t="shared" ref="CW174" si="1170">BS174-BD174</f>
        <v>0</v>
      </c>
      <c r="CX174" s="55">
        <f t="shared" ref="CX174" si="1171">BT174-BE174</f>
        <v>0</v>
      </c>
      <c r="CY174" s="55">
        <f t="shared" ref="CY174" si="1172">BU174-BF174</f>
        <v>0</v>
      </c>
      <c r="CZ174" s="249">
        <f t="shared" ref="CZ174" si="1173">BV174-BG174</f>
        <v>0</v>
      </c>
      <c r="DA174" s="62" t="e">
        <f t="shared" ref="DA174" si="1174">BW174-BH174</f>
        <v>#DIV/0!</v>
      </c>
      <c r="DC174" s="2" t="s">
        <v>347</v>
      </c>
      <c r="DD174" s="198">
        <f t="shared" ref="DD174" si="1175">AV174</f>
        <v>0</v>
      </c>
      <c r="DE174" s="199">
        <f t="shared" ref="DE174" si="1176">BK174</f>
        <v>0</v>
      </c>
      <c r="DF174" s="198">
        <f t="shared" ref="DF174" si="1177">AW174</f>
        <v>0</v>
      </c>
      <c r="DG174" s="199">
        <f t="shared" ref="DG174" si="1178">BL174</f>
        <v>0</v>
      </c>
      <c r="DH174" s="198">
        <f t="shared" ref="DH174" si="1179">AX174</f>
        <v>0</v>
      </c>
      <c r="DI174" s="199">
        <f t="shared" ref="DI174" si="1180">BM174</f>
        <v>0</v>
      </c>
      <c r="DJ174" s="198">
        <f t="shared" ref="DJ174" si="1181">AY174</f>
        <v>0</v>
      </c>
      <c r="DK174" s="199">
        <f t="shared" ref="DK174" si="1182">BN174</f>
        <v>0</v>
      </c>
      <c r="DL174" s="198">
        <f t="shared" ref="DL174" si="1183">AZ174</f>
        <v>0</v>
      </c>
      <c r="DM174" s="199">
        <f t="shared" ref="DM174" si="1184">BO174</f>
        <v>0</v>
      </c>
      <c r="DN174" s="198">
        <f t="shared" ref="DN174" si="1185">BA174</f>
        <v>0</v>
      </c>
      <c r="DO174" s="199">
        <f t="shared" ref="DO174" si="1186">BP174</f>
        <v>0</v>
      </c>
      <c r="DP174" s="198">
        <f t="shared" ref="DP174" si="1187">BB174</f>
        <v>0</v>
      </c>
      <c r="DQ174" s="199">
        <f t="shared" ref="DQ174" si="1188">BQ174</f>
        <v>0</v>
      </c>
      <c r="DR174" s="198">
        <f t="shared" ref="DR174" si="1189">BC174</f>
        <v>0</v>
      </c>
      <c r="DS174" s="199">
        <f t="shared" ref="DS174" si="1190">BR174</f>
        <v>0</v>
      </c>
      <c r="DT174" s="198">
        <f t="shared" ref="DT174" si="1191">BD174</f>
        <v>0</v>
      </c>
      <c r="DU174" s="199">
        <f t="shared" ref="DU174" si="1192">BS174</f>
        <v>0</v>
      </c>
      <c r="DV174" s="198">
        <f t="shared" ref="DV174" si="1193">BE174</f>
        <v>0</v>
      </c>
      <c r="DW174" s="199">
        <f t="shared" ref="DW174" si="1194">BT174</f>
        <v>0</v>
      </c>
      <c r="DX174" s="198">
        <f t="shared" ref="DX174" si="1195">BF174</f>
        <v>0</v>
      </c>
      <c r="DY174" s="199">
        <f t="shared" ref="DY174" si="1196">BU174</f>
        <v>0</v>
      </c>
      <c r="DZ174" s="190">
        <f t="shared" ref="DZ174" si="1197">BG174</f>
        <v>0</v>
      </c>
      <c r="EA174" s="199">
        <f t="shared" ref="EA174" si="1198">BV174</f>
        <v>0</v>
      </c>
      <c r="EB174" s="190" t="e">
        <f t="shared" ref="EB174" si="1199">BH174</f>
        <v>#DIV/0!</v>
      </c>
      <c r="EC174" s="190" t="e">
        <f t="shared" ref="EC174" si="1200">BW174</f>
        <v>#DIV/0!</v>
      </c>
    </row>
    <row r="175" spans="1:133" x14ac:dyDescent="0.2">
      <c r="A175" s="64" t="s">
        <v>50</v>
      </c>
      <c r="B175" s="38">
        <f>targets!AW164</f>
        <v>0</v>
      </c>
      <c r="C175" s="242">
        <f>targets!AX164</f>
        <v>0</v>
      </c>
      <c r="D175" s="242">
        <f>targets!AY164</f>
        <v>0</v>
      </c>
      <c r="E175" s="242">
        <f>targets!AZ164</f>
        <v>0</v>
      </c>
      <c r="F175" s="242">
        <f>targets!BA164</f>
        <v>0</v>
      </c>
      <c r="G175" s="242">
        <f>SUM(targets!BB164:BG164)</f>
        <v>0</v>
      </c>
      <c r="H175" s="40">
        <f>SUM(targets!BH164:BM164)</f>
        <v>0</v>
      </c>
      <c r="I175" s="243">
        <f t="shared" si="1086"/>
        <v>0</v>
      </c>
      <c r="J175" s="242">
        <f>targets!BN164</f>
        <v>0</v>
      </c>
      <c r="K175" s="242">
        <f>targets!BO164</f>
        <v>0</v>
      </c>
      <c r="L175" s="242">
        <f>targets!BP164</f>
        <v>0</v>
      </c>
      <c r="M175" s="178">
        <f t="shared" si="1087"/>
        <v>0</v>
      </c>
      <c r="N175" s="17">
        <f t="shared" si="1050"/>
        <v>0</v>
      </c>
      <c r="O175" s="208"/>
      <c r="P175" s="17"/>
      <c r="Q175" s="64" t="s">
        <v>50</v>
      </c>
      <c r="R175" s="38"/>
      <c r="S175" s="242"/>
      <c r="T175" s="242"/>
      <c r="U175" s="242">
        <f t="shared" si="1051"/>
        <v>0</v>
      </c>
      <c r="V175" s="242">
        <f t="shared" si="1052"/>
        <v>0</v>
      </c>
      <c r="W175" s="242">
        <f t="shared" si="1053"/>
        <v>0</v>
      </c>
      <c r="X175" s="40">
        <f t="shared" si="1054"/>
        <v>0</v>
      </c>
      <c r="Y175" s="243">
        <f t="shared" si="1055"/>
        <v>0</v>
      </c>
      <c r="Z175" s="242">
        <f t="shared" si="1056"/>
        <v>0</v>
      </c>
      <c r="AA175" s="242">
        <f t="shared" si="1057"/>
        <v>0</v>
      </c>
      <c r="AB175" s="242"/>
      <c r="AC175" s="178">
        <f t="shared" si="1058"/>
        <v>0</v>
      </c>
      <c r="AD175" s="17">
        <f t="shared" si="1059"/>
        <v>0</v>
      </c>
      <c r="AF175" s="64" t="s">
        <v>50</v>
      </c>
      <c r="AG175" s="38">
        <f t="array" ref="AG175">SUM(IF((modeldata!$F:$F=calibration!$AF$158)*(modeldata!$G:$G=calibration!AG$160)*(modeldata!$H:$H=calibration!$AF175),modeldata!$E:$E,0))</f>
        <v>0</v>
      </c>
      <c r="AH175" s="242">
        <f t="array" ref="AH175">SUM(IF((modeldata!$F:$F=calibration!$AF$158)*(modeldata!$G:$G=calibration!AH$160)*(modeldata!$H:$H=calibration!$AF175),modeldata!$E:$E,0))</f>
        <v>0</v>
      </c>
      <c r="AI175" s="242">
        <f t="array" ref="AI175">SUM(IF((modeldata!$F:$F=calibration!$AF$158)*(modeldata!$G:$G=calibration!AI$160)*(modeldata!$H:$H=calibration!$AF175),modeldata!$E:$E,0))</f>
        <v>0</v>
      </c>
      <c r="AJ175" s="242">
        <f t="array" ref="AJ175">SUM(IF((modeldata!$F:$F=calibration!$AF$158)*(modeldata!$G:$G=calibration!AJ$160)*(modeldata!$H:$H=calibration!$AF175),modeldata!$E:$E,0))</f>
        <v>0</v>
      </c>
      <c r="AK175" s="242">
        <f t="array" ref="AK175">SUM(IF((modeldata!$F:$F=calibration!$AF$158)*(modeldata!$G:$G=calibration!AK$160)*(modeldata!$H:$H=calibration!$AF175),modeldata!$E:$E,0))</f>
        <v>0</v>
      </c>
      <c r="AL175" s="242">
        <f t="array" ref="AL175">SUM(IF((modeldata!$F:$F=calibration!$AF$158)*(modeldata!$G:$G=calibration!AL$160)*(modeldata!$H:$H=calibration!$AF175),modeldata!$E:$E,0))</f>
        <v>0</v>
      </c>
      <c r="AM175" s="40">
        <f t="array" ref="AM175">SUM(IF((modeldata!$F:$F=calibration!$AF$158)*(modeldata!$G:$G=calibration!AM$160)*(modeldata!$H:$H=calibration!$AF175),modeldata!$E:$E,0))</f>
        <v>0</v>
      </c>
      <c r="AN175" s="243"/>
      <c r="AO175" s="242">
        <f t="array" ref="AO175">SUM(IF((modeldata!$F:$F=calibration!$AF$158)*(modeldata!$G:$G=calibration!AO$160)*(modeldata!$H:$H=calibration!$AF175),modeldata!$E:$E,0))</f>
        <v>0</v>
      </c>
      <c r="AP175" s="242">
        <f t="array" ref="AP175">SUM(IF((modeldata!$F:$F=calibration!$AF$158)*(modeldata!$G:$G=calibration!AP$160)*(modeldata!$H:$H=calibration!$AF175),modeldata!$E:$E,0))</f>
        <v>0</v>
      </c>
      <c r="AQ175" s="242">
        <f t="array" ref="AQ175">SUM(IF((modeldata!$F:$F=calibration!$AF$158)*(modeldata!$G:$G=calibration!AQ$160)*(modeldata!$H:$H=calibration!$AF175),modeldata!$E:$E,0))</f>
        <v>0</v>
      </c>
      <c r="AR175" s="178">
        <f t="shared" si="1118"/>
        <v>0</v>
      </c>
      <c r="AS175" s="17">
        <f t="shared" si="1060"/>
        <v>0</v>
      </c>
      <c r="AU175" s="64" t="s">
        <v>50</v>
      </c>
      <c r="AV175" s="38">
        <f t="shared" ref="AV175:BG175" si="1201">IF(R181&gt;0,R175/R181,0)</f>
        <v>0</v>
      </c>
      <c r="AW175" s="242">
        <f t="shared" si="1201"/>
        <v>0</v>
      </c>
      <c r="AX175" s="242">
        <f t="shared" si="1201"/>
        <v>0</v>
      </c>
      <c r="AY175" s="242">
        <f t="shared" si="1201"/>
        <v>0</v>
      </c>
      <c r="AZ175" s="242">
        <f t="shared" si="1201"/>
        <v>0</v>
      </c>
      <c r="BA175" s="242">
        <f t="shared" si="1201"/>
        <v>0</v>
      </c>
      <c r="BB175" s="40">
        <f t="shared" si="1201"/>
        <v>0</v>
      </c>
      <c r="BC175" s="243">
        <f t="shared" si="1201"/>
        <v>0</v>
      </c>
      <c r="BD175" s="242">
        <f t="shared" si="1201"/>
        <v>0</v>
      </c>
      <c r="BE175" s="242">
        <f t="shared" si="1201"/>
        <v>0</v>
      </c>
      <c r="BF175" s="242">
        <f t="shared" si="1201"/>
        <v>0</v>
      </c>
      <c r="BG175" s="178">
        <f t="shared" si="1201"/>
        <v>0</v>
      </c>
      <c r="BH175" s="24" t="e">
        <f>AD175/AD181</f>
        <v>#DIV/0!</v>
      </c>
      <c r="BJ175" s="64" t="s">
        <v>50</v>
      </c>
      <c r="BK175" s="25">
        <f t="shared" ref="BK175:BV175" si="1202">IF(AG181&gt;0,AG175/AG181,0)</f>
        <v>0</v>
      </c>
      <c r="BL175" s="24">
        <f t="shared" si="1202"/>
        <v>0</v>
      </c>
      <c r="BM175" s="24">
        <f t="shared" si="1202"/>
        <v>0</v>
      </c>
      <c r="BN175" s="24">
        <f t="shared" si="1202"/>
        <v>0</v>
      </c>
      <c r="BO175" s="24">
        <f t="shared" si="1202"/>
        <v>0</v>
      </c>
      <c r="BP175" s="24">
        <f t="shared" si="1202"/>
        <v>0</v>
      </c>
      <c r="BQ175" s="28">
        <f t="shared" si="1202"/>
        <v>0</v>
      </c>
      <c r="BR175" s="77">
        <f t="shared" si="1202"/>
        <v>0</v>
      </c>
      <c r="BS175" s="24">
        <f t="shared" si="1202"/>
        <v>0</v>
      </c>
      <c r="BT175" s="24">
        <f t="shared" si="1202"/>
        <v>0</v>
      </c>
      <c r="BU175" s="24">
        <f t="shared" si="1202"/>
        <v>0</v>
      </c>
      <c r="BV175" s="180">
        <f t="shared" si="1202"/>
        <v>0</v>
      </c>
      <c r="BW175" s="24" t="e">
        <f>AS175/AS181</f>
        <v>#DIV/0!</v>
      </c>
      <c r="BX175" s="24"/>
      <c r="BY175" s="64" t="s">
        <v>50</v>
      </c>
      <c r="BZ175" s="54">
        <f t="shared" si="1091"/>
        <v>0</v>
      </c>
      <c r="CA175" s="55">
        <f t="shared" si="1063"/>
        <v>0</v>
      </c>
      <c r="CB175" s="55">
        <f t="shared" si="1064"/>
        <v>0</v>
      </c>
      <c r="CC175" s="55">
        <f t="shared" si="1065"/>
        <v>0</v>
      </c>
      <c r="CD175" s="55">
        <f t="shared" si="1066"/>
        <v>0</v>
      </c>
      <c r="CE175" s="55">
        <f t="shared" si="1067"/>
        <v>0</v>
      </c>
      <c r="CF175" s="60">
        <f t="shared" si="1068"/>
        <v>0</v>
      </c>
      <c r="CG175" s="246">
        <f t="shared" si="1069"/>
        <v>0</v>
      </c>
      <c r="CH175" s="55">
        <f t="shared" si="1070"/>
        <v>0</v>
      </c>
      <c r="CI175" s="55">
        <f t="shared" si="1071"/>
        <v>0</v>
      </c>
      <c r="CJ175" s="55">
        <f t="shared" si="1072"/>
        <v>0</v>
      </c>
      <c r="CK175" s="249">
        <f t="shared" si="1072"/>
        <v>0</v>
      </c>
      <c r="CL175" s="55">
        <f t="shared" si="1073"/>
        <v>0</v>
      </c>
      <c r="CN175" s="64" t="s">
        <v>50</v>
      </c>
      <c r="CO175" s="54">
        <f t="shared" si="1092"/>
        <v>0</v>
      </c>
      <c r="CP175" s="55">
        <f t="shared" si="1074"/>
        <v>0</v>
      </c>
      <c r="CQ175" s="55">
        <f t="shared" si="1075"/>
        <v>0</v>
      </c>
      <c r="CR175" s="55">
        <f t="shared" si="1076"/>
        <v>0</v>
      </c>
      <c r="CS175" s="55">
        <f t="shared" si="1077"/>
        <v>0</v>
      </c>
      <c r="CT175" s="55">
        <f t="shared" si="1078"/>
        <v>0</v>
      </c>
      <c r="CU175" s="60">
        <f t="shared" si="1079"/>
        <v>0</v>
      </c>
      <c r="CV175" s="246">
        <f t="shared" si="1080"/>
        <v>0</v>
      </c>
      <c r="CW175" s="55">
        <f t="shared" si="1081"/>
        <v>0</v>
      </c>
      <c r="CX175" s="55">
        <f t="shared" si="1082"/>
        <v>0</v>
      </c>
      <c r="CY175" s="55">
        <f t="shared" si="1083"/>
        <v>0</v>
      </c>
      <c r="CZ175" s="249">
        <f t="shared" si="1083"/>
        <v>0</v>
      </c>
      <c r="DA175" s="62" t="e">
        <f t="shared" si="1084"/>
        <v>#DIV/0!</v>
      </c>
      <c r="DC175" s="64" t="s">
        <v>50</v>
      </c>
      <c r="DD175" s="198">
        <f t="shared" si="1093"/>
        <v>0</v>
      </c>
      <c r="DE175" s="199">
        <f t="shared" si="1094"/>
        <v>0</v>
      </c>
      <c r="DF175" s="198">
        <f t="shared" si="1095"/>
        <v>0</v>
      </c>
      <c r="DG175" s="199">
        <f t="shared" si="1096"/>
        <v>0</v>
      </c>
      <c r="DH175" s="198">
        <f t="shared" si="1097"/>
        <v>0</v>
      </c>
      <c r="DI175" s="199">
        <f t="shared" si="1098"/>
        <v>0</v>
      </c>
      <c r="DJ175" s="198">
        <f t="shared" si="1099"/>
        <v>0</v>
      </c>
      <c r="DK175" s="199">
        <f t="shared" si="1100"/>
        <v>0</v>
      </c>
      <c r="DL175" s="198">
        <f t="shared" si="1101"/>
        <v>0</v>
      </c>
      <c r="DM175" s="199">
        <f t="shared" si="1102"/>
        <v>0</v>
      </c>
      <c r="DN175" s="198">
        <f t="shared" si="1103"/>
        <v>0</v>
      </c>
      <c r="DO175" s="199">
        <f t="shared" si="1104"/>
        <v>0</v>
      </c>
      <c r="DP175" s="198">
        <f t="shared" si="1105"/>
        <v>0</v>
      </c>
      <c r="DQ175" s="199">
        <f t="shared" si="1106"/>
        <v>0</v>
      </c>
      <c r="DR175" s="198">
        <f t="shared" si="1107"/>
        <v>0</v>
      </c>
      <c r="DS175" s="199">
        <f t="shared" si="1108"/>
        <v>0</v>
      </c>
      <c r="DT175" s="198">
        <f t="shared" si="1109"/>
        <v>0</v>
      </c>
      <c r="DU175" s="199">
        <f t="shared" si="1110"/>
        <v>0</v>
      </c>
      <c r="DV175" s="198">
        <f t="shared" si="1111"/>
        <v>0</v>
      </c>
      <c r="DW175" s="199">
        <f t="shared" si="1112"/>
        <v>0</v>
      </c>
      <c r="DX175" s="198">
        <f t="shared" si="1113"/>
        <v>0</v>
      </c>
      <c r="DY175" s="199">
        <f t="shared" si="1114"/>
        <v>0</v>
      </c>
      <c r="DZ175" s="190">
        <f t="shared" si="1115"/>
        <v>0</v>
      </c>
      <c r="EA175" s="199">
        <f t="shared" si="1085"/>
        <v>0</v>
      </c>
      <c r="EB175" s="190" t="e">
        <f t="shared" si="1116"/>
        <v>#DIV/0!</v>
      </c>
      <c r="EC175" s="190" t="e">
        <f t="shared" si="1117"/>
        <v>#DIV/0!</v>
      </c>
    </row>
    <row r="176" spans="1:133" x14ac:dyDescent="0.2">
      <c r="A176" s="64" t="s">
        <v>51</v>
      </c>
      <c r="B176" s="38">
        <f>targets!AW165</f>
        <v>0</v>
      </c>
      <c r="C176" s="242">
        <f>targets!AX165</f>
        <v>0</v>
      </c>
      <c r="D176" s="242">
        <f>targets!AY165</f>
        <v>0</v>
      </c>
      <c r="E176" s="242">
        <f>targets!AZ165</f>
        <v>0</v>
      </c>
      <c r="F176" s="242">
        <f>targets!BA165</f>
        <v>0</v>
      </c>
      <c r="G176" s="242">
        <f>SUM(targets!BB165:BG165)</f>
        <v>0</v>
      </c>
      <c r="H176" s="40">
        <f>SUM(targets!BH165:BM165)</f>
        <v>0</v>
      </c>
      <c r="I176" s="243">
        <f t="shared" si="1086"/>
        <v>0</v>
      </c>
      <c r="J176" s="242">
        <f>targets!BN165</f>
        <v>826.42707647076577</v>
      </c>
      <c r="K176" s="242">
        <f>targets!BO165</f>
        <v>2618.0537356917516</v>
      </c>
      <c r="L176" s="242">
        <f>targets!BP165</f>
        <v>0</v>
      </c>
      <c r="M176" s="178">
        <f t="shared" si="1087"/>
        <v>3444.4808121625174</v>
      </c>
      <c r="N176" s="17">
        <f t="shared" si="1050"/>
        <v>3444.4808121625174</v>
      </c>
      <c r="O176" s="208"/>
      <c r="P176" s="17"/>
      <c r="Q176" s="64" t="s">
        <v>51</v>
      </c>
      <c r="R176" s="38"/>
      <c r="S176" s="242"/>
      <c r="T176" s="242"/>
      <c r="U176" s="242">
        <f t="shared" si="1051"/>
        <v>0</v>
      </c>
      <c r="V176" s="242">
        <f t="shared" si="1052"/>
        <v>0</v>
      </c>
      <c r="W176" s="242">
        <f t="shared" si="1053"/>
        <v>0</v>
      </c>
      <c r="X176" s="40">
        <f t="shared" si="1054"/>
        <v>0</v>
      </c>
      <c r="Y176" s="243">
        <f t="shared" si="1055"/>
        <v>0</v>
      </c>
      <c r="Z176" s="242">
        <f t="shared" si="1056"/>
        <v>0</v>
      </c>
      <c r="AA176" s="242">
        <f t="shared" si="1057"/>
        <v>0</v>
      </c>
      <c r="AB176" s="242"/>
      <c r="AC176" s="178">
        <f t="shared" si="1058"/>
        <v>0</v>
      </c>
      <c r="AD176" s="17">
        <f t="shared" si="1059"/>
        <v>0</v>
      </c>
      <c r="AF176" s="64" t="s">
        <v>51</v>
      </c>
      <c r="AG176" s="38">
        <f t="array" ref="AG176">SUM(IF((modeldata!$F:$F=calibration!$AF$158)*(modeldata!$G:$G=calibration!AG$160)*(modeldata!$H:$H=calibration!$AF176),modeldata!$E:$E,0))</f>
        <v>0</v>
      </c>
      <c r="AH176" s="242">
        <f t="array" ref="AH176">SUM(IF((modeldata!$F:$F=calibration!$AF$158)*(modeldata!$G:$G=calibration!AH$160)*(modeldata!$H:$H=calibration!$AF176),modeldata!$E:$E,0))</f>
        <v>0</v>
      </c>
      <c r="AI176" s="242">
        <f t="array" ref="AI176">SUM(IF((modeldata!$F:$F=calibration!$AF$158)*(modeldata!$G:$G=calibration!AI$160)*(modeldata!$H:$H=calibration!$AF176),modeldata!$E:$E,0))</f>
        <v>0</v>
      </c>
      <c r="AJ176" s="242">
        <f t="array" ref="AJ176">SUM(IF((modeldata!$F:$F=calibration!$AF$158)*(modeldata!$G:$G=calibration!AJ$160)*(modeldata!$H:$H=calibration!$AF176),modeldata!$E:$E,0))</f>
        <v>0</v>
      </c>
      <c r="AK176" s="242">
        <f t="array" ref="AK176">SUM(IF((modeldata!$F:$F=calibration!$AF$158)*(modeldata!$G:$G=calibration!AK$160)*(modeldata!$H:$H=calibration!$AF176),modeldata!$E:$E,0))</f>
        <v>0</v>
      </c>
      <c r="AL176" s="242">
        <f t="array" ref="AL176">SUM(IF((modeldata!$F:$F=calibration!$AF$158)*(modeldata!$G:$G=calibration!AL$160)*(modeldata!$H:$H=calibration!$AF176),modeldata!$E:$E,0))</f>
        <v>0</v>
      </c>
      <c r="AM176" s="40">
        <f t="array" ref="AM176">SUM(IF((modeldata!$F:$F=calibration!$AF$158)*(modeldata!$G:$G=calibration!AM$160)*(modeldata!$H:$H=calibration!$AF176),modeldata!$E:$E,0))</f>
        <v>0</v>
      </c>
      <c r="AN176" s="243"/>
      <c r="AO176" s="242">
        <f t="array" ref="AO176">SUM(IF((modeldata!$F:$F=calibration!$AF$158)*(modeldata!$G:$G=calibration!AO$160)*(modeldata!$H:$H=calibration!$AF176),modeldata!$E:$E,0))</f>
        <v>0</v>
      </c>
      <c r="AP176" s="242">
        <f t="array" ref="AP176">SUM(IF((modeldata!$F:$F=calibration!$AF$158)*(modeldata!$G:$G=calibration!AP$160)*(modeldata!$H:$H=calibration!$AF176),modeldata!$E:$E,0))</f>
        <v>0</v>
      </c>
      <c r="AQ176" s="242">
        <f t="array" ref="AQ176">SUM(IF((modeldata!$F:$F=calibration!$AF$158)*(modeldata!$G:$G=calibration!AQ$160)*(modeldata!$H:$H=calibration!$AF176),modeldata!$E:$E,0))</f>
        <v>0</v>
      </c>
      <c r="AR176" s="178">
        <f t="shared" si="1118"/>
        <v>0</v>
      </c>
      <c r="AS176" s="17">
        <f t="shared" si="1060"/>
        <v>0</v>
      </c>
      <c r="AU176" s="64" t="s">
        <v>51</v>
      </c>
      <c r="AV176" s="38">
        <f t="shared" ref="AV176:BG176" si="1203">IF(R181&gt;0,R176/R181,0)</f>
        <v>0</v>
      </c>
      <c r="AW176" s="242">
        <f t="shared" si="1203"/>
        <v>0</v>
      </c>
      <c r="AX176" s="242">
        <f t="shared" si="1203"/>
        <v>0</v>
      </c>
      <c r="AY176" s="242">
        <f t="shared" si="1203"/>
        <v>0</v>
      </c>
      <c r="AZ176" s="242">
        <f t="shared" si="1203"/>
        <v>0</v>
      </c>
      <c r="BA176" s="242">
        <f t="shared" si="1203"/>
        <v>0</v>
      </c>
      <c r="BB176" s="40">
        <f t="shared" si="1203"/>
        <v>0</v>
      </c>
      <c r="BC176" s="243">
        <f t="shared" si="1203"/>
        <v>0</v>
      </c>
      <c r="BD176" s="242">
        <f t="shared" si="1203"/>
        <v>0</v>
      </c>
      <c r="BE176" s="242">
        <f t="shared" si="1203"/>
        <v>0</v>
      </c>
      <c r="BF176" s="242">
        <f t="shared" si="1203"/>
        <v>0</v>
      </c>
      <c r="BG176" s="178">
        <f t="shared" si="1203"/>
        <v>0</v>
      </c>
      <c r="BH176" s="24" t="e">
        <f>AD176/AD181</f>
        <v>#DIV/0!</v>
      </c>
      <c r="BJ176" s="64" t="s">
        <v>51</v>
      </c>
      <c r="BK176" s="25">
        <f t="shared" ref="BK176:BV176" si="1204">IF(AG181&gt;0,AG176/AG181,0)</f>
        <v>0</v>
      </c>
      <c r="BL176" s="24">
        <f t="shared" si="1204"/>
        <v>0</v>
      </c>
      <c r="BM176" s="24">
        <f t="shared" si="1204"/>
        <v>0</v>
      </c>
      <c r="BN176" s="24">
        <f t="shared" si="1204"/>
        <v>0</v>
      </c>
      <c r="BO176" s="24">
        <f t="shared" si="1204"/>
        <v>0</v>
      </c>
      <c r="BP176" s="24">
        <f t="shared" si="1204"/>
        <v>0</v>
      </c>
      <c r="BQ176" s="28">
        <f t="shared" si="1204"/>
        <v>0</v>
      </c>
      <c r="BR176" s="77">
        <f t="shared" si="1204"/>
        <v>0</v>
      </c>
      <c r="BS176" s="24">
        <f t="shared" si="1204"/>
        <v>0</v>
      </c>
      <c r="BT176" s="24">
        <f t="shared" si="1204"/>
        <v>0</v>
      </c>
      <c r="BU176" s="24">
        <f t="shared" si="1204"/>
        <v>0</v>
      </c>
      <c r="BV176" s="180">
        <f t="shared" si="1204"/>
        <v>0</v>
      </c>
      <c r="BW176" s="24" t="e">
        <f>AS176/AS181</f>
        <v>#DIV/0!</v>
      </c>
      <c r="BX176" s="24"/>
      <c r="BY176" s="64" t="s">
        <v>51</v>
      </c>
      <c r="BZ176" s="54">
        <f t="shared" si="1091"/>
        <v>0</v>
      </c>
      <c r="CA176" s="55">
        <f t="shared" si="1063"/>
        <v>0</v>
      </c>
      <c r="CB176" s="55">
        <f t="shared" si="1064"/>
        <v>0</v>
      </c>
      <c r="CC176" s="55">
        <f t="shared" si="1065"/>
        <v>0</v>
      </c>
      <c r="CD176" s="55">
        <f t="shared" si="1066"/>
        <v>0</v>
      </c>
      <c r="CE176" s="55">
        <f t="shared" si="1067"/>
        <v>0</v>
      </c>
      <c r="CF176" s="60">
        <f t="shared" si="1068"/>
        <v>0</v>
      </c>
      <c r="CG176" s="246">
        <f t="shared" si="1069"/>
        <v>0</v>
      </c>
      <c r="CH176" s="55">
        <f t="shared" si="1070"/>
        <v>0</v>
      </c>
      <c r="CI176" s="55">
        <f t="shared" si="1071"/>
        <v>0</v>
      </c>
      <c r="CJ176" s="55">
        <f t="shared" si="1072"/>
        <v>0</v>
      </c>
      <c r="CK176" s="249">
        <f t="shared" si="1072"/>
        <v>0</v>
      </c>
      <c r="CL176" s="55">
        <f t="shared" si="1073"/>
        <v>0</v>
      </c>
      <c r="CN176" s="64" t="s">
        <v>51</v>
      </c>
      <c r="CO176" s="54">
        <f t="shared" si="1092"/>
        <v>0</v>
      </c>
      <c r="CP176" s="55">
        <f t="shared" si="1074"/>
        <v>0</v>
      </c>
      <c r="CQ176" s="55">
        <f t="shared" si="1075"/>
        <v>0</v>
      </c>
      <c r="CR176" s="55">
        <f t="shared" si="1076"/>
        <v>0</v>
      </c>
      <c r="CS176" s="55">
        <f t="shared" si="1077"/>
        <v>0</v>
      </c>
      <c r="CT176" s="55">
        <f t="shared" si="1078"/>
        <v>0</v>
      </c>
      <c r="CU176" s="60">
        <f t="shared" si="1079"/>
        <v>0</v>
      </c>
      <c r="CV176" s="246">
        <f t="shared" si="1080"/>
        <v>0</v>
      </c>
      <c r="CW176" s="55">
        <f t="shared" si="1081"/>
        <v>0</v>
      </c>
      <c r="CX176" s="55">
        <f t="shared" si="1082"/>
        <v>0</v>
      </c>
      <c r="CY176" s="55">
        <f t="shared" si="1083"/>
        <v>0</v>
      </c>
      <c r="CZ176" s="249">
        <f t="shared" si="1083"/>
        <v>0</v>
      </c>
      <c r="DA176" s="62" t="e">
        <f t="shared" si="1084"/>
        <v>#DIV/0!</v>
      </c>
      <c r="DC176" s="64" t="s">
        <v>51</v>
      </c>
      <c r="DD176" s="198">
        <f t="shared" si="1093"/>
        <v>0</v>
      </c>
      <c r="DE176" s="199">
        <f t="shared" si="1094"/>
        <v>0</v>
      </c>
      <c r="DF176" s="198">
        <f t="shared" si="1095"/>
        <v>0</v>
      </c>
      <c r="DG176" s="199">
        <f t="shared" si="1096"/>
        <v>0</v>
      </c>
      <c r="DH176" s="198">
        <f t="shared" si="1097"/>
        <v>0</v>
      </c>
      <c r="DI176" s="199">
        <f t="shared" si="1098"/>
        <v>0</v>
      </c>
      <c r="DJ176" s="198">
        <f t="shared" si="1099"/>
        <v>0</v>
      </c>
      <c r="DK176" s="199">
        <f t="shared" si="1100"/>
        <v>0</v>
      </c>
      <c r="DL176" s="198">
        <f t="shared" si="1101"/>
        <v>0</v>
      </c>
      <c r="DM176" s="199">
        <f t="shared" si="1102"/>
        <v>0</v>
      </c>
      <c r="DN176" s="198">
        <f t="shared" si="1103"/>
        <v>0</v>
      </c>
      <c r="DO176" s="199">
        <f t="shared" si="1104"/>
        <v>0</v>
      </c>
      <c r="DP176" s="198">
        <f t="shared" si="1105"/>
        <v>0</v>
      </c>
      <c r="DQ176" s="199">
        <f t="shared" si="1106"/>
        <v>0</v>
      </c>
      <c r="DR176" s="198">
        <f t="shared" si="1107"/>
        <v>0</v>
      </c>
      <c r="DS176" s="199">
        <f t="shared" si="1108"/>
        <v>0</v>
      </c>
      <c r="DT176" s="198">
        <f t="shared" si="1109"/>
        <v>0</v>
      </c>
      <c r="DU176" s="199">
        <f t="shared" si="1110"/>
        <v>0</v>
      </c>
      <c r="DV176" s="198">
        <f t="shared" si="1111"/>
        <v>0</v>
      </c>
      <c r="DW176" s="199">
        <f t="shared" si="1112"/>
        <v>0</v>
      </c>
      <c r="DX176" s="198">
        <f t="shared" si="1113"/>
        <v>0</v>
      </c>
      <c r="DY176" s="199">
        <f t="shared" si="1114"/>
        <v>0</v>
      </c>
      <c r="DZ176" s="190">
        <f t="shared" si="1115"/>
        <v>0</v>
      </c>
      <c r="EA176" s="199">
        <f t="shared" si="1085"/>
        <v>0</v>
      </c>
      <c r="EB176" s="190" t="e">
        <f t="shared" si="1116"/>
        <v>#DIV/0!</v>
      </c>
      <c r="EC176" s="190" t="e">
        <f t="shared" si="1117"/>
        <v>#DIV/0!</v>
      </c>
    </row>
    <row r="177" spans="1:133" x14ac:dyDescent="0.2">
      <c r="A177" s="64" t="s">
        <v>52</v>
      </c>
      <c r="B177" s="38">
        <f>targets!AW166</f>
        <v>0</v>
      </c>
      <c r="C177" s="242">
        <f>targets!AX166</f>
        <v>0</v>
      </c>
      <c r="D177" s="242">
        <f>targets!AY166</f>
        <v>0</v>
      </c>
      <c r="E177" s="242">
        <f>targets!AZ166</f>
        <v>0</v>
      </c>
      <c r="F177" s="242">
        <f>targets!BA166</f>
        <v>0</v>
      </c>
      <c r="G177" s="242">
        <f>SUM(targets!BB166:BG166)</f>
        <v>0</v>
      </c>
      <c r="H177" s="41">
        <f>SUM(targets!BH166:BM166)</f>
        <v>0</v>
      </c>
      <c r="I177" s="243">
        <f t="shared" si="1086"/>
        <v>0</v>
      </c>
      <c r="J177" s="242">
        <f>targets!BN166</f>
        <v>0</v>
      </c>
      <c r="K177" s="242">
        <f>targets!BO166</f>
        <v>19541.545908636279</v>
      </c>
      <c r="L177" s="242">
        <f>targets!BP166</f>
        <v>0</v>
      </c>
      <c r="M177" s="178">
        <f t="shared" si="1087"/>
        <v>19541.545908636279</v>
      </c>
      <c r="N177" s="17">
        <f t="shared" si="1050"/>
        <v>19541.545908636279</v>
      </c>
      <c r="O177" s="208"/>
      <c r="P177" s="17"/>
      <c r="Q177" s="64" t="s">
        <v>52</v>
      </c>
      <c r="R177" s="38"/>
      <c r="S177" s="242"/>
      <c r="T177" s="242"/>
      <c r="U177" s="242">
        <f t="shared" si="1051"/>
        <v>0</v>
      </c>
      <c r="V177" s="242">
        <f t="shared" si="1052"/>
        <v>0</v>
      </c>
      <c r="W177" s="242">
        <f t="shared" si="1053"/>
        <v>0</v>
      </c>
      <c r="X177" s="41">
        <f t="shared" si="1054"/>
        <v>0</v>
      </c>
      <c r="Y177" s="243">
        <f t="shared" si="1055"/>
        <v>0</v>
      </c>
      <c r="Z177" s="242">
        <f t="shared" si="1056"/>
        <v>0</v>
      </c>
      <c r="AA177" s="242">
        <f t="shared" si="1057"/>
        <v>0</v>
      </c>
      <c r="AB177" s="242"/>
      <c r="AC177" s="178">
        <f t="shared" si="1058"/>
        <v>0</v>
      </c>
      <c r="AD177" s="17">
        <f t="shared" si="1059"/>
        <v>0</v>
      </c>
      <c r="AF177" s="64" t="s">
        <v>52</v>
      </c>
      <c r="AG177" s="38">
        <f t="array" ref="AG177">SUM(IF((modeldata!$F:$F=calibration!$AF$158)*(modeldata!$G:$G=calibration!AG$160)*(modeldata!$H:$H=calibration!$AF177),modeldata!$E:$E,0))</f>
        <v>0</v>
      </c>
      <c r="AH177" s="242">
        <f t="array" ref="AH177">SUM(IF((modeldata!$F:$F=calibration!$AF$158)*(modeldata!$G:$G=calibration!AH$160)*(modeldata!$H:$H=calibration!$AF177),modeldata!$E:$E,0))</f>
        <v>0</v>
      </c>
      <c r="AI177" s="242">
        <f t="array" ref="AI177">SUM(IF((modeldata!$F:$F=calibration!$AF$158)*(modeldata!$G:$G=calibration!AI$160)*(modeldata!$H:$H=calibration!$AF177),modeldata!$E:$E,0))</f>
        <v>0</v>
      </c>
      <c r="AJ177" s="242">
        <f t="array" ref="AJ177">SUM(IF((modeldata!$F:$F=calibration!$AF$158)*(modeldata!$G:$G=calibration!AJ$160)*(modeldata!$H:$H=calibration!$AF177),modeldata!$E:$E,0))</f>
        <v>0</v>
      </c>
      <c r="AK177" s="242">
        <f t="array" ref="AK177">SUM(IF((modeldata!$F:$F=calibration!$AF$158)*(modeldata!$G:$G=calibration!AK$160)*(modeldata!$H:$H=calibration!$AF177),modeldata!$E:$E,0))</f>
        <v>0</v>
      </c>
      <c r="AL177" s="242">
        <f t="array" ref="AL177">SUM(IF((modeldata!$F:$F=calibration!$AF$158)*(modeldata!$G:$G=calibration!AL$160)*(modeldata!$H:$H=calibration!$AF177),modeldata!$E:$E,0))</f>
        <v>0</v>
      </c>
      <c r="AM177" s="41">
        <f t="array" ref="AM177">SUM(IF((modeldata!$F:$F=calibration!$AF$158)*(modeldata!$G:$G=calibration!AM$160)*(modeldata!$H:$H=calibration!$AF177),modeldata!$E:$E,0))</f>
        <v>0</v>
      </c>
      <c r="AN177" s="243"/>
      <c r="AO177" s="242">
        <f t="array" ref="AO177">SUM(IF((modeldata!$F:$F=calibration!$AF$158)*(modeldata!$G:$G=calibration!AO$160)*(modeldata!$H:$H=calibration!$AF177),modeldata!$E:$E,0))</f>
        <v>0</v>
      </c>
      <c r="AP177" s="242">
        <f t="array" ref="AP177">SUM(IF((modeldata!$F:$F=calibration!$AF$158)*(modeldata!$G:$G=calibration!AP$160)*(modeldata!$H:$H=calibration!$AF177),modeldata!$E:$E,0))</f>
        <v>0</v>
      </c>
      <c r="AQ177" s="242">
        <f t="array" ref="AQ177">SUM(IF((modeldata!$F:$F=calibration!$AF$158)*(modeldata!$G:$G=calibration!AQ$160)*(modeldata!$H:$H=calibration!$AF177),modeldata!$E:$E,0))</f>
        <v>0</v>
      </c>
      <c r="AR177" s="178">
        <f t="shared" si="1118"/>
        <v>0</v>
      </c>
      <c r="AS177" s="17">
        <f t="shared" si="1060"/>
        <v>0</v>
      </c>
      <c r="AU177" s="64" t="s">
        <v>52</v>
      </c>
      <c r="AV177" s="38">
        <f t="shared" ref="AV177:BG177" si="1205">IF(R181&gt;0,R177/R181,0)</f>
        <v>0</v>
      </c>
      <c r="AW177" s="242">
        <f t="shared" si="1205"/>
        <v>0</v>
      </c>
      <c r="AX177" s="242">
        <f t="shared" si="1205"/>
        <v>0</v>
      </c>
      <c r="AY177" s="242">
        <f t="shared" si="1205"/>
        <v>0</v>
      </c>
      <c r="AZ177" s="242">
        <f t="shared" si="1205"/>
        <v>0</v>
      </c>
      <c r="BA177" s="242">
        <f t="shared" si="1205"/>
        <v>0</v>
      </c>
      <c r="BB177" s="41">
        <f t="shared" si="1205"/>
        <v>0</v>
      </c>
      <c r="BC177" s="243">
        <f t="shared" si="1205"/>
        <v>0</v>
      </c>
      <c r="BD177" s="242">
        <f t="shared" si="1205"/>
        <v>0</v>
      </c>
      <c r="BE177" s="242">
        <f t="shared" si="1205"/>
        <v>0</v>
      </c>
      <c r="BF177" s="242">
        <f t="shared" si="1205"/>
        <v>0</v>
      </c>
      <c r="BG177" s="178">
        <f t="shared" si="1205"/>
        <v>0</v>
      </c>
      <c r="BH177" s="24" t="e">
        <f>AD177/AD181</f>
        <v>#DIV/0!</v>
      </c>
      <c r="BJ177" s="64" t="s">
        <v>52</v>
      </c>
      <c r="BK177" s="25">
        <f t="shared" ref="BK177:BV177" si="1206">IF(AG181&gt;0,AG177/AG181,0)</f>
        <v>0</v>
      </c>
      <c r="BL177" s="24">
        <f t="shared" si="1206"/>
        <v>0</v>
      </c>
      <c r="BM177" s="24">
        <f t="shared" si="1206"/>
        <v>0</v>
      </c>
      <c r="BN177" s="24">
        <f t="shared" si="1206"/>
        <v>0</v>
      </c>
      <c r="BO177" s="24">
        <f t="shared" si="1206"/>
        <v>0</v>
      </c>
      <c r="BP177" s="24">
        <f t="shared" si="1206"/>
        <v>0</v>
      </c>
      <c r="BQ177" s="29">
        <f t="shared" si="1206"/>
        <v>0</v>
      </c>
      <c r="BR177" s="77">
        <f t="shared" si="1206"/>
        <v>0</v>
      </c>
      <c r="BS177" s="24">
        <f t="shared" si="1206"/>
        <v>0</v>
      </c>
      <c r="BT177" s="24">
        <f t="shared" si="1206"/>
        <v>0</v>
      </c>
      <c r="BU177" s="24">
        <f t="shared" si="1206"/>
        <v>0</v>
      </c>
      <c r="BV177" s="181">
        <f t="shared" si="1206"/>
        <v>0</v>
      </c>
      <c r="BW177" s="24" t="e">
        <f>AS177/AS181</f>
        <v>#DIV/0!</v>
      </c>
      <c r="BX177" s="24"/>
      <c r="BY177" s="64" t="s">
        <v>52</v>
      </c>
      <c r="BZ177" s="54">
        <f t="shared" si="1091"/>
        <v>0</v>
      </c>
      <c r="CA177" s="55">
        <f t="shared" si="1063"/>
        <v>0</v>
      </c>
      <c r="CB177" s="55">
        <f t="shared" si="1064"/>
        <v>0</v>
      </c>
      <c r="CC177" s="55">
        <f t="shared" si="1065"/>
        <v>0</v>
      </c>
      <c r="CD177" s="55">
        <f t="shared" si="1066"/>
        <v>0</v>
      </c>
      <c r="CE177" s="55">
        <f t="shared" si="1067"/>
        <v>0</v>
      </c>
      <c r="CF177" s="61">
        <f t="shared" si="1068"/>
        <v>0</v>
      </c>
      <c r="CG177" s="246">
        <f>AN177-Y177</f>
        <v>0</v>
      </c>
      <c r="CH177" s="55">
        <f t="shared" si="1070"/>
        <v>0</v>
      </c>
      <c r="CI177" s="55">
        <f t="shared" si="1071"/>
        <v>0</v>
      </c>
      <c r="CJ177" s="55">
        <f t="shared" si="1072"/>
        <v>0</v>
      </c>
      <c r="CK177" s="249">
        <f t="shared" si="1072"/>
        <v>0</v>
      </c>
      <c r="CL177" s="55">
        <f t="shared" si="1073"/>
        <v>0</v>
      </c>
      <c r="CN177" s="64" t="s">
        <v>52</v>
      </c>
      <c r="CO177" s="54">
        <f t="shared" si="1092"/>
        <v>0</v>
      </c>
      <c r="CP177" s="55">
        <f t="shared" si="1074"/>
        <v>0</v>
      </c>
      <c r="CQ177" s="55">
        <f t="shared" si="1075"/>
        <v>0</v>
      </c>
      <c r="CR177" s="55">
        <f t="shared" si="1076"/>
        <v>0</v>
      </c>
      <c r="CS177" s="55">
        <f t="shared" si="1077"/>
        <v>0</v>
      </c>
      <c r="CT177" s="55">
        <f t="shared" si="1078"/>
        <v>0</v>
      </c>
      <c r="CU177" s="61">
        <f t="shared" si="1079"/>
        <v>0</v>
      </c>
      <c r="CV177" s="246">
        <f t="shared" si="1080"/>
        <v>0</v>
      </c>
      <c r="CW177" s="55">
        <f t="shared" si="1081"/>
        <v>0</v>
      </c>
      <c r="CX177" s="55">
        <f t="shared" si="1082"/>
        <v>0</v>
      </c>
      <c r="CY177" s="55">
        <f t="shared" si="1083"/>
        <v>0</v>
      </c>
      <c r="CZ177" s="249">
        <f t="shared" si="1083"/>
        <v>0</v>
      </c>
      <c r="DA177" s="62" t="e">
        <f t="shared" si="1084"/>
        <v>#DIV/0!</v>
      </c>
      <c r="DC177" s="64" t="s">
        <v>52</v>
      </c>
      <c r="DD177" s="198">
        <f t="shared" si="1093"/>
        <v>0</v>
      </c>
      <c r="DE177" s="199">
        <f t="shared" si="1094"/>
        <v>0</v>
      </c>
      <c r="DF177" s="198">
        <f t="shared" si="1095"/>
        <v>0</v>
      </c>
      <c r="DG177" s="199">
        <f t="shared" si="1096"/>
        <v>0</v>
      </c>
      <c r="DH177" s="198">
        <f t="shared" si="1097"/>
        <v>0</v>
      </c>
      <c r="DI177" s="199">
        <f t="shared" si="1098"/>
        <v>0</v>
      </c>
      <c r="DJ177" s="198">
        <f t="shared" si="1099"/>
        <v>0</v>
      </c>
      <c r="DK177" s="199">
        <f t="shared" si="1100"/>
        <v>0</v>
      </c>
      <c r="DL177" s="198">
        <f t="shared" si="1101"/>
        <v>0</v>
      </c>
      <c r="DM177" s="199">
        <f t="shared" si="1102"/>
        <v>0</v>
      </c>
      <c r="DN177" s="198">
        <f t="shared" si="1103"/>
        <v>0</v>
      </c>
      <c r="DO177" s="199">
        <f t="shared" si="1104"/>
        <v>0</v>
      </c>
      <c r="DP177" s="200">
        <f t="shared" si="1105"/>
        <v>0</v>
      </c>
      <c r="DQ177" s="201">
        <f t="shared" si="1106"/>
        <v>0</v>
      </c>
      <c r="DR177" s="198">
        <f t="shared" si="1107"/>
        <v>0</v>
      </c>
      <c r="DS177" s="199">
        <f t="shared" si="1108"/>
        <v>0</v>
      </c>
      <c r="DT177" s="198">
        <f t="shared" si="1109"/>
        <v>0</v>
      </c>
      <c r="DU177" s="199">
        <f t="shared" si="1110"/>
        <v>0</v>
      </c>
      <c r="DV177" s="198">
        <f t="shared" si="1111"/>
        <v>0</v>
      </c>
      <c r="DW177" s="199">
        <f t="shared" si="1112"/>
        <v>0</v>
      </c>
      <c r="DX177" s="198">
        <f t="shared" si="1113"/>
        <v>0</v>
      </c>
      <c r="DY177" s="199">
        <f t="shared" si="1114"/>
        <v>0</v>
      </c>
      <c r="DZ177" s="190">
        <f t="shared" si="1115"/>
        <v>0</v>
      </c>
      <c r="EA177" s="199">
        <f t="shared" si="1085"/>
        <v>0</v>
      </c>
      <c r="EB177" s="190" t="e">
        <f t="shared" si="1116"/>
        <v>#DIV/0!</v>
      </c>
      <c r="EC177" s="190" t="e">
        <f t="shared" si="1117"/>
        <v>#DIV/0!</v>
      </c>
    </row>
    <row r="178" spans="1:133" x14ac:dyDescent="0.2">
      <c r="A178" s="2" t="s">
        <v>6</v>
      </c>
      <c r="B178" s="262">
        <f>SUM(targets!AW167:AY167)</f>
        <v>0</v>
      </c>
      <c r="C178" s="263"/>
      <c r="D178" s="263"/>
      <c r="E178" s="242">
        <f>targets!AZ167</f>
        <v>0</v>
      </c>
      <c r="F178" s="242">
        <f>targets!BA167</f>
        <v>0</v>
      </c>
      <c r="G178" s="242">
        <f>SUM(targets!BB167:BG167)</f>
        <v>0</v>
      </c>
      <c r="H178" s="242">
        <f>SUM(targets!BH167:BM167)</f>
        <v>0</v>
      </c>
      <c r="I178" s="243">
        <f t="shared" si="1086"/>
        <v>0</v>
      </c>
      <c r="J178" s="242">
        <f>targets!BN167</f>
        <v>0</v>
      </c>
      <c r="K178" s="242">
        <f>targets!BO167</f>
        <v>0</v>
      </c>
      <c r="L178" s="242">
        <f>targets!BP167</f>
        <v>0</v>
      </c>
      <c r="M178" s="178">
        <f t="shared" si="1087"/>
        <v>0</v>
      </c>
      <c r="N178" s="17">
        <f t="shared" si="1050"/>
        <v>0</v>
      </c>
      <c r="O178" s="208"/>
      <c r="P178" s="17"/>
      <c r="Q178" s="2" t="s">
        <v>6</v>
      </c>
      <c r="R178" s="262">
        <f>B178*(AG181/B181)</f>
        <v>0</v>
      </c>
      <c r="S178" s="263"/>
      <c r="T178" s="263"/>
      <c r="U178" s="242">
        <f t="shared" si="1051"/>
        <v>0</v>
      </c>
      <c r="V178" s="242">
        <f t="shared" si="1052"/>
        <v>0</v>
      </c>
      <c r="W178" s="242">
        <f t="shared" si="1053"/>
        <v>0</v>
      </c>
      <c r="X178" s="242">
        <f t="shared" si="1054"/>
        <v>0</v>
      </c>
      <c r="Y178" s="243">
        <f t="shared" si="1055"/>
        <v>0</v>
      </c>
      <c r="Z178" s="242">
        <f t="shared" si="1056"/>
        <v>0</v>
      </c>
      <c r="AA178" s="242">
        <f t="shared" si="1057"/>
        <v>0</v>
      </c>
      <c r="AB178" s="242"/>
      <c r="AC178" s="178">
        <f t="shared" si="1058"/>
        <v>0</v>
      </c>
      <c r="AD178" s="17">
        <f t="shared" si="1059"/>
        <v>0</v>
      </c>
      <c r="AF178" s="2" t="s">
        <v>6</v>
      </c>
      <c r="AG178" s="262">
        <f t="array" ref="AG178">SUM(IF((modeldata!$F:$F=calibration!$AF$158)*(modeldata!$G:$G=calibration!AG$160)*(modeldata!$H:$H=calibration!$AF178),modeldata!$E:$E,0))</f>
        <v>0</v>
      </c>
      <c r="AH178" s="263"/>
      <c r="AI178" s="263"/>
      <c r="AJ178" s="242">
        <f t="array" ref="AJ178">SUM(IF((modeldata!$F:$F=calibration!$AF$158)*(modeldata!$G:$G=calibration!AJ$160)*(modeldata!$H:$H=calibration!$AF178),modeldata!$E:$E,0))</f>
        <v>0</v>
      </c>
      <c r="AK178" s="242">
        <f t="array" ref="AK178">SUM(IF((modeldata!$F:$F=calibration!$AF$158)*(modeldata!$G:$G=calibration!AK$160)*(modeldata!$H:$H=calibration!$AF178),modeldata!$E:$E,0))</f>
        <v>0</v>
      </c>
      <c r="AL178" s="242">
        <f t="array" ref="AL178">SUM(IF((modeldata!$F:$F=calibration!$AF$158)*(modeldata!$G:$G=calibration!AL$160)*(modeldata!$H:$H=calibration!$AF178),modeldata!$E:$E,0))</f>
        <v>0</v>
      </c>
      <c r="AM178" s="242">
        <f t="array" ref="AM178">SUM(IF((modeldata!$F:$F=calibration!$AF$158)*(modeldata!$G:$G=calibration!AM$160)*(modeldata!$H:$H=calibration!$AF178),modeldata!$E:$E,0))</f>
        <v>0</v>
      </c>
      <c r="AN178" s="243">
        <f t="shared" si="1088"/>
        <v>0</v>
      </c>
      <c r="AO178" s="242">
        <f t="array" ref="AO178">SUM(IF((modeldata!$F:$F=calibration!$AF$158)*(modeldata!$G:$G=calibration!AO$160)*(modeldata!$H:$H=calibration!$AF178),modeldata!$E:$E,0))</f>
        <v>0</v>
      </c>
      <c r="AP178" s="242">
        <f t="array" ref="AP178">SUM(IF((modeldata!$F:$F=calibration!$AF$158)*(modeldata!$G:$G=calibration!AP$160)*(modeldata!$H:$H=calibration!$AF178),modeldata!$E:$E,0))</f>
        <v>0</v>
      </c>
      <c r="AQ178" s="242">
        <f t="array" ref="AQ178">SUM(IF((modeldata!$F:$F=calibration!$AF$158)*(modeldata!$G:$G=calibration!AQ$160)*(modeldata!$H:$H=calibration!$AF178),modeldata!$E:$E,0))</f>
        <v>0</v>
      </c>
      <c r="AR178" s="178">
        <f t="shared" ref="AR178:AR180" si="1207">SUM(AO178:AQ178)</f>
        <v>0</v>
      </c>
      <c r="AS178" s="17">
        <f t="shared" si="1060"/>
        <v>0</v>
      </c>
      <c r="AU178" s="2" t="s">
        <v>6</v>
      </c>
      <c r="AV178" s="262">
        <f>IF(R181&gt;0,R178/R181,0)</f>
        <v>0</v>
      </c>
      <c r="AW178" s="263">
        <f>IF(C181&gt;0,C178/C181,0)</f>
        <v>0</v>
      </c>
      <c r="AX178" s="263">
        <f>IF(D181&gt;0,D178/D181,0)</f>
        <v>0</v>
      </c>
      <c r="AY178" s="242">
        <f>IF(U181&gt;0,U178/U181,0)</f>
        <v>0</v>
      </c>
      <c r="AZ178" s="242">
        <f>IF(V181&gt;0,V178/V181,0)</f>
        <v>0</v>
      </c>
      <c r="BA178" s="242">
        <f t="shared" ref="BA178:BB180" si="1208">MAX(0,IF(W181&gt;0,W178/W181,0))</f>
        <v>0</v>
      </c>
      <c r="BB178" s="242">
        <f t="shared" si="1208"/>
        <v>0</v>
      </c>
      <c r="BC178" s="243">
        <f>IF(Y181&gt;0,Y178/Y181,0)</f>
        <v>0</v>
      </c>
      <c r="BD178" s="242">
        <f>IF(Z181&gt;0,Z178/Z181,0)</f>
        <v>0</v>
      </c>
      <c r="BE178" s="242">
        <f>IF(AA181&gt;0,AA178/AA181,0)</f>
        <v>0</v>
      </c>
      <c r="BF178" s="242">
        <f>IF(AB181&gt;0,AB178/AB181,0)</f>
        <v>0</v>
      </c>
      <c r="BG178" s="178">
        <f>IF(AC181&gt;0,AC178/AC181,0)</f>
        <v>0</v>
      </c>
      <c r="BH178" s="24" t="e">
        <f>AD178/AD181</f>
        <v>#DIV/0!</v>
      </c>
      <c r="BJ178" s="2" t="s">
        <v>6</v>
      </c>
      <c r="BK178" s="239">
        <f t="shared" ref="BK178:BV178" si="1209">IF(AG181&gt;0,AG178/AG181,0)</f>
        <v>0</v>
      </c>
      <c r="BL178" s="240">
        <f t="shared" si="1209"/>
        <v>0</v>
      </c>
      <c r="BM178" s="240">
        <f t="shared" si="1209"/>
        <v>0</v>
      </c>
      <c r="BN178" s="24">
        <f t="shared" si="1209"/>
        <v>0</v>
      </c>
      <c r="BO178" s="24">
        <f t="shared" si="1209"/>
        <v>0</v>
      </c>
      <c r="BP178" s="24">
        <f t="shared" si="1209"/>
        <v>0</v>
      </c>
      <c r="BQ178" s="24">
        <f t="shared" si="1209"/>
        <v>0</v>
      </c>
      <c r="BR178" s="77">
        <f t="shared" si="1209"/>
        <v>0</v>
      </c>
      <c r="BS178" s="22">
        <f t="shared" si="1209"/>
        <v>0</v>
      </c>
      <c r="BT178" s="24">
        <f t="shared" si="1209"/>
        <v>0</v>
      </c>
      <c r="BU178" s="26">
        <f t="shared" si="1209"/>
        <v>0</v>
      </c>
      <c r="BV178" s="182">
        <f t="shared" si="1209"/>
        <v>0</v>
      </c>
      <c r="BW178" s="24" t="e">
        <f>AS178/AS181</f>
        <v>#DIV/0!</v>
      </c>
      <c r="BX178" s="24"/>
      <c r="BY178" s="2" t="s">
        <v>6</v>
      </c>
      <c r="BZ178" s="54">
        <f t="shared" si="1091"/>
        <v>0</v>
      </c>
      <c r="CA178" s="55">
        <f t="shared" si="1063"/>
        <v>0</v>
      </c>
      <c r="CB178" s="55">
        <f t="shared" si="1064"/>
        <v>0</v>
      </c>
      <c r="CC178" s="55">
        <f t="shared" si="1065"/>
        <v>0</v>
      </c>
      <c r="CD178" s="55">
        <f t="shared" si="1066"/>
        <v>0</v>
      </c>
      <c r="CE178" s="55">
        <f t="shared" si="1067"/>
        <v>0</v>
      </c>
      <c r="CF178" s="55">
        <f t="shared" si="1068"/>
        <v>0</v>
      </c>
      <c r="CG178" s="246">
        <f>AN178-Y178</f>
        <v>0</v>
      </c>
      <c r="CH178" s="55">
        <f t="shared" si="1070"/>
        <v>0</v>
      </c>
      <c r="CI178" s="55">
        <f t="shared" si="1071"/>
        <v>0</v>
      </c>
      <c r="CJ178" s="55">
        <f t="shared" si="1072"/>
        <v>0</v>
      </c>
      <c r="CK178" s="249">
        <f t="shared" si="1072"/>
        <v>0</v>
      </c>
      <c r="CL178" s="55">
        <f t="shared" si="1073"/>
        <v>0</v>
      </c>
      <c r="CN178" s="2" t="s">
        <v>6</v>
      </c>
      <c r="CO178" s="54">
        <f t="shared" si="1092"/>
        <v>0</v>
      </c>
      <c r="CP178" s="55">
        <f t="shared" si="1074"/>
        <v>0</v>
      </c>
      <c r="CQ178" s="55">
        <f t="shared" si="1075"/>
        <v>0</v>
      </c>
      <c r="CR178" s="55">
        <f t="shared" si="1076"/>
        <v>0</v>
      </c>
      <c r="CS178" s="55">
        <f t="shared" si="1077"/>
        <v>0</v>
      </c>
      <c r="CT178" s="55">
        <f t="shared" si="1078"/>
        <v>0</v>
      </c>
      <c r="CU178" s="55">
        <f t="shared" si="1079"/>
        <v>0</v>
      </c>
      <c r="CV178" s="246">
        <f t="shared" si="1080"/>
        <v>0</v>
      </c>
      <c r="CW178" s="55">
        <f t="shared" si="1081"/>
        <v>0</v>
      </c>
      <c r="CX178" s="55">
        <f t="shared" si="1082"/>
        <v>0</v>
      </c>
      <c r="CY178" s="55">
        <f t="shared" si="1083"/>
        <v>0</v>
      </c>
      <c r="CZ178" s="249">
        <f t="shared" si="1083"/>
        <v>0</v>
      </c>
      <c r="DA178" s="62" t="e">
        <f t="shared" si="1084"/>
        <v>#DIV/0!</v>
      </c>
      <c r="DC178" s="2" t="s">
        <v>6</v>
      </c>
      <c r="DD178" s="198">
        <f t="shared" si="1093"/>
        <v>0</v>
      </c>
      <c r="DE178" s="199">
        <f t="shared" si="1094"/>
        <v>0</v>
      </c>
      <c r="DF178" s="198">
        <f t="shared" si="1095"/>
        <v>0</v>
      </c>
      <c r="DG178" s="199">
        <f t="shared" si="1096"/>
        <v>0</v>
      </c>
      <c r="DH178" s="198">
        <f t="shared" si="1097"/>
        <v>0</v>
      </c>
      <c r="DI178" s="199">
        <f t="shared" si="1098"/>
        <v>0</v>
      </c>
      <c r="DJ178" s="198">
        <f t="shared" si="1099"/>
        <v>0</v>
      </c>
      <c r="DK178" s="199">
        <f t="shared" si="1100"/>
        <v>0</v>
      </c>
      <c r="DL178" s="198">
        <f t="shared" si="1101"/>
        <v>0</v>
      </c>
      <c r="DM178" s="199">
        <f t="shared" si="1102"/>
        <v>0</v>
      </c>
      <c r="DN178" s="198">
        <f t="shared" si="1103"/>
        <v>0</v>
      </c>
      <c r="DO178" s="199">
        <f t="shared" si="1104"/>
        <v>0</v>
      </c>
      <c r="DP178" s="198">
        <f t="shared" si="1105"/>
        <v>0</v>
      </c>
      <c r="DQ178" s="199">
        <f t="shared" si="1106"/>
        <v>0</v>
      </c>
      <c r="DR178" s="198">
        <f t="shared" si="1107"/>
        <v>0</v>
      </c>
      <c r="DS178" s="199">
        <f t="shared" si="1108"/>
        <v>0</v>
      </c>
      <c r="DT178" s="198">
        <f t="shared" si="1109"/>
        <v>0</v>
      </c>
      <c r="DU178" s="199">
        <f t="shared" si="1110"/>
        <v>0</v>
      </c>
      <c r="DV178" s="198">
        <f t="shared" si="1111"/>
        <v>0</v>
      </c>
      <c r="DW178" s="199">
        <f t="shared" si="1112"/>
        <v>0</v>
      </c>
      <c r="DX178" s="198">
        <f t="shared" si="1113"/>
        <v>0</v>
      </c>
      <c r="DY178" s="199">
        <f t="shared" si="1114"/>
        <v>0</v>
      </c>
      <c r="DZ178" s="190">
        <f t="shared" si="1115"/>
        <v>0</v>
      </c>
      <c r="EA178" s="199">
        <f t="shared" si="1085"/>
        <v>0</v>
      </c>
      <c r="EB178" s="190" t="e">
        <f t="shared" si="1116"/>
        <v>#DIV/0!</v>
      </c>
      <c r="EC178" s="190" t="e">
        <f t="shared" si="1117"/>
        <v>#DIV/0!</v>
      </c>
    </row>
    <row r="179" spans="1:133" x14ac:dyDescent="0.2">
      <c r="A179" s="2" t="s">
        <v>88</v>
      </c>
      <c r="B179" s="262">
        <f>SUM(targets!AW168:AY168)</f>
        <v>0</v>
      </c>
      <c r="C179" s="263"/>
      <c r="D179" s="263"/>
      <c r="E179" s="242">
        <f>targets!AZ168</f>
        <v>0</v>
      </c>
      <c r="F179" s="242">
        <f>targets!BA168</f>
        <v>0</v>
      </c>
      <c r="G179" s="242">
        <f>SUM(targets!BB168:BG168)</f>
        <v>0</v>
      </c>
      <c r="H179" s="242">
        <f>SUM(targets!BH168:BM168)</f>
        <v>0</v>
      </c>
      <c r="I179" s="243">
        <f t="shared" si="1086"/>
        <v>0</v>
      </c>
      <c r="J179" s="242">
        <f>targets!BN168</f>
        <v>0</v>
      </c>
      <c r="K179" s="242">
        <f>targets!BO168</f>
        <v>0</v>
      </c>
      <c r="L179" s="242">
        <f>targets!BP168</f>
        <v>0</v>
      </c>
      <c r="M179" s="178">
        <f t="shared" si="1087"/>
        <v>0</v>
      </c>
      <c r="N179" s="17">
        <f t="shared" si="1050"/>
        <v>0</v>
      </c>
      <c r="O179" s="208"/>
      <c r="P179" s="17"/>
      <c r="Q179" s="2" t="s">
        <v>88</v>
      </c>
      <c r="R179" s="262">
        <f>B179*(AG181/B181)</f>
        <v>0</v>
      </c>
      <c r="S179" s="263"/>
      <c r="T179" s="263"/>
      <c r="U179" s="242">
        <f t="shared" si="1051"/>
        <v>0</v>
      </c>
      <c r="V179" s="242">
        <f t="shared" si="1052"/>
        <v>0</v>
      </c>
      <c r="W179" s="242">
        <f t="shared" si="1053"/>
        <v>0</v>
      </c>
      <c r="X179" s="242">
        <f t="shared" si="1054"/>
        <v>0</v>
      </c>
      <c r="Y179" s="243">
        <f t="shared" si="1055"/>
        <v>0</v>
      </c>
      <c r="Z179" s="242">
        <f t="shared" si="1056"/>
        <v>0</v>
      </c>
      <c r="AA179" s="242">
        <f t="shared" si="1057"/>
        <v>0</v>
      </c>
      <c r="AB179" s="242"/>
      <c r="AC179" s="178">
        <f t="shared" si="1058"/>
        <v>0</v>
      </c>
      <c r="AD179" s="17">
        <f t="shared" si="1059"/>
        <v>0</v>
      </c>
      <c r="AF179" s="2" t="s">
        <v>88</v>
      </c>
      <c r="AG179" s="262">
        <f t="array" ref="AG179">SUM(IF((modeldata!$F:$F=calibration!$AF$158)*(modeldata!$G:$G=calibration!AG$160)*(modeldata!$H:$H=calibration!$AF179),modeldata!$E:$E,0))</f>
        <v>0</v>
      </c>
      <c r="AH179" s="263"/>
      <c r="AI179" s="263"/>
      <c r="AJ179" s="242">
        <f t="array" ref="AJ179">SUM(IF((modeldata!$F:$F=calibration!$AF$158)*(modeldata!$G:$G=calibration!AJ$160)*(modeldata!$H:$H=calibration!$AF179),modeldata!$E:$E,0))</f>
        <v>0</v>
      </c>
      <c r="AK179" s="242">
        <f t="array" ref="AK179">SUM(IF((modeldata!$F:$F=calibration!$AF$158)*(modeldata!$G:$G=calibration!AK$160)*(modeldata!$H:$H=calibration!$AF179),modeldata!$E:$E,0))</f>
        <v>0</v>
      </c>
      <c r="AL179" s="242">
        <f t="array" ref="AL179">SUM(IF((modeldata!$F:$F=calibration!$AF$158)*(modeldata!$G:$G=calibration!AL$160)*(modeldata!$H:$H=calibration!$AF179),modeldata!$E:$E,0))</f>
        <v>0</v>
      </c>
      <c r="AM179" s="242">
        <f t="array" ref="AM179">SUM(IF((modeldata!$F:$F=calibration!$AF$158)*(modeldata!$G:$G=calibration!AM$160)*(modeldata!$H:$H=calibration!$AF179),modeldata!$E:$E,0))</f>
        <v>0</v>
      </c>
      <c r="AN179" s="243">
        <f t="shared" si="1088"/>
        <v>0</v>
      </c>
      <c r="AO179" s="242">
        <f t="array" ref="AO179">SUM(IF((modeldata!$F:$F=calibration!$AF$158)*(modeldata!$G:$G=calibration!AO$160)*(modeldata!$H:$H=calibration!$AF179),modeldata!$E:$E,0))</f>
        <v>0</v>
      </c>
      <c r="AP179" s="242">
        <f t="array" ref="AP179">SUM(IF((modeldata!$F:$F=calibration!$AF$158)*(modeldata!$G:$G=calibration!AP$160)*(modeldata!$H:$H=calibration!$AF179),modeldata!$E:$E,0))</f>
        <v>0</v>
      </c>
      <c r="AQ179" s="242">
        <f t="array" ref="AQ179">SUM(IF((modeldata!$F:$F=calibration!$AF$158)*(modeldata!$G:$G=calibration!AQ$160)*(modeldata!$H:$H=calibration!$AF179),modeldata!$E:$E,0))</f>
        <v>0</v>
      </c>
      <c r="AR179" s="178">
        <f t="shared" si="1207"/>
        <v>0</v>
      </c>
      <c r="AS179" s="17">
        <f t="shared" si="1060"/>
        <v>0</v>
      </c>
      <c r="AU179" s="2" t="s">
        <v>88</v>
      </c>
      <c r="AV179" s="262">
        <f>IF(R181&gt;0,R179/R181,0)</f>
        <v>0</v>
      </c>
      <c r="AW179" s="263">
        <f>IF(C181&gt;0,C179/C181,0)</f>
        <v>0</v>
      </c>
      <c r="AX179" s="263">
        <f>IF(D181&gt;0,D179/D181,0)</f>
        <v>0</v>
      </c>
      <c r="AY179" s="242">
        <f>IF(U181&gt;0,U179/U181,0)</f>
        <v>0</v>
      </c>
      <c r="AZ179" s="242">
        <f>IF(V181&gt;0,V179/V181,0)</f>
        <v>0</v>
      </c>
      <c r="BA179" s="242">
        <f t="shared" si="1208"/>
        <v>0</v>
      </c>
      <c r="BB179" s="242">
        <f t="shared" si="1208"/>
        <v>0</v>
      </c>
      <c r="BC179" s="243">
        <f>IF(Y181&gt;0,Y179/Y181,0)</f>
        <v>0</v>
      </c>
      <c r="BD179" s="242">
        <f>IF(Z181&gt;0,Z179/Z181,0)</f>
        <v>0</v>
      </c>
      <c r="BE179" s="242">
        <f>IF(AA181&gt;0,AA179/AA181,0)</f>
        <v>0</v>
      </c>
      <c r="BF179" s="242">
        <f>IF(AB181&gt;0,AB179/AB181,0)</f>
        <v>0</v>
      </c>
      <c r="BG179" s="178">
        <f>IF(AC181&gt;0,AC179/AC181,0)</f>
        <v>0</v>
      </c>
      <c r="BH179" s="24" t="e">
        <f>AD179/AD181</f>
        <v>#DIV/0!</v>
      </c>
      <c r="BJ179" s="2" t="s">
        <v>88</v>
      </c>
      <c r="BK179" s="239">
        <f t="shared" ref="BK179:BV179" si="1210">IF(AG181&gt;0,AG179/AG181,0)</f>
        <v>0</v>
      </c>
      <c r="BL179" s="240">
        <f t="shared" si="1210"/>
        <v>0</v>
      </c>
      <c r="BM179" s="240">
        <f t="shared" si="1210"/>
        <v>0</v>
      </c>
      <c r="BN179" s="24">
        <f t="shared" si="1210"/>
        <v>0</v>
      </c>
      <c r="BO179" s="24">
        <f t="shared" si="1210"/>
        <v>0</v>
      </c>
      <c r="BP179" s="24">
        <f t="shared" si="1210"/>
        <v>0</v>
      </c>
      <c r="BQ179" s="24">
        <f t="shared" si="1210"/>
        <v>0</v>
      </c>
      <c r="BR179" s="77">
        <f t="shared" si="1210"/>
        <v>0</v>
      </c>
      <c r="BS179" s="24">
        <f t="shared" si="1210"/>
        <v>0</v>
      </c>
      <c r="BT179" s="22">
        <f t="shared" si="1210"/>
        <v>0</v>
      </c>
      <c r="BU179" s="26">
        <f t="shared" si="1210"/>
        <v>0</v>
      </c>
      <c r="BV179" s="183">
        <f t="shared" si="1210"/>
        <v>0</v>
      </c>
      <c r="BW179" s="24" t="e">
        <f>AS179/AS181</f>
        <v>#DIV/0!</v>
      </c>
      <c r="BX179" s="24"/>
      <c r="BY179" s="2" t="s">
        <v>88</v>
      </c>
      <c r="BZ179" s="54">
        <f t="shared" si="1091"/>
        <v>0</v>
      </c>
      <c r="CA179" s="55">
        <f t="shared" si="1063"/>
        <v>0</v>
      </c>
      <c r="CB179" s="55">
        <f t="shared" si="1064"/>
        <v>0</v>
      </c>
      <c r="CC179" s="55">
        <f t="shared" si="1065"/>
        <v>0</v>
      </c>
      <c r="CD179" s="55">
        <f t="shared" si="1066"/>
        <v>0</v>
      </c>
      <c r="CE179" s="55">
        <f t="shared" si="1067"/>
        <v>0</v>
      </c>
      <c r="CF179" s="55">
        <f t="shared" si="1068"/>
        <v>0</v>
      </c>
      <c r="CG179" s="246">
        <f>AN179-Y179</f>
        <v>0</v>
      </c>
      <c r="CH179" s="55">
        <f t="shared" si="1070"/>
        <v>0</v>
      </c>
      <c r="CI179" s="55">
        <f t="shared" si="1071"/>
        <v>0</v>
      </c>
      <c r="CJ179" s="55">
        <f t="shared" si="1072"/>
        <v>0</v>
      </c>
      <c r="CK179" s="249">
        <f t="shared" si="1072"/>
        <v>0</v>
      </c>
      <c r="CL179" s="55">
        <f t="shared" si="1073"/>
        <v>0</v>
      </c>
      <c r="CN179" s="2" t="s">
        <v>88</v>
      </c>
      <c r="CO179" s="54">
        <f t="shared" si="1092"/>
        <v>0</v>
      </c>
      <c r="CP179" s="55">
        <f t="shared" si="1074"/>
        <v>0</v>
      </c>
      <c r="CQ179" s="55">
        <f t="shared" si="1075"/>
        <v>0</v>
      </c>
      <c r="CR179" s="55">
        <f t="shared" si="1076"/>
        <v>0</v>
      </c>
      <c r="CS179" s="55">
        <f t="shared" si="1077"/>
        <v>0</v>
      </c>
      <c r="CT179" s="55">
        <f t="shared" si="1078"/>
        <v>0</v>
      </c>
      <c r="CU179" s="55">
        <f t="shared" si="1079"/>
        <v>0</v>
      </c>
      <c r="CV179" s="246">
        <f t="shared" si="1080"/>
        <v>0</v>
      </c>
      <c r="CW179" s="55">
        <f t="shared" si="1081"/>
        <v>0</v>
      </c>
      <c r="CX179" s="55">
        <f t="shared" si="1082"/>
        <v>0</v>
      </c>
      <c r="CY179" s="55">
        <f t="shared" si="1083"/>
        <v>0</v>
      </c>
      <c r="CZ179" s="249">
        <f t="shared" si="1083"/>
        <v>0</v>
      </c>
      <c r="DA179" s="62" t="e">
        <f t="shared" si="1084"/>
        <v>#DIV/0!</v>
      </c>
      <c r="DC179" s="2" t="s">
        <v>88</v>
      </c>
      <c r="DD179" s="198">
        <f t="shared" si="1093"/>
        <v>0</v>
      </c>
      <c r="DE179" s="199">
        <f t="shared" si="1094"/>
        <v>0</v>
      </c>
      <c r="DF179" s="198">
        <f t="shared" si="1095"/>
        <v>0</v>
      </c>
      <c r="DG179" s="199">
        <f t="shared" si="1096"/>
        <v>0</v>
      </c>
      <c r="DH179" s="198">
        <f t="shared" si="1097"/>
        <v>0</v>
      </c>
      <c r="DI179" s="199">
        <f t="shared" si="1098"/>
        <v>0</v>
      </c>
      <c r="DJ179" s="198">
        <f t="shared" si="1099"/>
        <v>0</v>
      </c>
      <c r="DK179" s="199">
        <f t="shared" si="1100"/>
        <v>0</v>
      </c>
      <c r="DL179" s="198">
        <f t="shared" si="1101"/>
        <v>0</v>
      </c>
      <c r="DM179" s="199">
        <f t="shared" si="1102"/>
        <v>0</v>
      </c>
      <c r="DN179" s="198">
        <f t="shared" si="1103"/>
        <v>0</v>
      </c>
      <c r="DO179" s="199">
        <f t="shared" si="1104"/>
        <v>0</v>
      </c>
      <c r="DP179" s="198">
        <f t="shared" si="1105"/>
        <v>0</v>
      </c>
      <c r="DQ179" s="199">
        <f t="shared" si="1106"/>
        <v>0</v>
      </c>
      <c r="DR179" s="198">
        <f t="shared" si="1107"/>
        <v>0</v>
      </c>
      <c r="DS179" s="199">
        <f t="shared" si="1108"/>
        <v>0</v>
      </c>
      <c r="DT179" s="198">
        <f t="shared" si="1109"/>
        <v>0</v>
      </c>
      <c r="DU179" s="199">
        <f t="shared" si="1110"/>
        <v>0</v>
      </c>
      <c r="DV179" s="198">
        <f t="shared" si="1111"/>
        <v>0</v>
      </c>
      <c r="DW179" s="199">
        <f t="shared" si="1112"/>
        <v>0</v>
      </c>
      <c r="DX179" s="198">
        <f t="shared" si="1113"/>
        <v>0</v>
      </c>
      <c r="DY179" s="199">
        <f t="shared" si="1114"/>
        <v>0</v>
      </c>
      <c r="DZ179" s="190">
        <f t="shared" si="1115"/>
        <v>0</v>
      </c>
      <c r="EA179" s="199">
        <f t="shared" si="1085"/>
        <v>0</v>
      </c>
      <c r="EB179" s="190" t="e">
        <f t="shared" si="1116"/>
        <v>#DIV/0!</v>
      </c>
      <c r="EC179" s="190" t="e">
        <f t="shared" si="1117"/>
        <v>#DIV/0!</v>
      </c>
    </row>
    <row r="180" spans="1:133" x14ac:dyDescent="0.2">
      <c r="A180" s="2" t="s">
        <v>89</v>
      </c>
      <c r="B180" s="269">
        <f>SUM(targets!AW169:AY169)</f>
        <v>0</v>
      </c>
      <c r="C180" s="270"/>
      <c r="D180" s="270"/>
      <c r="E180" s="43">
        <f>targets!AZ169</f>
        <v>0</v>
      </c>
      <c r="F180" s="43">
        <f>targets!BA169</f>
        <v>0</v>
      </c>
      <c r="G180" s="43">
        <f>SUM(targets!BB169:BG169)</f>
        <v>0</v>
      </c>
      <c r="H180" s="43">
        <f>SUM(targets!BH169:BM169)</f>
        <v>0</v>
      </c>
      <c r="I180" s="75">
        <f t="shared" si="1086"/>
        <v>0</v>
      </c>
      <c r="J180" s="43">
        <f>targets!BN169</f>
        <v>0</v>
      </c>
      <c r="K180" s="43">
        <f>targets!BO169</f>
        <v>0</v>
      </c>
      <c r="L180" s="43">
        <f>targets!BP169</f>
        <v>0</v>
      </c>
      <c r="M180" s="244">
        <f t="shared" si="1087"/>
        <v>0</v>
      </c>
      <c r="N180" s="17">
        <f t="shared" si="1050"/>
        <v>0</v>
      </c>
      <c r="O180" s="208"/>
      <c r="P180" s="17"/>
      <c r="Q180" s="2" t="s">
        <v>89</v>
      </c>
      <c r="R180" s="269">
        <f>B180*(AG181/B181)</f>
        <v>0</v>
      </c>
      <c r="S180" s="270"/>
      <c r="T180" s="270"/>
      <c r="U180" s="43">
        <f t="shared" si="1051"/>
        <v>0</v>
      </c>
      <c r="V180" s="43">
        <f t="shared" si="1052"/>
        <v>0</v>
      </c>
      <c r="W180" s="43">
        <f t="shared" si="1053"/>
        <v>0</v>
      </c>
      <c r="X180" s="43">
        <f t="shared" si="1054"/>
        <v>0</v>
      </c>
      <c r="Y180" s="75">
        <f t="shared" si="1055"/>
        <v>0</v>
      </c>
      <c r="Z180" s="43">
        <f t="shared" si="1056"/>
        <v>0</v>
      </c>
      <c r="AA180" s="43">
        <f t="shared" si="1057"/>
        <v>0</v>
      </c>
      <c r="AB180" s="43"/>
      <c r="AC180" s="244">
        <f t="shared" si="1058"/>
        <v>0</v>
      </c>
      <c r="AD180" s="17">
        <f t="shared" si="1059"/>
        <v>0</v>
      </c>
      <c r="AF180" s="2" t="s">
        <v>89</v>
      </c>
      <c r="AG180" s="269">
        <f t="array" ref="AG180">SUM(IF((modeldata!$F:$F=calibration!$AF$158)*(modeldata!$G:$G=calibration!AG$160)*(modeldata!$H:$H=calibration!$AF180),modeldata!$E:$E,0))</f>
        <v>0</v>
      </c>
      <c r="AH180" s="270"/>
      <c r="AI180" s="270"/>
      <c r="AJ180" s="43">
        <f t="array" ref="AJ180">SUM(IF((modeldata!$F:$F=calibration!$AF$158)*(modeldata!$G:$G=calibration!AJ$160)*(modeldata!$H:$H=calibration!$AF180),modeldata!$E:$E,0))</f>
        <v>0</v>
      </c>
      <c r="AK180" s="43">
        <f t="array" ref="AK180">SUM(IF((modeldata!$F:$F=calibration!$AF$158)*(modeldata!$G:$G=calibration!AK$160)*(modeldata!$H:$H=calibration!$AF180),modeldata!$E:$E,0))</f>
        <v>0</v>
      </c>
      <c r="AL180" s="43">
        <f t="array" ref="AL180">SUM(IF((modeldata!$F:$F=calibration!$AF$158)*(modeldata!$G:$G=calibration!AL$160)*(modeldata!$H:$H=calibration!$AF180),modeldata!$E:$E,0))</f>
        <v>0</v>
      </c>
      <c r="AM180" s="43">
        <f t="array" ref="AM180">SUM(IF((modeldata!$F:$F=calibration!$AF$158)*(modeldata!$G:$G=calibration!AM$160)*(modeldata!$H:$H=calibration!$AF180),modeldata!$E:$E,0))</f>
        <v>0</v>
      </c>
      <c r="AN180" s="75">
        <f t="shared" si="1088"/>
        <v>0</v>
      </c>
      <c r="AO180" s="43">
        <f t="array" ref="AO180">SUM(IF((modeldata!$F:$F=calibration!$AF$158)*(modeldata!$G:$G=calibration!AO$160)*(modeldata!$H:$H=calibration!$AF180),modeldata!$E:$E,0))</f>
        <v>0</v>
      </c>
      <c r="AP180" s="43">
        <f t="array" ref="AP180">SUM(IF((modeldata!$F:$F=calibration!$AF$158)*(modeldata!$G:$G=calibration!AP$160)*(modeldata!$H:$H=calibration!$AF180),modeldata!$E:$E,0))</f>
        <v>0</v>
      </c>
      <c r="AQ180" s="43">
        <f t="array" ref="AQ180">SUM(IF((modeldata!$F:$F=calibration!$AF$158)*(modeldata!$G:$G=calibration!AQ$160)*(modeldata!$H:$H=calibration!$AF180),modeldata!$E:$E,0))</f>
        <v>0</v>
      </c>
      <c r="AR180" s="244">
        <f t="shared" si="1207"/>
        <v>0</v>
      </c>
      <c r="AS180" s="17">
        <f t="shared" si="1060"/>
        <v>0</v>
      </c>
      <c r="AU180" s="2" t="s">
        <v>89</v>
      </c>
      <c r="AV180" s="269">
        <f>IF(R181&gt;0,R180/R181,0)</f>
        <v>0</v>
      </c>
      <c r="AW180" s="270"/>
      <c r="AX180" s="270"/>
      <c r="AY180" s="43">
        <f>IF(U181&gt;0,U180/U181,0)</f>
        <v>0</v>
      </c>
      <c r="AZ180" s="43">
        <f>IF(V181&gt;0,V180/V181,0)</f>
        <v>0</v>
      </c>
      <c r="BA180" s="43">
        <f t="shared" si="1208"/>
        <v>0</v>
      </c>
      <c r="BB180" s="43">
        <f t="shared" si="1208"/>
        <v>0</v>
      </c>
      <c r="BC180" s="75">
        <f>IF(Y181&gt;0,Y180/Y181,0)</f>
        <v>0</v>
      </c>
      <c r="BD180" s="43">
        <f>IF(Z181&gt;0,Z180/Z181,0)</f>
        <v>0</v>
      </c>
      <c r="BE180" s="43">
        <f>IF(AA181&gt;0,AA180/AA181,0)</f>
        <v>0</v>
      </c>
      <c r="BF180" s="43">
        <f>IF(AB181&gt;0,AB180/AB181,0)</f>
        <v>0</v>
      </c>
      <c r="BG180" s="244">
        <f>IF(AC181&gt;0,AC180/AC181,0)</f>
        <v>0</v>
      </c>
      <c r="BH180" s="24" t="e">
        <f>AD180/AD181</f>
        <v>#DIV/0!</v>
      </c>
      <c r="BJ180" s="2" t="s">
        <v>89</v>
      </c>
      <c r="BK180" s="273">
        <f>IF(AG181&gt;0,AG180/AG181,0)</f>
        <v>0</v>
      </c>
      <c r="BL180" s="274"/>
      <c r="BM180" s="274"/>
      <c r="BN180" s="30">
        <f t="shared" ref="BN180:BV180" si="1211">IF(AJ181&gt;0,AJ180/AJ181,0)</f>
        <v>0</v>
      </c>
      <c r="BO180" s="30">
        <f t="shared" si="1211"/>
        <v>0</v>
      </c>
      <c r="BP180" s="30">
        <f t="shared" si="1211"/>
        <v>0</v>
      </c>
      <c r="BQ180" s="30">
        <f t="shared" si="1211"/>
        <v>0</v>
      </c>
      <c r="BR180" s="78">
        <f t="shared" si="1211"/>
        <v>0</v>
      </c>
      <c r="BS180" s="30">
        <f t="shared" si="1211"/>
        <v>0</v>
      </c>
      <c r="BT180" s="30">
        <f t="shared" si="1211"/>
        <v>0</v>
      </c>
      <c r="BU180" s="22">
        <f t="shared" si="1211"/>
        <v>0</v>
      </c>
      <c r="BV180" s="184">
        <f t="shared" si="1211"/>
        <v>0</v>
      </c>
      <c r="BW180" s="24" t="e">
        <f>AS180/AS181</f>
        <v>#DIV/0!</v>
      </c>
      <c r="BX180" s="24"/>
      <c r="BY180" s="2" t="s">
        <v>89</v>
      </c>
      <c r="BZ180" s="56">
        <f t="shared" si="1091"/>
        <v>0</v>
      </c>
      <c r="CA180" s="57">
        <f t="shared" si="1063"/>
        <v>0</v>
      </c>
      <c r="CB180" s="57">
        <f t="shared" si="1064"/>
        <v>0</v>
      </c>
      <c r="CC180" s="57">
        <f t="shared" si="1065"/>
        <v>0</v>
      </c>
      <c r="CD180" s="57">
        <f t="shared" si="1066"/>
        <v>0</v>
      </c>
      <c r="CE180" s="57">
        <f t="shared" si="1067"/>
        <v>0</v>
      </c>
      <c r="CF180" s="57">
        <f t="shared" si="1068"/>
        <v>0</v>
      </c>
      <c r="CG180" s="247">
        <f>AN180-Y180</f>
        <v>0</v>
      </c>
      <c r="CH180" s="57">
        <f t="shared" si="1070"/>
        <v>0</v>
      </c>
      <c r="CI180" s="57">
        <f t="shared" si="1071"/>
        <v>0</v>
      </c>
      <c r="CJ180" s="57">
        <f t="shared" si="1072"/>
        <v>0</v>
      </c>
      <c r="CK180" s="250">
        <f t="shared" si="1072"/>
        <v>0</v>
      </c>
      <c r="CL180" s="55">
        <f t="shared" si="1073"/>
        <v>0</v>
      </c>
      <c r="CN180" s="2" t="s">
        <v>89</v>
      </c>
      <c r="CO180" s="56">
        <f t="shared" si="1092"/>
        <v>0</v>
      </c>
      <c r="CP180" s="57"/>
      <c r="CQ180" s="57"/>
      <c r="CR180" s="57">
        <f t="shared" si="1076"/>
        <v>0</v>
      </c>
      <c r="CS180" s="57">
        <f t="shared" si="1077"/>
        <v>0</v>
      </c>
      <c r="CT180" s="57">
        <f t="shared" si="1078"/>
        <v>0</v>
      </c>
      <c r="CU180" s="57">
        <f t="shared" si="1079"/>
        <v>0</v>
      </c>
      <c r="CV180" s="247">
        <f t="shared" si="1080"/>
        <v>0</v>
      </c>
      <c r="CW180" s="57">
        <f t="shared" si="1081"/>
        <v>0</v>
      </c>
      <c r="CX180" s="57">
        <f t="shared" si="1082"/>
        <v>0</v>
      </c>
      <c r="CY180" s="57">
        <f t="shared" si="1083"/>
        <v>0</v>
      </c>
      <c r="CZ180" s="250">
        <f t="shared" si="1083"/>
        <v>0</v>
      </c>
      <c r="DA180" s="62" t="e">
        <f t="shared" si="1084"/>
        <v>#DIV/0!</v>
      </c>
      <c r="DC180" s="2" t="s">
        <v>89</v>
      </c>
      <c r="DD180" s="200">
        <f t="shared" si="1093"/>
        <v>0</v>
      </c>
      <c r="DE180" s="201">
        <f t="shared" si="1094"/>
        <v>0</v>
      </c>
      <c r="DF180" s="200">
        <f t="shared" si="1095"/>
        <v>0</v>
      </c>
      <c r="DG180" s="201">
        <f t="shared" si="1096"/>
        <v>0</v>
      </c>
      <c r="DH180" s="200">
        <f t="shared" si="1097"/>
        <v>0</v>
      </c>
      <c r="DI180" s="201">
        <f t="shared" si="1098"/>
        <v>0</v>
      </c>
      <c r="DJ180" s="200">
        <f t="shared" si="1099"/>
        <v>0</v>
      </c>
      <c r="DK180" s="201">
        <f t="shared" si="1100"/>
        <v>0</v>
      </c>
      <c r="DL180" s="200">
        <f t="shared" si="1101"/>
        <v>0</v>
      </c>
      <c r="DM180" s="201">
        <f t="shared" si="1102"/>
        <v>0</v>
      </c>
      <c r="DN180" s="200">
        <f t="shared" si="1103"/>
        <v>0</v>
      </c>
      <c r="DO180" s="201">
        <f t="shared" si="1104"/>
        <v>0</v>
      </c>
      <c r="DP180" s="200">
        <f t="shared" si="1105"/>
        <v>0</v>
      </c>
      <c r="DQ180" s="201">
        <f t="shared" si="1106"/>
        <v>0</v>
      </c>
      <c r="DR180" s="200">
        <f t="shared" si="1107"/>
        <v>0</v>
      </c>
      <c r="DS180" s="201">
        <f t="shared" si="1108"/>
        <v>0</v>
      </c>
      <c r="DT180" s="200">
        <f t="shared" si="1109"/>
        <v>0</v>
      </c>
      <c r="DU180" s="201">
        <f t="shared" si="1110"/>
        <v>0</v>
      </c>
      <c r="DV180" s="200">
        <f t="shared" si="1111"/>
        <v>0</v>
      </c>
      <c r="DW180" s="201">
        <f t="shared" si="1112"/>
        <v>0</v>
      </c>
      <c r="DX180" s="200">
        <f t="shared" si="1113"/>
        <v>0</v>
      </c>
      <c r="DY180" s="201">
        <f t="shared" si="1114"/>
        <v>0</v>
      </c>
      <c r="DZ180" s="202">
        <f t="shared" si="1115"/>
        <v>0</v>
      </c>
      <c r="EA180" s="201">
        <f t="shared" si="1085"/>
        <v>0</v>
      </c>
      <c r="EB180" s="190" t="e">
        <f t="shared" si="1116"/>
        <v>#DIV/0!</v>
      </c>
      <c r="EC180" s="190" t="e">
        <f t="shared" si="1117"/>
        <v>#DIV/0!</v>
      </c>
    </row>
    <row r="181" spans="1:133" x14ac:dyDescent="0.2">
      <c r="A181" s="65" t="s">
        <v>54</v>
      </c>
      <c r="B181" s="275">
        <f>SUM(B161:D180)</f>
        <v>2081833.0178025812</v>
      </c>
      <c r="C181" s="275"/>
      <c r="D181" s="275"/>
      <c r="E181" s="17">
        <f t="shared" ref="E181:M181" si="1212">SUM(E161:E180)</f>
        <v>313857.50790392491</v>
      </c>
      <c r="F181" s="17">
        <f t="shared" si="1212"/>
        <v>5255.4772905342534</v>
      </c>
      <c r="G181" s="17">
        <f t="shared" si="1212"/>
        <v>14797.614150667458</v>
      </c>
      <c r="H181" s="17">
        <f t="shared" si="1212"/>
        <v>5359.031583628619</v>
      </c>
      <c r="I181" s="72">
        <f t="shared" si="1212"/>
        <v>20156.645734296075</v>
      </c>
      <c r="J181" s="17">
        <f t="shared" si="1212"/>
        <v>826.42707647076577</v>
      </c>
      <c r="K181" s="17">
        <f t="shared" si="1212"/>
        <v>27618.816097600014</v>
      </c>
      <c r="L181" s="17">
        <f t="shared" si="1212"/>
        <v>0</v>
      </c>
      <c r="M181" s="72">
        <f t="shared" si="1212"/>
        <v>28445.243174070783</v>
      </c>
      <c r="N181" s="17">
        <f>SUM(B181:L181)-I181</f>
        <v>2449547.8919054074</v>
      </c>
      <c r="O181" s="208"/>
      <c r="P181" s="17"/>
      <c r="Q181" s="65" t="s">
        <v>54</v>
      </c>
      <c r="R181" s="275">
        <f>SUM(R161:R180)</f>
        <v>0</v>
      </c>
      <c r="S181" s="275"/>
      <c r="T181" s="275"/>
      <c r="U181" s="17">
        <f t="shared" ref="U181:AC181" si="1213">SUM(U161:U180)</f>
        <v>0</v>
      </c>
      <c r="V181" s="17">
        <f t="shared" si="1213"/>
        <v>0</v>
      </c>
      <c r="W181" s="17">
        <f t="shared" si="1213"/>
        <v>0</v>
      </c>
      <c r="X181" s="17">
        <f t="shared" si="1213"/>
        <v>0</v>
      </c>
      <c r="Y181" s="72">
        <f t="shared" si="1213"/>
        <v>0</v>
      </c>
      <c r="Z181" s="17">
        <f t="shared" si="1213"/>
        <v>0</v>
      </c>
      <c r="AA181" s="17">
        <f t="shared" si="1213"/>
        <v>0</v>
      </c>
      <c r="AB181" s="17">
        <f t="shared" si="1213"/>
        <v>0</v>
      </c>
      <c r="AC181" s="72">
        <f t="shared" si="1213"/>
        <v>0</v>
      </c>
      <c r="AD181" s="17">
        <f t="shared" si="1059"/>
        <v>0</v>
      </c>
      <c r="AF181" s="65" t="s">
        <v>54</v>
      </c>
      <c r="AG181" s="275">
        <f>SUM(AG161:AG180)</f>
        <v>0</v>
      </c>
      <c r="AH181" s="275"/>
      <c r="AI181" s="275"/>
      <c r="AJ181" s="17">
        <f t="shared" ref="AJ181:AR181" si="1214">SUM(AJ161:AJ180)</f>
        <v>0</v>
      </c>
      <c r="AK181" s="17">
        <f t="shared" si="1214"/>
        <v>0</v>
      </c>
      <c r="AL181" s="17">
        <f t="shared" si="1214"/>
        <v>0</v>
      </c>
      <c r="AM181" s="17">
        <f t="shared" si="1214"/>
        <v>0</v>
      </c>
      <c r="AN181" s="72">
        <f t="shared" si="1214"/>
        <v>0</v>
      </c>
      <c r="AO181" s="17">
        <f t="shared" si="1214"/>
        <v>0</v>
      </c>
      <c r="AP181" s="17">
        <f t="shared" si="1214"/>
        <v>0</v>
      </c>
      <c r="AQ181" s="17">
        <f t="shared" si="1214"/>
        <v>0</v>
      </c>
      <c r="AR181" s="72">
        <f t="shared" si="1214"/>
        <v>0</v>
      </c>
      <c r="AS181" s="17">
        <f t="shared" si="1060"/>
        <v>0</v>
      </c>
      <c r="AU181" s="65" t="s">
        <v>54</v>
      </c>
      <c r="AV181" s="275">
        <f t="shared" ref="AV181:BH181" si="1215">SUM(AV161:AV180)</f>
        <v>0</v>
      </c>
      <c r="AW181" s="275">
        <f t="shared" si="1215"/>
        <v>0</v>
      </c>
      <c r="AX181" s="275">
        <f t="shared" si="1215"/>
        <v>0</v>
      </c>
      <c r="AY181" s="17">
        <f t="shared" si="1215"/>
        <v>0</v>
      </c>
      <c r="AZ181" s="17">
        <f t="shared" si="1215"/>
        <v>0</v>
      </c>
      <c r="BA181" s="17">
        <f t="shared" si="1215"/>
        <v>0</v>
      </c>
      <c r="BB181" s="17">
        <f t="shared" si="1215"/>
        <v>0</v>
      </c>
      <c r="BC181" s="72">
        <f t="shared" si="1215"/>
        <v>0</v>
      </c>
      <c r="BD181" s="17">
        <f t="shared" si="1215"/>
        <v>0</v>
      </c>
      <c r="BE181" s="17">
        <f t="shared" si="1215"/>
        <v>0</v>
      </c>
      <c r="BF181" s="17">
        <f t="shared" si="1215"/>
        <v>0</v>
      </c>
      <c r="BG181" s="72">
        <f t="shared" si="1215"/>
        <v>0</v>
      </c>
      <c r="BH181" s="24" t="e">
        <f t="shared" si="1215"/>
        <v>#DIV/0!</v>
      </c>
      <c r="BJ181" s="65" t="s">
        <v>54</v>
      </c>
      <c r="BK181" s="276">
        <f t="shared" ref="BK181:BW181" si="1216">SUM(BK161:BK180)</f>
        <v>0</v>
      </c>
      <c r="BL181" s="276">
        <f t="shared" si="1216"/>
        <v>0</v>
      </c>
      <c r="BM181" s="276">
        <f t="shared" si="1216"/>
        <v>0</v>
      </c>
      <c r="BN181" s="24">
        <f t="shared" si="1216"/>
        <v>0</v>
      </c>
      <c r="BO181" s="24">
        <f t="shared" si="1216"/>
        <v>0</v>
      </c>
      <c r="BP181" s="24">
        <f t="shared" si="1216"/>
        <v>0</v>
      </c>
      <c r="BQ181" s="24">
        <f t="shared" si="1216"/>
        <v>0</v>
      </c>
      <c r="BR181" s="77">
        <f t="shared" si="1216"/>
        <v>0</v>
      </c>
      <c r="BS181" s="24">
        <f t="shared" si="1216"/>
        <v>0</v>
      </c>
      <c r="BT181" s="24">
        <f t="shared" si="1216"/>
        <v>0</v>
      </c>
      <c r="BU181" s="24">
        <f t="shared" si="1216"/>
        <v>0</v>
      </c>
      <c r="BV181" s="24">
        <f t="shared" si="1216"/>
        <v>0</v>
      </c>
      <c r="BW181" s="24" t="e">
        <f t="shared" si="1216"/>
        <v>#DIV/0!</v>
      </c>
      <c r="BX181" s="24"/>
      <c r="BY181" s="65" t="s">
        <v>54</v>
      </c>
      <c r="BZ181" s="55">
        <f t="shared" si="1091"/>
        <v>0</v>
      </c>
      <c r="CA181" s="55">
        <f t="shared" si="1063"/>
        <v>0</v>
      </c>
      <c r="CB181" s="55">
        <f t="shared" si="1064"/>
        <v>0</v>
      </c>
      <c r="CC181" s="55">
        <f t="shared" si="1065"/>
        <v>0</v>
      </c>
      <c r="CD181" s="55">
        <f t="shared" si="1066"/>
        <v>0</v>
      </c>
      <c r="CE181" s="55">
        <f t="shared" si="1067"/>
        <v>0</v>
      </c>
      <c r="CF181" s="55">
        <f t="shared" si="1068"/>
        <v>0</v>
      </c>
      <c r="CG181" s="55">
        <f>AN181-Y181</f>
        <v>0</v>
      </c>
      <c r="CH181" s="55">
        <f t="shared" si="1070"/>
        <v>0</v>
      </c>
      <c r="CI181" s="55">
        <f t="shared" si="1071"/>
        <v>0</v>
      </c>
      <c r="CJ181" s="55">
        <f t="shared" si="1072"/>
        <v>0</v>
      </c>
      <c r="CK181" s="55">
        <f t="shared" si="1072"/>
        <v>0</v>
      </c>
      <c r="CL181" s="55">
        <f t="shared" si="1073"/>
        <v>0</v>
      </c>
      <c r="CN181" s="65" t="s">
        <v>54</v>
      </c>
      <c r="CO181" s="55">
        <f>BK181-AV181</f>
        <v>0</v>
      </c>
      <c r="CP181" s="55">
        <f t="shared" si="1074"/>
        <v>0</v>
      </c>
      <c r="CQ181" s="55">
        <f t="shared" si="1075"/>
        <v>0</v>
      </c>
      <c r="CR181" s="55">
        <f t="shared" ref="CR181:DA181" si="1217">SUM(CR161:CR180)</f>
        <v>0</v>
      </c>
      <c r="CS181" s="55">
        <f t="shared" si="1217"/>
        <v>0</v>
      </c>
      <c r="CT181" s="55">
        <f t="shared" si="1217"/>
        <v>0</v>
      </c>
      <c r="CU181" s="55">
        <f t="shared" si="1217"/>
        <v>0</v>
      </c>
      <c r="CV181" s="55">
        <f t="shared" si="1217"/>
        <v>0</v>
      </c>
      <c r="CW181" s="55">
        <f t="shared" si="1217"/>
        <v>0</v>
      </c>
      <c r="CX181" s="55">
        <f t="shared" si="1217"/>
        <v>0</v>
      </c>
      <c r="CY181" s="55">
        <f t="shared" si="1217"/>
        <v>0</v>
      </c>
      <c r="CZ181" s="55">
        <f t="shared" si="1217"/>
        <v>0</v>
      </c>
      <c r="DA181" s="190" t="e">
        <f t="shared" si="1217"/>
        <v>#DIV/0!</v>
      </c>
      <c r="DC181" s="65" t="s">
        <v>54</v>
      </c>
      <c r="DD181" s="190">
        <f t="shared" ref="DD181:EC181" si="1218">SUM(DD161:DD180)</f>
        <v>0</v>
      </c>
      <c r="DE181" s="190">
        <f t="shared" si="1218"/>
        <v>0</v>
      </c>
      <c r="DF181" s="190">
        <f t="shared" si="1218"/>
        <v>0</v>
      </c>
      <c r="DG181" s="190">
        <f t="shared" si="1218"/>
        <v>0</v>
      </c>
      <c r="DH181" s="190">
        <f t="shared" si="1218"/>
        <v>0</v>
      </c>
      <c r="DI181" s="190">
        <f t="shared" si="1218"/>
        <v>0</v>
      </c>
      <c r="DJ181" s="190">
        <f t="shared" si="1218"/>
        <v>0</v>
      </c>
      <c r="DK181" s="190">
        <f t="shared" si="1218"/>
        <v>0</v>
      </c>
      <c r="DL181" s="190">
        <f t="shared" si="1218"/>
        <v>0</v>
      </c>
      <c r="DM181" s="190">
        <f t="shared" si="1218"/>
        <v>0</v>
      </c>
      <c r="DN181" s="190">
        <f t="shared" si="1218"/>
        <v>0</v>
      </c>
      <c r="DO181" s="190">
        <f t="shared" si="1218"/>
        <v>0</v>
      </c>
      <c r="DP181" s="190">
        <f t="shared" si="1218"/>
        <v>0</v>
      </c>
      <c r="DQ181" s="190">
        <f t="shared" si="1218"/>
        <v>0</v>
      </c>
      <c r="DR181" s="190">
        <f t="shared" si="1218"/>
        <v>0</v>
      </c>
      <c r="DS181" s="190">
        <f t="shared" si="1218"/>
        <v>0</v>
      </c>
      <c r="DT181" s="190">
        <f t="shared" si="1218"/>
        <v>0</v>
      </c>
      <c r="DU181" s="190">
        <f t="shared" si="1218"/>
        <v>0</v>
      </c>
      <c r="DV181" s="190">
        <f t="shared" si="1218"/>
        <v>0</v>
      </c>
      <c r="DW181" s="190">
        <f t="shared" si="1218"/>
        <v>0</v>
      </c>
      <c r="DX181" s="190">
        <f t="shared" si="1218"/>
        <v>0</v>
      </c>
      <c r="DY181" s="190">
        <f t="shared" si="1218"/>
        <v>0</v>
      </c>
      <c r="DZ181" s="190">
        <f t="shared" si="1218"/>
        <v>0</v>
      </c>
      <c r="EA181" s="190">
        <f t="shared" si="1218"/>
        <v>0</v>
      </c>
      <c r="EB181" s="190" t="e">
        <f t="shared" si="1218"/>
        <v>#DIV/0!</v>
      </c>
      <c r="EC181" s="190" t="e">
        <f t="shared" si="1218"/>
        <v>#DIV/0!</v>
      </c>
    </row>
    <row r="182" spans="1:133" x14ac:dyDescent="0.2">
      <c r="N182" s="17"/>
      <c r="DC182" s="2"/>
    </row>
    <row r="183" spans="1:133" x14ac:dyDescent="0.2">
      <c r="DC183" s="2"/>
    </row>
    <row r="184" spans="1:133" s="13" customFormat="1" x14ac:dyDescent="0.2">
      <c r="A184" s="6" t="s">
        <v>149</v>
      </c>
      <c r="Q184" s="6" t="s">
        <v>149</v>
      </c>
      <c r="AF184" s="6" t="s">
        <v>149</v>
      </c>
      <c r="AU184" s="6" t="s">
        <v>149</v>
      </c>
      <c r="BJ184" s="6" t="s">
        <v>149</v>
      </c>
      <c r="BK184" s="6" t="s">
        <v>149</v>
      </c>
      <c r="BY184" s="6" t="s">
        <v>149</v>
      </c>
      <c r="CN184" s="6" t="s">
        <v>149</v>
      </c>
      <c r="DC184" s="6" t="s">
        <v>149</v>
      </c>
      <c r="DD184" s="188"/>
      <c r="DE184" s="189"/>
      <c r="DF184" s="189"/>
      <c r="DG184" s="189"/>
      <c r="DH184" s="189"/>
      <c r="DI184" s="189"/>
      <c r="DJ184" s="189"/>
      <c r="DK184" s="189"/>
      <c r="DL184" s="189"/>
      <c r="DM184" s="189"/>
      <c r="DN184" s="189"/>
      <c r="DO184" s="189"/>
      <c r="DP184" s="189"/>
      <c r="DQ184" s="189"/>
      <c r="DR184" s="189"/>
      <c r="DS184" s="189"/>
      <c r="DT184" s="189"/>
      <c r="DU184" s="189"/>
      <c r="DV184" s="189"/>
      <c r="DW184" s="189"/>
      <c r="DX184" s="189"/>
      <c r="DY184" s="189"/>
      <c r="DZ184" s="189"/>
      <c r="EA184" s="189"/>
      <c r="EB184" s="189"/>
      <c r="EC184" s="189"/>
    </row>
    <row r="185" spans="1:133" x14ac:dyDescent="0.2">
      <c r="A185" s="63"/>
      <c r="B185" s="5" t="s">
        <v>0</v>
      </c>
      <c r="Q185" s="63"/>
      <c r="R185" s="5" t="s">
        <v>0</v>
      </c>
      <c r="AF185" s="63"/>
      <c r="AG185" s="5" t="s">
        <v>0</v>
      </c>
      <c r="AU185" s="63"/>
      <c r="AV185" s="5" t="s">
        <v>0</v>
      </c>
      <c r="BJ185" s="63"/>
      <c r="BK185" s="5" t="s">
        <v>0</v>
      </c>
      <c r="BY185" s="63"/>
      <c r="BZ185" s="5" t="s">
        <v>0</v>
      </c>
      <c r="CN185" s="63"/>
      <c r="CO185" s="5" t="s">
        <v>0</v>
      </c>
      <c r="DC185" s="63"/>
      <c r="DD185" s="190" t="s">
        <v>124</v>
      </c>
      <c r="DE185" s="190" t="s">
        <v>125</v>
      </c>
      <c r="DF185" s="190" t="s">
        <v>124</v>
      </c>
      <c r="DG185" s="190" t="s">
        <v>125</v>
      </c>
      <c r="DH185" s="190" t="s">
        <v>124</v>
      </c>
      <c r="DI185" s="190" t="s">
        <v>125</v>
      </c>
      <c r="DJ185" s="190" t="s">
        <v>124</v>
      </c>
      <c r="DK185" s="190" t="s">
        <v>125</v>
      </c>
      <c r="DL185" s="190" t="s">
        <v>124</v>
      </c>
      <c r="DM185" s="190" t="s">
        <v>125</v>
      </c>
      <c r="DN185" s="190" t="s">
        <v>124</v>
      </c>
      <c r="DO185" s="190" t="s">
        <v>125</v>
      </c>
      <c r="DP185" s="190" t="s">
        <v>124</v>
      </c>
      <c r="DQ185" s="190" t="s">
        <v>125</v>
      </c>
      <c r="DR185" s="190" t="s">
        <v>124</v>
      </c>
      <c r="DS185" s="190" t="s">
        <v>125</v>
      </c>
      <c r="DT185" s="190" t="s">
        <v>124</v>
      </c>
      <c r="DU185" s="190" t="s">
        <v>125</v>
      </c>
      <c r="DV185" s="190" t="s">
        <v>124</v>
      </c>
      <c r="DW185" s="190" t="s">
        <v>125</v>
      </c>
      <c r="DX185" s="190" t="s">
        <v>124</v>
      </c>
      <c r="DY185" s="190" t="s">
        <v>125</v>
      </c>
      <c r="DZ185" s="190" t="s">
        <v>124</v>
      </c>
      <c r="EA185" s="190" t="s">
        <v>125</v>
      </c>
      <c r="EB185" s="190" t="s">
        <v>124</v>
      </c>
      <c r="EC185" s="190" t="s">
        <v>125</v>
      </c>
    </row>
    <row r="186" spans="1:133" ht="25.5" x14ac:dyDescent="0.2">
      <c r="A186" s="5" t="s">
        <v>1</v>
      </c>
      <c r="B186" s="264" t="s">
        <v>117</v>
      </c>
      <c r="C186" s="264"/>
      <c r="D186" s="264"/>
      <c r="E186" s="21" t="s">
        <v>2</v>
      </c>
      <c r="F186" s="21" t="s">
        <v>3</v>
      </c>
      <c r="G186" s="21" t="s">
        <v>38</v>
      </c>
      <c r="H186" s="21" t="s">
        <v>39</v>
      </c>
      <c r="I186" s="71" t="s">
        <v>148</v>
      </c>
      <c r="J186" s="21" t="s">
        <v>6</v>
      </c>
      <c r="K186" s="21" t="s">
        <v>88</v>
      </c>
      <c r="L186" s="21" t="s">
        <v>89</v>
      </c>
      <c r="M186" s="73" t="s">
        <v>323</v>
      </c>
      <c r="N186" s="52" t="s">
        <v>53</v>
      </c>
      <c r="O186" s="52"/>
      <c r="P186" s="52"/>
      <c r="Q186" s="5" t="s">
        <v>1</v>
      </c>
      <c r="R186" s="264" t="s">
        <v>4</v>
      </c>
      <c r="S186" s="264" t="s">
        <v>41</v>
      </c>
      <c r="T186" s="264" t="s">
        <v>42</v>
      </c>
      <c r="U186" s="21" t="s">
        <v>2</v>
      </c>
      <c r="V186" s="21" t="s">
        <v>3</v>
      </c>
      <c r="W186" s="21" t="s">
        <v>38</v>
      </c>
      <c r="X186" s="21" t="s">
        <v>39</v>
      </c>
      <c r="Y186" s="71" t="s">
        <v>148</v>
      </c>
      <c r="Z186" s="21" t="s">
        <v>6</v>
      </c>
      <c r="AA186" s="21" t="s">
        <v>88</v>
      </c>
      <c r="AB186" s="21" t="s">
        <v>89</v>
      </c>
      <c r="AC186" s="73" t="s">
        <v>323</v>
      </c>
      <c r="AD186" s="52" t="s">
        <v>53</v>
      </c>
      <c r="AF186" s="5" t="s">
        <v>1</v>
      </c>
      <c r="AG186" s="264" t="s">
        <v>4</v>
      </c>
      <c r="AH186" s="264" t="s">
        <v>41</v>
      </c>
      <c r="AI186" s="264" t="s">
        <v>42</v>
      </c>
      <c r="AJ186" s="21" t="s">
        <v>2</v>
      </c>
      <c r="AK186" s="21" t="s">
        <v>3</v>
      </c>
      <c r="AL186" s="21" t="s">
        <v>38</v>
      </c>
      <c r="AM186" s="21" t="s">
        <v>39</v>
      </c>
      <c r="AN186" s="71" t="s">
        <v>148</v>
      </c>
      <c r="AO186" s="21" t="s">
        <v>6</v>
      </c>
      <c r="AP186" s="21" t="s">
        <v>88</v>
      </c>
      <c r="AQ186" s="21" t="s">
        <v>89</v>
      </c>
      <c r="AR186" s="73" t="s">
        <v>323</v>
      </c>
      <c r="AS186" s="52" t="s">
        <v>53</v>
      </c>
      <c r="AU186" s="5" t="s">
        <v>1</v>
      </c>
      <c r="AV186" s="264" t="s">
        <v>117</v>
      </c>
      <c r="AW186" s="264"/>
      <c r="AX186" s="264"/>
      <c r="AY186" s="21" t="s">
        <v>2</v>
      </c>
      <c r="AZ186" s="21" t="s">
        <v>3</v>
      </c>
      <c r="BA186" s="21" t="s">
        <v>38</v>
      </c>
      <c r="BB186" s="21" t="s">
        <v>39</v>
      </c>
      <c r="BC186" s="71" t="s">
        <v>148</v>
      </c>
      <c r="BD186" s="21" t="s">
        <v>6</v>
      </c>
      <c r="BE186" s="21" t="s">
        <v>88</v>
      </c>
      <c r="BF186" s="21" t="s">
        <v>89</v>
      </c>
      <c r="BG186" s="73" t="s">
        <v>323</v>
      </c>
      <c r="BH186" s="52" t="s">
        <v>53</v>
      </c>
      <c r="BJ186" s="5" t="s">
        <v>1</v>
      </c>
      <c r="BK186" s="21" t="s">
        <v>4</v>
      </c>
      <c r="BL186" s="21" t="s">
        <v>41</v>
      </c>
      <c r="BM186" s="21" t="s">
        <v>42</v>
      </c>
      <c r="BN186" s="21" t="s">
        <v>2</v>
      </c>
      <c r="BO186" s="21" t="s">
        <v>3</v>
      </c>
      <c r="BP186" s="21" t="s">
        <v>38</v>
      </c>
      <c r="BQ186" s="21" t="s">
        <v>39</v>
      </c>
      <c r="BR186" s="73" t="s">
        <v>148</v>
      </c>
      <c r="BS186" s="21" t="s">
        <v>6</v>
      </c>
      <c r="BT186" s="21" t="s">
        <v>88</v>
      </c>
      <c r="BU186" s="21" t="s">
        <v>89</v>
      </c>
      <c r="BV186" s="73" t="s">
        <v>323</v>
      </c>
      <c r="BW186" s="21" t="s">
        <v>53</v>
      </c>
      <c r="BX186" s="21"/>
      <c r="BY186" s="5" t="s">
        <v>1</v>
      </c>
      <c r="BZ186" s="21" t="s">
        <v>4</v>
      </c>
      <c r="CA186" s="21" t="s">
        <v>41</v>
      </c>
      <c r="CB186" s="21" t="s">
        <v>42</v>
      </c>
      <c r="CC186" s="21" t="s">
        <v>2</v>
      </c>
      <c r="CD186" s="21" t="s">
        <v>3</v>
      </c>
      <c r="CE186" s="21" t="s">
        <v>38</v>
      </c>
      <c r="CF186" s="21" t="s">
        <v>39</v>
      </c>
      <c r="CG186" s="21" t="s">
        <v>148</v>
      </c>
      <c r="CH186" s="21" t="s">
        <v>6</v>
      </c>
      <c r="CI186" s="21" t="s">
        <v>88</v>
      </c>
      <c r="CJ186" s="21" t="s">
        <v>89</v>
      </c>
      <c r="CK186" s="21" t="s">
        <v>323</v>
      </c>
      <c r="CL186" s="21" t="s">
        <v>53</v>
      </c>
      <c r="CN186" s="5" t="s">
        <v>1</v>
      </c>
      <c r="CO186" s="21" t="s">
        <v>4</v>
      </c>
      <c r="CP186" s="21" t="s">
        <v>41</v>
      </c>
      <c r="CQ186" s="21" t="s">
        <v>42</v>
      </c>
      <c r="CR186" s="21" t="s">
        <v>2</v>
      </c>
      <c r="CS186" s="21" t="s">
        <v>3</v>
      </c>
      <c r="CT186" s="21" t="s">
        <v>38</v>
      </c>
      <c r="CU186" s="21" t="s">
        <v>39</v>
      </c>
      <c r="CV186" s="21" t="s">
        <v>148</v>
      </c>
      <c r="CW186" s="21" t="s">
        <v>6</v>
      </c>
      <c r="CX186" s="21" t="s">
        <v>88</v>
      </c>
      <c r="CY186" s="21" t="s">
        <v>89</v>
      </c>
      <c r="CZ186" s="21" t="s">
        <v>323</v>
      </c>
      <c r="DA186" s="21" t="s">
        <v>53</v>
      </c>
      <c r="DC186" s="5" t="s">
        <v>1</v>
      </c>
      <c r="DD186" s="191" t="s">
        <v>4</v>
      </c>
      <c r="DE186" s="191" t="s">
        <v>4</v>
      </c>
      <c r="DF186" s="191" t="s">
        <v>41</v>
      </c>
      <c r="DG186" s="191" t="s">
        <v>41</v>
      </c>
      <c r="DH186" s="191" t="s">
        <v>42</v>
      </c>
      <c r="DI186" s="191" t="s">
        <v>42</v>
      </c>
      <c r="DJ186" s="191" t="s">
        <v>2</v>
      </c>
      <c r="DK186" s="191" t="s">
        <v>2</v>
      </c>
      <c r="DL186" s="191" t="s">
        <v>3</v>
      </c>
      <c r="DM186" s="191" t="s">
        <v>3</v>
      </c>
      <c r="DN186" s="191" t="s">
        <v>38</v>
      </c>
      <c r="DO186" s="191" t="s">
        <v>38</v>
      </c>
      <c r="DP186" s="191" t="s">
        <v>39</v>
      </c>
      <c r="DQ186" s="191" t="s">
        <v>39</v>
      </c>
      <c r="DR186" s="191" t="s">
        <v>148</v>
      </c>
      <c r="DS186" s="191" t="s">
        <v>148</v>
      </c>
      <c r="DT186" s="191" t="s">
        <v>6</v>
      </c>
      <c r="DU186" s="191" t="s">
        <v>6</v>
      </c>
      <c r="DV186" s="191" t="s">
        <v>88</v>
      </c>
      <c r="DW186" s="191" t="s">
        <v>88</v>
      </c>
      <c r="DX186" s="191" t="s">
        <v>89</v>
      </c>
      <c r="DY186" s="191" t="s">
        <v>89</v>
      </c>
      <c r="DZ186" s="191" t="s">
        <v>323</v>
      </c>
      <c r="EA186" s="191" t="s">
        <v>323</v>
      </c>
      <c r="EB186" s="192" t="s">
        <v>126</v>
      </c>
      <c r="EC186" s="192" t="s">
        <v>126</v>
      </c>
    </row>
    <row r="187" spans="1:133" x14ac:dyDescent="0.2">
      <c r="A187" s="66" t="s">
        <v>4</v>
      </c>
      <c r="B187" s="265">
        <f>SUM(B5:D5,B31:D31,B57:D57,B83:D83,B109:D109,B135:D135,B161)</f>
        <v>11055608.041658031</v>
      </c>
      <c r="C187" s="266"/>
      <c r="D187" s="267"/>
      <c r="E187" s="37">
        <f t="shared" ref="E187:H192" si="1219">SUM(E5,E31,E57,E83,E109,E135,E161)</f>
        <v>0</v>
      </c>
      <c r="F187" s="37">
        <f t="shared" si="1219"/>
        <v>0</v>
      </c>
      <c r="G187" s="37">
        <f t="shared" si="1219"/>
        <v>0</v>
      </c>
      <c r="H187" s="37">
        <f t="shared" si="1219"/>
        <v>0</v>
      </c>
      <c r="I187" s="74">
        <f t="shared" ref="I187:I192" si="1220">SUM(G187:H187)</f>
        <v>0</v>
      </c>
      <c r="J187" s="37">
        <f t="shared" ref="J187:L192" si="1221">SUM(J5,J31,J57,J83,J109,J135,J161)</f>
        <v>0</v>
      </c>
      <c r="K187" s="37">
        <f t="shared" si="1221"/>
        <v>0</v>
      </c>
      <c r="L187" s="37">
        <f t="shared" si="1221"/>
        <v>0</v>
      </c>
      <c r="M187" s="177">
        <f>SUM(J187:L187)</f>
        <v>0</v>
      </c>
      <c r="N187" s="17">
        <f t="shared" ref="N187:N207" si="1222">SUM(B187:L187)-I187</f>
        <v>11055608.041658031</v>
      </c>
      <c r="O187" s="174">
        <f t="shared" ref="O187:O207" si="1223">N187/N$207</f>
        <v>0.40586983326943116</v>
      </c>
      <c r="P187" s="17"/>
      <c r="Q187" s="66" t="s">
        <v>4</v>
      </c>
      <c r="R187" s="265">
        <f>SUM(R5:T5,R31:T31,R57:T57,R83:T83,R109:T109,R135:T135,R161)</f>
        <v>0</v>
      </c>
      <c r="S187" s="266"/>
      <c r="T187" s="267"/>
      <c r="U187" s="37">
        <f t="shared" ref="U187:X199" si="1224">SUM(U5,U31,U57,U83,U109,U135,U161)</f>
        <v>0</v>
      </c>
      <c r="V187" s="37">
        <f t="shared" si="1224"/>
        <v>0</v>
      </c>
      <c r="W187" s="37">
        <f t="shared" si="1224"/>
        <v>0</v>
      </c>
      <c r="X187" s="37">
        <f t="shared" si="1224"/>
        <v>0</v>
      </c>
      <c r="Y187" s="74">
        <f>SUM(W187:X187)</f>
        <v>0</v>
      </c>
      <c r="Z187" s="37">
        <f t="shared" ref="Z187:AB193" si="1225">SUM(Z5,Z31,Z57,Z83,Z109,Z135,Z161)</f>
        <v>0</v>
      </c>
      <c r="AA187" s="37">
        <f t="shared" si="1225"/>
        <v>0</v>
      </c>
      <c r="AB187" s="37">
        <f t="shared" si="1225"/>
        <v>0</v>
      </c>
      <c r="AC187" s="177">
        <f>SUM(Z187:AB187)</f>
        <v>0</v>
      </c>
      <c r="AD187" s="17">
        <f t="shared" ref="AD187:AD207" si="1226">SUM(R187:AB187)-Y187</f>
        <v>0</v>
      </c>
      <c r="AE187" s="176" t="e">
        <f t="shared" ref="AE187:AE207" si="1227">AD187/AD$207</f>
        <v>#DIV/0!</v>
      </c>
      <c r="AF187" s="66" t="s">
        <v>4</v>
      </c>
      <c r="AG187" s="265">
        <f>SUM(AG5:AI5,AG31:AI31,AG57:AI57,AG83:AI83,AG109:AI109,AG135:AI135,AG161)</f>
        <v>0</v>
      </c>
      <c r="AH187" s="266"/>
      <c r="AI187" s="267"/>
      <c r="AJ187" s="37">
        <f t="shared" ref="AJ187:AM200" si="1228">SUM(AJ5,AJ31,AJ57,AJ83,AJ109,AJ135,AJ161)</f>
        <v>0</v>
      </c>
      <c r="AK187" s="37">
        <f t="shared" si="1228"/>
        <v>0</v>
      </c>
      <c r="AL187" s="37">
        <f t="shared" si="1228"/>
        <v>0</v>
      </c>
      <c r="AM187" s="37">
        <f t="shared" si="1228"/>
        <v>0</v>
      </c>
      <c r="AN187" s="74">
        <f>AL187+AM187</f>
        <v>0</v>
      </c>
      <c r="AO187" s="37">
        <f t="shared" ref="AO187:AQ200" si="1229">SUM(AO5,AO31,AO57,AO83,AO109,AO135,AO161)</f>
        <v>0</v>
      </c>
      <c r="AP187" s="37">
        <f t="shared" si="1229"/>
        <v>0</v>
      </c>
      <c r="AQ187" s="37">
        <f t="shared" si="1229"/>
        <v>0</v>
      </c>
      <c r="AR187" s="177"/>
      <c r="AS187" s="17">
        <f t="shared" ref="AS187:AS207" si="1230">SUM(AG187:AQ187)-AN187</f>
        <v>0</v>
      </c>
      <c r="AU187" s="66" t="s">
        <v>4</v>
      </c>
      <c r="AV187" s="265">
        <f>IF(R207&gt;0,R187/R207,0)</f>
        <v>0</v>
      </c>
      <c r="AW187" s="266">
        <f>IF(C207&gt;0,C187/C207,0)</f>
        <v>0</v>
      </c>
      <c r="AX187" s="267">
        <f>IF(D207&gt;0,D187/D207,0)</f>
        <v>0</v>
      </c>
      <c r="AY187" s="37">
        <f t="shared" ref="AY187:BG187" si="1231">IF(U207&gt;0,U187/U207,0)</f>
        <v>0</v>
      </c>
      <c r="AZ187" s="37">
        <f t="shared" si="1231"/>
        <v>0</v>
      </c>
      <c r="BA187" s="37">
        <f t="shared" si="1231"/>
        <v>0</v>
      </c>
      <c r="BB187" s="37">
        <f t="shared" si="1231"/>
        <v>0</v>
      </c>
      <c r="BC187" s="74">
        <f t="shared" si="1231"/>
        <v>0</v>
      </c>
      <c r="BD187" s="37">
        <f t="shared" si="1231"/>
        <v>0</v>
      </c>
      <c r="BE187" s="37">
        <f t="shared" si="1231"/>
        <v>0</v>
      </c>
      <c r="BF187" s="37">
        <f t="shared" si="1231"/>
        <v>0</v>
      </c>
      <c r="BG187" s="177">
        <f t="shared" si="1231"/>
        <v>0</v>
      </c>
      <c r="BH187" s="24" t="e">
        <f>AD187/AD207</f>
        <v>#DIV/0!</v>
      </c>
      <c r="BJ187" s="66" t="s">
        <v>4</v>
      </c>
      <c r="BK187" s="36">
        <f t="shared" ref="BK187:BV187" si="1232">IF(AG207&gt;0,AG187/AG207,0)</f>
        <v>0</v>
      </c>
      <c r="BL187" s="37">
        <f t="shared" si="1232"/>
        <v>0</v>
      </c>
      <c r="BM187" s="37">
        <f t="shared" si="1232"/>
        <v>0</v>
      </c>
      <c r="BN187" s="37">
        <f t="shared" si="1232"/>
        <v>0</v>
      </c>
      <c r="BO187" s="37">
        <f t="shared" si="1232"/>
        <v>0</v>
      </c>
      <c r="BP187" s="37">
        <f t="shared" si="1232"/>
        <v>0</v>
      </c>
      <c r="BQ187" s="37">
        <f t="shared" si="1232"/>
        <v>0</v>
      </c>
      <c r="BR187" s="74">
        <f t="shared" si="1232"/>
        <v>0</v>
      </c>
      <c r="BS187" s="37">
        <f t="shared" si="1232"/>
        <v>0</v>
      </c>
      <c r="BT187" s="37">
        <f t="shared" si="1232"/>
        <v>0</v>
      </c>
      <c r="BU187" s="37">
        <f t="shared" si="1232"/>
        <v>0</v>
      </c>
      <c r="BV187" s="177">
        <f t="shared" si="1232"/>
        <v>0</v>
      </c>
      <c r="BW187" s="24" t="e">
        <f>AS187/AS207</f>
        <v>#DIV/0!</v>
      </c>
      <c r="BX187" s="24"/>
      <c r="BY187" s="66" t="s">
        <v>4</v>
      </c>
      <c r="BZ187" s="58">
        <f>AG187-R187</f>
        <v>0</v>
      </c>
      <c r="CA187" s="53">
        <f t="shared" ref="CA187:CA207" si="1233">AH187-S187</f>
        <v>0</v>
      </c>
      <c r="CB187" s="53">
        <f t="shared" ref="CB187:CB207" si="1234">AI187-T187</f>
        <v>0</v>
      </c>
      <c r="CC187" s="53">
        <f t="shared" ref="CC187:CC207" si="1235">AJ187-U187</f>
        <v>0</v>
      </c>
      <c r="CD187" s="53">
        <f t="shared" ref="CD187:CD207" si="1236">AK187-V187</f>
        <v>0</v>
      </c>
      <c r="CE187" s="53">
        <f t="shared" ref="CE187:CE207" si="1237">AL187-W187</f>
        <v>0</v>
      </c>
      <c r="CF187" s="53">
        <f t="shared" ref="CF187:CF207" si="1238">AM187-X187</f>
        <v>0</v>
      </c>
      <c r="CG187" s="245">
        <f t="shared" ref="CG187:CG202" si="1239">AN187-Y187</f>
        <v>0</v>
      </c>
      <c r="CH187" s="53">
        <f t="shared" ref="CH187:CH207" si="1240">AO187-Z187</f>
        <v>0</v>
      </c>
      <c r="CI187" s="53">
        <f t="shared" ref="CI187:CI207" si="1241">AP187-AA187</f>
        <v>0</v>
      </c>
      <c r="CJ187" s="53">
        <f t="shared" ref="CJ187:CK207" si="1242">AQ187-AB187</f>
        <v>0</v>
      </c>
      <c r="CK187" s="248">
        <f>AR187-AC187</f>
        <v>0</v>
      </c>
      <c r="CL187" s="55">
        <f t="shared" ref="CL187:CL207" si="1243">AS187-AD187</f>
        <v>0</v>
      </c>
      <c r="CN187" s="66" t="s">
        <v>4</v>
      </c>
      <c r="CO187" s="58">
        <f>BK187-AV187</f>
        <v>0</v>
      </c>
      <c r="CP187" s="53">
        <f t="shared" ref="CP187:CP207" si="1244">BL187-AW187</f>
        <v>0</v>
      </c>
      <c r="CQ187" s="53">
        <f t="shared" ref="CQ187:CQ207" si="1245">BM187-AX187</f>
        <v>0</v>
      </c>
      <c r="CR187" s="53">
        <f t="shared" ref="CR187:CR207" si="1246">BN187-AY187</f>
        <v>0</v>
      </c>
      <c r="CS187" s="53">
        <f t="shared" ref="CS187:CS207" si="1247">BO187-AZ187</f>
        <v>0</v>
      </c>
      <c r="CT187" s="53">
        <f t="shared" ref="CT187:CT207" si="1248">BP187-BA187</f>
        <v>0</v>
      </c>
      <c r="CU187" s="53">
        <f t="shared" ref="CU187:CU207" si="1249">BQ187-BB187</f>
        <v>0</v>
      </c>
      <c r="CV187" s="245">
        <f t="shared" ref="CV187:CV207" si="1250">BR187-BC187</f>
        <v>0</v>
      </c>
      <c r="CW187" s="53">
        <f t="shared" ref="CW187:CW207" si="1251">BS187-BD187</f>
        <v>0</v>
      </c>
      <c r="CX187" s="53">
        <f t="shared" ref="CX187:CX207" si="1252">BT187-BE187</f>
        <v>0</v>
      </c>
      <c r="CY187" s="53">
        <f t="shared" ref="CY187:CZ207" si="1253">BU187-BF187</f>
        <v>0</v>
      </c>
      <c r="CZ187" s="248">
        <f>BV187-BG187</f>
        <v>0</v>
      </c>
      <c r="DA187" s="62" t="e">
        <f t="shared" ref="DA187:DA207" si="1254">BW187-BH187</f>
        <v>#DIV/0!</v>
      </c>
      <c r="DC187" s="66" t="s">
        <v>4</v>
      </c>
      <c r="DD187" s="193">
        <f>AV187</f>
        <v>0</v>
      </c>
      <c r="DE187" s="194">
        <f>BK187</f>
        <v>0</v>
      </c>
      <c r="DF187" s="195">
        <f>AW187</f>
        <v>0</v>
      </c>
      <c r="DG187" s="196">
        <f>BL187</f>
        <v>0</v>
      </c>
      <c r="DH187" s="195">
        <f>AX187</f>
        <v>0</v>
      </c>
      <c r="DI187" s="196">
        <f>BM187</f>
        <v>0</v>
      </c>
      <c r="DJ187" s="195">
        <f>AY187</f>
        <v>0</v>
      </c>
      <c r="DK187" s="196">
        <f>BN187</f>
        <v>0</v>
      </c>
      <c r="DL187" s="195">
        <f>AZ187</f>
        <v>0</v>
      </c>
      <c r="DM187" s="196">
        <f>BO187</f>
        <v>0</v>
      </c>
      <c r="DN187" s="195">
        <f>BA187</f>
        <v>0</v>
      </c>
      <c r="DO187" s="196">
        <f>BP187</f>
        <v>0</v>
      </c>
      <c r="DP187" s="195">
        <f>BB187</f>
        <v>0</v>
      </c>
      <c r="DQ187" s="196">
        <f>BQ187</f>
        <v>0</v>
      </c>
      <c r="DR187" s="195">
        <f>BC187</f>
        <v>0</v>
      </c>
      <c r="DS187" s="196">
        <f>BR187</f>
        <v>0</v>
      </c>
      <c r="DT187" s="195">
        <f>BD187</f>
        <v>0</v>
      </c>
      <c r="DU187" s="196">
        <f>BS187</f>
        <v>0</v>
      </c>
      <c r="DV187" s="195">
        <f>BE187</f>
        <v>0</v>
      </c>
      <c r="DW187" s="196">
        <f>BT187</f>
        <v>0</v>
      </c>
      <c r="DX187" s="195">
        <f>BF187</f>
        <v>0</v>
      </c>
      <c r="DY187" s="196">
        <f>BU187</f>
        <v>0</v>
      </c>
      <c r="DZ187" s="197">
        <f>BG187</f>
        <v>0</v>
      </c>
      <c r="EA187" s="196">
        <f t="shared" ref="EA187:EA206" si="1255">BV187</f>
        <v>0</v>
      </c>
      <c r="EB187" s="190" t="e">
        <f>BH187</f>
        <v>#DIV/0!</v>
      </c>
      <c r="EC187" s="190" t="e">
        <f>BW187</f>
        <v>#DIV/0!</v>
      </c>
    </row>
    <row r="188" spans="1:133" x14ac:dyDescent="0.2">
      <c r="A188" s="66" t="s">
        <v>41</v>
      </c>
      <c r="B188" s="262">
        <f>SUM(B6:D6,B32:D32,B58:D58,B84:D84,B110:D110,B136:D136,B162)</f>
        <v>5848748.8435369423</v>
      </c>
      <c r="C188" s="263"/>
      <c r="D188" s="268"/>
      <c r="E188" s="242">
        <f t="shared" si="1219"/>
        <v>0</v>
      </c>
      <c r="F188" s="242">
        <f t="shared" si="1219"/>
        <v>0</v>
      </c>
      <c r="G188" s="242">
        <f t="shared" si="1219"/>
        <v>66438.629931590898</v>
      </c>
      <c r="H188" s="242">
        <f t="shared" si="1219"/>
        <v>0</v>
      </c>
      <c r="I188" s="243">
        <f t="shared" si="1220"/>
        <v>66438.629931590898</v>
      </c>
      <c r="J188" s="242">
        <f t="shared" si="1221"/>
        <v>2159.0637864519422</v>
      </c>
      <c r="K188" s="242">
        <f t="shared" si="1221"/>
        <v>10216.856071243079</v>
      </c>
      <c r="L188" s="242">
        <f t="shared" si="1221"/>
        <v>203.43348681229759</v>
      </c>
      <c r="M188" s="178">
        <f t="shared" ref="M188:M206" si="1256">SUM(J188:L188)</f>
        <v>12579.353344507319</v>
      </c>
      <c r="N188" s="17">
        <f t="shared" si="1222"/>
        <v>5927766.8268130403</v>
      </c>
      <c r="O188" s="174">
        <f t="shared" si="1223"/>
        <v>0.21761821915114277</v>
      </c>
      <c r="P188" s="17"/>
      <c r="Q188" s="66" t="s">
        <v>41</v>
      </c>
      <c r="R188" s="262">
        <f>SUM(R6:T6,R32:T32,R58:T58,R84:T84,R110:T110,R136:T136,R162)</f>
        <v>0</v>
      </c>
      <c r="S188" s="263"/>
      <c r="T188" s="268"/>
      <c r="U188" s="242">
        <f t="shared" si="1224"/>
        <v>0</v>
      </c>
      <c r="V188" s="242">
        <f t="shared" si="1224"/>
        <v>0</v>
      </c>
      <c r="W188" s="242">
        <f t="shared" si="1224"/>
        <v>0</v>
      </c>
      <c r="X188" s="242">
        <f t="shared" si="1224"/>
        <v>0</v>
      </c>
      <c r="Y188" s="243">
        <f t="shared" ref="Y188:Y206" si="1257">SUM(W188:X188)</f>
        <v>0</v>
      </c>
      <c r="Z188" s="242">
        <f t="shared" si="1225"/>
        <v>0</v>
      </c>
      <c r="AA188" s="242">
        <f t="shared" si="1225"/>
        <v>0</v>
      </c>
      <c r="AB188" s="242">
        <f t="shared" si="1225"/>
        <v>0</v>
      </c>
      <c r="AC188" s="178">
        <f t="shared" ref="AC188:AC206" si="1258">SUM(Z188:AB188)</f>
        <v>0</v>
      </c>
      <c r="AD188" s="17">
        <f t="shared" si="1226"/>
        <v>0</v>
      </c>
      <c r="AE188" s="176" t="e">
        <f t="shared" si="1227"/>
        <v>#DIV/0!</v>
      </c>
      <c r="AF188" s="66" t="s">
        <v>41</v>
      </c>
      <c r="AG188" s="262">
        <f>SUM(AG6:AI6,AG32:AI32,AG58:AI58,AG84:AI84,AG110:AI110,AG136:AI136,AG162)</f>
        <v>0</v>
      </c>
      <c r="AH188" s="263"/>
      <c r="AI188" s="268"/>
      <c r="AJ188" s="242">
        <f t="shared" si="1228"/>
        <v>0</v>
      </c>
      <c r="AK188" s="242">
        <f t="shared" si="1228"/>
        <v>0</v>
      </c>
      <c r="AL188" s="242">
        <f t="shared" si="1228"/>
        <v>0</v>
      </c>
      <c r="AM188" s="242">
        <f t="shared" si="1228"/>
        <v>0</v>
      </c>
      <c r="AN188" s="243">
        <f t="shared" ref="AN188:AN191" si="1259">AL188+AM188</f>
        <v>0</v>
      </c>
      <c r="AO188" s="242">
        <f t="shared" si="1229"/>
        <v>0</v>
      </c>
      <c r="AP188" s="242">
        <f t="shared" si="1229"/>
        <v>0</v>
      </c>
      <c r="AQ188" s="242">
        <f t="shared" si="1229"/>
        <v>0</v>
      </c>
      <c r="AR188" s="178">
        <f>SUM(AO188:AQ188)</f>
        <v>0</v>
      </c>
      <c r="AS188" s="17">
        <f t="shared" si="1230"/>
        <v>0</v>
      </c>
      <c r="AU188" s="66" t="s">
        <v>41</v>
      </c>
      <c r="AV188" s="262">
        <f>IF(R207&gt;0,R188/R207,0)</f>
        <v>0</v>
      </c>
      <c r="AW188" s="263">
        <f>IF(C207&gt;0,C188/C207,0)</f>
        <v>0</v>
      </c>
      <c r="AX188" s="268">
        <f>IF(D207&gt;0,D188/D207,0)</f>
        <v>0</v>
      </c>
      <c r="AY188" s="242">
        <f t="shared" ref="AY188:BG188" si="1260">IF(U207&gt;0,U188/U207,0)</f>
        <v>0</v>
      </c>
      <c r="AZ188" s="242">
        <f t="shared" si="1260"/>
        <v>0</v>
      </c>
      <c r="BA188" s="242">
        <f t="shared" si="1260"/>
        <v>0</v>
      </c>
      <c r="BB188" s="242">
        <f t="shared" si="1260"/>
        <v>0</v>
      </c>
      <c r="BC188" s="243">
        <f t="shared" si="1260"/>
        <v>0</v>
      </c>
      <c r="BD188" s="242">
        <f t="shared" si="1260"/>
        <v>0</v>
      </c>
      <c r="BE188" s="242">
        <f t="shared" si="1260"/>
        <v>0</v>
      </c>
      <c r="BF188" s="242">
        <f t="shared" si="1260"/>
        <v>0</v>
      </c>
      <c r="BG188" s="178">
        <f t="shared" si="1260"/>
        <v>0</v>
      </c>
      <c r="BH188" s="24" t="e">
        <f>AD188/AD207</f>
        <v>#DIV/0!</v>
      </c>
      <c r="BJ188" s="66" t="s">
        <v>41</v>
      </c>
      <c r="BK188" s="38">
        <f t="shared" ref="BK188:BV188" si="1261">IF(AG207&gt;0,AG188/AG207,0)</f>
        <v>0</v>
      </c>
      <c r="BL188" s="36">
        <f t="shared" si="1261"/>
        <v>0</v>
      </c>
      <c r="BM188" s="242">
        <f t="shared" si="1261"/>
        <v>0</v>
      </c>
      <c r="BN188" s="242">
        <f t="shared" si="1261"/>
        <v>0</v>
      </c>
      <c r="BO188" s="242">
        <f t="shared" si="1261"/>
        <v>0</v>
      </c>
      <c r="BP188" s="242">
        <f t="shared" si="1261"/>
        <v>0</v>
      </c>
      <c r="BQ188" s="242">
        <f t="shared" si="1261"/>
        <v>0</v>
      </c>
      <c r="BR188" s="243">
        <f t="shared" si="1261"/>
        <v>0</v>
      </c>
      <c r="BS188" s="242">
        <f t="shared" si="1261"/>
        <v>0</v>
      </c>
      <c r="BT188" s="242">
        <f t="shared" si="1261"/>
        <v>0</v>
      </c>
      <c r="BU188" s="242">
        <f t="shared" si="1261"/>
        <v>0</v>
      </c>
      <c r="BV188" s="178">
        <f t="shared" si="1261"/>
        <v>0</v>
      </c>
      <c r="BW188" s="24" t="e">
        <f>AS188/AS207</f>
        <v>#DIV/0!</v>
      </c>
      <c r="BX188" s="24"/>
      <c r="BY188" s="66" t="s">
        <v>41</v>
      </c>
      <c r="BZ188" s="54">
        <f t="shared" ref="BZ188:BZ207" si="1262">AG188-R188</f>
        <v>0</v>
      </c>
      <c r="CA188" s="58">
        <f t="shared" si="1233"/>
        <v>0</v>
      </c>
      <c r="CB188" s="55">
        <f t="shared" si="1234"/>
        <v>0</v>
      </c>
      <c r="CC188" s="55">
        <f t="shared" si="1235"/>
        <v>0</v>
      </c>
      <c r="CD188" s="55">
        <f t="shared" si="1236"/>
        <v>0</v>
      </c>
      <c r="CE188" s="55">
        <f t="shared" si="1237"/>
        <v>0</v>
      </c>
      <c r="CF188" s="55">
        <f t="shared" si="1238"/>
        <v>0</v>
      </c>
      <c r="CG188" s="246">
        <f t="shared" si="1239"/>
        <v>0</v>
      </c>
      <c r="CH188" s="55">
        <f t="shared" si="1240"/>
        <v>0</v>
      </c>
      <c r="CI188" s="55">
        <f t="shared" si="1241"/>
        <v>0</v>
      </c>
      <c r="CJ188" s="55">
        <f t="shared" si="1242"/>
        <v>0</v>
      </c>
      <c r="CK188" s="249">
        <f t="shared" si="1242"/>
        <v>0</v>
      </c>
      <c r="CL188" s="55">
        <f t="shared" si="1243"/>
        <v>0</v>
      </c>
      <c r="CN188" s="66" t="s">
        <v>41</v>
      </c>
      <c r="CO188" s="54">
        <f t="shared" ref="CO188:CO207" si="1263">BK188-AV188</f>
        <v>0</v>
      </c>
      <c r="CP188" s="58">
        <f t="shared" si="1244"/>
        <v>0</v>
      </c>
      <c r="CQ188" s="55">
        <f t="shared" si="1245"/>
        <v>0</v>
      </c>
      <c r="CR188" s="55">
        <f t="shared" si="1246"/>
        <v>0</v>
      </c>
      <c r="CS188" s="55">
        <f t="shared" si="1247"/>
        <v>0</v>
      </c>
      <c r="CT188" s="55">
        <f t="shared" si="1248"/>
        <v>0</v>
      </c>
      <c r="CU188" s="55">
        <f t="shared" si="1249"/>
        <v>0</v>
      </c>
      <c r="CV188" s="246">
        <f t="shared" si="1250"/>
        <v>0</v>
      </c>
      <c r="CW188" s="55">
        <f t="shared" si="1251"/>
        <v>0</v>
      </c>
      <c r="CX188" s="55">
        <f t="shared" si="1252"/>
        <v>0</v>
      </c>
      <c r="CY188" s="55">
        <f t="shared" si="1253"/>
        <v>0</v>
      </c>
      <c r="CZ188" s="249">
        <f t="shared" si="1253"/>
        <v>0</v>
      </c>
      <c r="DA188" s="62" t="e">
        <f t="shared" si="1254"/>
        <v>#DIV/0!</v>
      </c>
      <c r="DC188" s="66" t="s">
        <v>41</v>
      </c>
      <c r="DD188" s="198">
        <f t="shared" ref="DD188:DD206" si="1264">AV188</f>
        <v>0</v>
      </c>
      <c r="DE188" s="199">
        <f t="shared" ref="DE188:DE206" si="1265">BK188</f>
        <v>0</v>
      </c>
      <c r="DF188" s="193">
        <f t="shared" ref="DF188:DF206" si="1266">AW188</f>
        <v>0</v>
      </c>
      <c r="DG188" s="194">
        <f t="shared" ref="DG188:DG206" si="1267">BL188</f>
        <v>0</v>
      </c>
      <c r="DH188" s="198">
        <f t="shared" ref="DH188:DH206" si="1268">AX188</f>
        <v>0</v>
      </c>
      <c r="DI188" s="199">
        <f t="shared" ref="DI188:DI206" si="1269">BM188</f>
        <v>0</v>
      </c>
      <c r="DJ188" s="198">
        <f t="shared" ref="DJ188:DJ206" si="1270">AY188</f>
        <v>0</v>
      </c>
      <c r="DK188" s="199">
        <f t="shared" ref="DK188:DK206" si="1271">BN188</f>
        <v>0</v>
      </c>
      <c r="DL188" s="198">
        <f t="shared" ref="DL188:DL206" si="1272">AZ188</f>
        <v>0</v>
      </c>
      <c r="DM188" s="199">
        <f t="shared" ref="DM188:DM206" si="1273">BO188</f>
        <v>0</v>
      </c>
      <c r="DN188" s="198">
        <f t="shared" ref="DN188:DN206" si="1274">BA188</f>
        <v>0</v>
      </c>
      <c r="DO188" s="199">
        <f t="shared" ref="DO188:DO206" si="1275">BP188</f>
        <v>0</v>
      </c>
      <c r="DP188" s="198">
        <f t="shared" ref="DP188:DP206" si="1276">BB188</f>
        <v>0</v>
      </c>
      <c r="DQ188" s="199">
        <f t="shared" ref="DQ188:DQ206" si="1277">BQ188</f>
        <v>0</v>
      </c>
      <c r="DR188" s="198">
        <f t="shared" ref="DR188:DR206" si="1278">BC188</f>
        <v>0</v>
      </c>
      <c r="DS188" s="199">
        <f t="shared" ref="DS188:DS206" si="1279">BR188</f>
        <v>0</v>
      </c>
      <c r="DT188" s="198">
        <f t="shared" ref="DT188:DT206" si="1280">BD188</f>
        <v>0</v>
      </c>
      <c r="DU188" s="199">
        <f t="shared" ref="DU188:DU206" si="1281">BS188</f>
        <v>0</v>
      </c>
      <c r="DV188" s="198">
        <f t="shared" ref="DV188:DV206" si="1282">BE188</f>
        <v>0</v>
      </c>
      <c r="DW188" s="199">
        <f t="shared" ref="DW188:DW206" si="1283">BT188</f>
        <v>0</v>
      </c>
      <c r="DX188" s="198">
        <f t="shared" ref="DX188:DX206" si="1284">BF188</f>
        <v>0</v>
      </c>
      <c r="DY188" s="199">
        <f t="shared" ref="DY188:DY206" si="1285">BU188</f>
        <v>0</v>
      </c>
      <c r="DZ188" s="190">
        <f t="shared" ref="DZ188:DZ206" si="1286">BG188</f>
        <v>0</v>
      </c>
      <c r="EA188" s="199">
        <f t="shared" si="1255"/>
        <v>0</v>
      </c>
      <c r="EB188" s="190" t="e">
        <f t="shared" ref="EB188:EB206" si="1287">BH188</f>
        <v>#DIV/0!</v>
      </c>
      <c r="EC188" s="190" t="e">
        <f t="shared" ref="EC188:EC206" si="1288">BW188</f>
        <v>#DIV/0!</v>
      </c>
    </row>
    <row r="189" spans="1:133" x14ac:dyDescent="0.2">
      <c r="A189" s="66" t="s">
        <v>42</v>
      </c>
      <c r="B189" s="269">
        <f>SUM(B7:D7,B33:D33,B59:D59,B85:D85,B111:D111,B137:D137,B163)</f>
        <v>3928364.2182465903</v>
      </c>
      <c r="C189" s="270"/>
      <c r="D189" s="271"/>
      <c r="E189" s="242">
        <f t="shared" si="1219"/>
        <v>0</v>
      </c>
      <c r="F189" s="242">
        <f t="shared" si="1219"/>
        <v>0</v>
      </c>
      <c r="G189" s="242">
        <f t="shared" si="1219"/>
        <v>30178.223998274105</v>
      </c>
      <c r="H189" s="242">
        <f t="shared" si="1219"/>
        <v>0</v>
      </c>
      <c r="I189" s="243">
        <f t="shared" si="1220"/>
        <v>30178.223998274105</v>
      </c>
      <c r="J189" s="242">
        <f t="shared" si="1221"/>
        <v>552.6646304923338</v>
      </c>
      <c r="K189" s="242">
        <f t="shared" si="1221"/>
        <v>23461.130563674749</v>
      </c>
      <c r="L189" s="242">
        <f t="shared" si="1221"/>
        <v>0</v>
      </c>
      <c r="M189" s="178">
        <f t="shared" si="1256"/>
        <v>24013.795194167084</v>
      </c>
      <c r="N189" s="17">
        <f t="shared" si="1222"/>
        <v>3982556.2374390317</v>
      </c>
      <c r="O189" s="174">
        <f t="shared" si="1223"/>
        <v>0.14620629005522326</v>
      </c>
      <c r="P189" s="17"/>
      <c r="Q189" s="66" t="s">
        <v>42</v>
      </c>
      <c r="R189" s="269">
        <f>SUM(R7:T7,R33:T33,R59:T59,R85:T85,R111:T111,R137:T137,R163)</f>
        <v>0</v>
      </c>
      <c r="S189" s="270"/>
      <c r="T189" s="271"/>
      <c r="U189" s="242">
        <f t="shared" si="1224"/>
        <v>0</v>
      </c>
      <c r="V189" s="242">
        <f t="shared" si="1224"/>
        <v>0</v>
      </c>
      <c r="W189" s="242">
        <f t="shared" si="1224"/>
        <v>0</v>
      </c>
      <c r="X189" s="242">
        <f t="shared" si="1224"/>
        <v>0</v>
      </c>
      <c r="Y189" s="243">
        <f t="shared" si="1257"/>
        <v>0</v>
      </c>
      <c r="Z189" s="242">
        <f t="shared" si="1225"/>
        <v>0</v>
      </c>
      <c r="AA189" s="242">
        <f t="shared" si="1225"/>
        <v>0</v>
      </c>
      <c r="AB189" s="242">
        <f t="shared" si="1225"/>
        <v>0</v>
      </c>
      <c r="AC189" s="178">
        <f t="shared" si="1258"/>
        <v>0</v>
      </c>
      <c r="AD189" s="17">
        <f t="shared" si="1226"/>
        <v>0</v>
      </c>
      <c r="AE189" s="176" t="e">
        <f t="shared" si="1227"/>
        <v>#DIV/0!</v>
      </c>
      <c r="AF189" s="66" t="s">
        <v>42</v>
      </c>
      <c r="AG189" s="269">
        <f>SUM(AG7:AI7,AG33:AI33,AG59:AI59,AG85:AI85,AG111:AI111,AG137:AI137,AG163)</f>
        <v>0</v>
      </c>
      <c r="AH189" s="270"/>
      <c r="AI189" s="271"/>
      <c r="AJ189" s="242">
        <f t="shared" si="1228"/>
        <v>0</v>
      </c>
      <c r="AK189" s="242">
        <f t="shared" si="1228"/>
        <v>0</v>
      </c>
      <c r="AL189" s="242">
        <f t="shared" si="1228"/>
        <v>0</v>
      </c>
      <c r="AM189" s="242">
        <f t="shared" si="1228"/>
        <v>0</v>
      </c>
      <c r="AN189" s="243">
        <f t="shared" si="1259"/>
        <v>0</v>
      </c>
      <c r="AO189" s="242">
        <f t="shared" si="1229"/>
        <v>0</v>
      </c>
      <c r="AP189" s="242">
        <f t="shared" si="1229"/>
        <v>0</v>
      </c>
      <c r="AQ189" s="242">
        <f t="shared" si="1229"/>
        <v>0</v>
      </c>
      <c r="AR189" s="178">
        <f t="shared" ref="AR189:AR203" si="1289">SUM(AO189:AQ189)</f>
        <v>0</v>
      </c>
      <c r="AS189" s="17">
        <f t="shared" si="1230"/>
        <v>0</v>
      </c>
      <c r="AU189" s="66" t="s">
        <v>42</v>
      </c>
      <c r="AV189" s="269">
        <f>IF(R207&gt;0,R189/R207,0)</f>
        <v>0</v>
      </c>
      <c r="AW189" s="270">
        <f>IF(C207&gt;0,C189/C207,0)</f>
        <v>0</v>
      </c>
      <c r="AX189" s="271">
        <f>IF(D207&gt;0,D189/D207,0)</f>
        <v>0</v>
      </c>
      <c r="AY189" s="242">
        <f t="shared" ref="AY189:BG189" si="1290">IF(U207&gt;0,U189/U207,0)</f>
        <v>0</v>
      </c>
      <c r="AZ189" s="242">
        <f t="shared" si="1290"/>
        <v>0</v>
      </c>
      <c r="BA189" s="242">
        <f t="shared" si="1290"/>
        <v>0</v>
      </c>
      <c r="BB189" s="242">
        <f t="shared" si="1290"/>
        <v>0</v>
      </c>
      <c r="BC189" s="243">
        <f t="shared" si="1290"/>
        <v>0</v>
      </c>
      <c r="BD189" s="242">
        <f t="shared" si="1290"/>
        <v>0</v>
      </c>
      <c r="BE189" s="242">
        <f t="shared" si="1290"/>
        <v>0</v>
      </c>
      <c r="BF189" s="242">
        <f t="shared" si="1290"/>
        <v>0</v>
      </c>
      <c r="BG189" s="178">
        <f t="shared" si="1290"/>
        <v>0</v>
      </c>
      <c r="BH189" s="24" t="e">
        <f>AD189/AD207</f>
        <v>#DIV/0!</v>
      </c>
      <c r="BJ189" s="66" t="s">
        <v>42</v>
      </c>
      <c r="BK189" s="38">
        <f t="shared" ref="BK189:BV189" si="1291">IF(AG207&gt;0,AG189/AG207,0)</f>
        <v>0</v>
      </c>
      <c r="BL189" s="242">
        <f t="shared" si="1291"/>
        <v>0</v>
      </c>
      <c r="BM189" s="36">
        <f t="shared" si="1291"/>
        <v>0</v>
      </c>
      <c r="BN189" s="242">
        <f t="shared" si="1291"/>
        <v>0</v>
      </c>
      <c r="BO189" s="242">
        <f t="shared" si="1291"/>
        <v>0</v>
      </c>
      <c r="BP189" s="242">
        <f t="shared" si="1291"/>
        <v>0</v>
      </c>
      <c r="BQ189" s="242">
        <f t="shared" si="1291"/>
        <v>0</v>
      </c>
      <c r="BR189" s="243">
        <f t="shared" si="1291"/>
        <v>0</v>
      </c>
      <c r="BS189" s="242">
        <f t="shared" si="1291"/>
        <v>0</v>
      </c>
      <c r="BT189" s="242">
        <f t="shared" si="1291"/>
        <v>0</v>
      </c>
      <c r="BU189" s="242">
        <f t="shared" si="1291"/>
        <v>0</v>
      </c>
      <c r="BV189" s="178">
        <f t="shared" si="1291"/>
        <v>0</v>
      </c>
      <c r="BW189" s="24" t="e">
        <f>AS189/AS207</f>
        <v>#DIV/0!</v>
      </c>
      <c r="BX189" s="24"/>
      <c r="BY189" s="66" t="s">
        <v>42</v>
      </c>
      <c r="BZ189" s="54">
        <f t="shared" si="1262"/>
        <v>0</v>
      </c>
      <c r="CA189" s="55">
        <f t="shared" si="1233"/>
        <v>0</v>
      </c>
      <c r="CB189" s="58">
        <f t="shared" si="1234"/>
        <v>0</v>
      </c>
      <c r="CC189" s="55">
        <f t="shared" si="1235"/>
        <v>0</v>
      </c>
      <c r="CD189" s="55">
        <f t="shared" si="1236"/>
        <v>0</v>
      </c>
      <c r="CE189" s="55">
        <f t="shared" si="1237"/>
        <v>0</v>
      </c>
      <c r="CF189" s="55">
        <f t="shared" si="1238"/>
        <v>0</v>
      </c>
      <c r="CG189" s="246">
        <f t="shared" si="1239"/>
        <v>0</v>
      </c>
      <c r="CH189" s="55">
        <f t="shared" si="1240"/>
        <v>0</v>
      </c>
      <c r="CI189" s="55">
        <f t="shared" si="1241"/>
        <v>0</v>
      </c>
      <c r="CJ189" s="55">
        <f t="shared" si="1242"/>
        <v>0</v>
      </c>
      <c r="CK189" s="249">
        <f t="shared" si="1242"/>
        <v>0</v>
      </c>
      <c r="CL189" s="55">
        <f t="shared" si="1243"/>
        <v>0</v>
      </c>
      <c r="CN189" s="66" t="s">
        <v>42</v>
      </c>
      <c r="CO189" s="54">
        <f t="shared" si="1263"/>
        <v>0</v>
      </c>
      <c r="CP189" s="55">
        <f t="shared" si="1244"/>
        <v>0</v>
      </c>
      <c r="CQ189" s="58">
        <f t="shared" si="1245"/>
        <v>0</v>
      </c>
      <c r="CR189" s="55">
        <f t="shared" si="1246"/>
        <v>0</v>
      </c>
      <c r="CS189" s="55">
        <f t="shared" si="1247"/>
        <v>0</v>
      </c>
      <c r="CT189" s="55">
        <f t="shared" si="1248"/>
        <v>0</v>
      </c>
      <c r="CU189" s="55">
        <f t="shared" si="1249"/>
        <v>0</v>
      </c>
      <c r="CV189" s="246">
        <f t="shared" si="1250"/>
        <v>0</v>
      </c>
      <c r="CW189" s="55">
        <f t="shared" si="1251"/>
        <v>0</v>
      </c>
      <c r="CX189" s="55">
        <f t="shared" si="1252"/>
        <v>0</v>
      </c>
      <c r="CY189" s="55">
        <f t="shared" si="1253"/>
        <v>0</v>
      </c>
      <c r="CZ189" s="249">
        <f t="shared" si="1253"/>
        <v>0</v>
      </c>
      <c r="DA189" s="62" t="e">
        <f t="shared" si="1254"/>
        <v>#DIV/0!</v>
      </c>
      <c r="DC189" s="66" t="s">
        <v>42</v>
      </c>
      <c r="DD189" s="198">
        <f t="shared" si="1264"/>
        <v>0</v>
      </c>
      <c r="DE189" s="199">
        <f t="shared" si="1265"/>
        <v>0</v>
      </c>
      <c r="DF189" s="198">
        <f t="shared" si="1266"/>
        <v>0</v>
      </c>
      <c r="DG189" s="199">
        <f t="shared" si="1267"/>
        <v>0</v>
      </c>
      <c r="DH189" s="193">
        <f t="shared" si="1268"/>
        <v>0</v>
      </c>
      <c r="DI189" s="194">
        <f t="shared" si="1269"/>
        <v>0</v>
      </c>
      <c r="DJ189" s="198">
        <f t="shared" si="1270"/>
        <v>0</v>
      </c>
      <c r="DK189" s="199">
        <f t="shared" si="1271"/>
        <v>0</v>
      </c>
      <c r="DL189" s="198">
        <f t="shared" si="1272"/>
        <v>0</v>
      </c>
      <c r="DM189" s="199">
        <f t="shared" si="1273"/>
        <v>0</v>
      </c>
      <c r="DN189" s="198">
        <f t="shared" si="1274"/>
        <v>0</v>
      </c>
      <c r="DO189" s="199">
        <f t="shared" si="1275"/>
        <v>0</v>
      </c>
      <c r="DP189" s="198">
        <f t="shared" si="1276"/>
        <v>0</v>
      </c>
      <c r="DQ189" s="199">
        <f t="shared" si="1277"/>
        <v>0</v>
      </c>
      <c r="DR189" s="198">
        <f t="shared" si="1278"/>
        <v>0</v>
      </c>
      <c r="DS189" s="199">
        <f t="shared" si="1279"/>
        <v>0</v>
      </c>
      <c r="DT189" s="198">
        <f t="shared" si="1280"/>
        <v>0</v>
      </c>
      <c r="DU189" s="199">
        <f t="shared" si="1281"/>
        <v>0</v>
      </c>
      <c r="DV189" s="198">
        <f t="shared" si="1282"/>
        <v>0</v>
      </c>
      <c r="DW189" s="199">
        <f t="shared" si="1283"/>
        <v>0</v>
      </c>
      <c r="DX189" s="198">
        <f t="shared" si="1284"/>
        <v>0</v>
      </c>
      <c r="DY189" s="199">
        <f t="shared" si="1285"/>
        <v>0</v>
      </c>
      <c r="DZ189" s="190">
        <f t="shared" si="1286"/>
        <v>0</v>
      </c>
      <c r="EA189" s="199">
        <f t="shared" si="1255"/>
        <v>0</v>
      </c>
      <c r="EB189" s="190" t="e">
        <f t="shared" si="1287"/>
        <v>#DIV/0!</v>
      </c>
      <c r="EC189" s="190" t="e">
        <f t="shared" si="1288"/>
        <v>#DIV/0!</v>
      </c>
    </row>
    <row r="190" spans="1:133" x14ac:dyDescent="0.2">
      <c r="A190" s="66" t="s">
        <v>2</v>
      </c>
      <c r="B190" s="262">
        <f>SUM(B8:D8,B34:D34,B60:D60,B86:D86,B112:D112,B138:D138,B164)</f>
        <v>601053.8142332735</v>
      </c>
      <c r="C190" s="263"/>
      <c r="D190" s="263"/>
      <c r="E190" s="36">
        <f t="shared" si="1219"/>
        <v>3594954.6196765639</v>
      </c>
      <c r="F190" s="242">
        <f t="shared" si="1219"/>
        <v>36216.326464081998</v>
      </c>
      <c r="G190" s="242">
        <f t="shared" si="1219"/>
        <v>245045.41621162457</v>
      </c>
      <c r="H190" s="242">
        <f t="shared" si="1219"/>
        <v>0</v>
      </c>
      <c r="I190" s="243">
        <f t="shared" si="1220"/>
        <v>245045.41621162457</v>
      </c>
      <c r="J190" s="242">
        <f t="shared" si="1221"/>
        <v>1572.6444905559765</v>
      </c>
      <c r="K190" s="242">
        <f t="shared" si="1221"/>
        <v>8653.1502383142961</v>
      </c>
      <c r="L190" s="242">
        <f t="shared" si="1221"/>
        <v>535.00710944358991</v>
      </c>
      <c r="M190" s="178">
        <f t="shared" si="1256"/>
        <v>10760.801838313862</v>
      </c>
      <c r="N190" s="17">
        <f t="shared" si="1222"/>
        <v>4488030.9784238581</v>
      </c>
      <c r="O190" s="174">
        <f t="shared" si="1223"/>
        <v>0.16476311190277609</v>
      </c>
      <c r="P190" s="17"/>
      <c r="Q190" s="66" t="s">
        <v>2</v>
      </c>
      <c r="R190" s="262">
        <f>SUM(R8:T8,R34:T34,R60:T60,R86:T86,R112:T112,R138:T138,R164)</f>
        <v>0</v>
      </c>
      <c r="S190" s="263"/>
      <c r="T190" s="263"/>
      <c r="U190" s="36">
        <f t="shared" si="1224"/>
        <v>0</v>
      </c>
      <c r="V190" s="242">
        <f t="shared" si="1224"/>
        <v>0</v>
      </c>
      <c r="W190" s="242">
        <f t="shared" si="1224"/>
        <v>0</v>
      </c>
      <c r="X190" s="242">
        <f t="shared" si="1224"/>
        <v>0</v>
      </c>
      <c r="Y190" s="243">
        <f t="shared" si="1257"/>
        <v>0</v>
      </c>
      <c r="Z190" s="242">
        <f t="shared" si="1225"/>
        <v>0</v>
      </c>
      <c r="AA190" s="242">
        <f t="shared" si="1225"/>
        <v>0</v>
      </c>
      <c r="AB190" s="242">
        <f t="shared" si="1225"/>
        <v>0</v>
      </c>
      <c r="AC190" s="178">
        <f t="shared" si="1258"/>
        <v>0</v>
      </c>
      <c r="AD190" s="17">
        <f t="shared" si="1226"/>
        <v>0</v>
      </c>
      <c r="AE190" s="176" t="e">
        <f t="shared" si="1227"/>
        <v>#DIV/0!</v>
      </c>
      <c r="AF190" s="66" t="s">
        <v>2</v>
      </c>
      <c r="AG190" s="262">
        <f>SUM(AG8:AI8,AG34:AI34,AG60:AI60,AG86:AI86,AG112:AI112,AG138:AI138,AG164)</f>
        <v>0</v>
      </c>
      <c r="AH190" s="263"/>
      <c r="AI190" s="263"/>
      <c r="AJ190" s="36">
        <f t="shared" si="1228"/>
        <v>0</v>
      </c>
      <c r="AK190" s="242">
        <f t="shared" si="1228"/>
        <v>0</v>
      </c>
      <c r="AL190" s="242">
        <f t="shared" si="1228"/>
        <v>0</v>
      </c>
      <c r="AM190" s="242">
        <f t="shared" si="1228"/>
        <v>0</v>
      </c>
      <c r="AN190" s="243">
        <f t="shared" si="1259"/>
        <v>0</v>
      </c>
      <c r="AO190" s="242">
        <f t="shared" si="1229"/>
        <v>0</v>
      </c>
      <c r="AP190" s="242">
        <f t="shared" si="1229"/>
        <v>0</v>
      </c>
      <c r="AQ190" s="242">
        <f t="shared" si="1229"/>
        <v>0</v>
      </c>
      <c r="AR190" s="178">
        <f t="shared" si="1289"/>
        <v>0</v>
      </c>
      <c r="AS190" s="17">
        <f t="shared" si="1230"/>
        <v>0</v>
      </c>
      <c r="AU190" s="66" t="s">
        <v>2</v>
      </c>
      <c r="AV190" s="262">
        <f>IF(R207&gt;0,R190/R207,0)</f>
        <v>0</v>
      </c>
      <c r="AW190" s="263">
        <f>IF(C207&gt;0,C190/C207,0)</f>
        <v>0</v>
      </c>
      <c r="AX190" s="263">
        <f>IF(D207&gt;0,D190/D207,0)</f>
        <v>0</v>
      </c>
      <c r="AY190" s="36">
        <f t="shared" ref="AY190:BG190" si="1292">IF(U207&gt;0,U190/U207,0)</f>
        <v>0</v>
      </c>
      <c r="AZ190" s="242">
        <f t="shared" si="1292"/>
        <v>0</v>
      </c>
      <c r="BA190" s="242">
        <f t="shared" si="1292"/>
        <v>0</v>
      </c>
      <c r="BB190" s="242">
        <f t="shared" si="1292"/>
        <v>0</v>
      </c>
      <c r="BC190" s="243">
        <f t="shared" si="1292"/>
        <v>0</v>
      </c>
      <c r="BD190" s="242">
        <f t="shared" si="1292"/>
        <v>0</v>
      </c>
      <c r="BE190" s="242">
        <f t="shared" si="1292"/>
        <v>0</v>
      </c>
      <c r="BF190" s="242">
        <f t="shared" si="1292"/>
        <v>0</v>
      </c>
      <c r="BG190" s="178">
        <f t="shared" si="1292"/>
        <v>0</v>
      </c>
      <c r="BH190" s="24" t="e">
        <f>AD190/AD207</f>
        <v>#DIV/0!</v>
      </c>
      <c r="BJ190" s="66" t="s">
        <v>2</v>
      </c>
      <c r="BK190" s="38">
        <f t="shared" ref="BK190:BV190" si="1293">IF(AG207&gt;0,AG190/AG207,0)</f>
        <v>0</v>
      </c>
      <c r="BL190" s="242">
        <f t="shared" si="1293"/>
        <v>0</v>
      </c>
      <c r="BM190" s="242">
        <f t="shared" si="1293"/>
        <v>0</v>
      </c>
      <c r="BN190" s="36">
        <f t="shared" si="1293"/>
        <v>0</v>
      </c>
      <c r="BO190" s="242">
        <f t="shared" si="1293"/>
        <v>0</v>
      </c>
      <c r="BP190" s="242">
        <f t="shared" si="1293"/>
        <v>0</v>
      </c>
      <c r="BQ190" s="242">
        <f t="shared" si="1293"/>
        <v>0</v>
      </c>
      <c r="BR190" s="243">
        <f t="shared" si="1293"/>
        <v>0</v>
      </c>
      <c r="BS190" s="242">
        <f t="shared" si="1293"/>
        <v>0</v>
      </c>
      <c r="BT190" s="242">
        <f t="shared" si="1293"/>
        <v>0</v>
      </c>
      <c r="BU190" s="242">
        <f t="shared" si="1293"/>
        <v>0</v>
      </c>
      <c r="BV190" s="178">
        <f t="shared" si="1293"/>
        <v>0</v>
      </c>
      <c r="BW190" s="24" t="e">
        <f>AS190/AS207</f>
        <v>#DIV/0!</v>
      </c>
      <c r="BX190" s="24"/>
      <c r="BY190" s="66" t="s">
        <v>2</v>
      </c>
      <c r="BZ190" s="54">
        <f t="shared" si="1262"/>
        <v>0</v>
      </c>
      <c r="CA190" s="55">
        <f t="shared" si="1233"/>
        <v>0</v>
      </c>
      <c r="CB190" s="55">
        <f t="shared" si="1234"/>
        <v>0</v>
      </c>
      <c r="CC190" s="58">
        <f t="shared" si="1235"/>
        <v>0</v>
      </c>
      <c r="CD190" s="55">
        <f t="shared" si="1236"/>
        <v>0</v>
      </c>
      <c r="CE190" s="55">
        <f t="shared" si="1237"/>
        <v>0</v>
      </c>
      <c r="CF190" s="55">
        <f t="shared" si="1238"/>
        <v>0</v>
      </c>
      <c r="CG190" s="246">
        <f t="shared" si="1239"/>
        <v>0</v>
      </c>
      <c r="CH190" s="55">
        <f t="shared" si="1240"/>
        <v>0</v>
      </c>
      <c r="CI190" s="55">
        <f t="shared" si="1241"/>
        <v>0</v>
      </c>
      <c r="CJ190" s="55">
        <f t="shared" si="1242"/>
        <v>0</v>
      </c>
      <c r="CK190" s="249">
        <f t="shared" si="1242"/>
        <v>0</v>
      </c>
      <c r="CL190" s="55">
        <f t="shared" si="1243"/>
        <v>0</v>
      </c>
      <c r="CN190" s="66" t="s">
        <v>2</v>
      </c>
      <c r="CO190" s="54">
        <f t="shared" si="1263"/>
        <v>0</v>
      </c>
      <c r="CP190" s="55">
        <f t="shared" si="1244"/>
        <v>0</v>
      </c>
      <c r="CQ190" s="55">
        <f t="shared" si="1245"/>
        <v>0</v>
      </c>
      <c r="CR190" s="58">
        <f t="shared" si="1246"/>
        <v>0</v>
      </c>
      <c r="CS190" s="55">
        <f t="shared" si="1247"/>
        <v>0</v>
      </c>
      <c r="CT190" s="55">
        <f t="shared" si="1248"/>
        <v>0</v>
      </c>
      <c r="CU190" s="55">
        <f t="shared" si="1249"/>
        <v>0</v>
      </c>
      <c r="CV190" s="246">
        <f t="shared" si="1250"/>
        <v>0</v>
      </c>
      <c r="CW190" s="55">
        <f t="shared" si="1251"/>
        <v>0</v>
      </c>
      <c r="CX190" s="55">
        <f t="shared" si="1252"/>
        <v>0</v>
      </c>
      <c r="CY190" s="55">
        <f t="shared" si="1253"/>
        <v>0</v>
      </c>
      <c r="CZ190" s="249">
        <f t="shared" si="1253"/>
        <v>0</v>
      </c>
      <c r="DA190" s="62" t="e">
        <f t="shared" si="1254"/>
        <v>#DIV/0!</v>
      </c>
      <c r="DC190" s="66" t="s">
        <v>2</v>
      </c>
      <c r="DD190" s="198">
        <f t="shared" si="1264"/>
        <v>0</v>
      </c>
      <c r="DE190" s="199">
        <f t="shared" si="1265"/>
        <v>0</v>
      </c>
      <c r="DF190" s="198">
        <f t="shared" si="1266"/>
        <v>0</v>
      </c>
      <c r="DG190" s="199">
        <f t="shared" si="1267"/>
        <v>0</v>
      </c>
      <c r="DH190" s="198">
        <f t="shared" si="1268"/>
        <v>0</v>
      </c>
      <c r="DI190" s="199">
        <f t="shared" si="1269"/>
        <v>0</v>
      </c>
      <c r="DJ190" s="193">
        <f t="shared" si="1270"/>
        <v>0</v>
      </c>
      <c r="DK190" s="194">
        <f t="shared" si="1271"/>
        <v>0</v>
      </c>
      <c r="DL190" s="198">
        <f t="shared" si="1272"/>
        <v>0</v>
      </c>
      <c r="DM190" s="199">
        <f t="shared" si="1273"/>
        <v>0</v>
      </c>
      <c r="DN190" s="198">
        <f t="shared" si="1274"/>
        <v>0</v>
      </c>
      <c r="DO190" s="199">
        <f t="shared" si="1275"/>
        <v>0</v>
      </c>
      <c r="DP190" s="198">
        <f t="shared" si="1276"/>
        <v>0</v>
      </c>
      <c r="DQ190" s="199">
        <f t="shared" si="1277"/>
        <v>0</v>
      </c>
      <c r="DR190" s="198">
        <f t="shared" si="1278"/>
        <v>0</v>
      </c>
      <c r="DS190" s="199">
        <f t="shared" si="1279"/>
        <v>0</v>
      </c>
      <c r="DT190" s="198">
        <f t="shared" si="1280"/>
        <v>0</v>
      </c>
      <c r="DU190" s="199">
        <f t="shared" si="1281"/>
        <v>0</v>
      </c>
      <c r="DV190" s="198">
        <f t="shared" si="1282"/>
        <v>0</v>
      </c>
      <c r="DW190" s="199">
        <f t="shared" si="1283"/>
        <v>0</v>
      </c>
      <c r="DX190" s="198">
        <f t="shared" si="1284"/>
        <v>0</v>
      </c>
      <c r="DY190" s="199">
        <f t="shared" si="1285"/>
        <v>0</v>
      </c>
      <c r="DZ190" s="190">
        <f t="shared" si="1286"/>
        <v>0</v>
      </c>
      <c r="EA190" s="199">
        <f t="shared" si="1255"/>
        <v>0</v>
      </c>
      <c r="EB190" s="190" t="e">
        <f t="shared" si="1287"/>
        <v>#DIV/0!</v>
      </c>
      <c r="EC190" s="190" t="e">
        <f t="shared" si="1288"/>
        <v>#DIV/0!</v>
      </c>
    </row>
    <row r="191" spans="1:133" x14ac:dyDescent="0.2">
      <c r="A191" s="66" t="s">
        <v>3</v>
      </c>
      <c r="B191" s="262">
        <f>SUM(B9:D9,B35:D35,B61:D61,B87:D87,B113:D113,B139:D139,B165)</f>
        <v>0</v>
      </c>
      <c r="C191" s="263"/>
      <c r="D191" s="263"/>
      <c r="E191" s="242">
        <f t="shared" si="1219"/>
        <v>0</v>
      </c>
      <c r="F191" s="36">
        <f t="shared" si="1219"/>
        <v>558327.04077298986</v>
      </c>
      <c r="G191" s="242">
        <f t="shared" si="1219"/>
        <v>0</v>
      </c>
      <c r="H191" s="242">
        <f t="shared" si="1219"/>
        <v>0</v>
      </c>
      <c r="I191" s="243">
        <f t="shared" si="1220"/>
        <v>0</v>
      </c>
      <c r="J191" s="242">
        <f t="shared" si="1221"/>
        <v>0</v>
      </c>
      <c r="K191" s="242">
        <f t="shared" si="1221"/>
        <v>0</v>
      </c>
      <c r="L191" s="242">
        <f t="shared" si="1221"/>
        <v>0</v>
      </c>
      <c r="M191" s="178">
        <f t="shared" si="1256"/>
        <v>0</v>
      </c>
      <c r="N191" s="17">
        <f t="shared" si="1222"/>
        <v>558327.04077298986</v>
      </c>
      <c r="O191" s="174">
        <f t="shared" si="1223"/>
        <v>2.0497118032267309E-2</v>
      </c>
      <c r="P191" s="17"/>
      <c r="Q191" s="66" t="s">
        <v>3</v>
      </c>
      <c r="R191" s="262">
        <f>SUM(R9:T9,R35:T35,R61:T61,R87:T87,R113:T113,R139:T139,R165)</f>
        <v>0</v>
      </c>
      <c r="S191" s="263"/>
      <c r="T191" s="263"/>
      <c r="U191" s="242">
        <f t="shared" si="1224"/>
        <v>0</v>
      </c>
      <c r="V191" s="36">
        <f t="shared" si="1224"/>
        <v>0</v>
      </c>
      <c r="W191" s="242">
        <f t="shared" si="1224"/>
        <v>0</v>
      </c>
      <c r="X191" s="242">
        <f t="shared" si="1224"/>
        <v>0</v>
      </c>
      <c r="Y191" s="243">
        <f t="shared" si="1257"/>
        <v>0</v>
      </c>
      <c r="Z191" s="242">
        <f t="shared" si="1225"/>
        <v>0</v>
      </c>
      <c r="AA191" s="242">
        <f t="shared" si="1225"/>
        <v>0</v>
      </c>
      <c r="AB191" s="242">
        <f t="shared" si="1225"/>
        <v>0</v>
      </c>
      <c r="AC191" s="178">
        <f t="shared" si="1258"/>
        <v>0</v>
      </c>
      <c r="AD191" s="17">
        <f t="shared" si="1226"/>
        <v>0</v>
      </c>
      <c r="AE191" s="176" t="e">
        <f t="shared" si="1227"/>
        <v>#DIV/0!</v>
      </c>
      <c r="AF191" s="66" t="s">
        <v>3</v>
      </c>
      <c r="AG191" s="262"/>
      <c r="AH191" s="263"/>
      <c r="AI191" s="263"/>
      <c r="AJ191" s="242">
        <f t="shared" si="1228"/>
        <v>0</v>
      </c>
      <c r="AK191" s="36">
        <f t="shared" si="1228"/>
        <v>0</v>
      </c>
      <c r="AL191" s="242">
        <f t="shared" si="1228"/>
        <v>0</v>
      </c>
      <c r="AM191" s="242">
        <f t="shared" si="1228"/>
        <v>0</v>
      </c>
      <c r="AN191" s="243">
        <f t="shared" si="1259"/>
        <v>0</v>
      </c>
      <c r="AO191" s="242">
        <f t="shared" si="1229"/>
        <v>0</v>
      </c>
      <c r="AP191" s="242">
        <f t="shared" si="1229"/>
        <v>0</v>
      </c>
      <c r="AQ191" s="242">
        <f t="shared" si="1229"/>
        <v>0</v>
      </c>
      <c r="AR191" s="178">
        <f t="shared" si="1289"/>
        <v>0</v>
      </c>
      <c r="AS191" s="17">
        <f t="shared" si="1230"/>
        <v>0</v>
      </c>
      <c r="AU191" s="66" t="s">
        <v>3</v>
      </c>
      <c r="AV191" s="262">
        <f t="shared" ref="AV191:BG191" si="1294">IF(R207&gt;0,R191/R207,0)</f>
        <v>0</v>
      </c>
      <c r="AW191" s="263">
        <f t="shared" si="1294"/>
        <v>0</v>
      </c>
      <c r="AX191" s="263">
        <f t="shared" si="1294"/>
        <v>0</v>
      </c>
      <c r="AY191" s="242">
        <f t="shared" si="1294"/>
        <v>0</v>
      </c>
      <c r="AZ191" s="36">
        <f t="shared" si="1294"/>
        <v>0</v>
      </c>
      <c r="BA191" s="242">
        <f t="shared" si="1294"/>
        <v>0</v>
      </c>
      <c r="BB191" s="242">
        <f t="shared" si="1294"/>
        <v>0</v>
      </c>
      <c r="BC191" s="243">
        <f t="shared" si="1294"/>
        <v>0</v>
      </c>
      <c r="BD191" s="242">
        <f t="shared" si="1294"/>
        <v>0</v>
      </c>
      <c r="BE191" s="242">
        <f t="shared" si="1294"/>
        <v>0</v>
      </c>
      <c r="BF191" s="242">
        <f t="shared" si="1294"/>
        <v>0</v>
      </c>
      <c r="BG191" s="178">
        <f t="shared" si="1294"/>
        <v>0</v>
      </c>
      <c r="BH191" s="24" t="e">
        <f>AD191/AD207</f>
        <v>#DIV/0!</v>
      </c>
      <c r="BJ191" s="66" t="s">
        <v>3</v>
      </c>
      <c r="BK191" s="38">
        <f t="shared" ref="BK191:BV191" si="1295">IF(AG207&gt;0,AG191/AG207,0)</f>
        <v>0</v>
      </c>
      <c r="BL191" s="242">
        <f t="shared" si="1295"/>
        <v>0</v>
      </c>
      <c r="BM191" s="242">
        <f t="shared" si="1295"/>
        <v>0</v>
      </c>
      <c r="BN191" s="242">
        <f t="shared" si="1295"/>
        <v>0</v>
      </c>
      <c r="BO191" s="36">
        <f t="shared" si="1295"/>
        <v>0</v>
      </c>
      <c r="BP191" s="242">
        <f t="shared" si="1295"/>
        <v>0</v>
      </c>
      <c r="BQ191" s="242">
        <f t="shared" si="1295"/>
        <v>0</v>
      </c>
      <c r="BR191" s="243">
        <f t="shared" si="1295"/>
        <v>0</v>
      </c>
      <c r="BS191" s="242">
        <f t="shared" si="1295"/>
        <v>0</v>
      </c>
      <c r="BT191" s="242">
        <f t="shared" si="1295"/>
        <v>0</v>
      </c>
      <c r="BU191" s="242">
        <f t="shared" si="1295"/>
        <v>0</v>
      </c>
      <c r="BV191" s="178">
        <f t="shared" si="1295"/>
        <v>0</v>
      </c>
      <c r="BW191" s="24" t="e">
        <f>AS191/AS207</f>
        <v>#DIV/0!</v>
      </c>
      <c r="BX191" s="24"/>
      <c r="BY191" s="66" t="s">
        <v>3</v>
      </c>
      <c r="BZ191" s="54">
        <f t="shared" si="1262"/>
        <v>0</v>
      </c>
      <c r="CA191" s="55">
        <f t="shared" si="1233"/>
        <v>0</v>
      </c>
      <c r="CB191" s="55">
        <f t="shared" si="1234"/>
        <v>0</v>
      </c>
      <c r="CC191" s="55">
        <f t="shared" si="1235"/>
        <v>0</v>
      </c>
      <c r="CD191" s="58">
        <f t="shared" si="1236"/>
        <v>0</v>
      </c>
      <c r="CE191" s="55">
        <f t="shared" si="1237"/>
        <v>0</v>
      </c>
      <c r="CF191" s="55">
        <f t="shared" si="1238"/>
        <v>0</v>
      </c>
      <c r="CG191" s="246">
        <f t="shared" si="1239"/>
        <v>0</v>
      </c>
      <c r="CH191" s="55">
        <f t="shared" si="1240"/>
        <v>0</v>
      </c>
      <c r="CI191" s="55">
        <f t="shared" si="1241"/>
        <v>0</v>
      </c>
      <c r="CJ191" s="55">
        <f t="shared" si="1242"/>
        <v>0</v>
      </c>
      <c r="CK191" s="249">
        <f t="shared" si="1242"/>
        <v>0</v>
      </c>
      <c r="CL191" s="55">
        <f t="shared" si="1243"/>
        <v>0</v>
      </c>
      <c r="CN191" s="66" t="s">
        <v>3</v>
      </c>
      <c r="CO191" s="54">
        <f t="shared" si="1263"/>
        <v>0</v>
      </c>
      <c r="CP191" s="55">
        <f t="shared" si="1244"/>
        <v>0</v>
      </c>
      <c r="CQ191" s="55">
        <f t="shared" si="1245"/>
        <v>0</v>
      </c>
      <c r="CR191" s="55">
        <f t="shared" si="1246"/>
        <v>0</v>
      </c>
      <c r="CS191" s="58">
        <f t="shared" si="1247"/>
        <v>0</v>
      </c>
      <c r="CT191" s="55">
        <f t="shared" si="1248"/>
        <v>0</v>
      </c>
      <c r="CU191" s="55">
        <f t="shared" si="1249"/>
        <v>0</v>
      </c>
      <c r="CV191" s="246">
        <f t="shared" si="1250"/>
        <v>0</v>
      </c>
      <c r="CW191" s="55">
        <f t="shared" si="1251"/>
        <v>0</v>
      </c>
      <c r="CX191" s="55">
        <f t="shared" si="1252"/>
        <v>0</v>
      </c>
      <c r="CY191" s="55">
        <f t="shared" si="1253"/>
        <v>0</v>
      </c>
      <c r="CZ191" s="249">
        <f t="shared" si="1253"/>
        <v>0</v>
      </c>
      <c r="DA191" s="62" t="e">
        <f t="shared" si="1254"/>
        <v>#DIV/0!</v>
      </c>
      <c r="DC191" s="66" t="s">
        <v>3</v>
      </c>
      <c r="DD191" s="198">
        <f t="shared" si="1264"/>
        <v>0</v>
      </c>
      <c r="DE191" s="199">
        <f t="shared" si="1265"/>
        <v>0</v>
      </c>
      <c r="DF191" s="198">
        <f t="shared" si="1266"/>
        <v>0</v>
      </c>
      <c r="DG191" s="199">
        <f t="shared" si="1267"/>
        <v>0</v>
      </c>
      <c r="DH191" s="198">
        <f t="shared" si="1268"/>
        <v>0</v>
      </c>
      <c r="DI191" s="199">
        <f t="shared" si="1269"/>
        <v>0</v>
      </c>
      <c r="DJ191" s="198">
        <f t="shared" si="1270"/>
        <v>0</v>
      </c>
      <c r="DK191" s="199">
        <f t="shared" si="1271"/>
        <v>0</v>
      </c>
      <c r="DL191" s="193">
        <f t="shared" si="1272"/>
        <v>0</v>
      </c>
      <c r="DM191" s="194">
        <f t="shared" si="1273"/>
        <v>0</v>
      </c>
      <c r="DN191" s="198">
        <f t="shared" si="1274"/>
        <v>0</v>
      </c>
      <c r="DO191" s="199">
        <f t="shared" si="1275"/>
        <v>0</v>
      </c>
      <c r="DP191" s="198">
        <f t="shared" si="1276"/>
        <v>0</v>
      </c>
      <c r="DQ191" s="199">
        <f t="shared" si="1277"/>
        <v>0</v>
      </c>
      <c r="DR191" s="198">
        <f t="shared" si="1278"/>
        <v>0</v>
      </c>
      <c r="DS191" s="199">
        <f t="shared" si="1279"/>
        <v>0</v>
      </c>
      <c r="DT191" s="198">
        <f t="shared" si="1280"/>
        <v>0</v>
      </c>
      <c r="DU191" s="199">
        <f t="shared" si="1281"/>
        <v>0</v>
      </c>
      <c r="DV191" s="198">
        <f t="shared" si="1282"/>
        <v>0</v>
      </c>
      <c r="DW191" s="199">
        <f t="shared" si="1283"/>
        <v>0</v>
      </c>
      <c r="DX191" s="198">
        <f t="shared" si="1284"/>
        <v>0</v>
      </c>
      <c r="DY191" s="199">
        <f t="shared" si="1285"/>
        <v>0</v>
      </c>
      <c r="DZ191" s="190">
        <f t="shared" si="1286"/>
        <v>0</v>
      </c>
      <c r="EA191" s="199">
        <f t="shared" si="1255"/>
        <v>0</v>
      </c>
      <c r="EB191" s="190" t="e">
        <f t="shared" si="1287"/>
        <v>#DIV/0!</v>
      </c>
      <c r="EC191" s="190" t="e">
        <f t="shared" si="1288"/>
        <v>#DIV/0!</v>
      </c>
    </row>
    <row r="192" spans="1:133" x14ac:dyDescent="0.2">
      <c r="A192" s="66" t="s">
        <v>5</v>
      </c>
      <c r="B192" s="38">
        <f>SUM(B10,B36,B62,B88,B114,B140,B166)</f>
        <v>0</v>
      </c>
      <c r="C192" s="242">
        <f>SUM(C10,C36,C62,C88,C114,C140,C166)</f>
        <v>0</v>
      </c>
      <c r="D192" s="242">
        <f>SUM(D10,D36,D62,D88,D114,D140,D166)</f>
        <v>0</v>
      </c>
      <c r="E192" s="242">
        <f t="shared" si="1219"/>
        <v>0</v>
      </c>
      <c r="F192" s="242">
        <f t="shared" si="1219"/>
        <v>0</v>
      </c>
      <c r="G192" s="39">
        <f t="shared" si="1219"/>
        <v>573621.58470110362</v>
      </c>
      <c r="H192" s="242">
        <f t="shared" si="1219"/>
        <v>0</v>
      </c>
      <c r="I192" s="243">
        <f t="shared" si="1220"/>
        <v>573621.58470110362</v>
      </c>
      <c r="J192" s="242">
        <f t="shared" si="1221"/>
        <v>0</v>
      </c>
      <c r="K192" s="242">
        <f t="shared" si="1221"/>
        <v>0</v>
      </c>
      <c r="L192" s="242">
        <f t="shared" si="1221"/>
        <v>0</v>
      </c>
      <c r="M192" s="178">
        <f t="shared" si="1256"/>
        <v>0</v>
      </c>
      <c r="N192" s="17">
        <f t="shared" si="1222"/>
        <v>573621.58470110362</v>
      </c>
      <c r="O192" s="174">
        <f t="shared" si="1223"/>
        <v>2.1058606280642708E-2</v>
      </c>
      <c r="P192" s="17"/>
      <c r="Q192" s="66" t="s">
        <v>5</v>
      </c>
      <c r="R192" s="38"/>
      <c r="S192" s="242"/>
      <c r="T192" s="242"/>
      <c r="U192" s="242">
        <f t="shared" si="1224"/>
        <v>0</v>
      </c>
      <c r="V192" s="242">
        <f t="shared" si="1224"/>
        <v>0</v>
      </c>
      <c r="W192" s="39">
        <f t="shared" si="1224"/>
        <v>0</v>
      </c>
      <c r="X192" s="242">
        <f t="shared" si="1224"/>
        <v>0</v>
      </c>
      <c r="Y192" s="243">
        <f t="shared" si="1257"/>
        <v>0</v>
      </c>
      <c r="Z192" s="242">
        <f t="shared" si="1225"/>
        <v>0</v>
      </c>
      <c r="AA192" s="242">
        <f t="shared" si="1225"/>
        <v>0</v>
      </c>
      <c r="AB192" s="242">
        <f t="shared" si="1225"/>
        <v>0</v>
      </c>
      <c r="AC192" s="178">
        <f t="shared" si="1258"/>
        <v>0</v>
      </c>
      <c r="AD192" s="17">
        <f t="shared" si="1226"/>
        <v>0</v>
      </c>
      <c r="AE192" s="176" t="e">
        <f t="shared" si="1227"/>
        <v>#DIV/0!</v>
      </c>
      <c r="AF192" s="66" t="s">
        <v>5</v>
      </c>
      <c r="AG192" s="38"/>
      <c r="AH192" s="242"/>
      <c r="AI192" s="242"/>
      <c r="AJ192" s="242">
        <f t="shared" si="1228"/>
        <v>0</v>
      </c>
      <c r="AK192" s="242">
        <f t="shared" si="1228"/>
        <v>0</v>
      </c>
      <c r="AL192" s="39">
        <f t="shared" si="1228"/>
        <v>0</v>
      </c>
      <c r="AM192" s="242">
        <f t="shared" si="1228"/>
        <v>0</v>
      </c>
      <c r="AN192" s="243">
        <f t="shared" ref="AN192:AN197" si="1296">AL192+AM192+AL198+AM198</f>
        <v>0</v>
      </c>
      <c r="AO192" s="242">
        <f t="shared" si="1229"/>
        <v>0</v>
      </c>
      <c r="AP192" s="242">
        <f t="shared" si="1229"/>
        <v>0</v>
      </c>
      <c r="AQ192" s="242">
        <f t="shared" si="1229"/>
        <v>0</v>
      </c>
      <c r="AR192" s="178">
        <f t="shared" si="1289"/>
        <v>0</v>
      </c>
      <c r="AS192" s="17">
        <f t="shared" si="1230"/>
        <v>0</v>
      </c>
      <c r="AU192" s="66" t="s">
        <v>5</v>
      </c>
      <c r="AV192" s="38">
        <f t="shared" ref="AV192:BG192" si="1297">IF(R207&gt;0,R192/R207,0)</f>
        <v>0</v>
      </c>
      <c r="AW192" s="242">
        <f t="shared" si="1297"/>
        <v>0</v>
      </c>
      <c r="AX192" s="242">
        <f t="shared" si="1297"/>
        <v>0</v>
      </c>
      <c r="AY192" s="242">
        <f t="shared" si="1297"/>
        <v>0</v>
      </c>
      <c r="AZ192" s="242">
        <f t="shared" si="1297"/>
        <v>0</v>
      </c>
      <c r="BA192" s="39">
        <f t="shared" si="1297"/>
        <v>0</v>
      </c>
      <c r="BB192" s="242">
        <f t="shared" si="1297"/>
        <v>0</v>
      </c>
      <c r="BC192" s="243">
        <f t="shared" si="1297"/>
        <v>0</v>
      </c>
      <c r="BD192" s="242">
        <f t="shared" si="1297"/>
        <v>0</v>
      </c>
      <c r="BE192" s="242">
        <f t="shared" si="1297"/>
        <v>0</v>
      </c>
      <c r="BF192" s="242">
        <f t="shared" si="1297"/>
        <v>0</v>
      </c>
      <c r="BG192" s="178">
        <f t="shared" si="1297"/>
        <v>0</v>
      </c>
      <c r="BH192" s="24" t="e">
        <f>AD192/AD207</f>
        <v>#DIV/0!</v>
      </c>
      <c r="BJ192" s="66" t="s">
        <v>5</v>
      </c>
      <c r="BK192" s="38">
        <f t="shared" ref="BK192:BV192" si="1298">IF(AG207&gt;0,AG192/AG207,0)</f>
        <v>0</v>
      </c>
      <c r="BL192" s="242">
        <f t="shared" si="1298"/>
        <v>0</v>
      </c>
      <c r="BM192" s="242">
        <f t="shared" si="1298"/>
        <v>0</v>
      </c>
      <c r="BN192" s="242">
        <f t="shared" si="1298"/>
        <v>0</v>
      </c>
      <c r="BO192" s="242">
        <f t="shared" si="1298"/>
        <v>0</v>
      </c>
      <c r="BP192" s="39">
        <f t="shared" si="1298"/>
        <v>0</v>
      </c>
      <c r="BQ192" s="242">
        <f t="shared" si="1298"/>
        <v>0</v>
      </c>
      <c r="BR192" s="243">
        <f t="shared" si="1298"/>
        <v>0</v>
      </c>
      <c r="BS192" s="242">
        <f t="shared" si="1298"/>
        <v>0</v>
      </c>
      <c r="BT192" s="242">
        <f t="shared" si="1298"/>
        <v>0</v>
      </c>
      <c r="BU192" s="242">
        <f t="shared" si="1298"/>
        <v>0</v>
      </c>
      <c r="BV192" s="178">
        <f t="shared" si="1298"/>
        <v>0</v>
      </c>
      <c r="BW192" s="24" t="e">
        <f>AS192/AS207</f>
        <v>#DIV/0!</v>
      </c>
      <c r="BX192" s="24"/>
      <c r="BY192" s="66" t="s">
        <v>5</v>
      </c>
      <c r="BZ192" s="54">
        <f t="shared" si="1262"/>
        <v>0</v>
      </c>
      <c r="CA192" s="55">
        <f t="shared" si="1233"/>
        <v>0</v>
      </c>
      <c r="CB192" s="55">
        <f t="shared" si="1234"/>
        <v>0</v>
      </c>
      <c r="CC192" s="55">
        <f t="shared" si="1235"/>
        <v>0</v>
      </c>
      <c r="CD192" s="55">
        <f t="shared" si="1236"/>
        <v>0</v>
      </c>
      <c r="CE192" s="59">
        <f t="shared" si="1237"/>
        <v>0</v>
      </c>
      <c r="CF192" s="55">
        <f t="shared" si="1238"/>
        <v>0</v>
      </c>
      <c r="CG192" s="246">
        <f t="shared" si="1239"/>
        <v>0</v>
      </c>
      <c r="CH192" s="55">
        <f t="shared" si="1240"/>
        <v>0</v>
      </c>
      <c r="CI192" s="55">
        <f t="shared" si="1241"/>
        <v>0</v>
      </c>
      <c r="CJ192" s="55">
        <f t="shared" si="1242"/>
        <v>0</v>
      </c>
      <c r="CK192" s="249">
        <f t="shared" si="1242"/>
        <v>0</v>
      </c>
      <c r="CL192" s="55">
        <f t="shared" si="1243"/>
        <v>0</v>
      </c>
      <c r="CN192" s="66" t="s">
        <v>5</v>
      </c>
      <c r="CO192" s="54">
        <f t="shared" si="1263"/>
        <v>0</v>
      </c>
      <c r="CP192" s="55">
        <f t="shared" si="1244"/>
        <v>0</v>
      </c>
      <c r="CQ192" s="55">
        <f t="shared" si="1245"/>
        <v>0</v>
      </c>
      <c r="CR192" s="55">
        <f t="shared" si="1246"/>
        <v>0</v>
      </c>
      <c r="CS192" s="55">
        <f t="shared" si="1247"/>
        <v>0</v>
      </c>
      <c r="CT192" s="59">
        <f t="shared" si="1248"/>
        <v>0</v>
      </c>
      <c r="CU192" s="55">
        <f t="shared" si="1249"/>
        <v>0</v>
      </c>
      <c r="CV192" s="246">
        <f t="shared" si="1250"/>
        <v>0</v>
      </c>
      <c r="CW192" s="55">
        <f t="shared" si="1251"/>
        <v>0</v>
      </c>
      <c r="CX192" s="55">
        <f t="shared" si="1252"/>
        <v>0</v>
      </c>
      <c r="CY192" s="55">
        <f t="shared" si="1253"/>
        <v>0</v>
      </c>
      <c r="CZ192" s="249">
        <f t="shared" si="1253"/>
        <v>0</v>
      </c>
      <c r="DA192" s="62" t="e">
        <f t="shared" si="1254"/>
        <v>#DIV/0!</v>
      </c>
      <c r="DC192" s="66" t="s">
        <v>5</v>
      </c>
      <c r="DD192" s="198">
        <f t="shared" si="1264"/>
        <v>0</v>
      </c>
      <c r="DE192" s="199">
        <f t="shared" si="1265"/>
        <v>0</v>
      </c>
      <c r="DF192" s="198">
        <f t="shared" si="1266"/>
        <v>0</v>
      </c>
      <c r="DG192" s="199">
        <f t="shared" si="1267"/>
        <v>0</v>
      </c>
      <c r="DH192" s="198">
        <f t="shared" si="1268"/>
        <v>0</v>
      </c>
      <c r="DI192" s="199">
        <f t="shared" si="1269"/>
        <v>0</v>
      </c>
      <c r="DJ192" s="198">
        <f t="shared" si="1270"/>
        <v>0</v>
      </c>
      <c r="DK192" s="199">
        <f t="shared" si="1271"/>
        <v>0</v>
      </c>
      <c r="DL192" s="198">
        <f t="shared" si="1272"/>
        <v>0</v>
      </c>
      <c r="DM192" s="199">
        <f t="shared" si="1273"/>
        <v>0</v>
      </c>
      <c r="DN192" s="195">
        <f t="shared" si="1274"/>
        <v>0</v>
      </c>
      <c r="DO192" s="196">
        <f t="shared" si="1275"/>
        <v>0</v>
      </c>
      <c r="DP192" s="198">
        <f t="shared" si="1276"/>
        <v>0</v>
      </c>
      <c r="DQ192" s="199">
        <f t="shared" si="1277"/>
        <v>0</v>
      </c>
      <c r="DR192" s="198">
        <f t="shared" si="1278"/>
        <v>0</v>
      </c>
      <c r="DS192" s="199">
        <f t="shared" si="1279"/>
        <v>0</v>
      </c>
      <c r="DT192" s="198">
        <f t="shared" si="1280"/>
        <v>0</v>
      </c>
      <c r="DU192" s="199">
        <f t="shared" si="1281"/>
        <v>0</v>
      </c>
      <c r="DV192" s="198">
        <f t="shared" si="1282"/>
        <v>0</v>
      </c>
      <c r="DW192" s="199">
        <f t="shared" si="1283"/>
        <v>0</v>
      </c>
      <c r="DX192" s="198">
        <f t="shared" si="1284"/>
        <v>0</v>
      </c>
      <c r="DY192" s="199">
        <f t="shared" si="1285"/>
        <v>0</v>
      </c>
      <c r="DZ192" s="190">
        <f t="shared" si="1286"/>
        <v>0</v>
      </c>
      <c r="EA192" s="199">
        <f t="shared" si="1255"/>
        <v>0</v>
      </c>
      <c r="EB192" s="190" t="e">
        <f t="shared" si="1287"/>
        <v>#DIV/0!</v>
      </c>
      <c r="EC192" s="190" t="e">
        <f t="shared" si="1288"/>
        <v>#DIV/0!</v>
      </c>
    </row>
    <row r="193" spans="1:133" ht="25.5" x14ac:dyDescent="0.2">
      <c r="A193" s="66" t="s">
        <v>344</v>
      </c>
      <c r="B193" s="38">
        <f t="shared" ref="B193:H193" si="1299">SUM(B11,B37,B63,B89,B115,B141,B167)</f>
        <v>0</v>
      </c>
      <c r="C193" s="242">
        <f t="shared" si="1299"/>
        <v>0</v>
      </c>
      <c r="D193" s="242">
        <f t="shared" si="1299"/>
        <v>0</v>
      </c>
      <c r="E193" s="242">
        <f t="shared" si="1299"/>
        <v>0</v>
      </c>
      <c r="F193" s="242">
        <f t="shared" si="1299"/>
        <v>0</v>
      </c>
      <c r="G193" s="40">
        <f t="shared" si="1299"/>
        <v>123245.83108298109</v>
      </c>
      <c r="H193" s="242">
        <f t="shared" si="1299"/>
        <v>0</v>
      </c>
      <c r="I193" s="243">
        <f t="shared" ref="I193:I206" si="1300">SUM(G193:H193)</f>
        <v>123245.83108298109</v>
      </c>
      <c r="J193" s="242">
        <f t="shared" ref="J193:L193" si="1301">SUM(J11,J37,J63,J89,J115,J141,J167)</f>
        <v>0</v>
      </c>
      <c r="K193" s="242">
        <f t="shared" si="1301"/>
        <v>0</v>
      </c>
      <c r="L193" s="242">
        <f t="shared" si="1301"/>
        <v>0</v>
      </c>
      <c r="M193" s="178">
        <f t="shared" si="1256"/>
        <v>0</v>
      </c>
      <c r="N193" s="17">
        <f t="shared" si="1222"/>
        <v>123245.83108298109</v>
      </c>
      <c r="O193" s="174">
        <f t="shared" si="1223"/>
        <v>4.5245602706172052E-3</v>
      </c>
      <c r="P193" s="17"/>
      <c r="Q193" s="66" t="s">
        <v>344</v>
      </c>
      <c r="R193" s="38"/>
      <c r="S193" s="242"/>
      <c r="T193" s="242"/>
      <c r="U193" s="242">
        <f t="shared" si="1224"/>
        <v>0</v>
      </c>
      <c r="V193" s="242">
        <f t="shared" si="1224"/>
        <v>0</v>
      </c>
      <c r="W193" s="40">
        <f t="shared" si="1224"/>
        <v>0</v>
      </c>
      <c r="X193" s="242">
        <f t="shared" si="1224"/>
        <v>0</v>
      </c>
      <c r="Y193" s="243">
        <f t="shared" si="1257"/>
        <v>0</v>
      </c>
      <c r="Z193" s="242">
        <f t="shared" si="1225"/>
        <v>0</v>
      </c>
      <c r="AA193" s="242">
        <f t="shared" si="1225"/>
        <v>0</v>
      </c>
      <c r="AB193" s="242">
        <f t="shared" si="1225"/>
        <v>0</v>
      </c>
      <c r="AC193" s="178">
        <f t="shared" si="1258"/>
        <v>0</v>
      </c>
      <c r="AD193" s="17">
        <f t="shared" si="1226"/>
        <v>0</v>
      </c>
      <c r="AE193" s="176" t="e">
        <f t="shared" si="1227"/>
        <v>#DIV/0!</v>
      </c>
      <c r="AF193" s="66" t="s">
        <v>43</v>
      </c>
      <c r="AG193" s="38"/>
      <c r="AH193" s="242"/>
      <c r="AI193" s="242"/>
      <c r="AJ193" s="242">
        <f t="shared" si="1228"/>
        <v>0</v>
      </c>
      <c r="AK193" s="242">
        <f t="shared" si="1228"/>
        <v>0</v>
      </c>
      <c r="AL193" s="40">
        <f t="shared" si="1228"/>
        <v>0</v>
      </c>
      <c r="AM193" s="242">
        <f t="shared" si="1228"/>
        <v>0</v>
      </c>
      <c r="AN193" s="243">
        <f t="shared" si="1296"/>
        <v>0</v>
      </c>
      <c r="AO193" s="242">
        <f t="shared" si="1229"/>
        <v>0</v>
      </c>
      <c r="AP193" s="242">
        <f t="shared" si="1229"/>
        <v>0</v>
      </c>
      <c r="AQ193" s="242">
        <f t="shared" si="1229"/>
        <v>0</v>
      </c>
      <c r="AR193" s="178">
        <f t="shared" si="1289"/>
        <v>0</v>
      </c>
      <c r="AS193" s="17">
        <f t="shared" si="1230"/>
        <v>0</v>
      </c>
      <c r="AU193" s="66" t="s">
        <v>344</v>
      </c>
      <c r="AV193" s="38">
        <f t="shared" ref="AV193:BG193" si="1302">IF(R207&gt;0,R193/R207,0)</f>
        <v>0</v>
      </c>
      <c r="AW193" s="242">
        <f t="shared" si="1302"/>
        <v>0</v>
      </c>
      <c r="AX193" s="242">
        <f t="shared" si="1302"/>
        <v>0</v>
      </c>
      <c r="AY193" s="242">
        <f t="shared" si="1302"/>
        <v>0</v>
      </c>
      <c r="AZ193" s="242">
        <f t="shared" si="1302"/>
        <v>0</v>
      </c>
      <c r="BA193" s="40">
        <f t="shared" si="1302"/>
        <v>0</v>
      </c>
      <c r="BB193" s="242">
        <f t="shared" si="1302"/>
        <v>0</v>
      </c>
      <c r="BC193" s="243">
        <f t="shared" si="1302"/>
        <v>0</v>
      </c>
      <c r="BD193" s="242">
        <f t="shared" si="1302"/>
        <v>0</v>
      </c>
      <c r="BE193" s="242">
        <f t="shared" si="1302"/>
        <v>0</v>
      </c>
      <c r="BF193" s="242">
        <f t="shared" si="1302"/>
        <v>0</v>
      </c>
      <c r="BG193" s="178">
        <f t="shared" si="1302"/>
        <v>0</v>
      </c>
      <c r="BH193" s="24" t="e">
        <f>AD193/AD207</f>
        <v>#DIV/0!</v>
      </c>
      <c r="BJ193" s="66" t="s">
        <v>344</v>
      </c>
      <c r="BK193" s="38">
        <f t="shared" ref="BK193:BV193" si="1303">IF(AG207&gt;0,AG193/AG207,0)</f>
        <v>0</v>
      </c>
      <c r="BL193" s="242">
        <f t="shared" si="1303"/>
        <v>0</v>
      </c>
      <c r="BM193" s="242">
        <f t="shared" si="1303"/>
        <v>0</v>
      </c>
      <c r="BN193" s="242">
        <f t="shared" si="1303"/>
        <v>0</v>
      </c>
      <c r="BO193" s="242">
        <f t="shared" si="1303"/>
        <v>0</v>
      </c>
      <c r="BP193" s="40">
        <f t="shared" si="1303"/>
        <v>0</v>
      </c>
      <c r="BQ193" s="242">
        <f t="shared" si="1303"/>
        <v>0</v>
      </c>
      <c r="BR193" s="243">
        <f t="shared" si="1303"/>
        <v>0</v>
      </c>
      <c r="BS193" s="242">
        <f t="shared" si="1303"/>
        <v>0</v>
      </c>
      <c r="BT193" s="242">
        <f t="shared" si="1303"/>
        <v>0</v>
      </c>
      <c r="BU193" s="242">
        <f t="shared" si="1303"/>
        <v>0</v>
      </c>
      <c r="BV193" s="178">
        <f t="shared" si="1303"/>
        <v>0</v>
      </c>
      <c r="BW193" s="24" t="e">
        <f>AS193/AS207</f>
        <v>#DIV/0!</v>
      </c>
      <c r="BX193" s="24"/>
      <c r="BY193" s="66" t="s">
        <v>344</v>
      </c>
      <c r="BZ193" s="54">
        <f t="shared" si="1262"/>
        <v>0</v>
      </c>
      <c r="CA193" s="55">
        <f t="shared" si="1233"/>
        <v>0</v>
      </c>
      <c r="CB193" s="55">
        <f t="shared" si="1234"/>
        <v>0</v>
      </c>
      <c r="CC193" s="55">
        <f t="shared" si="1235"/>
        <v>0</v>
      </c>
      <c r="CD193" s="55">
        <f t="shared" si="1236"/>
        <v>0</v>
      </c>
      <c r="CE193" s="60">
        <f t="shared" si="1237"/>
        <v>0</v>
      </c>
      <c r="CF193" s="55">
        <f t="shared" si="1238"/>
        <v>0</v>
      </c>
      <c r="CG193" s="246">
        <f t="shared" si="1239"/>
        <v>0</v>
      </c>
      <c r="CH193" s="55">
        <f t="shared" si="1240"/>
        <v>0</v>
      </c>
      <c r="CI193" s="55">
        <f t="shared" si="1241"/>
        <v>0</v>
      </c>
      <c r="CJ193" s="55">
        <f t="shared" si="1242"/>
        <v>0</v>
      </c>
      <c r="CK193" s="249">
        <f t="shared" si="1242"/>
        <v>0</v>
      </c>
      <c r="CL193" s="55">
        <f t="shared" si="1243"/>
        <v>0</v>
      </c>
      <c r="CN193" s="66" t="s">
        <v>344</v>
      </c>
      <c r="CO193" s="54">
        <f t="shared" si="1263"/>
        <v>0</v>
      </c>
      <c r="CP193" s="55">
        <f t="shared" si="1244"/>
        <v>0</v>
      </c>
      <c r="CQ193" s="55">
        <f t="shared" si="1245"/>
        <v>0</v>
      </c>
      <c r="CR193" s="55">
        <f t="shared" si="1246"/>
        <v>0</v>
      </c>
      <c r="CS193" s="55">
        <f t="shared" si="1247"/>
        <v>0</v>
      </c>
      <c r="CT193" s="60">
        <f t="shared" si="1248"/>
        <v>0</v>
      </c>
      <c r="CU193" s="55">
        <f t="shared" si="1249"/>
        <v>0</v>
      </c>
      <c r="CV193" s="246">
        <f t="shared" si="1250"/>
        <v>0</v>
      </c>
      <c r="CW193" s="55">
        <f t="shared" si="1251"/>
        <v>0</v>
      </c>
      <c r="CX193" s="55">
        <f t="shared" si="1252"/>
        <v>0</v>
      </c>
      <c r="CY193" s="55">
        <f t="shared" si="1253"/>
        <v>0</v>
      </c>
      <c r="CZ193" s="249">
        <f t="shared" si="1253"/>
        <v>0</v>
      </c>
      <c r="DA193" s="62" t="e">
        <f t="shared" si="1254"/>
        <v>#DIV/0!</v>
      </c>
      <c r="DC193" s="66" t="s">
        <v>344</v>
      </c>
      <c r="DD193" s="198">
        <f t="shared" si="1264"/>
        <v>0</v>
      </c>
      <c r="DE193" s="199">
        <f t="shared" si="1265"/>
        <v>0</v>
      </c>
      <c r="DF193" s="198">
        <f t="shared" si="1266"/>
        <v>0</v>
      </c>
      <c r="DG193" s="199">
        <f t="shared" si="1267"/>
        <v>0</v>
      </c>
      <c r="DH193" s="198">
        <f t="shared" si="1268"/>
        <v>0</v>
      </c>
      <c r="DI193" s="199">
        <f t="shared" si="1269"/>
        <v>0</v>
      </c>
      <c r="DJ193" s="198">
        <f t="shared" si="1270"/>
        <v>0</v>
      </c>
      <c r="DK193" s="199">
        <f t="shared" si="1271"/>
        <v>0</v>
      </c>
      <c r="DL193" s="198">
        <f t="shared" si="1272"/>
        <v>0</v>
      </c>
      <c r="DM193" s="199">
        <f t="shared" si="1273"/>
        <v>0</v>
      </c>
      <c r="DN193" s="198">
        <f t="shared" si="1274"/>
        <v>0</v>
      </c>
      <c r="DO193" s="199">
        <f t="shared" si="1275"/>
        <v>0</v>
      </c>
      <c r="DP193" s="198">
        <f t="shared" si="1276"/>
        <v>0</v>
      </c>
      <c r="DQ193" s="199">
        <f t="shared" si="1277"/>
        <v>0</v>
      </c>
      <c r="DR193" s="198">
        <f t="shared" si="1278"/>
        <v>0</v>
      </c>
      <c r="DS193" s="199">
        <f t="shared" si="1279"/>
        <v>0</v>
      </c>
      <c r="DT193" s="198">
        <f t="shared" si="1280"/>
        <v>0</v>
      </c>
      <c r="DU193" s="199">
        <f t="shared" si="1281"/>
        <v>0</v>
      </c>
      <c r="DV193" s="198">
        <f t="shared" si="1282"/>
        <v>0</v>
      </c>
      <c r="DW193" s="199">
        <f t="shared" si="1283"/>
        <v>0</v>
      </c>
      <c r="DX193" s="198">
        <f t="shared" si="1284"/>
        <v>0</v>
      </c>
      <c r="DY193" s="199">
        <f t="shared" si="1285"/>
        <v>0</v>
      </c>
      <c r="DZ193" s="190">
        <f t="shared" si="1286"/>
        <v>0</v>
      </c>
      <c r="EA193" s="199">
        <f t="shared" si="1255"/>
        <v>0</v>
      </c>
      <c r="EB193" s="190" t="e">
        <f t="shared" si="1287"/>
        <v>#DIV/0!</v>
      </c>
      <c r="EC193" s="190" t="e">
        <f t="shared" si="1288"/>
        <v>#DIV/0!</v>
      </c>
    </row>
    <row r="194" spans="1:133" x14ac:dyDescent="0.2">
      <c r="A194" s="2" t="s">
        <v>346</v>
      </c>
      <c r="B194" s="38">
        <f t="shared" ref="B194:H194" si="1304">SUM(B12,B38,B64,B90,B116,B142,B168)</f>
        <v>0</v>
      </c>
      <c r="C194" s="242">
        <f t="shared" si="1304"/>
        <v>0</v>
      </c>
      <c r="D194" s="242">
        <f t="shared" si="1304"/>
        <v>0</v>
      </c>
      <c r="E194" s="242">
        <f t="shared" si="1304"/>
        <v>0</v>
      </c>
      <c r="F194" s="242">
        <f t="shared" si="1304"/>
        <v>0</v>
      </c>
      <c r="G194" s="40">
        <f t="shared" si="1304"/>
        <v>34101.467320650583</v>
      </c>
      <c r="H194" s="242">
        <f t="shared" si="1304"/>
        <v>0</v>
      </c>
      <c r="I194" s="243">
        <f t="shared" si="1300"/>
        <v>34101.467320650583</v>
      </c>
      <c r="J194" s="242">
        <f t="shared" ref="J194:L194" si="1305">SUM(J12,J38,J64,J90,J116,J142,J168)</f>
        <v>0</v>
      </c>
      <c r="K194" s="242">
        <f t="shared" si="1305"/>
        <v>0</v>
      </c>
      <c r="L194" s="242">
        <f t="shared" si="1305"/>
        <v>0</v>
      </c>
      <c r="M194" s="178">
        <f>SUM(J194:L194)</f>
        <v>0</v>
      </c>
      <c r="N194" s="17">
        <f>SUM(B194:L194)-I194</f>
        <v>34101.467320650583</v>
      </c>
      <c r="O194" s="174">
        <f t="shared" si="1223"/>
        <v>1.251921812307637E-3</v>
      </c>
      <c r="P194" s="17"/>
      <c r="Q194" s="2" t="s">
        <v>346</v>
      </c>
      <c r="R194" s="38"/>
      <c r="S194" s="242"/>
      <c r="T194" s="242"/>
      <c r="U194" s="242">
        <f t="shared" si="1224"/>
        <v>0</v>
      </c>
      <c r="V194" s="242">
        <f t="shared" si="1224"/>
        <v>0</v>
      </c>
      <c r="W194" s="40">
        <f t="shared" si="1224"/>
        <v>0</v>
      </c>
      <c r="X194" s="242">
        <f t="shared" si="1224"/>
        <v>0</v>
      </c>
      <c r="Y194" s="243">
        <f>SUM(W194:X194)</f>
        <v>0</v>
      </c>
      <c r="Z194" s="242">
        <f>SUM(Z25,Z38,Z64,Z90,Z116,Z142,Z168)</f>
        <v>0</v>
      </c>
      <c r="AA194" s="242">
        <f>SUM(AA25,AA38,AA64,AA90,AA116,AA142,AA168)</f>
        <v>0</v>
      </c>
      <c r="AB194" s="242">
        <f>SUM(AB25,AB38,AB64,AB90,AB116,AB142,AB168)</f>
        <v>0</v>
      </c>
      <c r="AC194" s="178">
        <f>SUM(Z194:AB194)</f>
        <v>0</v>
      </c>
      <c r="AD194" s="17">
        <f>SUM(R194:AB194)-Y194</f>
        <v>0</v>
      </c>
      <c r="AE194" s="176" t="e">
        <f t="shared" si="1227"/>
        <v>#DIV/0!</v>
      </c>
      <c r="AF194" s="2" t="s">
        <v>44</v>
      </c>
      <c r="AG194" s="38"/>
      <c r="AH194" s="242"/>
      <c r="AI194" s="242"/>
      <c r="AJ194" s="242">
        <f t="shared" si="1228"/>
        <v>0</v>
      </c>
      <c r="AK194" s="242">
        <f t="shared" si="1228"/>
        <v>0</v>
      </c>
      <c r="AL194" s="40">
        <f t="shared" si="1228"/>
        <v>0</v>
      </c>
      <c r="AM194" s="242">
        <f t="shared" si="1228"/>
        <v>0</v>
      </c>
      <c r="AN194" s="243">
        <f t="shared" si="1296"/>
        <v>0</v>
      </c>
      <c r="AO194" s="242">
        <f t="shared" si="1229"/>
        <v>0</v>
      </c>
      <c r="AP194" s="242">
        <f t="shared" si="1229"/>
        <v>0</v>
      </c>
      <c r="AQ194" s="242">
        <f t="shared" si="1229"/>
        <v>0</v>
      </c>
      <c r="AR194" s="178">
        <f>SUM(AO194:AQ194)</f>
        <v>0</v>
      </c>
      <c r="AS194" s="17">
        <f>SUM(AG194:AQ194)-AN194</f>
        <v>0</v>
      </c>
      <c r="AU194" s="2" t="s">
        <v>346</v>
      </c>
      <c r="AV194" s="38">
        <f t="shared" ref="AV194:BG194" si="1306">IF(R214&gt;0,R194/R214,0)</f>
        <v>0</v>
      </c>
      <c r="AW194" s="242">
        <f t="shared" si="1306"/>
        <v>0</v>
      </c>
      <c r="AX194" s="242">
        <f t="shared" si="1306"/>
        <v>0</v>
      </c>
      <c r="AY194" s="242">
        <f t="shared" si="1306"/>
        <v>0</v>
      </c>
      <c r="AZ194" s="242">
        <f t="shared" si="1306"/>
        <v>0</v>
      </c>
      <c r="BA194" s="40">
        <f t="shared" si="1306"/>
        <v>0</v>
      </c>
      <c r="BB194" s="242">
        <f t="shared" si="1306"/>
        <v>0</v>
      </c>
      <c r="BC194" s="243">
        <f t="shared" si="1306"/>
        <v>0</v>
      </c>
      <c r="BD194" s="242">
        <f t="shared" si="1306"/>
        <v>0</v>
      </c>
      <c r="BE194" s="242">
        <f t="shared" si="1306"/>
        <v>0</v>
      </c>
      <c r="BF194" s="242">
        <f t="shared" si="1306"/>
        <v>0</v>
      </c>
      <c r="BG194" s="178">
        <f t="shared" si="1306"/>
        <v>0</v>
      </c>
      <c r="BH194" s="24" t="e">
        <f>AD194/AD214</f>
        <v>#DIV/0!</v>
      </c>
      <c r="BJ194" s="2" t="s">
        <v>346</v>
      </c>
      <c r="BK194" s="38">
        <f t="shared" ref="BK194:BV194" si="1307">IF(AG216&gt;0,AG194/AG216,0)</f>
        <v>0</v>
      </c>
      <c r="BL194" s="242">
        <f t="shared" si="1307"/>
        <v>0</v>
      </c>
      <c r="BM194" s="242">
        <f t="shared" si="1307"/>
        <v>0</v>
      </c>
      <c r="BN194" s="242">
        <f t="shared" si="1307"/>
        <v>0</v>
      </c>
      <c r="BO194" s="242">
        <f t="shared" si="1307"/>
        <v>0</v>
      </c>
      <c r="BP194" s="40">
        <f t="shared" si="1307"/>
        <v>0</v>
      </c>
      <c r="BQ194" s="242">
        <f t="shared" si="1307"/>
        <v>0</v>
      </c>
      <c r="BR194" s="243">
        <f t="shared" si="1307"/>
        <v>0</v>
      </c>
      <c r="BS194" s="242">
        <f t="shared" si="1307"/>
        <v>0</v>
      </c>
      <c r="BT194" s="242">
        <f t="shared" si="1307"/>
        <v>0</v>
      </c>
      <c r="BU194" s="242">
        <f t="shared" si="1307"/>
        <v>0</v>
      </c>
      <c r="BV194" s="178">
        <f t="shared" si="1307"/>
        <v>0</v>
      </c>
      <c r="BW194" s="24" t="e">
        <f>AS194/AS208</f>
        <v>#DIV/0!</v>
      </c>
      <c r="BX194" s="24"/>
      <c r="BY194" s="2" t="s">
        <v>346</v>
      </c>
      <c r="BZ194" s="54">
        <f t="shared" ref="BZ194:CL194" si="1308">AG194-R194</f>
        <v>0</v>
      </c>
      <c r="CA194" s="55">
        <f t="shared" si="1308"/>
        <v>0</v>
      </c>
      <c r="CB194" s="55">
        <f t="shared" si="1308"/>
        <v>0</v>
      </c>
      <c r="CC194" s="55">
        <f t="shared" si="1308"/>
        <v>0</v>
      </c>
      <c r="CD194" s="55">
        <f t="shared" si="1308"/>
        <v>0</v>
      </c>
      <c r="CE194" s="60">
        <f t="shared" si="1308"/>
        <v>0</v>
      </c>
      <c r="CF194" s="55">
        <f t="shared" si="1308"/>
        <v>0</v>
      </c>
      <c r="CG194" s="246">
        <f t="shared" si="1308"/>
        <v>0</v>
      </c>
      <c r="CH194" s="55">
        <f t="shared" si="1308"/>
        <v>0</v>
      </c>
      <c r="CI194" s="55">
        <f t="shared" si="1308"/>
        <v>0</v>
      </c>
      <c r="CJ194" s="55">
        <f t="shared" si="1308"/>
        <v>0</v>
      </c>
      <c r="CK194" s="249">
        <f t="shared" si="1308"/>
        <v>0</v>
      </c>
      <c r="CL194" s="55">
        <f t="shared" si="1308"/>
        <v>0</v>
      </c>
      <c r="CN194" s="2" t="s">
        <v>346</v>
      </c>
      <c r="CO194" s="54">
        <f t="shared" ref="CO194:DA194" si="1309">BK194-AV194</f>
        <v>0</v>
      </c>
      <c r="CP194" s="55">
        <f t="shared" si="1309"/>
        <v>0</v>
      </c>
      <c r="CQ194" s="55">
        <f t="shared" si="1309"/>
        <v>0</v>
      </c>
      <c r="CR194" s="55">
        <f t="shared" si="1309"/>
        <v>0</v>
      </c>
      <c r="CS194" s="55">
        <f t="shared" si="1309"/>
        <v>0</v>
      </c>
      <c r="CT194" s="60">
        <f t="shared" si="1309"/>
        <v>0</v>
      </c>
      <c r="CU194" s="55">
        <f t="shared" si="1309"/>
        <v>0</v>
      </c>
      <c r="CV194" s="246">
        <f t="shared" si="1309"/>
        <v>0</v>
      </c>
      <c r="CW194" s="55">
        <f t="shared" si="1309"/>
        <v>0</v>
      </c>
      <c r="CX194" s="55">
        <f t="shared" si="1309"/>
        <v>0</v>
      </c>
      <c r="CY194" s="55">
        <f t="shared" si="1309"/>
        <v>0</v>
      </c>
      <c r="CZ194" s="249">
        <f t="shared" si="1309"/>
        <v>0</v>
      </c>
      <c r="DA194" s="62" t="e">
        <f t="shared" si="1309"/>
        <v>#DIV/0!</v>
      </c>
      <c r="DC194" s="2" t="s">
        <v>346</v>
      </c>
      <c r="DD194" s="198">
        <f>AV194</f>
        <v>0</v>
      </c>
      <c r="DE194" s="199">
        <f>BK194</f>
        <v>0</v>
      </c>
      <c r="DF194" s="198">
        <f>AW194</f>
        <v>0</v>
      </c>
      <c r="DG194" s="199">
        <f>BL194</f>
        <v>0</v>
      </c>
      <c r="DH194" s="198">
        <f>AX194</f>
        <v>0</v>
      </c>
      <c r="DI194" s="199">
        <f>BM194</f>
        <v>0</v>
      </c>
      <c r="DJ194" s="198">
        <f>AY194</f>
        <v>0</v>
      </c>
      <c r="DK194" s="199">
        <f>BN194</f>
        <v>0</v>
      </c>
      <c r="DL194" s="198">
        <f>AZ194</f>
        <v>0</v>
      </c>
      <c r="DM194" s="199">
        <f>BO194</f>
        <v>0</v>
      </c>
      <c r="DN194" s="198">
        <f>BA194</f>
        <v>0</v>
      </c>
      <c r="DO194" s="199">
        <f>BP194</f>
        <v>0</v>
      </c>
      <c r="DP194" s="198">
        <f>BB194</f>
        <v>0</v>
      </c>
      <c r="DQ194" s="199">
        <f>BQ194</f>
        <v>0</v>
      </c>
      <c r="DR194" s="198">
        <f>BC194</f>
        <v>0</v>
      </c>
      <c r="DS194" s="199">
        <f>BR194</f>
        <v>0</v>
      </c>
      <c r="DT194" s="198">
        <f>BD194</f>
        <v>0</v>
      </c>
      <c r="DU194" s="199">
        <f>BS194</f>
        <v>0</v>
      </c>
      <c r="DV194" s="198">
        <f>BE194</f>
        <v>0</v>
      </c>
      <c r="DW194" s="199">
        <f>BT194</f>
        <v>0</v>
      </c>
      <c r="DX194" s="198">
        <f>BF194</f>
        <v>0</v>
      </c>
      <c r="DY194" s="199">
        <f>BU194</f>
        <v>0</v>
      </c>
      <c r="DZ194" s="190">
        <f>BG194</f>
        <v>0</v>
      </c>
      <c r="EA194" s="199">
        <f>BV194</f>
        <v>0</v>
      </c>
      <c r="EB194" s="190" t="e">
        <f>BH194</f>
        <v>#DIV/0!</v>
      </c>
      <c r="EC194" s="190" t="e">
        <f>BW194</f>
        <v>#DIV/0!</v>
      </c>
    </row>
    <row r="195" spans="1:133" x14ac:dyDescent="0.2">
      <c r="A195" s="64" t="s">
        <v>45</v>
      </c>
      <c r="B195" s="38">
        <f t="shared" ref="B195:H195" si="1310">SUM(B13,B39,B65,B91,B117,B143,B169)</f>
        <v>0</v>
      </c>
      <c r="C195" s="242">
        <f t="shared" si="1310"/>
        <v>0</v>
      </c>
      <c r="D195" s="242">
        <f t="shared" si="1310"/>
        <v>0</v>
      </c>
      <c r="E195" s="242">
        <f t="shared" si="1310"/>
        <v>0</v>
      </c>
      <c r="F195" s="242">
        <f t="shared" si="1310"/>
        <v>0</v>
      </c>
      <c r="G195" s="40">
        <f t="shared" si="1310"/>
        <v>142481.14273095931</v>
      </c>
      <c r="H195" s="242">
        <f t="shared" si="1310"/>
        <v>0</v>
      </c>
      <c r="I195" s="243">
        <f t="shared" si="1300"/>
        <v>142481.14273095931</v>
      </c>
      <c r="J195" s="242">
        <f t="shared" ref="J195:L195" si="1311">SUM(J13,J39,J65,J91,J117,J143,J169)</f>
        <v>0</v>
      </c>
      <c r="K195" s="242">
        <f t="shared" si="1311"/>
        <v>0</v>
      </c>
      <c r="L195" s="242">
        <f t="shared" si="1311"/>
        <v>0</v>
      </c>
      <c r="M195" s="178">
        <f t="shared" si="1256"/>
        <v>0</v>
      </c>
      <c r="N195" s="17">
        <f t="shared" si="1222"/>
        <v>142481.14273095931</v>
      </c>
      <c r="O195" s="174">
        <f t="shared" si="1223"/>
        <v>5.2307206827838827E-3</v>
      </c>
      <c r="P195" s="17"/>
      <c r="Q195" s="64" t="s">
        <v>45</v>
      </c>
      <c r="R195" s="38"/>
      <c r="S195" s="242"/>
      <c r="T195" s="242"/>
      <c r="U195" s="242">
        <f t="shared" si="1224"/>
        <v>0</v>
      </c>
      <c r="V195" s="242">
        <f t="shared" si="1224"/>
        <v>0</v>
      </c>
      <c r="W195" s="40">
        <f t="shared" si="1224"/>
        <v>0</v>
      </c>
      <c r="X195" s="242">
        <f t="shared" si="1224"/>
        <v>0</v>
      </c>
      <c r="Y195" s="243">
        <f t="shared" si="1257"/>
        <v>0</v>
      </c>
      <c r="Z195" s="242">
        <f t="shared" ref="Z195:AB199" si="1312">SUM(Z13,Z39,Z65,Z91,Z117,Z143,Z169)</f>
        <v>0</v>
      </c>
      <c r="AA195" s="242">
        <f t="shared" si="1312"/>
        <v>0</v>
      </c>
      <c r="AB195" s="242">
        <f t="shared" si="1312"/>
        <v>0</v>
      </c>
      <c r="AC195" s="178">
        <f t="shared" si="1258"/>
        <v>0</v>
      </c>
      <c r="AD195" s="17">
        <f t="shared" si="1226"/>
        <v>0</v>
      </c>
      <c r="AE195" s="176" t="e">
        <f t="shared" si="1227"/>
        <v>#DIV/0!</v>
      </c>
      <c r="AF195" s="64" t="s">
        <v>45</v>
      </c>
      <c r="AG195" s="38"/>
      <c r="AH195" s="242"/>
      <c r="AI195" s="242"/>
      <c r="AJ195" s="242">
        <f t="shared" si="1228"/>
        <v>0</v>
      </c>
      <c r="AK195" s="242">
        <f t="shared" si="1228"/>
        <v>0</v>
      </c>
      <c r="AL195" s="40">
        <f t="shared" si="1228"/>
        <v>0</v>
      </c>
      <c r="AM195" s="242">
        <f t="shared" si="1228"/>
        <v>0</v>
      </c>
      <c r="AN195" s="243">
        <f t="shared" si="1296"/>
        <v>0</v>
      </c>
      <c r="AO195" s="242">
        <f t="shared" si="1229"/>
        <v>0</v>
      </c>
      <c r="AP195" s="242">
        <f t="shared" si="1229"/>
        <v>0</v>
      </c>
      <c r="AQ195" s="242">
        <f t="shared" si="1229"/>
        <v>0</v>
      </c>
      <c r="AR195" s="178">
        <f t="shared" si="1289"/>
        <v>0</v>
      </c>
      <c r="AS195" s="17">
        <f t="shared" si="1230"/>
        <v>0</v>
      </c>
      <c r="AU195" s="64" t="s">
        <v>45</v>
      </c>
      <c r="AV195" s="38">
        <f t="shared" ref="AV195:BG195" si="1313">IF(R207&gt;0,R195/R207,0)</f>
        <v>0</v>
      </c>
      <c r="AW195" s="242">
        <f t="shared" si="1313"/>
        <v>0</v>
      </c>
      <c r="AX195" s="242">
        <f t="shared" si="1313"/>
        <v>0</v>
      </c>
      <c r="AY195" s="242">
        <f t="shared" si="1313"/>
        <v>0</v>
      </c>
      <c r="AZ195" s="242">
        <f t="shared" si="1313"/>
        <v>0</v>
      </c>
      <c r="BA195" s="40">
        <f t="shared" si="1313"/>
        <v>0</v>
      </c>
      <c r="BB195" s="242">
        <f t="shared" si="1313"/>
        <v>0</v>
      </c>
      <c r="BC195" s="243">
        <f t="shared" si="1313"/>
        <v>0</v>
      </c>
      <c r="BD195" s="242">
        <f t="shared" si="1313"/>
        <v>0</v>
      </c>
      <c r="BE195" s="242">
        <f t="shared" si="1313"/>
        <v>0</v>
      </c>
      <c r="BF195" s="242">
        <f t="shared" si="1313"/>
        <v>0</v>
      </c>
      <c r="BG195" s="178">
        <f t="shared" si="1313"/>
        <v>0</v>
      </c>
      <c r="BH195" s="24" t="e">
        <f>AD195/AD207</f>
        <v>#DIV/0!</v>
      </c>
      <c r="BJ195" s="64" t="s">
        <v>45</v>
      </c>
      <c r="BK195" s="38">
        <f t="shared" ref="BK195:BV195" si="1314">IF(AG207&gt;0,AG195/AG207,0)</f>
        <v>0</v>
      </c>
      <c r="BL195" s="242">
        <f t="shared" si="1314"/>
        <v>0</v>
      </c>
      <c r="BM195" s="242">
        <f t="shared" si="1314"/>
        <v>0</v>
      </c>
      <c r="BN195" s="242">
        <f t="shared" si="1314"/>
        <v>0</v>
      </c>
      <c r="BO195" s="242">
        <f t="shared" si="1314"/>
        <v>0</v>
      </c>
      <c r="BP195" s="40">
        <f t="shared" si="1314"/>
        <v>0</v>
      </c>
      <c r="BQ195" s="242">
        <f t="shared" si="1314"/>
        <v>0</v>
      </c>
      <c r="BR195" s="243">
        <f t="shared" si="1314"/>
        <v>0</v>
      </c>
      <c r="BS195" s="242">
        <f t="shared" si="1314"/>
        <v>0</v>
      </c>
      <c r="BT195" s="242">
        <f t="shared" si="1314"/>
        <v>0</v>
      </c>
      <c r="BU195" s="242">
        <f t="shared" si="1314"/>
        <v>0</v>
      </c>
      <c r="BV195" s="178">
        <f t="shared" si="1314"/>
        <v>0</v>
      </c>
      <c r="BW195" s="24" t="e">
        <f>AS195/AS207</f>
        <v>#DIV/0!</v>
      </c>
      <c r="BX195" s="24"/>
      <c r="BY195" s="64" t="s">
        <v>45</v>
      </c>
      <c r="BZ195" s="54">
        <f t="shared" si="1262"/>
        <v>0</v>
      </c>
      <c r="CA195" s="55">
        <f t="shared" si="1233"/>
        <v>0</v>
      </c>
      <c r="CB195" s="55">
        <f t="shared" si="1234"/>
        <v>0</v>
      </c>
      <c r="CC195" s="55">
        <f t="shared" si="1235"/>
        <v>0</v>
      </c>
      <c r="CD195" s="55">
        <f t="shared" si="1236"/>
        <v>0</v>
      </c>
      <c r="CE195" s="60">
        <f t="shared" si="1237"/>
        <v>0</v>
      </c>
      <c r="CF195" s="55">
        <f t="shared" si="1238"/>
        <v>0</v>
      </c>
      <c r="CG195" s="246">
        <f t="shared" si="1239"/>
        <v>0</v>
      </c>
      <c r="CH195" s="55">
        <f t="shared" si="1240"/>
        <v>0</v>
      </c>
      <c r="CI195" s="55">
        <f t="shared" si="1241"/>
        <v>0</v>
      </c>
      <c r="CJ195" s="55">
        <f t="shared" si="1242"/>
        <v>0</v>
      </c>
      <c r="CK195" s="249">
        <f t="shared" si="1242"/>
        <v>0</v>
      </c>
      <c r="CL195" s="55">
        <f t="shared" si="1243"/>
        <v>0</v>
      </c>
      <c r="CN195" s="64" t="s">
        <v>45</v>
      </c>
      <c r="CO195" s="54">
        <f t="shared" si="1263"/>
        <v>0</v>
      </c>
      <c r="CP195" s="55">
        <f t="shared" si="1244"/>
        <v>0</v>
      </c>
      <c r="CQ195" s="55">
        <f t="shared" si="1245"/>
        <v>0</v>
      </c>
      <c r="CR195" s="55">
        <f t="shared" si="1246"/>
        <v>0</v>
      </c>
      <c r="CS195" s="55">
        <f t="shared" si="1247"/>
        <v>0</v>
      </c>
      <c r="CT195" s="60">
        <f t="shared" si="1248"/>
        <v>0</v>
      </c>
      <c r="CU195" s="55">
        <f t="shared" si="1249"/>
        <v>0</v>
      </c>
      <c r="CV195" s="246">
        <f t="shared" si="1250"/>
        <v>0</v>
      </c>
      <c r="CW195" s="55">
        <f t="shared" si="1251"/>
        <v>0</v>
      </c>
      <c r="CX195" s="55">
        <f t="shared" si="1252"/>
        <v>0</v>
      </c>
      <c r="CY195" s="55">
        <f t="shared" si="1253"/>
        <v>0</v>
      </c>
      <c r="CZ195" s="249">
        <f t="shared" si="1253"/>
        <v>0</v>
      </c>
      <c r="DA195" s="62" t="e">
        <f t="shared" si="1254"/>
        <v>#DIV/0!</v>
      </c>
      <c r="DC195" s="64" t="s">
        <v>45</v>
      </c>
      <c r="DD195" s="198">
        <f t="shared" si="1264"/>
        <v>0</v>
      </c>
      <c r="DE195" s="199">
        <f t="shared" si="1265"/>
        <v>0</v>
      </c>
      <c r="DF195" s="198">
        <f t="shared" si="1266"/>
        <v>0</v>
      </c>
      <c r="DG195" s="199">
        <f t="shared" si="1267"/>
        <v>0</v>
      </c>
      <c r="DH195" s="198">
        <f t="shared" si="1268"/>
        <v>0</v>
      </c>
      <c r="DI195" s="199">
        <f t="shared" si="1269"/>
        <v>0</v>
      </c>
      <c r="DJ195" s="198">
        <f t="shared" si="1270"/>
        <v>0</v>
      </c>
      <c r="DK195" s="199">
        <f t="shared" si="1271"/>
        <v>0</v>
      </c>
      <c r="DL195" s="198">
        <f t="shared" si="1272"/>
        <v>0</v>
      </c>
      <c r="DM195" s="199">
        <f t="shared" si="1273"/>
        <v>0</v>
      </c>
      <c r="DN195" s="198">
        <f t="shared" si="1274"/>
        <v>0</v>
      </c>
      <c r="DO195" s="199">
        <f t="shared" si="1275"/>
        <v>0</v>
      </c>
      <c r="DP195" s="198">
        <f t="shared" si="1276"/>
        <v>0</v>
      </c>
      <c r="DQ195" s="199">
        <f t="shared" si="1277"/>
        <v>0</v>
      </c>
      <c r="DR195" s="198">
        <f t="shared" si="1278"/>
        <v>0</v>
      </c>
      <c r="DS195" s="199">
        <f t="shared" si="1279"/>
        <v>0</v>
      </c>
      <c r="DT195" s="198">
        <f t="shared" si="1280"/>
        <v>0</v>
      </c>
      <c r="DU195" s="199">
        <f t="shared" si="1281"/>
        <v>0</v>
      </c>
      <c r="DV195" s="198">
        <f t="shared" si="1282"/>
        <v>0</v>
      </c>
      <c r="DW195" s="199">
        <f t="shared" si="1283"/>
        <v>0</v>
      </c>
      <c r="DX195" s="198">
        <f t="shared" si="1284"/>
        <v>0</v>
      </c>
      <c r="DY195" s="199">
        <f t="shared" si="1285"/>
        <v>0</v>
      </c>
      <c r="DZ195" s="190">
        <f t="shared" si="1286"/>
        <v>0</v>
      </c>
      <c r="EA195" s="199">
        <f t="shared" si="1255"/>
        <v>0</v>
      </c>
      <c r="EB195" s="190" t="e">
        <f t="shared" si="1287"/>
        <v>#DIV/0!</v>
      </c>
      <c r="EC195" s="190" t="e">
        <f t="shared" si="1288"/>
        <v>#DIV/0!</v>
      </c>
    </row>
    <row r="196" spans="1:133" x14ac:dyDescent="0.2">
      <c r="A196" s="64" t="s">
        <v>46</v>
      </c>
      <c r="B196" s="38">
        <f t="shared" ref="B196:H196" si="1315">SUM(B14,B40,B66,B92,B118,B144,B170)</f>
        <v>0</v>
      </c>
      <c r="C196" s="242">
        <f t="shared" si="1315"/>
        <v>0</v>
      </c>
      <c r="D196" s="242">
        <f t="shared" si="1315"/>
        <v>0</v>
      </c>
      <c r="E196" s="242">
        <f t="shared" si="1315"/>
        <v>0</v>
      </c>
      <c r="F196" s="242">
        <f t="shared" si="1315"/>
        <v>0</v>
      </c>
      <c r="G196" s="40">
        <f t="shared" si="1315"/>
        <v>52679.559127351567</v>
      </c>
      <c r="H196" s="242">
        <f t="shared" si="1315"/>
        <v>0</v>
      </c>
      <c r="I196" s="243">
        <f t="shared" si="1300"/>
        <v>52679.559127351567</v>
      </c>
      <c r="J196" s="242">
        <f t="shared" ref="J196:L196" si="1316">SUM(J14,J40,J66,J92,J118,J144,J170)</f>
        <v>0</v>
      </c>
      <c r="K196" s="242">
        <f t="shared" si="1316"/>
        <v>0</v>
      </c>
      <c r="L196" s="242">
        <f t="shared" si="1316"/>
        <v>0</v>
      </c>
      <c r="M196" s="178">
        <f t="shared" si="1256"/>
        <v>0</v>
      </c>
      <c r="N196" s="17">
        <f t="shared" si="1222"/>
        <v>52679.559127351567</v>
      </c>
      <c r="O196" s="174">
        <f t="shared" si="1223"/>
        <v>1.9339545865917625E-3</v>
      </c>
      <c r="P196" s="17"/>
      <c r="Q196" s="64" t="s">
        <v>46</v>
      </c>
      <c r="R196" s="38"/>
      <c r="S196" s="242"/>
      <c r="T196" s="242"/>
      <c r="U196" s="242">
        <f t="shared" si="1224"/>
        <v>0</v>
      </c>
      <c r="V196" s="242">
        <f t="shared" si="1224"/>
        <v>0</v>
      </c>
      <c r="W196" s="40">
        <f t="shared" si="1224"/>
        <v>0</v>
      </c>
      <c r="X196" s="242">
        <f t="shared" si="1224"/>
        <v>0</v>
      </c>
      <c r="Y196" s="243">
        <f t="shared" si="1257"/>
        <v>0</v>
      </c>
      <c r="Z196" s="242">
        <f t="shared" si="1312"/>
        <v>0</v>
      </c>
      <c r="AA196" s="242">
        <f t="shared" si="1312"/>
        <v>0</v>
      </c>
      <c r="AB196" s="242">
        <f t="shared" si="1312"/>
        <v>0</v>
      </c>
      <c r="AC196" s="178">
        <f t="shared" si="1258"/>
        <v>0</v>
      </c>
      <c r="AD196" s="17">
        <f t="shared" si="1226"/>
        <v>0</v>
      </c>
      <c r="AE196" s="176" t="e">
        <f t="shared" si="1227"/>
        <v>#DIV/0!</v>
      </c>
      <c r="AF196" s="64" t="s">
        <v>46</v>
      </c>
      <c r="AG196" s="38"/>
      <c r="AH196" s="242"/>
      <c r="AI196" s="242"/>
      <c r="AJ196" s="242">
        <f t="shared" si="1228"/>
        <v>0</v>
      </c>
      <c r="AK196" s="242">
        <f t="shared" si="1228"/>
        <v>0</v>
      </c>
      <c r="AL196" s="40">
        <f t="shared" si="1228"/>
        <v>0</v>
      </c>
      <c r="AM196" s="242">
        <f t="shared" si="1228"/>
        <v>0</v>
      </c>
      <c r="AN196" s="243">
        <f t="shared" si="1296"/>
        <v>0</v>
      </c>
      <c r="AO196" s="242">
        <f t="shared" si="1229"/>
        <v>0</v>
      </c>
      <c r="AP196" s="242">
        <f t="shared" si="1229"/>
        <v>0</v>
      </c>
      <c r="AQ196" s="242">
        <f t="shared" si="1229"/>
        <v>0</v>
      </c>
      <c r="AR196" s="178">
        <f t="shared" si="1289"/>
        <v>0</v>
      </c>
      <c r="AS196" s="17">
        <f t="shared" si="1230"/>
        <v>0</v>
      </c>
      <c r="AU196" s="64" t="s">
        <v>46</v>
      </c>
      <c r="AV196" s="38">
        <f t="shared" ref="AV196:BG196" si="1317">IF(R207&gt;0,R196/R207,0)</f>
        <v>0</v>
      </c>
      <c r="AW196" s="242">
        <f t="shared" si="1317"/>
        <v>0</v>
      </c>
      <c r="AX196" s="242">
        <f t="shared" si="1317"/>
        <v>0</v>
      </c>
      <c r="AY196" s="242">
        <f t="shared" si="1317"/>
        <v>0</v>
      </c>
      <c r="AZ196" s="242">
        <f t="shared" si="1317"/>
        <v>0</v>
      </c>
      <c r="BA196" s="40">
        <f t="shared" si="1317"/>
        <v>0</v>
      </c>
      <c r="BB196" s="242">
        <f t="shared" si="1317"/>
        <v>0</v>
      </c>
      <c r="BC196" s="243">
        <f t="shared" si="1317"/>
        <v>0</v>
      </c>
      <c r="BD196" s="242">
        <f t="shared" si="1317"/>
        <v>0</v>
      </c>
      <c r="BE196" s="242">
        <f t="shared" si="1317"/>
        <v>0</v>
      </c>
      <c r="BF196" s="242">
        <f t="shared" si="1317"/>
        <v>0</v>
      </c>
      <c r="BG196" s="178">
        <f t="shared" si="1317"/>
        <v>0</v>
      </c>
      <c r="BH196" s="24" t="e">
        <f>AD196/AD207</f>
        <v>#DIV/0!</v>
      </c>
      <c r="BJ196" s="64" t="s">
        <v>46</v>
      </c>
      <c r="BK196" s="38">
        <f t="shared" ref="BK196:BV196" si="1318">IF(AG207&gt;0,AG196/AG207,0)</f>
        <v>0</v>
      </c>
      <c r="BL196" s="242">
        <f t="shared" si="1318"/>
        <v>0</v>
      </c>
      <c r="BM196" s="242">
        <f t="shared" si="1318"/>
        <v>0</v>
      </c>
      <c r="BN196" s="242">
        <f t="shared" si="1318"/>
        <v>0</v>
      </c>
      <c r="BO196" s="242">
        <f t="shared" si="1318"/>
        <v>0</v>
      </c>
      <c r="BP196" s="40">
        <f t="shared" si="1318"/>
        <v>0</v>
      </c>
      <c r="BQ196" s="242">
        <f t="shared" si="1318"/>
        <v>0</v>
      </c>
      <c r="BR196" s="243">
        <f t="shared" si="1318"/>
        <v>0</v>
      </c>
      <c r="BS196" s="242">
        <f t="shared" si="1318"/>
        <v>0</v>
      </c>
      <c r="BT196" s="242">
        <f t="shared" si="1318"/>
        <v>0</v>
      </c>
      <c r="BU196" s="242">
        <f t="shared" si="1318"/>
        <v>0</v>
      </c>
      <c r="BV196" s="178">
        <f t="shared" si="1318"/>
        <v>0</v>
      </c>
      <c r="BW196" s="24" t="e">
        <f>AS196/AS207</f>
        <v>#DIV/0!</v>
      </c>
      <c r="BX196" s="24"/>
      <c r="BY196" s="64" t="s">
        <v>46</v>
      </c>
      <c r="BZ196" s="54">
        <f t="shared" si="1262"/>
        <v>0</v>
      </c>
      <c r="CA196" s="55">
        <f t="shared" si="1233"/>
        <v>0</v>
      </c>
      <c r="CB196" s="55">
        <f t="shared" si="1234"/>
        <v>0</v>
      </c>
      <c r="CC196" s="55">
        <f t="shared" si="1235"/>
        <v>0</v>
      </c>
      <c r="CD196" s="55">
        <f t="shared" si="1236"/>
        <v>0</v>
      </c>
      <c r="CE196" s="60">
        <f t="shared" si="1237"/>
        <v>0</v>
      </c>
      <c r="CF196" s="55">
        <f t="shared" si="1238"/>
        <v>0</v>
      </c>
      <c r="CG196" s="246">
        <f t="shared" si="1239"/>
        <v>0</v>
      </c>
      <c r="CH196" s="55">
        <f t="shared" si="1240"/>
        <v>0</v>
      </c>
      <c r="CI196" s="55">
        <f t="shared" si="1241"/>
        <v>0</v>
      </c>
      <c r="CJ196" s="55">
        <f t="shared" si="1242"/>
        <v>0</v>
      </c>
      <c r="CK196" s="249">
        <f t="shared" si="1242"/>
        <v>0</v>
      </c>
      <c r="CL196" s="55">
        <f t="shared" si="1243"/>
        <v>0</v>
      </c>
      <c r="CN196" s="64" t="s">
        <v>46</v>
      </c>
      <c r="CO196" s="54">
        <f t="shared" si="1263"/>
        <v>0</v>
      </c>
      <c r="CP196" s="55">
        <f t="shared" si="1244"/>
        <v>0</v>
      </c>
      <c r="CQ196" s="55">
        <f t="shared" si="1245"/>
        <v>0</v>
      </c>
      <c r="CR196" s="55">
        <f t="shared" si="1246"/>
        <v>0</v>
      </c>
      <c r="CS196" s="55">
        <f t="shared" si="1247"/>
        <v>0</v>
      </c>
      <c r="CT196" s="60">
        <f t="shared" si="1248"/>
        <v>0</v>
      </c>
      <c r="CU196" s="55">
        <f t="shared" si="1249"/>
        <v>0</v>
      </c>
      <c r="CV196" s="246">
        <f t="shared" si="1250"/>
        <v>0</v>
      </c>
      <c r="CW196" s="55">
        <f t="shared" si="1251"/>
        <v>0</v>
      </c>
      <c r="CX196" s="55">
        <f t="shared" si="1252"/>
        <v>0</v>
      </c>
      <c r="CY196" s="55">
        <f t="shared" si="1253"/>
        <v>0</v>
      </c>
      <c r="CZ196" s="249">
        <f t="shared" si="1253"/>
        <v>0</v>
      </c>
      <c r="DA196" s="62" t="e">
        <f t="shared" si="1254"/>
        <v>#DIV/0!</v>
      </c>
      <c r="DC196" s="64" t="s">
        <v>46</v>
      </c>
      <c r="DD196" s="198">
        <f t="shared" si="1264"/>
        <v>0</v>
      </c>
      <c r="DE196" s="199">
        <f t="shared" si="1265"/>
        <v>0</v>
      </c>
      <c r="DF196" s="198">
        <f t="shared" si="1266"/>
        <v>0</v>
      </c>
      <c r="DG196" s="199">
        <f t="shared" si="1267"/>
        <v>0</v>
      </c>
      <c r="DH196" s="198">
        <f t="shared" si="1268"/>
        <v>0</v>
      </c>
      <c r="DI196" s="199">
        <f t="shared" si="1269"/>
        <v>0</v>
      </c>
      <c r="DJ196" s="198">
        <f t="shared" si="1270"/>
        <v>0</v>
      </c>
      <c r="DK196" s="199">
        <f t="shared" si="1271"/>
        <v>0</v>
      </c>
      <c r="DL196" s="198">
        <f t="shared" si="1272"/>
        <v>0</v>
      </c>
      <c r="DM196" s="199">
        <f t="shared" si="1273"/>
        <v>0</v>
      </c>
      <c r="DN196" s="198">
        <f t="shared" si="1274"/>
        <v>0</v>
      </c>
      <c r="DO196" s="199">
        <f t="shared" si="1275"/>
        <v>0</v>
      </c>
      <c r="DP196" s="198">
        <f t="shared" si="1276"/>
        <v>0</v>
      </c>
      <c r="DQ196" s="199">
        <f t="shared" si="1277"/>
        <v>0</v>
      </c>
      <c r="DR196" s="198">
        <f t="shared" si="1278"/>
        <v>0</v>
      </c>
      <c r="DS196" s="199">
        <f t="shared" si="1279"/>
        <v>0</v>
      </c>
      <c r="DT196" s="198">
        <f t="shared" si="1280"/>
        <v>0</v>
      </c>
      <c r="DU196" s="199">
        <f t="shared" si="1281"/>
        <v>0</v>
      </c>
      <c r="DV196" s="198">
        <f t="shared" si="1282"/>
        <v>0</v>
      </c>
      <c r="DW196" s="199">
        <f t="shared" si="1283"/>
        <v>0</v>
      </c>
      <c r="DX196" s="198">
        <f t="shared" si="1284"/>
        <v>0</v>
      </c>
      <c r="DY196" s="199">
        <f t="shared" si="1285"/>
        <v>0</v>
      </c>
      <c r="DZ196" s="190">
        <f t="shared" si="1286"/>
        <v>0</v>
      </c>
      <c r="EA196" s="199">
        <f t="shared" si="1255"/>
        <v>0</v>
      </c>
      <c r="EB196" s="190" t="e">
        <f t="shared" si="1287"/>
        <v>#DIV/0!</v>
      </c>
      <c r="EC196" s="190" t="e">
        <f t="shared" si="1288"/>
        <v>#DIV/0!</v>
      </c>
    </row>
    <row r="197" spans="1:133" x14ac:dyDescent="0.2">
      <c r="A197" s="64" t="s">
        <v>47</v>
      </c>
      <c r="B197" s="38">
        <f t="shared" ref="B197:H197" si="1319">SUM(B15,B41,B67,B93,B119,B145,B171)</f>
        <v>0</v>
      </c>
      <c r="C197" s="242">
        <f t="shared" si="1319"/>
        <v>0</v>
      </c>
      <c r="D197" s="242">
        <f t="shared" si="1319"/>
        <v>0</v>
      </c>
      <c r="E197" s="242">
        <f t="shared" si="1319"/>
        <v>0</v>
      </c>
      <c r="F197" s="242">
        <f t="shared" si="1319"/>
        <v>0</v>
      </c>
      <c r="G197" s="41">
        <f t="shared" si="1319"/>
        <v>133.75557292307326</v>
      </c>
      <c r="H197" s="242">
        <f t="shared" si="1319"/>
        <v>0</v>
      </c>
      <c r="I197" s="243">
        <f t="shared" si="1300"/>
        <v>133.75557292307326</v>
      </c>
      <c r="J197" s="242">
        <f t="shared" ref="J197:L197" si="1320">SUM(J15,J41,J67,J93,J119,J145,J171)</f>
        <v>0</v>
      </c>
      <c r="K197" s="242">
        <f t="shared" si="1320"/>
        <v>0</v>
      </c>
      <c r="L197" s="242">
        <f t="shared" si="1320"/>
        <v>0</v>
      </c>
      <c r="M197" s="178">
        <f t="shared" si="1256"/>
        <v>0</v>
      </c>
      <c r="N197" s="17">
        <f t="shared" si="1222"/>
        <v>133.75557292307326</v>
      </c>
      <c r="O197" s="174">
        <f t="shared" si="1223"/>
        <v>4.9103904440703572E-6</v>
      </c>
      <c r="P197" s="17"/>
      <c r="Q197" s="64" t="s">
        <v>47</v>
      </c>
      <c r="R197" s="38"/>
      <c r="S197" s="242"/>
      <c r="T197" s="242"/>
      <c r="U197" s="242">
        <f t="shared" si="1224"/>
        <v>0</v>
      </c>
      <c r="V197" s="242">
        <f t="shared" si="1224"/>
        <v>0</v>
      </c>
      <c r="W197" s="41">
        <f t="shared" si="1224"/>
        <v>0</v>
      </c>
      <c r="X197" s="242">
        <f t="shared" si="1224"/>
        <v>0</v>
      </c>
      <c r="Y197" s="243">
        <f t="shared" si="1257"/>
        <v>0</v>
      </c>
      <c r="Z197" s="242">
        <f t="shared" si="1312"/>
        <v>0</v>
      </c>
      <c r="AA197" s="242">
        <f t="shared" si="1312"/>
        <v>0</v>
      </c>
      <c r="AB197" s="242">
        <f t="shared" si="1312"/>
        <v>0</v>
      </c>
      <c r="AC197" s="178">
        <f t="shared" si="1258"/>
        <v>0</v>
      </c>
      <c r="AD197" s="17">
        <f t="shared" si="1226"/>
        <v>0</v>
      </c>
      <c r="AE197" s="176" t="e">
        <f t="shared" si="1227"/>
        <v>#DIV/0!</v>
      </c>
      <c r="AF197" s="64" t="s">
        <v>47</v>
      </c>
      <c r="AG197" s="38"/>
      <c r="AH197" s="242"/>
      <c r="AI197" s="242"/>
      <c r="AJ197" s="242">
        <f t="shared" si="1228"/>
        <v>0</v>
      </c>
      <c r="AK197" s="242">
        <f t="shared" si="1228"/>
        <v>0</v>
      </c>
      <c r="AL197" s="41">
        <f t="shared" si="1228"/>
        <v>0</v>
      </c>
      <c r="AM197" s="242">
        <f t="shared" si="1228"/>
        <v>0</v>
      </c>
      <c r="AN197" s="243">
        <f t="shared" si="1296"/>
        <v>0</v>
      </c>
      <c r="AO197" s="242">
        <f t="shared" si="1229"/>
        <v>0</v>
      </c>
      <c r="AP197" s="242">
        <f t="shared" si="1229"/>
        <v>0</v>
      </c>
      <c r="AQ197" s="242">
        <f t="shared" si="1229"/>
        <v>0</v>
      </c>
      <c r="AR197" s="178">
        <f t="shared" si="1289"/>
        <v>0</v>
      </c>
      <c r="AS197" s="17">
        <f t="shared" si="1230"/>
        <v>0</v>
      </c>
      <c r="AU197" s="64" t="s">
        <v>47</v>
      </c>
      <c r="AV197" s="38">
        <f t="shared" ref="AV197:BG197" si="1321">IF(R207&gt;0,R197/R207,0)</f>
        <v>0</v>
      </c>
      <c r="AW197" s="242">
        <f t="shared" si="1321"/>
        <v>0</v>
      </c>
      <c r="AX197" s="242">
        <f t="shared" si="1321"/>
        <v>0</v>
      </c>
      <c r="AY197" s="242">
        <f t="shared" si="1321"/>
        <v>0</v>
      </c>
      <c r="AZ197" s="242">
        <f t="shared" si="1321"/>
        <v>0</v>
      </c>
      <c r="BA197" s="41">
        <f t="shared" si="1321"/>
        <v>0</v>
      </c>
      <c r="BB197" s="242">
        <f t="shared" si="1321"/>
        <v>0</v>
      </c>
      <c r="BC197" s="243">
        <f t="shared" si="1321"/>
        <v>0</v>
      </c>
      <c r="BD197" s="242">
        <f t="shared" si="1321"/>
        <v>0</v>
      </c>
      <c r="BE197" s="242">
        <f t="shared" si="1321"/>
        <v>0</v>
      </c>
      <c r="BF197" s="242">
        <f t="shared" si="1321"/>
        <v>0</v>
      </c>
      <c r="BG197" s="178">
        <f t="shared" si="1321"/>
        <v>0</v>
      </c>
      <c r="BH197" s="24" t="e">
        <f>AD197/AD207</f>
        <v>#DIV/0!</v>
      </c>
      <c r="BJ197" s="64" t="s">
        <v>47</v>
      </c>
      <c r="BK197" s="38">
        <f t="shared" ref="BK197:BV197" si="1322">IF(AG207&gt;0,AG197/AG207,0)</f>
        <v>0</v>
      </c>
      <c r="BL197" s="242">
        <f t="shared" si="1322"/>
        <v>0</v>
      </c>
      <c r="BM197" s="242">
        <f t="shared" si="1322"/>
        <v>0</v>
      </c>
      <c r="BN197" s="242">
        <f t="shared" si="1322"/>
        <v>0</v>
      </c>
      <c r="BO197" s="242">
        <f t="shared" si="1322"/>
        <v>0</v>
      </c>
      <c r="BP197" s="41">
        <f t="shared" si="1322"/>
        <v>0</v>
      </c>
      <c r="BQ197" s="242">
        <f t="shared" si="1322"/>
        <v>0</v>
      </c>
      <c r="BR197" s="243">
        <f t="shared" si="1322"/>
        <v>0</v>
      </c>
      <c r="BS197" s="242">
        <f t="shared" si="1322"/>
        <v>0</v>
      </c>
      <c r="BT197" s="242">
        <f t="shared" si="1322"/>
        <v>0</v>
      </c>
      <c r="BU197" s="242">
        <f t="shared" si="1322"/>
        <v>0</v>
      </c>
      <c r="BV197" s="178">
        <f t="shared" si="1322"/>
        <v>0</v>
      </c>
      <c r="BW197" s="24" t="e">
        <f>AS197/AS207</f>
        <v>#DIV/0!</v>
      </c>
      <c r="BX197" s="24"/>
      <c r="BY197" s="64" t="s">
        <v>47</v>
      </c>
      <c r="BZ197" s="54">
        <f t="shared" si="1262"/>
        <v>0</v>
      </c>
      <c r="CA197" s="55">
        <f t="shared" si="1233"/>
        <v>0</v>
      </c>
      <c r="CB197" s="55">
        <f t="shared" si="1234"/>
        <v>0</v>
      </c>
      <c r="CC197" s="55">
        <f t="shared" si="1235"/>
        <v>0</v>
      </c>
      <c r="CD197" s="55">
        <f t="shared" si="1236"/>
        <v>0</v>
      </c>
      <c r="CE197" s="61">
        <f t="shared" si="1237"/>
        <v>0</v>
      </c>
      <c r="CF197" s="55">
        <f t="shared" si="1238"/>
        <v>0</v>
      </c>
      <c r="CG197" s="246">
        <f t="shared" si="1239"/>
        <v>0</v>
      </c>
      <c r="CH197" s="55">
        <f t="shared" si="1240"/>
        <v>0</v>
      </c>
      <c r="CI197" s="55">
        <f t="shared" si="1241"/>
        <v>0</v>
      </c>
      <c r="CJ197" s="55">
        <f t="shared" si="1242"/>
        <v>0</v>
      </c>
      <c r="CK197" s="249">
        <f t="shared" si="1242"/>
        <v>0</v>
      </c>
      <c r="CL197" s="55">
        <f t="shared" si="1243"/>
        <v>0</v>
      </c>
      <c r="CN197" s="64" t="s">
        <v>47</v>
      </c>
      <c r="CO197" s="54">
        <f t="shared" si="1263"/>
        <v>0</v>
      </c>
      <c r="CP197" s="55">
        <f t="shared" si="1244"/>
        <v>0</v>
      </c>
      <c r="CQ197" s="55">
        <f t="shared" si="1245"/>
        <v>0</v>
      </c>
      <c r="CR197" s="55">
        <f t="shared" si="1246"/>
        <v>0</v>
      </c>
      <c r="CS197" s="55">
        <f t="shared" si="1247"/>
        <v>0</v>
      </c>
      <c r="CT197" s="61">
        <f t="shared" si="1248"/>
        <v>0</v>
      </c>
      <c r="CU197" s="55">
        <f t="shared" si="1249"/>
        <v>0</v>
      </c>
      <c r="CV197" s="246">
        <f t="shared" si="1250"/>
        <v>0</v>
      </c>
      <c r="CW197" s="55">
        <f t="shared" si="1251"/>
        <v>0</v>
      </c>
      <c r="CX197" s="55">
        <f t="shared" si="1252"/>
        <v>0</v>
      </c>
      <c r="CY197" s="55">
        <f t="shared" si="1253"/>
        <v>0</v>
      </c>
      <c r="CZ197" s="249">
        <f t="shared" si="1253"/>
        <v>0</v>
      </c>
      <c r="DA197" s="62" t="e">
        <f t="shared" si="1254"/>
        <v>#DIV/0!</v>
      </c>
      <c r="DC197" s="64" t="s">
        <v>47</v>
      </c>
      <c r="DD197" s="198">
        <f t="shared" si="1264"/>
        <v>0</v>
      </c>
      <c r="DE197" s="199">
        <f t="shared" si="1265"/>
        <v>0</v>
      </c>
      <c r="DF197" s="198">
        <f t="shared" si="1266"/>
        <v>0</v>
      </c>
      <c r="DG197" s="199">
        <f t="shared" si="1267"/>
        <v>0</v>
      </c>
      <c r="DH197" s="198">
        <f t="shared" si="1268"/>
        <v>0</v>
      </c>
      <c r="DI197" s="199">
        <f t="shared" si="1269"/>
        <v>0</v>
      </c>
      <c r="DJ197" s="198">
        <f t="shared" si="1270"/>
        <v>0</v>
      </c>
      <c r="DK197" s="199">
        <f t="shared" si="1271"/>
        <v>0</v>
      </c>
      <c r="DL197" s="198">
        <f t="shared" si="1272"/>
        <v>0</v>
      </c>
      <c r="DM197" s="199">
        <f t="shared" si="1273"/>
        <v>0</v>
      </c>
      <c r="DN197" s="200">
        <f t="shared" si="1274"/>
        <v>0</v>
      </c>
      <c r="DO197" s="201">
        <f t="shared" si="1275"/>
        <v>0</v>
      </c>
      <c r="DP197" s="198">
        <f t="shared" si="1276"/>
        <v>0</v>
      </c>
      <c r="DQ197" s="199">
        <f t="shared" si="1277"/>
        <v>0</v>
      </c>
      <c r="DR197" s="198">
        <f t="shared" si="1278"/>
        <v>0</v>
      </c>
      <c r="DS197" s="199">
        <f t="shared" si="1279"/>
        <v>0</v>
      </c>
      <c r="DT197" s="198">
        <f t="shared" si="1280"/>
        <v>0</v>
      </c>
      <c r="DU197" s="199">
        <f t="shared" si="1281"/>
        <v>0</v>
      </c>
      <c r="DV197" s="198">
        <f t="shared" si="1282"/>
        <v>0</v>
      </c>
      <c r="DW197" s="199">
        <f t="shared" si="1283"/>
        <v>0</v>
      </c>
      <c r="DX197" s="198">
        <f t="shared" si="1284"/>
        <v>0</v>
      </c>
      <c r="DY197" s="199">
        <f t="shared" si="1285"/>
        <v>0</v>
      </c>
      <c r="DZ197" s="190">
        <f t="shared" si="1286"/>
        <v>0</v>
      </c>
      <c r="EA197" s="199">
        <f t="shared" si="1255"/>
        <v>0</v>
      </c>
      <c r="EB197" s="190" t="e">
        <f t="shared" si="1287"/>
        <v>#DIV/0!</v>
      </c>
      <c r="EC197" s="190" t="e">
        <f t="shared" si="1288"/>
        <v>#DIV/0!</v>
      </c>
    </row>
    <row r="198" spans="1:133" x14ac:dyDescent="0.2">
      <c r="A198" s="66" t="s">
        <v>40</v>
      </c>
      <c r="B198" s="38">
        <f t="shared" ref="B198:H198" si="1323">SUM(B16,B42,B68,B94,B120,B146,B172)</f>
        <v>0</v>
      </c>
      <c r="C198" s="242">
        <f t="shared" si="1323"/>
        <v>0</v>
      </c>
      <c r="D198" s="242">
        <f t="shared" si="1323"/>
        <v>0</v>
      </c>
      <c r="E198" s="242">
        <f t="shared" si="1323"/>
        <v>0</v>
      </c>
      <c r="F198" s="242">
        <f t="shared" si="1323"/>
        <v>0</v>
      </c>
      <c r="G198" s="242">
        <f t="shared" si="1323"/>
        <v>0</v>
      </c>
      <c r="H198" s="39">
        <f t="shared" si="1323"/>
        <v>6952.4181018668341</v>
      </c>
      <c r="I198" s="243">
        <f t="shared" si="1300"/>
        <v>6952.4181018668341</v>
      </c>
      <c r="J198" s="242">
        <f t="shared" ref="J198:L198" si="1324">SUM(J16,J42,J68,J94,J120,J146,J172)</f>
        <v>0</v>
      </c>
      <c r="K198" s="242">
        <f t="shared" si="1324"/>
        <v>0</v>
      </c>
      <c r="L198" s="242">
        <f t="shared" si="1324"/>
        <v>0</v>
      </c>
      <c r="M198" s="178">
        <f t="shared" si="1256"/>
        <v>0</v>
      </c>
      <c r="N198" s="17">
        <f t="shared" si="1222"/>
        <v>6952.4181018668341</v>
      </c>
      <c r="O198" s="174">
        <f t="shared" si="1223"/>
        <v>2.5523487855136367E-4</v>
      </c>
      <c r="P198" s="17"/>
      <c r="Q198" s="66" t="s">
        <v>40</v>
      </c>
      <c r="R198" s="38"/>
      <c r="S198" s="242"/>
      <c r="T198" s="242"/>
      <c r="U198" s="242">
        <f t="shared" si="1224"/>
        <v>0</v>
      </c>
      <c r="V198" s="242">
        <f t="shared" si="1224"/>
        <v>0</v>
      </c>
      <c r="W198" s="242">
        <f t="shared" si="1224"/>
        <v>0</v>
      </c>
      <c r="X198" s="39">
        <f t="shared" si="1224"/>
        <v>0</v>
      </c>
      <c r="Y198" s="243">
        <f t="shared" si="1257"/>
        <v>0</v>
      </c>
      <c r="Z198" s="242">
        <f t="shared" si="1312"/>
        <v>0</v>
      </c>
      <c r="AA198" s="242">
        <f t="shared" si="1312"/>
        <v>0</v>
      </c>
      <c r="AB198" s="242">
        <f t="shared" si="1312"/>
        <v>0</v>
      </c>
      <c r="AC198" s="178">
        <f t="shared" si="1258"/>
        <v>0</v>
      </c>
      <c r="AD198" s="17">
        <f t="shared" si="1226"/>
        <v>0</v>
      </c>
      <c r="AE198" s="176" t="e">
        <f t="shared" si="1227"/>
        <v>#DIV/0!</v>
      </c>
      <c r="AF198" s="66" t="s">
        <v>40</v>
      </c>
      <c r="AG198" s="38"/>
      <c r="AH198" s="242"/>
      <c r="AI198" s="242"/>
      <c r="AJ198" s="242">
        <f t="shared" si="1228"/>
        <v>0</v>
      </c>
      <c r="AK198" s="242">
        <f t="shared" si="1228"/>
        <v>0</v>
      </c>
      <c r="AL198" s="242">
        <f t="shared" si="1228"/>
        <v>0</v>
      </c>
      <c r="AM198" s="39">
        <f t="shared" si="1228"/>
        <v>0</v>
      </c>
      <c r="AN198" s="243"/>
      <c r="AO198" s="242">
        <f t="shared" si="1229"/>
        <v>0</v>
      </c>
      <c r="AP198" s="242">
        <f t="shared" si="1229"/>
        <v>0</v>
      </c>
      <c r="AQ198" s="242">
        <f t="shared" si="1229"/>
        <v>0</v>
      </c>
      <c r="AR198" s="178">
        <f t="shared" si="1289"/>
        <v>0</v>
      </c>
      <c r="AS198" s="17">
        <f t="shared" si="1230"/>
        <v>0</v>
      </c>
      <c r="AU198" s="66" t="s">
        <v>40</v>
      </c>
      <c r="AV198" s="38">
        <f t="shared" ref="AV198:BG198" si="1325">IF(R207&gt;0,R198/R207,0)</f>
        <v>0</v>
      </c>
      <c r="AW198" s="242">
        <f t="shared" si="1325"/>
        <v>0</v>
      </c>
      <c r="AX198" s="242">
        <f t="shared" si="1325"/>
        <v>0</v>
      </c>
      <c r="AY198" s="242">
        <f t="shared" si="1325"/>
        <v>0</v>
      </c>
      <c r="AZ198" s="242">
        <f t="shared" si="1325"/>
        <v>0</v>
      </c>
      <c r="BA198" s="242">
        <f t="shared" si="1325"/>
        <v>0</v>
      </c>
      <c r="BB198" s="39">
        <f t="shared" si="1325"/>
        <v>0</v>
      </c>
      <c r="BC198" s="243">
        <f t="shared" si="1325"/>
        <v>0</v>
      </c>
      <c r="BD198" s="242">
        <f t="shared" si="1325"/>
        <v>0</v>
      </c>
      <c r="BE198" s="242">
        <f t="shared" si="1325"/>
        <v>0</v>
      </c>
      <c r="BF198" s="242">
        <f t="shared" si="1325"/>
        <v>0</v>
      </c>
      <c r="BG198" s="178">
        <f t="shared" si="1325"/>
        <v>0</v>
      </c>
      <c r="BH198" s="24" t="e">
        <f>AD198/AD207</f>
        <v>#DIV/0!</v>
      </c>
      <c r="BJ198" s="66" t="s">
        <v>40</v>
      </c>
      <c r="BK198" s="38">
        <f t="shared" ref="BK198:BV198" si="1326">IF(AG207&gt;0,AG198/AG207,0)</f>
        <v>0</v>
      </c>
      <c r="BL198" s="242">
        <f t="shared" si="1326"/>
        <v>0</v>
      </c>
      <c r="BM198" s="242">
        <f t="shared" si="1326"/>
        <v>0</v>
      </c>
      <c r="BN198" s="242">
        <f t="shared" si="1326"/>
        <v>0</v>
      </c>
      <c r="BO198" s="242">
        <f t="shared" si="1326"/>
        <v>0</v>
      </c>
      <c r="BP198" s="242">
        <f t="shared" si="1326"/>
        <v>0</v>
      </c>
      <c r="BQ198" s="39">
        <f t="shared" si="1326"/>
        <v>0</v>
      </c>
      <c r="BR198" s="243">
        <f t="shared" si="1326"/>
        <v>0</v>
      </c>
      <c r="BS198" s="242">
        <f t="shared" si="1326"/>
        <v>0</v>
      </c>
      <c r="BT198" s="242">
        <f t="shared" si="1326"/>
        <v>0</v>
      </c>
      <c r="BU198" s="242">
        <f t="shared" si="1326"/>
        <v>0</v>
      </c>
      <c r="BV198" s="178">
        <f t="shared" si="1326"/>
        <v>0</v>
      </c>
      <c r="BW198" s="24" t="e">
        <f>AS198/AS207</f>
        <v>#DIV/0!</v>
      </c>
      <c r="BX198" s="24"/>
      <c r="BY198" s="66" t="s">
        <v>40</v>
      </c>
      <c r="BZ198" s="54">
        <f t="shared" si="1262"/>
        <v>0</v>
      </c>
      <c r="CA198" s="55">
        <f t="shared" si="1233"/>
        <v>0</v>
      </c>
      <c r="CB198" s="55">
        <f t="shared" si="1234"/>
        <v>0</v>
      </c>
      <c r="CC198" s="55">
        <f t="shared" si="1235"/>
        <v>0</v>
      </c>
      <c r="CD198" s="55">
        <f t="shared" si="1236"/>
        <v>0</v>
      </c>
      <c r="CE198" s="55">
        <f t="shared" si="1237"/>
        <v>0</v>
      </c>
      <c r="CF198" s="59">
        <f t="shared" si="1238"/>
        <v>0</v>
      </c>
      <c r="CG198" s="246">
        <f t="shared" si="1239"/>
        <v>0</v>
      </c>
      <c r="CH198" s="55">
        <f t="shared" si="1240"/>
        <v>0</v>
      </c>
      <c r="CI198" s="55">
        <f t="shared" si="1241"/>
        <v>0</v>
      </c>
      <c r="CJ198" s="55">
        <f t="shared" si="1242"/>
        <v>0</v>
      </c>
      <c r="CK198" s="249">
        <f t="shared" si="1242"/>
        <v>0</v>
      </c>
      <c r="CL198" s="55">
        <f t="shared" si="1243"/>
        <v>0</v>
      </c>
      <c r="CN198" s="66" t="s">
        <v>40</v>
      </c>
      <c r="CO198" s="54">
        <f t="shared" si="1263"/>
        <v>0</v>
      </c>
      <c r="CP198" s="55">
        <f t="shared" si="1244"/>
        <v>0</v>
      </c>
      <c r="CQ198" s="55">
        <f t="shared" si="1245"/>
        <v>0</v>
      </c>
      <c r="CR198" s="55">
        <f t="shared" si="1246"/>
        <v>0</v>
      </c>
      <c r="CS198" s="55">
        <f t="shared" si="1247"/>
        <v>0</v>
      </c>
      <c r="CT198" s="55">
        <f t="shared" si="1248"/>
        <v>0</v>
      </c>
      <c r="CU198" s="59">
        <f t="shared" si="1249"/>
        <v>0</v>
      </c>
      <c r="CV198" s="246">
        <f t="shared" si="1250"/>
        <v>0</v>
      </c>
      <c r="CW198" s="55">
        <f t="shared" si="1251"/>
        <v>0</v>
      </c>
      <c r="CX198" s="55">
        <f t="shared" si="1252"/>
        <v>0</v>
      </c>
      <c r="CY198" s="55">
        <f t="shared" si="1253"/>
        <v>0</v>
      </c>
      <c r="CZ198" s="249">
        <f t="shared" si="1253"/>
        <v>0</v>
      </c>
      <c r="DA198" s="62" t="e">
        <f t="shared" si="1254"/>
        <v>#DIV/0!</v>
      </c>
      <c r="DC198" s="66" t="s">
        <v>40</v>
      </c>
      <c r="DD198" s="198">
        <f t="shared" si="1264"/>
        <v>0</v>
      </c>
      <c r="DE198" s="199">
        <f t="shared" si="1265"/>
        <v>0</v>
      </c>
      <c r="DF198" s="198">
        <f t="shared" si="1266"/>
        <v>0</v>
      </c>
      <c r="DG198" s="199">
        <f t="shared" si="1267"/>
        <v>0</v>
      </c>
      <c r="DH198" s="198">
        <f t="shared" si="1268"/>
        <v>0</v>
      </c>
      <c r="DI198" s="199">
        <f t="shared" si="1269"/>
        <v>0</v>
      </c>
      <c r="DJ198" s="198">
        <f t="shared" si="1270"/>
        <v>0</v>
      </c>
      <c r="DK198" s="199">
        <f t="shared" si="1271"/>
        <v>0</v>
      </c>
      <c r="DL198" s="198">
        <f t="shared" si="1272"/>
        <v>0</v>
      </c>
      <c r="DM198" s="199">
        <f t="shared" si="1273"/>
        <v>0</v>
      </c>
      <c r="DN198" s="198">
        <f t="shared" si="1274"/>
        <v>0</v>
      </c>
      <c r="DO198" s="199">
        <f t="shared" si="1275"/>
        <v>0</v>
      </c>
      <c r="DP198" s="195">
        <f t="shared" si="1276"/>
        <v>0</v>
      </c>
      <c r="DQ198" s="196">
        <f t="shared" si="1277"/>
        <v>0</v>
      </c>
      <c r="DR198" s="198">
        <f t="shared" si="1278"/>
        <v>0</v>
      </c>
      <c r="DS198" s="199">
        <f t="shared" si="1279"/>
        <v>0</v>
      </c>
      <c r="DT198" s="198">
        <f t="shared" si="1280"/>
        <v>0</v>
      </c>
      <c r="DU198" s="199">
        <f t="shared" si="1281"/>
        <v>0</v>
      </c>
      <c r="DV198" s="198">
        <f t="shared" si="1282"/>
        <v>0</v>
      </c>
      <c r="DW198" s="199">
        <f t="shared" si="1283"/>
        <v>0</v>
      </c>
      <c r="DX198" s="198">
        <f t="shared" si="1284"/>
        <v>0</v>
      </c>
      <c r="DY198" s="199">
        <f t="shared" si="1285"/>
        <v>0</v>
      </c>
      <c r="DZ198" s="190">
        <f t="shared" si="1286"/>
        <v>0</v>
      </c>
      <c r="EA198" s="199">
        <f t="shared" si="1255"/>
        <v>0</v>
      </c>
      <c r="EB198" s="190" t="e">
        <f t="shared" si="1287"/>
        <v>#DIV/0!</v>
      </c>
      <c r="EC198" s="190" t="e">
        <f t="shared" si="1288"/>
        <v>#DIV/0!</v>
      </c>
    </row>
    <row r="199" spans="1:133" ht="25.5" x14ac:dyDescent="0.2">
      <c r="A199" s="66" t="s">
        <v>345</v>
      </c>
      <c r="B199" s="38">
        <f t="shared" ref="B199:H199" si="1327">SUM(B17,B43,B69,B95,B121,B147,B173)</f>
        <v>0</v>
      </c>
      <c r="C199" s="242">
        <f t="shared" si="1327"/>
        <v>0</v>
      </c>
      <c r="D199" s="242">
        <f t="shared" si="1327"/>
        <v>0</v>
      </c>
      <c r="E199" s="242">
        <f t="shared" si="1327"/>
        <v>0</v>
      </c>
      <c r="F199" s="242">
        <f t="shared" si="1327"/>
        <v>0</v>
      </c>
      <c r="G199" s="242">
        <f t="shared" si="1327"/>
        <v>0</v>
      </c>
      <c r="H199" s="40">
        <f t="shared" si="1327"/>
        <v>1958.0637354534961</v>
      </c>
      <c r="I199" s="243">
        <f t="shared" si="1300"/>
        <v>1958.0637354534961</v>
      </c>
      <c r="J199" s="242">
        <f t="shared" ref="J199:L199" si="1328">SUM(J17,J43,J69,J95,J121,J147,J173)</f>
        <v>0</v>
      </c>
      <c r="K199" s="242">
        <f t="shared" si="1328"/>
        <v>0</v>
      </c>
      <c r="L199" s="242">
        <f t="shared" si="1328"/>
        <v>0</v>
      </c>
      <c r="M199" s="178">
        <f t="shared" si="1256"/>
        <v>0</v>
      </c>
      <c r="N199" s="17">
        <f t="shared" si="1222"/>
        <v>1958.0637354534961</v>
      </c>
      <c r="O199" s="174">
        <f t="shared" si="1223"/>
        <v>7.1883789552315254E-5</v>
      </c>
      <c r="P199" s="17"/>
      <c r="Q199" s="66" t="s">
        <v>345</v>
      </c>
      <c r="R199" s="38"/>
      <c r="S199" s="242"/>
      <c r="T199" s="242"/>
      <c r="U199" s="242">
        <f t="shared" si="1224"/>
        <v>0</v>
      </c>
      <c r="V199" s="242">
        <f t="shared" si="1224"/>
        <v>0</v>
      </c>
      <c r="W199" s="242">
        <f t="shared" si="1224"/>
        <v>0</v>
      </c>
      <c r="X199" s="40">
        <f t="shared" si="1224"/>
        <v>0</v>
      </c>
      <c r="Y199" s="243">
        <f t="shared" si="1257"/>
        <v>0</v>
      </c>
      <c r="Z199" s="242">
        <f t="shared" si="1312"/>
        <v>0</v>
      </c>
      <c r="AA199" s="242">
        <f t="shared" si="1312"/>
        <v>0</v>
      </c>
      <c r="AB199" s="242">
        <f t="shared" si="1312"/>
        <v>0</v>
      </c>
      <c r="AC199" s="178">
        <f t="shared" si="1258"/>
        <v>0</v>
      </c>
      <c r="AD199" s="17">
        <f t="shared" si="1226"/>
        <v>0</v>
      </c>
      <c r="AE199" s="176" t="e">
        <f t="shared" si="1227"/>
        <v>#DIV/0!</v>
      </c>
      <c r="AF199" s="66" t="s">
        <v>345</v>
      </c>
      <c r="AG199" s="38"/>
      <c r="AH199" s="242"/>
      <c r="AI199" s="242"/>
      <c r="AJ199" s="242">
        <f t="shared" si="1228"/>
        <v>0</v>
      </c>
      <c r="AK199" s="242">
        <f t="shared" si="1228"/>
        <v>0</v>
      </c>
      <c r="AL199" s="242">
        <f t="shared" si="1228"/>
        <v>0</v>
      </c>
      <c r="AM199" s="40">
        <f t="shared" si="1228"/>
        <v>0</v>
      </c>
      <c r="AN199" s="243"/>
      <c r="AO199" s="242">
        <f t="shared" si="1229"/>
        <v>0</v>
      </c>
      <c r="AP199" s="242">
        <f t="shared" si="1229"/>
        <v>0</v>
      </c>
      <c r="AQ199" s="242">
        <f t="shared" si="1229"/>
        <v>0</v>
      </c>
      <c r="AR199" s="178">
        <f t="shared" si="1289"/>
        <v>0</v>
      </c>
      <c r="AS199" s="17">
        <f t="shared" si="1230"/>
        <v>0</v>
      </c>
      <c r="AU199" s="66" t="s">
        <v>345</v>
      </c>
      <c r="AV199" s="38">
        <f t="shared" ref="AV199:BG199" si="1329">IF(R207&gt;0,R199/R207,0)</f>
        <v>0</v>
      </c>
      <c r="AW199" s="242">
        <f t="shared" si="1329"/>
        <v>0</v>
      </c>
      <c r="AX199" s="242">
        <f t="shared" si="1329"/>
        <v>0</v>
      </c>
      <c r="AY199" s="242">
        <f t="shared" si="1329"/>
        <v>0</v>
      </c>
      <c r="AZ199" s="242">
        <f t="shared" si="1329"/>
        <v>0</v>
      </c>
      <c r="BA199" s="242">
        <f t="shared" si="1329"/>
        <v>0</v>
      </c>
      <c r="BB199" s="40">
        <f t="shared" si="1329"/>
        <v>0</v>
      </c>
      <c r="BC199" s="243">
        <f t="shared" si="1329"/>
        <v>0</v>
      </c>
      <c r="BD199" s="242">
        <f t="shared" si="1329"/>
        <v>0</v>
      </c>
      <c r="BE199" s="242">
        <f t="shared" si="1329"/>
        <v>0</v>
      </c>
      <c r="BF199" s="242">
        <f t="shared" si="1329"/>
        <v>0</v>
      </c>
      <c r="BG199" s="178">
        <f t="shared" si="1329"/>
        <v>0</v>
      </c>
      <c r="BH199" s="24" t="e">
        <f>AD199/AD207</f>
        <v>#DIV/0!</v>
      </c>
      <c r="BJ199" s="66" t="s">
        <v>345</v>
      </c>
      <c r="BK199" s="38">
        <f t="shared" ref="BK199:BV199" si="1330">IF(AG207&gt;0,AG199/AG207,0)</f>
        <v>0</v>
      </c>
      <c r="BL199" s="242">
        <f t="shared" si="1330"/>
        <v>0</v>
      </c>
      <c r="BM199" s="242">
        <f t="shared" si="1330"/>
        <v>0</v>
      </c>
      <c r="BN199" s="242">
        <f t="shared" si="1330"/>
        <v>0</v>
      </c>
      <c r="BO199" s="242">
        <f t="shared" si="1330"/>
        <v>0</v>
      </c>
      <c r="BP199" s="242">
        <f t="shared" si="1330"/>
        <v>0</v>
      </c>
      <c r="BQ199" s="40">
        <f t="shared" si="1330"/>
        <v>0</v>
      </c>
      <c r="BR199" s="243">
        <f t="shared" si="1330"/>
        <v>0</v>
      </c>
      <c r="BS199" s="242">
        <f t="shared" si="1330"/>
        <v>0</v>
      </c>
      <c r="BT199" s="242">
        <f t="shared" si="1330"/>
        <v>0</v>
      </c>
      <c r="BU199" s="242">
        <f t="shared" si="1330"/>
        <v>0</v>
      </c>
      <c r="BV199" s="178">
        <f t="shared" si="1330"/>
        <v>0</v>
      </c>
      <c r="BW199" s="24" t="e">
        <f>AS199/AS207</f>
        <v>#DIV/0!</v>
      </c>
      <c r="BX199" s="24"/>
      <c r="BY199" s="66" t="s">
        <v>345</v>
      </c>
      <c r="BZ199" s="54">
        <f t="shared" si="1262"/>
        <v>0</v>
      </c>
      <c r="CA199" s="55">
        <f t="shared" si="1233"/>
        <v>0</v>
      </c>
      <c r="CB199" s="55">
        <f t="shared" si="1234"/>
        <v>0</v>
      </c>
      <c r="CC199" s="55">
        <f t="shared" si="1235"/>
        <v>0</v>
      </c>
      <c r="CD199" s="55">
        <f t="shared" si="1236"/>
        <v>0</v>
      </c>
      <c r="CE199" s="55">
        <f t="shared" si="1237"/>
        <v>0</v>
      </c>
      <c r="CF199" s="60">
        <f t="shared" si="1238"/>
        <v>0</v>
      </c>
      <c r="CG199" s="246">
        <f t="shared" si="1239"/>
        <v>0</v>
      </c>
      <c r="CH199" s="55">
        <f t="shared" si="1240"/>
        <v>0</v>
      </c>
      <c r="CI199" s="55">
        <f t="shared" si="1241"/>
        <v>0</v>
      </c>
      <c r="CJ199" s="55">
        <f t="shared" si="1242"/>
        <v>0</v>
      </c>
      <c r="CK199" s="249">
        <f t="shared" si="1242"/>
        <v>0</v>
      </c>
      <c r="CL199" s="55">
        <f t="shared" si="1243"/>
        <v>0</v>
      </c>
      <c r="CN199" s="66" t="s">
        <v>345</v>
      </c>
      <c r="CO199" s="54">
        <f t="shared" si="1263"/>
        <v>0</v>
      </c>
      <c r="CP199" s="55">
        <f t="shared" si="1244"/>
        <v>0</v>
      </c>
      <c r="CQ199" s="55">
        <f t="shared" si="1245"/>
        <v>0</v>
      </c>
      <c r="CR199" s="55">
        <f t="shared" si="1246"/>
        <v>0</v>
      </c>
      <c r="CS199" s="55">
        <f t="shared" si="1247"/>
        <v>0</v>
      </c>
      <c r="CT199" s="55">
        <f t="shared" si="1248"/>
        <v>0</v>
      </c>
      <c r="CU199" s="60">
        <f t="shared" si="1249"/>
        <v>0</v>
      </c>
      <c r="CV199" s="246">
        <f t="shared" si="1250"/>
        <v>0</v>
      </c>
      <c r="CW199" s="55">
        <f t="shared" si="1251"/>
        <v>0</v>
      </c>
      <c r="CX199" s="55">
        <f t="shared" si="1252"/>
        <v>0</v>
      </c>
      <c r="CY199" s="55">
        <f t="shared" si="1253"/>
        <v>0</v>
      </c>
      <c r="CZ199" s="249">
        <f t="shared" si="1253"/>
        <v>0</v>
      </c>
      <c r="DA199" s="62" t="e">
        <f t="shared" si="1254"/>
        <v>#DIV/0!</v>
      </c>
      <c r="DC199" s="66" t="s">
        <v>345</v>
      </c>
      <c r="DD199" s="198">
        <f t="shared" si="1264"/>
        <v>0</v>
      </c>
      <c r="DE199" s="199">
        <f t="shared" si="1265"/>
        <v>0</v>
      </c>
      <c r="DF199" s="198">
        <f t="shared" si="1266"/>
        <v>0</v>
      </c>
      <c r="DG199" s="199">
        <f t="shared" si="1267"/>
        <v>0</v>
      </c>
      <c r="DH199" s="198">
        <f t="shared" si="1268"/>
        <v>0</v>
      </c>
      <c r="DI199" s="199">
        <f t="shared" si="1269"/>
        <v>0</v>
      </c>
      <c r="DJ199" s="198">
        <f t="shared" si="1270"/>
        <v>0</v>
      </c>
      <c r="DK199" s="199">
        <f t="shared" si="1271"/>
        <v>0</v>
      </c>
      <c r="DL199" s="198">
        <f t="shared" si="1272"/>
        <v>0</v>
      </c>
      <c r="DM199" s="199">
        <f t="shared" si="1273"/>
        <v>0</v>
      </c>
      <c r="DN199" s="198">
        <f t="shared" si="1274"/>
        <v>0</v>
      </c>
      <c r="DO199" s="199">
        <f t="shared" si="1275"/>
        <v>0</v>
      </c>
      <c r="DP199" s="198">
        <f t="shared" si="1276"/>
        <v>0</v>
      </c>
      <c r="DQ199" s="199">
        <f t="shared" si="1277"/>
        <v>0</v>
      </c>
      <c r="DR199" s="198">
        <f t="shared" si="1278"/>
        <v>0</v>
      </c>
      <c r="DS199" s="199">
        <f t="shared" si="1279"/>
        <v>0</v>
      </c>
      <c r="DT199" s="198">
        <f t="shared" si="1280"/>
        <v>0</v>
      </c>
      <c r="DU199" s="199">
        <f t="shared" si="1281"/>
        <v>0</v>
      </c>
      <c r="DV199" s="198">
        <f t="shared" si="1282"/>
        <v>0</v>
      </c>
      <c r="DW199" s="199">
        <f t="shared" si="1283"/>
        <v>0</v>
      </c>
      <c r="DX199" s="198">
        <f t="shared" si="1284"/>
        <v>0</v>
      </c>
      <c r="DY199" s="199">
        <f t="shared" si="1285"/>
        <v>0</v>
      </c>
      <c r="DZ199" s="190">
        <f t="shared" si="1286"/>
        <v>0</v>
      </c>
      <c r="EA199" s="199">
        <f t="shared" si="1255"/>
        <v>0</v>
      </c>
      <c r="EB199" s="190" t="e">
        <f t="shared" si="1287"/>
        <v>#DIV/0!</v>
      </c>
      <c r="EC199" s="190" t="e">
        <f t="shared" si="1288"/>
        <v>#DIV/0!</v>
      </c>
    </row>
    <row r="200" spans="1:133" x14ac:dyDescent="0.2">
      <c r="A200" s="2" t="s">
        <v>347</v>
      </c>
      <c r="B200" s="38">
        <f t="shared" ref="B200:H200" si="1331">SUM(B18,B44,B70,B96,B122,B148,B174)</f>
        <v>0</v>
      </c>
      <c r="C200" s="242">
        <f t="shared" si="1331"/>
        <v>0</v>
      </c>
      <c r="D200" s="242">
        <f t="shared" si="1331"/>
        <v>0</v>
      </c>
      <c r="E200" s="242">
        <f t="shared" si="1331"/>
        <v>0</v>
      </c>
      <c r="F200" s="242">
        <f t="shared" si="1331"/>
        <v>0</v>
      </c>
      <c r="G200" s="242">
        <f t="shared" si="1331"/>
        <v>0</v>
      </c>
      <c r="H200" s="40">
        <f t="shared" si="1331"/>
        <v>108834.68431059686</v>
      </c>
      <c r="I200" s="243">
        <f t="shared" si="1300"/>
        <v>108834.68431059686</v>
      </c>
      <c r="J200" s="242">
        <f t="shared" ref="J200:L200" si="1332">SUM(J18,J44,J70,J96,J122,J148,J174)</f>
        <v>0</v>
      </c>
      <c r="K200" s="242">
        <f t="shared" si="1332"/>
        <v>0</v>
      </c>
      <c r="L200" s="242">
        <f t="shared" si="1332"/>
        <v>0</v>
      </c>
      <c r="M200" s="178">
        <f t="shared" ref="M200" si="1333">SUM(J200:L200)</f>
        <v>0</v>
      </c>
      <c r="N200" s="17">
        <f t="shared" ref="N200" si="1334">SUM(B200:L200)-I200</f>
        <v>108834.68431059686</v>
      </c>
      <c r="O200" s="174">
        <f t="shared" si="1223"/>
        <v>3.9955030070375451E-3</v>
      </c>
      <c r="P200" s="17"/>
      <c r="Q200" s="2" t="s">
        <v>347</v>
      </c>
      <c r="R200" s="38"/>
      <c r="S200" s="242"/>
      <c r="T200" s="242"/>
      <c r="U200" s="242">
        <f t="shared" ref="U200:U206" si="1335">SUM(U18,U44,U70,U96,U122,U148,U174)</f>
        <v>0</v>
      </c>
      <c r="V200" s="242">
        <f t="shared" ref="V200:X206" si="1336">SUM(V18,V44,V70,V96,V122,V148,V174)</f>
        <v>0</v>
      </c>
      <c r="W200" s="242">
        <f t="shared" si="1336"/>
        <v>0</v>
      </c>
      <c r="X200" s="40">
        <f t="shared" si="1336"/>
        <v>0</v>
      </c>
      <c r="Y200" s="243">
        <f>SUM(W200:X200)</f>
        <v>0</v>
      </c>
      <c r="Z200" s="242">
        <f>SUM(Z26,Z44,Z70,Z96,Z122,Z148,Z174)</f>
        <v>0</v>
      </c>
      <c r="AA200" s="242">
        <f>SUM(AA26,AA44,AA70,AA96,AA122,AA148,AA174)</f>
        <v>0</v>
      </c>
      <c r="AB200" s="242">
        <f>SUM(AB26,AB44,AB70,AB96,AB122,AB148,AB174)</f>
        <v>0</v>
      </c>
      <c r="AC200" s="178">
        <f>SUM(Z200:AB200)</f>
        <v>0</v>
      </c>
      <c r="AD200" s="17">
        <f>SUM(R200:AB200)-Y200</f>
        <v>0</v>
      </c>
      <c r="AE200" s="176" t="e">
        <f t="shared" si="1227"/>
        <v>#DIV/0!</v>
      </c>
      <c r="AF200" s="2" t="s">
        <v>347</v>
      </c>
      <c r="AG200" s="38"/>
      <c r="AH200" s="242"/>
      <c r="AI200" s="242"/>
      <c r="AJ200" s="242">
        <f t="shared" si="1228"/>
        <v>0</v>
      </c>
      <c r="AK200" s="242">
        <f t="shared" si="1228"/>
        <v>0</v>
      </c>
      <c r="AL200" s="242">
        <f t="shared" si="1228"/>
        <v>0</v>
      </c>
      <c r="AM200" s="40">
        <f t="shared" si="1228"/>
        <v>0</v>
      </c>
      <c r="AN200" s="243"/>
      <c r="AO200" s="242">
        <f t="shared" si="1229"/>
        <v>0</v>
      </c>
      <c r="AP200" s="242">
        <f t="shared" si="1229"/>
        <v>0</v>
      </c>
      <c r="AQ200" s="242">
        <f t="shared" si="1229"/>
        <v>0</v>
      </c>
      <c r="AR200" s="178">
        <f>SUM(AO200:AQ200)</f>
        <v>0</v>
      </c>
      <c r="AS200" s="17">
        <f>SUM(AG200:AQ200)-AN200</f>
        <v>0</v>
      </c>
      <c r="AU200" s="2" t="s">
        <v>347</v>
      </c>
      <c r="AV200" s="38">
        <f t="shared" ref="AV200:BG200" si="1337">IF(R214&gt;0,R200/R214,0)</f>
        <v>0</v>
      </c>
      <c r="AW200" s="242">
        <f t="shared" si="1337"/>
        <v>0</v>
      </c>
      <c r="AX200" s="242">
        <f t="shared" si="1337"/>
        <v>0</v>
      </c>
      <c r="AY200" s="242">
        <f t="shared" si="1337"/>
        <v>0</v>
      </c>
      <c r="AZ200" s="242">
        <f t="shared" si="1337"/>
        <v>0</v>
      </c>
      <c r="BA200" s="242">
        <f t="shared" si="1337"/>
        <v>0</v>
      </c>
      <c r="BB200" s="40">
        <f t="shared" si="1337"/>
        <v>0</v>
      </c>
      <c r="BC200" s="243">
        <f t="shared" si="1337"/>
        <v>0</v>
      </c>
      <c r="BD200" s="242">
        <f t="shared" si="1337"/>
        <v>0</v>
      </c>
      <c r="BE200" s="242">
        <f t="shared" si="1337"/>
        <v>0</v>
      </c>
      <c r="BF200" s="242">
        <f t="shared" si="1337"/>
        <v>0</v>
      </c>
      <c r="BG200" s="178">
        <f t="shared" si="1337"/>
        <v>0</v>
      </c>
      <c r="BH200" s="24" t="e">
        <f>AD200/AD214</f>
        <v>#DIV/0!</v>
      </c>
      <c r="BJ200" s="2" t="s">
        <v>347</v>
      </c>
      <c r="BK200" s="38">
        <f t="shared" ref="BK200:BV200" si="1338">IF(AG216&gt;0,AG200/AG216,0)</f>
        <v>0</v>
      </c>
      <c r="BL200" s="242">
        <f t="shared" si="1338"/>
        <v>0</v>
      </c>
      <c r="BM200" s="242">
        <f t="shared" si="1338"/>
        <v>0</v>
      </c>
      <c r="BN200" s="242">
        <f t="shared" si="1338"/>
        <v>0</v>
      </c>
      <c r="BO200" s="242">
        <f t="shared" si="1338"/>
        <v>0</v>
      </c>
      <c r="BP200" s="242">
        <f t="shared" si="1338"/>
        <v>0</v>
      </c>
      <c r="BQ200" s="40">
        <f t="shared" si="1338"/>
        <v>0</v>
      </c>
      <c r="BR200" s="243">
        <f t="shared" si="1338"/>
        <v>0</v>
      </c>
      <c r="BS200" s="242">
        <f t="shared" si="1338"/>
        <v>0</v>
      </c>
      <c r="BT200" s="242">
        <f t="shared" si="1338"/>
        <v>0</v>
      </c>
      <c r="BU200" s="242">
        <f t="shared" si="1338"/>
        <v>0</v>
      </c>
      <c r="BV200" s="178">
        <f t="shared" si="1338"/>
        <v>0</v>
      </c>
      <c r="BW200" s="24" t="e">
        <f>AS200/AS209</f>
        <v>#DIV/0!</v>
      </c>
      <c r="BX200" s="24"/>
      <c r="BY200" s="2" t="s">
        <v>347</v>
      </c>
      <c r="BZ200" s="54">
        <f t="shared" ref="BZ200" si="1339">AG200-R200</f>
        <v>0</v>
      </c>
      <c r="CA200" s="55">
        <f t="shared" ref="CA200" si="1340">AH200-S200</f>
        <v>0</v>
      </c>
      <c r="CB200" s="55">
        <f t="shared" ref="CB200" si="1341">AI200-T200</f>
        <v>0</v>
      </c>
      <c r="CC200" s="55">
        <f t="shared" ref="CC200" si="1342">AJ200-U200</f>
        <v>0</v>
      </c>
      <c r="CD200" s="55">
        <f t="shared" ref="CD200" si="1343">AK200-V200</f>
        <v>0</v>
      </c>
      <c r="CE200" s="55">
        <f t="shared" ref="CE200" si="1344">AL200-W200</f>
        <v>0</v>
      </c>
      <c r="CF200" s="60">
        <f t="shared" ref="CF200" si="1345">AM200-X200</f>
        <v>0</v>
      </c>
      <c r="CG200" s="246">
        <f t="shared" ref="CG200" si="1346">AN200-Y200</f>
        <v>0</v>
      </c>
      <c r="CH200" s="55">
        <f t="shared" ref="CH200" si="1347">AO200-Z200</f>
        <v>0</v>
      </c>
      <c r="CI200" s="55">
        <f t="shared" ref="CI200" si="1348">AP200-AA200</f>
        <v>0</v>
      </c>
      <c r="CJ200" s="55">
        <f t="shared" ref="CJ200" si="1349">AQ200-AB200</f>
        <v>0</v>
      </c>
      <c r="CK200" s="249">
        <f t="shared" ref="CK200" si="1350">AR200-AC200</f>
        <v>0</v>
      </c>
      <c r="CL200" s="55">
        <f t="shared" ref="CL200" si="1351">AS200-AD200</f>
        <v>0</v>
      </c>
      <c r="CN200" s="2" t="s">
        <v>347</v>
      </c>
      <c r="CO200" s="54">
        <f t="shared" ref="CO200" si="1352">BK200-AV200</f>
        <v>0</v>
      </c>
      <c r="CP200" s="55">
        <f t="shared" ref="CP200" si="1353">BL200-AW200</f>
        <v>0</v>
      </c>
      <c r="CQ200" s="55">
        <f t="shared" ref="CQ200" si="1354">BM200-AX200</f>
        <v>0</v>
      </c>
      <c r="CR200" s="55">
        <f t="shared" ref="CR200" si="1355">BN200-AY200</f>
        <v>0</v>
      </c>
      <c r="CS200" s="55">
        <f t="shared" ref="CS200" si="1356">BO200-AZ200</f>
        <v>0</v>
      </c>
      <c r="CT200" s="55">
        <f t="shared" ref="CT200" si="1357">BP200-BA200</f>
        <v>0</v>
      </c>
      <c r="CU200" s="60">
        <f t="shared" ref="CU200" si="1358">BQ200-BB200</f>
        <v>0</v>
      </c>
      <c r="CV200" s="246">
        <f t="shared" ref="CV200" si="1359">BR200-BC200</f>
        <v>0</v>
      </c>
      <c r="CW200" s="55">
        <f t="shared" ref="CW200" si="1360">BS200-BD200</f>
        <v>0</v>
      </c>
      <c r="CX200" s="55">
        <f t="shared" ref="CX200" si="1361">BT200-BE200</f>
        <v>0</v>
      </c>
      <c r="CY200" s="55">
        <f t="shared" ref="CY200" si="1362">BU200-BF200</f>
        <v>0</v>
      </c>
      <c r="CZ200" s="249">
        <f t="shared" ref="CZ200" si="1363">BV200-BG200</f>
        <v>0</v>
      </c>
      <c r="DA200" s="62" t="e">
        <f t="shared" ref="DA200" si="1364">BW200-BH200</f>
        <v>#DIV/0!</v>
      </c>
      <c r="DC200" s="2" t="s">
        <v>347</v>
      </c>
      <c r="DD200" s="198">
        <f t="shared" ref="DD200" si="1365">AV200</f>
        <v>0</v>
      </c>
      <c r="DE200" s="199">
        <f t="shared" ref="DE200" si="1366">BK200</f>
        <v>0</v>
      </c>
      <c r="DF200" s="198">
        <f t="shared" ref="DF200" si="1367">AW200</f>
        <v>0</v>
      </c>
      <c r="DG200" s="199">
        <f t="shared" ref="DG200" si="1368">BL200</f>
        <v>0</v>
      </c>
      <c r="DH200" s="198">
        <f t="shared" ref="DH200" si="1369">AX200</f>
        <v>0</v>
      </c>
      <c r="DI200" s="199">
        <f t="shared" ref="DI200" si="1370">BM200</f>
        <v>0</v>
      </c>
      <c r="DJ200" s="198">
        <f t="shared" ref="DJ200" si="1371">AY200</f>
        <v>0</v>
      </c>
      <c r="DK200" s="199">
        <f t="shared" ref="DK200" si="1372">BN200</f>
        <v>0</v>
      </c>
      <c r="DL200" s="198">
        <f t="shared" ref="DL200" si="1373">AZ200</f>
        <v>0</v>
      </c>
      <c r="DM200" s="199">
        <f t="shared" ref="DM200" si="1374">BO200</f>
        <v>0</v>
      </c>
      <c r="DN200" s="198">
        <f t="shared" ref="DN200" si="1375">BA200</f>
        <v>0</v>
      </c>
      <c r="DO200" s="199">
        <f t="shared" ref="DO200" si="1376">BP200</f>
        <v>0</v>
      </c>
      <c r="DP200" s="198">
        <f t="shared" ref="DP200" si="1377">BB200</f>
        <v>0</v>
      </c>
      <c r="DQ200" s="199">
        <f t="shared" ref="DQ200" si="1378">BQ200</f>
        <v>0</v>
      </c>
      <c r="DR200" s="198">
        <f t="shared" ref="DR200" si="1379">BC200</f>
        <v>0</v>
      </c>
      <c r="DS200" s="199">
        <f t="shared" ref="DS200" si="1380">BR200</f>
        <v>0</v>
      </c>
      <c r="DT200" s="198">
        <f t="shared" ref="DT200" si="1381">BD200</f>
        <v>0</v>
      </c>
      <c r="DU200" s="199">
        <f t="shared" ref="DU200" si="1382">BS200</f>
        <v>0</v>
      </c>
      <c r="DV200" s="198">
        <f t="shared" ref="DV200" si="1383">BE200</f>
        <v>0</v>
      </c>
      <c r="DW200" s="199">
        <f t="shared" ref="DW200" si="1384">BT200</f>
        <v>0</v>
      </c>
      <c r="DX200" s="198">
        <f t="shared" ref="DX200" si="1385">BF200</f>
        <v>0</v>
      </c>
      <c r="DY200" s="199">
        <f t="shared" ref="DY200" si="1386">BU200</f>
        <v>0</v>
      </c>
      <c r="DZ200" s="190">
        <f t="shared" ref="DZ200" si="1387">BG200</f>
        <v>0</v>
      </c>
      <c r="EA200" s="199">
        <f t="shared" ref="EA200" si="1388">BV200</f>
        <v>0</v>
      </c>
      <c r="EB200" s="190" t="e">
        <f t="shared" ref="EB200" si="1389">BH200</f>
        <v>#DIV/0!</v>
      </c>
      <c r="EC200" s="190" t="e">
        <f t="shared" ref="EC200" si="1390">BW200</f>
        <v>#DIV/0!</v>
      </c>
    </row>
    <row r="201" spans="1:133" x14ac:dyDescent="0.2">
      <c r="A201" s="64" t="s">
        <v>50</v>
      </c>
      <c r="B201" s="38">
        <f t="shared" ref="B201:H201" si="1391">SUM(B19,B45,B71,B97,B123,B149,B175)</f>
        <v>0</v>
      </c>
      <c r="C201" s="242">
        <f t="shared" si="1391"/>
        <v>0</v>
      </c>
      <c r="D201" s="242">
        <f t="shared" si="1391"/>
        <v>0</v>
      </c>
      <c r="E201" s="242">
        <f t="shared" si="1391"/>
        <v>0</v>
      </c>
      <c r="F201" s="242">
        <f t="shared" si="1391"/>
        <v>0</v>
      </c>
      <c r="G201" s="242">
        <f t="shared" si="1391"/>
        <v>0</v>
      </c>
      <c r="H201" s="40">
        <f t="shared" si="1391"/>
        <v>30784.283664272916</v>
      </c>
      <c r="I201" s="243">
        <f t="shared" si="1300"/>
        <v>30784.283664272916</v>
      </c>
      <c r="J201" s="242">
        <f t="shared" ref="J201:L201" si="1392">SUM(J19,J45,J71,J97,J123,J149,J175)</f>
        <v>0</v>
      </c>
      <c r="K201" s="242">
        <f t="shared" si="1392"/>
        <v>0</v>
      </c>
      <c r="L201" s="242">
        <f t="shared" si="1392"/>
        <v>0</v>
      </c>
      <c r="M201" s="178">
        <f t="shared" si="1256"/>
        <v>0</v>
      </c>
      <c r="N201" s="17">
        <f t="shared" si="1222"/>
        <v>30784.283664272916</v>
      </c>
      <c r="O201" s="174">
        <f t="shared" si="1223"/>
        <v>1.1301424608269226E-3</v>
      </c>
      <c r="P201" s="17"/>
      <c r="Q201" s="64" t="s">
        <v>50</v>
      </c>
      <c r="R201" s="38"/>
      <c r="S201" s="242"/>
      <c r="T201" s="242"/>
      <c r="U201" s="242">
        <f t="shared" si="1335"/>
        <v>0</v>
      </c>
      <c r="V201" s="242">
        <f t="shared" si="1336"/>
        <v>0</v>
      </c>
      <c r="W201" s="242">
        <f t="shared" si="1336"/>
        <v>0</v>
      </c>
      <c r="X201" s="40">
        <f t="shared" si="1336"/>
        <v>0</v>
      </c>
      <c r="Y201" s="243">
        <f t="shared" si="1257"/>
        <v>0</v>
      </c>
      <c r="Z201" s="242">
        <f t="shared" ref="Z201:AB204" si="1393">SUM(Z21,Z45,Z71,Z97,Z123,Z149,Z175)</f>
        <v>0</v>
      </c>
      <c r="AA201" s="242">
        <f t="shared" si="1393"/>
        <v>0</v>
      </c>
      <c r="AB201" s="242">
        <f t="shared" si="1393"/>
        <v>0</v>
      </c>
      <c r="AC201" s="178">
        <f t="shared" si="1258"/>
        <v>0</v>
      </c>
      <c r="AD201" s="17">
        <f t="shared" si="1226"/>
        <v>0</v>
      </c>
      <c r="AE201" s="176" t="e">
        <f t="shared" si="1227"/>
        <v>#DIV/0!</v>
      </c>
      <c r="AF201" s="64" t="s">
        <v>50</v>
      </c>
      <c r="AG201" s="38"/>
      <c r="AH201" s="242"/>
      <c r="AI201" s="242"/>
      <c r="AJ201" s="242">
        <f t="shared" ref="AJ201:AK206" si="1394">SUM(AJ19,AJ45,AJ71,AJ97,AJ123,AJ149,AJ175)</f>
        <v>0</v>
      </c>
      <c r="AK201" s="242">
        <f t="shared" si="1394"/>
        <v>0</v>
      </c>
      <c r="AL201" s="242">
        <f t="shared" ref="AL201:AM201" si="1395">SUM(AL19,AL45,AL71,AL97,AL123,AL149,AL175)</f>
        <v>0</v>
      </c>
      <c r="AM201" s="40">
        <f t="shared" si="1395"/>
        <v>0</v>
      </c>
      <c r="AN201" s="243"/>
      <c r="AO201" s="242">
        <f t="shared" ref="AO201:AQ201" si="1396">SUM(AO19,AO45,AO71,AO97,AO123,AO149,AO175)</f>
        <v>0</v>
      </c>
      <c r="AP201" s="242">
        <f t="shared" si="1396"/>
        <v>0</v>
      </c>
      <c r="AQ201" s="242">
        <f t="shared" si="1396"/>
        <v>0</v>
      </c>
      <c r="AR201" s="178">
        <f t="shared" si="1289"/>
        <v>0</v>
      </c>
      <c r="AS201" s="17">
        <f t="shared" si="1230"/>
        <v>0</v>
      </c>
      <c r="AU201" s="64" t="s">
        <v>50</v>
      </c>
      <c r="AV201" s="38">
        <f t="shared" ref="AV201:BG201" si="1397">IF(R207&gt;0,R201/R207,0)</f>
        <v>0</v>
      </c>
      <c r="AW201" s="242">
        <f t="shared" si="1397"/>
        <v>0</v>
      </c>
      <c r="AX201" s="242">
        <f t="shared" si="1397"/>
        <v>0</v>
      </c>
      <c r="AY201" s="242">
        <f t="shared" si="1397"/>
        <v>0</v>
      </c>
      <c r="AZ201" s="242">
        <f t="shared" si="1397"/>
        <v>0</v>
      </c>
      <c r="BA201" s="242">
        <f t="shared" si="1397"/>
        <v>0</v>
      </c>
      <c r="BB201" s="40">
        <f t="shared" si="1397"/>
        <v>0</v>
      </c>
      <c r="BC201" s="243">
        <f t="shared" si="1397"/>
        <v>0</v>
      </c>
      <c r="BD201" s="242">
        <f t="shared" si="1397"/>
        <v>0</v>
      </c>
      <c r="BE201" s="242">
        <f t="shared" si="1397"/>
        <v>0</v>
      </c>
      <c r="BF201" s="242">
        <f t="shared" si="1397"/>
        <v>0</v>
      </c>
      <c r="BG201" s="178">
        <f t="shared" si="1397"/>
        <v>0</v>
      </c>
      <c r="BH201" s="24" t="e">
        <f>AD201/AD207</f>
        <v>#DIV/0!</v>
      </c>
      <c r="BJ201" s="64" t="s">
        <v>50</v>
      </c>
      <c r="BK201" s="38">
        <f t="shared" ref="BK201:BV201" si="1398">IF(AG207&gt;0,AG201/AG207,0)</f>
        <v>0</v>
      </c>
      <c r="BL201" s="242">
        <f t="shared" si="1398"/>
        <v>0</v>
      </c>
      <c r="BM201" s="242">
        <f t="shared" si="1398"/>
        <v>0</v>
      </c>
      <c r="BN201" s="242">
        <f t="shared" si="1398"/>
        <v>0</v>
      </c>
      <c r="BO201" s="242">
        <f t="shared" si="1398"/>
        <v>0</v>
      </c>
      <c r="BP201" s="242">
        <f t="shared" si="1398"/>
        <v>0</v>
      </c>
      <c r="BQ201" s="40">
        <f t="shared" si="1398"/>
        <v>0</v>
      </c>
      <c r="BR201" s="243">
        <f t="shared" si="1398"/>
        <v>0</v>
      </c>
      <c r="BS201" s="242">
        <f t="shared" si="1398"/>
        <v>0</v>
      </c>
      <c r="BT201" s="242">
        <f t="shared" si="1398"/>
        <v>0</v>
      </c>
      <c r="BU201" s="242">
        <f t="shared" si="1398"/>
        <v>0</v>
      </c>
      <c r="BV201" s="178">
        <f t="shared" si="1398"/>
        <v>0</v>
      </c>
      <c r="BW201" s="24" t="e">
        <f>AS201/AS207</f>
        <v>#DIV/0!</v>
      </c>
      <c r="BX201" s="24"/>
      <c r="BY201" s="64" t="s">
        <v>50</v>
      </c>
      <c r="BZ201" s="54">
        <f t="shared" si="1262"/>
        <v>0</v>
      </c>
      <c r="CA201" s="55">
        <f t="shared" si="1233"/>
        <v>0</v>
      </c>
      <c r="CB201" s="55">
        <f t="shared" si="1234"/>
        <v>0</v>
      </c>
      <c r="CC201" s="55">
        <f t="shared" si="1235"/>
        <v>0</v>
      </c>
      <c r="CD201" s="55">
        <f t="shared" si="1236"/>
        <v>0</v>
      </c>
      <c r="CE201" s="55">
        <f t="shared" si="1237"/>
        <v>0</v>
      </c>
      <c r="CF201" s="60">
        <f t="shared" si="1238"/>
        <v>0</v>
      </c>
      <c r="CG201" s="246">
        <f t="shared" si="1239"/>
        <v>0</v>
      </c>
      <c r="CH201" s="55">
        <f t="shared" si="1240"/>
        <v>0</v>
      </c>
      <c r="CI201" s="55">
        <f t="shared" si="1241"/>
        <v>0</v>
      </c>
      <c r="CJ201" s="55">
        <f t="shared" si="1242"/>
        <v>0</v>
      </c>
      <c r="CK201" s="249">
        <f t="shared" si="1242"/>
        <v>0</v>
      </c>
      <c r="CL201" s="55">
        <f t="shared" si="1243"/>
        <v>0</v>
      </c>
      <c r="CN201" s="64" t="s">
        <v>50</v>
      </c>
      <c r="CO201" s="54">
        <f t="shared" si="1263"/>
        <v>0</v>
      </c>
      <c r="CP201" s="55">
        <f t="shared" si="1244"/>
        <v>0</v>
      </c>
      <c r="CQ201" s="55">
        <f t="shared" si="1245"/>
        <v>0</v>
      </c>
      <c r="CR201" s="55">
        <f t="shared" si="1246"/>
        <v>0</v>
      </c>
      <c r="CS201" s="55">
        <f t="shared" si="1247"/>
        <v>0</v>
      </c>
      <c r="CT201" s="55">
        <f t="shared" si="1248"/>
        <v>0</v>
      </c>
      <c r="CU201" s="60">
        <f t="shared" si="1249"/>
        <v>0</v>
      </c>
      <c r="CV201" s="246">
        <f t="shared" si="1250"/>
        <v>0</v>
      </c>
      <c r="CW201" s="55">
        <f t="shared" si="1251"/>
        <v>0</v>
      </c>
      <c r="CX201" s="55">
        <f t="shared" si="1252"/>
        <v>0</v>
      </c>
      <c r="CY201" s="55">
        <f t="shared" si="1253"/>
        <v>0</v>
      </c>
      <c r="CZ201" s="249">
        <f t="shared" si="1253"/>
        <v>0</v>
      </c>
      <c r="DA201" s="62" t="e">
        <f t="shared" si="1254"/>
        <v>#DIV/0!</v>
      </c>
      <c r="DC201" s="64" t="s">
        <v>50</v>
      </c>
      <c r="DD201" s="198">
        <f t="shared" si="1264"/>
        <v>0</v>
      </c>
      <c r="DE201" s="199">
        <f t="shared" si="1265"/>
        <v>0</v>
      </c>
      <c r="DF201" s="198">
        <f t="shared" si="1266"/>
        <v>0</v>
      </c>
      <c r="DG201" s="199">
        <f t="shared" si="1267"/>
        <v>0</v>
      </c>
      <c r="DH201" s="198">
        <f t="shared" si="1268"/>
        <v>0</v>
      </c>
      <c r="DI201" s="199">
        <f t="shared" si="1269"/>
        <v>0</v>
      </c>
      <c r="DJ201" s="198">
        <f t="shared" si="1270"/>
        <v>0</v>
      </c>
      <c r="DK201" s="199">
        <f t="shared" si="1271"/>
        <v>0</v>
      </c>
      <c r="DL201" s="198">
        <f t="shared" si="1272"/>
        <v>0</v>
      </c>
      <c r="DM201" s="199">
        <f t="shared" si="1273"/>
        <v>0</v>
      </c>
      <c r="DN201" s="198">
        <f t="shared" si="1274"/>
        <v>0</v>
      </c>
      <c r="DO201" s="199">
        <f t="shared" si="1275"/>
        <v>0</v>
      </c>
      <c r="DP201" s="198">
        <f t="shared" si="1276"/>
        <v>0</v>
      </c>
      <c r="DQ201" s="199">
        <f t="shared" si="1277"/>
        <v>0</v>
      </c>
      <c r="DR201" s="198">
        <f t="shared" si="1278"/>
        <v>0</v>
      </c>
      <c r="DS201" s="199">
        <f t="shared" si="1279"/>
        <v>0</v>
      </c>
      <c r="DT201" s="198">
        <f t="shared" si="1280"/>
        <v>0</v>
      </c>
      <c r="DU201" s="199">
        <f t="shared" si="1281"/>
        <v>0</v>
      </c>
      <c r="DV201" s="198">
        <f t="shared" si="1282"/>
        <v>0</v>
      </c>
      <c r="DW201" s="199">
        <f t="shared" si="1283"/>
        <v>0</v>
      </c>
      <c r="DX201" s="198">
        <f t="shared" si="1284"/>
        <v>0</v>
      </c>
      <c r="DY201" s="199">
        <f t="shared" si="1285"/>
        <v>0</v>
      </c>
      <c r="DZ201" s="190">
        <f t="shared" si="1286"/>
        <v>0</v>
      </c>
      <c r="EA201" s="199">
        <f t="shared" si="1255"/>
        <v>0</v>
      </c>
      <c r="EB201" s="190" t="e">
        <f t="shared" si="1287"/>
        <v>#DIV/0!</v>
      </c>
      <c r="EC201" s="190" t="e">
        <f t="shared" si="1288"/>
        <v>#DIV/0!</v>
      </c>
    </row>
    <row r="202" spans="1:133" x14ac:dyDescent="0.2">
      <c r="A202" s="64" t="s">
        <v>51</v>
      </c>
      <c r="B202" s="38">
        <f t="shared" ref="B202:H202" si="1399">SUM(B20,B46,B72,B98,B124,B150,B176)</f>
        <v>0</v>
      </c>
      <c r="C202" s="242">
        <f t="shared" si="1399"/>
        <v>0</v>
      </c>
      <c r="D202" s="242">
        <f t="shared" si="1399"/>
        <v>0</v>
      </c>
      <c r="E202" s="242">
        <f t="shared" si="1399"/>
        <v>0</v>
      </c>
      <c r="F202" s="242">
        <f t="shared" si="1399"/>
        <v>0</v>
      </c>
      <c r="G202" s="242">
        <f t="shared" si="1399"/>
        <v>0</v>
      </c>
      <c r="H202" s="40">
        <f t="shared" si="1399"/>
        <v>0</v>
      </c>
      <c r="I202" s="243">
        <f t="shared" si="1300"/>
        <v>0</v>
      </c>
      <c r="J202" s="242">
        <f t="shared" ref="J202:L202" si="1400">SUM(J20,J46,J72,J98,J124,J150,J176)</f>
        <v>10157.931704002893</v>
      </c>
      <c r="K202" s="242">
        <f t="shared" si="1400"/>
        <v>5736.0453012664966</v>
      </c>
      <c r="L202" s="242">
        <f t="shared" si="1400"/>
        <v>0</v>
      </c>
      <c r="M202" s="178">
        <f t="shared" si="1256"/>
        <v>15893.977005269389</v>
      </c>
      <c r="N202" s="17">
        <f t="shared" si="1222"/>
        <v>15893.977005269389</v>
      </c>
      <c r="O202" s="174">
        <f t="shared" si="1223"/>
        <v>5.8349443764735786E-4</v>
      </c>
      <c r="P202" s="17"/>
      <c r="Q202" s="64" t="s">
        <v>51</v>
      </c>
      <c r="R202" s="38"/>
      <c r="S202" s="242"/>
      <c r="T202" s="242"/>
      <c r="U202" s="242">
        <f t="shared" si="1335"/>
        <v>0</v>
      </c>
      <c r="V202" s="242">
        <f t="shared" si="1336"/>
        <v>0</v>
      </c>
      <c r="W202" s="242">
        <f t="shared" si="1336"/>
        <v>0</v>
      </c>
      <c r="X202" s="40">
        <f t="shared" si="1336"/>
        <v>0</v>
      </c>
      <c r="Y202" s="243">
        <f t="shared" si="1257"/>
        <v>0</v>
      </c>
      <c r="Z202" s="242">
        <f t="shared" si="1393"/>
        <v>0</v>
      </c>
      <c r="AA202" s="242">
        <f t="shared" si="1393"/>
        <v>0</v>
      </c>
      <c r="AB202" s="242">
        <f t="shared" si="1393"/>
        <v>0</v>
      </c>
      <c r="AC202" s="178">
        <f t="shared" si="1258"/>
        <v>0</v>
      </c>
      <c r="AD202" s="17">
        <f t="shared" si="1226"/>
        <v>0</v>
      </c>
      <c r="AE202" s="176" t="e">
        <f t="shared" si="1227"/>
        <v>#DIV/0!</v>
      </c>
      <c r="AF202" s="64" t="s">
        <v>51</v>
      </c>
      <c r="AG202" s="38"/>
      <c r="AH202" s="242"/>
      <c r="AI202" s="242"/>
      <c r="AJ202" s="242">
        <f t="shared" si="1394"/>
        <v>0</v>
      </c>
      <c r="AK202" s="242">
        <f t="shared" si="1394"/>
        <v>0</v>
      </c>
      <c r="AL202" s="242">
        <f t="shared" ref="AL202:AM202" si="1401">SUM(AL20,AL46,AL72,AL98,AL124,AL150,AL176)</f>
        <v>0</v>
      </c>
      <c r="AM202" s="40">
        <f t="shared" si="1401"/>
        <v>0</v>
      </c>
      <c r="AN202" s="243"/>
      <c r="AO202" s="242">
        <f t="shared" ref="AO202:AQ202" si="1402">SUM(AO20,AO46,AO72,AO98,AO124,AO150,AO176)</f>
        <v>0</v>
      </c>
      <c r="AP202" s="242">
        <f t="shared" si="1402"/>
        <v>0</v>
      </c>
      <c r="AQ202" s="242">
        <f t="shared" si="1402"/>
        <v>0</v>
      </c>
      <c r="AR202" s="178">
        <f t="shared" si="1289"/>
        <v>0</v>
      </c>
      <c r="AS202" s="17">
        <f t="shared" si="1230"/>
        <v>0</v>
      </c>
      <c r="AU202" s="64" t="s">
        <v>51</v>
      </c>
      <c r="AV202" s="38">
        <f t="shared" ref="AV202:BG202" si="1403">IF(R207&gt;0,R202/R207,0)</f>
        <v>0</v>
      </c>
      <c r="AW202" s="242">
        <f t="shared" si="1403"/>
        <v>0</v>
      </c>
      <c r="AX202" s="242">
        <f t="shared" si="1403"/>
        <v>0</v>
      </c>
      <c r="AY202" s="242">
        <f t="shared" si="1403"/>
        <v>0</v>
      </c>
      <c r="AZ202" s="242">
        <f t="shared" si="1403"/>
        <v>0</v>
      </c>
      <c r="BA202" s="242">
        <f t="shared" si="1403"/>
        <v>0</v>
      </c>
      <c r="BB202" s="40">
        <f t="shared" si="1403"/>
        <v>0</v>
      </c>
      <c r="BC202" s="243">
        <f t="shared" si="1403"/>
        <v>0</v>
      </c>
      <c r="BD202" s="242">
        <f t="shared" si="1403"/>
        <v>0</v>
      </c>
      <c r="BE202" s="242">
        <f t="shared" si="1403"/>
        <v>0</v>
      </c>
      <c r="BF202" s="242">
        <f t="shared" si="1403"/>
        <v>0</v>
      </c>
      <c r="BG202" s="178">
        <f t="shared" si="1403"/>
        <v>0</v>
      </c>
      <c r="BH202" s="24" t="e">
        <f>AD202/AD207</f>
        <v>#DIV/0!</v>
      </c>
      <c r="BJ202" s="64" t="s">
        <v>51</v>
      </c>
      <c r="BK202" s="38">
        <f t="shared" ref="BK202:BV202" si="1404">IF(AG207&gt;0,AG202/AG207,0)</f>
        <v>0</v>
      </c>
      <c r="BL202" s="242">
        <f t="shared" si="1404"/>
        <v>0</v>
      </c>
      <c r="BM202" s="242">
        <f t="shared" si="1404"/>
        <v>0</v>
      </c>
      <c r="BN202" s="242">
        <f t="shared" si="1404"/>
        <v>0</v>
      </c>
      <c r="BO202" s="242">
        <f t="shared" si="1404"/>
        <v>0</v>
      </c>
      <c r="BP202" s="242">
        <f t="shared" si="1404"/>
        <v>0</v>
      </c>
      <c r="BQ202" s="40">
        <f t="shared" si="1404"/>
        <v>0</v>
      </c>
      <c r="BR202" s="243">
        <f t="shared" si="1404"/>
        <v>0</v>
      </c>
      <c r="BS202" s="242">
        <f t="shared" si="1404"/>
        <v>0</v>
      </c>
      <c r="BT202" s="242">
        <f t="shared" si="1404"/>
        <v>0</v>
      </c>
      <c r="BU202" s="242">
        <f t="shared" si="1404"/>
        <v>0</v>
      </c>
      <c r="BV202" s="178">
        <f t="shared" si="1404"/>
        <v>0</v>
      </c>
      <c r="BW202" s="24" t="e">
        <f>AS202/AS207</f>
        <v>#DIV/0!</v>
      </c>
      <c r="BX202" s="24"/>
      <c r="BY202" s="64" t="s">
        <v>51</v>
      </c>
      <c r="BZ202" s="54">
        <f t="shared" si="1262"/>
        <v>0</v>
      </c>
      <c r="CA202" s="55">
        <f t="shared" si="1233"/>
        <v>0</v>
      </c>
      <c r="CB202" s="55">
        <f t="shared" si="1234"/>
        <v>0</v>
      </c>
      <c r="CC202" s="55">
        <f t="shared" si="1235"/>
        <v>0</v>
      </c>
      <c r="CD202" s="55">
        <f t="shared" si="1236"/>
        <v>0</v>
      </c>
      <c r="CE202" s="55">
        <f t="shared" si="1237"/>
        <v>0</v>
      </c>
      <c r="CF202" s="60">
        <f t="shared" si="1238"/>
        <v>0</v>
      </c>
      <c r="CG202" s="246">
        <f t="shared" si="1239"/>
        <v>0</v>
      </c>
      <c r="CH202" s="55">
        <f t="shared" si="1240"/>
        <v>0</v>
      </c>
      <c r="CI202" s="55">
        <f t="shared" si="1241"/>
        <v>0</v>
      </c>
      <c r="CJ202" s="55">
        <f t="shared" si="1242"/>
        <v>0</v>
      </c>
      <c r="CK202" s="249">
        <f t="shared" si="1242"/>
        <v>0</v>
      </c>
      <c r="CL202" s="55">
        <f t="shared" si="1243"/>
        <v>0</v>
      </c>
      <c r="CN202" s="64" t="s">
        <v>51</v>
      </c>
      <c r="CO202" s="54">
        <f t="shared" si="1263"/>
        <v>0</v>
      </c>
      <c r="CP202" s="55">
        <f t="shared" si="1244"/>
        <v>0</v>
      </c>
      <c r="CQ202" s="55">
        <f t="shared" si="1245"/>
        <v>0</v>
      </c>
      <c r="CR202" s="55">
        <f t="shared" si="1246"/>
        <v>0</v>
      </c>
      <c r="CS202" s="55">
        <f t="shared" si="1247"/>
        <v>0</v>
      </c>
      <c r="CT202" s="55">
        <f t="shared" si="1248"/>
        <v>0</v>
      </c>
      <c r="CU202" s="60">
        <f t="shared" si="1249"/>
        <v>0</v>
      </c>
      <c r="CV202" s="246">
        <f t="shared" si="1250"/>
        <v>0</v>
      </c>
      <c r="CW202" s="55">
        <f t="shared" si="1251"/>
        <v>0</v>
      </c>
      <c r="CX202" s="55">
        <f t="shared" si="1252"/>
        <v>0</v>
      </c>
      <c r="CY202" s="55">
        <f t="shared" si="1253"/>
        <v>0</v>
      </c>
      <c r="CZ202" s="249">
        <f t="shared" si="1253"/>
        <v>0</v>
      </c>
      <c r="DA202" s="62" t="e">
        <f t="shared" si="1254"/>
        <v>#DIV/0!</v>
      </c>
      <c r="DC202" s="64" t="s">
        <v>51</v>
      </c>
      <c r="DD202" s="198">
        <f t="shared" si="1264"/>
        <v>0</v>
      </c>
      <c r="DE202" s="199">
        <f t="shared" si="1265"/>
        <v>0</v>
      </c>
      <c r="DF202" s="198">
        <f t="shared" si="1266"/>
        <v>0</v>
      </c>
      <c r="DG202" s="199">
        <f t="shared" si="1267"/>
        <v>0</v>
      </c>
      <c r="DH202" s="198">
        <f t="shared" si="1268"/>
        <v>0</v>
      </c>
      <c r="DI202" s="199">
        <f t="shared" si="1269"/>
        <v>0</v>
      </c>
      <c r="DJ202" s="198">
        <f t="shared" si="1270"/>
        <v>0</v>
      </c>
      <c r="DK202" s="199">
        <f t="shared" si="1271"/>
        <v>0</v>
      </c>
      <c r="DL202" s="198">
        <f t="shared" si="1272"/>
        <v>0</v>
      </c>
      <c r="DM202" s="199">
        <f t="shared" si="1273"/>
        <v>0</v>
      </c>
      <c r="DN202" s="198">
        <f t="shared" si="1274"/>
        <v>0</v>
      </c>
      <c r="DO202" s="199">
        <f t="shared" si="1275"/>
        <v>0</v>
      </c>
      <c r="DP202" s="198">
        <f t="shared" si="1276"/>
        <v>0</v>
      </c>
      <c r="DQ202" s="199">
        <f t="shared" si="1277"/>
        <v>0</v>
      </c>
      <c r="DR202" s="198">
        <f t="shared" si="1278"/>
        <v>0</v>
      </c>
      <c r="DS202" s="199">
        <f t="shared" si="1279"/>
        <v>0</v>
      </c>
      <c r="DT202" s="198">
        <f t="shared" si="1280"/>
        <v>0</v>
      </c>
      <c r="DU202" s="199">
        <f t="shared" si="1281"/>
        <v>0</v>
      </c>
      <c r="DV202" s="198">
        <f t="shared" si="1282"/>
        <v>0</v>
      </c>
      <c r="DW202" s="199">
        <f t="shared" si="1283"/>
        <v>0</v>
      </c>
      <c r="DX202" s="198">
        <f t="shared" si="1284"/>
        <v>0</v>
      </c>
      <c r="DY202" s="199">
        <f t="shared" si="1285"/>
        <v>0</v>
      </c>
      <c r="DZ202" s="190">
        <f t="shared" si="1286"/>
        <v>0</v>
      </c>
      <c r="EA202" s="199">
        <f t="shared" si="1255"/>
        <v>0</v>
      </c>
      <c r="EB202" s="190" t="e">
        <f t="shared" si="1287"/>
        <v>#DIV/0!</v>
      </c>
      <c r="EC202" s="190" t="e">
        <f t="shared" si="1288"/>
        <v>#DIV/0!</v>
      </c>
    </row>
    <row r="203" spans="1:133" x14ac:dyDescent="0.2">
      <c r="A203" s="64" t="s">
        <v>52</v>
      </c>
      <c r="B203" s="38">
        <f t="shared" ref="B203:H203" si="1405">SUM(B21,B47,B73,B99,B125,B151,B177)</f>
        <v>0</v>
      </c>
      <c r="C203" s="242">
        <f t="shared" si="1405"/>
        <v>0</v>
      </c>
      <c r="D203" s="242">
        <f t="shared" si="1405"/>
        <v>0</v>
      </c>
      <c r="E203" s="242">
        <f t="shared" si="1405"/>
        <v>0</v>
      </c>
      <c r="F203" s="242">
        <f t="shared" si="1405"/>
        <v>0</v>
      </c>
      <c r="G203" s="242">
        <f t="shared" si="1405"/>
        <v>0</v>
      </c>
      <c r="H203" s="41">
        <f t="shared" si="1405"/>
        <v>13276.855470154684</v>
      </c>
      <c r="I203" s="243">
        <f t="shared" si="1300"/>
        <v>13276.855470154684</v>
      </c>
      <c r="J203" s="242">
        <f t="shared" ref="J203:L203" si="1406">SUM(J21,J47,J73,J99,J125,J151,J177)</f>
        <v>0</v>
      </c>
      <c r="K203" s="242">
        <f t="shared" si="1406"/>
        <v>112766.37038804736</v>
      </c>
      <c r="L203" s="242">
        <f t="shared" si="1406"/>
        <v>935.96765010790409</v>
      </c>
      <c r="M203" s="178">
        <f t="shared" si="1256"/>
        <v>113702.33803815527</v>
      </c>
      <c r="N203" s="17">
        <f t="shared" si="1222"/>
        <v>126979.19350830994</v>
      </c>
      <c r="O203" s="174">
        <f t="shared" si="1223"/>
        <v>4.6616182396943479E-3</v>
      </c>
      <c r="P203" s="17"/>
      <c r="Q203" s="64" t="s">
        <v>52</v>
      </c>
      <c r="R203" s="38"/>
      <c r="S203" s="242"/>
      <c r="T203" s="242"/>
      <c r="U203" s="242">
        <f t="shared" si="1335"/>
        <v>0</v>
      </c>
      <c r="V203" s="242">
        <f t="shared" si="1336"/>
        <v>0</v>
      </c>
      <c r="W203" s="242">
        <f t="shared" si="1336"/>
        <v>0</v>
      </c>
      <c r="X203" s="41">
        <f t="shared" si="1336"/>
        <v>0</v>
      </c>
      <c r="Y203" s="243">
        <f t="shared" si="1257"/>
        <v>0</v>
      </c>
      <c r="Z203" s="242">
        <f t="shared" si="1393"/>
        <v>0</v>
      </c>
      <c r="AA203" s="242">
        <f t="shared" si="1393"/>
        <v>0</v>
      </c>
      <c r="AB203" s="242">
        <f t="shared" si="1393"/>
        <v>0</v>
      </c>
      <c r="AC203" s="178">
        <f t="shared" si="1258"/>
        <v>0</v>
      </c>
      <c r="AD203" s="17">
        <f t="shared" si="1226"/>
        <v>0</v>
      </c>
      <c r="AE203" s="176" t="e">
        <f t="shared" si="1227"/>
        <v>#DIV/0!</v>
      </c>
      <c r="AF203" s="64" t="s">
        <v>52</v>
      </c>
      <c r="AG203" s="38"/>
      <c r="AH203" s="242"/>
      <c r="AI203" s="242"/>
      <c r="AJ203" s="242">
        <f t="shared" si="1394"/>
        <v>0</v>
      </c>
      <c r="AK203" s="242">
        <f t="shared" si="1394"/>
        <v>0</v>
      </c>
      <c r="AL203" s="242">
        <f t="shared" ref="AL203:AM203" si="1407">SUM(AL21,AL47,AL73,AL99,AL125,AL151,AL177)</f>
        <v>0</v>
      </c>
      <c r="AM203" s="41">
        <f t="shared" si="1407"/>
        <v>0</v>
      </c>
      <c r="AN203" s="243"/>
      <c r="AO203" s="242">
        <f t="shared" ref="AO203:AQ203" si="1408">SUM(AO21,AO47,AO73,AO99,AO125,AO151,AO177)</f>
        <v>0</v>
      </c>
      <c r="AP203" s="242">
        <f t="shared" si="1408"/>
        <v>0</v>
      </c>
      <c r="AQ203" s="242">
        <f t="shared" si="1408"/>
        <v>0</v>
      </c>
      <c r="AR203" s="178">
        <f t="shared" si="1289"/>
        <v>0</v>
      </c>
      <c r="AS203" s="17">
        <f t="shared" si="1230"/>
        <v>0</v>
      </c>
      <c r="AU203" s="64" t="s">
        <v>52</v>
      </c>
      <c r="AV203" s="38">
        <f t="shared" ref="AV203:BG203" si="1409">IF(R207&gt;0,R203/R207,0)</f>
        <v>0</v>
      </c>
      <c r="AW203" s="242">
        <f t="shared" si="1409"/>
        <v>0</v>
      </c>
      <c r="AX203" s="242">
        <f t="shared" si="1409"/>
        <v>0</v>
      </c>
      <c r="AY203" s="242">
        <f t="shared" si="1409"/>
        <v>0</v>
      </c>
      <c r="AZ203" s="242">
        <f t="shared" si="1409"/>
        <v>0</v>
      </c>
      <c r="BA203" s="242">
        <f t="shared" si="1409"/>
        <v>0</v>
      </c>
      <c r="BB203" s="41">
        <f t="shared" si="1409"/>
        <v>0</v>
      </c>
      <c r="BC203" s="243">
        <f t="shared" si="1409"/>
        <v>0</v>
      </c>
      <c r="BD203" s="242">
        <f t="shared" si="1409"/>
        <v>0</v>
      </c>
      <c r="BE203" s="242">
        <f t="shared" si="1409"/>
        <v>0</v>
      </c>
      <c r="BF203" s="242">
        <f t="shared" si="1409"/>
        <v>0</v>
      </c>
      <c r="BG203" s="178">
        <f t="shared" si="1409"/>
        <v>0</v>
      </c>
      <c r="BH203" s="24" t="e">
        <f>AD203/AD207</f>
        <v>#DIV/0!</v>
      </c>
      <c r="BJ203" s="64" t="s">
        <v>52</v>
      </c>
      <c r="BK203" s="38">
        <f t="shared" ref="BK203:BV203" si="1410">IF(AG207&gt;0,AG203/AG207,0)</f>
        <v>0</v>
      </c>
      <c r="BL203" s="242">
        <f t="shared" si="1410"/>
        <v>0</v>
      </c>
      <c r="BM203" s="242">
        <f t="shared" si="1410"/>
        <v>0</v>
      </c>
      <c r="BN203" s="242">
        <f t="shared" si="1410"/>
        <v>0</v>
      </c>
      <c r="BO203" s="242">
        <f t="shared" si="1410"/>
        <v>0</v>
      </c>
      <c r="BP203" s="242">
        <f t="shared" si="1410"/>
        <v>0</v>
      </c>
      <c r="BQ203" s="41">
        <f t="shared" si="1410"/>
        <v>0</v>
      </c>
      <c r="BR203" s="243">
        <f t="shared" si="1410"/>
        <v>0</v>
      </c>
      <c r="BS203" s="242">
        <f t="shared" si="1410"/>
        <v>0</v>
      </c>
      <c r="BT203" s="242">
        <f t="shared" si="1410"/>
        <v>0</v>
      </c>
      <c r="BU203" s="242">
        <f t="shared" si="1410"/>
        <v>0</v>
      </c>
      <c r="BV203" s="178">
        <f t="shared" si="1410"/>
        <v>0</v>
      </c>
      <c r="BW203" s="24" t="e">
        <f>AS203/AS207</f>
        <v>#DIV/0!</v>
      </c>
      <c r="BX203" s="24"/>
      <c r="BY203" s="64" t="s">
        <v>52</v>
      </c>
      <c r="BZ203" s="54">
        <f t="shared" si="1262"/>
        <v>0</v>
      </c>
      <c r="CA203" s="55">
        <f t="shared" si="1233"/>
        <v>0</v>
      </c>
      <c r="CB203" s="55">
        <f t="shared" si="1234"/>
        <v>0</v>
      </c>
      <c r="CC203" s="55">
        <f t="shared" si="1235"/>
        <v>0</v>
      </c>
      <c r="CD203" s="55">
        <f t="shared" si="1236"/>
        <v>0</v>
      </c>
      <c r="CE203" s="55">
        <f t="shared" si="1237"/>
        <v>0</v>
      </c>
      <c r="CF203" s="61">
        <f t="shared" si="1238"/>
        <v>0</v>
      </c>
      <c r="CG203" s="246">
        <f>AN203-Y203</f>
        <v>0</v>
      </c>
      <c r="CH203" s="55">
        <f t="shared" si="1240"/>
        <v>0</v>
      </c>
      <c r="CI203" s="55">
        <f t="shared" si="1241"/>
        <v>0</v>
      </c>
      <c r="CJ203" s="55">
        <f t="shared" si="1242"/>
        <v>0</v>
      </c>
      <c r="CK203" s="249">
        <f t="shared" si="1242"/>
        <v>0</v>
      </c>
      <c r="CL203" s="55">
        <f t="shared" si="1243"/>
        <v>0</v>
      </c>
      <c r="CN203" s="64" t="s">
        <v>52</v>
      </c>
      <c r="CO203" s="54">
        <f t="shared" si="1263"/>
        <v>0</v>
      </c>
      <c r="CP203" s="55">
        <f t="shared" si="1244"/>
        <v>0</v>
      </c>
      <c r="CQ203" s="55">
        <f t="shared" si="1245"/>
        <v>0</v>
      </c>
      <c r="CR203" s="55">
        <f t="shared" si="1246"/>
        <v>0</v>
      </c>
      <c r="CS203" s="55">
        <f t="shared" si="1247"/>
        <v>0</v>
      </c>
      <c r="CT203" s="55">
        <f t="shared" si="1248"/>
        <v>0</v>
      </c>
      <c r="CU203" s="61">
        <f t="shared" si="1249"/>
        <v>0</v>
      </c>
      <c r="CV203" s="246">
        <f t="shared" si="1250"/>
        <v>0</v>
      </c>
      <c r="CW203" s="55">
        <f t="shared" si="1251"/>
        <v>0</v>
      </c>
      <c r="CX203" s="55">
        <f t="shared" si="1252"/>
        <v>0</v>
      </c>
      <c r="CY203" s="55">
        <f t="shared" si="1253"/>
        <v>0</v>
      </c>
      <c r="CZ203" s="249">
        <f t="shared" si="1253"/>
        <v>0</v>
      </c>
      <c r="DA203" s="62" t="e">
        <f t="shared" si="1254"/>
        <v>#DIV/0!</v>
      </c>
      <c r="DC203" s="64" t="s">
        <v>52</v>
      </c>
      <c r="DD203" s="198">
        <f t="shared" si="1264"/>
        <v>0</v>
      </c>
      <c r="DE203" s="199">
        <f t="shared" si="1265"/>
        <v>0</v>
      </c>
      <c r="DF203" s="198">
        <f t="shared" si="1266"/>
        <v>0</v>
      </c>
      <c r="DG203" s="199">
        <f t="shared" si="1267"/>
        <v>0</v>
      </c>
      <c r="DH203" s="198">
        <f t="shared" si="1268"/>
        <v>0</v>
      </c>
      <c r="DI203" s="199">
        <f t="shared" si="1269"/>
        <v>0</v>
      </c>
      <c r="DJ203" s="198">
        <f t="shared" si="1270"/>
        <v>0</v>
      </c>
      <c r="DK203" s="199">
        <f t="shared" si="1271"/>
        <v>0</v>
      </c>
      <c r="DL203" s="198">
        <f t="shared" si="1272"/>
        <v>0</v>
      </c>
      <c r="DM203" s="199">
        <f t="shared" si="1273"/>
        <v>0</v>
      </c>
      <c r="DN203" s="198">
        <f t="shared" si="1274"/>
        <v>0</v>
      </c>
      <c r="DO203" s="199">
        <f t="shared" si="1275"/>
        <v>0</v>
      </c>
      <c r="DP203" s="200">
        <f t="shared" si="1276"/>
        <v>0</v>
      </c>
      <c r="DQ203" s="201">
        <f t="shared" si="1277"/>
        <v>0</v>
      </c>
      <c r="DR203" s="198">
        <f t="shared" si="1278"/>
        <v>0</v>
      </c>
      <c r="DS203" s="199">
        <f t="shared" si="1279"/>
        <v>0</v>
      </c>
      <c r="DT203" s="198">
        <f t="shared" si="1280"/>
        <v>0</v>
      </c>
      <c r="DU203" s="199">
        <f t="shared" si="1281"/>
        <v>0</v>
      </c>
      <c r="DV203" s="198">
        <f t="shared" si="1282"/>
        <v>0</v>
      </c>
      <c r="DW203" s="199">
        <f t="shared" si="1283"/>
        <v>0</v>
      </c>
      <c r="DX203" s="198">
        <f t="shared" si="1284"/>
        <v>0</v>
      </c>
      <c r="DY203" s="199">
        <f t="shared" si="1285"/>
        <v>0</v>
      </c>
      <c r="DZ203" s="190">
        <f t="shared" si="1286"/>
        <v>0</v>
      </c>
      <c r="EA203" s="199">
        <f t="shared" si="1255"/>
        <v>0</v>
      </c>
      <c r="EB203" s="190" t="e">
        <f t="shared" si="1287"/>
        <v>#DIV/0!</v>
      </c>
      <c r="EC203" s="190" t="e">
        <f t="shared" si="1288"/>
        <v>#DIV/0!</v>
      </c>
    </row>
    <row r="204" spans="1:133" x14ac:dyDescent="0.2">
      <c r="A204" s="2" t="s">
        <v>6</v>
      </c>
      <c r="B204" s="38">
        <f t="shared" ref="B204:H204" si="1411">SUM(B22,B48,B74,B100,B126,B152,B178)</f>
        <v>0</v>
      </c>
      <c r="C204" s="242">
        <f t="shared" si="1411"/>
        <v>0</v>
      </c>
      <c r="D204" s="242">
        <f t="shared" si="1411"/>
        <v>0</v>
      </c>
      <c r="E204" s="242">
        <f t="shared" si="1411"/>
        <v>0</v>
      </c>
      <c r="F204" s="242">
        <f t="shared" si="1411"/>
        <v>0</v>
      </c>
      <c r="G204" s="242">
        <f t="shared" si="1411"/>
        <v>798.83304051463858</v>
      </c>
      <c r="H204" s="242">
        <f t="shared" si="1411"/>
        <v>0</v>
      </c>
      <c r="I204" s="243">
        <f t="shared" si="1300"/>
        <v>798.83304051463858</v>
      </c>
      <c r="J204" s="242">
        <f t="shared" ref="J204:L204" si="1412">SUM(J22,J48,J74,J100,J126,J152,J178)</f>
        <v>0</v>
      </c>
      <c r="K204" s="242">
        <f t="shared" si="1412"/>
        <v>0</v>
      </c>
      <c r="L204" s="242">
        <f t="shared" si="1412"/>
        <v>2347.1221154308528</v>
      </c>
      <c r="M204" s="178">
        <f t="shared" si="1256"/>
        <v>2347.1221154308528</v>
      </c>
      <c r="N204" s="17">
        <f>SUM(B204:L204)-I204</f>
        <v>3145.9551559454917</v>
      </c>
      <c r="O204" s="174">
        <f t="shared" si="1223"/>
        <v>1.1549326729072539E-4</v>
      </c>
      <c r="P204" s="17"/>
      <c r="Q204" s="2" t="s">
        <v>6</v>
      </c>
      <c r="R204" s="38"/>
      <c r="S204" s="242"/>
      <c r="T204" s="242"/>
      <c r="U204" s="242">
        <f t="shared" si="1335"/>
        <v>0</v>
      </c>
      <c r="V204" s="242">
        <f t="shared" si="1336"/>
        <v>0</v>
      </c>
      <c r="W204" s="242">
        <f t="shared" si="1336"/>
        <v>0</v>
      </c>
      <c r="X204" s="37">
        <f t="shared" si="1336"/>
        <v>0</v>
      </c>
      <c r="Y204" s="243">
        <f t="shared" si="1257"/>
        <v>0</v>
      </c>
      <c r="Z204" s="242">
        <f t="shared" si="1393"/>
        <v>0</v>
      </c>
      <c r="AA204" s="242">
        <f t="shared" si="1393"/>
        <v>0</v>
      </c>
      <c r="AB204" s="242">
        <f t="shared" si="1393"/>
        <v>0</v>
      </c>
      <c r="AC204" s="178">
        <f t="shared" si="1258"/>
        <v>0</v>
      </c>
      <c r="AD204" s="17">
        <f t="shared" si="1226"/>
        <v>0</v>
      </c>
      <c r="AE204" s="176" t="e">
        <f t="shared" si="1227"/>
        <v>#DIV/0!</v>
      </c>
      <c r="AF204" s="2" t="s">
        <v>6</v>
      </c>
      <c r="AG204" s="38"/>
      <c r="AH204" s="242"/>
      <c r="AI204" s="242"/>
      <c r="AJ204" s="242">
        <f t="shared" si="1394"/>
        <v>0</v>
      </c>
      <c r="AK204" s="242">
        <f t="shared" si="1394"/>
        <v>0</v>
      </c>
      <c r="AL204" s="242">
        <f t="shared" ref="AL204:AM204" si="1413">SUM(AL22,AL48,AL74,AL100,AL126,AL152,AL178)</f>
        <v>0</v>
      </c>
      <c r="AM204" s="242">
        <f t="shared" si="1413"/>
        <v>0</v>
      </c>
      <c r="AN204" s="243"/>
      <c r="AO204" s="242">
        <f t="shared" ref="AO204:AQ204" si="1414">SUM(AO22,AO48,AO74,AO100,AO126,AO152,AO178)</f>
        <v>0</v>
      </c>
      <c r="AP204" s="242">
        <f t="shared" si="1414"/>
        <v>0</v>
      </c>
      <c r="AQ204" s="242">
        <f t="shared" si="1414"/>
        <v>0</v>
      </c>
      <c r="AR204" s="178">
        <f t="shared" ref="AR204:AR206" si="1415">SUM(AO204:AQ204)</f>
        <v>0</v>
      </c>
      <c r="AS204" s="17">
        <f t="shared" si="1230"/>
        <v>0</v>
      </c>
      <c r="AU204" s="2" t="s">
        <v>6</v>
      </c>
      <c r="AV204" s="38">
        <f>IF(R207&gt;0,R204/R207,0)</f>
        <v>0</v>
      </c>
      <c r="AW204" s="242">
        <f>IF(C207&gt;0,C204/C207,0)</f>
        <v>0</v>
      </c>
      <c r="AX204" s="242">
        <f>IF(D207&gt;0,D204/D207,0)</f>
        <v>0</v>
      </c>
      <c r="AY204" s="242">
        <f t="shared" ref="AY204:BG204" si="1416">IF(U207&gt;0,U204/U207,0)</f>
        <v>0</v>
      </c>
      <c r="AZ204" s="242">
        <f t="shared" si="1416"/>
        <v>0</v>
      </c>
      <c r="BA204" s="242">
        <f t="shared" si="1416"/>
        <v>0</v>
      </c>
      <c r="BB204" s="242">
        <f t="shared" si="1416"/>
        <v>0</v>
      </c>
      <c r="BC204" s="243">
        <f t="shared" si="1416"/>
        <v>0</v>
      </c>
      <c r="BD204" s="242">
        <f t="shared" si="1416"/>
        <v>0</v>
      </c>
      <c r="BE204" s="242">
        <f t="shared" si="1416"/>
        <v>0</v>
      </c>
      <c r="BF204" s="242">
        <f t="shared" si="1416"/>
        <v>0</v>
      </c>
      <c r="BG204" s="178">
        <f t="shared" si="1416"/>
        <v>0</v>
      </c>
      <c r="BH204" s="24" t="e">
        <f>AD204/AD207</f>
        <v>#DIV/0!</v>
      </c>
      <c r="BJ204" s="2" t="s">
        <v>6</v>
      </c>
      <c r="BK204" s="38">
        <f t="shared" ref="BK204:BV204" si="1417">IF(AG207&gt;0,AG204/AG207,0)</f>
        <v>0</v>
      </c>
      <c r="BL204" s="242">
        <f t="shared" si="1417"/>
        <v>0</v>
      </c>
      <c r="BM204" s="242">
        <f t="shared" si="1417"/>
        <v>0</v>
      </c>
      <c r="BN204" s="242">
        <f t="shared" si="1417"/>
        <v>0</v>
      </c>
      <c r="BO204" s="242">
        <f t="shared" si="1417"/>
        <v>0</v>
      </c>
      <c r="BP204" s="242">
        <f t="shared" si="1417"/>
        <v>0</v>
      </c>
      <c r="BQ204" s="242">
        <f t="shared" si="1417"/>
        <v>0</v>
      </c>
      <c r="BR204" s="243">
        <f t="shared" si="1417"/>
        <v>0</v>
      </c>
      <c r="BS204" s="242">
        <f t="shared" si="1417"/>
        <v>0</v>
      </c>
      <c r="BT204" s="242">
        <f t="shared" si="1417"/>
        <v>0</v>
      </c>
      <c r="BU204" s="242">
        <f t="shared" si="1417"/>
        <v>0</v>
      </c>
      <c r="BV204" s="178">
        <f t="shared" si="1417"/>
        <v>0</v>
      </c>
      <c r="BW204" s="24" t="e">
        <f>AS204/AS207</f>
        <v>#DIV/0!</v>
      </c>
      <c r="BX204" s="24"/>
      <c r="BY204" s="2" t="s">
        <v>6</v>
      </c>
      <c r="BZ204" s="54">
        <f t="shared" si="1262"/>
        <v>0</v>
      </c>
      <c r="CA204" s="55">
        <f t="shared" si="1233"/>
        <v>0</v>
      </c>
      <c r="CB204" s="55">
        <f t="shared" si="1234"/>
        <v>0</v>
      </c>
      <c r="CC204" s="55">
        <f t="shared" si="1235"/>
        <v>0</v>
      </c>
      <c r="CD204" s="55">
        <f t="shared" si="1236"/>
        <v>0</v>
      </c>
      <c r="CE204" s="55">
        <f t="shared" si="1237"/>
        <v>0</v>
      </c>
      <c r="CF204" s="55">
        <f t="shared" si="1238"/>
        <v>0</v>
      </c>
      <c r="CG204" s="246">
        <f>AN204-Y204</f>
        <v>0</v>
      </c>
      <c r="CH204" s="55">
        <f t="shared" si="1240"/>
        <v>0</v>
      </c>
      <c r="CI204" s="55">
        <f t="shared" si="1241"/>
        <v>0</v>
      </c>
      <c r="CJ204" s="55">
        <f t="shared" si="1242"/>
        <v>0</v>
      </c>
      <c r="CK204" s="249">
        <f t="shared" si="1242"/>
        <v>0</v>
      </c>
      <c r="CL204" s="55">
        <f t="shared" si="1243"/>
        <v>0</v>
      </c>
      <c r="CN204" s="2" t="s">
        <v>6</v>
      </c>
      <c r="CO204" s="54">
        <f t="shared" si="1263"/>
        <v>0</v>
      </c>
      <c r="CP204" s="55">
        <f t="shared" si="1244"/>
        <v>0</v>
      </c>
      <c r="CQ204" s="55">
        <f t="shared" si="1245"/>
        <v>0</v>
      </c>
      <c r="CR204" s="55">
        <f t="shared" si="1246"/>
        <v>0</v>
      </c>
      <c r="CS204" s="55">
        <f t="shared" si="1247"/>
        <v>0</v>
      </c>
      <c r="CT204" s="55">
        <f t="shared" si="1248"/>
        <v>0</v>
      </c>
      <c r="CU204" s="55">
        <f t="shared" si="1249"/>
        <v>0</v>
      </c>
      <c r="CV204" s="246">
        <f t="shared" si="1250"/>
        <v>0</v>
      </c>
      <c r="CW204" s="55">
        <f t="shared" si="1251"/>
        <v>0</v>
      </c>
      <c r="CX204" s="55">
        <f t="shared" si="1252"/>
        <v>0</v>
      </c>
      <c r="CY204" s="55">
        <f t="shared" si="1253"/>
        <v>0</v>
      </c>
      <c r="CZ204" s="249">
        <f t="shared" si="1253"/>
        <v>0</v>
      </c>
      <c r="DA204" s="62" t="e">
        <f t="shared" si="1254"/>
        <v>#DIV/0!</v>
      </c>
      <c r="DC204" s="2" t="s">
        <v>6</v>
      </c>
      <c r="DD204" s="198">
        <f t="shared" si="1264"/>
        <v>0</v>
      </c>
      <c r="DE204" s="199">
        <f t="shared" si="1265"/>
        <v>0</v>
      </c>
      <c r="DF204" s="198">
        <f t="shared" si="1266"/>
        <v>0</v>
      </c>
      <c r="DG204" s="199">
        <f t="shared" si="1267"/>
        <v>0</v>
      </c>
      <c r="DH204" s="198">
        <f t="shared" si="1268"/>
        <v>0</v>
      </c>
      <c r="DI204" s="199">
        <f t="shared" si="1269"/>
        <v>0</v>
      </c>
      <c r="DJ204" s="198">
        <f t="shared" si="1270"/>
        <v>0</v>
      </c>
      <c r="DK204" s="199">
        <f t="shared" si="1271"/>
        <v>0</v>
      </c>
      <c r="DL204" s="198">
        <f t="shared" si="1272"/>
        <v>0</v>
      </c>
      <c r="DM204" s="199">
        <f t="shared" si="1273"/>
        <v>0</v>
      </c>
      <c r="DN204" s="198">
        <f t="shared" si="1274"/>
        <v>0</v>
      </c>
      <c r="DO204" s="199">
        <f t="shared" si="1275"/>
        <v>0</v>
      </c>
      <c r="DP204" s="198">
        <f t="shared" si="1276"/>
        <v>0</v>
      </c>
      <c r="DQ204" s="199">
        <f t="shared" si="1277"/>
        <v>0</v>
      </c>
      <c r="DR204" s="198">
        <f t="shared" si="1278"/>
        <v>0</v>
      </c>
      <c r="DS204" s="199">
        <f t="shared" si="1279"/>
        <v>0</v>
      </c>
      <c r="DT204" s="198">
        <f t="shared" si="1280"/>
        <v>0</v>
      </c>
      <c r="DU204" s="199">
        <f t="shared" si="1281"/>
        <v>0</v>
      </c>
      <c r="DV204" s="198">
        <f t="shared" si="1282"/>
        <v>0</v>
      </c>
      <c r="DW204" s="199">
        <f t="shared" si="1283"/>
        <v>0</v>
      </c>
      <c r="DX204" s="198">
        <f t="shared" si="1284"/>
        <v>0</v>
      </c>
      <c r="DY204" s="199">
        <f t="shared" si="1285"/>
        <v>0</v>
      </c>
      <c r="DZ204" s="190">
        <f t="shared" si="1286"/>
        <v>0</v>
      </c>
      <c r="EA204" s="199">
        <f t="shared" si="1255"/>
        <v>0</v>
      </c>
      <c r="EB204" s="190" t="e">
        <f t="shared" si="1287"/>
        <v>#DIV/0!</v>
      </c>
      <c r="EC204" s="190" t="e">
        <f t="shared" si="1288"/>
        <v>#DIV/0!</v>
      </c>
    </row>
    <row r="205" spans="1:133" x14ac:dyDescent="0.2">
      <c r="A205" s="2" t="s">
        <v>88</v>
      </c>
      <c r="B205" s="38">
        <f t="shared" ref="B205:H205" si="1418">SUM(B23,B49,B75,B101,B127,B153,B179)</f>
        <v>0</v>
      </c>
      <c r="C205" s="242">
        <f t="shared" si="1418"/>
        <v>0</v>
      </c>
      <c r="D205" s="242">
        <f t="shared" si="1418"/>
        <v>0</v>
      </c>
      <c r="E205" s="242">
        <f t="shared" si="1418"/>
        <v>0</v>
      </c>
      <c r="F205" s="242">
        <f t="shared" si="1418"/>
        <v>0</v>
      </c>
      <c r="G205" s="242">
        <f t="shared" si="1418"/>
        <v>4356.0714882896864</v>
      </c>
      <c r="H205" s="242">
        <f t="shared" si="1418"/>
        <v>465.87345427751973</v>
      </c>
      <c r="I205" s="243">
        <f t="shared" si="1300"/>
        <v>4821.9449425672065</v>
      </c>
      <c r="J205" s="242">
        <f t="shared" ref="J205:L205" si="1419">SUM(J23,J49,J75,J101,J127,J153,J179)</f>
        <v>0</v>
      </c>
      <c r="K205" s="242">
        <f t="shared" si="1419"/>
        <v>0</v>
      </c>
      <c r="L205" s="242">
        <f t="shared" si="1419"/>
        <v>0</v>
      </c>
      <c r="M205" s="178">
        <f t="shared" si="1256"/>
        <v>0</v>
      </c>
      <c r="N205" s="17">
        <f t="shared" si="1222"/>
        <v>4821.9449425672065</v>
      </c>
      <c r="O205" s="174">
        <f t="shared" si="1223"/>
        <v>1.7702165113847701E-4</v>
      </c>
      <c r="P205" s="17"/>
      <c r="Q205" s="2" t="s">
        <v>88</v>
      </c>
      <c r="R205" s="38"/>
      <c r="S205" s="242"/>
      <c r="T205" s="242"/>
      <c r="U205" s="242">
        <f t="shared" si="1335"/>
        <v>0</v>
      </c>
      <c r="V205" s="242">
        <f t="shared" si="1336"/>
        <v>0</v>
      </c>
      <c r="W205" s="242">
        <f t="shared" si="1336"/>
        <v>0</v>
      </c>
      <c r="X205" s="242">
        <f t="shared" si="1336"/>
        <v>0</v>
      </c>
      <c r="Y205" s="243">
        <f t="shared" si="1257"/>
        <v>0</v>
      </c>
      <c r="Z205" s="242">
        <f>SUM(Z12,Z49,Z75,Z101,Z127,Z153,Z179)</f>
        <v>0</v>
      </c>
      <c r="AA205" s="242">
        <f>SUM(AA12,AA49,AA75,AA101,AA127,AA153,AA179)</f>
        <v>0</v>
      </c>
      <c r="AB205" s="242">
        <f>SUM(AB12,AB49,AB75,AB101,AB127,AB153,AB179)</f>
        <v>0</v>
      </c>
      <c r="AC205" s="178">
        <f t="shared" si="1258"/>
        <v>0</v>
      </c>
      <c r="AD205" s="17">
        <f t="shared" si="1226"/>
        <v>0</v>
      </c>
      <c r="AE205" s="176" t="e">
        <f t="shared" si="1227"/>
        <v>#DIV/0!</v>
      </c>
      <c r="AF205" s="2" t="s">
        <v>88</v>
      </c>
      <c r="AG205" s="38"/>
      <c r="AH205" s="242"/>
      <c r="AI205" s="242"/>
      <c r="AJ205" s="242">
        <f t="shared" si="1394"/>
        <v>0</v>
      </c>
      <c r="AK205" s="242">
        <f t="shared" si="1394"/>
        <v>0</v>
      </c>
      <c r="AL205" s="242">
        <f t="shared" ref="AL205:AM205" si="1420">SUM(AL23,AL49,AL75,AL101,AL127,AL153,AL179)</f>
        <v>0</v>
      </c>
      <c r="AM205" s="242">
        <f t="shared" si="1420"/>
        <v>0</v>
      </c>
      <c r="AN205" s="243"/>
      <c r="AO205" s="242">
        <f t="shared" ref="AO205:AQ205" si="1421">SUM(AO23,AO49,AO75,AO101,AO127,AO153,AO179)</f>
        <v>0</v>
      </c>
      <c r="AP205" s="242">
        <f t="shared" si="1421"/>
        <v>0</v>
      </c>
      <c r="AQ205" s="242">
        <f t="shared" si="1421"/>
        <v>0</v>
      </c>
      <c r="AR205" s="178">
        <f t="shared" si="1415"/>
        <v>0</v>
      </c>
      <c r="AS205" s="17">
        <f t="shared" si="1230"/>
        <v>0</v>
      </c>
      <c r="AU205" s="2" t="s">
        <v>88</v>
      </c>
      <c r="AV205" s="38">
        <f>IF(R207&gt;0,R205/R207,0)</f>
        <v>0</v>
      </c>
      <c r="AW205" s="242">
        <f>IF(C207&gt;0,C205/C207,0)</f>
        <v>0</v>
      </c>
      <c r="AX205" s="242">
        <f>IF(D207&gt;0,D205/D207,0)</f>
        <v>0</v>
      </c>
      <c r="AY205" s="242">
        <f t="shared" ref="AY205:BG205" si="1422">IF(U207&gt;0,U205/U207,0)</f>
        <v>0</v>
      </c>
      <c r="AZ205" s="242">
        <f t="shared" si="1422"/>
        <v>0</v>
      </c>
      <c r="BA205" s="242">
        <f t="shared" si="1422"/>
        <v>0</v>
      </c>
      <c r="BB205" s="242">
        <f t="shared" si="1422"/>
        <v>0</v>
      </c>
      <c r="BC205" s="243">
        <f t="shared" si="1422"/>
        <v>0</v>
      </c>
      <c r="BD205" s="242">
        <f t="shared" si="1422"/>
        <v>0</v>
      </c>
      <c r="BE205" s="242">
        <f t="shared" si="1422"/>
        <v>0</v>
      </c>
      <c r="BF205" s="242">
        <f t="shared" si="1422"/>
        <v>0</v>
      </c>
      <c r="BG205" s="178">
        <f t="shared" si="1422"/>
        <v>0</v>
      </c>
      <c r="BH205" s="24" t="e">
        <f>AD205/AD207</f>
        <v>#DIV/0!</v>
      </c>
      <c r="BJ205" s="2" t="s">
        <v>88</v>
      </c>
      <c r="BK205" s="38">
        <f t="shared" ref="BK205:BV205" si="1423">IF(AG207&gt;0,AG205/AG207,0)</f>
        <v>0</v>
      </c>
      <c r="BL205" s="242">
        <f t="shared" si="1423"/>
        <v>0</v>
      </c>
      <c r="BM205" s="242">
        <f t="shared" si="1423"/>
        <v>0</v>
      </c>
      <c r="BN205" s="242">
        <f t="shared" si="1423"/>
        <v>0</v>
      </c>
      <c r="BO205" s="242">
        <f t="shared" si="1423"/>
        <v>0</v>
      </c>
      <c r="BP205" s="242">
        <f t="shared" si="1423"/>
        <v>0</v>
      </c>
      <c r="BQ205" s="242">
        <f t="shared" si="1423"/>
        <v>0</v>
      </c>
      <c r="BR205" s="243">
        <f t="shared" si="1423"/>
        <v>0</v>
      </c>
      <c r="BS205" s="242">
        <f t="shared" si="1423"/>
        <v>0</v>
      </c>
      <c r="BT205" s="242">
        <f t="shared" si="1423"/>
        <v>0</v>
      </c>
      <c r="BU205" s="242">
        <f t="shared" si="1423"/>
        <v>0</v>
      </c>
      <c r="BV205" s="178">
        <f t="shared" si="1423"/>
        <v>0</v>
      </c>
      <c r="BW205" s="24" t="e">
        <f>AS205/AS207</f>
        <v>#DIV/0!</v>
      </c>
      <c r="BX205" s="24"/>
      <c r="BY205" s="2" t="s">
        <v>88</v>
      </c>
      <c r="BZ205" s="54">
        <f t="shared" si="1262"/>
        <v>0</v>
      </c>
      <c r="CA205" s="55">
        <f t="shared" si="1233"/>
        <v>0</v>
      </c>
      <c r="CB205" s="55">
        <f t="shared" si="1234"/>
        <v>0</v>
      </c>
      <c r="CC205" s="55">
        <f t="shared" si="1235"/>
        <v>0</v>
      </c>
      <c r="CD205" s="55">
        <f t="shared" si="1236"/>
        <v>0</v>
      </c>
      <c r="CE205" s="55">
        <f t="shared" si="1237"/>
        <v>0</v>
      </c>
      <c r="CF205" s="55">
        <f t="shared" si="1238"/>
        <v>0</v>
      </c>
      <c r="CG205" s="246">
        <f>AN205-Y205</f>
        <v>0</v>
      </c>
      <c r="CH205" s="55">
        <f t="shared" si="1240"/>
        <v>0</v>
      </c>
      <c r="CI205" s="55">
        <f t="shared" si="1241"/>
        <v>0</v>
      </c>
      <c r="CJ205" s="55">
        <f t="shared" si="1242"/>
        <v>0</v>
      </c>
      <c r="CK205" s="249">
        <f t="shared" si="1242"/>
        <v>0</v>
      </c>
      <c r="CL205" s="55">
        <f t="shared" si="1243"/>
        <v>0</v>
      </c>
      <c r="CN205" s="2" t="s">
        <v>88</v>
      </c>
      <c r="CO205" s="54">
        <f t="shared" si="1263"/>
        <v>0</v>
      </c>
      <c r="CP205" s="55">
        <f t="shared" si="1244"/>
        <v>0</v>
      </c>
      <c r="CQ205" s="55">
        <f t="shared" si="1245"/>
        <v>0</v>
      </c>
      <c r="CR205" s="55">
        <f t="shared" si="1246"/>
        <v>0</v>
      </c>
      <c r="CS205" s="55">
        <f t="shared" si="1247"/>
        <v>0</v>
      </c>
      <c r="CT205" s="55">
        <f t="shared" si="1248"/>
        <v>0</v>
      </c>
      <c r="CU205" s="55">
        <f t="shared" si="1249"/>
        <v>0</v>
      </c>
      <c r="CV205" s="246">
        <f t="shared" si="1250"/>
        <v>0</v>
      </c>
      <c r="CW205" s="55">
        <f t="shared" si="1251"/>
        <v>0</v>
      </c>
      <c r="CX205" s="55">
        <f t="shared" si="1252"/>
        <v>0</v>
      </c>
      <c r="CY205" s="55">
        <f t="shared" si="1253"/>
        <v>0</v>
      </c>
      <c r="CZ205" s="249">
        <f t="shared" si="1253"/>
        <v>0</v>
      </c>
      <c r="DA205" s="62" t="e">
        <f t="shared" si="1254"/>
        <v>#DIV/0!</v>
      </c>
      <c r="DC205" s="2" t="s">
        <v>88</v>
      </c>
      <c r="DD205" s="198">
        <f t="shared" si="1264"/>
        <v>0</v>
      </c>
      <c r="DE205" s="199">
        <f t="shared" si="1265"/>
        <v>0</v>
      </c>
      <c r="DF205" s="198">
        <f t="shared" si="1266"/>
        <v>0</v>
      </c>
      <c r="DG205" s="199">
        <f t="shared" si="1267"/>
        <v>0</v>
      </c>
      <c r="DH205" s="198">
        <f t="shared" si="1268"/>
        <v>0</v>
      </c>
      <c r="DI205" s="199">
        <f t="shared" si="1269"/>
        <v>0</v>
      </c>
      <c r="DJ205" s="198">
        <f t="shared" si="1270"/>
        <v>0</v>
      </c>
      <c r="DK205" s="199">
        <f t="shared" si="1271"/>
        <v>0</v>
      </c>
      <c r="DL205" s="198">
        <f t="shared" si="1272"/>
        <v>0</v>
      </c>
      <c r="DM205" s="199">
        <f t="shared" si="1273"/>
        <v>0</v>
      </c>
      <c r="DN205" s="198">
        <f t="shared" si="1274"/>
        <v>0</v>
      </c>
      <c r="DO205" s="199">
        <f t="shared" si="1275"/>
        <v>0</v>
      </c>
      <c r="DP205" s="198">
        <f t="shared" si="1276"/>
        <v>0</v>
      </c>
      <c r="DQ205" s="199">
        <f t="shared" si="1277"/>
        <v>0</v>
      </c>
      <c r="DR205" s="198">
        <f t="shared" si="1278"/>
        <v>0</v>
      </c>
      <c r="DS205" s="199">
        <f t="shared" si="1279"/>
        <v>0</v>
      </c>
      <c r="DT205" s="198">
        <f t="shared" si="1280"/>
        <v>0</v>
      </c>
      <c r="DU205" s="199">
        <f t="shared" si="1281"/>
        <v>0</v>
      </c>
      <c r="DV205" s="198">
        <f t="shared" si="1282"/>
        <v>0</v>
      </c>
      <c r="DW205" s="199">
        <f t="shared" si="1283"/>
        <v>0</v>
      </c>
      <c r="DX205" s="198">
        <f t="shared" si="1284"/>
        <v>0</v>
      </c>
      <c r="DY205" s="199">
        <f t="shared" si="1285"/>
        <v>0</v>
      </c>
      <c r="DZ205" s="190">
        <f t="shared" si="1286"/>
        <v>0</v>
      </c>
      <c r="EA205" s="199">
        <f t="shared" si="1255"/>
        <v>0</v>
      </c>
      <c r="EB205" s="190" t="e">
        <f t="shared" si="1287"/>
        <v>#DIV/0!</v>
      </c>
      <c r="EC205" s="190" t="e">
        <f t="shared" si="1288"/>
        <v>#DIV/0!</v>
      </c>
    </row>
    <row r="206" spans="1:133" ht="13.5" customHeight="1" x14ac:dyDescent="0.2">
      <c r="A206" s="2" t="s">
        <v>89</v>
      </c>
      <c r="B206" s="42">
        <f t="shared" ref="B206:H206" si="1424">SUM(B24,B50,B76,B102,B128,B154,B180)</f>
        <v>0</v>
      </c>
      <c r="C206" s="43">
        <f t="shared" si="1424"/>
        <v>0</v>
      </c>
      <c r="D206" s="43">
        <f t="shared" si="1424"/>
        <v>0</v>
      </c>
      <c r="E206" s="43">
        <f t="shared" si="1424"/>
        <v>0</v>
      </c>
      <c r="F206" s="43">
        <f t="shared" si="1424"/>
        <v>0</v>
      </c>
      <c r="G206" s="43">
        <f t="shared" si="1424"/>
        <v>391.32854018116728</v>
      </c>
      <c r="H206" s="43">
        <f t="shared" si="1424"/>
        <v>980.49230406571473</v>
      </c>
      <c r="I206" s="75">
        <f t="shared" si="1300"/>
        <v>1371.820844246882</v>
      </c>
      <c r="J206" s="43">
        <f t="shared" ref="J206:L206" si="1425">SUM(J24,J50,J76,J102,J128,J154,J180)</f>
        <v>0</v>
      </c>
      <c r="K206" s="43">
        <f t="shared" si="1425"/>
        <v>0</v>
      </c>
      <c r="L206" s="43">
        <f t="shared" si="1425"/>
        <v>0</v>
      </c>
      <c r="M206" s="244">
        <f t="shared" si="1256"/>
        <v>0</v>
      </c>
      <c r="N206" s="17">
        <f t="shared" si="1222"/>
        <v>1371.820844246882</v>
      </c>
      <c r="O206" s="174">
        <f t="shared" si="1223"/>
        <v>5.0361834033192696E-5</v>
      </c>
      <c r="P206" s="17"/>
      <c r="Q206" s="2" t="s">
        <v>89</v>
      </c>
      <c r="R206" s="42"/>
      <c r="S206" s="43"/>
      <c r="T206" s="43"/>
      <c r="U206" s="43">
        <f t="shared" si="1335"/>
        <v>0</v>
      </c>
      <c r="V206" s="43">
        <f t="shared" si="1336"/>
        <v>0</v>
      </c>
      <c r="W206" s="43">
        <f t="shared" si="1336"/>
        <v>0</v>
      </c>
      <c r="X206" s="43">
        <f t="shared" si="1336"/>
        <v>0</v>
      </c>
      <c r="Y206" s="75">
        <f t="shared" si="1257"/>
        <v>0</v>
      </c>
      <c r="Z206" s="43">
        <f>SUM(Z18,Z50,Z76,Z102,Z128,Z154,Z180)</f>
        <v>0</v>
      </c>
      <c r="AA206" s="43">
        <f>SUM(AA18,AA50,AA76,AA102,AA128,AA154,AA180)</f>
        <v>0</v>
      </c>
      <c r="AB206" s="43">
        <f>SUM(AB18,AB50,AB76,AB102,AB128,AB154,AB180)</f>
        <v>0</v>
      </c>
      <c r="AC206" s="244">
        <f t="shared" si="1258"/>
        <v>0</v>
      </c>
      <c r="AD206" s="17">
        <f t="shared" si="1226"/>
        <v>0</v>
      </c>
      <c r="AE206" s="176" t="e">
        <f t="shared" si="1227"/>
        <v>#DIV/0!</v>
      </c>
      <c r="AF206" s="2" t="s">
        <v>89</v>
      </c>
      <c r="AG206" s="42"/>
      <c r="AH206" s="43"/>
      <c r="AI206" s="43"/>
      <c r="AJ206" s="43">
        <f t="shared" si="1394"/>
        <v>0</v>
      </c>
      <c r="AK206" s="43">
        <f t="shared" si="1394"/>
        <v>0</v>
      </c>
      <c r="AL206" s="43">
        <f t="shared" ref="AL206:AM206" si="1426">SUM(AL24,AL50,AL76,AL102,AL128,AL154,AL180)</f>
        <v>0</v>
      </c>
      <c r="AM206" s="43">
        <f t="shared" si="1426"/>
        <v>0</v>
      </c>
      <c r="AN206" s="75"/>
      <c r="AO206" s="43">
        <f t="shared" ref="AO206:AQ206" si="1427">SUM(AO24,AO50,AO76,AO102,AO128,AO154,AO180)</f>
        <v>0</v>
      </c>
      <c r="AP206" s="43">
        <f t="shared" si="1427"/>
        <v>0</v>
      </c>
      <c r="AQ206" s="43">
        <f t="shared" si="1427"/>
        <v>0</v>
      </c>
      <c r="AR206" s="244">
        <f t="shared" si="1415"/>
        <v>0</v>
      </c>
      <c r="AS206" s="17">
        <f t="shared" si="1230"/>
        <v>0</v>
      </c>
      <c r="AU206" s="2" t="s">
        <v>89</v>
      </c>
      <c r="AV206" s="42">
        <f>IF(R207&gt;0,R206/R207,0)</f>
        <v>0</v>
      </c>
      <c r="AW206" s="43"/>
      <c r="AX206" s="43"/>
      <c r="AY206" s="43">
        <f t="shared" ref="AY206:BG206" si="1428">IF(U207&gt;0,U206/U207,0)</f>
        <v>0</v>
      </c>
      <c r="AZ206" s="43">
        <f t="shared" si="1428"/>
        <v>0</v>
      </c>
      <c r="BA206" s="43">
        <f t="shared" si="1428"/>
        <v>0</v>
      </c>
      <c r="BB206" s="43">
        <f t="shared" si="1428"/>
        <v>0</v>
      </c>
      <c r="BC206" s="75">
        <f t="shared" si="1428"/>
        <v>0</v>
      </c>
      <c r="BD206" s="43">
        <f t="shared" si="1428"/>
        <v>0</v>
      </c>
      <c r="BE206" s="43">
        <f t="shared" si="1428"/>
        <v>0</v>
      </c>
      <c r="BF206" s="43">
        <f t="shared" si="1428"/>
        <v>0</v>
      </c>
      <c r="BG206" s="244">
        <f t="shared" si="1428"/>
        <v>0</v>
      </c>
      <c r="BH206" s="24" t="e">
        <f>AD206/AD207</f>
        <v>#DIV/0!</v>
      </c>
      <c r="BJ206" s="2" t="s">
        <v>89</v>
      </c>
      <c r="BK206" s="42">
        <f t="shared" ref="BK206:BV206" si="1429">IF(AG207&gt;0,AG206/AG207,0)</f>
        <v>0</v>
      </c>
      <c r="BL206" s="43">
        <f t="shared" si="1429"/>
        <v>0</v>
      </c>
      <c r="BM206" s="43">
        <f t="shared" si="1429"/>
        <v>0</v>
      </c>
      <c r="BN206" s="43">
        <f t="shared" si="1429"/>
        <v>0</v>
      </c>
      <c r="BO206" s="43">
        <f t="shared" si="1429"/>
        <v>0</v>
      </c>
      <c r="BP206" s="43">
        <f t="shared" si="1429"/>
        <v>0</v>
      </c>
      <c r="BQ206" s="43">
        <f t="shared" si="1429"/>
        <v>0</v>
      </c>
      <c r="BR206" s="75">
        <f t="shared" si="1429"/>
        <v>0</v>
      </c>
      <c r="BS206" s="43">
        <f t="shared" si="1429"/>
        <v>0</v>
      </c>
      <c r="BT206" s="43">
        <f t="shared" si="1429"/>
        <v>0</v>
      </c>
      <c r="BU206" s="43">
        <f t="shared" si="1429"/>
        <v>0</v>
      </c>
      <c r="BV206" s="244">
        <f t="shared" si="1429"/>
        <v>0</v>
      </c>
      <c r="BW206" s="24" t="e">
        <f>AS206/AS207</f>
        <v>#DIV/0!</v>
      </c>
      <c r="BX206" s="24"/>
      <c r="BY206" s="2" t="s">
        <v>89</v>
      </c>
      <c r="BZ206" s="56">
        <f t="shared" si="1262"/>
        <v>0</v>
      </c>
      <c r="CA206" s="57">
        <f t="shared" si="1233"/>
        <v>0</v>
      </c>
      <c r="CB206" s="57">
        <f t="shared" si="1234"/>
        <v>0</v>
      </c>
      <c r="CC206" s="57">
        <f t="shared" si="1235"/>
        <v>0</v>
      </c>
      <c r="CD206" s="57">
        <f t="shared" si="1236"/>
        <v>0</v>
      </c>
      <c r="CE206" s="57">
        <f t="shared" si="1237"/>
        <v>0</v>
      </c>
      <c r="CF206" s="57">
        <f t="shared" si="1238"/>
        <v>0</v>
      </c>
      <c r="CG206" s="247">
        <f>AN206-Y206</f>
        <v>0</v>
      </c>
      <c r="CH206" s="57">
        <f t="shared" si="1240"/>
        <v>0</v>
      </c>
      <c r="CI206" s="57">
        <f t="shared" si="1241"/>
        <v>0</v>
      </c>
      <c r="CJ206" s="57">
        <f t="shared" si="1242"/>
        <v>0</v>
      </c>
      <c r="CK206" s="250">
        <f t="shared" si="1242"/>
        <v>0</v>
      </c>
      <c r="CL206" s="55">
        <f t="shared" si="1243"/>
        <v>0</v>
      </c>
      <c r="CN206" s="2" t="s">
        <v>89</v>
      </c>
      <c r="CO206" s="56">
        <f t="shared" si="1263"/>
        <v>0</v>
      </c>
      <c r="CP206" s="57">
        <f t="shared" si="1244"/>
        <v>0</v>
      </c>
      <c r="CQ206" s="57">
        <f t="shared" si="1245"/>
        <v>0</v>
      </c>
      <c r="CR206" s="57">
        <f t="shared" si="1246"/>
        <v>0</v>
      </c>
      <c r="CS206" s="57">
        <f t="shared" si="1247"/>
        <v>0</v>
      </c>
      <c r="CT206" s="57">
        <f t="shared" si="1248"/>
        <v>0</v>
      </c>
      <c r="CU206" s="57">
        <f t="shared" si="1249"/>
        <v>0</v>
      </c>
      <c r="CV206" s="247">
        <f t="shared" si="1250"/>
        <v>0</v>
      </c>
      <c r="CW206" s="57">
        <f t="shared" si="1251"/>
        <v>0</v>
      </c>
      <c r="CX206" s="57">
        <f t="shared" si="1252"/>
        <v>0</v>
      </c>
      <c r="CY206" s="57">
        <f t="shared" si="1253"/>
        <v>0</v>
      </c>
      <c r="CZ206" s="250">
        <f t="shared" si="1253"/>
        <v>0</v>
      </c>
      <c r="DA206" s="62" t="e">
        <f t="shared" si="1254"/>
        <v>#DIV/0!</v>
      </c>
      <c r="DC206" s="2" t="s">
        <v>89</v>
      </c>
      <c r="DD206" s="200">
        <f t="shared" si="1264"/>
        <v>0</v>
      </c>
      <c r="DE206" s="201">
        <f t="shared" si="1265"/>
        <v>0</v>
      </c>
      <c r="DF206" s="200">
        <f t="shared" si="1266"/>
        <v>0</v>
      </c>
      <c r="DG206" s="201">
        <f t="shared" si="1267"/>
        <v>0</v>
      </c>
      <c r="DH206" s="200">
        <f t="shared" si="1268"/>
        <v>0</v>
      </c>
      <c r="DI206" s="201">
        <f t="shared" si="1269"/>
        <v>0</v>
      </c>
      <c r="DJ206" s="200">
        <f t="shared" si="1270"/>
        <v>0</v>
      </c>
      <c r="DK206" s="201">
        <f t="shared" si="1271"/>
        <v>0</v>
      </c>
      <c r="DL206" s="200">
        <f t="shared" si="1272"/>
        <v>0</v>
      </c>
      <c r="DM206" s="201">
        <f t="shared" si="1273"/>
        <v>0</v>
      </c>
      <c r="DN206" s="200">
        <f t="shared" si="1274"/>
        <v>0</v>
      </c>
      <c r="DO206" s="201">
        <f t="shared" si="1275"/>
        <v>0</v>
      </c>
      <c r="DP206" s="200">
        <f t="shared" si="1276"/>
        <v>0</v>
      </c>
      <c r="DQ206" s="201">
        <f t="shared" si="1277"/>
        <v>0</v>
      </c>
      <c r="DR206" s="200">
        <f t="shared" si="1278"/>
        <v>0</v>
      </c>
      <c r="DS206" s="201">
        <f t="shared" si="1279"/>
        <v>0</v>
      </c>
      <c r="DT206" s="200">
        <f t="shared" si="1280"/>
        <v>0</v>
      </c>
      <c r="DU206" s="201">
        <f t="shared" si="1281"/>
        <v>0</v>
      </c>
      <c r="DV206" s="200">
        <f t="shared" si="1282"/>
        <v>0</v>
      </c>
      <c r="DW206" s="201">
        <f t="shared" si="1283"/>
        <v>0</v>
      </c>
      <c r="DX206" s="200">
        <f t="shared" si="1284"/>
        <v>0</v>
      </c>
      <c r="DY206" s="201">
        <f t="shared" si="1285"/>
        <v>0</v>
      </c>
      <c r="DZ206" s="202">
        <f t="shared" si="1286"/>
        <v>0</v>
      </c>
      <c r="EA206" s="201">
        <f t="shared" si="1255"/>
        <v>0</v>
      </c>
      <c r="EB206" s="190" t="e">
        <f t="shared" si="1287"/>
        <v>#DIV/0!</v>
      </c>
      <c r="EC206" s="190" t="e">
        <f t="shared" si="1288"/>
        <v>#DIV/0!</v>
      </c>
    </row>
    <row r="207" spans="1:133" x14ac:dyDescent="0.2">
      <c r="A207" s="65" t="s">
        <v>54</v>
      </c>
      <c r="B207" s="275">
        <f>SUM(B187:D206)</f>
        <v>21433774.917674836</v>
      </c>
      <c r="C207" s="275"/>
      <c r="D207" s="275"/>
      <c r="E207" s="17">
        <f t="shared" ref="E207:M207" si="1430">SUM(E187:E206)</f>
        <v>3594954.6196765639</v>
      </c>
      <c r="F207" s="17">
        <f t="shared" si="1430"/>
        <v>594543.36723707186</v>
      </c>
      <c r="G207" s="17">
        <f t="shared" si="1430"/>
        <v>1273471.8437464442</v>
      </c>
      <c r="H207" s="17">
        <f t="shared" si="1430"/>
        <v>163252.67104068803</v>
      </c>
      <c r="I207" s="72">
        <f t="shared" si="1430"/>
        <v>1436724.5147871319</v>
      </c>
      <c r="J207" s="17">
        <f t="shared" si="1430"/>
        <v>14442.304611503145</v>
      </c>
      <c r="K207" s="17">
        <f t="shared" si="1430"/>
        <v>160833.55256254598</v>
      </c>
      <c r="L207" s="17">
        <f t="shared" si="1430"/>
        <v>4021.5303617946443</v>
      </c>
      <c r="M207" s="72">
        <f t="shared" si="1430"/>
        <v>179297.38753584379</v>
      </c>
      <c r="N207" s="17">
        <f t="shared" si="1222"/>
        <v>27239294.806911446</v>
      </c>
      <c r="O207" s="174">
        <f t="shared" si="1223"/>
        <v>1</v>
      </c>
      <c r="P207" s="17"/>
      <c r="Q207" s="65" t="s">
        <v>54</v>
      </c>
      <c r="R207" s="275">
        <f>SUM(R187:R206)</f>
        <v>0</v>
      </c>
      <c r="S207" s="275"/>
      <c r="T207" s="275"/>
      <c r="U207" s="17">
        <f t="shared" ref="U207:AC207" si="1431">SUM(U187:U206)</f>
        <v>0</v>
      </c>
      <c r="V207" s="17">
        <f t="shared" si="1431"/>
        <v>0</v>
      </c>
      <c r="W207" s="17">
        <f t="shared" si="1431"/>
        <v>0</v>
      </c>
      <c r="X207" s="17">
        <f t="shared" si="1431"/>
        <v>0</v>
      </c>
      <c r="Y207" s="72">
        <f t="shared" si="1431"/>
        <v>0</v>
      </c>
      <c r="Z207" s="17">
        <f t="shared" si="1431"/>
        <v>0</v>
      </c>
      <c r="AA207" s="17">
        <f t="shared" si="1431"/>
        <v>0</v>
      </c>
      <c r="AB207" s="17">
        <f t="shared" si="1431"/>
        <v>0</v>
      </c>
      <c r="AC207" s="72">
        <f t="shared" si="1431"/>
        <v>0</v>
      </c>
      <c r="AD207" s="17">
        <f t="shared" si="1226"/>
        <v>0</v>
      </c>
      <c r="AE207" s="176" t="e">
        <f t="shared" si="1227"/>
        <v>#DIV/0!</v>
      </c>
      <c r="AF207" s="65" t="s">
        <v>54</v>
      </c>
      <c r="AG207" s="275">
        <f>SUM(AG187:AG206)</f>
        <v>0</v>
      </c>
      <c r="AH207" s="275"/>
      <c r="AI207" s="275"/>
      <c r="AJ207" s="17">
        <f t="shared" ref="AJ207:AR207" si="1432">SUM(AJ187:AJ206)</f>
        <v>0</v>
      </c>
      <c r="AK207" s="17">
        <f t="shared" si="1432"/>
        <v>0</v>
      </c>
      <c r="AL207" s="17">
        <f t="shared" si="1432"/>
        <v>0</v>
      </c>
      <c r="AM207" s="17">
        <f t="shared" si="1432"/>
        <v>0</v>
      </c>
      <c r="AN207" s="17">
        <f t="shared" si="1432"/>
        <v>0</v>
      </c>
      <c r="AO207" s="17">
        <f t="shared" si="1432"/>
        <v>0</v>
      </c>
      <c r="AP207" s="17">
        <f t="shared" si="1432"/>
        <v>0</v>
      </c>
      <c r="AQ207" s="17">
        <f t="shared" si="1432"/>
        <v>0</v>
      </c>
      <c r="AR207" s="17">
        <f t="shared" si="1432"/>
        <v>0</v>
      </c>
      <c r="AS207" s="17">
        <f t="shared" si="1230"/>
        <v>0</v>
      </c>
      <c r="AU207" s="65" t="s">
        <v>54</v>
      </c>
      <c r="AV207" s="276">
        <f t="shared" ref="AV207:BH207" si="1433">SUM(AV187:AV206)</f>
        <v>0</v>
      </c>
      <c r="AW207" s="276">
        <f t="shared" si="1433"/>
        <v>0</v>
      </c>
      <c r="AX207" s="276">
        <f t="shared" si="1433"/>
        <v>0</v>
      </c>
      <c r="AY207" s="24">
        <f t="shared" si="1433"/>
        <v>0</v>
      </c>
      <c r="AZ207" s="24">
        <f t="shared" si="1433"/>
        <v>0</v>
      </c>
      <c r="BA207" s="24">
        <f t="shared" si="1433"/>
        <v>0</v>
      </c>
      <c r="BB207" s="24">
        <f t="shared" si="1433"/>
        <v>0</v>
      </c>
      <c r="BC207" s="24">
        <f t="shared" si="1433"/>
        <v>0</v>
      </c>
      <c r="BD207" s="24">
        <f t="shared" si="1433"/>
        <v>0</v>
      </c>
      <c r="BE207" s="24">
        <f t="shared" si="1433"/>
        <v>0</v>
      </c>
      <c r="BF207" s="24">
        <f t="shared" si="1433"/>
        <v>0</v>
      </c>
      <c r="BG207" s="24">
        <f t="shared" si="1433"/>
        <v>0</v>
      </c>
      <c r="BH207" s="24" t="e">
        <f t="shared" si="1433"/>
        <v>#DIV/0!</v>
      </c>
      <c r="BJ207" s="65" t="s">
        <v>54</v>
      </c>
      <c r="BK207" s="24">
        <f t="shared" ref="BK207:BW207" si="1434">SUM(BK187:BK206)</f>
        <v>0</v>
      </c>
      <c r="BL207" s="24">
        <f t="shared" si="1434"/>
        <v>0</v>
      </c>
      <c r="BM207" s="24">
        <f t="shared" si="1434"/>
        <v>0</v>
      </c>
      <c r="BN207" s="24">
        <f t="shared" si="1434"/>
        <v>0</v>
      </c>
      <c r="BO207" s="24">
        <f t="shared" si="1434"/>
        <v>0</v>
      </c>
      <c r="BP207" s="24">
        <f t="shared" si="1434"/>
        <v>0</v>
      </c>
      <c r="BQ207" s="24">
        <f t="shared" si="1434"/>
        <v>0</v>
      </c>
      <c r="BR207" s="24">
        <f t="shared" si="1434"/>
        <v>0</v>
      </c>
      <c r="BS207" s="24">
        <f t="shared" si="1434"/>
        <v>0</v>
      </c>
      <c r="BT207" s="24">
        <f t="shared" si="1434"/>
        <v>0</v>
      </c>
      <c r="BU207" s="24">
        <f t="shared" si="1434"/>
        <v>0</v>
      </c>
      <c r="BV207" s="24">
        <f t="shared" si="1434"/>
        <v>0</v>
      </c>
      <c r="BW207" s="24" t="e">
        <f t="shared" si="1434"/>
        <v>#DIV/0!</v>
      </c>
      <c r="BX207" s="24"/>
      <c r="BY207" s="65" t="s">
        <v>54</v>
      </c>
      <c r="BZ207" s="55">
        <f t="shared" si="1262"/>
        <v>0</v>
      </c>
      <c r="CA207" s="55">
        <f t="shared" si="1233"/>
        <v>0</v>
      </c>
      <c r="CB207" s="55">
        <f t="shared" si="1234"/>
        <v>0</v>
      </c>
      <c r="CC207" s="55">
        <f t="shared" si="1235"/>
        <v>0</v>
      </c>
      <c r="CD207" s="55">
        <f t="shared" si="1236"/>
        <v>0</v>
      </c>
      <c r="CE207" s="55">
        <f t="shared" si="1237"/>
        <v>0</v>
      </c>
      <c r="CF207" s="55">
        <f t="shared" si="1238"/>
        <v>0</v>
      </c>
      <c r="CG207" s="55">
        <f>AN207-Y207</f>
        <v>0</v>
      </c>
      <c r="CH207" s="55">
        <f t="shared" si="1240"/>
        <v>0</v>
      </c>
      <c r="CI207" s="55">
        <f t="shared" si="1241"/>
        <v>0</v>
      </c>
      <c r="CJ207" s="55">
        <f t="shared" si="1242"/>
        <v>0</v>
      </c>
      <c r="CK207" s="55">
        <f t="shared" si="1242"/>
        <v>0</v>
      </c>
      <c r="CL207" s="55">
        <f t="shared" si="1243"/>
        <v>0</v>
      </c>
      <c r="CN207" s="65" t="s">
        <v>54</v>
      </c>
      <c r="CO207" s="62">
        <f t="shared" si="1263"/>
        <v>0</v>
      </c>
      <c r="CP207" s="62">
        <f t="shared" si="1244"/>
        <v>0</v>
      </c>
      <c r="CQ207" s="62">
        <f t="shared" si="1245"/>
        <v>0</v>
      </c>
      <c r="CR207" s="62">
        <f t="shared" si="1246"/>
        <v>0</v>
      </c>
      <c r="CS207" s="62">
        <f t="shared" si="1247"/>
        <v>0</v>
      </c>
      <c r="CT207" s="62">
        <f t="shared" si="1248"/>
        <v>0</v>
      </c>
      <c r="CU207" s="62">
        <f t="shared" si="1249"/>
        <v>0</v>
      </c>
      <c r="CV207" s="62">
        <f t="shared" si="1250"/>
        <v>0</v>
      </c>
      <c r="CW207" s="62">
        <f t="shared" si="1251"/>
        <v>0</v>
      </c>
      <c r="CX207" s="62">
        <f t="shared" si="1252"/>
        <v>0</v>
      </c>
      <c r="CY207" s="62">
        <f t="shared" si="1253"/>
        <v>0</v>
      </c>
      <c r="CZ207" s="62">
        <f t="shared" si="1253"/>
        <v>0</v>
      </c>
      <c r="DA207" s="62" t="e">
        <f t="shared" si="1254"/>
        <v>#DIV/0!</v>
      </c>
      <c r="DC207" s="65" t="s">
        <v>54</v>
      </c>
      <c r="DD207" s="190">
        <f t="shared" ref="DD207:EC207" si="1435">SUM(DD187:DD206)</f>
        <v>0</v>
      </c>
      <c r="DE207" s="190">
        <f t="shared" si="1435"/>
        <v>0</v>
      </c>
      <c r="DF207" s="190">
        <f t="shared" si="1435"/>
        <v>0</v>
      </c>
      <c r="DG207" s="190">
        <f t="shared" si="1435"/>
        <v>0</v>
      </c>
      <c r="DH207" s="190">
        <f t="shared" si="1435"/>
        <v>0</v>
      </c>
      <c r="DI207" s="190">
        <f t="shared" si="1435"/>
        <v>0</v>
      </c>
      <c r="DJ207" s="190">
        <f t="shared" si="1435"/>
        <v>0</v>
      </c>
      <c r="DK207" s="190">
        <f t="shared" si="1435"/>
        <v>0</v>
      </c>
      <c r="DL207" s="190">
        <f t="shared" si="1435"/>
        <v>0</v>
      </c>
      <c r="DM207" s="190">
        <f t="shared" si="1435"/>
        <v>0</v>
      </c>
      <c r="DN207" s="190">
        <f t="shared" si="1435"/>
        <v>0</v>
      </c>
      <c r="DO207" s="190">
        <f t="shared" si="1435"/>
        <v>0</v>
      </c>
      <c r="DP207" s="190">
        <f t="shared" si="1435"/>
        <v>0</v>
      </c>
      <c r="DQ207" s="190">
        <f t="shared" si="1435"/>
        <v>0</v>
      </c>
      <c r="DR207" s="190">
        <f t="shared" si="1435"/>
        <v>0</v>
      </c>
      <c r="DS207" s="190">
        <f t="shared" si="1435"/>
        <v>0</v>
      </c>
      <c r="DT207" s="190">
        <f t="shared" si="1435"/>
        <v>0</v>
      </c>
      <c r="DU207" s="190">
        <f t="shared" si="1435"/>
        <v>0</v>
      </c>
      <c r="DV207" s="190">
        <f t="shared" si="1435"/>
        <v>0</v>
      </c>
      <c r="DW207" s="190">
        <f t="shared" si="1435"/>
        <v>0</v>
      </c>
      <c r="DX207" s="190">
        <f t="shared" si="1435"/>
        <v>0</v>
      </c>
      <c r="DY207" s="190">
        <f t="shared" si="1435"/>
        <v>0</v>
      </c>
      <c r="DZ207" s="190">
        <f t="shared" si="1435"/>
        <v>0</v>
      </c>
      <c r="EA207" s="190">
        <f t="shared" si="1435"/>
        <v>0</v>
      </c>
      <c r="EB207" s="190" t="e">
        <f t="shared" si="1435"/>
        <v>#DIV/0!</v>
      </c>
      <c r="EC207" s="190" t="e">
        <f t="shared" si="1435"/>
        <v>#DIV/0!</v>
      </c>
    </row>
    <row r="210" spans="2:44" x14ac:dyDescent="0.2">
      <c r="G210" s="137"/>
    </row>
    <row r="211" spans="2:44" x14ac:dyDescent="0.2">
      <c r="B211" s="17"/>
      <c r="G211" s="175"/>
      <c r="H211" s="174"/>
      <c r="L211" s="175"/>
      <c r="M211" s="175"/>
      <c r="N211" s="17"/>
      <c r="AC211" s="175"/>
      <c r="AR211" s="175"/>
    </row>
    <row r="212" spans="2:44" x14ac:dyDescent="0.2">
      <c r="G212" s="175"/>
      <c r="H212" s="174"/>
      <c r="L212" s="175"/>
      <c r="M212" s="175"/>
      <c r="N212" s="174"/>
      <c r="AC212" s="175"/>
      <c r="AR212" s="175"/>
    </row>
    <row r="214" spans="2:44" x14ac:dyDescent="0.2">
      <c r="G214" s="175"/>
      <c r="H214" s="174"/>
    </row>
    <row r="215" spans="2:44" x14ac:dyDescent="0.2">
      <c r="J215" s="175"/>
      <c r="K215" s="272"/>
      <c r="L215" s="272"/>
      <c r="M215" s="137"/>
      <c r="N215" s="272"/>
      <c r="O215" s="272"/>
      <c r="AC215" s="137"/>
      <c r="AR215" s="137"/>
    </row>
    <row r="216" spans="2:44" x14ac:dyDescent="0.2">
      <c r="J216" s="175"/>
      <c r="K216" s="17"/>
      <c r="L216" s="174"/>
      <c r="M216" s="174"/>
      <c r="N216" s="17"/>
      <c r="O216" s="174"/>
      <c r="AC216" s="174"/>
      <c r="AR216" s="174"/>
    </row>
    <row r="217" spans="2:44" x14ac:dyDescent="0.2">
      <c r="J217" s="175"/>
      <c r="K217" s="17"/>
      <c r="L217" s="174"/>
      <c r="M217" s="174"/>
      <c r="N217" s="17"/>
      <c r="O217" s="174"/>
      <c r="AC217" s="174"/>
      <c r="AR217" s="174"/>
    </row>
    <row r="218" spans="2:44" x14ac:dyDescent="0.2">
      <c r="J218" s="175"/>
      <c r="K218" s="17"/>
      <c r="L218" s="174"/>
      <c r="M218" s="174"/>
      <c r="N218" s="17"/>
      <c r="O218" s="174"/>
      <c r="AC218" s="174"/>
      <c r="AR218" s="174"/>
    </row>
    <row r="219" spans="2:44" x14ac:dyDescent="0.2">
      <c r="J219" s="175"/>
      <c r="K219" s="17"/>
      <c r="L219" s="174"/>
      <c r="M219" s="174"/>
      <c r="N219" s="17"/>
      <c r="O219" s="174"/>
      <c r="AC219" s="174"/>
      <c r="AR219" s="174"/>
    </row>
    <row r="220" spans="2:44" x14ac:dyDescent="0.2">
      <c r="J220" s="175"/>
      <c r="K220" s="17"/>
      <c r="L220" s="174"/>
      <c r="M220" s="174"/>
      <c r="N220" s="17"/>
      <c r="O220" s="174"/>
      <c r="AC220" s="174"/>
      <c r="AR220" s="174"/>
    </row>
    <row r="221" spans="2:44" x14ac:dyDescent="0.2">
      <c r="J221" s="175"/>
      <c r="K221" s="17"/>
      <c r="L221" s="174"/>
      <c r="M221" s="174"/>
      <c r="N221" s="17"/>
      <c r="O221" s="174"/>
      <c r="AC221" s="174"/>
      <c r="AR221" s="174"/>
    </row>
    <row r="222" spans="2:44" x14ac:dyDescent="0.2">
      <c r="K222" s="17"/>
      <c r="L222" s="174"/>
      <c r="M222" s="174"/>
      <c r="N222" s="17"/>
      <c r="O222" s="174"/>
      <c r="AC222" s="174"/>
      <c r="AR222" s="174"/>
    </row>
  </sheetData>
  <mergeCells count="75">
    <mergeCell ref="R164:T164"/>
    <mergeCell ref="R181:T181"/>
    <mergeCell ref="R178:T178"/>
    <mergeCell ref="R165:T165"/>
    <mergeCell ref="B178:D178"/>
    <mergeCell ref="B179:D179"/>
    <mergeCell ref="B180:D180"/>
    <mergeCell ref="R179:T179"/>
    <mergeCell ref="R180:T180"/>
    <mergeCell ref="B165:D165"/>
    <mergeCell ref="B207:D207"/>
    <mergeCell ref="R187:T187"/>
    <mergeCell ref="R188:T188"/>
    <mergeCell ref="R189:T189"/>
    <mergeCell ref="R190:T190"/>
    <mergeCell ref="R207:T207"/>
    <mergeCell ref="B191:D191"/>
    <mergeCell ref="R191:T191"/>
    <mergeCell ref="B187:D187"/>
    <mergeCell ref="B188:D188"/>
    <mergeCell ref="B189:D189"/>
    <mergeCell ref="B190:D190"/>
    <mergeCell ref="B160:D160"/>
    <mergeCell ref="B161:D161"/>
    <mergeCell ref="B162:D162"/>
    <mergeCell ref="B163:D163"/>
    <mergeCell ref="B164:D164"/>
    <mergeCell ref="BK161:BM161"/>
    <mergeCell ref="BK162:BM162"/>
    <mergeCell ref="BK163:BM163"/>
    <mergeCell ref="AV160:AX160"/>
    <mergeCell ref="AV161:AX161"/>
    <mergeCell ref="AV162:AX162"/>
    <mergeCell ref="AV163:AX163"/>
    <mergeCell ref="AG187:AI187"/>
    <mergeCell ref="AG188:AI188"/>
    <mergeCell ref="AV179:AX179"/>
    <mergeCell ref="AV178:AX178"/>
    <mergeCell ref="B181:D181"/>
    <mergeCell ref="AG178:AI178"/>
    <mergeCell ref="AG179:AI179"/>
    <mergeCell ref="AV180:AX180"/>
    <mergeCell ref="B186:D186"/>
    <mergeCell ref="K215:L215"/>
    <mergeCell ref="N215:O215"/>
    <mergeCell ref="BK180:BM180"/>
    <mergeCell ref="AG207:AI207"/>
    <mergeCell ref="BK181:BM181"/>
    <mergeCell ref="AG181:AI181"/>
    <mergeCell ref="AG180:AI180"/>
    <mergeCell ref="AV190:AX190"/>
    <mergeCell ref="AV181:AX181"/>
    <mergeCell ref="AV207:AX207"/>
    <mergeCell ref="AG189:AI189"/>
    <mergeCell ref="AG190:AI190"/>
    <mergeCell ref="AV186:AX186"/>
    <mergeCell ref="AV187:AX187"/>
    <mergeCell ref="AV188:AX188"/>
    <mergeCell ref="AV189:AX189"/>
    <mergeCell ref="AV165:AX165"/>
    <mergeCell ref="AV191:AX191"/>
    <mergeCell ref="R160:T160"/>
    <mergeCell ref="R186:T186"/>
    <mergeCell ref="AG165:AI165"/>
    <mergeCell ref="AG186:AI186"/>
    <mergeCell ref="AG191:AI191"/>
    <mergeCell ref="AV164:AX164"/>
    <mergeCell ref="AG160:AI160"/>
    <mergeCell ref="AG161:AI161"/>
    <mergeCell ref="AG162:AI162"/>
    <mergeCell ref="AG163:AI163"/>
    <mergeCell ref="AG164:AI164"/>
    <mergeCell ref="R161:T161"/>
    <mergeCell ref="R162:T162"/>
    <mergeCell ref="R163:T163"/>
  </mergeCells>
  <conditionalFormatting sqref="BK162:BV162 BK164:BV180 BK163 BN163:BV163 BN161:BV161">
    <cfRule type="colorScale" priority="62">
      <colorScale>
        <cfvo type="num" val="0"/>
        <cfvo type="num" val="1"/>
        <color theme="0"/>
        <color theme="4"/>
      </colorScale>
    </cfRule>
  </conditionalFormatting>
  <conditionalFormatting sqref="BZ5:CL25 BZ31:CL51 BZ57:CL77 BZ83:CL103 BZ109:CL129 BZ135:CL155 BZ161:CL181 BZ187:CL207">
    <cfRule type="colorScale" priority="73">
      <colorScale>
        <cfvo type="num" val="-100000"/>
        <cfvo type="num" val="0"/>
        <cfvo type="num" val="100000"/>
        <color rgb="FFF8696B"/>
        <color rgb="FFFCFCFF"/>
        <color rgb="FF63BE7B"/>
      </colorScale>
    </cfRule>
  </conditionalFormatting>
  <conditionalFormatting sqref="CO5:CZ25 CO31:CZ51 CO57:CZ77 CO83:CZ103 CO109:CZ129 CO135:CZ155 CO161:CZ181 CO187:CZ206">
    <cfRule type="colorScale" priority="1">
      <colorScale>
        <cfvo type="num" val="-100000"/>
        <cfvo type="num" val="0"/>
        <cfvo type="num" val="100000"/>
        <color rgb="FFF8696B"/>
        <color rgb="FFFCFCFF"/>
        <color rgb="FF63BE7B"/>
      </colorScale>
    </cfRule>
  </conditionalFormatting>
  <conditionalFormatting sqref="DA31:DA51 DA5:DA25 DA83:DA103 DA109:DA129 DA135:DA155 DA161:DA180 CO207:DA207 DA57:DA77 DA187:DA206">
    <cfRule type="colorScale" priority="79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pageMargins left="0.2" right="0.2" top="0.2" bottom="0.2" header="0.2" footer="0.2"/>
  <pageSetup paperSize="4446" scale="19" fitToWidth="2" orientation="landscape" r:id="rId1"/>
  <ignoredErrors>
    <ignoredError sqref="AN187:AN193 AN195:AN197" formula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  <pageSetUpPr fitToPage="1"/>
  </sheetPr>
  <dimension ref="A1:AV68"/>
  <sheetViews>
    <sheetView workbookViewId="0">
      <pane xSplit="1" ySplit="1" topLeftCell="X2" activePane="bottomRight" state="frozen"/>
      <selection pane="topRight" activeCell="B1" sqref="B1"/>
      <selection pane="bottomLeft" activeCell="A2" sqref="A2"/>
      <selection pane="bottomRight" activeCell="AH66" sqref="AH66"/>
    </sheetView>
  </sheetViews>
  <sheetFormatPr defaultRowHeight="12.75" x14ac:dyDescent="0.2"/>
  <cols>
    <col min="1" max="1" width="47.28515625" style="2" customWidth="1"/>
    <col min="2" max="2" width="9.7109375" style="2" customWidth="1"/>
    <col min="3" max="3" width="9.42578125" style="2" customWidth="1"/>
    <col min="4" max="6" width="8.7109375" style="2" customWidth="1"/>
    <col min="7" max="8" width="9.7109375" style="2" customWidth="1"/>
    <col min="9" max="9" width="1.7109375" style="49" customWidth="1"/>
    <col min="10" max="10" width="9.7109375" style="2" customWidth="1"/>
    <col min="11" max="14" width="8.7109375" style="2" customWidth="1"/>
    <col min="15" max="16" width="9.7109375" style="2" customWidth="1"/>
    <col min="17" max="17" width="1.7109375" style="49" customWidth="1"/>
    <col min="18" max="18" width="9.7109375" style="2" customWidth="1"/>
    <col min="19" max="22" width="8.7109375" style="2" customWidth="1"/>
    <col min="23" max="24" width="9.7109375" style="2" customWidth="1"/>
    <col min="25" max="25" width="1.7109375" style="49" customWidth="1"/>
    <col min="26" max="26" width="9.7109375" style="2" customWidth="1"/>
    <col min="27" max="30" width="8.7109375" style="2" customWidth="1"/>
    <col min="31" max="32" width="9.7109375" style="2" customWidth="1"/>
    <col min="33" max="33" width="1.7109375" style="49" customWidth="1"/>
    <col min="34" max="34" width="9.7109375" style="2" customWidth="1"/>
    <col min="35" max="38" width="8.7109375" style="2" customWidth="1"/>
    <col min="39" max="40" width="9.7109375" style="2" customWidth="1"/>
    <col min="41" max="41" width="1.7109375" style="49" customWidth="1"/>
    <col min="42" max="42" width="9.7109375" style="2" customWidth="1"/>
    <col min="43" max="46" width="8.7109375" style="2" customWidth="1"/>
    <col min="47" max="48" width="9.7109375" style="2" customWidth="1"/>
    <col min="49" max="16384" width="9.140625" style="2"/>
  </cols>
  <sheetData>
    <row r="1" spans="1:48" x14ac:dyDescent="0.2">
      <c r="B1" s="6" t="s">
        <v>32</v>
      </c>
      <c r="C1" s="6"/>
      <c r="D1" s="6"/>
      <c r="E1" s="6"/>
      <c r="F1" s="31">
        <v>0</v>
      </c>
      <c r="G1" s="6"/>
      <c r="H1" s="6">
        <v>-2.1999999999999999E-2</v>
      </c>
      <c r="J1" s="6" t="s">
        <v>83</v>
      </c>
      <c r="K1" s="6"/>
      <c r="L1" s="6"/>
      <c r="M1" s="6"/>
      <c r="N1" s="31">
        <v>0</v>
      </c>
      <c r="O1" s="6"/>
      <c r="P1" s="6">
        <v>-2.7099999999999999E-2</v>
      </c>
      <c r="R1" s="6" t="s">
        <v>80</v>
      </c>
      <c r="S1" s="6"/>
      <c r="T1" s="6"/>
      <c r="U1" s="6"/>
      <c r="V1" s="31">
        <v>0</v>
      </c>
      <c r="W1" s="6"/>
      <c r="X1" s="6">
        <v>-2.7099999999999999E-2</v>
      </c>
      <c r="Z1" s="6" t="s">
        <v>79</v>
      </c>
      <c r="AA1" s="6"/>
      <c r="AB1" s="6"/>
      <c r="AC1" s="6"/>
      <c r="AD1" s="31">
        <v>0</v>
      </c>
      <c r="AE1" s="6"/>
      <c r="AF1" s="6">
        <v>-2.7900000000000001E-2</v>
      </c>
      <c r="AH1" s="6" t="s">
        <v>78</v>
      </c>
      <c r="AI1" s="6"/>
      <c r="AJ1" s="6"/>
      <c r="AK1" s="6"/>
      <c r="AL1" s="31">
        <v>0</v>
      </c>
      <c r="AM1" s="6"/>
      <c r="AN1" s="6">
        <v>-2.7900000000000001E-2</v>
      </c>
      <c r="AP1" s="6" t="s">
        <v>77</v>
      </c>
      <c r="AQ1" s="6"/>
      <c r="AR1" s="6"/>
      <c r="AS1" s="6"/>
      <c r="AT1" s="31">
        <v>0</v>
      </c>
      <c r="AU1" s="6"/>
      <c r="AV1" s="6">
        <v>-2.7900000000000001E-2</v>
      </c>
    </row>
    <row r="2" spans="1:48" ht="25.5" x14ac:dyDescent="0.2">
      <c r="A2" s="5" t="s">
        <v>8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93</v>
      </c>
      <c r="G2" s="7" t="s">
        <v>94</v>
      </c>
      <c r="H2" s="7" t="s">
        <v>99</v>
      </c>
      <c r="J2" s="7" t="s">
        <v>33</v>
      </c>
      <c r="K2" s="7" t="s">
        <v>34</v>
      </c>
      <c r="L2" s="7" t="s">
        <v>35</v>
      </c>
      <c r="M2" s="7" t="s">
        <v>36</v>
      </c>
      <c r="N2" s="7" t="s">
        <v>93</v>
      </c>
      <c r="O2" s="7" t="s">
        <v>94</v>
      </c>
      <c r="P2" s="7" t="s">
        <v>99</v>
      </c>
      <c r="R2" s="7" t="s">
        <v>33</v>
      </c>
      <c r="S2" s="7" t="s">
        <v>34</v>
      </c>
      <c r="T2" s="7" t="s">
        <v>35</v>
      </c>
      <c r="U2" s="7" t="s">
        <v>36</v>
      </c>
      <c r="V2" s="7" t="s">
        <v>93</v>
      </c>
      <c r="W2" s="7" t="s">
        <v>94</v>
      </c>
      <c r="X2" s="7" t="s">
        <v>99</v>
      </c>
      <c r="Z2" s="7" t="s">
        <v>33</v>
      </c>
      <c r="AA2" s="7" t="s">
        <v>34</v>
      </c>
      <c r="AB2" s="7" t="s">
        <v>35</v>
      </c>
      <c r="AC2" s="7" t="s">
        <v>36</v>
      </c>
      <c r="AD2" s="7" t="s">
        <v>93</v>
      </c>
      <c r="AE2" s="7" t="s">
        <v>94</v>
      </c>
      <c r="AF2" s="7" t="s">
        <v>99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93</v>
      </c>
      <c r="AM2" s="7" t="s">
        <v>94</v>
      </c>
      <c r="AN2" s="7" t="s">
        <v>99</v>
      </c>
      <c r="AP2" s="7" t="s">
        <v>33</v>
      </c>
      <c r="AQ2" s="7" t="s">
        <v>34</v>
      </c>
      <c r="AR2" s="7" t="s">
        <v>35</v>
      </c>
      <c r="AS2" s="7" t="s">
        <v>36</v>
      </c>
      <c r="AT2" s="7" t="s">
        <v>93</v>
      </c>
      <c r="AU2" s="7" t="s">
        <v>94</v>
      </c>
      <c r="AV2" s="7" t="s">
        <v>99</v>
      </c>
    </row>
    <row r="3" spans="1:48" s="14" customFormat="1" x14ac:dyDescent="0.2">
      <c r="A3" s="46" t="s">
        <v>9</v>
      </c>
      <c r="B3" s="35">
        <v>-999</v>
      </c>
      <c r="C3" s="34">
        <f>calibration!AV6</f>
        <v>0</v>
      </c>
      <c r="D3" s="34">
        <f>calibration!$BK6</f>
        <v>0</v>
      </c>
      <c r="E3" s="34">
        <f t="shared" ref="E3:E39" si="0">D3-C3</f>
        <v>0</v>
      </c>
      <c r="F3" s="35"/>
      <c r="G3" s="35">
        <f t="shared" ref="G3:G16" si="1">B3+F3</f>
        <v>-999</v>
      </c>
      <c r="H3" s="47"/>
      <c r="I3" s="50"/>
      <c r="J3" s="35">
        <v>-999</v>
      </c>
      <c r="K3" s="34">
        <f>calibration!$AV32</f>
        <v>0</v>
      </c>
      <c r="L3" s="34">
        <f>calibration!$BK32</f>
        <v>0</v>
      </c>
      <c r="M3" s="34">
        <f t="shared" ref="M3:M35" si="2">L3-K3</f>
        <v>0</v>
      </c>
      <c r="N3" s="35"/>
      <c r="O3" s="35">
        <f t="shared" ref="O3:O5" si="3">J3+N3</f>
        <v>-999</v>
      </c>
      <c r="P3" s="47"/>
      <c r="Q3" s="50"/>
      <c r="R3" s="35">
        <v>-999</v>
      </c>
      <c r="S3" s="34">
        <f>calibration!$AV58</f>
        <v>0</v>
      </c>
      <c r="T3" s="34">
        <f>calibration!$BK58</f>
        <v>0</v>
      </c>
      <c r="U3" s="34">
        <f t="shared" ref="U3:U35" si="4">T3-S3</f>
        <v>0</v>
      </c>
      <c r="V3" s="35"/>
      <c r="W3" s="35">
        <f t="shared" ref="W3:W16" si="5">R3+V3</f>
        <v>-999</v>
      </c>
      <c r="X3" s="47"/>
      <c r="Y3" s="50"/>
      <c r="Z3" s="35">
        <v>-999</v>
      </c>
      <c r="AA3" s="34">
        <f>calibration!$AV84</f>
        <v>0</v>
      </c>
      <c r="AB3" s="34">
        <f>calibration!$BK84</f>
        <v>0</v>
      </c>
      <c r="AC3" s="34">
        <f t="shared" ref="AC3:AC61" si="6">AB3-AA3</f>
        <v>0</v>
      </c>
      <c r="AD3" s="35"/>
      <c r="AE3" s="35">
        <f t="shared" ref="AE3:AE5" si="7">Z3+AD3</f>
        <v>-999</v>
      </c>
      <c r="AF3" s="47"/>
      <c r="AG3" s="50"/>
      <c r="AH3" s="35">
        <v>-999</v>
      </c>
      <c r="AI3" s="34">
        <f>calibration!$AV110</f>
        <v>0</v>
      </c>
      <c r="AJ3" s="34">
        <f>calibration!$BK110</f>
        <v>0</v>
      </c>
      <c r="AK3" s="34">
        <f t="shared" ref="AK3:AK35" si="8">AJ3-AI3</f>
        <v>0</v>
      </c>
      <c r="AL3" s="35"/>
      <c r="AM3" s="35">
        <f t="shared" ref="AM3:AM5" si="9">AH3+AL3</f>
        <v>-999</v>
      </c>
      <c r="AN3" s="47"/>
      <c r="AO3" s="50"/>
      <c r="AP3" s="35">
        <v>-999</v>
      </c>
      <c r="AQ3" s="34">
        <f>calibration!$AV136</f>
        <v>0</v>
      </c>
      <c r="AR3" s="34">
        <f>calibration!$BK136</f>
        <v>0</v>
      </c>
      <c r="AS3" s="34">
        <f t="shared" ref="AS3:AS35" si="10">AR3-AQ3</f>
        <v>0</v>
      </c>
      <c r="AT3" s="35"/>
      <c r="AU3" s="35">
        <f t="shared" ref="AU3:AU5" si="11">AP3+AT3</f>
        <v>-999</v>
      </c>
      <c r="AV3" s="47"/>
    </row>
    <row r="4" spans="1:48" x14ac:dyDescent="0.2">
      <c r="A4" s="3" t="s">
        <v>10</v>
      </c>
      <c r="B4" s="9">
        <v>-999</v>
      </c>
      <c r="C4" s="32">
        <f>calibration!$AV7</f>
        <v>0</v>
      </c>
      <c r="D4" s="32">
        <f>calibration!$BK7</f>
        <v>0</v>
      </c>
      <c r="E4" s="32">
        <f t="shared" si="0"/>
        <v>0</v>
      </c>
      <c r="F4" s="9"/>
      <c r="G4" s="9">
        <f t="shared" si="1"/>
        <v>-999</v>
      </c>
      <c r="H4" s="44"/>
      <c r="J4" s="9">
        <v>-999</v>
      </c>
      <c r="K4" s="32">
        <f>calibration!$AV33</f>
        <v>0</v>
      </c>
      <c r="L4" s="32">
        <f>calibration!$BK33</f>
        <v>0</v>
      </c>
      <c r="M4" s="32">
        <f t="shared" si="2"/>
        <v>0</v>
      </c>
      <c r="N4" s="9"/>
      <c r="O4" s="9">
        <f t="shared" si="3"/>
        <v>-999</v>
      </c>
      <c r="P4" s="44"/>
      <c r="R4" s="9">
        <v>-999</v>
      </c>
      <c r="S4" s="32">
        <f>calibration!$AV59</f>
        <v>0</v>
      </c>
      <c r="T4" s="32">
        <f>calibration!$BK59</f>
        <v>0</v>
      </c>
      <c r="U4" s="32">
        <f t="shared" si="4"/>
        <v>0</v>
      </c>
      <c r="V4" s="9"/>
      <c r="W4" s="9">
        <f t="shared" si="5"/>
        <v>-999</v>
      </c>
      <c r="X4" s="44"/>
      <c r="Z4" s="9">
        <v>-999</v>
      </c>
      <c r="AA4" s="32">
        <f>calibration!$AV85</f>
        <v>0</v>
      </c>
      <c r="AB4" s="32">
        <f>calibration!$BK85</f>
        <v>0</v>
      </c>
      <c r="AC4" s="32">
        <f t="shared" si="6"/>
        <v>0</v>
      </c>
      <c r="AD4" s="9"/>
      <c r="AE4" s="9">
        <f t="shared" si="7"/>
        <v>-999</v>
      </c>
      <c r="AF4" s="44"/>
      <c r="AH4" s="9">
        <v>-999</v>
      </c>
      <c r="AI4" s="32">
        <f>calibration!$AV111</f>
        <v>0</v>
      </c>
      <c r="AJ4" s="32">
        <f>calibration!$BK111</f>
        <v>0</v>
      </c>
      <c r="AK4" s="32">
        <f t="shared" si="8"/>
        <v>0</v>
      </c>
      <c r="AL4" s="9"/>
      <c r="AM4" s="9">
        <f t="shared" si="9"/>
        <v>-999</v>
      </c>
      <c r="AN4" s="44"/>
      <c r="AP4" s="9">
        <v>-999</v>
      </c>
      <c r="AQ4" s="32">
        <f>calibration!$AV137</f>
        <v>0</v>
      </c>
      <c r="AR4" s="32">
        <f>calibration!$BK137</f>
        <v>0</v>
      </c>
      <c r="AS4" s="32">
        <f t="shared" si="10"/>
        <v>0</v>
      </c>
      <c r="AT4" s="9"/>
      <c r="AU4" s="9">
        <f t="shared" si="11"/>
        <v>-999</v>
      </c>
      <c r="AV4" s="44"/>
    </row>
    <row r="5" spans="1:48" x14ac:dyDescent="0.2">
      <c r="A5" s="3" t="s">
        <v>11</v>
      </c>
      <c r="B5" s="9">
        <v>-20.424509892826542</v>
      </c>
      <c r="C5" s="32">
        <f>calibration!$AV8</f>
        <v>0</v>
      </c>
      <c r="D5" s="32">
        <f>calibration!$BK8</f>
        <v>0</v>
      </c>
      <c r="E5" s="32">
        <f t="shared" si="0"/>
        <v>0</v>
      </c>
      <c r="F5" s="9">
        <f>IF(AND(C5&lt;&gt;0,D5&lt;&gt;0),work_damp*(LN(C5/D5)-LN(1-SUM(C3:C6))+LN(1-SUM(D3:D6))),IF(AND(C5=0,D5&lt;&gt;0),work_damp*LN(D5),IF(AND(C5&lt;&gt;0,D5=0),work_damp*LN(C5),0)))</f>
        <v>0</v>
      </c>
      <c r="G5" s="9">
        <f t="shared" ref="G5" si="12">B5+F5</f>
        <v>-20.424509892826542</v>
      </c>
      <c r="H5" s="44">
        <f>G5/-work_c_ivt</f>
        <v>-928.38681331029738</v>
      </c>
      <c r="J5" s="9">
        <v>-11.94005787122499</v>
      </c>
      <c r="K5" s="32">
        <f>calibration!$AV34</f>
        <v>0</v>
      </c>
      <c r="L5" s="32">
        <f>calibration!$BK34</f>
        <v>0</v>
      </c>
      <c r="M5" s="32">
        <f t="shared" si="2"/>
        <v>0</v>
      </c>
      <c r="N5" s="9">
        <f>IF(AND(K5&lt;&gt;0,L5&lt;&gt;0),university_damp*(LN(K5/L5)-LN(1-SUM(K3:K6))+LN(1-SUM(L3:L6))),IF(AND(K5=0,L5&lt;&gt;0),university_damp*LN(L5),IF(AND(K5&lt;&gt;0,L5=0),university_damp*LN(K5),0)))</f>
        <v>0</v>
      </c>
      <c r="O5" s="9">
        <f t="shared" si="3"/>
        <v>-11.94005787122499</v>
      </c>
      <c r="P5" s="44">
        <f>O5/-university_c_ivt</f>
        <v>-440.59254137361592</v>
      </c>
      <c r="R5" s="9">
        <v>-11.358390741554455</v>
      </c>
      <c r="S5" s="32">
        <f>calibration!$AV60</f>
        <v>0</v>
      </c>
      <c r="T5" s="32">
        <f>calibration!$BK60</f>
        <v>0</v>
      </c>
      <c r="U5" s="32">
        <f t="shared" si="4"/>
        <v>0</v>
      </c>
      <c r="V5" s="9">
        <f>IF(AND(S5&lt;&gt;0,T5&lt;&gt;0),school_damp*(LN(S5/T5)-LN(1-SUM(S3:S6))+LN(1-SUM(T3:T6))),IF(AND(S5=0,T5&lt;&gt;0),school_damp*LN(T5),IF(AND(S5&lt;&gt;0,T5=0),school_damp*LN(S5),0)))</f>
        <v>0</v>
      </c>
      <c r="W5" s="9">
        <f t="shared" si="5"/>
        <v>-11.358390741554455</v>
      </c>
      <c r="X5" s="44">
        <f>W5/-school_c_ivt</f>
        <v>-419.12880965145592</v>
      </c>
      <c r="Z5" s="9">
        <v>-13.449212647782838</v>
      </c>
      <c r="AA5" s="32">
        <f>calibration!$AV86</f>
        <v>0</v>
      </c>
      <c r="AB5" s="32">
        <f>calibration!$BK86</f>
        <v>0</v>
      </c>
      <c r="AC5" s="32">
        <f t="shared" si="6"/>
        <v>0</v>
      </c>
      <c r="AD5" s="9">
        <f>IF(AND(AA5&lt;&gt;0,AB5&lt;&gt;0),indmaint_damp*(LN(AA5/AB5)-LN(1-SUM(AA3:AA6))+LN(1-SUM(AB3:AB6))),IF(AND(AA5=0,AB5&lt;&gt;0),indmaint_damp*LN(AB5),IF(AND(AA5&lt;&gt;0,AB5=0),indmaint_damp*LN(AA5),0)))</f>
        <v>0</v>
      </c>
      <c r="AE5" s="9">
        <f t="shared" si="7"/>
        <v>-13.449212647782838</v>
      </c>
      <c r="AF5" s="44">
        <f>AE5/-othmaint_c_ivt</f>
        <v>-482.05063253701928</v>
      </c>
      <c r="AH5" s="9">
        <v>-15.84750731624392</v>
      </c>
      <c r="AI5" s="32">
        <f>calibration!$AV112</f>
        <v>0</v>
      </c>
      <c r="AJ5" s="32">
        <f>calibration!$BK112</f>
        <v>0</v>
      </c>
      <c r="AK5" s="32">
        <f t="shared" si="8"/>
        <v>0</v>
      </c>
      <c r="AL5" s="9">
        <f>IF(AND(AI5&lt;&gt;0,AJ5&lt;&gt;0),inddisc_damp*(LN(AI5/AJ5)-LN(1-SUM(AI3:AI6))+LN(1-SUM(AJ3:AJ6))),IF(AND(AI5=0,AJ5&lt;&gt;0),inddisc_damp*LN(AJ5),IF(AND(AI5&lt;&gt;0,AJ5=0),inddisc_damp*LN(AI5),0)))</f>
        <v>0</v>
      </c>
      <c r="AM5" s="9">
        <f t="shared" si="9"/>
        <v>-15.84750731624392</v>
      </c>
      <c r="AN5" s="44">
        <f>AM5/-othdiscr_c_ivt</f>
        <v>-568.01101491913687</v>
      </c>
      <c r="AP5" s="9">
        <v>-15.863024336889936</v>
      </c>
      <c r="AQ5" s="32">
        <f>calibration!$AV138</f>
        <v>0</v>
      </c>
      <c r="AR5" s="32">
        <f>calibration!$BK138</f>
        <v>0</v>
      </c>
      <c r="AS5" s="32">
        <f t="shared" si="10"/>
        <v>0</v>
      </c>
      <c r="AT5" s="9">
        <f>IF(AND(AQ5&lt;&gt;0,AR5&lt;&gt;0),atwork_damp*(LN(AQ5/AR5)-LN(1-SUM(AQ3:AQ6))+LN(1-SUM(AR3:AR6))),IF(AND(AQ5=0,AR5&lt;&gt;0),atwork_damp*LN(AR5),IF(AND(AQ5&lt;&gt;0,AR5=0),atwork_damp*LN(AQ5),0)))</f>
        <v>0</v>
      </c>
      <c r="AU5" s="9">
        <f t="shared" si="11"/>
        <v>-15.863024336889936</v>
      </c>
      <c r="AV5" s="44">
        <f t="shared" ref="AV5:AV32" si="13">AU5/-atwork_c_ivt</f>
        <v>-568.56718053368945</v>
      </c>
    </row>
    <row r="6" spans="1:48" s="8" customFormat="1" x14ac:dyDescent="0.2">
      <c r="A6" s="4" t="s">
        <v>127</v>
      </c>
      <c r="B6" s="10">
        <v>-7</v>
      </c>
      <c r="C6" s="33">
        <f>SUM(calibration!$AV22:$AV24)</f>
        <v>0</v>
      </c>
      <c r="D6" s="33">
        <f>SUM(calibration!$BK22:$BK24)</f>
        <v>0</v>
      </c>
      <c r="E6" s="33">
        <f t="shared" si="0"/>
        <v>0</v>
      </c>
      <c r="F6" s="10">
        <f>IF(AND(C6&lt;&gt;0,D6&lt;&gt;0),work_damp*(LN(C6/D6)-LN(1-SUM(C3:C6))+LN(1-SUM(D3:D6))),IF(AND(C6=0,D6&lt;&gt;0),work_damp*LN(D6),IF(AND(C6&lt;&gt;0,D6=0),work_damp*LN(C6),0)))</f>
        <v>0</v>
      </c>
      <c r="G6" s="10">
        <f>MAX(B6+F6,-7)</f>
        <v>-7</v>
      </c>
      <c r="H6" s="45">
        <f>G6/-work_c_ivt</f>
        <v>-318.18181818181819</v>
      </c>
      <c r="I6" s="51"/>
      <c r="J6" s="10">
        <v>-7</v>
      </c>
      <c r="K6" s="33">
        <f>SUM(calibration!$AV48:$AV50)</f>
        <v>0</v>
      </c>
      <c r="L6" s="33">
        <f>SUM(calibration!$BK48:$BK50)</f>
        <v>0</v>
      </c>
      <c r="M6" s="33">
        <f t="shared" si="2"/>
        <v>0</v>
      </c>
      <c r="N6" s="10">
        <f>IF(AND(K6&lt;&gt;0,L6&lt;&gt;0),university_damp*(LN(K6/L6)-LN(1-SUM(K3:K6))+LN(1-SUM(L3:L6))),IF(AND(K6=0,L6&lt;&gt;0),university_damp*LN(L6),IF(AND(K6&lt;&gt;0,L6=0),university_damp*LN(K6),0)))</f>
        <v>0</v>
      </c>
      <c r="O6" s="10">
        <f>MAX(J6+N6,-7)</f>
        <v>-7</v>
      </c>
      <c r="P6" s="45">
        <f>O6/-university_c_ivt</f>
        <v>-258.30258302583024</v>
      </c>
      <c r="Q6" s="51"/>
      <c r="R6" s="10">
        <v>-7</v>
      </c>
      <c r="S6" s="33">
        <f>SUM(calibration!$AV74:$AV76)</f>
        <v>0</v>
      </c>
      <c r="T6" s="33">
        <f>SUM(calibration!$BK74:$BK76)</f>
        <v>0</v>
      </c>
      <c r="U6" s="33">
        <f t="shared" ref="U6" si="14">T6-S6</f>
        <v>0</v>
      </c>
      <c r="V6" s="10">
        <f>IF(AND(S6&lt;&gt;0,T6&lt;&gt;0),school_damp*(LN(S6/T6)-LN(1-SUM(S3:S6))+LN(1-SUM(T3:T6))),IF(AND(S6=0,T6&lt;&gt;0),school_damp*LN(T6),IF(AND(S6&lt;&gt;0,T6=0),school_damp*LN(S6),0)))</f>
        <v>0</v>
      </c>
      <c r="W6" s="10">
        <f>MAX(R6+V6,-7)</f>
        <v>-7</v>
      </c>
      <c r="X6" s="45">
        <f>W6/-school_c_ivt</f>
        <v>-258.30258302583024</v>
      </c>
      <c r="Y6" s="51"/>
      <c r="Z6" s="10">
        <v>-7</v>
      </c>
      <c r="AA6" s="33">
        <f>SUM(calibration!$AV100:$AV102)</f>
        <v>0</v>
      </c>
      <c r="AB6" s="33">
        <f>SUM(calibration!$BK100:$BK102)</f>
        <v>0</v>
      </c>
      <c r="AC6" s="33">
        <f t="shared" si="6"/>
        <v>0</v>
      </c>
      <c r="AD6" s="10">
        <f>IF(AND(AA6&lt;&gt;0,AB6&lt;&gt;0),indmaint_damp*(LN(AA6/AB6)-LN(1-SUM(AA3:AA6))+LN(1-SUM(AB3:AB6))),IF(AND(AA6=0,AB6&lt;&gt;0),indmaint_damp*LN(AB6),IF(AND(AA6&lt;&gt;0,AB6=0),indmaint_damp*LN(AA6),0)))</f>
        <v>0</v>
      </c>
      <c r="AE6" s="10">
        <f>MAX(Z6+AD6,-7)</f>
        <v>-7</v>
      </c>
      <c r="AF6" s="45">
        <f>AE6/-othmaint_c_ivt</f>
        <v>-250.89605734767025</v>
      </c>
      <c r="AG6" s="51"/>
      <c r="AH6" s="10">
        <v>-7</v>
      </c>
      <c r="AI6" s="33">
        <f>SUM(calibration!$AV126:$AV128)</f>
        <v>0</v>
      </c>
      <c r="AJ6" s="33">
        <f>SUM(calibration!$BK126:$BK128)</f>
        <v>0</v>
      </c>
      <c r="AK6" s="33">
        <f t="shared" si="8"/>
        <v>0</v>
      </c>
      <c r="AL6" s="10">
        <f>IF(AND(AI6&lt;&gt;0,AJ6&lt;&gt;0),inddisc_damp*(LN(AI6/AJ6)-LN(1-SUM(AI3:AI6))+LN(1-SUM(AJ3:AJ6))),IF(AND(AI6=0,AJ6&lt;&gt;0),inddisc_damp*LN(AJ6),IF(AND(AI6&lt;&gt;0,AJ6=0),inddisc_damp*LN(AI6),0)))</f>
        <v>0</v>
      </c>
      <c r="AM6" s="10">
        <f>MAX(AH6+AL6,-7)</f>
        <v>-7</v>
      </c>
      <c r="AN6" s="45">
        <f>AM6/-othdiscr_c_ivt</f>
        <v>-250.89605734767025</v>
      </c>
      <c r="AO6" s="51"/>
      <c r="AP6" s="10">
        <v>-7</v>
      </c>
      <c r="AQ6" s="33">
        <f>SUM(calibration!$AV152:$AV154)</f>
        <v>0</v>
      </c>
      <c r="AR6" s="33">
        <f>SUM(calibration!$BK152:$BK154)</f>
        <v>0</v>
      </c>
      <c r="AS6" s="33">
        <f t="shared" si="10"/>
        <v>0</v>
      </c>
      <c r="AT6" s="10">
        <f>IF(AND(AQ6&lt;&gt;0,AR6&lt;&gt;0),atwork_damp*(LN(AQ6/AR6)-LN(1-SUM(AQ3:AQ6))+LN(1-SUM(AR3:AR6))),IF(AND(AQ6=0,AR6&lt;&gt;0),atwork_damp*LN(AR6),IF(AND(AQ6&lt;&gt;0,AR6=0),atwork_damp*LN(AQ6),0)))</f>
        <v>0</v>
      </c>
      <c r="AU6" s="10">
        <f>MAX(AP6+AT6,-7)</f>
        <v>-7</v>
      </c>
      <c r="AV6" s="45">
        <f t="shared" si="13"/>
        <v>-250.89605734767025</v>
      </c>
    </row>
    <row r="7" spans="1:48" x14ac:dyDescent="0.2">
      <c r="A7" s="3" t="s">
        <v>12</v>
      </c>
      <c r="B7" s="9">
        <v>0.13896327425901844</v>
      </c>
      <c r="C7" s="32">
        <f>calibration!$AW6</f>
        <v>0</v>
      </c>
      <c r="D7" s="32">
        <f>calibration!$BL6</f>
        <v>0</v>
      </c>
      <c r="E7" s="32">
        <f t="shared" si="0"/>
        <v>0</v>
      </c>
      <c r="F7" s="9">
        <f>IF(AND(C7&lt;&gt;0,D7&lt;&gt;0),work_damp*(LN(C7/D7)-LN(1-SUM(C$7:C$10))+LN(1-SUM(D$7:D$10))),IF(AND(C7=0,D7&lt;&gt;0),work_damp*LN(D7),IF(AND(C7&lt;&gt;0,D7=0),work_damp*LN(C7),0)))</f>
        <v>0</v>
      </c>
      <c r="G7" s="9">
        <f t="shared" si="1"/>
        <v>0.13896327425901844</v>
      </c>
      <c r="H7" s="44">
        <f>G7/-work_c_ivt</f>
        <v>6.3165124663190202</v>
      </c>
      <c r="J7" s="9">
        <v>1.6358216801702046</v>
      </c>
      <c r="K7" s="32">
        <f>calibration!$AW32</f>
        <v>0</v>
      </c>
      <c r="L7" s="32">
        <f>calibration!$BL32</f>
        <v>0</v>
      </c>
      <c r="M7" s="32">
        <f t="shared" si="2"/>
        <v>0</v>
      </c>
      <c r="N7" s="9">
        <f>IF(AND(K7&lt;&gt;0,L7&lt;&gt;0),university_damp*(LN(K7/L7)-LN(1-SUM(K$7:K$10))+LN(1-SUM(L$7:L$10))),IF(AND(K7=0,L7&lt;&gt;0),university_damp*LN(L7),IF(AND(K7&lt;&gt;0,L7=0),university_damp*LN(K7),0)))</f>
        <v>0</v>
      </c>
      <c r="O7" s="9">
        <f t="shared" ref="O7:O9" si="15">J7+N7</f>
        <v>1.6358216801702046</v>
      </c>
      <c r="P7" s="44">
        <f>O7/-university_c_ivt</f>
        <v>60.362423622516779</v>
      </c>
      <c r="R7" s="9">
        <v>1.5179448030289979</v>
      </c>
      <c r="S7" s="32">
        <f>calibration!$AW58</f>
        <v>0</v>
      </c>
      <c r="T7" s="32">
        <f>calibration!$BL58</f>
        <v>0</v>
      </c>
      <c r="U7" s="32">
        <f t="shared" si="4"/>
        <v>0</v>
      </c>
      <c r="V7" s="9">
        <f>IF(AND(S7&lt;&gt;0,T7&lt;&gt;0),school_damp*(LN(S7/T7)-LN(1-SUM(S$7:S$10))+LN(1-SUM(T$7:T$10))),IF(AND(S7=0,T7&lt;&gt;0),school_damp*LN(T7),IF(AND(S7&lt;&gt;0,T7=0),school_damp*LN(S7),0)))</f>
        <v>0</v>
      </c>
      <c r="W7" s="9">
        <f t="shared" si="5"/>
        <v>1.5179448030289979</v>
      </c>
      <c r="X7" s="44">
        <f>W7/-school_c_ivt</f>
        <v>56.012723359003616</v>
      </c>
      <c r="Z7" s="9">
        <v>6.1673807044305182E-2</v>
      </c>
      <c r="AA7" s="32">
        <f>calibration!$AW84</f>
        <v>0</v>
      </c>
      <c r="AB7" s="32">
        <f>calibration!$BL84</f>
        <v>0</v>
      </c>
      <c r="AC7" s="32">
        <f t="shared" si="6"/>
        <v>0</v>
      </c>
      <c r="AD7" s="9">
        <f>IF(AND(AA7&lt;&gt;0,AB7&lt;&gt;0),indmaint_damp*(LN(AA7/AB7)-LN(1-SUM(AA$7:AA$10))+LN(1-SUM(AB$7:AB$10))),IF(AND(AA7=0,AB7&lt;&gt;0),indmaint_damp*LN(AB7),IF(AND(AA7&lt;&gt;0,AB7=0),indmaint_damp*LN(AA7),0)))</f>
        <v>0</v>
      </c>
      <c r="AE7" s="9">
        <f t="shared" ref="AE7:AE9" si="16">Z7+AD7</f>
        <v>6.1673807044305182E-2</v>
      </c>
      <c r="AF7" s="44">
        <f>AE7/-othmaint_c_ivt</f>
        <v>2.2105307184338776</v>
      </c>
      <c r="AH7" s="9">
        <v>4.1393623407008272E-2</v>
      </c>
      <c r="AI7" s="32">
        <f>calibration!$AW110</f>
        <v>0</v>
      </c>
      <c r="AJ7" s="32">
        <f>calibration!$BL110</f>
        <v>0</v>
      </c>
      <c r="AK7" s="32">
        <f t="shared" si="8"/>
        <v>0</v>
      </c>
      <c r="AL7" s="9">
        <f>IF(AND(AI7&lt;&gt;0,AJ7&lt;&gt;0),inddisc_damp*(LN(AI7/AJ7)-LN(1-SUM(AI$7:AI$10))+LN(1-SUM(AJ$7:AJ$10))),IF(AND(AI7=0,AJ7&lt;&gt;0),inddisc_damp*LN(AJ7),IF(AND(AI7&lt;&gt;0,AJ7=0),inddisc_damp*LN(AI7),0)))</f>
        <v>0</v>
      </c>
      <c r="AM7" s="9">
        <f t="shared" ref="AM7:AM9" si="17">AH7+AL7</f>
        <v>4.1393623407008272E-2</v>
      </c>
      <c r="AN7" s="44">
        <f>AM7/-othdiscr_c_ivt</f>
        <v>1.4836424160218018</v>
      </c>
      <c r="AP7" s="9">
        <v>1.0783419038325217</v>
      </c>
      <c r="AQ7" s="32">
        <f>calibration!$AW136</f>
        <v>0</v>
      </c>
      <c r="AR7" s="32">
        <f>calibration!$BL136</f>
        <v>0</v>
      </c>
      <c r="AS7" s="32">
        <f t="shared" si="10"/>
        <v>0</v>
      </c>
      <c r="AT7" s="9">
        <f>IF(AND(AQ7&lt;&gt;0,AR7&lt;&gt;0),atwork_damp*(LN(AQ7/AR7)-LN(1-SUM(AQ$7:AQ$10))+LN(1-SUM(AR$7:AR$10)+0.01)),IF(AND(AQ7=0,AR7&lt;&gt;0),atwork_damp*LN(AR7),IF(AND(AQ7&lt;&gt;0,AR7=0),atwork_damp*LN(AQ7),0)))</f>
        <v>0</v>
      </c>
      <c r="AU7" s="9">
        <f t="shared" ref="AU7:AU8" si="18">AP7+AT7</f>
        <v>1.0783419038325217</v>
      </c>
      <c r="AV7" s="44">
        <f t="shared" si="13"/>
        <v>38.650247449194325</v>
      </c>
    </row>
    <row r="8" spans="1:48" x14ac:dyDescent="0.2">
      <c r="A8" s="3" t="s">
        <v>13</v>
      </c>
      <c r="B8" s="9">
        <v>-999</v>
      </c>
      <c r="C8" s="32">
        <f>calibration!$AW7</f>
        <v>0</v>
      </c>
      <c r="D8" s="32">
        <f>calibration!$BL7</f>
        <v>0</v>
      </c>
      <c r="E8" s="32">
        <f t="shared" si="0"/>
        <v>0</v>
      </c>
      <c r="F8" s="9"/>
      <c r="G8" s="9">
        <f t="shared" si="1"/>
        <v>-999</v>
      </c>
      <c r="H8" s="44"/>
      <c r="J8" s="9">
        <v>-999</v>
      </c>
      <c r="K8" s="32">
        <f>calibration!$AW33</f>
        <v>0</v>
      </c>
      <c r="L8" s="32">
        <f>calibration!$BL33</f>
        <v>0</v>
      </c>
      <c r="M8" s="32">
        <f t="shared" si="2"/>
        <v>0</v>
      </c>
      <c r="N8" s="9"/>
      <c r="O8" s="9">
        <f t="shared" si="15"/>
        <v>-999</v>
      </c>
      <c r="P8" s="44"/>
      <c r="R8" s="9">
        <v>-999</v>
      </c>
      <c r="S8" s="32">
        <f>calibration!$AW59</f>
        <v>0</v>
      </c>
      <c r="T8" s="32">
        <f>calibration!$BL59</f>
        <v>0</v>
      </c>
      <c r="U8" s="32">
        <f t="shared" si="4"/>
        <v>0</v>
      </c>
      <c r="V8" s="9"/>
      <c r="W8" s="9">
        <f t="shared" si="5"/>
        <v>-999</v>
      </c>
      <c r="X8" s="44"/>
      <c r="Z8" s="9">
        <v>-999</v>
      </c>
      <c r="AA8" s="32">
        <f>calibration!$AW85</f>
        <v>0</v>
      </c>
      <c r="AB8" s="32">
        <f>calibration!$BL85</f>
        <v>0</v>
      </c>
      <c r="AC8" s="32">
        <f t="shared" si="6"/>
        <v>0</v>
      </c>
      <c r="AD8" s="9"/>
      <c r="AE8" s="9">
        <f t="shared" si="16"/>
        <v>-999</v>
      </c>
      <c r="AF8" s="44"/>
      <c r="AH8" s="9">
        <v>-999</v>
      </c>
      <c r="AI8" s="32">
        <f>calibration!$AW111</f>
        <v>0</v>
      </c>
      <c r="AJ8" s="32">
        <f>calibration!$BL111</f>
        <v>0</v>
      </c>
      <c r="AK8" s="32">
        <f t="shared" si="8"/>
        <v>0</v>
      </c>
      <c r="AL8" s="9"/>
      <c r="AM8" s="9">
        <f t="shared" si="17"/>
        <v>-999</v>
      </c>
      <c r="AN8" s="44"/>
      <c r="AP8" s="9">
        <v>-999</v>
      </c>
      <c r="AQ8" s="32">
        <f>calibration!$AW137</f>
        <v>0</v>
      </c>
      <c r="AR8" s="32">
        <f>calibration!$BL137</f>
        <v>0</v>
      </c>
      <c r="AS8" s="32">
        <f t="shared" si="10"/>
        <v>0</v>
      </c>
      <c r="AT8" s="9"/>
      <c r="AU8" s="9">
        <f t="shared" si="18"/>
        <v>-999</v>
      </c>
      <c r="AV8" s="44">
        <f t="shared" si="13"/>
        <v>-35806.451612903227</v>
      </c>
    </row>
    <row r="9" spans="1:48" x14ac:dyDescent="0.2">
      <c r="A9" s="3" t="s">
        <v>14</v>
      </c>
      <c r="B9" s="9">
        <v>-0.31389822091724112</v>
      </c>
      <c r="C9" s="32">
        <f>calibration!$AW8</f>
        <v>0</v>
      </c>
      <c r="D9" s="32">
        <f>calibration!$BL8</f>
        <v>0</v>
      </c>
      <c r="E9" s="32">
        <f t="shared" si="0"/>
        <v>0</v>
      </c>
      <c r="F9" s="9">
        <f>IF(AND(C9&lt;&gt;0,D9&lt;&gt;0),work_damp*(LN(C9/D9)-LN(1-SUM(C$7:C$10))+LN(1-SUM(D$7:D$10))),IF(AND(C9=0,D9&lt;&gt;0),work_damp*LN(D9),IF(AND(C9&lt;&gt;0,D9=0),work_damp*LN(C9),0)))</f>
        <v>0</v>
      </c>
      <c r="G9" s="9">
        <f t="shared" si="1"/>
        <v>-0.31389822091724112</v>
      </c>
      <c r="H9" s="44">
        <f t="shared" ref="H9:H38" si="19">G9/-work_c_ivt</f>
        <v>-14.268100950783689</v>
      </c>
      <c r="J9" s="9">
        <v>3.1857505717885348</v>
      </c>
      <c r="K9" s="32">
        <f>calibration!$AW34</f>
        <v>0</v>
      </c>
      <c r="L9" s="32">
        <f>calibration!$BL34</f>
        <v>0</v>
      </c>
      <c r="M9" s="32">
        <f t="shared" si="2"/>
        <v>0</v>
      </c>
      <c r="N9" s="9">
        <f>IF(AND(K9&lt;&gt;0,L9&lt;&gt;0),university_damp*(LN(K9/L9)-LN(1-SUM(K$7:K$10))+LN(1-SUM(L$7:L$10))),IF(AND(K9=0,L9&lt;&gt;0),university_damp*LN(L9),IF(AND(K9&lt;&gt;0,L9=0),university_damp*LN(K9),0)))</f>
        <v>0</v>
      </c>
      <c r="O9" s="9">
        <f t="shared" si="15"/>
        <v>3.1857505717885348</v>
      </c>
      <c r="P9" s="44">
        <f t="shared" ref="P9:P32" si="20">O9/-university_c_ivt</f>
        <v>117.55537165271346</v>
      </c>
      <c r="R9" s="9">
        <v>1.1666749490370514</v>
      </c>
      <c r="S9" s="32">
        <f>calibration!$AW60</f>
        <v>0</v>
      </c>
      <c r="T9" s="32">
        <f>calibration!$BL60</f>
        <v>0</v>
      </c>
      <c r="U9" s="32">
        <f t="shared" si="4"/>
        <v>0</v>
      </c>
      <c r="V9" s="9">
        <f>IF(AND(S9&lt;&gt;0,T9&lt;&gt;0),school_damp*(LN(S9/T9)-LN(1-SUM(S$7:S$10))+LN(1-SUM(T$7:T$10))),IF(AND(S9=0,T9&lt;&gt;0),school_damp*LN(T9),IF(AND(S9&lt;&gt;0,T9=0),school_damp*LN(S9),0)))</f>
        <v>0</v>
      </c>
      <c r="W9" s="9">
        <f t="shared" si="5"/>
        <v>1.1666749490370514</v>
      </c>
      <c r="X9" s="44">
        <f t="shared" ref="X9:X31" si="21">W9/-school_c_ivt</f>
        <v>43.050736126828468</v>
      </c>
      <c r="Z9" s="9">
        <v>-0.41264537007738589</v>
      </c>
      <c r="AA9" s="32">
        <f>calibration!$AW86</f>
        <v>0</v>
      </c>
      <c r="AB9" s="32">
        <f>calibration!$BL86</f>
        <v>0</v>
      </c>
      <c r="AC9" s="32">
        <f t="shared" si="6"/>
        <v>0</v>
      </c>
      <c r="AD9" s="9">
        <f>IF(AND(AA9&lt;&gt;0,AB9&lt;&gt;0),indmaint_damp*(LN(AA9/AB9)-LN(1-SUM(AA$7:AA$10))+LN(1-SUM(AB$7:AB$10))),IF(AND(AA9=0,AB9&lt;&gt;0),indmaint_damp*LN(AB9),IF(AND(AA9&lt;&gt;0,AB9=0),indmaint_damp*LN(AA9),0)))</f>
        <v>0</v>
      </c>
      <c r="AE9" s="9">
        <f t="shared" si="16"/>
        <v>-0.41264537007738589</v>
      </c>
      <c r="AF9" s="44">
        <f t="shared" ref="AF9:AF45" si="22">AE9/-othmaint_c_ivt</f>
        <v>-14.790156633598059</v>
      </c>
      <c r="AH9" s="9">
        <v>0.26009153029613918</v>
      </c>
      <c r="AI9" s="32">
        <f>calibration!$AW112</f>
        <v>0</v>
      </c>
      <c r="AJ9" s="32">
        <f>calibration!$BL112</f>
        <v>0</v>
      </c>
      <c r="AK9" s="32">
        <f t="shared" si="8"/>
        <v>0</v>
      </c>
      <c r="AL9" s="9">
        <f>IF(AND(AI9&lt;&gt;0,AJ9&lt;&gt;0),inddisc_damp*(LN(AI9/AJ9)-LN(1-SUM(AI$7:AI$10))+LN(1-SUM(AJ$7:AJ$10))),IF(AND(AI9=0,AJ9&lt;&gt;0),inddisc_damp*LN(AJ9),IF(AND(AI9&lt;&gt;0,AJ9=0),inddisc_damp*LN(AI9),0)))</f>
        <v>0</v>
      </c>
      <c r="AM9" s="9">
        <f t="shared" si="17"/>
        <v>0.26009153029613918</v>
      </c>
      <c r="AN9" s="44">
        <f t="shared" ref="AN9:AN32" si="23">AM9/-othdiscr_c_ivt</f>
        <v>9.3222770715462069</v>
      </c>
      <c r="AP9" s="9">
        <v>-2.5136652881600998</v>
      </c>
      <c r="AQ9" s="32">
        <f>calibration!$AW138</f>
        <v>0</v>
      </c>
      <c r="AR9" s="32">
        <f>calibration!$BL138</f>
        <v>0</v>
      </c>
      <c r="AS9" s="32">
        <f t="shared" si="10"/>
        <v>0</v>
      </c>
      <c r="AT9" s="9">
        <f>IF(AND(AQ9&lt;&gt;0,AR9&lt;&gt;0),atwork_damp*(LN(AQ9/AR9)-LN(1-SUM(AQ$7:AQ$10))+LN(1-SUM(AR$7:AR$10)+0.01)),IF(AND(AQ9=0,AR9&lt;&gt;0),atwork_damp*LN(AR9),IF(AND(AQ9&lt;&gt;0,AR9=0),atwork_damp*LN(AQ9),0)))</f>
        <v>0</v>
      </c>
      <c r="AU9" s="9">
        <f t="shared" ref="AU9:AU10" si="24">MAX(AP9+AT9,-7)</f>
        <v>-2.5136652881600998</v>
      </c>
      <c r="AV9" s="44">
        <f t="shared" si="13"/>
        <v>-90.095530041580631</v>
      </c>
    </row>
    <row r="10" spans="1:48" s="8" customFormat="1" x14ac:dyDescent="0.2">
      <c r="A10" s="4" t="s">
        <v>128</v>
      </c>
      <c r="B10" s="10">
        <v>-7</v>
      </c>
      <c r="C10" s="33">
        <f>SUM(calibration!$AW22:$AW24)</f>
        <v>0</v>
      </c>
      <c r="D10" s="33">
        <f>SUM(calibration!$BL22:$BL24)</f>
        <v>0</v>
      </c>
      <c r="E10" s="33">
        <f t="shared" si="0"/>
        <v>0</v>
      </c>
      <c r="F10" s="10">
        <f>IF(AND(C10&lt;&gt;0,D10&lt;&gt;0),work_damp*(LN(C10/D10)-LN(1-SUM(C$7:C$10))+LN(1-SUM(D$7:D$10))),IF(AND(C10=0,D10&lt;&gt;0),work_damp*LN(D10),IF(AND(C10&lt;&gt;0,D10=0),work_damp*LN(C10),0)))</f>
        <v>0</v>
      </c>
      <c r="G10" s="10">
        <f>MAX(B10+F10,-7)</f>
        <v>-7</v>
      </c>
      <c r="H10" s="45">
        <f t="shared" ref="H10" si="25">G10/-work_c_ivt</f>
        <v>-318.18181818181819</v>
      </c>
      <c r="I10" s="51"/>
      <c r="J10" s="10">
        <v>-7</v>
      </c>
      <c r="K10" s="33">
        <f>SUM(calibration!$AW48:$AW50)</f>
        <v>0</v>
      </c>
      <c r="L10" s="33">
        <f>SUM(calibration!$BL48:$BL50)</f>
        <v>0</v>
      </c>
      <c r="M10" s="33">
        <f t="shared" si="2"/>
        <v>0</v>
      </c>
      <c r="N10" s="10">
        <f>IF(AND(K10&lt;&gt;0,L10&lt;&gt;0),university_damp*(LN(K10/L10)-LN(1-SUM(K$7:K$10))+LN(1-SUM(L$7:L$10))),IF(AND(K10=0,L10&lt;&gt;0),university_damp*LN(L10),IF(AND(K10&lt;&gt;0,L10=0),university_damp*LN(K10),0)))</f>
        <v>0</v>
      </c>
      <c r="O10" s="10">
        <f>MAX(J10+N10,-7)</f>
        <v>-7</v>
      </c>
      <c r="P10" s="45">
        <f t="shared" si="20"/>
        <v>-258.30258302583024</v>
      </c>
      <c r="Q10" s="51"/>
      <c r="R10" s="10">
        <v>-7</v>
      </c>
      <c r="S10" s="33">
        <f>SUM(calibration!$AW74:$AW76)</f>
        <v>0</v>
      </c>
      <c r="T10" s="33">
        <f>SUM(calibration!$BL74:$BL76)</f>
        <v>0</v>
      </c>
      <c r="U10" s="33">
        <f t="shared" si="4"/>
        <v>0</v>
      </c>
      <c r="V10" s="10">
        <f>IF(AND(S10&lt;&gt;0,T10&lt;&gt;0),school_damp*(LN(S10/T10)-LN(1-SUM(S$7:S$10))+LN(1-SUM(T$7:T$10))),IF(AND(S10=0,T10&lt;&gt;0),school_damp*LN(T10),IF(AND(S10&lt;&gt;0,T10=0),school_damp*LN(S10),0)))</f>
        <v>0</v>
      </c>
      <c r="W10" s="10">
        <f>MAX(R10+V10,-7)</f>
        <v>-7</v>
      </c>
      <c r="X10" s="45">
        <f>W10/-school_c_ivt</f>
        <v>-258.30258302583024</v>
      </c>
      <c r="Y10" s="51"/>
      <c r="Z10" s="10">
        <v>-7</v>
      </c>
      <c r="AA10" s="33">
        <f>SUM(calibration!$AW100:$AW102)</f>
        <v>0</v>
      </c>
      <c r="AB10" s="33">
        <f>SUM(calibration!$BL100:$BL102)</f>
        <v>0</v>
      </c>
      <c r="AC10" s="33">
        <f t="shared" ref="AC10" si="26">AB10-AA10</f>
        <v>0</v>
      </c>
      <c r="AD10" s="10">
        <f>IF(AND(AA10&lt;&gt;0,AB10&lt;&gt;0),indmaint_damp*(LN(AA10/AB10)-LN(1-SUM(AA$7:AA$10))+LN(1-SUM(AB$7:AB$10))),IF(AND(AA10=0,AB10&lt;&gt;0),indmaint_damp*LN(AB10),IF(AND(AA10&lt;&gt;0,AB10=0),indmaint_damp*LN(AA10),0)))</f>
        <v>0</v>
      </c>
      <c r="AE10" s="10">
        <f>MAX(Z10+AD10,-7)</f>
        <v>-7</v>
      </c>
      <c r="AF10" s="45">
        <f t="shared" si="22"/>
        <v>-250.89605734767025</v>
      </c>
      <c r="AG10" s="51"/>
      <c r="AH10" s="10">
        <v>-7</v>
      </c>
      <c r="AI10" s="33">
        <f>SUM(calibration!$AW126:$AW128)</f>
        <v>0</v>
      </c>
      <c r="AJ10" s="33">
        <f>SUM(calibration!$BL126:$BL128)</f>
        <v>0</v>
      </c>
      <c r="AK10" s="33">
        <f t="shared" si="8"/>
        <v>0</v>
      </c>
      <c r="AL10" s="10">
        <f>IF(AND(AI10&lt;&gt;0,AJ10&lt;&gt;0),inddisc_damp*(LN(AI10/AJ10)-LN(1-SUM(AI$7:AI$10))+LN(1-SUM(AJ$7:AJ$10))),IF(AND(AI10=0,AJ10&lt;&gt;0),inddisc_damp*LN(AJ10),IF(AND(AI10&lt;&gt;0,AJ10=0),inddisc_damp*LN(AI10),0)))</f>
        <v>0</v>
      </c>
      <c r="AM10" s="10">
        <f>MAX(AH10+AL10,-7)</f>
        <v>-7</v>
      </c>
      <c r="AN10" s="45">
        <f t="shared" si="23"/>
        <v>-250.89605734767025</v>
      </c>
      <c r="AO10" s="51"/>
      <c r="AP10" s="10">
        <v>-7</v>
      </c>
      <c r="AQ10" s="33">
        <f>SUM(calibration!$AW152:$AW154)</f>
        <v>0</v>
      </c>
      <c r="AR10" s="33">
        <f>SUM(calibration!$BL152:$BL154)</f>
        <v>0</v>
      </c>
      <c r="AS10" s="33">
        <f t="shared" si="10"/>
        <v>0</v>
      </c>
      <c r="AT10" s="10">
        <f>IF(AND(AQ10&lt;&gt;0,AR10&lt;&gt;0),atwork_damp*(LN(AQ10/AR10)-LN(1-SUM(AQ$7:AQ$10))+LN(1-SUM(AR$7:AR$10)+0.01)),IF(AND(AQ10=0,AR10&lt;&gt;0),atwork_damp*LN(AR10),IF(AND(AQ10&lt;&gt;0,AR10=0),atwork_damp*LN(AQ10),0)))</f>
        <v>0</v>
      </c>
      <c r="AU10" s="10">
        <f t="shared" si="24"/>
        <v>-7</v>
      </c>
      <c r="AV10" s="45">
        <f t="shared" si="13"/>
        <v>-250.89605734767025</v>
      </c>
    </row>
    <row r="11" spans="1:48" x14ac:dyDescent="0.2">
      <c r="A11" s="3" t="s">
        <v>15</v>
      </c>
      <c r="B11" s="9">
        <v>-0.54741977143629272</v>
      </c>
      <c r="C11" s="32">
        <f>calibration!$AX6</f>
        <v>0</v>
      </c>
      <c r="D11" s="32">
        <f>calibration!$BM6</f>
        <v>0</v>
      </c>
      <c r="E11" s="32">
        <f t="shared" si="0"/>
        <v>0</v>
      </c>
      <c r="F11" s="9">
        <f>IF(AND(C11&lt;&gt;0,D11&lt;&gt;0),work_damp*(LN(C11/D11)-LN(1-SUM(C$11:C$14))+LN(1-SUM(D$11:D$14))),IF(AND(C11=0,D11&lt;&gt;0),work_damp*LN(D11),IF(AND(C11&lt;&gt;0,D11=0),work_damp*LN(C11),0)))</f>
        <v>0</v>
      </c>
      <c r="G11" s="9">
        <f t="shared" si="1"/>
        <v>-0.54741977143629272</v>
      </c>
      <c r="H11" s="44">
        <f t="shared" si="19"/>
        <v>-24.882716883467854</v>
      </c>
      <c r="J11" s="9">
        <v>0.2255899507282462</v>
      </c>
      <c r="K11" s="32">
        <f>calibration!$AX32</f>
        <v>0</v>
      </c>
      <c r="L11" s="32">
        <f>calibration!$BM32</f>
        <v>0</v>
      </c>
      <c r="M11" s="32">
        <f t="shared" si="2"/>
        <v>0</v>
      </c>
      <c r="N11" s="9">
        <f>IF(AND(K11&lt;&gt;0,L11&lt;&gt;0),university_damp*(LN(K11/L11)-LN(1-SUM(K$11:K$14))+LN(1-SUM(L$11:L$14))),IF(AND(K11=0,L11&lt;&gt;0),university_damp*LN(L11),IF(AND(K11&lt;&gt;0,L11=0),university_damp*LN(K11),0)))</f>
        <v>0</v>
      </c>
      <c r="O11" s="9">
        <f t="shared" ref="O11:O13" si="27">J11+N11</f>
        <v>0.2255899507282462</v>
      </c>
      <c r="P11" s="44">
        <f t="shared" si="20"/>
        <v>8.3243524253965386</v>
      </c>
      <c r="R11" s="9">
        <v>1.3415835344819167</v>
      </c>
      <c r="S11" s="32">
        <f>calibration!$AX58</f>
        <v>0</v>
      </c>
      <c r="T11" s="32">
        <f>calibration!$BM58</f>
        <v>0</v>
      </c>
      <c r="U11" s="32">
        <f t="shared" si="4"/>
        <v>0</v>
      </c>
      <c r="V11" s="9">
        <f>IF(AND(S11&lt;&gt;0,T11&lt;&gt;0),school_damp*(LN(S11/T11)-LN(1-SUM(S$11:S$14))+LN(1-SUM(T$11:T$14))),IF(AND(S11=0,T11&lt;&gt;0),school_damp*LN(T11),IF(AND(S11&lt;&gt;0,T11=0),school_damp*LN(S11),0)))</f>
        <v>0</v>
      </c>
      <c r="W11" s="9">
        <f t="shared" si="5"/>
        <v>1.3415835344819167</v>
      </c>
      <c r="X11" s="44">
        <f t="shared" si="21"/>
        <v>49.504927471657446</v>
      </c>
      <c r="Z11" s="9">
        <v>0.31110651514308618</v>
      </c>
      <c r="AA11" s="32">
        <f>calibration!$AX84</f>
        <v>0</v>
      </c>
      <c r="AB11" s="32">
        <f>calibration!$BM84</f>
        <v>0</v>
      </c>
      <c r="AC11" s="32">
        <f t="shared" si="6"/>
        <v>0</v>
      </c>
      <c r="AD11" s="9">
        <f>IF(AND(AA11&lt;&gt;0,AB11&lt;&gt;0),indmaint_damp*(LN(AA11/AB11)-LN(1-SUM(AA$11:AA$14))+LN(1-SUM(AB$11:AB$14))),IF(AND(AA11=0,AB11&lt;&gt;0),indmaint_damp*LN(AB11),IF(AND(AA11&lt;&gt;0,AB11=0),indmaint_damp*LN(AA11),0)))</f>
        <v>0</v>
      </c>
      <c r="AE11" s="9">
        <f t="shared" ref="AE11:AE13" si="28">Z11+AD11</f>
        <v>0.31110651514308618</v>
      </c>
      <c r="AF11" s="44">
        <f t="shared" si="22"/>
        <v>11.150771152081942</v>
      </c>
      <c r="AH11" s="9">
        <v>-0.26224317432272776</v>
      </c>
      <c r="AI11" s="32">
        <f>calibration!$AX110</f>
        <v>0</v>
      </c>
      <c r="AJ11" s="32">
        <f>calibration!$BM110</f>
        <v>0</v>
      </c>
      <c r="AK11" s="32">
        <f t="shared" si="8"/>
        <v>0</v>
      </c>
      <c r="AL11" s="9">
        <f>IF(AND(AI11&lt;&gt;0,AJ11&lt;&gt;0),inddisc_damp*(LN(AI11/AJ11)-LN(1-SUM(AI$11:AI$14))+LN(1-SUM(AJ$11:AJ$14))),IF(AND(AI11=0,AJ11&lt;&gt;0),inddisc_damp*LN(AJ11),IF(AND(AI11&lt;&gt;0,AJ11=0),inddisc_damp*LN(AI11),0)))</f>
        <v>0</v>
      </c>
      <c r="AM11" s="9">
        <f t="shared" ref="AM11:AM13" si="29">AH11+AL11</f>
        <v>-0.26224317432272776</v>
      </c>
      <c r="AN11" s="44">
        <f t="shared" si="23"/>
        <v>-9.3993969291300274</v>
      </c>
      <c r="AP11" s="9">
        <v>-0.89412830566217327</v>
      </c>
      <c r="AQ11" s="32">
        <f>calibration!$AX136</f>
        <v>0</v>
      </c>
      <c r="AR11" s="32">
        <f>MAX(calibration!$BM136,0.001)</f>
        <v>1E-3</v>
      </c>
      <c r="AS11" s="32">
        <f t="shared" si="10"/>
        <v>1E-3</v>
      </c>
      <c r="AT11" s="9">
        <f>IF(AND(AQ11&lt;&gt;0,AR11&lt;&gt;0),atwork_damp*(LN(AQ11/AR11)-LN(1-SUM(AQ$11:AQ$14))+LN(1-SUM(AR$11:AR$14))),IF(AND(AQ11=0,AR11&lt;&gt;0),atwork_damp*LN(AR11),IF(AND(AQ11&lt;&gt;0,AR11=0),atwork_damp*LN(AQ11),0)))</f>
        <v>0</v>
      </c>
      <c r="AU11" s="9">
        <f t="shared" ref="AU11:AU13" si="30">AP11+AT11</f>
        <v>-0.89412830566217327</v>
      </c>
      <c r="AV11" s="44">
        <f t="shared" si="13"/>
        <v>-32.047609521941695</v>
      </c>
    </row>
    <row r="12" spans="1:48" x14ac:dyDescent="0.2">
      <c r="A12" s="3" t="s">
        <v>16</v>
      </c>
      <c r="B12" s="9">
        <v>-1.491903510187052E-2</v>
      </c>
      <c r="C12" s="32">
        <f>calibration!$AX7</f>
        <v>0</v>
      </c>
      <c r="D12" s="32">
        <f>calibration!$BM7</f>
        <v>0</v>
      </c>
      <c r="E12" s="32">
        <f t="shared" si="0"/>
        <v>0</v>
      </c>
      <c r="F12" s="9">
        <f>IF(AND(C12&lt;&gt;0,D12&lt;&gt;0),work_damp*(LN(C12/D12)-LN(1-SUM(C$11:C$14))+LN(1-SUM(D$11:D$14))),IF(AND(C12=0,D12&lt;&gt;0),work_damp*LN(D12),IF(AND(C12&lt;&gt;0,D12=0),work_damp*LN(C12),0)))</f>
        <v>0</v>
      </c>
      <c r="G12" s="9">
        <f t="shared" si="1"/>
        <v>-1.491903510187052E-2</v>
      </c>
      <c r="H12" s="44">
        <f t="shared" si="19"/>
        <v>-0.67813795917593278</v>
      </c>
      <c r="J12" s="9">
        <v>0.87259873798452692</v>
      </c>
      <c r="K12" s="32">
        <f>calibration!$AX33</f>
        <v>0</v>
      </c>
      <c r="L12" s="32">
        <f>calibration!$BM33</f>
        <v>0</v>
      </c>
      <c r="M12" s="32">
        <f t="shared" si="2"/>
        <v>0</v>
      </c>
      <c r="N12" s="9">
        <f>IF(AND(K12&lt;&gt;0,L12&lt;&gt;0),university_damp*(LN(K12/L12)-LN(1-SUM(K$11:K$14))+LN(1-SUM(L$11:L$14))),IF(AND(K12=0,L12&lt;&gt;0),university_damp*LN(L12),IF(AND(K12&lt;&gt;0,L12=0),university_damp*LN(K12),0)))</f>
        <v>0</v>
      </c>
      <c r="O12" s="9">
        <f t="shared" si="27"/>
        <v>0.87259873798452692</v>
      </c>
      <c r="P12" s="44">
        <f t="shared" si="20"/>
        <v>32.199215423783279</v>
      </c>
      <c r="R12" s="9">
        <v>2.3381731430634614</v>
      </c>
      <c r="S12" s="32">
        <f>calibration!$AX59</f>
        <v>0</v>
      </c>
      <c r="T12" s="32">
        <f>calibration!$BM59</f>
        <v>0</v>
      </c>
      <c r="U12" s="32">
        <f t="shared" si="4"/>
        <v>0</v>
      </c>
      <c r="V12" s="9">
        <f>IF(AND(S12&lt;&gt;0,T12&lt;&gt;0),school_damp*(LN(S12/T12)-LN(1-SUM(S$11:S$14))+LN(1-SUM(T$11:T$14))),IF(AND(S12=0,T12&lt;&gt;0),school_damp*LN(T12),IF(AND(S12&lt;&gt;0,T12=0),school_damp*LN(S12),0)))</f>
        <v>0</v>
      </c>
      <c r="W12" s="9">
        <f t="shared" si="5"/>
        <v>2.3381731430634614</v>
      </c>
      <c r="X12" s="44">
        <f t="shared" si="21"/>
        <v>86.279451773559458</v>
      </c>
      <c r="Z12" s="9">
        <v>0.80202455198237732</v>
      </c>
      <c r="AA12" s="32">
        <f>calibration!$AX85</f>
        <v>0</v>
      </c>
      <c r="AB12" s="32">
        <f>calibration!$BM85</f>
        <v>0</v>
      </c>
      <c r="AC12" s="32">
        <f t="shared" si="6"/>
        <v>0</v>
      </c>
      <c r="AD12" s="9">
        <f>IF(AND(AA12&lt;&gt;0,AB12&lt;&gt;0),indmaint_damp*(LN(AA12/AB12)-LN(1-SUM(AA$11:AA$14))+LN(1-SUM(AB$11:AB$14))),IF(AND(AA12=0,AB12&lt;&gt;0),indmaint_damp*LN(AB12),IF(AND(AA12&lt;&gt;0,AB12=0),indmaint_damp*LN(AA12),0)))</f>
        <v>0</v>
      </c>
      <c r="AE12" s="9">
        <f t="shared" si="28"/>
        <v>0.80202455198237732</v>
      </c>
      <c r="AF12" s="44">
        <f t="shared" si="22"/>
        <v>28.746399712630009</v>
      </c>
      <c r="AH12" s="9">
        <v>0.52307637751052771</v>
      </c>
      <c r="AI12" s="32">
        <f>calibration!$AX111</f>
        <v>0</v>
      </c>
      <c r="AJ12" s="32">
        <f>calibration!$BM111</f>
        <v>0</v>
      </c>
      <c r="AK12" s="32">
        <f t="shared" si="8"/>
        <v>0</v>
      </c>
      <c r="AL12" s="9">
        <f>IF(AND(AI12&lt;&gt;0,AJ12&lt;&gt;0),inddisc_damp*(LN(AI12/AJ12)-LN(1-SUM(AI$11:AI$14))+LN(1-SUM(AJ$11:AJ$14))),IF(AND(AI12=0,AJ12&lt;&gt;0),inddisc_damp*LN(AJ12),IF(AND(AI12&lt;&gt;0,AJ12=0),inddisc_damp*LN(AI12),0)))</f>
        <v>0</v>
      </c>
      <c r="AM12" s="9">
        <f t="shared" si="29"/>
        <v>0.52307637751052771</v>
      </c>
      <c r="AN12" s="44">
        <f t="shared" si="23"/>
        <v>18.748257258441853</v>
      </c>
      <c r="AP12" s="9">
        <v>1.1619431200957788</v>
      </c>
      <c r="AQ12" s="32">
        <f>calibration!$AX137</f>
        <v>0</v>
      </c>
      <c r="AR12" s="32">
        <f>MAX(calibration!$BM137,0.001)</f>
        <v>1E-3</v>
      </c>
      <c r="AS12" s="32">
        <f t="shared" si="10"/>
        <v>1E-3</v>
      </c>
      <c r="AT12" s="9">
        <f>IF(AND(AQ12&lt;&gt;0,AR12&lt;&gt;0),atwork_damp*(LN(AQ12/AR12)-LN(1-SUM(AQ$11:AQ$14))+LN(1-SUM(AR$11:AR$14))),IF(AND(AQ12=0,AR12&lt;&gt;0),atwork_damp*LN(AR12),IF(AND(AQ12&lt;&gt;0,AR12=0),atwork_damp*LN(AQ12),0)))</f>
        <v>0</v>
      </c>
      <c r="AU12" s="9">
        <f t="shared" si="30"/>
        <v>1.1619431200957788</v>
      </c>
      <c r="AV12" s="44">
        <f t="shared" si="13"/>
        <v>41.646706813468775</v>
      </c>
    </row>
    <row r="13" spans="1:48" x14ac:dyDescent="0.2">
      <c r="A13" s="3" t="s">
        <v>17</v>
      </c>
      <c r="B13" s="9">
        <v>-0.39003957711760229</v>
      </c>
      <c r="C13" s="32">
        <f>calibration!$AX8</f>
        <v>0</v>
      </c>
      <c r="D13" s="32">
        <f>calibration!$BM8</f>
        <v>0</v>
      </c>
      <c r="E13" s="32">
        <f t="shared" si="0"/>
        <v>0</v>
      </c>
      <c r="F13" s="9">
        <f>IF(AND(C13&lt;&gt;0,D13&lt;&gt;0),work_damp*(LN(C13/D13)-LN(1-SUM(C$11:C$14))+LN(1-SUM(D$11:D$14))),IF(AND(C13=0,D13&lt;&gt;0),work_damp*LN(D13),IF(AND(C13&lt;&gt;0,D13=0),work_damp*LN(C13),0)))</f>
        <v>0</v>
      </c>
      <c r="G13" s="9">
        <f t="shared" si="1"/>
        <v>-0.39003957711760229</v>
      </c>
      <c r="H13" s="44">
        <f t="shared" si="19"/>
        <v>-17.729071687163742</v>
      </c>
      <c r="J13" s="9">
        <v>0.71375156375969429</v>
      </c>
      <c r="K13" s="32">
        <f>calibration!$AX34</f>
        <v>0</v>
      </c>
      <c r="L13" s="32">
        <f>calibration!$BM34</f>
        <v>0</v>
      </c>
      <c r="M13" s="32">
        <f t="shared" si="2"/>
        <v>0</v>
      </c>
      <c r="N13" s="9">
        <f>IF(AND(K13&lt;&gt;0,L13&lt;&gt;0),university_damp*(LN(K13/L13)-LN(1-SUM(K$11:K$14))+LN(1-SUM(L$11:L$14))),IF(AND(K13=0,L13&lt;&gt;0),university_damp*LN(L13),IF(AND(K13&lt;&gt;0,L13=0),university_damp*LN(K13),0)))</f>
        <v>0</v>
      </c>
      <c r="O13" s="9">
        <f t="shared" si="27"/>
        <v>0.71375156375969429</v>
      </c>
      <c r="P13" s="44">
        <f t="shared" si="20"/>
        <v>26.337696079693519</v>
      </c>
      <c r="R13" s="9">
        <v>2.4415383524170045</v>
      </c>
      <c r="S13" s="32">
        <f>calibration!$AX60</f>
        <v>0</v>
      </c>
      <c r="T13" s="32">
        <f>calibration!$BM60</f>
        <v>0</v>
      </c>
      <c r="U13" s="32">
        <f t="shared" si="4"/>
        <v>0</v>
      </c>
      <c r="V13" s="9">
        <f>IF(AND(S13&lt;&gt;0,T13&lt;&gt;0),school_damp*(LN(S13/T13)-LN(1-SUM(S$11:S$14))+LN(1-SUM(T$11:T$14))),IF(AND(S13=0,T13&lt;&gt;0),school_damp*LN(T13),IF(AND(S13&lt;&gt;0,T13=0),school_damp*LN(S13),0)))</f>
        <v>0</v>
      </c>
      <c r="W13" s="9">
        <f t="shared" si="5"/>
        <v>2.4415383524170045</v>
      </c>
      <c r="X13" s="44">
        <f t="shared" si="21"/>
        <v>90.093666140848882</v>
      </c>
      <c r="Z13" s="9">
        <v>0.42245132389978612</v>
      </c>
      <c r="AA13" s="32">
        <f>calibration!$AX86</f>
        <v>0</v>
      </c>
      <c r="AB13" s="32">
        <f>calibration!$BM86</f>
        <v>0</v>
      </c>
      <c r="AC13" s="32">
        <f t="shared" si="6"/>
        <v>0</v>
      </c>
      <c r="AD13" s="9">
        <f>IF(AND(AA13&lt;&gt;0,AB13&lt;&gt;0),indmaint_damp*(LN(AA13/AB13)-LN(1-SUM(AA$11:AA$14))+LN(1-SUM(AB$11:AB$14))),IF(AND(AA13=0,AB13&lt;&gt;0),indmaint_damp*LN(AB13),IF(AND(AA13&lt;&gt;0,AB13=0),indmaint_damp*LN(AA13),0)))</f>
        <v>0</v>
      </c>
      <c r="AE13" s="9">
        <f t="shared" si="28"/>
        <v>0.42245132389978612</v>
      </c>
      <c r="AF13" s="44">
        <f t="shared" si="22"/>
        <v>15.141624512537136</v>
      </c>
      <c r="AH13" s="9">
        <v>0.56964648191122202</v>
      </c>
      <c r="AI13" s="32">
        <f>calibration!$AX112</f>
        <v>0</v>
      </c>
      <c r="AJ13" s="32">
        <f>calibration!$BM112</f>
        <v>0</v>
      </c>
      <c r="AK13" s="32">
        <f t="shared" si="8"/>
        <v>0</v>
      </c>
      <c r="AL13" s="9">
        <f>IF(AND(AI13&lt;&gt;0,AJ13&lt;&gt;0),inddisc_damp*(LN(AI13/AJ13)-LN(1-SUM(AI$11:AI$14))+LN(1-SUM(AJ$11:AJ$14))),IF(AND(AI13=0,AJ13&lt;&gt;0),inddisc_damp*LN(AJ13),IF(AND(AI13&lt;&gt;0,AJ13=0),inddisc_damp*LN(AI13),0)))</f>
        <v>0</v>
      </c>
      <c r="AM13" s="9">
        <f t="shared" si="29"/>
        <v>0.56964648191122202</v>
      </c>
      <c r="AN13" s="44">
        <f t="shared" si="23"/>
        <v>20.417436627642367</v>
      </c>
      <c r="AP13" s="9">
        <v>-2.061382535073907</v>
      </c>
      <c r="AQ13" s="32">
        <f>calibration!$AX138</f>
        <v>0</v>
      </c>
      <c r="AR13" s="32">
        <f>MAX(calibration!$BM138,0.001)</f>
        <v>1E-3</v>
      </c>
      <c r="AS13" s="32">
        <f t="shared" si="10"/>
        <v>1E-3</v>
      </c>
      <c r="AT13" s="9">
        <f>IF(AND(AQ13&lt;&gt;0,AR13&lt;&gt;0),atwork_damp*(LN(AQ13/AR13)-LN(1-SUM(AQ$11:AQ$14))+LN(1-SUM(AR$11:AR$14))),IF(AND(AQ13=0,AR13&lt;&gt;0),atwork_damp*LN(AR13),IF(AND(AQ13&lt;&gt;0,AR13=0),atwork_damp*LN(AQ13),0)))</f>
        <v>0</v>
      </c>
      <c r="AU13" s="9">
        <f t="shared" si="30"/>
        <v>-2.061382535073907</v>
      </c>
      <c r="AV13" s="44">
        <f t="shared" si="13"/>
        <v>-73.884678676484114</v>
      </c>
    </row>
    <row r="14" spans="1:48" s="8" customFormat="1" x14ac:dyDescent="0.2">
      <c r="A14" s="4" t="s">
        <v>129</v>
      </c>
      <c r="B14" s="10">
        <v>-107.43956048344576</v>
      </c>
      <c r="C14" s="33">
        <f>SUM(calibration!$AX22:$AX24)</f>
        <v>0</v>
      </c>
      <c r="D14" s="33">
        <f>SUM(calibration!$BM22:$BM24)</f>
        <v>0</v>
      </c>
      <c r="E14" s="33">
        <f t="shared" si="0"/>
        <v>0</v>
      </c>
      <c r="F14" s="10">
        <f>IF(AND(C14&lt;&gt;0,D14&lt;&gt;0),work_damp*(LN(C14/D14)-LN(1-SUM(C$11:C$14))+LN(1-SUM(D$11:D$14))),IF(AND(C14=0,D14&lt;&gt;0),work_damp*LN(D14),IF(AND(C14&lt;&gt;0,D14=0),work_damp*LN(C14),0)))</f>
        <v>0</v>
      </c>
      <c r="G14" s="10">
        <f t="shared" si="1"/>
        <v>-107.43956048344576</v>
      </c>
      <c r="H14" s="45">
        <f t="shared" si="19"/>
        <v>-4883.6163856111716</v>
      </c>
      <c r="I14" s="51"/>
      <c r="J14" s="10">
        <v>-7</v>
      </c>
      <c r="K14" s="33">
        <f>SUM(calibration!$AX48:$AX50)</f>
        <v>0</v>
      </c>
      <c r="L14" s="33">
        <f>SUM(calibration!$BM48:$BM50)</f>
        <v>0</v>
      </c>
      <c r="M14" s="33">
        <f t="shared" si="2"/>
        <v>0</v>
      </c>
      <c r="N14" s="10">
        <f>IF(AND(K14&lt;&gt;0,L14&lt;&gt;0),university_damp*(LN(K14/L14)-LN(1-SUM(K$11:K$14))+LN(1-SUM(L$11:L$14))),IF(AND(K14=0,L14&lt;&gt;0),university_damp*LN(L14),IF(AND(K14&lt;&gt;0,L14=0),university_damp*LN(K14),0)))</f>
        <v>0</v>
      </c>
      <c r="O14" s="10">
        <f>MAX(J14+N14,-7)</f>
        <v>-7</v>
      </c>
      <c r="P14" s="45">
        <f t="shared" si="20"/>
        <v>-258.30258302583024</v>
      </c>
      <c r="Q14" s="51"/>
      <c r="R14" s="10">
        <v>-7</v>
      </c>
      <c r="S14" s="33">
        <f>SUM(calibration!$AX74:$AX76)</f>
        <v>0</v>
      </c>
      <c r="T14" s="33">
        <f>SUM(calibration!$BM74:$BM76)</f>
        <v>0</v>
      </c>
      <c r="U14" s="33">
        <f t="shared" si="4"/>
        <v>0</v>
      </c>
      <c r="V14" s="10">
        <f>IF(AND(S14&lt;&gt;0,T14&lt;&gt;0),school_damp*(LN(S14/T14)-LN(1-SUM(S$11:S$14))+LN(1-SUM(T$11:T$14))),IF(AND(S14=0,T14&lt;&gt;0),school_damp*LN(T14),IF(AND(S14&lt;&gt;0,T14=0),school_damp*LN(S14),0)))</f>
        <v>0</v>
      </c>
      <c r="W14" s="10">
        <f>MAX(R14+V14,-7)</f>
        <v>-7</v>
      </c>
      <c r="X14" s="45">
        <f>W14/-school_c_ivt</f>
        <v>-258.30258302583024</v>
      </c>
      <c r="Y14" s="51"/>
      <c r="Z14" s="10">
        <v>-7</v>
      </c>
      <c r="AA14" s="33">
        <f>SUM(calibration!$AX100:$AX102)</f>
        <v>0</v>
      </c>
      <c r="AB14" s="33">
        <f>SUM(calibration!$BM100:$BM102)</f>
        <v>0</v>
      </c>
      <c r="AC14" s="33">
        <f t="shared" si="6"/>
        <v>0</v>
      </c>
      <c r="AD14" s="10">
        <f>IF(AND(AA14&lt;&gt;0,AB14&lt;&gt;0),indmaint_damp*(LN(AA14/AB14)-LN(1-SUM(AA$11:AA$14))+LN(1-SUM(AB$11:AB$14))),IF(AND(AA14=0,AB14&lt;&gt;0),indmaint_damp*LN(AB14),IF(AND(AA14&lt;&gt;0,AB14=0),indmaint_damp*LN(AA14),0)))</f>
        <v>0</v>
      </c>
      <c r="AE14" s="10">
        <f>MAX(Z14+AD14,-7)</f>
        <v>-7</v>
      </c>
      <c r="AF14" s="45">
        <f t="shared" si="22"/>
        <v>-250.89605734767025</v>
      </c>
      <c r="AG14" s="51"/>
      <c r="AH14" s="10">
        <v>-7</v>
      </c>
      <c r="AI14" s="33">
        <f>SUM(calibration!$AX126:$AX128)</f>
        <v>0</v>
      </c>
      <c r="AJ14" s="33">
        <f>SUM(calibration!$BM126:$BM128)</f>
        <v>0</v>
      </c>
      <c r="AK14" s="33">
        <f t="shared" si="8"/>
        <v>0</v>
      </c>
      <c r="AL14" s="10">
        <f>IF(AND(AI14&lt;&gt;0,AJ14&lt;&gt;0),inddisc_damp*(LN(AI14/AJ14)-LN(1-SUM(AI$11:AI$14))+LN(1-SUM(AJ$11:AJ$14))),IF(AND(AI14=0,AJ14&lt;&gt;0),inddisc_damp*LN(AJ14),IF(AND(AI14&lt;&gt;0,AJ14=0),inddisc_damp*LN(AI14),0)))</f>
        <v>0</v>
      </c>
      <c r="AM14" s="10">
        <f>MAX(AH14+AL14,-7)</f>
        <v>-7</v>
      </c>
      <c r="AN14" s="45">
        <f t="shared" si="23"/>
        <v>-250.89605734767025</v>
      </c>
      <c r="AO14" s="51"/>
      <c r="AP14" s="10">
        <v>-7</v>
      </c>
      <c r="AQ14" s="33">
        <f>SUM(calibration!$AX152:$AX154)</f>
        <v>0</v>
      </c>
      <c r="AR14" s="33">
        <f>SUM(calibration!$BM152:$BM154)</f>
        <v>0</v>
      </c>
      <c r="AS14" s="33">
        <f t="shared" si="10"/>
        <v>0</v>
      </c>
      <c r="AT14" s="10">
        <f>IF(AND(AQ14&lt;&gt;0,AR14&lt;&gt;0),atwork_damp*(LN(AQ14/AR14)-LN(1-SUM(AQ$11:AQ$14))+LN(1-SUM(AR$11:AR$14))),IF(AND(AQ14=0,AR14&lt;&gt;0),atwork_damp*LN(AR14),IF(AND(AQ14&lt;&gt;0,AR14=0),atwork_damp*LN(AQ14),0)))</f>
        <v>0</v>
      </c>
      <c r="AU14" s="10">
        <f>MAX(AP14+AT14,-7)</f>
        <v>-7</v>
      </c>
      <c r="AV14" s="45">
        <f t="shared" si="13"/>
        <v>-250.89605734767025</v>
      </c>
    </row>
    <row r="15" spans="1:48" x14ac:dyDescent="0.2">
      <c r="A15" s="68" t="s">
        <v>145</v>
      </c>
      <c r="B15" s="69">
        <v>-7</v>
      </c>
      <c r="C15" s="33">
        <f>SUM(calibration!$AY22:$AY24)</f>
        <v>0</v>
      </c>
      <c r="D15" s="33">
        <f>SUM(calibration!$BN22:$BN24)</f>
        <v>0</v>
      </c>
      <c r="E15" s="33">
        <f t="shared" ref="E15" si="31">D15-C15</f>
        <v>0</v>
      </c>
      <c r="F15" s="69">
        <f>IF(AND(C15&lt;&gt;0,D15&lt;&gt;0),work_damp*(LN(C15/D15)-LN(1-SUM(C$15:C$15))+LN(1-SUM(D$15:D$15))),IF(AND(C15=0,D15&lt;&gt;0),work_damp*LN(D15),IF(AND(C15&lt;&gt;0,D15=0),work_damp*LN(C15),0)))</f>
        <v>0</v>
      </c>
      <c r="G15" s="10">
        <f>MAX(B15+F15,-7)</f>
        <v>-7</v>
      </c>
      <c r="H15" s="45">
        <f t="shared" si="19"/>
        <v>-318.18181818181819</v>
      </c>
      <c r="I15" s="70"/>
      <c r="J15" s="69">
        <v>-7</v>
      </c>
      <c r="K15" s="33">
        <f>SUM(calibration!$AY48:$AY50)</f>
        <v>0</v>
      </c>
      <c r="L15" s="33">
        <f>SUM(calibration!$BN48:$BN50)</f>
        <v>0</v>
      </c>
      <c r="M15" s="33">
        <f t="shared" si="2"/>
        <v>0</v>
      </c>
      <c r="N15" s="10">
        <f>IF(AND(K15&lt;&gt;0,L15&lt;&gt;0),university_damp*(LN(K15/L15)-LN(1-SUM(K$15:K$15))+LN(1-SUM(L$15:L$15))),IF(AND(K15=0,L15&lt;&gt;0),university_damp*LN(L15),IF(AND(K15&lt;&gt;0,L15=0),university_damp*LN(K15),0)))</f>
        <v>0</v>
      </c>
      <c r="O15" s="10">
        <f>MAX(J15+N15,-7)</f>
        <v>-7</v>
      </c>
      <c r="P15" s="45">
        <f t="shared" ref="P15" si="32">O15/-university_c_ivt</f>
        <v>-258.30258302583024</v>
      </c>
      <c r="Q15" s="70"/>
      <c r="R15" s="69">
        <v>-7</v>
      </c>
      <c r="S15" s="33">
        <f>SUM(calibration!$AY74:$AY76)</f>
        <v>0</v>
      </c>
      <c r="T15" s="33">
        <f>SUM(calibration!$BN74:$BN76)</f>
        <v>0</v>
      </c>
      <c r="U15" s="33">
        <f t="shared" si="4"/>
        <v>0</v>
      </c>
      <c r="V15" s="10">
        <f>IF(AND(S15&lt;&gt;0,T15&lt;&gt;0),school_damp*(LN(S15/T15)-LN(1-SUM(S$15:S$15))+LN(1-SUM(T$15:T$15))),IF(AND(S15=0,T15&lt;&gt;0),school_damp*LN(T15),IF(AND(S15&lt;&gt;0,T15=0),school_damp*LN(S15),0)))</f>
        <v>0</v>
      </c>
      <c r="W15" s="10">
        <f>MAX(R15+V15,-7)</f>
        <v>-7</v>
      </c>
      <c r="X15" s="45">
        <f>W15/-school_c_ivt</f>
        <v>-258.30258302583024</v>
      </c>
      <c r="Y15" s="70"/>
      <c r="Z15" s="69">
        <v>-7</v>
      </c>
      <c r="AA15" s="33">
        <f>SUM(calibration!$AY100:$AY102)</f>
        <v>0</v>
      </c>
      <c r="AB15" s="33">
        <f>SUM(calibration!$BN100:$BN102)</f>
        <v>0</v>
      </c>
      <c r="AC15" s="33">
        <f t="shared" si="6"/>
        <v>0</v>
      </c>
      <c r="AD15" s="10">
        <f>IF(AND(AA15&lt;&gt;0,AB15&lt;&gt;0),indmaint_damp*(LN(AA15/AB15)-LN(1-SUM(AA$15:AA$15))+LN(1-SUM(AB$15:AB$15))),IF(AND(AA15=0,AB15&lt;&gt;0),indmaint_damp*LN(AB15),IF(AND(AA15&lt;&gt;0,AB15=0),indmaint_damp*LN(AA15),0)))</f>
        <v>0</v>
      </c>
      <c r="AE15" s="10">
        <f>MAX(Z15+AD15,-7)</f>
        <v>-7</v>
      </c>
      <c r="AF15" s="45">
        <f t="shared" ref="AF15" si="33">AE15/-othmaint_c_ivt</f>
        <v>-250.89605734767025</v>
      </c>
      <c r="AG15" s="70"/>
      <c r="AH15" s="69">
        <v>-7</v>
      </c>
      <c r="AI15" s="33">
        <f>SUM(calibration!$AY126:$AY128)</f>
        <v>0</v>
      </c>
      <c r="AJ15" s="33">
        <f>SUM(calibration!$BN126:$BN128)</f>
        <v>0</v>
      </c>
      <c r="AK15" s="33">
        <f t="shared" si="8"/>
        <v>0</v>
      </c>
      <c r="AL15" s="10">
        <f>IF(AND(AI15&lt;&gt;0,AJ15&lt;&gt;0),inddisc_damp*(LN(AI15/AJ15)-LN(1-SUM(AI$15:AI$15))+LN(1-SUM(AJ$15:AJ$15))),IF(AND(AI15=0,AJ15&lt;&gt;0),inddisc_damp*LN(AJ15),IF(AND(AI15&lt;&gt;0,AJ15=0),inddisc_damp*LN(AI15),0)))</f>
        <v>0</v>
      </c>
      <c r="AM15" s="10">
        <f>MAX(AH15+AL15,-7)</f>
        <v>-7</v>
      </c>
      <c r="AN15" s="45">
        <f t="shared" ref="AN15" si="34">AM15/-othdiscr_c_ivt</f>
        <v>-250.89605734767025</v>
      </c>
      <c r="AO15" s="70"/>
      <c r="AP15" s="69">
        <v>-7</v>
      </c>
      <c r="AQ15" s="33">
        <f>SUM(calibration!$AY152:$AY154)</f>
        <v>0</v>
      </c>
      <c r="AR15" s="33">
        <f>SUM(calibration!$BN152:$BN154)</f>
        <v>0</v>
      </c>
      <c r="AS15" s="33">
        <f t="shared" si="10"/>
        <v>0</v>
      </c>
      <c r="AT15" s="10">
        <f>IF(AND(AQ15&lt;&gt;0,AR15&lt;&gt;0),atwork_damp*(LN(AQ15/AR15)-LN(1-SUM(AQ$15:AQ$15))+LN(1-SUM(AR$15:AR$15))),IF(AND(AQ15=0,AR15&lt;&gt;0),atwork_damp*LN(AR15),IF(AND(AQ15&lt;&gt;0,AR15=0),atwork_damp*LN(AQ15),0)))</f>
        <v>0</v>
      </c>
      <c r="AU15" s="10">
        <f>MAX(AP15+AT15,-7)</f>
        <v>-7</v>
      </c>
      <c r="AV15" s="45">
        <f t="shared" ref="AV15" si="35">AU15/-atwork_c_ivt</f>
        <v>-250.89605734767025</v>
      </c>
    </row>
    <row r="16" spans="1:48" x14ac:dyDescent="0.2">
      <c r="A16" s="3" t="s">
        <v>18</v>
      </c>
      <c r="B16" s="9">
        <v>-12.707820672996062</v>
      </c>
      <c r="C16" s="32">
        <f>calibration!$AZ8</f>
        <v>0</v>
      </c>
      <c r="D16" s="32">
        <f>calibration!$BO8</f>
        <v>0</v>
      </c>
      <c r="E16" s="32">
        <f t="shared" si="0"/>
        <v>0</v>
      </c>
      <c r="F16" s="9">
        <f>IF(AND(C16&lt;&gt;0,D16&lt;&gt;0),work_damp*(LN(C16/D16)-LN(1-SUM(C$16:C$17))+LN(1-SUM(D$16:D$17))),IF(AND(C16=0,D16&lt;&gt;0),work_damp*LN(D16),IF(AND(C16&lt;&gt;0,D16=0),work_damp*LN(C16),0)))</f>
        <v>0</v>
      </c>
      <c r="G16" s="9">
        <f t="shared" si="1"/>
        <v>-12.707820672996062</v>
      </c>
      <c r="H16" s="44">
        <f t="shared" si="19"/>
        <v>-577.62821240891196</v>
      </c>
      <c r="J16" s="9">
        <v>-7</v>
      </c>
      <c r="K16" s="32">
        <f>MAX(calibration!$AZ34,0.0001)</f>
        <v>1E-4</v>
      </c>
      <c r="L16" s="32">
        <f>calibration!$BO34</f>
        <v>0</v>
      </c>
      <c r="M16" s="32">
        <f t="shared" si="2"/>
        <v>-1E-4</v>
      </c>
      <c r="N16" s="9">
        <f>IF(AND(K16&lt;&gt;0,L16&lt;&gt;0),university_damp*(LN(K16/L16)-LN(1-SUM(K$16:K$17))+LN(1-SUM(L$16:L$17))),IF(AND(K16=0,L16&lt;&gt;0),university_damp*LN(L16),IF(AND(K16&lt;&gt;0,L16=0),university_damp*LN(K16),0)))</f>
        <v>0</v>
      </c>
      <c r="O16" s="9">
        <f>MAX(J16+N16,-7)</f>
        <v>-7</v>
      </c>
      <c r="P16" s="44">
        <f t="shared" si="20"/>
        <v>-258.30258302583024</v>
      </c>
      <c r="R16" s="9">
        <v>-10.778488852487111</v>
      </c>
      <c r="S16" s="32">
        <f>calibration!$AZ60</f>
        <v>0</v>
      </c>
      <c r="T16" s="32">
        <f>calibration!$BO60</f>
        <v>0</v>
      </c>
      <c r="U16" s="32">
        <f t="shared" si="4"/>
        <v>0</v>
      </c>
      <c r="V16" s="9">
        <f>IF(AND(S16&lt;&gt;0,T16&lt;&gt;0),school_damp*(LN(S16/T16)-LN(1-SUM(S$16:S$17))+LN(1-SUM(T$16:T$17))),IF(AND(S16=0,T16&lt;&gt;0),school_damp*LN(T16),IF(AND(S16&lt;&gt;0,T16=0),school_damp*LN(S16),0)))</f>
        <v>0</v>
      </c>
      <c r="W16" s="9">
        <f t="shared" si="5"/>
        <v>-10.778488852487111</v>
      </c>
      <c r="X16" s="44">
        <f t="shared" si="21"/>
        <v>-397.73021595893402</v>
      </c>
      <c r="Z16" s="9">
        <v>-10.153436763870724</v>
      </c>
      <c r="AA16" s="32">
        <f>calibration!$AZ86</f>
        <v>0</v>
      </c>
      <c r="AB16" s="32">
        <f>calibration!$BO86</f>
        <v>0</v>
      </c>
      <c r="AC16" s="32">
        <f t="shared" si="6"/>
        <v>0</v>
      </c>
      <c r="AD16" s="9">
        <f>IF(AND(AA16&lt;&gt;0,AB16&lt;&gt;0),indmaint_damp*(LN(AA16/AB16)-LN(1-SUM(AA$16:AA$17))+LN(1-SUM(AB$16:AB$17))),IF(AND(AA16=0,AB16&lt;&gt;0),indmaint_damp*LN(AB16),IF(AND(AA16&lt;&gt;0,AB16=0),indmaint_damp*LN(AA16),0)))</f>
        <v>0</v>
      </c>
      <c r="AE16" s="9">
        <f t="shared" ref="AE16" si="36">Z16+AD16</f>
        <v>-10.153436763870724</v>
      </c>
      <c r="AF16" s="44">
        <f t="shared" si="22"/>
        <v>-363.92246465486465</v>
      </c>
      <c r="AH16" s="9">
        <v>-1.3677751576205184</v>
      </c>
      <c r="AI16" s="32">
        <f>calibration!$AZ112</f>
        <v>0</v>
      </c>
      <c r="AJ16" s="32">
        <f>calibration!$AZ112</f>
        <v>0</v>
      </c>
      <c r="AK16" s="32">
        <f t="shared" si="8"/>
        <v>0</v>
      </c>
      <c r="AL16" s="9">
        <f>IF(AND(AI16&lt;&gt;0,AJ16&lt;&gt;0),inddisc_damp*(LN(AI16/AJ16)-LN(1-SUM(AI$16:AI$17))+LN(1-SUM(AJ$16:AJ$17))),IF(AND(AI16=0,AJ16&lt;&gt;0),inddisc_damp*LN(AJ16),IF(AND(AI16&lt;&gt;0,AJ16=0),inddisc_damp*LN(AI16),0)))</f>
        <v>0</v>
      </c>
      <c r="AM16" s="9">
        <f t="shared" ref="AM16" si="37">AH16+AL16</f>
        <v>-1.3677751576205184</v>
      </c>
      <c r="AN16" s="44">
        <f t="shared" si="23"/>
        <v>-49.024199197868043</v>
      </c>
      <c r="AP16" s="9">
        <v>-5.0615167738899771</v>
      </c>
      <c r="AQ16" s="32">
        <f>calibration!$AZ138</f>
        <v>0</v>
      </c>
      <c r="AR16" s="32">
        <f>calibration!$AZ138</f>
        <v>0</v>
      </c>
      <c r="AS16" s="32">
        <f t="shared" si="10"/>
        <v>0</v>
      </c>
      <c r="AT16" s="9">
        <f>IF(AND(AQ16&lt;&gt;0,AR16&lt;&gt;0),atwork_damp*(LN(AQ16/AR16)-LN(1-SUM(AQ$16:AQ$17))+LN(1-SUM(AR$16:AR$17))),IF(AND(AQ16=0,AR16&lt;&gt;0),atwork_damp*LN(AR16),IF(AND(AQ16&lt;&gt;0,AR16=0),atwork_damp*LN(AQ16),0)))</f>
        <v>0</v>
      </c>
      <c r="AU16" s="9">
        <f t="shared" ref="AU16" si="38">AP16+AT16</f>
        <v>-5.0615167738899771</v>
      </c>
      <c r="AV16" s="44">
        <f t="shared" si="13"/>
        <v>-181.41637182401351</v>
      </c>
    </row>
    <row r="17" spans="1:48" s="8" customFormat="1" x14ac:dyDescent="0.2">
      <c r="A17" s="4" t="s">
        <v>130</v>
      </c>
      <c r="B17" s="10">
        <v>-7</v>
      </c>
      <c r="C17" s="33">
        <f>SUM(calibration!$AZ22:$AZ24)</f>
        <v>0</v>
      </c>
      <c r="D17" s="33">
        <f>SUM(calibration!$BO22:$BO24)</f>
        <v>0</v>
      </c>
      <c r="E17" s="33">
        <f t="shared" si="0"/>
        <v>0</v>
      </c>
      <c r="F17" s="10">
        <f>IF(AND(C17&lt;&gt;0,D17&lt;&gt;0),work_damp*(LN(C17/D17)-LN(1-SUM(C$16:C$17))+LN(1-SUM(D$16:D$17))),IF(AND(C17=0,D17&lt;&gt;0),work_damp*LN(D17),IF(AND(C17&lt;&gt;0,D17=0),work_damp*LN(C17),0)))</f>
        <v>0</v>
      </c>
      <c r="G17" s="10">
        <f>MAX(B17+F17,-7)</f>
        <v>-7</v>
      </c>
      <c r="H17" s="45">
        <f t="shared" si="19"/>
        <v>-318.18181818181819</v>
      </c>
      <c r="I17" s="51"/>
      <c r="J17" s="10">
        <v>-7</v>
      </c>
      <c r="K17" s="33">
        <f>SUM(calibration!$AZ48:$AZ50)</f>
        <v>0</v>
      </c>
      <c r="L17" s="33">
        <f>SUM(calibration!$BO48:$BO50)</f>
        <v>0</v>
      </c>
      <c r="M17" s="33">
        <f t="shared" si="2"/>
        <v>0</v>
      </c>
      <c r="N17" s="10">
        <f>IF(AND(K17&lt;&gt;0,L17&lt;&gt;0),university_damp*(LN(K17/L17)-LN(1-SUM(K$16:K$17))+LN(1-SUM(L$16:L$17))),IF(AND(K17=0,L17&lt;&gt;0),university_damp*LN(L17),IF(AND(K17&lt;&gt;0,L17=0),university_damp*LN(K17),0)))</f>
        <v>0</v>
      </c>
      <c r="O17" s="10">
        <f>MAX(J17+N17,-7)</f>
        <v>-7</v>
      </c>
      <c r="P17" s="45">
        <f t="shared" si="20"/>
        <v>-258.30258302583024</v>
      </c>
      <c r="Q17" s="51"/>
      <c r="R17" s="10">
        <v>-7</v>
      </c>
      <c r="S17" s="33">
        <f>SUM(calibration!$AZ74:$AZ76)</f>
        <v>0</v>
      </c>
      <c r="T17" s="33">
        <f>SUM(calibration!$BO74:$BO76)</f>
        <v>0</v>
      </c>
      <c r="U17" s="33">
        <f t="shared" si="4"/>
        <v>0</v>
      </c>
      <c r="V17" s="10">
        <f>IF(AND(S17&lt;&gt;0,T17&lt;&gt;0),school_damp*(LN(S17/T17)-LN(1-SUM(S$16:S$17))+LN(1-SUM(T$16:T$17))),IF(AND(S17=0,T17&lt;&gt;0),school_damp*LN(T17),IF(AND(S17&lt;&gt;0,T17=0),school_damp*LN(S17),0)))</f>
        <v>0</v>
      </c>
      <c r="W17" s="10">
        <f>MAX(R17+V17,-7)</f>
        <v>-7</v>
      </c>
      <c r="X17" s="45">
        <f>W17/-school_c_ivt</f>
        <v>-258.30258302583024</v>
      </c>
      <c r="Y17" s="51"/>
      <c r="Z17" s="10">
        <v>-7</v>
      </c>
      <c r="AA17" s="33">
        <f>SUM(calibration!$AZ100:$AZ102)</f>
        <v>0</v>
      </c>
      <c r="AB17" s="33">
        <f>SUM(calibration!$BO100:$BO102)</f>
        <v>0</v>
      </c>
      <c r="AC17" s="33">
        <f t="shared" si="6"/>
        <v>0</v>
      </c>
      <c r="AD17" s="10">
        <f>IF(AND(AA17&lt;&gt;0,AB17&lt;&gt;0),indmaint_damp*(LN(AA17/AB17)-LN(1-SUM(AA$16:AA$17))+LN(1-SUM(AB$16:AB$17))),IF(AND(AA17=0,AB17&lt;&gt;0),indmaint_damp*LN(AB17),IF(AND(AA17&lt;&gt;0,AB17=0),indmaint_damp*LN(AA17),0)))</f>
        <v>0</v>
      </c>
      <c r="AE17" s="10">
        <f>MAX(Z17+AD17,-7)</f>
        <v>-7</v>
      </c>
      <c r="AF17" s="45">
        <f t="shared" si="22"/>
        <v>-250.89605734767025</v>
      </c>
      <c r="AG17" s="51"/>
      <c r="AH17" s="10">
        <v>-7</v>
      </c>
      <c r="AI17" s="33">
        <f>SUM(calibration!$AZ126:$AZ128)</f>
        <v>0</v>
      </c>
      <c r="AJ17" s="33">
        <f>SUM(calibration!$BO126:$BO128)</f>
        <v>0</v>
      </c>
      <c r="AK17" s="33">
        <f t="shared" si="8"/>
        <v>0</v>
      </c>
      <c r="AL17" s="10">
        <f>IF(AND(AI17&lt;&gt;0,AJ17&lt;&gt;0),inddisc_damp*(LN(AI17/AJ17)-LN(1-SUM(AI$16:AI$17))+LN(1-SUM(AJ$16:AJ$17))),IF(AND(AI17=0,AJ17&lt;&gt;0),inddisc_damp*LN(AJ17),IF(AND(AI17&lt;&gt;0,AJ17=0),inddisc_damp*LN(AI17),0)))</f>
        <v>0</v>
      </c>
      <c r="AM17" s="10">
        <f>MAX(AH17+AL17,-7)</f>
        <v>-7</v>
      </c>
      <c r="AN17" s="45">
        <f t="shared" si="23"/>
        <v>-250.89605734767025</v>
      </c>
      <c r="AO17" s="51"/>
      <c r="AP17" s="10">
        <v>-7</v>
      </c>
      <c r="AQ17" s="33">
        <f>SUM(calibration!$AZ152:$AZ154)</f>
        <v>0</v>
      </c>
      <c r="AR17" s="33">
        <f>SUM(calibration!$BO152:$BO154)</f>
        <v>0</v>
      </c>
      <c r="AS17" s="33">
        <f t="shared" si="10"/>
        <v>0</v>
      </c>
      <c r="AT17" s="10">
        <f>IF(AND(AQ17&lt;&gt;0,AR17&lt;&gt;0),atwork_damp*(LN(AQ17/AR17)-LN(1-SUM(AQ$16:AQ$17))+LN(1-SUM(AR$16:AR$17))),IF(AND(AQ17=0,AR17&lt;&gt;0),atwork_damp*LN(AR17),IF(AND(AQ17&lt;&gt;0,AR17=0),atwork_damp*LN(AQ17),0)))</f>
        <v>0</v>
      </c>
      <c r="AU17" s="10">
        <f>MAX(AP17+AT17,-7)</f>
        <v>-7</v>
      </c>
      <c r="AV17" s="45">
        <f t="shared" si="13"/>
        <v>-250.89605734767025</v>
      </c>
    </row>
    <row r="18" spans="1:48" x14ac:dyDescent="0.2">
      <c r="A18" s="3" t="s">
        <v>19</v>
      </c>
      <c r="B18" s="9">
        <v>0.54079133833812509</v>
      </c>
      <c r="C18" s="32">
        <f>calibration!$BA11</f>
        <v>0</v>
      </c>
      <c r="D18" s="32">
        <f>calibration!$BP11</f>
        <v>0</v>
      </c>
      <c r="E18" s="32">
        <f t="shared" si="0"/>
        <v>0</v>
      </c>
      <c r="F18" s="9">
        <f>IF(AND(C18&lt;&gt;0,D18&lt;&gt;0),work_damp*(LN(C18/D18)-LN(1-SUM(C$18:C$26))+LN(1-SUM(D$18:D$26))),IF(AND(C18=0,D18&lt;&gt;0),work_damp*LN(D18),IF(AND(C18&lt;&gt;0,D18=0),work_damp*LN(C18),0)))</f>
        <v>0</v>
      </c>
      <c r="G18" s="9">
        <f>MAX(B18+F18,0)</f>
        <v>0.54079133833812509</v>
      </c>
      <c r="H18" s="44">
        <f t="shared" si="19"/>
        <v>24.581424469914779</v>
      </c>
      <c r="J18" s="9">
        <v>2.6302094154283528E-3</v>
      </c>
      <c r="K18" s="32">
        <f>calibration!$BA37</f>
        <v>0</v>
      </c>
      <c r="L18" s="32">
        <f>calibration!$BP37</f>
        <v>0</v>
      </c>
      <c r="M18" s="32">
        <f t="shared" si="2"/>
        <v>0</v>
      </c>
      <c r="N18" s="9">
        <f t="shared" ref="N18:N22" si="39">IF(AND(K18&lt;&gt;0,L18&lt;&gt;0),university_damp*(LN(K18/L18)-LN(1-SUM(K$18:K$26))+LN(1-SUM(L$18:L$26))),IF(AND(K18=0,L18&lt;&gt;0),university_damp*LN(L18),IF(AND(K18&lt;&gt;0,L18=0),university_damp*LN(K18),0)))</f>
        <v>0</v>
      </c>
      <c r="O18" s="9">
        <f>MAX(J18+N18,0)</f>
        <v>2.6302094154283528E-3</v>
      </c>
      <c r="P18" s="44">
        <f t="shared" si="20"/>
        <v>9.7055697986286091E-2</v>
      </c>
      <c r="R18" s="9">
        <v>0.40655123790562442</v>
      </c>
      <c r="S18" s="32">
        <f>calibration!$BA63</f>
        <v>0</v>
      </c>
      <c r="T18" s="32">
        <f>calibration!$BP63</f>
        <v>0</v>
      </c>
      <c r="U18" s="32">
        <f t="shared" si="4"/>
        <v>0</v>
      </c>
      <c r="V18" s="9">
        <f t="shared" ref="V18:V26" si="40">IF(AND(S18&lt;&gt;0,T18&lt;&gt;0),school_damp*(LN(S18/T18)-LN(1-SUM(S$18:S$26))+LN(1-SUM(T$18:T$26))),IF(AND(S18=0,T18&lt;&gt;0),school_damp*LN(T18),IF(AND(S18&lt;&gt;0,T18=0),school_damp*LN(S18),0)))</f>
        <v>0</v>
      </c>
      <c r="W18" s="9">
        <f>MAX(R18+V18,0)</f>
        <v>0.40655123790562442</v>
      </c>
      <c r="X18" s="44">
        <f t="shared" si="21"/>
        <v>15.001890697624518</v>
      </c>
      <c r="Z18" s="9">
        <v>6.6512183215776288E-2</v>
      </c>
      <c r="AA18" s="32">
        <f>calibration!$BA89</f>
        <v>0</v>
      </c>
      <c r="AB18" s="32">
        <f>calibration!BP89</f>
        <v>0</v>
      </c>
      <c r="AC18" s="32">
        <f t="shared" si="6"/>
        <v>0</v>
      </c>
      <c r="AD18" s="9">
        <f t="shared" ref="AD18:AD26" si="41">IF(AND(AA18&lt;&gt;0,AB18&lt;&gt;0),indmaint_damp*(LN(AA18/AB18)-LN(1-SUM(AA$18:AA$26))+LN(1-SUM(AB$18:AB$26))),IF(AND(AA18=0,AB18&lt;&gt;0),indmaint_damp*LN(AB18),IF(AND(AA18&lt;&gt;0,AB18=0),indmaint_damp*LN(AA18),0)))</f>
        <v>0</v>
      </c>
      <c r="AE18" s="9">
        <f>MAX(Z18+AD18,0)</f>
        <v>6.6512183215776288E-2</v>
      </c>
      <c r="AF18" s="44">
        <f t="shared" si="22"/>
        <v>2.3839492192034513</v>
      </c>
      <c r="AH18" s="9">
        <v>0.29236023734128147</v>
      </c>
      <c r="AI18" s="32">
        <f>calibration!$BA115</f>
        <v>0</v>
      </c>
      <c r="AJ18" s="32">
        <f>calibration!$BP115</f>
        <v>0</v>
      </c>
      <c r="AK18" s="32">
        <f t="shared" si="8"/>
        <v>0</v>
      </c>
      <c r="AL18" s="9">
        <f t="shared" ref="AL18:AL26" si="42">IF(AND(AI18&lt;&gt;0,AJ18&lt;&gt;0),inddisc_damp*(LN(AI18/AJ18)-LN(1-SUM(AI$18:AI$26))+LN(1-SUM(AJ$18:AJ$26))),IF(AND(AI18=0,AJ18&lt;&gt;0),inddisc_damp*LN(AJ18),IF(AND(AI18&lt;&gt;0,AJ18=0),inddisc_damp*LN(AI18),0)))</f>
        <v>0</v>
      </c>
      <c r="AM18" s="9">
        <f>MAX(AH18+AL18,0)</f>
        <v>0.29236023734128147</v>
      </c>
      <c r="AN18" s="44">
        <f t="shared" si="23"/>
        <v>10.478861553450947</v>
      </c>
      <c r="AP18" s="9">
        <v>0.68739789068582469</v>
      </c>
      <c r="AQ18" s="32">
        <f>calibration!$BA141</f>
        <v>0</v>
      </c>
      <c r="AR18" s="32">
        <f>calibration!$BP141</f>
        <v>0</v>
      </c>
      <c r="AS18" s="32">
        <f t="shared" si="10"/>
        <v>0</v>
      </c>
      <c r="AT18" s="9">
        <f t="shared" ref="AT18:AT26" si="43">IF(AND(AQ18&lt;&gt;0,AR18&lt;&gt;0),atwork_damp*(LN(AQ18/AR18)-LN(1-SUM(AQ$18:AQ$26))+LN(1-SUM(AR$18:AR$26))),IF(AND(AQ18=0,AR18&lt;&gt;0),atwork_damp*LN(AR18),IF(AND(AQ18&lt;&gt;0,AR18=0),atwork_damp*LN(AQ18),0)))</f>
        <v>0</v>
      </c>
      <c r="AU18" s="9">
        <f>MAX(AP18+AT18,0)</f>
        <v>0.68739789068582469</v>
      </c>
      <c r="AV18" s="44">
        <f t="shared" si="13"/>
        <v>24.637917228882603</v>
      </c>
    </row>
    <row r="19" spans="1:48" x14ac:dyDescent="0.2">
      <c r="A19" s="3" t="s">
        <v>20</v>
      </c>
      <c r="B19" s="9">
        <v>0</v>
      </c>
      <c r="C19" s="32">
        <f>calibration!$BA12</f>
        <v>0</v>
      </c>
      <c r="D19" s="32">
        <f>calibration!$BP12</f>
        <v>0</v>
      </c>
      <c r="E19" s="32">
        <f t="shared" si="0"/>
        <v>0</v>
      </c>
      <c r="F19" s="9">
        <f>IF(AND(C19&lt;&gt;0,D19&lt;&gt;0),work_damp*(LN(C19/D19)-LN(1-SUM(C$18:C$26))+LN(1-SUM(D$18:D$26))),IF(AND(C19=0,D19&lt;&gt;0),work_damp*LN(D19),IF(AND(C19&lt;&gt;0,D19=0),work_damp*LN(C19),0)))</f>
        <v>0</v>
      </c>
      <c r="G19" s="9">
        <f t="shared" ref="G19:G22" si="44">MAX(B19+F19,0)</f>
        <v>0</v>
      </c>
      <c r="H19" s="44">
        <f t="shared" si="19"/>
        <v>0</v>
      </c>
      <c r="J19" s="9">
        <v>0</v>
      </c>
      <c r="K19" s="32">
        <f>calibration!$BA38</f>
        <v>0</v>
      </c>
      <c r="L19" s="32">
        <f>calibration!$BP38</f>
        <v>0</v>
      </c>
      <c r="M19" s="32">
        <f t="shared" si="2"/>
        <v>0</v>
      </c>
      <c r="N19" s="9">
        <f t="shared" si="39"/>
        <v>0</v>
      </c>
      <c r="O19" s="9">
        <f t="shared" ref="O19:O22" si="45">MAX(J19+N19,0)</f>
        <v>0</v>
      </c>
      <c r="P19" s="44">
        <f t="shared" si="20"/>
        <v>0</v>
      </c>
      <c r="R19" s="9">
        <v>0</v>
      </c>
      <c r="S19" s="32">
        <f>calibration!$BA64</f>
        <v>0</v>
      </c>
      <c r="T19" s="32">
        <f>calibration!$BP64</f>
        <v>0</v>
      </c>
      <c r="U19" s="32">
        <f t="shared" si="4"/>
        <v>0</v>
      </c>
      <c r="V19" s="9">
        <f t="shared" si="40"/>
        <v>0</v>
      </c>
      <c r="W19" s="9">
        <f t="shared" ref="W19:W22" si="46">MAX(R19+V19,0)</f>
        <v>0</v>
      </c>
      <c r="X19" s="44">
        <f t="shared" si="21"/>
        <v>0</v>
      </c>
      <c r="Z19" s="9">
        <v>0</v>
      </c>
      <c r="AA19" s="32">
        <f>calibration!$BA90</f>
        <v>0</v>
      </c>
      <c r="AB19" s="32">
        <f>calibration!BP90</f>
        <v>0</v>
      </c>
      <c r="AC19" s="32">
        <f t="shared" si="6"/>
        <v>0</v>
      </c>
      <c r="AD19" s="9">
        <f t="shared" si="41"/>
        <v>0</v>
      </c>
      <c r="AE19" s="9">
        <f t="shared" ref="AE19:AE22" si="47">MAX(Z19+AD19,0)</f>
        <v>0</v>
      </c>
      <c r="AF19" s="44">
        <f t="shared" si="22"/>
        <v>0</v>
      </c>
      <c r="AH19" s="9">
        <v>0.22462289155408049</v>
      </c>
      <c r="AI19" s="32">
        <f>calibration!$BA116</f>
        <v>0</v>
      </c>
      <c r="AJ19" s="32">
        <f>calibration!$BP116</f>
        <v>0</v>
      </c>
      <c r="AK19" s="32">
        <f t="shared" si="8"/>
        <v>0</v>
      </c>
      <c r="AL19" s="9">
        <f t="shared" si="42"/>
        <v>0</v>
      </c>
      <c r="AM19" s="9">
        <f t="shared" ref="AM19:AM22" si="48">MAX(AH19+AL19,0)</f>
        <v>0.22462289155408049</v>
      </c>
      <c r="AN19" s="44">
        <f t="shared" si="23"/>
        <v>8.0509996972788702</v>
      </c>
      <c r="AP19" s="9">
        <v>0</v>
      </c>
      <c r="AQ19" s="32">
        <f>calibration!$BA142</f>
        <v>0</v>
      </c>
      <c r="AR19" s="32">
        <f>calibration!$BP142</f>
        <v>0</v>
      </c>
      <c r="AS19" s="32">
        <f t="shared" si="10"/>
        <v>0</v>
      </c>
      <c r="AT19" s="9">
        <f t="shared" si="43"/>
        <v>0</v>
      </c>
      <c r="AU19" s="9">
        <f t="shared" ref="AU19:AU22" si="49">MAX(AP19+AT19,0)</f>
        <v>0</v>
      </c>
      <c r="AV19" s="44">
        <f t="shared" si="13"/>
        <v>0</v>
      </c>
    </row>
    <row r="20" spans="1:48" x14ac:dyDescent="0.2">
      <c r="A20" s="3" t="s">
        <v>21</v>
      </c>
      <c r="B20" s="9">
        <v>0</v>
      </c>
      <c r="C20" s="32">
        <f>calibration!$BA13</f>
        <v>0</v>
      </c>
      <c r="D20" s="32">
        <f>calibration!$BP13</f>
        <v>0</v>
      </c>
      <c r="E20" s="32">
        <f t="shared" si="0"/>
        <v>0</v>
      </c>
      <c r="F20" s="9">
        <f>IF(AND(C20&lt;&gt;0,D20&lt;&gt;0),work_damp*(LN(C20/D20)-LN(1-SUM(C$18:C$26))+LN(1-SUM(D$18:D$26))),IF(AND(C20=0,D20&lt;&gt;0),work_damp*LN(D20),IF(AND(C20&lt;&gt;0,D20=0),work_damp*LN(C20),0)))</f>
        <v>0</v>
      </c>
      <c r="G20" s="9">
        <f t="shared" si="44"/>
        <v>0</v>
      </c>
      <c r="H20" s="44">
        <f t="shared" si="19"/>
        <v>0</v>
      </c>
      <c r="J20" s="9">
        <v>0.4683535545464983</v>
      </c>
      <c r="K20" s="32">
        <f>calibration!$BA39</f>
        <v>0</v>
      </c>
      <c r="L20" s="32">
        <f>calibration!$BP39</f>
        <v>0</v>
      </c>
      <c r="M20" s="32">
        <f t="shared" si="2"/>
        <v>0</v>
      </c>
      <c r="N20" s="9">
        <f t="shared" si="39"/>
        <v>0</v>
      </c>
      <c r="O20" s="9">
        <f t="shared" si="45"/>
        <v>0.4683535545464983</v>
      </c>
      <c r="P20" s="44">
        <f t="shared" si="20"/>
        <v>17.282418986955658</v>
      </c>
      <c r="R20" s="9">
        <v>0.49408882328098164</v>
      </c>
      <c r="S20" s="32">
        <f>calibration!$BA65</f>
        <v>0</v>
      </c>
      <c r="T20" s="32">
        <f>calibration!$BP65</f>
        <v>0</v>
      </c>
      <c r="U20" s="32">
        <f t="shared" si="4"/>
        <v>0</v>
      </c>
      <c r="V20" s="9">
        <f t="shared" si="40"/>
        <v>0</v>
      </c>
      <c r="W20" s="9">
        <f t="shared" si="46"/>
        <v>0.49408882328098164</v>
      </c>
      <c r="X20" s="44">
        <f t="shared" si="21"/>
        <v>18.23205989966722</v>
      </c>
      <c r="Z20" s="9">
        <v>0</v>
      </c>
      <c r="AA20" s="32">
        <f>calibration!$BA91</f>
        <v>0</v>
      </c>
      <c r="AB20" s="32">
        <f>calibration!BP91</f>
        <v>0</v>
      </c>
      <c r="AC20" s="32">
        <f t="shared" si="6"/>
        <v>0</v>
      </c>
      <c r="AD20" s="9">
        <f t="shared" si="41"/>
        <v>0</v>
      </c>
      <c r="AE20" s="9">
        <f t="shared" si="47"/>
        <v>0</v>
      </c>
      <c r="AF20" s="44">
        <f t="shared" si="22"/>
        <v>0</v>
      </c>
      <c r="AH20" s="9">
        <v>1.0123862007873963E-2</v>
      </c>
      <c r="AI20" s="32">
        <f>calibration!$BA117</f>
        <v>0</v>
      </c>
      <c r="AJ20" s="32">
        <f>calibration!$BP117</f>
        <v>0</v>
      </c>
      <c r="AK20" s="32">
        <f t="shared" si="8"/>
        <v>0</v>
      </c>
      <c r="AL20" s="9">
        <f t="shared" si="42"/>
        <v>0</v>
      </c>
      <c r="AM20" s="9">
        <f t="shared" si="48"/>
        <v>1.0123862007873963E-2</v>
      </c>
      <c r="AN20" s="44">
        <f t="shared" si="23"/>
        <v>0.36286243755820652</v>
      </c>
      <c r="AP20" s="9">
        <v>0</v>
      </c>
      <c r="AQ20" s="32">
        <f>calibration!$BA143</f>
        <v>0</v>
      </c>
      <c r="AR20" s="32">
        <f>calibration!$BP143</f>
        <v>0</v>
      </c>
      <c r="AS20" s="32">
        <f t="shared" si="10"/>
        <v>0</v>
      </c>
      <c r="AT20" s="9">
        <f t="shared" si="43"/>
        <v>0</v>
      </c>
      <c r="AU20" s="9">
        <f t="shared" si="49"/>
        <v>0</v>
      </c>
      <c r="AV20" s="44">
        <f t="shared" si="13"/>
        <v>0</v>
      </c>
    </row>
    <row r="21" spans="1:48" x14ac:dyDescent="0.2">
      <c r="A21" s="3" t="s">
        <v>22</v>
      </c>
      <c r="B21" s="9">
        <v>0.22366242111075585</v>
      </c>
      <c r="C21" s="32">
        <f>calibration!$BA14</f>
        <v>0</v>
      </c>
      <c r="D21" s="32">
        <f>calibration!$BP14</f>
        <v>0</v>
      </c>
      <c r="E21" s="32">
        <f t="shared" si="0"/>
        <v>0</v>
      </c>
      <c r="F21" s="9">
        <f>IF(AND(C21&lt;&gt;0,D21&lt;&gt;0),work_damp*(LN(C21/D21)-LN(1-SUM(C$18:C$26))+LN(1-SUM(D$18:D$26))),IF(AND(C21=0,D21&lt;&gt;0),work_damp*LN(D21),IF(AND(C21&lt;&gt;0,D21=0),work_damp*LN(C21),0)))</f>
        <v>0</v>
      </c>
      <c r="G21" s="9">
        <f t="shared" si="44"/>
        <v>0.22366242111075585</v>
      </c>
      <c r="H21" s="44">
        <f t="shared" si="19"/>
        <v>10.166473686852539</v>
      </c>
      <c r="J21" s="9">
        <v>0.25948726285526552</v>
      </c>
      <c r="K21" s="32">
        <f>calibration!$BA40</f>
        <v>0</v>
      </c>
      <c r="L21" s="32">
        <f>calibration!$BP40</f>
        <v>0</v>
      </c>
      <c r="M21" s="32">
        <f t="shared" si="2"/>
        <v>0</v>
      </c>
      <c r="N21" s="9">
        <f t="shared" si="39"/>
        <v>0</v>
      </c>
      <c r="O21" s="9">
        <f t="shared" si="45"/>
        <v>0.25948726285526552</v>
      </c>
      <c r="P21" s="44">
        <f t="shared" si="20"/>
        <v>9.5751757511168094</v>
      </c>
      <c r="R21" s="9">
        <v>0.11182881440974812</v>
      </c>
      <c r="S21" s="32">
        <f>calibration!$BA66</f>
        <v>0</v>
      </c>
      <c r="T21" s="32">
        <f>calibration!$BP66</f>
        <v>0</v>
      </c>
      <c r="U21" s="32">
        <f t="shared" si="4"/>
        <v>0</v>
      </c>
      <c r="V21" s="9">
        <f t="shared" si="40"/>
        <v>0</v>
      </c>
      <c r="W21" s="9">
        <f t="shared" si="46"/>
        <v>0.11182881440974812</v>
      </c>
      <c r="X21" s="44">
        <f t="shared" si="21"/>
        <v>4.1265245169648752</v>
      </c>
      <c r="Z21" s="9">
        <v>0</v>
      </c>
      <c r="AA21" s="32">
        <f>calibration!$BA92</f>
        <v>0</v>
      </c>
      <c r="AB21" s="32">
        <f>calibration!BP92</f>
        <v>0</v>
      </c>
      <c r="AC21" s="32">
        <f t="shared" si="6"/>
        <v>0</v>
      </c>
      <c r="AD21" s="9">
        <f t="shared" si="41"/>
        <v>0</v>
      </c>
      <c r="AE21" s="9">
        <f t="shared" si="47"/>
        <v>0</v>
      </c>
      <c r="AF21" s="44">
        <f t="shared" si="22"/>
        <v>0</v>
      </c>
      <c r="AH21" s="9">
        <v>0</v>
      </c>
      <c r="AI21" s="32">
        <f>calibration!$BA118</f>
        <v>0</v>
      </c>
      <c r="AJ21" s="32">
        <f>calibration!$BP118</f>
        <v>0</v>
      </c>
      <c r="AK21" s="32">
        <f t="shared" si="8"/>
        <v>0</v>
      </c>
      <c r="AL21" s="9">
        <f t="shared" si="42"/>
        <v>0</v>
      </c>
      <c r="AM21" s="9">
        <f t="shared" si="48"/>
        <v>0</v>
      </c>
      <c r="AN21" s="44">
        <f t="shared" si="23"/>
        <v>0</v>
      </c>
      <c r="AP21" s="9">
        <v>0.75904774130893982</v>
      </c>
      <c r="AQ21" s="32">
        <f>calibration!$BA144</f>
        <v>0</v>
      </c>
      <c r="AR21" s="32">
        <f>calibration!$BP144</f>
        <v>0</v>
      </c>
      <c r="AS21" s="32">
        <f t="shared" si="10"/>
        <v>0</v>
      </c>
      <c r="AT21" s="9">
        <f t="shared" si="43"/>
        <v>0</v>
      </c>
      <c r="AU21" s="9">
        <f t="shared" si="49"/>
        <v>0.75904774130893982</v>
      </c>
      <c r="AV21" s="44">
        <f t="shared" si="13"/>
        <v>27.206012233295333</v>
      </c>
    </row>
    <row r="22" spans="1:48" x14ac:dyDescent="0.2">
      <c r="A22" s="3" t="s">
        <v>23</v>
      </c>
      <c r="B22" s="9">
        <v>0.85560272226612022</v>
      </c>
      <c r="C22" s="32">
        <f>calibration!$BA15</f>
        <v>0</v>
      </c>
      <c r="D22" s="32">
        <f>calibration!$BP15</f>
        <v>0</v>
      </c>
      <c r="E22" s="32">
        <f t="shared" si="0"/>
        <v>0</v>
      </c>
      <c r="F22" s="9">
        <f>IF(AND(C22&lt;&gt;0,D22&lt;&gt;0),work_damp*(LN(C22/D22)-LN(1-SUM(C$18:C$26))+LN(1-SUM(D$18:D$26))),IF(AND(C22=0,D22&lt;&gt;0),work_damp*LN(D22),IF(AND(C22&lt;&gt;0,D22=0),work_damp*LN(C22),0)))</f>
        <v>0</v>
      </c>
      <c r="G22" s="9">
        <f t="shared" si="44"/>
        <v>0.85560272226612022</v>
      </c>
      <c r="H22" s="44">
        <f t="shared" si="19"/>
        <v>38.891032830278192</v>
      </c>
      <c r="J22" s="9">
        <v>2.1050812849310279</v>
      </c>
      <c r="K22" s="32">
        <f>calibration!$BA41</f>
        <v>0</v>
      </c>
      <c r="L22" s="32">
        <f>calibration!$BP41</f>
        <v>0</v>
      </c>
      <c r="M22" s="32">
        <f t="shared" si="2"/>
        <v>0</v>
      </c>
      <c r="N22" s="9">
        <f t="shared" si="39"/>
        <v>0</v>
      </c>
      <c r="O22" s="9">
        <f t="shared" si="45"/>
        <v>2.1050812849310279</v>
      </c>
      <c r="P22" s="44">
        <f t="shared" si="20"/>
        <v>77.678276196716894</v>
      </c>
      <c r="R22" s="9">
        <v>2.3274578819524909</v>
      </c>
      <c r="S22" s="32">
        <f>calibration!$BA67</f>
        <v>0</v>
      </c>
      <c r="T22" s="32">
        <f>calibration!$BP67</f>
        <v>0</v>
      </c>
      <c r="U22" s="32">
        <f t="shared" si="4"/>
        <v>0</v>
      </c>
      <c r="V22" s="9">
        <f t="shared" si="40"/>
        <v>0</v>
      </c>
      <c r="W22" s="9">
        <f t="shared" si="46"/>
        <v>2.3274578819524909</v>
      </c>
      <c r="X22" s="44">
        <f t="shared" si="21"/>
        <v>85.884054684593764</v>
      </c>
      <c r="Z22" s="9">
        <v>0.63346093694529726</v>
      </c>
      <c r="AA22" s="32">
        <f>calibration!$BA93</f>
        <v>0</v>
      </c>
      <c r="AB22" s="32">
        <f>calibration!BP93</f>
        <v>0</v>
      </c>
      <c r="AC22" s="32">
        <f t="shared" si="6"/>
        <v>0</v>
      </c>
      <c r="AD22" s="9">
        <f t="shared" si="41"/>
        <v>0</v>
      </c>
      <c r="AE22" s="9">
        <f t="shared" si="47"/>
        <v>0.63346093694529726</v>
      </c>
      <c r="AF22" s="44">
        <f t="shared" si="22"/>
        <v>22.704693080476602</v>
      </c>
      <c r="AH22" s="9">
        <v>2.2664015590878304</v>
      </c>
      <c r="AI22" s="32">
        <f>calibration!$BA119</f>
        <v>0</v>
      </c>
      <c r="AJ22" s="32">
        <f>calibration!$BP119</f>
        <v>0</v>
      </c>
      <c r="AK22" s="32">
        <f t="shared" si="8"/>
        <v>0</v>
      </c>
      <c r="AL22" s="9">
        <f t="shared" si="42"/>
        <v>0</v>
      </c>
      <c r="AM22" s="9">
        <f t="shared" si="48"/>
        <v>2.2664015590878304</v>
      </c>
      <c r="AN22" s="44">
        <f t="shared" si="23"/>
        <v>81.233030791678502</v>
      </c>
      <c r="AP22" s="9">
        <v>1.9219323981181236</v>
      </c>
      <c r="AQ22" s="32">
        <f>calibration!$BA145</f>
        <v>0</v>
      </c>
      <c r="AR22" s="32">
        <f>calibration!$BP145</f>
        <v>0</v>
      </c>
      <c r="AS22" s="32">
        <f t="shared" si="10"/>
        <v>0</v>
      </c>
      <c r="AT22" s="9">
        <f t="shared" si="43"/>
        <v>0</v>
      </c>
      <c r="AU22" s="9">
        <f t="shared" si="49"/>
        <v>1.9219323981181236</v>
      </c>
      <c r="AV22" s="44">
        <f t="shared" si="13"/>
        <v>68.886465882370018</v>
      </c>
    </row>
    <row r="23" spans="1:48" x14ac:dyDescent="0.2">
      <c r="A23" s="3" t="s">
        <v>24</v>
      </c>
      <c r="B23" s="9">
        <v>-3.7224049834630266</v>
      </c>
      <c r="C23" s="32">
        <f>calibration!$BA6</f>
        <v>0</v>
      </c>
      <c r="D23" s="32">
        <f>calibration!$BP6</f>
        <v>0</v>
      </c>
      <c r="E23" s="32">
        <f t="shared" si="0"/>
        <v>0</v>
      </c>
      <c r="F23" s="9">
        <f t="shared" ref="F23:F25" si="50">IF(AND(C23&lt;&gt;0,D23&lt;&gt;0),work_damp*(LN(C23/D23)-LN(1-SUM(C$18:C$26))+LN(1-SUM(D$18:D$26))),IF(AND(C23=0,D23&lt;&gt;0),work_damp*LN(D23),IF(AND(C23&lt;&gt;0,D23=0),work_damp*LN(C23),0)))</f>
        <v>0</v>
      </c>
      <c r="G23" s="9">
        <f t="shared" ref="G23:G25" si="51">B23+F23</f>
        <v>-3.7224049834630266</v>
      </c>
      <c r="H23" s="44">
        <f t="shared" si="19"/>
        <v>-169.20022652104669</v>
      </c>
      <c r="J23" s="9">
        <v>-3.1104886484422711</v>
      </c>
      <c r="K23" s="32">
        <f>calibration!$BA32</f>
        <v>0</v>
      </c>
      <c r="L23" s="32">
        <f>calibration!$BP32</f>
        <v>0</v>
      </c>
      <c r="M23" s="32">
        <f t="shared" si="2"/>
        <v>0</v>
      </c>
      <c r="N23" s="9">
        <f t="shared" ref="N23:N26" si="52">IF(AND(K23&lt;&gt;0,L23&lt;&gt;0),university_damp*(LN(K23/L23)-LN(1-SUM(K$18:K$26))+LN(1-SUM(L$18:L$26))),IF(AND(K23=0,L23&lt;&gt;0),university_damp*LN(L23),IF(AND(K23&lt;&gt;0,L23=0),university_damp*LN(K23),0)))</f>
        <v>0</v>
      </c>
      <c r="O23" s="9">
        <f t="shared" ref="O23:O25" si="53">J23+N23</f>
        <v>-3.1104886484422711</v>
      </c>
      <c r="P23" s="44">
        <f t="shared" si="20"/>
        <v>-114.77817890930891</v>
      </c>
      <c r="R23" s="9">
        <v>-3.1900261513426047</v>
      </c>
      <c r="S23" s="32">
        <f>calibration!$BA58</f>
        <v>0</v>
      </c>
      <c r="T23" s="32">
        <f>calibration!$BP58</f>
        <v>0</v>
      </c>
      <c r="U23" s="32">
        <f t="shared" si="4"/>
        <v>0</v>
      </c>
      <c r="V23" s="9">
        <f t="shared" si="40"/>
        <v>0</v>
      </c>
      <c r="W23" s="9">
        <f t="shared" ref="W23:W25" si="54">R23+V23</f>
        <v>-3.1900261513426047</v>
      </c>
      <c r="X23" s="44">
        <f t="shared" si="21"/>
        <v>-117.71314211596328</v>
      </c>
      <c r="Z23" s="9">
        <v>-3.7000932263526609</v>
      </c>
      <c r="AA23" s="32">
        <f>calibration!$BA84</f>
        <v>0</v>
      </c>
      <c r="AB23" s="32">
        <f>calibration!BP84</f>
        <v>0</v>
      </c>
      <c r="AC23" s="32">
        <f t="shared" si="6"/>
        <v>0</v>
      </c>
      <c r="AD23" s="9">
        <f t="shared" si="41"/>
        <v>0</v>
      </c>
      <c r="AE23" s="9">
        <f>MAX(Z23+AD23,-35)</f>
        <v>-3.7000932263526609</v>
      </c>
      <c r="AF23" s="44">
        <f t="shared" si="22"/>
        <v>-132.61982890152905</v>
      </c>
      <c r="AH23" s="9">
        <v>-3.7938094360168315</v>
      </c>
      <c r="AI23" s="32">
        <f>calibration!$BA110</f>
        <v>0</v>
      </c>
      <c r="AJ23" s="32">
        <f>calibration!$BP110</f>
        <v>0</v>
      </c>
      <c r="AK23" s="32">
        <f t="shared" si="8"/>
        <v>0</v>
      </c>
      <c r="AL23" s="9">
        <f t="shared" ref="AL23" si="55">IF(AND(AI23&lt;&gt;0,AJ23&lt;&gt;0),inddisc_damp*(LN(AI23/AJ23)-LN(1-SUM(AI$18:AI$26))+LN(1-SUM(AJ$18:AJ$26))),IF(AND(AI23=0,AJ23&lt;&gt;0),inddisc_damp*LN(AJ23),IF(AND(AI23&lt;&gt;0,AJ23=0),inddisc_damp*LN(AI23),0)))</f>
        <v>0</v>
      </c>
      <c r="AM23" s="9">
        <f t="shared" ref="AM23:AM25" si="56">AH23+AL23</f>
        <v>-3.7938094360168315</v>
      </c>
      <c r="AN23" s="44">
        <f t="shared" si="23"/>
        <v>-135.97883283214449</v>
      </c>
      <c r="AP23" s="9">
        <v>-7</v>
      </c>
      <c r="AQ23" s="32">
        <f>calibration!$BA136</f>
        <v>0</v>
      </c>
      <c r="AR23" s="32">
        <f>calibration!$BP136</f>
        <v>0</v>
      </c>
      <c r="AS23" s="32">
        <f t="shared" si="10"/>
        <v>0</v>
      </c>
      <c r="AT23" s="9">
        <f t="shared" ref="AT23" si="57">IF(AND(AQ23&lt;&gt;0,AR23&lt;&gt;0),atwork_damp*(LN(AQ23/AR23)-LN(1-SUM(AQ$18:AQ$26))+LN(1-SUM(AR$18:AR$26))),IF(AND(AQ23=0,AR23&lt;&gt;0),atwork_damp*LN(AR23),IF(AND(AQ23&lt;&gt;0,AR23=0),atwork_damp*LN(AQ23),0)))</f>
        <v>0</v>
      </c>
      <c r="AU23" s="9">
        <f t="shared" ref="AU23:AU24" si="58">MAX(AP23+AT23,-7)</f>
        <v>-7</v>
      </c>
      <c r="AV23" s="44">
        <f t="shared" si="13"/>
        <v>-250.89605734767025</v>
      </c>
    </row>
    <row r="24" spans="1:48" x14ac:dyDescent="0.2">
      <c r="A24" s="3" t="s">
        <v>25</v>
      </c>
      <c r="B24" s="9">
        <v>-4.696436972071238</v>
      </c>
      <c r="C24" s="32">
        <f>calibration!$BA7</f>
        <v>0</v>
      </c>
      <c r="D24" s="32">
        <f>calibration!$BP7</f>
        <v>0</v>
      </c>
      <c r="E24" s="32">
        <f t="shared" si="0"/>
        <v>0</v>
      </c>
      <c r="F24" s="9">
        <f t="shared" si="50"/>
        <v>0</v>
      </c>
      <c r="G24" s="9">
        <f t="shared" si="51"/>
        <v>-4.696436972071238</v>
      </c>
      <c r="H24" s="44">
        <f t="shared" si="19"/>
        <v>-213.47440782141993</v>
      </c>
      <c r="J24" s="9">
        <v>-4.7112345750127913</v>
      </c>
      <c r="K24" s="32">
        <f>calibration!$BA33</f>
        <v>0</v>
      </c>
      <c r="L24" s="32">
        <f>calibration!$BP33</f>
        <v>0</v>
      </c>
      <c r="M24" s="32">
        <f t="shared" si="2"/>
        <v>0</v>
      </c>
      <c r="N24" s="9">
        <f t="shared" si="52"/>
        <v>0</v>
      </c>
      <c r="O24" s="9">
        <f t="shared" si="53"/>
        <v>-4.7112345750127913</v>
      </c>
      <c r="P24" s="44">
        <f t="shared" si="20"/>
        <v>-173.8462942809148</v>
      </c>
      <c r="R24" s="9">
        <v>-3.4228750232604703</v>
      </c>
      <c r="S24" s="32">
        <f>calibration!$BA59</f>
        <v>0</v>
      </c>
      <c r="T24" s="32">
        <f>calibration!$BP59</f>
        <v>0</v>
      </c>
      <c r="U24" s="32">
        <f t="shared" si="4"/>
        <v>0</v>
      </c>
      <c r="V24" s="9">
        <f t="shared" ref="V24" si="59">IF(AND(S24&lt;&gt;0,T24&lt;&gt;0),school_damp*(LN(S24/T24)-LN(1-SUM(S$18:S$26))+LN(1-SUM(T$18:T$26))),IF(AND(S24=0,T24&lt;&gt;0),school_damp*LN(T24),IF(AND(S24&lt;&gt;0,T24=0),school_damp*LN(S24),0)))</f>
        <v>0</v>
      </c>
      <c r="W24" s="9">
        <f t="shared" si="54"/>
        <v>-3.4228750232604703</v>
      </c>
      <c r="X24" s="44">
        <f t="shared" si="21"/>
        <v>-126.30535141182548</v>
      </c>
      <c r="Z24" s="9">
        <v>-4.0840016501087089</v>
      </c>
      <c r="AA24" s="32">
        <f>calibration!$BA85</f>
        <v>0</v>
      </c>
      <c r="AB24" s="32">
        <f>calibration!BP85</f>
        <v>0</v>
      </c>
      <c r="AC24" s="32">
        <f t="shared" si="6"/>
        <v>0</v>
      </c>
      <c r="AD24" s="9">
        <f t="shared" ref="AD24" si="60">IF(AND(AA24&lt;&gt;0,AB24&lt;&gt;0),indmaint_damp*(LN(AA24/AB24)-LN(1-SUM(AA$18:AA$26))+LN(1-SUM(AB$18:AB$26))),IF(AND(AA24=0,AB24&lt;&gt;0),indmaint_damp*LN(AB24),IF(AND(AA24&lt;&gt;0,AB24=0),indmaint_damp*LN(AA24),0)))</f>
        <v>0</v>
      </c>
      <c r="AE24" s="9">
        <f>MAX(Z24+AD24,-30)</f>
        <v>-4.0840016501087089</v>
      </c>
      <c r="AF24" s="44">
        <f t="shared" si="22"/>
        <v>-146.37998745909351</v>
      </c>
      <c r="AH24" s="9">
        <v>-3.4162404289340484</v>
      </c>
      <c r="AI24" s="32">
        <f>calibration!$BA111</f>
        <v>0</v>
      </c>
      <c r="AJ24" s="32">
        <f>calibration!$BP111</f>
        <v>0</v>
      </c>
      <c r="AK24" s="32">
        <f t="shared" si="8"/>
        <v>0</v>
      </c>
      <c r="AL24" s="9">
        <f t="shared" si="42"/>
        <v>0</v>
      </c>
      <c r="AM24" s="9">
        <f t="shared" si="56"/>
        <v>-3.4162404289340484</v>
      </c>
      <c r="AN24" s="44">
        <f t="shared" si="23"/>
        <v>-122.44589351018094</v>
      </c>
      <c r="AP24" s="9">
        <v>-7</v>
      </c>
      <c r="AQ24" s="32">
        <f>calibration!$BA137</f>
        <v>0</v>
      </c>
      <c r="AR24" s="32">
        <f>calibration!$BP137</f>
        <v>0</v>
      </c>
      <c r="AS24" s="32">
        <f t="shared" si="10"/>
        <v>0</v>
      </c>
      <c r="AT24" s="9">
        <f t="shared" si="43"/>
        <v>0</v>
      </c>
      <c r="AU24" s="9">
        <f t="shared" si="58"/>
        <v>-7</v>
      </c>
      <c r="AV24" s="44">
        <f t="shared" si="13"/>
        <v>-250.89605734767025</v>
      </c>
    </row>
    <row r="25" spans="1:48" x14ac:dyDescent="0.2">
      <c r="A25" s="3" t="s">
        <v>26</v>
      </c>
      <c r="B25" s="9">
        <v>0.48540974889648925</v>
      </c>
      <c r="C25" s="32">
        <f>calibration!$BA8</f>
        <v>0</v>
      </c>
      <c r="D25" s="32">
        <f>calibration!$BP8</f>
        <v>0</v>
      </c>
      <c r="E25" s="32">
        <f t="shared" si="0"/>
        <v>0</v>
      </c>
      <c r="F25" s="9">
        <f t="shared" si="50"/>
        <v>0</v>
      </c>
      <c r="G25" s="9">
        <f t="shared" si="51"/>
        <v>0.48540974889648925</v>
      </c>
      <c r="H25" s="44">
        <f t="shared" si="19"/>
        <v>22.064079495294965</v>
      </c>
      <c r="J25" s="9">
        <v>0.77517820892732392</v>
      </c>
      <c r="K25" s="32">
        <f>calibration!$BA34</f>
        <v>0</v>
      </c>
      <c r="L25" s="32">
        <f>calibration!$BP34</f>
        <v>0</v>
      </c>
      <c r="M25" s="32">
        <f t="shared" si="2"/>
        <v>0</v>
      </c>
      <c r="N25" s="9">
        <f t="shared" si="52"/>
        <v>0</v>
      </c>
      <c r="O25" s="9">
        <f t="shared" si="53"/>
        <v>0.77517820892732392</v>
      </c>
      <c r="P25" s="44">
        <f t="shared" si="20"/>
        <v>28.604361953037785</v>
      </c>
      <c r="R25" s="9">
        <v>-0.40548932812630645</v>
      </c>
      <c r="S25" s="32">
        <f>calibration!$BA60</f>
        <v>0</v>
      </c>
      <c r="T25" s="32">
        <f>calibration!$BP60</f>
        <v>0</v>
      </c>
      <c r="U25" s="32">
        <f t="shared" si="4"/>
        <v>0</v>
      </c>
      <c r="V25" s="9">
        <f t="shared" si="40"/>
        <v>0</v>
      </c>
      <c r="W25" s="9">
        <f t="shared" si="54"/>
        <v>-0.40548932812630645</v>
      </c>
      <c r="X25" s="44">
        <f t="shared" si="21"/>
        <v>-14.962705834919058</v>
      </c>
      <c r="Z25" s="9">
        <v>2.1996281914776996</v>
      </c>
      <c r="AA25" s="32">
        <f>calibration!$BA86</f>
        <v>0</v>
      </c>
      <c r="AB25" s="32">
        <f>calibration!BP86</f>
        <v>0</v>
      </c>
      <c r="AC25" s="32">
        <f t="shared" si="6"/>
        <v>0</v>
      </c>
      <c r="AD25" s="9">
        <f t="shared" si="41"/>
        <v>0</v>
      </c>
      <c r="AE25" s="9">
        <f t="shared" ref="AE25" si="61">Z25+AD25</f>
        <v>2.1996281914776996</v>
      </c>
      <c r="AF25" s="44">
        <f t="shared" si="22"/>
        <v>78.839720124648721</v>
      </c>
      <c r="AH25" s="9">
        <v>0.63682593575558477</v>
      </c>
      <c r="AI25" s="32">
        <f>calibration!$BA112</f>
        <v>0</v>
      </c>
      <c r="AJ25" s="32">
        <f>calibration!$BP112</f>
        <v>0</v>
      </c>
      <c r="AK25" s="32">
        <f t="shared" si="8"/>
        <v>0</v>
      </c>
      <c r="AL25" s="9">
        <f t="shared" si="42"/>
        <v>0</v>
      </c>
      <c r="AM25" s="9">
        <f t="shared" si="56"/>
        <v>0.63682593575558477</v>
      </c>
      <c r="AN25" s="44">
        <f t="shared" si="23"/>
        <v>22.825302356830996</v>
      </c>
      <c r="AP25" s="9">
        <v>0.7307790845438491</v>
      </c>
      <c r="AQ25" s="32">
        <f>calibration!$BA138</f>
        <v>0</v>
      </c>
      <c r="AR25" s="32">
        <f>calibration!$BP138</f>
        <v>0</v>
      </c>
      <c r="AS25" s="32">
        <f t="shared" si="10"/>
        <v>0</v>
      </c>
      <c r="AT25" s="9">
        <f t="shared" si="43"/>
        <v>0</v>
      </c>
      <c r="AU25" s="9">
        <f t="shared" ref="AU25" si="62">AP25+AT25</f>
        <v>0.7307790845438491</v>
      </c>
      <c r="AV25" s="44">
        <f t="shared" si="13"/>
        <v>26.192798729170217</v>
      </c>
    </row>
    <row r="26" spans="1:48" s="8" customFormat="1" x14ac:dyDescent="0.2">
      <c r="A26" s="4" t="s">
        <v>131</v>
      </c>
      <c r="B26" s="10">
        <v>-2.6988371333441954</v>
      </c>
      <c r="C26" s="33">
        <f>SUM(calibration!$BA22:$BA24)</f>
        <v>0</v>
      </c>
      <c r="D26" s="33">
        <f>SUM(calibration!$BP22:$BP24)</f>
        <v>0</v>
      </c>
      <c r="E26" s="33">
        <f t="shared" si="0"/>
        <v>0</v>
      </c>
      <c r="F26" s="10">
        <f>IF(AND(C26&lt;&gt;0,D26&lt;&gt;0),work_damp*(LN(C26/D26)-LN(1-SUM(C$18:C$26))+LN(1-SUM(D$18:D$26))),IF(AND(C26=0,D26&lt;&gt;0),work_damp*LN(D26),IF(AND(C26&lt;&gt;0,D26=0),work_damp*LN(C26),0)))</f>
        <v>0</v>
      </c>
      <c r="G26" s="10">
        <f>MAX(B26+F26,-7)</f>
        <v>-2.6988371333441954</v>
      </c>
      <c r="H26" s="45">
        <f t="shared" si="19"/>
        <v>-122.67441515200889</v>
      </c>
      <c r="I26" s="51"/>
      <c r="J26" s="10">
        <v>-3.2879392138602594</v>
      </c>
      <c r="K26" s="33">
        <f>SUM(calibration!$BA48:$BA50)</f>
        <v>0</v>
      </c>
      <c r="L26" s="33">
        <f>SUM(calibration!$BP48:$BP50)</f>
        <v>0</v>
      </c>
      <c r="M26" s="33">
        <f t="shared" si="2"/>
        <v>0</v>
      </c>
      <c r="N26" s="10">
        <f t="shared" si="52"/>
        <v>0</v>
      </c>
      <c r="O26" s="10">
        <f>MAX(J26+N26,-7)</f>
        <v>-3.2879392138602594</v>
      </c>
      <c r="P26" s="45">
        <f t="shared" si="20"/>
        <v>-121.3261702531461</v>
      </c>
      <c r="Q26" s="51"/>
      <c r="R26" s="10">
        <v>-7</v>
      </c>
      <c r="S26" s="33">
        <f>SUM(calibration!$BA74:$BA76)</f>
        <v>0</v>
      </c>
      <c r="T26" s="33">
        <f>SUM(calibration!$BP74:$BP76)</f>
        <v>0</v>
      </c>
      <c r="U26" s="33">
        <f t="shared" si="4"/>
        <v>0</v>
      </c>
      <c r="V26" s="10">
        <f t="shared" si="40"/>
        <v>0</v>
      </c>
      <c r="W26" s="10">
        <f>MAX(R26+V26,-7)</f>
        <v>-7</v>
      </c>
      <c r="X26" s="45">
        <f>W26/-school_c_ivt</f>
        <v>-258.30258302583024</v>
      </c>
      <c r="Y26" s="51"/>
      <c r="Z26" s="10">
        <v>-2.2395745968381973</v>
      </c>
      <c r="AA26" s="33">
        <f>SUM(calibration!$BA100:$BA102)</f>
        <v>0</v>
      </c>
      <c r="AB26" s="33">
        <f>SUM(calibration!$BP100:$BP102)</f>
        <v>0</v>
      </c>
      <c r="AC26" s="33">
        <f t="shared" si="6"/>
        <v>0</v>
      </c>
      <c r="AD26" s="10">
        <f t="shared" si="41"/>
        <v>0</v>
      </c>
      <c r="AE26" s="10">
        <f>MAX(Z26+AD26,-7)</f>
        <v>-2.2395745968381973</v>
      </c>
      <c r="AF26" s="45">
        <f t="shared" si="22"/>
        <v>-80.271490926100256</v>
      </c>
      <c r="AG26" s="51"/>
      <c r="AH26" s="10">
        <v>-4.3689786428320696</v>
      </c>
      <c r="AI26" s="33">
        <f>SUM(calibration!$BA126:$BA128)</f>
        <v>0</v>
      </c>
      <c r="AJ26" s="33">
        <f>SUM(calibration!$BP126:$BP128)</f>
        <v>0</v>
      </c>
      <c r="AK26" s="33">
        <f t="shared" si="8"/>
        <v>0</v>
      </c>
      <c r="AL26" s="10">
        <f t="shared" si="42"/>
        <v>0</v>
      </c>
      <c r="AM26" s="10">
        <f>MAX(AH26+AL26,-7)</f>
        <v>-4.3689786428320696</v>
      </c>
      <c r="AN26" s="45">
        <f t="shared" si="23"/>
        <v>-156.59421658896306</v>
      </c>
      <c r="AO26" s="51"/>
      <c r="AP26" s="10">
        <v>-1.681632979690272</v>
      </c>
      <c r="AQ26" s="33">
        <f>SUM(calibration!$BA152:$BA154)</f>
        <v>0</v>
      </c>
      <c r="AR26" s="33">
        <f>SUM(calibration!$BP152:$BP154)</f>
        <v>0</v>
      </c>
      <c r="AS26" s="33">
        <f t="shared" si="10"/>
        <v>0</v>
      </c>
      <c r="AT26" s="10">
        <f t="shared" si="43"/>
        <v>0</v>
      </c>
      <c r="AU26" s="10">
        <f>MAX(AP26+AT26,-7)</f>
        <v>-1.681632979690272</v>
      </c>
      <c r="AV26" s="45">
        <f t="shared" si="13"/>
        <v>-60.27358350144344</v>
      </c>
    </row>
    <row r="27" spans="1:48" x14ac:dyDescent="0.2">
      <c r="A27" s="3" t="s">
        <v>27</v>
      </c>
      <c r="B27" s="9">
        <v>0</v>
      </c>
      <c r="C27" s="32">
        <f>calibration!$BB17</f>
        <v>0</v>
      </c>
      <c r="D27" s="32">
        <f>calibration!$BQ17</f>
        <v>0</v>
      </c>
      <c r="E27" s="32">
        <f t="shared" si="0"/>
        <v>0</v>
      </c>
      <c r="F27" s="9">
        <f t="shared" ref="F27:F32" si="63">IF(AND(C27&lt;&gt;0,D27&lt;&gt;0),work_damp*(LN(C27/D27)-LN(1-SUM(C$27:C$32))+LN(1-SUM(D$27:D$32))),IF(AND(C27=0,D27&lt;&gt;0),work_damp*LN(D27),IF(AND(C27&lt;&gt;0,D27=0),work_damp*LN(C27),0)))</f>
        <v>0</v>
      </c>
      <c r="G27" s="9">
        <f>MAX(B27+F27,0)</f>
        <v>0</v>
      </c>
      <c r="H27" s="44">
        <f t="shared" si="19"/>
        <v>0</v>
      </c>
      <c r="J27" s="9">
        <v>0.67572823284949846</v>
      </c>
      <c r="K27" s="32">
        <f>calibration!$BB43</f>
        <v>0</v>
      </c>
      <c r="L27" s="32">
        <f>calibration!$BQ43</f>
        <v>0</v>
      </c>
      <c r="M27" s="32">
        <f t="shared" si="2"/>
        <v>0</v>
      </c>
      <c r="N27" s="9">
        <f t="shared" ref="N27:N32" si="64">IF(AND(K27&lt;&gt;0,L27&lt;&gt;0),university_damp*(LN(K27/L27)-LN(1-SUM(K$27:K$32))+LN(1-SUM(L$27:L$32))),IF(AND(K27=0,L27&lt;&gt;0),university_damp*LN(L27),IF(AND(K27&lt;&gt;0,L27=0),university_damp*LN(K27),0)))</f>
        <v>0</v>
      </c>
      <c r="O27" s="9">
        <f>MAX(J27+N27,0)</f>
        <v>0.67572823284949846</v>
      </c>
      <c r="P27" s="44">
        <f t="shared" si="20"/>
        <v>24.934621138357876</v>
      </c>
      <c r="R27" s="9">
        <v>0</v>
      </c>
      <c r="S27" s="32">
        <f>calibration!$BB69</f>
        <v>0</v>
      </c>
      <c r="T27" s="32">
        <f>calibration!$BQ69</f>
        <v>0</v>
      </c>
      <c r="U27" s="32">
        <f t="shared" si="4"/>
        <v>0</v>
      </c>
      <c r="V27" s="9">
        <f t="shared" ref="V27:V32" si="65">IF(AND(S27&lt;&gt;0,T27&lt;&gt;0),school_damp*(LN(S27/T27)-LN(1-SUM(S$27:S$32))+LN(1-SUM(T$27:T$32))),IF(AND(S27=0,T27&lt;&gt;0),school_damp*LN(T27),IF(AND(S27&lt;&gt;0,T27=0),school_damp*LN(S27),0)))</f>
        <v>0</v>
      </c>
      <c r="W27" s="9">
        <f>MAX(R27+V27,0)</f>
        <v>0</v>
      </c>
      <c r="X27" s="44">
        <f t="shared" si="21"/>
        <v>0</v>
      </c>
      <c r="Z27" s="9">
        <v>3.1900730998836897</v>
      </c>
      <c r="AA27" s="32">
        <f>calibration!$BB95</f>
        <v>0</v>
      </c>
      <c r="AB27" s="32">
        <f>calibration!BQ95</f>
        <v>0</v>
      </c>
      <c r="AC27" s="32">
        <f t="shared" si="6"/>
        <v>0</v>
      </c>
      <c r="AD27" s="9">
        <f t="shared" ref="AD27:AD32" si="66">IF(AND(AA27&lt;&gt;0,AB27&lt;&gt;0),indmaint_damp*(LN(AA27/AB27)-LN(1-SUM(AA$27:AA$32))+LN(1-SUM(AB$27:AB$32))),IF(AND(AA27=0,AB27&lt;&gt;0),indmaint_damp*LN(AB27),IF(AND(AA27&lt;&gt;0,AB27=0),indmaint_damp*LN(AA27),0)))</f>
        <v>0</v>
      </c>
      <c r="AE27" s="9">
        <f>MAX(Z27+AD27,0)</f>
        <v>3.1900730998836897</v>
      </c>
      <c r="AF27" s="44">
        <f t="shared" si="22"/>
        <v>114.33953763023978</v>
      </c>
      <c r="AH27" s="9">
        <v>35.936485078816808</v>
      </c>
      <c r="AI27" s="34">
        <f>calibration!$BB121</f>
        <v>0</v>
      </c>
      <c r="AJ27" s="34">
        <f>calibration!$BQ121</f>
        <v>0</v>
      </c>
      <c r="AK27" s="34">
        <f t="shared" si="8"/>
        <v>0</v>
      </c>
      <c r="AL27" s="35">
        <f t="shared" ref="AL27:AL32" si="67">IF(AND(AI27&lt;&gt;0,AJ27&lt;&gt;0),inddisc_damp*(LN(AI27/AJ27)-LN(1-SUM(AI$27:AI$32))+LN(1-SUM(AJ$27:AJ$32))),IF(AND(AI27=0,AJ27&lt;&gt;0),inddisc_damp*LN(AJ27),IF(AND(AI27&lt;&gt;0,AJ27=0),inddisc_damp*LN(AI27),0)))</f>
        <v>0</v>
      </c>
      <c r="AM27" s="9">
        <f>MAX(AH27+AL27,0)</f>
        <v>35.936485078816808</v>
      </c>
      <c r="AN27" s="44">
        <f t="shared" si="23"/>
        <v>1288.0460601726454</v>
      </c>
      <c r="AP27" s="9">
        <v>0.85394042962309946</v>
      </c>
      <c r="AQ27" s="32">
        <f>calibration!$BB147</f>
        <v>0</v>
      </c>
      <c r="AR27" s="32">
        <f>calibration!$BQ147</f>
        <v>0</v>
      </c>
      <c r="AS27" s="32">
        <f t="shared" si="10"/>
        <v>0</v>
      </c>
      <c r="AT27" s="9">
        <f t="shared" ref="AT27:AT32" si="68">IF(AND(AQ27&lt;&gt;0,AR27&lt;&gt;0),atwork_damp*(LN(AQ27/AR27)-LN(1-SUM(AQ$27:AQ$32))+LN(1-SUM(AR$27:AR$32))),IF(AND(AQ27=0,AR27&lt;&gt;0),atwork_damp*LN(AR27),IF(AND(AQ27&lt;&gt;0,AR27=0),atwork_damp*LN(AQ27),0)))</f>
        <v>0</v>
      </c>
      <c r="AU27" s="9">
        <f>MAX(AP27+AT27,0)</f>
        <v>0.85394042962309946</v>
      </c>
      <c r="AV27" s="44">
        <f t="shared" si="13"/>
        <v>30.607183857458761</v>
      </c>
    </row>
    <row r="28" spans="1:48" x14ac:dyDescent="0.2">
      <c r="A28" s="3" t="s">
        <v>28</v>
      </c>
      <c r="B28" s="9">
        <v>1.4887263587574089</v>
      </c>
      <c r="C28" s="32">
        <f>calibration!$BB18</f>
        <v>0</v>
      </c>
      <c r="D28" s="32">
        <f>calibration!$BQ18</f>
        <v>0</v>
      </c>
      <c r="E28" s="32">
        <f t="shared" si="0"/>
        <v>0</v>
      </c>
      <c r="F28" s="9">
        <f t="shared" si="63"/>
        <v>0</v>
      </c>
      <c r="G28" s="9">
        <f t="shared" ref="G28:G31" si="69">MAX(B28+F28,0)</f>
        <v>1.4887263587574089</v>
      </c>
      <c r="H28" s="44">
        <f t="shared" si="19"/>
        <v>67.669379943518592</v>
      </c>
      <c r="J28" s="9">
        <v>0</v>
      </c>
      <c r="K28" s="32">
        <f>calibration!$BB44</f>
        <v>0</v>
      </c>
      <c r="L28" s="32">
        <f>calibration!$BQ44</f>
        <v>0</v>
      </c>
      <c r="M28" s="32">
        <f t="shared" si="2"/>
        <v>0</v>
      </c>
      <c r="N28" s="9">
        <f t="shared" si="64"/>
        <v>0</v>
      </c>
      <c r="O28" s="9">
        <f t="shared" ref="O28:O31" si="70">MAX(J28+N28,0)</f>
        <v>0</v>
      </c>
      <c r="P28" s="44">
        <f t="shared" si="20"/>
        <v>0</v>
      </c>
      <c r="R28" s="9">
        <v>0</v>
      </c>
      <c r="S28" s="32">
        <f>calibration!$BB70</f>
        <v>0</v>
      </c>
      <c r="T28" s="32">
        <f>calibration!$BQ70</f>
        <v>0</v>
      </c>
      <c r="U28" s="32">
        <f t="shared" si="4"/>
        <v>0</v>
      </c>
      <c r="V28" s="9">
        <f t="shared" si="65"/>
        <v>0</v>
      </c>
      <c r="W28" s="9">
        <f t="shared" ref="W28:W31" si="71">MAX(R28+V28,0)</f>
        <v>0</v>
      </c>
      <c r="X28" s="44">
        <f t="shared" si="21"/>
        <v>0</v>
      </c>
      <c r="Z28" s="9">
        <v>0</v>
      </c>
      <c r="AA28" s="32">
        <f>calibration!$BB96</f>
        <v>0</v>
      </c>
      <c r="AB28" s="32">
        <f>calibration!BQ96</f>
        <v>0</v>
      </c>
      <c r="AC28" s="32">
        <f t="shared" si="6"/>
        <v>0</v>
      </c>
      <c r="AD28" s="9">
        <f t="shared" si="66"/>
        <v>0</v>
      </c>
      <c r="AE28" s="9">
        <f t="shared" ref="AE28:AE31" si="72">MAX(Z28+AD28,0)</f>
        <v>0</v>
      </c>
      <c r="AF28" s="44">
        <f t="shared" si="22"/>
        <v>0</v>
      </c>
      <c r="AH28" s="9">
        <v>0</v>
      </c>
      <c r="AI28" s="32">
        <f>calibration!$BB122</f>
        <v>0</v>
      </c>
      <c r="AJ28" s="32">
        <f>calibration!$BQ122</f>
        <v>0</v>
      </c>
      <c r="AK28" s="32">
        <f t="shared" si="8"/>
        <v>0</v>
      </c>
      <c r="AL28" s="9">
        <f t="shared" si="67"/>
        <v>0</v>
      </c>
      <c r="AM28" s="9">
        <f t="shared" ref="AM28:AM31" si="73">MAX(AH28+AL28,0)</f>
        <v>0</v>
      </c>
      <c r="AN28" s="44">
        <f t="shared" si="23"/>
        <v>0</v>
      </c>
      <c r="AP28" s="9">
        <v>0</v>
      </c>
      <c r="AQ28" s="32">
        <f>calibration!$BB148</f>
        <v>0</v>
      </c>
      <c r="AR28" s="32">
        <f>calibration!$BQ148</f>
        <v>0</v>
      </c>
      <c r="AS28" s="32">
        <f t="shared" si="10"/>
        <v>0</v>
      </c>
      <c r="AT28" s="9">
        <f t="shared" si="68"/>
        <v>0</v>
      </c>
      <c r="AU28" s="9">
        <f t="shared" ref="AU28:AU31" si="74">MAX(AP28+AT28,0)</f>
        <v>0</v>
      </c>
      <c r="AV28" s="44">
        <f t="shared" si="13"/>
        <v>0</v>
      </c>
    </row>
    <row r="29" spans="1:48" x14ac:dyDescent="0.2">
      <c r="A29" s="3" t="s">
        <v>29</v>
      </c>
      <c r="B29" s="9">
        <v>1.3316497690848785</v>
      </c>
      <c r="C29" s="32">
        <f>calibration!$BB19</f>
        <v>0</v>
      </c>
      <c r="D29" s="32">
        <f>calibration!$BQ19</f>
        <v>0</v>
      </c>
      <c r="E29" s="32">
        <f t="shared" si="0"/>
        <v>0</v>
      </c>
      <c r="F29" s="9">
        <f t="shared" si="63"/>
        <v>0</v>
      </c>
      <c r="G29" s="9">
        <f t="shared" si="69"/>
        <v>1.3316497690848785</v>
      </c>
      <c r="H29" s="44">
        <f t="shared" si="19"/>
        <v>60.529534958403573</v>
      </c>
      <c r="J29" s="9">
        <v>0</v>
      </c>
      <c r="K29" s="32">
        <f>calibration!$BB45</f>
        <v>0</v>
      </c>
      <c r="L29" s="32">
        <f>calibration!$BQ45</f>
        <v>0</v>
      </c>
      <c r="M29" s="32">
        <f t="shared" si="2"/>
        <v>0</v>
      </c>
      <c r="N29" s="9">
        <f t="shared" si="64"/>
        <v>0</v>
      </c>
      <c r="O29" s="9">
        <f t="shared" si="70"/>
        <v>0</v>
      </c>
      <c r="P29" s="44">
        <f t="shared" si="20"/>
        <v>0</v>
      </c>
      <c r="R29" s="9">
        <v>0</v>
      </c>
      <c r="S29" s="32">
        <f>calibration!$BB71</f>
        <v>0</v>
      </c>
      <c r="T29" s="32">
        <f>calibration!$BQ71</f>
        <v>0</v>
      </c>
      <c r="U29" s="32">
        <f t="shared" si="4"/>
        <v>0</v>
      </c>
      <c r="V29" s="9">
        <f t="shared" si="65"/>
        <v>0</v>
      </c>
      <c r="W29" s="9">
        <f t="shared" si="71"/>
        <v>0</v>
      </c>
      <c r="X29" s="44">
        <f t="shared" si="21"/>
        <v>0</v>
      </c>
      <c r="Z29" s="9">
        <v>0.49130042616700675</v>
      </c>
      <c r="AA29" s="32">
        <f>calibration!$BB97</f>
        <v>0</v>
      </c>
      <c r="AB29" s="32">
        <f>calibration!BQ97</f>
        <v>0</v>
      </c>
      <c r="AC29" s="32">
        <f t="shared" si="6"/>
        <v>0</v>
      </c>
      <c r="AD29" s="9">
        <f t="shared" si="66"/>
        <v>0</v>
      </c>
      <c r="AE29" s="9">
        <f t="shared" si="72"/>
        <v>0.49130042616700675</v>
      </c>
      <c r="AF29" s="44">
        <f t="shared" si="22"/>
        <v>17.609334271218881</v>
      </c>
      <c r="AH29" s="9">
        <v>22.735452253620782</v>
      </c>
      <c r="AI29" s="32">
        <f>calibration!$BB123</f>
        <v>0</v>
      </c>
      <c r="AJ29" s="32">
        <f>calibration!$BQ123</f>
        <v>0</v>
      </c>
      <c r="AK29" s="32">
        <f t="shared" si="8"/>
        <v>0</v>
      </c>
      <c r="AL29" s="9">
        <f t="shared" si="67"/>
        <v>0</v>
      </c>
      <c r="AM29" s="9">
        <f t="shared" si="73"/>
        <v>22.735452253620782</v>
      </c>
      <c r="AN29" s="44">
        <f t="shared" si="23"/>
        <v>814.89076177852257</v>
      </c>
      <c r="AP29" s="9">
        <v>0</v>
      </c>
      <c r="AQ29" s="32">
        <f>calibration!$BB149</f>
        <v>0</v>
      </c>
      <c r="AR29" s="32">
        <f>calibration!$BQ149</f>
        <v>0</v>
      </c>
      <c r="AS29" s="32">
        <f t="shared" si="10"/>
        <v>0</v>
      </c>
      <c r="AT29" s="9">
        <f t="shared" si="68"/>
        <v>0</v>
      </c>
      <c r="AU29" s="9">
        <f t="shared" si="74"/>
        <v>0</v>
      </c>
      <c r="AV29" s="44">
        <f t="shared" si="13"/>
        <v>0</v>
      </c>
    </row>
    <row r="30" spans="1:48" x14ac:dyDescent="0.2">
      <c r="A30" s="3" t="s">
        <v>30</v>
      </c>
      <c r="B30" s="9">
        <v>2.0879233699994852</v>
      </c>
      <c r="C30" s="32">
        <f>calibration!$BB20</f>
        <v>0</v>
      </c>
      <c r="D30" s="32">
        <f>calibration!$BQ20</f>
        <v>0</v>
      </c>
      <c r="E30" s="32">
        <f t="shared" si="0"/>
        <v>0</v>
      </c>
      <c r="F30" s="9">
        <f t="shared" si="63"/>
        <v>0</v>
      </c>
      <c r="G30" s="9">
        <f t="shared" si="69"/>
        <v>2.0879233699994852</v>
      </c>
      <c r="H30" s="44">
        <f t="shared" si="19"/>
        <v>94.905607727249333</v>
      </c>
      <c r="J30" s="9">
        <v>0</v>
      </c>
      <c r="K30" s="32">
        <f>calibration!$BB46</f>
        <v>0</v>
      </c>
      <c r="L30" s="32">
        <f>calibration!$BQ46</f>
        <v>0</v>
      </c>
      <c r="M30" s="32">
        <f t="shared" si="2"/>
        <v>0</v>
      </c>
      <c r="N30" s="9">
        <f t="shared" si="64"/>
        <v>0</v>
      </c>
      <c r="O30" s="9">
        <f t="shared" si="70"/>
        <v>0</v>
      </c>
      <c r="P30" s="44">
        <f t="shared" si="20"/>
        <v>0</v>
      </c>
      <c r="R30" s="9">
        <v>0</v>
      </c>
      <c r="S30" s="32">
        <f>calibration!$BB72</f>
        <v>0</v>
      </c>
      <c r="T30" s="32">
        <f>calibration!$BQ72</f>
        <v>0</v>
      </c>
      <c r="U30" s="32">
        <f t="shared" si="4"/>
        <v>0</v>
      </c>
      <c r="V30" s="9">
        <f t="shared" si="65"/>
        <v>0</v>
      </c>
      <c r="W30" s="9">
        <f t="shared" si="71"/>
        <v>0</v>
      </c>
      <c r="X30" s="44">
        <f t="shared" si="21"/>
        <v>0</v>
      </c>
      <c r="Z30" s="9">
        <v>1.9740709418113509</v>
      </c>
      <c r="AA30" s="32">
        <f>calibration!$BB98</f>
        <v>0</v>
      </c>
      <c r="AB30" s="32">
        <f>calibration!BQ98</f>
        <v>0</v>
      </c>
      <c r="AC30" s="32">
        <f t="shared" si="6"/>
        <v>0</v>
      </c>
      <c r="AD30" s="9">
        <f t="shared" si="66"/>
        <v>0</v>
      </c>
      <c r="AE30" s="9">
        <f t="shared" si="72"/>
        <v>1.9740709418113509</v>
      </c>
      <c r="AF30" s="44">
        <f t="shared" si="22"/>
        <v>70.755230889295731</v>
      </c>
      <c r="AH30" s="9">
        <v>0</v>
      </c>
      <c r="AI30" s="32">
        <f>calibration!$BB124</f>
        <v>0</v>
      </c>
      <c r="AJ30" s="32">
        <f>calibration!$BQ124</f>
        <v>0</v>
      </c>
      <c r="AK30" s="32">
        <f t="shared" si="8"/>
        <v>0</v>
      </c>
      <c r="AL30" s="9">
        <f t="shared" si="67"/>
        <v>0</v>
      </c>
      <c r="AM30" s="9">
        <f t="shared" si="73"/>
        <v>0</v>
      </c>
      <c r="AN30" s="44">
        <f t="shared" si="23"/>
        <v>0</v>
      </c>
      <c r="AP30" s="9">
        <v>0.7403774246475977</v>
      </c>
      <c r="AQ30" s="32">
        <f>calibration!$BB150</f>
        <v>0</v>
      </c>
      <c r="AR30" s="32">
        <f>calibration!$BQ150</f>
        <v>0</v>
      </c>
      <c r="AS30" s="32">
        <f t="shared" si="10"/>
        <v>0</v>
      </c>
      <c r="AT30" s="9">
        <f t="shared" si="68"/>
        <v>0</v>
      </c>
      <c r="AU30" s="9">
        <f t="shared" si="74"/>
        <v>0.7403774246475977</v>
      </c>
      <c r="AV30" s="44">
        <f t="shared" si="13"/>
        <v>26.536825256186297</v>
      </c>
    </row>
    <row r="31" spans="1:48" x14ac:dyDescent="0.2">
      <c r="A31" s="3" t="s">
        <v>31</v>
      </c>
      <c r="B31" s="9">
        <v>2.0859181492209142</v>
      </c>
      <c r="C31" s="32">
        <f>calibration!$BB21</f>
        <v>0</v>
      </c>
      <c r="D31" s="32">
        <f>calibration!$BQ21</f>
        <v>0</v>
      </c>
      <c r="E31" s="32">
        <f t="shared" si="0"/>
        <v>0</v>
      </c>
      <c r="F31" s="9">
        <f t="shared" si="63"/>
        <v>0</v>
      </c>
      <c r="G31" s="9">
        <f t="shared" si="69"/>
        <v>2.0859181492209142</v>
      </c>
      <c r="H31" s="44">
        <f t="shared" si="19"/>
        <v>94.814461328223373</v>
      </c>
      <c r="J31" s="9">
        <v>1.8027153201547081</v>
      </c>
      <c r="K31" s="32">
        <f>calibration!$BB47</f>
        <v>0</v>
      </c>
      <c r="L31" s="32">
        <f>calibration!$BQ47</f>
        <v>0</v>
      </c>
      <c r="M31" s="32">
        <f t="shared" si="2"/>
        <v>0</v>
      </c>
      <c r="N31" s="9">
        <f t="shared" si="64"/>
        <v>0</v>
      </c>
      <c r="O31" s="9">
        <f t="shared" si="70"/>
        <v>1.8027153201547081</v>
      </c>
      <c r="P31" s="44">
        <f t="shared" si="20"/>
        <v>66.520860522313953</v>
      </c>
      <c r="R31" s="9">
        <v>0</v>
      </c>
      <c r="S31" s="32">
        <f>calibration!$BB73</f>
        <v>0</v>
      </c>
      <c r="T31" s="32">
        <f>calibration!$BQ73</f>
        <v>0</v>
      </c>
      <c r="U31" s="32">
        <f t="shared" si="4"/>
        <v>0</v>
      </c>
      <c r="V31" s="9">
        <f t="shared" si="65"/>
        <v>0</v>
      </c>
      <c r="W31" s="9">
        <f t="shared" si="71"/>
        <v>0</v>
      </c>
      <c r="X31" s="44">
        <f t="shared" si="21"/>
        <v>0</v>
      </c>
      <c r="Z31" s="9">
        <v>0.94252922237485914</v>
      </c>
      <c r="AA31" s="32">
        <f>calibration!$BB99</f>
        <v>0</v>
      </c>
      <c r="AB31" s="32">
        <f>calibration!BQ99</f>
        <v>0</v>
      </c>
      <c r="AC31" s="32">
        <f t="shared" si="6"/>
        <v>0</v>
      </c>
      <c r="AD31" s="9">
        <f t="shared" si="66"/>
        <v>0</v>
      </c>
      <c r="AE31" s="9">
        <f t="shared" si="72"/>
        <v>0.94252922237485914</v>
      </c>
      <c r="AF31" s="44">
        <f t="shared" si="22"/>
        <v>33.782409404116812</v>
      </c>
      <c r="AH31" s="9">
        <v>34.563373646016473</v>
      </c>
      <c r="AI31" s="32">
        <f>calibration!$BB125</f>
        <v>0</v>
      </c>
      <c r="AJ31" s="32">
        <f>calibration!$BQ125</f>
        <v>0</v>
      </c>
      <c r="AK31" s="32">
        <f t="shared" si="8"/>
        <v>0</v>
      </c>
      <c r="AL31" s="9">
        <f t="shared" si="67"/>
        <v>0</v>
      </c>
      <c r="AM31" s="9">
        <f t="shared" si="73"/>
        <v>34.563373646016473</v>
      </c>
      <c r="AN31" s="44">
        <f t="shared" si="23"/>
        <v>1238.8305966314147</v>
      </c>
      <c r="AP31" s="9">
        <v>1.7259004558946474</v>
      </c>
      <c r="AQ31" s="32">
        <f>calibration!$BB151</f>
        <v>0</v>
      </c>
      <c r="AR31" s="32">
        <f>calibration!$BQ151</f>
        <v>0</v>
      </c>
      <c r="AS31" s="32">
        <f t="shared" si="10"/>
        <v>0</v>
      </c>
      <c r="AT31" s="9">
        <f t="shared" si="68"/>
        <v>0</v>
      </c>
      <c r="AU31" s="9">
        <f t="shared" si="74"/>
        <v>1.7259004558946474</v>
      </c>
      <c r="AV31" s="44">
        <f t="shared" si="13"/>
        <v>61.860231394073381</v>
      </c>
    </row>
    <row r="32" spans="1:48" s="8" customFormat="1" x14ac:dyDescent="0.2">
      <c r="A32" s="4" t="s">
        <v>132</v>
      </c>
      <c r="B32" s="10">
        <v>-3.4489465721463564</v>
      </c>
      <c r="C32" s="33">
        <f>SUM(calibration!$BB22:$BB24)</f>
        <v>0</v>
      </c>
      <c r="D32" s="33">
        <f>SUM(calibration!$BQ22:$BQ24)</f>
        <v>0</v>
      </c>
      <c r="E32" s="33">
        <f t="shared" si="0"/>
        <v>0</v>
      </c>
      <c r="F32" s="10">
        <f t="shared" si="63"/>
        <v>0</v>
      </c>
      <c r="G32" s="10">
        <f>MAX(B32+F32,-7)</f>
        <v>-3.4489465721463564</v>
      </c>
      <c r="H32" s="45">
        <f t="shared" si="19"/>
        <v>-156.7702987339253</v>
      </c>
      <c r="I32" s="51"/>
      <c r="J32" s="10">
        <v>-1.5120197357116609</v>
      </c>
      <c r="K32" s="33">
        <f>SUM(calibration!$BB48:$BB50)</f>
        <v>0</v>
      </c>
      <c r="L32" s="33">
        <f>SUM(calibration!$BQ48:$BQ50)</f>
        <v>0</v>
      </c>
      <c r="M32" s="33">
        <f t="shared" si="2"/>
        <v>0</v>
      </c>
      <c r="N32" s="10">
        <f t="shared" si="64"/>
        <v>0</v>
      </c>
      <c r="O32" s="10">
        <f>MAX(J32+N32,-7)</f>
        <v>-1.5120197357116609</v>
      </c>
      <c r="P32" s="45">
        <f t="shared" si="20"/>
        <v>-55.794086188622174</v>
      </c>
      <c r="Q32" s="51"/>
      <c r="R32" s="10">
        <v>-2.6792232267662159</v>
      </c>
      <c r="S32" s="33">
        <f>SUM(calibration!$BB74:$BB76)</f>
        <v>0</v>
      </c>
      <c r="T32" s="33">
        <f>SUM(calibration!$BQ74:$BQ76)</f>
        <v>0</v>
      </c>
      <c r="U32" s="33">
        <f t="shared" si="4"/>
        <v>0</v>
      </c>
      <c r="V32" s="10">
        <f t="shared" si="65"/>
        <v>0</v>
      </c>
      <c r="W32" s="10">
        <f>MAX(R32+V32,-7)</f>
        <v>-2.6792232267662159</v>
      </c>
      <c r="X32" s="45">
        <f t="shared" ref="X32:X39" si="75">W32/-school_c_ivt</f>
        <v>-98.864325710930487</v>
      </c>
      <c r="Y32" s="51"/>
      <c r="Z32" s="10">
        <v>-1.2625869372018286</v>
      </c>
      <c r="AA32" s="33">
        <f>SUM(calibration!$BB100:$BB102)</f>
        <v>0</v>
      </c>
      <c r="AB32" s="33">
        <f>SUM(calibration!$BQ100:$BQ102)</f>
        <v>0</v>
      </c>
      <c r="AC32" s="33">
        <f t="shared" si="6"/>
        <v>0</v>
      </c>
      <c r="AD32" s="10">
        <f t="shared" si="66"/>
        <v>0</v>
      </c>
      <c r="AE32" s="10">
        <f>MAX(Z32+AD32,-7)</f>
        <v>-1.2625869372018286</v>
      </c>
      <c r="AF32" s="45">
        <f t="shared" si="22"/>
        <v>-45.254012086087045</v>
      </c>
      <c r="AG32" s="51"/>
      <c r="AH32" s="10">
        <v>-0.36031035308079074</v>
      </c>
      <c r="AI32" s="33">
        <f>SUM(calibration!$BB126:$BB128)</f>
        <v>0</v>
      </c>
      <c r="AJ32" s="33">
        <f>SUM(calibration!$BQ126:$BQ128)</f>
        <v>0</v>
      </c>
      <c r="AK32" s="33">
        <f t="shared" si="8"/>
        <v>0</v>
      </c>
      <c r="AL32" s="10">
        <f t="shared" si="67"/>
        <v>0</v>
      </c>
      <c r="AM32" s="10">
        <f>MAX(AH32+AL32,-7)</f>
        <v>-0.36031035308079074</v>
      </c>
      <c r="AN32" s="45">
        <f t="shared" si="23"/>
        <v>-12.914349572788199</v>
      </c>
      <c r="AO32" s="51"/>
      <c r="AP32" s="10">
        <v>-6.9520238054891736</v>
      </c>
      <c r="AQ32" s="33">
        <f>SUM(calibration!$BB152:$BB154)</f>
        <v>0</v>
      </c>
      <c r="AR32" s="33">
        <f>SUM(calibration!$BQ152:$BQ154)</f>
        <v>0</v>
      </c>
      <c r="AS32" s="33">
        <f t="shared" si="10"/>
        <v>0</v>
      </c>
      <c r="AT32" s="10">
        <f t="shared" si="68"/>
        <v>0</v>
      </c>
      <c r="AU32" s="10">
        <f>MAX(AP32+AT32,-7)</f>
        <v>-6.9520238054891736</v>
      </c>
      <c r="AV32" s="45">
        <f t="shared" si="13"/>
        <v>-249.17648048348292</v>
      </c>
    </row>
    <row r="33" spans="1:48" x14ac:dyDescent="0.2">
      <c r="A33" s="46" t="s">
        <v>133</v>
      </c>
      <c r="B33" s="35">
        <v>-3.8205529913259837</v>
      </c>
      <c r="C33" s="34">
        <f>calibration!$BG6</f>
        <v>0</v>
      </c>
      <c r="D33" s="34">
        <f>calibration!BV6</f>
        <v>0</v>
      </c>
      <c r="E33" s="34">
        <f t="shared" si="0"/>
        <v>0</v>
      </c>
      <c r="F33" s="35">
        <f t="shared" ref="F33:F38" si="76">IF(AND(C33&lt;&gt;0,D33&lt;&gt;0),work_damp*(LN(C33/D33)-LN(1-SUM(C$33:C$38))+LN(1-SUM(D$33:D$38)+0.01)),IF(AND(C33=0,D33&lt;&gt;0),work_damp*LN(D33),IF(AND(C33&lt;&gt;0,D33=0),work_damp*LN(C33),0)))</f>
        <v>0</v>
      </c>
      <c r="G33" s="35">
        <f>MAX(B33+F33,-7)</f>
        <v>-3.8205529913259837</v>
      </c>
      <c r="H33" s="47">
        <f t="shared" si="19"/>
        <v>-173.66149960572653</v>
      </c>
      <c r="I33" s="50"/>
      <c r="J33" s="9">
        <v>-2.0312139606423134</v>
      </c>
      <c r="K33" s="34">
        <f>calibration!BG32</f>
        <v>0</v>
      </c>
      <c r="L33" s="34">
        <f>calibration!BV32</f>
        <v>0</v>
      </c>
      <c r="M33" s="34">
        <f t="shared" si="2"/>
        <v>0</v>
      </c>
      <c r="N33" s="35">
        <f t="shared" ref="N33:N38" si="77">IF(AND(K33&lt;&gt;0,L33&lt;&gt;0),university_damp*(LN(K33/L33)-LN(1-SUM(K$33:K$38))+LN(1-SUM(L$33:L$38)+0.01)),IF(AND(K33=0,L33&lt;&gt;0),university_damp*LN(L33),IF(AND(K33&lt;&gt;0,L33=0),university_damp*LN(K33),0)))</f>
        <v>0</v>
      </c>
      <c r="O33" s="35">
        <f>MAX(J33+N33,-7)</f>
        <v>-2.0312139606423134</v>
      </c>
      <c r="P33" s="47">
        <f t="shared" ref="P33:P39" si="78">O33/-university_c_ivt</f>
        <v>-74.952544673148097</v>
      </c>
      <c r="R33" s="9">
        <v>-1.2256488522781979</v>
      </c>
      <c r="S33" s="34">
        <f>calibration!BG58</f>
        <v>0</v>
      </c>
      <c r="T33" s="34">
        <f>calibration!BV58</f>
        <v>0</v>
      </c>
      <c r="U33" s="34">
        <f t="shared" si="4"/>
        <v>0</v>
      </c>
      <c r="V33" s="35">
        <f t="shared" ref="V33:V38" si="79">IF(AND(S33&lt;&gt;0,T33&lt;&gt;0),school_damp*(LN(S33/T33)-LN(1-SUM(S$33:S$38))+LN(1-SUM(T$33:T$38)+0.01)),IF(AND(S33=0,T33&lt;&gt;0),school_damp*LN(T33),IF(AND(S33&lt;&gt;0,T33=0),school_damp*LN(S33),0)))</f>
        <v>0</v>
      </c>
      <c r="W33" s="35">
        <f>MAX(R33+V33,-7)</f>
        <v>-1.2256488522781979</v>
      </c>
      <c r="X33" s="47">
        <f t="shared" si="75"/>
        <v>-45.226894918014686</v>
      </c>
      <c r="Z33" s="9">
        <v>-2.2145610603410848</v>
      </c>
      <c r="AA33" s="34">
        <f>calibration!BG84</f>
        <v>0</v>
      </c>
      <c r="AB33" s="34">
        <f>calibration!BV84</f>
        <v>0</v>
      </c>
      <c r="AC33" s="34">
        <f t="shared" si="6"/>
        <v>0</v>
      </c>
      <c r="AD33" s="35">
        <f t="shared" ref="AD33:AD38" si="80">IF(AND(AA33&lt;&gt;0,AB33&lt;&gt;0),indmaint_damp*(LN(AA33/AB33)-LN(1-SUM(AA$33:AA$38))+LN(1-SUM(AB$33:AB$38)+0.01)),IF(AND(AA33=0,AB33&lt;&gt;0),indmaint_damp*LN(AB33),IF(AND(AA33&lt;&gt;0,AB33=0),indmaint_damp*LN(AA33),0)))</f>
        <v>0</v>
      </c>
      <c r="AE33" s="35">
        <f>MAX(Z33+AD33,-7)</f>
        <v>-2.2145610603410848</v>
      </c>
      <c r="AF33" s="47">
        <f t="shared" si="22"/>
        <v>-79.374948399322037</v>
      </c>
      <c r="AH33" s="9">
        <v>-3.3046005362066726</v>
      </c>
      <c r="AI33" s="34">
        <f>calibration!BG110</f>
        <v>0</v>
      </c>
      <c r="AJ33" s="34">
        <f>calibration!BV110</f>
        <v>0</v>
      </c>
      <c r="AK33" s="34">
        <f t="shared" si="8"/>
        <v>0</v>
      </c>
      <c r="AL33" s="35">
        <f t="shared" ref="AL33:AL38" si="81">IF(AND(AI33&lt;&gt;0,AJ33&lt;&gt;0),inddisc_damp*(LN(AI33/AJ33)-LN(1-SUM(AI$33:AI$38))+LN(1-SUM(AJ$33:AJ$38)+0.01)),IF(AND(AI33=0,AJ33&lt;&gt;0),inddisc_damp*LN(AJ33),IF(AND(AI33&lt;&gt;0,AJ33=0),inddisc_damp*LN(AI33),0)))</f>
        <v>0</v>
      </c>
      <c r="AM33" s="35">
        <f>MAX(AH33+AL33,-7)</f>
        <v>-3.3046005362066726</v>
      </c>
      <c r="AN33" s="47">
        <f t="shared" ref="AN33:AN39" si="82">AM33/-othmaint_c_ivt</f>
        <v>-118.4444636633216</v>
      </c>
      <c r="AP33" s="9">
        <v>-2.8017836897027628</v>
      </c>
      <c r="AQ33" s="34">
        <f>calibration!BG136</f>
        <v>0</v>
      </c>
      <c r="AR33" s="34">
        <f>calibration!BV136</f>
        <v>0</v>
      </c>
      <c r="AS33" s="34">
        <f t="shared" si="10"/>
        <v>0</v>
      </c>
      <c r="AT33" s="35">
        <f t="shared" ref="AT33:AT38" si="83">IF(AND(AQ33&lt;&gt;0,AR33&lt;&gt;0),atwork_damp*(LN(AQ33/AR33)-LN(1-SUM(AQ$33:AQ$38))+LN(1-SUM(AR$33:AR$38)+0.01)),IF(AND(AQ33=0,AR33&lt;&gt;0),atwork_damp*LN(AR33),IF(AND(AQ33&lt;&gt;0,AR33=0),atwork_damp*LN(AQ33),0)))</f>
        <v>0</v>
      </c>
      <c r="AU33" s="35">
        <f>MAX(AP33+AT33,-7)</f>
        <v>-2.8017836897027628</v>
      </c>
      <c r="AV33" s="47">
        <f t="shared" ref="AV33:AV39" si="84">AU33/-othmaint_c_ivt</f>
        <v>-100.42235446963308</v>
      </c>
    </row>
    <row r="34" spans="1:48" x14ac:dyDescent="0.2">
      <c r="A34" s="3" t="s">
        <v>134</v>
      </c>
      <c r="B34" s="9">
        <v>-7</v>
      </c>
      <c r="C34" s="185">
        <f>calibration!$BG7</f>
        <v>0</v>
      </c>
      <c r="D34" s="185">
        <f>calibration!BV7</f>
        <v>0</v>
      </c>
      <c r="E34" s="185">
        <f t="shared" si="0"/>
        <v>0</v>
      </c>
      <c r="F34" s="9">
        <f t="shared" si="76"/>
        <v>0</v>
      </c>
      <c r="G34" s="9">
        <f t="shared" ref="G34:G38" si="85">MAX(B34+F34,-7)</f>
        <v>-7</v>
      </c>
      <c r="H34" s="44">
        <f t="shared" si="19"/>
        <v>-318.18181818181819</v>
      </c>
      <c r="J34" s="9">
        <v>-2.7252865511893392</v>
      </c>
      <c r="K34" s="185">
        <f>calibration!BG33</f>
        <v>0</v>
      </c>
      <c r="L34" s="185">
        <f>calibration!BV33</f>
        <v>0</v>
      </c>
      <c r="M34" s="185">
        <f t="shared" si="2"/>
        <v>0</v>
      </c>
      <c r="N34" s="9">
        <f t="shared" si="77"/>
        <v>0</v>
      </c>
      <c r="O34" s="9">
        <f t="shared" ref="O34:O36" si="86">MAX(J34+N34,-7)</f>
        <v>-2.7252865511893392</v>
      </c>
      <c r="P34" s="44">
        <f t="shared" si="78"/>
        <v>-100.56407937968042</v>
      </c>
      <c r="R34" s="9">
        <v>-2.3155138871218437</v>
      </c>
      <c r="S34" s="185">
        <f>calibration!BG59</f>
        <v>0</v>
      </c>
      <c r="T34" s="185">
        <f>calibration!BV59</f>
        <v>0</v>
      </c>
      <c r="U34" s="185">
        <f t="shared" si="4"/>
        <v>0</v>
      </c>
      <c r="V34" s="9">
        <f t="shared" si="79"/>
        <v>0</v>
      </c>
      <c r="W34" s="9">
        <f t="shared" ref="W34:W35" si="87">MAX(R34+V34,-7)</f>
        <v>-2.3155138871218437</v>
      </c>
      <c r="X34" s="44">
        <f t="shared" si="75"/>
        <v>-85.443316867964711</v>
      </c>
      <c r="Z34" s="9">
        <v>-7</v>
      </c>
      <c r="AA34" s="185">
        <f>calibration!BG85</f>
        <v>0</v>
      </c>
      <c r="AB34" s="185">
        <f>calibration!BV85</f>
        <v>0</v>
      </c>
      <c r="AC34" s="185">
        <f t="shared" si="6"/>
        <v>0</v>
      </c>
      <c r="AD34" s="9">
        <f t="shared" si="80"/>
        <v>0</v>
      </c>
      <c r="AE34" s="9">
        <f t="shared" ref="AE34:AE36" si="88">MAX(Z34+AD34,-7)</f>
        <v>-7</v>
      </c>
      <c r="AF34" s="44">
        <f t="shared" si="22"/>
        <v>-250.89605734767025</v>
      </c>
      <c r="AH34" s="9">
        <v>-3.8718673959859702</v>
      </c>
      <c r="AI34" s="185">
        <f>calibration!BG111</f>
        <v>0</v>
      </c>
      <c r="AJ34" s="185">
        <f>calibration!BV111</f>
        <v>0</v>
      </c>
      <c r="AK34" s="185">
        <f t="shared" si="8"/>
        <v>0</v>
      </c>
      <c r="AL34" s="9">
        <f t="shared" si="81"/>
        <v>0</v>
      </c>
      <c r="AM34" s="9">
        <f t="shared" ref="AM34:AM35" si="89">MAX(AH34+AL34,-7)</f>
        <v>-3.8718673959859702</v>
      </c>
      <c r="AN34" s="44">
        <f t="shared" si="82"/>
        <v>-138.77660917512438</v>
      </c>
      <c r="AP34" s="9">
        <v>-7</v>
      </c>
      <c r="AQ34" s="185">
        <f>calibration!BG137</f>
        <v>0</v>
      </c>
      <c r="AR34" s="185">
        <f>calibration!BV137</f>
        <v>0</v>
      </c>
      <c r="AS34" s="185">
        <f t="shared" si="10"/>
        <v>0</v>
      </c>
      <c r="AT34" s="9">
        <f t="shared" si="83"/>
        <v>0</v>
      </c>
      <c r="AU34" s="9">
        <f t="shared" ref="AU34:AU35" si="90">MAX(AP34+AT34,-7)</f>
        <v>-7</v>
      </c>
      <c r="AV34" s="44">
        <f t="shared" si="84"/>
        <v>-250.89605734767025</v>
      </c>
    </row>
    <row r="35" spans="1:48" x14ac:dyDescent="0.2">
      <c r="A35" s="3" t="s">
        <v>135</v>
      </c>
      <c r="B35" s="9">
        <v>0.22730191452352155</v>
      </c>
      <c r="C35" s="185">
        <f>calibration!$BG8</f>
        <v>0</v>
      </c>
      <c r="D35" s="185">
        <f>calibration!BV8</f>
        <v>0</v>
      </c>
      <c r="E35" s="185">
        <f t="shared" si="0"/>
        <v>0</v>
      </c>
      <c r="F35" s="9">
        <f t="shared" si="76"/>
        <v>0</v>
      </c>
      <c r="G35" s="9">
        <f t="shared" si="85"/>
        <v>0.22730191452352155</v>
      </c>
      <c r="H35" s="44">
        <f t="shared" si="19"/>
        <v>10.331905205614616</v>
      </c>
      <c r="J35" s="9">
        <v>-7</v>
      </c>
      <c r="K35" s="185">
        <f>calibration!BG34</f>
        <v>0</v>
      </c>
      <c r="L35" s="185">
        <f>calibration!BV34</f>
        <v>0</v>
      </c>
      <c r="M35" s="185">
        <f t="shared" si="2"/>
        <v>0</v>
      </c>
      <c r="N35" s="9">
        <f t="shared" si="77"/>
        <v>0</v>
      </c>
      <c r="O35" s="9">
        <f t="shared" si="86"/>
        <v>-7</v>
      </c>
      <c r="P35" s="44">
        <f t="shared" si="78"/>
        <v>-258.30258302583024</v>
      </c>
      <c r="R35" s="9">
        <v>0.61984619118278861</v>
      </c>
      <c r="S35" s="185">
        <f>calibration!BG60</f>
        <v>0</v>
      </c>
      <c r="T35" s="185">
        <f>calibration!BV60</f>
        <v>0</v>
      </c>
      <c r="U35" s="185">
        <f t="shared" si="4"/>
        <v>0</v>
      </c>
      <c r="V35" s="9">
        <f t="shared" si="79"/>
        <v>0</v>
      </c>
      <c r="W35" s="9">
        <f t="shared" si="87"/>
        <v>0.61984619118278861</v>
      </c>
      <c r="X35" s="44">
        <f t="shared" si="75"/>
        <v>22.872553180176702</v>
      </c>
      <c r="Z35" s="9">
        <v>-7</v>
      </c>
      <c r="AA35" s="185">
        <f>calibration!BG86</f>
        <v>0</v>
      </c>
      <c r="AB35" s="185">
        <f>calibration!BV86</f>
        <v>0</v>
      </c>
      <c r="AC35" s="185">
        <f t="shared" si="6"/>
        <v>0</v>
      </c>
      <c r="AD35" s="9">
        <f t="shared" si="80"/>
        <v>0</v>
      </c>
      <c r="AE35" s="9">
        <f t="shared" si="88"/>
        <v>-7</v>
      </c>
      <c r="AF35" s="44">
        <f t="shared" si="22"/>
        <v>-250.89605734767025</v>
      </c>
      <c r="AH35" s="9">
        <v>-1.3523144019203772</v>
      </c>
      <c r="AI35" s="185">
        <f>calibration!BG112</f>
        <v>0</v>
      </c>
      <c r="AJ35" s="185">
        <f>calibration!BV112</f>
        <v>0</v>
      </c>
      <c r="AK35" s="185">
        <f t="shared" si="8"/>
        <v>0</v>
      </c>
      <c r="AL35" s="9">
        <f t="shared" si="81"/>
        <v>0</v>
      </c>
      <c r="AM35" s="9">
        <f t="shared" si="89"/>
        <v>-1.3523144019203772</v>
      </c>
      <c r="AN35" s="44">
        <f t="shared" si="82"/>
        <v>-48.470050248042192</v>
      </c>
      <c r="AP35" s="9">
        <v>-0.36462068364988998</v>
      </c>
      <c r="AQ35" s="185">
        <f>calibration!BG138</f>
        <v>0</v>
      </c>
      <c r="AR35" s="185">
        <f>calibration!BV138</f>
        <v>0</v>
      </c>
      <c r="AS35" s="185">
        <f t="shared" si="10"/>
        <v>0</v>
      </c>
      <c r="AT35" s="9">
        <f t="shared" si="83"/>
        <v>0</v>
      </c>
      <c r="AU35" s="9">
        <f t="shared" si="90"/>
        <v>-0.36462068364988998</v>
      </c>
      <c r="AV35" s="44">
        <f t="shared" si="84"/>
        <v>-13.068841707881361</v>
      </c>
    </row>
    <row r="36" spans="1:48" x14ac:dyDescent="0.2">
      <c r="A36" s="3" t="s">
        <v>136</v>
      </c>
      <c r="B36" s="9">
        <v>-1.8111751330709855</v>
      </c>
      <c r="C36" s="185">
        <f>SUM(calibration!BG10:BG15)</f>
        <v>0</v>
      </c>
      <c r="D36" s="185">
        <f>SUM(calibration!BV10:BV15)</f>
        <v>0</v>
      </c>
      <c r="E36" s="185">
        <f t="shared" si="0"/>
        <v>0</v>
      </c>
      <c r="F36" s="9">
        <f t="shared" si="76"/>
        <v>0</v>
      </c>
      <c r="G36" s="9">
        <f t="shared" si="85"/>
        <v>-1.8111751330709855</v>
      </c>
      <c r="H36" s="44">
        <f t="shared" si="19"/>
        <v>-82.326142412317523</v>
      </c>
      <c r="J36" s="9">
        <v>-1.583292632329778</v>
      </c>
      <c r="K36" s="185">
        <f>SUM(calibration!BG36:BG41)</f>
        <v>0</v>
      </c>
      <c r="L36" s="185">
        <f>SUM(calibration!BV36:BV41)</f>
        <v>0</v>
      </c>
      <c r="M36" s="185">
        <f t="shared" ref="M36" si="91">L36-K36</f>
        <v>0</v>
      </c>
      <c r="N36" s="9">
        <f t="shared" si="77"/>
        <v>0</v>
      </c>
      <c r="O36" s="9">
        <f t="shared" si="86"/>
        <v>-1.583292632329778</v>
      </c>
      <c r="P36" s="44">
        <f t="shared" si="78"/>
        <v>-58.424082373792551</v>
      </c>
      <c r="R36" s="9">
        <v>0</v>
      </c>
      <c r="S36" s="185">
        <f>SUM(calibration!BG62:BG67)</f>
        <v>0</v>
      </c>
      <c r="T36" s="185">
        <f>SUM(calibration!BV62:BV67)</f>
        <v>0</v>
      </c>
      <c r="U36" s="185">
        <f t="shared" ref="U36" si="92">T36-S36</f>
        <v>0</v>
      </c>
      <c r="V36" s="9">
        <f t="shared" si="79"/>
        <v>0</v>
      </c>
      <c r="W36" s="9">
        <v>0</v>
      </c>
      <c r="X36" s="44">
        <f t="shared" si="75"/>
        <v>0</v>
      </c>
      <c r="Z36" s="9">
        <v>-1.4047752635151107</v>
      </c>
      <c r="AA36" s="185">
        <f>SUM(calibration!BG88:BG93)</f>
        <v>0</v>
      </c>
      <c r="AB36" s="185">
        <f>SUM(calibration!BV88:BV93)</f>
        <v>0</v>
      </c>
      <c r="AC36" s="185">
        <f t="shared" ref="AC36" si="93">AB36-AA36</f>
        <v>0</v>
      </c>
      <c r="AD36" s="9">
        <f t="shared" si="80"/>
        <v>0</v>
      </c>
      <c r="AE36" s="9">
        <f t="shared" si="88"/>
        <v>-1.4047752635151107</v>
      </c>
      <c r="AF36" s="44">
        <f t="shared" si="22"/>
        <v>-50.350367867925115</v>
      </c>
      <c r="AH36" s="9">
        <v>-1.3680924690307217</v>
      </c>
      <c r="AI36" s="185">
        <f>SUM(calibration!BG114:BG119)</f>
        <v>0</v>
      </c>
      <c r="AJ36" s="185">
        <f>SUM(calibration!BV114:BV119)</f>
        <v>0</v>
      </c>
      <c r="AK36" s="185">
        <f t="shared" ref="AK36" si="94">AJ36-AI36</f>
        <v>0</v>
      </c>
      <c r="AL36" s="9">
        <f t="shared" si="81"/>
        <v>0</v>
      </c>
      <c r="AM36" s="9">
        <f t="shared" ref="AM36" si="95">MAX(AH36+AL36,-7)</f>
        <v>-1.3680924690307217</v>
      </c>
      <c r="AN36" s="44">
        <f t="shared" si="82"/>
        <v>-49.035572366692534</v>
      </c>
      <c r="AP36" s="9">
        <v>-1.4082341679188157</v>
      </c>
      <c r="AQ36" s="185">
        <f>SUM(calibration!BG140:BG145)</f>
        <v>0</v>
      </c>
      <c r="AR36" s="185">
        <f>SUM(calibration!BV140:BV145)</f>
        <v>0</v>
      </c>
      <c r="AS36" s="185">
        <f t="shared" ref="AS36" si="96">AR36-AQ36</f>
        <v>0</v>
      </c>
      <c r="AT36" s="9">
        <f t="shared" si="83"/>
        <v>0</v>
      </c>
      <c r="AU36" s="9">
        <f t="shared" ref="AU36" si="97">MAX(AP36+AT36,-7)</f>
        <v>-1.4082341679188157</v>
      </c>
      <c r="AV36" s="44">
        <f t="shared" si="84"/>
        <v>-50.474342936158266</v>
      </c>
    </row>
    <row r="37" spans="1:48" x14ac:dyDescent="0.2">
      <c r="A37" s="3" t="s">
        <v>324</v>
      </c>
      <c r="B37" s="9">
        <v>0.24417293396188533</v>
      </c>
      <c r="C37" s="185">
        <f>calibration!BG22</f>
        <v>0</v>
      </c>
      <c r="D37" s="185">
        <f>calibration!BV22</f>
        <v>0</v>
      </c>
      <c r="E37" s="185">
        <f t="shared" si="0"/>
        <v>0</v>
      </c>
      <c r="F37" s="9">
        <f t="shared" si="76"/>
        <v>0</v>
      </c>
      <c r="G37" s="9">
        <f t="shared" si="85"/>
        <v>0.24417293396188533</v>
      </c>
      <c r="H37" s="44">
        <f t="shared" si="19"/>
        <v>11.098769725540244</v>
      </c>
      <c r="J37" s="9">
        <v>-0.64748896820820201</v>
      </c>
      <c r="K37" s="185">
        <f>calibration!BG48</f>
        <v>0</v>
      </c>
      <c r="L37" s="185">
        <f>calibration!BV48</f>
        <v>0</v>
      </c>
      <c r="M37" s="185">
        <f t="shared" ref="M37:M39" si="98">L37-K37</f>
        <v>0</v>
      </c>
      <c r="N37" s="9">
        <f t="shared" si="77"/>
        <v>0</v>
      </c>
      <c r="O37" s="9">
        <f t="shared" ref="O37:O38" si="99">MAX(J37+N37,-7)</f>
        <v>-0.64748896820820201</v>
      </c>
      <c r="P37" s="44">
        <f t="shared" si="78"/>
        <v>-23.892581852701181</v>
      </c>
      <c r="R37" s="9">
        <v>-0.59879755193905637</v>
      </c>
      <c r="S37" s="185">
        <f>calibration!BG74</f>
        <v>0</v>
      </c>
      <c r="T37" s="185">
        <f>calibration!BV74</f>
        <v>0</v>
      </c>
      <c r="U37" s="185">
        <f t="shared" ref="U37:U39" si="100">T37-S37</f>
        <v>0</v>
      </c>
      <c r="V37" s="9">
        <f t="shared" si="79"/>
        <v>0</v>
      </c>
      <c r="W37" s="9">
        <f t="shared" ref="W37:W38" si="101">MAX(R37+V37,-7)</f>
        <v>-0.59879755193905637</v>
      </c>
      <c r="X37" s="44">
        <f t="shared" si="75"/>
        <v>-22.09585062505743</v>
      </c>
      <c r="Z37" s="9">
        <v>-7</v>
      </c>
      <c r="AA37" s="185">
        <f>calibration!BG100</f>
        <v>0</v>
      </c>
      <c r="AB37" s="185">
        <f>calibration!BV100</f>
        <v>0</v>
      </c>
      <c r="AC37" s="185">
        <f t="shared" ref="AC37:AC39" si="102">AB37-AA37</f>
        <v>0</v>
      </c>
      <c r="AD37" s="9">
        <f t="shared" si="80"/>
        <v>0</v>
      </c>
      <c r="AE37" s="9">
        <f t="shared" ref="AE37:AE38" si="103">MAX(Z37+AD37,-7)</f>
        <v>-7</v>
      </c>
      <c r="AF37" s="44">
        <f t="shared" si="22"/>
        <v>-250.89605734767025</v>
      </c>
      <c r="AH37" s="9">
        <v>-7</v>
      </c>
      <c r="AI37" s="185">
        <f>calibration!BG126</f>
        <v>0</v>
      </c>
      <c r="AJ37" s="185">
        <f>calibration!BV126</f>
        <v>0</v>
      </c>
      <c r="AK37" s="185">
        <f t="shared" ref="AK37:AK39" si="104">AJ37-AI37</f>
        <v>0</v>
      </c>
      <c r="AL37" s="9">
        <f t="shared" si="81"/>
        <v>0</v>
      </c>
      <c r="AM37" s="9">
        <f t="shared" ref="AM37:AM38" si="105">MAX(AH37+AL37,-7)</f>
        <v>-7</v>
      </c>
      <c r="AN37" s="44">
        <f t="shared" si="82"/>
        <v>-250.89605734767025</v>
      </c>
      <c r="AP37" s="9">
        <v>0.19344426539634008</v>
      </c>
      <c r="AQ37" s="185">
        <f>calibration!BG152</f>
        <v>0</v>
      </c>
      <c r="AR37" s="185">
        <f>calibration!BV152</f>
        <v>0</v>
      </c>
      <c r="AS37" s="185">
        <f t="shared" ref="AS37:AS39" si="106">AR37-AQ37</f>
        <v>0</v>
      </c>
      <c r="AT37" s="9">
        <f t="shared" si="83"/>
        <v>0</v>
      </c>
      <c r="AU37" s="9">
        <f t="shared" ref="AU37:AU38" si="107">MAX(AP37+AT37,-7)</f>
        <v>0.19344426539634008</v>
      </c>
      <c r="AV37" s="44">
        <f t="shared" si="84"/>
        <v>6.9334862149225831</v>
      </c>
    </row>
    <row r="38" spans="1:48" x14ac:dyDescent="0.2">
      <c r="A38" s="3" t="s">
        <v>325</v>
      </c>
      <c r="B38" s="9">
        <v>-3.0814157599998837E-2</v>
      </c>
      <c r="C38" s="185">
        <f>calibration!BG23</f>
        <v>0</v>
      </c>
      <c r="D38" s="185">
        <f>calibration!BV23</f>
        <v>0</v>
      </c>
      <c r="E38" s="185">
        <f t="shared" si="0"/>
        <v>0</v>
      </c>
      <c r="F38" s="9">
        <f t="shared" si="76"/>
        <v>0</v>
      </c>
      <c r="G38" s="9">
        <f t="shared" si="85"/>
        <v>-3.0814157599998837E-2</v>
      </c>
      <c r="H38" s="44">
        <f t="shared" si="19"/>
        <v>-1.4006435272726745</v>
      </c>
      <c r="J38" s="9">
        <v>0.14804412974127956</v>
      </c>
      <c r="K38" s="185">
        <f>calibration!BG49</f>
        <v>0</v>
      </c>
      <c r="L38" s="185">
        <f>calibration!BV49</f>
        <v>0</v>
      </c>
      <c r="M38" s="185">
        <f t="shared" si="98"/>
        <v>0</v>
      </c>
      <c r="N38" s="9">
        <f t="shared" si="77"/>
        <v>0</v>
      </c>
      <c r="O38" s="9">
        <f t="shared" si="99"/>
        <v>0.14804412974127956</v>
      </c>
      <c r="P38" s="44">
        <f t="shared" si="78"/>
        <v>5.4628830162833788</v>
      </c>
      <c r="R38" s="9">
        <v>0.13047709044330735</v>
      </c>
      <c r="S38" s="185">
        <f>calibration!BG75</f>
        <v>0</v>
      </c>
      <c r="T38" s="185">
        <f>calibration!BV75</f>
        <v>0</v>
      </c>
      <c r="U38" s="185">
        <f t="shared" si="100"/>
        <v>0</v>
      </c>
      <c r="V38" s="9">
        <f t="shared" si="79"/>
        <v>0</v>
      </c>
      <c r="W38" s="9">
        <f t="shared" si="101"/>
        <v>0.13047709044330735</v>
      </c>
      <c r="X38" s="44">
        <f t="shared" si="75"/>
        <v>4.8146527838858804</v>
      </c>
      <c r="Z38" s="9">
        <v>-1.4298614447149305E-2</v>
      </c>
      <c r="AA38" s="185">
        <f>calibration!BG101</f>
        <v>0</v>
      </c>
      <c r="AB38" s="185">
        <f>calibration!BV101</f>
        <v>0</v>
      </c>
      <c r="AC38" s="185">
        <f t="shared" si="102"/>
        <v>0</v>
      </c>
      <c r="AD38" s="9">
        <f t="shared" si="80"/>
        <v>0</v>
      </c>
      <c r="AE38" s="9">
        <f t="shared" si="103"/>
        <v>-1.4298614447149305E-2</v>
      </c>
      <c r="AF38" s="44">
        <f t="shared" si="22"/>
        <v>-0.51249514147488551</v>
      </c>
      <c r="AH38" s="9">
        <v>8.3433665209493579E-3</v>
      </c>
      <c r="AI38" s="185">
        <f>calibration!BG127</f>
        <v>0</v>
      </c>
      <c r="AJ38" s="185">
        <f>calibration!BV127</f>
        <v>0</v>
      </c>
      <c r="AK38" s="185">
        <f t="shared" si="104"/>
        <v>0</v>
      </c>
      <c r="AL38" s="9">
        <f t="shared" si="81"/>
        <v>0</v>
      </c>
      <c r="AM38" s="9">
        <f t="shared" si="105"/>
        <v>8.3433665209493579E-3</v>
      </c>
      <c r="AN38" s="44">
        <f t="shared" si="82"/>
        <v>0.299045395016106</v>
      </c>
      <c r="AP38" s="9">
        <v>0.10530543766163236</v>
      </c>
      <c r="AQ38" s="185">
        <f>calibration!BG153</f>
        <v>0</v>
      </c>
      <c r="AR38" s="185">
        <f>calibration!BV153</f>
        <v>0</v>
      </c>
      <c r="AS38" s="185">
        <f t="shared" si="106"/>
        <v>0</v>
      </c>
      <c r="AT38" s="9">
        <f t="shared" si="83"/>
        <v>0</v>
      </c>
      <c r="AU38" s="9">
        <f t="shared" si="107"/>
        <v>0.10530543766163236</v>
      </c>
      <c r="AV38" s="44">
        <f t="shared" si="84"/>
        <v>3.7743884466534894</v>
      </c>
    </row>
    <row r="39" spans="1:48" s="8" customFormat="1" x14ac:dyDescent="0.2">
      <c r="A39" s="4" t="s">
        <v>326</v>
      </c>
      <c r="B39" s="10">
        <v>0</v>
      </c>
      <c r="C39" s="33">
        <f>calibration!BG24</f>
        <v>0</v>
      </c>
      <c r="D39" s="33">
        <f>calibration!BV24</f>
        <v>0</v>
      </c>
      <c r="E39" s="33">
        <f t="shared" si="0"/>
        <v>0</v>
      </c>
      <c r="F39" s="10"/>
      <c r="G39" s="10">
        <v>0</v>
      </c>
      <c r="H39" s="45">
        <v>0</v>
      </c>
      <c r="I39" s="51"/>
      <c r="J39" s="10">
        <v>0</v>
      </c>
      <c r="K39" s="33">
        <f>calibration!BG50</f>
        <v>0</v>
      </c>
      <c r="L39" s="33">
        <f>calibration!BV50</f>
        <v>0</v>
      </c>
      <c r="M39" s="33">
        <f t="shared" si="98"/>
        <v>0</v>
      </c>
      <c r="N39" s="10"/>
      <c r="O39" s="10">
        <v>0</v>
      </c>
      <c r="P39" s="45">
        <f t="shared" si="78"/>
        <v>0</v>
      </c>
      <c r="Q39" s="51"/>
      <c r="R39" s="10">
        <v>0</v>
      </c>
      <c r="S39" s="33">
        <f>calibration!BG76</f>
        <v>0</v>
      </c>
      <c r="T39" s="33">
        <f>calibration!BV76</f>
        <v>0</v>
      </c>
      <c r="U39" s="33">
        <f t="shared" si="100"/>
        <v>0</v>
      </c>
      <c r="V39" s="10"/>
      <c r="W39" s="10">
        <v>0</v>
      </c>
      <c r="X39" s="45">
        <f t="shared" si="75"/>
        <v>0</v>
      </c>
      <c r="Y39" s="51"/>
      <c r="Z39" s="10">
        <v>0</v>
      </c>
      <c r="AA39" s="33">
        <f>calibration!BG102</f>
        <v>0</v>
      </c>
      <c r="AB39" s="33">
        <f>calibration!BV102</f>
        <v>0</v>
      </c>
      <c r="AC39" s="33">
        <f t="shared" si="102"/>
        <v>0</v>
      </c>
      <c r="AD39" s="10"/>
      <c r="AE39" s="10">
        <v>0</v>
      </c>
      <c r="AF39" s="45">
        <f t="shared" si="22"/>
        <v>0</v>
      </c>
      <c r="AG39" s="51"/>
      <c r="AH39" s="10">
        <v>0</v>
      </c>
      <c r="AI39" s="33">
        <f>calibration!BG128</f>
        <v>0</v>
      </c>
      <c r="AJ39" s="33">
        <f>calibration!BV128</f>
        <v>0</v>
      </c>
      <c r="AK39" s="33">
        <f t="shared" si="104"/>
        <v>0</v>
      </c>
      <c r="AL39" s="10"/>
      <c r="AM39" s="10">
        <v>0</v>
      </c>
      <c r="AN39" s="45">
        <f t="shared" si="82"/>
        <v>0</v>
      </c>
      <c r="AO39" s="51"/>
      <c r="AP39" s="10">
        <v>0</v>
      </c>
      <c r="AQ39" s="33">
        <f>calibration!BG154</f>
        <v>0</v>
      </c>
      <c r="AR39" s="33">
        <f>calibration!BV154</f>
        <v>0</v>
      </c>
      <c r="AS39" s="33">
        <f t="shared" si="106"/>
        <v>0</v>
      </c>
      <c r="AT39" s="10"/>
      <c r="AU39" s="10">
        <v>0</v>
      </c>
      <c r="AV39" s="45">
        <f t="shared" si="84"/>
        <v>0</v>
      </c>
    </row>
    <row r="40" spans="1:48" x14ac:dyDescent="0.2">
      <c r="A40" s="2" t="s">
        <v>100</v>
      </c>
      <c r="Z40" s="9">
        <v>0</v>
      </c>
      <c r="AA40" s="32">
        <f>calibration!AV162</f>
        <v>0</v>
      </c>
      <c r="AB40" s="32">
        <f>calibration!BK162</f>
        <v>0</v>
      </c>
      <c r="AC40" s="32">
        <f t="shared" si="6"/>
        <v>0</v>
      </c>
      <c r="AD40" s="9">
        <v>0</v>
      </c>
      <c r="AE40" s="9">
        <v>0</v>
      </c>
      <c r="AF40" s="44">
        <f t="shared" si="22"/>
        <v>0</v>
      </c>
      <c r="AH40" s="9">
        <v>0</v>
      </c>
      <c r="AM40" s="9">
        <f>AE40</f>
        <v>0</v>
      </c>
    </row>
    <row r="41" spans="1:48" x14ac:dyDescent="0.2">
      <c r="A41" s="2" t="s">
        <v>101</v>
      </c>
      <c r="Z41" s="9">
        <v>-8.0393611157072016</v>
      </c>
      <c r="AA41" s="32">
        <f>calibration!AV163</f>
        <v>0</v>
      </c>
      <c r="AB41" s="32">
        <f>calibration!BK163</f>
        <v>0</v>
      </c>
      <c r="AC41" s="32">
        <f t="shared" si="6"/>
        <v>0</v>
      </c>
      <c r="AD41" s="9">
        <f>IF(AND(AA41&lt;&gt;0,AB41&lt;&gt;0),indmaint_damp*(LN(AA41/AB41)-LN(1-SUM(AA$41:AA$43))+LN(1-SUM(AB$41:AB$43))),IF(AND(AA41=0,AB41&lt;&gt;0),indmaint_damp*LN(AB41),IF(AND(AA41&lt;&gt;0,AB41=0),indmaint_damp*LN(AA41),0)))</f>
        <v>0</v>
      </c>
      <c r="AE41" s="9">
        <f t="shared" ref="AE41" si="108">Z41+AD41</f>
        <v>-8.0393611157072016</v>
      </c>
      <c r="AF41" s="44">
        <f t="shared" si="22"/>
        <v>-288.14914393215776</v>
      </c>
      <c r="AH41" s="9">
        <v>-8.0393611157072016</v>
      </c>
      <c r="AM41" s="9">
        <f t="shared" ref="AM41:AM68" si="109">AE41</f>
        <v>-8.0393611157072016</v>
      </c>
    </row>
    <row r="42" spans="1:48" x14ac:dyDescent="0.2">
      <c r="A42" s="2" t="s">
        <v>102</v>
      </c>
      <c r="Z42" s="9">
        <v>-7</v>
      </c>
      <c r="AA42" s="48">
        <f>calibration!AV164</f>
        <v>0</v>
      </c>
      <c r="AB42" s="32">
        <f>calibration!BK164</f>
        <v>0</v>
      </c>
      <c r="AC42" s="32">
        <f t="shared" si="6"/>
        <v>0</v>
      </c>
      <c r="AD42" s="9">
        <f>IF(AND(AA42&lt;&gt;0,AB42&lt;&gt;0),indmaint_damp*(LN(AA42/AB42)-LN(1-SUM(AA$41:AA$43))+LN(1-SUM(AB$41:AB$43))),IF(AND(AA42=0,AB42&lt;&gt;0),indmaint_damp*LN(AB42),IF(AND(AA42&lt;&gt;0,AB42=0),indmaint_damp*LN(AA42),0)))</f>
        <v>0</v>
      </c>
      <c r="AE42" s="9">
        <f>MAX(Z42+AD42,-7)</f>
        <v>-7</v>
      </c>
      <c r="AF42" s="44">
        <f t="shared" si="22"/>
        <v>-250.89605734767025</v>
      </c>
      <c r="AH42" s="9">
        <v>-7</v>
      </c>
      <c r="AM42" s="9">
        <f t="shared" si="109"/>
        <v>-7</v>
      </c>
    </row>
    <row r="43" spans="1:48" s="8" customFormat="1" x14ac:dyDescent="0.2">
      <c r="A43" s="8" t="s">
        <v>137</v>
      </c>
      <c r="I43" s="51"/>
      <c r="Q43" s="51"/>
      <c r="Y43" s="51"/>
      <c r="Z43" s="10">
        <v>-7</v>
      </c>
      <c r="AA43" s="33">
        <f>SUM(calibration!$AV178:$AV180)</f>
        <v>0</v>
      </c>
      <c r="AB43" s="33">
        <f>SUM(calibration!$BK178:$BK180)</f>
        <v>0</v>
      </c>
      <c r="AC43" s="33">
        <f t="shared" si="6"/>
        <v>0</v>
      </c>
      <c r="AD43" s="10">
        <f>IF(AND(AA43&lt;&gt;0,AB43&lt;&gt;0),indmaint_damp*(LN(AA43/AB43)-LN(1-SUM(AA$41:AA$43))+LN(1-SUM(AB$41:AB$43))),IF(AND(AA43=0,AB43&lt;&gt;0),indmaint_damp*LN(AB43),IF(AND(AA43&lt;&gt;0,AB43=0),indmaint_damp*LN(AA43),0)))</f>
        <v>0</v>
      </c>
      <c r="AE43" s="9">
        <f>MAX(Z43+AD43,-7)</f>
        <v>-7</v>
      </c>
      <c r="AF43" s="45">
        <f t="shared" si="22"/>
        <v>-250.89605734767025</v>
      </c>
      <c r="AG43" s="51"/>
      <c r="AH43" s="10">
        <v>-7</v>
      </c>
      <c r="AM43" s="10">
        <f t="shared" si="109"/>
        <v>-7</v>
      </c>
      <c r="AO43" s="51"/>
    </row>
    <row r="44" spans="1:48" x14ac:dyDescent="0.2">
      <c r="A44" s="2" t="s">
        <v>146</v>
      </c>
      <c r="Z44" s="9">
        <v>-7</v>
      </c>
      <c r="AA44" s="33">
        <f>SUM(calibration!$AY178:$AY180)</f>
        <v>0</v>
      </c>
      <c r="AB44" s="33">
        <f>SUM(calibration!$BN178:$BN180)</f>
        <v>0</v>
      </c>
      <c r="AC44" s="33">
        <f t="shared" ref="AC44" si="110">AB44-AA44</f>
        <v>0</v>
      </c>
      <c r="AD44" s="10">
        <f>IF(AND(AA44&lt;&gt;0,AB44&lt;&gt;0),indmaint_damp*(LN(AA44/AB44)-LN(1-SUM(AA$44:AA$44))+LN(1-SUM(AB$44:AB$44))),IF(AND(AA44=0,AB44&lt;&gt;0),indmaint_damp*LN(AB44),IF(AND(AA44&lt;&gt;0,AB44=0),indmaint_damp*LN(AA44),0)))</f>
        <v>0</v>
      </c>
      <c r="AE44" s="69">
        <f>MAX(Z44+AD44,-7)</f>
        <v>-7</v>
      </c>
      <c r="AF44" s="44">
        <f t="shared" ref="AF44" si="111">AE44/-othmaint_c_ivt</f>
        <v>-250.89605734767025</v>
      </c>
      <c r="AH44" s="9">
        <v>-7</v>
      </c>
      <c r="AM44" s="10">
        <f t="shared" si="109"/>
        <v>-7</v>
      </c>
    </row>
    <row r="45" spans="1:48" s="14" customFormat="1" x14ac:dyDescent="0.2">
      <c r="A45" s="14" t="s">
        <v>103</v>
      </c>
      <c r="I45" s="50"/>
      <c r="Q45" s="50"/>
      <c r="Y45" s="50"/>
      <c r="Z45" s="35">
        <v>-7</v>
      </c>
      <c r="AA45" s="67">
        <f>calibration!AZ164</f>
        <v>0</v>
      </c>
      <c r="AB45" s="34">
        <f>calibration!BO164</f>
        <v>0</v>
      </c>
      <c r="AC45" s="34">
        <f t="shared" si="6"/>
        <v>0</v>
      </c>
      <c r="AD45" s="9">
        <f>IF(AND(AA45&lt;&gt;0,AB45&lt;&gt;0),indmaint_damp*(LN(AA45/AB45)-LN(1-SUM(AA$16:AA$17))+LN(1-SUM(AB$16:AB$17))),IF(AND(AA45=0,AB45&lt;&gt;0),indmaint_damp*LN(AB45),IF(AND(AA45&lt;&gt;0,AB45=0),indmaint_damp*LN(AA45),0)))</f>
        <v>0</v>
      </c>
      <c r="AE45" s="9">
        <f>MAX(Z45+AD45,-7)</f>
        <v>-7</v>
      </c>
      <c r="AF45" s="47">
        <f t="shared" si="22"/>
        <v>-250.89605734767025</v>
      </c>
      <c r="AG45" s="50"/>
      <c r="AH45" s="35">
        <v>-7</v>
      </c>
      <c r="AM45" s="35">
        <f t="shared" si="109"/>
        <v>-7</v>
      </c>
      <c r="AO45" s="50"/>
    </row>
    <row r="46" spans="1:48" s="8" customFormat="1" x14ac:dyDescent="0.2">
      <c r="A46" s="8" t="s">
        <v>138</v>
      </c>
      <c r="I46" s="51"/>
      <c r="Q46" s="51"/>
      <c r="Y46" s="51"/>
      <c r="Z46" s="10">
        <v>-41.486737369203425</v>
      </c>
      <c r="AA46" s="33">
        <f>SUM(calibration!$AZ178:$AZ180)</f>
        <v>0</v>
      </c>
      <c r="AB46" s="33">
        <f>SUM(calibration!$BO178:$BO180)</f>
        <v>0</v>
      </c>
      <c r="AC46" s="33">
        <f t="shared" si="6"/>
        <v>0</v>
      </c>
      <c r="AD46" s="10">
        <f>IF(AND(AA46&lt;&gt;0,AB46&lt;&gt;0),indmaint_damp*(LN(AA46/AB46)-LN(1-SUM(AA$16:AA$17))+LN(1-SUM(AB$16:AB$17))),IF(AND(AA46=0,AB46&lt;&gt;0),indmaint_damp*LN(AB46),IF(AND(AA46&lt;&gt;0,AB46=0),indmaint_damp*LN(AA46),0)))</f>
        <v>0</v>
      </c>
      <c r="AE46" s="10">
        <f t="shared" ref="AE46" si="112">Z46+AD46</f>
        <v>-41.486737369203425</v>
      </c>
      <c r="AF46" s="45">
        <f t="shared" ref="AF46:AF68" si="113">AE46/-othmaint_c_ivt</f>
        <v>-1486.979834021628</v>
      </c>
      <c r="AG46" s="51"/>
      <c r="AH46" s="10">
        <v>-41.486737369203425</v>
      </c>
      <c r="AM46" s="10">
        <f t="shared" si="109"/>
        <v>-41.486737369203425</v>
      </c>
      <c r="AO46" s="51"/>
    </row>
    <row r="47" spans="1:48" x14ac:dyDescent="0.2">
      <c r="A47" s="2" t="s">
        <v>104</v>
      </c>
      <c r="Z47" s="9">
        <v>0</v>
      </c>
      <c r="AA47" s="32">
        <f>calibration!$BA167</f>
        <v>0</v>
      </c>
      <c r="AB47" s="32">
        <f>calibration!$BP167</f>
        <v>0</v>
      </c>
      <c r="AC47" s="32">
        <f t="shared" si="6"/>
        <v>0</v>
      </c>
      <c r="AD47" s="9">
        <f t="shared" ref="AD47:AD55" si="114">IF(AND(AA47&lt;&gt;0,AB47&lt;&gt;0),indmaint_damp*(LN(AA47/AB47)-LN(1-SUM(AA$47:AA$55))+LN(1-SUM(AB$47:AB$55))),IF(AND(AA47=0,AB47&lt;&gt;0),indmaint_damp*LN(AB47),IF(AND(AA47&lt;&gt;0,AB47=0),indmaint_damp*LN(AA47),0)))</f>
        <v>0</v>
      </c>
      <c r="AE47" s="9">
        <f>MAX(Z47+AD47,0)</f>
        <v>0</v>
      </c>
      <c r="AF47" s="44">
        <f t="shared" si="113"/>
        <v>0</v>
      </c>
      <c r="AH47" s="9">
        <v>0</v>
      </c>
      <c r="AM47" s="9">
        <f t="shared" si="109"/>
        <v>0</v>
      </c>
    </row>
    <row r="48" spans="1:48" x14ac:dyDescent="0.2">
      <c r="A48" s="2" t="s">
        <v>105</v>
      </c>
      <c r="Z48" s="9">
        <v>0</v>
      </c>
      <c r="AA48" s="32">
        <f>calibration!$BA168</f>
        <v>0</v>
      </c>
      <c r="AB48" s="32">
        <f>calibration!$BP168</f>
        <v>0</v>
      </c>
      <c r="AC48" s="32">
        <f t="shared" si="6"/>
        <v>0</v>
      </c>
      <c r="AD48" s="9">
        <f>IF(AND(AA48&lt;&gt;0,AB48&lt;&gt;0),indmaint_damp*(LN(AA48/AB48)-LN(1-SUM(AA$47:AA$55))+LN(1-SUM(AB$47:AB$55))),IF(AND(AA48=0,AB48&lt;&gt;0),indmaint_damp*LN(AB48),IF(AND(AA48&lt;&gt;0,AB48=0),indmaint_damp*LN(AA48),0)))</f>
        <v>0</v>
      </c>
      <c r="AE48" s="9">
        <f t="shared" ref="AE48:AE51" si="115">MAX(Z48+AD48,0)</f>
        <v>0</v>
      </c>
      <c r="AF48" s="44">
        <f t="shared" si="113"/>
        <v>0</v>
      </c>
      <c r="AH48" s="9">
        <v>0</v>
      </c>
      <c r="AM48" s="9">
        <f t="shared" si="109"/>
        <v>0</v>
      </c>
    </row>
    <row r="49" spans="1:41" x14ac:dyDescent="0.2">
      <c r="A49" s="2" t="s">
        <v>106</v>
      </c>
      <c r="Z49" s="9">
        <v>0</v>
      </c>
      <c r="AA49" s="32">
        <f>calibration!$BA169</f>
        <v>0</v>
      </c>
      <c r="AB49" s="32">
        <f>calibration!$BP169</f>
        <v>0</v>
      </c>
      <c r="AC49" s="32">
        <f t="shared" si="6"/>
        <v>0</v>
      </c>
      <c r="AD49" s="9">
        <f t="shared" si="114"/>
        <v>0</v>
      </c>
      <c r="AE49" s="9">
        <f t="shared" si="115"/>
        <v>0</v>
      </c>
      <c r="AF49" s="44">
        <f t="shared" si="113"/>
        <v>0</v>
      </c>
      <c r="AH49" s="9">
        <v>0</v>
      </c>
      <c r="AM49" s="9">
        <f t="shared" si="109"/>
        <v>0</v>
      </c>
    </row>
    <row r="50" spans="1:41" x14ac:dyDescent="0.2">
      <c r="A50" s="2" t="s">
        <v>107</v>
      </c>
      <c r="Z50" s="9">
        <v>0</v>
      </c>
      <c r="AA50" s="32">
        <f>calibration!$BA170</f>
        <v>0</v>
      </c>
      <c r="AB50" s="32">
        <f>calibration!$BP170</f>
        <v>0</v>
      </c>
      <c r="AC50" s="32">
        <f t="shared" si="6"/>
        <v>0</v>
      </c>
      <c r="AD50" s="9">
        <f t="shared" si="114"/>
        <v>0</v>
      </c>
      <c r="AE50" s="9">
        <f t="shared" si="115"/>
        <v>0</v>
      </c>
      <c r="AF50" s="44">
        <f t="shared" si="113"/>
        <v>0</v>
      </c>
      <c r="AH50" s="9">
        <v>0</v>
      </c>
      <c r="AM50" s="9">
        <f t="shared" si="109"/>
        <v>0</v>
      </c>
    </row>
    <row r="51" spans="1:41" x14ac:dyDescent="0.2">
      <c r="A51" s="2" t="s">
        <v>108</v>
      </c>
      <c r="Z51" s="9">
        <v>0</v>
      </c>
      <c r="AA51" s="32">
        <f>calibration!$BA171</f>
        <v>0</v>
      </c>
      <c r="AB51" s="32">
        <f>calibration!$BP171</f>
        <v>0</v>
      </c>
      <c r="AC51" s="32">
        <f t="shared" si="6"/>
        <v>0</v>
      </c>
      <c r="AD51" s="9">
        <f t="shared" si="114"/>
        <v>0</v>
      </c>
      <c r="AE51" s="9">
        <f t="shared" si="115"/>
        <v>0</v>
      </c>
      <c r="AF51" s="44">
        <f t="shared" si="113"/>
        <v>0</v>
      </c>
      <c r="AH51" s="9">
        <v>0</v>
      </c>
      <c r="AM51" s="9">
        <f t="shared" si="109"/>
        <v>0</v>
      </c>
    </row>
    <row r="52" spans="1:41" x14ac:dyDescent="0.2">
      <c r="A52" s="2" t="s">
        <v>109</v>
      </c>
      <c r="Z52" s="9">
        <v>-7</v>
      </c>
      <c r="AA52" s="48">
        <f>calibration!BA162</f>
        <v>0</v>
      </c>
      <c r="AB52" s="32">
        <f>calibration!BP162</f>
        <v>0</v>
      </c>
      <c r="AC52" s="32">
        <f t="shared" si="6"/>
        <v>0</v>
      </c>
      <c r="AD52" s="9">
        <f t="shared" si="114"/>
        <v>0</v>
      </c>
      <c r="AE52" s="9">
        <f>MAX(Z52+AD52,-7)</f>
        <v>-7</v>
      </c>
      <c r="AF52" s="44">
        <f t="shared" si="113"/>
        <v>-250.89605734767025</v>
      </c>
      <c r="AH52" s="9">
        <v>-7</v>
      </c>
      <c r="AM52" s="9">
        <f t="shared" si="109"/>
        <v>-7</v>
      </c>
    </row>
    <row r="53" spans="1:41" x14ac:dyDescent="0.2">
      <c r="A53" s="2" t="s">
        <v>110</v>
      </c>
      <c r="Z53" s="9">
        <v>-7</v>
      </c>
      <c r="AA53" s="48">
        <f>calibration!BA163</f>
        <v>0</v>
      </c>
      <c r="AB53" s="32">
        <f>calibration!BP163</f>
        <v>0</v>
      </c>
      <c r="AC53" s="32">
        <f t="shared" si="6"/>
        <v>0</v>
      </c>
      <c r="AD53" s="9">
        <f t="shared" si="114"/>
        <v>0</v>
      </c>
      <c r="AE53" s="9">
        <f>MAX(Z53+AD53,-7)</f>
        <v>-7</v>
      </c>
      <c r="AF53" s="44">
        <f t="shared" si="113"/>
        <v>-250.89605734767025</v>
      </c>
      <c r="AH53" s="9">
        <v>-7</v>
      </c>
      <c r="AM53" s="9">
        <f t="shared" si="109"/>
        <v>-7</v>
      </c>
    </row>
    <row r="54" spans="1:41" x14ac:dyDescent="0.2">
      <c r="A54" s="2" t="s">
        <v>111</v>
      </c>
      <c r="Z54" s="9">
        <v>-7</v>
      </c>
      <c r="AA54" s="48">
        <f>calibration!BA164</f>
        <v>0</v>
      </c>
      <c r="AB54" s="32">
        <f>calibration!BP164</f>
        <v>0</v>
      </c>
      <c r="AC54" s="32">
        <f t="shared" si="6"/>
        <v>0</v>
      </c>
      <c r="AD54" s="9">
        <f t="shared" si="114"/>
        <v>0</v>
      </c>
      <c r="AE54" s="9">
        <f t="shared" ref="AE54" si="116">Z54+AD54</f>
        <v>-7</v>
      </c>
      <c r="AF54" s="44">
        <f t="shared" si="113"/>
        <v>-250.89605734767025</v>
      </c>
      <c r="AH54" s="9">
        <v>-7</v>
      </c>
      <c r="AM54" s="9">
        <f t="shared" si="109"/>
        <v>-7</v>
      </c>
    </row>
    <row r="55" spans="1:41" s="8" customFormat="1" x14ac:dyDescent="0.2">
      <c r="A55" s="8" t="s">
        <v>139</v>
      </c>
      <c r="I55" s="51"/>
      <c r="Q55" s="51"/>
      <c r="Y55" s="51"/>
      <c r="Z55" s="10">
        <v>-1.3462300322571443</v>
      </c>
      <c r="AA55" s="33">
        <f>SUM(calibration!$BA178:$BA180)</f>
        <v>0</v>
      </c>
      <c r="AB55" s="33">
        <f>SUM(calibration!$BP178:$BP180)</f>
        <v>0</v>
      </c>
      <c r="AC55" s="33">
        <f t="shared" si="6"/>
        <v>0</v>
      </c>
      <c r="AD55" s="10">
        <f t="shared" si="114"/>
        <v>0</v>
      </c>
      <c r="AE55" s="10">
        <f>MAX(Z55+AD55,-7)</f>
        <v>-1.3462300322571443</v>
      </c>
      <c r="AF55" s="45">
        <f t="shared" si="113"/>
        <v>-48.251972482334921</v>
      </c>
      <c r="AG55" s="51"/>
      <c r="AH55" s="10">
        <v>-1.3462300322571443</v>
      </c>
      <c r="AM55" s="10">
        <f t="shared" si="109"/>
        <v>-1.3462300322571443</v>
      </c>
      <c r="AO55" s="51"/>
    </row>
    <row r="56" spans="1:41" x14ac:dyDescent="0.2">
      <c r="A56" s="2" t="s">
        <v>112</v>
      </c>
      <c r="Z56" s="9">
        <v>0</v>
      </c>
      <c r="AA56" s="32">
        <f>calibration!$BB173</f>
        <v>0</v>
      </c>
      <c r="AB56" s="32">
        <f>calibration!$BQ173</f>
        <v>0</v>
      </c>
      <c r="AC56" s="32">
        <f t="shared" si="6"/>
        <v>0</v>
      </c>
      <c r="AD56" s="9">
        <f t="shared" ref="AD56:AD61" si="117">IF(AND(AA56&lt;&gt;0,AB56&lt;&gt;0),indmaint_damp*(LN(AA56/AB56)-LN(1-SUM(AA$56:AA$61))+LN(1-SUM(AB$56:AB$61))),IF(AND(AA56=0,AB56&lt;&gt;0),indmaint_damp*LN(AB56),IF(AND(AA56&lt;&gt;0,AB56=0),indmaint_damp*LN(AA56),0)))</f>
        <v>0</v>
      </c>
      <c r="AE56" s="9">
        <f>MAX(Z56+AD56,0)</f>
        <v>0</v>
      </c>
      <c r="AF56" s="44">
        <f t="shared" si="113"/>
        <v>0</v>
      </c>
      <c r="AH56" s="9">
        <v>0</v>
      </c>
      <c r="AM56" s="9">
        <f t="shared" si="109"/>
        <v>0</v>
      </c>
    </row>
    <row r="57" spans="1:41" x14ac:dyDescent="0.2">
      <c r="A57" s="2" t="s">
        <v>113</v>
      </c>
      <c r="Z57" s="9">
        <v>0</v>
      </c>
      <c r="AA57" s="32">
        <f>calibration!$BB174</f>
        <v>0</v>
      </c>
      <c r="AB57" s="32">
        <f>calibration!$BQ174</f>
        <v>0</v>
      </c>
      <c r="AC57" s="32">
        <f t="shared" si="6"/>
        <v>0</v>
      </c>
      <c r="AD57" s="9">
        <f t="shared" si="117"/>
        <v>0</v>
      </c>
      <c r="AE57" s="9">
        <f t="shared" ref="AE57:AE60" si="118">MAX(Z57+AD57,0)</f>
        <v>0</v>
      </c>
      <c r="AF57" s="44">
        <f t="shared" si="113"/>
        <v>0</v>
      </c>
      <c r="AH57" s="9">
        <v>0</v>
      </c>
      <c r="AM57" s="9">
        <f t="shared" si="109"/>
        <v>0</v>
      </c>
    </row>
    <row r="58" spans="1:41" x14ac:dyDescent="0.2">
      <c r="A58" s="2" t="s">
        <v>114</v>
      </c>
      <c r="Z58" s="9">
        <v>0</v>
      </c>
      <c r="AA58" s="32">
        <f>calibration!$BB175</f>
        <v>0</v>
      </c>
      <c r="AB58" s="32">
        <f>calibration!$BQ175</f>
        <v>0</v>
      </c>
      <c r="AC58" s="32">
        <f t="shared" si="6"/>
        <v>0</v>
      </c>
      <c r="AD58" s="9">
        <f t="shared" si="117"/>
        <v>0</v>
      </c>
      <c r="AE58" s="9">
        <f t="shared" si="118"/>
        <v>0</v>
      </c>
      <c r="AF58" s="44">
        <f t="shared" si="113"/>
        <v>0</v>
      </c>
      <c r="AH58" s="9">
        <v>0</v>
      </c>
      <c r="AM58" s="9">
        <f t="shared" si="109"/>
        <v>0</v>
      </c>
    </row>
    <row r="59" spans="1:41" x14ac:dyDescent="0.2">
      <c r="A59" s="2" t="s">
        <v>115</v>
      </c>
      <c r="Z59" s="9">
        <v>0</v>
      </c>
      <c r="AA59" s="32">
        <f>calibration!$BB176</f>
        <v>0</v>
      </c>
      <c r="AB59" s="32">
        <f>calibration!$BQ176</f>
        <v>0</v>
      </c>
      <c r="AC59" s="32">
        <f t="shared" si="6"/>
        <v>0</v>
      </c>
      <c r="AD59" s="9">
        <f t="shared" si="117"/>
        <v>0</v>
      </c>
      <c r="AE59" s="9">
        <f t="shared" si="118"/>
        <v>0</v>
      </c>
      <c r="AF59" s="44">
        <f t="shared" si="113"/>
        <v>0</v>
      </c>
      <c r="AH59" s="9">
        <v>0</v>
      </c>
      <c r="AM59" s="9">
        <f t="shared" si="109"/>
        <v>0</v>
      </c>
    </row>
    <row r="60" spans="1:41" x14ac:dyDescent="0.2">
      <c r="A60" s="2" t="s">
        <v>116</v>
      </c>
      <c r="Z60" s="9">
        <v>0</v>
      </c>
      <c r="AA60" s="32">
        <f>calibration!$BB177</f>
        <v>0</v>
      </c>
      <c r="AB60" s="32">
        <f>calibration!$BQ177</f>
        <v>0</v>
      </c>
      <c r="AC60" s="32">
        <f t="shared" si="6"/>
        <v>0</v>
      </c>
      <c r="AD60" s="9">
        <f t="shared" si="117"/>
        <v>0</v>
      </c>
      <c r="AE60" s="9">
        <f t="shared" si="118"/>
        <v>0</v>
      </c>
      <c r="AF60" s="44">
        <f t="shared" si="113"/>
        <v>0</v>
      </c>
      <c r="AH60" s="9">
        <v>0</v>
      </c>
      <c r="AM60" s="9">
        <f t="shared" si="109"/>
        <v>0</v>
      </c>
    </row>
    <row r="61" spans="1:41" s="8" customFormat="1" x14ac:dyDescent="0.2">
      <c r="A61" s="8" t="s">
        <v>140</v>
      </c>
      <c r="I61" s="51"/>
      <c r="Q61" s="51"/>
      <c r="Y61" s="51"/>
      <c r="Z61" s="10">
        <v>-0.50558153685672202</v>
      </c>
      <c r="AA61" s="33">
        <f>SUM(calibration!$BB178:$BB180)</f>
        <v>0</v>
      </c>
      <c r="AB61" s="33">
        <f>SUM(calibration!$BQ178:$BQ180)</f>
        <v>0</v>
      </c>
      <c r="AC61" s="33">
        <f t="shared" si="6"/>
        <v>0</v>
      </c>
      <c r="AD61" s="10">
        <f t="shared" si="117"/>
        <v>0</v>
      </c>
      <c r="AE61" s="10">
        <f>MAX(Z61+AD61,-7)</f>
        <v>-0.50558153685672202</v>
      </c>
      <c r="AF61" s="45">
        <f t="shared" si="113"/>
        <v>-18.121202037875342</v>
      </c>
      <c r="AG61" s="51"/>
      <c r="AH61" s="10">
        <v>-0.50558153685672202</v>
      </c>
      <c r="AM61" s="10">
        <f>AE61</f>
        <v>-0.50558153685672202</v>
      </c>
      <c r="AO61" s="51"/>
    </row>
    <row r="62" spans="1:41" x14ac:dyDescent="0.2">
      <c r="A62" s="2" t="s">
        <v>141</v>
      </c>
      <c r="Z62" s="9">
        <v>-7</v>
      </c>
      <c r="AA62" s="34">
        <f>calibration!BG162</f>
        <v>0</v>
      </c>
      <c r="AB62" s="34">
        <f>calibration!BV162</f>
        <v>0</v>
      </c>
      <c r="AC62" s="34">
        <f t="shared" ref="AC62:AC64" si="119">AB62-AA62</f>
        <v>0</v>
      </c>
      <c r="AD62" s="35">
        <f t="shared" ref="AD62:AD67" si="120">IF(AND(AA62&lt;&gt;0,AB62&lt;&gt;0),indmaint_damp*(LN(AA62/AB62)-LN(1-SUM(AA$62:AA$67))+LN(1-SUM(AB$62:AB$67)+0.01)),IF(AND(AA62=0,AB62&lt;&gt;0),indmaint_damp*LN(AB62),IF(AND(AA62&lt;&gt;0,AB62=0),indmaint_damp*LN(AA62),0)))</f>
        <v>0</v>
      </c>
      <c r="AE62" s="35">
        <f>MAX(Z62+AD62,-7)</f>
        <v>-7</v>
      </c>
      <c r="AF62" s="47">
        <f t="shared" si="113"/>
        <v>-250.89605734767025</v>
      </c>
      <c r="AH62" s="9">
        <v>-7</v>
      </c>
      <c r="AM62" s="35">
        <f t="shared" si="109"/>
        <v>-7</v>
      </c>
    </row>
    <row r="63" spans="1:41" x14ac:dyDescent="0.2">
      <c r="A63" s="2" t="s">
        <v>142</v>
      </c>
      <c r="Z63" s="9">
        <v>-7</v>
      </c>
      <c r="AA63" s="185">
        <f>calibration!BG163</f>
        <v>0</v>
      </c>
      <c r="AB63" s="185">
        <f>calibration!BV163</f>
        <v>0</v>
      </c>
      <c r="AC63" s="185">
        <f t="shared" si="119"/>
        <v>0</v>
      </c>
      <c r="AD63" s="9">
        <f t="shared" si="120"/>
        <v>0</v>
      </c>
      <c r="AE63" s="9">
        <f t="shared" ref="AE63:AE65" si="121">MAX(Z63+AD63,-7)</f>
        <v>-7</v>
      </c>
      <c r="AF63" s="44">
        <f t="shared" si="113"/>
        <v>-250.89605734767025</v>
      </c>
      <c r="AH63" s="9">
        <v>-7</v>
      </c>
      <c r="AM63" s="9">
        <f t="shared" si="109"/>
        <v>-7</v>
      </c>
    </row>
    <row r="64" spans="1:41" x14ac:dyDescent="0.2">
      <c r="A64" s="2" t="s">
        <v>143</v>
      </c>
      <c r="Z64" s="9">
        <v>-7</v>
      </c>
      <c r="AA64" s="185">
        <f>calibration!BG164</f>
        <v>0</v>
      </c>
      <c r="AB64" s="185">
        <f>calibration!BV164</f>
        <v>0</v>
      </c>
      <c r="AC64" s="185">
        <f t="shared" si="119"/>
        <v>0</v>
      </c>
      <c r="AD64" s="9">
        <f t="shared" si="120"/>
        <v>0</v>
      </c>
      <c r="AE64" s="9">
        <f t="shared" si="121"/>
        <v>-7</v>
      </c>
      <c r="AF64" s="44">
        <f t="shared" si="113"/>
        <v>-250.89605734767025</v>
      </c>
      <c r="AH64" s="9">
        <v>-7</v>
      </c>
      <c r="AM64" s="9">
        <f t="shared" si="109"/>
        <v>-7</v>
      </c>
    </row>
    <row r="65" spans="1:39" x14ac:dyDescent="0.2">
      <c r="A65" s="2" t="s">
        <v>144</v>
      </c>
      <c r="Z65" s="9">
        <v>-0.56531380905006035</v>
      </c>
      <c r="AA65" s="185">
        <f>SUM(calibration!BG166:BG171)</f>
        <v>0</v>
      </c>
      <c r="AB65" s="185">
        <f>SUM(calibration!BV166:BV171)</f>
        <v>0</v>
      </c>
      <c r="AC65" s="185">
        <f t="shared" ref="AC65" si="122">AB65-AA65</f>
        <v>0</v>
      </c>
      <c r="AD65" s="9">
        <f t="shared" si="120"/>
        <v>0</v>
      </c>
      <c r="AE65" s="9">
        <f t="shared" si="121"/>
        <v>-0.56531380905006035</v>
      </c>
      <c r="AF65" s="44">
        <f t="shared" si="113"/>
        <v>-20.262143693550549</v>
      </c>
      <c r="AH65" s="9">
        <v>-0.56531380905006035</v>
      </c>
      <c r="AM65" s="9">
        <f t="shared" si="109"/>
        <v>-0.56531380905006035</v>
      </c>
    </row>
    <row r="66" spans="1:39" x14ac:dyDescent="0.2">
      <c r="A66" s="2" t="s">
        <v>327</v>
      </c>
      <c r="Z66" s="9">
        <v>-7</v>
      </c>
      <c r="AA66" s="185">
        <f>calibration!BG178</f>
        <v>0</v>
      </c>
      <c r="AB66" s="185">
        <f>calibration!BV178</f>
        <v>0</v>
      </c>
      <c r="AC66" s="185">
        <f t="shared" ref="AC66:AC68" si="123">AB66-AA66</f>
        <v>0</v>
      </c>
      <c r="AD66" s="9">
        <f t="shared" si="120"/>
        <v>0</v>
      </c>
      <c r="AE66" s="9">
        <f t="shared" ref="AE66:AE67" si="124">MAX(Z66+AD66,-7)</f>
        <v>-7</v>
      </c>
      <c r="AF66" s="44">
        <f t="shared" si="113"/>
        <v>-250.89605734767025</v>
      </c>
      <c r="AH66" s="9">
        <v>-7</v>
      </c>
      <c r="AM66" s="9">
        <f t="shared" si="109"/>
        <v>-7</v>
      </c>
    </row>
    <row r="67" spans="1:39" x14ac:dyDescent="0.2">
      <c r="A67" s="2" t="s">
        <v>328</v>
      </c>
      <c r="Z67" s="9">
        <v>-0.24695434747379874</v>
      </c>
      <c r="AA67" s="185">
        <f>calibration!BG179</f>
        <v>0</v>
      </c>
      <c r="AB67" s="185">
        <f>calibration!BV179</f>
        <v>0</v>
      </c>
      <c r="AC67" s="185">
        <f t="shared" si="123"/>
        <v>0</v>
      </c>
      <c r="AD67" s="9">
        <f t="shared" si="120"/>
        <v>0</v>
      </c>
      <c r="AE67" s="9">
        <f t="shared" si="124"/>
        <v>-0.24695434747379874</v>
      </c>
      <c r="AF67" s="44">
        <f t="shared" si="113"/>
        <v>-8.8514103037203853</v>
      </c>
      <c r="AH67" s="9">
        <v>-0.24695434747379874</v>
      </c>
      <c r="AM67" s="9">
        <f t="shared" si="109"/>
        <v>-0.24695434747379874</v>
      </c>
    </row>
    <row r="68" spans="1:39" x14ac:dyDescent="0.2">
      <c r="A68" s="2" t="s">
        <v>329</v>
      </c>
      <c r="Y68" s="51"/>
      <c r="Z68" s="10">
        <v>0</v>
      </c>
      <c r="AA68" s="33">
        <f>calibration!BG180</f>
        <v>0</v>
      </c>
      <c r="AB68" s="33">
        <f>calibration!BV180</f>
        <v>0</v>
      </c>
      <c r="AC68" s="33">
        <f t="shared" si="123"/>
        <v>0</v>
      </c>
      <c r="AD68" s="10"/>
      <c r="AE68" s="10">
        <v>0</v>
      </c>
      <c r="AF68" s="45">
        <f t="shared" si="113"/>
        <v>0</v>
      </c>
      <c r="AH68" s="10">
        <v>0</v>
      </c>
      <c r="AM68" s="10">
        <f t="shared" si="109"/>
        <v>0</v>
      </c>
    </row>
  </sheetData>
  <pageMargins left="0.1" right="0.1" top="0.75" bottom="0.75" header="0.3" footer="0.3"/>
  <pageSetup paperSize="5" scale="39" orientation="landscape" r:id="rId1"/>
  <ignoredErrors>
    <ignoredError sqref="G6 G1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DCA2-8869-45BC-9CA6-1E1742FAAAD9}">
  <sheetPr>
    <tabColor theme="8"/>
  </sheetPr>
  <dimension ref="B1:FH295"/>
  <sheetViews>
    <sheetView tabSelected="1" topLeftCell="AX5" zoomScale="80" zoomScaleNormal="80" workbookViewId="0">
      <selection activeCell="BM20" sqref="BM20"/>
    </sheetView>
  </sheetViews>
  <sheetFormatPr defaultRowHeight="12" x14ac:dyDescent="0.2"/>
  <cols>
    <col min="1" max="1" width="3.28515625" style="203" customWidth="1"/>
    <col min="2" max="2" width="22.42578125" style="203" customWidth="1"/>
    <col min="3" max="24" width="8.7109375" style="203" customWidth="1"/>
    <col min="25" max="25" width="9.140625" style="203"/>
    <col min="26" max="26" width="13" style="203" bestFit="1" customWidth="1"/>
    <col min="27" max="45" width="9.140625" style="203"/>
    <col min="46" max="46" width="10.85546875" style="203" bestFit="1" customWidth="1"/>
    <col min="47" max="48" width="9.140625" style="203"/>
    <col min="49" max="49" width="10.85546875" style="203" bestFit="1" customWidth="1"/>
    <col min="50" max="50" width="10.5703125" style="203" bestFit="1" customWidth="1"/>
    <col min="51" max="60" width="9.140625" style="203"/>
    <col min="61" max="62" width="10" style="203" bestFit="1" customWidth="1"/>
    <col min="63" max="63" width="9.140625" style="203"/>
    <col min="64" max="65" width="10" style="203" bestFit="1" customWidth="1"/>
    <col min="66" max="68" width="9.140625" style="203"/>
    <col min="69" max="69" width="10.85546875" style="203" bestFit="1" customWidth="1"/>
    <col min="70" max="71" width="9.140625" style="203"/>
    <col min="72" max="164" width="9.140625" style="282"/>
    <col min="165" max="16384" width="9.140625" style="203"/>
  </cols>
  <sheetData>
    <row r="1" spans="2:164" s="232" customFormat="1" ht="12.75" x14ac:dyDescent="0.2">
      <c r="B1" s="1" t="s">
        <v>351</v>
      </c>
      <c r="Y1" s="232" t="s">
        <v>354</v>
      </c>
      <c r="AV1" s="232" t="s">
        <v>348</v>
      </c>
      <c r="BT1" s="281"/>
      <c r="BU1" s="281" t="s">
        <v>358</v>
      </c>
      <c r="BV1" s="281"/>
      <c r="BW1" s="281"/>
      <c r="BX1" s="281"/>
      <c r="BY1" s="281"/>
      <c r="BZ1" s="281"/>
      <c r="CA1" s="281"/>
      <c r="CB1" s="281"/>
      <c r="CC1" s="281"/>
      <c r="CD1" s="281"/>
      <c r="CE1" s="281"/>
      <c r="CF1" s="281"/>
      <c r="CG1" s="281"/>
      <c r="CH1" s="281"/>
      <c r="CI1" s="281"/>
      <c r="CJ1" s="281"/>
      <c r="CK1" s="281"/>
      <c r="CL1" s="281"/>
      <c r="CM1" s="281"/>
      <c r="CN1" s="281"/>
      <c r="CO1" s="281"/>
      <c r="CP1" s="281"/>
      <c r="CQ1" s="281"/>
      <c r="CR1" s="281" t="s">
        <v>360</v>
      </c>
      <c r="CS1" s="281"/>
      <c r="CT1" s="281"/>
      <c r="CU1" s="281"/>
      <c r="CV1" s="281"/>
      <c r="CW1" s="281"/>
      <c r="CX1" s="281"/>
      <c r="CY1" s="281"/>
      <c r="CZ1" s="281"/>
      <c r="DA1" s="281"/>
      <c r="DB1" s="281"/>
      <c r="DC1" s="281"/>
      <c r="DD1" s="281"/>
      <c r="DE1" s="281"/>
      <c r="DF1" s="281"/>
      <c r="DG1" s="281"/>
      <c r="DH1" s="281"/>
      <c r="DI1" s="281"/>
      <c r="DJ1" s="281"/>
      <c r="DK1" s="281"/>
      <c r="DL1" s="281"/>
      <c r="DM1" s="281"/>
      <c r="DN1" s="281"/>
      <c r="DO1" s="281"/>
      <c r="DP1" s="281" t="s">
        <v>362</v>
      </c>
      <c r="DQ1" s="281"/>
      <c r="DR1" s="281"/>
      <c r="DS1" s="281"/>
      <c r="DT1" s="281"/>
      <c r="DU1" s="281"/>
      <c r="DV1" s="281"/>
      <c r="DW1" s="281"/>
      <c r="DX1" s="281"/>
      <c r="DY1" s="281"/>
      <c r="DZ1" s="281"/>
      <c r="EA1" s="281"/>
      <c r="EB1" s="281"/>
      <c r="EC1" s="281"/>
      <c r="ED1" s="281"/>
      <c r="EE1" s="281"/>
      <c r="EF1" s="281"/>
      <c r="EG1" s="281"/>
      <c r="EH1" s="281"/>
      <c r="EI1" s="281"/>
      <c r="EJ1" s="281"/>
      <c r="EK1" s="281"/>
      <c r="EL1" s="281"/>
      <c r="EM1" s="281" t="s">
        <v>364</v>
      </c>
      <c r="EN1" s="281"/>
      <c r="EO1" s="281"/>
      <c r="EP1" s="281"/>
      <c r="EQ1" s="281"/>
      <c r="ER1" s="281"/>
      <c r="ES1" s="281"/>
      <c r="ET1" s="281"/>
      <c r="EU1" s="281"/>
      <c r="EV1" s="281"/>
      <c r="EW1" s="281"/>
      <c r="EX1" s="281"/>
      <c r="EY1" s="281"/>
      <c r="EZ1" s="281"/>
      <c r="FA1" s="281"/>
      <c r="FB1" s="281"/>
      <c r="FC1" s="281"/>
      <c r="FD1" s="281"/>
      <c r="FE1" s="281"/>
      <c r="FF1" s="281"/>
      <c r="FG1" s="281"/>
      <c r="FH1" s="281"/>
    </row>
    <row r="2" spans="2:164" ht="12.75" x14ac:dyDescent="0.2">
      <c r="B2" s="204"/>
      <c r="H2" s="204"/>
    </row>
    <row r="3" spans="2:164" ht="12.75" x14ac:dyDescent="0.2">
      <c r="B3" s="205" t="s">
        <v>356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3" t="s">
        <v>357</v>
      </c>
      <c r="AV3" s="5" t="s">
        <v>355</v>
      </c>
      <c r="BU3" s="287" t="s">
        <v>359</v>
      </c>
      <c r="BV3" s="287"/>
      <c r="BW3" s="287"/>
      <c r="BX3" s="287"/>
      <c r="BY3" s="287"/>
      <c r="BZ3" s="287"/>
      <c r="CA3" s="287"/>
      <c r="CB3" s="287"/>
      <c r="CC3" s="287"/>
      <c r="CD3" s="287"/>
      <c r="CE3" s="287"/>
      <c r="CF3" s="287"/>
      <c r="CG3" s="287"/>
      <c r="CH3" s="287"/>
      <c r="CI3" s="287"/>
      <c r="CJ3" s="287"/>
      <c r="CK3" s="287"/>
      <c r="CL3" s="287"/>
      <c r="CM3" s="287"/>
      <c r="CN3" s="287"/>
      <c r="CO3" s="287"/>
      <c r="CP3" s="287"/>
      <c r="CQ3" s="287"/>
      <c r="CR3" s="287" t="s">
        <v>361</v>
      </c>
      <c r="CS3" s="287"/>
      <c r="CT3" s="287"/>
      <c r="CU3" s="287"/>
      <c r="CV3" s="287"/>
      <c r="CW3" s="287"/>
      <c r="CX3" s="287"/>
      <c r="CY3" s="287"/>
      <c r="CZ3" s="287"/>
      <c r="DA3" s="287"/>
      <c r="DB3" s="287"/>
      <c r="DC3" s="287"/>
      <c r="DD3" s="287"/>
      <c r="DE3" s="287"/>
      <c r="DF3" s="287"/>
      <c r="DG3" s="287"/>
      <c r="DH3" s="287"/>
      <c r="DI3" s="287"/>
      <c r="DJ3" s="287"/>
      <c r="DK3" s="287"/>
      <c r="DL3" s="287"/>
      <c r="DM3" s="287"/>
      <c r="DN3" s="287"/>
      <c r="DO3" s="287"/>
      <c r="DP3" s="287" t="s">
        <v>363</v>
      </c>
      <c r="DQ3" s="287"/>
      <c r="DR3" s="287"/>
      <c r="DS3" s="287"/>
      <c r="DT3" s="287"/>
      <c r="DU3" s="287"/>
      <c r="DV3" s="287"/>
      <c r="DW3" s="287"/>
      <c r="DX3" s="287"/>
      <c r="DY3" s="287"/>
      <c r="DZ3" s="287"/>
      <c r="EA3" s="287"/>
      <c r="EB3" s="287"/>
      <c r="EC3" s="287"/>
      <c r="ED3" s="287"/>
      <c r="EE3" s="287"/>
      <c r="EF3" s="287"/>
      <c r="EG3" s="287"/>
      <c r="EH3" s="287"/>
      <c r="EI3" s="287"/>
      <c r="EJ3" s="287"/>
      <c r="EK3" s="287"/>
      <c r="EL3" s="287"/>
      <c r="EM3" s="287" t="s">
        <v>365</v>
      </c>
      <c r="EN3" s="287"/>
      <c r="EO3" s="287"/>
      <c r="EP3" s="287"/>
      <c r="EQ3" s="287"/>
      <c r="ER3" s="287"/>
      <c r="ES3" s="287"/>
      <c r="ET3" s="287"/>
      <c r="EU3" s="287"/>
      <c r="EV3" s="287"/>
      <c r="EW3" s="287"/>
      <c r="EX3" s="287"/>
      <c r="EY3" s="287"/>
      <c r="EZ3" s="287"/>
      <c r="FA3" s="287"/>
      <c r="FB3" s="287"/>
      <c r="FC3" s="287"/>
      <c r="FD3" s="287"/>
      <c r="FE3" s="287"/>
      <c r="FF3" s="287"/>
      <c r="FG3" s="287"/>
      <c r="FH3" s="287"/>
    </row>
    <row r="4" spans="2:164" x14ac:dyDescent="0.2">
      <c r="B4" s="203" t="s">
        <v>234</v>
      </c>
      <c r="Y4" s="203" t="s">
        <v>234</v>
      </c>
      <c r="AV4" s="203" t="s">
        <v>234</v>
      </c>
      <c r="BU4" s="287" t="s">
        <v>234</v>
      </c>
      <c r="BV4" s="287"/>
      <c r="BW4" s="287"/>
      <c r="BX4" s="287"/>
      <c r="BY4" s="287"/>
      <c r="BZ4" s="287"/>
      <c r="CA4" s="287"/>
      <c r="CB4" s="287"/>
      <c r="CC4" s="287"/>
      <c r="CD4" s="287"/>
      <c r="CE4" s="287"/>
      <c r="CF4" s="287"/>
      <c r="CG4" s="287"/>
      <c r="CH4" s="287"/>
      <c r="CI4" s="287"/>
      <c r="CJ4" s="287"/>
      <c r="CK4" s="287"/>
      <c r="CL4" s="287"/>
      <c r="CM4" s="287"/>
      <c r="CN4" s="287"/>
      <c r="CO4" s="287"/>
      <c r="CP4" s="287"/>
      <c r="CQ4" s="287"/>
      <c r="CR4" s="287" t="s">
        <v>234</v>
      </c>
      <c r="CS4" s="287"/>
      <c r="CT4" s="287"/>
      <c r="CU4" s="287"/>
      <c r="CV4" s="287"/>
      <c r="CW4" s="287"/>
      <c r="CX4" s="287"/>
      <c r="CY4" s="287"/>
      <c r="CZ4" s="287"/>
      <c r="DA4" s="287"/>
      <c r="DB4" s="287"/>
      <c r="DC4" s="287"/>
      <c r="DD4" s="287"/>
      <c r="DE4" s="287"/>
      <c r="DF4" s="287"/>
      <c r="DG4" s="287"/>
      <c r="DH4" s="287"/>
      <c r="DI4" s="287"/>
      <c r="DJ4" s="287"/>
      <c r="DK4" s="287"/>
      <c r="DL4" s="287"/>
      <c r="DM4" s="287"/>
      <c r="DN4" s="287"/>
      <c r="DO4" s="287"/>
      <c r="DP4" s="287" t="s">
        <v>234</v>
      </c>
      <c r="DQ4" s="287"/>
      <c r="DR4" s="287"/>
      <c r="DS4" s="287"/>
      <c r="DT4" s="287"/>
      <c r="DU4" s="287"/>
      <c r="DV4" s="287"/>
      <c r="DW4" s="287"/>
      <c r="DX4" s="287"/>
      <c r="DY4" s="287"/>
      <c r="DZ4" s="287"/>
      <c r="EA4" s="287"/>
      <c r="EB4" s="287"/>
      <c r="EC4" s="287"/>
      <c r="ED4" s="287"/>
      <c r="EE4" s="287"/>
      <c r="EF4" s="287"/>
      <c r="EG4" s="287"/>
      <c r="EH4" s="287"/>
      <c r="EI4" s="287"/>
      <c r="EJ4" s="287"/>
      <c r="EK4" s="287"/>
      <c r="EL4" s="287"/>
      <c r="EM4" s="287" t="s">
        <v>234</v>
      </c>
      <c r="EN4" s="287"/>
      <c r="EO4" s="287"/>
      <c r="EP4" s="287"/>
      <c r="EQ4" s="287"/>
      <c r="ER4" s="287"/>
      <c r="ES4" s="287"/>
      <c r="ET4" s="287"/>
      <c r="EU4" s="287"/>
      <c r="EV4" s="287"/>
      <c r="EW4" s="287"/>
      <c r="EX4" s="287"/>
      <c r="EY4" s="287"/>
      <c r="EZ4" s="287"/>
      <c r="FA4" s="287"/>
      <c r="FB4" s="287"/>
      <c r="FC4" s="287"/>
      <c r="FD4" s="287"/>
      <c r="FE4" s="287"/>
      <c r="FF4" s="287"/>
      <c r="FG4" s="287"/>
      <c r="FH4" s="287"/>
    </row>
    <row r="5" spans="2:164" ht="36" x14ac:dyDescent="0.2">
      <c r="B5" s="224" t="s">
        <v>330</v>
      </c>
      <c r="C5" s="225" t="s">
        <v>331</v>
      </c>
      <c r="D5" s="225" t="s">
        <v>332</v>
      </c>
      <c r="E5" s="225" t="s">
        <v>333</v>
      </c>
      <c r="F5" s="225" t="s">
        <v>2</v>
      </c>
      <c r="G5" s="225" t="s">
        <v>3</v>
      </c>
      <c r="H5" s="225" t="s">
        <v>334</v>
      </c>
      <c r="I5" s="225" t="s">
        <v>352</v>
      </c>
      <c r="J5" s="225" t="s">
        <v>346</v>
      </c>
      <c r="K5" s="225" t="s">
        <v>335</v>
      </c>
      <c r="L5" s="225" t="s">
        <v>336</v>
      </c>
      <c r="M5" s="225" t="s">
        <v>337</v>
      </c>
      <c r="N5" s="225" t="s">
        <v>338</v>
      </c>
      <c r="O5" s="225" t="s">
        <v>353</v>
      </c>
      <c r="P5" s="225" t="s">
        <v>347</v>
      </c>
      <c r="Q5" s="225" t="s">
        <v>339</v>
      </c>
      <c r="R5" s="225" t="s">
        <v>340</v>
      </c>
      <c r="S5" s="225" t="s">
        <v>341</v>
      </c>
      <c r="T5" s="225" t="s">
        <v>6</v>
      </c>
      <c r="U5" s="225" t="s">
        <v>342</v>
      </c>
      <c r="V5" s="225" t="s">
        <v>343</v>
      </c>
      <c r="W5" s="226" t="s">
        <v>7</v>
      </c>
      <c r="Y5" s="224" t="s">
        <v>330</v>
      </c>
      <c r="Z5" s="225" t="s">
        <v>331</v>
      </c>
      <c r="AA5" s="225" t="s">
        <v>332</v>
      </c>
      <c r="AB5" s="225" t="s">
        <v>333</v>
      </c>
      <c r="AC5" s="225" t="s">
        <v>2</v>
      </c>
      <c r="AD5" s="225" t="s">
        <v>3</v>
      </c>
      <c r="AE5" s="225" t="s">
        <v>334</v>
      </c>
      <c r="AF5" s="225" t="s">
        <v>352</v>
      </c>
      <c r="AG5" s="225" t="s">
        <v>346</v>
      </c>
      <c r="AH5" s="225" t="s">
        <v>335</v>
      </c>
      <c r="AI5" s="225" t="s">
        <v>336</v>
      </c>
      <c r="AJ5" s="225" t="s">
        <v>337</v>
      </c>
      <c r="AK5" s="225" t="s">
        <v>338</v>
      </c>
      <c r="AL5" s="225" t="s">
        <v>353</v>
      </c>
      <c r="AM5" s="225" t="s">
        <v>347</v>
      </c>
      <c r="AN5" s="225" t="s">
        <v>339</v>
      </c>
      <c r="AO5" s="225" t="s">
        <v>340</v>
      </c>
      <c r="AP5" s="225" t="s">
        <v>341</v>
      </c>
      <c r="AQ5" s="225" t="s">
        <v>6</v>
      </c>
      <c r="AR5" s="225" t="s">
        <v>342</v>
      </c>
      <c r="AS5" s="225" t="s">
        <v>343</v>
      </c>
      <c r="AT5" s="226" t="s">
        <v>7</v>
      </c>
      <c r="AV5" s="224" t="s">
        <v>330</v>
      </c>
      <c r="AW5" s="225" t="s">
        <v>331</v>
      </c>
      <c r="AX5" s="225" t="s">
        <v>332</v>
      </c>
      <c r="AY5" s="225" t="s">
        <v>333</v>
      </c>
      <c r="AZ5" s="225" t="s">
        <v>2</v>
      </c>
      <c r="BA5" s="225" t="s">
        <v>3</v>
      </c>
      <c r="BB5" s="225" t="s">
        <v>334</v>
      </c>
      <c r="BC5" s="225" t="s">
        <v>350</v>
      </c>
      <c r="BD5" s="225" t="s">
        <v>346</v>
      </c>
      <c r="BE5" s="225" t="s">
        <v>335</v>
      </c>
      <c r="BF5" s="225" t="s">
        <v>336</v>
      </c>
      <c r="BG5" s="225" t="s">
        <v>337</v>
      </c>
      <c r="BH5" s="225" t="s">
        <v>338</v>
      </c>
      <c r="BI5" s="225" t="s">
        <v>349</v>
      </c>
      <c r="BJ5" s="225" t="s">
        <v>347</v>
      </c>
      <c r="BK5" s="225" t="s">
        <v>339</v>
      </c>
      <c r="BL5" s="225" t="s">
        <v>340</v>
      </c>
      <c r="BM5" s="225" t="s">
        <v>341</v>
      </c>
      <c r="BN5" s="225" t="s">
        <v>6</v>
      </c>
      <c r="BO5" s="225" t="s">
        <v>342</v>
      </c>
      <c r="BP5" s="225" t="s">
        <v>343</v>
      </c>
      <c r="BQ5" s="226" t="s">
        <v>7</v>
      </c>
      <c r="BR5" s="235"/>
      <c r="BS5" s="236"/>
      <c r="BT5" s="283"/>
      <c r="BU5" s="288" t="s">
        <v>330</v>
      </c>
      <c r="BV5" s="289" t="s">
        <v>331</v>
      </c>
      <c r="BW5" s="289" t="s">
        <v>332</v>
      </c>
      <c r="BX5" s="289" t="s">
        <v>333</v>
      </c>
      <c r="BY5" s="289" t="s">
        <v>2</v>
      </c>
      <c r="BZ5" s="289" t="s">
        <v>3</v>
      </c>
      <c r="CA5" s="289" t="s">
        <v>334</v>
      </c>
      <c r="CB5" s="289" t="s">
        <v>352</v>
      </c>
      <c r="CC5" s="289" t="s">
        <v>346</v>
      </c>
      <c r="CD5" s="289" t="s">
        <v>335</v>
      </c>
      <c r="CE5" s="289" t="s">
        <v>336</v>
      </c>
      <c r="CF5" s="289" t="s">
        <v>337</v>
      </c>
      <c r="CG5" s="289" t="s">
        <v>338</v>
      </c>
      <c r="CH5" s="289" t="s">
        <v>353</v>
      </c>
      <c r="CI5" s="289" t="s">
        <v>347</v>
      </c>
      <c r="CJ5" s="289" t="s">
        <v>339</v>
      </c>
      <c r="CK5" s="289" t="s">
        <v>340</v>
      </c>
      <c r="CL5" s="289" t="s">
        <v>341</v>
      </c>
      <c r="CM5" s="289" t="s">
        <v>6</v>
      </c>
      <c r="CN5" s="289" t="s">
        <v>342</v>
      </c>
      <c r="CO5" s="289" t="s">
        <v>343</v>
      </c>
      <c r="CP5" s="290" t="s">
        <v>7</v>
      </c>
      <c r="CQ5" s="291"/>
      <c r="CR5" s="288" t="s">
        <v>330</v>
      </c>
      <c r="CS5" s="289" t="s">
        <v>331</v>
      </c>
      <c r="CT5" s="289" t="s">
        <v>332</v>
      </c>
      <c r="CU5" s="289" t="s">
        <v>333</v>
      </c>
      <c r="CV5" s="289" t="s">
        <v>2</v>
      </c>
      <c r="CW5" s="289" t="s">
        <v>3</v>
      </c>
      <c r="CX5" s="289" t="s">
        <v>334</v>
      </c>
      <c r="CY5" s="289" t="s">
        <v>352</v>
      </c>
      <c r="CZ5" s="289" t="s">
        <v>346</v>
      </c>
      <c r="DA5" s="289" t="s">
        <v>335</v>
      </c>
      <c r="DB5" s="289" t="s">
        <v>336</v>
      </c>
      <c r="DC5" s="289" t="s">
        <v>337</v>
      </c>
      <c r="DD5" s="289" t="s">
        <v>338</v>
      </c>
      <c r="DE5" s="289" t="s">
        <v>353</v>
      </c>
      <c r="DF5" s="289" t="s">
        <v>347</v>
      </c>
      <c r="DG5" s="289" t="s">
        <v>339</v>
      </c>
      <c r="DH5" s="289" t="s">
        <v>340</v>
      </c>
      <c r="DI5" s="289" t="s">
        <v>341</v>
      </c>
      <c r="DJ5" s="289" t="s">
        <v>6</v>
      </c>
      <c r="DK5" s="289" t="s">
        <v>342</v>
      </c>
      <c r="DL5" s="289" t="s">
        <v>343</v>
      </c>
      <c r="DM5" s="290" t="s">
        <v>7</v>
      </c>
      <c r="DN5" s="291"/>
      <c r="DO5" s="291"/>
      <c r="DP5" s="288" t="s">
        <v>330</v>
      </c>
      <c r="DQ5" s="289" t="s">
        <v>331</v>
      </c>
      <c r="DR5" s="289" t="s">
        <v>332</v>
      </c>
      <c r="DS5" s="289" t="s">
        <v>333</v>
      </c>
      <c r="DT5" s="289" t="s">
        <v>2</v>
      </c>
      <c r="DU5" s="289" t="s">
        <v>3</v>
      </c>
      <c r="DV5" s="289" t="s">
        <v>334</v>
      </c>
      <c r="DW5" s="289" t="s">
        <v>352</v>
      </c>
      <c r="DX5" s="289" t="s">
        <v>346</v>
      </c>
      <c r="DY5" s="289" t="s">
        <v>335</v>
      </c>
      <c r="DZ5" s="289" t="s">
        <v>336</v>
      </c>
      <c r="EA5" s="289" t="s">
        <v>337</v>
      </c>
      <c r="EB5" s="289" t="s">
        <v>338</v>
      </c>
      <c r="EC5" s="289" t="s">
        <v>353</v>
      </c>
      <c r="ED5" s="289" t="s">
        <v>347</v>
      </c>
      <c r="EE5" s="289" t="s">
        <v>339</v>
      </c>
      <c r="EF5" s="289" t="s">
        <v>340</v>
      </c>
      <c r="EG5" s="289" t="s">
        <v>341</v>
      </c>
      <c r="EH5" s="289" t="s">
        <v>6</v>
      </c>
      <c r="EI5" s="289" t="s">
        <v>342</v>
      </c>
      <c r="EJ5" s="289" t="s">
        <v>343</v>
      </c>
      <c r="EK5" s="290" t="s">
        <v>7</v>
      </c>
      <c r="EL5" s="287"/>
      <c r="EM5" s="288" t="s">
        <v>330</v>
      </c>
      <c r="EN5" s="289" t="s">
        <v>331</v>
      </c>
      <c r="EO5" s="289" t="s">
        <v>332</v>
      </c>
      <c r="EP5" s="289" t="s">
        <v>333</v>
      </c>
      <c r="EQ5" s="289" t="s">
        <v>2</v>
      </c>
      <c r="ER5" s="289" t="s">
        <v>3</v>
      </c>
      <c r="ES5" s="289" t="s">
        <v>334</v>
      </c>
      <c r="ET5" s="289" t="s">
        <v>352</v>
      </c>
      <c r="EU5" s="289" t="s">
        <v>346</v>
      </c>
      <c r="EV5" s="289" t="s">
        <v>335</v>
      </c>
      <c r="EW5" s="289" t="s">
        <v>336</v>
      </c>
      <c r="EX5" s="289" t="s">
        <v>337</v>
      </c>
      <c r="EY5" s="289" t="s">
        <v>338</v>
      </c>
      <c r="EZ5" s="289" t="s">
        <v>353</v>
      </c>
      <c r="FA5" s="289" t="s">
        <v>347</v>
      </c>
      <c r="FB5" s="289" t="s">
        <v>339</v>
      </c>
      <c r="FC5" s="289" t="s">
        <v>340</v>
      </c>
      <c r="FD5" s="289" t="s">
        <v>341</v>
      </c>
      <c r="FE5" s="289" t="s">
        <v>6</v>
      </c>
      <c r="FF5" s="289" t="s">
        <v>342</v>
      </c>
      <c r="FG5" s="289" t="s">
        <v>343</v>
      </c>
      <c r="FH5" s="290" t="s">
        <v>7</v>
      </c>
    </row>
    <row r="6" spans="2:164" x14ac:dyDescent="0.2">
      <c r="B6" s="233" t="s">
        <v>331</v>
      </c>
      <c r="C6" s="227">
        <v>19143</v>
      </c>
      <c r="D6" s="227">
        <v>2480</v>
      </c>
      <c r="E6" s="227">
        <v>949</v>
      </c>
      <c r="F6" s="227">
        <v>20</v>
      </c>
      <c r="G6" s="227">
        <v>4</v>
      </c>
      <c r="H6" s="227">
        <v>126</v>
      </c>
      <c r="I6" s="227">
        <v>30</v>
      </c>
      <c r="J6" s="227">
        <v>26</v>
      </c>
      <c r="K6" s="227">
        <v>14</v>
      </c>
      <c r="L6" s="227">
        <v>47</v>
      </c>
      <c r="M6" s="227">
        <v>27</v>
      </c>
      <c r="N6" s="227">
        <v>7</v>
      </c>
      <c r="O6" s="227">
        <v>8</v>
      </c>
      <c r="P6" s="227">
        <v>4</v>
      </c>
      <c r="Q6" s="227">
        <v>2</v>
      </c>
      <c r="R6" s="227">
        <v>50</v>
      </c>
      <c r="S6" s="227">
        <v>13</v>
      </c>
      <c r="T6" s="227">
        <v>4</v>
      </c>
      <c r="U6" s="227">
        <v>28</v>
      </c>
      <c r="V6" s="227">
        <v>0</v>
      </c>
      <c r="W6" s="230">
        <v>22982</v>
      </c>
      <c r="Y6" s="233" t="s">
        <v>331</v>
      </c>
      <c r="Z6" s="227">
        <v>3332311.4513948937</v>
      </c>
      <c r="AA6" s="227">
        <v>725185.40543504339</v>
      </c>
      <c r="AB6" s="227">
        <v>242994.71201380601</v>
      </c>
      <c r="AC6" s="251">
        <v>1651.1183189913256</v>
      </c>
      <c r="AD6" s="251">
        <v>11.445675998981818</v>
      </c>
      <c r="AE6" s="251">
        <v>5910.9653715586792</v>
      </c>
      <c r="AF6" s="251">
        <v>3333.6976690721567</v>
      </c>
      <c r="AG6" s="251">
        <v>824.93662974797292</v>
      </c>
      <c r="AH6" s="251">
        <v>762.39934577149006</v>
      </c>
      <c r="AI6" s="251">
        <v>10262.47271872971</v>
      </c>
      <c r="AJ6" s="251">
        <v>4608.4508563997788</v>
      </c>
      <c r="AK6" s="251">
        <v>149.35191977246311</v>
      </c>
      <c r="AL6" s="251">
        <v>2263.7714554323097</v>
      </c>
      <c r="AM6" s="251">
        <v>39.920917170714567</v>
      </c>
      <c r="AN6" s="251">
        <v>691.28165901887871</v>
      </c>
      <c r="AO6" s="251">
        <v>8237.8821700126919</v>
      </c>
      <c r="AP6" s="251">
        <v>454.49444111023405</v>
      </c>
      <c r="AQ6" s="251">
        <v>4530.6728576063897</v>
      </c>
      <c r="AR6" s="251">
        <v>3452.3085833608552</v>
      </c>
      <c r="AS6" s="251">
        <v>0</v>
      </c>
      <c r="AT6" s="230">
        <v>4347676.7394334981</v>
      </c>
      <c r="AV6" s="233" t="s">
        <v>331</v>
      </c>
      <c r="AW6" s="227">
        <f>Z6</f>
        <v>3332311.4513948937</v>
      </c>
      <c r="AX6" s="227">
        <f>AA6</f>
        <v>725185.40543504339</v>
      </c>
      <c r="AY6" s="227">
        <f>AB6</f>
        <v>242994.71201380601</v>
      </c>
      <c r="AZ6" s="232">
        <v>0</v>
      </c>
      <c r="BA6" s="256">
        <v>0</v>
      </c>
      <c r="BB6" s="232">
        <v>0</v>
      </c>
      <c r="BC6" s="232">
        <v>0</v>
      </c>
      <c r="BD6" s="232">
        <v>0</v>
      </c>
      <c r="BE6" s="232">
        <v>0</v>
      </c>
      <c r="BF6" s="232">
        <v>0</v>
      </c>
      <c r="BG6" s="232">
        <v>0</v>
      </c>
      <c r="BH6" s="232">
        <v>0</v>
      </c>
      <c r="BI6" s="232">
        <v>0</v>
      </c>
      <c r="BJ6" s="232">
        <v>0</v>
      </c>
      <c r="BK6" s="232">
        <v>0</v>
      </c>
      <c r="BL6" s="232">
        <v>0</v>
      </c>
      <c r="BM6" s="232">
        <v>0</v>
      </c>
      <c r="BN6" s="232">
        <v>0</v>
      </c>
      <c r="BO6" s="232">
        <v>0</v>
      </c>
      <c r="BP6" s="251">
        <v>0</v>
      </c>
      <c r="BQ6" s="230">
        <f t="shared" ref="BQ6:BQ25" si="0">SUM(AW6:BP6)</f>
        <v>4300491.5688437428</v>
      </c>
      <c r="BR6" s="237"/>
      <c r="BS6" s="227"/>
      <c r="BT6" s="284"/>
      <c r="BU6" s="292" t="s">
        <v>331</v>
      </c>
      <c r="BV6" s="293">
        <v>2244</v>
      </c>
      <c r="BW6" s="293">
        <v>251</v>
      </c>
      <c r="BX6" s="293">
        <v>94</v>
      </c>
      <c r="BY6" s="293">
        <v>0</v>
      </c>
      <c r="BZ6" s="293">
        <v>0</v>
      </c>
      <c r="CA6" s="293">
        <v>24</v>
      </c>
      <c r="CB6" s="293">
        <v>0</v>
      </c>
      <c r="CC6" s="293">
        <v>7</v>
      </c>
      <c r="CD6" s="293">
        <v>0</v>
      </c>
      <c r="CE6" s="293">
        <v>1</v>
      </c>
      <c r="CF6" s="293">
        <v>0</v>
      </c>
      <c r="CG6" s="293">
        <v>0</v>
      </c>
      <c r="CH6" s="293">
        <v>0</v>
      </c>
      <c r="CI6" s="293">
        <v>1</v>
      </c>
      <c r="CJ6" s="293">
        <v>0</v>
      </c>
      <c r="CK6" s="293">
        <v>2</v>
      </c>
      <c r="CL6" s="293">
        <v>5</v>
      </c>
      <c r="CM6" s="293">
        <v>1</v>
      </c>
      <c r="CN6" s="293">
        <v>2</v>
      </c>
      <c r="CO6" s="293">
        <v>0</v>
      </c>
      <c r="CP6" s="294">
        <v>2632</v>
      </c>
      <c r="CQ6" s="295"/>
      <c r="CR6" s="292" t="s">
        <v>331</v>
      </c>
      <c r="CS6" s="293">
        <v>314916.36372943694</v>
      </c>
      <c r="CT6" s="293">
        <v>29478.307121469712</v>
      </c>
      <c r="CU6" s="293">
        <v>51823.684870680459</v>
      </c>
      <c r="CV6" s="293">
        <v>0</v>
      </c>
      <c r="CW6" s="293">
        <v>0</v>
      </c>
      <c r="CX6" s="293">
        <v>292.13022549742556</v>
      </c>
      <c r="CY6" s="293">
        <v>0</v>
      </c>
      <c r="CZ6" s="293">
        <v>386.50651606482006</v>
      </c>
      <c r="DA6" s="293">
        <v>0</v>
      </c>
      <c r="DB6" s="293">
        <v>4414.1473111774976</v>
      </c>
      <c r="DC6" s="293">
        <v>0</v>
      </c>
      <c r="DD6" s="293">
        <v>0</v>
      </c>
      <c r="DE6" s="293">
        <v>0</v>
      </c>
      <c r="DF6" s="293">
        <v>39.920917170714567</v>
      </c>
      <c r="DG6" s="293">
        <v>0</v>
      </c>
      <c r="DH6" s="293">
        <v>4024.762136059745</v>
      </c>
      <c r="DI6" s="293">
        <v>59.016219212651848</v>
      </c>
      <c r="DJ6" s="293">
        <v>4414.1473111774976</v>
      </c>
      <c r="DK6" s="293">
        <v>835.90024686146751</v>
      </c>
      <c r="DL6" s="293">
        <v>0</v>
      </c>
      <c r="DM6" s="294">
        <v>410684.88660480891</v>
      </c>
      <c r="DN6" s="295"/>
      <c r="DO6" s="295"/>
      <c r="DP6" s="292" t="s">
        <v>331</v>
      </c>
      <c r="DQ6" s="293">
        <v>3763</v>
      </c>
      <c r="DR6" s="293">
        <v>420</v>
      </c>
      <c r="DS6" s="293">
        <v>158</v>
      </c>
      <c r="DT6" s="293">
        <v>0</v>
      </c>
      <c r="DU6" s="293">
        <v>0</v>
      </c>
      <c r="DV6" s="293">
        <v>25</v>
      </c>
      <c r="DW6" s="293">
        <v>0</v>
      </c>
      <c r="DX6" s="293">
        <v>10</v>
      </c>
      <c r="DY6" s="293">
        <v>0</v>
      </c>
      <c r="DZ6" s="293">
        <v>1</v>
      </c>
      <c r="EA6" s="293">
        <v>2</v>
      </c>
      <c r="EB6" s="293">
        <v>0</v>
      </c>
      <c r="EC6" s="293">
        <v>2</v>
      </c>
      <c r="ED6" s="293">
        <v>4</v>
      </c>
      <c r="EE6" s="293">
        <v>2</v>
      </c>
      <c r="EF6" s="293">
        <v>2</v>
      </c>
      <c r="EG6" s="293">
        <v>5</v>
      </c>
      <c r="EH6" s="293">
        <v>1</v>
      </c>
      <c r="EI6" s="293">
        <v>3</v>
      </c>
      <c r="EJ6" s="293">
        <v>0</v>
      </c>
      <c r="EK6" s="294">
        <v>4398</v>
      </c>
      <c r="EL6" s="287"/>
      <c r="EM6" s="292" t="s">
        <v>331</v>
      </c>
      <c r="EN6" s="293">
        <v>643483.58541894681</v>
      </c>
      <c r="EO6" s="293">
        <v>256241.82038257347</v>
      </c>
      <c r="EP6" s="293">
        <v>65317.455546856334</v>
      </c>
      <c r="EQ6" s="293">
        <v>0</v>
      </c>
      <c r="ER6" s="293">
        <v>0</v>
      </c>
      <c r="ES6" s="293">
        <v>292.13022549742556</v>
      </c>
      <c r="ET6" s="293">
        <v>0</v>
      </c>
      <c r="EU6" s="293">
        <v>475.05997249089103</v>
      </c>
      <c r="EV6" s="293">
        <v>0</v>
      </c>
      <c r="EW6" s="293">
        <v>4414.1473111774976</v>
      </c>
      <c r="EX6" s="293">
        <v>57.949109678379429</v>
      </c>
      <c r="EY6" s="293">
        <v>0</v>
      </c>
      <c r="EZ6" s="293">
        <v>1976.5514308625975</v>
      </c>
      <c r="FA6" s="293">
        <v>39.920917170714567</v>
      </c>
      <c r="FB6" s="293">
        <v>691.28165901887871</v>
      </c>
      <c r="FC6" s="293">
        <v>4024.762136059745</v>
      </c>
      <c r="FD6" s="293">
        <v>59.016219212651848</v>
      </c>
      <c r="FE6" s="293">
        <v>4414.1473111774976</v>
      </c>
      <c r="FF6" s="293">
        <v>835.90024686146751</v>
      </c>
      <c r="FG6" s="293">
        <v>0</v>
      </c>
      <c r="FH6" s="294">
        <v>982323.72788758436</v>
      </c>
    </row>
    <row r="7" spans="2:164" x14ac:dyDescent="0.2">
      <c r="B7" s="215" t="s">
        <v>332</v>
      </c>
      <c r="C7" s="227">
        <v>0</v>
      </c>
      <c r="D7" s="227">
        <v>3561</v>
      </c>
      <c r="E7" s="227">
        <v>616</v>
      </c>
      <c r="F7" s="227">
        <v>0</v>
      </c>
      <c r="G7" s="227">
        <v>0</v>
      </c>
      <c r="H7" s="227">
        <v>130</v>
      </c>
      <c r="I7" s="227">
        <v>26</v>
      </c>
      <c r="J7" s="227">
        <v>5</v>
      </c>
      <c r="K7" s="227">
        <v>7</v>
      </c>
      <c r="L7" s="227">
        <v>74</v>
      </c>
      <c r="M7" s="227">
        <v>34</v>
      </c>
      <c r="N7" s="227">
        <v>1</v>
      </c>
      <c r="O7" s="227">
        <v>6</v>
      </c>
      <c r="P7" s="227">
        <v>9</v>
      </c>
      <c r="Q7" s="227">
        <v>1</v>
      </c>
      <c r="R7" s="227">
        <v>60</v>
      </c>
      <c r="S7" s="227">
        <v>16</v>
      </c>
      <c r="T7" s="227">
        <v>1</v>
      </c>
      <c r="U7" s="227">
        <v>34</v>
      </c>
      <c r="V7" s="227">
        <v>2</v>
      </c>
      <c r="W7" s="230">
        <v>4583</v>
      </c>
      <c r="Y7" s="215" t="s">
        <v>332</v>
      </c>
      <c r="Z7" s="227">
        <v>0</v>
      </c>
      <c r="AA7" s="227">
        <v>751361.29816830868</v>
      </c>
      <c r="AB7" s="227">
        <v>194636.38825454755</v>
      </c>
      <c r="AC7" s="227">
        <v>0</v>
      </c>
      <c r="AD7" s="227">
        <v>0</v>
      </c>
      <c r="AE7" s="227">
        <v>9421.8342933582371</v>
      </c>
      <c r="AF7" s="227">
        <v>909.59384789086914</v>
      </c>
      <c r="AG7" s="227">
        <v>595.2172407078948</v>
      </c>
      <c r="AH7" s="227">
        <v>180.05119258096067</v>
      </c>
      <c r="AI7" s="227">
        <v>2627.8523651890787</v>
      </c>
      <c r="AJ7" s="227">
        <v>2346.8134446939625</v>
      </c>
      <c r="AK7" s="251">
        <v>7.6937277263156041</v>
      </c>
      <c r="AL7" s="251">
        <v>2560.3504586486979</v>
      </c>
      <c r="AM7" s="251">
        <v>622.59529282084065</v>
      </c>
      <c r="AN7" s="251">
        <v>0</v>
      </c>
      <c r="AO7" s="251">
        <v>4535.7882221147656</v>
      </c>
      <c r="AP7" s="251">
        <v>2031.3097781393806</v>
      </c>
      <c r="AQ7" s="227">
        <v>58.232230567648529</v>
      </c>
      <c r="AR7" s="227">
        <v>1756.6019153564737</v>
      </c>
      <c r="AS7" s="227">
        <v>126.48739801308695</v>
      </c>
      <c r="AT7" s="230">
        <v>973778.10783066449</v>
      </c>
      <c r="AV7" s="215" t="s">
        <v>332</v>
      </c>
      <c r="AW7" s="227">
        <f t="shared" ref="AW7:AX9" si="1">Z7</f>
        <v>0</v>
      </c>
      <c r="AX7" s="227">
        <f t="shared" si="1"/>
        <v>751361.29816830868</v>
      </c>
      <c r="AY7" s="227">
        <f t="shared" ref="AY7:AY9" si="2">AB7</f>
        <v>194636.38825454755</v>
      </c>
      <c r="AZ7" s="227">
        <f>AC7</f>
        <v>0</v>
      </c>
      <c r="BA7" s="227">
        <f t="shared" ref="AZ7:BG11" si="3">AD7</f>
        <v>0</v>
      </c>
      <c r="BB7" s="227">
        <f t="shared" si="3"/>
        <v>9421.8342933582371</v>
      </c>
      <c r="BC7" s="227">
        <f t="shared" si="3"/>
        <v>909.59384789086914</v>
      </c>
      <c r="BD7" s="227">
        <f t="shared" si="3"/>
        <v>595.2172407078948</v>
      </c>
      <c r="BE7" s="227">
        <f t="shared" si="3"/>
        <v>180.05119258096067</v>
      </c>
      <c r="BF7" s="227">
        <f t="shared" si="3"/>
        <v>2627.8523651890787</v>
      </c>
      <c r="BG7" s="227">
        <f t="shared" si="3"/>
        <v>2346.8134446939625</v>
      </c>
      <c r="BH7" s="232">
        <v>0</v>
      </c>
      <c r="BI7" s="251">
        <v>0</v>
      </c>
      <c r="BJ7" s="232">
        <v>0</v>
      </c>
      <c r="BK7" s="251">
        <v>0</v>
      </c>
      <c r="BL7" s="232">
        <v>0</v>
      </c>
      <c r="BM7" s="232">
        <v>0</v>
      </c>
      <c r="BN7" s="227">
        <f>AQ7</f>
        <v>58.232230567648529</v>
      </c>
      <c r="BO7" s="227">
        <f t="shared" ref="BO7:BP7" si="4">AR7</f>
        <v>1756.6019153564737</v>
      </c>
      <c r="BP7" s="227">
        <f t="shared" si="4"/>
        <v>126.48739801308695</v>
      </c>
      <c r="BQ7" s="230">
        <f t="shared" si="0"/>
        <v>964020.37035121454</v>
      </c>
      <c r="BR7" s="237"/>
      <c r="BS7" s="227"/>
      <c r="BT7" s="284"/>
      <c r="BU7" s="296" t="s">
        <v>332</v>
      </c>
      <c r="BV7" s="293">
        <v>0</v>
      </c>
      <c r="BW7" s="293">
        <v>368</v>
      </c>
      <c r="BX7" s="293">
        <v>74</v>
      </c>
      <c r="BY7" s="293">
        <v>0</v>
      </c>
      <c r="BZ7" s="293">
        <v>0</v>
      </c>
      <c r="CA7" s="293">
        <v>2</v>
      </c>
      <c r="CB7" s="293">
        <v>0</v>
      </c>
      <c r="CC7" s="293">
        <v>2</v>
      </c>
      <c r="CD7" s="293">
        <v>0</v>
      </c>
      <c r="CE7" s="293">
        <v>1</v>
      </c>
      <c r="CF7" s="293">
        <v>0</v>
      </c>
      <c r="CG7" s="293">
        <v>0</v>
      </c>
      <c r="CH7" s="293">
        <v>0</v>
      </c>
      <c r="CI7" s="293">
        <v>1</v>
      </c>
      <c r="CJ7" s="293">
        <v>0</v>
      </c>
      <c r="CK7" s="293">
        <v>5</v>
      </c>
      <c r="CL7" s="293">
        <v>0</v>
      </c>
      <c r="CM7" s="293">
        <v>0</v>
      </c>
      <c r="CN7" s="293">
        <v>0</v>
      </c>
      <c r="CO7" s="293">
        <v>0</v>
      </c>
      <c r="CP7" s="294">
        <v>453</v>
      </c>
      <c r="CQ7" s="295"/>
      <c r="CR7" s="296" t="s">
        <v>332</v>
      </c>
      <c r="CS7" s="293">
        <v>0</v>
      </c>
      <c r="CT7" s="293">
        <v>38965.707285768302</v>
      </c>
      <c r="CU7" s="293">
        <v>2743.154980544145</v>
      </c>
      <c r="CV7" s="293">
        <v>0</v>
      </c>
      <c r="CW7" s="293">
        <v>0</v>
      </c>
      <c r="CX7" s="293">
        <v>46.670358677362998</v>
      </c>
      <c r="CY7" s="293">
        <v>0</v>
      </c>
      <c r="CZ7" s="293">
        <v>0</v>
      </c>
      <c r="DA7" s="293">
        <v>0</v>
      </c>
      <c r="DB7" s="293">
        <v>18.319021008121677</v>
      </c>
      <c r="DC7" s="293">
        <v>0</v>
      </c>
      <c r="DD7" s="293">
        <v>0</v>
      </c>
      <c r="DE7" s="293">
        <v>0</v>
      </c>
      <c r="DF7" s="293">
        <v>52.458889183288399</v>
      </c>
      <c r="DG7" s="293">
        <v>0</v>
      </c>
      <c r="DH7" s="293">
        <v>0</v>
      </c>
      <c r="DI7" s="293">
        <v>0</v>
      </c>
      <c r="DJ7" s="293">
        <v>0</v>
      </c>
      <c r="DK7" s="293">
        <v>0</v>
      </c>
      <c r="DL7" s="293">
        <v>0</v>
      </c>
      <c r="DM7" s="294">
        <v>41826.310535181226</v>
      </c>
      <c r="DN7" s="295"/>
      <c r="DO7" s="295"/>
      <c r="DP7" s="296" t="s">
        <v>332</v>
      </c>
      <c r="DQ7" s="293">
        <v>0</v>
      </c>
      <c r="DR7" s="293">
        <v>649</v>
      </c>
      <c r="DS7" s="293">
        <v>104</v>
      </c>
      <c r="DT7" s="293">
        <v>0</v>
      </c>
      <c r="DU7" s="293">
        <v>0</v>
      </c>
      <c r="DV7" s="293">
        <v>2</v>
      </c>
      <c r="DW7" s="293">
        <v>0</v>
      </c>
      <c r="DX7" s="293">
        <v>3</v>
      </c>
      <c r="DY7" s="293">
        <v>0</v>
      </c>
      <c r="DZ7" s="293">
        <v>1</v>
      </c>
      <c r="EA7" s="293">
        <v>0</v>
      </c>
      <c r="EB7" s="293">
        <v>0</v>
      </c>
      <c r="EC7" s="293">
        <v>0</v>
      </c>
      <c r="ED7" s="293">
        <v>2</v>
      </c>
      <c r="EE7" s="293">
        <v>0</v>
      </c>
      <c r="EF7" s="293">
        <v>5</v>
      </c>
      <c r="EG7" s="293">
        <v>1</v>
      </c>
      <c r="EH7" s="293">
        <v>0</v>
      </c>
      <c r="EI7" s="293">
        <v>2</v>
      </c>
      <c r="EJ7" s="293">
        <v>0</v>
      </c>
      <c r="EK7" s="294">
        <v>769</v>
      </c>
      <c r="EL7" s="287"/>
      <c r="EM7" s="296" t="s">
        <v>332</v>
      </c>
      <c r="EN7" s="293">
        <v>0</v>
      </c>
      <c r="EO7" s="293">
        <v>176255.22800685995</v>
      </c>
      <c r="EP7" s="293">
        <v>10038.608044871457</v>
      </c>
      <c r="EQ7" s="293">
        <v>0</v>
      </c>
      <c r="ER7" s="293">
        <v>0</v>
      </c>
      <c r="ES7" s="293">
        <v>46.670358677362998</v>
      </c>
      <c r="ET7" s="293">
        <v>0</v>
      </c>
      <c r="EU7" s="293">
        <v>0</v>
      </c>
      <c r="EV7" s="293">
        <v>0</v>
      </c>
      <c r="EW7" s="293">
        <v>18.319021008121677</v>
      </c>
      <c r="EX7" s="293">
        <v>0</v>
      </c>
      <c r="EY7" s="293">
        <v>0</v>
      </c>
      <c r="EZ7" s="293">
        <v>0</v>
      </c>
      <c r="FA7" s="293">
        <v>52.458889183288399</v>
      </c>
      <c r="FB7" s="293">
        <v>0</v>
      </c>
      <c r="FC7" s="293">
        <v>0</v>
      </c>
      <c r="FD7" s="293">
        <v>753.12534267880392</v>
      </c>
      <c r="FE7" s="293">
        <v>0</v>
      </c>
      <c r="FF7" s="293">
        <v>116.45901584394582</v>
      </c>
      <c r="FG7" s="293">
        <v>0</v>
      </c>
      <c r="FH7" s="294">
        <v>187280.86867912294</v>
      </c>
    </row>
    <row r="8" spans="2:164" ht="24" x14ac:dyDescent="0.2">
      <c r="B8" s="216" t="s">
        <v>333</v>
      </c>
      <c r="C8" s="227">
        <v>0</v>
      </c>
      <c r="D8" s="228">
        <v>0</v>
      </c>
      <c r="E8" s="229">
        <v>1237</v>
      </c>
      <c r="F8" s="229">
        <v>0</v>
      </c>
      <c r="G8" s="229">
        <v>0</v>
      </c>
      <c r="H8" s="229">
        <v>59</v>
      </c>
      <c r="I8" s="229">
        <v>14</v>
      </c>
      <c r="J8" s="229">
        <v>3</v>
      </c>
      <c r="K8" s="229">
        <v>4</v>
      </c>
      <c r="L8" s="229">
        <v>41</v>
      </c>
      <c r="M8" s="229">
        <v>7</v>
      </c>
      <c r="N8" s="229">
        <v>0</v>
      </c>
      <c r="O8" s="229">
        <v>4</v>
      </c>
      <c r="P8" s="229">
        <v>3</v>
      </c>
      <c r="Q8" s="229">
        <v>0</v>
      </c>
      <c r="R8" s="229">
        <v>28</v>
      </c>
      <c r="S8" s="229">
        <v>16</v>
      </c>
      <c r="T8" s="229">
        <v>0</v>
      </c>
      <c r="U8" s="229">
        <v>18</v>
      </c>
      <c r="V8" s="229">
        <v>0</v>
      </c>
      <c r="W8" s="231">
        <v>1434</v>
      </c>
      <c r="X8" s="207"/>
      <c r="Y8" s="216" t="s">
        <v>333</v>
      </c>
      <c r="Z8" s="227">
        <v>0</v>
      </c>
      <c r="AA8" s="228">
        <v>0</v>
      </c>
      <c r="AB8" s="229">
        <v>351823.86581439787</v>
      </c>
      <c r="AC8" s="229">
        <v>0</v>
      </c>
      <c r="AD8" s="229">
        <v>0</v>
      </c>
      <c r="AE8" s="229">
        <v>5610.9665009409646</v>
      </c>
      <c r="AF8" s="229">
        <v>5401.2424508388631</v>
      </c>
      <c r="AG8" s="229">
        <v>58.31315271893024</v>
      </c>
      <c r="AH8" s="229">
        <v>8.5961104214718702</v>
      </c>
      <c r="AI8" s="229">
        <v>7783.150722097922</v>
      </c>
      <c r="AJ8" s="229">
        <v>1857.6700749324718</v>
      </c>
      <c r="AK8" s="253">
        <v>0</v>
      </c>
      <c r="AL8" s="253">
        <v>206.55247602243938</v>
      </c>
      <c r="AM8" s="253">
        <v>38.40154201794126</v>
      </c>
      <c r="AN8" s="253">
        <v>0</v>
      </c>
      <c r="AO8" s="253">
        <v>9870.1864665290832</v>
      </c>
      <c r="AP8" s="253">
        <v>1071.5580644273159</v>
      </c>
      <c r="AQ8" s="229">
        <v>0</v>
      </c>
      <c r="AR8" s="229">
        <v>1421.1991906780991</v>
      </c>
      <c r="AS8" s="229">
        <v>0</v>
      </c>
      <c r="AT8" s="231">
        <v>385151.70256602339</v>
      </c>
      <c r="AV8" s="216" t="s">
        <v>333</v>
      </c>
      <c r="AW8" s="227">
        <f t="shared" si="1"/>
        <v>0</v>
      </c>
      <c r="AX8" s="227">
        <f t="shared" si="1"/>
        <v>0</v>
      </c>
      <c r="AY8" s="227">
        <f t="shared" si="2"/>
        <v>351823.86581439787</v>
      </c>
      <c r="AZ8" s="227">
        <f t="shared" ref="AZ8:AZ9" si="5">AC8</f>
        <v>0</v>
      </c>
      <c r="BA8" s="227">
        <f t="shared" si="3"/>
        <v>0</v>
      </c>
      <c r="BB8" s="227">
        <f t="shared" si="3"/>
        <v>5610.9665009409646</v>
      </c>
      <c r="BC8" s="227">
        <f t="shared" si="3"/>
        <v>5401.2424508388631</v>
      </c>
      <c r="BD8" s="227">
        <f t="shared" si="3"/>
        <v>58.31315271893024</v>
      </c>
      <c r="BE8" s="227">
        <f t="shared" si="3"/>
        <v>8.5961104214718702</v>
      </c>
      <c r="BF8" s="227">
        <f t="shared" si="3"/>
        <v>7783.150722097922</v>
      </c>
      <c r="BG8" s="227">
        <f t="shared" si="3"/>
        <v>1857.6700749324718</v>
      </c>
      <c r="BH8" s="253">
        <v>0</v>
      </c>
      <c r="BI8" s="257">
        <v>0</v>
      </c>
      <c r="BJ8" s="257">
        <v>0</v>
      </c>
      <c r="BK8" s="253">
        <v>0</v>
      </c>
      <c r="BL8" s="257">
        <v>0</v>
      </c>
      <c r="BM8" s="257">
        <v>0</v>
      </c>
      <c r="BN8" s="227">
        <f t="shared" ref="BN8:BN9" si="6">AQ8</f>
        <v>0</v>
      </c>
      <c r="BO8" s="227">
        <f t="shared" ref="BO8:BO9" si="7">AR8</f>
        <v>1421.1991906780991</v>
      </c>
      <c r="BP8" s="227">
        <f t="shared" ref="BP8:BP9" si="8">AS8</f>
        <v>0</v>
      </c>
      <c r="BQ8" s="230">
        <f t="shared" si="0"/>
        <v>373965.00401702651</v>
      </c>
      <c r="BR8" s="238"/>
      <c r="BS8" s="227"/>
      <c r="BT8" s="285"/>
      <c r="BU8" s="297" t="s">
        <v>333</v>
      </c>
      <c r="BV8" s="293">
        <v>0</v>
      </c>
      <c r="BW8" s="293">
        <v>0</v>
      </c>
      <c r="BX8" s="298">
        <v>96</v>
      </c>
      <c r="BY8" s="298">
        <v>0</v>
      </c>
      <c r="BZ8" s="298">
        <v>0</v>
      </c>
      <c r="CA8" s="298">
        <v>0</v>
      </c>
      <c r="CB8" s="298">
        <v>0</v>
      </c>
      <c r="CC8" s="298">
        <v>1</v>
      </c>
      <c r="CD8" s="298">
        <v>0</v>
      </c>
      <c r="CE8" s="298">
        <v>0</v>
      </c>
      <c r="CF8" s="298">
        <v>0</v>
      </c>
      <c r="CG8" s="298">
        <v>0</v>
      </c>
      <c r="CH8" s="298">
        <v>0</v>
      </c>
      <c r="CI8" s="298">
        <v>1</v>
      </c>
      <c r="CJ8" s="298">
        <v>0</v>
      </c>
      <c r="CK8" s="298">
        <v>0</v>
      </c>
      <c r="CL8" s="298">
        <v>0</v>
      </c>
      <c r="CM8" s="298">
        <v>0</v>
      </c>
      <c r="CN8" s="298">
        <v>3</v>
      </c>
      <c r="CO8" s="298">
        <v>0</v>
      </c>
      <c r="CP8" s="299">
        <v>101</v>
      </c>
      <c r="CQ8" s="291"/>
      <c r="CR8" s="297" t="s">
        <v>333</v>
      </c>
      <c r="CS8" s="293">
        <v>0</v>
      </c>
      <c r="CT8" s="293">
        <v>0</v>
      </c>
      <c r="CU8" s="298">
        <v>24002.071975189203</v>
      </c>
      <c r="CV8" s="298">
        <v>0</v>
      </c>
      <c r="CW8" s="298">
        <v>0</v>
      </c>
      <c r="CX8" s="298">
        <v>0</v>
      </c>
      <c r="CY8" s="298">
        <v>0</v>
      </c>
      <c r="CZ8" s="298">
        <v>0</v>
      </c>
      <c r="DA8" s="298">
        <v>0</v>
      </c>
      <c r="DB8" s="298">
        <v>0</v>
      </c>
      <c r="DC8" s="298">
        <v>0</v>
      </c>
      <c r="DD8" s="298">
        <v>0</v>
      </c>
      <c r="DE8" s="298">
        <v>0</v>
      </c>
      <c r="DF8" s="298">
        <v>0</v>
      </c>
      <c r="DG8" s="298">
        <v>0</v>
      </c>
      <c r="DH8" s="298">
        <v>0</v>
      </c>
      <c r="DI8" s="298">
        <v>0</v>
      </c>
      <c r="DJ8" s="298">
        <v>0</v>
      </c>
      <c r="DK8" s="298">
        <v>0</v>
      </c>
      <c r="DL8" s="298">
        <v>0</v>
      </c>
      <c r="DM8" s="299">
        <v>24002.071975189203</v>
      </c>
      <c r="DN8" s="291"/>
      <c r="DO8" s="291"/>
      <c r="DP8" s="297" t="s">
        <v>333</v>
      </c>
      <c r="DQ8" s="293">
        <v>0</v>
      </c>
      <c r="DR8" s="293">
        <v>0</v>
      </c>
      <c r="DS8" s="298">
        <v>146</v>
      </c>
      <c r="DT8" s="298">
        <v>0</v>
      </c>
      <c r="DU8" s="298">
        <v>0</v>
      </c>
      <c r="DV8" s="298">
        <v>0</v>
      </c>
      <c r="DW8" s="298">
        <v>0</v>
      </c>
      <c r="DX8" s="298">
        <v>1</v>
      </c>
      <c r="DY8" s="298">
        <v>0</v>
      </c>
      <c r="DZ8" s="298">
        <v>0</v>
      </c>
      <c r="EA8" s="298">
        <v>0</v>
      </c>
      <c r="EB8" s="298">
        <v>0</v>
      </c>
      <c r="EC8" s="298">
        <v>0</v>
      </c>
      <c r="ED8" s="298">
        <v>1</v>
      </c>
      <c r="EE8" s="298">
        <v>0</v>
      </c>
      <c r="EF8" s="298">
        <v>0</v>
      </c>
      <c r="EG8" s="298">
        <v>0</v>
      </c>
      <c r="EH8" s="298">
        <v>0</v>
      </c>
      <c r="EI8" s="298">
        <v>3</v>
      </c>
      <c r="EJ8" s="298">
        <v>0</v>
      </c>
      <c r="EK8" s="299">
        <v>151</v>
      </c>
      <c r="EL8" s="287"/>
      <c r="EM8" s="297" t="s">
        <v>333</v>
      </c>
      <c r="EN8" s="293">
        <v>0</v>
      </c>
      <c r="EO8" s="293">
        <v>0</v>
      </c>
      <c r="EP8" s="298">
        <v>32948.107182298016</v>
      </c>
      <c r="EQ8" s="298">
        <v>0</v>
      </c>
      <c r="ER8" s="298">
        <v>0</v>
      </c>
      <c r="ES8" s="298">
        <v>0</v>
      </c>
      <c r="ET8" s="298">
        <v>0</v>
      </c>
      <c r="EU8" s="298">
        <v>0</v>
      </c>
      <c r="EV8" s="298">
        <v>0</v>
      </c>
      <c r="EW8" s="298">
        <v>0</v>
      </c>
      <c r="EX8" s="298">
        <v>0</v>
      </c>
      <c r="EY8" s="298">
        <v>0</v>
      </c>
      <c r="EZ8" s="298">
        <v>0</v>
      </c>
      <c r="FA8" s="298">
        <v>0</v>
      </c>
      <c r="FB8" s="298">
        <v>0</v>
      </c>
      <c r="FC8" s="298">
        <v>0</v>
      </c>
      <c r="FD8" s="298">
        <v>0</v>
      </c>
      <c r="FE8" s="298">
        <v>0</v>
      </c>
      <c r="FF8" s="298">
        <v>0</v>
      </c>
      <c r="FG8" s="298">
        <v>0</v>
      </c>
      <c r="FH8" s="299">
        <v>32948.107182298016</v>
      </c>
    </row>
    <row r="9" spans="2:164" x14ac:dyDescent="0.2">
      <c r="B9" s="217" t="s">
        <v>2</v>
      </c>
      <c r="C9" s="227">
        <v>890</v>
      </c>
      <c r="D9" s="228">
        <v>434</v>
      </c>
      <c r="E9" s="208">
        <v>212</v>
      </c>
      <c r="F9" s="208">
        <v>1857</v>
      </c>
      <c r="G9" s="208">
        <v>161</v>
      </c>
      <c r="H9" s="208">
        <v>661</v>
      </c>
      <c r="I9" s="208">
        <v>280</v>
      </c>
      <c r="J9" s="208">
        <v>15</v>
      </c>
      <c r="K9" s="208">
        <v>37</v>
      </c>
      <c r="L9" s="208">
        <v>308</v>
      </c>
      <c r="M9" s="208">
        <v>97</v>
      </c>
      <c r="N9" s="208">
        <v>3</v>
      </c>
      <c r="O9" s="208">
        <v>7</v>
      </c>
      <c r="P9" s="208">
        <v>15</v>
      </c>
      <c r="Q9" s="208">
        <v>2</v>
      </c>
      <c r="R9" s="208">
        <v>76</v>
      </c>
      <c r="S9" s="208">
        <v>27</v>
      </c>
      <c r="T9" s="208">
        <v>7</v>
      </c>
      <c r="U9" s="208">
        <v>95</v>
      </c>
      <c r="V9" s="208">
        <v>1</v>
      </c>
      <c r="W9" s="222">
        <v>5185</v>
      </c>
      <c r="X9" s="208"/>
      <c r="Y9" s="217" t="s">
        <v>2</v>
      </c>
      <c r="Z9" s="227">
        <v>120475.08234779107</v>
      </c>
      <c r="AA9" s="228">
        <v>67748.353226007297</v>
      </c>
      <c r="AB9" s="208">
        <v>15524.252954160153</v>
      </c>
      <c r="AC9" s="208">
        <v>177907.00676519633</v>
      </c>
      <c r="AD9" s="258">
        <v>16945.555939401114</v>
      </c>
      <c r="AE9" s="208">
        <v>47787.799445628909</v>
      </c>
      <c r="AF9" s="208">
        <v>28847.808473632733</v>
      </c>
      <c r="AG9" s="208">
        <v>908.65784577921113</v>
      </c>
      <c r="AH9" s="208">
        <v>2617.6543947751798</v>
      </c>
      <c r="AI9" s="208">
        <v>24168.488049560088</v>
      </c>
      <c r="AJ9" s="208">
        <v>4187.9632287311115</v>
      </c>
      <c r="AK9" s="252">
        <v>41.691267288741678</v>
      </c>
      <c r="AL9" s="252">
        <v>2403.3716401617107</v>
      </c>
      <c r="AM9" s="252">
        <v>507.13131648776516</v>
      </c>
      <c r="AN9" s="252">
        <v>691.28165901887871</v>
      </c>
      <c r="AO9" s="252">
        <v>6026.3260522632172</v>
      </c>
      <c r="AP9" s="252">
        <v>14079.941284998564</v>
      </c>
      <c r="AQ9" s="208">
        <v>775.81624063385141</v>
      </c>
      <c r="AR9" s="208">
        <v>3232.2763160709624</v>
      </c>
      <c r="AS9" s="208">
        <v>0</v>
      </c>
      <c r="AT9" s="222">
        <v>534876.45844758686</v>
      </c>
      <c r="AV9" s="217" t="s">
        <v>2</v>
      </c>
      <c r="AW9" s="227">
        <f t="shared" si="1"/>
        <v>120475.08234779107</v>
      </c>
      <c r="AX9" s="227">
        <f t="shared" si="1"/>
        <v>67748.353226007297</v>
      </c>
      <c r="AY9" s="227">
        <f t="shared" si="2"/>
        <v>15524.252954160153</v>
      </c>
      <c r="AZ9" s="227">
        <f t="shared" si="5"/>
        <v>177907.00676519633</v>
      </c>
      <c r="BA9" s="227">
        <f t="shared" si="3"/>
        <v>16945.555939401114</v>
      </c>
      <c r="BB9" s="227">
        <f t="shared" si="3"/>
        <v>47787.799445628909</v>
      </c>
      <c r="BC9" s="227">
        <f t="shared" si="3"/>
        <v>28847.808473632733</v>
      </c>
      <c r="BD9" s="227">
        <f t="shared" si="3"/>
        <v>908.65784577921113</v>
      </c>
      <c r="BE9" s="227">
        <f t="shared" si="3"/>
        <v>2617.6543947751798</v>
      </c>
      <c r="BF9" s="227">
        <f t="shared" si="3"/>
        <v>24168.488049560088</v>
      </c>
      <c r="BG9" s="227">
        <f t="shared" si="3"/>
        <v>4187.9632287311115</v>
      </c>
      <c r="BH9" s="252">
        <v>0</v>
      </c>
      <c r="BI9" s="255">
        <v>0</v>
      </c>
      <c r="BJ9" s="255">
        <v>0</v>
      </c>
      <c r="BK9" s="255">
        <v>0</v>
      </c>
      <c r="BL9" s="255">
        <v>0</v>
      </c>
      <c r="BM9" s="255">
        <v>0</v>
      </c>
      <c r="BN9" s="227">
        <f t="shared" si="6"/>
        <v>775.81624063385141</v>
      </c>
      <c r="BO9" s="227">
        <f t="shared" si="7"/>
        <v>3232.2763160709624</v>
      </c>
      <c r="BP9" s="227">
        <f t="shared" si="8"/>
        <v>0</v>
      </c>
      <c r="BQ9" s="230">
        <f t="shared" si="0"/>
        <v>511126.715227368</v>
      </c>
      <c r="BR9" s="214"/>
      <c r="BS9" s="227"/>
      <c r="BT9" s="286"/>
      <c r="BU9" s="300" t="s">
        <v>2</v>
      </c>
      <c r="BV9" s="293">
        <v>37</v>
      </c>
      <c r="BW9" s="293">
        <v>19</v>
      </c>
      <c r="BX9" s="258">
        <v>13</v>
      </c>
      <c r="BY9" s="258">
        <v>6</v>
      </c>
      <c r="BZ9" s="258">
        <v>1</v>
      </c>
      <c r="CA9" s="258">
        <v>18</v>
      </c>
      <c r="CB9" s="258">
        <v>0</v>
      </c>
      <c r="CC9" s="258">
        <v>3</v>
      </c>
      <c r="CD9" s="258">
        <v>0</v>
      </c>
      <c r="CE9" s="258">
        <v>1</v>
      </c>
      <c r="CF9" s="258">
        <v>0</v>
      </c>
      <c r="CG9" s="258">
        <v>0</v>
      </c>
      <c r="CH9" s="258">
        <v>0</v>
      </c>
      <c r="CI9" s="258">
        <v>1</v>
      </c>
      <c r="CJ9" s="258">
        <v>0</v>
      </c>
      <c r="CK9" s="258">
        <v>0</v>
      </c>
      <c r="CL9" s="258">
        <v>0</v>
      </c>
      <c r="CM9" s="258">
        <v>0</v>
      </c>
      <c r="CN9" s="258">
        <v>0</v>
      </c>
      <c r="CO9" s="258">
        <v>0</v>
      </c>
      <c r="CP9" s="301">
        <v>99</v>
      </c>
      <c r="CQ9" s="302"/>
      <c r="CR9" s="300" t="s">
        <v>2</v>
      </c>
      <c r="CS9" s="293">
        <v>2464.2593567234799</v>
      </c>
      <c r="CT9" s="293">
        <v>67.637549342988024</v>
      </c>
      <c r="CU9" s="258">
        <v>91.916666717676989</v>
      </c>
      <c r="CV9" s="258">
        <v>8951.832813055009</v>
      </c>
      <c r="CW9" s="258">
        <v>18.448293168452075</v>
      </c>
      <c r="CX9" s="258">
        <v>679.41268655233023</v>
      </c>
      <c r="CY9" s="258">
        <v>0</v>
      </c>
      <c r="CZ9" s="258">
        <v>76.065650256479699</v>
      </c>
      <c r="DA9" s="258">
        <v>0</v>
      </c>
      <c r="DB9" s="258">
        <v>18.436522341638963</v>
      </c>
      <c r="DC9" s="258">
        <v>0</v>
      </c>
      <c r="DD9" s="258">
        <v>0</v>
      </c>
      <c r="DE9" s="258">
        <v>0</v>
      </c>
      <c r="DF9" s="258">
        <v>52.458889183288399</v>
      </c>
      <c r="DG9" s="258">
        <v>0</v>
      </c>
      <c r="DH9" s="258">
        <v>0</v>
      </c>
      <c r="DI9" s="258">
        <v>0</v>
      </c>
      <c r="DJ9" s="258">
        <v>0</v>
      </c>
      <c r="DK9" s="258">
        <v>0</v>
      </c>
      <c r="DL9" s="258">
        <v>0</v>
      </c>
      <c r="DM9" s="301">
        <v>12420.468427341344</v>
      </c>
      <c r="DN9" s="302"/>
      <c r="DO9" s="302"/>
      <c r="DP9" s="300" t="s">
        <v>2</v>
      </c>
      <c r="DQ9" s="293">
        <v>82</v>
      </c>
      <c r="DR9" s="293">
        <v>42</v>
      </c>
      <c r="DS9" s="258">
        <v>22</v>
      </c>
      <c r="DT9" s="258">
        <v>32</v>
      </c>
      <c r="DU9" s="258">
        <v>9</v>
      </c>
      <c r="DV9" s="258">
        <v>18</v>
      </c>
      <c r="DW9" s="258">
        <v>0</v>
      </c>
      <c r="DX9" s="258">
        <v>3</v>
      </c>
      <c r="DY9" s="258">
        <v>0</v>
      </c>
      <c r="DZ9" s="258">
        <v>1</v>
      </c>
      <c r="EA9" s="258">
        <v>0</v>
      </c>
      <c r="EB9" s="258">
        <v>0</v>
      </c>
      <c r="EC9" s="258">
        <v>0</v>
      </c>
      <c r="ED9" s="258">
        <v>1</v>
      </c>
      <c r="EE9" s="258">
        <v>0</v>
      </c>
      <c r="EF9" s="258">
        <v>0</v>
      </c>
      <c r="EG9" s="258">
        <v>0</v>
      </c>
      <c r="EH9" s="258">
        <v>0</v>
      </c>
      <c r="EI9" s="258">
        <v>2</v>
      </c>
      <c r="EJ9" s="258">
        <v>0</v>
      </c>
      <c r="EK9" s="301">
        <v>212</v>
      </c>
      <c r="EL9" s="287"/>
      <c r="EM9" s="300" t="s">
        <v>2</v>
      </c>
      <c r="EN9" s="293">
        <v>6688.5665252928193</v>
      </c>
      <c r="EO9" s="293">
        <v>4299.5171800401031</v>
      </c>
      <c r="EP9" s="258">
        <v>261.64446073614658</v>
      </c>
      <c r="EQ9" s="258">
        <v>16685.345320657492</v>
      </c>
      <c r="ER9" s="258">
        <v>18.448293168452075</v>
      </c>
      <c r="ES9" s="258">
        <v>679.41268655233023</v>
      </c>
      <c r="ET9" s="258">
        <v>0</v>
      </c>
      <c r="EU9" s="258">
        <v>76.065650256479699</v>
      </c>
      <c r="EV9" s="258">
        <v>0</v>
      </c>
      <c r="EW9" s="258">
        <v>18.436522341638963</v>
      </c>
      <c r="EX9" s="258">
        <v>0</v>
      </c>
      <c r="EY9" s="258">
        <v>0</v>
      </c>
      <c r="EZ9" s="258">
        <v>0</v>
      </c>
      <c r="FA9" s="258">
        <v>52.458889183288399</v>
      </c>
      <c r="FB9" s="258">
        <v>0</v>
      </c>
      <c r="FC9" s="258">
        <v>0</v>
      </c>
      <c r="FD9" s="258">
        <v>0</v>
      </c>
      <c r="FE9" s="258">
        <v>0</v>
      </c>
      <c r="FF9" s="258">
        <v>0</v>
      </c>
      <c r="FG9" s="258">
        <v>0</v>
      </c>
      <c r="FH9" s="301">
        <v>28779.895528228753</v>
      </c>
    </row>
    <row r="10" spans="2:164" x14ac:dyDescent="0.2">
      <c r="B10" s="217" t="s">
        <v>3</v>
      </c>
      <c r="C10" s="227">
        <v>46</v>
      </c>
      <c r="D10" s="228">
        <v>28</v>
      </c>
      <c r="E10" s="208">
        <v>16</v>
      </c>
      <c r="F10" s="208">
        <v>0</v>
      </c>
      <c r="G10" s="208">
        <v>1517</v>
      </c>
      <c r="H10" s="208">
        <v>47</v>
      </c>
      <c r="I10" s="208">
        <v>10</v>
      </c>
      <c r="J10" s="208">
        <v>1</v>
      </c>
      <c r="K10" s="208">
        <v>11</v>
      </c>
      <c r="L10" s="208">
        <v>55</v>
      </c>
      <c r="M10" s="208">
        <v>18</v>
      </c>
      <c r="N10" s="208">
        <v>0</v>
      </c>
      <c r="O10" s="208">
        <v>0</v>
      </c>
      <c r="P10" s="208">
        <v>0</v>
      </c>
      <c r="Q10" s="208">
        <v>0</v>
      </c>
      <c r="R10" s="208">
        <v>3</v>
      </c>
      <c r="S10" s="208">
        <v>2</v>
      </c>
      <c r="T10" s="208">
        <v>2</v>
      </c>
      <c r="U10" s="208">
        <v>11</v>
      </c>
      <c r="V10" s="208">
        <v>1</v>
      </c>
      <c r="W10" s="222">
        <v>1768</v>
      </c>
      <c r="X10" s="208"/>
      <c r="Y10" s="217" t="s">
        <v>3</v>
      </c>
      <c r="Z10" s="251">
        <v>4338.811694050919</v>
      </c>
      <c r="AA10" s="251">
        <v>3190.6791216974261</v>
      </c>
      <c r="AB10" s="252">
        <v>131.36240165757448</v>
      </c>
      <c r="AC10" s="252">
        <v>0</v>
      </c>
      <c r="AD10" s="208">
        <v>154430.37071898795</v>
      </c>
      <c r="AE10" s="252">
        <v>10205.682376295174</v>
      </c>
      <c r="AF10" s="252">
        <v>976.18574462775121</v>
      </c>
      <c r="AG10" s="252">
        <v>38.241559492136368</v>
      </c>
      <c r="AH10" s="252">
        <v>649.80491391765327</v>
      </c>
      <c r="AI10" s="252">
        <v>2412.3796312322338</v>
      </c>
      <c r="AJ10" s="252">
        <v>1236.669561370589</v>
      </c>
      <c r="AK10" s="252">
        <v>0</v>
      </c>
      <c r="AL10" s="252">
        <v>0</v>
      </c>
      <c r="AM10" s="252">
        <v>0</v>
      </c>
      <c r="AN10" s="252">
        <v>0</v>
      </c>
      <c r="AO10" s="252">
        <v>20.331153831815417</v>
      </c>
      <c r="AP10" s="252">
        <v>0</v>
      </c>
      <c r="AQ10" s="252">
        <v>84.502586758105934</v>
      </c>
      <c r="AR10" s="252">
        <v>230.07935129053189</v>
      </c>
      <c r="AS10" s="252">
        <v>0</v>
      </c>
      <c r="AT10" s="222">
        <v>177945.10081520988</v>
      </c>
      <c r="AV10" s="217" t="s">
        <v>3</v>
      </c>
      <c r="AW10" s="232">
        <v>0</v>
      </c>
      <c r="AX10" s="232">
        <v>0</v>
      </c>
      <c r="AY10" s="255">
        <v>0</v>
      </c>
      <c r="AZ10" s="252">
        <v>0</v>
      </c>
      <c r="BA10" s="227">
        <f t="shared" si="3"/>
        <v>154430.37071898795</v>
      </c>
      <c r="BB10" s="252">
        <v>0</v>
      </c>
      <c r="BC10" s="252">
        <v>0</v>
      </c>
      <c r="BD10" s="252">
        <v>0</v>
      </c>
      <c r="BE10" s="252">
        <v>0</v>
      </c>
      <c r="BF10" s="252">
        <v>0</v>
      </c>
      <c r="BG10" s="252">
        <v>0</v>
      </c>
      <c r="BH10" s="252">
        <v>0</v>
      </c>
      <c r="BI10" s="252">
        <v>0</v>
      </c>
      <c r="BJ10" s="252">
        <v>0</v>
      </c>
      <c r="BK10" s="252">
        <v>0</v>
      </c>
      <c r="BL10" s="255">
        <v>0</v>
      </c>
      <c r="BM10" s="252">
        <v>0</v>
      </c>
      <c r="BN10" s="255">
        <v>0</v>
      </c>
      <c r="BO10" s="255">
        <v>0</v>
      </c>
      <c r="BP10" s="252">
        <v>0</v>
      </c>
      <c r="BQ10" s="230">
        <f t="shared" si="0"/>
        <v>154430.37071898795</v>
      </c>
      <c r="BR10" s="214"/>
      <c r="BS10" s="227"/>
      <c r="BT10" s="286"/>
      <c r="BU10" s="300" t="s">
        <v>3</v>
      </c>
      <c r="BV10" s="293">
        <v>2</v>
      </c>
      <c r="BW10" s="293">
        <v>0</v>
      </c>
      <c r="BX10" s="258">
        <v>0</v>
      </c>
      <c r="BY10" s="258">
        <v>0</v>
      </c>
      <c r="BZ10" s="258">
        <v>36</v>
      </c>
      <c r="CA10" s="258">
        <v>0</v>
      </c>
      <c r="CB10" s="258">
        <v>0</v>
      </c>
      <c r="CC10" s="258">
        <v>0</v>
      </c>
      <c r="CD10" s="258">
        <v>0</v>
      </c>
      <c r="CE10" s="258">
        <v>0</v>
      </c>
      <c r="CF10" s="258">
        <v>0</v>
      </c>
      <c r="CG10" s="258">
        <v>0</v>
      </c>
      <c r="CH10" s="258">
        <v>0</v>
      </c>
      <c r="CI10" s="258">
        <v>0</v>
      </c>
      <c r="CJ10" s="258">
        <v>0</v>
      </c>
      <c r="CK10" s="258">
        <v>0</v>
      </c>
      <c r="CL10" s="258">
        <v>0</v>
      </c>
      <c r="CM10" s="258">
        <v>0</v>
      </c>
      <c r="CN10" s="258">
        <v>0</v>
      </c>
      <c r="CO10" s="258">
        <v>0</v>
      </c>
      <c r="CP10" s="301">
        <v>38</v>
      </c>
      <c r="CQ10" s="302"/>
      <c r="CR10" s="300" t="s">
        <v>3</v>
      </c>
      <c r="CS10" s="293">
        <v>43.371154273525541</v>
      </c>
      <c r="CT10" s="293">
        <v>0</v>
      </c>
      <c r="CU10" s="258">
        <v>0</v>
      </c>
      <c r="CV10" s="258">
        <v>0</v>
      </c>
      <c r="CW10" s="258">
        <v>1796.3530236930696</v>
      </c>
      <c r="CX10" s="258">
        <v>0</v>
      </c>
      <c r="CY10" s="258">
        <v>0</v>
      </c>
      <c r="CZ10" s="258">
        <v>0</v>
      </c>
      <c r="DA10" s="258">
        <v>0</v>
      </c>
      <c r="DB10" s="258">
        <v>0</v>
      </c>
      <c r="DC10" s="258">
        <v>0</v>
      </c>
      <c r="DD10" s="258">
        <v>0</v>
      </c>
      <c r="DE10" s="258">
        <v>0</v>
      </c>
      <c r="DF10" s="258">
        <v>0</v>
      </c>
      <c r="DG10" s="258">
        <v>0</v>
      </c>
      <c r="DH10" s="258">
        <v>0</v>
      </c>
      <c r="DI10" s="258">
        <v>0</v>
      </c>
      <c r="DJ10" s="258">
        <v>0</v>
      </c>
      <c r="DK10" s="258">
        <v>0</v>
      </c>
      <c r="DL10" s="258">
        <v>0</v>
      </c>
      <c r="DM10" s="301">
        <v>1839.7241779665951</v>
      </c>
      <c r="DN10" s="302"/>
      <c r="DO10" s="302"/>
      <c r="DP10" s="300" t="s">
        <v>3</v>
      </c>
      <c r="DQ10" s="293">
        <v>12</v>
      </c>
      <c r="DR10" s="293">
        <v>1</v>
      </c>
      <c r="DS10" s="258">
        <v>0</v>
      </c>
      <c r="DT10" s="258">
        <v>0</v>
      </c>
      <c r="DU10" s="258">
        <v>94</v>
      </c>
      <c r="DV10" s="258">
        <v>0</v>
      </c>
      <c r="DW10" s="258">
        <v>0</v>
      </c>
      <c r="DX10" s="258">
        <v>0</v>
      </c>
      <c r="DY10" s="258">
        <v>0</v>
      </c>
      <c r="DZ10" s="258">
        <v>3</v>
      </c>
      <c r="EA10" s="258">
        <v>0</v>
      </c>
      <c r="EB10" s="258">
        <v>0</v>
      </c>
      <c r="EC10" s="258">
        <v>0</v>
      </c>
      <c r="ED10" s="258">
        <v>0</v>
      </c>
      <c r="EE10" s="258">
        <v>0</v>
      </c>
      <c r="EF10" s="258">
        <v>0</v>
      </c>
      <c r="EG10" s="258">
        <v>0</v>
      </c>
      <c r="EH10" s="258">
        <v>0</v>
      </c>
      <c r="EI10" s="258">
        <v>0</v>
      </c>
      <c r="EJ10" s="258">
        <v>0</v>
      </c>
      <c r="EK10" s="301">
        <v>110</v>
      </c>
      <c r="EL10" s="287"/>
      <c r="EM10" s="300" t="s">
        <v>3</v>
      </c>
      <c r="EN10" s="293">
        <v>371.22522978276601</v>
      </c>
      <c r="EO10" s="293">
        <v>39.314976794086512</v>
      </c>
      <c r="EP10" s="258">
        <v>0</v>
      </c>
      <c r="EQ10" s="258">
        <v>0</v>
      </c>
      <c r="ER10" s="258">
        <v>2932.5067967409459</v>
      </c>
      <c r="ES10" s="258">
        <v>0</v>
      </c>
      <c r="ET10" s="258">
        <v>0</v>
      </c>
      <c r="EU10" s="258">
        <v>0</v>
      </c>
      <c r="EV10" s="258">
        <v>0</v>
      </c>
      <c r="EW10" s="258">
        <v>27.188483986453651</v>
      </c>
      <c r="EX10" s="258">
        <v>0</v>
      </c>
      <c r="EY10" s="258">
        <v>0</v>
      </c>
      <c r="EZ10" s="258">
        <v>0</v>
      </c>
      <c r="FA10" s="258">
        <v>0</v>
      </c>
      <c r="FB10" s="258">
        <v>0</v>
      </c>
      <c r="FC10" s="258">
        <v>0</v>
      </c>
      <c r="FD10" s="258">
        <v>0</v>
      </c>
      <c r="FE10" s="258">
        <v>0</v>
      </c>
      <c r="FF10" s="258">
        <v>0</v>
      </c>
      <c r="FG10" s="258">
        <v>0</v>
      </c>
      <c r="FH10" s="301">
        <v>3370.2354873042523</v>
      </c>
    </row>
    <row r="11" spans="2:164" x14ac:dyDescent="0.2">
      <c r="B11" s="217" t="s">
        <v>334</v>
      </c>
      <c r="C11" s="227">
        <v>0</v>
      </c>
      <c r="D11" s="228">
        <v>0</v>
      </c>
      <c r="E11" s="208">
        <v>1</v>
      </c>
      <c r="F11" s="208">
        <v>0</v>
      </c>
      <c r="G11" s="208">
        <v>0</v>
      </c>
      <c r="H11" s="208">
        <v>1931</v>
      </c>
      <c r="I11" s="208">
        <v>126</v>
      </c>
      <c r="J11" s="208">
        <v>3</v>
      </c>
      <c r="K11" s="208">
        <v>27</v>
      </c>
      <c r="L11" s="208">
        <v>58</v>
      </c>
      <c r="M11" s="208">
        <v>31</v>
      </c>
      <c r="N11" s="208">
        <v>1</v>
      </c>
      <c r="O11" s="208">
        <v>3</v>
      </c>
      <c r="P11" s="208">
        <v>2</v>
      </c>
      <c r="Q11" s="208">
        <v>1</v>
      </c>
      <c r="R11" s="208">
        <v>2</v>
      </c>
      <c r="S11" s="208">
        <v>4</v>
      </c>
      <c r="T11" s="208">
        <v>0</v>
      </c>
      <c r="U11" s="208">
        <v>0</v>
      </c>
      <c r="V11" s="208">
        <v>0</v>
      </c>
      <c r="W11" s="222">
        <v>2190</v>
      </c>
      <c r="X11" s="208"/>
      <c r="Y11" s="217" t="s">
        <v>334</v>
      </c>
      <c r="Z11" s="227">
        <v>0</v>
      </c>
      <c r="AA11" s="228">
        <v>0</v>
      </c>
      <c r="AB11" s="252">
        <v>29.516224490075622</v>
      </c>
      <c r="AC11" s="208">
        <v>0</v>
      </c>
      <c r="AD11" s="208">
        <v>0</v>
      </c>
      <c r="AE11" s="208">
        <v>241231.87597260749</v>
      </c>
      <c r="AF11" s="208">
        <v>7453.2519885734482</v>
      </c>
      <c r="AG11" s="208">
        <v>78.385211146403563</v>
      </c>
      <c r="AH11" s="208">
        <v>1280.4320953995759</v>
      </c>
      <c r="AI11" s="208">
        <v>12867.795345064502</v>
      </c>
      <c r="AJ11" s="208">
        <v>3236.9746103097318</v>
      </c>
      <c r="AK11" s="252">
        <v>78.114344350903394</v>
      </c>
      <c r="AL11" s="252">
        <v>127.24269184492438</v>
      </c>
      <c r="AM11" s="252">
        <v>38.42048665247917</v>
      </c>
      <c r="AN11" s="252">
        <v>345.64082950943936</v>
      </c>
      <c r="AO11" s="252">
        <v>0</v>
      </c>
      <c r="AP11" s="252">
        <v>88.301285494528202</v>
      </c>
      <c r="AQ11" s="208">
        <v>0</v>
      </c>
      <c r="AR11" s="208">
        <v>0</v>
      </c>
      <c r="AS11" s="208">
        <v>0</v>
      </c>
      <c r="AT11" s="222">
        <v>266855.95108544349</v>
      </c>
      <c r="AV11" s="217" t="s">
        <v>334</v>
      </c>
      <c r="AW11" s="227">
        <f>Z11</f>
        <v>0</v>
      </c>
      <c r="AX11" s="227">
        <f>AA11</f>
        <v>0</v>
      </c>
      <c r="AY11" s="255">
        <v>0</v>
      </c>
      <c r="AZ11" s="227">
        <f t="shared" si="3"/>
        <v>0</v>
      </c>
      <c r="BA11" s="227">
        <f t="shared" si="3"/>
        <v>0</v>
      </c>
      <c r="BB11" s="227">
        <f t="shared" ref="BB11" si="9">AE11</f>
        <v>241231.87597260749</v>
      </c>
      <c r="BC11" s="227">
        <f t="shared" ref="BC11" si="10">AF11</f>
        <v>7453.2519885734482</v>
      </c>
      <c r="BD11" s="227">
        <f t="shared" ref="BD11" si="11">AG11</f>
        <v>78.385211146403563</v>
      </c>
      <c r="BE11" s="227">
        <f t="shared" ref="BE11" si="12">AH11</f>
        <v>1280.4320953995759</v>
      </c>
      <c r="BF11" s="227">
        <f t="shared" ref="BF11" si="13">AI11</f>
        <v>12867.795345064502</v>
      </c>
      <c r="BG11" s="227">
        <f t="shared" ref="BG11" si="14">AJ11</f>
        <v>3236.9746103097318</v>
      </c>
      <c r="BH11" s="255">
        <v>0</v>
      </c>
      <c r="BI11" s="255">
        <v>0</v>
      </c>
      <c r="BJ11" s="255">
        <v>0</v>
      </c>
      <c r="BK11" s="255">
        <v>0</v>
      </c>
      <c r="BL11" s="252">
        <v>0</v>
      </c>
      <c r="BM11" s="255">
        <v>0</v>
      </c>
      <c r="BN11" s="208">
        <f>AQ11</f>
        <v>0</v>
      </c>
      <c r="BO11" s="208">
        <f t="shared" ref="BO11:BP25" si="15">AR11</f>
        <v>0</v>
      </c>
      <c r="BP11" s="208">
        <f t="shared" si="15"/>
        <v>0</v>
      </c>
      <c r="BQ11" s="230">
        <f t="shared" si="0"/>
        <v>266148.71522310114</v>
      </c>
      <c r="BR11" s="214"/>
      <c r="BS11" s="227"/>
      <c r="BT11" s="286"/>
      <c r="BU11" s="300" t="s">
        <v>334</v>
      </c>
      <c r="BV11" s="293">
        <v>0</v>
      </c>
      <c r="BW11" s="293">
        <v>0</v>
      </c>
      <c r="BX11" s="258">
        <v>0</v>
      </c>
      <c r="BY11" s="258">
        <v>0</v>
      </c>
      <c r="BZ11" s="258">
        <v>0</v>
      </c>
      <c r="CA11" s="258">
        <v>18</v>
      </c>
      <c r="CB11" s="258">
        <v>0</v>
      </c>
      <c r="CC11" s="258">
        <v>0</v>
      </c>
      <c r="CD11" s="258">
        <v>0</v>
      </c>
      <c r="CE11" s="258">
        <v>1</v>
      </c>
      <c r="CF11" s="258">
        <v>0</v>
      </c>
      <c r="CG11" s="258">
        <v>0</v>
      </c>
      <c r="CH11" s="258">
        <v>0</v>
      </c>
      <c r="CI11" s="258">
        <v>0</v>
      </c>
      <c r="CJ11" s="258">
        <v>0</v>
      </c>
      <c r="CK11" s="258">
        <v>0</v>
      </c>
      <c r="CL11" s="258">
        <v>0</v>
      </c>
      <c r="CM11" s="258">
        <v>0</v>
      </c>
      <c r="CN11" s="258">
        <v>0</v>
      </c>
      <c r="CO11" s="258">
        <v>0</v>
      </c>
      <c r="CP11" s="301">
        <v>19</v>
      </c>
      <c r="CQ11" s="302"/>
      <c r="CR11" s="300" t="s">
        <v>334</v>
      </c>
      <c r="CS11" s="293">
        <v>0</v>
      </c>
      <c r="CT11" s="293">
        <v>0</v>
      </c>
      <c r="CU11" s="258">
        <v>0</v>
      </c>
      <c r="CV11" s="258">
        <v>0</v>
      </c>
      <c r="CW11" s="258">
        <v>0</v>
      </c>
      <c r="CX11" s="258">
        <v>442.52593529176619</v>
      </c>
      <c r="CY11" s="258">
        <v>0</v>
      </c>
      <c r="CZ11" s="258">
        <v>0</v>
      </c>
      <c r="DA11" s="258">
        <v>0</v>
      </c>
      <c r="DB11" s="258">
        <v>4414.1473111774976</v>
      </c>
      <c r="DC11" s="258">
        <v>0</v>
      </c>
      <c r="DD11" s="258">
        <v>0</v>
      </c>
      <c r="DE11" s="258">
        <v>0</v>
      </c>
      <c r="DF11" s="258">
        <v>0</v>
      </c>
      <c r="DG11" s="258">
        <v>0</v>
      </c>
      <c r="DH11" s="258">
        <v>0</v>
      </c>
      <c r="DI11" s="258">
        <v>0</v>
      </c>
      <c r="DJ11" s="258">
        <v>0</v>
      </c>
      <c r="DK11" s="258">
        <v>0</v>
      </c>
      <c r="DL11" s="258">
        <v>0</v>
      </c>
      <c r="DM11" s="301">
        <v>4856.6732464692641</v>
      </c>
      <c r="DN11" s="302"/>
      <c r="DO11" s="302"/>
      <c r="DP11" s="300" t="s">
        <v>334</v>
      </c>
      <c r="DQ11" s="293">
        <v>0</v>
      </c>
      <c r="DR11" s="293">
        <v>0</v>
      </c>
      <c r="DS11" s="258">
        <v>0</v>
      </c>
      <c r="DT11" s="258">
        <v>0</v>
      </c>
      <c r="DU11" s="258">
        <v>0</v>
      </c>
      <c r="DV11" s="258">
        <v>19</v>
      </c>
      <c r="DW11" s="258">
        <v>0</v>
      </c>
      <c r="DX11" s="258">
        <v>0</v>
      </c>
      <c r="DY11" s="258">
        <v>0</v>
      </c>
      <c r="DZ11" s="258">
        <v>2</v>
      </c>
      <c r="EA11" s="258">
        <v>0</v>
      </c>
      <c r="EB11" s="258">
        <v>0</v>
      </c>
      <c r="EC11" s="258">
        <v>0</v>
      </c>
      <c r="ED11" s="258">
        <v>0</v>
      </c>
      <c r="EE11" s="258">
        <v>1</v>
      </c>
      <c r="EF11" s="258">
        <v>0</v>
      </c>
      <c r="EG11" s="258">
        <v>0</v>
      </c>
      <c r="EH11" s="258">
        <v>0</v>
      </c>
      <c r="EI11" s="258">
        <v>0</v>
      </c>
      <c r="EJ11" s="258">
        <v>0</v>
      </c>
      <c r="EK11" s="301">
        <v>22</v>
      </c>
      <c r="EL11" s="287"/>
      <c r="EM11" s="300" t="s">
        <v>334</v>
      </c>
      <c r="EN11" s="293">
        <v>0</v>
      </c>
      <c r="EO11" s="293">
        <v>0</v>
      </c>
      <c r="EP11" s="258">
        <v>0</v>
      </c>
      <c r="EQ11" s="258">
        <v>0</v>
      </c>
      <c r="ER11" s="258">
        <v>0</v>
      </c>
      <c r="ES11" s="258">
        <v>442.52593529176619</v>
      </c>
      <c r="ET11" s="258">
        <v>0</v>
      </c>
      <c r="EU11" s="258">
        <v>0</v>
      </c>
      <c r="EV11" s="258">
        <v>0</v>
      </c>
      <c r="EW11" s="258">
        <v>4414.1473111774976</v>
      </c>
      <c r="EX11" s="258">
        <v>0</v>
      </c>
      <c r="EY11" s="258">
        <v>0</v>
      </c>
      <c r="EZ11" s="258">
        <v>0</v>
      </c>
      <c r="FA11" s="258">
        <v>0</v>
      </c>
      <c r="FB11" s="258">
        <v>345.64082950943936</v>
      </c>
      <c r="FC11" s="258">
        <v>0</v>
      </c>
      <c r="FD11" s="258">
        <v>0</v>
      </c>
      <c r="FE11" s="258">
        <v>0</v>
      </c>
      <c r="FF11" s="258">
        <v>0</v>
      </c>
      <c r="FG11" s="258">
        <v>0</v>
      </c>
      <c r="FH11" s="301">
        <v>5202.3140759787029</v>
      </c>
    </row>
    <row r="12" spans="2:164" x14ac:dyDescent="0.2">
      <c r="B12" s="217" t="s">
        <v>352</v>
      </c>
      <c r="C12" s="227">
        <v>0</v>
      </c>
      <c r="D12" s="228">
        <v>0</v>
      </c>
      <c r="E12" s="208">
        <v>0</v>
      </c>
      <c r="F12" s="208">
        <v>0</v>
      </c>
      <c r="G12" s="208">
        <v>0</v>
      </c>
      <c r="H12" s="208">
        <v>0</v>
      </c>
      <c r="I12" s="208">
        <v>699</v>
      </c>
      <c r="J12" s="208">
        <v>3</v>
      </c>
      <c r="K12" s="208">
        <v>4</v>
      </c>
      <c r="L12" s="208">
        <v>37</v>
      </c>
      <c r="M12" s="208">
        <v>11</v>
      </c>
      <c r="N12" s="208">
        <v>0</v>
      </c>
      <c r="O12" s="208">
        <v>6</v>
      </c>
      <c r="P12" s="208">
        <v>1</v>
      </c>
      <c r="Q12" s="208">
        <v>0</v>
      </c>
      <c r="R12" s="208">
        <v>3</v>
      </c>
      <c r="S12" s="208">
        <v>0</v>
      </c>
      <c r="T12" s="208">
        <v>0</v>
      </c>
      <c r="U12" s="208">
        <v>0</v>
      </c>
      <c r="V12" s="208">
        <v>0</v>
      </c>
      <c r="W12" s="222">
        <v>764</v>
      </c>
      <c r="X12" s="208"/>
      <c r="Y12" s="217" t="s">
        <v>352</v>
      </c>
      <c r="Z12" s="227">
        <v>0</v>
      </c>
      <c r="AA12" s="228">
        <v>0</v>
      </c>
      <c r="AB12" s="208">
        <v>0</v>
      </c>
      <c r="AC12" s="208">
        <v>0</v>
      </c>
      <c r="AD12" s="208">
        <v>0</v>
      </c>
      <c r="AE12" s="208">
        <v>0</v>
      </c>
      <c r="AF12" s="208">
        <v>66842.660361001355</v>
      </c>
      <c r="AG12" s="208">
        <v>628.19541907856865</v>
      </c>
      <c r="AH12" s="208">
        <v>138.98968152740559</v>
      </c>
      <c r="AI12" s="208">
        <v>2024.3067154914722</v>
      </c>
      <c r="AJ12" s="208">
        <v>262.67740601468211</v>
      </c>
      <c r="AK12" s="252">
        <v>0</v>
      </c>
      <c r="AL12" s="252">
        <v>610.08543936072726</v>
      </c>
      <c r="AM12" s="252">
        <v>13.645692545108767</v>
      </c>
      <c r="AN12" s="252">
        <v>0</v>
      </c>
      <c r="AO12" s="252">
        <v>71.130609569331511</v>
      </c>
      <c r="AP12" s="252">
        <v>0</v>
      </c>
      <c r="AQ12" s="208">
        <v>0</v>
      </c>
      <c r="AR12" s="208">
        <v>0</v>
      </c>
      <c r="AS12" s="208">
        <v>0</v>
      </c>
      <c r="AT12" s="222">
        <v>70591.691324588654</v>
      </c>
      <c r="AV12" s="217" t="s">
        <v>350</v>
      </c>
      <c r="AW12" s="227">
        <f t="shared" ref="AW12:AW25" si="16">Z12</f>
        <v>0</v>
      </c>
      <c r="AX12" s="227">
        <f t="shared" ref="AX12:AY25" si="17">AA12</f>
        <v>0</v>
      </c>
      <c r="AY12" s="227">
        <f t="shared" si="17"/>
        <v>0</v>
      </c>
      <c r="AZ12" s="227">
        <f t="shared" ref="AZ12:AZ25" si="18">AC12</f>
        <v>0</v>
      </c>
      <c r="BA12" s="227">
        <f t="shared" ref="BA12:BA24" si="19">AD12</f>
        <v>0</v>
      </c>
      <c r="BB12" s="227">
        <f t="shared" ref="BB12:BB16" si="20">AE12</f>
        <v>0</v>
      </c>
      <c r="BC12" s="227">
        <f t="shared" ref="BC12:BC16" si="21">AF12</f>
        <v>66842.660361001355</v>
      </c>
      <c r="BD12" s="227">
        <f t="shared" ref="BD12:BD16" si="22">AG12</f>
        <v>628.19541907856865</v>
      </c>
      <c r="BE12" s="227">
        <f t="shared" ref="BE12:BE16" si="23">AH12</f>
        <v>138.98968152740559</v>
      </c>
      <c r="BF12" s="227">
        <f t="shared" ref="BF12:BF16" si="24">AI12</f>
        <v>2024.3067154914722</v>
      </c>
      <c r="BG12" s="227">
        <f t="shared" ref="BG12:BG16" si="25">AJ12</f>
        <v>262.67740601468211</v>
      </c>
      <c r="BH12" s="252">
        <v>0</v>
      </c>
      <c r="BI12" s="255">
        <v>0</v>
      </c>
      <c r="BJ12" s="255">
        <v>0</v>
      </c>
      <c r="BK12" s="252">
        <v>0</v>
      </c>
      <c r="BL12" s="255">
        <v>0</v>
      </c>
      <c r="BM12" s="252">
        <v>0</v>
      </c>
      <c r="BN12" s="208">
        <f t="shared" ref="BN12:BN25" si="26">AQ12</f>
        <v>0</v>
      </c>
      <c r="BO12" s="208">
        <f t="shared" si="15"/>
        <v>0</v>
      </c>
      <c r="BP12" s="208">
        <f t="shared" si="15"/>
        <v>0</v>
      </c>
      <c r="BQ12" s="230">
        <f t="shared" si="0"/>
        <v>69896.829583113489</v>
      </c>
      <c r="BR12" s="214"/>
      <c r="BS12" s="227"/>
      <c r="BT12" s="286"/>
      <c r="BU12" s="300" t="s">
        <v>352</v>
      </c>
      <c r="BV12" s="293">
        <v>0</v>
      </c>
      <c r="BW12" s="293">
        <v>0</v>
      </c>
      <c r="BX12" s="258">
        <v>0</v>
      </c>
      <c r="BY12" s="258">
        <v>0</v>
      </c>
      <c r="BZ12" s="258">
        <v>0</v>
      </c>
      <c r="CA12" s="258">
        <v>0</v>
      </c>
      <c r="CB12" s="258">
        <v>0</v>
      </c>
      <c r="CC12" s="258">
        <v>0</v>
      </c>
      <c r="CD12" s="258">
        <v>0</v>
      </c>
      <c r="CE12" s="258">
        <v>0</v>
      </c>
      <c r="CF12" s="258">
        <v>0</v>
      </c>
      <c r="CG12" s="258">
        <v>0</v>
      </c>
      <c r="CH12" s="258">
        <v>0</v>
      </c>
      <c r="CI12" s="258">
        <v>0</v>
      </c>
      <c r="CJ12" s="258">
        <v>0</v>
      </c>
      <c r="CK12" s="258">
        <v>0</v>
      </c>
      <c r="CL12" s="258">
        <v>0</v>
      </c>
      <c r="CM12" s="258">
        <v>0</v>
      </c>
      <c r="CN12" s="258">
        <v>0</v>
      </c>
      <c r="CO12" s="258">
        <v>0</v>
      </c>
      <c r="CP12" s="301">
        <v>0</v>
      </c>
      <c r="CQ12" s="302"/>
      <c r="CR12" s="300" t="s">
        <v>352</v>
      </c>
      <c r="CS12" s="293">
        <v>0</v>
      </c>
      <c r="CT12" s="293">
        <v>0</v>
      </c>
      <c r="CU12" s="258">
        <v>0</v>
      </c>
      <c r="CV12" s="258">
        <v>0</v>
      </c>
      <c r="CW12" s="258">
        <v>0</v>
      </c>
      <c r="CX12" s="258">
        <v>0</v>
      </c>
      <c r="CY12" s="258">
        <v>0</v>
      </c>
      <c r="CZ12" s="258">
        <v>0</v>
      </c>
      <c r="DA12" s="258">
        <v>0</v>
      </c>
      <c r="DB12" s="258">
        <v>0</v>
      </c>
      <c r="DC12" s="258">
        <v>0</v>
      </c>
      <c r="DD12" s="258">
        <v>0</v>
      </c>
      <c r="DE12" s="258">
        <v>0</v>
      </c>
      <c r="DF12" s="258">
        <v>0</v>
      </c>
      <c r="DG12" s="258">
        <v>0</v>
      </c>
      <c r="DH12" s="258">
        <v>0</v>
      </c>
      <c r="DI12" s="258">
        <v>0</v>
      </c>
      <c r="DJ12" s="258">
        <v>0</v>
      </c>
      <c r="DK12" s="258">
        <v>0</v>
      </c>
      <c r="DL12" s="258">
        <v>0</v>
      </c>
      <c r="DM12" s="301">
        <v>0</v>
      </c>
      <c r="DN12" s="302"/>
      <c r="DO12" s="302"/>
      <c r="DP12" s="300" t="s">
        <v>352</v>
      </c>
      <c r="DQ12" s="293">
        <v>0</v>
      </c>
      <c r="DR12" s="293">
        <v>0</v>
      </c>
      <c r="DS12" s="258">
        <v>0</v>
      </c>
      <c r="DT12" s="258">
        <v>0</v>
      </c>
      <c r="DU12" s="258">
        <v>0</v>
      </c>
      <c r="DV12" s="258">
        <v>0</v>
      </c>
      <c r="DW12" s="258">
        <v>0</v>
      </c>
      <c r="DX12" s="258">
        <v>0</v>
      </c>
      <c r="DY12" s="258">
        <v>0</v>
      </c>
      <c r="DZ12" s="258">
        <v>0</v>
      </c>
      <c r="EA12" s="258">
        <v>0</v>
      </c>
      <c r="EB12" s="258">
        <v>0</v>
      </c>
      <c r="EC12" s="258">
        <v>0</v>
      </c>
      <c r="ED12" s="258">
        <v>0</v>
      </c>
      <c r="EE12" s="258">
        <v>0</v>
      </c>
      <c r="EF12" s="258">
        <v>0</v>
      </c>
      <c r="EG12" s="258">
        <v>0</v>
      </c>
      <c r="EH12" s="258">
        <v>0</v>
      </c>
      <c r="EI12" s="258">
        <v>0</v>
      </c>
      <c r="EJ12" s="258">
        <v>0</v>
      </c>
      <c r="EK12" s="301">
        <v>0</v>
      </c>
      <c r="EL12" s="287"/>
      <c r="EM12" s="300" t="s">
        <v>352</v>
      </c>
      <c r="EN12" s="293">
        <v>0</v>
      </c>
      <c r="EO12" s="293">
        <v>0</v>
      </c>
      <c r="EP12" s="258">
        <v>0</v>
      </c>
      <c r="EQ12" s="258">
        <v>0</v>
      </c>
      <c r="ER12" s="258">
        <v>0</v>
      </c>
      <c r="ES12" s="258">
        <v>0</v>
      </c>
      <c r="ET12" s="258">
        <v>0</v>
      </c>
      <c r="EU12" s="258">
        <v>0</v>
      </c>
      <c r="EV12" s="258">
        <v>0</v>
      </c>
      <c r="EW12" s="258">
        <v>0</v>
      </c>
      <c r="EX12" s="258">
        <v>0</v>
      </c>
      <c r="EY12" s="258">
        <v>0</v>
      </c>
      <c r="EZ12" s="258">
        <v>0</v>
      </c>
      <c r="FA12" s="258">
        <v>0</v>
      </c>
      <c r="FB12" s="258">
        <v>0</v>
      </c>
      <c r="FC12" s="258">
        <v>0</v>
      </c>
      <c r="FD12" s="258">
        <v>0</v>
      </c>
      <c r="FE12" s="258">
        <v>0</v>
      </c>
      <c r="FF12" s="258">
        <v>0</v>
      </c>
      <c r="FG12" s="258">
        <v>0</v>
      </c>
      <c r="FH12" s="301">
        <v>0</v>
      </c>
    </row>
    <row r="13" spans="2:164" x14ac:dyDescent="0.2">
      <c r="B13" s="217" t="s">
        <v>335</v>
      </c>
      <c r="C13" s="227">
        <v>0</v>
      </c>
      <c r="D13" s="228">
        <v>0</v>
      </c>
      <c r="E13" s="208">
        <v>0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208">
        <v>140</v>
      </c>
      <c r="L13" s="208">
        <v>25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2</v>
      </c>
      <c r="S13" s="208">
        <v>0</v>
      </c>
      <c r="T13" s="208">
        <v>0</v>
      </c>
      <c r="U13" s="208">
        <v>0</v>
      </c>
      <c r="V13" s="208">
        <v>0</v>
      </c>
      <c r="W13" s="222">
        <v>167</v>
      </c>
      <c r="X13" s="208"/>
      <c r="Y13" s="217" t="s">
        <v>335</v>
      </c>
      <c r="Z13" s="227">
        <v>0</v>
      </c>
      <c r="AA13" s="228">
        <v>0</v>
      </c>
      <c r="AB13" s="208">
        <v>0</v>
      </c>
      <c r="AC13" s="208">
        <v>0</v>
      </c>
      <c r="AD13" s="208">
        <v>0</v>
      </c>
      <c r="AE13" s="208">
        <v>0</v>
      </c>
      <c r="AF13" s="208">
        <v>0</v>
      </c>
      <c r="AG13" s="208">
        <v>0</v>
      </c>
      <c r="AH13" s="208">
        <v>14097.894498135156</v>
      </c>
      <c r="AI13" s="208">
        <v>5600.7569603901211</v>
      </c>
      <c r="AJ13" s="208">
        <v>0</v>
      </c>
      <c r="AK13" s="252">
        <v>0</v>
      </c>
      <c r="AL13" s="252">
        <v>0</v>
      </c>
      <c r="AM13" s="252">
        <v>0</v>
      </c>
      <c r="AN13" s="252">
        <v>0</v>
      </c>
      <c r="AO13" s="252">
        <v>2215.0561615498741</v>
      </c>
      <c r="AP13" s="252">
        <v>0</v>
      </c>
      <c r="AQ13" s="208">
        <v>0</v>
      </c>
      <c r="AR13" s="208">
        <v>0</v>
      </c>
      <c r="AS13" s="208">
        <v>0</v>
      </c>
      <c r="AT13" s="222">
        <v>21913.707620075151</v>
      </c>
      <c r="AV13" s="217" t="s">
        <v>346</v>
      </c>
      <c r="AW13" s="227">
        <f t="shared" si="16"/>
        <v>0</v>
      </c>
      <c r="AX13" s="227">
        <f t="shared" si="17"/>
        <v>0</v>
      </c>
      <c r="AY13" s="227">
        <f t="shared" si="17"/>
        <v>0</v>
      </c>
      <c r="AZ13" s="227">
        <f t="shared" si="18"/>
        <v>0</v>
      </c>
      <c r="BA13" s="227">
        <f t="shared" si="19"/>
        <v>0</v>
      </c>
      <c r="BB13" s="227">
        <f t="shared" si="20"/>
        <v>0</v>
      </c>
      <c r="BC13" s="227">
        <f t="shared" si="21"/>
        <v>0</v>
      </c>
      <c r="BD13" s="227">
        <f t="shared" si="22"/>
        <v>0</v>
      </c>
      <c r="BE13" s="227">
        <f t="shared" si="23"/>
        <v>14097.894498135156</v>
      </c>
      <c r="BF13" s="227">
        <f t="shared" si="24"/>
        <v>5600.7569603901211</v>
      </c>
      <c r="BG13" s="227">
        <f t="shared" si="25"/>
        <v>0</v>
      </c>
      <c r="BH13" s="252">
        <v>0</v>
      </c>
      <c r="BI13" s="252">
        <v>0</v>
      </c>
      <c r="BJ13" s="255">
        <v>0</v>
      </c>
      <c r="BK13" s="252">
        <v>0</v>
      </c>
      <c r="BL13" s="255">
        <v>0</v>
      </c>
      <c r="BM13" s="252">
        <v>0</v>
      </c>
      <c r="BN13" s="208">
        <f t="shared" si="26"/>
        <v>0</v>
      </c>
      <c r="BO13" s="208">
        <f t="shared" si="15"/>
        <v>0</v>
      </c>
      <c r="BP13" s="208">
        <f t="shared" si="15"/>
        <v>0</v>
      </c>
      <c r="BQ13" s="230">
        <f t="shared" si="0"/>
        <v>19698.651458525277</v>
      </c>
      <c r="BR13" s="214"/>
      <c r="BS13" s="227"/>
      <c r="BT13" s="286"/>
      <c r="BU13" s="300" t="s">
        <v>335</v>
      </c>
      <c r="BV13" s="293">
        <v>0</v>
      </c>
      <c r="BW13" s="293">
        <v>0</v>
      </c>
      <c r="BX13" s="258">
        <v>0</v>
      </c>
      <c r="BY13" s="258">
        <v>0</v>
      </c>
      <c r="BZ13" s="258">
        <v>0</v>
      </c>
      <c r="CA13" s="258">
        <v>0</v>
      </c>
      <c r="CB13" s="258">
        <v>0</v>
      </c>
      <c r="CC13" s="258">
        <v>0</v>
      </c>
      <c r="CD13" s="258">
        <v>0</v>
      </c>
      <c r="CE13" s="258">
        <v>1</v>
      </c>
      <c r="CF13" s="258">
        <v>0</v>
      </c>
      <c r="CG13" s="258">
        <v>0</v>
      </c>
      <c r="CH13" s="258">
        <v>0</v>
      </c>
      <c r="CI13" s="258">
        <v>0</v>
      </c>
      <c r="CJ13" s="258">
        <v>0</v>
      </c>
      <c r="CK13" s="258">
        <v>0</v>
      </c>
      <c r="CL13" s="258">
        <v>0</v>
      </c>
      <c r="CM13" s="258">
        <v>0</v>
      </c>
      <c r="CN13" s="258">
        <v>0</v>
      </c>
      <c r="CO13" s="258">
        <v>0</v>
      </c>
      <c r="CP13" s="301">
        <v>1</v>
      </c>
      <c r="CQ13" s="302"/>
      <c r="CR13" s="300" t="s">
        <v>335</v>
      </c>
      <c r="CS13" s="293">
        <v>0</v>
      </c>
      <c r="CT13" s="293">
        <v>0</v>
      </c>
      <c r="CU13" s="258">
        <v>0</v>
      </c>
      <c r="CV13" s="258">
        <v>0</v>
      </c>
      <c r="CW13" s="258">
        <v>0</v>
      </c>
      <c r="CX13" s="258">
        <v>0</v>
      </c>
      <c r="CY13" s="258">
        <v>0</v>
      </c>
      <c r="CZ13" s="258">
        <v>0</v>
      </c>
      <c r="DA13" s="258">
        <v>0</v>
      </c>
      <c r="DB13" s="258">
        <v>4414.1473111774976</v>
      </c>
      <c r="DC13" s="258">
        <v>0</v>
      </c>
      <c r="DD13" s="258">
        <v>0</v>
      </c>
      <c r="DE13" s="258">
        <v>0</v>
      </c>
      <c r="DF13" s="258">
        <v>0</v>
      </c>
      <c r="DG13" s="258">
        <v>0</v>
      </c>
      <c r="DH13" s="258">
        <v>0</v>
      </c>
      <c r="DI13" s="258">
        <v>0</v>
      </c>
      <c r="DJ13" s="258">
        <v>0</v>
      </c>
      <c r="DK13" s="258">
        <v>0</v>
      </c>
      <c r="DL13" s="258">
        <v>0</v>
      </c>
      <c r="DM13" s="301">
        <v>4414.1473111774976</v>
      </c>
      <c r="DN13" s="302"/>
      <c r="DO13" s="302"/>
      <c r="DP13" s="300" t="s">
        <v>335</v>
      </c>
      <c r="DQ13" s="293">
        <v>0</v>
      </c>
      <c r="DR13" s="293">
        <v>0</v>
      </c>
      <c r="DS13" s="258">
        <v>0</v>
      </c>
      <c r="DT13" s="258">
        <v>0</v>
      </c>
      <c r="DU13" s="258">
        <v>0</v>
      </c>
      <c r="DV13" s="258">
        <v>0</v>
      </c>
      <c r="DW13" s="258">
        <v>0</v>
      </c>
      <c r="DX13" s="258">
        <v>0</v>
      </c>
      <c r="DY13" s="258">
        <v>0</v>
      </c>
      <c r="DZ13" s="258">
        <v>1</v>
      </c>
      <c r="EA13" s="258">
        <v>0</v>
      </c>
      <c r="EB13" s="258">
        <v>0</v>
      </c>
      <c r="EC13" s="258">
        <v>0</v>
      </c>
      <c r="ED13" s="258">
        <v>0</v>
      </c>
      <c r="EE13" s="258">
        <v>0</v>
      </c>
      <c r="EF13" s="258">
        <v>0</v>
      </c>
      <c r="EG13" s="258">
        <v>0</v>
      </c>
      <c r="EH13" s="258">
        <v>0</v>
      </c>
      <c r="EI13" s="258">
        <v>0</v>
      </c>
      <c r="EJ13" s="258">
        <v>0</v>
      </c>
      <c r="EK13" s="301">
        <v>1</v>
      </c>
      <c r="EL13" s="287"/>
      <c r="EM13" s="300" t="s">
        <v>335</v>
      </c>
      <c r="EN13" s="293">
        <v>0</v>
      </c>
      <c r="EO13" s="293">
        <v>0</v>
      </c>
      <c r="EP13" s="258">
        <v>0</v>
      </c>
      <c r="EQ13" s="258">
        <v>0</v>
      </c>
      <c r="ER13" s="258">
        <v>0</v>
      </c>
      <c r="ES13" s="258">
        <v>0</v>
      </c>
      <c r="ET13" s="258">
        <v>0</v>
      </c>
      <c r="EU13" s="258">
        <v>0</v>
      </c>
      <c r="EV13" s="258">
        <v>0</v>
      </c>
      <c r="EW13" s="258">
        <v>4414.1473111774976</v>
      </c>
      <c r="EX13" s="258">
        <v>0</v>
      </c>
      <c r="EY13" s="258">
        <v>0</v>
      </c>
      <c r="EZ13" s="258">
        <v>0</v>
      </c>
      <c r="FA13" s="258">
        <v>0</v>
      </c>
      <c r="FB13" s="258">
        <v>0</v>
      </c>
      <c r="FC13" s="258">
        <v>0</v>
      </c>
      <c r="FD13" s="258">
        <v>0</v>
      </c>
      <c r="FE13" s="258">
        <v>0</v>
      </c>
      <c r="FF13" s="258">
        <v>0</v>
      </c>
      <c r="FG13" s="258">
        <v>0</v>
      </c>
      <c r="FH13" s="301">
        <v>4414.1473111774976</v>
      </c>
    </row>
    <row r="14" spans="2:164" x14ac:dyDescent="0.2">
      <c r="B14" s="217" t="s">
        <v>336</v>
      </c>
      <c r="C14" s="227">
        <v>0</v>
      </c>
      <c r="D14" s="22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08">
        <v>1044</v>
      </c>
      <c r="M14" s="208">
        <v>14</v>
      </c>
      <c r="N14" s="208">
        <v>0</v>
      </c>
      <c r="O14" s="208">
        <v>0</v>
      </c>
      <c r="P14" s="208">
        <v>0</v>
      </c>
      <c r="Q14" s="208">
        <v>0</v>
      </c>
      <c r="R14" s="208">
        <v>54</v>
      </c>
      <c r="S14" s="208">
        <v>0</v>
      </c>
      <c r="T14" s="208">
        <v>0</v>
      </c>
      <c r="U14" s="208">
        <v>0</v>
      </c>
      <c r="V14" s="208">
        <v>0</v>
      </c>
      <c r="W14" s="222">
        <v>1112</v>
      </c>
      <c r="X14" s="208"/>
      <c r="Y14" s="217" t="s">
        <v>336</v>
      </c>
      <c r="Z14" s="227">
        <v>0</v>
      </c>
      <c r="AA14" s="228">
        <v>0</v>
      </c>
      <c r="AB14" s="208">
        <v>0</v>
      </c>
      <c r="AC14" s="208">
        <v>0</v>
      </c>
      <c r="AD14" s="208">
        <v>0</v>
      </c>
      <c r="AE14" s="208">
        <v>0</v>
      </c>
      <c r="AF14" s="208">
        <v>0</v>
      </c>
      <c r="AG14" s="208">
        <v>0</v>
      </c>
      <c r="AH14" s="208">
        <v>0</v>
      </c>
      <c r="AI14" s="208">
        <v>89022.263020694343</v>
      </c>
      <c r="AJ14" s="208">
        <v>2110.2349199098353</v>
      </c>
      <c r="AK14" s="252">
        <v>0</v>
      </c>
      <c r="AL14" s="252">
        <v>0</v>
      </c>
      <c r="AM14" s="252">
        <v>0</v>
      </c>
      <c r="AN14" s="252">
        <v>0</v>
      </c>
      <c r="AO14" s="252">
        <v>3608.3029038559312</v>
      </c>
      <c r="AP14" s="252">
        <v>0</v>
      </c>
      <c r="AQ14" s="208">
        <v>0</v>
      </c>
      <c r="AR14" s="208">
        <v>0</v>
      </c>
      <c r="AS14" s="208">
        <v>0</v>
      </c>
      <c r="AT14" s="222">
        <v>94740.800844460115</v>
      </c>
      <c r="AV14" s="217" t="s">
        <v>335</v>
      </c>
      <c r="AW14" s="227">
        <f t="shared" si="16"/>
        <v>0</v>
      </c>
      <c r="AX14" s="227">
        <f t="shared" si="17"/>
        <v>0</v>
      </c>
      <c r="AY14" s="227">
        <f t="shared" si="17"/>
        <v>0</v>
      </c>
      <c r="AZ14" s="227">
        <f t="shared" si="18"/>
        <v>0</v>
      </c>
      <c r="BA14" s="227">
        <f t="shared" si="19"/>
        <v>0</v>
      </c>
      <c r="BB14" s="227">
        <f t="shared" si="20"/>
        <v>0</v>
      </c>
      <c r="BC14" s="227">
        <f t="shared" si="21"/>
        <v>0</v>
      </c>
      <c r="BD14" s="227">
        <f t="shared" si="22"/>
        <v>0</v>
      </c>
      <c r="BE14" s="227">
        <f t="shared" si="23"/>
        <v>0</v>
      </c>
      <c r="BF14" s="227">
        <f t="shared" si="24"/>
        <v>89022.263020694343</v>
      </c>
      <c r="BG14" s="227">
        <f t="shared" si="25"/>
        <v>2110.2349199098353</v>
      </c>
      <c r="BH14" s="252">
        <v>0</v>
      </c>
      <c r="BI14" s="252">
        <v>0</v>
      </c>
      <c r="BJ14" s="252">
        <v>0</v>
      </c>
      <c r="BK14" s="252">
        <v>0</v>
      </c>
      <c r="BL14" s="255">
        <v>0</v>
      </c>
      <c r="BM14" s="252">
        <v>0</v>
      </c>
      <c r="BN14" s="208">
        <f t="shared" si="26"/>
        <v>0</v>
      </c>
      <c r="BO14" s="208">
        <f t="shared" si="15"/>
        <v>0</v>
      </c>
      <c r="BP14" s="208">
        <f t="shared" si="15"/>
        <v>0</v>
      </c>
      <c r="BQ14" s="230">
        <f t="shared" si="0"/>
        <v>91132.497940604182</v>
      </c>
      <c r="BR14" s="214"/>
      <c r="BS14" s="227"/>
      <c r="BT14" s="286"/>
      <c r="BU14" s="300" t="s">
        <v>336</v>
      </c>
      <c r="BV14" s="293">
        <v>0</v>
      </c>
      <c r="BW14" s="293">
        <v>0</v>
      </c>
      <c r="BX14" s="258">
        <v>0</v>
      </c>
      <c r="BY14" s="258">
        <v>0</v>
      </c>
      <c r="BZ14" s="258">
        <v>0</v>
      </c>
      <c r="CA14" s="258">
        <v>0</v>
      </c>
      <c r="CB14" s="258">
        <v>0</v>
      </c>
      <c r="CC14" s="258">
        <v>0</v>
      </c>
      <c r="CD14" s="258">
        <v>0</v>
      </c>
      <c r="CE14" s="258">
        <v>7</v>
      </c>
      <c r="CF14" s="258">
        <v>0</v>
      </c>
      <c r="CG14" s="258">
        <v>0</v>
      </c>
      <c r="CH14" s="258">
        <v>0</v>
      </c>
      <c r="CI14" s="258">
        <v>0</v>
      </c>
      <c r="CJ14" s="258">
        <v>0</v>
      </c>
      <c r="CK14" s="258">
        <v>1</v>
      </c>
      <c r="CL14" s="258">
        <v>0</v>
      </c>
      <c r="CM14" s="258">
        <v>0</v>
      </c>
      <c r="CN14" s="258">
        <v>0</v>
      </c>
      <c r="CO14" s="258">
        <v>0</v>
      </c>
      <c r="CP14" s="301">
        <v>8</v>
      </c>
      <c r="CQ14" s="302"/>
      <c r="CR14" s="300" t="s">
        <v>336</v>
      </c>
      <c r="CS14" s="293">
        <v>0</v>
      </c>
      <c r="CT14" s="293">
        <v>0</v>
      </c>
      <c r="CU14" s="258">
        <v>0</v>
      </c>
      <c r="CV14" s="258">
        <v>0</v>
      </c>
      <c r="CW14" s="258">
        <v>0</v>
      </c>
      <c r="CX14" s="258">
        <v>0</v>
      </c>
      <c r="CY14" s="258">
        <v>0</v>
      </c>
      <c r="CZ14" s="258">
        <v>0</v>
      </c>
      <c r="DA14" s="258">
        <v>0</v>
      </c>
      <c r="DB14" s="258">
        <v>8904.2202690981358</v>
      </c>
      <c r="DC14" s="258">
        <v>0</v>
      </c>
      <c r="DD14" s="258">
        <v>0</v>
      </c>
      <c r="DE14" s="258">
        <v>0</v>
      </c>
      <c r="DF14" s="258">
        <v>0</v>
      </c>
      <c r="DG14" s="258">
        <v>0</v>
      </c>
      <c r="DH14" s="258">
        <v>18.535645909831832</v>
      </c>
      <c r="DI14" s="258">
        <v>0</v>
      </c>
      <c r="DJ14" s="258">
        <v>0</v>
      </c>
      <c r="DK14" s="258">
        <v>0</v>
      </c>
      <c r="DL14" s="258">
        <v>0</v>
      </c>
      <c r="DM14" s="301">
        <v>8922.7559150079669</v>
      </c>
      <c r="DN14" s="302"/>
      <c r="DO14" s="302"/>
      <c r="DP14" s="300" t="s">
        <v>336</v>
      </c>
      <c r="DQ14" s="293">
        <v>0</v>
      </c>
      <c r="DR14" s="293">
        <v>0</v>
      </c>
      <c r="DS14" s="258">
        <v>0</v>
      </c>
      <c r="DT14" s="258">
        <v>0</v>
      </c>
      <c r="DU14" s="258">
        <v>0</v>
      </c>
      <c r="DV14" s="258">
        <v>0</v>
      </c>
      <c r="DW14" s="258">
        <v>0</v>
      </c>
      <c r="DX14" s="258">
        <v>0</v>
      </c>
      <c r="DY14" s="258">
        <v>0</v>
      </c>
      <c r="DZ14" s="258">
        <v>9</v>
      </c>
      <c r="EA14" s="258">
        <v>0</v>
      </c>
      <c r="EB14" s="258">
        <v>0</v>
      </c>
      <c r="EC14" s="258">
        <v>0</v>
      </c>
      <c r="ED14" s="258">
        <v>0</v>
      </c>
      <c r="EE14" s="258">
        <v>0</v>
      </c>
      <c r="EF14" s="258">
        <v>1</v>
      </c>
      <c r="EG14" s="258">
        <v>0</v>
      </c>
      <c r="EH14" s="258">
        <v>0</v>
      </c>
      <c r="EI14" s="258">
        <v>0</v>
      </c>
      <c r="EJ14" s="258">
        <v>0</v>
      </c>
      <c r="EK14" s="301">
        <v>10</v>
      </c>
      <c r="EL14" s="287"/>
      <c r="EM14" s="300" t="s">
        <v>336</v>
      </c>
      <c r="EN14" s="293">
        <v>0</v>
      </c>
      <c r="EO14" s="293">
        <v>0</v>
      </c>
      <c r="EP14" s="258">
        <v>0</v>
      </c>
      <c r="EQ14" s="258">
        <v>0</v>
      </c>
      <c r="ER14" s="258">
        <v>0</v>
      </c>
      <c r="ES14" s="258">
        <v>0</v>
      </c>
      <c r="ET14" s="258">
        <v>0</v>
      </c>
      <c r="EU14" s="258">
        <v>0</v>
      </c>
      <c r="EV14" s="258">
        <v>0</v>
      </c>
      <c r="EW14" s="258">
        <v>8913.2830970936193</v>
      </c>
      <c r="EX14" s="258">
        <v>0</v>
      </c>
      <c r="EY14" s="258">
        <v>0</v>
      </c>
      <c r="EZ14" s="258">
        <v>0</v>
      </c>
      <c r="FA14" s="258">
        <v>0</v>
      </c>
      <c r="FB14" s="258">
        <v>0</v>
      </c>
      <c r="FC14" s="258">
        <v>18.535645909831832</v>
      </c>
      <c r="FD14" s="258">
        <v>0</v>
      </c>
      <c r="FE14" s="258">
        <v>0</v>
      </c>
      <c r="FF14" s="258">
        <v>0</v>
      </c>
      <c r="FG14" s="258">
        <v>0</v>
      </c>
      <c r="FH14" s="301">
        <v>8931.8187430034504</v>
      </c>
    </row>
    <row r="15" spans="2:164" x14ac:dyDescent="0.2">
      <c r="B15" s="217" t="s">
        <v>337</v>
      </c>
      <c r="C15" s="227">
        <v>0</v>
      </c>
      <c r="D15" s="228">
        <v>0</v>
      </c>
      <c r="E15" s="208">
        <v>0</v>
      </c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M15" s="208">
        <v>398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17</v>
      </c>
      <c r="T15" s="208">
        <v>0</v>
      </c>
      <c r="U15" s="208">
        <v>0</v>
      </c>
      <c r="V15" s="208">
        <v>0</v>
      </c>
      <c r="W15" s="222">
        <v>415</v>
      </c>
      <c r="X15" s="208"/>
      <c r="Y15" s="217" t="s">
        <v>337</v>
      </c>
      <c r="Z15" s="227">
        <v>0</v>
      </c>
      <c r="AA15" s="228">
        <v>0</v>
      </c>
      <c r="AB15" s="208">
        <v>0</v>
      </c>
      <c r="AC15" s="208">
        <v>0</v>
      </c>
      <c r="AD15" s="208">
        <v>0</v>
      </c>
      <c r="AE15" s="208">
        <v>0</v>
      </c>
      <c r="AF15" s="208">
        <v>0</v>
      </c>
      <c r="AG15" s="208">
        <v>0</v>
      </c>
      <c r="AH15" s="208">
        <v>0</v>
      </c>
      <c r="AI15" s="208">
        <v>0</v>
      </c>
      <c r="AJ15" s="208">
        <v>42399.221321503908</v>
      </c>
      <c r="AK15" s="252">
        <v>0</v>
      </c>
      <c r="AL15" s="252">
        <v>0</v>
      </c>
      <c r="AM15" s="252">
        <v>0</v>
      </c>
      <c r="AN15" s="252">
        <v>0</v>
      </c>
      <c r="AO15" s="252">
        <v>0</v>
      </c>
      <c r="AP15" s="252">
        <v>8647.1182539857546</v>
      </c>
      <c r="AQ15" s="208">
        <v>0</v>
      </c>
      <c r="AR15" s="208">
        <v>0</v>
      </c>
      <c r="AS15" s="208">
        <v>0</v>
      </c>
      <c r="AT15" s="222">
        <v>51046.339575489663</v>
      </c>
      <c r="AV15" s="217" t="s">
        <v>336</v>
      </c>
      <c r="AW15" s="227">
        <f t="shared" si="16"/>
        <v>0</v>
      </c>
      <c r="AX15" s="227">
        <f t="shared" si="17"/>
        <v>0</v>
      </c>
      <c r="AY15" s="227">
        <f t="shared" si="17"/>
        <v>0</v>
      </c>
      <c r="AZ15" s="227">
        <f t="shared" si="18"/>
        <v>0</v>
      </c>
      <c r="BA15" s="227">
        <f t="shared" si="19"/>
        <v>0</v>
      </c>
      <c r="BB15" s="227">
        <f t="shared" si="20"/>
        <v>0</v>
      </c>
      <c r="BC15" s="227">
        <f t="shared" si="21"/>
        <v>0</v>
      </c>
      <c r="BD15" s="227">
        <f t="shared" si="22"/>
        <v>0</v>
      </c>
      <c r="BE15" s="227">
        <f t="shared" si="23"/>
        <v>0</v>
      </c>
      <c r="BF15" s="227">
        <f t="shared" si="24"/>
        <v>0</v>
      </c>
      <c r="BG15" s="227">
        <f t="shared" si="25"/>
        <v>42399.221321503908</v>
      </c>
      <c r="BH15" s="252">
        <v>0</v>
      </c>
      <c r="BI15" s="252">
        <v>0</v>
      </c>
      <c r="BJ15" s="252">
        <v>0</v>
      </c>
      <c r="BK15" s="252">
        <v>0</v>
      </c>
      <c r="BL15" s="255">
        <v>0</v>
      </c>
      <c r="BM15" s="252">
        <v>0</v>
      </c>
      <c r="BN15" s="208">
        <f t="shared" si="26"/>
        <v>0</v>
      </c>
      <c r="BO15" s="208">
        <f t="shared" si="15"/>
        <v>0</v>
      </c>
      <c r="BP15" s="208">
        <f t="shared" si="15"/>
        <v>0</v>
      </c>
      <c r="BQ15" s="230">
        <f t="shared" si="0"/>
        <v>42399.221321503908</v>
      </c>
      <c r="BR15" s="214"/>
      <c r="BS15" s="227"/>
      <c r="BT15" s="286"/>
      <c r="BU15" s="300" t="s">
        <v>337</v>
      </c>
      <c r="BV15" s="293">
        <v>0</v>
      </c>
      <c r="BW15" s="293">
        <v>0</v>
      </c>
      <c r="BX15" s="258">
        <v>0</v>
      </c>
      <c r="BY15" s="258">
        <v>0</v>
      </c>
      <c r="BZ15" s="258">
        <v>0</v>
      </c>
      <c r="CA15" s="258">
        <v>0</v>
      </c>
      <c r="CB15" s="258">
        <v>0</v>
      </c>
      <c r="CC15" s="258">
        <v>0</v>
      </c>
      <c r="CD15" s="258">
        <v>0</v>
      </c>
      <c r="CE15" s="258">
        <v>0</v>
      </c>
      <c r="CF15" s="258">
        <v>2</v>
      </c>
      <c r="CG15" s="258">
        <v>0</v>
      </c>
      <c r="CH15" s="258">
        <v>0</v>
      </c>
      <c r="CI15" s="258">
        <v>0</v>
      </c>
      <c r="CJ15" s="258">
        <v>0</v>
      </c>
      <c r="CK15" s="258">
        <v>0</v>
      </c>
      <c r="CL15" s="258">
        <v>0</v>
      </c>
      <c r="CM15" s="258">
        <v>0</v>
      </c>
      <c r="CN15" s="258">
        <v>0</v>
      </c>
      <c r="CO15" s="258">
        <v>0</v>
      </c>
      <c r="CP15" s="301">
        <v>2</v>
      </c>
      <c r="CQ15" s="302"/>
      <c r="CR15" s="300" t="s">
        <v>337</v>
      </c>
      <c r="CS15" s="293">
        <v>0</v>
      </c>
      <c r="CT15" s="293">
        <v>0</v>
      </c>
      <c r="CU15" s="258">
        <v>0</v>
      </c>
      <c r="CV15" s="258">
        <v>0</v>
      </c>
      <c r="CW15" s="258">
        <v>0</v>
      </c>
      <c r="CX15" s="258">
        <v>0</v>
      </c>
      <c r="CY15" s="258">
        <v>0</v>
      </c>
      <c r="CZ15" s="258">
        <v>0</v>
      </c>
      <c r="DA15" s="258">
        <v>0</v>
      </c>
      <c r="DB15" s="258">
        <v>0</v>
      </c>
      <c r="DC15" s="258">
        <v>27.389834725929223</v>
      </c>
      <c r="DD15" s="258">
        <v>0</v>
      </c>
      <c r="DE15" s="258">
        <v>0</v>
      </c>
      <c r="DF15" s="258">
        <v>0</v>
      </c>
      <c r="DG15" s="258">
        <v>0</v>
      </c>
      <c r="DH15" s="258">
        <v>0</v>
      </c>
      <c r="DI15" s="258">
        <v>0</v>
      </c>
      <c r="DJ15" s="258">
        <v>0</v>
      </c>
      <c r="DK15" s="258">
        <v>0</v>
      </c>
      <c r="DL15" s="258">
        <v>0</v>
      </c>
      <c r="DM15" s="301">
        <v>27.389834725929223</v>
      </c>
      <c r="DN15" s="302"/>
      <c r="DO15" s="302"/>
      <c r="DP15" s="300" t="s">
        <v>337</v>
      </c>
      <c r="DQ15" s="293">
        <v>0</v>
      </c>
      <c r="DR15" s="293">
        <v>0</v>
      </c>
      <c r="DS15" s="258">
        <v>0</v>
      </c>
      <c r="DT15" s="258">
        <v>0</v>
      </c>
      <c r="DU15" s="258">
        <v>0</v>
      </c>
      <c r="DV15" s="258">
        <v>0</v>
      </c>
      <c r="DW15" s="258">
        <v>0</v>
      </c>
      <c r="DX15" s="258">
        <v>0</v>
      </c>
      <c r="DY15" s="258">
        <v>0</v>
      </c>
      <c r="DZ15" s="258">
        <v>0</v>
      </c>
      <c r="EA15" s="258">
        <v>8</v>
      </c>
      <c r="EB15" s="258">
        <v>0</v>
      </c>
      <c r="EC15" s="258">
        <v>0</v>
      </c>
      <c r="ED15" s="258">
        <v>0</v>
      </c>
      <c r="EE15" s="258">
        <v>0</v>
      </c>
      <c r="EF15" s="258">
        <v>0</v>
      </c>
      <c r="EG15" s="258">
        <v>1</v>
      </c>
      <c r="EH15" s="258">
        <v>0</v>
      </c>
      <c r="EI15" s="258">
        <v>0</v>
      </c>
      <c r="EJ15" s="258">
        <v>0</v>
      </c>
      <c r="EK15" s="301">
        <v>9</v>
      </c>
      <c r="EL15" s="287"/>
      <c r="EM15" s="300" t="s">
        <v>337</v>
      </c>
      <c r="EN15" s="293">
        <v>0</v>
      </c>
      <c r="EO15" s="293">
        <v>0</v>
      </c>
      <c r="EP15" s="258">
        <v>0</v>
      </c>
      <c r="EQ15" s="258">
        <v>0</v>
      </c>
      <c r="ER15" s="258">
        <v>0</v>
      </c>
      <c r="ES15" s="258">
        <v>0</v>
      </c>
      <c r="ET15" s="258">
        <v>0</v>
      </c>
      <c r="EU15" s="258">
        <v>0</v>
      </c>
      <c r="EV15" s="258">
        <v>0</v>
      </c>
      <c r="EW15" s="258">
        <v>0</v>
      </c>
      <c r="EX15" s="258">
        <v>173.36142705113724</v>
      </c>
      <c r="EY15" s="258">
        <v>0</v>
      </c>
      <c r="EZ15" s="258">
        <v>0</v>
      </c>
      <c r="FA15" s="258">
        <v>0</v>
      </c>
      <c r="FB15" s="258">
        <v>0</v>
      </c>
      <c r="FC15" s="258">
        <v>0</v>
      </c>
      <c r="FD15" s="258">
        <v>753.12534267880392</v>
      </c>
      <c r="FE15" s="258">
        <v>0</v>
      </c>
      <c r="FF15" s="258">
        <v>0</v>
      </c>
      <c r="FG15" s="258">
        <v>0</v>
      </c>
      <c r="FH15" s="301">
        <v>926.48676972994122</v>
      </c>
    </row>
    <row r="16" spans="2:164" x14ac:dyDescent="0.2">
      <c r="B16" s="217" t="s">
        <v>338</v>
      </c>
      <c r="C16" s="227">
        <v>0</v>
      </c>
      <c r="D16" s="228">
        <v>0</v>
      </c>
      <c r="E16" s="208">
        <v>0</v>
      </c>
      <c r="F16" s="208">
        <v>0</v>
      </c>
      <c r="G16" s="208">
        <v>0</v>
      </c>
      <c r="H16" s="208">
        <v>3</v>
      </c>
      <c r="I16" s="208">
        <v>0</v>
      </c>
      <c r="J16" s="208">
        <v>0</v>
      </c>
      <c r="K16" s="208">
        <v>0</v>
      </c>
      <c r="L16" s="208">
        <v>2</v>
      </c>
      <c r="M16" s="208">
        <v>0</v>
      </c>
      <c r="N16" s="208">
        <v>14</v>
      </c>
      <c r="O16" s="208">
        <v>3</v>
      </c>
      <c r="P16" s="208">
        <v>0</v>
      </c>
      <c r="Q16" s="208">
        <v>0</v>
      </c>
      <c r="R16" s="208">
        <v>1</v>
      </c>
      <c r="S16" s="208">
        <v>1</v>
      </c>
      <c r="T16" s="208">
        <v>0</v>
      </c>
      <c r="U16" s="208">
        <v>0</v>
      </c>
      <c r="V16" s="208">
        <v>0</v>
      </c>
      <c r="W16" s="222">
        <v>24</v>
      </c>
      <c r="X16" s="208"/>
      <c r="Y16" s="217" t="s">
        <v>338</v>
      </c>
      <c r="Z16" s="227">
        <v>0</v>
      </c>
      <c r="AA16" s="228">
        <v>0</v>
      </c>
      <c r="AB16" s="208">
        <v>0</v>
      </c>
      <c r="AC16" s="208">
        <v>0</v>
      </c>
      <c r="AD16" s="208">
        <v>0</v>
      </c>
      <c r="AE16" s="208">
        <v>104.06223255852512</v>
      </c>
      <c r="AF16" s="208">
        <v>0</v>
      </c>
      <c r="AG16" s="208">
        <v>0</v>
      </c>
      <c r="AH16" s="208">
        <v>0</v>
      </c>
      <c r="AI16" s="208">
        <v>20.812725866073183</v>
      </c>
      <c r="AJ16" s="208">
        <v>0</v>
      </c>
      <c r="AK16" s="252">
        <v>413.9328668444449</v>
      </c>
      <c r="AL16" s="252">
        <v>297.02248840772893</v>
      </c>
      <c r="AM16" s="252">
        <v>0</v>
      </c>
      <c r="AN16" s="252">
        <v>0</v>
      </c>
      <c r="AO16" s="252">
        <v>26.00188337499722</v>
      </c>
      <c r="AP16" s="252">
        <v>19.303545927754111</v>
      </c>
      <c r="AQ16" s="208">
        <v>0</v>
      </c>
      <c r="AR16" s="208">
        <v>0</v>
      </c>
      <c r="AS16" s="208">
        <v>0</v>
      </c>
      <c r="AT16" s="222">
        <v>881.13574297952346</v>
      </c>
      <c r="AV16" s="217" t="s">
        <v>337</v>
      </c>
      <c r="AW16" s="227">
        <f t="shared" si="16"/>
        <v>0</v>
      </c>
      <c r="AX16" s="227">
        <f t="shared" si="17"/>
        <v>0</v>
      </c>
      <c r="AY16" s="227">
        <f t="shared" si="17"/>
        <v>0</v>
      </c>
      <c r="AZ16" s="227">
        <f t="shared" si="18"/>
        <v>0</v>
      </c>
      <c r="BA16" s="227">
        <f t="shared" si="19"/>
        <v>0</v>
      </c>
      <c r="BB16" s="227">
        <f t="shared" si="20"/>
        <v>104.06223255852512</v>
      </c>
      <c r="BC16" s="227">
        <f t="shared" si="21"/>
        <v>0</v>
      </c>
      <c r="BD16" s="227">
        <f t="shared" si="22"/>
        <v>0</v>
      </c>
      <c r="BE16" s="227">
        <f t="shared" si="23"/>
        <v>0</v>
      </c>
      <c r="BF16" s="227">
        <f t="shared" si="24"/>
        <v>20.812725866073183</v>
      </c>
      <c r="BG16" s="227">
        <f t="shared" si="25"/>
        <v>0</v>
      </c>
      <c r="BH16" s="252">
        <v>0</v>
      </c>
      <c r="BI16" s="252">
        <v>0</v>
      </c>
      <c r="BJ16" s="252">
        <v>0</v>
      </c>
      <c r="BK16" s="252">
        <v>0</v>
      </c>
      <c r="BL16" s="252">
        <v>0</v>
      </c>
      <c r="BM16" s="255">
        <v>0</v>
      </c>
      <c r="BN16" s="208">
        <f t="shared" si="26"/>
        <v>0</v>
      </c>
      <c r="BO16" s="208">
        <f t="shared" si="15"/>
        <v>0</v>
      </c>
      <c r="BP16" s="208">
        <f t="shared" si="15"/>
        <v>0</v>
      </c>
      <c r="BQ16" s="230">
        <f t="shared" si="0"/>
        <v>124.8749584245983</v>
      </c>
      <c r="BR16" s="214"/>
      <c r="BS16" s="227"/>
      <c r="BT16" s="286"/>
      <c r="BU16" s="300" t="s">
        <v>338</v>
      </c>
      <c r="BV16" s="293">
        <v>0</v>
      </c>
      <c r="BW16" s="293">
        <v>0</v>
      </c>
      <c r="BX16" s="258">
        <v>0</v>
      </c>
      <c r="BY16" s="258">
        <v>0</v>
      </c>
      <c r="BZ16" s="258">
        <v>0</v>
      </c>
      <c r="CA16" s="258">
        <v>0</v>
      </c>
      <c r="CB16" s="258">
        <v>0</v>
      </c>
      <c r="CC16" s="258">
        <v>0</v>
      </c>
      <c r="CD16" s="258">
        <v>0</v>
      </c>
      <c r="CE16" s="258">
        <v>0</v>
      </c>
      <c r="CF16" s="258">
        <v>0</v>
      </c>
      <c r="CG16" s="258">
        <v>0</v>
      </c>
      <c r="CH16" s="258">
        <v>0</v>
      </c>
      <c r="CI16" s="258">
        <v>0</v>
      </c>
      <c r="CJ16" s="258">
        <v>0</v>
      </c>
      <c r="CK16" s="258">
        <v>0</v>
      </c>
      <c r="CL16" s="258">
        <v>0</v>
      </c>
      <c r="CM16" s="258">
        <v>0</v>
      </c>
      <c r="CN16" s="258">
        <v>0</v>
      </c>
      <c r="CO16" s="258">
        <v>0</v>
      </c>
      <c r="CP16" s="301">
        <v>0</v>
      </c>
      <c r="CQ16" s="302"/>
      <c r="CR16" s="300" t="s">
        <v>338</v>
      </c>
      <c r="CS16" s="293">
        <v>0</v>
      </c>
      <c r="CT16" s="293">
        <v>0</v>
      </c>
      <c r="CU16" s="258">
        <v>0</v>
      </c>
      <c r="CV16" s="258">
        <v>0</v>
      </c>
      <c r="CW16" s="258">
        <v>0</v>
      </c>
      <c r="CX16" s="258">
        <v>0</v>
      </c>
      <c r="CY16" s="258">
        <v>0</v>
      </c>
      <c r="CZ16" s="258">
        <v>0</v>
      </c>
      <c r="DA16" s="258">
        <v>0</v>
      </c>
      <c r="DB16" s="258">
        <v>0</v>
      </c>
      <c r="DC16" s="258">
        <v>0</v>
      </c>
      <c r="DD16" s="258">
        <v>0</v>
      </c>
      <c r="DE16" s="258">
        <v>0</v>
      </c>
      <c r="DF16" s="258">
        <v>0</v>
      </c>
      <c r="DG16" s="258">
        <v>0</v>
      </c>
      <c r="DH16" s="258">
        <v>0</v>
      </c>
      <c r="DI16" s="258">
        <v>0</v>
      </c>
      <c r="DJ16" s="258">
        <v>0</v>
      </c>
      <c r="DK16" s="258">
        <v>0</v>
      </c>
      <c r="DL16" s="258">
        <v>0</v>
      </c>
      <c r="DM16" s="301">
        <v>0</v>
      </c>
      <c r="DN16" s="302"/>
      <c r="DO16" s="302"/>
      <c r="DP16" s="300" t="s">
        <v>338</v>
      </c>
      <c r="DQ16" s="293">
        <v>0</v>
      </c>
      <c r="DR16" s="293">
        <v>0</v>
      </c>
      <c r="DS16" s="258">
        <v>0</v>
      </c>
      <c r="DT16" s="258">
        <v>0</v>
      </c>
      <c r="DU16" s="258">
        <v>0</v>
      </c>
      <c r="DV16" s="258">
        <v>0</v>
      </c>
      <c r="DW16" s="258">
        <v>0</v>
      </c>
      <c r="DX16" s="258">
        <v>0</v>
      </c>
      <c r="DY16" s="258">
        <v>0</v>
      </c>
      <c r="DZ16" s="258">
        <v>0</v>
      </c>
      <c r="EA16" s="258">
        <v>0</v>
      </c>
      <c r="EB16" s="258">
        <v>0</v>
      </c>
      <c r="EC16" s="258">
        <v>0</v>
      </c>
      <c r="ED16" s="258">
        <v>0</v>
      </c>
      <c r="EE16" s="258">
        <v>0</v>
      </c>
      <c r="EF16" s="258">
        <v>0</v>
      </c>
      <c r="EG16" s="258">
        <v>0</v>
      </c>
      <c r="EH16" s="258">
        <v>0</v>
      </c>
      <c r="EI16" s="258">
        <v>0</v>
      </c>
      <c r="EJ16" s="258">
        <v>0</v>
      </c>
      <c r="EK16" s="301">
        <v>0</v>
      </c>
      <c r="EL16" s="287"/>
      <c r="EM16" s="300" t="s">
        <v>338</v>
      </c>
      <c r="EN16" s="293">
        <v>0</v>
      </c>
      <c r="EO16" s="293">
        <v>0</v>
      </c>
      <c r="EP16" s="258">
        <v>0</v>
      </c>
      <c r="EQ16" s="258">
        <v>0</v>
      </c>
      <c r="ER16" s="258">
        <v>0</v>
      </c>
      <c r="ES16" s="258">
        <v>0</v>
      </c>
      <c r="ET16" s="258">
        <v>0</v>
      </c>
      <c r="EU16" s="258">
        <v>0</v>
      </c>
      <c r="EV16" s="258">
        <v>0</v>
      </c>
      <c r="EW16" s="258">
        <v>0</v>
      </c>
      <c r="EX16" s="258">
        <v>0</v>
      </c>
      <c r="EY16" s="258">
        <v>0</v>
      </c>
      <c r="EZ16" s="258">
        <v>0</v>
      </c>
      <c r="FA16" s="258">
        <v>0</v>
      </c>
      <c r="FB16" s="258">
        <v>0</v>
      </c>
      <c r="FC16" s="258">
        <v>0</v>
      </c>
      <c r="FD16" s="258">
        <v>0</v>
      </c>
      <c r="FE16" s="258">
        <v>0</v>
      </c>
      <c r="FF16" s="258">
        <v>0</v>
      </c>
      <c r="FG16" s="258">
        <v>0</v>
      </c>
      <c r="FH16" s="301">
        <v>0</v>
      </c>
    </row>
    <row r="17" spans="2:164" x14ac:dyDescent="0.2">
      <c r="B17" s="217" t="s">
        <v>353</v>
      </c>
      <c r="C17" s="227">
        <v>0</v>
      </c>
      <c r="D17" s="228">
        <v>0</v>
      </c>
      <c r="E17" s="208">
        <v>0</v>
      </c>
      <c r="F17" s="208">
        <v>0</v>
      </c>
      <c r="G17" s="208">
        <v>0</v>
      </c>
      <c r="H17" s="208">
        <v>0</v>
      </c>
      <c r="I17" s="208">
        <v>11</v>
      </c>
      <c r="J17" s="208">
        <v>0</v>
      </c>
      <c r="K17" s="208">
        <v>0</v>
      </c>
      <c r="L17" s="208">
        <v>0</v>
      </c>
      <c r="M17" s="208">
        <v>0</v>
      </c>
      <c r="N17" s="208">
        <v>0</v>
      </c>
      <c r="O17" s="208">
        <v>25</v>
      </c>
      <c r="P17" s="208">
        <v>0</v>
      </c>
      <c r="Q17" s="208">
        <v>0</v>
      </c>
      <c r="R17" s="208">
        <v>0</v>
      </c>
      <c r="S17" s="208">
        <v>2</v>
      </c>
      <c r="T17" s="208">
        <v>0</v>
      </c>
      <c r="U17" s="208">
        <v>0</v>
      </c>
      <c r="V17" s="208">
        <v>0</v>
      </c>
      <c r="W17" s="222">
        <v>38</v>
      </c>
      <c r="X17" s="208"/>
      <c r="Y17" s="217" t="s">
        <v>353</v>
      </c>
      <c r="Z17" s="227">
        <v>0</v>
      </c>
      <c r="AA17" s="228">
        <v>0</v>
      </c>
      <c r="AB17" s="208">
        <v>0</v>
      </c>
      <c r="AC17" s="208">
        <v>0</v>
      </c>
      <c r="AD17" s="208">
        <v>0</v>
      </c>
      <c r="AE17" s="252">
        <v>0</v>
      </c>
      <c r="AF17" s="252">
        <v>612.42695030217419</v>
      </c>
      <c r="AG17" s="252">
        <v>0</v>
      </c>
      <c r="AH17" s="252">
        <v>0</v>
      </c>
      <c r="AI17" s="252">
        <v>0</v>
      </c>
      <c r="AJ17" s="252">
        <v>0</v>
      </c>
      <c r="AK17" s="208">
        <v>0</v>
      </c>
      <c r="AL17" s="208">
        <v>5405.5373209676554</v>
      </c>
      <c r="AM17" s="208">
        <v>0</v>
      </c>
      <c r="AN17" s="208">
        <v>0</v>
      </c>
      <c r="AO17" s="208">
        <v>0</v>
      </c>
      <c r="AP17" s="208">
        <v>109.25039031182277</v>
      </c>
      <c r="AQ17" s="208">
        <v>0</v>
      </c>
      <c r="AR17" s="208">
        <v>0</v>
      </c>
      <c r="AS17" s="208">
        <v>0</v>
      </c>
      <c r="AT17" s="222">
        <v>6127.2146615816528</v>
      </c>
      <c r="AV17" s="217" t="s">
        <v>338</v>
      </c>
      <c r="AW17" s="227">
        <f t="shared" si="16"/>
        <v>0</v>
      </c>
      <c r="AX17" s="227">
        <f t="shared" si="17"/>
        <v>0</v>
      </c>
      <c r="AY17" s="227">
        <f t="shared" si="17"/>
        <v>0</v>
      </c>
      <c r="AZ17" s="227">
        <f t="shared" si="18"/>
        <v>0</v>
      </c>
      <c r="BA17" s="227">
        <f t="shared" si="19"/>
        <v>0</v>
      </c>
      <c r="BB17" s="255">
        <v>0</v>
      </c>
      <c r="BC17" s="252">
        <v>0</v>
      </c>
      <c r="BD17" s="252">
        <v>0</v>
      </c>
      <c r="BE17" s="252">
        <v>0</v>
      </c>
      <c r="BF17" s="252">
        <v>0</v>
      </c>
      <c r="BG17" s="252">
        <v>0</v>
      </c>
      <c r="BH17" s="208">
        <f t="shared" ref="BH17" si="27">AK17</f>
        <v>0</v>
      </c>
      <c r="BI17" s="208">
        <f t="shared" ref="BI17" si="28">AL17</f>
        <v>5405.5373209676554</v>
      </c>
      <c r="BJ17" s="208">
        <f t="shared" ref="BJ17" si="29">AM17</f>
        <v>0</v>
      </c>
      <c r="BK17" s="208">
        <f t="shared" ref="BK17" si="30">AN17</f>
        <v>0</v>
      </c>
      <c r="BL17" s="208">
        <f t="shared" ref="BL17" si="31">AO17</f>
        <v>0</v>
      </c>
      <c r="BM17" s="208">
        <f t="shared" ref="BM17" si="32">AP17</f>
        <v>109.25039031182277</v>
      </c>
      <c r="BN17" s="208">
        <f t="shared" si="26"/>
        <v>0</v>
      </c>
      <c r="BO17" s="208">
        <f t="shared" si="15"/>
        <v>0</v>
      </c>
      <c r="BP17" s="208">
        <f t="shared" si="15"/>
        <v>0</v>
      </c>
      <c r="BQ17" s="230">
        <f t="shared" si="0"/>
        <v>5514.7877112794786</v>
      </c>
      <c r="BR17" s="214"/>
      <c r="BS17" s="227"/>
      <c r="BT17" s="286"/>
      <c r="BU17" s="300" t="s">
        <v>353</v>
      </c>
      <c r="BV17" s="293">
        <v>0</v>
      </c>
      <c r="BW17" s="293">
        <v>0</v>
      </c>
      <c r="BX17" s="258">
        <v>0</v>
      </c>
      <c r="BY17" s="258">
        <v>0</v>
      </c>
      <c r="BZ17" s="258">
        <v>0</v>
      </c>
      <c r="CA17" s="258">
        <v>0</v>
      </c>
      <c r="CB17" s="258">
        <v>0</v>
      </c>
      <c r="CC17" s="258">
        <v>0</v>
      </c>
      <c r="CD17" s="258">
        <v>0</v>
      </c>
      <c r="CE17" s="258">
        <v>0</v>
      </c>
      <c r="CF17" s="258">
        <v>0</v>
      </c>
      <c r="CG17" s="258">
        <v>0</v>
      </c>
      <c r="CH17" s="258">
        <v>0</v>
      </c>
      <c r="CI17" s="258">
        <v>0</v>
      </c>
      <c r="CJ17" s="258">
        <v>0</v>
      </c>
      <c r="CK17" s="258">
        <v>0</v>
      </c>
      <c r="CL17" s="258">
        <v>0</v>
      </c>
      <c r="CM17" s="258">
        <v>0</v>
      </c>
      <c r="CN17" s="258">
        <v>0</v>
      </c>
      <c r="CO17" s="258">
        <v>0</v>
      </c>
      <c r="CP17" s="301">
        <v>0</v>
      </c>
      <c r="CQ17" s="302"/>
      <c r="CR17" s="300" t="s">
        <v>353</v>
      </c>
      <c r="CS17" s="293">
        <v>0</v>
      </c>
      <c r="CT17" s="293">
        <v>0</v>
      </c>
      <c r="CU17" s="258">
        <v>0</v>
      </c>
      <c r="CV17" s="258">
        <v>0</v>
      </c>
      <c r="CW17" s="258">
        <v>0</v>
      </c>
      <c r="CX17" s="258">
        <v>0</v>
      </c>
      <c r="CY17" s="258">
        <v>0</v>
      </c>
      <c r="CZ17" s="258">
        <v>0</v>
      </c>
      <c r="DA17" s="258">
        <v>0</v>
      </c>
      <c r="DB17" s="258">
        <v>0</v>
      </c>
      <c r="DC17" s="258">
        <v>0</v>
      </c>
      <c r="DD17" s="258">
        <v>0</v>
      </c>
      <c r="DE17" s="258">
        <v>0</v>
      </c>
      <c r="DF17" s="258">
        <v>0</v>
      </c>
      <c r="DG17" s="258">
        <v>0</v>
      </c>
      <c r="DH17" s="258">
        <v>0</v>
      </c>
      <c r="DI17" s="258">
        <v>0</v>
      </c>
      <c r="DJ17" s="258">
        <v>0</v>
      </c>
      <c r="DK17" s="258">
        <v>0</v>
      </c>
      <c r="DL17" s="258">
        <v>0</v>
      </c>
      <c r="DM17" s="301">
        <v>0</v>
      </c>
      <c r="DN17" s="302"/>
      <c r="DO17" s="302"/>
      <c r="DP17" s="300" t="s">
        <v>353</v>
      </c>
      <c r="DQ17" s="293">
        <v>0</v>
      </c>
      <c r="DR17" s="293">
        <v>0</v>
      </c>
      <c r="DS17" s="258">
        <v>0</v>
      </c>
      <c r="DT17" s="258">
        <v>0</v>
      </c>
      <c r="DU17" s="258">
        <v>0</v>
      </c>
      <c r="DV17" s="258">
        <v>0</v>
      </c>
      <c r="DW17" s="258">
        <v>0</v>
      </c>
      <c r="DX17" s="258">
        <v>0</v>
      </c>
      <c r="DY17" s="258">
        <v>0</v>
      </c>
      <c r="DZ17" s="258">
        <v>0</v>
      </c>
      <c r="EA17" s="258">
        <v>0</v>
      </c>
      <c r="EB17" s="258">
        <v>0</v>
      </c>
      <c r="EC17" s="258">
        <v>1</v>
      </c>
      <c r="ED17" s="258">
        <v>0</v>
      </c>
      <c r="EE17" s="258">
        <v>0</v>
      </c>
      <c r="EF17" s="258">
        <v>0</v>
      </c>
      <c r="EG17" s="258">
        <v>0</v>
      </c>
      <c r="EH17" s="258">
        <v>0</v>
      </c>
      <c r="EI17" s="258">
        <v>0</v>
      </c>
      <c r="EJ17" s="258">
        <v>0</v>
      </c>
      <c r="EK17" s="301">
        <v>1</v>
      </c>
      <c r="EL17" s="287"/>
      <c r="EM17" s="300" t="s">
        <v>353</v>
      </c>
      <c r="EN17" s="293">
        <v>0</v>
      </c>
      <c r="EO17" s="293">
        <v>0</v>
      </c>
      <c r="EP17" s="258">
        <v>0</v>
      </c>
      <c r="EQ17" s="258">
        <v>0</v>
      </c>
      <c r="ER17" s="258">
        <v>0</v>
      </c>
      <c r="ES17" s="258">
        <v>0</v>
      </c>
      <c r="ET17" s="258">
        <v>0</v>
      </c>
      <c r="EU17" s="258">
        <v>0</v>
      </c>
      <c r="EV17" s="258">
        <v>0</v>
      </c>
      <c r="EW17" s="258">
        <v>0</v>
      </c>
      <c r="EX17" s="258">
        <v>0</v>
      </c>
      <c r="EY17" s="258">
        <v>0</v>
      </c>
      <c r="EZ17" s="258">
        <v>988.27571543129875</v>
      </c>
      <c r="FA17" s="258">
        <v>0</v>
      </c>
      <c r="FB17" s="258">
        <v>0</v>
      </c>
      <c r="FC17" s="258">
        <v>0</v>
      </c>
      <c r="FD17" s="258">
        <v>0</v>
      </c>
      <c r="FE17" s="258">
        <v>0</v>
      </c>
      <c r="FF17" s="258">
        <v>0</v>
      </c>
      <c r="FG17" s="258">
        <v>0</v>
      </c>
      <c r="FH17" s="301">
        <v>988.27571543129875</v>
      </c>
    </row>
    <row r="18" spans="2:164" x14ac:dyDescent="0.2">
      <c r="B18" s="217" t="s">
        <v>339</v>
      </c>
      <c r="C18" s="227">
        <v>0</v>
      </c>
      <c r="D18" s="228">
        <v>0</v>
      </c>
      <c r="E18" s="208">
        <v>0</v>
      </c>
      <c r="F18" s="208">
        <v>0</v>
      </c>
      <c r="G18" s="208">
        <v>0</v>
      </c>
      <c r="H18" s="208">
        <v>0</v>
      </c>
      <c r="I18" s="208">
        <v>0</v>
      </c>
      <c r="J18" s="208">
        <v>0</v>
      </c>
      <c r="K18" s="208">
        <v>0</v>
      </c>
      <c r="L18" s="208">
        <v>3</v>
      </c>
      <c r="M18" s="208">
        <v>0</v>
      </c>
      <c r="N18" s="208">
        <v>0</v>
      </c>
      <c r="O18" s="208">
        <v>0</v>
      </c>
      <c r="P18" s="208">
        <v>0</v>
      </c>
      <c r="Q18" s="208">
        <v>12</v>
      </c>
      <c r="R18" s="208">
        <v>0</v>
      </c>
      <c r="S18" s="208">
        <v>0</v>
      </c>
      <c r="T18" s="208">
        <v>0</v>
      </c>
      <c r="U18" s="208">
        <v>0</v>
      </c>
      <c r="V18" s="208">
        <v>0</v>
      </c>
      <c r="W18" s="222">
        <v>15</v>
      </c>
      <c r="X18" s="208"/>
      <c r="Y18" s="217" t="s">
        <v>339</v>
      </c>
      <c r="Z18" s="227">
        <v>0</v>
      </c>
      <c r="AA18" s="228">
        <v>0</v>
      </c>
      <c r="AB18" s="208">
        <v>0</v>
      </c>
      <c r="AC18" s="208">
        <v>0</v>
      </c>
      <c r="AD18" s="208">
        <v>0</v>
      </c>
      <c r="AE18" s="252">
        <v>0</v>
      </c>
      <c r="AF18" s="252">
        <v>0</v>
      </c>
      <c r="AG18" s="252">
        <v>0</v>
      </c>
      <c r="AH18" s="252">
        <v>0</v>
      </c>
      <c r="AI18" s="252">
        <v>1379.7243555303867</v>
      </c>
      <c r="AJ18" s="252">
        <v>0</v>
      </c>
      <c r="AK18" s="208">
        <v>0</v>
      </c>
      <c r="AL18" s="208">
        <v>0</v>
      </c>
      <c r="AM18" s="208">
        <v>0</v>
      </c>
      <c r="AN18" s="208">
        <v>1893.9892469058277</v>
      </c>
      <c r="AO18" s="208">
        <v>0</v>
      </c>
      <c r="AP18" s="208">
        <v>0</v>
      </c>
      <c r="AQ18" s="208">
        <v>0</v>
      </c>
      <c r="AR18" s="208">
        <v>0</v>
      </c>
      <c r="AS18" s="208">
        <v>0</v>
      </c>
      <c r="AT18" s="222">
        <v>3273.7136024362144</v>
      </c>
      <c r="AV18" s="217" t="s">
        <v>349</v>
      </c>
      <c r="AW18" s="227">
        <f t="shared" si="16"/>
        <v>0</v>
      </c>
      <c r="AX18" s="227">
        <f t="shared" si="17"/>
        <v>0</v>
      </c>
      <c r="AY18" s="227">
        <f t="shared" si="17"/>
        <v>0</v>
      </c>
      <c r="AZ18" s="227">
        <f t="shared" si="18"/>
        <v>0</v>
      </c>
      <c r="BA18" s="227">
        <f t="shared" si="19"/>
        <v>0</v>
      </c>
      <c r="BB18" s="252">
        <v>0</v>
      </c>
      <c r="BC18" s="255">
        <v>0</v>
      </c>
      <c r="BD18" s="252">
        <v>0</v>
      </c>
      <c r="BE18" s="252">
        <v>0</v>
      </c>
      <c r="BF18" s="252">
        <v>0</v>
      </c>
      <c r="BG18" s="252">
        <v>0</v>
      </c>
      <c r="BH18" s="208">
        <f t="shared" ref="BH18:BH25" si="33">AK18</f>
        <v>0</v>
      </c>
      <c r="BI18" s="208">
        <f t="shared" ref="BI18:BI25" si="34">AL18</f>
        <v>0</v>
      </c>
      <c r="BJ18" s="208">
        <f t="shared" ref="BJ18:BJ25" si="35">AM18</f>
        <v>0</v>
      </c>
      <c r="BK18" s="208">
        <f t="shared" ref="BK18:BK25" si="36">AN18</f>
        <v>1893.9892469058277</v>
      </c>
      <c r="BL18" s="208">
        <f t="shared" ref="BL18:BL25" si="37">AO18</f>
        <v>0</v>
      </c>
      <c r="BM18" s="208">
        <f t="shared" ref="BM18:BM25" si="38">AP18</f>
        <v>0</v>
      </c>
      <c r="BN18" s="208">
        <f t="shared" si="26"/>
        <v>0</v>
      </c>
      <c r="BO18" s="208">
        <f t="shared" si="15"/>
        <v>0</v>
      </c>
      <c r="BP18" s="208">
        <f t="shared" si="15"/>
        <v>0</v>
      </c>
      <c r="BQ18" s="230">
        <f t="shared" si="0"/>
        <v>1893.9892469058277</v>
      </c>
      <c r="BR18" s="214"/>
      <c r="BS18" s="227"/>
      <c r="BT18" s="286"/>
      <c r="BU18" s="300" t="s">
        <v>339</v>
      </c>
      <c r="BV18" s="293">
        <v>0</v>
      </c>
      <c r="BW18" s="293">
        <v>0</v>
      </c>
      <c r="BX18" s="258">
        <v>0</v>
      </c>
      <c r="BY18" s="258">
        <v>0</v>
      </c>
      <c r="BZ18" s="258">
        <v>0</v>
      </c>
      <c r="CA18" s="258">
        <v>0</v>
      </c>
      <c r="CB18" s="258">
        <v>0</v>
      </c>
      <c r="CC18" s="258">
        <v>0</v>
      </c>
      <c r="CD18" s="258">
        <v>0</v>
      </c>
      <c r="CE18" s="258">
        <v>0</v>
      </c>
      <c r="CF18" s="258">
        <v>0</v>
      </c>
      <c r="CG18" s="258">
        <v>0</v>
      </c>
      <c r="CH18" s="258">
        <v>0</v>
      </c>
      <c r="CI18" s="258">
        <v>0</v>
      </c>
      <c r="CJ18" s="258">
        <v>2</v>
      </c>
      <c r="CK18" s="258">
        <v>0</v>
      </c>
      <c r="CL18" s="258">
        <v>0</v>
      </c>
      <c r="CM18" s="258">
        <v>0</v>
      </c>
      <c r="CN18" s="258">
        <v>0</v>
      </c>
      <c r="CO18" s="258">
        <v>0</v>
      </c>
      <c r="CP18" s="301">
        <v>2</v>
      </c>
      <c r="CQ18" s="302"/>
      <c r="CR18" s="300" t="s">
        <v>339</v>
      </c>
      <c r="CS18" s="293">
        <v>0</v>
      </c>
      <c r="CT18" s="293">
        <v>0</v>
      </c>
      <c r="CU18" s="258">
        <v>0</v>
      </c>
      <c r="CV18" s="258">
        <v>0</v>
      </c>
      <c r="CW18" s="258">
        <v>0</v>
      </c>
      <c r="CX18" s="258">
        <v>0</v>
      </c>
      <c r="CY18" s="258">
        <v>0</v>
      </c>
      <c r="CZ18" s="258">
        <v>0</v>
      </c>
      <c r="DA18" s="258">
        <v>0</v>
      </c>
      <c r="DB18" s="258">
        <v>0</v>
      </c>
      <c r="DC18" s="258">
        <v>0</v>
      </c>
      <c r="DD18" s="258">
        <v>0</v>
      </c>
      <c r="DE18" s="258">
        <v>0</v>
      </c>
      <c r="DF18" s="258">
        <v>0</v>
      </c>
      <c r="DG18" s="258">
        <v>0</v>
      </c>
      <c r="DH18" s="258">
        <v>0</v>
      </c>
      <c r="DI18" s="258">
        <v>0</v>
      </c>
      <c r="DJ18" s="258">
        <v>0</v>
      </c>
      <c r="DK18" s="258">
        <v>0</v>
      </c>
      <c r="DL18" s="258">
        <v>0</v>
      </c>
      <c r="DM18" s="301">
        <v>0</v>
      </c>
      <c r="DN18" s="302"/>
      <c r="DO18" s="302"/>
      <c r="DP18" s="300" t="s">
        <v>339</v>
      </c>
      <c r="DQ18" s="293">
        <v>0</v>
      </c>
      <c r="DR18" s="293">
        <v>0</v>
      </c>
      <c r="DS18" s="258">
        <v>0</v>
      </c>
      <c r="DT18" s="258">
        <v>0</v>
      </c>
      <c r="DU18" s="258">
        <v>0</v>
      </c>
      <c r="DV18" s="258">
        <v>0</v>
      </c>
      <c r="DW18" s="258">
        <v>0</v>
      </c>
      <c r="DX18" s="258">
        <v>0</v>
      </c>
      <c r="DY18" s="258">
        <v>0</v>
      </c>
      <c r="DZ18" s="258">
        <v>0</v>
      </c>
      <c r="EA18" s="258">
        <v>0</v>
      </c>
      <c r="EB18" s="258">
        <v>0</v>
      </c>
      <c r="EC18" s="258">
        <v>0</v>
      </c>
      <c r="ED18" s="258">
        <v>0</v>
      </c>
      <c r="EE18" s="258">
        <v>7</v>
      </c>
      <c r="EF18" s="258">
        <v>0</v>
      </c>
      <c r="EG18" s="258">
        <v>0</v>
      </c>
      <c r="EH18" s="258">
        <v>0</v>
      </c>
      <c r="EI18" s="258">
        <v>0</v>
      </c>
      <c r="EJ18" s="258">
        <v>0</v>
      </c>
      <c r="EK18" s="301">
        <v>7</v>
      </c>
      <c r="EL18" s="287"/>
      <c r="EM18" s="300" t="s">
        <v>339</v>
      </c>
      <c r="EN18" s="293">
        <v>0</v>
      </c>
      <c r="EO18" s="293">
        <v>0</v>
      </c>
      <c r="EP18" s="258">
        <v>0</v>
      </c>
      <c r="EQ18" s="258">
        <v>0</v>
      </c>
      <c r="ER18" s="258">
        <v>0</v>
      </c>
      <c r="ES18" s="258">
        <v>0</v>
      </c>
      <c r="ET18" s="258">
        <v>0</v>
      </c>
      <c r="EU18" s="258">
        <v>0</v>
      </c>
      <c r="EV18" s="258">
        <v>0</v>
      </c>
      <c r="EW18" s="258">
        <v>0</v>
      </c>
      <c r="EX18" s="258">
        <v>0</v>
      </c>
      <c r="EY18" s="258">
        <v>0</v>
      </c>
      <c r="EZ18" s="258">
        <v>0</v>
      </c>
      <c r="FA18" s="258">
        <v>0</v>
      </c>
      <c r="FB18" s="258">
        <v>1728.2041475471967</v>
      </c>
      <c r="FC18" s="258">
        <v>0</v>
      </c>
      <c r="FD18" s="258">
        <v>0</v>
      </c>
      <c r="FE18" s="258">
        <v>0</v>
      </c>
      <c r="FF18" s="258">
        <v>0</v>
      </c>
      <c r="FG18" s="258">
        <v>0</v>
      </c>
      <c r="FH18" s="301">
        <v>1728.2041475471967</v>
      </c>
    </row>
    <row r="19" spans="2:164" x14ac:dyDescent="0.2">
      <c r="B19" s="217" t="s">
        <v>340</v>
      </c>
      <c r="C19" s="227">
        <v>0</v>
      </c>
      <c r="D19" s="228">
        <v>0</v>
      </c>
      <c r="E19" s="208">
        <v>0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08">
        <v>42</v>
      </c>
      <c r="M19" s="208">
        <v>1</v>
      </c>
      <c r="N19" s="208">
        <v>0</v>
      </c>
      <c r="O19" s="208">
        <v>0</v>
      </c>
      <c r="P19" s="208">
        <v>0</v>
      </c>
      <c r="Q19" s="208">
        <v>0</v>
      </c>
      <c r="R19" s="208">
        <v>467</v>
      </c>
      <c r="S19" s="208">
        <v>4</v>
      </c>
      <c r="T19" s="208">
        <v>0</v>
      </c>
      <c r="U19" s="208">
        <v>0</v>
      </c>
      <c r="V19" s="208">
        <v>0</v>
      </c>
      <c r="W19" s="222">
        <v>514</v>
      </c>
      <c r="X19" s="208"/>
      <c r="Y19" s="217" t="s">
        <v>340</v>
      </c>
      <c r="Z19" s="227">
        <v>0</v>
      </c>
      <c r="AA19" s="228">
        <v>0</v>
      </c>
      <c r="AB19" s="208">
        <v>0</v>
      </c>
      <c r="AC19" s="208">
        <v>0</v>
      </c>
      <c r="AD19" s="208">
        <v>0</v>
      </c>
      <c r="AE19" s="252">
        <v>0</v>
      </c>
      <c r="AF19" s="252">
        <v>0</v>
      </c>
      <c r="AG19" s="252">
        <v>0</v>
      </c>
      <c r="AH19" s="252">
        <v>0</v>
      </c>
      <c r="AI19" s="252">
        <v>2866.2984973657344</v>
      </c>
      <c r="AJ19" s="252">
        <v>25.343535432825849</v>
      </c>
      <c r="AK19" s="208">
        <v>0</v>
      </c>
      <c r="AL19" s="208">
        <v>0</v>
      </c>
      <c r="AM19" s="208">
        <v>0</v>
      </c>
      <c r="AN19" s="208">
        <v>0</v>
      </c>
      <c r="AO19" s="208">
        <v>83892.306455800863</v>
      </c>
      <c r="AP19" s="208">
        <v>88.460438012851995</v>
      </c>
      <c r="AQ19" s="208">
        <v>0</v>
      </c>
      <c r="AR19" s="208">
        <v>0</v>
      </c>
      <c r="AS19" s="208">
        <v>0</v>
      </c>
      <c r="AT19" s="222">
        <v>86872.408926612276</v>
      </c>
      <c r="AV19" s="217" t="s">
        <v>347</v>
      </c>
      <c r="AW19" s="227">
        <f t="shared" si="16"/>
        <v>0</v>
      </c>
      <c r="AX19" s="227">
        <f t="shared" si="17"/>
        <v>0</v>
      </c>
      <c r="AY19" s="227">
        <f t="shared" si="17"/>
        <v>0</v>
      </c>
      <c r="AZ19" s="227">
        <f t="shared" si="18"/>
        <v>0</v>
      </c>
      <c r="BA19" s="227">
        <f t="shared" si="19"/>
        <v>0</v>
      </c>
      <c r="BB19" s="252">
        <v>0</v>
      </c>
      <c r="BC19" s="252">
        <v>0</v>
      </c>
      <c r="BD19" s="255">
        <v>0</v>
      </c>
      <c r="BE19" s="252">
        <v>0</v>
      </c>
      <c r="BF19" s="255">
        <v>0</v>
      </c>
      <c r="BG19" s="252">
        <v>0</v>
      </c>
      <c r="BH19" s="208">
        <f t="shared" si="33"/>
        <v>0</v>
      </c>
      <c r="BI19" s="208">
        <f t="shared" si="34"/>
        <v>0</v>
      </c>
      <c r="BJ19" s="208">
        <f t="shared" si="35"/>
        <v>0</v>
      </c>
      <c r="BK19" s="208">
        <f t="shared" si="36"/>
        <v>0</v>
      </c>
      <c r="BL19" s="208">
        <f t="shared" si="37"/>
        <v>83892.306455800863</v>
      </c>
      <c r="BM19" s="208">
        <f t="shared" si="38"/>
        <v>88.460438012851995</v>
      </c>
      <c r="BN19" s="208">
        <f t="shared" si="26"/>
        <v>0</v>
      </c>
      <c r="BO19" s="208">
        <f t="shared" si="15"/>
        <v>0</v>
      </c>
      <c r="BP19" s="208">
        <f t="shared" si="15"/>
        <v>0</v>
      </c>
      <c r="BQ19" s="230">
        <f t="shared" si="0"/>
        <v>83980.766893813721</v>
      </c>
      <c r="BR19" s="214"/>
      <c r="BS19" s="227"/>
      <c r="BT19" s="286"/>
      <c r="BU19" s="300" t="s">
        <v>340</v>
      </c>
      <c r="BV19" s="293">
        <v>0</v>
      </c>
      <c r="BW19" s="293">
        <v>0</v>
      </c>
      <c r="BX19" s="258">
        <v>0</v>
      </c>
      <c r="BY19" s="258">
        <v>0</v>
      </c>
      <c r="BZ19" s="258">
        <v>0</v>
      </c>
      <c r="CA19" s="258">
        <v>0</v>
      </c>
      <c r="CB19" s="258">
        <v>0</v>
      </c>
      <c r="CC19" s="258">
        <v>0</v>
      </c>
      <c r="CD19" s="258">
        <v>0</v>
      </c>
      <c r="CE19" s="258">
        <v>0</v>
      </c>
      <c r="CF19" s="258">
        <v>0</v>
      </c>
      <c r="CG19" s="258">
        <v>0</v>
      </c>
      <c r="CH19" s="258">
        <v>0</v>
      </c>
      <c r="CI19" s="258">
        <v>0</v>
      </c>
      <c r="CJ19" s="258">
        <v>0</v>
      </c>
      <c r="CK19" s="258">
        <v>30</v>
      </c>
      <c r="CL19" s="258">
        <v>1</v>
      </c>
      <c r="CM19" s="258">
        <v>0</v>
      </c>
      <c r="CN19" s="258">
        <v>0</v>
      </c>
      <c r="CO19" s="258">
        <v>0</v>
      </c>
      <c r="CP19" s="301">
        <v>31</v>
      </c>
      <c r="CQ19" s="302"/>
      <c r="CR19" s="300" t="s">
        <v>340</v>
      </c>
      <c r="CS19" s="293">
        <v>0</v>
      </c>
      <c r="CT19" s="293">
        <v>0</v>
      </c>
      <c r="CU19" s="258">
        <v>0</v>
      </c>
      <c r="CV19" s="258">
        <v>0</v>
      </c>
      <c r="CW19" s="258">
        <v>0</v>
      </c>
      <c r="CX19" s="258">
        <v>0</v>
      </c>
      <c r="CY19" s="258">
        <v>0</v>
      </c>
      <c r="CZ19" s="258">
        <v>0</v>
      </c>
      <c r="DA19" s="258">
        <v>0</v>
      </c>
      <c r="DB19" s="258">
        <v>0</v>
      </c>
      <c r="DC19" s="258">
        <v>0</v>
      </c>
      <c r="DD19" s="258">
        <v>0</v>
      </c>
      <c r="DE19" s="258">
        <v>0</v>
      </c>
      <c r="DF19" s="258">
        <v>0</v>
      </c>
      <c r="DG19" s="258">
        <v>0</v>
      </c>
      <c r="DH19" s="258">
        <v>4475.6316232612307</v>
      </c>
      <c r="DI19" s="258">
        <v>27.594824508404674</v>
      </c>
      <c r="DJ19" s="258">
        <v>0</v>
      </c>
      <c r="DK19" s="258">
        <v>0</v>
      </c>
      <c r="DL19" s="258">
        <v>0</v>
      </c>
      <c r="DM19" s="301">
        <v>4503.2264477696353</v>
      </c>
      <c r="DN19" s="302"/>
      <c r="DO19" s="302"/>
      <c r="DP19" s="300" t="s">
        <v>340</v>
      </c>
      <c r="DQ19" s="293">
        <v>0</v>
      </c>
      <c r="DR19" s="293">
        <v>0</v>
      </c>
      <c r="DS19" s="258">
        <v>0</v>
      </c>
      <c r="DT19" s="258">
        <v>0</v>
      </c>
      <c r="DU19" s="258">
        <v>0</v>
      </c>
      <c r="DV19" s="258">
        <v>0</v>
      </c>
      <c r="DW19" s="258">
        <v>0</v>
      </c>
      <c r="DX19" s="258">
        <v>0</v>
      </c>
      <c r="DY19" s="258">
        <v>0</v>
      </c>
      <c r="DZ19" s="258">
        <v>0</v>
      </c>
      <c r="EA19" s="258">
        <v>0</v>
      </c>
      <c r="EB19" s="258">
        <v>0</v>
      </c>
      <c r="EC19" s="258">
        <v>0</v>
      </c>
      <c r="ED19" s="258">
        <v>0</v>
      </c>
      <c r="EE19" s="258">
        <v>0</v>
      </c>
      <c r="EF19" s="258">
        <v>30</v>
      </c>
      <c r="EG19" s="258">
        <v>1</v>
      </c>
      <c r="EH19" s="258">
        <v>0</v>
      </c>
      <c r="EI19" s="258">
        <v>0</v>
      </c>
      <c r="EJ19" s="258">
        <v>0</v>
      </c>
      <c r="EK19" s="301">
        <v>31</v>
      </c>
      <c r="EL19" s="287"/>
      <c r="EM19" s="300" t="s">
        <v>340</v>
      </c>
      <c r="EN19" s="293">
        <v>0</v>
      </c>
      <c r="EO19" s="293">
        <v>0</v>
      </c>
      <c r="EP19" s="258">
        <v>0</v>
      </c>
      <c r="EQ19" s="258">
        <v>0</v>
      </c>
      <c r="ER19" s="258">
        <v>0</v>
      </c>
      <c r="ES19" s="258">
        <v>0</v>
      </c>
      <c r="ET19" s="258">
        <v>0</v>
      </c>
      <c r="EU19" s="258">
        <v>0</v>
      </c>
      <c r="EV19" s="258">
        <v>0</v>
      </c>
      <c r="EW19" s="258">
        <v>0</v>
      </c>
      <c r="EX19" s="258">
        <v>0</v>
      </c>
      <c r="EY19" s="258">
        <v>0</v>
      </c>
      <c r="EZ19" s="258">
        <v>0</v>
      </c>
      <c r="FA19" s="258">
        <v>0</v>
      </c>
      <c r="FB19" s="258">
        <v>0</v>
      </c>
      <c r="FC19" s="258">
        <v>4475.6316232612307</v>
      </c>
      <c r="FD19" s="258">
        <v>27.594824508404674</v>
      </c>
      <c r="FE19" s="258">
        <v>0</v>
      </c>
      <c r="FF19" s="258">
        <v>0</v>
      </c>
      <c r="FG19" s="258">
        <v>0</v>
      </c>
      <c r="FH19" s="301">
        <v>4503.2264477696353</v>
      </c>
    </row>
    <row r="20" spans="2:164" x14ac:dyDescent="0.2">
      <c r="B20" s="217" t="s">
        <v>341</v>
      </c>
      <c r="C20" s="227">
        <v>0</v>
      </c>
      <c r="D20" s="228">
        <v>0</v>
      </c>
      <c r="E20" s="208">
        <v>0</v>
      </c>
      <c r="F20" s="208">
        <v>0</v>
      </c>
      <c r="G20" s="208">
        <v>0</v>
      </c>
      <c r="H20" s="208">
        <v>0</v>
      </c>
      <c r="I20" s="208">
        <v>0</v>
      </c>
      <c r="J20" s="208">
        <v>0</v>
      </c>
      <c r="K20" s="208">
        <v>0</v>
      </c>
      <c r="L20" s="208">
        <v>0</v>
      </c>
      <c r="M20" s="208">
        <v>13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155</v>
      </c>
      <c r="T20" s="208">
        <v>0</v>
      </c>
      <c r="U20" s="208">
        <v>0</v>
      </c>
      <c r="V20" s="208">
        <v>0</v>
      </c>
      <c r="W20" s="222">
        <v>168</v>
      </c>
      <c r="X20" s="208"/>
      <c r="Y20" s="217" t="s">
        <v>341</v>
      </c>
      <c r="Z20" s="227">
        <v>0</v>
      </c>
      <c r="AA20" s="228">
        <v>0</v>
      </c>
      <c r="AB20" s="208">
        <v>0</v>
      </c>
      <c r="AC20" s="208">
        <v>0</v>
      </c>
      <c r="AD20" s="208">
        <v>0</v>
      </c>
      <c r="AE20" s="252">
        <v>0</v>
      </c>
      <c r="AF20" s="252">
        <v>0</v>
      </c>
      <c r="AG20" s="252">
        <v>0</v>
      </c>
      <c r="AH20" s="252">
        <v>0</v>
      </c>
      <c r="AI20" s="252">
        <v>0</v>
      </c>
      <c r="AJ20" s="252">
        <v>4473.2938988680426</v>
      </c>
      <c r="AK20" s="208">
        <v>0</v>
      </c>
      <c r="AL20" s="208">
        <v>0</v>
      </c>
      <c r="AM20" s="208">
        <v>0</v>
      </c>
      <c r="AN20" s="208">
        <v>0</v>
      </c>
      <c r="AO20" s="208">
        <v>0</v>
      </c>
      <c r="AP20" s="208">
        <v>28939.253556912179</v>
      </c>
      <c r="AQ20" s="208">
        <v>0</v>
      </c>
      <c r="AR20" s="208">
        <v>0</v>
      </c>
      <c r="AS20" s="208">
        <v>0</v>
      </c>
      <c r="AT20" s="222">
        <v>33412.547455780223</v>
      </c>
      <c r="AV20" s="217" t="s">
        <v>339</v>
      </c>
      <c r="AW20" s="227">
        <f t="shared" si="16"/>
        <v>0</v>
      </c>
      <c r="AX20" s="227">
        <f t="shared" si="17"/>
        <v>0</v>
      </c>
      <c r="AY20" s="227">
        <f t="shared" si="17"/>
        <v>0</v>
      </c>
      <c r="AZ20" s="227">
        <f t="shared" si="18"/>
        <v>0</v>
      </c>
      <c r="BA20" s="227">
        <f t="shared" si="19"/>
        <v>0</v>
      </c>
      <c r="BB20" s="252">
        <v>0</v>
      </c>
      <c r="BC20" s="252">
        <v>0</v>
      </c>
      <c r="BD20" s="252">
        <v>0</v>
      </c>
      <c r="BE20" s="252">
        <v>0</v>
      </c>
      <c r="BF20" s="255">
        <v>0</v>
      </c>
      <c r="BG20" s="252">
        <v>0</v>
      </c>
      <c r="BH20" s="208">
        <f t="shared" si="33"/>
        <v>0</v>
      </c>
      <c r="BI20" s="208">
        <f t="shared" si="34"/>
        <v>0</v>
      </c>
      <c r="BJ20" s="208">
        <f t="shared" si="35"/>
        <v>0</v>
      </c>
      <c r="BK20" s="208">
        <f t="shared" si="36"/>
        <v>0</v>
      </c>
      <c r="BL20" s="208">
        <f t="shared" si="37"/>
        <v>0</v>
      </c>
      <c r="BM20" s="208">
        <f t="shared" si="38"/>
        <v>28939.253556912179</v>
      </c>
      <c r="BN20" s="208">
        <f t="shared" si="26"/>
        <v>0</v>
      </c>
      <c r="BO20" s="208">
        <f t="shared" si="15"/>
        <v>0</v>
      </c>
      <c r="BP20" s="208">
        <f t="shared" si="15"/>
        <v>0</v>
      </c>
      <c r="BQ20" s="230">
        <f t="shared" si="0"/>
        <v>28939.253556912179</v>
      </c>
      <c r="BR20" s="214"/>
      <c r="BS20" s="227"/>
      <c r="BT20" s="286"/>
      <c r="BU20" s="300" t="s">
        <v>341</v>
      </c>
      <c r="BV20" s="293">
        <v>0</v>
      </c>
      <c r="BW20" s="293">
        <v>0</v>
      </c>
      <c r="BX20" s="258">
        <v>0</v>
      </c>
      <c r="BY20" s="258">
        <v>0</v>
      </c>
      <c r="BZ20" s="258">
        <v>0</v>
      </c>
      <c r="CA20" s="258">
        <v>0</v>
      </c>
      <c r="CB20" s="258">
        <v>0</v>
      </c>
      <c r="CC20" s="258">
        <v>0</v>
      </c>
      <c r="CD20" s="258">
        <v>0</v>
      </c>
      <c r="CE20" s="258">
        <v>0</v>
      </c>
      <c r="CF20" s="258">
        <v>1</v>
      </c>
      <c r="CG20" s="258">
        <v>0</v>
      </c>
      <c r="CH20" s="258">
        <v>0</v>
      </c>
      <c r="CI20" s="258">
        <v>0</v>
      </c>
      <c r="CJ20" s="258">
        <v>0</v>
      </c>
      <c r="CK20" s="258">
        <v>0</v>
      </c>
      <c r="CL20" s="258">
        <v>8</v>
      </c>
      <c r="CM20" s="258">
        <v>0</v>
      </c>
      <c r="CN20" s="258">
        <v>0</v>
      </c>
      <c r="CO20" s="258">
        <v>0</v>
      </c>
      <c r="CP20" s="301">
        <v>9</v>
      </c>
      <c r="CQ20" s="302"/>
      <c r="CR20" s="300" t="s">
        <v>341</v>
      </c>
      <c r="CS20" s="293">
        <v>0</v>
      </c>
      <c r="CT20" s="293">
        <v>0</v>
      </c>
      <c r="CU20" s="258">
        <v>0</v>
      </c>
      <c r="CV20" s="258">
        <v>0</v>
      </c>
      <c r="CW20" s="258">
        <v>0</v>
      </c>
      <c r="CX20" s="258">
        <v>0</v>
      </c>
      <c r="CY20" s="258">
        <v>0</v>
      </c>
      <c r="CZ20" s="258">
        <v>0</v>
      </c>
      <c r="DA20" s="258">
        <v>0</v>
      </c>
      <c r="DB20" s="258">
        <v>0</v>
      </c>
      <c r="DC20" s="258">
        <v>13.694917362964611</v>
      </c>
      <c r="DD20" s="258">
        <v>0</v>
      </c>
      <c r="DE20" s="258">
        <v>0</v>
      </c>
      <c r="DF20" s="258">
        <v>0</v>
      </c>
      <c r="DG20" s="258">
        <v>0</v>
      </c>
      <c r="DH20" s="258">
        <v>0</v>
      </c>
      <c r="DI20" s="258">
        <v>162.05687635062679</v>
      </c>
      <c r="DJ20" s="258">
        <v>0</v>
      </c>
      <c r="DK20" s="258">
        <v>0</v>
      </c>
      <c r="DL20" s="258">
        <v>0</v>
      </c>
      <c r="DM20" s="301">
        <v>175.75179371359141</v>
      </c>
      <c r="DN20" s="302"/>
      <c r="DO20" s="302"/>
      <c r="DP20" s="300" t="s">
        <v>341</v>
      </c>
      <c r="DQ20" s="293">
        <v>0</v>
      </c>
      <c r="DR20" s="293">
        <v>0</v>
      </c>
      <c r="DS20" s="258">
        <v>0</v>
      </c>
      <c r="DT20" s="258">
        <v>0</v>
      </c>
      <c r="DU20" s="258">
        <v>0</v>
      </c>
      <c r="DV20" s="258">
        <v>0</v>
      </c>
      <c r="DW20" s="258">
        <v>0</v>
      </c>
      <c r="DX20" s="258">
        <v>0</v>
      </c>
      <c r="DY20" s="258">
        <v>0</v>
      </c>
      <c r="DZ20" s="258">
        <v>0</v>
      </c>
      <c r="EA20" s="258">
        <v>3</v>
      </c>
      <c r="EB20" s="258">
        <v>0</v>
      </c>
      <c r="EC20" s="258">
        <v>0</v>
      </c>
      <c r="ED20" s="258">
        <v>0</v>
      </c>
      <c r="EE20" s="258">
        <v>0</v>
      </c>
      <c r="EF20" s="258">
        <v>0</v>
      </c>
      <c r="EG20" s="258">
        <v>13</v>
      </c>
      <c r="EH20" s="258">
        <v>0</v>
      </c>
      <c r="EI20" s="258">
        <v>0</v>
      </c>
      <c r="EJ20" s="258">
        <v>0</v>
      </c>
      <c r="EK20" s="301">
        <v>16</v>
      </c>
      <c r="EL20" s="287"/>
      <c r="EM20" s="300" t="s">
        <v>341</v>
      </c>
      <c r="EN20" s="293">
        <v>0</v>
      </c>
      <c r="EO20" s="293">
        <v>0</v>
      </c>
      <c r="EP20" s="258">
        <v>0</v>
      </c>
      <c r="EQ20" s="258">
        <v>0</v>
      </c>
      <c r="ER20" s="258">
        <v>0</v>
      </c>
      <c r="ES20" s="258">
        <v>0</v>
      </c>
      <c r="ET20" s="258">
        <v>0</v>
      </c>
      <c r="EU20" s="258">
        <v>0</v>
      </c>
      <c r="EV20" s="258">
        <v>0</v>
      </c>
      <c r="EW20" s="258">
        <v>0</v>
      </c>
      <c r="EX20" s="258">
        <v>43.768290331413759</v>
      </c>
      <c r="EY20" s="258">
        <v>0</v>
      </c>
      <c r="EZ20" s="258">
        <v>0</v>
      </c>
      <c r="FA20" s="258">
        <v>0</v>
      </c>
      <c r="FB20" s="258">
        <v>0</v>
      </c>
      <c r="FC20" s="258">
        <v>0</v>
      </c>
      <c r="FD20" s="258">
        <v>3927.6835897446463</v>
      </c>
      <c r="FE20" s="258">
        <v>0</v>
      </c>
      <c r="FF20" s="258">
        <v>0</v>
      </c>
      <c r="FG20" s="258">
        <v>0</v>
      </c>
      <c r="FH20" s="301">
        <v>3971.4518800760602</v>
      </c>
    </row>
    <row r="21" spans="2:164" x14ac:dyDescent="0.2">
      <c r="B21" s="217" t="s">
        <v>6</v>
      </c>
      <c r="C21" s="227">
        <v>0</v>
      </c>
      <c r="D21" s="228">
        <v>0</v>
      </c>
      <c r="E21" s="208">
        <v>0</v>
      </c>
      <c r="F21" s="208">
        <v>0</v>
      </c>
      <c r="G21" s="208">
        <v>0</v>
      </c>
      <c r="H21" s="208">
        <v>2</v>
      </c>
      <c r="I21" s="208">
        <v>1</v>
      </c>
      <c r="J21" s="208">
        <v>0</v>
      </c>
      <c r="K21" s="208">
        <v>0</v>
      </c>
      <c r="L21" s="208">
        <v>0</v>
      </c>
      <c r="M21" s="208">
        <v>0</v>
      </c>
      <c r="N21" s="208">
        <v>0</v>
      </c>
      <c r="O21" s="208">
        <v>1</v>
      </c>
      <c r="P21" s="208">
        <v>0</v>
      </c>
      <c r="Q21" s="208">
        <v>0</v>
      </c>
      <c r="R21" s="208">
        <v>0</v>
      </c>
      <c r="S21" s="208">
        <v>0</v>
      </c>
      <c r="T21" s="208">
        <v>17</v>
      </c>
      <c r="U21" s="208">
        <v>2</v>
      </c>
      <c r="V21" s="208">
        <v>0</v>
      </c>
      <c r="W21" s="222">
        <v>23</v>
      </c>
      <c r="X21" s="208"/>
      <c r="Y21" s="217" t="s">
        <v>6</v>
      </c>
      <c r="Z21" s="227">
        <v>0</v>
      </c>
      <c r="AA21" s="228">
        <v>0</v>
      </c>
      <c r="AB21" s="208">
        <v>0</v>
      </c>
      <c r="AC21" s="208">
        <v>0</v>
      </c>
      <c r="AD21" s="208">
        <v>0</v>
      </c>
      <c r="AE21" s="252">
        <v>0</v>
      </c>
      <c r="AF21" s="252">
        <v>3016.9822969463871</v>
      </c>
      <c r="AG21" s="252">
        <v>0</v>
      </c>
      <c r="AH21" s="252">
        <v>0</v>
      </c>
      <c r="AI21" s="252">
        <v>0</v>
      </c>
      <c r="AJ21" s="252">
        <v>0</v>
      </c>
      <c r="AK21" s="208">
        <v>0</v>
      </c>
      <c r="AL21" s="208">
        <v>0</v>
      </c>
      <c r="AM21" s="208">
        <v>0</v>
      </c>
      <c r="AN21" s="208">
        <v>0</v>
      </c>
      <c r="AO21" s="208">
        <v>0</v>
      </c>
      <c r="AP21" s="208">
        <v>0</v>
      </c>
      <c r="AQ21" s="208">
        <v>6354.5361290758938</v>
      </c>
      <c r="AR21" s="208">
        <v>118.58376668569375</v>
      </c>
      <c r="AS21" s="208">
        <v>0</v>
      </c>
      <c r="AT21" s="222">
        <v>9490.1021927079746</v>
      </c>
      <c r="AV21" s="217" t="s">
        <v>340</v>
      </c>
      <c r="AW21" s="227">
        <f t="shared" si="16"/>
        <v>0</v>
      </c>
      <c r="AX21" s="227">
        <f t="shared" si="17"/>
        <v>0</v>
      </c>
      <c r="AY21" s="227">
        <f t="shared" si="17"/>
        <v>0</v>
      </c>
      <c r="AZ21" s="227">
        <f t="shared" si="18"/>
        <v>0</v>
      </c>
      <c r="BA21" s="227">
        <f t="shared" si="19"/>
        <v>0</v>
      </c>
      <c r="BB21" s="252">
        <v>0</v>
      </c>
      <c r="BC21" s="252">
        <v>0</v>
      </c>
      <c r="BD21" s="252">
        <v>0</v>
      </c>
      <c r="BE21" s="252">
        <v>0</v>
      </c>
      <c r="BF21" s="255">
        <v>0</v>
      </c>
      <c r="BG21" s="255">
        <v>0</v>
      </c>
      <c r="BH21" s="208">
        <f t="shared" si="33"/>
        <v>0</v>
      </c>
      <c r="BI21" s="208">
        <f t="shared" si="34"/>
        <v>0</v>
      </c>
      <c r="BJ21" s="208">
        <f t="shared" si="35"/>
        <v>0</v>
      </c>
      <c r="BK21" s="208">
        <f t="shared" si="36"/>
        <v>0</v>
      </c>
      <c r="BL21" s="208">
        <f t="shared" si="37"/>
        <v>0</v>
      </c>
      <c r="BM21" s="208">
        <f t="shared" si="38"/>
        <v>0</v>
      </c>
      <c r="BN21" s="208">
        <f t="shared" si="26"/>
        <v>6354.5361290758938</v>
      </c>
      <c r="BO21" s="208">
        <f t="shared" si="15"/>
        <v>118.58376668569375</v>
      </c>
      <c r="BP21" s="208">
        <f t="shared" si="15"/>
        <v>0</v>
      </c>
      <c r="BQ21" s="230">
        <f t="shared" si="0"/>
        <v>6473.1198957615879</v>
      </c>
      <c r="BR21" s="214"/>
      <c r="BS21" s="227"/>
      <c r="BT21" s="286"/>
      <c r="BU21" s="300" t="s">
        <v>6</v>
      </c>
      <c r="BV21" s="293">
        <v>0</v>
      </c>
      <c r="BW21" s="293">
        <v>0</v>
      </c>
      <c r="BX21" s="258">
        <v>0</v>
      </c>
      <c r="BY21" s="258">
        <v>0</v>
      </c>
      <c r="BZ21" s="258">
        <v>0</v>
      </c>
      <c r="CA21" s="258">
        <v>0</v>
      </c>
      <c r="CB21" s="258">
        <v>0</v>
      </c>
      <c r="CC21" s="258">
        <v>0</v>
      </c>
      <c r="CD21" s="258">
        <v>0</v>
      </c>
      <c r="CE21" s="258">
        <v>0</v>
      </c>
      <c r="CF21" s="258">
        <v>0</v>
      </c>
      <c r="CG21" s="258">
        <v>0</v>
      </c>
      <c r="CH21" s="258">
        <v>0</v>
      </c>
      <c r="CI21" s="258">
        <v>0</v>
      </c>
      <c r="CJ21" s="258">
        <v>0</v>
      </c>
      <c r="CK21" s="258">
        <v>0</v>
      </c>
      <c r="CL21" s="258">
        <v>0</v>
      </c>
      <c r="CM21" s="258">
        <v>1</v>
      </c>
      <c r="CN21" s="258">
        <v>0</v>
      </c>
      <c r="CO21" s="258">
        <v>0</v>
      </c>
      <c r="CP21" s="301">
        <v>1</v>
      </c>
      <c r="CQ21" s="302"/>
      <c r="CR21" s="300" t="s">
        <v>6</v>
      </c>
      <c r="CS21" s="293">
        <v>0</v>
      </c>
      <c r="CT21" s="293">
        <v>0</v>
      </c>
      <c r="CU21" s="258">
        <v>0</v>
      </c>
      <c r="CV21" s="258">
        <v>0</v>
      </c>
      <c r="CW21" s="258">
        <v>0</v>
      </c>
      <c r="CX21" s="258">
        <v>0</v>
      </c>
      <c r="CY21" s="258">
        <v>0</v>
      </c>
      <c r="CZ21" s="258">
        <v>0</v>
      </c>
      <c r="DA21" s="258">
        <v>0</v>
      </c>
      <c r="DB21" s="258">
        <v>0</v>
      </c>
      <c r="DC21" s="258">
        <v>0</v>
      </c>
      <c r="DD21" s="258">
        <v>0</v>
      </c>
      <c r="DE21" s="258">
        <v>0</v>
      </c>
      <c r="DF21" s="258">
        <v>0</v>
      </c>
      <c r="DG21" s="258">
        <v>0</v>
      </c>
      <c r="DH21" s="258">
        <v>0</v>
      </c>
      <c r="DI21" s="258">
        <v>0</v>
      </c>
      <c r="DJ21" s="258">
        <v>4414.1473111774976</v>
      </c>
      <c r="DK21" s="258">
        <v>0</v>
      </c>
      <c r="DL21" s="258">
        <v>0</v>
      </c>
      <c r="DM21" s="301">
        <v>4414.1473111774976</v>
      </c>
      <c r="DN21" s="302"/>
      <c r="DO21" s="302"/>
      <c r="DP21" s="300" t="s">
        <v>6</v>
      </c>
      <c r="DQ21" s="293">
        <v>0</v>
      </c>
      <c r="DR21" s="293">
        <v>0</v>
      </c>
      <c r="DS21" s="258">
        <v>0</v>
      </c>
      <c r="DT21" s="258">
        <v>0</v>
      </c>
      <c r="DU21" s="258">
        <v>0</v>
      </c>
      <c r="DV21" s="258">
        <v>0</v>
      </c>
      <c r="DW21" s="258">
        <v>0</v>
      </c>
      <c r="DX21" s="258">
        <v>0</v>
      </c>
      <c r="DY21" s="258">
        <v>0</v>
      </c>
      <c r="DZ21" s="258">
        <v>0</v>
      </c>
      <c r="EA21" s="258">
        <v>0</v>
      </c>
      <c r="EB21" s="258">
        <v>0</v>
      </c>
      <c r="EC21" s="258">
        <v>0</v>
      </c>
      <c r="ED21" s="258">
        <v>0</v>
      </c>
      <c r="EE21" s="258">
        <v>0</v>
      </c>
      <c r="EF21" s="258">
        <v>0</v>
      </c>
      <c r="EG21" s="258">
        <v>0</v>
      </c>
      <c r="EH21" s="258">
        <v>1</v>
      </c>
      <c r="EI21" s="258">
        <v>0</v>
      </c>
      <c r="EJ21" s="258">
        <v>0</v>
      </c>
      <c r="EK21" s="301">
        <v>1</v>
      </c>
      <c r="EL21" s="287"/>
      <c r="EM21" s="300" t="s">
        <v>6</v>
      </c>
      <c r="EN21" s="293">
        <v>0</v>
      </c>
      <c r="EO21" s="293">
        <v>0</v>
      </c>
      <c r="EP21" s="258">
        <v>0</v>
      </c>
      <c r="EQ21" s="258">
        <v>0</v>
      </c>
      <c r="ER21" s="258">
        <v>0</v>
      </c>
      <c r="ES21" s="258">
        <v>0</v>
      </c>
      <c r="ET21" s="258">
        <v>0</v>
      </c>
      <c r="EU21" s="258">
        <v>0</v>
      </c>
      <c r="EV21" s="258">
        <v>0</v>
      </c>
      <c r="EW21" s="258">
        <v>0</v>
      </c>
      <c r="EX21" s="258">
        <v>0</v>
      </c>
      <c r="EY21" s="258">
        <v>0</v>
      </c>
      <c r="EZ21" s="258">
        <v>0</v>
      </c>
      <c r="FA21" s="258">
        <v>0</v>
      </c>
      <c r="FB21" s="258">
        <v>0</v>
      </c>
      <c r="FC21" s="258">
        <v>0</v>
      </c>
      <c r="FD21" s="258">
        <v>0</v>
      </c>
      <c r="FE21" s="258">
        <v>4414.1473111774976</v>
      </c>
      <c r="FF21" s="258">
        <v>0</v>
      </c>
      <c r="FG21" s="258">
        <v>0</v>
      </c>
      <c r="FH21" s="301">
        <v>4414.1473111774976</v>
      </c>
    </row>
    <row r="22" spans="2:164" x14ac:dyDescent="0.2">
      <c r="B22" s="217" t="s">
        <v>342</v>
      </c>
      <c r="C22" s="227">
        <v>0</v>
      </c>
      <c r="D22" s="228">
        <v>0</v>
      </c>
      <c r="E22" s="208">
        <v>0</v>
      </c>
      <c r="F22" s="208">
        <v>0</v>
      </c>
      <c r="G22" s="208">
        <v>0</v>
      </c>
      <c r="H22" s="208">
        <v>90</v>
      </c>
      <c r="I22" s="208">
        <v>51</v>
      </c>
      <c r="J22" s="208">
        <v>1</v>
      </c>
      <c r="K22" s="208">
        <v>7</v>
      </c>
      <c r="L22" s="208">
        <v>41</v>
      </c>
      <c r="M22" s="208">
        <v>8</v>
      </c>
      <c r="N22" s="208">
        <v>0</v>
      </c>
      <c r="O22" s="208">
        <v>0</v>
      </c>
      <c r="P22" s="208">
        <v>0</v>
      </c>
      <c r="Q22" s="208">
        <v>0</v>
      </c>
      <c r="R22" s="208">
        <v>14</v>
      </c>
      <c r="S22" s="208">
        <v>2</v>
      </c>
      <c r="T22" s="208">
        <v>0</v>
      </c>
      <c r="U22" s="208">
        <v>249</v>
      </c>
      <c r="V22" s="208">
        <v>8</v>
      </c>
      <c r="W22" s="222">
        <v>471</v>
      </c>
      <c r="X22" s="208"/>
      <c r="Y22" s="217" t="s">
        <v>342</v>
      </c>
      <c r="Z22" s="227">
        <v>0</v>
      </c>
      <c r="AA22" s="228">
        <v>0</v>
      </c>
      <c r="AB22" s="208">
        <v>0</v>
      </c>
      <c r="AC22" s="208">
        <v>0</v>
      </c>
      <c r="AD22" s="208">
        <v>0</v>
      </c>
      <c r="AE22" s="252">
        <v>5689.9960273126635</v>
      </c>
      <c r="AF22" s="252">
        <v>2034.6434653342212</v>
      </c>
      <c r="AG22" s="252">
        <v>595.2172407078948</v>
      </c>
      <c r="AH22" s="252">
        <v>2660.8641038231453</v>
      </c>
      <c r="AI22" s="252">
        <v>7744.1322318494867</v>
      </c>
      <c r="AJ22" s="252">
        <v>677.58618085579747</v>
      </c>
      <c r="AK22" s="208">
        <v>0</v>
      </c>
      <c r="AL22" s="208">
        <v>0</v>
      </c>
      <c r="AM22" s="208">
        <v>0</v>
      </c>
      <c r="AN22" s="208">
        <v>0</v>
      </c>
      <c r="AO22" s="208">
        <v>825.79770121691092</v>
      </c>
      <c r="AP22" s="208">
        <v>61.553815207233612</v>
      </c>
      <c r="AQ22" s="208">
        <v>0</v>
      </c>
      <c r="AR22" s="208">
        <v>33825.883060702137</v>
      </c>
      <c r="AS22" s="208">
        <v>414.89060970380723</v>
      </c>
      <c r="AT22" s="222">
        <v>54530.564436713299</v>
      </c>
      <c r="AV22" s="217" t="s">
        <v>341</v>
      </c>
      <c r="AW22" s="227">
        <f t="shared" si="16"/>
        <v>0</v>
      </c>
      <c r="AX22" s="227">
        <f t="shared" si="17"/>
        <v>0</v>
      </c>
      <c r="AY22" s="227">
        <f t="shared" si="17"/>
        <v>0</v>
      </c>
      <c r="AZ22" s="227">
        <f t="shared" si="18"/>
        <v>0</v>
      </c>
      <c r="BA22" s="227">
        <f t="shared" si="19"/>
        <v>0</v>
      </c>
      <c r="BB22" s="252">
        <v>0</v>
      </c>
      <c r="BC22" s="252">
        <v>0</v>
      </c>
      <c r="BD22" s="252">
        <v>0</v>
      </c>
      <c r="BE22" s="252">
        <v>0</v>
      </c>
      <c r="BF22" s="252">
        <v>0</v>
      </c>
      <c r="BG22" s="255">
        <v>0</v>
      </c>
      <c r="BH22" s="208">
        <f t="shared" si="33"/>
        <v>0</v>
      </c>
      <c r="BI22" s="208">
        <f t="shared" si="34"/>
        <v>0</v>
      </c>
      <c r="BJ22" s="208">
        <f t="shared" si="35"/>
        <v>0</v>
      </c>
      <c r="BK22" s="208">
        <f t="shared" si="36"/>
        <v>0</v>
      </c>
      <c r="BL22" s="208">
        <f t="shared" si="37"/>
        <v>825.79770121691092</v>
      </c>
      <c r="BM22" s="208">
        <f t="shared" si="38"/>
        <v>61.553815207233612</v>
      </c>
      <c r="BN22" s="208">
        <f t="shared" si="26"/>
        <v>0</v>
      </c>
      <c r="BO22" s="208">
        <f t="shared" si="15"/>
        <v>33825.883060702137</v>
      </c>
      <c r="BP22" s="208">
        <f t="shared" si="15"/>
        <v>414.89060970380723</v>
      </c>
      <c r="BQ22" s="230">
        <f t="shared" si="0"/>
        <v>35128.12518683009</v>
      </c>
      <c r="BR22" s="214"/>
      <c r="BS22" s="227"/>
      <c r="BT22" s="286"/>
      <c r="BU22" s="300" t="s">
        <v>342</v>
      </c>
      <c r="BV22" s="293">
        <v>0</v>
      </c>
      <c r="BW22" s="293">
        <v>0</v>
      </c>
      <c r="BX22" s="258">
        <v>0</v>
      </c>
      <c r="BY22" s="258">
        <v>0</v>
      </c>
      <c r="BZ22" s="258">
        <v>0</v>
      </c>
      <c r="CA22" s="258">
        <v>2</v>
      </c>
      <c r="CB22" s="258">
        <v>0</v>
      </c>
      <c r="CC22" s="258">
        <v>0</v>
      </c>
      <c r="CD22" s="258">
        <v>0</v>
      </c>
      <c r="CE22" s="258">
        <v>0</v>
      </c>
      <c r="CF22" s="258">
        <v>0</v>
      </c>
      <c r="CG22" s="258">
        <v>0</v>
      </c>
      <c r="CH22" s="258">
        <v>0</v>
      </c>
      <c r="CI22" s="258">
        <v>0</v>
      </c>
      <c r="CJ22" s="258">
        <v>0</v>
      </c>
      <c r="CK22" s="258">
        <v>0</v>
      </c>
      <c r="CL22" s="258">
        <v>0</v>
      </c>
      <c r="CM22" s="258">
        <v>0</v>
      </c>
      <c r="CN22" s="258">
        <v>6</v>
      </c>
      <c r="CO22" s="258">
        <v>0</v>
      </c>
      <c r="CP22" s="301">
        <v>8</v>
      </c>
      <c r="CQ22" s="302"/>
      <c r="CR22" s="300" t="s">
        <v>342</v>
      </c>
      <c r="CS22" s="293">
        <v>0</v>
      </c>
      <c r="CT22" s="293">
        <v>0</v>
      </c>
      <c r="CU22" s="258">
        <v>0</v>
      </c>
      <c r="CV22" s="258">
        <v>0</v>
      </c>
      <c r="CW22" s="258">
        <v>0</v>
      </c>
      <c r="CX22" s="258">
        <v>0</v>
      </c>
      <c r="CY22" s="258">
        <v>0</v>
      </c>
      <c r="CZ22" s="258">
        <v>0</v>
      </c>
      <c r="DA22" s="258">
        <v>0</v>
      </c>
      <c r="DB22" s="258">
        <v>0</v>
      </c>
      <c r="DC22" s="258">
        <v>0</v>
      </c>
      <c r="DD22" s="258">
        <v>0</v>
      </c>
      <c r="DE22" s="258">
        <v>0</v>
      </c>
      <c r="DF22" s="258">
        <v>0</v>
      </c>
      <c r="DG22" s="258">
        <v>0</v>
      </c>
      <c r="DH22" s="258">
        <v>0</v>
      </c>
      <c r="DI22" s="258">
        <v>0</v>
      </c>
      <c r="DJ22" s="258">
        <v>0</v>
      </c>
      <c r="DK22" s="258">
        <v>9672.0424952404883</v>
      </c>
      <c r="DL22" s="258">
        <v>0</v>
      </c>
      <c r="DM22" s="301">
        <v>9672.0424952404883</v>
      </c>
      <c r="DN22" s="302"/>
      <c r="DO22" s="302"/>
      <c r="DP22" s="300" t="s">
        <v>342</v>
      </c>
      <c r="DQ22" s="293">
        <v>0</v>
      </c>
      <c r="DR22" s="293">
        <v>0</v>
      </c>
      <c r="DS22" s="258">
        <v>0</v>
      </c>
      <c r="DT22" s="258">
        <v>0</v>
      </c>
      <c r="DU22" s="258">
        <v>0</v>
      </c>
      <c r="DV22" s="258">
        <v>2</v>
      </c>
      <c r="DW22" s="258">
        <v>0</v>
      </c>
      <c r="DX22" s="258">
        <v>0</v>
      </c>
      <c r="DY22" s="258">
        <v>0</v>
      </c>
      <c r="DZ22" s="258">
        <v>0</v>
      </c>
      <c r="EA22" s="258">
        <v>0</v>
      </c>
      <c r="EB22" s="258">
        <v>0</v>
      </c>
      <c r="EC22" s="258">
        <v>0</v>
      </c>
      <c r="ED22" s="258">
        <v>0</v>
      </c>
      <c r="EE22" s="258">
        <v>0</v>
      </c>
      <c r="EF22" s="258">
        <v>0</v>
      </c>
      <c r="EG22" s="258">
        <v>0</v>
      </c>
      <c r="EH22" s="258">
        <v>0</v>
      </c>
      <c r="EI22" s="258">
        <v>11</v>
      </c>
      <c r="EJ22" s="258">
        <v>0</v>
      </c>
      <c r="EK22" s="301">
        <v>13</v>
      </c>
      <c r="EL22" s="287"/>
      <c r="EM22" s="300" t="s">
        <v>342</v>
      </c>
      <c r="EN22" s="293">
        <v>0</v>
      </c>
      <c r="EO22" s="293">
        <v>0</v>
      </c>
      <c r="EP22" s="258">
        <v>0</v>
      </c>
      <c r="EQ22" s="258">
        <v>0</v>
      </c>
      <c r="ER22" s="258">
        <v>0</v>
      </c>
      <c r="ES22" s="258">
        <v>0</v>
      </c>
      <c r="ET22" s="258">
        <v>0</v>
      </c>
      <c r="EU22" s="258">
        <v>0</v>
      </c>
      <c r="EV22" s="258">
        <v>0</v>
      </c>
      <c r="EW22" s="258">
        <v>0</v>
      </c>
      <c r="EX22" s="258">
        <v>0</v>
      </c>
      <c r="EY22" s="258">
        <v>0</v>
      </c>
      <c r="EZ22" s="258">
        <v>0</v>
      </c>
      <c r="FA22" s="258">
        <v>0</v>
      </c>
      <c r="FB22" s="258">
        <v>0</v>
      </c>
      <c r="FC22" s="258">
        <v>0</v>
      </c>
      <c r="FD22" s="258">
        <v>0</v>
      </c>
      <c r="FE22" s="258">
        <v>0</v>
      </c>
      <c r="FF22" s="258">
        <v>9788.5015110844342</v>
      </c>
      <c r="FG22" s="258">
        <v>0</v>
      </c>
      <c r="FH22" s="301">
        <v>9788.5015110844342</v>
      </c>
    </row>
    <row r="23" spans="2:164" x14ac:dyDescent="0.2">
      <c r="B23" s="217" t="s">
        <v>343</v>
      </c>
      <c r="C23" s="227">
        <v>0</v>
      </c>
      <c r="D23" s="228">
        <v>0</v>
      </c>
      <c r="E23" s="208">
        <v>0</v>
      </c>
      <c r="F23" s="208">
        <v>0</v>
      </c>
      <c r="G23" s="208">
        <v>0</v>
      </c>
      <c r="H23" s="208">
        <v>9</v>
      </c>
      <c r="I23" s="208">
        <v>0</v>
      </c>
      <c r="J23" s="208">
        <v>0</v>
      </c>
      <c r="K23" s="208">
        <v>0</v>
      </c>
      <c r="L23" s="208">
        <v>2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  <c r="U23" s="208">
        <v>0</v>
      </c>
      <c r="V23" s="208">
        <v>15</v>
      </c>
      <c r="W23" s="222">
        <v>26</v>
      </c>
      <c r="X23" s="208"/>
      <c r="Y23" s="217" t="s">
        <v>343</v>
      </c>
      <c r="Z23" s="227">
        <v>0</v>
      </c>
      <c r="AA23" s="228">
        <v>0</v>
      </c>
      <c r="AB23" s="208">
        <v>0</v>
      </c>
      <c r="AC23" s="208">
        <v>0</v>
      </c>
      <c r="AD23" s="208">
        <v>0</v>
      </c>
      <c r="AE23" s="208">
        <v>688.57062511467268</v>
      </c>
      <c r="AF23" s="208">
        <v>0</v>
      </c>
      <c r="AG23" s="208">
        <v>0</v>
      </c>
      <c r="AH23" s="208">
        <v>0</v>
      </c>
      <c r="AI23" s="208">
        <v>72.29161823541348</v>
      </c>
      <c r="AJ23" s="208">
        <v>0</v>
      </c>
      <c r="AK23" s="208">
        <v>0</v>
      </c>
      <c r="AL23" s="208">
        <v>0</v>
      </c>
      <c r="AM23" s="208">
        <v>0</v>
      </c>
      <c r="AN23" s="208">
        <v>0</v>
      </c>
      <c r="AO23" s="208">
        <v>0</v>
      </c>
      <c r="AP23" s="208">
        <v>0</v>
      </c>
      <c r="AQ23" s="208">
        <v>0</v>
      </c>
      <c r="AR23" s="208">
        <v>0</v>
      </c>
      <c r="AS23" s="208">
        <v>1330.330850857074</v>
      </c>
      <c r="AT23" s="222">
        <v>2091.1930942071604</v>
      </c>
      <c r="AV23" s="217" t="s">
        <v>6</v>
      </c>
      <c r="AW23" s="227">
        <f t="shared" si="16"/>
        <v>0</v>
      </c>
      <c r="AX23" s="227">
        <f t="shared" si="17"/>
        <v>0</v>
      </c>
      <c r="AY23" s="227">
        <f t="shared" si="17"/>
        <v>0</v>
      </c>
      <c r="AZ23" s="227">
        <f t="shared" si="18"/>
        <v>0</v>
      </c>
      <c r="BA23" s="227">
        <f t="shared" si="19"/>
        <v>0</v>
      </c>
      <c r="BB23" s="227">
        <f t="shared" ref="BB23" si="39">AE23</f>
        <v>688.57062511467268</v>
      </c>
      <c r="BC23" s="227">
        <f t="shared" ref="BC23" si="40">AF23</f>
        <v>0</v>
      </c>
      <c r="BD23" s="227">
        <f t="shared" ref="BD23" si="41">AG23</f>
        <v>0</v>
      </c>
      <c r="BE23" s="227">
        <f t="shared" ref="BE23" si="42">AH23</f>
        <v>0</v>
      </c>
      <c r="BF23" s="208">
        <v>0</v>
      </c>
      <c r="BG23" s="208">
        <v>0</v>
      </c>
      <c r="BH23" s="208">
        <f t="shared" si="33"/>
        <v>0</v>
      </c>
      <c r="BI23" s="208">
        <f t="shared" si="34"/>
        <v>0</v>
      </c>
      <c r="BJ23" s="208">
        <f t="shared" si="35"/>
        <v>0</v>
      </c>
      <c r="BK23" s="208">
        <f t="shared" si="36"/>
        <v>0</v>
      </c>
      <c r="BL23" s="208">
        <f t="shared" si="37"/>
        <v>0</v>
      </c>
      <c r="BM23" s="208">
        <f t="shared" si="38"/>
        <v>0</v>
      </c>
      <c r="BN23" s="208">
        <f t="shared" si="26"/>
        <v>0</v>
      </c>
      <c r="BO23" s="208">
        <f t="shared" si="15"/>
        <v>0</v>
      </c>
      <c r="BP23" s="208">
        <f t="shared" si="15"/>
        <v>1330.330850857074</v>
      </c>
      <c r="BQ23" s="230">
        <f t="shared" si="0"/>
        <v>2018.9014759717465</v>
      </c>
      <c r="BR23" s="214"/>
      <c r="BS23" s="227"/>
      <c r="BT23" s="286"/>
      <c r="BU23" s="300" t="s">
        <v>343</v>
      </c>
      <c r="BV23" s="293">
        <v>0</v>
      </c>
      <c r="BW23" s="293">
        <v>0</v>
      </c>
      <c r="BX23" s="258">
        <v>0</v>
      </c>
      <c r="BY23" s="258">
        <v>0</v>
      </c>
      <c r="BZ23" s="258">
        <v>0</v>
      </c>
      <c r="CA23" s="258">
        <v>0</v>
      </c>
      <c r="CB23" s="258">
        <v>0</v>
      </c>
      <c r="CC23" s="258">
        <v>0</v>
      </c>
      <c r="CD23" s="258">
        <v>0</v>
      </c>
      <c r="CE23" s="258">
        <v>0</v>
      </c>
      <c r="CF23" s="258">
        <v>0</v>
      </c>
      <c r="CG23" s="258">
        <v>0</v>
      </c>
      <c r="CH23" s="258">
        <v>0</v>
      </c>
      <c r="CI23" s="258">
        <v>0</v>
      </c>
      <c r="CJ23" s="258">
        <v>0</v>
      </c>
      <c r="CK23" s="258">
        <v>0</v>
      </c>
      <c r="CL23" s="258">
        <v>0</v>
      </c>
      <c r="CM23" s="258">
        <v>0</v>
      </c>
      <c r="CN23" s="258">
        <v>0</v>
      </c>
      <c r="CO23" s="258">
        <v>0</v>
      </c>
      <c r="CP23" s="301">
        <v>0</v>
      </c>
      <c r="CQ23" s="302"/>
      <c r="CR23" s="300" t="s">
        <v>343</v>
      </c>
      <c r="CS23" s="293">
        <v>0</v>
      </c>
      <c r="CT23" s="293">
        <v>0</v>
      </c>
      <c r="CU23" s="258">
        <v>0</v>
      </c>
      <c r="CV23" s="258">
        <v>0</v>
      </c>
      <c r="CW23" s="258">
        <v>0</v>
      </c>
      <c r="CX23" s="258">
        <v>0</v>
      </c>
      <c r="CY23" s="258">
        <v>0</v>
      </c>
      <c r="CZ23" s="258">
        <v>0</v>
      </c>
      <c r="DA23" s="258">
        <v>0</v>
      </c>
      <c r="DB23" s="258">
        <v>0</v>
      </c>
      <c r="DC23" s="258">
        <v>0</v>
      </c>
      <c r="DD23" s="258">
        <v>0</v>
      </c>
      <c r="DE23" s="258">
        <v>0</v>
      </c>
      <c r="DF23" s="258">
        <v>0</v>
      </c>
      <c r="DG23" s="258">
        <v>0</v>
      </c>
      <c r="DH23" s="258">
        <v>0</v>
      </c>
      <c r="DI23" s="258">
        <v>0</v>
      </c>
      <c r="DJ23" s="258">
        <v>0</v>
      </c>
      <c r="DK23" s="258">
        <v>0</v>
      </c>
      <c r="DL23" s="258">
        <v>0</v>
      </c>
      <c r="DM23" s="301">
        <v>0</v>
      </c>
      <c r="DN23" s="302"/>
      <c r="DO23" s="302"/>
      <c r="DP23" s="300" t="s">
        <v>343</v>
      </c>
      <c r="DQ23" s="293">
        <v>0</v>
      </c>
      <c r="DR23" s="293">
        <v>0</v>
      </c>
      <c r="DS23" s="258">
        <v>0</v>
      </c>
      <c r="DT23" s="258">
        <v>0</v>
      </c>
      <c r="DU23" s="258">
        <v>0</v>
      </c>
      <c r="DV23" s="258">
        <v>0</v>
      </c>
      <c r="DW23" s="258">
        <v>0</v>
      </c>
      <c r="DX23" s="258">
        <v>0</v>
      </c>
      <c r="DY23" s="258">
        <v>0</v>
      </c>
      <c r="DZ23" s="258">
        <v>0</v>
      </c>
      <c r="EA23" s="258">
        <v>0</v>
      </c>
      <c r="EB23" s="258">
        <v>0</v>
      </c>
      <c r="EC23" s="258">
        <v>0</v>
      </c>
      <c r="ED23" s="258">
        <v>0</v>
      </c>
      <c r="EE23" s="258">
        <v>0</v>
      </c>
      <c r="EF23" s="258">
        <v>0</v>
      </c>
      <c r="EG23" s="258">
        <v>0</v>
      </c>
      <c r="EH23" s="258">
        <v>0</v>
      </c>
      <c r="EI23" s="258">
        <v>0</v>
      </c>
      <c r="EJ23" s="258">
        <v>0</v>
      </c>
      <c r="EK23" s="301">
        <v>0</v>
      </c>
      <c r="EL23" s="287"/>
      <c r="EM23" s="300" t="s">
        <v>343</v>
      </c>
      <c r="EN23" s="293">
        <v>0</v>
      </c>
      <c r="EO23" s="293">
        <v>0</v>
      </c>
      <c r="EP23" s="258">
        <v>0</v>
      </c>
      <c r="EQ23" s="258">
        <v>0</v>
      </c>
      <c r="ER23" s="258">
        <v>0</v>
      </c>
      <c r="ES23" s="258">
        <v>0</v>
      </c>
      <c r="ET23" s="258">
        <v>0</v>
      </c>
      <c r="EU23" s="258">
        <v>0</v>
      </c>
      <c r="EV23" s="258">
        <v>0</v>
      </c>
      <c r="EW23" s="258">
        <v>0</v>
      </c>
      <c r="EX23" s="258">
        <v>0</v>
      </c>
      <c r="EY23" s="258">
        <v>0</v>
      </c>
      <c r="EZ23" s="258">
        <v>0</v>
      </c>
      <c r="FA23" s="258">
        <v>0</v>
      </c>
      <c r="FB23" s="258">
        <v>0</v>
      </c>
      <c r="FC23" s="258">
        <v>0</v>
      </c>
      <c r="FD23" s="258">
        <v>0</v>
      </c>
      <c r="FE23" s="258">
        <v>0</v>
      </c>
      <c r="FF23" s="258">
        <v>0</v>
      </c>
      <c r="FG23" s="258">
        <v>0</v>
      </c>
      <c r="FH23" s="301">
        <v>0</v>
      </c>
    </row>
    <row r="24" spans="2:164" x14ac:dyDescent="0.2">
      <c r="B24" s="217" t="s">
        <v>346</v>
      </c>
      <c r="C24" s="227">
        <v>0</v>
      </c>
      <c r="D24" s="228">
        <v>0</v>
      </c>
      <c r="E24" s="208">
        <v>0</v>
      </c>
      <c r="F24" s="208">
        <v>0</v>
      </c>
      <c r="G24" s="208">
        <v>0</v>
      </c>
      <c r="H24" s="208">
        <v>0</v>
      </c>
      <c r="I24" s="208">
        <v>0</v>
      </c>
      <c r="J24" s="208">
        <v>85</v>
      </c>
      <c r="K24" s="208">
        <v>0</v>
      </c>
      <c r="L24" s="208">
        <v>8</v>
      </c>
      <c r="M24" s="208">
        <v>5</v>
      </c>
      <c r="N24" s="208">
        <v>0</v>
      </c>
      <c r="O24" s="208">
        <v>0</v>
      </c>
      <c r="P24" s="208">
        <v>9</v>
      </c>
      <c r="Q24" s="208">
        <v>0</v>
      </c>
      <c r="R24" s="208">
        <v>2</v>
      </c>
      <c r="S24" s="208">
        <v>0</v>
      </c>
      <c r="T24" s="208">
        <v>0</v>
      </c>
      <c r="U24" s="208">
        <v>0</v>
      </c>
      <c r="V24" s="208">
        <v>0</v>
      </c>
      <c r="W24" s="222">
        <v>109</v>
      </c>
      <c r="X24" s="208"/>
      <c r="Y24" s="217" t="s">
        <v>346</v>
      </c>
      <c r="Z24" s="227">
        <v>0</v>
      </c>
      <c r="AA24" s="228">
        <v>0</v>
      </c>
      <c r="AB24" s="208">
        <v>0</v>
      </c>
      <c r="AC24" s="208">
        <v>0</v>
      </c>
      <c r="AD24" s="208">
        <v>0</v>
      </c>
      <c r="AE24" s="208">
        <v>0</v>
      </c>
      <c r="AF24" s="208">
        <v>0</v>
      </c>
      <c r="AG24" s="208">
        <v>2201.3634539822706</v>
      </c>
      <c r="AH24" s="208">
        <v>0</v>
      </c>
      <c r="AI24" s="208">
        <v>661.54497092155339</v>
      </c>
      <c r="AJ24" s="208">
        <v>94.593515601608331</v>
      </c>
      <c r="AK24" s="208">
        <v>0</v>
      </c>
      <c r="AL24" s="208">
        <v>0</v>
      </c>
      <c r="AM24" s="208">
        <v>319.6141872390167</v>
      </c>
      <c r="AN24" s="208">
        <v>0</v>
      </c>
      <c r="AO24" s="208">
        <v>108.09406433723771</v>
      </c>
      <c r="AP24" s="208">
        <v>0</v>
      </c>
      <c r="AQ24" s="208">
        <v>0</v>
      </c>
      <c r="AR24" s="208">
        <v>0</v>
      </c>
      <c r="AS24" s="208">
        <v>0</v>
      </c>
      <c r="AT24" s="222">
        <v>3385.2101920816867</v>
      </c>
      <c r="AV24" s="217" t="s">
        <v>342</v>
      </c>
      <c r="AW24" s="227">
        <f t="shared" si="16"/>
        <v>0</v>
      </c>
      <c r="AX24" s="227">
        <f t="shared" si="17"/>
        <v>0</v>
      </c>
      <c r="AY24" s="227">
        <f t="shared" si="17"/>
        <v>0</v>
      </c>
      <c r="AZ24" s="227">
        <f t="shared" si="18"/>
        <v>0</v>
      </c>
      <c r="BA24" s="227">
        <f t="shared" si="19"/>
        <v>0</v>
      </c>
      <c r="BB24" s="227">
        <f t="shared" ref="BB24" si="43">AE24</f>
        <v>0</v>
      </c>
      <c r="BC24" s="227">
        <f t="shared" ref="BC24" si="44">AF24</f>
        <v>0</v>
      </c>
      <c r="BD24" s="227">
        <f t="shared" ref="BD24" si="45">AG24</f>
        <v>2201.3634539822706</v>
      </c>
      <c r="BE24" s="227">
        <f t="shared" ref="BE24" si="46">AH24</f>
        <v>0</v>
      </c>
      <c r="BF24" s="227">
        <f t="shared" ref="BF24" si="47">AI24</f>
        <v>661.54497092155339</v>
      </c>
      <c r="BG24" s="227">
        <f t="shared" ref="BG24" si="48">AJ24</f>
        <v>94.593515601608331</v>
      </c>
      <c r="BH24" s="208">
        <f t="shared" si="33"/>
        <v>0</v>
      </c>
      <c r="BI24" s="208">
        <f t="shared" si="34"/>
        <v>0</v>
      </c>
      <c r="BJ24" s="208">
        <f t="shared" si="35"/>
        <v>319.6141872390167</v>
      </c>
      <c r="BK24" s="208">
        <f t="shared" si="36"/>
        <v>0</v>
      </c>
      <c r="BL24" s="208">
        <f t="shared" si="37"/>
        <v>108.09406433723771</v>
      </c>
      <c r="BM24" s="208">
        <f t="shared" si="38"/>
        <v>0</v>
      </c>
      <c r="BN24" s="208">
        <f t="shared" si="26"/>
        <v>0</v>
      </c>
      <c r="BO24" s="208">
        <f t="shared" si="15"/>
        <v>0</v>
      </c>
      <c r="BP24" s="208">
        <f t="shared" si="15"/>
        <v>0</v>
      </c>
      <c r="BQ24" s="230">
        <f t="shared" si="0"/>
        <v>3385.2101920816872</v>
      </c>
      <c r="BR24" s="214"/>
      <c r="BS24" s="227"/>
      <c r="BT24" s="286"/>
      <c r="BU24" s="300" t="s">
        <v>346</v>
      </c>
      <c r="BV24" s="293">
        <v>0</v>
      </c>
      <c r="BW24" s="293">
        <v>0</v>
      </c>
      <c r="BX24" s="258">
        <v>0</v>
      </c>
      <c r="BY24" s="258">
        <v>0</v>
      </c>
      <c r="BZ24" s="258">
        <v>0</v>
      </c>
      <c r="CA24" s="258">
        <v>0</v>
      </c>
      <c r="CB24" s="258">
        <v>0</v>
      </c>
      <c r="CC24" s="258">
        <v>34</v>
      </c>
      <c r="CD24" s="258">
        <v>0</v>
      </c>
      <c r="CE24" s="258">
        <v>2</v>
      </c>
      <c r="CF24" s="258">
        <v>1</v>
      </c>
      <c r="CG24" s="258">
        <v>0</v>
      </c>
      <c r="CH24" s="258">
        <v>0</v>
      </c>
      <c r="CI24" s="258">
        <v>1</v>
      </c>
      <c r="CJ24" s="258">
        <v>0</v>
      </c>
      <c r="CK24" s="258">
        <v>0</v>
      </c>
      <c r="CL24" s="258">
        <v>0</v>
      </c>
      <c r="CM24" s="258">
        <v>0</v>
      </c>
      <c r="CN24" s="258">
        <v>0</v>
      </c>
      <c r="CO24" s="258">
        <v>0</v>
      </c>
      <c r="CP24" s="301">
        <v>38</v>
      </c>
      <c r="CQ24" s="302"/>
      <c r="CR24" s="300" t="s">
        <v>346</v>
      </c>
      <c r="CS24" s="293">
        <v>0</v>
      </c>
      <c r="CT24" s="293">
        <v>0</v>
      </c>
      <c r="CU24" s="258">
        <v>0</v>
      </c>
      <c r="CV24" s="258">
        <v>0</v>
      </c>
      <c r="CW24" s="258">
        <v>0</v>
      </c>
      <c r="CX24" s="258">
        <v>0</v>
      </c>
      <c r="CY24" s="258">
        <v>0</v>
      </c>
      <c r="CZ24" s="258">
        <v>727.0629655918533</v>
      </c>
      <c r="DA24" s="258">
        <v>0</v>
      </c>
      <c r="DB24" s="258">
        <v>18.436522341638963</v>
      </c>
      <c r="DC24" s="258">
        <v>13.694917362964611</v>
      </c>
      <c r="DD24" s="258">
        <v>0</v>
      </c>
      <c r="DE24" s="258">
        <v>0</v>
      </c>
      <c r="DF24" s="258">
        <v>39.920917170714567</v>
      </c>
      <c r="DG24" s="258">
        <v>0</v>
      </c>
      <c r="DH24" s="258">
        <v>0</v>
      </c>
      <c r="DI24" s="258">
        <v>0</v>
      </c>
      <c r="DJ24" s="258">
        <v>0</v>
      </c>
      <c r="DK24" s="258">
        <v>0</v>
      </c>
      <c r="DL24" s="258">
        <v>0</v>
      </c>
      <c r="DM24" s="301">
        <v>799.11532246717138</v>
      </c>
      <c r="DN24" s="302"/>
      <c r="DO24" s="302"/>
      <c r="DP24" s="300" t="s">
        <v>346</v>
      </c>
      <c r="DQ24" s="293">
        <v>0</v>
      </c>
      <c r="DR24" s="293">
        <v>0</v>
      </c>
      <c r="DS24" s="258">
        <v>0</v>
      </c>
      <c r="DT24" s="258">
        <v>0</v>
      </c>
      <c r="DU24" s="258">
        <v>0</v>
      </c>
      <c r="DV24" s="258">
        <v>0</v>
      </c>
      <c r="DW24" s="258">
        <v>0</v>
      </c>
      <c r="DX24" s="258">
        <v>38</v>
      </c>
      <c r="DY24" s="258">
        <v>0</v>
      </c>
      <c r="DZ24" s="258">
        <v>2</v>
      </c>
      <c r="EA24" s="258">
        <v>3</v>
      </c>
      <c r="EB24" s="258">
        <v>0</v>
      </c>
      <c r="EC24" s="258">
        <v>0</v>
      </c>
      <c r="ED24" s="258">
        <v>2</v>
      </c>
      <c r="EE24" s="258">
        <v>0</v>
      </c>
      <c r="EF24" s="258">
        <v>0</v>
      </c>
      <c r="EG24" s="258">
        <v>0</v>
      </c>
      <c r="EH24" s="258">
        <v>0</v>
      </c>
      <c r="EI24" s="258">
        <v>0</v>
      </c>
      <c r="EJ24" s="258">
        <v>0</v>
      </c>
      <c r="EK24" s="301">
        <v>45</v>
      </c>
      <c r="EL24" s="287"/>
      <c r="EM24" s="300" t="s">
        <v>346</v>
      </c>
      <c r="EN24" s="293">
        <v>0</v>
      </c>
      <c r="EO24" s="293">
        <v>0</v>
      </c>
      <c r="EP24" s="258">
        <v>0</v>
      </c>
      <c r="EQ24" s="258">
        <v>0</v>
      </c>
      <c r="ER24" s="258">
        <v>0</v>
      </c>
      <c r="ES24" s="258">
        <v>0</v>
      </c>
      <c r="ET24" s="258">
        <v>0</v>
      </c>
      <c r="EU24" s="258">
        <v>756.58078440054362</v>
      </c>
      <c r="EV24" s="258">
        <v>0</v>
      </c>
      <c r="EW24" s="258">
        <v>18.436522341638963</v>
      </c>
      <c r="EX24" s="258">
        <v>71.644027041344046</v>
      </c>
      <c r="EY24" s="258">
        <v>0</v>
      </c>
      <c r="EZ24" s="258">
        <v>0</v>
      </c>
      <c r="FA24" s="258">
        <v>39.920917170714567</v>
      </c>
      <c r="FB24" s="258">
        <v>0</v>
      </c>
      <c r="FC24" s="258">
        <v>0</v>
      </c>
      <c r="FD24" s="258">
        <v>0</v>
      </c>
      <c r="FE24" s="258">
        <v>0</v>
      </c>
      <c r="FF24" s="258">
        <v>0</v>
      </c>
      <c r="FG24" s="258">
        <v>0</v>
      </c>
      <c r="FH24" s="301">
        <v>886.5822509542412</v>
      </c>
    </row>
    <row r="25" spans="2:164" x14ac:dyDescent="0.2">
      <c r="B25" s="217" t="s">
        <v>347</v>
      </c>
      <c r="C25" s="227">
        <v>0</v>
      </c>
      <c r="D25" s="228">
        <v>0</v>
      </c>
      <c r="E25" s="208">
        <v>0</v>
      </c>
      <c r="F25" s="208">
        <v>0</v>
      </c>
      <c r="G25" s="208">
        <v>0</v>
      </c>
      <c r="H25" s="208">
        <v>0</v>
      </c>
      <c r="I25" s="208">
        <v>0</v>
      </c>
      <c r="J25" s="208">
        <v>3</v>
      </c>
      <c r="K25" s="208">
        <v>0</v>
      </c>
      <c r="L25" s="208">
        <v>1</v>
      </c>
      <c r="M25" s="208">
        <v>0</v>
      </c>
      <c r="N25" s="208">
        <v>0</v>
      </c>
      <c r="O25" s="208">
        <v>0</v>
      </c>
      <c r="P25" s="208">
        <v>31</v>
      </c>
      <c r="Q25" s="208">
        <v>0</v>
      </c>
      <c r="R25" s="208">
        <v>2</v>
      </c>
      <c r="S25" s="208">
        <v>1</v>
      </c>
      <c r="T25" s="208">
        <v>0</v>
      </c>
      <c r="U25" s="208">
        <v>0</v>
      </c>
      <c r="V25" s="208">
        <v>0</v>
      </c>
      <c r="W25" s="222">
        <v>38</v>
      </c>
      <c r="X25" s="208"/>
      <c r="Y25" s="217" t="s">
        <v>347</v>
      </c>
      <c r="Z25" s="227">
        <v>0</v>
      </c>
      <c r="AA25" s="228">
        <v>0</v>
      </c>
      <c r="AB25" s="208">
        <v>0</v>
      </c>
      <c r="AC25" s="208">
        <v>0</v>
      </c>
      <c r="AD25" s="208">
        <v>0</v>
      </c>
      <c r="AE25" s="208">
        <v>0</v>
      </c>
      <c r="AF25" s="208">
        <v>0</v>
      </c>
      <c r="AG25" s="208">
        <v>70.277531344767894</v>
      </c>
      <c r="AH25" s="208">
        <v>0</v>
      </c>
      <c r="AI25" s="208">
        <v>321.05100883639938</v>
      </c>
      <c r="AJ25" s="208">
        <v>0</v>
      </c>
      <c r="AK25" s="208">
        <v>0</v>
      </c>
      <c r="AL25" s="208">
        <v>0</v>
      </c>
      <c r="AM25" s="208">
        <v>825.29689725923981</v>
      </c>
      <c r="AN25" s="208">
        <v>0</v>
      </c>
      <c r="AO25" s="208">
        <v>18.535645909831832</v>
      </c>
      <c r="AP25" s="208">
        <v>39.928256683644889</v>
      </c>
      <c r="AQ25" s="208">
        <v>0</v>
      </c>
      <c r="AR25" s="208">
        <v>0</v>
      </c>
      <c r="AS25" s="208">
        <v>0</v>
      </c>
      <c r="AT25" s="222">
        <v>1275.0893400338837</v>
      </c>
      <c r="AV25" s="217" t="s">
        <v>343</v>
      </c>
      <c r="AW25" s="227">
        <f t="shared" si="16"/>
        <v>0</v>
      </c>
      <c r="AX25" s="227">
        <f t="shared" si="17"/>
        <v>0</v>
      </c>
      <c r="AY25" s="227">
        <f t="shared" si="17"/>
        <v>0</v>
      </c>
      <c r="AZ25" s="227">
        <f t="shared" si="18"/>
        <v>0</v>
      </c>
      <c r="BA25" s="227">
        <f t="shared" ref="BA25" si="49">AD25</f>
        <v>0</v>
      </c>
      <c r="BB25" s="227">
        <f t="shared" ref="BB25" si="50">AE25</f>
        <v>0</v>
      </c>
      <c r="BC25" s="227">
        <f t="shared" ref="BC25" si="51">AF25</f>
        <v>0</v>
      </c>
      <c r="BD25" s="227">
        <f t="shared" ref="BD25" si="52">AG25</f>
        <v>70.277531344767894</v>
      </c>
      <c r="BE25" s="227">
        <f t="shared" ref="BE25" si="53">AH25</f>
        <v>0</v>
      </c>
      <c r="BF25" s="227">
        <f t="shared" ref="BF25" si="54">AI25</f>
        <v>321.05100883639938</v>
      </c>
      <c r="BG25" s="227">
        <f t="shared" ref="BG25" si="55">AJ25</f>
        <v>0</v>
      </c>
      <c r="BH25" s="208">
        <f t="shared" si="33"/>
        <v>0</v>
      </c>
      <c r="BI25" s="208">
        <f t="shared" si="34"/>
        <v>0</v>
      </c>
      <c r="BJ25" s="208">
        <f t="shared" si="35"/>
        <v>825.29689725923981</v>
      </c>
      <c r="BK25" s="208">
        <f t="shared" si="36"/>
        <v>0</v>
      </c>
      <c r="BL25" s="208">
        <f t="shared" si="37"/>
        <v>18.535645909831832</v>
      </c>
      <c r="BM25" s="208">
        <f t="shared" si="38"/>
        <v>39.928256683644889</v>
      </c>
      <c r="BN25" s="208">
        <f t="shared" si="26"/>
        <v>0</v>
      </c>
      <c r="BO25" s="208">
        <f t="shared" si="15"/>
        <v>0</v>
      </c>
      <c r="BP25" s="208">
        <f t="shared" si="15"/>
        <v>0</v>
      </c>
      <c r="BQ25" s="222">
        <f t="shared" si="0"/>
        <v>1275.0893400338837</v>
      </c>
      <c r="BR25" s="214"/>
      <c r="BS25" s="227"/>
      <c r="BT25" s="286"/>
      <c r="BU25" s="300" t="s">
        <v>347</v>
      </c>
      <c r="BV25" s="293">
        <v>0</v>
      </c>
      <c r="BW25" s="293">
        <v>0</v>
      </c>
      <c r="BX25" s="258">
        <v>0</v>
      </c>
      <c r="BY25" s="258">
        <v>0</v>
      </c>
      <c r="BZ25" s="258">
        <v>0</v>
      </c>
      <c r="CA25" s="258">
        <v>0</v>
      </c>
      <c r="CB25" s="258">
        <v>0</v>
      </c>
      <c r="CC25" s="258">
        <v>2</v>
      </c>
      <c r="CD25" s="258">
        <v>0</v>
      </c>
      <c r="CE25" s="258">
        <v>0</v>
      </c>
      <c r="CF25" s="258">
        <v>0</v>
      </c>
      <c r="CG25" s="258">
        <v>0</v>
      </c>
      <c r="CH25" s="258">
        <v>0</v>
      </c>
      <c r="CI25" s="258">
        <v>21</v>
      </c>
      <c r="CJ25" s="258">
        <v>0</v>
      </c>
      <c r="CK25" s="258">
        <v>2</v>
      </c>
      <c r="CL25" s="258">
        <v>1</v>
      </c>
      <c r="CM25" s="258">
        <v>0</v>
      </c>
      <c r="CN25" s="258">
        <v>0</v>
      </c>
      <c r="CO25" s="258">
        <v>0</v>
      </c>
      <c r="CP25" s="301">
        <v>26</v>
      </c>
      <c r="CQ25" s="302"/>
      <c r="CR25" s="300" t="s">
        <v>347</v>
      </c>
      <c r="CS25" s="293">
        <v>0</v>
      </c>
      <c r="CT25" s="293">
        <v>0</v>
      </c>
      <c r="CU25" s="258">
        <v>0</v>
      </c>
      <c r="CV25" s="258">
        <v>0</v>
      </c>
      <c r="CW25" s="258">
        <v>0</v>
      </c>
      <c r="CX25" s="258">
        <v>0</v>
      </c>
      <c r="CY25" s="258">
        <v>0</v>
      </c>
      <c r="CZ25" s="258">
        <v>58.802787064635751</v>
      </c>
      <c r="DA25" s="258">
        <v>0</v>
      </c>
      <c r="DB25" s="258">
        <v>0</v>
      </c>
      <c r="DC25" s="258">
        <v>0</v>
      </c>
      <c r="DD25" s="258">
        <v>0</v>
      </c>
      <c r="DE25" s="258">
        <v>0</v>
      </c>
      <c r="DF25" s="258">
        <v>458.70771952223271</v>
      </c>
      <c r="DG25" s="258">
        <v>0</v>
      </c>
      <c r="DH25" s="258">
        <v>18.535645909831832</v>
      </c>
      <c r="DI25" s="258">
        <v>39.928256683644889</v>
      </c>
      <c r="DJ25" s="258">
        <v>0</v>
      </c>
      <c r="DK25" s="258">
        <v>0</v>
      </c>
      <c r="DL25" s="258">
        <v>0</v>
      </c>
      <c r="DM25" s="301">
        <v>575.97440918034522</v>
      </c>
      <c r="DN25" s="302"/>
      <c r="DO25" s="302"/>
      <c r="DP25" s="300" t="s">
        <v>347</v>
      </c>
      <c r="DQ25" s="293">
        <v>0</v>
      </c>
      <c r="DR25" s="293">
        <v>0</v>
      </c>
      <c r="DS25" s="258">
        <v>0</v>
      </c>
      <c r="DT25" s="258">
        <v>0</v>
      </c>
      <c r="DU25" s="258">
        <v>0</v>
      </c>
      <c r="DV25" s="258">
        <v>0</v>
      </c>
      <c r="DW25" s="258">
        <v>0</v>
      </c>
      <c r="DX25" s="258">
        <v>2</v>
      </c>
      <c r="DY25" s="258">
        <v>0</v>
      </c>
      <c r="DZ25" s="258">
        <v>0</v>
      </c>
      <c r="EA25" s="258">
        <v>0</v>
      </c>
      <c r="EB25" s="258">
        <v>0</v>
      </c>
      <c r="EC25" s="258">
        <v>0</v>
      </c>
      <c r="ED25" s="258">
        <v>22</v>
      </c>
      <c r="EE25" s="258">
        <v>0</v>
      </c>
      <c r="EF25" s="258">
        <v>2</v>
      </c>
      <c r="EG25" s="258">
        <v>1</v>
      </c>
      <c r="EH25" s="258">
        <v>0</v>
      </c>
      <c r="EI25" s="258">
        <v>0</v>
      </c>
      <c r="EJ25" s="258">
        <v>0</v>
      </c>
      <c r="EK25" s="301">
        <v>27</v>
      </c>
      <c r="EL25" s="287"/>
      <c r="EM25" s="300" t="s">
        <v>347</v>
      </c>
      <c r="EN25" s="293">
        <v>0</v>
      </c>
      <c r="EO25" s="293">
        <v>0</v>
      </c>
      <c r="EP25" s="258">
        <v>0</v>
      </c>
      <c r="EQ25" s="258">
        <v>0</v>
      </c>
      <c r="ER25" s="258">
        <v>0</v>
      </c>
      <c r="ES25" s="258">
        <v>0</v>
      </c>
      <c r="ET25" s="258">
        <v>0</v>
      </c>
      <c r="EU25" s="258">
        <v>58.802787064635751</v>
      </c>
      <c r="EV25" s="258">
        <v>0</v>
      </c>
      <c r="EW25" s="258">
        <v>0</v>
      </c>
      <c r="EX25" s="258">
        <v>0</v>
      </c>
      <c r="EY25" s="258">
        <v>0</v>
      </c>
      <c r="EZ25" s="258">
        <v>0</v>
      </c>
      <c r="FA25" s="258">
        <v>458.70771952223271</v>
      </c>
      <c r="FB25" s="258">
        <v>0</v>
      </c>
      <c r="FC25" s="258">
        <v>18.535645909831832</v>
      </c>
      <c r="FD25" s="258">
        <v>39.928256683644889</v>
      </c>
      <c r="FE25" s="258">
        <v>0</v>
      </c>
      <c r="FF25" s="258">
        <v>0</v>
      </c>
      <c r="FG25" s="258">
        <v>0</v>
      </c>
      <c r="FH25" s="301">
        <v>575.97440918034522</v>
      </c>
    </row>
    <row r="26" spans="2:164" x14ac:dyDescent="0.2">
      <c r="B26" s="218" t="s">
        <v>7</v>
      </c>
      <c r="C26" s="219">
        <v>20079</v>
      </c>
      <c r="D26" s="220">
        <v>6503</v>
      </c>
      <c r="E26" s="221">
        <v>3031</v>
      </c>
      <c r="F26" s="221">
        <v>1877</v>
      </c>
      <c r="G26" s="221">
        <v>1682</v>
      </c>
      <c r="H26" s="221">
        <v>3058</v>
      </c>
      <c r="I26" s="221">
        <v>1248</v>
      </c>
      <c r="J26" s="221">
        <v>145</v>
      </c>
      <c r="K26" s="221">
        <v>251</v>
      </c>
      <c r="L26" s="221">
        <v>1788</v>
      </c>
      <c r="M26" s="221">
        <v>664</v>
      </c>
      <c r="N26" s="221">
        <v>26</v>
      </c>
      <c r="O26" s="221">
        <v>63</v>
      </c>
      <c r="P26" s="221">
        <v>74</v>
      </c>
      <c r="Q26" s="221">
        <v>18</v>
      </c>
      <c r="R26" s="221">
        <v>764</v>
      </c>
      <c r="S26" s="221">
        <v>260</v>
      </c>
      <c r="T26" s="221">
        <v>31</v>
      </c>
      <c r="U26" s="221">
        <v>437</v>
      </c>
      <c r="V26" s="221">
        <v>27</v>
      </c>
      <c r="W26" s="223">
        <v>42026</v>
      </c>
      <c r="X26" s="208"/>
      <c r="Y26" s="218" t="s">
        <v>7</v>
      </c>
      <c r="Z26" s="219">
        <v>3457125.345436736</v>
      </c>
      <c r="AA26" s="220">
        <v>1547485.7359510565</v>
      </c>
      <c r="AB26" s="221">
        <v>805140.09766305925</v>
      </c>
      <c r="AC26" s="221">
        <v>179558.12508418766</v>
      </c>
      <c r="AD26" s="221">
        <v>171387.37233438806</v>
      </c>
      <c r="AE26" s="221">
        <v>326651.75284537533</v>
      </c>
      <c r="AF26" s="221">
        <v>119428.49324821995</v>
      </c>
      <c r="AG26" s="221">
        <v>5998.8052847060508</v>
      </c>
      <c r="AH26" s="221">
        <v>22396.686336352039</v>
      </c>
      <c r="AI26" s="221">
        <v>169835.32093705449</v>
      </c>
      <c r="AJ26" s="221">
        <v>67517.492554624347</v>
      </c>
      <c r="AK26" s="221">
        <v>690.78412598286866</v>
      </c>
      <c r="AL26" s="221">
        <v>13873.933970846194</v>
      </c>
      <c r="AM26" s="221">
        <v>2405.0263321931061</v>
      </c>
      <c r="AN26" s="221">
        <v>3622.1933944530247</v>
      </c>
      <c r="AO26" s="221">
        <v>119455.73949036653</v>
      </c>
      <c r="AP26" s="221">
        <v>55630.473111211271</v>
      </c>
      <c r="AQ26" s="221">
        <v>11803.760044641891</v>
      </c>
      <c r="AR26" s="221">
        <v>44036.932184144753</v>
      </c>
      <c r="AS26" s="221">
        <v>1871.7088585739682</v>
      </c>
      <c r="AT26" s="223">
        <v>7125915.7791881729</v>
      </c>
      <c r="AV26" s="218" t="s">
        <v>7</v>
      </c>
      <c r="AW26" s="254">
        <f>SUM(AW6:AW25)</f>
        <v>3452786.5337426849</v>
      </c>
      <c r="AX26" s="254">
        <f t="shared" ref="AX26:BP26" si="56">SUM(AX6:AX25)</f>
        <v>1544295.0568293591</v>
      </c>
      <c r="AY26" s="254">
        <f t="shared" si="56"/>
        <v>804979.21903691161</v>
      </c>
      <c r="AZ26" s="254">
        <f t="shared" si="56"/>
        <v>177907.00676519633</v>
      </c>
      <c r="BA26" s="254">
        <f t="shared" si="56"/>
        <v>171375.92665838907</v>
      </c>
      <c r="BB26" s="254">
        <f t="shared" si="56"/>
        <v>304845.1090702088</v>
      </c>
      <c r="BC26" s="254">
        <f t="shared" si="56"/>
        <v>109454.55712193728</v>
      </c>
      <c r="BD26" s="254">
        <f t="shared" si="56"/>
        <v>4540.409854758047</v>
      </c>
      <c r="BE26" s="254">
        <f t="shared" si="56"/>
        <v>18323.617972839751</v>
      </c>
      <c r="BF26" s="254">
        <f t="shared" si="56"/>
        <v>145098.02188411154</v>
      </c>
      <c r="BG26" s="254">
        <f t="shared" si="56"/>
        <v>56496.148521697309</v>
      </c>
      <c r="BH26" s="254">
        <f t="shared" si="56"/>
        <v>0</v>
      </c>
      <c r="BI26" s="254">
        <f t="shared" si="56"/>
        <v>5405.5373209676554</v>
      </c>
      <c r="BJ26" s="254">
        <f t="shared" si="56"/>
        <v>1144.9110844982565</v>
      </c>
      <c r="BK26" s="254">
        <f t="shared" si="56"/>
        <v>1893.9892469058277</v>
      </c>
      <c r="BL26" s="254">
        <f t="shared" si="56"/>
        <v>84844.733867264833</v>
      </c>
      <c r="BM26" s="254">
        <f t="shared" si="56"/>
        <v>29238.446457127731</v>
      </c>
      <c r="BN26" s="254">
        <f t="shared" si="56"/>
        <v>7188.5846002773942</v>
      </c>
      <c r="BO26" s="254">
        <f t="shared" si="56"/>
        <v>40354.544249493367</v>
      </c>
      <c r="BP26" s="254">
        <f t="shared" si="56"/>
        <v>1871.7088585739682</v>
      </c>
      <c r="BQ26" s="223">
        <f>SUM(BQ6:BQ25)</f>
        <v>6962044.0631432012</v>
      </c>
      <c r="BR26" s="214"/>
      <c r="BT26" s="286"/>
      <c r="BU26" s="303" t="s">
        <v>7</v>
      </c>
      <c r="BV26" s="304">
        <v>2283</v>
      </c>
      <c r="BW26" s="304">
        <v>638</v>
      </c>
      <c r="BX26" s="305">
        <v>277</v>
      </c>
      <c r="BY26" s="305">
        <v>6</v>
      </c>
      <c r="BZ26" s="305">
        <v>37</v>
      </c>
      <c r="CA26" s="305">
        <v>64</v>
      </c>
      <c r="CB26" s="305">
        <v>0</v>
      </c>
      <c r="CC26" s="305">
        <v>49</v>
      </c>
      <c r="CD26" s="305">
        <v>0</v>
      </c>
      <c r="CE26" s="305">
        <v>14</v>
      </c>
      <c r="CF26" s="305">
        <v>4</v>
      </c>
      <c r="CG26" s="305">
        <v>0</v>
      </c>
      <c r="CH26" s="305">
        <v>0</v>
      </c>
      <c r="CI26" s="305">
        <v>26</v>
      </c>
      <c r="CJ26" s="305">
        <v>2</v>
      </c>
      <c r="CK26" s="305">
        <v>40</v>
      </c>
      <c r="CL26" s="305">
        <v>15</v>
      </c>
      <c r="CM26" s="305">
        <v>2</v>
      </c>
      <c r="CN26" s="305">
        <v>11</v>
      </c>
      <c r="CO26" s="305">
        <v>0</v>
      </c>
      <c r="CP26" s="306">
        <v>3468</v>
      </c>
      <c r="CQ26" s="302"/>
      <c r="CR26" s="303" t="s">
        <v>7</v>
      </c>
      <c r="CS26" s="304">
        <v>317423.99424043391</v>
      </c>
      <c r="CT26" s="304">
        <v>68511.651956581016</v>
      </c>
      <c r="CU26" s="305">
        <v>78660.828493131485</v>
      </c>
      <c r="CV26" s="305">
        <v>8951.832813055009</v>
      </c>
      <c r="CW26" s="305">
        <v>1814.8013168615216</v>
      </c>
      <c r="CX26" s="305">
        <v>1460.7392060188849</v>
      </c>
      <c r="CY26" s="305">
        <v>0</v>
      </c>
      <c r="CZ26" s="305">
        <v>1248.437918977789</v>
      </c>
      <c r="DA26" s="305">
        <v>0</v>
      </c>
      <c r="DB26" s="305">
        <v>22201.854268322029</v>
      </c>
      <c r="DC26" s="305">
        <v>54.779669451858446</v>
      </c>
      <c r="DD26" s="305">
        <v>0</v>
      </c>
      <c r="DE26" s="305">
        <v>0</v>
      </c>
      <c r="DF26" s="305">
        <v>643.46733223023864</v>
      </c>
      <c r="DG26" s="305">
        <v>0</v>
      </c>
      <c r="DH26" s="305">
        <v>8537.465051140638</v>
      </c>
      <c r="DI26" s="305">
        <v>288.5961767553282</v>
      </c>
      <c r="DJ26" s="305">
        <v>8828.2946223549952</v>
      </c>
      <c r="DK26" s="305">
        <v>10507.942742101955</v>
      </c>
      <c r="DL26" s="305">
        <v>0</v>
      </c>
      <c r="DM26" s="306">
        <v>529134.68580741656</v>
      </c>
      <c r="DN26" s="302"/>
      <c r="DO26" s="302"/>
      <c r="DP26" s="303" t="s">
        <v>7</v>
      </c>
      <c r="DQ26" s="304">
        <v>3857</v>
      </c>
      <c r="DR26" s="304">
        <v>1112</v>
      </c>
      <c r="DS26" s="305">
        <v>430</v>
      </c>
      <c r="DT26" s="305">
        <v>32</v>
      </c>
      <c r="DU26" s="305">
        <v>103</v>
      </c>
      <c r="DV26" s="305">
        <v>66</v>
      </c>
      <c r="DW26" s="305">
        <v>0</v>
      </c>
      <c r="DX26" s="305">
        <v>57</v>
      </c>
      <c r="DY26" s="305">
        <v>0</v>
      </c>
      <c r="DZ26" s="305">
        <v>20</v>
      </c>
      <c r="EA26" s="305">
        <v>16</v>
      </c>
      <c r="EB26" s="305">
        <v>0</v>
      </c>
      <c r="EC26" s="305">
        <v>3</v>
      </c>
      <c r="ED26" s="305">
        <v>32</v>
      </c>
      <c r="EE26" s="305">
        <v>10</v>
      </c>
      <c r="EF26" s="305">
        <v>40</v>
      </c>
      <c r="EG26" s="305">
        <v>22</v>
      </c>
      <c r="EH26" s="305">
        <v>2</v>
      </c>
      <c r="EI26" s="305">
        <v>21</v>
      </c>
      <c r="EJ26" s="305">
        <v>0</v>
      </c>
      <c r="EK26" s="306">
        <v>5823</v>
      </c>
      <c r="EL26" s="287"/>
      <c r="EM26" s="303" t="s">
        <v>7</v>
      </c>
      <c r="EN26" s="304">
        <v>650543.37717402237</v>
      </c>
      <c r="EO26" s="304">
        <v>436835.88054626761</v>
      </c>
      <c r="EP26" s="305">
        <v>108565.81523476195</v>
      </c>
      <c r="EQ26" s="305">
        <v>16685.345320657492</v>
      </c>
      <c r="ER26" s="305">
        <v>2950.9550899093979</v>
      </c>
      <c r="ES26" s="305">
        <v>1460.7392060188849</v>
      </c>
      <c r="ET26" s="305">
        <v>0</v>
      </c>
      <c r="EU26" s="305">
        <v>1366.5091942125503</v>
      </c>
      <c r="EV26" s="305">
        <v>0</v>
      </c>
      <c r="EW26" s="305">
        <v>22238.105580303964</v>
      </c>
      <c r="EX26" s="305">
        <v>346.72285410227448</v>
      </c>
      <c r="EY26" s="305">
        <v>0</v>
      </c>
      <c r="EZ26" s="305">
        <v>2964.8271462938965</v>
      </c>
      <c r="FA26" s="305">
        <v>643.46733223023864</v>
      </c>
      <c r="FB26" s="305">
        <v>2765.1266360755149</v>
      </c>
      <c r="FC26" s="305">
        <v>8537.465051140638</v>
      </c>
      <c r="FD26" s="305">
        <v>5560.4735755069551</v>
      </c>
      <c r="FE26" s="305">
        <v>8828.2946223549952</v>
      </c>
      <c r="FF26" s="305">
        <v>10740.860773789847</v>
      </c>
      <c r="FG26" s="305">
        <v>0</v>
      </c>
      <c r="FH26" s="306">
        <v>1281033.9653376488</v>
      </c>
    </row>
    <row r="27" spans="2:164" x14ac:dyDescent="0.2">
      <c r="B27" s="214"/>
      <c r="D27" s="206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14"/>
      <c r="AA27" s="206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8"/>
      <c r="AP27" s="208"/>
      <c r="AQ27" s="208"/>
      <c r="AR27" s="208"/>
      <c r="AS27" s="208"/>
      <c r="AT27" s="208"/>
      <c r="AV27" s="214"/>
      <c r="AX27" s="206"/>
      <c r="AY27" s="208"/>
      <c r="AZ27" s="208"/>
      <c r="BA27" s="208"/>
      <c r="BB27" s="208"/>
      <c r="BC27" s="208"/>
      <c r="BD27" s="208"/>
      <c r="BE27" s="208"/>
      <c r="BF27" s="208"/>
      <c r="BG27" s="208"/>
      <c r="BH27" s="208"/>
      <c r="BI27" s="208"/>
      <c r="BJ27" s="208"/>
      <c r="BK27" s="208"/>
      <c r="BL27" s="208"/>
      <c r="BM27" s="208"/>
      <c r="BN27" s="208"/>
      <c r="BO27" s="208"/>
      <c r="BP27" s="208"/>
      <c r="BQ27" s="208"/>
      <c r="BR27" s="214"/>
      <c r="BT27" s="286"/>
      <c r="BU27" s="307"/>
      <c r="BV27" s="308"/>
      <c r="BW27" s="30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302"/>
      <c r="CR27" s="307"/>
      <c r="CS27" s="308"/>
      <c r="CT27" s="30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302"/>
      <c r="DO27" s="302"/>
      <c r="DP27" s="307"/>
      <c r="DQ27" s="308"/>
      <c r="DR27" s="30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87"/>
      <c r="EM27" s="307"/>
      <c r="EN27" s="308"/>
      <c r="EO27" s="30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</row>
    <row r="28" spans="2:164" x14ac:dyDescent="0.2">
      <c r="B28" s="214" t="s">
        <v>71</v>
      </c>
      <c r="D28" s="206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14" t="s">
        <v>71</v>
      </c>
      <c r="AA28" s="206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8"/>
      <c r="AR28" s="208"/>
      <c r="AS28" s="208"/>
      <c r="AT28" s="208"/>
      <c r="AV28" s="214" t="s">
        <v>71</v>
      </c>
      <c r="AX28" s="206"/>
      <c r="AY28" s="208"/>
      <c r="AZ28" s="208"/>
      <c r="BA28" s="208"/>
      <c r="BB28" s="208"/>
      <c r="BC28" s="208"/>
      <c r="BD28" s="208"/>
      <c r="BE28" s="208"/>
      <c r="BF28" s="208"/>
      <c r="BG28" s="208"/>
      <c r="BH28" s="208"/>
      <c r="BI28" s="208"/>
      <c r="BJ28" s="208"/>
      <c r="BK28" s="208"/>
      <c r="BL28" s="208"/>
      <c r="BM28" s="208"/>
      <c r="BN28" s="208"/>
      <c r="BO28" s="208"/>
      <c r="BP28" s="208"/>
      <c r="BQ28" s="208"/>
      <c r="BR28" s="214"/>
      <c r="BT28" s="286"/>
      <c r="BU28" s="307" t="s">
        <v>71</v>
      </c>
      <c r="BV28" s="308"/>
      <c r="BW28" s="308"/>
      <c r="BX28" s="258"/>
      <c r="BY28" s="258"/>
      <c r="BZ28" s="258"/>
      <c r="CA28" s="258"/>
      <c r="CB28" s="258"/>
      <c r="CC28" s="258"/>
      <c r="CD28" s="258"/>
      <c r="CE28" s="258"/>
      <c r="CF28" s="258"/>
      <c r="CG28" s="258"/>
      <c r="CH28" s="258"/>
      <c r="CI28" s="258"/>
      <c r="CJ28" s="258"/>
      <c r="CK28" s="258"/>
      <c r="CL28" s="258"/>
      <c r="CM28" s="258"/>
      <c r="CN28" s="258"/>
      <c r="CO28" s="258"/>
      <c r="CP28" s="258"/>
      <c r="CQ28" s="302"/>
      <c r="CR28" s="307" t="s">
        <v>71</v>
      </c>
      <c r="CS28" s="308"/>
      <c r="CT28" s="308"/>
      <c r="CU28" s="258"/>
      <c r="CV28" s="258"/>
      <c r="CW28" s="258"/>
      <c r="CX28" s="258"/>
      <c r="CY28" s="258"/>
      <c r="CZ28" s="258"/>
      <c r="DA28" s="258"/>
      <c r="DB28" s="258"/>
      <c r="DC28" s="258"/>
      <c r="DD28" s="258"/>
      <c r="DE28" s="258"/>
      <c r="DF28" s="258"/>
      <c r="DG28" s="258"/>
      <c r="DH28" s="258"/>
      <c r="DI28" s="258"/>
      <c r="DJ28" s="258"/>
      <c r="DK28" s="258"/>
      <c r="DL28" s="258"/>
      <c r="DM28" s="258"/>
      <c r="DN28" s="302"/>
      <c r="DO28" s="302"/>
      <c r="DP28" s="307" t="s">
        <v>71</v>
      </c>
      <c r="DQ28" s="308"/>
      <c r="DR28" s="308"/>
      <c r="DS28" s="258"/>
      <c r="DT28" s="258"/>
      <c r="DU28" s="258"/>
      <c r="DV28" s="258"/>
      <c r="DW28" s="258"/>
      <c r="DX28" s="258"/>
      <c r="DY28" s="258"/>
      <c r="DZ28" s="258"/>
      <c r="EA28" s="258"/>
      <c r="EB28" s="258"/>
      <c r="EC28" s="258"/>
      <c r="ED28" s="258"/>
      <c r="EE28" s="258"/>
      <c r="EF28" s="258"/>
      <c r="EG28" s="258"/>
      <c r="EH28" s="258"/>
      <c r="EI28" s="258"/>
      <c r="EJ28" s="258"/>
      <c r="EK28" s="258"/>
      <c r="EL28" s="287"/>
      <c r="EM28" s="307" t="s">
        <v>71</v>
      </c>
      <c r="EN28" s="308"/>
      <c r="EO28" s="308"/>
      <c r="EP28" s="258"/>
      <c r="EQ28" s="258"/>
      <c r="ER28" s="258"/>
      <c r="ES28" s="258"/>
      <c r="ET28" s="258"/>
      <c r="EU28" s="258"/>
      <c r="EV28" s="258"/>
      <c r="EW28" s="258"/>
      <c r="EX28" s="258"/>
      <c r="EY28" s="258"/>
      <c r="EZ28" s="258"/>
      <c r="FA28" s="258"/>
      <c r="FB28" s="258"/>
      <c r="FC28" s="258"/>
      <c r="FD28" s="258"/>
      <c r="FE28" s="258"/>
      <c r="FF28" s="258"/>
      <c r="FG28" s="258"/>
      <c r="FH28" s="258"/>
    </row>
    <row r="29" spans="2:164" ht="36" x14ac:dyDescent="0.2">
      <c r="B29" s="224" t="s">
        <v>330</v>
      </c>
      <c r="C29" s="225" t="s">
        <v>331</v>
      </c>
      <c r="D29" s="225" t="s">
        <v>332</v>
      </c>
      <c r="E29" s="225" t="s">
        <v>333</v>
      </c>
      <c r="F29" s="225" t="s">
        <v>2</v>
      </c>
      <c r="G29" s="225" t="s">
        <v>3</v>
      </c>
      <c r="H29" s="225" t="s">
        <v>334</v>
      </c>
      <c r="I29" s="225" t="s">
        <v>352</v>
      </c>
      <c r="J29" s="225" t="s">
        <v>346</v>
      </c>
      <c r="K29" s="225" t="s">
        <v>335</v>
      </c>
      <c r="L29" s="225" t="s">
        <v>336</v>
      </c>
      <c r="M29" s="225" t="s">
        <v>337</v>
      </c>
      <c r="N29" s="225" t="s">
        <v>338</v>
      </c>
      <c r="O29" s="225" t="s">
        <v>353</v>
      </c>
      <c r="P29" s="225" t="s">
        <v>347</v>
      </c>
      <c r="Q29" s="225" t="s">
        <v>339</v>
      </c>
      <c r="R29" s="225" t="s">
        <v>340</v>
      </c>
      <c r="S29" s="225" t="s">
        <v>341</v>
      </c>
      <c r="T29" s="225" t="s">
        <v>6</v>
      </c>
      <c r="U29" s="225" t="s">
        <v>342</v>
      </c>
      <c r="V29" s="225" t="s">
        <v>343</v>
      </c>
      <c r="W29" s="226" t="s">
        <v>7</v>
      </c>
      <c r="X29" s="208"/>
      <c r="Y29" s="224" t="s">
        <v>330</v>
      </c>
      <c r="Z29" s="225" t="s">
        <v>331</v>
      </c>
      <c r="AA29" s="225" t="s">
        <v>332</v>
      </c>
      <c r="AB29" s="225" t="s">
        <v>333</v>
      </c>
      <c r="AC29" s="225" t="s">
        <v>2</v>
      </c>
      <c r="AD29" s="225" t="s">
        <v>3</v>
      </c>
      <c r="AE29" s="225" t="s">
        <v>334</v>
      </c>
      <c r="AF29" s="225" t="s">
        <v>352</v>
      </c>
      <c r="AG29" s="225" t="s">
        <v>346</v>
      </c>
      <c r="AH29" s="225" t="s">
        <v>335</v>
      </c>
      <c r="AI29" s="225" t="s">
        <v>336</v>
      </c>
      <c r="AJ29" s="225" t="s">
        <v>337</v>
      </c>
      <c r="AK29" s="225" t="s">
        <v>338</v>
      </c>
      <c r="AL29" s="225" t="s">
        <v>353</v>
      </c>
      <c r="AM29" s="225" t="s">
        <v>347</v>
      </c>
      <c r="AN29" s="225" t="s">
        <v>339</v>
      </c>
      <c r="AO29" s="225" t="s">
        <v>340</v>
      </c>
      <c r="AP29" s="225" t="s">
        <v>341</v>
      </c>
      <c r="AQ29" s="225" t="s">
        <v>6</v>
      </c>
      <c r="AR29" s="225" t="s">
        <v>342</v>
      </c>
      <c r="AS29" s="225" t="s">
        <v>343</v>
      </c>
      <c r="AT29" s="226" t="s">
        <v>7</v>
      </c>
      <c r="AV29" s="224" t="s">
        <v>330</v>
      </c>
      <c r="AW29" s="225" t="s">
        <v>331</v>
      </c>
      <c r="AX29" s="225" t="s">
        <v>332</v>
      </c>
      <c r="AY29" s="225" t="s">
        <v>333</v>
      </c>
      <c r="AZ29" s="225" t="s">
        <v>2</v>
      </c>
      <c r="BA29" s="225" t="s">
        <v>3</v>
      </c>
      <c r="BB29" s="225" t="s">
        <v>334</v>
      </c>
      <c r="BC29" s="225" t="s">
        <v>350</v>
      </c>
      <c r="BD29" s="225" t="s">
        <v>346</v>
      </c>
      <c r="BE29" s="225" t="s">
        <v>335</v>
      </c>
      <c r="BF29" s="225" t="s">
        <v>336</v>
      </c>
      <c r="BG29" s="225" t="s">
        <v>337</v>
      </c>
      <c r="BH29" s="225" t="s">
        <v>338</v>
      </c>
      <c r="BI29" s="225" t="s">
        <v>349</v>
      </c>
      <c r="BJ29" s="225" t="s">
        <v>347</v>
      </c>
      <c r="BK29" s="225" t="s">
        <v>339</v>
      </c>
      <c r="BL29" s="225" t="s">
        <v>340</v>
      </c>
      <c r="BM29" s="225" t="s">
        <v>341</v>
      </c>
      <c r="BN29" s="225" t="s">
        <v>6</v>
      </c>
      <c r="BO29" s="225" t="s">
        <v>342</v>
      </c>
      <c r="BP29" s="225" t="s">
        <v>343</v>
      </c>
      <c r="BQ29" s="226" t="s">
        <v>7</v>
      </c>
      <c r="BR29" s="235"/>
      <c r="BS29" s="236"/>
      <c r="BT29" s="283"/>
      <c r="BU29" s="288" t="s">
        <v>330</v>
      </c>
      <c r="BV29" s="289" t="s">
        <v>331</v>
      </c>
      <c r="BW29" s="289" t="s">
        <v>332</v>
      </c>
      <c r="BX29" s="289" t="s">
        <v>333</v>
      </c>
      <c r="BY29" s="289" t="s">
        <v>2</v>
      </c>
      <c r="BZ29" s="289" t="s">
        <v>3</v>
      </c>
      <c r="CA29" s="289" t="s">
        <v>334</v>
      </c>
      <c r="CB29" s="289" t="s">
        <v>352</v>
      </c>
      <c r="CC29" s="289" t="s">
        <v>346</v>
      </c>
      <c r="CD29" s="289" t="s">
        <v>335</v>
      </c>
      <c r="CE29" s="289" t="s">
        <v>336</v>
      </c>
      <c r="CF29" s="289" t="s">
        <v>337</v>
      </c>
      <c r="CG29" s="289" t="s">
        <v>338</v>
      </c>
      <c r="CH29" s="289" t="s">
        <v>353</v>
      </c>
      <c r="CI29" s="289" t="s">
        <v>347</v>
      </c>
      <c r="CJ29" s="289" t="s">
        <v>339</v>
      </c>
      <c r="CK29" s="289" t="s">
        <v>340</v>
      </c>
      <c r="CL29" s="289" t="s">
        <v>341</v>
      </c>
      <c r="CM29" s="289" t="s">
        <v>6</v>
      </c>
      <c r="CN29" s="289" t="s">
        <v>342</v>
      </c>
      <c r="CO29" s="289" t="s">
        <v>343</v>
      </c>
      <c r="CP29" s="290" t="s">
        <v>7</v>
      </c>
      <c r="CQ29" s="291"/>
      <c r="CR29" s="288" t="s">
        <v>330</v>
      </c>
      <c r="CS29" s="289" t="s">
        <v>331</v>
      </c>
      <c r="CT29" s="289" t="s">
        <v>332</v>
      </c>
      <c r="CU29" s="289" t="s">
        <v>333</v>
      </c>
      <c r="CV29" s="289" t="s">
        <v>2</v>
      </c>
      <c r="CW29" s="289" t="s">
        <v>3</v>
      </c>
      <c r="CX29" s="289" t="s">
        <v>334</v>
      </c>
      <c r="CY29" s="289" t="s">
        <v>352</v>
      </c>
      <c r="CZ29" s="289" t="s">
        <v>346</v>
      </c>
      <c r="DA29" s="289" t="s">
        <v>335</v>
      </c>
      <c r="DB29" s="289" t="s">
        <v>336</v>
      </c>
      <c r="DC29" s="289" t="s">
        <v>337</v>
      </c>
      <c r="DD29" s="289" t="s">
        <v>338</v>
      </c>
      <c r="DE29" s="289" t="s">
        <v>353</v>
      </c>
      <c r="DF29" s="289" t="s">
        <v>347</v>
      </c>
      <c r="DG29" s="289" t="s">
        <v>339</v>
      </c>
      <c r="DH29" s="289" t="s">
        <v>340</v>
      </c>
      <c r="DI29" s="289" t="s">
        <v>341</v>
      </c>
      <c r="DJ29" s="289" t="s">
        <v>6</v>
      </c>
      <c r="DK29" s="289" t="s">
        <v>342</v>
      </c>
      <c r="DL29" s="289" t="s">
        <v>343</v>
      </c>
      <c r="DM29" s="290" t="s">
        <v>7</v>
      </c>
      <c r="DN29" s="302"/>
      <c r="DO29" s="291"/>
      <c r="DP29" s="288" t="s">
        <v>330</v>
      </c>
      <c r="DQ29" s="289" t="s">
        <v>331</v>
      </c>
      <c r="DR29" s="289" t="s">
        <v>332</v>
      </c>
      <c r="DS29" s="289" t="s">
        <v>333</v>
      </c>
      <c r="DT29" s="289" t="s">
        <v>2</v>
      </c>
      <c r="DU29" s="289" t="s">
        <v>3</v>
      </c>
      <c r="DV29" s="289" t="s">
        <v>334</v>
      </c>
      <c r="DW29" s="289" t="s">
        <v>352</v>
      </c>
      <c r="DX29" s="289" t="s">
        <v>346</v>
      </c>
      <c r="DY29" s="289" t="s">
        <v>335</v>
      </c>
      <c r="DZ29" s="289" t="s">
        <v>336</v>
      </c>
      <c r="EA29" s="289" t="s">
        <v>337</v>
      </c>
      <c r="EB29" s="289" t="s">
        <v>338</v>
      </c>
      <c r="EC29" s="289" t="s">
        <v>353</v>
      </c>
      <c r="ED29" s="289" t="s">
        <v>347</v>
      </c>
      <c r="EE29" s="289" t="s">
        <v>339</v>
      </c>
      <c r="EF29" s="289" t="s">
        <v>340</v>
      </c>
      <c r="EG29" s="289" t="s">
        <v>341</v>
      </c>
      <c r="EH29" s="289" t="s">
        <v>6</v>
      </c>
      <c r="EI29" s="289" t="s">
        <v>342</v>
      </c>
      <c r="EJ29" s="289" t="s">
        <v>343</v>
      </c>
      <c r="EK29" s="290" t="s">
        <v>7</v>
      </c>
      <c r="EL29" s="287"/>
      <c r="EM29" s="288" t="s">
        <v>330</v>
      </c>
      <c r="EN29" s="289" t="s">
        <v>331</v>
      </c>
      <c r="EO29" s="289" t="s">
        <v>332</v>
      </c>
      <c r="EP29" s="289" t="s">
        <v>333</v>
      </c>
      <c r="EQ29" s="289" t="s">
        <v>2</v>
      </c>
      <c r="ER29" s="289" t="s">
        <v>3</v>
      </c>
      <c r="ES29" s="289" t="s">
        <v>334</v>
      </c>
      <c r="ET29" s="289" t="s">
        <v>352</v>
      </c>
      <c r="EU29" s="289" t="s">
        <v>346</v>
      </c>
      <c r="EV29" s="289" t="s">
        <v>335</v>
      </c>
      <c r="EW29" s="289" t="s">
        <v>336</v>
      </c>
      <c r="EX29" s="289" t="s">
        <v>337</v>
      </c>
      <c r="EY29" s="289" t="s">
        <v>338</v>
      </c>
      <c r="EZ29" s="289" t="s">
        <v>353</v>
      </c>
      <c r="FA29" s="289" t="s">
        <v>347</v>
      </c>
      <c r="FB29" s="289" t="s">
        <v>339</v>
      </c>
      <c r="FC29" s="289" t="s">
        <v>340</v>
      </c>
      <c r="FD29" s="289" t="s">
        <v>341</v>
      </c>
      <c r="FE29" s="289" t="s">
        <v>6</v>
      </c>
      <c r="FF29" s="289" t="s">
        <v>342</v>
      </c>
      <c r="FG29" s="289" t="s">
        <v>343</v>
      </c>
      <c r="FH29" s="290" t="s">
        <v>7</v>
      </c>
    </row>
    <row r="30" spans="2:164" x14ac:dyDescent="0.2">
      <c r="B30" s="233" t="s">
        <v>331</v>
      </c>
      <c r="C30" s="227">
        <v>146</v>
      </c>
      <c r="D30" s="227">
        <v>8</v>
      </c>
      <c r="E30" s="227">
        <v>0</v>
      </c>
      <c r="F30" s="227">
        <v>0</v>
      </c>
      <c r="G30" s="227">
        <v>1</v>
      </c>
      <c r="H30" s="227">
        <v>1</v>
      </c>
      <c r="I30" s="227">
        <v>1</v>
      </c>
      <c r="J30" s="227">
        <v>0</v>
      </c>
      <c r="K30" s="227">
        <v>0</v>
      </c>
      <c r="L30" s="227">
        <v>0</v>
      </c>
      <c r="M30" s="227">
        <v>0</v>
      </c>
      <c r="N30" s="227">
        <v>0</v>
      </c>
      <c r="O30" s="227">
        <v>0</v>
      </c>
      <c r="P30" s="227">
        <v>0</v>
      </c>
      <c r="Q30" s="227">
        <v>0</v>
      </c>
      <c r="R30" s="227">
        <v>1</v>
      </c>
      <c r="S30" s="227">
        <v>0</v>
      </c>
      <c r="T30" s="227">
        <v>0</v>
      </c>
      <c r="U30" s="227">
        <v>0</v>
      </c>
      <c r="V30" s="227">
        <v>0</v>
      </c>
      <c r="W30" s="230">
        <v>158</v>
      </c>
      <c r="X30" s="208"/>
      <c r="Y30" s="233" t="s">
        <v>331</v>
      </c>
      <c r="Z30" s="227">
        <v>28830.563190684163</v>
      </c>
      <c r="AA30" s="227">
        <v>121.75270800508827</v>
      </c>
      <c r="AB30" s="227">
        <v>0</v>
      </c>
      <c r="AC30" s="251">
        <v>0</v>
      </c>
      <c r="AD30" s="251">
        <v>115.15010624291821</v>
      </c>
      <c r="AE30" s="251">
        <v>20.254310045386848</v>
      </c>
      <c r="AF30" s="251">
        <v>13.296505174432518</v>
      </c>
      <c r="AG30" s="251">
        <v>0</v>
      </c>
      <c r="AH30" s="251">
        <v>0</v>
      </c>
      <c r="AI30" s="251">
        <v>0</v>
      </c>
      <c r="AJ30" s="251">
        <v>0</v>
      </c>
      <c r="AK30" s="251">
        <v>0</v>
      </c>
      <c r="AL30" s="251">
        <v>0</v>
      </c>
      <c r="AM30" s="251">
        <v>0</v>
      </c>
      <c r="AN30" s="251">
        <v>0</v>
      </c>
      <c r="AO30" s="251">
        <v>19.654518467001694</v>
      </c>
      <c r="AP30" s="251">
        <v>0</v>
      </c>
      <c r="AQ30" s="251">
        <v>0</v>
      </c>
      <c r="AR30" s="251">
        <v>0</v>
      </c>
      <c r="AS30" s="251">
        <v>0</v>
      </c>
      <c r="AT30" s="230">
        <v>29120.671338618991</v>
      </c>
      <c r="AV30" s="233" t="s">
        <v>331</v>
      </c>
      <c r="AW30" s="227">
        <f>Z30</f>
        <v>28830.563190684163</v>
      </c>
      <c r="AX30" s="227">
        <f>AA30</f>
        <v>121.75270800508827</v>
      </c>
      <c r="AY30" s="227">
        <f>AB30</f>
        <v>0</v>
      </c>
      <c r="AZ30" s="232">
        <v>0</v>
      </c>
      <c r="BA30" s="256">
        <v>0</v>
      </c>
      <c r="BB30" s="232">
        <v>0</v>
      </c>
      <c r="BC30" s="232">
        <v>0</v>
      </c>
      <c r="BD30" s="232">
        <v>0</v>
      </c>
      <c r="BE30" s="232">
        <v>0</v>
      </c>
      <c r="BF30" s="232">
        <v>0</v>
      </c>
      <c r="BG30" s="232">
        <v>0</v>
      </c>
      <c r="BH30" s="232">
        <v>0</v>
      </c>
      <c r="BI30" s="232">
        <v>0</v>
      </c>
      <c r="BJ30" s="232">
        <v>0</v>
      </c>
      <c r="BK30" s="232">
        <v>0</v>
      </c>
      <c r="BL30" s="232">
        <v>0</v>
      </c>
      <c r="BM30" s="232">
        <v>0</v>
      </c>
      <c r="BN30" s="232">
        <v>0</v>
      </c>
      <c r="BO30" s="232">
        <v>0</v>
      </c>
      <c r="BP30" s="251">
        <v>0</v>
      </c>
      <c r="BQ30" s="230">
        <f t="shared" ref="BQ30:BQ50" si="57">SUM(AW30:BP30)</f>
        <v>28952.315898689252</v>
      </c>
      <c r="BR30" s="237"/>
      <c r="BS30" s="227"/>
      <c r="BT30" s="284"/>
      <c r="BU30" s="292" t="s">
        <v>331</v>
      </c>
      <c r="BV30" s="293">
        <v>6</v>
      </c>
      <c r="BW30" s="293">
        <v>0</v>
      </c>
      <c r="BX30" s="293">
        <v>0</v>
      </c>
      <c r="BY30" s="293">
        <v>0</v>
      </c>
      <c r="BZ30" s="293">
        <v>0</v>
      </c>
      <c r="CA30" s="293">
        <v>0</v>
      </c>
      <c r="CB30" s="293">
        <v>0</v>
      </c>
      <c r="CC30" s="293">
        <v>0</v>
      </c>
      <c r="CD30" s="293">
        <v>0</v>
      </c>
      <c r="CE30" s="293">
        <v>0</v>
      </c>
      <c r="CF30" s="293">
        <v>0</v>
      </c>
      <c r="CG30" s="293">
        <v>0</v>
      </c>
      <c r="CH30" s="293">
        <v>0</v>
      </c>
      <c r="CI30" s="293">
        <v>0</v>
      </c>
      <c r="CJ30" s="293">
        <v>0</v>
      </c>
      <c r="CK30" s="293">
        <v>1</v>
      </c>
      <c r="CL30" s="293">
        <v>0</v>
      </c>
      <c r="CM30" s="293">
        <v>0</v>
      </c>
      <c r="CN30" s="293">
        <v>0</v>
      </c>
      <c r="CO30" s="293">
        <v>0</v>
      </c>
      <c r="CP30" s="294">
        <v>7</v>
      </c>
      <c r="CQ30" s="295"/>
      <c r="CR30" s="292" t="s">
        <v>331</v>
      </c>
      <c r="CS30" s="293">
        <v>86.451674327461632</v>
      </c>
      <c r="CT30" s="293">
        <v>0</v>
      </c>
      <c r="CU30" s="293">
        <v>0</v>
      </c>
      <c r="CV30" s="293">
        <v>0</v>
      </c>
      <c r="CW30" s="293">
        <v>0</v>
      </c>
      <c r="CX30" s="293">
        <v>0</v>
      </c>
      <c r="CY30" s="293">
        <v>0</v>
      </c>
      <c r="CZ30" s="293">
        <v>0</v>
      </c>
      <c r="DA30" s="293">
        <v>0</v>
      </c>
      <c r="DB30" s="293">
        <v>0</v>
      </c>
      <c r="DC30" s="293">
        <v>0</v>
      </c>
      <c r="DD30" s="293">
        <v>0</v>
      </c>
      <c r="DE30" s="293">
        <v>0</v>
      </c>
      <c r="DF30" s="293">
        <v>0</v>
      </c>
      <c r="DG30" s="293">
        <v>0</v>
      </c>
      <c r="DH30" s="293">
        <v>19.654518467001694</v>
      </c>
      <c r="DI30" s="293">
        <v>0</v>
      </c>
      <c r="DJ30" s="293">
        <v>0</v>
      </c>
      <c r="DK30" s="293">
        <v>0</v>
      </c>
      <c r="DL30" s="293">
        <v>0</v>
      </c>
      <c r="DM30" s="294">
        <v>106.10619279446333</v>
      </c>
      <c r="DN30" s="291"/>
      <c r="DO30" s="295"/>
      <c r="DP30" s="292" t="s">
        <v>331</v>
      </c>
      <c r="DQ30" s="293">
        <v>25</v>
      </c>
      <c r="DR30" s="293">
        <v>2</v>
      </c>
      <c r="DS30" s="293">
        <v>0</v>
      </c>
      <c r="DT30" s="293">
        <v>0</v>
      </c>
      <c r="DU30" s="293">
        <v>0</v>
      </c>
      <c r="DV30" s="293">
        <v>0</v>
      </c>
      <c r="DW30" s="293">
        <v>0</v>
      </c>
      <c r="DX30" s="293">
        <v>0</v>
      </c>
      <c r="DY30" s="293">
        <v>0</v>
      </c>
      <c r="DZ30" s="293">
        <v>0</v>
      </c>
      <c r="EA30" s="293">
        <v>0</v>
      </c>
      <c r="EB30" s="293">
        <v>0</v>
      </c>
      <c r="EC30" s="293">
        <v>0</v>
      </c>
      <c r="ED30" s="293">
        <v>0</v>
      </c>
      <c r="EE30" s="293">
        <v>0</v>
      </c>
      <c r="EF30" s="293">
        <v>1</v>
      </c>
      <c r="EG30" s="293">
        <v>0</v>
      </c>
      <c r="EH30" s="293">
        <v>0</v>
      </c>
      <c r="EI30" s="293">
        <v>0</v>
      </c>
      <c r="EJ30" s="293">
        <v>0</v>
      </c>
      <c r="EK30" s="294">
        <v>28</v>
      </c>
      <c r="EL30" s="287"/>
      <c r="EM30" s="292" t="s">
        <v>331</v>
      </c>
      <c r="EN30" s="293">
        <v>585.60557163413614</v>
      </c>
      <c r="EO30" s="293">
        <v>59.1395397519996</v>
      </c>
      <c r="EP30" s="293">
        <v>0</v>
      </c>
      <c r="EQ30" s="293">
        <v>0</v>
      </c>
      <c r="ER30" s="293">
        <v>0</v>
      </c>
      <c r="ES30" s="293">
        <v>0</v>
      </c>
      <c r="ET30" s="293">
        <v>0</v>
      </c>
      <c r="EU30" s="293">
        <v>0</v>
      </c>
      <c r="EV30" s="293">
        <v>0</v>
      </c>
      <c r="EW30" s="293">
        <v>0</v>
      </c>
      <c r="EX30" s="293">
        <v>0</v>
      </c>
      <c r="EY30" s="293">
        <v>0</v>
      </c>
      <c r="EZ30" s="293">
        <v>0</v>
      </c>
      <c r="FA30" s="293">
        <v>0</v>
      </c>
      <c r="FB30" s="293">
        <v>0</v>
      </c>
      <c r="FC30" s="293">
        <v>19.654518467001694</v>
      </c>
      <c r="FD30" s="293">
        <v>0</v>
      </c>
      <c r="FE30" s="293">
        <v>0</v>
      </c>
      <c r="FF30" s="293">
        <v>0</v>
      </c>
      <c r="FG30" s="293">
        <v>0</v>
      </c>
      <c r="FH30" s="294">
        <v>664.39962985313741</v>
      </c>
    </row>
    <row r="31" spans="2:164" x14ac:dyDescent="0.2">
      <c r="B31" s="215" t="s">
        <v>332</v>
      </c>
      <c r="C31" s="227">
        <v>0</v>
      </c>
      <c r="D31" s="227">
        <v>64</v>
      </c>
      <c r="E31" s="227">
        <v>3</v>
      </c>
      <c r="F31" s="227">
        <v>0</v>
      </c>
      <c r="G31" s="227">
        <v>0</v>
      </c>
      <c r="H31" s="227">
        <v>5</v>
      </c>
      <c r="I31" s="227">
        <v>0</v>
      </c>
      <c r="J31" s="227">
        <v>0</v>
      </c>
      <c r="K31" s="227">
        <v>1</v>
      </c>
      <c r="L31" s="227">
        <v>3</v>
      </c>
      <c r="M31" s="227">
        <v>0</v>
      </c>
      <c r="N31" s="227">
        <v>1</v>
      </c>
      <c r="O31" s="227">
        <v>0</v>
      </c>
      <c r="P31" s="227">
        <v>0</v>
      </c>
      <c r="Q31" s="227">
        <v>0</v>
      </c>
      <c r="R31" s="227">
        <v>0</v>
      </c>
      <c r="S31" s="227">
        <v>1</v>
      </c>
      <c r="T31" s="227">
        <v>0</v>
      </c>
      <c r="U31" s="227">
        <v>1</v>
      </c>
      <c r="V31" s="227">
        <v>0</v>
      </c>
      <c r="W31" s="230">
        <v>79</v>
      </c>
      <c r="X31" s="208"/>
      <c r="Y31" s="215" t="s">
        <v>332</v>
      </c>
      <c r="Z31" s="227">
        <v>0</v>
      </c>
      <c r="AA31" s="227">
        <v>1833.621424359535</v>
      </c>
      <c r="AB31" s="227">
        <v>15.883164000962729</v>
      </c>
      <c r="AC31" s="227">
        <v>0</v>
      </c>
      <c r="AD31" s="227">
        <v>0</v>
      </c>
      <c r="AE31" s="227">
        <v>61.09945131619466</v>
      </c>
      <c r="AF31" s="227">
        <v>0</v>
      </c>
      <c r="AG31" s="227">
        <v>0</v>
      </c>
      <c r="AH31" s="227">
        <v>0</v>
      </c>
      <c r="AI31" s="227">
        <v>1195.2543229967998</v>
      </c>
      <c r="AJ31" s="227">
        <v>0</v>
      </c>
      <c r="AK31" s="251">
        <v>1215.2625811354374</v>
      </c>
      <c r="AL31" s="251">
        <v>0</v>
      </c>
      <c r="AM31" s="251">
        <v>0</v>
      </c>
      <c r="AN31" s="251">
        <v>0</v>
      </c>
      <c r="AO31" s="251">
        <v>0</v>
      </c>
      <c r="AP31" s="251">
        <v>27.169389237050208</v>
      </c>
      <c r="AQ31" s="227">
        <v>0</v>
      </c>
      <c r="AR31" s="227">
        <v>0</v>
      </c>
      <c r="AS31" s="227">
        <v>0</v>
      </c>
      <c r="AT31" s="230">
        <v>4348.2903330459803</v>
      </c>
      <c r="AV31" s="215" t="s">
        <v>332</v>
      </c>
      <c r="AW31" s="227">
        <f t="shared" ref="AW31:AX33" si="58">Z31</f>
        <v>0</v>
      </c>
      <c r="AX31" s="227">
        <f t="shared" si="58"/>
        <v>1833.621424359535</v>
      </c>
      <c r="AY31" s="227">
        <f t="shared" ref="AY31:AY33" si="59">AB31</f>
        <v>15.883164000962729</v>
      </c>
      <c r="AZ31" s="227">
        <f>AC31</f>
        <v>0</v>
      </c>
      <c r="BA31" s="227">
        <f t="shared" ref="BA31:BA49" si="60">AD31</f>
        <v>0</v>
      </c>
      <c r="BB31" s="227">
        <f t="shared" ref="BB31:BB33" si="61">AE31</f>
        <v>61.09945131619466</v>
      </c>
      <c r="BC31" s="227">
        <f t="shared" ref="BC31:BC33" si="62">AF31</f>
        <v>0</v>
      </c>
      <c r="BD31" s="227">
        <f t="shared" ref="BD31:BD33" si="63">AG31</f>
        <v>0</v>
      </c>
      <c r="BE31" s="227">
        <f t="shared" ref="BE31:BE33" si="64">AH31</f>
        <v>0</v>
      </c>
      <c r="BF31" s="227">
        <f t="shared" ref="BF31:BF33" si="65">AI31</f>
        <v>1195.2543229967998</v>
      </c>
      <c r="BG31" s="227">
        <f t="shared" ref="BG31:BG33" si="66">AJ31</f>
        <v>0</v>
      </c>
      <c r="BH31" s="232">
        <v>0</v>
      </c>
      <c r="BI31" s="251">
        <v>0</v>
      </c>
      <c r="BJ31" s="232">
        <v>0</v>
      </c>
      <c r="BK31" s="251">
        <v>0</v>
      </c>
      <c r="BL31" s="232">
        <v>0</v>
      </c>
      <c r="BM31" s="232">
        <v>0</v>
      </c>
      <c r="BN31" s="227">
        <f>AQ31</f>
        <v>0</v>
      </c>
      <c r="BO31" s="227">
        <f t="shared" ref="BO31:BO33" si="67">AR31</f>
        <v>0</v>
      </c>
      <c r="BP31" s="227">
        <f t="shared" ref="BP31:BP33" si="68">AS31</f>
        <v>0</v>
      </c>
      <c r="BQ31" s="230">
        <f t="shared" si="57"/>
        <v>3105.8583626734926</v>
      </c>
      <c r="BR31" s="237"/>
      <c r="BS31" s="227"/>
      <c r="BT31" s="284"/>
      <c r="BU31" s="296" t="s">
        <v>332</v>
      </c>
      <c r="BV31" s="293">
        <v>0</v>
      </c>
      <c r="BW31" s="293">
        <v>35</v>
      </c>
      <c r="BX31" s="293">
        <v>0</v>
      </c>
      <c r="BY31" s="293">
        <v>0</v>
      </c>
      <c r="BZ31" s="293">
        <v>0</v>
      </c>
      <c r="CA31" s="293">
        <v>0</v>
      </c>
      <c r="CB31" s="293">
        <v>0</v>
      </c>
      <c r="CC31" s="293">
        <v>0</v>
      </c>
      <c r="CD31" s="293">
        <v>0</v>
      </c>
      <c r="CE31" s="293">
        <v>0</v>
      </c>
      <c r="CF31" s="293">
        <v>0</v>
      </c>
      <c r="CG31" s="293">
        <v>0</v>
      </c>
      <c r="CH31" s="293">
        <v>0</v>
      </c>
      <c r="CI31" s="293">
        <v>0</v>
      </c>
      <c r="CJ31" s="293">
        <v>0</v>
      </c>
      <c r="CK31" s="293">
        <v>0</v>
      </c>
      <c r="CL31" s="293">
        <v>0</v>
      </c>
      <c r="CM31" s="293">
        <v>0</v>
      </c>
      <c r="CN31" s="293">
        <v>0</v>
      </c>
      <c r="CO31" s="293">
        <v>0</v>
      </c>
      <c r="CP31" s="294">
        <v>35</v>
      </c>
      <c r="CQ31" s="295"/>
      <c r="CR31" s="296" t="s">
        <v>332</v>
      </c>
      <c r="CS31" s="293">
        <v>0</v>
      </c>
      <c r="CT31" s="293">
        <v>251.49502065155474</v>
      </c>
      <c r="CU31" s="293">
        <v>0</v>
      </c>
      <c r="CV31" s="293">
        <v>0</v>
      </c>
      <c r="CW31" s="293">
        <v>0</v>
      </c>
      <c r="CX31" s="293">
        <v>0</v>
      </c>
      <c r="CY31" s="293">
        <v>0</v>
      </c>
      <c r="CZ31" s="293">
        <v>0</v>
      </c>
      <c r="DA31" s="293">
        <v>0</v>
      </c>
      <c r="DB31" s="293">
        <v>0</v>
      </c>
      <c r="DC31" s="293">
        <v>0</v>
      </c>
      <c r="DD31" s="293">
        <v>0</v>
      </c>
      <c r="DE31" s="293">
        <v>0</v>
      </c>
      <c r="DF31" s="293">
        <v>0</v>
      </c>
      <c r="DG31" s="293">
        <v>0</v>
      </c>
      <c r="DH31" s="293">
        <v>0</v>
      </c>
      <c r="DI31" s="293">
        <v>0</v>
      </c>
      <c r="DJ31" s="293">
        <v>0</v>
      </c>
      <c r="DK31" s="293">
        <v>0</v>
      </c>
      <c r="DL31" s="293">
        <v>0</v>
      </c>
      <c r="DM31" s="294">
        <v>251.49502065155474</v>
      </c>
      <c r="DN31" s="295"/>
      <c r="DO31" s="295"/>
      <c r="DP31" s="296" t="s">
        <v>332</v>
      </c>
      <c r="DQ31" s="293">
        <v>0</v>
      </c>
      <c r="DR31" s="293">
        <v>36</v>
      </c>
      <c r="DS31" s="293">
        <v>0</v>
      </c>
      <c r="DT31" s="293">
        <v>0</v>
      </c>
      <c r="DU31" s="293">
        <v>0</v>
      </c>
      <c r="DV31" s="293">
        <v>0</v>
      </c>
      <c r="DW31" s="293">
        <v>0</v>
      </c>
      <c r="DX31" s="293">
        <v>0</v>
      </c>
      <c r="DY31" s="293">
        <v>0</v>
      </c>
      <c r="DZ31" s="293">
        <v>0</v>
      </c>
      <c r="EA31" s="293">
        <v>0</v>
      </c>
      <c r="EB31" s="293">
        <v>0</v>
      </c>
      <c r="EC31" s="293">
        <v>0</v>
      </c>
      <c r="ED31" s="293">
        <v>0</v>
      </c>
      <c r="EE31" s="293">
        <v>0</v>
      </c>
      <c r="EF31" s="293">
        <v>0</v>
      </c>
      <c r="EG31" s="293">
        <v>0</v>
      </c>
      <c r="EH31" s="293">
        <v>0</v>
      </c>
      <c r="EI31" s="293">
        <v>0</v>
      </c>
      <c r="EJ31" s="293">
        <v>0</v>
      </c>
      <c r="EK31" s="294">
        <v>36</v>
      </c>
      <c r="EL31" s="287"/>
      <c r="EM31" s="296" t="s">
        <v>332</v>
      </c>
      <c r="EN31" s="293">
        <v>0</v>
      </c>
      <c r="EO31" s="293">
        <v>281.06479052755452</v>
      </c>
      <c r="EP31" s="293">
        <v>0</v>
      </c>
      <c r="EQ31" s="293">
        <v>0</v>
      </c>
      <c r="ER31" s="293">
        <v>0</v>
      </c>
      <c r="ES31" s="293">
        <v>0</v>
      </c>
      <c r="ET31" s="293">
        <v>0</v>
      </c>
      <c r="EU31" s="293">
        <v>0</v>
      </c>
      <c r="EV31" s="293">
        <v>0</v>
      </c>
      <c r="EW31" s="293">
        <v>0</v>
      </c>
      <c r="EX31" s="293">
        <v>0</v>
      </c>
      <c r="EY31" s="293">
        <v>0</v>
      </c>
      <c r="EZ31" s="293">
        <v>0</v>
      </c>
      <c r="FA31" s="293">
        <v>0</v>
      </c>
      <c r="FB31" s="293">
        <v>0</v>
      </c>
      <c r="FC31" s="293">
        <v>0</v>
      </c>
      <c r="FD31" s="293">
        <v>0</v>
      </c>
      <c r="FE31" s="293">
        <v>0</v>
      </c>
      <c r="FF31" s="293">
        <v>0</v>
      </c>
      <c r="FG31" s="293">
        <v>0</v>
      </c>
      <c r="FH31" s="294">
        <v>281.06479052755452</v>
      </c>
    </row>
    <row r="32" spans="2:164" ht="24" x14ac:dyDescent="0.2">
      <c r="B32" s="216" t="s">
        <v>333</v>
      </c>
      <c r="C32" s="227">
        <v>0</v>
      </c>
      <c r="D32" s="228">
        <v>0</v>
      </c>
      <c r="E32" s="229">
        <v>13</v>
      </c>
      <c r="F32" s="229">
        <v>0</v>
      </c>
      <c r="G32" s="229">
        <v>0</v>
      </c>
      <c r="H32" s="229">
        <v>2</v>
      </c>
      <c r="I32" s="229">
        <v>0</v>
      </c>
      <c r="J32" s="229">
        <v>0</v>
      </c>
      <c r="K32" s="229">
        <v>0</v>
      </c>
      <c r="L32" s="229">
        <v>2</v>
      </c>
      <c r="M32" s="229">
        <v>1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1</v>
      </c>
      <c r="T32" s="229">
        <v>0</v>
      </c>
      <c r="U32" s="229">
        <v>1</v>
      </c>
      <c r="V32" s="229">
        <v>0</v>
      </c>
      <c r="W32" s="231">
        <v>20</v>
      </c>
      <c r="X32" s="209"/>
      <c r="Y32" s="216" t="s">
        <v>333</v>
      </c>
      <c r="Z32" s="227">
        <v>0</v>
      </c>
      <c r="AA32" s="228">
        <v>0</v>
      </c>
      <c r="AB32" s="229">
        <v>6600.9641247387653</v>
      </c>
      <c r="AC32" s="229">
        <v>0</v>
      </c>
      <c r="AD32" s="229">
        <v>0</v>
      </c>
      <c r="AE32" s="229">
        <v>17.240173736277939</v>
      </c>
      <c r="AF32" s="229">
        <v>0</v>
      </c>
      <c r="AG32" s="229">
        <v>0</v>
      </c>
      <c r="AH32" s="229">
        <v>0</v>
      </c>
      <c r="AI32" s="229">
        <v>12.533937635433501</v>
      </c>
      <c r="AJ32" s="229">
        <v>563.43007949236267</v>
      </c>
      <c r="AK32" s="253">
        <v>0</v>
      </c>
      <c r="AL32" s="253">
        <v>0</v>
      </c>
      <c r="AM32" s="253">
        <v>0</v>
      </c>
      <c r="AN32" s="253">
        <v>0</v>
      </c>
      <c r="AO32" s="253">
        <v>0</v>
      </c>
      <c r="AP32" s="253">
        <v>0</v>
      </c>
      <c r="AQ32" s="229">
        <v>0</v>
      </c>
      <c r="AR32" s="229">
        <v>0</v>
      </c>
      <c r="AS32" s="229">
        <v>0</v>
      </c>
      <c r="AT32" s="231">
        <v>7194.1683156028394</v>
      </c>
      <c r="AV32" s="216" t="s">
        <v>333</v>
      </c>
      <c r="AW32" s="227">
        <f t="shared" si="58"/>
        <v>0</v>
      </c>
      <c r="AX32" s="227">
        <f t="shared" si="58"/>
        <v>0</v>
      </c>
      <c r="AY32" s="227">
        <f t="shared" si="59"/>
        <v>6600.9641247387653</v>
      </c>
      <c r="AZ32" s="227">
        <f t="shared" ref="AZ32:AZ33" si="69">AC32</f>
        <v>0</v>
      </c>
      <c r="BA32" s="227">
        <f t="shared" si="60"/>
        <v>0</v>
      </c>
      <c r="BB32" s="227">
        <f t="shared" si="61"/>
        <v>17.240173736277939</v>
      </c>
      <c r="BC32" s="227">
        <f t="shared" si="62"/>
        <v>0</v>
      </c>
      <c r="BD32" s="227">
        <f t="shared" si="63"/>
        <v>0</v>
      </c>
      <c r="BE32" s="227">
        <f t="shared" si="64"/>
        <v>0</v>
      </c>
      <c r="BF32" s="227">
        <f t="shared" si="65"/>
        <v>12.533937635433501</v>
      </c>
      <c r="BG32" s="227">
        <f t="shared" si="66"/>
        <v>563.43007949236267</v>
      </c>
      <c r="BH32" s="253">
        <v>0</v>
      </c>
      <c r="BI32" s="257">
        <v>0</v>
      </c>
      <c r="BJ32" s="257">
        <v>0</v>
      </c>
      <c r="BK32" s="253">
        <v>0</v>
      </c>
      <c r="BL32" s="257">
        <v>0</v>
      </c>
      <c r="BM32" s="257">
        <v>0</v>
      </c>
      <c r="BN32" s="227">
        <f t="shared" ref="BN32:BN33" si="70">AQ32</f>
        <v>0</v>
      </c>
      <c r="BO32" s="227">
        <f t="shared" si="67"/>
        <v>0</v>
      </c>
      <c r="BP32" s="227">
        <f t="shared" si="68"/>
        <v>0</v>
      </c>
      <c r="BQ32" s="230">
        <f t="shared" si="57"/>
        <v>7194.1683156028394</v>
      </c>
      <c r="BR32" s="238"/>
      <c r="BS32" s="227"/>
      <c r="BT32" s="285"/>
      <c r="BU32" s="297" t="s">
        <v>333</v>
      </c>
      <c r="BV32" s="293">
        <v>0</v>
      </c>
      <c r="BW32" s="293">
        <v>0</v>
      </c>
      <c r="BX32" s="298">
        <v>0</v>
      </c>
      <c r="BY32" s="298">
        <v>0</v>
      </c>
      <c r="BZ32" s="298">
        <v>0</v>
      </c>
      <c r="CA32" s="298">
        <v>0</v>
      </c>
      <c r="CB32" s="298">
        <v>0</v>
      </c>
      <c r="CC32" s="298">
        <v>0</v>
      </c>
      <c r="CD32" s="298">
        <v>0</v>
      </c>
      <c r="CE32" s="298">
        <v>0</v>
      </c>
      <c r="CF32" s="298">
        <v>0</v>
      </c>
      <c r="CG32" s="298">
        <v>0</v>
      </c>
      <c r="CH32" s="298">
        <v>0</v>
      </c>
      <c r="CI32" s="298">
        <v>0</v>
      </c>
      <c r="CJ32" s="298">
        <v>0</v>
      </c>
      <c r="CK32" s="298">
        <v>0</v>
      </c>
      <c r="CL32" s="298">
        <v>0</v>
      </c>
      <c r="CM32" s="298">
        <v>0</v>
      </c>
      <c r="CN32" s="298">
        <v>0</v>
      </c>
      <c r="CO32" s="298">
        <v>0</v>
      </c>
      <c r="CP32" s="299">
        <v>0</v>
      </c>
      <c r="CQ32" s="291"/>
      <c r="CR32" s="297" t="s">
        <v>333</v>
      </c>
      <c r="CS32" s="293">
        <v>0</v>
      </c>
      <c r="CT32" s="293">
        <v>0</v>
      </c>
      <c r="CU32" s="298">
        <v>0</v>
      </c>
      <c r="CV32" s="298">
        <v>0</v>
      </c>
      <c r="CW32" s="298">
        <v>0</v>
      </c>
      <c r="CX32" s="298">
        <v>0</v>
      </c>
      <c r="CY32" s="298">
        <v>0</v>
      </c>
      <c r="CZ32" s="298">
        <v>0</v>
      </c>
      <c r="DA32" s="298">
        <v>0</v>
      </c>
      <c r="DB32" s="298">
        <v>0</v>
      </c>
      <c r="DC32" s="298">
        <v>0</v>
      </c>
      <c r="DD32" s="298">
        <v>0</v>
      </c>
      <c r="DE32" s="298">
        <v>0</v>
      </c>
      <c r="DF32" s="298">
        <v>0</v>
      </c>
      <c r="DG32" s="298">
        <v>0</v>
      </c>
      <c r="DH32" s="298">
        <v>0</v>
      </c>
      <c r="DI32" s="298">
        <v>0</v>
      </c>
      <c r="DJ32" s="298">
        <v>0</v>
      </c>
      <c r="DK32" s="298">
        <v>0</v>
      </c>
      <c r="DL32" s="298">
        <v>0</v>
      </c>
      <c r="DM32" s="299">
        <v>0</v>
      </c>
      <c r="DN32" s="295"/>
      <c r="DO32" s="291"/>
      <c r="DP32" s="297" t="s">
        <v>333</v>
      </c>
      <c r="DQ32" s="293">
        <v>0</v>
      </c>
      <c r="DR32" s="293">
        <v>0</v>
      </c>
      <c r="DS32" s="298">
        <v>0</v>
      </c>
      <c r="DT32" s="298">
        <v>0</v>
      </c>
      <c r="DU32" s="298">
        <v>0</v>
      </c>
      <c r="DV32" s="298">
        <v>0</v>
      </c>
      <c r="DW32" s="298">
        <v>0</v>
      </c>
      <c r="DX32" s="298">
        <v>0</v>
      </c>
      <c r="DY32" s="298">
        <v>0</v>
      </c>
      <c r="DZ32" s="298">
        <v>0</v>
      </c>
      <c r="EA32" s="298">
        <v>0</v>
      </c>
      <c r="EB32" s="298">
        <v>0</v>
      </c>
      <c r="EC32" s="298">
        <v>0</v>
      </c>
      <c r="ED32" s="298">
        <v>0</v>
      </c>
      <c r="EE32" s="298">
        <v>0</v>
      </c>
      <c r="EF32" s="298">
        <v>0</v>
      </c>
      <c r="EG32" s="298">
        <v>0</v>
      </c>
      <c r="EH32" s="298">
        <v>0</v>
      </c>
      <c r="EI32" s="298">
        <v>0</v>
      </c>
      <c r="EJ32" s="298">
        <v>0</v>
      </c>
      <c r="EK32" s="299">
        <v>0</v>
      </c>
      <c r="EL32" s="287"/>
      <c r="EM32" s="297" t="s">
        <v>333</v>
      </c>
      <c r="EN32" s="293">
        <v>0</v>
      </c>
      <c r="EO32" s="293">
        <v>0</v>
      </c>
      <c r="EP32" s="298">
        <v>0</v>
      </c>
      <c r="EQ32" s="298">
        <v>0</v>
      </c>
      <c r="ER32" s="298">
        <v>0</v>
      </c>
      <c r="ES32" s="298">
        <v>0</v>
      </c>
      <c r="ET32" s="298">
        <v>0</v>
      </c>
      <c r="EU32" s="298">
        <v>0</v>
      </c>
      <c r="EV32" s="298">
        <v>0</v>
      </c>
      <c r="EW32" s="298">
        <v>0</v>
      </c>
      <c r="EX32" s="298">
        <v>0</v>
      </c>
      <c r="EY32" s="298">
        <v>0</v>
      </c>
      <c r="EZ32" s="298">
        <v>0</v>
      </c>
      <c r="FA32" s="298">
        <v>0</v>
      </c>
      <c r="FB32" s="298">
        <v>0</v>
      </c>
      <c r="FC32" s="298">
        <v>0</v>
      </c>
      <c r="FD32" s="298">
        <v>0</v>
      </c>
      <c r="FE32" s="298">
        <v>0</v>
      </c>
      <c r="FF32" s="298">
        <v>0</v>
      </c>
      <c r="FG32" s="298">
        <v>0</v>
      </c>
      <c r="FH32" s="299">
        <v>0</v>
      </c>
    </row>
    <row r="33" spans="2:164" x14ac:dyDescent="0.2">
      <c r="B33" s="217" t="s">
        <v>2</v>
      </c>
      <c r="C33" s="227">
        <v>13</v>
      </c>
      <c r="D33" s="228">
        <v>8</v>
      </c>
      <c r="E33" s="208">
        <v>4</v>
      </c>
      <c r="F33" s="208">
        <v>98</v>
      </c>
      <c r="G33" s="208">
        <v>8</v>
      </c>
      <c r="H33" s="208">
        <v>45</v>
      </c>
      <c r="I33" s="208">
        <v>18</v>
      </c>
      <c r="J33" s="208">
        <v>0</v>
      </c>
      <c r="K33" s="208">
        <v>0</v>
      </c>
      <c r="L33" s="208">
        <v>7</v>
      </c>
      <c r="M33" s="208">
        <v>6</v>
      </c>
      <c r="N33" s="208">
        <v>1</v>
      </c>
      <c r="O33" s="208">
        <v>0</v>
      </c>
      <c r="P33" s="208">
        <v>0</v>
      </c>
      <c r="Q33" s="208">
        <v>0</v>
      </c>
      <c r="R33" s="208">
        <v>2</v>
      </c>
      <c r="S33" s="208">
        <v>0</v>
      </c>
      <c r="T33" s="208">
        <v>0</v>
      </c>
      <c r="U33" s="208">
        <v>0</v>
      </c>
      <c r="V33" s="208">
        <v>0</v>
      </c>
      <c r="W33" s="222">
        <v>210</v>
      </c>
      <c r="X33" s="209"/>
      <c r="Y33" s="217" t="s">
        <v>2</v>
      </c>
      <c r="Z33" s="227">
        <v>1667.5961122371189</v>
      </c>
      <c r="AA33" s="228">
        <v>774.25446936980245</v>
      </c>
      <c r="AB33" s="208">
        <v>1621.7750162223158</v>
      </c>
      <c r="AC33" s="208">
        <v>14703.287481908004</v>
      </c>
      <c r="AD33" s="258">
        <v>220.71115496497387</v>
      </c>
      <c r="AE33" s="208">
        <v>13839.215410563422</v>
      </c>
      <c r="AF33" s="208">
        <v>305.83381257908508</v>
      </c>
      <c r="AG33" s="208">
        <v>0</v>
      </c>
      <c r="AH33" s="208">
        <v>0</v>
      </c>
      <c r="AI33" s="208">
        <v>104.36599540185098</v>
      </c>
      <c r="AJ33" s="208">
        <v>1141.757656274088</v>
      </c>
      <c r="AK33" s="252">
        <v>1215.2625811354374</v>
      </c>
      <c r="AL33" s="252">
        <v>0</v>
      </c>
      <c r="AM33" s="252">
        <v>0</v>
      </c>
      <c r="AN33" s="252">
        <v>0</v>
      </c>
      <c r="AO33" s="252">
        <v>26.780902244685251</v>
      </c>
      <c r="AP33" s="252">
        <v>0</v>
      </c>
      <c r="AQ33" s="208">
        <v>0</v>
      </c>
      <c r="AR33" s="208">
        <v>0</v>
      </c>
      <c r="AS33" s="208">
        <v>0</v>
      </c>
      <c r="AT33" s="222">
        <v>35620.840592900786</v>
      </c>
      <c r="AV33" s="217" t="s">
        <v>2</v>
      </c>
      <c r="AW33" s="227">
        <f t="shared" si="58"/>
        <v>1667.5961122371189</v>
      </c>
      <c r="AX33" s="227">
        <f t="shared" si="58"/>
        <v>774.25446936980245</v>
      </c>
      <c r="AY33" s="227">
        <f t="shared" si="59"/>
        <v>1621.7750162223158</v>
      </c>
      <c r="AZ33" s="227">
        <f t="shared" si="69"/>
        <v>14703.287481908004</v>
      </c>
      <c r="BA33" s="227">
        <f t="shared" si="60"/>
        <v>220.71115496497387</v>
      </c>
      <c r="BB33" s="227">
        <f t="shared" si="61"/>
        <v>13839.215410563422</v>
      </c>
      <c r="BC33" s="227">
        <f t="shared" si="62"/>
        <v>305.83381257908508</v>
      </c>
      <c r="BD33" s="227">
        <f t="shared" si="63"/>
        <v>0</v>
      </c>
      <c r="BE33" s="227">
        <f t="shared" si="64"/>
        <v>0</v>
      </c>
      <c r="BF33" s="227">
        <f t="shared" si="65"/>
        <v>104.36599540185098</v>
      </c>
      <c r="BG33" s="227">
        <f t="shared" si="66"/>
        <v>1141.757656274088</v>
      </c>
      <c r="BH33" s="252">
        <v>0</v>
      </c>
      <c r="BI33" s="255">
        <v>0</v>
      </c>
      <c r="BJ33" s="255">
        <v>0</v>
      </c>
      <c r="BK33" s="255">
        <v>0</v>
      </c>
      <c r="BL33" s="255">
        <v>0</v>
      </c>
      <c r="BM33" s="255">
        <v>0</v>
      </c>
      <c r="BN33" s="227">
        <f t="shared" si="70"/>
        <v>0</v>
      </c>
      <c r="BO33" s="227">
        <f t="shared" si="67"/>
        <v>0</v>
      </c>
      <c r="BP33" s="227">
        <f t="shared" si="68"/>
        <v>0</v>
      </c>
      <c r="BQ33" s="230">
        <f t="shared" si="57"/>
        <v>34378.797109520659</v>
      </c>
      <c r="BR33" s="214"/>
      <c r="BS33" s="227"/>
      <c r="BT33" s="286"/>
      <c r="BU33" s="300" t="s">
        <v>2</v>
      </c>
      <c r="BV33" s="293">
        <v>0</v>
      </c>
      <c r="BW33" s="293">
        <v>0</v>
      </c>
      <c r="BX33" s="258">
        <v>0</v>
      </c>
      <c r="BY33" s="258">
        <v>0</v>
      </c>
      <c r="BZ33" s="258">
        <v>0</v>
      </c>
      <c r="CA33" s="258">
        <v>0</v>
      </c>
      <c r="CB33" s="258">
        <v>0</v>
      </c>
      <c r="CC33" s="258">
        <v>0</v>
      </c>
      <c r="CD33" s="258">
        <v>0</v>
      </c>
      <c r="CE33" s="258">
        <v>0</v>
      </c>
      <c r="CF33" s="258">
        <v>0</v>
      </c>
      <c r="CG33" s="258">
        <v>0</v>
      </c>
      <c r="CH33" s="258">
        <v>0</v>
      </c>
      <c r="CI33" s="258">
        <v>0</v>
      </c>
      <c r="CJ33" s="258">
        <v>0</v>
      </c>
      <c r="CK33" s="258">
        <v>0</v>
      </c>
      <c r="CL33" s="258">
        <v>0</v>
      </c>
      <c r="CM33" s="258">
        <v>0</v>
      </c>
      <c r="CN33" s="258">
        <v>0</v>
      </c>
      <c r="CO33" s="258">
        <v>0</v>
      </c>
      <c r="CP33" s="301">
        <v>0</v>
      </c>
      <c r="CQ33" s="302"/>
      <c r="CR33" s="300" t="s">
        <v>2</v>
      </c>
      <c r="CS33" s="293">
        <v>0</v>
      </c>
      <c r="CT33" s="293">
        <v>0</v>
      </c>
      <c r="CU33" s="258">
        <v>0</v>
      </c>
      <c r="CV33" s="258">
        <v>0</v>
      </c>
      <c r="CW33" s="258">
        <v>0</v>
      </c>
      <c r="CX33" s="258">
        <v>0</v>
      </c>
      <c r="CY33" s="258">
        <v>0</v>
      </c>
      <c r="CZ33" s="258">
        <v>0</v>
      </c>
      <c r="DA33" s="258">
        <v>0</v>
      </c>
      <c r="DB33" s="258">
        <v>0</v>
      </c>
      <c r="DC33" s="258">
        <v>0</v>
      </c>
      <c r="DD33" s="258">
        <v>0</v>
      </c>
      <c r="DE33" s="258">
        <v>0</v>
      </c>
      <c r="DF33" s="258">
        <v>0</v>
      </c>
      <c r="DG33" s="258">
        <v>0</v>
      </c>
      <c r="DH33" s="258">
        <v>0</v>
      </c>
      <c r="DI33" s="258">
        <v>0</v>
      </c>
      <c r="DJ33" s="258">
        <v>0</v>
      </c>
      <c r="DK33" s="258">
        <v>0</v>
      </c>
      <c r="DL33" s="258">
        <v>0</v>
      </c>
      <c r="DM33" s="301">
        <v>0</v>
      </c>
      <c r="DN33" s="291"/>
      <c r="DO33" s="302"/>
      <c r="DP33" s="300" t="s">
        <v>2</v>
      </c>
      <c r="DQ33" s="293">
        <v>0</v>
      </c>
      <c r="DR33" s="293">
        <v>0</v>
      </c>
      <c r="DS33" s="258">
        <v>0</v>
      </c>
      <c r="DT33" s="258">
        <v>0</v>
      </c>
      <c r="DU33" s="258">
        <v>0</v>
      </c>
      <c r="DV33" s="258">
        <v>0</v>
      </c>
      <c r="DW33" s="258">
        <v>0</v>
      </c>
      <c r="DX33" s="258">
        <v>0</v>
      </c>
      <c r="DY33" s="258">
        <v>0</v>
      </c>
      <c r="DZ33" s="258">
        <v>0</v>
      </c>
      <c r="EA33" s="258">
        <v>0</v>
      </c>
      <c r="EB33" s="258">
        <v>0</v>
      </c>
      <c r="EC33" s="258">
        <v>0</v>
      </c>
      <c r="ED33" s="258">
        <v>0</v>
      </c>
      <c r="EE33" s="258">
        <v>0</v>
      </c>
      <c r="EF33" s="258">
        <v>0</v>
      </c>
      <c r="EG33" s="258">
        <v>0</v>
      </c>
      <c r="EH33" s="258">
        <v>0</v>
      </c>
      <c r="EI33" s="258">
        <v>0</v>
      </c>
      <c r="EJ33" s="258">
        <v>0</v>
      </c>
      <c r="EK33" s="301">
        <v>0</v>
      </c>
      <c r="EL33" s="287"/>
      <c r="EM33" s="300" t="s">
        <v>2</v>
      </c>
      <c r="EN33" s="293">
        <v>0</v>
      </c>
      <c r="EO33" s="293">
        <v>0</v>
      </c>
      <c r="EP33" s="258">
        <v>0</v>
      </c>
      <c r="EQ33" s="258">
        <v>0</v>
      </c>
      <c r="ER33" s="258">
        <v>0</v>
      </c>
      <c r="ES33" s="258">
        <v>0</v>
      </c>
      <c r="ET33" s="258">
        <v>0</v>
      </c>
      <c r="EU33" s="258">
        <v>0</v>
      </c>
      <c r="EV33" s="258">
        <v>0</v>
      </c>
      <c r="EW33" s="258">
        <v>0</v>
      </c>
      <c r="EX33" s="258">
        <v>0</v>
      </c>
      <c r="EY33" s="258">
        <v>0</v>
      </c>
      <c r="EZ33" s="258">
        <v>0</v>
      </c>
      <c r="FA33" s="258">
        <v>0</v>
      </c>
      <c r="FB33" s="258">
        <v>0</v>
      </c>
      <c r="FC33" s="258">
        <v>0</v>
      </c>
      <c r="FD33" s="258">
        <v>0</v>
      </c>
      <c r="FE33" s="258">
        <v>0</v>
      </c>
      <c r="FF33" s="258">
        <v>0</v>
      </c>
      <c r="FG33" s="258">
        <v>0</v>
      </c>
      <c r="FH33" s="301">
        <v>0</v>
      </c>
    </row>
    <row r="34" spans="2:164" x14ac:dyDescent="0.2">
      <c r="B34" s="217" t="s">
        <v>3</v>
      </c>
      <c r="C34" s="227">
        <v>1</v>
      </c>
      <c r="D34" s="228">
        <v>3</v>
      </c>
      <c r="E34" s="208">
        <v>1</v>
      </c>
      <c r="F34" s="208">
        <v>0</v>
      </c>
      <c r="G34" s="208">
        <v>125</v>
      </c>
      <c r="H34" s="208">
        <v>5</v>
      </c>
      <c r="I34" s="208">
        <v>0</v>
      </c>
      <c r="J34" s="208">
        <v>0</v>
      </c>
      <c r="K34" s="208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  <c r="U34" s="208">
        <v>0</v>
      </c>
      <c r="V34" s="208">
        <v>0</v>
      </c>
      <c r="W34" s="222">
        <v>135</v>
      </c>
      <c r="X34" s="209"/>
      <c r="Y34" s="217" t="s">
        <v>3</v>
      </c>
      <c r="Z34" s="251">
        <v>44.827014988893431</v>
      </c>
      <c r="AA34" s="251">
        <v>455.1042225445301</v>
      </c>
      <c r="AB34" s="252">
        <v>72.81519392571407</v>
      </c>
      <c r="AC34" s="252">
        <v>0</v>
      </c>
      <c r="AD34" s="208">
        <v>9336.1255990898553</v>
      </c>
      <c r="AE34" s="252">
        <v>1557.6765370521066</v>
      </c>
      <c r="AF34" s="252">
        <v>0</v>
      </c>
      <c r="AG34" s="252">
        <v>0</v>
      </c>
      <c r="AH34" s="252">
        <v>0</v>
      </c>
      <c r="AI34" s="252">
        <v>0</v>
      </c>
      <c r="AJ34" s="252">
        <v>0</v>
      </c>
      <c r="AK34" s="252">
        <v>0</v>
      </c>
      <c r="AL34" s="252">
        <v>0</v>
      </c>
      <c r="AM34" s="252">
        <v>0</v>
      </c>
      <c r="AN34" s="252">
        <v>0</v>
      </c>
      <c r="AO34" s="252">
        <v>0</v>
      </c>
      <c r="AP34" s="252">
        <v>0</v>
      </c>
      <c r="AQ34" s="252">
        <v>0</v>
      </c>
      <c r="AR34" s="252">
        <v>0</v>
      </c>
      <c r="AS34" s="252">
        <v>0</v>
      </c>
      <c r="AT34" s="222">
        <v>11466.548567601099</v>
      </c>
      <c r="AV34" s="217" t="s">
        <v>3</v>
      </c>
      <c r="AW34" s="232">
        <v>0</v>
      </c>
      <c r="AX34" s="232">
        <v>0</v>
      </c>
      <c r="AY34" s="255">
        <v>0</v>
      </c>
      <c r="AZ34" s="252">
        <v>0</v>
      </c>
      <c r="BA34" s="227">
        <f t="shared" si="60"/>
        <v>9336.1255990898553</v>
      </c>
      <c r="BB34" s="252">
        <v>0</v>
      </c>
      <c r="BC34" s="252">
        <v>0</v>
      </c>
      <c r="BD34" s="252">
        <v>0</v>
      </c>
      <c r="BE34" s="252">
        <v>0</v>
      </c>
      <c r="BF34" s="252">
        <v>0</v>
      </c>
      <c r="BG34" s="252">
        <v>0</v>
      </c>
      <c r="BH34" s="252">
        <v>0</v>
      </c>
      <c r="BI34" s="252">
        <v>0</v>
      </c>
      <c r="BJ34" s="252">
        <v>0</v>
      </c>
      <c r="BK34" s="252">
        <v>0</v>
      </c>
      <c r="BL34" s="255">
        <v>0</v>
      </c>
      <c r="BM34" s="252">
        <v>0</v>
      </c>
      <c r="BN34" s="255">
        <v>0</v>
      </c>
      <c r="BO34" s="255">
        <v>0</v>
      </c>
      <c r="BP34" s="252">
        <v>0</v>
      </c>
      <c r="BQ34" s="230">
        <f t="shared" si="57"/>
        <v>9336.1255990898553</v>
      </c>
      <c r="BR34" s="214"/>
      <c r="BS34" s="227"/>
      <c r="BT34" s="286"/>
      <c r="BU34" s="300" t="s">
        <v>3</v>
      </c>
      <c r="BV34" s="293">
        <v>0</v>
      </c>
      <c r="BW34" s="293">
        <v>0</v>
      </c>
      <c r="BX34" s="258">
        <v>0</v>
      </c>
      <c r="BY34" s="258">
        <v>0</v>
      </c>
      <c r="BZ34" s="258">
        <v>0</v>
      </c>
      <c r="CA34" s="258">
        <v>0</v>
      </c>
      <c r="CB34" s="258">
        <v>0</v>
      </c>
      <c r="CC34" s="258">
        <v>0</v>
      </c>
      <c r="CD34" s="258">
        <v>0</v>
      </c>
      <c r="CE34" s="258">
        <v>0</v>
      </c>
      <c r="CF34" s="258">
        <v>0</v>
      </c>
      <c r="CG34" s="258">
        <v>0</v>
      </c>
      <c r="CH34" s="258">
        <v>0</v>
      </c>
      <c r="CI34" s="258">
        <v>0</v>
      </c>
      <c r="CJ34" s="258">
        <v>0</v>
      </c>
      <c r="CK34" s="258">
        <v>0</v>
      </c>
      <c r="CL34" s="258">
        <v>0</v>
      </c>
      <c r="CM34" s="258">
        <v>0</v>
      </c>
      <c r="CN34" s="258">
        <v>0</v>
      </c>
      <c r="CO34" s="258">
        <v>0</v>
      </c>
      <c r="CP34" s="301">
        <v>0</v>
      </c>
      <c r="CQ34" s="302"/>
      <c r="CR34" s="300" t="s">
        <v>3</v>
      </c>
      <c r="CS34" s="293">
        <v>0</v>
      </c>
      <c r="CT34" s="293">
        <v>0</v>
      </c>
      <c r="CU34" s="258">
        <v>0</v>
      </c>
      <c r="CV34" s="258">
        <v>0</v>
      </c>
      <c r="CW34" s="258">
        <v>0</v>
      </c>
      <c r="CX34" s="258">
        <v>0</v>
      </c>
      <c r="CY34" s="258">
        <v>0</v>
      </c>
      <c r="CZ34" s="258">
        <v>0</v>
      </c>
      <c r="DA34" s="258">
        <v>0</v>
      </c>
      <c r="DB34" s="258">
        <v>0</v>
      </c>
      <c r="DC34" s="258">
        <v>0</v>
      </c>
      <c r="DD34" s="258">
        <v>0</v>
      </c>
      <c r="DE34" s="258">
        <v>0</v>
      </c>
      <c r="DF34" s="258">
        <v>0</v>
      </c>
      <c r="DG34" s="258">
        <v>0</v>
      </c>
      <c r="DH34" s="258">
        <v>0</v>
      </c>
      <c r="DI34" s="258">
        <v>0</v>
      </c>
      <c r="DJ34" s="258">
        <v>0</v>
      </c>
      <c r="DK34" s="258">
        <v>0</v>
      </c>
      <c r="DL34" s="258">
        <v>0</v>
      </c>
      <c r="DM34" s="301">
        <v>0</v>
      </c>
      <c r="DN34" s="302"/>
      <c r="DO34" s="302"/>
      <c r="DP34" s="300" t="s">
        <v>3</v>
      </c>
      <c r="DQ34" s="293">
        <v>0</v>
      </c>
      <c r="DR34" s="293">
        <v>0</v>
      </c>
      <c r="DS34" s="258">
        <v>0</v>
      </c>
      <c r="DT34" s="258">
        <v>0</v>
      </c>
      <c r="DU34" s="258">
        <v>4</v>
      </c>
      <c r="DV34" s="258">
        <v>0</v>
      </c>
      <c r="DW34" s="258">
        <v>0</v>
      </c>
      <c r="DX34" s="258">
        <v>0</v>
      </c>
      <c r="DY34" s="258">
        <v>0</v>
      </c>
      <c r="DZ34" s="258">
        <v>0</v>
      </c>
      <c r="EA34" s="258">
        <v>0</v>
      </c>
      <c r="EB34" s="258">
        <v>0</v>
      </c>
      <c r="EC34" s="258">
        <v>0</v>
      </c>
      <c r="ED34" s="258">
        <v>0</v>
      </c>
      <c r="EE34" s="258">
        <v>0</v>
      </c>
      <c r="EF34" s="258">
        <v>0</v>
      </c>
      <c r="EG34" s="258">
        <v>0</v>
      </c>
      <c r="EH34" s="258">
        <v>0</v>
      </c>
      <c r="EI34" s="258">
        <v>0</v>
      </c>
      <c r="EJ34" s="258">
        <v>0</v>
      </c>
      <c r="EK34" s="301">
        <v>4</v>
      </c>
      <c r="EL34" s="287"/>
      <c r="EM34" s="300" t="s">
        <v>3</v>
      </c>
      <c r="EN34" s="293">
        <v>0</v>
      </c>
      <c r="EO34" s="293">
        <v>0</v>
      </c>
      <c r="EP34" s="258">
        <v>0</v>
      </c>
      <c r="EQ34" s="258">
        <v>0</v>
      </c>
      <c r="ER34" s="258">
        <v>277.35337783702363</v>
      </c>
      <c r="ES34" s="258">
        <v>0</v>
      </c>
      <c r="ET34" s="258">
        <v>0</v>
      </c>
      <c r="EU34" s="258">
        <v>0</v>
      </c>
      <c r="EV34" s="258">
        <v>0</v>
      </c>
      <c r="EW34" s="258">
        <v>0</v>
      </c>
      <c r="EX34" s="258">
        <v>0</v>
      </c>
      <c r="EY34" s="258">
        <v>0</v>
      </c>
      <c r="EZ34" s="258">
        <v>0</v>
      </c>
      <c r="FA34" s="258">
        <v>0</v>
      </c>
      <c r="FB34" s="258">
        <v>0</v>
      </c>
      <c r="FC34" s="258">
        <v>0</v>
      </c>
      <c r="FD34" s="258">
        <v>0</v>
      </c>
      <c r="FE34" s="258">
        <v>0</v>
      </c>
      <c r="FF34" s="258">
        <v>0</v>
      </c>
      <c r="FG34" s="258">
        <v>0</v>
      </c>
      <c r="FH34" s="301">
        <v>277.35337783702363</v>
      </c>
    </row>
    <row r="35" spans="2:164" x14ac:dyDescent="0.2">
      <c r="B35" s="217" t="s">
        <v>334</v>
      </c>
      <c r="C35" s="227">
        <v>0</v>
      </c>
      <c r="D35" s="228">
        <v>0</v>
      </c>
      <c r="E35" s="208">
        <v>0</v>
      </c>
      <c r="F35" s="208">
        <v>0</v>
      </c>
      <c r="G35" s="208">
        <v>0</v>
      </c>
      <c r="H35" s="208">
        <v>71</v>
      </c>
      <c r="I35" s="208">
        <v>8</v>
      </c>
      <c r="J35" s="208">
        <v>0</v>
      </c>
      <c r="K35" s="208">
        <v>1</v>
      </c>
      <c r="L35" s="208">
        <v>3</v>
      </c>
      <c r="M35" s="208">
        <v>2</v>
      </c>
      <c r="N35" s="208">
        <v>4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  <c r="U35" s="208">
        <v>0</v>
      </c>
      <c r="V35" s="208">
        <v>0</v>
      </c>
      <c r="W35" s="222">
        <v>89</v>
      </c>
      <c r="X35" s="209"/>
      <c r="Y35" s="217" t="s">
        <v>334</v>
      </c>
      <c r="Z35" s="227">
        <v>0</v>
      </c>
      <c r="AA35" s="228">
        <v>0</v>
      </c>
      <c r="AB35" s="252">
        <v>0</v>
      </c>
      <c r="AC35" s="208">
        <v>0</v>
      </c>
      <c r="AD35" s="208">
        <v>0</v>
      </c>
      <c r="AE35" s="208">
        <v>14964.642935365051</v>
      </c>
      <c r="AF35" s="208">
        <v>47.377271172673773</v>
      </c>
      <c r="AG35" s="208">
        <v>0</v>
      </c>
      <c r="AH35" s="208">
        <v>0</v>
      </c>
      <c r="AI35" s="208">
        <v>173.20599479085607</v>
      </c>
      <c r="AJ35" s="208">
        <v>45.682337360228203</v>
      </c>
      <c r="AK35" s="252">
        <v>4861.0503245417494</v>
      </c>
      <c r="AL35" s="252">
        <v>0</v>
      </c>
      <c r="AM35" s="252">
        <v>0</v>
      </c>
      <c r="AN35" s="252">
        <v>0</v>
      </c>
      <c r="AO35" s="252">
        <v>0</v>
      </c>
      <c r="AP35" s="252">
        <v>0</v>
      </c>
      <c r="AQ35" s="208">
        <v>0</v>
      </c>
      <c r="AR35" s="208">
        <v>0</v>
      </c>
      <c r="AS35" s="208">
        <v>0</v>
      </c>
      <c r="AT35" s="222">
        <v>20091.95886323056</v>
      </c>
      <c r="AV35" s="217" t="s">
        <v>334</v>
      </c>
      <c r="AW35" s="227">
        <f>Z35</f>
        <v>0</v>
      </c>
      <c r="AX35" s="227">
        <f>AA35</f>
        <v>0</v>
      </c>
      <c r="AY35" s="255">
        <v>0</v>
      </c>
      <c r="AZ35" s="227">
        <f t="shared" ref="AZ35:AZ49" si="71">AC35</f>
        <v>0</v>
      </c>
      <c r="BA35" s="227">
        <f t="shared" si="60"/>
        <v>0</v>
      </c>
      <c r="BB35" s="227">
        <f t="shared" ref="BB35:BB40" si="72">AE35</f>
        <v>14964.642935365051</v>
      </c>
      <c r="BC35" s="227">
        <f t="shared" ref="BC35:BC40" si="73">AF35</f>
        <v>47.377271172673773</v>
      </c>
      <c r="BD35" s="227">
        <f t="shared" ref="BD35:BD40" si="74">AG35</f>
        <v>0</v>
      </c>
      <c r="BE35" s="227">
        <f t="shared" ref="BE35:BE40" si="75">AH35</f>
        <v>0</v>
      </c>
      <c r="BF35" s="227">
        <f t="shared" ref="BF35:BF40" si="76">AI35</f>
        <v>173.20599479085607</v>
      </c>
      <c r="BG35" s="227">
        <f t="shared" ref="BG35:BG40" si="77">AJ35</f>
        <v>45.682337360228203</v>
      </c>
      <c r="BH35" s="255">
        <v>0</v>
      </c>
      <c r="BI35" s="255">
        <v>0</v>
      </c>
      <c r="BJ35" s="255">
        <v>0</v>
      </c>
      <c r="BK35" s="255">
        <v>0</v>
      </c>
      <c r="BL35" s="252">
        <v>0</v>
      </c>
      <c r="BM35" s="255">
        <v>0</v>
      </c>
      <c r="BN35" s="208">
        <f>AQ35</f>
        <v>0</v>
      </c>
      <c r="BO35" s="208">
        <f t="shared" ref="BO35:BO49" si="78">AR35</f>
        <v>0</v>
      </c>
      <c r="BP35" s="208">
        <f t="shared" ref="BP35:BP49" si="79">AS35</f>
        <v>0</v>
      </c>
      <c r="BQ35" s="230">
        <f t="shared" si="57"/>
        <v>15230.908538688809</v>
      </c>
      <c r="BR35" s="214"/>
      <c r="BS35" s="227"/>
      <c r="BT35" s="286"/>
      <c r="BU35" s="300" t="s">
        <v>334</v>
      </c>
      <c r="BV35" s="293">
        <v>0</v>
      </c>
      <c r="BW35" s="293">
        <v>0</v>
      </c>
      <c r="BX35" s="258">
        <v>0</v>
      </c>
      <c r="BY35" s="258">
        <v>0</v>
      </c>
      <c r="BZ35" s="258">
        <v>0</v>
      </c>
      <c r="CA35" s="258">
        <v>0</v>
      </c>
      <c r="CB35" s="258">
        <v>0</v>
      </c>
      <c r="CC35" s="258">
        <v>0</v>
      </c>
      <c r="CD35" s="258">
        <v>0</v>
      </c>
      <c r="CE35" s="258">
        <v>0</v>
      </c>
      <c r="CF35" s="258">
        <v>0</v>
      </c>
      <c r="CG35" s="258">
        <v>0</v>
      </c>
      <c r="CH35" s="258">
        <v>0</v>
      </c>
      <c r="CI35" s="258">
        <v>0</v>
      </c>
      <c r="CJ35" s="258">
        <v>0</v>
      </c>
      <c r="CK35" s="258">
        <v>0</v>
      </c>
      <c r="CL35" s="258">
        <v>0</v>
      </c>
      <c r="CM35" s="258">
        <v>0</v>
      </c>
      <c r="CN35" s="258">
        <v>0</v>
      </c>
      <c r="CO35" s="258">
        <v>0</v>
      </c>
      <c r="CP35" s="301">
        <v>0</v>
      </c>
      <c r="CQ35" s="302"/>
      <c r="CR35" s="300" t="s">
        <v>334</v>
      </c>
      <c r="CS35" s="293">
        <v>0</v>
      </c>
      <c r="CT35" s="293">
        <v>0</v>
      </c>
      <c r="CU35" s="258">
        <v>0</v>
      </c>
      <c r="CV35" s="258">
        <v>0</v>
      </c>
      <c r="CW35" s="258">
        <v>0</v>
      </c>
      <c r="CX35" s="258">
        <v>0</v>
      </c>
      <c r="CY35" s="258">
        <v>0</v>
      </c>
      <c r="CZ35" s="258">
        <v>0</v>
      </c>
      <c r="DA35" s="258">
        <v>0</v>
      </c>
      <c r="DB35" s="258">
        <v>0</v>
      </c>
      <c r="DC35" s="258">
        <v>0</v>
      </c>
      <c r="DD35" s="258">
        <v>0</v>
      </c>
      <c r="DE35" s="258">
        <v>0</v>
      </c>
      <c r="DF35" s="258">
        <v>0</v>
      </c>
      <c r="DG35" s="258">
        <v>0</v>
      </c>
      <c r="DH35" s="258">
        <v>0</v>
      </c>
      <c r="DI35" s="258">
        <v>0</v>
      </c>
      <c r="DJ35" s="258">
        <v>0</v>
      </c>
      <c r="DK35" s="258">
        <v>0</v>
      </c>
      <c r="DL35" s="258">
        <v>0</v>
      </c>
      <c r="DM35" s="301">
        <v>0</v>
      </c>
      <c r="DN35" s="302"/>
      <c r="DO35" s="302"/>
      <c r="DP35" s="300" t="s">
        <v>334</v>
      </c>
      <c r="DQ35" s="293">
        <v>0</v>
      </c>
      <c r="DR35" s="293">
        <v>0</v>
      </c>
      <c r="DS35" s="258">
        <v>0</v>
      </c>
      <c r="DT35" s="258">
        <v>0</v>
      </c>
      <c r="DU35" s="258">
        <v>0</v>
      </c>
      <c r="DV35" s="258">
        <v>0</v>
      </c>
      <c r="DW35" s="258">
        <v>0</v>
      </c>
      <c r="DX35" s="258">
        <v>0</v>
      </c>
      <c r="DY35" s="258">
        <v>0</v>
      </c>
      <c r="DZ35" s="258">
        <v>0</v>
      </c>
      <c r="EA35" s="258">
        <v>0</v>
      </c>
      <c r="EB35" s="258">
        <v>0</v>
      </c>
      <c r="EC35" s="258">
        <v>0</v>
      </c>
      <c r="ED35" s="258">
        <v>0</v>
      </c>
      <c r="EE35" s="258">
        <v>0</v>
      </c>
      <c r="EF35" s="258">
        <v>0</v>
      </c>
      <c r="EG35" s="258">
        <v>0</v>
      </c>
      <c r="EH35" s="258">
        <v>0</v>
      </c>
      <c r="EI35" s="258">
        <v>0</v>
      </c>
      <c r="EJ35" s="258">
        <v>0</v>
      </c>
      <c r="EK35" s="301">
        <v>0</v>
      </c>
      <c r="EL35" s="287"/>
      <c r="EM35" s="300" t="s">
        <v>334</v>
      </c>
      <c r="EN35" s="293">
        <v>0</v>
      </c>
      <c r="EO35" s="293">
        <v>0</v>
      </c>
      <c r="EP35" s="258">
        <v>0</v>
      </c>
      <c r="EQ35" s="258">
        <v>0</v>
      </c>
      <c r="ER35" s="258">
        <v>0</v>
      </c>
      <c r="ES35" s="258">
        <v>0</v>
      </c>
      <c r="ET35" s="258">
        <v>0</v>
      </c>
      <c r="EU35" s="258">
        <v>0</v>
      </c>
      <c r="EV35" s="258">
        <v>0</v>
      </c>
      <c r="EW35" s="258">
        <v>0</v>
      </c>
      <c r="EX35" s="258">
        <v>0</v>
      </c>
      <c r="EY35" s="258">
        <v>0</v>
      </c>
      <c r="EZ35" s="258">
        <v>0</v>
      </c>
      <c r="FA35" s="258">
        <v>0</v>
      </c>
      <c r="FB35" s="258">
        <v>0</v>
      </c>
      <c r="FC35" s="258">
        <v>0</v>
      </c>
      <c r="FD35" s="258">
        <v>0</v>
      </c>
      <c r="FE35" s="258">
        <v>0</v>
      </c>
      <c r="FF35" s="258">
        <v>0</v>
      </c>
      <c r="FG35" s="258">
        <v>0</v>
      </c>
      <c r="FH35" s="301">
        <v>0</v>
      </c>
    </row>
    <row r="36" spans="2:164" x14ac:dyDescent="0.2">
      <c r="B36" s="217" t="s">
        <v>352</v>
      </c>
      <c r="C36" s="227">
        <v>0</v>
      </c>
      <c r="D36" s="228">
        <v>0</v>
      </c>
      <c r="E36" s="208">
        <v>0</v>
      </c>
      <c r="F36" s="208">
        <v>0</v>
      </c>
      <c r="G36" s="208">
        <v>0</v>
      </c>
      <c r="H36" s="208">
        <v>0</v>
      </c>
      <c r="I36" s="208">
        <v>36</v>
      </c>
      <c r="J36" s="208">
        <v>0</v>
      </c>
      <c r="K36" s="208">
        <v>0</v>
      </c>
      <c r="L36" s="208">
        <v>0</v>
      </c>
      <c r="M36" s="208">
        <v>0</v>
      </c>
      <c r="N36" s="208">
        <v>0</v>
      </c>
      <c r="O36" s="208">
        <v>0</v>
      </c>
      <c r="P36" s="208">
        <v>0</v>
      </c>
      <c r="Q36" s="208">
        <v>0</v>
      </c>
      <c r="R36" s="208">
        <v>0</v>
      </c>
      <c r="S36" s="208">
        <v>0</v>
      </c>
      <c r="T36" s="208">
        <v>0</v>
      </c>
      <c r="U36" s="208">
        <v>0</v>
      </c>
      <c r="V36" s="208">
        <v>0</v>
      </c>
      <c r="W36" s="222">
        <v>36</v>
      </c>
      <c r="X36" s="210"/>
      <c r="Y36" s="217" t="s">
        <v>352</v>
      </c>
      <c r="Z36" s="227">
        <v>0</v>
      </c>
      <c r="AA36" s="228">
        <v>0</v>
      </c>
      <c r="AB36" s="208">
        <v>0</v>
      </c>
      <c r="AC36" s="208">
        <v>0</v>
      </c>
      <c r="AD36" s="208">
        <v>0</v>
      </c>
      <c r="AE36" s="208">
        <v>0</v>
      </c>
      <c r="AF36" s="208">
        <v>2675.996468553953</v>
      </c>
      <c r="AG36" s="208">
        <v>0</v>
      </c>
      <c r="AH36" s="208">
        <v>0</v>
      </c>
      <c r="AI36" s="208">
        <v>0</v>
      </c>
      <c r="AJ36" s="208">
        <v>0</v>
      </c>
      <c r="AK36" s="252">
        <v>0</v>
      </c>
      <c r="AL36" s="252">
        <v>0</v>
      </c>
      <c r="AM36" s="252">
        <v>0</v>
      </c>
      <c r="AN36" s="252">
        <v>0</v>
      </c>
      <c r="AO36" s="252">
        <v>0</v>
      </c>
      <c r="AP36" s="252">
        <v>0</v>
      </c>
      <c r="AQ36" s="208">
        <v>0</v>
      </c>
      <c r="AR36" s="208">
        <v>0</v>
      </c>
      <c r="AS36" s="208">
        <v>0</v>
      </c>
      <c r="AT36" s="222">
        <v>2675.996468553953</v>
      </c>
      <c r="AV36" s="217" t="s">
        <v>350</v>
      </c>
      <c r="AW36" s="227">
        <f t="shared" ref="AW36:AW49" si="80">Z36</f>
        <v>0</v>
      </c>
      <c r="AX36" s="227">
        <f t="shared" ref="AX36:AX49" si="81">AA36</f>
        <v>0</v>
      </c>
      <c r="AY36" s="227">
        <f t="shared" ref="AY36:AY49" si="82">AB36</f>
        <v>0</v>
      </c>
      <c r="AZ36" s="227">
        <f t="shared" si="71"/>
        <v>0</v>
      </c>
      <c r="BA36" s="227">
        <f t="shared" si="60"/>
        <v>0</v>
      </c>
      <c r="BB36" s="227">
        <f t="shared" si="72"/>
        <v>0</v>
      </c>
      <c r="BC36" s="227">
        <f t="shared" si="73"/>
        <v>2675.996468553953</v>
      </c>
      <c r="BD36" s="227">
        <f t="shared" si="74"/>
        <v>0</v>
      </c>
      <c r="BE36" s="227">
        <f t="shared" si="75"/>
        <v>0</v>
      </c>
      <c r="BF36" s="227">
        <f t="shared" si="76"/>
        <v>0</v>
      </c>
      <c r="BG36" s="227">
        <f t="shared" si="77"/>
        <v>0</v>
      </c>
      <c r="BH36" s="252">
        <v>0</v>
      </c>
      <c r="BI36" s="255">
        <v>0</v>
      </c>
      <c r="BJ36" s="255">
        <v>0</v>
      </c>
      <c r="BK36" s="252">
        <v>0</v>
      </c>
      <c r="BL36" s="255">
        <v>0</v>
      </c>
      <c r="BM36" s="252">
        <v>0</v>
      </c>
      <c r="BN36" s="208">
        <f t="shared" ref="BN36:BN49" si="83">AQ36</f>
        <v>0</v>
      </c>
      <c r="BO36" s="208">
        <f t="shared" si="78"/>
        <v>0</v>
      </c>
      <c r="BP36" s="208">
        <f t="shared" si="79"/>
        <v>0</v>
      </c>
      <c r="BQ36" s="230">
        <f t="shared" si="57"/>
        <v>2675.996468553953</v>
      </c>
      <c r="BR36" s="214"/>
      <c r="BS36" s="227"/>
      <c r="BT36" s="286"/>
      <c r="BU36" s="300" t="s">
        <v>352</v>
      </c>
      <c r="BV36" s="293">
        <v>0</v>
      </c>
      <c r="BW36" s="293">
        <v>0</v>
      </c>
      <c r="BX36" s="258">
        <v>0</v>
      </c>
      <c r="BY36" s="258">
        <v>0</v>
      </c>
      <c r="BZ36" s="258">
        <v>0</v>
      </c>
      <c r="CA36" s="258">
        <v>0</v>
      </c>
      <c r="CB36" s="258">
        <v>0</v>
      </c>
      <c r="CC36" s="258">
        <v>0</v>
      </c>
      <c r="CD36" s="258">
        <v>0</v>
      </c>
      <c r="CE36" s="258">
        <v>0</v>
      </c>
      <c r="CF36" s="258">
        <v>0</v>
      </c>
      <c r="CG36" s="258">
        <v>0</v>
      </c>
      <c r="CH36" s="258">
        <v>0</v>
      </c>
      <c r="CI36" s="258">
        <v>0</v>
      </c>
      <c r="CJ36" s="258">
        <v>0</v>
      </c>
      <c r="CK36" s="258">
        <v>0</v>
      </c>
      <c r="CL36" s="258">
        <v>0</v>
      </c>
      <c r="CM36" s="258">
        <v>0</v>
      </c>
      <c r="CN36" s="258">
        <v>0</v>
      </c>
      <c r="CO36" s="258">
        <v>0</v>
      </c>
      <c r="CP36" s="301">
        <v>0</v>
      </c>
      <c r="CQ36" s="302"/>
      <c r="CR36" s="300" t="s">
        <v>352</v>
      </c>
      <c r="CS36" s="293">
        <v>0</v>
      </c>
      <c r="CT36" s="293">
        <v>0</v>
      </c>
      <c r="CU36" s="258">
        <v>0</v>
      </c>
      <c r="CV36" s="258">
        <v>0</v>
      </c>
      <c r="CW36" s="258">
        <v>0</v>
      </c>
      <c r="CX36" s="258">
        <v>0</v>
      </c>
      <c r="CY36" s="258">
        <v>0</v>
      </c>
      <c r="CZ36" s="258">
        <v>0</v>
      </c>
      <c r="DA36" s="258">
        <v>0</v>
      </c>
      <c r="DB36" s="258">
        <v>0</v>
      </c>
      <c r="DC36" s="258">
        <v>0</v>
      </c>
      <c r="DD36" s="258">
        <v>0</v>
      </c>
      <c r="DE36" s="258">
        <v>0</v>
      </c>
      <c r="DF36" s="258">
        <v>0</v>
      </c>
      <c r="DG36" s="258">
        <v>0</v>
      </c>
      <c r="DH36" s="258">
        <v>0</v>
      </c>
      <c r="DI36" s="258">
        <v>0</v>
      </c>
      <c r="DJ36" s="258">
        <v>0</v>
      </c>
      <c r="DK36" s="258">
        <v>0</v>
      </c>
      <c r="DL36" s="258">
        <v>0</v>
      </c>
      <c r="DM36" s="301">
        <v>0</v>
      </c>
      <c r="DN36" s="302"/>
      <c r="DO36" s="302"/>
      <c r="DP36" s="300" t="s">
        <v>352</v>
      </c>
      <c r="DQ36" s="293">
        <v>0</v>
      </c>
      <c r="DR36" s="293">
        <v>0</v>
      </c>
      <c r="DS36" s="258">
        <v>0</v>
      </c>
      <c r="DT36" s="258">
        <v>0</v>
      </c>
      <c r="DU36" s="258">
        <v>0</v>
      </c>
      <c r="DV36" s="258">
        <v>0</v>
      </c>
      <c r="DW36" s="258">
        <v>0</v>
      </c>
      <c r="DX36" s="258">
        <v>0</v>
      </c>
      <c r="DY36" s="258">
        <v>0</v>
      </c>
      <c r="DZ36" s="258">
        <v>0</v>
      </c>
      <c r="EA36" s="258">
        <v>0</v>
      </c>
      <c r="EB36" s="258">
        <v>0</v>
      </c>
      <c r="EC36" s="258">
        <v>0</v>
      </c>
      <c r="ED36" s="258">
        <v>0</v>
      </c>
      <c r="EE36" s="258">
        <v>0</v>
      </c>
      <c r="EF36" s="258">
        <v>0</v>
      </c>
      <c r="EG36" s="258">
        <v>0</v>
      </c>
      <c r="EH36" s="258">
        <v>0</v>
      </c>
      <c r="EI36" s="258">
        <v>0</v>
      </c>
      <c r="EJ36" s="258">
        <v>0</v>
      </c>
      <c r="EK36" s="301">
        <v>0</v>
      </c>
      <c r="EL36" s="287"/>
      <c r="EM36" s="300" t="s">
        <v>352</v>
      </c>
      <c r="EN36" s="293">
        <v>0</v>
      </c>
      <c r="EO36" s="293">
        <v>0</v>
      </c>
      <c r="EP36" s="258">
        <v>0</v>
      </c>
      <c r="EQ36" s="258">
        <v>0</v>
      </c>
      <c r="ER36" s="258">
        <v>0</v>
      </c>
      <c r="ES36" s="258">
        <v>0</v>
      </c>
      <c r="ET36" s="258">
        <v>0</v>
      </c>
      <c r="EU36" s="258">
        <v>0</v>
      </c>
      <c r="EV36" s="258">
        <v>0</v>
      </c>
      <c r="EW36" s="258">
        <v>0</v>
      </c>
      <c r="EX36" s="258">
        <v>0</v>
      </c>
      <c r="EY36" s="258">
        <v>0</v>
      </c>
      <c r="EZ36" s="258">
        <v>0</v>
      </c>
      <c r="FA36" s="258">
        <v>0</v>
      </c>
      <c r="FB36" s="258">
        <v>0</v>
      </c>
      <c r="FC36" s="258">
        <v>0</v>
      </c>
      <c r="FD36" s="258">
        <v>0</v>
      </c>
      <c r="FE36" s="258">
        <v>0</v>
      </c>
      <c r="FF36" s="258">
        <v>0</v>
      </c>
      <c r="FG36" s="258">
        <v>0</v>
      </c>
      <c r="FH36" s="301">
        <v>0</v>
      </c>
    </row>
    <row r="37" spans="2:164" x14ac:dyDescent="0.2">
      <c r="B37" s="217" t="s">
        <v>335</v>
      </c>
      <c r="C37" s="227">
        <v>0</v>
      </c>
      <c r="D37" s="22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08">
        <v>0</v>
      </c>
      <c r="K37" s="208">
        <v>3</v>
      </c>
      <c r="L37" s="208">
        <v>0</v>
      </c>
      <c r="M37" s="208">
        <v>0</v>
      </c>
      <c r="N37" s="208">
        <v>0</v>
      </c>
      <c r="O37" s="208">
        <v>0</v>
      </c>
      <c r="P37" s="208">
        <v>0</v>
      </c>
      <c r="Q37" s="208">
        <v>0</v>
      </c>
      <c r="R37" s="208">
        <v>0</v>
      </c>
      <c r="S37" s="208">
        <v>0</v>
      </c>
      <c r="T37" s="208">
        <v>0</v>
      </c>
      <c r="U37" s="208">
        <v>0</v>
      </c>
      <c r="V37" s="208">
        <v>0</v>
      </c>
      <c r="W37" s="222">
        <v>3</v>
      </c>
      <c r="X37" s="208"/>
      <c r="Y37" s="217" t="s">
        <v>335</v>
      </c>
      <c r="Z37" s="227">
        <v>0</v>
      </c>
      <c r="AA37" s="228">
        <v>0</v>
      </c>
      <c r="AB37" s="208">
        <v>0</v>
      </c>
      <c r="AC37" s="208">
        <v>0</v>
      </c>
      <c r="AD37" s="208">
        <v>0</v>
      </c>
      <c r="AE37" s="208">
        <v>0</v>
      </c>
      <c r="AF37" s="208">
        <v>0</v>
      </c>
      <c r="AG37" s="208">
        <v>0</v>
      </c>
      <c r="AH37" s="208">
        <v>0</v>
      </c>
      <c r="AI37" s="208">
        <v>0</v>
      </c>
      <c r="AJ37" s="208">
        <v>0</v>
      </c>
      <c r="AK37" s="252">
        <v>0</v>
      </c>
      <c r="AL37" s="252">
        <v>0</v>
      </c>
      <c r="AM37" s="252">
        <v>0</v>
      </c>
      <c r="AN37" s="252">
        <v>0</v>
      </c>
      <c r="AO37" s="252">
        <v>0</v>
      </c>
      <c r="AP37" s="252">
        <v>0</v>
      </c>
      <c r="AQ37" s="208">
        <v>0</v>
      </c>
      <c r="AR37" s="208">
        <v>0</v>
      </c>
      <c r="AS37" s="208">
        <v>0</v>
      </c>
      <c r="AT37" s="222">
        <v>0</v>
      </c>
      <c r="AV37" s="217" t="s">
        <v>346</v>
      </c>
      <c r="AW37" s="227">
        <f t="shared" si="80"/>
        <v>0</v>
      </c>
      <c r="AX37" s="227">
        <f t="shared" si="81"/>
        <v>0</v>
      </c>
      <c r="AY37" s="227">
        <f t="shared" si="82"/>
        <v>0</v>
      </c>
      <c r="AZ37" s="227">
        <f t="shared" si="71"/>
        <v>0</v>
      </c>
      <c r="BA37" s="227">
        <f t="shared" si="60"/>
        <v>0</v>
      </c>
      <c r="BB37" s="227">
        <f t="shared" si="72"/>
        <v>0</v>
      </c>
      <c r="BC37" s="227">
        <f t="shared" si="73"/>
        <v>0</v>
      </c>
      <c r="BD37" s="227">
        <f t="shared" si="74"/>
        <v>0</v>
      </c>
      <c r="BE37" s="227">
        <f t="shared" si="75"/>
        <v>0</v>
      </c>
      <c r="BF37" s="227">
        <f t="shared" si="76"/>
        <v>0</v>
      </c>
      <c r="BG37" s="227">
        <f t="shared" si="77"/>
        <v>0</v>
      </c>
      <c r="BH37" s="252">
        <v>0</v>
      </c>
      <c r="BI37" s="252">
        <v>0</v>
      </c>
      <c r="BJ37" s="255">
        <v>0</v>
      </c>
      <c r="BK37" s="252">
        <v>0</v>
      </c>
      <c r="BL37" s="255">
        <v>0</v>
      </c>
      <c r="BM37" s="252">
        <v>0</v>
      </c>
      <c r="BN37" s="208">
        <f t="shared" si="83"/>
        <v>0</v>
      </c>
      <c r="BO37" s="208">
        <f t="shared" si="78"/>
        <v>0</v>
      </c>
      <c r="BP37" s="208">
        <f t="shared" si="79"/>
        <v>0</v>
      </c>
      <c r="BQ37" s="230">
        <f t="shared" si="57"/>
        <v>0</v>
      </c>
      <c r="BR37" s="214"/>
      <c r="BS37" s="227"/>
      <c r="BT37" s="286"/>
      <c r="BU37" s="300" t="s">
        <v>335</v>
      </c>
      <c r="BV37" s="293">
        <v>0</v>
      </c>
      <c r="BW37" s="293">
        <v>0</v>
      </c>
      <c r="BX37" s="258">
        <v>0</v>
      </c>
      <c r="BY37" s="258">
        <v>0</v>
      </c>
      <c r="BZ37" s="258">
        <v>0</v>
      </c>
      <c r="CA37" s="258">
        <v>0</v>
      </c>
      <c r="CB37" s="258">
        <v>0</v>
      </c>
      <c r="CC37" s="258">
        <v>0</v>
      </c>
      <c r="CD37" s="258">
        <v>0</v>
      </c>
      <c r="CE37" s="258">
        <v>0</v>
      </c>
      <c r="CF37" s="258">
        <v>0</v>
      </c>
      <c r="CG37" s="258">
        <v>0</v>
      </c>
      <c r="CH37" s="258">
        <v>0</v>
      </c>
      <c r="CI37" s="258">
        <v>0</v>
      </c>
      <c r="CJ37" s="258">
        <v>0</v>
      </c>
      <c r="CK37" s="258">
        <v>0</v>
      </c>
      <c r="CL37" s="258">
        <v>0</v>
      </c>
      <c r="CM37" s="258">
        <v>0</v>
      </c>
      <c r="CN37" s="258">
        <v>0</v>
      </c>
      <c r="CO37" s="258">
        <v>0</v>
      </c>
      <c r="CP37" s="301">
        <v>0</v>
      </c>
      <c r="CQ37" s="302"/>
      <c r="CR37" s="300" t="s">
        <v>335</v>
      </c>
      <c r="CS37" s="293">
        <v>0</v>
      </c>
      <c r="CT37" s="293">
        <v>0</v>
      </c>
      <c r="CU37" s="258">
        <v>0</v>
      </c>
      <c r="CV37" s="258">
        <v>0</v>
      </c>
      <c r="CW37" s="258">
        <v>0</v>
      </c>
      <c r="CX37" s="258">
        <v>0</v>
      </c>
      <c r="CY37" s="258">
        <v>0</v>
      </c>
      <c r="CZ37" s="258">
        <v>0</v>
      </c>
      <c r="DA37" s="258">
        <v>0</v>
      </c>
      <c r="DB37" s="258">
        <v>0</v>
      </c>
      <c r="DC37" s="258">
        <v>0</v>
      </c>
      <c r="DD37" s="258">
        <v>0</v>
      </c>
      <c r="DE37" s="258">
        <v>0</v>
      </c>
      <c r="DF37" s="258">
        <v>0</v>
      </c>
      <c r="DG37" s="258">
        <v>0</v>
      </c>
      <c r="DH37" s="258">
        <v>0</v>
      </c>
      <c r="DI37" s="258">
        <v>0</v>
      </c>
      <c r="DJ37" s="258">
        <v>0</v>
      </c>
      <c r="DK37" s="258">
        <v>0</v>
      </c>
      <c r="DL37" s="258">
        <v>0</v>
      </c>
      <c r="DM37" s="301">
        <v>0</v>
      </c>
      <c r="DN37" s="302"/>
      <c r="DO37" s="302"/>
      <c r="DP37" s="300" t="s">
        <v>335</v>
      </c>
      <c r="DQ37" s="293">
        <v>0</v>
      </c>
      <c r="DR37" s="293">
        <v>0</v>
      </c>
      <c r="DS37" s="258">
        <v>0</v>
      </c>
      <c r="DT37" s="258">
        <v>0</v>
      </c>
      <c r="DU37" s="258">
        <v>0</v>
      </c>
      <c r="DV37" s="258">
        <v>0</v>
      </c>
      <c r="DW37" s="258">
        <v>0</v>
      </c>
      <c r="DX37" s="258">
        <v>0</v>
      </c>
      <c r="DY37" s="258">
        <v>0</v>
      </c>
      <c r="DZ37" s="258">
        <v>0</v>
      </c>
      <c r="EA37" s="258">
        <v>0</v>
      </c>
      <c r="EB37" s="258">
        <v>0</v>
      </c>
      <c r="EC37" s="258">
        <v>0</v>
      </c>
      <c r="ED37" s="258">
        <v>0</v>
      </c>
      <c r="EE37" s="258">
        <v>0</v>
      </c>
      <c r="EF37" s="258">
        <v>0</v>
      </c>
      <c r="EG37" s="258">
        <v>0</v>
      </c>
      <c r="EH37" s="258">
        <v>0</v>
      </c>
      <c r="EI37" s="258">
        <v>0</v>
      </c>
      <c r="EJ37" s="258">
        <v>0</v>
      </c>
      <c r="EK37" s="301">
        <v>0</v>
      </c>
      <c r="EL37" s="287"/>
      <c r="EM37" s="300" t="s">
        <v>335</v>
      </c>
      <c r="EN37" s="293">
        <v>0</v>
      </c>
      <c r="EO37" s="293">
        <v>0</v>
      </c>
      <c r="EP37" s="258">
        <v>0</v>
      </c>
      <c r="EQ37" s="258">
        <v>0</v>
      </c>
      <c r="ER37" s="258">
        <v>0</v>
      </c>
      <c r="ES37" s="258">
        <v>0</v>
      </c>
      <c r="ET37" s="258">
        <v>0</v>
      </c>
      <c r="EU37" s="258">
        <v>0</v>
      </c>
      <c r="EV37" s="258">
        <v>0</v>
      </c>
      <c r="EW37" s="258">
        <v>0</v>
      </c>
      <c r="EX37" s="258">
        <v>0</v>
      </c>
      <c r="EY37" s="258">
        <v>0</v>
      </c>
      <c r="EZ37" s="258">
        <v>0</v>
      </c>
      <c r="FA37" s="258">
        <v>0</v>
      </c>
      <c r="FB37" s="258">
        <v>0</v>
      </c>
      <c r="FC37" s="258">
        <v>0</v>
      </c>
      <c r="FD37" s="258">
        <v>0</v>
      </c>
      <c r="FE37" s="258">
        <v>0</v>
      </c>
      <c r="FF37" s="258">
        <v>0</v>
      </c>
      <c r="FG37" s="258">
        <v>0</v>
      </c>
      <c r="FH37" s="301">
        <v>0</v>
      </c>
    </row>
    <row r="38" spans="2:164" x14ac:dyDescent="0.2">
      <c r="B38" s="217" t="s">
        <v>336</v>
      </c>
      <c r="C38" s="227">
        <v>0</v>
      </c>
      <c r="D38" s="22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08">
        <v>0</v>
      </c>
      <c r="K38" s="208">
        <v>0</v>
      </c>
      <c r="L38" s="208">
        <v>37</v>
      </c>
      <c r="M38" s="208">
        <v>0</v>
      </c>
      <c r="N38" s="208">
        <v>0</v>
      </c>
      <c r="O38" s="208">
        <v>0</v>
      </c>
      <c r="P38" s="208">
        <v>0</v>
      </c>
      <c r="Q38" s="208">
        <v>0</v>
      </c>
      <c r="R38" s="208">
        <v>0</v>
      </c>
      <c r="S38" s="208">
        <v>0</v>
      </c>
      <c r="T38" s="208">
        <v>0</v>
      </c>
      <c r="U38" s="208">
        <v>0</v>
      </c>
      <c r="V38" s="208">
        <v>0</v>
      </c>
      <c r="W38" s="222">
        <v>37</v>
      </c>
      <c r="X38" s="209"/>
      <c r="Y38" s="217" t="s">
        <v>336</v>
      </c>
      <c r="Z38" s="227">
        <v>0</v>
      </c>
      <c r="AA38" s="228">
        <v>0</v>
      </c>
      <c r="AB38" s="208">
        <v>0</v>
      </c>
      <c r="AC38" s="208">
        <v>0</v>
      </c>
      <c r="AD38" s="208">
        <v>0</v>
      </c>
      <c r="AE38" s="208">
        <v>0</v>
      </c>
      <c r="AF38" s="208">
        <v>0</v>
      </c>
      <c r="AG38" s="208">
        <v>0</v>
      </c>
      <c r="AH38" s="208">
        <v>0</v>
      </c>
      <c r="AI38" s="208">
        <v>6127.1307303877547</v>
      </c>
      <c r="AJ38" s="208">
        <v>0</v>
      </c>
      <c r="AK38" s="252">
        <v>0</v>
      </c>
      <c r="AL38" s="252">
        <v>0</v>
      </c>
      <c r="AM38" s="252">
        <v>0</v>
      </c>
      <c r="AN38" s="252">
        <v>0</v>
      </c>
      <c r="AO38" s="252">
        <v>0</v>
      </c>
      <c r="AP38" s="252">
        <v>0</v>
      </c>
      <c r="AQ38" s="208">
        <v>0</v>
      </c>
      <c r="AR38" s="208">
        <v>0</v>
      </c>
      <c r="AS38" s="208">
        <v>0</v>
      </c>
      <c r="AT38" s="222">
        <v>6127.1307303877547</v>
      </c>
      <c r="AV38" s="217" t="s">
        <v>335</v>
      </c>
      <c r="AW38" s="227">
        <f t="shared" si="80"/>
        <v>0</v>
      </c>
      <c r="AX38" s="227">
        <f t="shared" si="81"/>
        <v>0</v>
      </c>
      <c r="AY38" s="227">
        <f t="shared" si="82"/>
        <v>0</v>
      </c>
      <c r="AZ38" s="227">
        <f t="shared" si="71"/>
        <v>0</v>
      </c>
      <c r="BA38" s="227">
        <f t="shared" si="60"/>
        <v>0</v>
      </c>
      <c r="BB38" s="227">
        <f t="shared" si="72"/>
        <v>0</v>
      </c>
      <c r="BC38" s="227">
        <f t="shared" si="73"/>
        <v>0</v>
      </c>
      <c r="BD38" s="227">
        <f t="shared" si="74"/>
        <v>0</v>
      </c>
      <c r="BE38" s="227">
        <f t="shared" si="75"/>
        <v>0</v>
      </c>
      <c r="BF38" s="227">
        <f t="shared" si="76"/>
        <v>6127.1307303877547</v>
      </c>
      <c r="BG38" s="227">
        <f t="shared" si="77"/>
        <v>0</v>
      </c>
      <c r="BH38" s="252">
        <v>0</v>
      </c>
      <c r="BI38" s="252">
        <v>0</v>
      </c>
      <c r="BJ38" s="252">
        <v>0</v>
      </c>
      <c r="BK38" s="252">
        <v>0</v>
      </c>
      <c r="BL38" s="255">
        <v>0</v>
      </c>
      <c r="BM38" s="252">
        <v>0</v>
      </c>
      <c r="BN38" s="208">
        <f t="shared" si="83"/>
        <v>0</v>
      </c>
      <c r="BO38" s="208">
        <f t="shared" si="78"/>
        <v>0</v>
      </c>
      <c r="BP38" s="208">
        <f t="shared" si="79"/>
        <v>0</v>
      </c>
      <c r="BQ38" s="230">
        <f t="shared" si="57"/>
        <v>6127.1307303877547</v>
      </c>
      <c r="BR38" s="214"/>
      <c r="BS38" s="227"/>
      <c r="BT38" s="286"/>
      <c r="BU38" s="300" t="s">
        <v>336</v>
      </c>
      <c r="BV38" s="293">
        <v>0</v>
      </c>
      <c r="BW38" s="293">
        <v>0</v>
      </c>
      <c r="BX38" s="258">
        <v>0</v>
      </c>
      <c r="BY38" s="258">
        <v>0</v>
      </c>
      <c r="BZ38" s="258">
        <v>0</v>
      </c>
      <c r="CA38" s="258">
        <v>0</v>
      </c>
      <c r="CB38" s="258">
        <v>0</v>
      </c>
      <c r="CC38" s="258">
        <v>0</v>
      </c>
      <c r="CD38" s="258">
        <v>0</v>
      </c>
      <c r="CE38" s="258">
        <v>0</v>
      </c>
      <c r="CF38" s="258">
        <v>0</v>
      </c>
      <c r="CG38" s="258">
        <v>0</v>
      </c>
      <c r="CH38" s="258">
        <v>0</v>
      </c>
      <c r="CI38" s="258">
        <v>0</v>
      </c>
      <c r="CJ38" s="258">
        <v>0</v>
      </c>
      <c r="CK38" s="258">
        <v>0</v>
      </c>
      <c r="CL38" s="258">
        <v>0</v>
      </c>
      <c r="CM38" s="258">
        <v>0</v>
      </c>
      <c r="CN38" s="258">
        <v>0</v>
      </c>
      <c r="CO38" s="258">
        <v>0</v>
      </c>
      <c r="CP38" s="301">
        <v>0</v>
      </c>
      <c r="CQ38" s="302"/>
      <c r="CR38" s="300" t="s">
        <v>336</v>
      </c>
      <c r="CS38" s="293">
        <v>0</v>
      </c>
      <c r="CT38" s="293">
        <v>0</v>
      </c>
      <c r="CU38" s="258">
        <v>0</v>
      </c>
      <c r="CV38" s="258">
        <v>0</v>
      </c>
      <c r="CW38" s="258">
        <v>0</v>
      </c>
      <c r="CX38" s="258">
        <v>0</v>
      </c>
      <c r="CY38" s="258">
        <v>0</v>
      </c>
      <c r="CZ38" s="258">
        <v>0</v>
      </c>
      <c r="DA38" s="258">
        <v>0</v>
      </c>
      <c r="DB38" s="258">
        <v>0</v>
      </c>
      <c r="DC38" s="258">
        <v>0</v>
      </c>
      <c r="DD38" s="258">
        <v>0</v>
      </c>
      <c r="DE38" s="258">
        <v>0</v>
      </c>
      <c r="DF38" s="258">
        <v>0</v>
      </c>
      <c r="DG38" s="258">
        <v>0</v>
      </c>
      <c r="DH38" s="258">
        <v>0</v>
      </c>
      <c r="DI38" s="258">
        <v>0</v>
      </c>
      <c r="DJ38" s="258">
        <v>0</v>
      </c>
      <c r="DK38" s="258">
        <v>0</v>
      </c>
      <c r="DL38" s="258">
        <v>0</v>
      </c>
      <c r="DM38" s="301">
        <v>0</v>
      </c>
      <c r="DN38" s="302"/>
      <c r="DO38" s="302"/>
      <c r="DP38" s="300" t="s">
        <v>336</v>
      </c>
      <c r="DQ38" s="293">
        <v>0</v>
      </c>
      <c r="DR38" s="293">
        <v>0</v>
      </c>
      <c r="DS38" s="258">
        <v>0</v>
      </c>
      <c r="DT38" s="258">
        <v>0</v>
      </c>
      <c r="DU38" s="258">
        <v>0</v>
      </c>
      <c r="DV38" s="258">
        <v>0</v>
      </c>
      <c r="DW38" s="258">
        <v>0</v>
      </c>
      <c r="DX38" s="258">
        <v>0</v>
      </c>
      <c r="DY38" s="258">
        <v>0</v>
      </c>
      <c r="DZ38" s="258">
        <v>0</v>
      </c>
      <c r="EA38" s="258">
        <v>0</v>
      </c>
      <c r="EB38" s="258">
        <v>0</v>
      </c>
      <c r="EC38" s="258">
        <v>0</v>
      </c>
      <c r="ED38" s="258">
        <v>0</v>
      </c>
      <c r="EE38" s="258">
        <v>0</v>
      </c>
      <c r="EF38" s="258">
        <v>0</v>
      </c>
      <c r="EG38" s="258">
        <v>0</v>
      </c>
      <c r="EH38" s="258">
        <v>0</v>
      </c>
      <c r="EI38" s="258">
        <v>0</v>
      </c>
      <c r="EJ38" s="258">
        <v>0</v>
      </c>
      <c r="EK38" s="301">
        <v>0</v>
      </c>
      <c r="EL38" s="287"/>
      <c r="EM38" s="300" t="s">
        <v>336</v>
      </c>
      <c r="EN38" s="293">
        <v>0</v>
      </c>
      <c r="EO38" s="293">
        <v>0</v>
      </c>
      <c r="EP38" s="258">
        <v>0</v>
      </c>
      <c r="EQ38" s="258">
        <v>0</v>
      </c>
      <c r="ER38" s="258">
        <v>0</v>
      </c>
      <c r="ES38" s="258">
        <v>0</v>
      </c>
      <c r="ET38" s="258">
        <v>0</v>
      </c>
      <c r="EU38" s="258">
        <v>0</v>
      </c>
      <c r="EV38" s="258">
        <v>0</v>
      </c>
      <c r="EW38" s="258">
        <v>0</v>
      </c>
      <c r="EX38" s="258">
        <v>0</v>
      </c>
      <c r="EY38" s="258">
        <v>0</v>
      </c>
      <c r="EZ38" s="258">
        <v>0</v>
      </c>
      <c r="FA38" s="258">
        <v>0</v>
      </c>
      <c r="FB38" s="258">
        <v>0</v>
      </c>
      <c r="FC38" s="258">
        <v>0</v>
      </c>
      <c r="FD38" s="258">
        <v>0</v>
      </c>
      <c r="FE38" s="258">
        <v>0</v>
      </c>
      <c r="FF38" s="258">
        <v>0</v>
      </c>
      <c r="FG38" s="258">
        <v>0</v>
      </c>
      <c r="FH38" s="301">
        <v>0</v>
      </c>
    </row>
    <row r="39" spans="2:164" x14ac:dyDescent="0.2">
      <c r="B39" s="217" t="s">
        <v>337</v>
      </c>
      <c r="C39" s="227">
        <v>0</v>
      </c>
      <c r="D39" s="22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>
        <v>0</v>
      </c>
      <c r="L39" s="208">
        <v>0</v>
      </c>
      <c r="M39" s="208">
        <v>10</v>
      </c>
      <c r="N39" s="208">
        <v>0</v>
      </c>
      <c r="O39" s="208">
        <v>0</v>
      </c>
      <c r="P39" s="208">
        <v>0</v>
      </c>
      <c r="Q39" s="208">
        <v>0</v>
      </c>
      <c r="R39" s="208">
        <v>0</v>
      </c>
      <c r="S39" s="208">
        <v>1</v>
      </c>
      <c r="T39" s="208">
        <v>0</v>
      </c>
      <c r="U39" s="208">
        <v>0</v>
      </c>
      <c r="V39" s="208">
        <v>0</v>
      </c>
      <c r="W39" s="222">
        <v>11</v>
      </c>
      <c r="X39" s="209"/>
      <c r="Y39" s="217" t="s">
        <v>337</v>
      </c>
      <c r="Z39" s="227">
        <v>0</v>
      </c>
      <c r="AA39" s="228">
        <v>0</v>
      </c>
      <c r="AB39" s="208">
        <v>0</v>
      </c>
      <c r="AC39" s="208">
        <v>0</v>
      </c>
      <c r="AD39" s="208">
        <v>0</v>
      </c>
      <c r="AE39" s="208">
        <v>0</v>
      </c>
      <c r="AF39" s="208">
        <v>0</v>
      </c>
      <c r="AG39" s="208">
        <v>0</v>
      </c>
      <c r="AH39" s="208">
        <v>0</v>
      </c>
      <c r="AI39" s="208">
        <v>0</v>
      </c>
      <c r="AJ39" s="208">
        <v>1176.2668706672941</v>
      </c>
      <c r="AK39" s="252">
        <v>0</v>
      </c>
      <c r="AL39" s="252">
        <v>0</v>
      </c>
      <c r="AM39" s="252">
        <v>0</v>
      </c>
      <c r="AN39" s="252">
        <v>0</v>
      </c>
      <c r="AO39" s="252">
        <v>0</v>
      </c>
      <c r="AP39" s="252">
        <v>0</v>
      </c>
      <c r="AQ39" s="208">
        <v>0</v>
      </c>
      <c r="AR39" s="208">
        <v>0</v>
      </c>
      <c r="AS39" s="208">
        <v>0</v>
      </c>
      <c r="AT39" s="222">
        <v>1176.2668706672941</v>
      </c>
      <c r="AV39" s="217" t="s">
        <v>336</v>
      </c>
      <c r="AW39" s="227">
        <f t="shared" si="80"/>
        <v>0</v>
      </c>
      <c r="AX39" s="227">
        <f t="shared" si="81"/>
        <v>0</v>
      </c>
      <c r="AY39" s="227">
        <f t="shared" si="82"/>
        <v>0</v>
      </c>
      <c r="AZ39" s="227">
        <f t="shared" si="71"/>
        <v>0</v>
      </c>
      <c r="BA39" s="227">
        <f t="shared" si="60"/>
        <v>0</v>
      </c>
      <c r="BB39" s="227">
        <f t="shared" si="72"/>
        <v>0</v>
      </c>
      <c r="BC39" s="227">
        <f t="shared" si="73"/>
        <v>0</v>
      </c>
      <c r="BD39" s="227">
        <f t="shared" si="74"/>
        <v>0</v>
      </c>
      <c r="BE39" s="227">
        <f t="shared" si="75"/>
        <v>0</v>
      </c>
      <c r="BF39" s="227">
        <f t="shared" si="76"/>
        <v>0</v>
      </c>
      <c r="BG39" s="227">
        <f t="shared" si="77"/>
        <v>1176.2668706672941</v>
      </c>
      <c r="BH39" s="252">
        <v>0</v>
      </c>
      <c r="BI39" s="252">
        <v>0</v>
      </c>
      <c r="BJ39" s="252">
        <v>0</v>
      </c>
      <c r="BK39" s="252">
        <v>0</v>
      </c>
      <c r="BL39" s="255">
        <v>0</v>
      </c>
      <c r="BM39" s="252">
        <v>0</v>
      </c>
      <c r="BN39" s="208">
        <f t="shared" si="83"/>
        <v>0</v>
      </c>
      <c r="BO39" s="208">
        <f t="shared" si="78"/>
        <v>0</v>
      </c>
      <c r="BP39" s="208">
        <f t="shared" si="79"/>
        <v>0</v>
      </c>
      <c r="BQ39" s="230">
        <f t="shared" si="57"/>
        <v>1176.2668706672941</v>
      </c>
      <c r="BR39" s="214"/>
      <c r="BS39" s="227"/>
      <c r="BT39" s="286"/>
      <c r="BU39" s="300" t="s">
        <v>337</v>
      </c>
      <c r="BV39" s="293">
        <v>0</v>
      </c>
      <c r="BW39" s="293">
        <v>0</v>
      </c>
      <c r="BX39" s="258">
        <v>0</v>
      </c>
      <c r="BY39" s="258">
        <v>0</v>
      </c>
      <c r="BZ39" s="258">
        <v>0</v>
      </c>
      <c r="CA39" s="258">
        <v>0</v>
      </c>
      <c r="CB39" s="258">
        <v>0</v>
      </c>
      <c r="CC39" s="258">
        <v>0</v>
      </c>
      <c r="CD39" s="258">
        <v>0</v>
      </c>
      <c r="CE39" s="258">
        <v>0</v>
      </c>
      <c r="CF39" s="258">
        <v>0</v>
      </c>
      <c r="CG39" s="258">
        <v>0</v>
      </c>
      <c r="CH39" s="258">
        <v>0</v>
      </c>
      <c r="CI39" s="258">
        <v>0</v>
      </c>
      <c r="CJ39" s="258">
        <v>0</v>
      </c>
      <c r="CK39" s="258">
        <v>0</v>
      </c>
      <c r="CL39" s="258">
        <v>0</v>
      </c>
      <c r="CM39" s="258">
        <v>0</v>
      </c>
      <c r="CN39" s="258">
        <v>0</v>
      </c>
      <c r="CO39" s="258">
        <v>0</v>
      </c>
      <c r="CP39" s="301">
        <v>0</v>
      </c>
      <c r="CQ39" s="302"/>
      <c r="CR39" s="300" t="s">
        <v>337</v>
      </c>
      <c r="CS39" s="293">
        <v>0</v>
      </c>
      <c r="CT39" s="293">
        <v>0</v>
      </c>
      <c r="CU39" s="258">
        <v>0</v>
      </c>
      <c r="CV39" s="258">
        <v>0</v>
      </c>
      <c r="CW39" s="258">
        <v>0</v>
      </c>
      <c r="CX39" s="258">
        <v>0</v>
      </c>
      <c r="CY39" s="258">
        <v>0</v>
      </c>
      <c r="CZ39" s="258">
        <v>0</v>
      </c>
      <c r="DA39" s="258">
        <v>0</v>
      </c>
      <c r="DB39" s="258">
        <v>0</v>
      </c>
      <c r="DC39" s="258">
        <v>0</v>
      </c>
      <c r="DD39" s="258">
        <v>0</v>
      </c>
      <c r="DE39" s="258">
        <v>0</v>
      </c>
      <c r="DF39" s="258">
        <v>0</v>
      </c>
      <c r="DG39" s="258">
        <v>0</v>
      </c>
      <c r="DH39" s="258">
        <v>0</v>
      </c>
      <c r="DI39" s="258">
        <v>0</v>
      </c>
      <c r="DJ39" s="258">
        <v>0</v>
      </c>
      <c r="DK39" s="258">
        <v>0</v>
      </c>
      <c r="DL39" s="258">
        <v>0</v>
      </c>
      <c r="DM39" s="301">
        <v>0</v>
      </c>
      <c r="DN39" s="302"/>
      <c r="DO39" s="302"/>
      <c r="DP39" s="300" t="s">
        <v>337</v>
      </c>
      <c r="DQ39" s="293">
        <v>0</v>
      </c>
      <c r="DR39" s="293">
        <v>0</v>
      </c>
      <c r="DS39" s="258">
        <v>0</v>
      </c>
      <c r="DT39" s="258">
        <v>0</v>
      </c>
      <c r="DU39" s="258">
        <v>0</v>
      </c>
      <c r="DV39" s="258">
        <v>0</v>
      </c>
      <c r="DW39" s="258">
        <v>0</v>
      </c>
      <c r="DX39" s="258">
        <v>0</v>
      </c>
      <c r="DY39" s="258">
        <v>0</v>
      </c>
      <c r="DZ39" s="258">
        <v>0</v>
      </c>
      <c r="EA39" s="258">
        <v>0</v>
      </c>
      <c r="EB39" s="258">
        <v>0</v>
      </c>
      <c r="EC39" s="258">
        <v>0</v>
      </c>
      <c r="ED39" s="258">
        <v>0</v>
      </c>
      <c r="EE39" s="258">
        <v>0</v>
      </c>
      <c r="EF39" s="258">
        <v>0</v>
      </c>
      <c r="EG39" s="258">
        <v>0</v>
      </c>
      <c r="EH39" s="258">
        <v>0</v>
      </c>
      <c r="EI39" s="258">
        <v>0</v>
      </c>
      <c r="EJ39" s="258">
        <v>0</v>
      </c>
      <c r="EK39" s="301">
        <v>0</v>
      </c>
      <c r="EL39" s="287"/>
      <c r="EM39" s="300" t="s">
        <v>337</v>
      </c>
      <c r="EN39" s="293">
        <v>0</v>
      </c>
      <c r="EO39" s="293">
        <v>0</v>
      </c>
      <c r="EP39" s="258">
        <v>0</v>
      </c>
      <c r="EQ39" s="258">
        <v>0</v>
      </c>
      <c r="ER39" s="258">
        <v>0</v>
      </c>
      <c r="ES39" s="258">
        <v>0</v>
      </c>
      <c r="ET39" s="258">
        <v>0</v>
      </c>
      <c r="EU39" s="258">
        <v>0</v>
      </c>
      <c r="EV39" s="258">
        <v>0</v>
      </c>
      <c r="EW39" s="258">
        <v>0</v>
      </c>
      <c r="EX39" s="258">
        <v>0</v>
      </c>
      <c r="EY39" s="258">
        <v>0</v>
      </c>
      <c r="EZ39" s="258">
        <v>0</v>
      </c>
      <c r="FA39" s="258">
        <v>0</v>
      </c>
      <c r="FB39" s="258">
        <v>0</v>
      </c>
      <c r="FC39" s="258">
        <v>0</v>
      </c>
      <c r="FD39" s="258">
        <v>0</v>
      </c>
      <c r="FE39" s="258">
        <v>0</v>
      </c>
      <c r="FF39" s="258">
        <v>0</v>
      </c>
      <c r="FG39" s="258">
        <v>0</v>
      </c>
      <c r="FH39" s="301">
        <v>0</v>
      </c>
    </row>
    <row r="40" spans="2:164" x14ac:dyDescent="0.2">
      <c r="B40" s="217" t="s">
        <v>338</v>
      </c>
      <c r="C40" s="227">
        <v>0</v>
      </c>
      <c r="D40" s="228">
        <v>0</v>
      </c>
      <c r="E40" s="208">
        <v>0</v>
      </c>
      <c r="F40" s="208">
        <v>0</v>
      </c>
      <c r="G40" s="208">
        <v>0</v>
      </c>
      <c r="H40" s="208">
        <v>0</v>
      </c>
      <c r="I40" s="208">
        <v>0</v>
      </c>
      <c r="J40" s="208">
        <v>0</v>
      </c>
      <c r="K40" s="208">
        <v>0</v>
      </c>
      <c r="L40" s="208">
        <v>0</v>
      </c>
      <c r="M40" s="208">
        <v>0</v>
      </c>
      <c r="N40" s="208">
        <v>2</v>
      </c>
      <c r="O40" s="208">
        <v>0</v>
      </c>
      <c r="P40" s="208">
        <v>0</v>
      </c>
      <c r="Q40" s="208">
        <v>0</v>
      </c>
      <c r="R40" s="208">
        <v>0</v>
      </c>
      <c r="S40" s="208">
        <v>0</v>
      </c>
      <c r="T40" s="208">
        <v>0</v>
      </c>
      <c r="U40" s="208">
        <v>0</v>
      </c>
      <c r="V40" s="208">
        <v>0</v>
      </c>
      <c r="W40" s="222">
        <v>2</v>
      </c>
      <c r="X40" s="209"/>
      <c r="Y40" s="217" t="s">
        <v>338</v>
      </c>
      <c r="Z40" s="227">
        <v>0</v>
      </c>
      <c r="AA40" s="228">
        <v>0</v>
      </c>
      <c r="AB40" s="208">
        <v>0</v>
      </c>
      <c r="AC40" s="208">
        <v>0</v>
      </c>
      <c r="AD40" s="208">
        <v>0</v>
      </c>
      <c r="AE40" s="208">
        <v>0</v>
      </c>
      <c r="AF40" s="208">
        <v>0</v>
      </c>
      <c r="AG40" s="208">
        <v>0</v>
      </c>
      <c r="AH40" s="208">
        <v>0</v>
      </c>
      <c r="AI40" s="208">
        <v>0</v>
      </c>
      <c r="AJ40" s="208">
        <v>0</v>
      </c>
      <c r="AK40" s="252">
        <v>2430.5251622708747</v>
      </c>
      <c r="AL40" s="252">
        <v>0</v>
      </c>
      <c r="AM40" s="252">
        <v>0</v>
      </c>
      <c r="AN40" s="252">
        <v>0</v>
      </c>
      <c r="AO40" s="252">
        <v>0</v>
      </c>
      <c r="AP40" s="252">
        <v>0</v>
      </c>
      <c r="AQ40" s="208">
        <v>0</v>
      </c>
      <c r="AR40" s="208">
        <v>0</v>
      </c>
      <c r="AS40" s="208">
        <v>0</v>
      </c>
      <c r="AT40" s="222">
        <v>2430.5251622708747</v>
      </c>
      <c r="AV40" s="217" t="s">
        <v>337</v>
      </c>
      <c r="AW40" s="227">
        <f t="shared" si="80"/>
        <v>0</v>
      </c>
      <c r="AX40" s="227">
        <f t="shared" si="81"/>
        <v>0</v>
      </c>
      <c r="AY40" s="227">
        <f t="shared" si="82"/>
        <v>0</v>
      </c>
      <c r="AZ40" s="227">
        <f t="shared" si="71"/>
        <v>0</v>
      </c>
      <c r="BA40" s="227">
        <f t="shared" si="60"/>
        <v>0</v>
      </c>
      <c r="BB40" s="227">
        <f t="shared" si="72"/>
        <v>0</v>
      </c>
      <c r="BC40" s="227">
        <f t="shared" si="73"/>
        <v>0</v>
      </c>
      <c r="BD40" s="227">
        <f t="shared" si="74"/>
        <v>0</v>
      </c>
      <c r="BE40" s="227">
        <f t="shared" si="75"/>
        <v>0</v>
      </c>
      <c r="BF40" s="227">
        <f t="shared" si="76"/>
        <v>0</v>
      </c>
      <c r="BG40" s="227">
        <f t="shared" si="77"/>
        <v>0</v>
      </c>
      <c r="BH40" s="252">
        <v>0</v>
      </c>
      <c r="BI40" s="252">
        <v>0</v>
      </c>
      <c r="BJ40" s="252">
        <v>0</v>
      </c>
      <c r="BK40" s="252">
        <v>0</v>
      </c>
      <c r="BL40" s="252">
        <v>0</v>
      </c>
      <c r="BM40" s="255">
        <v>0</v>
      </c>
      <c r="BN40" s="208">
        <f t="shared" si="83"/>
        <v>0</v>
      </c>
      <c r="BO40" s="208">
        <f t="shared" si="78"/>
        <v>0</v>
      </c>
      <c r="BP40" s="208">
        <f t="shared" si="79"/>
        <v>0</v>
      </c>
      <c r="BQ40" s="230">
        <f t="shared" si="57"/>
        <v>0</v>
      </c>
      <c r="BR40" s="214"/>
      <c r="BS40" s="227"/>
      <c r="BT40" s="286"/>
      <c r="BU40" s="300" t="s">
        <v>338</v>
      </c>
      <c r="BV40" s="293">
        <v>0</v>
      </c>
      <c r="BW40" s="293">
        <v>0</v>
      </c>
      <c r="BX40" s="258">
        <v>0</v>
      </c>
      <c r="BY40" s="258">
        <v>0</v>
      </c>
      <c r="BZ40" s="258">
        <v>0</v>
      </c>
      <c r="CA40" s="258">
        <v>0</v>
      </c>
      <c r="CB40" s="258">
        <v>0</v>
      </c>
      <c r="CC40" s="258">
        <v>0</v>
      </c>
      <c r="CD40" s="258">
        <v>0</v>
      </c>
      <c r="CE40" s="258">
        <v>0</v>
      </c>
      <c r="CF40" s="258">
        <v>0</v>
      </c>
      <c r="CG40" s="258">
        <v>0</v>
      </c>
      <c r="CH40" s="258">
        <v>0</v>
      </c>
      <c r="CI40" s="258">
        <v>0</v>
      </c>
      <c r="CJ40" s="258">
        <v>0</v>
      </c>
      <c r="CK40" s="258">
        <v>0</v>
      </c>
      <c r="CL40" s="258">
        <v>0</v>
      </c>
      <c r="CM40" s="258">
        <v>0</v>
      </c>
      <c r="CN40" s="258">
        <v>0</v>
      </c>
      <c r="CO40" s="258">
        <v>0</v>
      </c>
      <c r="CP40" s="301">
        <v>0</v>
      </c>
      <c r="CQ40" s="302"/>
      <c r="CR40" s="300" t="s">
        <v>338</v>
      </c>
      <c r="CS40" s="293">
        <v>0</v>
      </c>
      <c r="CT40" s="293">
        <v>0</v>
      </c>
      <c r="CU40" s="258">
        <v>0</v>
      </c>
      <c r="CV40" s="258">
        <v>0</v>
      </c>
      <c r="CW40" s="258">
        <v>0</v>
      </c>
      <c r="CX40" s="258">
        <v>0</v>
      </c>
      <c r="CY40" s="258">
        <v>0</v>
      </c>
      <c r="CZ40" s="258">
        <v>0</v>
      </c>
      <c r="DA40" s="258">
        <v>0</v>
      </c>
      <c r="DB40" s="258">
        <v>0</v>
      </c>
      <c r="DC40" s="258">
        <v>0</v>
      </c>
      <c r="DD40" s="258">
        <v>0</v>
      </c>
      <c r="DE40" s="258">
        <v>0</v>
      </c>
      <c r="DF40" s="258">
        <v>0</v>
      </c>
      <c r="DG40" s="258">
        <v>0</v>
      </c>
      <c r="DH40" s="258">
        <v>0</v>
      </c>
      <c r="DI40" s="258">
        <v>0</v>
      </c>
      <c r="DJ40" s="258">
        <v>0</v>
      </c>
      <c r="DK40" s="258">
        <v>0</v>
      </c>
      <c r="DL40" s="258">
        <v>0</v>
      </c>
      <c r="DM40" s="301">
        <v>0</v>
      </c>
      <c r="DN40" s="302"/>
      <c r="DO40" s="302"/>
      <c r="DP40" s="300" t="s">
        <v>338</v>
      </c>
      <c r="DQ40" s="293">
        <v>0</v>
      </c>
      <c r="DR40" s="293">
        <v>0</v>
      </c>
      <c r="DS40" s="258">
        <v>0</v>
      </c>
      <c r="DT40" s="258">
        <v>0</v>
      </c>
      <c r="DU40" s="258">
        <v>0</v>
      </c>
      <c r="DV40" s="258">
        <v>0</v>
      </c>
      <c r="DW40" s="258">
        <v>0</v>
      </c>
      <c r="DX40" s="258">
        <v>0</v>
      </c>
      <c r="DY40" s="258">
        <v>0</v>
      </c>
      <c r="DZ40" s="258">
        <v>0</v>
      </c>
      <c r="EA40" s="258">
        <v>0</v>
      </c>
      <c r="EB40" s="258">
        <v>0</v>
      </c>
      <c r="EC40" s="258">
        <v>0</v>
      </c>
      <c r="ED40" s="258">
        <v>0</v>
      </c>
      <c r="EE40" s="258">
        <v>0</v>
      </c>
      <c r="EF40" s="258">
        <v>0</v>
      </c>
      <c r="EG40" s="258">
        <v>0</v>
      </c>
      <c r="EH40" s="258">
        <v>0</v>
      </c>
      <c r="EI40" s="258">
        <v>0</v>
      </c>
      <c r="EJ40" s="258">
        <v>0</v>
      </c>
      <c r="EK40" s="301">
        <v>0</v>
      </c>
      <c r="EL40" s="287"/>
      <c r="EM40" s="300" t="s">
        <v>338</v>
      </c>
      <c r="EN40" s="293">
        <v>0</v>
      </c>
      <c r="EO40" s="293">
        <v>0</v>
      </c>
      <c r="EP40" s="258">
        <v>0</v>
      </c>
      <c r="EQ40" s="258">
        <v>0</v>
      </c>
      <c r="ER40" s="258">
        <v>0</v>
      </c>
      <c r="ES40" s="258">
        <v>0</v>
      </c>
      <c r="ET40" s="258">
        <v>0</v>
      </c>
      <c r="EU40" s="258">
        <v>0</v>
      </c>
      <c r="EV40" s="258">
        <v>0</v>
      </c>
      <c r="EW40" s="258">
        <v>0</v>
      </c>
      <c r="EX40" s="258">
        <v>0</v>
      </c>
      <c r="EY40" s="258">
        <v>0</v>
      </c>
      <c r="EZ40" s="258">
        <v>0</v>
      </c>
      <c r="FA40" s="258">
        <v>0</v>
      </c>
      <c r="FB40" s="258">
        <v>0</v>
      </c>
      <c r="FC40" s="258">
        <v>0</v>
      </c>
      <c r="FD40" s="258">
        <v>0</v>
      </c>
      <c r="FE40" s="258">
        <v>0</v>
      </c>
      <c r="FF40" s="258">
        <v>0</v>
      </c>
      <c r="FG40" s="258">
        <v>0</v>
      </c>
      <c r="FH40" s="301">
        <v>0</v>
      </c>
    </row>
    <row r="41" spans="2:164" x14ac:dyDescent="0.2">
      <c r="B41" s="217" t="s">
        <v>353</v>
      </c>
      <c r="C41" s="227">
        <v>0</v>
      </c>
      <c r="D41" s="228">
        <v>0</v>
      </c>
      <c r="E41" s="208">
        <v>0</v>
      </c>
      <c r="F41" s="208">
        <v>0</v>
      </c>
      <c r="G41" s="208">
        <v>0</v>
      </c>
      <c r="H41" s="208">
        <v>0</v>
      </c>
      <c r="I41" s="208">
        <v>0</v>
      </c>
      <c r="J41" s="208">
        <v>0</v>
      </c>
      <c r="K41" s="208">
        <v>0</v>
      </c>
      <c r="L41" s="208">
        <v>0</v>
      </c>
      <c r="M41" s="208">
        <v>0</v>
      </c>
      <c r="N41" s="208">
        <v>0</v>
      </c>
      <c r="O41" s="208">
        <v>0</v>
      </c>
      <c r="P41" s="208">
        <v>0</v>
      </c>
      <c r="Q41" s="208">
        <v>0</v>
      </c>
      <c r="R41" s="208">
        <v>0</v>
      </c>
      <c r="S41" s="208">
        <v>0</v>
      </c>
      <c r="T41" s="208">
        <v>0</v>
      </c>
      <c r="U41" s="208">
        <v>0</v>
      </c>
      <c r="V41" s="208">
        <v>0</v>
      </c>
      <c r="W41" s="222">
        <v>0</v>
      </c>
      <c r="Y41" s="217" t="s">
        <v>353</v>
      </c>
      <c r="Z41" s="227">
        <v>0</v>
      </c>
      <c r="AA41" s="228">
        <v>0</v>
      </c>
      <c r="AB41" s="208">
        <v>0</v>
      </c>
      <c r="AC41" s="208">
        <v>0</v>
      </c>
      <c r="AD41" s="208">
        <v>0</v>
      </c>
      <c r="AE41" s="252">
        <v>0</v>
      </c>
      <c r="AF41" s="252">
        <v>0</v>
      </c>
      <c r="AG41" s="252">
        <v>0</v>
      </c>
      <c r="AH41" s="252">
        <v>0</v>
      </c>
      <c r="AI41" s="252">
        <v>0</v>
      </c>
      <c r="AJ41" s="252">
        <v>0</v>
      </c>
      <c r="AK41" s="208">
        <v>0</v>
      </c>
      <c r="AL41" s="208">
        <v>0</v>
      </c>
      <c r="AM41" s="208">
        <v>0</v>
      </c>
      <c r="AN41" s="208">
        <v>0</v>
      </c>
      <c r="AO41" s="208">
        <v>0</v>
      </c>
      <c r="AP41" s="208">
        <v>0</v>
      </c>
      <c r="AQ41" s="208">
        <v>0</v>
      </c>
      <c r="AR41" s="208">
        <v>0</v>
      </c>
      <c r="AS41" s="208">
        <v>0</v>
      </c>
      <c r="AT41" s="222">
        <v>0</v>
      </c>
      <c r="AV41" s="217" t="s">
        <v>338</v>
      </c>
      <c r="AW41" s="227">
        <f t="shared" si="80"/>
        <v>0</v>
      </c>
      <c r="AX41" s="227">
        <f t="shared" si="81"/>
        <v>0</v>
      </c>
      <c r="AY41" s="227">
        <f t="shared" si="82"/>
        <v>0</v>
      </c>
      <c r="AZ41" s="227">
        <f t="shared" si="71"/>
        <v>0</v>
      </c>
      <c r="BA41" s="227">
        <f t="shared" si="60"/>
        <v>0</v>
      </c>
      <c r="BB41" s="255">
        <v>0</v>
      </c>
      <c r="BC41" s="252">
        <v>0</v>
      </c>
      <c r="BD41" s="252">
        <v>0</v>
      </c>
      <c r="BE41" s="252">
        <v>0</v>
      </c>
      <c r="BF41" s="252">
        <v>0</v>
      </c>
      <c r="BG41" s="252">
        <v>0</v>
      </c>
      <c r="BH41" s="208">
        <f t="shared" ref="BH41:BH49" si="84">AK41</f>
        <v>0</v>
      </c>
      <c r="BI41" s="208">
        <f t="shared" ref="BI41:BI49" si="85">AL41</f>
        <v>0</v>
      </c>
      <c r="BJ41" s="208">
        <f t="shared" ref="BJ41:BJ49" si="86">AM41</f>
        <v>0</v>
      </c>
      <c r="BK41" s="208">
        <f t="shared" ref="BK41:BK49" si="87">AN41</f>
        <v>0</v>
      </c>
      <c r="BL41" s="208">
        <f t="shared" ref="BL41:BL49" si="88">AO41</f>
        <v>0</v>
      </c>
      <c r="BM41" s="208">
        <f t="shared" ref="BM41:BM49" si="89">AP41</f>
        <v>0</v>
      </c>
      <c r="BN41" s="208">
        <f t="shared" si="83"/>
        <v>0</v>
      </c>
      <c r="BO41" s="208">
        <f t="shared" si="78"/>
        <v>0</v>
      </c>
      <c r="BP41" s="208">
        <f t="shared" si="79"/>
        <v>0</v>
      </c>
      <c r="BQ41" s="230">
        <f t="shared" si="57"/>
        <v>0</v>
      </c>
      <c r="BR41" s="214"/>
      <c r="BS41" s="227"/>
      <c r="BT41" s="286"/>
      <c r="BU41" s="300" t="s">
        <v>353</v>
      </c>
      <c r="BV41" s="293">
        <v>0</v>
      </c>
      <c r="BW41" s="293">
        <v>0</v>
      </c>
      <c r="BX41" s="258">
        <v>0</v>
      </c>
      <c r="BY41" s="258">
        <v>0</v>
      </c>
      <c r="BZ41" s="258">
        <v>0</v>
      </c>
      <c r="CA41" s="258">
        <v>0</v>
      </c>
      <c r="CB41" s="258">
        <v>0</v>
      </c>
      <c r="CC41" s="258">
        <v>0</v>
      </c>
      <c r="CD41" s="258">
        <v>0</v>
      </c>
      <c r="CE41" s="258">
        <v>0</v>
      </c>
      <c r="CF41" s="258">
        <v>0</v>
      </c>
      <c r="CG41" s="258">
        <v>0</v>
      </c>
      <c r="CH41" s="258">
        <v>0</v>
      </c>
      <c r="CI41" s="258">
        <v>0</v>
      </c>
      <c r="CJ41" s="258">
        <v>0</v>
      </c>
      <c r="CK41" s="258">
        <v>0</v>
      </c>
      <c r="CL41" s="258">
        <v>0</v>
      </c>
      <c r="CM41" s="258">
        <v>0</v>
      </c>
      <c r="CN41" s="258">
        <v>0</v>
      </c>
      <c r="CO41" s="258">
        <v>0</v>
      </c>
      <c r="CP41" s="301">
        <v>0</v>
      </c>
      <c r="CQ41" s="302"/>
      <c r="CR41" s="300" t="s">
        <v>353</v>
      </c>
      <c r="CS41" s="293">
        <v>0</v>
      </c>
      <c r="CT41" s="293">
        <v>0</v>
      </c>
      <c r="CU41" s="258">
        <v>0</v>
      </c>
      <c r="CV41" s="258">
        <v>0</v>
      </c>
      <c r="CW41" s="258">
        <v>0</v>
      </c>
      <c r="CX41" s="258">
        <v>0</v>
      </c>
      <c r="CY41" s="258">
        <v>0</v>
      </c>
      <c r="CZ41" s="258">
        <v>0</v>
      </c>
      <c r="DA41" s="258">
        <v>0</v>
      </c>
      <c r="DB41" s="258">
        <v>0</v>
      </c>
      <c r="DC41" s="258">
        <v>0</v>
      </c>
      <c r="DD41" s="258">
        <v>0</v>
      </c>
      <c r="DE41" s="258">
        <v>0</v>
      </c>
      <c r="DF41" s="258">
        <v>0</v>
      </c>
      <c r="DG41" s="258">
        <v>0</v>
      </c>
      <c r="DH41" s="258">
        <v>0</v>
      </c>
      <c r="DI41" s="258">
        <v>0</v>
      </c>
      <c r="DJ41" s="258">
        <v>0</v>
      </c>
      <c r="DK41" s="258">
        <v>0</v>
      </c>
      <c r="DL41" s="258">
        <v>0</v>
      </c>
      <c r="DM41" s="301">
        <v>0</v>
      </c>
      <c r="DN41" s="302"/>
      <c r="DO41" s="302"/>
      <c r="DP41" s="300" t="s">
        <v>353</v>
      </c>
      <c r="DQ41" s="293">
        <v>0</v>
      </c>
      <c r="DR41" s="293">
        <v>0</v>
      </c>
      <c r="DS41" s="258">
        <v>0</v>
      </c>
      <c r="DT41" s="258">
        <v>0</v>
      </c>
      <c r="DU41" s="258">
        <v>0</v>
      </c>
      <c r="DV41" s="258">
        <v>0</v>
      </c>
      <c r="DW41" s="258">
        <v>0</v>
      </c>
      <c r="DX41" s="258">
        <v>0</v>
      </c>
      <c r="DY41" s="258">
        <v>0</v>
      </c>
      <c r="DZ41" s="258">
        <v>0</v>
      </c>
      <c r="EA41" s="258">
        <v>0</v>
      </c>
      <c r="EB41" s="258">
        <v>0</v>
      </c>
      <c r="EC41" s="258">
        <v>0</v>
      </c>
      <c r="ED41" s="258">
        <v>0</v>
      </c>
      <c r="EE41" s="258">
        <v>0</v>
      </c>
      <c r="EF41" s="258">
        <v>0</v>
      </c>
      <c r="EG41" s="258">
        <v>0</v>
      </c>
      <c r="EH41" s="258">
        <v>0</v>
      </c>
      <c r="EI41" s="258">
        <v>0</v>
      </c>
      <c r="EJ41" s="258">
        <v>0</v>
      </c>
      <c r="EK41" s="301">
        <v>0</v>
      </c>
      <c r="EL41" s="287"/>
      <c r="EM41" s="300" t="s">
        <v>353</v>
      </c>
      <c r="EN41" s="293">
        <v>0</v>
      </c>
      <c r="EO41" s="293">
        <v>0</v>
      </c>
      <c r="EP41" s="258">
        <v>0</v>
      </c>
      <c r="EQ41" s="258">
        <v>0</v>
      </c>
      <c r="ER41" s="258">
        <v>0</v>
      </c>
      <c r="ES41" s="258">
        <v>0</v>
      </c>
      <c r="ET41" s="258">
        <v>0</v>
      </c>
      <c r="EU41" s="258">
        <v>0</v>
      </c>
      <c r="EV41" s="258">
        <v>0</v>
      </c>
      <c r="EW41" s="258">
        <v>0</v>
      </c>
      <c r="EX41" s="258">
        <v>0</v>
      </c>
      <c r="EY41" s="258">
        <v>0</v>
      </c>
      <c r="EZ41" s="258">
        <v>0</v>
      </c>
      <c r="FA41" s="258">
        <v>0</v>
      </c>
      <c r="FB41" s="258">
        <v>0</v>
      </c>
      <c r="FC41" s="258">
        <v>0</v>
      </c>
      <c r="FD41" s="258">
        <v>0</v>
      </c>
      <c r="FE41" s="258">
        <v>0</v>
      </c>
      <c r="FF41" s="258">
        <v>0</v>
      </c>
      <c r="FG41" s="258">
        <v>0</v>
      </c>
      <c r="FH41" s="301">
        <v>0</v>
      </c>
    </row>
    <row r="42" spans="2:164" x14ac:dyDescent="0.2">
      <c r="B42" s="217" t="s">
        <v>339</v>
      </c>
      <c r="C42" s="227">
        <v>0</v>
      </c>
      <c r="D42" s="228">
        <v>0</v>
      </c>
      <c r="E42" s="208">
        <v>0</v>
      </c>
      <c r="F42" s="208">
        <v>0</v>
      </c>
      <c r="G42" s="208">
        <v>0</v>
      </c>
      <c r="H42" s="208">
        <v>0</v>
      </c>
      <c r="I42" s="208">
        <v>0</v>
      </c>
      <c r="J42" s="208">
        <v>0</v>
      </c>
      <c r="K42" s="208">
        <v>0</v>
      </c>
      <c r="L42" s="208">
        <v>0</v>
      </c>
      <c r="M42" s="208">
        <v>0</v>
      </c>
      <c r="N42" s="208">
        <v>0</v>
      </c>
      <c r="O42" s="208">
        <v>0</v>
      </c>
      <c r="P42" s="208">
        <v>0</v>
      </c>
      <c r="Q42" s="208">
        <v>0</v>
      </c>
      <c r="R42" s="208">
        <v>0</v>
      </c>
      <c r="S42" s="208">
        <v>0</v>
      </c>
      <c r="T42" s="208">
        <v>0</v>
      </c>
      <c r="U42" s="208">
        <v>0</v>
      </c>
      <c r="V42" s="208">
        <v>0</v>
      </c>
      <c r="W42" s="222">
        <v>0</v>
      </c>
      <c r="Y42" s="217" t="s">
        <v>339</v>
      </c>
      <c r="Z42" s="227">
        <v>0</v>
      </c>
      <c r="AA42" s="228">
        <v>0</v>
      </c>
      <c r="AB42" s="208">
        <v>0</v>
      </c>
      <c r="AC42" s="208">
        <v>0</v>
      </c>
      <c r="AD42" s="208">
        <v>0</v>
      </c>
      <c r="AE42" s="252">
        <v>0</v>
      </c>
      <c r="AF42" s="252">
        <v>0</v>
      </c>
      <c r="AG42" s="252">
        <v>0</v>
      </c>
      <c r="AH42" s="252">
        <v>0</v>
      </c>
      <c r="AI42" s="252">
        <v>0</v>
      </c>
      <c r="AJ42" s="252">
        <v>0</v>
      </c>
      <c r="AK42" s="208">
        <v>0</v>
      </c>
      <c r="AL42" s="208">
        <v>0</v>
      </c>
      <c r="AM42" s="208">
        <v>0</v>
      </c>
      <c r="AN42" s="208">
        <v>0</v>
      </c>
      <c r="AO42" s="208">
        <v>0</v>
      </c>
      <c r="AP42" s="208">
        <v>0</v>
      </c>
      <c r="AQ42" s="208">
        <v>0</v>
      </c>
      <c r="AR42" s="208">
        <v>0</v>
      </c>
      <c r="AS42" s="208">
        <v>0</v>
      </c>
      <c r="AT42" s="222">
        <v>0</v>
      </c>
      <c r="AV42" s="217" t="s">
        <v>349</v>
      </c>
      <c r="AW42" s="227">
        <f t="shared" si="80"/>
        <v>0</v>
      </c>
      <c r="AX42" s="227">
        <f t="shared" si="81"/>
        <v>0</v>
      </c>
      <c r="AY42" s="227">
        <f t="shared" si="82"/>
        <v>0</v>
      </c>
      <c r="AZ42" s="227">
        <f t="shared" si="71"/>
        <v>0</v>
      </c>
      <c r="BA42" s="227">
        <f t="shared" si="60"/>
        <v>0</v>
      </c>
      <c r="BB42" s="252">
        <v>0</v>
      </c>
      <c r="BC42" s="255">
        <v>0</v>
      </c>
      <c r="BD42" s="252">
        <v>0</v>
      </c>
      <c r="BE42" s="252">
        <v>0</v>
      </c>
      <c r="BF42" s="252">
        <v>0</v>
      </c>
      <c r="BG42" s="252">
        <v>0</v>
      </c>
      <c r="BH42" s="208">
        <f t="shared" si="84"/>
        <v>0</v>
      </c>
      <c r="BI42" s="208">
        <f t="shared" si="85"/>
        <v>0</v>
      </c>
      <c r="BJ42" s="208">
        <f t="shared" si="86"/>
        <v>0</v>
      </c>
      <c r="BK42" s="208">
        <f t="shared" si="87"/>
        <v>0</v>
      </c>
      <c r="BL42" s="208">
        <f t="shared" si="88"/>
        <v>0</v>
      </c>
      <c r="BM42" s="208">
        <f t="shared" si="89"/>
        <v>0</v>
      </c>
      <c r="BN42" s="208">
        <f t="shared" si="83"/>
        <v>0</v>
      </c>
      <c r="BO42" s="208">
        <f t="shared" si="78"/>
        <v>0</v>
      </c>
      <c r="BP42" s="208">
        <f t="shared" si="79"/>
        <v>0</v>
      </c>
      <c r="BQ42" s="230">
        <f t="shared" si="57"/>
        <v>0</v>
      </c>
      <c r="BR42" s="214"/>
      <c r="BS42" s="227"/>
      <c r="BT42" s="286"/>
      <c r="BU42" s="300" t="s">
        <v>339</v>
      </c>
      <c r="BV42" s="293">
        <v>0</v>
      </c>
      <c r="BW42" s="293">
        <v>0</v>
      </c>
      <c r="BX42" s="258">
        <v>0</v>
      </c>
      <c r="BY42" s="258">
        <v>0</v>
      </c>
      <c r="BZ42" s="258">
        <v>0</v>
      </c>
      <c r="CA42" s="258">
        <v>0</v>
      </c>
      <c r="CB42" s="258">
        <v>0</v>
      </c>
      <c r="CC42" s="258">
        <v>0</v>
      </c>
      <c r="CD42" s="258">
        <v>0</v>
      </c>
      <c r="CE42" s="258">
        <v>0</v>
      </c>
      <c r="CF42" s="258">
        <v>0</v>
      </c>
      <c r="CG42" s="258">
        <v>0</v>
      </c>
      <c r="CH42" s="258">
        <v>0</v>
      </c>
      <c r="CI42" s="258">
        <v>0</v>
      </c>
      <c r="CJ42" s="258">
        <v>0</v>
      </c>
      <c r="CK42" s="258">
        <v>0</v>
      </c>
      <c r="CL42" s="258">
        <v>0</v>
      </c>
      <c r="CM42" s="258">
        <v>0</v>
      </c>
      <c r="CN42" s="258">
        <v>0</v>
      </c>
      <c r="CO42" s="258">
        <v>0</v>
      </c>
      <c r="CP42" s="301">
        <v>0</v>
      </c>
      <c r="CQ42" s="302"/>
      <c r="CR42" s="300" t="s">
        <v>339</v>
      </c>
      <c r="CS42" s="293">
        <v>0</v>
      </c>
      <c r="CT42" s="293">
        <v>0</v>
      </c>
      <c r="CU42" s="258">
        <v>0</v>
      </c>
      <c r="CV42" s="258">
        <v>0</v>
      </c>
      <c r="CW42" s="258">
        <v>0</v>
      </c>
      <c r="CX42" s="258">
        <v>0</v>
      </c>
      <c r="CY42" s="258">
        <v>0</v>
      </c>
      <c r="CZ42" s="258">
        <v>0</v>
      </c>
      <c r="DA42" s="258">
        <v>0</v>
      </c>
      <c r="DB42" s="258">
        <v>0</v>
      </c>
      <c r="DC42" s="258">
        <v>0</v>
      </c>
      <c r="DD42" s="258">
        <v>0</v>
      </c>
      <c r="DE42" s="258">
        <v>0</v>
      </c>
      <c r="DF42" s="258">
        <v>0</v>
      </c>
      <c r="DG42" s="258">
        <v>0</v>
      </c>
      <c r="DH42" s="258">
        <v>0</v>
      </c>
      <c r="DI42" s="258">
        <v>0</v>
      </c>
      <c r="DJ42" s="258">
        <v>0</v>
      </c>
      <c r="DK42" s="258">
        <v>0</v>
      </c>
      <c r="DL42" s="258">
        <v>0</v>
      </c>
      <c r="DM42" s="301">
        <v>0</v>
      </c>
      <c r="DN42" s="302"/>
      <c r="DO42" s="302"/>
      <c r="DP42" s="300" t="s">
        <v>339</v>
      </c>
      <c r="DQ42" s="293">
        <v>0</v>
      </c>
      <c r="DR42" s="293">
        <v>0</v>
      </c>
      <c r="DS42" s="258">
        <v>0</v>
      </c>
      <c r="DT42" s="258">
        <v>0</v>
      </c>
      <c r="DU42" s="258">
        <v>0</v>
      </c>
      <c r="DV42" s="258">
        <v>0</v>
      </c>
      <c r="DW42" s="258">
        <v>0</v>
      </c>
      <c r="DX42" s="258">
        <v>0</v>
      </c>
      <c r="DY42" s="258">
        <v>0</v>
      </c>
      <c r="DZ42" s="258">
        <v>0</v>
      </c>
      <c r="EA42" s="258">
        <v>0</v>
      </c>
      <c r="EB42" s="258">
        <v>0</v>
      </c>
      <c r="EC42" s="258">
        <v>0</v>
      </c>
      <c r="ED42" s="258">
        <v>0</v>
      </c>
      <c r="EE42" s="258">
        <v>0</v>
      </c>
      <c r="EF42" s="258">
        <v>0</v>
      </c>
      <c r="EG42" s="258">
        <v>0</v>
      </c>
      <c r="EH42" s="258">
        <v>0</v>
      </c>
      <c r="EI42" s="258">
        <v>0</v>
      </c>
      <c r="EJ42" s="258">
        <v>0</v>
      </c>
      <c r="EK42" s="301">
        <v>0</v>
      </c>
      <c r="EL42" s="287"/>
      <c r="EM42" s="300" t="s">
        <v>339</v>
      </c>
      <c r="EN42" s="293">
        <v>0</v>
      </c>
      <c r="EO42" s="293">
        <v>0</v>
      </c>
      <c r="EP42" s="258">
        <v>0</v>
      </c>
      <c r="EQ42" s="258">
        <v>0</v>
      </c>
      <c r="ER42" s="258">
        <v>0</v>
      </c>
      <c r="ES42" s="258">
        <v>0</v>
      </c>
      <c r="ET42" s="258">
        <v>0</v>
      </c>
      <c r="EU42" s="258">
        <v>0</v>
      </c>
      <c r="EV42" s="258">
        <v>0</v>
      </c>
      <c r="EW42" s="258">
        <v>0</v>
      </c>
      <c r="EX42" s="258">
        <v>0</v>
      </c>
      <c r="EY42" s="258">
        <v>0</v>
      </c>
      <c r="EZ42" s="258">
        <v>0</v>
      </c>
      <c r="FA42" s="258">
        <v>0</v>
      </c>
      <c r="FB42" s="258">
        <v>0</v>
      </c>
      <c r="FC42" s="258">
        <v>0</v>
      </c>
      <c r="FD42" s="258">
        <v>0</v>
      </c>
      <c r="FE42" s="258">
        <v>0</v>
      </c>
      <c r="FF42" s="258">
        <v>0</v>
      </c>
      <c r="FG42" s="258">
        <v>0</v>
      </c>
      <c r="FH42" s="301">
        <v>0</v>
      </c>
    </row>
    <row r="43" spans="2:164" x14ac:dyDescent="0.2">
      <c r="B43" s="234" t="s">
        <v>340</v>
      </c>
      <c r="C43" s="227">
        <v>0</v>
      </c>
      <c r="D43" s="228">
        <v>0</v>
      </c>
      <c r="E43" s="208">
        <v>0</v>
      </c>
      <c r="F43" s="208">
        <v>0</v>
      </c>
      <c r="G43" s="208">
        <v>0</v>
      </c>
      <c r="H43" s="208">
        <v>0</v>
      </c>
      <c r="I43" s="208">
        <v>0</v>
      </c>
      <c r="J43" s="208">
        <v>0</v>
      </c>
      <c r="K43" s="208">
        <v>0</v>
      </c>
      <c r="L43" s="208">
        <v>3</v>
      </c>
      <c r="M43" s="208">
        <v>0</v>
      </c>
      <c r="N43" s="208">
        <v>0</v>
      </c>
      <c r="O43" s="208">
        <v>0</v>
      </c>
      <c r="P43" s="208">
        <v>0</v>
      </c>
      <c r="Q43" s="208">
        <v>0</v>
      </c>
      <c r="R43" s="208">
        <v>8</v>
      </c>
      <c r="S43" s="208">
        <v>0</v>
      </c>
      <c r="T43" s="208">
        <v>0</v>
      </c>
      <c r="U43" s="208">
        <v>0</v>
      </c>
      <c r="V43" s="208">
        <v>0</v>
      </c>
      <c r="W43" s="222">
        <v>11</v>
      </c>
      <c r="X43" s="208"/>
      <c r="Y43" s="217" t="s">
        <v>340</v>
      </c>
      <c r="Z43" s="227">
        <v>0</v>
      </c>
      <c r="AA43" s="228">
        <v>0</v>
      </c>
      <c r="AB43" s="208">
        <v>0</v>
      </c>
      <c r="AC43" s="208">
        <v>0</v>
      </c>
      <c r="AD43" s="208">
        <v>0</v>
      </c>
      <c r="AE43" s="252">
        <v>0</v>
      </c>
      <c r="AF43" s="252">
        <v>0</v>
      </c>
      <c r="AG43" s="252">
        <v>0</v>
      </c>
      <c r="AH43" s="252">
        <v>0</v>
      </c>
      <c r="AI43" s="252">
        <v>189.31481133670553</v>
      </c>
      <c r="AJ43" s="252">
        <v>0</v>
      </c>
      <c r="AK43" s="208">
        <v>0</v>
      </c>
      <c r="AL43" s="208">
        <v>0</v>
      </c>
      <c r="AM43" s="208">
        <v>0</v>
      </c>
      <c r="AN43" s="208">
        <v>0</v>
      </c>
      <c r="AO43" s="208">
        <v>33.044969589344319</v>
      </c>
      <c r="AP43" s="208">
        <v>0</v>
      </c>
      <c r="AQ43" s="208">
        <v>0</v>
      </c>
      <c r="AR43" s="208">
        <v>0</v>
      </c>
      <c r="AS43" s="208">
        <v>0</v>
      </c>
      <c r="AT43" s="222">
        <v>222.35978092604984</v>
      </c>
      <c r="AV43" s="217" t="s">
        <v>347</v>
      </c>
      <c r="AW43" s="227">
        <f t="shared" si="80"/>
        <v>0</v>
      </c>
      <c r="AX43" s="227">
        <f t="shared" si="81"/>
        <v>0</v>
      </c>
      <c r="AY43" s="227">
        <f t="shared" si="82"/>
        <v>0</v>
      </c>
      <c r="AZ43" s="227">
        <f t="shared" si="71"/>
        <v>0</v>
      </c>
      <c r="BA43" s="227">
        <f t="shared" si="60"/>
        <v>0</v>
      </c>
      <c r="BB43" s="252">
        <v>0</v>
      </c>
      <c r="BC43" s="252">
        <v>0</v>
      </c>
      <c r="BD43" s="255">
        <v>0</v>
      </c>
      <c r="BE43" s="252">
        <v>0</v>
      </c>
      <c r="BF43" s="255">
        <v>0</v>
      </c>
      <c r="BG43" s="252">
        <v>0</v>
      </c>
      <c r="BH43" s="208">
        <f t="shared" si="84"/>
        <v>0</v>
      </c>
      <c r="BI43" s="208">
        <f t="shared" si="85"/>
        <v>0</v>
      </c>
      <c r="BJ43" s="208">
        <f t="shared" si="86"/>
        <v>0</v>
      </c>
      <c r="BK43" s="208">
        <f t="shared" si="87"/>
        <v>0</v>
      </c>
      <c r="BL43" s="208">
        <f t="shared" si="88"/>
        <v>33.044969589344319</v>
      </c>
      <c r="BM43" s="208">
        <f t="shared" si="89"/>
        <v>0</v>
      </c>
      <c r="BN43" s="208">
        <f t="shared" si="83"/>
        <v>0</v>
      </c>
      <c r="BO43" s="208">
        <f t="shared" si="78"/>
        <v>0</v>
      </c>
      <c r="BP43" s="208">
        <f t="shared" si="79"/>
        <v>0</v>
      </c>
      <c r="BQ43" s="230">
        <f t="shared" si="57"/>
        <v>33.044969589344319</v>
      </c>
      <c r="BR43" s="214"/>
      <c r="BS43" s="227"/>
      <c r="BT43" s="286"/>
      <c r="BU43" s="300" t="s">
        <v>340</v>
      </c>
      <c r="BV43" s="293">
        <v>0</v>
      </c>
      <c r="BW43" s="293">
        <v>0</v>
      </c>
      <c r="BX43" s="258">
        <v>0</v>
      </c>
      <c r="BY43" s="258">
        <v>0</v>
      </c>
      <c r="BZ43" s="258">
        <v>0</v>
      </c>
      <c r="CA43" s="258">
        <v>0</v>
      </c>
      <c r="CB43" s="258">
        <v>0</v>
      </c>
      <c r="CC43" s="258">
        <v>0</v>
      </c>
      <c r="CD43" s="258">
        <v>0</v>
      </c>
      <c r="CE43" s="258">
        <v>0</v>
      </c>
      <c r="CF43" s="258">
        <v>0</v>
      </c>
      <c r="CG43" s="258">
        <v>0</v>
      </c>
      <c r="CH43" s="258">
        <v>0</v>
      </c>
      <c r="CI43" s="258">
        <v>0</v>
      </c>
      <c r="CJ43" s="258">
        <v>0</v>
      </c>
      <c r="CK43" s="258">
        <v>1</v>
      </c>
      <c r="CL43" s="258">
        <v>0</v>
      </c>
      <c r="CM43" s="258">
        <v>0</v>
      </c>
      <c r="CN43" s="258">
        <v>0</v>
      </c>
      <c r="CO43" s="258">
        <v>0</v>
      </c>
      <c r="CP43" s="301">
        <v>1</v>
      </c>
      <c r="CQ43" s="302"/>
      <c r="CR43" s="300" t="s">
        <v>340</v>
      </c>
      <c r="CS43" s="293">
        <v>0</v>
      </c>
      <c r="CT43" s="293">
        <v>0</v>
      </c>
      <c r="CU43" s="258">
        <v>0</v>
      </c>
      <c r="CV43" s="258">
        <v>0</v>
      </c>
      <c r="CW43" s="258">
        <v>0</v>
      </c>
      <c r="CX43" s="258">
        <v>0</v>
      </c>
      <c r="CY43" s="258">
        <v>0</v>
      </c>
      <c r="CZ43" s="258">
        <v>0</v>
      </c>
      <c r="DA43" s="258">
        <v>0</v>
      </c>
      <c r="DB43" s="258">
        <v>0</v>
      </c>
      <c r="DC43" s="258">
        <v>0</v>
      </c>
      <c r="DD43" s="258">
        <v>0</v>
      </c>
      <c r="DE43" s="258">
        <v>0</v>
      </c>
      <c r="DF43" s="258">
        <v>0</v>
      </c>
      <c r="DG43" s="258">
        <v>0</v>
      </c>
      <c r="DH43" s="258">
        <v>19.654518467001694</v>
      </c>
      <c r="DI43" s="258">
        <v>0</v>
      </c>
      <c r="DJ43" s="258">
        <v>0</v>
      </c>
      <c r="DK43" s="258">
        <v>0</v>
      </c>
      <c r="DL43" s="258">
        <v>0</v>
      </c>
      <c r="DM43" s="301">
        <v>19.654518467001694</v>
      </c>
      <c r="DN43" s="302"/>
      <c r="DO43" s="302"/>
      <c r="DP43" s="300" t="s">
        <v>340</v>
      </c>
      <c r="DQ43" s="293">
        <v>0</v>
      </c>
      <c r="DR43" s="293">
        <v>0</v>
      </c>
      <c r="DS43" s="258">
        <v>0</v>
      </c>
      <c r="DT43" s="258">
        <v>0</v>
      </c>
      <c r="DU43" s="258">
        <v>0</v>
      </c>
      <c r="DV43" s="258">
        <v>0</v>
      </c>
      <c r="DW43" s="258">
        <v>0</v>
      </c>
      <c r="DX43" s="258">
        <v>0</v>
      </c>
      <c r="DY43" s="258">
        <v>0</v>
      </c>
      <c r="DZ43" s="258">
        <v>0</v>
      </c>
      <c r="EA43" s="258">
        <v>0</v>
      </c>
      <c r="EB43" s="258">
        <v>0</v>
      </c>
      <c r="EC43" s="258">
        <v>0</v>
      </c>
      <c r="ED43" s="258">
        <v>0</v>
      </c>
      <c r="EE43" s="258">
        <v>0</v>
      </c>
      <c r="EF43" s="258">
        <v>1</v>
      </c>
      <c r="EG43" s="258">
        <v>0</v>
      </c>
      <c r="EH43" s="258">
        <v>0</v>
      </c>
      <c r="EI43" s="258">
        <v>0</v>
      </c>
      <c r="EJ43" s="258">
        <v>0</v>
      </c>
      <c r="EK43" s="301">
        <v>1</v>
      </c>
      <c r="EL43" s="287"/>
      <c r="EM43" s="300" t="s">
        <v>340</v>
      </c>
      <c r="EN43" s="293">
        <v>0</v>
      </c>
      <c r="EO43" s="293">
        <v>0</v>
      </c>
      <c r="EP43" s="258">
        <v>0</v>
      </c>
      <c r="EQ43" s="258">
        <v>0</v>
      </c>
      <c r="ER43" s="258">
        <v>0</v>
      </c>
      <c r="ES43" s="258">
        <v>0</v>
      </c>
      <c r="ET43" s="258">
        <v>0</v>
      </c>
      <c r="EU43" s="258">
        <v>0</v>
      </c>
      <c r="EV43" s="258">
        <v>0</v>
      </c>
      <c r="EW43" s="258">
        <v>0</v>
      </c>
      <c r="EX43" s="258">
        <v>0</v>
      </c>
      <c r="EY43" s="258">
        <v>0</v>
      </c>
      <c r="EZ43" s="258">
        <v>0</v>
      </c>
      <c r="FA43" s="258">
        <v>0</v>
      </c>
      <c r="FB43" s="258">
        <v>0</v>
      </c>
      <c r="FC43" s="258">
        <v>19.654518467001694</v>
      </c>
      <c r="FD43" s="258">
        <v>0</v>
      </c>
      <c r="FE43" s="258">
        <v>0</v>
      </c>
      <c r="FF43" s="258">
        <v>0</v>
      </c>
      <c r="FG43" s="258">
        <v>0</v>
      </c>
      <c r="FH43" s="301">
        <v>19.654518467001694</v>
      </c>
    </row>
    <row r="44" spans="2:164" x14ac:dyDescent="0.2">
      <c r="B44" s="217" t="s">
        <v>341</v>
      </c>
      <c r="C44" s="227">
        <v>0</v>
      </c>
      <c r="D44" s="22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</v>
      </c>
      <c r="L44" s="208">
        <v>0</v>
      </c>
      <c r="M44" s="208">
        <v>1</v>
      </c>
      <c r="N44" s="208">
        <v>0</v>
      </c>
      <c r="O44" s="208">
        <v>0</v>
      </c>
      <c r="P44" s="208">
        <v>0</v>
      </c>
      <c r="Q44" s="208">
        <v>0</v>
      </c>
      <c r="R44" s="208">
        <v>0</v>
      </c>
      <c r="S44" s="208">
        <v>2</v>
      </c>
      <c r="T44" s="208">
        <v>0</v>
      </c>
      <c r="U44" s="208">
        <v>0</v>
      </c>
      <c r="V44" s="208">
        <v>0</v>
      </c>
      <c r="W44" s="222">
        <v>3</v>
      </c>
      <c r="Y44" s="217" t="s">
        <v>341</v>
      </c>
      <c r="Z44" s="227">
        <v>0</v>
      </c>
      <c r="AA44" s="228">
        <v>0</v>
      </c>
      <c r="AB44" s="208">
        <v>0</v>
      </c>
      <c r="AC44" s="208">
        <v>0</v>
      </c>
      <c r="AD44" s="208">
        <v>0</v>
      </c>
      <c r="AE44" s="252">
        <v>0</v>
      </c>
      <c r="AF44" s="252">
        <v>0</v>
      </c>
      <c r="AG44" s="252">
        <v>0</v>
      </c>
      <c r="AH44" s="252">
        <v>0</v>
      </c>
      <c r="AI44" s="252">
        <v>0</v>
      </c>
      <c r="AJ44" s="252">
        <v>41.957963037887524</v>
      </c>
      <c r="AK44" s="208">
        <v>0</v>
      </c>
      <c r="AL44" s="208">
        <v>0</v>
      </c>
      <c r="AM44" s="208">
        <v>0</v>
      </c>
      <c r="AN44" s="208">
        <v>0</v>
      </c>
      <c r="AO44" s="208">
        <v>0</v>
      </c>
      <c r="AP44" s="208">
        <v>27.169389237050208</v>
      </c>
      <c r="AQ44" s="208">
        <v>0</v>
      </c>
      <c r="AR44" s="208">
        <v>0</v>
      </c>
      <c r="AS44" s="208">
        <v>0</v>
      </c>
      <c r="AT44" s="222">
        <v>69.127352274937735</v>
      </c>
      <c r="AV44" s="217" t="s">
        <v>339</v>
      </c>
      <c r="AW44" s="227">
        <f t="shared" si="80"/>
        <v>0</v>
      </c>
      <c r="AX44" s="227">
        <f t="shared" si="81"/>
        <v>0</v>
      </c>
      <c r="AY44" s="227">
        <f t="shared" si="82"/>
        <v>0</v>
      </c>
      <c r="AZ44" s="227">
        <f t="shared" si="71"/>
        <v>0</v>
      </c>
      <c r="BA44" s="227">
        <f t="shared" si="60"/>
        <v>0</v>
      </c>
      <c r="BB44" s="252">
        <v>0</v>
      </c>
      <c r="BC44" s="252">
        <v>0</v>
      </c>
      <c r="BD44" s="252">
        <v>0</v>
      </c>
      <c r="BE44" s="252">
        <v>0</v>
      </c>
      <c r="BF44" s="255">
        <v>0</v>
      </c>
      <c r="BG44" s="252">
        <v>0</v>
      </c>
      <c r="BH44" s="208">
        <f t="shared" si="84"/>
        <v>0</v>
      </c>
      <c r="BI44" s="208">
        <f t="shared" si="85"/>
        <v>0</v>
      </c>
      <c r="BJ44" s="208">
        <f t="shared" si="86"/>
        <v>0</v>
      </c>
      <c r="BK44" s="208">
        <f t="shared" si="87"/>
        <v>0</v>
      </c>
      <c r="BL44" s="208">
        <f t="shared" si="88"/>
        <v>0</v>
      </c>
      <c r="BM44" s="208">
        <f t="shared" si="89"/>
        <v>27.169389237050208</v>
      </c>
      <c r="BN44" s="208">
        <f t="shared" si="83"/>
        <v>0</v>
      </c>
      <c r="BO44" s="208">
        <f t="shared" si="78"/>
        <v>0</v>
      </c>
      <c r="BP44" s="208">
        <f t="shared" si="79"/>
        <v>0</v>
      </c>
      <c r="BQ44" s="230">
        <f t="shared" si="57"/>
        <v>27.169389237050208</v>
      </c>
      <c r="BR44" s="214"/>
      <c r="BS44" s="227"/>
      <c r="BT44" s="286"/>
      <c r="BU44" s="300" t="s">
        <v>341</v>
      </c>
      <c r="BV44" s="293">
        <v>0</v>
      </c>
      <c r="BW44" s="293">
        <v>0</v>
      </c>
      <c r="BX44" s="258">
        <v>0</v>
      </c>
      <c r="BY44" s="258">
        <v>0</v>
      </c>
      <c r="BZ44" s="258">
        <v>0</v>
      </c>
      <c r="CA44" s="258">
        <v>0</v>
      </c>
      <c r="CB44" s="258">
        <v>0</v>
      </c>
      <c r="CC44" s="258">
        <v>0</v>
      </c>
      <c r="CD44" s="258">
        <v>0</v>
      </c>
      <c r="CE44" s="258">
        <v>0</v>
      </c>
      <c r="CF44" s="258">
        <v>0</v>
      </c>
      <c r="CG44" s="258">
        <v>0</v>
      </c>
      <c r="CH44" s="258">
        <v>0</v>
      </c>
      <c r="CI44" s="258">
        <v>0</v>
      </c>
      <c r="CJ44" s="258">
        <v>0</v>
      </c>
      <c r="CK44" s="258">
        <v>0</v>
      </c>
      <c r="CL44" s="258">
        <v>0</v>
      </c>
      <c r="CM44" s="258">
        <v>0</v>
      </c>
      <c r="CN44" s="258">
        <v>0</v>
      </c>
      <c r="CO44" s="258">
        <v>0</v>
      </c>
      <c r="CP44" s="301">
        <v>0</v>
      </c>
      <c r="CQ44" s="302"/>
      <c r="CR44" s="300" t="s">
        <v>341</v>
      </c>
      <c r="CS44" s="293">
        <v>0</v>
      </c>
      <c r="CT44" s="293">
        <v>0</v>
      </c>
      <c r="CU44" s="258">
        <v>0</v>
      </c>
      <c r="CV44" s="258">
        <v>0</v>
      </c>
      <c r="CW44" s="258">
        <v>0</v>
      </c>
      <c r="CX44" s="258">
        <v>0</v>
      </c>
      <c r="CY44" s="258">
        <v>0</v>
      </c>
      <c r="CZ44" s="258">
        <v>0</v>
      </c>
      <c r="DA44" s="258">
        <v>0</v>
      </c>
      <c r="DB44" s="258">
        <v>0</v>
      </c>
      <c r="DC44" s="258">
        <v>0</v>
      </c>
      <c r="DD44" s="258">
        <v>0</v>
      </c>
      <c r="DE44" s="258">
        <v>0</v>
      </c>
      <c r="DF44" s="258">
        <v>0</v>
      </c>
      <c r="DG44" s="258">
        <v>0</v>
      </c>
      <c r="DH44" s="258">
        <v>0</v>
      </c>
      <c r="DI44" s="258">
        <v>0</v>
      </c>
      <c r="DJ44" s="258">
        <v>0</v>
      </c>
      <c r="DK44" s="258">
        <v>0</v>
      </c>
      <c r="DL44" s="258">
        <v>0</v>
      </c>
      <c r="DM44" s="301">
        <v>0</v>
      </c>
      <c r="DN44" s="302"/>
      <c r="DO44" s="302"/>
      <c r="DP44" s="300" t="s">
        <v>341</v>
      </c>
      <c r="DQ44" s="293">
        <v>0</v>
      </c>
      <c r="DR44" s="293">
        <v>0</v>
      </c>
      <c r="DS44" s="258">
        <v>0</v>
      </c>
      <c r="DT44" s="258">
        <v>0</v>
      </c>
      <c r="DU44" s="258">
        <v>0</v>
      </c>
      <c r="DV44" s="258">
        <v>0</v>
      </c>
      <c r="DW44" s="258">
        <v>0</v>
      </c>
      <c r="DX44" s="258">
        <v>0</v>
      </c>
      <c r="DY44" s="258">
        <v>0</v>
      </c>
      <c r="DZ44" s="258">
        <v>0</v>
      </c>
      <c r="EA44" s="258">
        <v>0</v>
      </c>
      <c r="EB44" s="258">
        <v>0</v>
      </c>
      <c r="EC44" s="258">
        <v>0</v>
      </c>
      <c r="ED44" s="258">
        <v>0</v>
      </c>
      <c r="EE44" s="258">
        <v>0</v>
      </c>
      <c r="EF44" s="258">
        <v>0</v>
      </c>
      <c r="EG44" s="258">
        <v>0</v>
      </c>
      <c r="EH44" s="258">
        <v>0</v>
      </c>
      <c r="EI44" s="258">
        <v>0</v>
      </c>
      <c r="EJ44" s="258">
        <v>0</v>
      </c>
      <c r="EK44" s="301">
        <v>0</v>
      </c>
      <c r="EL44" s="287"/>
      <c r="EM44" s="300" t="s">
        <v>341</v>
      </c>
      <c r="EN44" s="293">
        <v>0</v>
      </c>
      <c r="EO44" s="293">
        <v>0</v>
      </c>
      <c r="EP44" s="258">
        <v>0</v>
      </c>
      <c r="EQ44" s="258">
        <v>0</v>
      </c>
      <c r="ER44" s="258">
        <v>0</v>
      </c>
      <c r="ES44" s="258">
        <v>0</v>
      </c>
      <c r="ET44" s="258">
        <v>0</v>
      </c>
      <c r="EU44" s="258">
        <v>0</v>
      </c>
      <c r="EV44" s="258">
        <v>0</v>
      </c>
      <c r="EW44" s="258">
        <v>0</v>
      </c>
      <c r="EX44" s="258">
        <v>0</v>
      </c>
      <c r="EY44" s="258">
        <v>0</v>
      </c>
      <c r="EZ44" s="258">
        <v>0</v>
      </c>
      <c r="FA44" s="258">
        <v>0</v>
      </c>
      <c r="FB44" s="258">
        <v>0</v>
      </c>
      <c r="FC44" s="258">
        <v>0</v>
      </c>
      <c r="FD44" s="258">
        <v>0</v>
      </c>
      <c r="FE44" s="258">
        <v>0</v>
      </c>
      <c r="FF44" s="258">
        <v>0</v>
      </c>
      <c r="FG44" s="258">
        <v>0</v>
      </c>
      <c r="FH44" s="301">
        <v>0</v>
      </c>
    </row>
    <row r="45" spans="2:164" x14ac:dyDescent="0.2">
      <c r="B45" s="217" t="s">
        <v>6</v>
      </c>
      <c r="C45" s="227">
        <v>0</v>
      </c>
      <c r="D45" s="228">
        <v>0</v>
      </c>
      <c r="E45" s="208">
        <v>0</v>
      </c>
      <c r="F45" s="208">
        <v>0</v>
      </c>
      <c r="G45" s="208">
        <v>0</v>
      </c>
      <c r="H45" s="208">
        <v>0</v>
      </c>
      <c r="I45" s="208">
        <v>0</v>
      </c>
      <c r="J45" s="208">
        <v>0</v>
      </c>
      <c r="K45" s="208">
        <v>0</v>
      </c>
      <c r="L45" s="208">
        <v>0</v>
      </c>
      <c r="M45" s="208">
        <v>0</v>
      </c>
      <c r="N45" s="208">
        <v>0</v>
      </c>
      <c r="O45" s="208">
        <v>0</v>
      </c>
      <c r="P45" s="208">
        <v>0</v>
      </c>
      <c r="Q45" s="208">
        <v>0</v>
      </c>
      <c r="R45" s="208">
        <v>0</v>
      </c>
      <c r="S45" s="208">
        <v>0</v>
      </c>
      <c r="T45" s="208">
        <v>0</v>
      </c>
      <c r="U45" s="208">
        <v>0</v>
      </c>
      <c r="V45" s="208">
        <v>0</v>
      </c>
      <c r="W45" s="222">
        <v>0</v>
      </c>
      <c r="X45" s="207"/>
      <c r="Y45" s="217" t="s">
        <v>6</v>
      </c>
      <c r="Z45" s="227">
        <v>0</v>
      </c>
      <c r="AA45" s="228">
        <v>0</v>
      </c>
      <c r="AB45" s="208">
        <v>0</v>
      </c>
      <c r="AC45" s="208">
        <v>0</v>
      </c>
      <c r="AD45" s="208">
        <v>0</v>
      </c>
      <c r="AE45" s="252">
        <v>0</v>
      </c>
      <c r="AF45" s="252">
        <v>0</v>
      </c>
      <c r="AG45" s="252">
        <v>0</v>
      </c>
      <c r="AH45" s="252">
        <v>0</v>
      </c>
      <c r="AI45" s="252">
        <v>0</v>
      </c>
      <c r="AJ45" s="252">
        <v>0</v>
      </c>
      <c r="AK45" s="208">
        <v>0</v>
      </c>
      <c r="AL45" s="208">
        <v>0</v>
      </c>
      <c r="AM45" s="208">
        <v>0</v>
      </c>
      <c r="AN45" s="208">
        <v>0</v>
      </c>
      <c r="AO45" s="208">
        <v>0</v>
      </c>
      <c r="AP45" s="208">
        <v>0</v>
      </c>
      <c r="AQ45" s="208">
        <v>0</v>
      </c>
      <c r="AR45" s="208">
        <v>0</v>
      </c>
      <c r="AS45" s="208">
        <v>0</v>
      </c>
      <c r="AT45" s="222">
        <v>0</v>
      </c>
      <c r="AV45" s="217" t="s">
        <v>340</v>
      </c>
      <c r="AW45" s="227">
        <f t="shared" si="80"/>
        <v>0</v>
      </c>
      <c r="AX45" s="227">
        <f t="shared" si="81"/>
        <v>0</v>
      </c>
      <c r="AY45" s="227">
        <f t="shared" si="82"/>
        <v>0</v>
      </c>
      <c r="AZ45" s="227">
        <f t="shared" si="71"/>
        <v>0</v>
      </c>
      <c r="BA45" s="227">
        <f t="shared" si="60"/>
        <v>0</v>
      </c>
      <c r="BB45" s="252">
        <v>0</v>
      </c>
      <c r="BC45" s="252">
        <v>0</v>
      </c>
      <c r="BD45" s="252">
        <v>0</v>
      </c>
      <c r="BE45" s="252">
        <v>0</v>
      </c>
      <c r="BF45" s="255">
        <v>0</v>
      </c>
      <c r="BG45" s="255">
        <v>0</v>
      </c>
      <c r="BH45" s="208">
        <f t="shared" si="84"/>
        <v>0</v>
      </c>
      <c r="BI45" s="208">
        <f t="shared" si="85"/>
        <v>0</v>
      </c>
      <c r="BJ45" s="208">
        <f t="shared" si="86"/>
        <v>0</v>
      </c>
      <c r="BK45" s="208">
        <f t="shared" si="87"/>
        <v>0</v>
      </c>
      <c r="BL45" s="208">
        <f t="shared" si="88"/>
        <v>0</v>
      </c>
      <c r="BM45" s="208">
        <f t="shared" si="89"/>
        <v>0</v>
      </c>
      <c r="BN45" s="208">
        <f t="shared" si="83"/>
        <v>0</v>
      </c>
      <c r="BO45" s="208">
        <f t="shared" si="78"/>
        <v>0</v>
      </c>
      <c r="BP45" s="208">
        <f t="shared" si="79"/>
        <v>0</v>
      </c>
      <c r="BQ45" s="230">
        <f t="shared" si="57"/>
        <v>0</v>
      </c>
      <c r="BR45" s="214"/>
      <c r="BS45" s="227"/>
      <c r="BT45" s="286"/>
      <c r="BU45" s="300" t="s">
        <v>6</v>
      </c>
      <c r="BV45" s="293">
        <v>0</v>
      </c>
      <c r="BW45" s="293">
        <v>0</v>
      </c>
      <c r="BX45" s="258">
        <v>0</v>
      </c>
      <c r="BY45" s="258">
        <v>0</v>
      </c>
      <c r="BZ45" s="258">
        <v>0</v>
      </c>
      <c r="CA45" s="258">
        <v>0</v>
      </c>
      <c r="CB45" s="258">
        <v>0</v>
      </c>
      <c r="CC45" s="258">
        <v>0</v>
      </c>
      <c r="CD45" s="258">
        <v>0</v>
      </c>
      <c r="CE45" s="258">
        <v>0</v>
      </c>
      <c r="CF45" s="258">
        <v>0</v>
      </c>
      <c r="CG45" s="258">
        <v>0</v>
      </c>
      <c r="CH45" s="258">
        <v>0</v>
      </c>
      <c r="CI45" s="258">
        <v>0</v>
      </c>
      <c r="CJ45" s="258">
        <v>0</v>
      </c>
      <c r="CK45" s="258">
        <v>0</v>
      </c>
      <c r="CL45" s="258">
        <v>0</v>
      </c>
      <c r="CM45" s="258">
        <v>0</v>
      </c>
      <c r="CN45" s="258">
        <v>0</v>
      </c>
      <c r="CO45" s="258">
        <v>0</v>
      </c>
      <c r="CP45" s="301">
        <v>0</v>
      </c>
      <c r="CQ45" s="302"/>
      <c r="CR45" s="300" t="s">
        <v>6</v>
      </c>
      <c r="CS45" s="293">
        <v>0</v>
      </c>
      <c r="CT45" s="293">
        <v>0</v>
      </c>
      <c r="CU45" s="258">
        <v>0</v>
      </c>
      <c r="CV45" s="258">
        <v>0</v>
      </c>
      <c r="CW45" s="258">
        <v>0</v>
      </c>
      <c r="CX45" s="258">
        <v>0</v>
      </c>
      <c r="CY45" s="258">
        <v>0</v>
      </c>
      <c r="CZ45" s="258">
        <v>0</v>
      </c>
      <c r="DA45" s="258">
        <v>0</v>
      </c>
      <c r="DB45" s="258">
        <v>0</v>
      </c>
      <c r="DC45" s="258">
        <v>0</v>
      </c>
      <c r="DD45" s="258">
        <v>0</v>
      </c>
      <c r="DE45" s="258">
        <v>0</v>
      </c>
      <c r="DF45" s="258">
        <v>0</v>
      </c>
      <c r="DG45" s="258">
        <v>0</v>
      </c>
      <c r="DH45" s="258">
        <v>0</v>
      </c>
      <c r="DI45" s="258">
        <v>0</v>
      </c>
      <c r="DJ45" s="258">
        <v>0</v>
      </c>
      <c r="DK45" s="258">
        <v>0</v>
      </c>
      <c r="DL45" s="258">
        <v>0</v>
      </c>
      <c r="DM45" s="301">
        <v>0</v>
      </c>
      <c r="DN45" s="302"/>
      <c r="DO45" s="302"/>
      <c r="DP45" s="300" t="s">
        <v>6</v>
      </c>
      <c r="DQ45" s="293">
        <v>0</v>
      </c>
      <c r="DR45" s="293">
        <v>0</v>
      </c>
      <c r="DS45" s="258">
        <v>0</v>
      </c>
      <c r="DT45" s="258">
        <v>0</v>
      </c>
      <c r="DU45" s="258">
        <v>0</v>
      </c>
      <c r="DV45" s="258">
        <v>0</v>
      </c>
      <c r="DW45" s="258">
        <v>0</v>
      </c>
      <c r="DX45" s="258">
        <v>0</v>
      </c>
      <c r="DY45" s="258">
        <v>0</v>
      </c>
      <c r="DZ45" s="258">
        <v>0</v>
      </c>
      <c r="EA45" s="258">
        <v>0</v>
      </c>
      <c r="EB45" s="258">
        <v>0</v>
      </c>
      <c r="EC45" s="258">
        <v>0</v>
      </c>
      <c r="ED45" s="258">
        <v>0</v>
      </c>
      <c r="EE45" s="258">
        <v>0</v>
      </c>
      <c r="EF45" s="258">
        <v>0</v>
      </c>
      <c r="EG45" s="258">
        <v>0</v>
      </c>
      <c r="EH45" s="258">
        <v>0</v>
      </c>
      <c r="EI45" s="258">
        <v>0</v>
      </c>
      <c r="EJ45" s="258">
        <v>0</v>
      </c>
      <c r="EK45" s="301">
        <v>0</v>
      </c>
      <c r="EL45" s="287"/>
      <c r="EM45" s="300" t="s">
        <v>6</v>
      </c>
      <c r="EN45" s="293">
        <v>0</v>
      </c>
      <c r="EO45" s="293">
        <v>0</v>
      </c>
      <c r="EP45" s="258">
        <v>0</v>
      </c>
      <c r="EQ45" s="258">
        <v>0</v>
      </c>
      <c r="ER45" s="258">
        <v>0</v>
      </c>
      <c r="ES45" s="258">
        <v>0</v>
      </c>
      <c r="ET45" s="258">
        <v>0</v>
      </c>
      <c r="EU45" s="258">
        <v>0</v>
      </c>
      <c r="EV45" s="258">
        <v>0</v>
      </c>
      <c r="EW45" s="258">
        <v>0</v>
      </c>
      <c r="EX45" s="258">
        <v>0</v>
      </c>
      <c r="EY45" s="258">
        <v>0</v>
      </c>
      <c r="EZ45" s="258">
        <v>0</v>
      </c>
      <c r="FA45" s="258">
        <v>0</v>
      </c>
      <c r="FB45" s="258">
        <v>0</v>
      </c>
      <c r="FC45" s="258">
        <v>0</v>
      </c>
      <c r="FD45" s="258">
        <v>0</v>
      </c>
      <c r="FE45" s="258">
        <v>0</v>
      </c>
      <c r="FF45" s="258">
        <v>0</v>
      </c>
      <c r="FG45" s="258">
        <v>0</v>
      </c>
      <c r="FH45" s="301">
        <v>0</v>
      </c>
    </row>
    <row r="46" spans="2:164" x14ac:dyDescent="0.2">
      <c r="B46" s="217" t="s">
        <v>342</v>
      </c>
      <c r="C46" s="227">
        <v>0</v>
      </c>
      <c r="D46" s="22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  <c r="L46" s="208">
        <v>0</v>
      </c>
      <c r="M46" s="208">
        <v>0</v>
      </c>
      <c r="N46" s="208">
        <v>0</v>
      </c>
      <c r="O46" s="208">
        <v>0</v>
      </c>
      <c r="P46" s="208">
        <v>0</v>
      </c>
      <c r="Q46" s="208">
        <v>0</v>
      </c>
      <c r="R46" s="208">
        <v>1</v>
      </c>
      <c r="S46" s="208">
        <v>0</v>
      </c>
      <c r="T46" s="208">
        <v>0</v>
      </c>
      <c r="U46" s="208">
        <v>1</v>
      </c>
      <c r="V46" s="208">
        <v>0</v>
      </c>
      <c r="W46" s="222">
        <v>2</v>
      </c>
      <c r="X46" s="207"/>
      <c r="Y46" s="217" t="s">
        <v>342</v>
      </c>
      <c r="Z46" s="227">
        <v>0</v>
      </c>
      <c r="AA46" s="228">
        <v>0</v>
      </c>
      <c r="AB46" s="208">
        <v>0</v>
      </c>
      <c r="AC46" s="208">
        <v>0</v>
      </c>
      <c r="AD46" s="208">
        <v>0</v>
      </c>
      <c r="AE46" s="252">
        <v>0</v>
      </c>
      <c r="AF46" s="252">
        <v>0</v>
      </c>
      <c r="AG46" s="252">
        <v>0</v>
      </c>
      <c r="AH46" s="252">
        <v>0</v>
      </c>
      <c r="AI46" s="252">
        <v>0</v>
      </c>
      <c r="AJ46" s="252">
        <v>0</v>
      </c>
      <c r="AK46" s="208">
        <v>0</v>
      </c>
      <c r="AL46" s="208">
        <v>0</v>
      </c>
      <c r="AM46" s="208">
        <v>0</v>
      </c>
      <c r="AN46" s="208">
        <v>0</v>
      </c>
      <c r="AO46" s="208">
        <v>13.390451122342625</v>
      </c>
      <c r="AP46" s="208">
        <v>0</v>
      </c>
      <c r="AQ46" s="208">
        <v>0</v>
      </c>
      <c r="AR46" s="208">
        <v>0</v>
      </c>
      <c r="AS46" s="208">
        <v>0</v>
      </c>
      <c r="AT46" s="222">
        <v>13.390451122342625</v>
      </c>
      <c r="AV46" s="217" t="s">
        <v>341</v>
      </c>
      <c r="AW46" s="227">
        <f t="shared" si="80"/>
        <v>0</v>
      </c>
      <c r="AX46" s="227">
        <f t="shared" si="81"/>
        <v>0</v>
      </c>
      <c r="AY46" s="227">
        <f t="shared" si="82"/>
        <v>0</v>
      </c>
      <c r="AZ46" s="227">
        <f t="shared" si="71"/>
        <v>0</v>
      </c>
      <c r="BA46" s="227">
        <f t="shared" si="60"/>
        <v>0</v>
      </c>
      <c r="BB46" s="252">
        <v>0</v>
      </c>
      <c r="BC46" s="252">
        <v>0</v>
      </c>
      <c r="BD46" s="252">
        <v>0</v>
      </c>
      <c r="BE46" s="252">
        <v>0</v>
      </c>
      <c r="BF46" s="252">
        <v>0</v>
      </c>
      <c r="BG46" s="255">
        <v>0</v>
      </c>
      <c r="BH46" s="208">
        <f t="shared" si="84"/>
        <v>0</v>
      </c>
      <c r="BI46" s="208">
        <f t="shared" si="85"/>
        <v>0</v>
      </c>
      <c r="BJ46" s="208">
        <f t="shared" si="86"/>
        <v>0</v>
      </c>
      <c r="BK46" s="208">
        <f t="shared" si="87"/>
        <v>0</v>
      </c>
      <c r="BL46" s="208">
        <f t="shared" si="88"/>
        <v>13.390451122342625</v>
      </c>
      <c r="BM46" s="208">
        <f t="shared" si="89"/>
        <v>0</v>
      </c>
      <c r="BN46" s="208">
        <f t="shared" si="83"/>
        <v>0</v>
      </c>
      <c r="BO46" s="208">
        <f t="shared" si="78"/>
        <v>0</v>
      </c>
      <c r="BP46" s="208">
        <f t="shared" si="79"/>
        <v>0</v>
      </c>
      <c r="BQ46" s="230">
        <f t="shared" si="57"/>
        <v>13.390451122342625</v>
      </c>
      <c r="BR46" s="214"/>
      <c r="BS46" s="227"/>
      <c r="BT46" s="286"/>
      <c r="BU46" s="300" t="s">
        <v>342</v>
      </c>
      <c r="BV46" s="293">
        <v>0</v>
      </c>
      <c r="BW46" s="293">
        <v>0</v>
      </c>
      <c r="BX46" s="258">
        <v>0</v>
      </c>
      <c r="BY46" s="258">
        <v>0</v>
      </c>
      <c r="BZ46" s="258">
        <v>0</v>
      </c>
      <c r="CA46" s="258">
        <v>0</v>
      </c>
      <c r="CB46" s="258">
        <v>0</v>
      </c>
      <c r="CC46" s="258">
        <v>0</v>
      </c>
      <c r="CD46" s="258">
        <v>0</v>
      </c>
      <c r="CE46" s="258">
        <v>0</v>
      </c>
      <c r="CF46" s="258">
        <v>0</v>
      </c>
      <c r="CG46" s="258">
        <v>0</v>
      </c>
      <c r="CH46" s="258">
        <v>0</v>
      </c>
      <c r="CI46" s="258">
        <v>0</v>
      </c>
      <c r="CJ46" s="258">
        <v>0</v>
      </c>
      <c r="CK46" s="258">
        <v>0</v>
      </c>
      <c r="CL46" s="258">
        <v>0</v>
      </c>
      <c r="CM46" s="258">
        <v>0</v>
      </c>
      <c r="CN46" s="258">
        <v>0</v>
      </c>
      <c r="CO46" s="258">
        <v>0</v>
      </c>
      <c r="CP46" s="301">
        <v>0</v>
      </c>
      <c r="CQ46" s="302"/>
      <c r="CR46" s="300" t="s">
        <v>342</v>
      </c>
      <c r="CS46" s="293">
        <v>0</v>
      </c>
      <c r="CT46" s="293">
        <v>0</v>
      </c>
      <c r="CU46" s="258">
        <v>0</v>
      </c>
      <c r="CV46" s="258">
        <v>0</v>
      </c>
      <c r="CW46" s="258">
        <v>0</v>
      </c>
      <c r="CX46" s="258">
        <v>0</v>
      </c>
      <c r="CY46" s="258">
        <v>0</v>
      </c>
      <c r="CZ46" s="258">
        <v>0</v>
      </c>
      <c r="DA46" s="258">
        <v>0</v>
      </c>
      <c r="DB46" s="258">
        <v>0</v>
      </c>
      <c r="DC46" s="258">
        <v>0</v>
      </c>
      <c r="DD46" s="258">
        <v>0</v>
      </c>
      <c r="DE46" s="258">
        <v>0</v>
      </c>
      <c r="DF46" s="258">
        <v>0</v>
      </c>
      <c r="DG46" s="258">
        <v>0</v>
      </c>
      <c r="DH46" s="258">
        <v>0</v>
      </c>
      <c r="DI46" s="258">
        <v>0</v>
      </c>
      <c r="DJ46" s="258">
        <v>0</v>
      </c>
      <c r="DK46" s="258">
        <v>0</v>
      </c>
      <c r="DL46" s="258">
        <v>0</v>
      </c>
      <c r="DM46" s="301">
        <v>0</v>
      </c>
      <c r="DN46" s="302"/>
      <c r="DO46" s="302"/>
      <c r="DP46" s="300" t="s">
        <v>342</v>
      </c>
      <c r="DQ46" s="293">
        <v>0</v>
      </c>
      <c r="DR46" s="293">
        <v>0</v>
      </c>
      <c r="DS46" s="258">
        <v>0</v>
      </c>
      <c r="DT46" s="258">
        <v>0</v>
      </c>
      <c r="DU46" s="258">
        <v>0</v>
      </c>
      <c r="DV46" s="258">
        <v>0</v>
      </c>
      <c r="DW46" s="258">
        <v>0</v>
      </c>
      <c r="DX46" s="258">
        <v>0</v>
      </c>
      <c r="DY46" s="258">
        <v>0</v>
      </c>
      <c r="DZ46" s="258">
        <v>0</v>
      </c>
      <c r="EA46" s="258">
        <v>0</v>
      </c>
      <c r="EB46" s="258">
        <v>0</v>
      </c>
      <c r="EC46" s="258">
        <v>0</v>
      </c>
      <c r="ED46" s="258">
        <v>0</v>
      </c>
      <c r="EE46" s="258">
        <v>0</v>
      </c>
      <c r="EF46" s="258">
        <v>0</v>
      </c>
      <c r="EG46" s="258">
        <v>0</v>
      </c>
      <c r="EH46" s="258">
        <v>0</v>
      </c>
      <c r="EI46" s="258">
        <v>0</v>
      </c>
      <c r="EJ46" s="258">
        <v>0</v>
      </c>
      <c r="EK46" s="301">
        <v>0</v>
      </c>
      <c r="EL46" s="287"/>
      <c r="EM46" s="300" t="s">
        <v>342</v>
      </c>
      <c r="EN46" s="293">
        <v>0</v>
      </c>
      <c r="EO46" s="293">
        <v>0</v>
      </c>
      <c r="EP46" s="258">
        <v>0</v>
      </c>
      <c r="EQ46" s="258">
        <v>0</v>
      </c>
      <c r="ER46" s="258">
        <v>0</v>
      </c>
      <c r="ES46" s="258">
        <v>0</v>
      </c>
      <c r="ET46" s="258">
        <v>0</v>
      </c>
      <c r="EU46" s="258">
        <v>0</v>
      </c>
      <c r="EV46" s="258">
        <v>0</v>
      </c>
      <c r="EW46" s="258">
        <v>0</v>
      </c>
      <c r="EX46" s="258">
        <v>0</v>
      </c>
      <c r="EY46" s="258">
        <v>0</v>
      </c>
      <c r="EZ46" s="258">
        <v>0</v>
      </c>
      <c r="FA46" s="258">
        <v>0</v>
      </c>
      <c r="FB46" s="258">
        <v>0</v>
      </c>
      <c r="FC46" s="258">
        <v>0</v>
      </c>
      <c r="FD46" s="258">
        <v>0</v>
      </c>
      <c r="FE46" s="258">
        <v>0</v>
      </c>
      <c r="FF46" s="258">
        <v>0</v>
      </c>
      <c r="FG46" s="258">
        <v>0</v>
      </c>
      <c r="FH46" s="301">
        <v>0</v>
      </c>
    </row>
    <row r="47" spans="2:164" x14ac:dyDescent="0.2">
      <c r="B47" s="217" t="s">
        <v>343</v>
      </c>
      <c r="C47" s="227">
        <v>0</v>
      </c>
      <c r="D47" s="228">
        <v>0</v>
      </c>
      <c r="E47" s="208">
        <v>0</v>
      </c>
      <c r="F47" s="208">
        <v>0</v>
      </c>
      <c r="G47" s="208">
        <v>0</v>
      </c>
      <c r="H47" s="208">
        <v>0</v>
      </c>
      <c r="I47" s="208">
        <v>0</v>
      </c>
      <c r="J47" s="208">
        <v>0</v>
      </c>
      <c r="K47" s="208">
        <v>0</v>
      </c>
      <c r="L47" s="208">
        <v>0</v>
      </c>
      <c r="M47" s="208">
        <v>0</v>
      </c>
      <c r="N47" s="208">
        <v>0</v>
      </c>
      <c r="O47" s="208">
        <v>0</v>
      </c>
      <c r="P47" s="208">
        <v>0</v>
      </c>
      <c r="Q47" s="208">
        <v>0</v>
      </c>
      <c r="R47" s="208">
        <v>0</v>
      </c>
      <c r="S47" s="208">
        <v>0</v>
      </c>
      <c r="T47" s="208">
        <v>0</v>
      </c>
      <c r="U47" s="208">
        <v>0</v>
      </c>
      <c r="V47" s="208">
        <v>0</v>
      </c>
      <c r="W47" s="222">
        <v>0</v>
      </c>
      <c r="X47" s="208"/>
      <c r="Y47" s="217" t="s">
        <v>343</v>
      </c>
      <c r="Z47" s="227">
        <v>0</v>
      </c>
      <c r="AA47" s="228">
        <v>0</v>
      </c>
      <c r="AB47" s="208">
        <v>0</v>
      </c>
      <c r="AC47" s="208">
        <v>0</v>
      </c>
      <c r="AD47" s="208">
        <v>0</v>
      </c>
      <c r="AE47" s="208">
        <v>0</v>
      </c>
      <c r="AF47" s="208">
        <v>0</v>
      </c>
      <c r="AG47" s="208">
        <v>0</v>
      </c>
      <c r="AH47" s="208">
        <v>0</v>
      </c>
      <c r="AI47" s="208">
        <v>0</v>
      </c>
      <c r="AJ47" s="208">
        <v>0</v>
      </c>
      <c r="AK47" s="208">
        <v>0</v>
      </c>
      <c r="AL47" s="208">
        <v>0</v>
      </c>
      <c r="AM47" s="208">
        <v>0</v>
      </c>
      <c r="AN47" s="208">
        <v>0</v>
      </c>
      <c r="AO47" s="208">
        <v>0</v>
      </c>
      <c r="AP47" s="208">
        <v>0</v>
      </c>
      <c r="AQ47" s="208">
        <v>0</v>
      </c>
      <c r="AR47" s="208">
        <v>0</v>
      </c>
      <c r="AS47" s="208">
        <v>0</v>
      </c>
      <c r="AT47" s="222">
        <v>0</v>
      </c>
      <c r="AV47" s="217" t="s">
        <v>6</v>
      </c>
      <c r="AW47" s="227">
        <f t="shared" si="80"/>
        <v>0</v>
      </c>
      <c r="AX47" s="227">
        <f t="shared" si="81"/>
        <v>0</v>
      </c>
      <c r="AY47" s="227">
        <f t="shared" si="82"/>
        <v>0</v>
      </c>
      <c r="AZ47" s="227">
        <f t="shared" si="71"/>
        <v>0</v>
      </c>
      <c r="BA47" s="227">
        <f t="shared" si="60"/>
        <v>0</v>
      </c>
      <c r="BB47" s="227">
        <f t="shared" ref="BB47:BB49" si="90">AE47</f>
        <v>0</v>
      </c>
      <c r="BC47" s="227">
        <f t="shared" ref="BC47:BC49" si="91">AF47</f>
        <v>0</v>
      </c>
      <c r="BD47" s="227">
        <f t="shared" ref="BD47:BD49" si="92">AG47</f>
        <v>0</v>
      </c>
      <c r="BE47" s="227">
        <f t="shared" ref="BE47:BE49" si="93">AH47</f>
        <v>0</v>
      </c>
      <c r="BF47" s="208">
        <v>0</v>
      </c>
      <c r="BG47" s="208">
        <v>0</v>
      </c>
      <c r="BH47" s="208">
        <f t="shared" si="84"/>
        <v>0</v>
      </c>
      <c r="BI47" s="208">
        <f t="shared" si="85"/>
        <v>0</v>
      </c>
      <c r="BJ47" s="208">
        <f t="shared" si="86"/>
        <v>0</v>
      </c>
      <c r="BK47" s="208">
        <f t="shared" si="87"/>
        <v>0</v>
      </c>
      <c r="BL47" s="208">
        <f t="shared" si="88"/>
        <v>0</v>
      </c>
      <c r="BM47" s="208">
        <f t="shared" si="89"/>
        <v>0</v>
      </c>
      <c r="BN47" s="208">
        <f t="shared" si="83"/>
        <v>0</v>
      </c>
      <c r="BO47" s="208">
        <f t="shared" si="78"/>
        <v>0</v>
      </c>
      <c r="BP47" s="208">
        <f t="shared" si="79"/>
        <v>0</v>
      </c>
      <c r="BQ47" s="230">
        <f t="shared" si="57"/>
        <v>0</v>
      </c>
      <c r="BR47" s="214"/>
      <c r="BS47" s="227"/>
      <c r="BT47" s="286"/>
      <c r="BU47" s="300" t="s">
        <v>343</v>
      </c>
      <c r="BV47" s="293">
        <v>0</v>
      </c>
      <c r="BW47" s="293">
        <v>0</v>
      </c>
      <c r="BX47" s="258">
        <v>0</v>
      </c>
      <c r="BY47" s="258">
        <v>0</v>
      </c>
      <c r="BZ47" s="258">
        <v>0</v>
      </c>
      <c r="CA47" s="258">
        <v>0</v>
      </c>
      <c r="CB47" s="258">
        <v>0</v>
      </c>
      <c r="CC47" s="258">
        <v>0</v>
      </c>
      <c r="CD47" s="258">
        <v>0</v>
      </c>
      <c r="CE47" s="258">
        <v>0</v>
      </c>
      <c r="CF47" s="258">
        <v>0</v>
      </c>
      <c r="CG47" s="258">
        <v>0</v>
      </c>
      <c r="CH47" s="258">
        <v>0</v>
      </c>
      <c r="CI47" s="258">
        <v>0</v>
      </c>
      <c r="CJ47" s="258">
        <v>0</v>
      </c>
      <c r="CK47" s="258">
        <v>0</v>
      </c>
      <c r="CL47" s="258">
        <v>0</v>
      </c>
      <c r="CM47" s="258">
        <v>0</v>
      </c>
      <c r="CN47" s="258">
        <v>0</v>
      </c>
      <c r="CO47" s="258">
        <v>0</v>
      </c>
      <c r="CP47" s="301">
        <v>0</v>
      </c>
      <c r="CQ47" s="302"/>
      <c r="CR47" s="300" t="s">
        <v>343</v>
      </c>
      <c r="CS47" s="293">
        <v>0</v>
      </c>
      <c r="CT47" s="293">
        <v>0</v>
      </c>
      <c r="CU47" s="258">
        <v>0</v>
      </c>
      <c r="CV47" s="258">
        <v>0</v>
      </c>
      <c r="CW47" s="258">
        <v>0</v>
      </c>
      <c r="CX47" s="258">
        <v>0</v>
      </c>
      <c r="CY47" s="258">
        <v>0</v>
      </c>
      <c r="CZ47" s="258">
        <v>0</v>
      </c>
      <c r="DA47" s="258">
        <v>0</v>
      </c>
      <c r="DB47" s="258">
        <v>0</v>
      </c>
      <c r="DC47" s="258">
        <v>0</v>
      </c>
      <c r="DD47" s="258">
        <v>0</v>
      </c>
      <c r="DE47" s="258">
        <v>0</v>
      </c>
      <c r="DF47" s="258">
        <v>0</v>
      </c>
      <c r="DG47" s="258">
        <v>0</v>
      </c>
      <c r="DH47" s="258">
        <v>0</v>
      </c>
      <c r="DI47" s="258">
        <v>0</v>
      </c>
      <c r="DJ47" s="258">
        <v>0</v>
      </c>
      <c r="DK47" s="258">
        <v>0</v>
      </c>
      <c r="DL47" s="258">
        <v>0</v>
      </c>
      <c r="DM47" s="301">
        <v>0</v>
      </c>
      <c r="DN47" s="302"/>
      <c r="DO47" s="302"/>
      <c r="DP47" s="300" t="s">
        <v>343</v>
      </c>
      <c r="DQ47" s="293">
        <v>0</v>
      </c>
      <c r="DR47" s="293">
        <v>0</v>
      </c>
      <c r="DS47" s="258">
        <v>0</v>
      </c>
      <c r="DT47" s="258">
        <v>0</v>
      </c>
      <c r="DU47" s="258">
        <v>0</v>
      </c>
      <c r="DV47" s="258">
        <v>0</v>
      </c>
      <c r="DW47" s="258">
        <v>0</v>
      </c>
      <c r="DX47" s="258">
        <v>0</v>
      </c>
      <c r="DY47" s="258">
        <v>0</v>
      </c>
      <c r="DZ47" s="258">
        <v>0</v>
      </c>
      <c r="EA47" s="258">
        <v>0</v>
      </c>
      <c r="EB47" s="258">
        <v>0</v>
      </c>
      <c r="EC47" s="258">
        <v>0</v>
      </c>
      <c r="ED47" s="258">
        <v>0</v>
      </c>
      <c r="EE47" s="258">
        <v>0</v>
      </c>
      <c r="EF47" s="258">
        <v>0</v>
      </c>
      <c r="EG47" s="258">
        <v>0</v>
      </c>
      <c r="EH47" s="258">
        <v>0</v>
      </c>
      <c r="EI47" s="258">
        <v>0</v>
      </c>
      <c r="EJ47" s="258">
        <v>0</v>
      </c>
      <c r="EK47" s="301">
        <v>0</v>
      </c>
      <c r="EL47" s="287"/>
      <c r="EM47" s="300" t="s">
        <v>343</v>
      </c>
      <c r="EN47" s="293">
        <v>0</v>
      </c>
      <c r="EO47" s="293">
        <v>0</v>
      </c>
      <c r="EP47" s="258">
        <v>0</v>
      </c>
      <c r="EQ47" s="258">
        <v>0</v>
      </c>
      <c r="ER47" s="258">
        <v>0</v>
      </c>
      <c r="ES47" s="258">
        <v>0</v>
      </c>
      <c r="ET47" s="258">
        <v>0</v>
      </c>
      <c r="EU47" s="258">
        <v>0</v>
      </c>
      <c r="EV47" s="258">
        <v>0</v>
      </c>
      <c r="EW47" s="258">
        <v>0</v>
      </c>
      <c r="EX47" s="258">
        <v>0</v>
      </c>
      <c r="EY47" s="258">
        <v>0</v>
      </c>
      <c r="EZ47" s="258">
        <v>0</v>
      </c>
      <c r="FA47" s="258">
        <v>0</v>
      </c>
      <c r="FB47" s="258">
        <v>0</v>
      </c>
      <c r="FC47" s="258">
        <v>0</v>
      </c>
      <c r="FD47" s="258">
        <v>0</v>
      </c>
      <c r="FE47" s="258">
        <v>0</v>
      </c>
      <c r="FF47" s="258">
        <v>0</v>
      </c>
      <c r="FG47" s="258">
        <v>0</v>
      </c>
      <c r="FH47" s="301">
        <v>0</v>
      </c>
    </row>
    <row r="48" spans="2:164" x14ac:dyDescent="0.2">
      <c r="B48" s="217" t="s">
        <v>346</v>
      </c>
      <c r="C48" s="227">
        <v>0</v>
      </c>
      <c r="D48" s="228">
        <v>0</v>
      </c>
      <c r="E48" s="208">
        <v>0</v>
      </c>
      <c r="F48" s="208">
        <v>0</v>
      </c>
      <c r="G48" s="208">
        <v>0</v>
      </c>
      <c r="H48" s="208">
        <v>0</v>
      </c>
      <c r="I48" s="208">
        <v>0</v>
      </c>
      <c r="J48" s="208">
        <v>0</v>
      </c>
      <c r="K48" s="208">
        <v>0</v>
      </c>
      <c r="L48" s="208">
        <v>0</v>
      </c>
      <c r="M48" s="208">
        <v>0</v>
      </c>
      <c r="N48" s="208">
        <v>0</v>
      </c>
      <c r="O48" s="208">
        <v>0</v>
      </c>
      <c r="P48" s="208">
        <v>0</v>
      </c>
      <c r="Q48" s="208">
        <v>0</v>
      </c>
      <c r="R48" s="208">
        <v>0</v>
      </c>
      <c r="S48" s="208">
        <v>0</v>
      </c>
      <c r="T48" s="208">
        <v>0</v>
      </c>
      <c r="U48" s="208">
        <v>0</v>
      </c>
      <c r="V48" s="208">
        <v>0</v>
      </c>
      <c r="W48" s="222">
        <v>0</v>
      </c>
      <c r="X48" s="208"/>
      <c r="Y48" s="217" t="s">
        <v>346</v>
      </c>
      <c r="Z48" s="227">
        <v>0</v>
      </c>
      <c r="AA48" s="228">
        <v>0</v>
      </c>
      <c r="AB48" s="208">
        <v>0</v>
      </c>
      <c r="AC48" s="208">
        <v>0</v>
      </c>
      <c r="AD48" s="208">
        <v>0</v>
      </c>
      <c r="AE48" s="208">
        <v>0</v>
      </c>
      <c r="AF48" s="208">
        <v>0</v>
      </c>
      <c r="AG48" s="208">
        <v>0</v>
      </c>
      <c r="AH48" s="208">
        <v>0</v>
      </c>
      <c r="AI48" s="208">
        <v>0</v>
      </c>
      <c r="AJ48" s="208">
        <v>0</v>
      </c>
      <c r="AK48" s="208">
        <v>0</v>
      </c>
      <c r="AL48" s="208">
        <v>0</v>
      </c>
      <c r="AM48" s="208">
        <v>0</v>
      </c>
      <c r="AN48" s="208">
        <v>0</v>
      </c>
      <c r="AO48" s="208">
        <v>0</v>
      </c>
      <c r="AP48" s="208">
        <v>0</v>
      </c>
      <c r="AQ48" s="208">
        <v>0</v>
      </c>
      <c r="AR48" s="208">
        <v>0</v>
      </c>
      <c r="AS48" s="208">
        <v>0</v>
      </c>
      <c r="AT48" s="222">
        <v>0</v>
      </c>
      <c r="AV48" s="217" t="s">
        <v>342</v>
      </c>
      <c r="AW48" s="227">
        <f t="shared" si="80"/>
        <v>0</v>
      </c>
      <c r="AX48" s="227">
        <f t="shared" si="81"/>
        <v>0</v>
      </c>
      <c r="AY48" s="227">
        <f t="shared" si="82"/>
        <v>0</v>
      </c>
      <c r="AZ48" s="227">
        <f t="shared" si="71"/>
        <v>0</v>
      </c>
      <c r="BA48" s="227">
        <f t="shared" si="60"/>
        <v>0</v>
      </c>
      <c r="BB48" s="227">
        <f t="shared" si="90"/>
        <v>0</v>
      </c>
      <c r="BC48" s="227">
        <f t="shared" si="91"/>
        <v>0</v>
      </c>
      <c r="BD48" s="227">
        <f t="shared" si="92"/>
        <v>0</v>
      </c>
      <c r="BE48" s="227">
        <f t="shared" si="93"/>
        <v>0</v>
      </c>
      <c r="BF48" s="227">
        <f t="shared" ref="BF48:BF49" si="94">AI48</f>
        <v>0</v>
      </c>
      <c r="BG48" s="227">
        <f t="shared" ref="BG48:BG49" si="95">AJ48</f>
        <v>0</v>
      </c>
      <c r="BH48" s="208">
        <f t="shared" si="84"/>
        <v>0</v>
      </c>
      <c r="BI48" s="208">
        <f t="shared" si="85"/>
        <v>0</v>
      </c>
      <c r="BJ48" s="208">
        <f t="shared" si="86"/>
        <v>0</v>
      </c>
      <c r="BK48" s="208">
        <f t="shared" si="87"/>
        <v>0</v>
      </c>
      <c r="BL48" s="208">
        <f t="shared" si="88"/>
        <v>0</v>
      </c>
      <c r="BM48" s="208">
        <f t="shared" si="89"/>
        <v>0</v>
      </c>
      <c r="BN48" s="208">
        <f t="shared" si="83"/>
        <v>0</v>
      </c>
      <c r="BO48" s="208">
        <f t="shared" si="78"/>
        <v>0</v>
      </c>
      <c r="BP48" s="208">
        <f t="shared" si="79"/>
        <v>0</v>
      </c>
      <c r="BQ48" s="230">
        <f t="shared" si="57"/>
        <v>0</v>
      </c>
      <c r="BR48" s="214"/>
      <c r="BS48" s="227"/>
      <c r="BT48" s="286"/>
      <c r="BU48" s="300" t="s">
        <v>346</v>
      </c>
      <c r="BV48" s="293">
        <v>0</v>
      </c>
      <c r="BW48" s="293">
        <v>0</v>
      </c>
      <c r="BX48" s="258">
        <v>0</v>
      </c>
      <c r="BY48" s="258">
        <v>0</v>
      </c>
      <c r="BZ48" s="258">
        <v>0</v>
      </c>
      <c r="CA48" s="258">
        <v>0</v>
      </c>
      <c r="CB48" s="258">
        <v>0</v>
      </c>
      <c r="CC48" s="258">
        <v>0</v>
      </c>
      <c r="CD48" s="258">
        <v>0</v>
      </c>
      <c r="CE48" s="258">
        <v>0</v>
      </c>
      <c r="CF48" s="258">
        <v>0</v>
      </c>
      <c r="CG48" s="258">
        <v>0</v>
      </c>
      <c r="CH48" s="258">
        <v>0</v>
      </c>
      <c r="CI48" s="258">
        <v>0</v>
      </c>
      <c r="CJ48" s="258">
        <v>0</v>
      </c>
      <c r="CK48" s="258">
        <v>0</v>
      </c>
      <c r="CL48" s="258">
        <v>0</v>
      </c>
      <c r="CM48" s="258">
        <v>0</v>
      </c>
      <c r="CN48" s="258">
        <v>0</v>
      </c>
      <c r="CO48" s="258">
        <v>0</v>
      </c>
      <c r="CP48" s="301">
        <v>0</v>
      </c>
      <c r="CQ48" s="302"/>
      <c r="CR48" s="300" t="s">
        <v>346</v>
      </c>
      <c r="CS48" s="293">
        <v>0</v>
      </c>
      <c r="CT48" s="293">
        <v>0</v>
      </c>
      <c r="CU48" s="258">
        <v>0</v>
      </c>
      <c r="CV48" s="258">
        <v>0</v>
      </c>
      <c r="CW48" s="258">
        <v>0</v>
      </c>
      <c r="CX48" s="258">
        <v>0</v>
      </c>
      <c r="CY48" s="258">
        <v>0</v>
      </c>
      <c r="CZ48" s="258">
        <v>0</v>
      </c>
      <c r="DA48" s="258">
        <v>0</v>
      </c>
      <c r="DB48" s="258">
        <v>0</v>
      </c>
      <c r="DC48" s="258">
        <v>0</v>
      </c>
      <c r="DD48" s="258">
        <v>0</v>
      </c>
      <c r="DE48" s="258">
        <v>0</v>
      </c>
      <c r="DF48" s="258">
        <v>0</v>
      </c>
      <c r="DG48" s="258">
        <v>0</v>
      </c>
      <c r="DH48" s="258">
        <v>0</v>
      </c>
      <c r="DI48" s="258">
        <v>0</v>
      </c>
      <c r="DJ48" s="258">
        <v>0</v>
      </c>
      <c r="DK48" s="258">
        <v>0</v>
      </c>
      <c r="DL48" s="258">
        <v>0</v>
      </c>
      <c r="DM48" s="301">
        <v>0</v>
      </c>
      <c r="DN48" s="302"/>
      <c r="DO48" s="302"/>
      <c r="DP48" s="300" t="s">
        <v>346</v>
      </c>
      <c r="DQ48" s="293">
        <v>0</v>
      </c>
      <c r="DR48" s="293">
        <v>0</v>
      </c>
      <c r="DS48" s="258">
        <v>0</v>
      </c>
      <c r="DT48" s="258">
        <v>0</v>
      </c>
      <c r="DU48" s="258">
        <v>0</v>
      </c>
      <c r="DV48" s="258">
        <v>0</v>
      </c>
      <c r="DW48" s="258">
        <v>0</v>
      </c>
      <c r="DX48" s="258">
        <v>0</v>
      </c>
      <c r="DY48" s="258">
        <v>0</v>
      </c>
      <c r="DZ48" s="258">
        <v>0</v>
      </c>
      <c r="EA48" s="258">
        <v>0</v>
      </c>
      <c r="EB48" s="258">
        <v>0</v>
      </c>
      <c r="EC48" s="258">
        <v>0</v>
      </c>
      <c r="ED48" s="258">
        <v>0</v>
      </c>
      <c r="EE48" s="258">
        <v>0</v>
      </c>
      <c r="EF48" s="258">
        <v>0</v>
      </c>
      <c r="EG48" s="258">
        <v>0</v>
      </c>
      <c r="EH48" s="258">
        <v>0</v>
      </c>
      <c r="EI48" s="258">
        <v>0</v>
      </c>
      <c r="EJ48" s="258">
        <v>0</v>
      </c>
      <c r="EK48" s="301">
        <v>0</v>
      </c>
      <c r="EL48" s="287"/>
      <c r="EM48" s="300" t="s">
        <v>346</v>
      </c>
      <c r="EN48" s="293">
        <v>0</v>
      </c>
      <c r="EO48" s="293">
        <v>0</v>
      </c>
      <c r="EP48" s="258">
        <v>0</v>
      </c>
      <c r="EQ48" s="258">
        <v>0</v>
      </c>
      <c r="ER48" s="258">
        <v>0</v>
      </c>
      <c r="ES48" s="258">
        <v>0</v>
      </c>
      <c r="ET48" s="258">
        <v>0</v>
      </c>
      <c r="EU48" s="258">
        <v>0</v>
      </c>
      <c r="EV48" s="258">
        <v>0</v>
      </c>
      <c r="EW48" s="258">
        <v>0</v>
      </c>
      <c r="EX48" s="258">
        <v>0</v>
      </c>
      <c r="EY48" s="258">
        <v>0</v>
      </c>
      <c r="EZ48" s="258">
        <v>0</v>
      </c>
      <c r="FA48" s="258">
        <v>0</v>
      </c>
      <c r="FB48" s="258">
        <v>0</v>
      </c>
      <c r="FC48" s="258">
        <v>0</v>
      </c>
      <c r="FD48" s="258">
        <v>0</v>
      </c>
      <c r="FE48" s="258">
        <v>0</v>
      </c>
      <c r="FF48" s="258">
        <v>0</v>
      </c>
      <c r="FG48" s="258">
        <v>0</v>
      </c>
      <c r="FH48" s="301">
        <v>0</v>
      </c>
    </row>
    <row r="49" spans="2:164" x14ac:dyDescent="0.2">
      <c r="B49" s="217" t="s">
        <v>347</v>
      </c>
      <c r="C49" s="227">
        <v>0</v>
      </c>
      <c r="D49" s="228">
        <v>0</v>
      </c>
      <c r="E49" s="208">
        <v>0</v>
      </c>
      <c r="F49" s="208">
        <v>0</v>
      </c>
      <c r="G49" s="208">
        <v>0</v>
      </c>
      <c r="H49" s="208">
        <v>0</v>
      </c>
      <c r="I49" s="208">
        <v>0</v>
      </c>
      <c r="J49" s="208">
        <v>0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08">
        <v>0</v>
      </c>
      <c r="R49" s="208">
        <v>0</v>
      </c>
      <c r="S49" s="208">
        <v>0</v>
      </c>
      <c r="T49" s="208">
        <v>0</v>
      </c>
      <c r="U49" s="208">
        <v>0</v>
      </c>
      <c r="V49" s="208">
        <v>0</v>
      </c>
      <c r="W49" s="222">
        <v>0</v>
      </c>
      <c r="X49" s="208"/>
      <c r="Y49" s="217" t="s">
        <v>347</v>
      </c>
      <c r="Z49" s="227">
        <v>0</v>
      </c>
      <c r="AA49" s="228">
        <v>0</v>
      </c>
      <c r="AB49" s="208">
        <v>0</v>
      </c>
      <c r="AC49" s="208">
        <v>0</v>
      </c>
      <c r="AD49" s="208">
        <v>0</v>
      </c>
      <c r="AE49" s="208">
        <v>0</v>
      </c>
      <c r="AF49" s="208">
        <v>0</v>
      </c>
      <c r="AG49" s="208">
        <v>0</v>
      </c>
      <c r="AH49" s="208">
        <v>0</v>
      </c>
      <c r="AI49" s="208">
        <v>0</v>
      </c>
      <c r="AJ49" s="208">
        <v>0</v>
      </c>
      <c r="AK49" s="208">
        <v>0</v>
      </c>
      <c r="AL49" s="208">
        <v>0</v>
      </c>
      <c r="AM49" s="208">
        <v>0</v>
      </c>
      <c r="AN49" s="208">
        <v>0</v>
      </c>
      <c r="AO49" s="208">
        <v>0</v>
      </c>
      <c r="AP49" s="208">
        <v>0</v>
      </c>
      <c r="AQ49" s="208">
        <v>0</v>
      </c>
      <c r="AR49" s="208">
        <v>0</v>
      </c>
      <c r="AS49" s="208">
        <v>0</v>
      </c>
      <c r="AT49" s="222">
        <v>0</v>
      </c>
      <c r="AV49" s="217" t="s">
        <v>343</v>
      </c>
      <c r="AW49" s="227">
        <f t="shared" si="80"/>
        <v>0</v>
      </c>
      <c r="AX49" s="227">
        <f t="shared" si="81"/>
        <v>0</v>
      </c>
      <c r="AY49" s="227">
        <f t="shared" si="82"/>
        <v>0</v>
      </c>
      <c r="AZ49" s="227">
        <f t="shared" si="71"/>
        <v>0</v>
      </c>
      <c r="BA49" s="227">
        <f t="shared" si="60"/>
        <v>0</v>
      </c>
      <c r="BB49" s="227">
        <f t="shared" si="90"/>
        <v>0</v>
      </c>
      <c r="BC49" s="227">
        <f t="shared" si="91"/>
        <v>0</v>
      </c>
      <c r="BD49" s="227">
        <f t="shared" si="92"/>
        <v>0</v>
      </c>
      <c r="BE49" s="227">
        <f t="shared" si="93"/>
        <v>0</v>
      </c>
      <c r="BF49" s="227">
        <f t="shared" si="94"/>
        <v>0</v>
      </c>
      <c r="BG49" s="227">
        <f t="shared" si="95"/>
        <v>0</v>
      </c>
      <c r="BH49" s="208">
        <f t="shared" si="84"/>
        <v>0</v>
      </c>
      <c r="BI49" s="208">
        <f t="shared" si="85"/>
        <v>0</v>
      </c>
      <c r="BJ49" s="208">
        <f t="shared" si="86"/>
        <v>0</v>
      </c>
      <c r="BK49" s="208">
        <f t="shared" si="87"/>
        <v>0</v>
      </c>
      <c r="BL49" s="208">
        <f t="shared" si="88"/>
        <v>0</v>
      </c>
      <c r="BM49" s="208">
        <f t="shared" si="89"/>
        <v>0</v>
      </c>
      <c r="BN49" s="208">
        <f t="shared" si="83"/>
        <v>0</v>
      </c>
      <c r="BO49" s="208">
        <f t="shared" si="78"/>
        <v>0</v>
      </c>
      <c r="BP49" s="208">
        <f t="shared" si="79"/>
        <v>0</v>
      </c>
      <c r="BQ49" s="222">
        <f t="shared" si="57"/>
        <v>0</v>
      </c>
      <c r="BR49" s="214"/>
      <c r="BS49" s="227"/>
      <c r="BT49" s="286"/>
      <c r="BU49" s="300" t="s">
        <v>347</v>
      </c>
      <c r="BV49" s="293">
        <v>0</v>
      </c>
      <c r="BW49" s="293">
        <v>0</v>
      </c>
      <c r="BX49" s="258">
        <v>0</v>
      </c>
      <c r="BY49" s="258">
        <v>0</v>
      </c>
      <c r="BZ49" s="258">
        <v>0</v>
      </c>
      <c r="CA49" s="258">
        <v>0</v>
      </c>
      <c r="CB49" s="258">
        <v>0</v>
      </c>
      <c r="CC49" s="258">
        <v>0</v>
      </c>
      <c r="CD49" s="258">
        <v>0</v>
      </c>
      <c r="CE49" s="258">
        <v>0</v>
      </c>
      <c r="CF49" s="258">
        <v>0</v>
      </c>
      <c r="CG49" s="258">
        <v>0</v>
      </c>
      <c r="CH49" s="258">
        <v>0</v>
      </c>
      <c r="CI49" s="258">
        <v>0</v>
      </c>
      <c r="CJ49" s="258">
        <v>0</v>
      </c>
      <c r="CK49" s="258">
        <v>0</v>
      </c>
      <c r="CL49" s="258">
        <v>0</v>
      </c>
      <c r="CM49" s="258">
        <v>0</v>
      </c>
      <c r="CN49" s="258">
        <v>0</v>
      </c>
      <c r="CO49" s="258">
        <v>0</v>
      </c>
      <c r="CP49" s="301">
        <v>0</v>
      </c>
      <c r="CQ49" s="302"/>
      <c r="CR49" s="300" t="s">
        <v>347</v>
      </c>
      <c r="CS49" s="293">
        <v>0</v>
      </c>
      <c r="CT49" s="293">
        <v>0</v>
      </c>
      <c r="CU49" s="258">
        <v>0</v>
      </c>
      <c r="CV49" s="258">
        <v>0</v>
      </c>
      <c r="CW49" s="258">
        <v>0</v>
      </c>
      <c r="CX49" s="258">
        <v>0</v>
      </c>
      <c r="CY49" s="258">
        <v>0</v>
      </c>
      <c r="CZ49" s="258">
        <v>0</v>
      </c>
      <c r="DA49" s="258">
        <v>0</v>
      </c>
      <c r="DB49" s="258">
        <v>0</v>
      </c>
      <c r="DC49" s="258">
        <v>0</v>
      </c>
      <c r="DD49" s="258">
        <v>0</v>
      </c>
      <c r="DE49" s="258">
        <v>0</v>
      </c>
      <c r="DF49" s="258">
        <v>0</v>
      </c>
      <c r="DG49" s="258">
        <v>0</v>
      </c>
      <c r="DH49" s="258">
        <v>0</v>
      </c>
      <c r="DI49" s="258">
        <v>0</v>
      </c>
      <c r="DJ49" s="258">
        <v>0</v>
      </c>
      <c r="DK49" s="258">
        <v>0</v>
      </c>
      <c r="DL49" s="258">
        <v>0</v>
      </c>
      <c r="DM49" s="301">
        <v>0</v>
      </c>
      <c r="DN49" s="302"/>
      <c r="DO49" s="302"/>
      <c r="DP49" s="300" t="s">
        <v>347</v>
      </c>
      <c r="DQ49" s="293">
        <v>0</v>
      </c>
      <c r="DR49" s="293">
        <v>0</v>
      </c>
      <c r="DS49" s="258">
        <v>0</v>
      </c>
      <c r="DT49" s="258">
        <v>0</v>
      </c>
      <c r="DU49" s="258">
        <v>0</v>
      </c>
      <c r="DV49" s="258">
        <v>0</v>
      </c>
      <c r="DW49" s="258">
        <v>0</v>
      </c>
      <c r="DX49" s="258">
        <v>0</v>
      </c>
      <c r="DY49" s="258">
        <v>0</v>
      </c>
      <c r="DZ49" s="258">
        <v>0</v>
      </c>
      <c r="EA49" s="258">
        <v>0</v>
      </c>
      <c r="EB49" s="258">
        <v>0</v>
      </c>
      <c r="EC49" s="258">
        <v>0</v>
      </c>
      <c r="ED49" s="258">
        <v>0</v>
      </c>
      <c r="EE49" s="258">
        <v>0</v>
      </c>
      <c r="EF49" s="258">
        <v>0</v>
      </c>
      <c r="EG49" s="258">
        <v>0</v>
      </c>
      <c r="EH49" s="258">
        <v>0</v>
      </c>
      <c r="EI49" s="258">
        <v>0</v>
      </c>
      <c r="EJ49" s="258">
        <v>0</v>
      </c>
      <c r="EK49" s="301">
        <v>0</v>
      </c>
      <c r="EL49" s="287"/>
      <c r="EM49" s="300" t="s">
        <v>347</v>
      </c>
      <c r="EN49" s="293">
        <v>0</v>
      </c>
      <c r="EO49" s="293">
        <v>0</v>
      </c>
      <c r="EP49" s="258">
        <v>0</v>
      </c>
      <c r="EQ49" s="258">
        <v>0</v>
      </c>
      <c r="ER49" s="258">
        <v>0</v>
      </c>
      <c r="ES49" s="258">
        <v>0</v>
      </c>
      <c r="ET49" s="258">
        <v>0</v>
      </c>
      <c r="EU49" s="258">
        <v>0</v>
      </c>
      <c r="EV49" s="258">
        <v>0</v>
      </c>
      <c r="EW49" s="258">
        <v>0</v>
      </c>
      <c r="EX49" s="258">
        <v>0</v>
      </c>
      <c r="EY49" s="258">
        <v>0</v>
      </c>
      <c r="EZ49" s="258">
        <v>0</v>
      </c>
      <c r="FA49" s="258">
        <v>0</v>
      </c>
      <c r="FB49" s="258">
        <v>0</v>
      </c>
      <c r="FC49" s="258">
        <v>0</v>
      </c>
      <c r="FD49" s="258">
        <v>0</v>
      </c>
      <c r="FE49" s="258">
        <v>0</v>
      </c>
      <c r="FF49" s="258">
        <v>0</v>
      </c>
      <c r="FG49" s="258">
        <v>0</v>
      </c>
      <c r="FH49" s="301">
        <v>0</v>
      </c>
    </row>
    <row r="50" spans="2:164" x14ac:dyDescent="0.2">
      <c r="B50" s="218" t="s">
        <v>7</v>
      </c>
      <c r="C50" s="219">
        <v>160</v>
      </c>
      <c r="D50" s="220">
        <v>83</v>
      </c>
      <c r="E50" s="221">
        <v>21</v>
      </c>
      <c r="F50" s="221">
        <v>98</v>
      </c>
      <c r="G50" s="221">
        <v>134</v>
      </c>
      <c r="H50" s="221">
        <v>129</v>
      </c>
      <c r="I50" s="221">
        <v>63</v>
      </c>
      <c r="J50" s="221">
        <v>0</v>
      </c>
      <c r="K50" s="221">
        <v>5</v>
      </c>
      <c r="L50" s="221">
        <v>55</v>
      </c>
      <c r="M50" s="221">
        <v>20</v>
      </c>
      <c r="N50" s="221">
        <v>8</v>
      </c>
      <c r="O50" s="221">
        <v>0</v>
      </c>
      <c r="P50" s="221">
        <v>0</v>
      </c>
      <c r="Q50" s="221">
        <v>0</v>
      </c>
      <c r="R50" s="221">
        <v>12</v>
      </c>
      <c r="S50" s="221">
        <v>5</v>
      </c>
      <c r="T50" s="221">
        <v>0</v>
      </c>
      <c r="U50" s="221">
        <v>3</v>
      </c>
      <c r="V50" s="221">
        <v>0</v>
      </c>
      <c r="W50" s="223">
        <v>796</v>
      </c>
      <c r="X50" s="208"/>
      <c r="Y50" s="218" t="s">
        <v>7</v>
      </c>
      <c r="Z50" s="219">
        <v>30542.986317910174</v>
      </c>
      <c r="AA50" s="220">
        <v>3184.7328242789554</v>
      </c>
      <c r="AB50" s="221">
        <v>8311.4374988877571</v>
      </c>
      <c r="AC50" s="221">
        <v>14703.287481908004</v>
      </c>
      <c r="AD50" s="221">
        <v>9671.9868602977476</v>
      </c>
      <c r="AE50" s="221">
        <v>30460.12881807844</v>
      </c>
      <c r="AF50" s="221">
        <v>3042.5040574801442</v>
      </c>
      <c r="AG50" s="221">
        <v>0</v>
      </c>
      <c r="AH50" s="221">
        <v>0</v>
      </c>
      <c r="AI50" s="221">
        <v>7801.8057925494004</v>
      </c>
      <c r="AJ50" s="221">
        <v>2969.0949068318605</v>
      </c>
      <c r="AK50" s="221">
        <v>9722.1006490834989</v>
      </c>
      <c r="AL50" s="221">
        <v>0</v>
      </c>
      <c r="AM50" s="221">
        <v>0</v>
      </c>
      <c r="AN50" s="221">
        <v>0</v>
      </c>
      <c r="AO50" s="221">
        <v>92.870841423373889</v>
      </c>
      <c r="AP50" s="221">
        <v>54.338778474100415</v>
      </c>
      <c r="AQ50" s="221">
        <v>0</v>
      </c>
      <c r="AR50" s="221">
        <v>0</v>
      </c>
      <c r="AS50" s="221">
        <v>0</v>
      </c>
      <c r="AT50" s="223">
        <v>120557.27482720345</v>
      </c>
      <c r="AV50" s="218" t="s">
        <v>7</v>
      </c>
      <c r="AW50" s="254">
        <f>SUM(AW30:AW49)</f>
        <v>30498.159302921282</v>
      </c>
      <c r="AX50" s="254">
        <f t="shared" ref="AX50" si="96">SUM(AX30:AX49)</f>
        <v>2729.6286017344255</v>
      </c>
      <c r="AY50" s="254">
        <f t="shared" ref="AY50" si="97">SUM(AY30:AY49)</f>
        <v>8238.6223049620439</v>
      </c>
      <c r="AZ50" s="254">
        <f t="shared" ref="AZ50" si="98">SUM(AZ30:AZ49)</f>
        <v>14703.287481908004</v>
      </c>
      <c r="BA50" s="254">
        <f t="shared" ref="BA50" si="99">SUM(BA30:BA49)</f>
        <v>9556.8367540548297</v>
      </c>
      <c r="BB50" s="254">
        <f t="shared" ref="BB50" si="100">SUM(BB30:BB49)</f>
        <v>28882.197970980946</v>
      </c>
      <c r="BC50" s="254">
        <f t="shared" ref="BC50" si="101">SUM(BC30:BC49)</f>
        <v>3029.2075523057119</v>
      </c>
      <c r="BD50" s="254">
        <f t="shared" ref="BD50" si="102">SUM(BD30:BD49)</f>
        <v>0</v>
      </c>
      <c r="BE50" s="254">
        <f t="shared" ref="BE50" si="103">SUM(BE30:BE49)</f>
        <v>0</v>
      </c>
      <c r="BF50" s="254">
        <f t="shared" ref="BF50" si="104">SUM(BF30:BF49)</f>
        <v>7612.4909812126953</v>
      </c>
      <c r="BG50" s="254">
        <f t="shared" ref="BG50" si="105">SUM(BG30:BG49)</f>
        <v>2927.1369437939729</v>
      </c>
      <c r="BH50" s="254">
        <f t="shared" ref="BH50" si="106">SUM(BH30:BH49)</f>
        <v>0</v>
      </c>
      <c r="BI50" s="254">
        <f t="shared" ref="BI50" si="107">SUM(BI30:BI49)</f>
        <v>0</v>
      </c>
      <c r="BJ50" s="254">
        <f t="shared" ref="BJ50" si="108">SUM(BJ30:BJ49)</f>
        <v>0</v>
      </c>
      <c r="BK50" s="254">
        <f t="shared" ref="BK50" si="109">SUM(BK30:BK49)</f>
        <v>0</v>
      </c>
      <c r="BL50" s="254">
        <f t="shared" ref="BL50" si="110">SUM(BL30:BL49)</f>
        <v>46.435420711686945</v>
      </c>
      <c r="BM50" s="254">
        <f t="shared" ref="BM50" si="111">SUM(BM30:BM49)</f>
        <v>27.169389237050208</v>
      </c>
      <c r="BN50" s="254">
        <f t="shared" ref="BN50" si="112">SUM(BN30:BN49)</f>
        <v>0</v>
      </c>
      <c r="BO50" s="254">
        <f t="shared" ref="BO50" si="113">SUM(BO30:BO49)</f>
        <v>0</v>
      </c>
      <c r="BP50" s="254">
        <f t="shared" ref="BP50" si="114">SUM(BP30:BP49)</f>
        <v>0</v>
      </c>
      <c r="BQ50" s="222">
        <f t="shared" si="57"/>
        <v>108251.17270382267</v>
      </c>
      <c r="BR50" s="214"/>
      <c r="BT50" s="286"/>
      <c r="BU50" s="303" t="s">
        <v>7</v>
      </c>
      <c r="BV50" s="304">
        <v>6</v>
      </c>
      <c r="BW50" s="304">
        <v>35</v>
      </c>
      <c r="BX50" s="305">
        <v>0</v>
      </c>
      <c r="BY50" s="305">
        <v>0</v>
      </c>
      <c r="BZ50" s="305">
        <v>0</v>
      </c>
      <c r="CA50" s="305">
        <v>0</v>
      </c>
      <c r="CB50" s="305">
        <v>0</v>
      </c>
      <c r="CC50" s="305">
        <v>0</v>
      </c>
      <c r="CD50" s="305">
        <v>0</v>
      </c>
      <c r="CE50" s="305">
        <v>0</v>
      </c>
      <c r="CF50" s="305">
        <v>0</v>
      </c>
      <c r="CG50" s="305">
        <v>0</v>
      </c>
      <c r="CH50" s="305">
        <v>0</v>
      </c>
      <c r="CI50" s="305">
        <v>0</v>
      </c>
      <c r="CJ50" s="305">
        <v>0</v>
      </c>
      <c r="CK50" s="305">
        <v>2</v>
      </c>
      <c r="CL50" s="305">
        <v>0</v>
      </c>
      <c r="CM50" s="305">
        <v>0</v>
      </c>
      <c r="CN50" s="305">
        <v>0</v>
      </c>
      <c r="CO50" s="305">
        <v>0</v>
      </c>
      <c r="CP50" s="306">
        <v>43</v>
      </c>
      <c r="CQ50" s="302"/>
      <c r="CR50" s="303" t="s">
        <v>7</v>
      </c>
      <c r="CS50" s="304">
        <v>86.451674327461632</v>
      </c>
      <c r="CT50" s="304">
        <v>251.49502065155474</v>
      </c>
      <c r="CU50" s="305">
        <v>0</v>
      </c>
      <c r="CV50" s="305">
        <v>0</v>
      </c>
      <c r="CW50" s="305">
        <v>0</v>
      </c>
      <c r="CX50" s="305">
        <v>0</v>
      </c>
      <c r="CY50" s="305">
        <v>0</v>
      </c>
      <c r="CZ50" s="305">
        <v>0</v>
      </c>
      <c r="DA50" s="305">
        <v>0</v>
      </c>
      <c r="DB50" s="305">
        <v>0</v>
      </c>
      <c r="DC50" s="305">
        <v>0</v>
      </c>
      <c r="DD50" s="305">
        <v>0</v>
      </c>
      <c r="DE50" s="305">
        <v>0</v>
      </c>
      <c r="DF50" s="305">
        <v>0</v>
      </c>
      <c r="DG50" s="305">
        <v>0</v>
      </c>
      <c r="DH50" s="305">
        <v>39.309036934003387</v>
      </c>
      <c r="DI50" s="305">
        <v>0</v>
      </c>
      <c r="DJ50" s="305">
        <v>0</v>
      </c>
      <c r="DK50" s="305">
        <v>0</v>
      </c>
      <c r="DL50" s="305">
        <v>0</v>
      </c>
      <c r="DM50" s="306">
        <v>377.25573191301976</v>
      </c>
      <c r="DN50" s="302"/>
      <c r="DO50" s="302"/>
      <c r="DP50" s="303" t="s">
        <v>7</v>
      </c>
      <c r="DQ50" s="304">
        <v>25</v>
      </c>
      <c r="DR50" s="304">
        <v>38</v>
      </c>
      <c r="DS50" s="305">
        <v>0</v>
      </c>
      <c r="DT50" s="305">
        <v>0</v>
      </c>
      <c r="DU50" s="305">
        <v>4</v>
      </c>
      <c r="DV50" s="305">
        <v>0</v>
      </c>
      <c r="DW50" s="305">
        <v>0</v>
      </c>
      <c r="DX50" s="305">
        <v>0</v>
      </c>
      <c r="DY50" s="305">
        <v>0</v>
      </c>
      <c r="DZ50" s="305">
        <v>0</v>
      </c>
      <c r="EA50" s="305">
        <v>0</v>
      </c>
      <c r="EB50" s="305">
        <v>0</v>
      </c>
      <c r="EC50" s="305">
        <v>0</v>
      </c>
      <c r="ED50" s="305">
        <v>0</v>
      </c>
      <c r="EE50" s="305">
        <v>0</v>
      </c>
      <c r="EF50" s="305">
        <v>2</v>
      </c>
      <c r="EG50" s="305">
        <v>0</v>
      </c>
      <c r="EH50" s="305">
        <v>0</v>
      </c>
      <c r="EI50" s="305">
        <v>0</v>
      </c>
      <c r="EJ50" s="305">
        <v>0</v>
      </c>
      <c r="EK50" s="306">
        <v>69</v>
      </c>
      <c r="EL50" s="287"/>
      <c r="EM50" s="303" t="s">
        <v>7</v>
      </c>
      <c r="EN50" s="304">
        <v>585.60557163413614</v>
      </c>
      <c r="EO50" s="304">
        <v>340.20433027955414</v>
      </c>
      <c r="EP50" s="305">
        <v>0</v>
      </c>
      <c r="EQ50" s="305">
        <v>0</v>
      </c>
      <c r="ER50" s="305">
        <v>277.35337783702363</v>
      </c>
      <c r="ES50" s="305">
        <v>0</v>
      </c>
      <c r="ET50" s="305">
        <v>0</v>
      </c>
      <c r="EU50" s="305">
        <v>0</v>
      </c>
      <c r="EV50" s="305">
        <v>0</v>
      </c>
      <c r="EW50" s="305">
        <v>0</v>
      </c>
      <c r="EX50" s="305">
        <v>0</v>
      </c>
      <c r="EY50" s="305">
        <v>0</v>
      </c>
      <c r="EZ50" s="305">
        <v>0</v>
      </c>
      <c r="FA50" s="305">
        <v>0</v>
      </c>
      <c r="FB50" s="305">
        <v>0</v>
      </c>
      <c r="FC50" s="305">
        <v>39.309036934003387</v>
      </c>
      <c r="FD50" s="305">
        <v>0</v>
      </c>
      <c r="FE50" s="305">
        <v>0</v>
      </c>
      <c r="FF50" s="305">
        <v>0</v>
      </c>
      <c r="FG50" s="305">
        <v>0</v>
      </c>
      <c r="FH50" s="306">
        <v>1242.4723166847173</v>
      </c>
    </row>
    <row r="51" spans="2:164" x14ac:dyDescent="0.2">
      <c r="B51" s="214"/>
      <c r="D51" s="206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14"/>
      <c r="AA51" s="206"/>
      <c r="AB51" s="208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  <c r="AV51" s="214"/>
      <c r="AX51" s="206"/>
      <c r="AY51" s="208"/>
      <c r="AZ51" s="208"/>
      <c r="BA51" s="208"/>
      <c r="BB51" s="208"/>
      <c r="BC51" s="208"/>
      <c r="BD51" s="208"/>
      <c r="BE51" s="208"/>
      <c r="BF51" s="208"/>
      <c r="BG51" s="208"/>
      <c r="BH51" s="208"/>
      <c r="BI51" s="208"/>
      <c r="BJ51" s="208"/>
      <c r="BK51" s="208"/>
      <c r="BL51" s="208"/>
      <c r="BM51" s="208"/>
      <c r="BN51" s="208"/>
      <c r="BO51" s="208"/>
      <c r="BP51" s="208"/>
      <c r="BQ51" s="208"/>
      <c r="BR51" s="214"/>
      <c r="BT51" s="286"/>
      <c r="BU51" s="307"/>
      <c r="BV51" s="308"/>
      <c r="BW51" s="308"/>
      <c r="BX51" s="258"/>
      <c r="BY51" s="258"/>
      <c r="BZ51" s="258"/>
      <c r="CA51" s="258"/>
      <c r="CB51" s="258"/>
      <c r="CC51" s="258"/>
      <c r="CD51" s="258"/>
      <c r="CE51" s="258"/>
      <c r="CF51" s="258"/>
      <c r="CG51" s="258"/>
      <c r="CH51" s="258"/>
      <c r="CI51" s="258"/>
      <c r="CJ51" s="258"/>
      <c r="CK51" s="258"/>
      <c r="CL51" s="258"/>
      <c r="CM51" s="258"/>
      <c r="CN51" s="258"/>
      <c r="CO51" s="258"/>
      <c r="CP51" s="258"/>
      <c r="CQ51" s="302"/>
      <c r="CR51" s="307"/>
      <c r="CS51" s="308"/>
      <c r="CT51" s="308"/>
      <c r="CU51" s="258"/>
      <c r="CV51" s="258"/>
      <c r="CW51" s="258"/>
      <c r="CX51" s="258"/>
      <c r="CY51" s="258"/>
      <c r="CZ51" s="258"/>
      <c r="DA51" s="258"/>
      <c r="DB51" s="258"/>
      <c r="DC51" s="258"/>
      <c r="DD51" s="258"/>
      <c r="DE51" s="258"/>
      <c r="DF51" s="258"/>
      <c r="DG51" s="258"/>
      <c r="DH51" s="258"/>
      <c r="DI51" s="258"/>
      <c r="DJ51" s="258"/>
      <c r="DK51" s="258"/>
      <c r="DL51" s="258"/>
      <c r="DM51" s="258"/>
      <c r="DN51" s="302"/>
      <c r="DO51" s="302"/>
      <c r="DP51" s="307"/>
      <c r="DQ51" s="308"/>
      <c r="DR51" s="308"/>
      <c r="DS51" s="258"/>
      <c r="DT51" s="258"/>
      <c r="DU51" s="258"/>
      <c r="DV51" s="258"/>
      <c r="DW51" s="258"/>
      <c r="DX51" s="258"/>
      <c r="DY51" s="258"/>
      <c r="DZ51" s="258"/>
      <c r="EA51" s="258"/>
      <c r="EB51" s="258"/>
      <c r="EC51" s="258"/>
      <c r="ED51" s="258"/>
      <c r="EE51" s="258"/>
      <c r="EF51" s="258"/>
      <c r="EG51" s="258"/>
      <c r="EH51" s="258"/>
      <c r="EI51" s="258"/>
      <c r="EJ51" s="258"/>
      <c r="EK51" s="258"/>
      <c r="EL51" s="287"/>
      <c r="EM51" s="307"/>
      <c r="EN51" s="308"/>
      <c r="EO51" s="308"/>
      <c r="EP51" s="258"/>
      <c r="EQ51" s="258"/>
      <c r="ER51" s="258"/>
      <c r="ES51" s="258"/>
      <c r="ET51" s="258"/>
      <c r="EU51" s="258"/>
      <c r="EV51" s="258"/>
      <c r="EW51" s="258"/>
      <c r="EX51" s="258"/>
      <c r="EY51" s="258"/>
      <c r="EZ51" s="258"/>
      <c r="FA51" s="258"/>
      <c r="FB51" s="258"/>
      <c r="FC51" s="258"/>
      <c r="FD51" s="258"/>
      <c r="FE51" s="258"/>
      <c r="FF51" s="258"/>
      <c r="FG51" s="258"/>
      <c r="FH51" s="258"/>
    </row>
    <row r="52" spans="2:164" x14ac:dyDescent="0.2">
      <c r="B52" s="214" t="s">
        <v>233</v>
      </c>
      <c r="D52" s="206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14" t="s">
        <v>233</v>
      </c>
      <c r="AA52" s="206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V52" s="214" t="s">
        <v>233</v>
      </c>
      <c r="AX52" s="206"/>
      <c r="AY52" s="208"/>
      <c r="AZ52" s="208"/>
      <c r="BA52" s="208"/>
      <c r="BB52" s="208"/>
      <c r="BC52" s="208"/>
      <c r="BD52" s="208"/>
      <c r="BE52" s="208"/>
      <c r="BF52" s="208"/>
      <c r="BG52" s="208"/>
      <c r="BH52" s="208"/>
      <c r="BI52" s="208"/>
      <c r="BJ52" s="208"/>
      <c r="BK52" s="208"/>
      <c r="BL52" s="208"/>
      <c r="BM52" s="208"/>
      <c r="BN52" s="208"/>
      <c r="BO52" s="208"/>
      <c r="BP52" s="208"/>
      <c r="BQ52" s="208"/>
      <c r="BR52" s="214"/>
      <c r="BT52" s="286"/>
      <c r="BU52" s="307" t="s">
        <v>233</v>
      </c>
      <c r="BV52" s="308"/>
      <c r="BW52" s="308"/>
      <c r="BX52" s="258"/>
      <c r="BY52" s="258"/>
      <c r="BZ52" s="258"/>
      <c r="CA52" s="258"/>
      <c r="CB52" s="258"/>
      <c r="CC52" s="258"/>
      <c r="CD52" s="258"/>
      <c r="CE52" s="258"/>
      <c r="CF52" s="258"/>
      <c r="CG52" s="258"/>
      <c r="CH52" s="258"/>
      <c r="CI52" s="258"/>
      <c r="CJ52" s="258"/>
      <c r="CK52" s="258"/>
      <c r="CL52" s="258"/>
      <c r="CM52" s="258"/>
      <c r="CN52" s="258"/>
      <c r="CO52" s="258"/>
      <c r="CP52" s="258"/>
      <c r="CQ52" s="302"/>
      <c r="CR52" s="307" t="s">
        <v>233</v>
      </c>
      <c r="CS52" s="308"/>
      <c r="CT52" s="308"/>
      <c r="CU52" s="258"/>
      <c r="CV52" s="258"/>
      <c r="CW52" s="258"/>
      <c r="CX52" s="258"/>
      <c r="CY52" s="258"/>
      <c r="CZ52" s="258"/>
      <c r="DA52" s="258"/>
      <c r="DB52" s="258"/>
      <c r="DC52" s="258"/>
      <c r="DD52" s="258"/>
      <c r="DE52" s="258"/>
      <c r="DF52" s="258"/>
      <c r="DG52" s="258"/>
      <c r="DH52" s="258"/>
      <c r="DI52" s="258"/>
      <c r="DJ52" s="258"/>
      <c r="DK52" s="258"/>
      <c r="DL52" s="258"/>
      <c r="DM52" s="258"/>
      <c r="DN52" s="302"/>
      <c r="DO52" s="302"/>
      <c r="DP52" s="307" t="s">
        <v>233</v>
      </c>
      <c r="DQ52" s="308"/>
      <c r="DR52" s="308"/>
      <c r="DS52" s="258"/>
      <c r="DT52" s="258"/>
      <c r="DU52" s="258"/>
      <c r="DV52" s="258"/>
      <c r="DW52" s="258"/>
      <c r="DX52" s="258"/>
      <c r="DY52" s="258"/>
      <c r="DZ52" s="258"/>
      <c r="EA52" s="258"/>
      <c r="EB52" s="258"/>
      <c r="EC52" s="258"/>
      <c r="ED52" s="258"/>
      <c r="EE52" s="258"/>
      <c r="EF52" s="258"/>
      <c r="EG52" s="258"/>
      <c r="EH52" s="258"/>
      <c r="EI52" s="258"/>
      <c r="EJ52" s="258"/>
      <c r="EK52" s="258"/>
      <c r="EL52" s="287"/>
      <c r="EM52" s="307" t="s">
        <v>233</v>
      </c>
      <c r="EN52" s="308"/>
      <c r="EO52" s="308"/>
      <c r="EP52" s="258"/>
      <c r="EQ52" s="258"/>
      <c r="ER52" s="258"/>
      <c r="ES52" s="258"/>
      <c r="ET52" s="258"/>
      <c r="EU52" s="258"/>
      <c r="EV52" s="258"/>
      <c r="EW52" s="258"/>
      <c r="EX52" s="258"/>
      <c r="EY52" s="258"/>
      <c r="EZ52" s="258"/>
      <c r="FA52" s="258"/>
      <c r="FB52" s="258"/>
      <c r="FC52" s="258"/>
      <c r="FD52" s="258"/>
      <c r="FE52" s="258"/>
      <c r="FF52" s="258"/>
      <c r="FG52" s="258"/>
      <c r="FH52" s="258"/>
    </row>
    <row r="53" spans="2:164" ht="36" x14ac:dyDescent="0.2">
      <c r="B53" s="224" t="s">
        <v>330</v>
      </c>
      <c r="C53" s="225" t="s">
        <v>331</v>
      </c>
      <c r="D53" s="225" t="s">
        <v>332</v>
      </c>
      <c r="E53" s="225" t="s">
        <v>333</v>
      </c>
      <c r="F53" s="225" t="s">
        <v>2</v>
      </c>
      <c r="G53" s="225" t="s">
        <v>3</v>
      </c>
      <c r="H53" s="225" t="s">
        <v>334</v>
      </c>
      <c r="I53" s="225" t="s">
        <v>352</v>
      </c>
      <c r="J53" s="225" t="s">
        <v>346</v>
      </c>
      <c r="K53" s="225" t="s">
        <v>335</v>
      </c>
      <c r="L53" s="225" t="s">
        <v>336</v>
      </c>
      <c r="M53" s="225" t="s">
        <v>337</v>
      </c>
      <c r="N53" s="225" t="s">
        <v>338</v>
      </c>
      <c r="O53" s="225" t="s">
        <v>353</v>
      </c>
      <c r="P53" s="225" t="s">
        <v>347</v>
      </c>
      <c r="Q53" s="225" t="s">
        <v>339</v>
      </c>
      <c r="R53" s="225" t="s">
        <v>340</v>
      </c>
      <c r="S53" s="225" t="s">
        <v>341</v>
      </c>
      <c r="T53" s="225" t="s">
        <v>6</v>
      </c>
      <c r="U53" s="225" t="s">
        <v>342</v>
      </c>
      <c r="V53" s="225" t="s">
        <v>343</v>
      </c>
      <c r="W53" s="226" t="s">
        <v>7</v>
      </c>
      <c r="X53" s="208"/>
      <c r="Y53" s="224" t="s">
        <v>330</v>
      </c>
      <c r="Z53" s="225" t="s">
        <v>331</v>
      </c>
      <c r="AA53" s="225" t="s">
        <v>332</v>
      </c>
      <c r="AB53" s="225" t="s">
        <v>333</v>
      </c>
      <c r="AC53" s="225" t="s">
        <v>2</v>
      </c>
      <c r="AD53" s="225" t="s">
        <v>3</v>
      </c>
      <c r="AE53" s="225" t="s">
        <v>334</v>
      </c>
      <c r="AF53" s="225" t="s">
        <v>352</v>
      </c>
      <c r="AG53" s="225" t="s">
        <v>346</v>
      </c>
      <c r="AH53" s="225" t="s">
        <v>335</v>
      </c>
      <c r="AI53" s="225" t="s">
        <v>336</v>
      </c>
      <c r="AJ53" s="225" t="s">
        <v>337</v>
      </c>
      <c r="AK53" s="225" t="s">
        <v>338</v>
      </c>
      <c r="AL53" s="225" t="s">
        <v>353</v>
      </c>
      <c r="AM53" s="225" t="s">
        <v>347</v>
      </c>
      <c r="AN53" s="225" t="s">
        <v>339</v>
      </c>
      <c r="AO53" s="225" t="s">
        <v>340</v>
      </c>
      <c r="AP53" s="225" t="s">
        <v>341</v>
      </c>
      <c r="AQ53" s="225" t="s">
        <v>6</v>
      </c>
      <c r="AR53" s="225" t="s">
        <v>342</v>
      </c>
      <c r="AS53" s="225" t="s">
        <v>343</v>
      </c>
      <c r="AT53" s="226" t="s">
        <v>7</v>
      </c>
      <c r="AV53" s="224" t="s">
        <v>330</v>
      </c>
      <c r="AW53" s="225" t="s">
        <v>331</v>
      </c>
      <c r="AX53" s="225" t="s">
        <v>332</v>
      </c>
      <c r="AY53" s="225" t="s">
        <v>333</v>
      </c>
      <c r="AZ53" s="225" t="s">
        <v>2</v>
      </c>
      <c r="BA53" s="225" t="s">
        <v>3</v>
      </c>
      <c r="BB53" s="225" t="s">
        <v>334</v>
      </c>
      <c r="BC53" s="225" t="s">
        <v>350</v>
      </c>
      <c r="BD53" s="225" t="s">
        <v>346</v>
      </c>
      <c r="BE53" s="225" t="s">
        <v>335</v>
      </c>
      <c r="BF53" s="225" t="s">
        <v>336</v>
      </c>
      <c r="BG53" s="225" t="s">
        <v>337</v>
      </c>
      <c r="BH53" s="225" t="s">
        <v>338</v>
      </c>
      <c r="BI53" s="225" t="s">
        <v>349</v>
      </c>
      <c r="BJ53" s="225" t="s">
        <v>347</v>
      </c>
      <c r="BK53" s="225" t="s">
        <v>339</v>
      </c>
      <c r="BL53" s="225" t="s">
        <v>340</v>
      </c>
      <c r="BM53" s="225" t="s">
        <v>341</v>
      </c>
      <c r="BN53" s="225" t="s">
        <v>6</v>
      </c>
      <c r="BO53" s="225" t="s">
        <v>342</v>
      </c>
      <c r="BP53" s="225" t="s">
        <v>343</v>
      </c>
      <c r="BQ53" s="226" t="s">
        <v>7</v>
      </c>
      <c r="BR53" s="235"/>
      <c r="BS53" s="236"/>
      <c r="BT53" s="283"/>
      <c r="BU53" s="288" t="s">
        <v>330</v>
      </c>
      <c r="BV53" s="289" t="s">
        <v>331</v>
      </c>
      <c r="BW53" s="289" t="s">
        <v>332</v>
      </c>
      <c r="BX53" s="289" t="s">
        <v>333</v>
      </c>
      <c r="BY53" s="289" t="s">
        <v>2</v>
      </c>
      <c r="BZ53" s="289" t="s">
        <v>3</v>
      </c>
      <c r="CA53" s="289" t="s">
        <v>334</v>
      </c>
      <c r="CB53" s="289" t="s">
        <v>352</v>
      </c>
      <c r="CC53" s="289" t="s">
        <v>346</v>
      </c>
      <c r="CD53" s="289" t="s">
        <v>335</v>
      </c>
      <c r="CE53" s="289" t="s">
        <v>336</v>
      </c>
      <c r="CF53" s="289" t="s">
        <v>337</v>
      </c>
      <c r="CG53" s="289" t="s">
        <v>338</v>
      </c>
      <c r="CH53" s="289" t="s">
        <v>353</v>
      </c>
      <c r="CI53" s="289" t="s">
        <v>347</v>
      </c>
      <c r="CJ53" s="289" t="s">
        <v>339</v>
      </c>
      <c r="CK53" s="289" t="s">
        <v>340</v>
      </c>
      <c r="CL53" s="289" t="s">
        <v>341</v>
      </c>
      <c r="CM53" s="289" t="s">
        <v>6</v>
      </c>
      <c r="CN53" s="289" t="s">
        <v>342</v>
      </c>
      <c r="CO53" s="289" t="s">
        <v>343</v>
      </c>
      <c r="CP53" s="290" t="s">
        <v>7</v>
      </c>
      <c r="CQ53" s="291"/>
      <c r="CR53" s="288" t="s">
        <v>330</v>
      </c>
      <c r="CS53" s="289" t="s">
        <v>331</v>
      </c>
      <c r="CT53" s="289" t="s">
        <v>332</v>
      </c>
      <c r="CU53" s="289" t="s">
        <v>333</v>
      </c>
      <c r="CV53" s="289" t="s">
        <v>2</v>
      </c>
      <c r="CW53" s="289" t="s">
        <v>3</v>
      </c>
      <c r="CX53" s="289" t="s">
        <v>334</v>
      </c>
      <c r="CY53" s="289" t="s">
        <v>352</v>
      </c>
      <c r="CZ53" s="289" t="s">
        <v>346</v>
      </c>
      <c r="DA53" s="289" t="s">
        <v>335</v>
      </c>
      <c r="DB53" s="289" t="s">
        <v>336</v>
      </c>
      <c r="DC53" s="289" t="s">
        <v>337</v>
      </c>
      <c r="DD53" s="289" t="s">
        <v>338</v>
      </c>
      <c r="DE53" s="289" t="s">
        <v>353</v>
      </c>
      <c r="DF53" s="289" t="s">
        <v>347</v>
      </c>
      <c r="DG53" s="289" t="s">
        <v>339</v>
      </c>
      <c r="DH53" s="289" t="s">
        <v>340</v>
      </c>
      <c r="DI53" s="289" t="s">
        <v>341</v>
      </c>
      <c r="DJ53" s="289" t="s">
        <v>6</v>
      </c>
      <c r="DK53" s="289" t="s">
        <v>342</v>
      </c>
      <c r="DL53" s="289" t="s">
        <v>343</v>
      </c>
      <c r="DM53" s="290" t="s">
        <v>7</v>
      </c>
      <c r="DN53" s="302"/>
      <c r="DO53" s="291"/>
      <c r="DP53" s="288" t="s">
        <v>330</v>
      </c>
      <c r="DQ53" s="289" t="s">
        <v>331</v>
      </c>
      <c r="DR53" s="289" t="s">
        <v>332</v>
      </c>
      <c r="DS53" s="289" t="s">
        <v>333</v>
      </c>
      <c r="DT53" s="289" t="s">
        <v>2</v>
      </c>
      <c r="DU53" s="289" t="s">
        <v>3</v>
      </c>
      <c r="DV53" s="289" t="s">
        <v>334</v>
      </c>
      <c r="DW53" s="289" t="s">
        <v>352</v>
      </c>
      <c r="DX53" s="289" t="s">
        <v>346</v>
      </c>
      <c r="DY53" s="289" t="s">
        <v>335</v>
      </c>
      <c r="DZ53" s="289" t="s">
        <v>336</v>
      </c>
      <c r="EA53" s="289" t="s">
        <v>337</v>
      </c>
      <c r="EB53" s="289" t="s">
        <v>338</v>
      </c>
      <c r="EC53" s="289" t="s">
        <v>353</v>
      </c>
      <c r="ED53" s="289" t="s">
        <v>347</v>
      </c>
      <c r="EE53" s="289" t="s">
        <v>339</v>
      </c>
      <c r="EF53" s="289" t="s">
        <v>340</v>
      </c>
      <c r="EG53" s="289" t="s">
        <v>341</v>
      </c>
      <c r="EH53" s="289" t="s">
        <v>6</v>
      </c>
      <c r="EI53" s="289" t="s">
        <v>342</v>
      </c>
      <c r="EJ53" s="289" t="s">
        <v>343</v>
      </c>
      <c r="EK53" s="290" t="s">
        <v>7</v>
      </c>
      <c r="EL53" s="287"/>
      <c r="EM53" s="288" t="s">
        <v>330</v>
      </c>
      <c r="EN53" s="289" t="s">
        <v>331</v>
      </c>
      <c r="EO53" s="289" t="s">
        <v>332</v>
      </c>
      <c r="EP53" s="289" t="s">
        <v>333</v>
      </c>
      <c r="EQ53" s="289" t="s">
        <v>2</v>
      </c>
      <c r="ER53" s="289" t="s">
        <v>3</v>
      </c>
      <c r="ES53" s="289" t="s">
        <v>334</v>
      </c>
      <c r="ET53" s="289" t="s">
        <v>352</v>
      </c>
      <c r="EU53" s="289" t="s">
        <v>346</v>
      </c>
      <c r="EV53" s="289" t="s">
        <v>335</v>
      </c>
      <c r="EW53" s="289" t="s">
        <v>336</v>
      </c>
      <c r="EX53" s="289" t="s">
        <v>337</v>
      </c>
      <c r="EY53" s="289" t="s">
        <v>338</v>
      </c>
      <c r="EZ53" s="289" t="s">
        <v>353</v>
      </c>
      <c r="FA53" s="289" t="s">
        <v>347</v>
      </c>
      <c r="FB53" s="289" t="s">
        <v>339</v>
      </c>
      <c r="FC53" s="289" t="s">
        <v>340</v>
      </c>
      <c r="FD53" s="289" t="s">
        <v>341</v>
      </c>
      <c r="FE53" s="289" t="s">
        <v>6</v>
      </c>
      <c r="FF53" s="289" t="s">
        <v>342</v>
      </c>
      <c r="FG53" s="289" t="s">
        <v>343</v>
      </c>
      <c r="FH53" s="290" t="s">
        <v>7</v>
      </c>
    </row>
    <row r="54" spans="2:164" x14ac:dyDescent="0.2">
      <c r="B54" s="233" t="s">
        <v>331</v>
      </c>
      <c r="C54" s="227">
        <v>84</v>
      </c>
      <c r="D54" s="227">
        <v>24</v>
      </c>
      <c r="E54" s="227">
        <v>6</v>
      </c>
      <c r="F54" s="227">
        <v>1</v>
      </c>
      <c r="G54" s="227">
        <v>0</v>
      </c>
      <c r="H54" s="227">
        <v>0</v>
      </c>
      <c r="I54" s="227">
        <v>0</v>
      </c>
      <c r="J54" s="227">
        <v>0</v>
      </c>
      <c r="K54" s="227">
        <v>0</v>
      </c>
      <c r="L54" s="227">
        <v>0</v>
      </c>
      <c r="M54" s="227">
        <v>0</v>
      </c>
      <c r="N54" s="227">
        <v>0</v>
      </c>
      <c r="O54" s="227">
        <v>0</v>
      </c>
      <c r="P54" s="227">
        <v>0</v>
      </c>
      <c r="Q54" s="227">
        <v>0</v>
      </c>
      <c r="R54" s="227">
        <v>0</v>
      </c>
      <c r="S54" s="227">
        <v>0</v>
      </c>
      <c r="T54" s="227">
        <v>0</v>
      </c>
      <c r="U54" s="227">
        <v>0</v>
      </c>
      <c r="V54" s="227">
        <v>0</v>
      </c>
      <c r="W54" s="230">
        <v>115</v>
      </c>
      <c r="X54" s="208"/>
      <c r="Y54" s="233" t="s">
        <v>331</v>
      </c>
      <c r="Z54" s="227">
        <v>54760.289681850627</v>
      </c>
      <c r="AA54" s="227">
        <v>2508.490049315536</v>
      </c>
      <c r="AB54" s="227">
        <v>65.578838577867586</v>
      </c>
      <c r="AC54" s="251">
        <v>0</v>
      </c>
      <c r="AD54" s="251">
        <v>0</v>
      </c>
      <c r="AE54" s="251">
        <v>0</v>
      </c>
      <c r="AF54" s="251">
        <v>0</v>
      </c>
      <c r="AG54" s="251">
        <v>0</v>
      </c>
      <c r="AH54" s="251">
        <v>0</v>
      </c>
      <c r="AI54" s="251">
        <v>0</v>
      </c>
      <c r="AJ54" s="251">
        <v>0</v>
      </c>
      <c r="AK54" s="251">
        <v>0</v>
      </c>
      <c r="AL54" s="251">
        <v>0</v>
      </c>
      <c r="AM54" s="251">
        <v>0</v>
      </c>
      <c r="AN54" s="251">
        <v>0</v>
      </c>
      <c r="AO54" s="251">
        <v>0</v>
      </c>
      <c r="AP54" s="251">
        <v>0</v>
      </c>
      <c r="AQ54" s="251">
        <v>0</v>
      </c>
      <c r="AR54" s="251">
        <v>0</v>
      </c>
      <c r="AS54" s="251">
        <v>0</v>
      </c>
      <c r="AT54" s="230">
        <v>57334.358569744029</v>
      </c>
      <c r="AV54" s="233" t="s">
        <v>331</v>
      </c>
      <c r="AW54" s="227">
        <f>Z54</f>
        <v>54760.289681850627</v>
      </c>
      <c r="AX54" s="227">
        <f>AA54</f>
        <v>2508.490049315536</v>
      </c>
      <c r="AY54" s="227">
        <f>AB54</f>
        <v>65.578838577867586</v>
      </c>
      <c r="AZ54" s="232">
        <v>0</v>
      </c>
      <c r="BA54" s="256">
        <v>0</v>
      </c>
      <c r="BB54" s="232">
        <v>0</v>
      </c>
      <c r="BC54" s="232">
        <v>0</v>
      </c>
      <c r="BD54" s="232">
        <v>0</v>
      </c>
      <c r="BE54" s="232">
        <v>0</v>
      </c>
      <c r="BF54" s="232">
        <v>0</v>
      </c>
      <c r="BG54" s="232">
        <v>0</v>
      </c>
      <c r="BH54" s="232">
        <v>0</v>
      </c>
      <c r="BI54" s="232">
        <v>0</v>
      </c>
      <c r="BJ54" s="232">
        <v>0</v>
      </c>
      <c r="BK54" s="232">
        <v>0</v>
      </c>
      <c r="BL54" s="232">
        <v>0</v>
      </c>
      <c r="BM54" s="232">
        <v>0</v>
      </c>
      <c r="BN54" s="232">
        <v>0</v>
      </c>
      <c r="BO54" s="232">
        <v>0</v>
      </c>
      <c r="BP54" s="251">
        <v>0</v>
      </c>
      <c r="BQ54" s="230">
        <f t="shared" ref="BQ54:BQ74" si="115">SUM(AW54:BP54)</f>
        <v>57334.358569744029</v>
      </c>
      <c r="BR54" s="237"/>
      <c r="BS54" s="227"/>
      <c r="BT54" s="284"/>
      <c r="BU54" s="292" t="s">
        <v>331</v>
      </c>
      <c r="BV54" s="293">
        <v>28</v>
      </c>
      <c r="BW54" s="293">
        <v>0</v>
      </c>
      <c r="BX54" s="293">
        <v>3</v>
      </c>
      <c r="BY54" s="293">
        <v>0</v>
      </c>
      <c r="BZ54" s="293">
        <v>0</v>
      </c>
      <c r="CA54" s="293">
        <v>0</v>
      </c>
      <c r="CB54" s="293">
        <v>0</v>
      </c>
      <c r="CC54" s="293">
        <v>0</v>
      </c>
      <c r="CD54" s="293">
        <v>0</v>
      </c>
      <c r="CE54" s="293">
        <v>0</v>
      </c>
      <c r="CF54" s="293">
        <v>0</v>
      </c>
      <c r="CG54" s="293">
        <v>0</v>
      </c>
      <c r="CH54" s="293">
        <v>0</v>
      </c>
      <c r="CI54" s="293">
        <v>0</v>
      </c>
      <c r="CJ54" s="293">
        <v>0</v>
      </c>
      <c r="CK54" s="293">
        <v>0</v>
      </c>
      <c r="CL54" s="293">
        <v>0</v>
      </c>
      <c r="CM54" s="293">
        <v>0</v>
      </c>
      <c r="CN54" s="293">
        <v>0</v>
      </c>
      <c r="CO54" s="293">
        <v>0</v>
      </c>
      <c r="CP54" s="294">
        <v>31</v>
      </c>
      <c r="CQ54" s="295"/>
      <c r="CR54" s="292" t="s">
        <v>331</v>
      </c>
      <c r="CS54" s="293">
        <v>30495.637877640213</v>
      </c>
      <c r="CT54" s="293">
        <v>0</v>
      </c>
      <c r="CU54" s="293">
        <v>0</v>
      </c>
      <c r="CV54" s="293">
        <v>0</v>
      </c>
      <c r="CW54" s="293">
        <v>0</v>
      </c>
      <c r="CX54" s="293">
        <v>0</v>
      </c>
      <c r="CY54" s="293">
        <v>0</v>
      </c>
      <c r="CZ54" s="293">
        <v>0</v>
      </c>
      <c r="DA54" s="293">
        <v>0</v>
      </c>
      <c r="DB54" s="293">
        <v>0</v>
      </c>
      <c r="DC54" s="293">
        <v>0</v>
      </c>
      <c r="DD54" s="293">
        <v>0</v>
      </c>
      <c r="DE54" s="293">
        <v>0</v>
      </c>
      <c r="DF54" s="293">
        <v>0</v>
      </c>
      <c r="DG54" s="293">
        <v>0</v>
      </c>
      <c r="DH54" s="293">
        <v>0</v>
      </c>
      <c r="DI54" s="293">
        <v>0</v>
      </c>
      <c r="DJ54" s="293">
        <v>0</v>
      </c>
      <c r="DK54" s="293">
        <v>0</v>
      </c>
      <c r="DL54" s="293">
        <v>0</v>
      </c>
      <c r="DM54" s="294">
        <v>30495.637877640213</v>
      </c>
      <c r="DN54" s="291"/>
      <c r="DO54" s="295"/>
      <c r="DP54" s="292" t="s">
        <v>331</v>
      </c>
      <c r="DQ54" s="293">
        <v>28</v>
      </c>
      <c r="DR54" s="293">
        <v>0</v>
      </c>
      <c r="DS54" s="293">
        <v>3</v>
      </c>
      <c r="DT54" s="293">
        <v>0</v>
      </c>
      <c r="DU54" s="293">
        <v>0</v>
      </c>
      <c r="DV54" s="293">
        <v>0</v>
      </c>
      <c r="DW54" s="293">
        <v>0</v>
      </c>
      <c r="DX54" s="293">
        <v>0</v>
      </c>
      <c r="DY54" s="293">
        <v>0</v>
      </c>
      <c r="DZ54" s="293">
        <v>0</v>
      </c>
      <c r="EA54" s="293">
        <v>0</v>
      </c>
      <c r="EB54" s="293">
        <v>0</v>
      </c>
      <c r="EC54" s="293">
        <v>0</v>
      </c>
      <c r="ED54" s="293">
        <v>0</v>
      </c>
      <c r="EE54" s="293">
        <v>0</v>
      </c>
      <c r="EF54" s="293">
        <v>0</v>
      </c>
      <c r="EG54" s="293">
        <v>0</v>
      </c>
      <c r="EH54" s="293">
        <v>0</v>
      </c>
      <c r="EI54" s="293">
        <v>0</v>
      </c>
      <c r="EJ54" s="293">
        <v>0</v>
      </c>
      <c r="EK54" s="294">
        <v>31</v>
      </c>
      <c r="EL54" s="287"/>
      <c r="EM54" s="292" t="s">
        <v>331</v>
      </c>
      <c r="EN54" s="293">
        <v>30495.637877640213</v>
      </c>
      <c r="EO54" s="293">
        <v>0</v>
      </c>
      <c r="EP54" s="293">
        <v>0</v>
      </c>
      <c r="EQ54" s="293">
        <v>0</v>
      </c>
      <c r="ER54" s="293">
        <v>0</v>
      </c>
      <c r="ES54" s="293">
        <v>0</v>
      </c>
      <c r="ET54" s="293">
        <v>0</v>
      </c>
      <c r="EU54" s="293">
        <v>0</v>
      </c>
      <c r="EV54" s="293">
        <v>0</v>
      </c>
      <c r="EW54" s="293">
        <v>0</v>
      </c>
      <c r="EX54" s="293">
        <v>0</v>
      </c>
      <c r="EY54" s="293">
        <v>0</v>
      </c>
      <c r="EZ54" s="293">
        <v>0</v>
      </c>
      <c r="FA54" s="293">
        <v>0</v>
      </c>
      <c r="FB54" s="293">
        <v>0</v>
      </c>
      <c r="FC54" s="293">
        <v>0</v>
      </c>
      <c r="FD54" s="293">
        <v>0</v>
      </c>
      <c r="FE54" s="293">
        <v>0</v>
      </c>
      <c r="FF54" s="293">
        <v>0</v>
      </c>
      <c r="FG54" s="293">
        <v>0</v>
      </c>
      <c r="FH54" s="294">
        <v>30495.637877640213</v>
      </c>
    </row>
    <row r="55" spans="2:164" x14ac:dyDescent="0.2">
      <c r="B55" s="215" t="s">
        <v>332</v>
      </c>
      <c r="C55" s="227">
        <v>0</v>
      </c>
      <c r="D55" s="227">
        <v>696</v>
      </c>
      <c r="E55" s="227">
        <v>264</v>
      </c>
      <c r="F55" s="227">
        <v>0</v>
      </c>
      <c r="G55" s="227">
        <v>0</v>
      </c>
      <c r="H55" s="227">
        <v>13</v>
      </c>
      <c r="I55" s="227">
        <v>4</v>
      </c>
      <c r="J55" s="227">
        <v>0</v>
      </c>
      <c r="K55" s="227">
        <v>0</v>
      </c>
      <c r="L55" s="227">
        <v>1</v>
      </c>
      <c r="M55" s="227">
        <v>0</v>
      </c>
      <c r="N55" s="227">
        <v>0</v>
      </c>
      <c r="O55" s="227">
        <v>2</v>
      </c>
      <c r="P55" s="227">
        <v>0</v>
      </c>
      <c r="Q55" s="227">
        <v>0</v>
      </c>
      <c r="R55" s="227">
        <v>4</v>
      </c>
      <c r="S55" s="227">
        <v>0</v>
      </c>
      <c r="T55" s="227">
        <v>0</v>
      </c>
      <c r="U55" s="227">
        <v>1</v>
      </c>
      <c r="V55" s="227">
        <v>0</v>
      </c>
      <c r="W55" s="230">
        <v>985</v>
      </c>
      <c r="X55" s="208"/>
      <c r="Y55" s="215" t="s">
        <v>332</v>
      </c>
      <c r="Z55" s="227">
        <v>0</v>
      </c>
      <c r="AA55" s="227">
        <v>148714.71922255671</v>
      </c>
      <c r="AB55" s="227">
        <v>41934.419531903506</v>
      </c>
      <c r="AC55" s="227">
        <v>0</v>
      </c>
      <c r="AD55" s="227">
        <v>0</v>
      </c>
      <c r="AE55" s="227">
        <v>5005.9693386679101</v>
      </c>
      <c r="AF55" s="227">
        <v>279.98980956232128</v>
      </c>
      <c r="AG55" s="227">
        <v>0</v>
      </c>
      <c r="AH55" s="227">
        <v>0</v>
      </c>
      <c r="AI55" s="227">
        <v>0</v>
      </c>
      <c r="AJ55" s="227">
        <v>0</v>
      </c>
      <c r="AK55" s="251">
        <v>0</v>
      </c>
      <c r="AL55" s="251">
        <v>337.33126776671588</v>
      </c>
      <c r="AM55" s="251">
        <v>0</v>
      </c>
      <c r="AN55" s="251">
        <v>0</v>
      </c>
      <c r="AO55" s="251">
        <v>3564.2786388377804</v>
      </c>
      <c r="AP55" s="251">
        <v>0</v>
      </c>
      <c r="AQ55" s="227">
        <v>0</v>
      </c>
      <c r="AR55" s="227">
        <v>1221.7584099894614</v>
      </c>
      <c r="AS55" s="227">
        <v>0</v>
      </c>
      <c r="AT55" s="230">
        <v>201058.4662192844</v>
      </c>
      <c r="AV55" s="215" t="s">
        <v>332</v>
      </c>
      <c r="AW55" s="227">
        <f t="shared" ref="AW55:AX57" si="116">Z55</f>
        <v>0</v>
      </c>
      <c r="AX55" s="227">
        <f t="shared" si="116"/>
        <v>148714.71922255671</v>
      </c>
      <c r="AY55" s="227">
        <f t="shared" ref="AY55:AY57" si="117">AB55</f>
        <v>41934.419531903506</v>
      </c>
      <c r="AZ55" s="227">
        <f>AC55</f>
        <v>0</v>
      </c>
      <c r="BA55" s="227">
        <f t="shared" ref="BA55:BA73" si="118">AD55</f>
        <v>0</v>
      </c>
      <c r="BB55" s="227">
        <f t="shared" ref="BB55:BB57" si="119">AE55</f>
        <v>5005.9693386679101</v>
      </c>
      <c r="BC55" s="227">
        <f t="shared" ref="BC55:BC57" si="120">AF55</f>
        <v>279.98980956232128</v>
      </c>
      <c r="BD55" s="227">
        <f t="shared" ref="BD55:BD57" si="121">AG55</f>
        <v>0</v>
      </c>
      <c r="BE55" s="227">
        <f t="shared" ref="BE55:BE57" si="122">AH55</f>
        <v>0</v>
      </c>
      <c r="BF55" s="227">
        <f t="shared" ref="BF55:BF57" si="123">AI55</f>
        <v>0</v>
      </c>
      <c r="BG55" s="227">
        <f t="shared" ref="BG55:BG57" si="124">AJ55</f>
        <v>0</v>
      </c>
      <c r="BH55" s="232">
        <v>0</v>
      </c>
      <c r="BI55" s="251">
        <v>0</v>
      </c>
      <c r="BJ55" s="232">
        <v>0</v>
      </c>
      <c r="BK55" s="251">
        <v>0</v>
      </c>
      <c r="BL55" s="232">
        <v>0</v>
      </c>
      <c r="BM55" s="232">
        <v>0</v>
      </c>
      <c r="BN55" s="227">
        <f>AQ55</f>
        <v>0</v>
      </c>
      <c r="BO55" s="227">
        <f t="shared" ref="BO55:BO57" si="125">AR55</f>
        <v>1221.7584099894614</v>
      </c>
      <c r="BP55" s="227">
        <f t="shared" ref="BP55:BP57" si="126">AS55</f>
        <v>0</v>
      </c>
      <c r="BQ55" s="230">
        <f t="shared" si="115"/>
        <v>197156.85631267991</v>
      </c>
      <c r="BR55" s="237"/>
      <c r="BS55" s="227"/>
      <c r="BT55" s="284"/>
      <c r="BU55" s="296" t="s">
        <v>332</v>
      </c>
      <c r="BV55" s="293">
        <v>0</v>
      </c>
      <c r="BW55" s="293">
        <v>53</v>
      </c>
      <c r="BX55" s="293">
        <v>16</v>
      </c>
      <c r="BY55" s="293">
        <v>0</v>
      </c>
      <c r="BZ55" s="293">
        <v>0</v>
      </c>
      <c r="CA55" s="293">
        <v>0</v>
      </c>
      <c r="CB55" s="293">
        <v>0</v>
      </c>
      <c r="CC55" s="293">
        <v>0</v>
      </c>
      <c r="CD55" s="293">
        <v>0</v>
      </c>
      <c r="CE55" s="293">
        <v>0</v>
      </c>
      <c r="CF55" s="293">
        <v>0</v>
      </c>
      <c r="CG55" s="293">
        <v>0</v>
      </c>
      <c r="CH55" s="293">
        <v>0</v>
      </c>
      <c r="CI55" s="293">
        <v>0</v>
      </c>
      <c r="CJ55" s="293">
        <v>0</v>
      </c>
      <c r="CK55" s="293">
        <v>0</v>
      </c>
      <c r="CL55" s="293">
        <v>0</v>
      </c>
      <c r="CM55" s="293">
        <v>0</v>
      </c>
      <c r="CN55" s="293">
        <v>0</v>
      </c>
      <c r="CO55" s="293">
        <v>0</v>
      </c>
      <c r="CP55" s="294">
        <v>69</v>
      </c>
      <c r="CQ55" s="295"/>
      <c r="CR55" s="296" t="s">
        <v>332</v>
      </c>
      <c r="CS55" s="293">
        <v>0</v>
      </c>
      <c r="CT55" s="293">
        <v>4671.480733499774</v>
      </c>
      <c r="CU55" s="293">
        <v>2471.7900718555279</v>
      </c>
      <c r="CV55" s="293">
        <v>0</v>
      </c>
      <c r="CW55" s="293">
        <v>0</v>
      </c>
      <c r="CX55" s="293">
        <v>0</v>
      </c>
      <c r="CY55" s="293">
        <v>0</v>
      </c>
      <c r="CZ55" s="293">
        <v>0</v>
      </c>
      <c r="DA55" s="293">
        <v>0</v>
      </c>
      <c r="DB55" s="293">
        <v>0</v>
      </c>
      <c r="DC55" s="293">
        <v>0</v>
      </c>
      <c r="DD55" s="293">
        <v>0</v>
      </c>
      <c r="DE55" s="293">
        <v>0</v>
      </c>
      <c r="DF55" s="293">
        <v>0</v>
      </c>
      <c r="DG55" s="293">
        <v>0</v>
      </c>
      <c r="DH55" s="293">
        <v>0</v>
      </c>
      <c r="DI55" s="293">
        <v>0</v>
      </c>
      <c r="DJ55" s="293">
        <v>0</v>
      </c>
      <c r="DK55" s="293">
        <v>0</v>
      </c>
      <c r="DL55" s="293">
        <v>0</v>
      </c>
      <c r="DM55" s="294">
        <v>7143.2708053553015</v>
      </c>
      <c r="DN55" s="295"/>
      <c r="DO55" s="295"/>
      <c r="DP55" s="296" t="s">
        <v>332</v>
      </c>
      <c r="DQ55" s="293">
        <v>0</v>
      </c>
      <c r="DR55" s="293">
        <v>84</v>
      </c>
      <c r="DS55" s="293">
        <v>35</v>
      </c>
      <c r="DT55" s="293">
        <v>0</v>
      </c>
      <c r="DU55" s="293">
        <v>0</v>
      </c>
      <c r="DV55" s="293">
        <v>0</v>
      </c>
      <c r="DW55" s="293">
        <v>0</v>
      </c>
      <c r="DX55" s="293">
        <v>0</v>
      </c>
      <c r="DY55" s="293">
        <v>0</v>
      </c>
      <c r="DZ55" s="293">
        <v>0</v>
      </c>
      <c r="EA55" s="293">
        <v>0</v>
      </c>
      <c r="EB55" s="293">
        <v>0</v>
      </c>
      <c r="EC55" s="293">
        <v>0</v>
      </c>
      <c r="ED55" s="293">
        <v>0</v>
      </c>
      <c r="EE55" s="293">
        <v>0</v>
      </c>
      <c r="EF55" s="293">
        <v>0</v>
      </c>
      <c r="EG55" s="293">
        <v>0</v>
      </c>
      <c r="EH55" s="293">
        <v>0</v>
      </c>
      <c r="EI55" s="293">
        <v>0</v>
      </c>
      <c r="EJ55" s="293">
        <v>0</v>
      </c>
      <c r="EK55" s="294">
        <v>119</v>
      </c>
      <c r="EL55" s="287"/>
      <c r="EM55" s="296" t="s">
        <v>332</v>
      </c>
      <c r="EN55" s="293">
        <v>0</v>
      </c>
      <c r="EO55" s="293">
        <v>11975.529471351323</v>
      </c>
      <c r="EP55" s="293">
        <v>17693.179221268838</v>
      </c>
      <c r="EQ55" s="293">
        <v>0</v>
      </c>
      <c r="ER55" s="293">
        <v>0</v>
      </c>
      <c r="ES55" s="293">
        <v>0</v>
      </c>
      <c r="ET55" s="293">
        <v>0</v>
      </c>
      <c r="EU55" s="293">
        <v>0</v>
      </c>
      <c r="EV55" s="293">
        <v>0</v>
      </c>
      <c r="EW55" s="293">
        <v>0</v>
      </c>
      <c r="EX55" s="293">
        <v>0</v>
      </c>
      <c r="EY55" s="293">
        <v>0</v>
      </c>
      <c r="EZ55" s="293">
        <v>0</v>
      </c>
      <c r="FA55" s="293">
        <v>0</v>
      </c>
      <c r="FB55" s="293">
        <v>0</v>
      </c>
      <c r="FC55" s="293">
        <v>0</v>
      </c>
      <c r="FD55" s="293">
        <v>0</v>
      </c>
      <c r="FE55" s="293">
        <v>0</v>
      </c>
      <c r="FF55" s="293">
        <v>0</v>
      </c>
      <c r="FG55" s="293">
        <v>0</v>
      </c>
      <c r="FH55" s="294">
        <v>29668.708692620159</v>
      </c>
    </row>
    <row r="56" spans="2:164" ht="24" x14ac:dyDescent="0.2">
      <c r="B56" s="216" t="s">
        <v>333</v>
      </c>
      <c r="C56" s="227">
        <v>0</v>
      </c>
      <c r="D56" s="228">
        <v>0</v>
      </c>
      <c r="E56" s="229">
        <v>1426</v>
      </c>
      <c r="F56" s="229">
        <v>0</v>
      </c>
      <c r="G56" s="229">
        <v>0</v>
      </c>
      <c r="H56" s="229">
        <v>33</v>
      </c>
      <c r="I56" s="229">
        <v>2</v>
      </c>
      <c r="J56" s="229">
        <v>0</v>
      </c>
      <c r="K56" s="229">
        <v>0</v>
      </c>
      <c r="L56" s="229">
        <v>3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31">
        <v>1464</v>
      </c>
      <c r="X56" s="208"/>
      <c r="Y56" s="216" t="s">
        <v>333</v>
      </c>
      <c r="Z56" s="227">
        <v>0</v>
      </c>
      <c r="AA56" s="228">
        <v>0</v>
      </c>
      <c r="AB56" s="229">
        <v>307134.99834419874</v>
      </c>
      <c r="AC56" s="229">
        <v>0</v>
      </c>
      <c r="AD56" s="229">
        <v>0</v>
      </c>
      <c r="AE56" s="229">
        <v>929.18834192525003</v>
      </c>
      <c r="AF56" s="229">
        <v>805.45157479723605</v>
      </c>
      <c r="AG56" s="229">
        <v>0</v>
      </c>
      <c r="AH56" s="229">
        <v>0</v>
      </c>
      <c r="AI56" s="229">
        <v>0</v>
      </c>
      <c r="AJ56" s="229">
        <v>0</v>
      </c>
      <c r="AK56" s="253">
        <v>0</v>
      </c>
      <c r="AL56" s="253">
        <v>0</v>
      </c>
      <c r="AM56" s="253">
        <v>0</v>
      </c>
      <c r="AN56" s="253">
        <v>0</v>
      </c>
      <c r="AO56" s="253">
        <v>0</v>
      </c>
      <c r="AP56" s="253">
        <v>0</v>
      </c>
      <c r="AQ56" s="229">
        <v>0</v>
      </c>
      <c r="AR56" s="229">
        <v>0</v>
      </c>
      <c r="AS56" s="229">
        <v>0</v>
      </c>
      <c r="AT56" s="231">
        <v>308869.63826092123</v>
      </c>
      <c r="AV56" s="216" t="s">
        <v>333</v>
      </c>
      <c r="AW56" s="227">
        <f t="shared" si="116"/>
        <v>0</v>
      </c>
      <c r="AX56" s="227">
        <f t="shared" si="116"/>
        <v>0</v>
      </c>
      <c r="AY56" s="227">
        <f t="shared" si="117"/>
        <v>307134.99834419874</v>
      </c>
      <c r="AZ56" s="227">
        <f t="shared" ref="AZ56:AZ57" si="127">AC56</f>
        <v>0</v>
      </c>
      <c r="BA56" s="227">
        <f t="shared" si="118"/>
        <v>0</v>
      </c>
      <c r="BB56" s="227">
        <f t="shared" si="119"/>
        <v>929.18834192525003</v>
      </c>
      <c r="BC56" s="227">
        <f t="shared" si="120"/>
        <v>805.45157479723605</v>
      </c>
      <c r="BD56" s="227">
        <f t="shared" si="121"/>
        <v>0</v>
      </c>
      <c r="BE56" s="227">
        <f t="shared" si="122"/>
        <v>0</v>
      </c>
      <c r="BF56" s="227">
        <f t="shared" si="123"/>
        <v>0</v>
      </c>
      <c r="BG56" s="227">
        <f t="shared" si="124"/>
        <v>0</v>
      </c>
      <c r="BH56" s="253">
        <v>0</v>
      </c>
      <c r="BI56" s="257">
        <v>0</v>
      </c>
      <c r="BJ56" s="257">
        <v>0</v>
      </c>
      <c r="BK56" s="253">
        <v>0</v>
      </c>
      <c r="BL56" s="257">
        <v>0</v>
      </c>
      <c r="BM56" s="257">
        <v>0</v>
      </c>
      <c r="BN56" s="227">
        <f t="shared" ref="BN56:BN57" si="128">AQ56</f>
        <v>0</v>
      </c>
      <c r="BO56" s="227">
        <f t="shared" si="125"/>
        <v>0</v>
      </c>
      <c r="BP56" s="227">
        <f t="shared" si="126"/>
        <v>0</v>
      </c>
      <c r="BQ56" s="230">
        <f t="shared" si="115"/>
        <v>308869.63826092123</v>
      </c>
      <c r="BR56" s="238"/>
      <c r="BS56" s="227"/>
      <c r="BT56" s="285"/>
      <c r="BU56" s="297" t="s">
        <v>333</v>
      </c>
      <c r="BV56" s="293">
        <v>0</v>
      </c>
      <c r="BW56" s="293">
        <v>0</v>
      </c>
      <c r="BX56" s="298">
        <v>155</v>
      </c>
      <c r="BY56" s="298">
        <v>0</v>
      </c>
      <c r="BZ56" s="298">
        <v>0</v>
      </c>
      <c r="CA56" s="298">
        <v>0</v>
      </c>
      <c r="CB56" s="298">
        <v>0</v>
      </c>
      <c r="CC56" s="298">
        <v>0</v>
      </c>
      <c r="CD56" s="298">
        <v>0</v>
      </c>
      <c r="CE56" s="298">
        <v>0</v>
      </c>
      <c r="CF56" s="298">
        <v>0</v>
      </c>
      <c r="CG56" s="298">
        <v>0</v>
      </c>
      <c r="CH56" s="298">
        <v>0</v>
      </c>
      <c r="CI56" s="298">
        <v>0</v>
      </c>
      <c r="CJ56" s="298">
        <v>0</v>
      </c>
      <c r="CK56" s="298">
        <v>0</v>
      </c>
      <c r="CL56" s="298">
        <v>0</v>
      </c>
      <c r="CM56" s="298">
        <v>0</v>
      </c>
      <c r="CN56" s="298">
        <v>0</v>
      </c>
      <c r="CO56" s="298">
        <v>0</v>
      </c>
      <c r="CP56" s="299">
        <v>155</v>
      </c>
      <c r="CQ56" s="291"/>
      <c r="CR56" s="297" t="s">
        <v>333</v>
      </c>
      <c r="CS56" s="293">
        <v>0</v>
      </c>
      <c r="CT56" s="293">
        <v>0</v>
      </c>
      <c r="CU56" s="298">
        <v>72759.602172200553</v>
      </c>
      <c r="CV56" s="298">
        <v>0</v>
      </c>
      <c r="CW56" s="298">
        <v>0</v>
      </c>
      <c r="CX56" s="298">
        <v>0</v>
      </c>
      <c r="CY56" s="298">
        <v>0</v>
      </c>
      <c r="CZ56" s="298">
        <v>0</v>
      </c>
      <c r="DA56" s="298">
        <v>0</v>
      </c>
      <c r="DB56" s="298">
        <v>0</v>
      </c>
      <c r="DC56" s="298">
        <v>0</v>
      </c>
      <c r="DD56" s="298">
        <v>0</v>
      </c>
      <c r="DE56" s="298">
        <v>0</v>
      </c>
      <c r="DF56" s="298">
        <v>0</v>
      </c>
      <c r="DG56" s="298">
        <v>0</v>
      </c>
      <c r="DH56" s="298">
        <v>0</v>
      </c>
      <c r="DI56" s="298">
        <v>0</v>
      </c>
      <c r="DJ56" s="298">
        <v>0</v>
      </c>
      <c r="DK56" s="298">
        <v>0</v>
      </c>
      <c r="DL56" s="298">
        <v>0</v>
      </c>
      <c r="DM56" s="299">
        <v>72759.602172200553</v>
      </c>
      <c r="DN56" s="295"/>
      <c r="DO56" s="291"/>
      <c r="DP56" s="297" t="s">
        <v>333</v>
      </c>
      <c r="DQ56" s="293">
        <v>0</v>
      </c>
      <c r="DR56" s="293">
        <v>0</v>
      </c>
      <c r="DS56" s="298">
        <v>200</v>
      </c>
      <c r="DT56" s="298">
        <v>0</v>
      </c>
      <c r="DU56" s="298">
        <v>0</v>
      </c>
      <c r="DV56" s="298">
        <v>0</v>
      </c>
      <c r="DW56" s="298">
        <v>0</v>
      </c>
      <c r="DX56" s="298">
        <v>0</v>
      </c>
      <c r="DY56" s="298">
        <v>0</v>
      </c>
      <c r="DZ56" s="298">
        <v>0</v>
      </c>
      <c r="EA56" s="298">
        <v>0</v>
      </c>
      <c r="EB56" s="298">
        <v>0</v>
      </c>
      <c r="EC56" s="298">
        <v>0</v>
      </c>
      <c r="ED56" s="298">
        <v>0</v>
      </c>
      <c r="EE56" s="298">
        <v>0</v>
      </c>
      <c r="EF56" s="298">
        <v>0</v>
      </c>
      <c r="EG56" s="298">
        <v>0</v>
      </c>
      <c r="EH56" s="298">
        <v>0</v>
      </c>
      <c r="EI56" s="298">
        <v>0</v>
      </c>
      <c r="EJ56" s="298">
        <v>0</v>
      </c>
      <c r="EK56" s="299">
        <v>200</v>
      </c>
      <c r="EL56" s="287"/>
      <c r="EM56" s="297" t="s">
        <v>333</v>
      </c>
      <c r="EN56" s="293">
        <v>0</v>
      </c>
      <c r="EO56" s="293">
        <v>0</v>
      </c>
      <c r="EP56" s="298">
        <v>84508.466918679507</v>
      </c>
      <c r="EQ56" s="298">
        <v>0</v>
      </c>
      <c r="ER56" s="298">
        <v>0</v>
      </c>
      <c r="ES56" s="298">
        <v>0</v>
      </c>
      <c r="ET56" s="298">
        <v>0</v>
      </c>
      <c r="EU56" s="298">
        <v>0</v>
      </c>
      <c r="EV56" s="298">
        <v>0</v>
      </c>
      <c r="EW56" s="298">
        <v>0</v>
      </c>
      <c r="EX56" s="298">
        <v>0</v>
      </c>
      <c r="EY56" s="298">
        <v>0</v>
      </c>
      <c r="EZ56" s="298">
        <v>0</v>
      </c>
      <c r="FA56" s="298">
        <v>0</v>
      </c>
      <c r="FB56" s="298">
        <v>0</v>
      </c>
      <c r="FC56" s="298">
        <v>0</v>
      </c>
      <c r="FD56" s="298">
        <v>0</v>
      </c>
      <c r="FE56" s="298">
        <v>0</v>
      </c>
      <c r="FF56" s="298">
        <v>0</v>
      </c>
      <c r="FG56" s="298">
        <v>0</v>
      </c>
      <c r="FH56" s="299">
        <v>84508.466918679507</v>
      </c>
    </row>
    <row r="57" spans="2:164" x14ac:dyDescent="0.2">
      <c r="B57" s="217" t="s">
        <v>2</v>
      </c>
      <c r="C57" s="227">
        <v>1</v>
      </c>
      <c r="D57" s="228">
        <v>25</v>
      </c>
      <c r="E57" s="208">
        <v>62</v>
      </c>
      <c r="F57" s="208">
        <v>305</v>
      </c>
      <c r="G57" s="208">
        <v>4</v>
      </c>
      <c r="H57" s="208">
        <v>9</v>
      </c>
      <c r="I57" s="208">
        <v>4</v>
      </c>
      <c r="J57" s="208">
        <v>0</v>
      </c>
      <c r="K57" s="208">
        <v>0</v>
      </c>
      <c r="L57" s="208">
        <v>0</v>
      </c>
      <c r="M57" s="208">
        <v>0</v>
      </c>
      <c r="N57" s="208">
        <v>0</v>
      </c>
      <c r="O57" s="208">
        <v>0</v>
      </c>
      <c r="P57" s="208">
        <v>0</v>
      </c>
      <c r="Q57" s="208">
        <v>0</v>
      </c>
      <c r="R57" s="208">
        <v>0</v>
      </c>
      <c r="S57" s="208">
        <v>0</v>
      </c>
      <c r="T57" s="208">
        <v>0</v>
      </c>
      <c r="U57" s="208">
        <v>0</v>
      </c>
      <c r="V57" s="208">
        <v>0</v>
      </c>
      <c r="W57" s="222">
        <v>410</v>
      </c>
      <c r="X57" s="208"/>
      <c r="Y57" s="217" t="s">
        <v>2</v>
      </c>
      <c r="Z57" s="227">
        <v>6.7030779108280951</v>
      </c>
      <c r="AA57" s="228">
        <v>4735.3789103313538</v>
      </c>
      <c r="AB57" s="208">
        <v>3711.3170446591353</v>
      </c>
      <c r="AC57" s="208">
        <v>89119.269549765304</v>
      </c>
      <c r="AD57" s="258">
        <v>1098.3216542475266</v>
      </c>
      <c r="AE57" s="208">
        <v>5119.5929340166495</v>
      </c>
      <c r="AF57" s="208">
        <v>0</v>
      </c>
      <c r="AG57" s="208">
        <v>0</v>
      </c>
      <c r="AH57" s="208">
        <v>0</v>
      </c>
      <c r="AI57" s="208">
        <v>0</v>
      </c>
      <c r="AJ57" s="208">
        <v>0</v>
      </c>
      <c r="AK57" s="252">
        <v>0</v>
      </c>
      <c r="AL57" s="252">
        <v>0</v>
      </c>
      <c r="AM57" s="252">
        <v>0</v>
      </c>
      <c r="AN57" s="252">
        <v>0</v>
      </c>
      <c r="AO57" s="252">
        <v>0</v>
      </c>
      <c r="AP57" s="252">
        <v>0</v>
      </c>
      <c r="AQ57" s="208">
        <v>0</v>
      </c>
      <c r="AR57" s="208">
        <v>0</v>
      </c>
      <c r="AS57" s="208">
        <v>0</v>
      </c>
      <c r="AT57" s="222">
        <v>103790.5831709308</v>
      </c>
      <c r="AV57" s="217" t="s">
        <v>2</v>
      </c>
      <c r="AW57" s="227">
        <f t="shared" si="116"/>
        <v>6.7030779108280951</v>
      </c>
      <c r="AX57" s="227">
        <f t="shared" si="116"/>
        <v>4735.3789103313538</v>
      </c>
      <c r="AY57" s="227">
        <f t="shared" si="117"/>
        <v>3711.3170446591353</v>
      </c>
      <c r="AZ57" s="227">
        <f t="shared" si="127"/>
        <v>89119.269549765304</v>
      </c>
      <c r="BA57" s="227">
        <f t="shared" si="118"/>
        <v>1098.3216542475266</v>
      </c>
      <c r="BB57" s="227">
        <f t="shared" si="119"/>
        <v>5119.5929340166495</v>
      </c>
      <c r="BC57" s="227">
        <f t="shared" si="120"/>
        <v>0</v>
      </c>
      <c r="BD57" s="227">
        <f t="shared" si="121"/>
        <v>0</v>
      </c>
      <c r="BE57" s="227">
        <f t="shared" si="122"/>
        <v>0</v>
      </c>
      <c r="BF57" s="227">
        <f t="shared" si="123"/>
        <v>0</v>
      </c>
      <c r="BG57" s="227">
        <f t="shared" si="124"/>
        <v>0</v>
      </c>
      <c r="BH57" s="252">
        <v>0</v>
      </c>
      <c r="BI57" s="255">
        <v>0</v>
      </c>
      <c r="BJ57" s="255">
        <v>0</v>
      </c>
      <c r="BK57" s="255">
        <v>0</v>
      </c>
      <c r="BL57" s="255">
        <v>0</v>
      </c>
      <c r="BM57" s="255">
        <v>0</v>
      </c>
      <c r="BN57" s="227">
        <f t="shared" si="128"/>
        <v>0</v>
      </c>
      <c r="BO57" s="227">
        <f t="shared" si="125"/>
        <v>0</v>
      </c>
      <c r="BP57" s="227">
        <f t="shared" si="126"/>
        <v>0</v>
      </c>
      <c r="BQ57" s="230">
        <f t="shared" si="115"/>
        <v>103790.5831709308</v>
      </c>
      <c r="BR57" s="214"/>
      <c r="BS57" s="227"/>
      <c r="BT57" s="286"/>
      <c r="BU57" s="300" t="s">
        <v>2</v>
      </c>
      <c r="BV57" s="293">
        <v>0</v>
      </c>
      <c r="BW57" s="293">
        <v>2</v>
      </c>
      <c r="BX57" s="258">
        <v>2</v>
      </c>
      <c r="BY57" s="258">
        <v>0</v>
      </c>
      <c r="BZ57" s="258">
        <v>0</v>
      </c>
      <c r="CA57" s="258">
        <v>0</v>
      </c>
      <c r="CB57" s="258">
        <v>0</v>
      </c>
      <c r="CC57" s="258">
        <v>0</v>
      </c>
      <c r="CD57" s="258">
        <v>0</v>
      </c>
      <c r="CE57" s="258">
        <v>0</v>
      </c>
      <c r="CF57" s="258">
        <v>0</v>
      </c>
      <c r="CG57" s="258">
        <v>0</v>
      </c>
      <c r="CH57" s="258">
        <v>0</v>
      </c>
      <c r="CI57" s="258">
        <v>0</v>
      </c>
      <c r="CJ57" s="258">
        <v>0</v>
      </c>
      <c r="CK57" s="258">
        <v>0</v>
      </c>
      <c r="CL57" s="258">
        <v>0</v>
      </c>
      <c r="CM57" s="258">
        <v>0</v>
      </c>
      <c r="CN57" s="258">
        <v>0</v>
      </c>
      <c r="CO57" s="258">
        <v>0</v>
      </c>
      <c r="CP57" s="301">
        <v>4</v>
      </c>
      <c r="CQ57" s="302"/>
      <c r="CR57" s="300" t="s">
        <v>2</v>
      </c>
      <c r="CS57" s="293">
        <v>0</v>
      </c>
      <c r="CT57" s="293">
        <v>0</v>
      </c>
      <c r="CU57" s="258">
        <v>188.79222618331889</v>
      </c>
      <c r="CV57" s="258">
        <v>0</v>
      </c>
      <c r="CW57" s="258">
        <v>0</v>
      </c>
      <c r="CX57" s="258">
        <v>0</v>
      </c>
      <c r="CY57" s="258">
        <v>0</v>
      </c>
      <c r="CZ57" s="258">
        <v>0</v>
      </c>
      <c r="DA57" s="258">
        <v>0</v>
      </c>
      <c r="DB57" s="258">
        <v>0</v>
      </c>
      <c r="DC57" s="258">
        <v>0</v>
      </c>
      <c r="DD57" s="258">
        <v>0</v>
      </c>
      <c r="DE57" s="258">
        <v>0</v>
      </c>
      <c r="DF57" s="258">
        <v>0</v>
      </c>
      <c r="DG57" s="258">
        <v>0</v>
      </c>
      <c r="DH57" s="258">
        <v>0</v>
      </c>
      <c r="DI57" s="258">
        <v>0</v>
      </c>
      <c r="DJ57" s="258">
        <v>0</v>
      </c>
      <c r="DK57" s="258">
        <v>0</v>
      </c>
      <c r="DL57" s="258">
        <v>0</v>
      </c>
      <c r="DM57" s="301">
        <v>188.79222618331889</v>
      </c>
      <c r="DN57" s="291"/>
      <c r="DO57" s="302"/>
      <c r="DP57" s="300" t="s">
        <v>2</v>
      </c>
      <c r="DQ57" s="293">
        <v>0</v>
      </c>
      <c r="DR57" s="293">
        <v>8</v>
      </c>
      <c r="DS57" s="258">
        <v>2</v>
      </c>
      <c r="DT57" s="258">
        <v>21</v>
      </c>
      <c r="DU57" s="258">
        <v>0</v>
      </c>
      <c r="DV57" s="258">
        <v>0</v>
      </c>
      <c r="DW57" s="258">
        <v>0</v>
      </c>
      <c r="DX57" s="258">
        <v>0</v>
      </c>
      <c r="DY57" s="258">
        <v>0</v>
      </c>
      <c r="DZ57" s="258">
        <v>0</v>
      </c>
      <c r="EA57" s="258">
        <v>0</v>
      </c>
      <c r="EB57" s="258">
        <v>0</v>
      </c>
      <c r="EC57" s="258">
        <v>0</v>
      </c>
      <c r="ED57" s="258">
        <v>0</v>
      </c>
      <c r="EE57" s="258">
        <v>0</v>
      </c>
      <c r="EF57" s="258">
        <v>0</v>
      </c>
      <c r="EG57" s="258">
        <v>0</v>
      </c>
      <c r="EH57" s="258">
        <v>0</v>
      </c>
      <c r="EI57" s="258">
        <v>0</v>
      </c>
      <c r="EJ57" s="258">
        <v>0</v>
      </c>
      <c r="EK57" s="301">
        <v>31</v>
      </c>
      <c r="EL57" s="287"/>
      <c r="EM57" s="300" t="s">
        <v>2</v>
      </c>
      <c r="EN57" s="293">
        <v>0</v>
      </c>
      <c r="EO57" s="293">
        <v>0</v>
      </c>
      <c r="EP57" s="258">
        <v>188.79222618331889</v>
      </c>
      <c r="EQ57" s="258">
        <v>638.07084980241848</v>
      </c>
      <c r="ER57" s="258">
        <v>0</v>
      </c>
      <c r="ES57" s="258">
        <v>0</v>
      </c>
      <c r="ET57" s="258">
        <v>0</v>
      </c>
      <c r="EU57" s="258">
        <v>0</v>
      </c>
      <c r="EV57" s="258">
        <v>0</v>
      </c>
      <c r="EW57" s="258">
        <v>0</v>
      </c>
      <c r="EX57" s="258">
        <v>0</v>
      </c>
      <c r="EY57" s="258">
        <v>0</v>
      </c>
      <c r="EZ57" s="258">
        <v>0</v>
      </c>
      <c r="FA57" s="258">
        <v>0</v>
      </c>
      <c r="FB57" s="258">
        <v>0</v>
      </c>
      <c r="FC57" s="258">
        <v>0</v>
      </c>
      <c r="FD57" s="258">
        <v>0</v>
      </c>
      <c r="FE57" s="258">
        <v>0</v>
      </c>
      <c r="FF57" s="258">
        <v>0</v>
      </c>
      <c r="FG57" s="258">
        <v>0</v>
      </c>
      <c r="FH57" s="301">
        <v>826.8630759857374</v>
      </c>
    </row>
    <row r="58" spans="2:164" x14ac:dyDescent="0.2">
      <c r="B58" s="217" t="s">
        <v>3</v>
      </c>
      <c r="C58" s="227">
        <v>0</v>
      </c>
      <c r="D58" s="228">
        <v>4</v>
      </c>
      <c r="E58" s="208">
        <v>7</v>
      </c>
      <c r="F58" s="208">
        <v>0</v>
      </c>
      <c r="G58" s="208">
        <v>125</v>
      </c>
      <c r="H58" s="208">
        <v>0</v>
      </c>
      <c r="I58" s="208">
        <v>0</v>
      </c>
      <c r="J58" s="208">
        <v>0</v>
      </c>
      <c r="K58" s="208">
        <v>0</v>
      </c>
      <c r="L58" s="208">
        <v>0</v>
      </c>
      <c r="M58" s="208">
        <v>0</v>
      </c>
      <c r="N58" s="208">
        <v>0</v>
      </c>
      <c r="O58" s="208">
        <v>0</v>
      </c>
      <c r="P58" s="208">
        <v>0</v>
      </c>
      <c r="Q58" s="208">
        <v>0</v>
      </c>
      <c r="R58" s="208">
        <v>0</v>
      </c>
      <c r="S58" s="208">
        <v>0</v>
      </c>
      <c r="T58" s="208">
        <v>0</v>
      </c>
      <c r="U58" s="208">
        <v>0</v>
      </c>
      <c r="V58" s="208">
        <v>0</v>
      </c>
      <c r="W58" s="222">
        <v>136</v>
      </c>
      <c r="X58" s="208"/>
      <c r="Y58" s="217" t="s">
        <v>3</v>
      </c>
      <c r="Z58" s="251">
        <v>0</v>
      </c>
      <c r="AA58" s="251">
        <v>661.7477312216563</v>
      </c>
      <c r="AB58" s="252">
        <v>504.17231643666571</v>
      </c>
      <c r="AC58" s="252">
        <v>0</v>
      </c>
      <c r="AD58" s="208">
        <v>47220.27738083632</v>
      </c>
      <c r="AE58" s="252">
        <v>0</v>
      </c>
      <c r="AF58" s="252">
        <v>0</v>
      </c>
      <c r="AG58" s="252">
        <v>0</v>
      </c>
      <c r="AH58" s="252">
        <v>0</v>
      </c>
      <c r="AI58" s="252">
        <v>0</v>
      </c>
      <c r="AJ58" s="252">
        <v>0</v>
      </c>
      <c r="AK58" s="252">
        <v>0</v>
      </c>
      <c r="AL58" s="252">
        <v>0</v>
      </c>
      <c r="AM58" s="252">
        <v>0</v>
      </c>
      <c r="AN58" s="252">
        <v>0</v>
      </c>
      <c r="AO58" s="252">
        <v>0</v>
      </c>
      <c r="AP58" s="252">
        <v>0</v>
      </c>
      <c r="AQ58" s="252">
        <v>0</v>
      </c>
      <c r="AR58" s="252">
        <v>0</v>
      </c>
      <c r="AS58" s="252">
        <v>0</v>
      </c>
      <c r="AT58" s="222">
        <v>48386.197428494641</v>
      </c>
      <c r="AV58" s="217" t="s">
        <v>3</v>
      </c>
      <c r="AW58" s="232">
        <v>0</v>
      </c>
      <c r="AX58" s="232">
        <v>0</v>
      </c>
      <c r="AY58" s="255">
        <v>0</v>
      </c>
      <c r="AZ58" s="252">
        <v>0</v>
      </c>
      <c r="BA58" s="227">
        <f t="shared" si="118"/>
        <v>47220.27738083632</v>
      </c>
      <c r="BB58" s="252">
        <v>0</v>
      </c>
      <c r="BC58" s="252">
        <v>0</v>
      </c>
      <c r="BD58" s="252">
        <v>0</v>
      </c>
      <c r="BE58" s="252">
        <v>0</v>
      </c>
      <c r="BF58" s="252">
        <v>0</v>
      </c>
      <c r="BG58" s="252">
        <v>0</v>
      </c>
      <c r="BH58" s="252">
        <v>0</v>
      </c>
      <c r="BI58" s="252">
        <v>0</v>
      </c>
      <c r="BJ58" s="252">
        <v>0</v>
      </c>
      <c r="BK58" s="252">
        <v>0</v>
      </c>
      <c r="BL58" s="255">
        <v>0</v>
      </c>
      <c r="BM58" s="252">
        <v>0</v>
      </c>
      <c r="BN58" s="255">
        <v>0</v>
      </c>
      <c r="BO58" s="255">
        <v>0</v>
      </c>
      <c r="BP58" s="252">
        <v>0</v>
      </c>
      <c r="BQ58" s="230">
        <f t="shared" si="115"/>
        <v>47220.27738083632</v>
      </c>
      <c r="BR58" s="214"/>
      <c r="BS58" s="227"/>
      <c r="BT58" s="286"/>
      <c r="BU58" s="300" t="s">
        <v>3</v>
      </c>
      <c r="BV58" s="293">
        <v>0</v>
      </c>
      <c r="BW58" s="293">
        <v>0</v>
      </c>
      <c r="BX58" s="258">
        <v>0</v>
      </c>
      <c r="BY58" s="258">
        <v>0</v>
      </c>
      <c r="BZ58" s="258">
        <v>0</v>
      </c>
      <c r="CA58" s="258">
        <v>0</v>
      </c>
      <c r="CB58" s="258">
        <v>0</v>
      </c>
      <c r="CC58" s="258">
        <v>0</v>
      </c>
      <c r="CD58" s="258">
        <v>0</v>
      </c>
      <c r="CE58" s="258">
        <v>0</v>
      </c>
      <c r="CF58" s="258">
        <v>0</v>
      </c>
      <c r="CG58" s="258">
        <v>0</v>
      </c>
      <c r="CH58" s="258">
        <v>0</v>
      </c>
      <c r="CI58" s="258">
        <v>0</v>
      </c>
      <c r="CJ58" s="258">
        <v>0</v>
      </c>
      <c r="CK58" s="258">
        <v>0</v>
      </c>
      <c r="CL58" s="258">
        <v>0</v>
      </c>
      <c r="CM58" s="258">
        <v>0</v>
      </c>
      <c r="CN58" s="258">
        <v>0</v>
      </c>
      <c r="CO58" s="258">
        <v>0</v>
      </c>
      <c r="CP58" s="301">
        <v>0</v>
      </c>
      <c r="CQ58" s="302"/>
      <c r="CR58" s="300" t="s">
        <v>3</v>
      </c>
      <c r="CS58" s="293">
        <v>0</v>
      </c>
      <c r="CT58" s="293">
        <v>0</v>
      </c>
      <c r="CU58" s="258">
        <v>0</v>
      </c>
      <c r="CV58" s="258">
        <v>0</v>
      </c>
      <c r="CW58" s="258">
        <v>0</v>
      </c>
      <c r="CX58" s="258">
        <v>0</v>
      </c>
      <c r="CY58" s="258">
        <v>0</v>
      </c>
      <c r="CZ58" s="258">
        <v>0</v>
      </c>
      <c r="DA58" s="258">
        <v>0</v>
      </c>
      <c r="DB58" s="258">
        <v>0</v>
      </c>
      <c r="DC58" s="258">
        <v>0</v>
      </c>
      <c r="DD58" s="258">
        <v>0</v>
      </c>
      <c r="DE58" s="258">
        <v>0</v>
      </c>
      <c r="DF58" s="258">
        <v>0</v>
      </c>
      <c r="DG58" s="258">
        <v>0</v>
      </c>
      <c r="DH58" s="258">
        <v>0</v>
      </c>
      <c r="DI58" s="258">
        <v>0</v>
      </c>
      <c r="DJ58" s="258">
        <v>0</v>
      </c>
      <c r="DK58" s="258">
        <v>0</v>
      </c>
      <c r="DL58" s="258">
        <v>0</v>
      </c>
      <c r="DM58" s="301">
        <v>0</v>
      </c>
      <c r="DN58" s="302"/>
      <c r="DO58" s="302"/>
      <c r="DP58" s="300" t="s">
        <v>3</v>
      </c>
      <c r="DQ58" s="293">
        <v>0</v>
      </c>
      <c r="DR58" s="293">
        <v>0</v>
      </c>
      <c r="DS58" s="258">
        <v>0</v>
      </c>
      <c r="DT58" s="258">
        <v>0</v>
      </c>
      <c r="DU58" s="258">
        <v>0</v>
      </c>
      <c r="DV58" s="258">
        <v>0</v>
      </c>
      <c r="DW58" s="258">
        <v>0</v>
      </c>
      <c r="DX58" s="258">
        <v>0</v>
      </c>
      <c r="DY58" s="258">
        <v>0</v>
      </c>
      <c r="DZ58" s="258">
        <v>0</v>
      </c>
      <c r="EA58" s="258">
        <v>0</v>
      </c>
      <c r="EB58" s="258">
        <v>0</v>
      </c>
      <c r="EC58" s="258">
        <v>0</v>
      </c>
      <c r="ED58" s="258">
        <v>0</v>
      </c>
      <c r="EE58" s="258">
        <v>0</v>
      </c>
      <c r="EF58" s="258">
        <v>0</v>
      </c>
      <c r="EG58" s="258">
        <v>0</v>
      </c>
      <c r="EH58" s="258">
        <v>0</v>
      </c>
      <c r="EI58" s="258">
        <v>0</v>
      </c>
      <c r="EJ58" s="258">
        <v>0</v>
      </c>
      <c r="EK58" s="301">
        <v>0</v>
      </c>
      <c r="EL58" s="287"/>
      <c r="EM58" s="300" t="s">
        <v>3</v>
      </c>
      <c r="EN58" s="293">
        <v>0</v>
      </c>
      <c r="EO58" s="293">
        <v>0</v>
      </c>
      <c r="EP58" s="258">
        <v>0</v>
      </c>
      <c r="EQ58" s="258">
        <v>0</v>
      </c>
      <c r="ER58" s="258">
        <v>0</v>
      </c>
      <c r="ES58" s="258">
        <v>0</v>
      </c>
      <c r="ET58" s="258">
        <v>0</v>
      </c>
      <c r="EU58" s="258">
        <v>0</v>
      </c>
      <c r="EV58" s="258">
        <v>0</v>
      </c>
      <c r="EW58" s="258">
        <v>0</v>
      </c>
      <c r="EX58" s="258">
        <v>0</v>
      </c>
      <c r="EY58" s="258">
        <v>0</v>
      </c>
      <c r="EZ58" s="258">
        <v>0</v>
      </c>
      <c r="FA58" s="258">
        <v>0</v>
      </c>
      <c r="FB58" s="258">
        <v>0</v>
      </c>
      <c r="FC58" s="258">
        <v>0</v>
      </c>
      <c r="FD58" s="258">
        <v>0</v>
      </c>
      <c r="FE58" s="258">
        <v>0</v>
      </c>
      <c r="FF58" s="258">
        <v>0</v>
      </c>
      <c r="FG58" s="258">
        <v>0</v>
      </c>
      <c r="FH58" s="301">
        <v>0</v>
      </c>
    </row>
    <row r="59" spans="2:164" x14ac:dyDescent="0.2">
      <c r="B59" s="217" t="s">
        <v>334</v>
      </c>
      <c r="C59" s="227">
        <v>0</v>
      </c>
      <c r="D59" s="228">
        <v>0</v>
      </c>
      <c r="E59" s="208">
        <v>0</v>
      </c>
      <c r="F59" s="208">
        <v>0</v>
      </c>
      <c r="G59" s="208">
        <v>0</v>
      </c>
      <c r="H59" s="208">
        <v>77</v>
      </c>
      <c r="I59" s="208">
        <v>1</v>
      </c>
      <c r="J59" s="208">
        <v>0</v>
      </c>
      <c r="K59" s="208">
        <v>1</v>
      </c>
      <c r="L59" s="208">
        <v>4</v>
      </c>
      <c r="M59" s="208">
        <v>0</v>
      </c>
      <c r="N59" s="208">
        <v>3</v>
      </c>
      <c r="O59" s="208">
        <v>0</v>
      </c>
      <c r="P59" s="208">
        <v>0</v>
      </c>
      <c r="Q59" s="208">
        <v>0</v>
      </c>
      <c r="R59" s="208">
        <v>0</v>
      </c>
      <c r="S59" s="208">
        <v>0</v>
      </c>
      <c r="T59" s="208">
        <v>0</v>
      </c>
      <c r="U59" s="208">
        <v>0</v>
      </c>
      <c r="V59" s="208">
        <v>0</v>
      </c>
      <c r="W59" s="222">
        <v>86</v>
      </c>
      <c r="X59" s="208"/>
      <c r="Y59" s="217" t="s">
        <v>334</v>
      </c>
      <c r="Z59" s="227">
        <v>0</v>
      </c>
      <c r="AA59" s="228">
        <v>0</v>
      </c>
      <c r="AB59" s="252">
        <v>0</v>
      </c>
      <c r="AC59" s="208">
        <v>0</v>
      </c>
      <c r="AD59" s="208">
        <v>0</v>
      </c>
      <c r="AE59" s="208">
        <v>21726.452628620311</v>
      </c>
      <c r="AF59" s="208">
        <v>23.815042541504969</v>
      </c>
      <c r="AG59" s="208">
        <v>0</v>
      </c>
      <c r="AH59" s="208">
        <v>0</v>
      </c>
      <c r="AI59" s="208">
        <v>50.726135309918277</v>
      </c>
      <c r="AJ59" s="208">
        <v>0</v>
      </c>
      <c r="AK59" s="252">
        <v>4509.5135676978543</v>
      </c>
      <c r="AL59" s="252">
        <v>0</v>
      </c>
      <c r="AM59" s="252">
        <v>0</v>
      </c>
      <c r="AN59" s="252">
        <v>0</v>
      </c>
      <c r="AO59" s="252">
        <v>0</v>
      </c>
      <c r="AP59" s="252">
        <v>0</v>
      </c>
      <c r="AQ59" s="208">
        <v>0</v>
      </c>
      <c r="AR59" s="208">
        <v>0</v>
      </c>
      <c r="AS59" s="208">
        <v>0</v>
      </c>
      <c r="AT59" s="222">
        <v>26310.507374169589</v>
      </c>
      <c r="AV59" s="217" t="s">
        <v>334</v>
      </c>
      <c r="AW59" s="227">
        <f>Z59</f>
        <v>0</v>
      </c>
      <c r="AX59" s="227">
        <f>AA59</f>
        <v>0</v>
      </c>
      <c r="AY59" s="255">
        <v>0</v>
      </c>
      <c r="AZ59" s="227">
        <f t="shared" ref="AZ59:AZ73" si="129">AC59</f>
        <v>0</v>
      </c>
      <c r="BA59" s="227">
        <f t="shared" si="118"/>
        <v>0</v>
      </c>
      <c r="BB59" s="227">
        <f t="shared" ref="BB59:BB64" si="130">AE59</f>
        <v>21726.452628620311</v>
      </c>
      <c r="BC59" s="227">
        <f t="shared" ref="BC59:BC64" si="131">AF59</f>
        <v>23.815042541504969</v>
      </c>
      <c r="BD59" s="227">
        <f t="shared" ref="BD59:BD64" si="132">AG59</f>
        <v>0</v>
      </c>
      <c r="BE59" s="227">
        <f t="shared" ref="BE59:BE64" si="133">AH59</f>
        <v>0</v>
      </c>
      <c r="BF59" s="227">
        <f t="shared" ref="BF59:BF64" si="134">AI59</f>
        <v>50.726135309918277</v>
      </c>
      <c r="BG59" s="227">
        <f t="shared" ref="BG59:BG64" si="135">AJ59</f>
        <v>0</v>
      </c>
      <c r="BH59" s="255">
        <v>0</v>
      </c>
      <c r="BI59" s="255">
        <v>0</v>
      </c>
      <c r="BJ59" s="255">
        <v>0</v>
      </c>
      <c r="BK59" s="255">
        <v>0</v>
      </c>
      <c r="BL59" s="252">
        <v>0</v>
      </c>
      <c r="BM59" s="255">
        <v>0</v>
      </c>
      <c r="BN59" s="208">
        <f>AQ59</f>
        <v>0</v>
      </c>
      <c r="BO59" s="208">
        <f t="shared" ref="BO59:BO73" si="136">AR59</f>
        <v>0</v>
      </c>
      <c r="BP59" s="208">
        <f t="shared" ref="BP59:BP73" si="137">AS59</f>
        <v>0</v>
      </c>
      <c r="BQ59" s="230">
        <f t="shared" si="115"/>
        <v>21800.993806471732</v>
      </c>
      <c r="BR59" s="214"/>
      <c r="BS59" s="227"/>
      <c r="BT59" s="286"/>
      <c r="BU59" s="300" t="s">
        <v>334</v>
      </c>
      <c r="BV59" s="293">
        <v>0</v>
      </c>
      <c r="BW59" s="293">
        <v>0</v>
      </c>
      <c r="BX59" s="258">
        <v>0</v>
      </c>
      <c r="BY59" s="258">
        <v>0</v>
      </c>
      <c r="BZ59" s="258">
        <v>0</v>
      </c>
      <c r="CA59" s="258">
        <v>0</v>
      </c>
      <c r="CB59" s="258">
        <v>0</v>
      </c>
      <c r="CC59" s="258">
        <v>0</v>
      </c>
      <c r="CD59" s="258">
        <v>0</v>
      </c>
      <c r="CE59" s="258">
        <v>0</v>
      </c>
      <c r="CF59" s="258">
        <v>0</v>
      </c>
      <c r="CG59" s="258">
        <v>0</v>
      </c>
      <c r="CH59" s="258">
        <v>0</v>
      </c>
      <c r="CI59" s="258">
        <v>0</v>
      </c>
      <c r="CJ59" s="258">
        <v>0</v>
      </c>
      <c r="CK59" s="258">
        <v>0</v>
      </c>
      <c r="CL59" s="258">
        <v>0</v>
      </c>
      <c r="CM59" s="258">
        <v>0</v>
      </c>
      <c r="CN59" s="258">
        <v>0</v>
      </c>
      <c r="CO59" s="258">
        <v>0</v>
      </c>
      <c r="CP59" s="301">
        <v>0</v>
      </c>
      <c r="CQ59" s="302"/>
      <c r="CR59" s="300" t="s">
        <v>334</v>
      </c>
      <c r="CS59" s="293">
        <v>0</v>
      </c>
      <c r="CT59" s="293">
        <v>0</v>
      </c>
      <c r="CU59" s="258">
        <v>0</v>
      </c>
      <c r="CV59" s="258">
        <v>0</v>
      </c>
      <c r="CW59" s="258">
        <v>0</v>
      </c>
      <c r="CX59" s="258">
        <v>0</v>
      </c>
      <c r="CY59" s="258">
        <v>0</v>
      </c>
      <c r="CZ59" s="258">
        <v>0</v>
      </c>
      <c r="DA59" s="258">
        <v>0</v>
      </c>
      <c r="DB59" s="258">
        <v>0</v>
      </c>
      <c r="DC59" s="258">
        <v>0</v>
      </c>
      <c r="DD59" s="258">
        <v>0</v>
      </c>
      <c r="DE59" s="258">
        <v>0</v>
      </c>
      <c r="DF59" s="258">
        <v>0</v>
      </c>
      <c r="DG59" s="258">
        <v>0</v>
      </c>
      <c r="DH59" s="258">
        <v>0</v>
      </c>
      <c r="DI59" s="258">
        <v>0</v>
      </c>
      <c r="DJ59" s="258">
        <v>0</v>
      </c>
      <c r="DK59" s="258">
        <v>0</v>
      </c>
      <c r="DL59" s="258">
        <v>0</v>
      </c>
      <c r="DM59" s="301">
        <v>0</v>
      </c>
      <c r="DN59" s="302"/>
      <c r="DO59" s="302"/>
      <c r="DP59" s="300" t="s">
        <v>334</v>
      </c>
      <c r="DQ59" s="293">
        <v>0</v>
      </c>
      <c r="DR59" s="293">
        <v>0</v>
      </c>
      <c r="DS59" s="258">
        <v>0</v>
      </c>
      <c r="DT59" s="258">
        <v>0</v>
      </c>
      <c r="DU59" s="258">
        <v>0</v>
      </c>
      <c r="DV59" s="258">
        <v>0</v>
      </c>
      <c r="DW59" s="258">
        <v>0</v>
      </c>
      <c r="DX59" s="258">
        <v>0</v>
      </c>
      <c r="DY59" s="258">
        <v>0</v>
      </c>
      <c r="DZ59" s="258">
        <v>0</v>
      </c>
      <c r="EA59" s="258">
        <v>0</v>
      </c>
      <c r="EB59" s="258">
        <v>0</v>
      </c>
      <c r="EC59" s="258">
        <v>0</v>
      </c>
      <c r="ED59" s="258">
        <v>0</v>
      </c>
      <c r="EE59" s="258">
        <v>0</v>
      </c>
      <c r="EF59" s="258">
        <v>0</v>
      </c>
      <c r="EG59" s="258">
        <v>0</v>
      </c>
      <c r="EH59" s="258">
        <v>0</v>
      </c>
      <c r="EI59" s="258">
        <v>0</v>
      </c>
      <c r="EJ59" s="258">
        <v>0</v>
      </c>
      <c r="EK59" s="301">
        <v>0</v>
      </c>
      <c r="EL59" s="287"/>
      <c r="EM59" s="300" t="s">
        <v>334</v>
      </c>
      <c r="EN59" s="293">
        <v>0</v>
      </c>
      <c r="EO59" s="293">
        <v>0</v>
      </c>
      <c r="EP59" s="258">
        <v>0</v>
      </c>
      <c r="EQ59" s="258">
        <v>0</v>
      </c>
      <c r="ER59" s="258">
        <v>0</v>
      </c>
      <c r="ES59" s="258">
        <v>0</v>
      </c>
      <c r="ET59" s="258">
        <v>0</v>
      </c>
      <c r="EU59" s="258">
        <v>0</v>
      </c>
      <c r="EV59" s="258">
        <v>0</v>
      </c>
      <c r="EW59" s="258">
        <v>0</v>
      </c>
      <c r="EX59" s="258">
        <v>0</v>
      </c>
      <c r="EY59" s="258">
        <v>0</v>
      </c>
      <c r="EZ59" s="258">
        <v>0</v>
      </c>
      <c r="FA59" s="258">
        <v>0</v>
      </c>
      <c r="FB59" s="258">
        <v>0</v>
      </c>
      <c r="FC59" s="258">
        <v>0</v>
      </c>
      <c r="FD59" s="258">
        <v>0</v>
      </c>
      <c r="FE59" s="258">
        <v>0</v>
      </c>
      <c r="FF59" s="258">
        <v>0</v>
      </c>
      <c r="FG59" s="258">
        <v>0</v>
      </c>
      <c r="FH59" s="301">
        <v>0</v>
      </c>
    </row>
    <row r="60" spans="2:164" x14ac:dyDescent="0.2">
      <c r="B60" s="217" t="s">
        <v>352</v>
      </c>
      <c r="C60" s="227">
        <v>0</v>
      </c>
      <c r="D60" s="228">
        <v>0</v>
      </c>
      <c r="E60" s="208">
        <v>0</v>
      </c>
      <c r="F60" s="208">
        <v>0</v>
      </c>
      <c r="G60" s="208">
        <v>0</v>
      </c>
      <c r="H60" s="208">
        <v>0</v>
      </c>
      <c r="I60" s="208">
        <v>8</v>
      </c>
      <c r="J60" s="208">
        <v>0</v>
      </c>
      <c r="K60" s="208">
        <v>0</v>
      </c>
      <c r="L60" s="208">
        <v>0</v>
      </c>
      <c r="M60" s="208">
        <v>0</v>
      </c>
      <c r="N60" s="208">
        <v>0</v>
      </c>
      <c r="O60" s="208">
        <v>0</v>
      </c>
      <c r="P60" s="208">
        <v>0</v>
      </c>
      <c r="Q60" s="208">
        <v>0</v>
      </c>
      <c r="R60" s="208">
        <v>0</v>
      </c>
      <c r="S60" s="208">
        <v>0</v>
      </c>
      <c r="T60" s="208">
        <v>0</v>
      </c>
      <c r="U60" s="208">
        <v>0</v>
      </c>
      <c r="V60" s="208">
        <v>0</v>
      </c>
      <c r="W60" s="222">
        <v>8</v>
      </c>
      <c r="X60" s="208"/>
      <c r="Y60" s="217" t="s">
        <v>352</v>
      </c>
      <c r="Z60" s="227">
        <v>0</v>
      </c>
      <c r="AA60" s="228">
        <v>0</v>
      </c>
      <c r="AB60" s="208">
        <v>0</v>
      </c>
      <c r="AC60" s="208">
        <v>0</v>
      </c>
      <c r="AD60" s="208">
        <v>0</v>
      </c>
      <c r="AE60" s="208">
        <v>0</v>
      </c>
      <c r="AF60" s="208">
        <v>1061.6263418180524</v>
      </c>
      <c r="AG60" s="208">
        <v>0</v>
      </c>
      <c r="AH60" s="208">
        <v>0</v>
      </c>
      <c r="AI60" s="208">
        <v>0</v>
      </c>
      <c r="AJ60" s="208">
        <v>0</v>
      </c>
      <c r="AK60" s="252">
        <v>0</v>
      </c>
      <c r="AL60" s="252">
        <v>0</v>
      </c>
      <c r="AM60" s="252">
        <v>0</v>
      </c>
      <c r="AN60" s="252">
        <v>0</v>
      </c>
      <c r="AO60" s="252">
        <v>0</v>
      </c>
      <c r="AP60" s="252">
        <v>0</v>
      </c>
      <c r="AQ60" s="208">
        <v>0</v>
      </c>
      <c r="AR60" s="208">
        <v>0</v>
      </c>
      <c r="AS60" s="208">
        <v>0</v>
      </c>
      <c r="AT60" s="222">
        <v>1061.6263418180524</v>
      </c>
      <c r="AV60" s="217" t="s">
        <v>350</v>
      </c>
      <c r="AW60" s="227">
        <f t="shared" ref="AW60:AW73" si="138">Z60</f>
        <v>0</v>
      </c>
      <c r="AX60" s="227">
        <f t="shared" ref="AX60:AX73" si="139">AA60</f>
        <v>0</v>
      </c>
      <c r="AY60" s="227">
        <f t="shared" ref="AY60:AY73" si="140">AB60</f>
        <v>0</v>
      </c>
      <c r="AZ60" s="227">
        <f t="shared" si="129"/>
        <v>0</v>
      </c>
      <c r="BA60" s="227">
        <f t="shared" si="118"/>
        <v>0</v>
      </c>
      <c r="BB60" s="227">
        <f t="shared" si="130"/>
        <v>0</v>
      </c>
      <c r="BC60" s="227">
        <f t="shared" si="131"/>
        <v>1061.6263418180524</v>
      </c>
      <c r="BD60" s="227">
        <f t="shared" si="132"/>
        <v>0</v>
      </c>
      <c r="BE60" s="227">
        <f t="shared" si="133"/>
        <v>0</v>
      </c>
      <c r="BF60" s="227">
        <f t="shared" si="134"/>
        <v>0</v>
      </c>
      <c r="BG60" s="227">
        <f t="shared" si="135"/>
        <v>0</v>
      </c>
      <c r="BH60" s="252">
        <v>0</v>
      </c>
      <c r="BI60" s="255">
        <v>0</v>
      </c>
      <c r="BJ60" s="255">
        <v>0</v>
      </c>
      <c r="BK60" s="252">
        <v>0</v>
      </c>
      <c r="BL60" s="255">
        <v>0</v>
      </c>
      <c r="BM60" s="252">
        <v>0</v>
      </c>
      <c r="BN60" s="208">
        <f t="shared" ref="BN60:BN73" si="141">AQ60</f>
        <v>0</v>
      </c>
      <c r="BO60" s="208">
        <f t="shared" si="136"/>
        <v>0</v>
      </c>
      <c r="BP60" s="208">
        <f t="shared" si="137"/>
        <v>0</v>
      </c>
      <c r="BQ60" s="230">
        <f t="shared" si="115"/>
        <v>1061.6263418180524</v>
      </c>
      <c r="BR60" s="214"/>
      <c r="BS60" s="227"/>
      <c r="BT60" s="286"/>
      <c r="BU60" s="300" t="s">
        <v>352</v>
      </c>
      <c r="BV60" s="293">
        <v>0</v>
      </c>
      <c r="BW60" s="293">
        <v>0</v>
      </c>
      <c r="BX60" s="258">
        <v>0</v>
      </c>
      <c r="BY60" s="258">
        <v>0</v>
      </c>
      <c r="BZ60" s="258">
        <v>0</v>
      </c>
      <c r="CA60" s="258">
        <v>0</v>
      </c>
      <c r="CB60" s="258">
        <v>0</v>
      </c>
      <c r="CC60" s="258">
        <v>0</v>
      </c>
      <c r="CD60" s="258">
        <v>0</v>
      </c>
      <c r="CE60" s="258">
        <v>0</v>
      </c>
      <c r="CF60" s="258">
        <v>0</v>
      </c>
      <c r="CG60" s="258">
        <v>0</v>
      </c>
      <c r="CH60" s="258">
        <v>0</v>
      </c>
      <c r="CI60" s="258">
        <v>0</v>
      </c>
      <c r="CJ60" s="258">
        <v>0</v>
      </c>
      <c r="CK60" s="258">
        <v>0</v>
      </c>
      <c r="CL60" s="258">
        <v>0</v>
      </c>
      <c r="CM60" s="258">
        <v>0</v>
      </c>
      <c r="CN60" s="258">
        <v>0</v>
      </c>
      <c r="CO60" s="258">
        <v>0</v>
      </c>
      <c r="CP60" s="301">
        <v>0</v>
      </c>
      <c r="CQ60" s="302"/>
      <c r="CR60" s="300" t="s">
        <v>352</v>
      </c>
      <c r="CS60" s="293">
        <v>0</v>
      </c>
      <c r="CT60" s="293">
        <v>0</v>
      </c>
      <c r="CU60" s="258">
        <v>0</v>
      </c>
      <c r="CV60" s="258">
        <v>0</v>
      </c>
      <c r="CW60" s="258">
        <v>0</v>
      </c>
      <c r="CX60" s="258">
        <v>0</v>
      </c>
      <c r="CY60" s="258">
        <v>0</v>
      </c>
      <c r="CZ60" s="258">
        <v>0</v>
      </c>
      <c r="DA60" s="258">
        <v>0</v>
      </c>
      <c r="DB60" s="258">
        <v>0</v>
      </c>
      <c r="DC60" s="258">
        <v>0</v>
      </c>
      <c r="DD60" s="258">
        <v>0</v>
      </c>
      <c r="DE60" s="258">
        <v>0</v>
      </c>
      <c r="DF60" s="258">
        <v>0</v>
      </c>
      <c r="DG60" s="258">
        <v>0</v>
      </c>
      <c r="DH60" s="258">
        <v>0</v>
      </c>
      <c r="DI60" s="258">
        <v>0</v>
      </c>
      <c r="DJ60" s="258">
        <v>0</v>
      </c>
      <c r="DK60" s="258">
        <v>0</v>
      </c>
      <c r="DL60" s="258">
        <v>0</v>
      </c>
      <c r="DM60" s="301">
        <v>0</v>
      </c>
      <c r="DN60" s="302"/>
      <c r="DO60" s="302"/>
      <c r="DP60" s="300" t="s">
        <v>352</v>
      </c>
      <c r="DQ60" s="293">
        <v>0</v>
      </c>
      <c r="DR60" s="293">
        <v>0</v>
      </c>
      <c r="DS60" s="258">
        <v>0</v>
      </c>
      <c r="DT60" s="258">
        <v>0</v>
      </c>
      <c r="DU60" s="258">
        <v>0</v>
      </c>
      <c r="DV60" s="258">
        <v>0</v>
      </c>
      <c r="DW60" s="258">
        <v>0</v>
      </c>
      <c r="DX60" s="258">
        <v>0</v>
      </c>
      <c r="DY60" s="258">
        <v>0</v>
      </c>
      <c r="DZ60" s="258">
        <v>0</v>
      </c>
      <c r="EA60" s="258">
        <v>0</v>
      </c>
      <c r="EB60" s="258">
        <v>0</v>
      </c>
      <c r="EC60" s="258">
        <v>0</v>
      </c>
      <c r="ED60" s="258">
        <v>0</v>
      </c>
      <c r="EE60" s="258">
        <v>0</v>
      </c>
      <c r="EF60" s="258">
        <v>0</v>
      </c>
      <c r="EG60" s="258">
        <v>0</v>
      </c>
      <c r="EH60" s="258">
        <v>0</v>
      </c>
      <c r="EI60" s="258">
        <v>0</v>
      </c>
      <c r="EJ60" s="258">
        <v>0</v>
      </c>
      <c r="EK60" s="301">
        <v>0</v>
      </c>
      <c r="EL60" s="287"/>
      <c r="EM60" s="300" t="s">
        <v>352</v>
      </c>
      <c r="EN60" s="293">
        <v>0</v>
      </c>
      <c r="EO60" s="293">
        <v>0</v>
      </c>
      <c r="EP60" s="258">
        <v>0</v>
      </c>
      <c r="EQ60" s="258">
        <v>0</v>
      </c>
      <c r="ER60" s="258">
        <v>0</v>
      </c>
      <c r="ES60" s="258">
        <v>0</v>
      </c>
      <c r="ET60" s="258">
        <v>0</v>
      </c>
      <c r="EU60" s="258">
        <v>0</v>
      </c>
      <c r="EV60" s="258">
        <v>0</v>
      </c>
      <c r="EW60" s="258">
        <v>0</v>
      </c>
      <c r="EX60" s="258">
        <v>0</v>
      </c>
      <c r="EY60" s="258">
        <v>0</v>
      </c>
      <c r="EZ60" s="258">
        <v>0</v>
      </c>
      <c r="FA60" s="258">
        <v>0</v>
      </c>
      <c r="FB60" s="258">
        <v>0</v>
      </c>
      <c r="FC60" s="258">
        <v>0</v>
      </c>
      <c r="FD60" s="258">
        <v>0</v>
      </c>
      <c r="FE60" s="258">
        <v>0</v>
      </c>
      <c r="FF60" s="258">
        <v>0</v>
      </c>
      <c r="FG60" s="258">
        <v>0</v>
      </c>
      <c r="FH60" s="301">
        <v>0</v>
      </c>
    </row>
    <row r="61" spans="2:164" x14ac:dyDescent="0.2">
      <c r="B61" s="217" t="s">
        <v>335</v>
      </c>
      <c r="C61" s="227">
        <v>0</v>
      </c>
      <c r="D61" s="228">
        <v>0</v>
      </c>
      <c r="E61" s="208">
        <v>0</v>
      </c>
      <c r="F61" s="208">
        <v>0</v>
      </c>
      <c r="G61" s="208">
        <v>0</v>
      </c>
      <c r="H61" s="208">
        <v>0</v>
      </c>
      <c r="I61" s="208">
        <v>0</v>
      </c>
      <c r="J61" s="208">
        <v>0</v>
      </c>
      <c r="K61" s="208">
        <v>2</v>
      </c>
      <c r="L61" s="208">
        <v>0</v>
      </c>
      <c r="M61" s="208">
        <v>0</v>
      </c>
      <c r="N61" s="208">
        <v>0</v>
      </c>
      <c r="O61" s="208">
        <v>0</v>
      </c>
      <c r="P61" s="208">
        <v>0</v>
      </c>
      <c r="Q61" s="208">
        <v>0</v>
      </c>
      <c r="R61" s="208">
        <v>0</v>
      </c>
      <c r="S61" s="208">
        <v>0</v>
      </c>
      <c r="T61" s="208">
        <v>0</v>
      </c>
      <c r="U61" s="208">
        <v>0</v>
      </c>
      <c r="V61" s="208">
        <v>0</v>
      </c>
      <c r="W61" s="222">
        <v>2</v>
      </c>
      <c r="Y61" s="217" t="s">
        <v>335</v>
      </c>
      <c r="Z61" s="227">
        <v>0</v>
      </c>
      <c r="AA61" s="228">
        <v>0</v>
      </c>
      <c r="AB61" s="208">
        <v>0</v>
      </c>
      <c r="AC61" s="208">
        <v>0</v>
      </c>
      <c r="AD61" s="208">
        <v>0</v>
      </c>
      <c r="AE61" s="208">
        <v>0</v>
      </c>
      <c r="AF61" s="208">
        <v>0</v>
      </c>
      <c r="AG61" s="208">
        <v>0</v>
      </c>
      <c r="AH61" s="208">
        <v>0</v>
      </c>
      <c r="AI61" s="208">
        <v>0</v>
      </c>
      <c r="AJ61" s="208">
        <v>0</v>
      </c>
      <c r="AK61" s="252">
        <v>0</v>
      </c>
      <c r="AL61" s="252">
        <v>0</v>
      </c>
      <c r="AM61" s="252">
        <v>0</v>
      </c>
      <c r="AN61" s="252">
        <v>0</v>
      </c>
      <c r="AO61" s="252">
        <v>0</v>
      </c>
      <c r="AP61" s="252">
        <v>0</v>
      </c>
      <c r="AQ61" s="208">
        <v>0</v>
      </c>
      <c r="AR61" s="208">
        <v>0</v>
      </c>
      <c r="AS61" s="208">
        <v>0</v>
      </c>
      <c r="AT61" s="222">
        <v>0</v>
      </c>
      <c r="AV61" s="217" t="s">
        <v>346</v>
      </c>
      <c r="AW61" s="227">
        <f t="shared" si="138"/>
        <v>0</v>
      </c>
      <c r="AX61" s="227">
        <f t="shared" si="139"/>
        <v>0</v>
      </c>
      <c r="AY61" s="227">
        <f t="shared" si="140"/>
        <v>0</v>
      </c>
      <c r="AZ61" s="227">
        <f t="shared" si="129"/>
        <v>0</v>
      </c>
      <c r="BA61" s="227">
        <f t="shared" si="118"/>
        <v>0</v>
      </c>
      <c r="BB61" s="227">
        <f t="shared" si="130"/>
        <v>0</v>
      </c>
      <c r="BC61" s="227">
        <f t="shared" si="131"/>
        <v>0</v>
      </c>
      <c r="BD61" s="227">
        <f t="shared" si="132"/>
        <v>0</v>
      </c>
      <c r="BE61" s="227">
        <f t="shared" si="133"/>
        <v>0</v>
      </c>
      <c r="BF61" s="227">
        <f t="shared" si="134"/>
        <v>0</v>
      </c>
      <c r="BG61" s="227">
        <f t="shared" si="135"/>
        <v>0</v>
      </c>
      <c r="BH61" s="252">
        <v>0</v>
      </c>
      <c r="BI61" s="252">
        <v>0</v>
      </c>
      <c r="BJ61" s="255">
        <v>0</v>
      </c>
      <c r="BK61" s="252">
        <v>0</v>
      </c>
      <c r="BL61" s="255">
        <v>0</v>
      </c>
      <c r="BM61" s="252">
        <v>0</v>
      </c>
      <c r="BN61" s="208">
        <f t="shared" si="141"/>
        <v>0</v>
      </c>
      <c r="BO61" s="208">
        <f t="shared" si="136"/>
        <v>0</v>
      </c>
      <c r="BP61" s="208">
        <f t="shared" si="137"/>
        <v>0</v>
      </c>
      <c r="BQ61" s="230">
        <f t="shared" si="115"/>
        <v>0</v>
      </c>
      <c r="BR61" s="214"/>
      <c r="BS61" s="227"/>
      <c r="BT61" s="286"/>
      <c r="BU61" s="300" t="s">
        <v>335</v>
      </c>
      <c r="BV61" s="293">
        <v>0</v>
      </c>
      <c r="BW61" s="293">
        <v>0</v>
      </c>
      <c r="BX61" s="258">
        <v>0</v>
      </c>
      <c r="BY61" s="258">
        <v>0</v>
      </c>
      <c r="BZ61" s="258">
        <v>0</v>
      </c>
      <c r="CA61" s="258">
        <v>0</v>
      </c>
      <c r="CB61" s="258">
        <v>0</v>
      </c>
      <c r="CC61" s="258">
        <v>0</v>
      </c>
      <c r="CD61" s="258">
        <v>0</v>
      </c>
      <c r="CE61" s="258">
        <v>0</v>
      </c>
      <c r="CF61" s="258">
        <v>0</v>
      </c>
      <c r="CG61" s="258">
        <v>0</v>
      </c>
      <c r="CH61" s="258">
        <v>0</v>
      </c>
      <c r="CI61" s="258">
        <v>0</v>
      </c>
      <c r="CJ61" s="258">
        <v>0</v>
      </c>
      <c r="CK61" s="258">
        <v>0</v>
      </c>
      <c r="CL61" s="258">
        <v>0</v>
      </c>
      <c r="CM61" s="258">
        <v>0</v>
      </c>
      <c r="CN61" s="258">
        <v>0</v>
      </c>
      <c r="CO61" s="258">
        <v>0</v>
      </c>
      <c r="CP61" s="301">
        <v>0</v>
      </c>
      <c r="CQ61" s="302"/>
      <c r="CR61" s="300" t="s">
        <v>335</v>
      </c>
      <c r="CS61" s="293">
        <v>0</v>
      </c>
      <c r="CT61" s="293">
        <v>0</v>
      </c>
      <c r="CU61" s="258">
        <v>0</v>
      </c>
      <c r="CV61" s="258">
        <v>0</v>
      </c>
      <c r="CW61" s="258">
        <v>0</v>
      </c>
      <c r="CX61" s="258">
        <v>0</v>
      </c>
      <c r="CY61" s="258">
        <v>0</v>
      </c>
      <c r="CZ61" s="258">
        <v>0</v>
      </c>
      <c r="DA61" s="258">
        <v>0</v>
      </c>
      <c r="DB61" s="258">
        <v>0</v>
      </c>
      <c r="DC61" s="258">
        <v>0</v>
      </c>
      <c r="DD61" s="258">
        <v>0</v>
      </c>
      <c r="DE61" s="258">
        <v>0</v>
      </c>
      <c r="DF61" s="258">
        <v>0</v>
      </c>
      <c r="DG61" s="258">
        <v>0</v>
      </c>
      <c r="DH61" s="258">
        <v>0</v>
      </c>
      <c r="DI61" s="258">
        <v>0</v>
      </c>
      <c r="DJ61" s="258">
        <v>0</v>
      </c>
      <c r="DK61" s="258">
        <v>0</v>
      </c>
      <c r="DL61" s="258">
        <v>0</v>
      </c>
      <c r="DM61" s="301">
        <v>0</v>
      </c>
      <c r="DN61" s="302"/>
      <c r="DO61" s="302"/>
      <c r="DP61" s="300" t="s">
        <v>335</v>
      </c>
      <c r="DQ61" s="293">
        <v>0</v>
      </c>
      <c r="DR61" s="293">
        <v>0</v>
      </c>
      <c r="DS61" s="258">
        <v>0</v>
      </c>
      <c r="DT61" s="258">
        <v>0</v>
      </c>
      <c r="DU61" s="258">
        <v>0</v>
      </c>
      <c r="DV61" s="258">
        <v>0</v>
      </c>
      <c r="DW61" s="258">
        <v>0</v>
      </c>
      <c r="DX61" s="258">
        <v>0</v>
      </c>
      <c r="DY61" s="258">
        <v>0</v>
      </c>
      <c r="DZ61" s="258">
        <v>0</v>
      </c>
      <c r="EA61" s="258">
        <v>0</v>
      </c>
      <c r="EB61" s="258">
        <v>0</v>
      </c>
      <c r="EC61" s="258">
        <v>0</v>
      </c>
      <c r="ED61" s="258">
        <v>0</v>
      </c>
      <c r="EE61" s="258">
        <v>0</v>
      </c>
      <c r="EF61" s="258">
        <v>0</v>
      </c>
      <c r="EG61" s="258">
        <v>0</v>
      </c>
      <c r="EH61" s="258">
        <v>0</v>
      </c>
      <c r="EI61" s="258">
        <v>0</v>
      </c>
      <c r="EJ61" s="258">
        <v>0</v>
      </c>
      <c r="EK61" s="301">
        <v>0</v>
      </c>
      <c r="EL61" s="287"/>
      <c r="EM61" s="300" t="s">
        <v>335</v>
      </c>
      <c r="EN61" s="293">
        <v>0</v>
      </c>
      <c r="EO61" s="293">
        <v>0</v>
      </c>
      <c r="EP61" s="258">
        <v>0</v>
      </c>
      <c r="EQ61" s="258">
        <v>0</v>
      </c>
      <c r="ER61" s="258">
        <v>0</v>
      </c>
      <c r="ES61" s="258">
        <v>0</v>
      </c>
      <c r="ET61" s="258">
        <v>0</v>
      </c>
      <c r="EU61" s="258">
        <v>0</v>
      </c>
      <c r="EV61" s="258">
        <v>0</v>
      </c>
      <c r="EW61" s="258">
        <v>0</v>
      </c>
      <c r="EX61" s="258">
        <v>0</v>
      </c>
      <c r="EY61" s="258">
        <v>0</v>
      </c>
      <c r="EZ61" s="258">
        <v>0</v>
      </c>
      <c r="FA61" s="258">
        <v>0</v>
      </c>
      <c r="FB61" s="258">
        <v>0</v>
      </c>
      <c r="FC61" s="258">
        <v>0</v>
      </c>
      <c r="FD61" s="258">
        <v>0</v>
      </c>
      <c r="FE61" s="258">
        <v>0</v>
      </c>
      <c r="FF61" s="258">
        <v>0</v>
      </c>
      <c r="FG61" s="258">
        <v>0</v>
      </c>
      <c r="FH61" s="301">
        <v>0</v>
      </c>
    </row>
    <row r="62" spans="2:164" x14ac:dyDescent="0.2">
      <c r="B62" s="217" t="s">
        <v>336</v>
      </c>
      <c r="C62" s="227">
        <v>0</v>
      </c>
      <c r="D62" s="228">
        <v>0</v>
      </c>
      <c r="E62" s="208">
        <v>0</v>
      </c>
      <c r="F62" s="208">
        <v>0</v>
      </c>
      <c r="G62" s="208">
        <v>0</v>
      </c>
      <c r="H62" s="208">
        <v>0</v>
      </c>
      <c r="I62" s="208">
        <v>0</v>
      </c>
      <c r="J62" s="208">
        <v>0</v>
      </c>
      <c r="K62" s="208">
        <v>0</v>
      </c>
      <c r="L62" s="208">
        <v>9</v>
      </c>
      <c r="M62" s="208">
        <v>0</v>
      </c>
      <c r="N62" s="208">
        <v>0</v>
      </c>
      <c r="O62" s="208">
        <v>0</v>
      </c>
      <c r="P62" s="208">
        <v>0</v>
      </c>
      <c r="Q62" s="208">
        <v>0</v>
      </c>
      <c r="R62" s="208">
        <v>0</v>
      </c>
      <c r="S62" s="208">
        <v>0</v>
      </c>
      <c r="T62" s="208">
        <v>0</v>
      </c>
      <c r="U62" s="208">
        <v>0</v>
      </c>
      <c r="V62" s="208">
        <v>0</v>
      </c>
      <c r="W62" s="222">
        <v>9</v>
      </c>
      <c r="X62" s="208"/>
      <c r="Y62" s="217" t="s">
        <v>336</v>
      </c>
      <c r="Z62" s="227">
        <v>0</v>
      </c>
      <c r="AA62" s="228">
        <v>0</v>
      </c>
      <c r="AB62" s="208">
        <v>0</v>
      </c>
      <c r="AC62" s="208">
        <v>0</v>
      </c>
      <c r="AD62" s="208">
        <v>0</v>
      </c>
      <c r="AE62" s="208">
        <v>0</v>
      </c>
      <c r="AF62" s="208">
        <v>0</v>
      </c>
      <c r="AG62" s="208">
        <v>0</v>
      </c>
      <c r="AH62" s="208">
        <v>0</v>
      </c>
      <c r="AI62" s="208">
        <v>279.25591456757093</v>
      </c>
      <c r="AJ62" s="208">
        <v>0</v>
      </c>
      <c r="AK62" s="252">
        <v>0</v>
      </c>
      <c r="AL62" s="252">
        <v>0</v>
      </c>
      <c r="AM62" s="252">
        <v>0</v>
      </c>
      <c r="AN62" s="252">
        <v>0</v>
      </c>
      <c r="AO62" s="252">
        <v>0</v>
      </c>
      <c r="AP62" s="252">
        <v>0</v>
      </c>
      <c r="AQ62" s="208">
        <v>0</v>
      </c>
      <c r="AR62" s="208">
        <v>0</v>
      </c>
      <c r="AS62" s="208">
        <v>0</v>
      </c>
      <c r="AT62" s="222">
        <v>279.25591456757093</v>
      </c>
      <c r="AV62" s="217" t="s">
        <v>335</v>
      </c>
      <c r="AW62" s="227">
        <f t="shared" si="138"/>
        <v>0</v>
      </c>
      <c r="AX62" s="227">
        <f t="shared" si="139"/>
        <v>0</v>
      </c>
      <c r="AY62" s="227">
        <f t="shared" si="140"/>
        <v>0</v>
      </c>
      <c r="AZ62" s="227">
        <f t="shared" si="129"/>
        <v>0</v>
      </c>
      <c r="BA62" s="227">
        <f t="shared" si="118"/>
        <v>0</v>
      </c>
      <c r="BB62" s="227">
        <f t="shared" si="130"/>
        <v>0</v>
      </c>
      <c r="BC62" s="227">
        <f t="shared" si="131"/>
        <v>0</v>
      </c>
      <c r="BD62" s="227">
        <f t="shared" si="132"/>
        <v>0</v>
      </c>
      <c r="BE62" s="227">
        <f t="shared" si="133"/>
        <v>0</v>
      </c>
      <c r="BF62" s="227">
        <f t="shared" si="134"/>
        <v>279.25591456757093</v>
      </c>
      <c r="BG62" s="227">
        <f t="shared" si="135"/>
        <v>0</v>
      </c>
      <c r="BH62" s="252">
        <v>0</v>
      </c>
      <c r="BI62" s="252">
        <v>0</v>
      </c>
      <c r="BJ62" s="252">
        <v>0</v>
      </c>
      <c r="BK62" s="252">
        <v>0</v>
      </c>
      <c r="BL62" s="255">
        <v>0</v>
      </c>
      <c r="BM62" s="252">
        <v>0</v>
      </c>
      <c r="BN62" s="208">
        <f t="shared" si="141"/>
        <v>0</v>
      </c>
      <c r="BO62" s="208">
        <f t="shared" si="136"/>
        <v>0</v>
      </c>
      <c r="BP62" s="208">
        <f t="shared" si="137"/>
        <v>0</v>
      </c>
      <c r="BQ62" s="230">
        <f t="shared" si="115"/>
        <v>279.25591456757093</v>
      </c>
      <c r="BR62" s="214"/>
      <c r="BS62" s="227"/>
      <c r="BT62" s="286"/>
      <c r="BU62" s="300" t="s">
        <v>336</v>
      </c>
      <c r="BV62" s="293">
        <v>0</v>
      </c>
      <c r="BW62" s="293">
        <v>0</v>
      </c>
      <c r="BX62" s="258">
        <v>0</v>
      </c>
      <c r="BY62" s="258">
        <v>0</v>
      </c>
      <c r="BZ62" s="258">
        <v>0</v>
      </c>
      <c r="CA62" s="258">
        <v>0</v>
      </c>
      <c r="CB62" s="258">
        <v>0</v>
      </c>
      <c r="CC62" s="258">
        <v>0</v>
      </c>
      <c r="CD62" s="258">
        <v>0</v>
      </c>
      <c r="CE62" s="258">
        <v>0</v>
      </c>
      <c r="CF62" s="258">
        <v>0</v>
      </c>
      <c r="CG62" s="258">
        <v>0</v>
      </c>
      <c r="CH62" s="258">
        <v>0</v>
      </c>
      <c r="CI62" s="258">
        <v>0</v>
      </c>
      <c r="CJ62" s="258">
        <v>0</v>
      </c>
      <c r="CK62" s="258">
        <v>0</v>
      </c>
      <c r="CL62" s="258">
        <v>0</v>
      </c>
      <c r="CM62" s="258">
        <v>0</v>
      </c>
      <c r="CN62" s="258">
        <v>0</v>
      </c>
      <c r="CO62" s="258">
        <v>0</v>
      </c>
      <c r="CP62" s="301">
        <v>0</v>
      </c>
      <c r="CQ62" s="302"/>
      <c r="CR62" s="300" t="s">
        <v>336</v>
      </c>
      <c r="CS62" s="293">
        <v>0</v>
      </c>
      <c r="CT62" s="293">
        <v>0</v>
      </c>
      <c r="CU62" s="258">
        <v>0</v>
      </c>
      <c r="CV62" s="258">
        <v>0</v>
      </c>
      <c r="CW62" s="258">
        <v>0</v>
      </c>
      <c r="CX62" s="258">
        <v>0</v>
      </c>
      <c r="CY62" s="258">
        <v>0</v>
      </c>
      <c r="CZ62" s="258">
        <v>0</v>
      </c>
      <c r="DA62" s="258">
        <v>0</v>
      </c>
      <c r="DB62" s="258">
        <v>0</v>
      </c>
      <c r="DC62" s="258">
        <v>0</v>
      </c>
      <c r="DD62" s="258">
        <v>0</v>
      </c>
      <c r="DE62" s="258">
        <v>0</v>
      </c>
      <c r="DF62" s="258">
        <v>0</v>
      </c>
      <c r="DG62" s="258">
        <v>0</v>
      </c>
      <c r="DH62" s="258">
        <v>0</v>
      </c>
      <c r="DI62" s="258">
        <v>0</v>
      </c>
      <c r="DJ62" s="258">
        <v>0</v>
      </c>
      <c r="DK62" s="258">
        <v>0</v>
      </c>
      <c r="DL62" s="258">
        <v>0</v>
      </c>
      <c r="DM62" s="301">
        <v>0</v>
      </c>
      <c r="DN62" s="302"/>
      <c r="DO62" s="302"/>
      <c r="DP62" s="300" t="s">
        <v>336</v>
      </c>
      <c r="DQ62" s="293">
        <v>0</v>
      </c>
      <c r="DR62" s="293">
        <v>0</v>
      </c>
      <c r="DS62" s="258">
        <v>0</v>
      </c>
      <c r="DT62" s="258">
        <v>0</v>
      </c>
      <c r="DU62" s="258">
        <v>0</v>
      </c>
      <c r="DV62" s="258">
        <v>0</v>
      </c>
      <c r="DW62" s="258">
        <v>0</v>
      </c>
      <c r="DX62" s="258">
        <v>0</v>
      </c>
      <c r="DY62" s="258">
        <v>0</v>
      </c>
      <c r="DZ62" s="258">
        <v>0</v>
      </c>
      <c r="EA62" s="258">
        <v>0</v>
      </c>
      <c r="EB62" s="258">
        <v>0</v>
      </c>
      <c r="EC62" s="258">
        <v>0</v>
      </c>
      <c r="ED62" s="258">
        <v>0</v>
      </c>
      <c r="EE62" s="258">
        <v>0</v>
      </c>
      <c r="EF62" s="258">
        <v>0</v>
      </c>
      <c r="EG62" s="258">
        <v>0</v>
      </c>
      <c r="EH62" s="258">
        <v>0</v>
      </c>
      <c r="EI62" s="258">
        <v>0</v>
      </c>
      <c r="EJ62" s="258">
        <v>0</v>
      </c>
      <c r="EK62" s="301">
        <v>0</v>
      </c>
      <c r="EL62" s="287"/>
      <c r="EM62" s="300" t="s">
        <v>336</v>
      </c>
      <c r="EN62" s="293">
        <v>0</v>
      </c>
      <c r="EO62" s="293">
        <v>0</v>
      </c>
      <c r="EP62" s="258">
        <v>0</v>
      </c>
      <c r="EQ62" s="258">
        <v>0</v>
      </c>
      <c r="ER62" s="258">
        <v>0</v>
      </c>
      <c r="ES62" s="258">
        <v>0</v>
      </c>
      <c r="ET62" s="258">
        <v>0</v>
      </c>
      <c r="EU62" s="258">
        <v>0</v>
      </c>
      <c r="EV62" s="258">
        <v>0</v>
      </c>
      <c r="EW62" s="258">
        <v>0</v>
      </c>
      <c r="EX62" s="258">
        <v>0</v>
      </c>
      <c r="EY62" s="258">
        <v>0</v>
      </c>
      <c r="EZ62" s="258">
        <v>0</v>
      </c>
      <c r="FA62" s="258">
        <v>0</v>
      </c>
      <c r="FB62" s="258">
        <v>0</v>
      </c>
      <c r="FC62" s="258">
        <v>0</v>
      </c>
      <c r="FD62" s="258">
        <v>0</v>
      </c>
      <c r="FE62" s="258">
        <v>0</v>
      </c>
      <c r="FF62" s="258">
        <v>0</v>
      </c>
      <c r="FG62" s="258">
        <v>0</v>
      </c>
      <c r="FH62" s="301">
        <v>0</v>
      </c>
    </row>
    <row r="63" spans="2:164" x14ac:dyDescent="0.2">
      <c r="B63" s="217" t="s">
        <v>337</v>
      </c>
      <c r="C63" s="227">
        <v>0</v>
      </c>
      <c r="D63" s="228">
        <v>0</v>
      </c>
      <c r="E63" s="208">
        <v>0</v>
      </c>
      <c r="F63" s="208">
        <v>0</v>
      </c>
      <c r="G63" s="208">
        <v>0</v>
      </c>
      <c r="H63" s="208">
        <v>0</v>
      </c>
      <c r="I63" s="208">
        <v>0</v>
      </c>
      <c r="J63" s="208">
        <v>0</v>
      </c>
      <c r="K63" s="208">
        <v>0</v>
      </c>
      <c r="L63" s="208">
        <v>0</v>
      </c>
      <c r="M63" s="208">
        <v>2</v>
      </c>
      <c r="N63" s="208">
        <v>0</v>
      </c>
      <c r="O63" s="208">
        <v>0</v>
      </c>
      <c r="P63" s="208">
        <v>0</v>
      </c>
      <c r="Q63" s="208">
        <v>0</v>
      </c>
      <c r="R63" s="208">
        <v>0</v>
      </c>
      <c r="S63" s="208">
        <v>0</v>
      </c>
      <c r="T63" s="208">
        <v>0</v>
      </c>
      <c r="U63" s="208">
        <v>0</v>
      </c>
      <c r="V63" s="208">
        <v>0</v>
      </c>
      <c r="W63" s="222">
        <v>2</v>
      </c>
      <c r="X63" s="208"/>
      <c r="Y63" s="217" t="s">
        <v>337</v>
      </c>
      <c r="Z63" s="227">
        <v>0</v>
      </c>
      <c r="AA63" s="228">
        <v>0</v>
      </c>
      <c r="AB63" s="208">
        <v>0</v>
      </c>
      <c r="AC63" s="208">
        <v>0</v>
      </c>
      <c r="AD63" s="208">
        <v>0</v>
      </c>
      <c r="AE63" s="208">
        <v>0</v>
      </c>
      <c r="AF63" s="208">
        <v>0</v>
      </c>
      <c r="AG63" s="208">
        <v>0</v>
      </c>
      <c r="AH63" s="208">
        <v>0</v>
      </c>
      <c r="AI63" s="208">
        <v>0</v>
      </c>
      <c r="AJ63" s="208">
        <v>309.86753626005873</v>
      </c>
      <c r="AK63" s="252">
        <v>0</v>
      </c>
      <c r="AL63" s="252">
        <v>0</v>
      </c>
      <c r="AM63" s="252">
        <v>0</v>
      </c>
      <c r="AN63" s="252">
        <v>0</v>
      </c>
      <c r="AO63" s="252">
        <v>0</v>
      </c>
      <c r="AP63" s="252">
        <v>0</v>
      </c>
      <c r="AQ63" s="208">
        <v>0</v>
      </c>
      <c r="AR63" s="208">
        <v>0</v>
      </c>
      <c r="AS63" s="208">
        <v>0</v>
      </c>
      <c r="AT63" s="222">
        <v>309.86753626005873</v>
      </c>
      <c r="AV63" s="217" t="s">
        <v>336</v>
      </c>
      <c r="AW63" s="227">
        <f t="shared" si="138"/>
        <v>0</v>
      </c>
      <c r="AX63" s="227">
        <f t="shared" si="139"/>
        <v>0</v>
      </c>
      <c r="AY63" s="227">
        <f t="shared" si="140"/>
        <v>0</v>
      </c>
      <c r="AZ63" s="227">
        <f t="shared" si="129"/>
        <v>0</v>
      </c>
      <c r="BA63" s="227">
        <f t="shared" si="118"/>
        <v>0</v>
      </c>
      <c r="BB63" s="227">
        <f t="shared" si="130"/>
        <v>0</v>
      </c>
      <c r="BC63" s="227">
        <f t="shared" si="131"/>
        <v>0</v>
      </c>
      <c r="BD63" s="227">
        <f t="shared" si="132"/>
        <v>0</v>
      </c>
      <c r="BE63" s="227">
        <f t="shared" si="133"/>
        <v>0</v>
      </c>
      <c r="BF63" s="227">
        <f t="shared" si="134"/>
        <v>0</v>
      </c>
      <c r="BG63" s="227">
        <f t="shared" si="135"/>
        <v>309.86753626005873</v>
      </c>
      <c r="BH63" s="252">
        <v>0</v>
      </c>
      <c r="BI63" s="252">
        <v>0</v>
      </c>
      <c r="BJ63" s="252">
        <v>0</v>
      </c>
      <c r="BK63" s="252">
        <v>0</v>
      </c>
      <c r="BL63" s="255">
        <v>0</v>
      </c>
      <c r="BM63" s="252">
        <v>0</v>
      </c>
      <c r="BN63" s="208">
        <f t="shared" si="141"/>
        <v>0</v>
      </c>
      <c r="BO63" s="208">
        <f t="shared" si="136"/>
        <v>0</v>
      </c>
      <c r="BP63" s="208">
        <f t="shared" si="137"/>
        <v>0</v>
      </c>
      <c r="BQ63" s="230">
        <f t="shared" si="115"/>
        <v>309.86753626005873</v>
      </c>
      <c r="BR63" s="214"/>
      <c r="BS63" s="227"/>
      <c r="BT63" s="286"/>
      <c r="BU63" s="300" t="s">
        <v>337</v>
      </c>
      <c r="BV63" s="293">
        <v>0</v>
      </c>
      <c r="BW63" s="293">
        <v>0</v>
      </c>
      <c r="BX63" s="258">
        <v>0</v>
      </c>
      <c r="BY63" s="258">
        <v>0</v>
      </c>
      <c r="BZ63" s="258">
        <v>0</v>
      </c>
      <c r="CA63" s="258">
        <v>0</v>
      </c>
      <c r="CB63" s="258">
        <v>0</v>
      </c>
      <c r="CC63" s="258">
        <v>0</v>
      </c>
      <c r="CD63" s="258">
        <v>0</v>
      </c>
      <c r="CE63" s="258">
        <v>0</v>
      </c>
      <c r="CF63" s="258">
        <v>0</v>
      </c>
      <c r="CG63" s="258">
        <v>0</v>
      </c>
      <c r="CH63" s="258">
        <v>0</v>
      </c>
      <c r="CI63" s="258">
        <v>0</v>
      </c>
      <c r="CJ63" s="258">
        <v>0</v>
      </c>
      <c r="CK63" s="258">
        <v>0</v>
      </c>
      <c r="CL63" s="258">
        <v>0</v>
      </c>
      <c r="CM63" s="258">
        <v>0</v>
      </c>
      <c r="CN63" s="258">
        <v>0</v>
      </c>
      <c r="CO63" s="258">
        <v>0</v>
      </c>
      <c r="CP63" s="301">
        <v>0</v>
      </c>
      <c r="CQ63" s="302"/>
      <c r="CR63" s="300" t="s">
        <v>337</v>
      </c>
      <c r="CS63" s="293">
        <v>0</v>
      </c>
      <c r="CT63" s="293">
        <v>0</v>
      </c>
      <c r="CU63" s="258">
        <v>0</v>
      </c>
      <c r="CV63" s="258">
        <v>0</v>
      </c>
      <c r="CW63" s="258">
        <v>0</v>
      </c>
      <c r="CX63" s="258">
        <v>0</v>
      </c>
      <c r="CY63" s="258">
        <v>0</v>
      </c>
      <c r="CZ63" s="258">
        <v>0</v>
      </c>
      <c r="DA63" s="258">
        <v>0</v>
      </c>
      <c r="DB63" s="258">
        <v>0</v>
      </c>
      <c r="DC63" s="258">
        <v>0</v>
      </c>
      <c r="DD63" s="258">
        <v>0</v>
      </c>
      <c r="DE63" s="258">
        <v>0</v>
      </c>
      <c r="DF63" s="258">
        <v>0</v>
      </c>
      <c r="DG63" s="258">
        <v>0</v>
      </c>
      <c r="DH63" s="258">
        <v>0</v>
      </c>
      <c r="DI63" s="258">
        <v>0</v>
      </c>
      <c r="DJ63" s="258">
        <v>0</v>
      </c>
      <c r="DK63" s="258">
        <v>0</v>
      </c>
      <c r="DL63" s="258">
        <v>0</v>
      </c>
      <c r="DM63" s="301">
        <v>0</v>
      </c>
      <c r="DN63" s="302"/>
      <c r="DO63" s="302"/>
      <c r="DP63" s="300" t="s">
        <v>337</v>
      </c>
      <c r="DQ63" s="293">
        <v>0</v>
      </c>
      <c r="DR63" s="293">
        <v>0</v>
      </c>
      <c r="DS63" s="258">
        <v>0</v>
      </c>
      <c r="DT63" s="258">
        <v>0</v>
      </c>
      <c r="DU63" s="258">
        <v>0</v>
      </c>
      <c r="DV63" s="258">
        <v>0</v>
      </c>
      <c r="DW63" s="258">
        <v>0</v>
      </c>
      <c r="DX63" s="258">
        <v>0</v>
      </c>
      <c r="DY63" s="258">
        <v>0</v>
      </c>
      <c r="DZ63" s="258">
        <v>0</v>
      </c>
      <c r="EA63" s="258">
        <v>0</v>
      </c>
      <c r="EB63" s="258">
        <v>0</v>
      </c>
      <c r="EC63" s="258">
        <v>0</v>
      </c>
      <c r="ED63" s="258">
        <v>0</v>
      </c>
      <c r="EE63" s="258">
        <v>0</v>
      </c>
      <c r="EF63" s="258">
        <v>0</v>
      </c>
      <c r="EG63" s="258">
        <v>0</v>
      </c>
      <c r="EH63" s="258">
        <v>0</v>
      </c>
      <c r="EI63" s="258">
        <v>0</v>
      </c>
      <c r="EJ63" s="258">
        <v>0</v>
      </c>
      <c r="EK63" s="301">
        <v>0</v>
      </c>
      <c r="EL63" s="287"/>
      <c r="EM63" s="300" t="s">
        <v>337</v>
      </c>
      <c r="EN63" s="293">
        <v>0</v>
      </c>
      <c r="EO63" s="293">
        <v>0</v>
      </c>
      <c r="EP63" s="258">
        <v>0</v>
      </c>
      <c r="EQ63" s="258">
        <v>0</v>
      </c>
      <c r="ER63" s="258">
        <v>0</v>
      </c>
      <c r="ES63" s="258">
        <v>0</v>
      </c>
      <c r="ET63" s="258">
        <v>0</v>
      </c>
      <c r="EU63" s="258">
        <v>0</v>
      </c>
      <c r="EV63" s="258">
        <v>0</v>
      </c>
      <c r="EW63" s="258">
        <v>0</v>
      </c>
      <c r="EX63" s="258">
        <v>0</v>
      </c>
      <c r="EY63" s="258">
        <v>0</v>
      </c>
      <c r="EZ63" s="258">
        <v>0</v>
      </c>
      <c r="FA63" s="258">
        <v>0</v>
      </c>
      <c r="FB63" s="258">
        <v>0</v>
      </c>
      <c r="FC63" s="258">
        <v>0</v>
      </c>
      <c r="FD63" s="258">
        <v>0</v>
      </c>
      <c r="FE63" s="258">
        <v>0</v>
      </c>
      <c r="FF63" s="258">
        <v>0</v>
      </c>
      <c r="FG63" s="258">
        <v>0</v>
      </c>
      <c r="FH63" s="301">
        <v>0</v>
      </c>
    </row>
    <row r="64" spans="2:164" x14ac:dyDescent="0.2">
      <c r="B64" s="217" t="s">
        <v>338</v>
      </c>
      <c r="C64" s="227">
        <v>0</v>
      </c>
      <c r="D64" s="228">
        <v>0</v>
      </c>
      <c r="E64" s="208">
        <v>0</v>
      </c>
      <c r="F64" s="208">
        <v>0</v>
      </c>
      <c r="G64" s="208">
        <v>0</v>
      </c>
      <c r="H64" s="208">
        <v>0</v>
      </c>
      <c r="I64" s="208">
        <v>0</v>
      </c>
      <c r="J64" s="208">
        <v>0</v>
      </c>
      <c r="K64" s="208">
        <v>0</v>
      </c>
      <c r="L64" s="208">
        <v>0</v>
      </c>
      <c r="M64" s="208">
        <v>0</v>
      </c>
      <c r="N64" s="208">
        <v>3</v>
      </c>
      <c r="O64" s="208">
        <v>0</v>
      </c>
      <c r="P64" s="208">
        <v>0</v>
      </c>
      <c r="Q64" s="208">
        <v>0</v>
      </c>
      <c r="R64" s="208">
        <v>0</v>
      </c>
      <c r="S64" s="208">
        <v>0</v>
      </c>
      <c r="T64" s="208">
        <v>0</v>
      </c>
      <c r="U64" s="208">
        <v>0</v>
      </c>
      <c r="V64" s="208">
        <v>0</v>
      </c>
      <c r="W64" s="222">
        <v>3</v>
      </c>
      <c r="X64" s="208"/>
      <c r="Y64" s="217" t="s">
        <v>338</v>
      </c>
      <c r="Z64" s="227">
        <v>0</v>
      </c>
      <c r="AA64" s="228">
        <v>0</v>
      </c>
      <c r="AB64" s="208">
        <v>0</v>
      </c>
      <c r="AC64" s="208">
        <v>0</v>
      </c>
      <c r="AD64" s="208">
        <v>0</v>
      </c>
      <c r="AE64" s="208">
        <v>0</v>
      </c>
      <c r="AF64" s="208">
        <v>0</v>
      </c>
      <c r="AG64" s="208">
        <v>0</v>
      </c>
      <c r="AH64" s="208">
        <v>0</v>
      </c>
      <c r="AI64" s="208">
        <v>0</v>
      </c>
      <c r="AJ64" s="208">
        <v>0</v>
      </c>
      <c r="AK64" s="252">
        <v>4509.5135676978543</v>
      </c>
      <c r="AL64" s="252">
        <v>0</v>
      </c>
      <c r="AM64" s="252">
        <v>0</v>
      </c>
      <c r="AN64" s="252">
        <v>0</v>
      </c>
      <c r="AO64" s="252">
        <v>0</v>
      </c>
      <c r="AP64" s="252">
        <v>0</v>
      </c>
      <c r="AQ64" s="208">
        <v>0</v>
      </c>
      <c r="AR64" s="208">
        <v>0</v>
      </c>
      <c r="AS64" s="208">
        <v>0</v>
      </c>
      <c r="AT64" s="222">
        <v>4509.5135676978543</v>
      </c>
      <c r="AV64" s="217" t="s">
        <v>337</v>
      </c>
      <c r="AW64" s="227">
        <f t="shared" si="138"/>
        <v>0</v>
      </c>
      <c r="AX64" s="227">
        <f t="shared" si="139"/>
        <v>0</v>
      </c>
      <c r="AY64" s="227">
        <f t="shared" si="140"/>
        <v>0</v>
      </c>
      <c r="AZ64" s="227">
        <f t="shared" si="129"/>
        <v>0</v>
      </c>
      <c r="BA64" s="227">
        <f t="shared" si="118"/>
        <v>0</v>
      </c>
      <c r="BB64" s="227">
        <f t="shared" si="130"/>
        <v>0</v>
      </c>
      <c r="BC64" s="227">
        <f t="shared" si="131"/>
        <v>0</v>
      </c>
      <c r="BD64" s="227">
        <f t="shared" si="132"/>
        <v>0</v>
      </c>
      <c r="BE64" s="227">
        <f t="shared" si="133"/>
        <v>0</v>
      </c>
      <c r="BF64" s="227">
        <f t="shared" si="134"/>
        <v>0</v>
      </c>
      <c r="BG64" s="227">
        <f t="shared" si="135"/>
        <v>0</v>
      </c>
      <c r="BH64" s="252">
        <v>0</v>
      </c>
      <c r="BI64" s="252">
        <v>0</v>
      </c>
      <c r="BJ64" s="252">
        <v>0</v>
      </c>
      <c r="BK64" s="252">
        <v>0</v>
      </c>
      <c r="BL64" s="252">
        <v>0</v>
      </c>
      <c r="BM64" s="255">
        <v>0</v>
      </c>
      <c r="BN64" s="208">
        <f t="shared" si="141"/>
        <v>0</v>
      </c>
      <c r="BO64" s="208">
        <f t="shared" si="136"/>
        <v>0</v>
      </c>
      <c r="BP64" s="208">
        <f t="shared" si="137"/>
        <v>0</v>
      </c>
      <c r="BQ64" s="230">
        <f t="shared" si="115"/>
        <v>0</v>
      </c>
      <c r="BR64" s="214"/>
      <c r="BS64" s="227"/>
      <c r="BT64" s="286"/>
      <c r="BU64" s="300" t="s">
        <v>338</v>
      </c>
      <c r="BV64" s="293">
        <v>0</v>
      </c>
      <c r="BW64" s="293">
        <v>0</v>
      </c>
      <c r="BX64" s="258">
        <v>0</v>
      </c>
      <c r="BY64" s="258">
        <v>0</v>
      </c>
      <c r="BZ64" s="258">
        <v>0</v>
      </c>
      <c r="CA64" s="258">
        <v>0</v>
      </c>
      <c r="CB64" s="258">
        <v>0</v>
      </c>
      <c r="CC64" s="258">
        <v>0</v>
      </c>
      <c r="CD64" s="258">
        <v>0</v>
      </c>
      <c r="CE64" s="258">
        <v>0</v>
      </c>
      <c r="CF64" s="258">
        <v>0</v>
      </c>
      <c r="CG64" s="258">
        <v>0</v>
      </c>
      <c r="CH64" s="258">
        <v>0</v>
      </c>
      <c r="CI64" s="258">
        <v>0</v>
      </c>
      <c r="CJ64" s="258">
        <v>0</v>
      </c>
      <c r="CK64" s="258">
        <v>0</v>
      </c>
      <c r="CL64" s="258">
        <v>0</v>
      </c>
      <c r="CM64" s="258">
        <v>0</v>
      </c>
      <c r="CN64" s="258">
        <v>0</v>
      </c>
      <c r="CO64" s="258">
        <v>0</v>
      </c>
      <c r="CP64" s="301">
        <v>0</v>
      </c>
      <c r="CQ64" s="302"/>
      <c r="CR64" s="300" t="s">
        <v>338</v>
      </c>
      <c r="CS64" s="293">
        <v>0</v>
      </c>
      <c r="CT64" s="293">
        <v>0</v>
      </c>
      <c r="CU64" s="258">
        <v>0</v>
      </c>
      <c r="CV64" s="258">
        <v>0</v>
      </c>
      <c r="CW64" s="258">
        <v>0</v>
      </c>
      <c r="CX64" s="258">
        <v>0</v>
      </c>
      <c r="CY64" s="258">
        <v>0</v>
      </c>
      <c r="CZ64" s="258">
        <v>0</v>
      </c>
      <c r="DA64" s="258">
        <v>0</v>
      </c>
      <c r="DB64" s="258">
        <v>0</v>
      </c>
      <c r="DC64" s="258">
        <v>0</v>
      </c>
      <c r="DD64" s="258">
        <v>0</v>
      </c>
      <c r="DE64" s="258">
        <v>0</v>
      </c>
      <c r="DF64" s="258">
        <v>0</v>
      </c>
      <c r="DG64" s="258">
        <v>0</v>
      </c>
      <c r="DH64" s="258">
        <v>0</v>
      </c>
      <c r="DI64" s="258">
        <v>0</v>
      </c>
      <c r="DJ64" s="258">
        <v>0</v>
      </c>
      <c r="DK64" s="258">
        <v>0</v>
      </c>
      <c r="DL64" s="258">
        <v>0</v>
      </c>
      <c r="DM64" s="301">
        <v>0</v>
      </c>
      <c r="DN64" s="302"/>
      <c r="DO64" s="302"/>
      <c r="DP64" s="300" t="s">
        <v>338</v>
      </c>
      <c r="DQ64" s="293">
        <v>0</v>
      </c>
      <c r="DR64" s="293">
        <v>0</v>
      </c>
      <c r="DS64" s="258">
        <v>0</v>
      </c>
      <c r="DT64" s="258">
        <v>0</v>
      </c>
      <c r="DU64" s="258">
        <v>0</v>
      </c>
      <c r="DV64" s="258">
        <v>0</v>
      </c>
      <c r="DW64" s="258">
        <v>0</v>
      </c>
      <c r="DX64" s="258">
        <v>0</v>
      </c>
      <c r="DY64" s="258">
        <v>0</v>
      </c>
      <c r="DZ64" s="258">
        <v>0</v>
      </c>
      <c r="EA64" s="258">
        <v>0</v>
      </c>
      <c r="EB64" s="258">
        <v>0</v>
      </c>
      <c r="EC64" s="258">
        <v>0</v>
      </c>
      <c r="ED64" s="258">
        <v>0</v>
      </c>
      <c r="EE64" s="258">
        <v>0</v>
      </c>
      <c r="EF64" s="258">
        <v>0</v>
      </c>
      <c r="EG64" s="258">
        <v>0</v>
      </c>
      <c r="EH64" s="258">
        <v>0</v>
      </c>
      <c r="EI64" s="258">
        <v>0</v>
      </c>
      <c r="EJ64" s="258">
        <v>0</v>
      </c>
      <c r="EK64" s="301">
        <v>0</v>
      </c>
      <c r="EL64" s="287"/>
      <c r="EM64" s="300" t="s">
        <v>338</v>
      </c>
      <c r="EN64" s="293">
        <v>0</v>
      </c>
      <c r="EO64" s="293">
        <v>0</v>
      </c>
      <c r="EP64" s="258">
        <v>0</v>
      </c>
      <c r="EQ64" s="258">
        <v>0</v>
      </c>
      <c r="ER64" s="258">
        <v>0</v>
      </c>
      <c r="ES64" s="258">
        <v>0</v>
      </c>
      <c r="ET64" s="258">
        <v>0</v>
      </c>
      <c r="EU64" s="258">
        <v>0</v>
      </c>
      <c r="EV64" s="258">
        <v>0</v>
      </c>
      <c r="EW64" s="258">
        <v>0</v>
      </c>
      <c r="EX64" s="258">
        <v>0</v>
      </c>
      <c r="EY64" s="258">
        <v>0</v>
      </c>
      <c r="EZ64" s="258">
        <v>0</v>
      </c>
      <c r="FA64" s="258">
        <v>0</v>
      </c>
      <c r="FB64" s="258">
        <v>0</v>
      </c>
      <c r="FC64" s="258">
        <v>0</v>
      </c>
      <c r="FD64" s="258">
        <v>0</v>
      </c>
      <c r="FE64" s="258">
        <v>0</v>
      </c>
      <c r="FF64" s="258">
        <v>0</v>
      </c>
      <c r="FG64" s="258">
        <v>0</v>
      </c>
      <c r="FH64" s="301">
        <v>0</v>
      </c>
    </row>
    <row r="65" spans="2:164" x14ac:dyDescent="0.2">
      <c r="B65" s="217" t="s">
        <v>353</v>
      </c>
      <c r="C65" s="227">
        <v>0</v>
      </c>
      <c r="D65" s="228">
        <v>0</v>
      </c>
      <c r="E65" s="208">
        <v>0</v>
      </c>
      <c r="F65" s="208">
        <v>0</v>
      </c>
      <c r="G65" s="208">
        <v>0</v>
      </c>
      <c r="H65" s="208">
        <v>0</v>
      </c>
      <c r="I65" s="208">
        <v>0</v>
      </c>
      <c r="J65" s="208">
        <v>0</v>
      </c>
      <c r="K65" s="208">
        <v>0</v>
      </c>
      <c r="L65" s="208">
        <v>0</v>
      </c>
      <c r="M65" s="208">
        <v>0</v>
      </c>
      <c r="N65" s="208">
        <v>0</v>
      </c>
      <c r="O65" s="208">
        <v>4</v>
      </c>
      <c r="P65" s="208">
        <v>0</v>
      </c>
      <c r="Q65" s="208">
        <v>0</v>
      </c>
      <c r="R65" s="208">
        <v>0</v>
      </c>
      <c r="S65" s="208">
        <v>0</v>
      </c>
      <c r="T65" s="208">
        <v>0</v>
      </c>
      <c r="U65" s="208">
        <v>0</v>
      </c>
      <c r="V65" s="208">
        <v>0</v>
      </c>
      <c r="W65" s="222">
        <v>4</v>
      </c>
      <c r="X65" s="208"/>
      <c r="Y65" s="217" t="s">
        <v>353</v>
      </c>
      <c r="Z65" s="227">
        <v>0</v>
      </c>
      <c r="AA65" s="228">
        <v>0</v>
      </c>
      <c r="AB65" s="208">
        <v>0</v>
      </c>
      <c r="AC65" s="208">
        <v>0</v>
      </c>
      <c r="AD65" s="208">
        <v>0</v>
      </c>
      <c r="AE65" s="252">
        <v>0</v>
      </c>
      <c r="AF65" s="252">
        <v>0</v>
      </c>
      <c r="AG65" s="252">
        <v>0</v>
      </c>
      <c r="AH65" s="252">
        <v>0</v>
      </c>
      <c r="AI65" s="252">
        <v>0</v>
      </c>
      <c r="AJ65" s="252">
        <v>0</v>
      </c>
      <c r="AK65" s="208">
        <v>0</v>
      </c>
      <c r="AL65" s="208">
        <v>337.33126776671588</v>
      </c>
      <c r="AM65" s="208">
        <v>0</v>
      </c>
      <c r="AN65" s="208">
        <v>0</v>
      </c>
      <c r="AO65" s="208">
        <v>0</v>
      </c>
      <c r="AP65" s="208">
        <v>0</v>
      </c>
      <c r="AQ65" s="208">
        <v>0</v>
      </c>
      <c r="AR65" s="208">
        <v>0</v>
      </c>
      <c r="AS65" s="208">
        <v>0</v>
      </c>
      <c r="AT65" s="222">
        <v>337.33126776671588</v>
      </c>
      <c r="AV65" s="217" t="s">
        <v>338</v>
      </c>
      <c r="AW65" s="227">
        <f t="shared" si="138"/>
        <v>0</v>
      </c>
      <c r="AX65" s="227">
        <f t="shared" si="139"/>
        <v>0</v>
      </c>
      <c r="AY65" s="227">
        <f t="shared" si="140"/>
        <v>0</v>
      </c>
      <c r="AZ65" s="227">
        <f t="shared" si="129"/>
        <v>0</v>
      </c>
      <c r="BA65" s="227">
        <f t="shared" si="118"/>
        <v>0</v>
      </c>
      <c r="BB65" s="255">
        <v>0</v>
      </c>
      <c r="BC65" s="252">
        <v>0</v>
      </c>
      <c r="BD65" s="252">
        <v>0</v>
      </c>
      <c r="BE65" s="252">
        <v>0</v>
      </c>
      <c r="BF65" s="252">
        <v>0</v>
      </c>
      <c r="BG65" s="252">
        <v>0</v>
      </c>
      <c r="BH65" s="208">
        <f t="shared" ref="BH65:BH73" si="142">AK65</f>
        <v>0</v>
      </c>
      <c r="BI65" s="208">
        <f t="shared" ref="BI65:BI73" si="143">AL65</f>
        <v>337.33126776671588</v>
      </c>
      <c r="BJ65" s="208">
        <f t="shared" ref="BJ65:BJ73" si="144">AM65</f>
        <v>0</v>
      </c>
      <c r="BK65" s="208">
        <f t="shared" ref="BK65:BK73" si="145">AN65</f>
        <v>0</v>
      </c>
      <c r="BL65" s="208">
        <f t="shared" ref="BL65:BL73" si="146">AO65</f>
        <v>0</v>
      </c>
      <c r="BM65" s="208">
        <f t="shared" ref="BM65:BM73" si="147">AP65</f>
        <v>0</v>
      </c>
      <c r="BN65" s="208">
        <f t="shared" si="141"/>
        <v>0</v>
      </c>
      <c r="BO65" s="208">
        <f t="shared" si="136"/>
        <v>0</v>
      </c>
      <c r="BP65" s="208">
        <f t="shared" si="137"/>
        <v>0</v>
      </c>
      <c r="BQ65" s="230">
        <f t="shared" si="115"/>
        <v>337.33126776671588</v>
      </c>
      <c r="BR65" s="214"/>
      <c r="BS65" s="227"/>
      <c r="BT65" s="286"/>
      <c r="BU65" s="300" t="s">
        <v>353</v>
      </c>
      <c r="BV65" s="293">
        <v>0</v>
      </c>
      <c r="BW65" s="293">
        <v>0</v>
      </c>
      <c r="BX65" s="258">
        <v>0</v>
      </c>
      <c r="BY65" s="258">
        <v>0</v>
      </c>
      <c r="BZ65" s="258">
        <v>0</v>
      </c>
      <c r="CA65" s="258">
        <v>0</v>
      </c>
      <c r="CB65" s="258">
        <v>0</v>
      </c>
      <c r="CC65" s="258">
        <v>0</v>
      </c>
      <c r="CD65" s="258">
        <v>0</v>
      </c>
      <c r="CE65" s="258">
        <v>0</v>
      </c>
      <c r="CF65" s="258">
        <v>0</v>
      </c>
      <c r="CG65" s="258">
        <v>0</v>
      </c>
      <c r="CH65" s="258">
        <v>0</v>
      </c>
      <c r="CI65" s="258">
        <v>0</v>
      </c>
      <c r="CJ65" s="258">
        <v>0</v>
      </c>
      <c r="CK65" s="258">
        <v>0</v>
      </c>
      <c r="CL65" s="258">
        <v>0</v>
      </c>
      <c r="CM65" s="258">
        <v>0</v>
      </c>
      <c r="CN65" s="258">
        <v>0</v>
      </c>
      <c r="CO65" s="258">
        <v>0</v>
      </c>
      <c r="CP65" s="301">
        <v>0</v>
      </c>
      <c r="CQ65" s="302"/>
      <c r="CR65" s="300" t="s">
        <v>353</v>
      </c>
      <c r="CS65" s="293">
        <v>0</v>
      </c>
      <c r="CT65" s="293">
        <v>0</v>
      </c>
      <c r="CU65" s="258">
        <v>0</v>
      </c>
      <c r="CV65" s="258">
        <v>0</v>
      </c>
      <c r="CW65" s="258">
        <v>0</v>
      </c>
      <c r="CX65" s="258">
        <v>0</v>
      </c>
      <c r="CY65" s="258">
        <v>0</v>
      </c>
      <c r="CZ65" s="258">
        <v>0</v>
      </c>
      <c r="DA65" s="258">
        <v>0</v>
      </c>
      <c r="DB65" s="258">
        <v>0</v>
      </c>
      <c r="DC65" s="258">
        <v>0</v>
      </c>
      <c r="DD65" s="258">
        <v>0</v>
      </c>
      <c r="DE65" s="258">
        <v>0</v>
      </c>
      <c r="DF65" s="258">
        <v>0</v>
      </c>
      <c r="DG65" s="258">
        <v>0</v>
      </c>
      <c r="DH65" s="258">
        <v>0</v>
      </c>
      <c r="DI65" s="258">
        <v>0</v>
      </c>
      <c r="DJ65" s="258">
        <v>0</v>
      </c>
      <c r="DK65" s="258">
        <v>0</v>
      </c>
      <c r="DL65" s="258">
        <v>0</v>
      </c>
      <c r="DM65" s="301">
        <v>0</v>
      </c>
      <c r="DN65" s="302"/>
      <c r="DO65" s="302"/>
      <c r="DP65" s="300" t="s">
        <v>353</v>
      </c>
      <c r="DQ65" s="293">
        <v>0</v>
      </c>
      <c r="DR65" s="293">
        <v>0</v>
      </c>
      <c r="DS65" s="258">
        <v>0</v>
      </c>
      <c r="DT65" s="258">
        <v>0</v>
      </c>
      <c r="DU65" s="258">
        <v>0</v>
      </c>
      <c r="DV65" s="258">
        <v>0</v>
      </c>
      <c r="DW65" s="258">
        <v>0</v>
      </c>
      <c r="DX65" s="258">
        <v>0</v>
      </c>
      <c r="DY65" s="258">
        <v>0</v>
      </c>
      <c r="DZ65" s="258">
        <v>0</v>
      </c>
      <c r="EA65" s="258">
        <v>0</v>
      </c>
      <c r="EB65" s="258">
        <v>0</v>
      </c>
      <c r="EC65" s="258">
        <v>0</v>
      </c>
      <c r="ED65" s="258">
        <v>0</v>
      </c>
      <c r="EE65" s="258">
        <v>0</v>
      </c>
      <c r="EF65" s="258">
        <v>0</v>
      </c>
      <c r="EG65" s="258">
        <v>0</v>
      </c>
      <c r="EH65" s="258">
        <v>0</v>
      </c>
      <c r="EI65" s="258">
        <v>0</v>
      </c>
      <c r="EJ65" s="258">
        <v>0</v>
      </c>
      <c r="EK65" s="301">
        <v>0</v>
      </c>
      <c r="EL65" s="287"/>
      <c r="EM65" s="300" t="s">
        <v>353</v>
      </c>
      <c r="EN65" s="293">
        <v>0</v>
      </c>
      <c r="EO65" s="293">
        <v>0</v>
      </c>
      <c r="EP65" s="258">
        <v>0</v>
      </c>
      <c r="EQ65" s="258">
        <v>0</v>
      </c>
      <c r="ER65" s="258">
        <v>0</v>
      </c>
      <c r="ES65" s="258">
        <v>0</v>
      </c>
      <c r="ET65" s="258">
        <v>0</v>
      </c>
      <c r="EU65" s="258">
        <v>0</v>
      </c>
      <c r="EV65" s="258">
        <v>0</v>
      </c>
      <c r="EW65" s="258">
        <v>0</v>
      </c>
      <c r="EX65" s="258">
        <v>0</v>
      </c>
      <c r="EY65" s="258">
        <v>0</v>
      </c>
      <c r="EZ65" s="258">
        <v>0</v>
      </c>
      <c r="FA65" s="258">
        <v>0</v>
      </c>
      <c r="FB65" s="258">
        <v>0</v>
      </c>
      <c r="FC65" s="258">
        <v>0</v>
      </c>
      <c r="FD65" s="258">
        <v>0</v>
      </c>
      <c r="FE65" s="258">
        <v>0</v>
      </c>
      <c r="FF65" s="258">
        <v>0</v>
      </c>
      <c r="FG65" s="258">
        <v>0</v>
      </c>
      <c r="FH65" s="301">
        <v>0</v>
      </c>
    </row>
    <row r="66" spans="2:164" x14ac:dyDescent="0.2">
      <c r="B66" s="217" t="s">
        <v>339</v>
      </c>
      <c r="C66" s="227">
        <v>0</v>
      </c>
      <c r="D66" s="228">
        <v>0</v>
      </c>
      <c r="E66" s="208">
        <v>0</v>
      </c>
      <c r="F66" s="208">
        <v>0</v>
      </c>
      <c r="G66" s="208">
        <v>0</v>
      </c>
      <c r="H66" s="208">
        <v>0</v>
      </c>
      <c r="I66" s="208">
        <v>0</v>
      </c>
      <c r="J66" s="208">
        <v>0</v>
      </c>
      <c r="K66" s="208">
        <v>0</v>
      </c>
      <c r="L66" s="208">
        <v>0</v>
      </c>
      <c r="M66" s="208">
        <v>0</v>
      </c>
      <c r="N66" s="208">
        <v>0</v>
      </c>
      <c r="O66" s="208">
        <v>0</v>
      </c>
      <c r="P66" s="208">
        <v>0</v>
      </c>
      <c r="Q66" s="208">
        <v>0</v>
      </c>
      <c r="R66" s="208">
        <v>0</v>
      </c>
      <c r="S66" s="208">
        <v>0</v>
      </c>
      <c r="T66" s="208">
        <v>0</v>
      </c>
      <c r="U66" s="208">
        <v>0</v>
      </c>
      <c r="V66" s="208">
        <v>0</v>
      </c>
      <c r="W66" s="222">
        <v>0</v>
      </c>
      <c r="X66" s="209"/>
      <c r="Y66" s="217" t="s">
        <v>339</v>
      </c>
      <c r="Z66" s="227">
        <v>0</v>
      </c>
      <c r="AA66" s="228">
        <v>0</v>
      </c>
      <c r="AB66" s="208">
        <v>0</v>
      </c>
      <c r="AC66" s="208">
        <v>0</v>
      </c>
      <c r="AD66" s="208">
        <v>0</v>
      </c>
      <c r="AE66" s="252">
        <v>0</v>
      </c>
      <c r="AF66" s="252">
        <v>0</v>
      </c>
      <c r="AG66" s="252">
        <v>0</v>
      </c>
      <c r="AH66" s="252">
        <v>0</v>
      </c>
      <c r="AI66" s="252">
        <v>0</v>
      </c>
      <c r="AJ66" s="252">
        <v>0</v>
      </c>
      <c r="AK66" s="208">
        <v>0</v>
      </c>
      <c r="AL66" s="208">
        <v>0</v>
      </c>
      <c r="AM66" s="208">
        <v>0</v>
      </c>
      <c r="AN66" s="208">
        <v>0</v>
      </c>
      <c r="AO66" s="208">
        <v>0</v>
      </c>
      <c r="AP66" s="208">
        <v>0</v>
      </c>
      <c r="AQ66" s="208">
        <v>0</v>
      </c>
      <c r="AR66" s="208">
        <v>0</v>
      </c>
      <c r="AS66" s="208">
        <v>0</v>
      </c>
      <c r="AT66" s="222">
        <v>0</v>
      </c>
      <c r="AV66" s="217" t="s">
        <v>349</v>
      </c>
      <c r="AW66" s="227">
        <f t="shared" si="138"/>
        <v>0</v>
      </c>
      <c r="AX66" s="227">
        <f t="shared" si="139"/>
        <v>0</v>
      </c>
      <c r="AY66" s="227">
        <f t="shared" si="140"/>
        <v>0</v>
      </c>
      <c r="AZ66" s="227">
        <f t="shared" si="129"/>
        <v>0</v>
      </c>
      <c r="BA66" s="227">
        <f t="shared" si="118"/>
        <v>0</v>
      </c>
      <c r="BB66" s="252">
        <v>0</v>
      </c>
      <c r="BC66" s="255">
        <v>0</v>
      </c>
      <c r="BD66" s="252">
        <v>0</v>
      </c>
      <c r="BE66" s="252">
        <v>0</v>
      </c>
      <c r="BF66" s="252">
        <v>0</v>
      </c>
      <c r="BG66" s="252">
        <v>0</v>
      </c>
      <c r="BH66" s="208">
        <f t="shared" si="142"/>
        <v>0</v>
      </c>
      <c r="BI66" s="208">
        <f t="shared" si="143"/>
        <v>0</v>
      </c>
      <c r="BJ66" s="208">
        <f t="shared" si="144"/>
        <v>0</v>
      </c>
      <c r="BK66" s="208">
        <f t="shared" si="145"/>
        <v>0</v>
      </c>
      <c r="BL66" s="208">
        <f t="shared" si="146"/>
        <v>0</v>
      </c>
      <c r="BM66" s="208">
        <f t="shared" si="147"/>
        <v>0</v>
      </c>
      <c r="BN66" s="208">
        <f t="shared" si="141"/>
        <v>0</v>
      </c>
      <c r="BO66" s="208">
        <f t="shared" si="136"/>
        <v>0</v>
      </c>
      <c r="BP66" s="208">
        <f t="shared" si="137"/>
        <v>0</v>
      </c>
      <c r="BQ66" s="230">
        <f t="shared" si="115"/>
        <v>0</v>
      </c>
      <c r="BR66" s="214"/>
      <c r="BS66" s="227"/>
      <c r="BT66" s="286"/>
      <c r="BU66" s="300" t="s">
        <v>339</v>
      </c>
      <c r="BV66" s="293">
        <v>0</v>
      </c>
      <c r="BW66" s="293">
        <v>0</v>
      </c>
      <c r="BX66" s="258">
        <v>0</v>
      </c>
      <c r="BY66" s="258">
        <v>0</v>
      </c>
      <c r="BZ66" s="258">
        <v>0</v>
      </c>
      <c r="CA66" s="258">
        <v>0</v>
      </c>
      <c r="CB66" s="258">
        <v>0</v>
      </c>
      <c r="CC66" s="258">
        <v>0</v>
      </c>
      <c r="CD66" s="258">
        <v>0</v>
      </c>
      <c r="CE66" s="258">
        <v>0</v>
      </c>
      <c r="CF66" s="258">
        <v>0</v>
      </c>
      <c r="CG66" s="258">
        <v>0</v>
      </c>
      <c r="CH66" s="258">
        <v>0</v>
      </c>
      <c r="CI66" s="258">
        <v>0</v>
      </c>
      <c r="CJ66" s="258">
        <v>0</v>
      </c>
      <c r="CK66" s="258">
        <v>0</v>
      </c>
      <c r="CL66" s="258">
        <v>0</v>
      </c>
      <c r="CM66" s="258">
        <v>0</v>
      </c>
      <c r="CN66" s="258">
        <v>0</v>
      </c>
      <c r="CO66" s="258">
        <v>0</v>
      </c>
      <c r="CP66" s="301">
        <v>0</v>
      </c>
      <c r="CQ66" s="302"/>
      <c r="CR66" s="300" t="s">
        <v>339</v>
      </c>
      <c r="CS66" s="293">
        <v>0</v>
      </c>
      <c r="CT66" s="293">
        <v>0</v>
      </c>
      <c r="CU66" s="258">
        <v>0</v>
      </c>
      <c r="CV66" s="258">
        <v>0</v>
      </c>
      <c r="CW66" s="258">
        <v>0</v>
      </c>
      <c r="CX66" s="258">
        <v>0</v>
      </c>
      <c r="CY66" s="258">
        <v>0</v>
      </c>
      <c r="CZ66" s="258">
        <v>0</v>
      </c>
      <c r="DA66" s="258">
        <v>0</v>
      </c>
      <c r="DB66" s="258">
        <v>0</v>
      </c>
      <c r="DC66" s="258">
        <v>0</v>
      </c>
      <c r="DD66" s="258">
        <v>0</v>
      </c>
      <c r="DE66" s="258">
        <v>0</v>
      </c>
      <c r="DF66" s="258">
        <v>0</v>
      </c>
      <c r="DG66" s="258">
        <v>0</v>
      </c>
      <c r="DH66" s="258">
        <v>0</v>
      </c>
      <c r="DI66" s="258">
        <v>0</v>
      </c>
      <c r="DJ66" s="258">
        <v>0</v>
      </c>
      <c r="DK66" s="258">
        <v>0</v>
      </c>
      <c r="DL66" s="258">
        <v>0</v>
      </c>
      <c r="DM66" s="301">
        <v>0</v>
      </c>
      <c r="DN66" s="302"/>
      <c r="DO66" s="302"/>
      <c r="DP66" s="300" t="s">
        <v>339</v>
      </c>
      <c r="DQ66" s="293">
        <v>0</v>
      </c>
      <c r="DR66" s="293">
        <v>0</v>
      </c>
      <c r="DS66" s="258">
        <v>0</v>
      </c>
      <c r="DT66" s="258">
        <v>0</v>
      </c>
      <c r="DU66" s="258">
        <v>0</v>
      </c>
      <c r="DV66" s="258">
        <v>0</v>
      </c>
      <c r="DW66" s="258">
        <v>0</v>
      </c>
      <c r="DX66" s="258">
        <v>0</v>
      </c>
      <c r="DY66" s="258">
        <v>0</v>
      </c>
      <c r="DZ66" s="258">
        <v>0</v>
      </c>
      <c r="EA66" s="258">
        <v>0</v>
      </c>
      <c r="EB66" s="258">
        <v>0</v>
      </c>
      <c r="EC66" s="258">
        <v>0</v>
      </c>
      <c r="ED66" s="258">
        <v>0</v>
      </c>
      <c r="EE66" s="258">
        <v>0</v>
      </c>
      <c r="EF66" s="258">
        <v>0</v>
      </c>
      <c r="EG66" s="258">
        <v>0</v>
      </c>
      <c r="EH66" s="258">
        <v>0</v>
      </c>
      <c r="EI66" s="258">
        <v>0</v>
      </c>
      <c r="EJ66" s="258">
        <v>0</v>
      </c>
      <c r="EK66" s="301">
        <v>0</v>
      </c>
      <c r="EL66" s="287"/>
      <c r="EM66" s="300" t="s">
        <v>339</v>
      </c>
      <c r="EN66" s="293">
        <v>0</v>
      </c>
      <c r="EO66" s="293">
        <v>0</v>
      </c>
      <c r="EP66" s="258">
        <v>0</v>
      </c>
      <c r="EQ66" s="258">
        <v>0</v>
      </c>
      <c r="ER66" s="258">
        <v>0</v>
      </c>
      <c r="ES66" s="258">
        <v>0</v>
      </c>
      <c r="ET66" s="258">
        <v>0</v>
      </c>
      <c r="EU66" s="258">
        <v>0</v>
      </c>
      <c r="EV66" s="258">
        <v>0</v>
      </c>
      <c r="EW66" s="258">
        <v>0</v>
      </c>
      <c r="EX66" s="258">
        <v>0</v>
      </c>
      <c r="EY66" s="258">
        <v>0</v>
      </c>
      <c r="EZ66" s="258">
        <v>0</v>
      </c>
      <c r="FA66" s="258">
        <v>0</v>
      </c>
      <c r="FB66" s="258">
        <v>0</v>
      </c>
      <c r="FC66" s="258">
        <v>0</v>
      </c>
      <c r="FD66" s="258">
        <v>0</v>
      </c>
      <c r="FE66" s="258">
        <v>0</v>
      </c>
      <c r="FF66" s="258">
        <v>0</v>
      </c>
      <c r="FG66" s="258">
        <v>0</v>
      </c>
      <c r="FH66" s="301">
        <v>0</v>
      </c>
    </row>
    <row r="67" spans="2:164" x14ac:dyDescent="0.2">
      <c r="B67" s="234" t="s">
        <v>340</v>
      </c>
      <c r="C67" s="227">
        <v>0</v>
      </c>
      <c r="D67" s="228">
        <v>0</v>
      </c>
      <c r="E67" s="208">
        <v>0</v>
      </c>
      <c r="F67" s="208">
        <v>0</v>
      </c>
      <c r="G67" s="208">
        <v>0</v>
      </c>
      <c r="H67" s="208">
        <v>0</v>
      </c>
      <c r="I67" s="208">
        <v>0</v>
      </c>
      <c r="J67" s="208">
        <v>0</v>
      </c>
      <c r="K67" s="208">
        <v>0</v>
      </c>
      <c r="L67" s="208">
        <v>0</v>
      </c>
      <c r="M67" s="208">
        <v>0</v>
      </c>
      <c r="N67" s="208">
        <v>0</v>
      </c>
      <c r="O67" s="208">
        <v>0</v>
      </c>
      <c r="P67" s="208">
        <v>0</v>
      </c>
      <c r="Q67" s="208">
        <v>0</v>
      </c>
      <c r="R67" s="208">
        <v>4</v>
      </c>
      <c r="S67" s="208">
        <v>0</v>
      </c>
      <c r="T67" s="208">
        <v>0</v>
      </c>
      <c r="U67" s="208">
        <v>0</v>
      </c>
      <c r="V67" s="208">
        <v>0</v>
      </c>
      <c r="W67" s="222">
        <v>4</v>
      </c>
      <c r="Y67" s="217" t="s">
        <v>340</v>
      </c>
      <c r="Z67" s="227">
        <v>0</v>
      </c>
      <c r="AA67" s="228">
        <v>0</v>
      </c>
      <c r="AB67" s="208">
        <v>0</v>
      </c>
      <c r="AC67" s="208">
        <v>0</v>
      </c>
      <c r="AD67" s="208">
        <v>0</v>
      </c>
      <c r="AE67" s="252">
        <v>0</v>
      </c>
      <c r="AF67" s="252">
        <v>0</v>
      </c>
      <c r="AG67" s="252">
        <v>0</v>
      </c>
      <c r="AH67" s="252">
        <v>0</v>
      </c>
      <c r="AI67" s="252">
        <v>0</v>
      </c>
      <c r="AJ67" s="252">
        <v>0</v>
      </c>
      <c r="AK67" s="208">
        <v>0</v>
      </c>
      <c r="AL67" s="208">
        <v>0</v>
      </c>
      <c r="AM67" s="208">
        <v>0</v>
      </c>
      <c r="AN67" s="208">
        <v>0</v>
      </c>
      <c r="AO67" s="208">
        <v>1795.5454752405462</v>
      </c>
      <c r="AP67" s="208">
        <v>0</v>
      </c>
      <c r="AQ67" s="208">
        <v>0</v>
      </c>
      <c r="AR67" s="208">
        <v>0</v>
      </c>
      <c r="AS67" s="208">
        <v>0</v>
      </c>
      <c r="AT67" s="222">
        <v>1795.5454752405462</v>
      </c>
      <c r="AV67" s="217" t="s">
        <v>347</v>
      </c>
      <c r="AW67" s="227">
        <f t="shared" si="138"/>
        <v>0</v>
      </c>
      <c r="AX67" s="227">
        <f t="shared" si="139"/>
        <v>0</v>
      </c>
      <c r="AY67" s="227">
        <f t="shared" si="140"/>
        <v>0</v>
      </c>
      <c r="AZ67" s="227">
        <f t="shared" si="129"/>
        <v>0</v>
      </c>
      <c r="BA67" s="227">
        <f t="shared" si="118"/>
        <v>0</v>
      </c>
      <c r="BB67" s="252">
        <v>0</v>
      </c>
      <c r="BC67" s="252">
        <v>0</v>
      </c>
      <c r="BD67" s="255">
        <v>0</v>
      </c>
      <c r="BE67" s="252">
        <v>0</v>
      </c>
      <c r="BF67" s="255">
        <v>0</v>
      </c>
      <c r="BG67" s="252">
        <v>0</v>
      </c>
      <c r="BH67" s="208">
        <f t="shared" si="142"/>
        <v>0</v>
      </c>
      <c r="BI67" s="208">
        <f t="shared" si="143"/>
        <v>0</v>
      </c>
      <c r="BJ67" s="208">
        <f t="shared" si="144"/>
        <v>0</v>
      </c>
      <c r="BK67" s="208">
        <f t="shared" si="145"/>
        <v>0</v>
      </c>
      <c r="BL67" s="208">
        <f t="shared" si="146"/>
        <v>1795.5454752405462</v>
      </c>
      <c r="BM67" s="208">
        <f t="shared" si="147"/>
        <v>0</v>
      </c>
      <c r="BN67" s="208">
        <f t="shared" si="141"/>
        <v>0</v>
      </c>
      <c r="BO67" s="208">
        <f t="shared" si="136"/>
        <v>0</v>
      </c>
      <c r="BP67" s="208">
        <f t="shared" si="137"/>
        <v>0</v>
      </c>
      <c r="BQ67" s="230">
        <f t="shared" si="115"/>
        <v>1795.5454752405462</v>
      </c>
      <c r="BR67" s="214"/>
      <c r="BS67" s="227"/>
      <c r="BT67" s="286"/>
      <c r="BU67" s="300" t="s">
        <v>340</v>
      </c>
      <c r="BV67" s="293">
        <v>0</v>
      </c>
      <c r="BW67" s="293">
        <v>0</v>
      </c>
      <c r="BX67" s="258">
        <v>0</v>
      </c>
      <c r="BY67" s="258">
        <v>0</v>
      </c>
      <c r="BZ67" s="258">
        <v>0</v>
      </c>
      <c r="CA67" s="258">
        <v>0</v>
      </c>
      <c r="CB67" s="258">
        <v>0</v>
      </c>
      <c r="CC67" s="258">
        <v>0</v>
      </c>
      <c r="CD67" s="258">
        <v>0</v>
      </c>
      <c r="CE67" s="258">
        <v>0</v>
      </c>
      <c r="CF67" s="258">
        <v>0</v>
      </c>
      <c r="CG67" s="258">
        <v>0</v>
      </c>
      <c r="CH67" s="258">
        <v>0</v>
      </c>
      <c r="CI67" s="258">
        <v>0</v>
      </c>
      <c r="CJ67" s="258">
        <v>0</v>
      </c>
      <c r="CK67" s="258">
        <v>0</v>
      </c>
      <c r="CL67" s="258">
        <v>0</v>
      </c>
      <c r="CM67" s="258">
        <v>0</v>
      </c>
      <c r="CN67" s="258">
        <v>0</v>
      </c>
      <c r="CO67" s="258">
        <v>0</v>
      </c>
      <c r="CP67" s="301">
        <v>0</v>
      </c>
      <c r="CQ67" s="302"/>
      <c r="CR67" s="300" t="s">
        <v>340</v>
      </c>
      <c r="CS67" s="293">
        <v>0</v>
      </c>
      <c r="CT67" s="293">
        <v>0</v>
      </c>
      <c r="CU67" s="258">
        <v>0</v>
      </c>
      <c r="CV67" s="258">
        <v>0</v>
      </c>
      <c r="CW67" s="258">
        <v>0</v>
      </c>
      <c r="CX67" s="258">
        <v>0</v>
      </c>
      <c r="CY67" s="258">
        <v>0</v>
      </c>
      <c r="CZ67" s="258">
        <v>0</v>
      </c>
      <c r="DA67" s="258">
        <v>0</v>
      </c>
      <c r="DB67" s="258">
        <v>0</v>
      </c>
      <c r="DC67" s="258">
        <v>0</v>
      </c>
      <c r="DD67" s="258">
        <v>0</v>
      </c>
      <c r="DE67" s="258">
        <v>0</v>
      </c>
      <c r="DF67" s="258">
        <v>0</v>
      </c>
      <c r="DG67" s="258">
        <v>0</v>
      </c>
      <c r="DH67" s="258">
        <v>0</v>
      </c>
      <c r="DI67" s="258">
        <v>0</v>
      </c>
      <c r="DJ67" s="258">
        <v>0</v>
      </c>
      <c r="DK67" s="258">
        <v>0</v>
      </c>
      <c r="DL67" s="258">
        <v>0</v>
      </c>
      <c r="DM67" s="301">
        <v>0</v>
      </c>
      <c r="DN67" s="302"/>
      <c r="DO67" s="302"/>
      <c r="DP67" s="300" t="s">
        <v>340</v>
      </c>
      <c r="DQ67" s="293">
        <v>0</v>
      </c>
      <c r="DR67" s="293">
        <v>0</v>
      </c>
      <c r="DS67" s="258">
        <v>0</v>
      </c>
      <c r="DT67" s="258">
        <v>0</v>
      </c>
      <c r="DU67" s="258">
        <v>0</v>
      </c>
      <c r="DV67" s="258">
        <v>0</v>
      </c>
      <c r="DW67" s="258">
        <v>0</v>
      </c>
      <c r="DX67" s="258">
        <v>0</v>
      </c>
      <c r="DY67" s="258">
        <v>0</v>
      </c>
      <c r="DZ67" s="258">
        <v>0</v>
      </c>
      <c r="EA67" s="258">
        <v>0</v>
      </c>
      <c r="EB67" s="258">
        <v>0</v>
      </c>
      <c r="EC67" s="258">
        <v>0</v>
      </c>
      <c r="ED67" s="258">
        <v>0</v>
      </c>
      <c r="EE67" s="258">
        <v>0</v>
      </c>
      <c r="EF67" s="258">
        <v>0</v>
      </c>
      <c r="EG67" s="258">
        <v>0</v>
      </c>
      <c r="EH67" s="258">
        <v>0</v>
      </c>
      <c r="EI67" s="258">
        <v>0</v>
      </c>
      <c r="EJ67" s="258">
        <v>0</v>
      </c>
      <c r="EK67" s="301">
        <v>0</v>
      </c>
      <c r="EL67" s="287"/>
      <c r="EM67" s="300" t="s">
        <v>340</v>
      </c>
      <c r="EN67" s="293">
        <v>0</v>
      </c>
      <c r="EO67" s="293">
        <v>0</v>
      </c>
      <c r="EP67" s="258">
        <v>0</v>
      </c>
      <c r="EQ67" s="258">
        <v>0</v>
      </c>
      <c r="ER67" s="258">
        <v>0</v>
      </c>
      <c r="ES67" s="258">
        <v>0</v>
      </c>
      <c r="ET67" s="258">
        <v>0</v>
      </c>
      <c r="EU67" s="258">
        <v>0</v>
      </c>
      <c r="EV67" s="258">
        <v>0</v>
      </c>
      <c r="EW67" s="258">
        <v>0</v>
      </c>
      <c r="EX67" s="258">
        <v>0</v>
      </c>
      <c r="EY67" s="258">
        <v>0</v>
      </c>
      <c r="EZ67" s="258">
        <v>0</v>
      </c>
      <c r="FA67" s="258">
        <v>0</v>
      </c>
      <c r="FB67" s="258">
        <v>0</v>
      </c>
      <c r="FC67" s="258">
        <v>0</v>
      </c>
      <c r="FD67" s="258">
        <v>0</v>
      </c>
      <c r="FE67" s="258">
        <v>0</v>
      </c>
      <c r="FF67" s="258">
        <v>0</v>
      </c>
      <c r="FG67" s="258">
        <v>0</v>
      </c>
      <c r="FH67" s="301">
        <v>0</v>
      </c>
    </row>
    <row r="68" spans="2:164" x14ac:dyDescent="0.2">
      <c r="B68" s="217" t="s">
        <v>341</v>
      </c>
      <c r="C68" s="227">
        <v>0</v>
      </c>
      <c r="D68" s="228">
        <v>0</v>
      </c>
      <c r="E68" s="208">
        <v>0</v>
      </c>
      <c r="F68" s="208">
        <v>0</v>
      </c>
      <c r="G68" s="208">
        <v>0</v>
      </c>
      <c r="H68" s="208">
        <v>0</v>
      </c>
      <c r="I68" s="208">
        <v>0</v>
      </c>
      <c r="J68" s="208">
        <v>0</v>
      </c>
      <c r="K68" s="208">
        <v>0</v>
      </c>
      <c r="L68" s="208">
        <v>0</v>
      </c>
      <c r="M68" s="208">
        <v>0</v>
      </c>
      <c r="N68" s="208">
        <v>0</v>
      </c>
      <c r="O68" s="208">
        <v>0</v>
      </c>
      <c r="P68" s="208">
        <v>0</v>
      </c>
      <c r="Q68" s="208">
        <v>0</v>
      </c>
      <c r="R68" s="208">
        <v>0</v>
      </c>
      <c r="S68" s="208">
        <v>0</v>
      </c>
      <c r="T68" s="208">
        <v>0</v>
      </c>
      <c r="U68" s="208">
        <v>0</v>
      </c>
      <c r="V68" s="208">
        <v>0</v>
      </c>
      <c r="W68" s="222">
        <v>0</v>
      </c>
      <c r="X68" s="209"/>
      <c r="Y68" s="217" t="s">
        <v>341</v>
      </c>
      <c r="Z68" s="227">
        <v>0</v>
      </c>
      <c r="AA68" s="228">
        <v>0</v>
      </c>
      <c r="AB68" s="208">
        <v>0</v>
      </c>
      <c r="AC68" s="208">
        <v>0</v>
      </c>
      <c r="AD68" s="208">
        <v>0</v>
      </c>
      <c r="AE68" s="252">
        <v>0</v>
      </c>
      <c r="AF68" s="252">
        <v>0</v>
      </c>
      <c r="AG68" s="252">
        <v>0</v>
      </c>
      <c r="AH68" s="252">
        <v>0</v>
      </c>
      <c r="AI68" s="252">
        <v>0</v>
      </c>
      <c r="AJ68" s="252">
        <v>0</v>
      </c>
      <c r="AK68" s="208">
        <v>0</v>
      </c>
      <c r="AL68" s="208">
        <v>0</v>
      </c>
      <c r="AM68" s="208">
        <v>0</v>
      </c>
      <c r="AN68" s="208">
        <v>0</v>
      </c>
      <c r="AO68" s="208">
        <v>0</v>
      </c>
      <c r="AP68" s="208">
        <v>0</v>
      </c>
      <c r="AQ68" s="208">
        <v>0</v>
      </c>
      <c r="AR68" s="208">
        <v>0</v>
      </c>
      <c r="AS68" s="208">
        <v>0</v>
      </c>
      <c r="AT68" s="222">
        <v>0</v>
      </c>
      <c r="AV68" s="217" t="s">
        <v>339</v>
      </c>
      <c r="AW68" s="227">
        <f t="shared" si="138"/>
        <v>0</v>
      </c>
      <c r="AX68" s="227">
        <f t="shared" si="139"/>
        <v>0</v>
      </c>
      <c r="AY68" s="227">
        <f t="shared" si="140"/>
        <v>0</v>
      </c>
      <c r="AZ68" s="227">
        <f t="shared" si="129"/>
        <v>0</v>
      </c>
      <c r="BA68" s="227">
        <f t="shared" si="118"/>
        <v>0</v>
      </c>
      <c r="BB68" s="252">
        <v>0</v>
      </c>
      <c r="BC68" s="252">
        <v>0</v>
      </c>
      <c r="BD68" s="252">
        <v>0</v>
      </c>
      <c r="BE68" s="252">
        <v>0</v>
      </c>
      <c r="BF68" s="255">
        <v>0</v>
      </c>
      <c r="BG68" s="252">
        <v>0</v>
      </c>
      <c r="BH68" s="208">
        <f t="shared" si="142"/>
        <v>0</v>
      </c>
      <c r="BI68" s="208">
        <f t="shared" si="143"/>
        <v>0</v>
      </c>
      <c r="BJ68" s="208">
        <f t="shared" si="144"/>
        <v>0</v>
      </c>
      <c r="BK68" s="208">
        <f t="shared" si="145"/>
        <v>0</v>
      </c>
      <c r="BL68" s="208">
        <f t="shared" si="146"/>
        <v>0</v>
      </c>
      <c r="BM68" s="208">
        <f t="shared" si="147"/>
        <v>0</v>
      </c>
      <c r="BN68" s="208">
        <f t="shared" si="141"/>
        <v>0</v>
      </c>
      <c r="BO68" s="208">
        <f t="shared" si="136"/>
        <v>0</v>
      </c>
      <c r="BP68" s="208">
        <f t="shared" si="137"/>
        <v>0</v>
      </c>
      <c r="BQ68" s="230">
        <f t="shared" si="115"/>
        <v>0</v>
      </c>
      <c r="BR68" s="214"/>
      <c r="BS68" s="227"/>
      <c r="BT68" s="286"/>
      <c r="BU68" s="300" t="s">
        <v>341</v>
      </c>
      <c r="BV68" s="293">
        <v>0</v>
      </c>
      <c r="BW68" s="293">
        <v>0</v>
      </c>
      <c r="BX68" s="258">
        <v>0</v>
      </c>
      <c r="BY68" s="258">
        <v>0</v>
      </c>
      <c r="BZ68" s="258">
        <v>0</v>
      </c>
      <c r="CA68" s="258">
        <v>0</v>
      </c>
      <c r="CB68" s="258">
        <v>0</v>
      </c>
      <c r="CC68" s="258">
        <v>0</v>
      </c>
      <c r="CD68" s="258">
        <v>0</v>
      </c>
      <c r="CE68" s="258">
        <v>0</v>
      </c>
      <c r="CF68" s="258">
        <v>0</v>
      </c>
      <c r="CG68" s="258">
        <v>0</v>
      </c>
      <c r="CH68" s="258">
        <v>0</v>
      </c>
      <c r="CI68" s="258">
        <v>0</v>
      </c>
      <c r="CJ68" s="258">
        <v>0</v>
      </c>
      <c r="CK68" s="258">
        <v>0</v>
      </c>
      <c r="CL68" s="258">
        <v>0</v>
      </c>
      <c r="CM68" s="258">
        <v>0</v>
      </c>
      <c r="CN68" s="258">
        <v>0</v>
      </c>
      <c r="CO68" s="258">
        <v>0</v>
      </c>
      <c r="CP68" s="301">
        <v>0</v>
      </c>
      <c r="CQ68" s="302"/>
      <c r="CR68" s="300" t="s">
        <v>341</v>
      </c>
      <c r="CS68" s="293">
        <v>0</v>
      </c>
      <c r="CT68" s="293">
        <v>0</v>
      </c>
      <c r="CU68" s="258">
        <v>0</v>
      </c>
      <c r="CV68" s="258">
        <v>0</v>
      </c>
      <c r="CW68" s="258">
        <v>0</v>
      </c>
      <c r="CX68" s="258">
        <v>0</v>
      </c>
      <c r="CY68" s="258">
        <v>0</v>
      </c>
      <c r="CZ68" s="258">
        <v>0</v>
      </c>
      <c r="DA68" s="258">
        <v>0</v>
      </c>
      <c r="DB68" s="258">
        <v>0</v>
      </c>
      <c r="DC68" s="258">
        <v>0</v>
      </c>
      <c r="DD68" s="258">
        <v>0</v>
      </c>
      <c r="DE68" s="258">
        <v>0</v>
      </c>
      <c r="DF68" s="258">
        <v>0</v>
      </c>
      <c r="DG68" s="258">
        <v>0</v>
      </c>
      <c r="DH68" s="258">
        <v>0</v>
      </c>
      <c r="DI68" s="258">
        <v>0</v>
      </c>
      <c r="DJ68" s="258">
        <v>0</v>
      </c>
      <c r="DK68" s="258">
        <v>0</v>
      </c>
      <c r="DL68" s="258">
        <v>0</v>
      </c>
      <c r="DM68" s="301">
        <v>0</v>
      </c>
      <c r="DN68" s="302"/>
      <c r="DO68" s="302"/>
      <c r="DP68" s="300" t="s">
        <v>341</v>
      </c>
      <c r="DQ68" s="293">
        <v>0</v>
      </c>
      <c r="DR68" s="293">
        <v>0</v>
      </c>
      <c r="DS68" s="258">
        <v>0</v>
      </c>
      <c r="DT68" s="258">
        <v>0</v>
      </c>
      <c r="DU68" s="258">
        <v>0</v>
      </c>
      <c r="DV68" s="258">
        <v>0</v>
      </c>
      <c r="DW68" s="258">
        <v>0</v>
      </c>
      <c r="DX68" s="258">
        <v>0</v>
      </c>
      <c r="DY68" s="258">
        <v>0</v>
      </c>
      <c r="DZ68" s="258">
        <v>0</v>
      </c>
      <c r="EA68" s="258">
        <v>0</v>
      </c>
      <c r="EB68" s="258">
        <v>0</v>
      </c>
      <c r="EC68" s="258">
        <v>0</v>
      </c>
      <c r="ED68" s="258">
        <v>0</v>
      </c>
      <c r="EE68" s="258">
        <v>0</v>
      </c>
      <c r="EF68" s="258">
        <v>0</v>
      </c>
      <c r="EG68" s="258">
        <v>0</v>
      </c>
      <c r="EH68" s="258">
        <v>0</v>
      </c>
      <c r="EI68" s="258">
        <v>0</v>
      </c>
      <c r="EJ68" s="258">
        <v>0</v>
      </c>
      <c r="EK68" s="301">
        <v>0</v>
      </c>
      <c r="EL68" s="287"/>
      <c r="EM68" s="300" t="s">
        <v>341</v>
      </c>
      <c r="EN68" s="293">
        <v>0</v>
      </c>
      <c r="EO68" s="293">
        <v>0</v>
      </c>
      <c r="EP68" s="258">
        <v>0</v>
      </c>
      <c r="EQ68" s="258">
        <v>0</v>
      </c>
      <c r="ER68" s="258">
        <v>0</v>
      </c>
      <c r="ES68" s="258">
        <v>0</v>
      </c>
      <c r="ET68" s="258">
        <v>0</v>
      </c>
      <c r="EU68" s="258">
        <v>0</v>
      </c>
      <c r="EV68" s="258">
        <v>0</v>
      </c>
      <c r="EW68" s="258">
        <v>0</v>
      </c>
      <c r="EX68" s="258">
        <v>0</v>
      </c>
      <c r="EY68" s="258">
        <v>0</v>
      </c>
      <c r="EZ68" s="258">
        <v>0</v>
      </c>
      <c r="FA68" s="258">
        <v>0</v>
      </c>
      <c r="FB68" s="258">
        <v>0</v>
      </c>
      <c r="FC68" s="258">
        <v>0</v>
      </c>
      <c r="FD68" s="258">
        <v>0</v>
      </c>
      <c r="FE68" s="258">
        <v>0</v>
      </c>
      <c r="FF68" s="258">
        <v>0</v>
      </c>
      <c r="FG68" s="258">
        <v>0</v>
      </c>
      <c r="FH68" s="301">
        <v>0</v>
      </c>
    </row>
    <row r="69" spans="2:164" x14ac:dyDescent="0.2">
      <c r="B69" s="217" t="s">
        <v>6</v>
      </c>
      <c r="C69" s="227">
        <v>0</v>
      </c>
      <c r="D69" s="228">
        <v>0</v>
      </c>
      <c r="E69" s="208">
        <v>0</v>
      </c>
      <c r="F69" s="208">
        <v>0</v>
      </c>
      <c r="G69" s="208">
        <v>0</v>
      </c>
      <c r="H69" s="208">
        <v>0</v>
      </c>
      <c r="I69" s="208">
        <v>0</v>
      </c>
      <c r="J69" s="208">
        <v>0</v>
      </c>
      <c r="K69" s="208">
        <v>0</v>
      </c>
      <c r="L69" s="208">
        <v>0</v>
      </c>
      <c r="M69" s="208">
        <v>0</v>
      </c>
      <c r="N69" s="208">
        <v>0</v>
      </c>
      <c r="O69" s="208">
        <v>0</v>
      </c>
      <c r="P69" s="208">
        <v>0</v>
      </c>
      <c r="Q69" s="208">
        <v>0</v>
      </c>
      <c r="R69" s="208">
        <v>0</v>
      </c>
      <c r="S69" s="208">
        <v>0</v>
      </c>
      <c r="T69" s="208">
        <v>0</v>
      </c>
      <c r="U69" s="208">
        <v>1</v>
      </c>
      <c r="V69" s="208">
        <v>0</v>
      </c>
      <c r="W69" s="222">
        <v>1</v>
      </c>
      <c r="X69" s="209"/>
      <c r="Y69" s="217" t="s">
        <v>6</v>
      </c>
      <c r="Z69" s="227">
        <v>0</v>
      </c>
      <c r="AA69" s="228">
        <v>0</v>
      </c>
      <c r="AB69" s="208">
        <v>0</v>
      </c>
      <c r="AC69" s="208">
        <v>0</v>
      </c>
      <c r="AD69" s="208">
        <v>0</v>
      </c>
      <c r="AE69" s="252">
        <v>0</v>
      </c>
      <c r="AF69" s="252">
        <v>0</v>
      </c>
      <c r="AG69" s="252">
        <v>0</v>
      </c>
      <c r="AH69" s="252">
        <v>0</v>
      </c>
      <c r="AI69" s="252">
        <v>0</v>
      </c>
      <c r="AJ69" s="252">
        <v>0</v>
      </c>
      <c r="AK69" s="208">
        <v>0</v>
      </c>
      <c r="AL69" s="208">
        <v>0</v>
      </c>
      <c r="AM69" s="208">
        <v>0</v>
      </c>
      <c r="AN69" s="208">
        <v>0</v>
      </c>
      <c r="AO69" s="208">
        <v>0</v>
      </c>
      <c r="AP69" s="208">
        <v>0</v>
      </c>
      <c r="AQ69" s="208">
        <v>0</v>
      </c>
      <c r="AR69" s="208">
        <v>1221.7584099894614</v>
      </c>
      <c r="AS69" s="208">
        <v>0</v>
      </c>
      <c r="AT69" s="222">
        <v>1221.7584099894614</v>
      </c>
      <c r="AV69" s="217" t="s">
        <v>340</v>
      </c>
      <c r="AW69" s="227">
        <f t="shared" si="138"/>
        <v>0</v>
      </c>
      <c r="AX69" s="227">
        <f t="shared" si="139"/>
        <v>0</v>
      </c>
      <c r="AY69" s="227">
        <f t="shared" si="140"/>
        <v>0</v>
      </c>
      <c r="AZ69" s="227">
        <f t="shared" si="129"/>
        <v>0</v>
      </c>
      <c r="BA69" s="227">
        <f t="shared" si="118"/>
        <v>0</v>
      </c>
      <c r="BB69" s="252">
        <v>0</v>
      </c>
      <c r="BC69" s="252">
        <v>0</v>
      </c>
      <c r="BD69" s="252">
        <v>0</v>
      </c>
      <c r="BE69" s="252">
        <v>0</v>
      </c>
      <c r="BF69" s="255">
        <v>0</v>
      </c>
      <c r="BG69" s="255">
        <v>0</v>
      </c>
      <c r="BH69" s="208">
        <f t="shared" si="142"/>
        <v>0</v>
      </c>
      <c r="BI69" s="208">
        <f t="shared" si="143"/>
        <v>0</v>
      </c>
      <c r="BJ69" s="208">
        <f t="shared" si="144"/>
        <v>0</v>
      </c>
      <c r="BK69" s="208">
        <f t="shared" si="145"/>
        <v>0</v>
      </c>
      <c r="BL69" s="208">
        <f t="shared" si="146"/>
        <v>0</v>
      </c>
      <c r="BM69" s="208">
        <f t="shared" si="147"/>
        <v>0</v>
      </c>
      <c r="BN69" s="208">
        <f t="shared" si="141"/>
        <v>0</v>
      </c>
      <c r="BO69" s="208">
        <f t="shared" si="136"/>
        <v>1221.7584099894614</v>
      </c>
      <c r="BP69" s="208">
        <f t="shared" si="137"/>
        <v>0</v>
      </c>
      <c r="BQ69" s="230">
        <f t="shared" si="115"/>
        <v>1221.7584099894614</v>
      </c>
      <c r="BR69" s="214"/>
      <c r="BS69" s="227"/>
      <c r="BT69" s="286"/>
      <c r="BU69" s="300" t="s">
        <v>6</v>
      </c>
      <c r="BV69" s="293">
        <v>0</v>
      </c>
      <c r="BW69" s="293">
        <v>0</v>
      </c>
      <c r="BX69" s="258">
        <v>0</v>
      </c>
      <c r="BY69" s="258">
        <v>0</v>
      </c>
      <c r="BZ69" s="258">
        <v>0</v>
      </c>
      <c r="CA69" s="258">
        <v>0</v>
      </c>
      <c r="CB69" s="258">
        <v>0</v>
      </c>
      <c r="CC69" s="258">
        <v>0</v>
      </c>
      <c r="CD69" s="258">
        <v>0</v>
      </c>
      <c r="CE69" s="258">
        <v>0</v>
      </c>
      <c r="CF69" s="258">
        <v>0</v>
      </c>
      <c r="CG69" s="258">
        <v>0</v>
      </c>
      <c r="CH69" s="258">
        <v>0</v>
      </c>
      <c r="CI69" s="258">
        <v>0</v>
      </c>
      <c r="CJ69" s="258">
        <v>0</v>
      </c>
      <c r="CK69" s="258">
        <v>0</v>
      </c>
      <c r="CL69" s="258">
        <v>0</v>
      </c>
      <c r="CM69" s="258">
        <v>0</v>
      </c>
      <c r="CN69" s="258">
        <v>0</v>
      </c>
      <c r="CO69" s="258">
        <v>0</v>
      </c>
      <c r="CP69" s="301">
        <v>0</v>
      </c>
      <c r="CQ69" s="302"/>
      <c r="CR69" s="300" t="s">
        <v>6</v>
      </c>
      <c r="CS69" s="293">
        <v>0</v>
      </c>
      <c r="CT69" s="293">
        <v>0</v>
      </c>
      <c r="CU69" s="258">
        <v>0</v>
      </c>
      <c r="CV69" s="258">
        <v>0</v>
      </c>
      <c r="CW69" s="258">
        <v>0</v>
      </c>
      <c r="CX69" s="258">
        <v>0</v>
      </c>
      <c r="CY69" s="258">
        <v>0</v>
      </c>
      <c r="CZ69" s="258">
        <v>0</v>
      </c>
      <c r="DA69" s="258">
        <v>0</v>
      </c>
      <c r="DB69" s="258">
        <v>0</v>
      </c>
      <c r="DC69" s="258">
        <v>0</v>
      </c>
      <c r="DD69" s="258">
        <v>0</v>
      </c>
      <c r="DE69" s="258">
        <v>0</v>
      </c>
      <c r="DF69" s="258">
        <v>0</v>
      </c>
      <c r="DG69" s="258">
        <v>0</v>
      </c>
      <c r="DH69" s="258">
        <v>0</v>
      </c>
      <c r="DI69" s="258">
        <v>0</v>
      </c>
      <c r="DJ69" s="258">
        <v>0</v>
      </c>
      <c r="DK69" s="258">
        <v>0</v>
      </c>
      <c r="DL69" s="258">
        <v>0</v>
      </c>
      <c r="DM69" s="301">
        <v>0</v>
      </c>
      <c r="DN69" s="302"/>
      <c r="DO69" s="302"/>
      <c r="DP69" s="300" t="s">
        <v>6</v>
      </c>
      <c r="DQ69" s="293">
        <v>0</v>
      </c>
      <c r="DR69" s="293">
        <v>0</v>
      </c>
      <c r="DS69" s="258">
        <v>0</v>
      </c>
      <c r="DT69" s="258">
        <v>0</v>
      </c>
      <c r="DU69" s="258">
        <v>0</v>
      </c>
      <c r="DV69" s="258">
        <v>0</v>
      </c>
      <c r="DW69" s="258">
        <v>0</v>
      </c>
      <c r="DX69" s="258">
        <v>0</v>
      </c>
      <c r="DY69" s="258">
        <v>0</v>
      </c>
      <c r="DZ69" s="258">
        <v>0</v>
      </c>
      <c r="EA69" s="258">
        <v>0</v>
      </c>
      <c r="EB69" s="258">
        <v>0</v>
      </c>
      <c r="EC69" s="258">
        <v>0</v>
      </c>
      <c r="ED69" s="258">
        <v>0</v>
      </c>
      <c r="EE69" s="258">
        <v>0</v>
      </c>
      <c r="EF69" s="258">
        <v>0</v>
      </c>
      <c r="EG69" s="258">
        <v>0</v>
      </c>
      <c r="EH69" s="258">
        <v>0</v>
      </c>
      <c r="EI69" s="258">
        <v>0</v>
      </c>
      <c r="EJ69" s="258">
        <v>0</v>
      </c>
      <c r="EK69" s="301">
        <v>0</v>
      </c>
      <c r="EL69" s="287"/>
      <c r="EM69" s="300" t="s">
        <v>6</v>
      </c>
      <c r="EN69" s="293">
        <v>0</v>
      </c>
      <c r="EO69" s="293">
        <v>0</v>
      </c>
      <c r="EP69" s="258">
        <v>0</v>
      </c>
      <c r="EQ69" s="258">
        <v>0</v>
      </c>
      <c r="ER69" s="258">
        <v>0</v>
      </c>
      <c r="ES69" s="258">
        <v>0</v>
      </c>
      <c r="ET69" s="258">
        <v>0</v>
      </c>
      <c r="EU69" s="258">
        <v>0</v>
      </c>
      <c r="EV69" s="258">
        <v>0</v>
      </c>
      <c r="EW69" s="258">
        <v>0</v>
      </c>
      <c r="EX69" s="258">
        <v>0</v>
      </c>
      <c r="EY69" s="258">
        <v>0</v>
      </c>
      <c r="EZ69" s="258">
        <v>0</v>
      </c>
      <c r="FA69" s="258">
        <v>0</v>
      </c>
      <c r="FB69" s="258">
        <v>0</v>
      </c>
      <c r="FC69" s="258">
        <v>0</v>
      </c>
      <c r="FD69" s="258">
        <v>0</v>
      </c>
      <c r="FE69" s="258">
        <v>0</v>
      </c>
      <c r="FF69" s="258">
        <v>0</v>
      </c>
      <c r="FG69" s="258">
        <v>0</v>
      </c>
      <c r="FH69" s="301">
        <v>0</v>
      </c>
    </row>
    <row r="70" spans="2:164" x14ac:dyDescent="0.2">
      <c r="B70" s="217" t="s">
        <v>342</v>
      </c>
      <c r="C70" s="227">
        <v>0</v>
      </c>
      <c r="D70" s="228">
        <v>0</v>
      </c>
      <c r="E70" s="208">
        <v>0</v>
      </c>
      <c r="F70" s="208">
        <v>0</v>
      </c>
      <c r="G70" s="208">
        <v>0</v>
      </c>
      <c r="H70" s="208">
        <v>0</v>
      </c>
      <c r="I70" s="208">
        <v>0</v>
      </c>
      <c r="J70" s="208">
        <v>0</v>
      </c>
      <c r="K70" s="208">
        <v>0</v>
      </c>
      <c r="L70" s="208">
        <v>0</v>
      </c>
      <c r="M70" s="208">
        <v>0</v>
      </c>
      <c r="N70" s="208">
        <v>0</v>
      </c>
      <c r="O70" s="208">
        <v>0</v>
      </c>
      <c r="P70" s="208">
        <v>0</v>
      </c>
      <c r="Q70" s="208">
        <v>0</v>
      </c>
      <c r="R70" s="208">
        <v>0</v>
      </c>
      <c r="S70" s="208">
        <v>0</v>
      </c>
      <c r="T70" s="208">
        <v>0</v>
      </c>
      <c r="U70" s="208">
        <v>3</v>
      </c>
      <c r="V70" s="208">
        <v>0</v>
      </c>
      <c r="W70" s="222">
        <v>3</v>
      </c>
      <c r="X70" s="209"/>
      <c r="Y70" s="217" t="s">
        <v>342</v>
      </c>
      <c r="Z70" s="227">
        <v>0</v>
      </c>
      <c r="AA70" s="228">
        <v>0</v>
      </c>
      <c r="AB70" s="208">
        <v>0</v>
      </c>
      <c r="AC70" s="208">
        <v>0</v>
      </c>
      <c r="AD70" s="208">
        <v>0</v>
      </c>
      <c r="AE70" s="252">
        <v>0</v>
      </c>
      <c r="AF70" s="252">
        <v>0</v>
      </c>
      <c r="AG70" s="252">
        <v>0</v>
      </c>
      <c r="AH70" s="252">
        <v>0</v>
      </c>
      <c r="AI70" s="252">
        <v>0</v>
      </c>
      <c r="AJ70" s="252">
        <v>0</v>
      </c>
      <c r="AK70" s="208">
        <v>0</v>
      </c>
      <c r="AL70" s="208">
        <v>0</v>
      </c>
      <c r="AM70" s="208">
        <v>0</v>
      </c>
      <c r="AN70" s="208">
        <v>0</v>
      </c>
      <c r="AO70" s="208">
        <v>0</v>
      </c>
      <c r="AP70" s="208">
        <v>0</v>
      </c>
      <c r="AQ70" s="208">
        <v>0</v>
      </c>
      <c r="AR70" s="208">
        <v>13951.305103665523</v>
      </c>
      <c r="AS70" s="208">
        <v>0</v>
      </c>
      <c r="AT70" s="222">
        <v>13951.305103665523</v>
      </c>
      <c r="AV70" s="217" t="s">
        <v>341</v>
      </c>
      <c r="AW70" s="227">
        <f t="shared" si="138"/>
        <v>0</v>
      </c>
      <c r="AX70" s="227">
        <f t="shared" si="139"/>
        <v>0</v>
      </c>
      <c r="AY70" s="227">
        <f t="shared" si="140"/>
        <v>0</v>
      </c>
      <c r="AZ70" s="227">
        <f t="shared" si="129"/>
        <v>0</v>
      </c>
      <c r="BA70" s="227">
        <f t="shared" si="118"/>
        <v>0</v>
      </c>
      <c r="BB70" s="252">
        <v>0</v>
      </c>
      <c r="BC70" s="252">
        <v>0</v>
      </c>
      <c r="BD70" s="252">
        <v>0</v>
      </c>
      <c r="BE70" s="252">
        <v>0</v>
      </c>
      <c r="BF70" s="252">
        <v>0</v>
      </c>
      <c r="BG70" s="255">
        <v>0</v>
      </c>
      <c r="BH70" s="208">
        <f t="shared" si="142"/>
        <v>0</v>
      </c>
      <c r="BI70" s="208">
        <f t="shared" si="143"/>
        <v>0</v>
      </c>
      <c r="BJ70" s="208">
        <f t="shared" si="144"/>
        <v>0</v>
      </c>
      <c r="BK70" s="208">
        <f t="shared" si="145"/>
        <v>0</v>
      </c>
      <c r="BL70" s="208">
        <f t="shared" si="146"/>
        <v>0</v>
      </c>
      <c r="BM70" s="208">
        <f t="shared" si="147"/>
        <v>0</v>
      </c>
      <c r="BN70" s="208">
        <f t="shared" si="141"/>
        <v>0</v>
      </c>
      <c r="BO70" s="208">
        <f t="shared" si="136"/>
        <v>13951.305103665523</v>
      </c>
      <c r="BP70" s="208">
        <f t="shared" si="137"/>
        <v>0</v>
      </c>
      <c r="BQ70" s="230">
        <f t="shared" si="115"/>
        <v>13951.305103665523</v>
      </c>
      <c r="BR70" s="214"/>
      <c r="BS70" s="227"/>
      <c r="BT70" s="286"/>
      <c r="BU70" s="300" t="s">
        <v>342</v>
      </c>
      <c r="BV70" s="293">
        <v>0</v>
      </c>
      <c r="BW70" s="293">
        <v>0</v>
      </c>
      <c r="BX70" s="258">
        <v>0</v>
      </c>
      <c r="BY70" s="258">
        <v>0</v>
      </c>
      <c r="BZ70" s="258">
        <v>0</v>
      </c>
      <c r="CA70" s="258">
        <v>0</v>
      </c>
      <c r="CB70" s="258">
        <v>0</v>
      </c>
      <c r="CC70" s="258">
        <v>0</v>
      </c>
      <c r="CD70" s="258">
        <v>0</v>
      </c>
      <c r="CE70" s="258">
        <v>0</v>
      </c>
      <c r="CF70" s="258">
        <v>0</v>
      </c>
      <c r="CG70" s="258">
        <v>0</v>
      </c>
      <c r="CH70" s="258">
        <v>0</v>
      </c>
      <c r="CI70" s="258">
        <v>0</v>
      </c>
      <c r="CJ70" s="258">
        <v>0</v>
      </c>
      <c r="CK70" s="258">
        <v>0</v>
      </c>
      <c r="CL70" s="258">
        <v>0</v>
      </c>
      <c r="CM70" s="258">
        <v>0</v>
      </c>
      <c r="CN70" s="258">
        <v>0</v>
      </c>
      <c r="CO70" s="258">
        <v>0</v>
      </c>
      <c r="CP70" s="301">
        <v>0</v>
      </c>
      <c r="CQ70" s="302"/>
      <c r="CR70" s="300" t="s">
        <v>342</v>
      </c>
      <c r="CS70" s="293">
        <v>0</v>
      </c>
      <c r="CT70" s="293">
        <v>0</v>
      </c>
      <c r="CU70" s="258">
        <v>0</v>
      </c>
      <c r="CV70" s="258">
        <v>0</v>
      </c>
      <c r="CW70" s="258">
        <v>0</v>
      </c>
      <c r="CX70" s="258">
        <v>0</v>
      </c>
      <c r="CY70" s="258">
        <v>0</v>
      </c>
      <c r="CZ70" s="258">
        <v>0</v>
      </c>
      <c r="DA70" s="258">
        <v>0</v>
      </c>
      <c r="DB70" s="258">
        <v>0</v>
      </c>
      <c r="DC70" s="258">
        <v>0</v>
      </c>
      <c r="DD70" s="258">
        <v>0</v>
      </c>
      <c r="DE70" s="258">
        <v>0</v>
      </c>
      <c r="DF70" s="258">
        <v>0</v>
      </c>
      <c r="DG70" s="258">
        <v>0</v>
      </c>
      <c r="DH70" s="258">
        <v>0</v>
      </c>
      <c r="DI70" s="258">
        <v>0</v>
      </c>
      <c r="DJ70" s="258">
        <v>0</v>
      </c>
      <c r="DK70" s="258">
        <v>0</v>
      </c>
      <c r="DL70" s="258">
        <v>0</v>
      </c>
      <c r="DM70" s="301">
        <v>0</v>
      </c>
      <c r="DN70" s="302"/>
      <c r="DO70" s="302"/>
      <c r="DP70" s="300" t="s">
        <v>342</v>
      </c>
      <c r="DQ70" s="293">
        <v>0</v>
      </c>
      <c r="DR70" s="293">
        <v>0</v>
      </c>
      <c r="DS70" s="258">
        <v>0</v>
      </c>
      <c r="DT70" s="258">
        <v>0</v>
      </c>
      <c r="DU70" s="258">
        <v>0</v>
      </c>
      <c r="DV70" s="258">
        <v>0</v>
      </c>
      <c r="DW70" s="258">
        <v>0</v>
      </c>
      <c r="DX70" s="258">
        <v>0</v>
      </c>
      <c r="DY70" s="258">
        <v>0</v>
      </c>
      <c r="DZ70" s="258">
        <v>0</v>
      </c>
      <c r="EA70" s="258">
        <v>0</v>
      </c>
      <c r="EB70" s="258">
        <v>0</v>
      </c>
      <c r="EC70" s="258">
        <v>0</v>
      </c>
      <c r="ED70" s="258">
        <v>0</v>
      </c>
      <c r="EE70" s="258">
        <v>0</v>
      </c>
      <c r="EF70" s="258">
        <v>0</v>
      </c>
      <c r="EG70" s="258">
        <v>0</v>
      </c>
      <c r="EH70" s="258">
        <v>0</v>
      </c>
      <c r="EI70" s="258">
        <v>0</v>
      </c>
      <c r="EJ70" s="258">
        <v>0</v>
      </c>
      <c r="EK70" s="301">
        <v>0</v>
      </c>
      <c r="EL70" s="287"/>
      <c r="EM70" s="300" t="s">
        <v>342</v>
      </c>
      <c r="EN70" s="293">
        <v>0</v>
      </c>
      <c r="EO70" s="293">
        <v>0</v>
      </c>
      <c r="EP70" s="258">
        <v>0</v>
      </c>
      <c r="EQ70" s="258">
        <v>0</v>
      </c>
      <c r="ER70" s="258">
        <v>0</v>
      </c>
      <c r="ES70" s="258">
        <v>0</v>
      </c>
      <c r="ET70" s="258">
        <v>0</v>
      </c>
      <c r="EU70" s="258">
        <v>0</v>
      </c>
      <c r="EV70" s="258">
        <v>0</v>
      </c>
      <c r="EW70" s="258">
        <v>0</v>
      </c>
      <c r="EX70" s="258">
        <v>0</v>
      </c>
      <c r="EY70" s="258">
        <v>0</v>
      </c>
      <c r="EZ70" s="258">
        <v>0</v>
      </c>
      <c r="FA70" s="258">
        <v>0</v>
      </c>
      <c r="FB70" s="258">
        <v>0</v>
      </c>
      <c r="FC70" s="258">
        <v>0</v>
      </c>
      <c r="FD70" s="258">
        <v>0</v>
      </c>
      <c r="FE70" s="258">
        <v>0</v>
      </c>
      <c r="FF70" s="258">
        <v>0</v>
      </c>
      <c r="FG70" s="258">
        <v>0</v>
      </c>
      <c r="FH70" s="301">
        <v>0</v>
      </c>
    </row>
    <row r="71" spans="2:164" x14ac:dyDescent="0.2">
      <c r="B71" s="217" t="s">
        <v>343</v>
      </c>
      <c r="C71" s="227">
        <v>0</v>
      </c>
      <c r="D71" s="228">
        <v>0</v>
      </c>
      <c r="E71" s="208">
        <v>0</v>
      </c>
      <c r="F71" s="208">
        <v>0</v>
      </c>
      <c r="G71" s="208">
        <v>0</v>
      </c>
      <c r="H71" s="208">
        <v>0</v>
      </c>
      <c r="I71" s="208">
        <v>0</v>
      </c>
      <c r="J71" s="208">
        <v>0</v>
      </c>
      <c r="K71" s="208">
        <v>0</v>
      </c>
      <c r="L71" s="208">
        <v>0</v>
      </c>
      <c r="M71" s="208">
        <v>0</v>
      </c>
      <c r="N71" s="208">
        <v>0</v>
      </c>
      <c r="O71" s="208">
        <v>0</v>
      </c>
      <c r="P71" s="208">
        <v>0</v>
      </c>
      <c r="Q71" s="208">
        <v>0</v>
      </c>
      <c r="R71" s="208">
        <v>0</v>
      </c>
      <c r="S71" s="208">
        <v>0</v>
      </c>
      <c r="T71" s="208">
        <v>0</v>
      </c>
      <c r="U71" s="208">
        <v>0</v>
      </c>
      <c r="V71" s="208">
        <v>0</v>
      </c>
      <c r="W71" s="222">
        <v>0</v>
      </c>
      <c r="X71" s="210"/>
      <c r="Y71" s="217" t="s">
        <v>343</v>
      </c>
      <c r="Z71" s="227">
        <v>0</v>
      </c>
      <c r="AA71" s="228">
        <v>0</v>
      </c>
      <c r="AB71" s="208">
        <v>0</v>
      </c>
      <c r="AC71" s="208">
        <v>0</v>
      </c>
      <c r="AD71" s="208">
        <v>0</v>
      </c>
      <c r="AE71" s="208">
        <v>0</v>
      </c>
      <c r="AF71" s="208">
        <v>0</v>
      </c>
      <c r="AG71" s="208">
        <v>0</v>
      </c>
      <c r="AH71" s="208">
        <v>0</v>
      </c>
      <c r="AI71" s="208">
        <v>0</v>
      </c>
      <c r="AJ71" s="208">
        <v>0</v>
      </c>
      <c r="AK71" s="208">
        <v>0</v>
      </c>
      <c r="AL71" s="208">
        <v>0</v>
      </c>
      <c r="AM71" s="208">
        <v>0</v>
      </c>
      <c r="AN71" s="208">
        <v>0</v>
      </c>
      <c r="AO71" s="208">
        <v>0</v>
      </c>
      <c r="AP71" s="208">
        <v>0</v>
      </c>
      <c r="AQ71" s="208">
        <v>0</v>
      </c>
      <c r="AR71" s="208">
        <v>0</v>
      </c>
      <c r="AS71" s="208">
        <v>0</v>
      </c>
      <c r="AT71" s="222">
        <v>0</v>
      </c>
      <c r="AV71" s="217" t="s">
        <v>6</v>
      </c>
      <c r="AW71" s="227">
        <f t="shared" si="138"/>
        <v>0</v>
      </c>
      <c r="AX71" s="227">
        <f t="shared" si="139"/>
        <v>0</v>
      </c>
      <c r="AY71" s="227">
        <f t="shared" si="140"/>
        <v>0</v>
      </c>
      <c r="AZ71" s="227">
        <f t="shared" si="129"/>
        <v>0</v>
      </c>
      <c r="BA71" s="227">
        <f t="shared" si="118"/>
        <v>0</v>
      </c>
      <c r="BB71" s="227">
        <f t="shared" ref="BB71:BB73" si="148">AE71</f>
        <v>0</v>
      </c>
      <c r="BC71" s="227">
        <f t="shared" ref="BC71:BC73" si="149">AF71</f>
        <v>0</v>
      </c>
      <c r="BD71" s="227">
        <f t="shared" ref="BD71:BD73" si="150">AG71</f>
        <v>0</v>
      </c>
      <c r="BE71" s="227">
        <f t="shared" ref="BE71:BE73" si="151">AH71</f>
        <v>0</v>
      </c>
      <c r="BF71" s="208">
        <v>0</v>
      </c>
      <c r="BG71" s="208">
        <v>0</v>
      </c>
      <c r="BH71" s="208">
        <f t="shared" si="142"/>
        <v>0</v>
      </c>
      <c r="BI71" s="208">
        <f t="shared" si="143"/>
        <v>0</v>
      </c>
      <c r="BJ71" s="208">
        <f t="shared" si="144"/>
        <v>0</v>
      </c>
      <c r="BK71" s="208">
        <f t="shared" si="145"/>
        <v>0</v>
      </c>
      <c r="BL71" s="208">
        <f t="shared" si="146"/>
        <v>0</v>
      </c>
      <c r="BM71" s="208">
        <f t="shared" si="147"/>
        <v>0</v>
      </c>
      <c r="BN71" s="208">
        <f t="shared" si="141"/>
        <v>0</v>
      </c>
      <c r="BO71" s="208">
        <f t="shared" si="136"/>
        <v>0</v>
      </c>
      <c r="BP71" s="208">
        <f t="shared" si="137"/>
        <v>0</v>
      </c>
      <c r="BQ71" s="230">
        <f t="shared" si="115"/>
        <v>0</v>
      </c>
      <c r="BR71" s="214"/>
      <c r="BS71" s="227"/>
      <c r="BT71" s="286"/>
      <c r="BU71" s="300" t="s">
        <v>343</v>
      </c>
      <c r="BV71" s="293">
        <v>0</v>
      </c>
      <c r="BW71" s="293">
        <v>0</v>
      </c>
      <c r="BX71" s="258">
        <v>0</v>
      </c>
      <c r="BY71" s="258">
        <v>0</v>
      </c>
      <c r="BZ71" s="258">
        <v>0</v>
      </c>
      <c r="CA71" s="258">
        <v>0</v>
      </c>
      <c r="CB71" s="258">
        <v>0</v>
      </c>
      <c r="CC71" s="258">
        <v>0</v>
      </c>
      <c r="CD71" s="258">
        <v>0</v>
      </c>
      <c r="CE71" s="258">
        <v>0</v>
      </c>
      <c r="CF71" s="258">
        <v>0</v>
      </c>
      <c r="CG71" s="258">
        <v>0</v>
      </c>
      <c r="CH71" s="258">
        <v>0</v>
      </c>
      <c r="CI71" s="258">
        <v>0</v>
      </c>
      <c r="CJ71" s="258">
        <v>0</v>
      </c>
      <c r="CK71" s="258">
        <v>0</v>
      </c>
      <c r="CL71" s="258">
        <v>0</v>
      </c>
      <c r="CM71" s="258">
        <v>0</v>
      </c>
      <c r="CN71" s="258">
        <v>0</v>
      </c>
      <c r="CO71" s="258">
        <v>0</v>
      </c>
      <c r="CP71" s="301">
        <v>0</v>
      </c>
      <c r="CQ71" s="302"/>
      <c r="CR71" s="300" t="s">
        <v>343</v>
      </c>
      <c r="CS71" s="293">
        <v>0</v>
      </c>
      <c r="CT71" s="293">
        <v>0</v>
      </c>
      <c r="CU71" s="258">
        <v>0</v>
      </c>
      <c r="CV71" s="258">
        <v>0</v>
      </c>
      <c r="CW71" s="258">
        <v>0</v>
      </c>
      <c r="CX71" s="258">
        <v>0</v>
      </c>
      <c r="CY71" s="258">
        <v>0</v>
      </c>
      <c r="CZ71" s="258">
        <v>0</v>
      </c>
      <c r="DA71" s="258">
        <v>0</v>
      </c>
      <c r="DB71" s="258">
        <v>0</v>
      </c>
      <c r="DC71" s="258">
        <v>0</v>
      </c>
      <c r="DD71" s="258">
        <v>0</v>
      </c>
      <c r="DE71" s="258">
        <v>0</v>
      </c>
      <c r="DF71" s="258">
        <v>0</v>
      </c>
      <c r="DG71" s="258">
        <v>0</v>
      </c>
      <c r="DH71" s="258">
        <v>0</v>
      </c>
      <c r="DI71" s="258">
        <v>0</v>
      </c>
      <c r="DJ71" s="258">
        <v>0</v>
      </c>
      <c r="DK71" s="258">
        <v>0</v>
      </c>
      <c r="DL71" s="258">
        <v>0</v>
      </c>
      <c r="DM71" s="301">
        <v>0</v>
      </c>
      <c r="DN71" s="302"/>
      <c r="DO71" s="302"/>
      <c r="DP71" s="300" t="s">
        <v>343</v>
      </c>
      <c r="DQ71" s="293">
        <v>0</v>
      </c>
      <c r="DR71" s="293">
        <v>0</v>
      </c>
      <c r="DS71" s="258">
        <v>0</v>
      </c>
      <c r="DT71" s="258">
        <v>0</v>
      </c>
      <c r="DU71" s="258">
        <v>0</v>
      </c>
      <c r="DV71" s="258">
        <v>0</v>
      </c>
      <c r="DW71" s="258">
        <v>0</v>
      </c>
      <c r="DX71" s="258">
        <v>0</v>
      </c>
      <c r="DY71" s="258">
        <v>0</v>
      </c>
      <c r="DZ71" s="258">
        <v>0</v>
      </c>
      <c r="EA71" s="258">
        <v>0</v>
      </c>
      <c r="EB71" s="258">
        <v>0</v>
      </c>
      <c r="EC71" s="258">
        <v>0</v>
      </c>
      <c r="ED71" s="258">
        <v>0</v>
      </c>
      <c r="EE71" s="258">
        <v>0</v>
      </c>
      <c r="EF71" s="258">
        <v>0</v>
      </c>
      <c r="EG71" s="258">
        <v>0</v>
      </c>
      <c r="EH71" s="258">
        <v>0</v>
      </c>
      <c r="EI71" s="258">
        <v>0</v>
      </c>
      <c r="EJ71" s="258">
        <v>0</v>
      </c>
      <c r="EK71" s="301">
        <v>0</v>
      </c>
      <c r="EL71" s="287"/>
      <c r="EM71" s="300" t="s">
        <v>343</v>
      </c>
      <c r="EN71" s="293">
        <v>0</v>
      </c>
      <c r="EO71" s="293">
        <v>0</v>
      </c>
      <c r="EP71" s="258">
        <v>0</v>
      </c>
      <c r="EQ71" s="258">
        <v>0</v>
      </c>
      <c r="ER71" s="258">
        <v>0</v>
      </c>
      <c r="ES71" s="258">
        <v>0</v>
      </c>
      <c r="ET71" s="258">
        <v>0</v>
      </c>
      <c r="EU71" s="258">
        <v>0</v>
      </c>
      <c r="EV71" s="258">
        <v>0</v>
      </c>
      <c r="EW71" s="258">
        <v>0</v>
      </c>
      <c r="EX71" s="258">
        <v>0</v>
      </c>
      <c r="EY71" s="258">
        <v>0</v>
      </c>
      <c r="EZ71" s="258">
        <v>0</v>
      </c>
      <c r="FA71" s="258">
        <v>0</v>
      </c>
      <c r="FB71" s="258">
        <v>0</v>
      </c>
      <c r="FC71" s="258">
        <v>0</v>
      </c>
      <c r="FD71" s="258">
        <v>0</v>
      </c>
      <c r="FE71" s="258">
        <v>0</v>
      </c>
      <c r="FF71" s="258">
        <v>0</v>
      </c>
      <c r="FG71" s="258">
        <v>0</v>
      </c>
      <c r="FH71" s="301">
        <v>0</v>
      </c>
    </row>
    <row r="72" spans="2:164" x14ac:dyDescent="0.2">
      <c r="B72" s="217" t="s">
        <v>346</v>
      </c>
      <c r="C72" s="227">
        <v>0</v>
      </c>
      <c r="D72" s="228">
        <v>0</v>
      </c>
      <c r="E72" s="208">
        <v>0</v>
      </c>
      <c r="F72" s="208">
        <v>0</v>
      </c>
      <c r="G72" s="208">
        <v>0</v>
      </c>
      <c r="H72" s="208">
        <v>0</v>
      </c>
      <c r="I72" s="208">
        <v>0</v>
      </c>
      <c r="J72" s="208">
        <v>0</v>
      </c>
      <c r="K72" s="208">
        <v>0</v>
      </c>
      <c r="L72" s="208">
        <v>0</v>
      </c>
      <c r="M72" s="208">
        <v>0</v>
      </c>
      <c r="N72" s="208">
        <v>0</v>
      </c>
      <c r="O72" s="208">
        <v>0</v>
      </c>
      <c r="P72" s="208">
        <v>0</v>
      </c>
      <c r="Q72" s="208">
        <v>0</v>
      </c>
      <c r="R72" s="208">
        <v>0</v>
      </c>
      <c r="S72" s="208">
        <v>0</v>
      </c>
      <c r="T72" s="208">
        <v>0</v>
      </c>
      <c r="U72" s="208">
        <v>0</v>
      </c>
      <c r="V72" s="208">
        <v>0</v>
      </c>
      <c r="W72" s="222">
        <v>0</v>
      </c>
      <c r="X72" s="209"/>
      <c r="Y72" s="217" t="s">
        <v>346</v>
      </c>
      <c r="Z72" s="227">
        <v>0</v>
      </c>
      <c r="AA72" s="228">
        <v>0</v>
      </c>
      <c r="AB72" s="208">
        <v>0</v>
      </c>
      <c r="AC72" s="208">
        <v>0</v>
      </c>
      <c r="AD72" s="208">
        <v>0</v>
      </c>
      <c r="AE72" s="208">
        <v>0</v>
      </c>
      <c r="AF72" s="208">
        <v>0</v>
      </c>
      <c r="AG72" s="208">
        <v>0</v>
      </c>
      <c r="AH72" s="208">
        <v>0</v>
      </c>
      <c r="AI72" s="208">
        <v>0</v>
      </c>
      <c r="AJ72" s="208">
        <v>0</v>
      </c>
      <c r="AK72" s="208">
        <v>0</v>
      </c>
      <c r="AL72" s="208">
        <v>0</v>
      </c>
      <c r="AM72" s="208">
        <v>0</v>
      </c>
      <c r="AN72" s="208">
        <v>0</v>
      </c>
      <c r="AO72" s="208">
        <v>0</v>
      </c>
      <c r="AP72" s="208">
        <v>0</v>
      </c>
      <c r="AQ72" s="208">
        <v>0</v>
      </c>
      <c r="AR72" s="208">
        <v>0</v>
      </c>
      <c r="AS72" s="208">
        <v>0</v>
      </c>
      <c r="AT72" s="222">
        <v>0</v>
      </c>
      <c r="AV72" s="217" t="s">
        <v>342</v>
      </c>
      <c r="AW72" s="227">
        <f t="shared" si="138"/>
        <v>0</v>
      </c>
      <c r="AX72" s="227">
        <f t="shared" si="139"/>
        <v>0</v>
      </c>
      <c r="AY72" s="227">
        <f t="shared" si="140"/>
        <v>0</v>
      </c>
      <c r="AZ72" s="227">
        <f t="shared" si="129"/>
        <v>0</v>
      </c>
      <c r="BA72" s="227">
        <f t="shared" si="118"/>
        <v>0</v>
      </c>
      <c r="BB72" s="227">
        <f t="shared" si="148"/>
        <v>0</v>
      </c>
      <c r="BC72" s="227">
        <f t="shared" si="149"/>
        <v>0</v>
      </c>
      <c r="BD72" s="227">
        <f t="shared" si="150"/>
        <v>0</v>
      </c>
      <c r="BE72" s="227">
        <f t="shared" si="151"/>
        <v>0</v>
      </c>
      <c r="BF72" s="227">
        <f t="shared" ref="BF72:BF73" si="152">AI72</f>
        <v>0</v>
      </c>
      <c r="BG72" s="227">
        <f t="shared" ref="BG72:BG73" si="153">AJ72</f>
        <v>0</v>
      </c>
      <c r="BH72" s="208">
        <f t="shared" si="142"/>
        <v>0</v>
      </c>
      <c r="BI72" s="208">
        <f t="shared" si="143"/>
        <v>0</v>
      </c>
      <c r="BJ72" s="208">
        <f t="shared" si="144"/>
        <v>0</v>
      </c>
      <c r="BK72" s="208">
        <f t="shared" si="145"/>
        <v>0</v>
      </c>
      <c r="BL72" s="208">
        <f t="shared" si="146"/>
        <v>0</v>
      </c>
      <c r="BM72" s="208">
        <f t="shared" si="147"/>
        <v>0</v>
      </c>
      <c r="BN72" s="208">
        <f t="shared" si="141"/>
        <v>0</v>
      </c>
      <c r="BO72" s="208">
        <f t="shared" si="136"/>
        <v>0</v>
      </c>
      <c r="BP72" s="208">
        <f t="shared" si="137"/>
        <v>0</v>
      </c>
      <c r="BQ72" s="230">
        <f t="shared" si="115"/>
        <v>0</v>
      </c>
      <c r="BR72" s="214"/>
      <c r="BS72" s="227"/>
      <c r="BT72" s="286"/>
      <c r="BU72" s="300" t="s">
        <v>346</v>
      </c>
      <c r="BV72" s="293">
        <v>0</v>
      </c>
      <c r="BW72" s="293">
        <v>0</v>
      </c>
      <c r="BX72" s="258">
        <v>0</v>
      </c>
      <c r="BY72" s="258">
        <v>0</v>
      </c>
      <c r="BZ72" s="258">
        <v>0</v>
      </c>
      <c r="CA72" s="258">
        <v>0</v>
      </c>
      <c r="CB72" s="258">
        <v>0</v>
      </c>
      <c r="CC72" s="258">
        <v>0</v>
      </c>
      <c r="CD72" s="258">
        <v>0</v>
      </c>
      <c r="CE72" s="258">
        <v>0</v>
      </c>
      <c r="CF72" s="258">
        <v>0</v>
      </c>
      <c r="CG72" s="258">
        <v>0</v>
      </c>
      <c r="CH72" s="258">
        <v>0</v>
      </c>
      <c r="CI72" s="258">
        <v>0</v>
      </c>
      <c r="CJ72" s="258">
        <v>0</v>
      </c>
      <c r="CK72" s="258">
        <v>0</v>
      </c>
      <c r="CL72" s="258">
        <v>0</v>
      </c>
      <c r="CM72" s="258">
        <v>0</v>
      </c>
      <c r="CN72" s="258">
        <v>0</v>
      </c>
      <c r="CO72" s="258">
        <v>0</v>
      </c>
      <c r="CP72" s="301">
        <v>0</v>
      </c>
      <c r="CQ72" s="302"/>
      <c r="CR72" s="300" t="s">
        <v>346</v>
      </c>
      <c r="CS72" s="293">
        <v>0</v>
      </c>
      <c r="CT72" s="293">
        <v>0</v>
      </c>
      <c r="CU72" s="258">
        <v>0</v>
      </c>
      <c r="CV72" s="258">
        <v>0</v>
      </c>
      <c r="CW72" s="258">
        <v>0</v>
      </c>
      <c r="CX72" s="258">
        <v>0</v>
      </c>
      <c r="CY72" s="258">
        <v>0</v>
      </c>
      <c r="CZ72" s="258">
        <v>0</v>
      </c>
      <c r="DA72" s="258">
        <v>0</v>
      </c>
      <c r="DB72" s="258">
        <v>0</v>
      </c>
      <c r="DC72" s="258">
        <v>0</v>
      </c>
      <c r="DD72" s="258">
        <v>0</v>
      </c>
      <c r="DE72" s="258">
        <v>0</v>
      </c>
      <c r="DF72" s="258">
        <v>0</v>
      </c>
      <c r="DG72" s="258">
        <v>0</v>
      </c>
      <c r="DH72" s="258">
        <v>0</v>
      </c>
      <c r="DI72" s="258">
        <v>0</v>
      </c>
      <c r="DJ72" s="258">
        <v>0</v>
      </c>
      <c r="DK72" s="258">
        <v>0</v>
      </c>
      <c r="DL72" s="258">
        <v>0</v>
      </c>
      <c r="DM72" s="301">
        <v>0</v>
      </c>
      <c r="DN72" s="302"/>
      <c r="DO72" s="302"/>
      <c r="DP72" s="300" t="s">
        <v>346</v>
      </c>
      <c r="DQ72" s="293">
        <v>0</v>
      </c>
      <c r="DR72" s="293">
        <v>0</v>
      </c>
      <c r="DS72" s="258">
        <v>0</v>
      </c>
      <c r="DT72" s="258">
        <v>0</v>
      </c>
      <c r="DU72" s="258">
        <v>0</v>
      </c>
      <c r="DV72" s="258">
        <v>0</v>
      </c>
      <c r="DW72" s="258">
        <v>0</v>
      </c>
      <c r="DX72" s="258">
        <v>0</v>
      </c>
      <c r="DY72" s="258">
        <v>0</v>
      </c>
      <c r="DZ72" s="258">
        <v>0</v>
      </c>
      <c r="EA72" s="258">
        <v>0</v>
      </c>
      <c r="EB72" s="258">
        <v>0</v>
      </c>
      <c r="EC72" s="258">
        <v>0</v>
      </c>
      <c r="ED72" s="258">
        <v>0</v>
      </c>
      <c r="EE72" s="258">
        <v>0</v>
      </c>
      <c r="EF72" s="258">
        <v>0</v>
      </c>
      <c r="EG72" s="258">
        <v>0</v>
      </c>
      <c r="EH72" s="258">
        <v>0</v>
      </c>
      <c r="EI72" s="258">
        <v>0</v>
      </c>
      <c r="EJ72" s="258">
        <v>0</v>
      </c>
      <c r="EK72" s="301">
        <v>0</v>
      </c>
      <c r="EL72" s="287"/>
      <c r="EM72" s="300" t="s">
        <v>346</v>
      </c>
      <c r="EN72" s="293">
        <v>0</v>
      </c>
      <c r="EO72" s="293">
        <v>0</v>
      </c>
      <c r="EP72" s="258">
        <v>0</v>
      </c>
      <c r="EQ72" s="258">
        <v>0</v>
      </c>
      <c r="ER72" s="258">
        <v>0</v>
      </c>
      <c r="ES72" s="258">
        <v>0</v>
      </c>
      <c r="ET72" s="258">
        <v>0</v>
      </c>
      <c r="EU72" s="258">
        <v>0</v>
      </c>
      <c r="EV72" s="258">
        <v>0</v>
      </c>
      <c r="EW72" s="258">
        <v>0</v>
      </c>
      <c r="EX72" s="258">
        <v>0</v>
      </c>
      <c r="EY72" s="258">
        <v>0</v>
      </c>
      <c r="EZ72" s="258">
        <v>0</v>
      </c>
      <c r="FA72" s="258">
        <v>0</v>
      </c>
      <c r="FB72" s="258">
        <v>0</v>
      </c>
      <c r="FC72" s="258">
        <v>0</v>
      </c>
      <c r="FD72" s="258">
        <v>0</v>
      </c>
      <c r="FE72" s="258">
        <v>0</v>
      </c>
      <c r="FF72" s="258">
        <v>0</v>
      </c>
      <c r="FG72" s="258">
        <v>0</v>
      </c>
      <c r="FH72" s="301">
        <v>0</v>
      </c>
    </row>
    <row r="73" spans="2:164" x14ac:dyDescent="0.2">
      <c r="B73" s="217" t="s">
        <v>347</v>
      </c>
      <c r="C73" s="227">
        <v>0</v>
      </c>
      <c r="D73" s="228">
        <v>0</v>
      </c>
      <c r="E73" s="208">
        <v>0</v>
      </c>
      <c r="F73" s="208">
        <v>0</v>
      </c>
      <c r="G73" s="208">
        <v>0</v>
      </c>
      <c r="H73" s="208">
        <v>0</v>
      </c>
      <c r="I73" s="208">
        <v>0</v>
      </c>
      <c r="J73" s="208">
        <v>0</v>
      </c>
      <c r="K73" s="208">
        <v>0</v>
      </c>
      <c r="L73" s="208">
        <v>0</v>
      </c>
      <c r="M73" s="208">
        <v>0</v>
      </c>
      <c r="N73" s="208">
        <v>0</v>
      </c>
      <c r="O73" s="208">
        <v>0</v>
      </c>
      <c r="P73" s="208">
        <v>0</v>
      </c>
      <c r="Q73" s="208">
        <v>0</v>
      </c>
      <c r="R73" s="208">
        <v>0</v>
      </c>
      <c r="S73" s="208">
        <v>0</v>
      </c>
      <c r="T73" s="208">
        <v>0</v>
      </c>
      <c r="U73" s="208">
        <v>0</v>
      </c>
      <c r="V73" s="208">
        <v>0</v>
      </c>
      <c r="W73" s="222">
        <v>0</v>
      </c>
      <c r="X73" s="209"/>
      <c r="Y73" s="217" t="s">
        <v>347</v>
      </c>
      <c r="Z73" s="227">
        <v>0</v>
      </c>
      <c r="AA73" s="228">
        <v>0</v>
      </c>
      <c r="AB73" s="208">
        <v>0</v>
      </c>
      <c r="AC73" s="208">
        <v>0</v>
      </c>
      <c r="AD73" s="208">
        <v>0</v>
      </c>
      <c r="AE73" s="208">
        <v>0</v>
      </c>
      <c r="AF73" s="208">
        <v>0</v>
      </c>
      <c r="AG73" s="208">
        <v>0</v>
      </c>
      <c r="AH73" s="208">
        <v>0</v>
      </c>
      <c r="AI73" s="208">
        <v>0</v>
      </c>
      <c r="AJ73" s="208">
        <v>0</v>
      </c>
      <c r="AK73" s="208">
        <v>0</v>
      </c>
      <c r="AL73" s="208">
        <v>0</v>
      </c>
      <c r="AM73" s="208">
        <v>0</v>
      </c>
      <c r="AN73" s="208">
        <v>0</v>
      </c>
      <c r="AO73" s="208">
        <v>0</v>
      </c>
      <c r="AP73" s="208">
        <v>0</v>
      </c>
      <c r="AQ73" s="208">
        <v>0</v>
      </c>
      <c r="AR73" s="208">
        <v>0</v>
      </c>
      <c r="AS73" s="208">
        <v>0</v>
      </c>
      <c r="AT73" s="222">
        <v>0</v>
      </c>
      <c r="AV73" s="217" t="s">
        <v>343</v>
      </c>
      <c r="AW73" s="227">
        <f t="shared" si="138"/>
        <v>0</v>
      </c>
      <c r="AX73" s="227">
        <f t="shared" si="139"/>
        <v>0</v>
      </c>
      <c r="AY73" s="227">
        <f t="shared" si="140"/>
        <v>0</v>
      </c>
      <c r="AZ73" s="227">
        <f t="shared" si="129"/>
        <v>0</v>
      </c>
      <c r="BA73" s="227">
        <f t="shared" si="118"/>
        <v>0</v>
      </c>
      <c r="BB73" s="227">
        <f t="shared" si="148"/>
        <v>0</v>
      </c>
      <c r="BC73" s="227">
        <f t="shared" si="149"/>
        <v>0</v>
      </c>
      <c r="BD73" s="227">
        <f t="shared" si="150"/>
        <v>0</v>
      </c>
      <c r="BE73" s="227">
        <f t="shared" si="151"/>
        <v>0</v>
      </c>
      <c r="BF73" s="227">
        <f t="shared" si="152"/>
        <v>0</v>
      </c>
      <c r="BG73" s="227">
        <f t="shared" si="153"/>
        <v>0</v>
      </c>
      <c r="BH73" s="208">
        <f t="shared" si="142"/>
        <v>0</v>
      </c>
      <c r="BI73" s="208">
        <f t="shared" si="143"/>
        <v>0</v>
      </c>
      <c r="BJ73" s="208">
        <f t="shared" si="144"/>
        <v>0</v>
      </c>
      <c r="BK73" s="208">
        <f t="shared" si="145"/>
        <v>0</v>
      </c>
      <c r="BL73" s="208">
        <f t="shared" si="146"/>
        <v>0</v>
      </c>
      <c r="BM73" s="208">
        <f t="shared" si="147"/>
        <v>0</v>
      </c>
      <c r="BN73" s="208">
        <f t="shared" si="141"/>
        <v>0</v>
      </c>
      <c r="BO73" s="208">
        <f t="shared" si="136"/>
        <v>0</v>
      </c>
      <c r="BP73" s="208">
        <f t="shared" si="137"/>
        <v>0</v>
      </c>
      <c r="BQ73" s="222">
        <f t="shared" si="115"/>
        <v>0</v>
      </c>
      <c r="BR73" s="214"/>
      <c r="BS73" s="227"/>
      <c r="BT73" s="286"/>
      <c r="BU73" s="300" t="s">
        <v>347</v>
      </c>
      <c r="BV73" s="293">
        <v>0</v>
      </c>
      <c r="BW73" s="293">
        <v>0</v>
      </c>
      <c r="BX73" s="258">
        <v>0</v>
      </c>
      <c r="BY73" s="258">
        <v>0</v>
      </c>
      <c r="BZ73" s="258">
        <v>0</v>
      </c>
      <c r="CA73" s="258">
        <v>0</v>
      </c>
      <c r="CB73" s="258">
        <v>0</v>
      </c>
      <c r="CC73" s="258">
        <v>0</v>
      </c>
      <c r="CD73" s="258">
        <v>0</v>
      </c>
      <c r="CE73" s="258">
        <v>0</v>
      </c>
      <c r="CF73" s="258">
        <v>0</v>
      </c>
      <c r="CG73" s="258">
        <v>0</v>
      </c>
      <c r="CH73" s="258">
        <v>0</v>
      </c>
      <c r="CI73" s="258">
        <v>0</v>
      </c>
      <c r="CJ73" s="258">
        <v>0</v>
      </c>
      <c r="CK73" s="258">
        <v>0</v>
      </c>
      <c r="CL73" s="258">
        <v>0</v>
      </c>
      <c r="CM73" s="258">
        <v>0</v>
      </c>
      <c r="CN73" s="258">
        <v>0</v>
      </c>
      <c r="CO73" s="258">
        <v>0</v>
      </c>
      <c r="CP73" s="301">
        <v>0</v>
      </c>
      <c r="CQ73" s="302"/>
      <c r="CR73" s="300" t="s">
        <v>347</v>
      </c>
      <c r="CS73" s="293">
        <v>0</v>
      </c>
      <c r="CT73" s="293">
        <v>0</v>
      </c>
      <c r="CU73" s="258">
        <v>0</v>
      </c>
      <c r="CV73" s="258">
        <v>0</v>
      </c>
      <c r="CW73" s="258">
        <v>0</v>
      </c>
      <c r="CX73" s="258">
        <v>0</v>
      </c>
      <c r="CY73" s="258">
        <v>0</v>
      </c>
      <c r="CZ73" s="258">
        <v>0</v>
      </c>
      <c r="DA73" s="258">
        <v>0</v>
      </c>
      <c r="DB73" s="258">
        <v>0</v>
      </c>
      <c r="DC73" s="258">
        <v>0</v>
      </c>
      <c r="DD73" s="258">
        <v>0</v>
      </c>
      <c r="DE73" s="258">
        <v>0</v>
      </c>
      <c r="DF73" s="258">
        <v>0</v>
      </c>
      <c r="DG73" s="258">
        <v>0</v>
      </c>
      <c r="DH73" s="258">
        <v>0</v>
      </c>
      <c r="DI73" s="258">
        <v>0</v>
      </c>
      <c r="DJ73" s="258">
        <v>0</v>
      </c>
      <c r="DK73" s="258">
        <v>0</v>
      </c>
      <c r="DL73" s="258">
        <v>0</v>
      </c>
      <c r="DM73" s="301">
        <v>0</v>
      </c>
      <c r="DN73" s="302"/>
      <c r="DO73" s="302"/>
      <c r="DP73" s="300" t="s">
        <v>347</v>
      </c>
      <c r="DQ73" s="293">
        <v>0</v>
      </c>
      <c r="DR73" s="293">
        <v>0</v>
      </c>
      <c r="DS73" s="258">
        <v>0</v>
      </c>
      <c r="DT73" s="258">
        <v>0</v>
      </c>
      <c r="DU73" s="258">
        <v>0</v>
      </c>
      <c r="DV73" s="258">
        <v>0</v>
      </c>
      <c r="DW73" s="258">
        <v>0</v>
      </c>
      <c r="DX73" s="258">
        <v>0</v>
      </c>
      <c r="DY73" s="258">
        <v>0</v>
      </c>
      <c r="DZ73" s="258">
        <v>0</v>
      </c>
      <c r="EA73" s="258">
        <v>0</v>
      </c>
      <c r="EB73" s="258">
        <v>0</v>
      </c>
      <c r="EC73" s="258">
        <v>0</v>
      </c>
      <c r="ED73" s="258">
        <v>0</v>
      </c>
      <c r="EE73" s="258">
        <v>0</v>
      </c>
      <c r="EF73" s="258">
        <v>0</v>
      </c>
      <c r="EG73" s="258">
        <v>0</v>
      </c>
      <c r="EH73" s="258">
        <v>0</v>
      </c>
      <c r="EI73" s="258">
        <v>0</v>
      </c>
      <c r="EJ73" s="258">
        <v>0</v>
      </c>
      <c r="EK73" s="301">
        <v>0</v>
      </c>
      <c r="EL73" s="287"/>
      <c r="EM73" s="300" t="s">
        <v>347</v>
      </c>
      <c r="EN73" s="293">
        <v>0</v>
      </c>
      <c r="EO73" s="293">
        <v>0</v>
      </c>
      <c r="EP73" s="258">
        <v>0</v>
      </c>
      <c r="EQ73" s="258">
        <v>0</v>
      </c>
      <c r="ER73" s="258">
        <v>0</v>
      </c>
      <c r="ES73" s="258">
        <v>0</v>
      </c>
      <c r="ET73" s="258">
        <v>0</v>
      </c>
      <c r="EU73" s="258">
        <v>0</v>
      </c>
      <c r="EV73" s="258">
        <v>0</v>
      </c>
      <c r="EW73" s="258">
        <v>0</v>
      </c>
      <c r="EX73" s="258">
        <v>0</v>
      </c>
      <c r="EY73" s="258">
        <v>0</v>
      </c>
      <c r="EZ73" s="258">
        <v>0</v>
      </c>
      <c r="FA73" s="258">
        <v>0</v>
      </c>
      <c r="FB73" s="258">
        <v>0</v>
      </c>
      <c r="FC73" s="258">
        <v>0</v>
      </c>
      <c r="FD73" s="258">
        <v>0</v>
      </c>
      <c r="FE73" s="258">
        <v>0</v>
      </c>
      <c r="FF73" s="258">
        <v>0</v>
      </c>
      <c r="FG73" s="258">
        <v>0</v>
      </c>
      <c r="FH73" s="301">
        <v>0</v>
      </c>
    </row>
    <row r="74" spans="2:164" x14ac:dyDescent="0.2">
      <c r="B74" s="218" t="s">
        <v>7</v>
      </c>
      <c r="C74" s="219">
        <v>85</v>
      </c>
      <c r="D74" s="220">
        <v>749</v>
      </c>
      <c r="E74" s="221">
        <v>1765</v>
      </c>
      <c r="F74" s="221">
        <v>306</v>
      </c>
      <c r="G74" s="221">
        <v>129</v>
      </c>
      <c r="H74" s="221">
        <v>132</v>
      </c>
      <c r="I74" s="221">
        <v>19</v>
      </c>
      <c r="J74" s="221">
        <v>0</v>
      </c>
      <c r="K74" s="221">
        <v>3</v>
      </c>
      <c r="L74" s="221">
        <v>17</v>
      </c>
      <c r="M74" s="221">
        <v>2</v>
      </c>
      <c r="N74" s="221">
        <v>6</v>
      </c>
      <c r="O74" s="221">
        <v>6</v>
      </c>
      <c r="P74" s="221">
        <v>0</v>
      </c>
      <c r="Q74" s="221">
        <v>0</v>
      </c>
      <c r="R74" s="221">
        <v>8</v>
      </c>
      <c r="S74" s="221">
        <v>0</v>
      </c>
      <c r="T74" s="221">
        <v>0</v>
      </c>
      <c r="U74" s="221">
        <v>5</v>
      </c>
      <c r="V74" s="221">
        <v>0</v>
      </c>
      <c r="W74" s="223">
        <v>3232</v>
      </c>
      <c r="Y74" s="218" t="s">
        <v>7</v>
      </c>
      <c r="Z74" s="219">
        <v>54766.992759761451</v>
      </c>
      <c r="AA74" s="220">
        <v>156620.33591342525</v>
      </c>
      <c r="AB74" s="221">
        <v>353350.48607577587</v>
      </c>
      <c r="AC74" s="221">
        <v>89119.269549765304</v>
      </c>
      <c r="AD74" s="221">
        <v>48318.599035083847</v>
      </c>
      <c r="AE74" s="221">
        <v>32781.20324323012</v>
      </c>
      <c r="AF74" s="221">
        <v>2170.8827687191147</v>
      </c>
      <c r="AG74" s="221">
        <v>0</v>
      </c>
      <c r="AH74" s="221">
        <v>0</v>
      </c>
      <c r="AI74" s="221">
        <v>329.9820498774892</v>
      </c>
      <c r="AJ74" s="221">
        <v>309.86753626005873</v>
      </c>
      <c r="AK74" s="221">
        <v>9019.0271353957087</v>
      </c>
      <c r="AL74" s="221">
        <v>674.66253553343176</v>
      </c>
      <c r="AM74" s="221">
        <v>0</v>
      </c>
      <c r="AN74" s="221">
        <v>0</v>
      </c>
      <c r="AO74" s="221">
        <v>5359.8241140783266</v>
      </c>
      <c r="AP74" s="221">
        <v>0</v>
      </c>
      <c r="AQ74" s="221">
        <v>0</v>
      </c>
      <c r="AR74" s="221">
        <v>16394.821923644446</v>
      </c>
      <c r="AS74" s="221">
        <v>0</v>
      </c>
      <c r="AT74" s="223">
        <v>769215.95464055054</v>
      </c>
      <c r="AV74" s="218" t="s">
        <v>7</v>
      </c>
      <c r="AW74" s="254">
        <f>SUM(AW54:AW73)</f>
        <v>54766.992759761451</v>
      </c>
      <c r="AX74" s="254">
        <f t="shared" ref="AX74" si="154">SUM(AX54:AX73)</f>
        <v>155958.58818220359</v>
      </c>
      <c r="AY74" s="254">
        <f t="shared" ref="AY74" si="155">SUM(AY54:AY73)</f>
        <v>352846.31375933922</v>
      </c>
      <c r="AZ74" s="254">
        <f t="shared" ref="AZ74" si="156">SUM(AZ54:AZ73)</f>
        <v>89119.269549765304</v>
      </c>
      <c r="BA74" s="254">
        <f t="shared" ref="BA74" si="157">SUM(BA54:BA73)</f>
        <v>48318.599035083847</v>
      </c>
      <c r="BB74" s="254">
        <f t="shared" ref="BB74" si="158">SUM(BB54:BB73)</f>
        <v>32781.20324323012</v>
      </c>
      <c r="BC74" s="254">
        <f t="shared" ref="BC74" si="159">SUM(BC54:BC73)</f>
        <v>2170.8827687191147</v>
      </c>
      <c r="BD74" s="254">
        <f t="shared" ref="BD74" si="160">SUM(BD54:BD73)</f>
        <v>0</v>
      </c>
      <c r="BE74" s="254">
        <f t="shared" ref="BE74" si="161">SUM(BE54:BE73)</f>
        <v>0</v>
      </c>
      <c r="BF74" s="254">
        <f t="shared" ref="BF74" si="162">SUM(BF54:BF73)</f>
        <v>329.9820498774892</v>
      </c>
      <c r="BG74" s="254">
        <f t="shared" ref="BG74" si="163">SUM(BG54:BG73)</f>
        <v>309.86753626005873</v>
      </c>
      <c r="BH74" s="254">
        <f t="shared" ref="BH74" si="164">SUM(BH54:BH73)</f>
        <v>0</v>
      </c>
      <c r="BI74" s="254">
        <f t="shared" ref="BI74" si="165">SUM(BI54:BI73)</f>
        <v>337.33126776671588</v>
      </c>
      <c r="BJ74" s="254">
        <f t="shared" ref="BJ74" si="166">SUM(BJ54:BJ73)</f>
        <v>0</v>
      </c>
      <c r="BK74" s="254">
        <f t="shared" ref="BK74" si="167">SUM(BK54:BK73)</f>
        <v>0</v>
      </c>
      <c r="BL74" s="254">
        <f t="shared" ref="BL74" si="168">SUM(BL54:BL73)</f>
        <v>1795.5454752405462</v>
      </c>
      <c r="BM74" s="254">
        <f t="shared" ref="BM74" si="169">SUM(BM54:BM73)</f>
        <v>0</v>
      </c>
      <c r="BN74" s="254">
        <f t="shared" ref="BN74" si="170">SUM(BN54:BN73)</f>
        <v>0</v>
      </c>
      <c r="BO74" s="254">
        <f t="shared" ref="BO74" si="171">SUM(BO54:BO73)</f>
        <v>16394.821923644446</v>
      </c>
      <c r="BP74" s="254">
        <f t="shared" ref="BP74" si="172">SUM(BP54:BP73)</f>
        <v>0</v>
      </c>
      <c r="BQ74" s="222">
        <f t="shared" si="115"/>
        <v>755129.39755089197</v>
      </c>
      <c r="BR74" s="214"/>
      <c r="BT74" s="286"/>
      <c r="BU74" s="303" t="s">
        <v>7</v>
      </c>
      <c r="BV74" s="304">
        <v>28</v>
      </c>
      <c r="BW74" s="304">
        <v>55</v>
      </c>
      <c r="BX74" s="305">
        <v>176</v>
      </c>
      <c r="BY74" s="305">
        <v>0</v>
      </c>
      <c r="BZ74" s="305">
        <v>0</v>
      </c>
      <c r="CA74" s="305">
        <v>0</v>
      </c>
      <c r="CB74" s="305">
        <v>0</v>
      </c>
      <c r="CC74" s="305">
        <v>0</v>
      </c>
      <c r="CD74" s="305">
        <v>0</v>
      </c>
      <c r="CE74" s="305">
        <v>0</v>
      </c>
      <c r="CF74" s="305">
        <v>0</v>
      </c>
      <c r="CG74" s="305">
        <v>0</v>
      </c>
      <c r="CH74" s="305">
        <v>0</v>
      </c>
      <c r="CI74" s="305">
        <v>0</v>
      </c>
      <c r="CJ74" s="305">
        <v>0</v>
      </c>
      <c r="CK74" s="305">
        <v>0</v>
      </c>
      <c r="CL74" s="305">
        <v>0</v>
      </c>
      <c r="CM74" s="305">
        <v>0</v>
      </c>
      <c r="CN74" s="305">
        <v>0</v>
      </c>
      <c r="CO74" s="305">
        <v>0</v>
      </c>
      <c r="CP74" s="306">
        <v>259</v>
      </c>
      <c r="CQ74" s="302"/>
      <c r="CR74" s="303" t="s">
        <v>7</v>
      </c>
      <c r="CS74" s="304">
        <v>30495.637877640213</v>
      </c>
      <c r="CT74" s="304">
        <v>4671.480733499774</v>
      </c>
      <c r="CU74" s="305">
        <v>75420.184470239401</v>
      </c>
      <c r="CV74" s="305">
        <v>0</v>
      </c>
      <c r="CW74" s="305">
        <v>0</v>
      </c>
      <c r="CX74" s="305">
        <v>0</v>
      </c>
      <c r="CY74" s="305">
        <v>0</v>
      </c>
      <c r="CZ74" s="305">
        <v>0</v>
      </c>
      <c r="DA74" s="305">
        <v>0</v>
      </c>
      <c r="DB74" s="305">
        <v>0</v>
      </c>
      <c r="DC74" s="305">
        <v>0</v>
      </c>
      <c r="DD74" s="305">
        <v>0</v>
      </c>
      <c r="DE74" s="305">
        <v>0</v>
      </c>
      <c r="DF74" s="305">
        <v>0</v>
      </c>
      <c r="DG74" s="305">
        <v>0</v>
      </c>
      <c r="DH74" s="305">
        <v>0</v>
      </c>
      <c r="DI74" s="305">
        <v>0</v>
      </c>
      <c r="DJ74" s="305">
        <v>0</v>
      </c>
      <c r="DK74" s="305">
        <v>0</v>
      </c>
      <c r="DL74" s="305">
        <v>0</v>
      </c>
      <c r="DM74" s="306">
        <v>110587.30308137939</v>
      </c>
      <c r="DN74" s="302"/>
      <c r="DO74" s="302"/>
      <c r="DP74" s="303" t="s">
        <v>7</v>
      </c>
      <c r="DQ74" s="304">
        <v>28</v>
      </c>
      <c r="DR74" s="304">
        <v>92</v>
      </c>
      <c r="DS74" s="305">
        <v>240</v>
      </c>
      <c r="DT74" s="305">
        <v>21</v>
      </c>
      <c r="DU74" s="305">
        <v>0</v>
      </c>
      <c r="DV74" s="305">
        <v>0</v>
      </c>
      <c r="DW74" s="305">
        <v>0</v>
      </c>
      <c r="DX74" s="305">
        <v>0</v>
      </c>
      <c r="DY74" s="305">
        <v>0</v>
      </c>
      <c r="DZ74" s="305">
        <v>0</v>
      </c>
      <c r="EA74" s="305">
        <v>0</v>
      </c>
      <c r="EB74" s="305">
        <v>0</v>
      </c>
      <c r="EC74" s="305">
        <v>0</v>
      </c>
      <c r="ED74" s="305">
        <v>0</v>
      </c>
      <c r="EE74" s="305">
        <v>0</v>
      </c>
      <c r="EF74" s="305">
        <v>0</v>
      </c>
      <c r="EG74" s="305">
        <v>0</v>
      </c>
      <c r="EH74" s="305">
        <v>0</v>
      </c>
      <c r="EI74" s="305">
        <v>0</v>
      </c>
      <c r="EJ74" s="305">
        <v>0</v>
      </c>
      <c r="EK74" s="306">
        <v>381</v>
      </c>
      <c r="EL74" s="287"/>
      <c r="EM74" s="303" t="s">
        <v>7</v>
      </c>
      <c r="EN74" s="304">
        <v>30495.637877640213</v>
      </c>
      <c r="EO74" s="304">
        <v>11975.529471351323</v>
      </c>
      <c r="EP74" s="305">
        <v>102390.43836613165</v>
      </c>
      <c r="EQ74" s="305">
        <v>638.07084980241848</v>
      </c>
      <c r="ER74" s="305">
        <v>0</v>
      </c>
      <c r="ES74" s="305">
        <v>0</v>
      </c>
      <c r="ET74" s="305">
        <v>0</v>
      </c>
      <c r="EU74" s="305">
        <v>0</v>
      </c>
      <c r="EV74" s="305">
        <v>0</v>
      </c>
      <c r="EW74" s="305">
        <v>0</v>
      </c>
      <c r="EX74" s="305">
        <v>0</v>
      </c>
      <c r="EY74" s="305">
        <v>0</v>
      </c>
      <c r="EZ74" s="305">
        <v>0</v>
      </c>
      <c r="FA74" s="305">
        <v>0</v>
      </c>
      <c r="FB74" s="305">
        <v>0</v>
      </c>
      <c r="FC74" s="305">
        <v>0</v>
      </c>
      <c r="FD74" s="305">
        <v>0</v>
      </c>
      <c r="FE74" s="305">
        <v>0</v>
      </c>
      <c r="FF74" s="305">
        <v>0</v>
      </c>
      <c r="FG74" s="305">
        <v>0</v>
      </c>
      <c r="FH74" s="306">
        <v>145499.67656492561</v>
      </c>
    </row>
    <row r="75" spans="2:164" x14ac:dyDescent="0.2">
      <c r="B75" s="214"/>
      <c r="D75" s="206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Y75" s="214"/>
      <c r="AA75" s="206"/>
      <c r="AB75" s="208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  <c r="AM75" s="208"/>
      <c r="AN75" s="208"/>
      <c r="AO75" s="208"/>
      <c r="AP75" s="208"/>
      <c r="AQ75" s="208"/>
      <c r="AR75" s="208"/>
      <c r="AS75" s="208"/>
      <c r="AT75" s="208"/>
      <c r="AV75" s="214"/>
      <c r="AX75" s="206"/>
      <c r="AY75" s="208"/>
      <c r="AZ75" s="208"/>
      <c r="BA75" s="208"/>
      <c r="BB75" s="208"/>
      <c r="BC75" s="208"/>
      <c r="BD75" s="208"/>
      <c r="BE75" s="208"/>
      <c r="BF75" s="208"/>
      <c r="BG75" s="208"/>
      <c r="BH75" s="208"/>
      <c r="BI75" s="208"/>
      <c r="BJ75" s="208"/>
      <c r="BK75" s="208"/>
      <c r="BL75" s="208"/>
      <c r="BM75" s="208"/>
      <c r="BN75" s="208"/>
      <c r="BO75" s="208"/>
      <c r="BP75" s="208"/>
      <c r="BQ75" s="208"/>
      <c r="BR75" s="214"/>
      <c r="BT75" s="286"/>
      <c r="BU75" s="307"/>
      <c r="BV75" s="308"/>
      <c r="BW75" s="308"/>
      <c r="BX75" s="258"/>
      <c r="BY75" s="258"/>
      <c r="BZ75" s="258"/>
      <c r="CA75" s="258"/>
      <c r="CB75" s="258"/>
      <c r="CC75" s="258"/>
      <c r="CD75" s="258"/>
      <c r="CE75" s="258"/>
      <c r="CF75" s="258"/>
      <c r="CG75" s="258"/>
      <c r="CH75" s="258"/>
      <c r="CI75" s="258"/>
      <c r="CJ75" s="258"/>
      <c r="CK75" s="258"/>
      <c r="CL75" s="258"/>
      <c r="CM75" s="258"/>
      <c r="CN75" s="258"/>
      <c r="CO75" s="258"/>
      <c r="CP75" s="258"/>
      <c r="CQ75" s="302"/>
      <c r="CR75" s="307"/>
      <c r="CS75" s="308"/>
      <c r="CT75" s="308"/>
      <c r="CU75" s="258"/>
      <c r="CV75" s="258"/>
      <c r="CW75" s="258"/>
      <c r="CX75" s="258"/>
      <c r="CY75" s="258"/>
      <c r="CZ75" s="258"/>
      <c r="DA75" s="258"/>
      <c r="DB75" s="258"/>
      <c r="DC75" s="258"/>
      <c r="DD75" s="258"/>
      <c r="DE75" s="258"/>
      <c r="DF75" s="258"/>
      <c r="DG75" s="258"/>
      <c r="DH75" s="258"/>
      <c r="DI75" s="258"/>
      <c r="DJ75" s="258"/>
      <c r="DK75" s="258"/>
      <c r="DL75" s="258"/>
      <c r="DM75" s="258"/>
      <c r="DN75" s="302"/>
      <c r="DO75" s="302"/>
      <c r="DP75" s="307"/>
      <c r="DQ75" s="308"/>
      <c r="DR75" s="308"/>
      <c r="DS75" s="258"/>
      <c r="DT75" s="258"/>
      <c r="DU75" s="258"/>
      <c r="DV75" s="258"/>
      <c r="DW75" s="258"/>
      <c r="DX75" s="258"/>
      <c r="DY75" s="258"/>
      <c r="DZ75" s="258"/>
      <c r="EA75" s="258"/>
      <c r="EB75" s="258"/>
      <c r="EC75" s="258"/>
      <c r="ED75" s="258"/>
      <c r="EE75" s="258"/>
      <c r="EF75" s="258"/>
      <c r="EG75" s="258"/>
      <c r="EH75" s="258"/>
      <c r="EI75" s="258"/>
      <c r="EJ75" s="258"/>
      <c r="EK75" s="258"/>
      <c r="EL75" s="287"/>
      <c r="EM75" s="307"/>
      <c r="EN75" s="308"/>
      <c r="EO75" s="308"/>
      <c r="EP75" s="258"/>
      <c r="EQ75" s="258"/>
      <c r="ER75" s="258"/>
      <c r="ES75" s="258"/>
      <c r="ET75" s="258"/>
      <c r="EU75" s="258"/>
      <c r="EV75" s="258"/>
      <c r="EW75" s="258"/>
      <c r="EX75" s="258"/>
      <c r="EY75" s="258"/>
      <c r="EZ75" s="258"/>
      <c r="FA75" s="258"/>
      <c r="FB75" s="258"/>
      <c r="FC75" s="258"/>
      <c r="FD75" s="258"/>
      <c r="FE75" s="258"/>
      <c r="FF75" s="258"/>
      <c r="FG75" s="258"/>
      <c r="FH75" s="258"/>
    </row>
    <row r="76" spans="2:164" x14ac:dyDescent="0.2">
      <c r="B76" s="214" t="s">
        <v>232</v>
      </c>
      <c r="D76" s="206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Y76" s="214" t="s">
        <v>232</v>
      </c>
      <c r="AA76" s="206"/>
      <c r="AB76" s="208"/>
      <c r="AC76" s="208"/>
      <c r="AD76" s="208"/>
      <c r="AE76" s="208"/>
      <c r="AF76" s="208"/>
      <c r="AG76" s="208"/>
      <c r="AH76" s="208"/>
      <c r="AI76" s="208"/>
      <c r="AJ76" s="208"/>
      <c r="AK76" s="208"/>
      <c r="AL76" s="208"/>
      <c r="AM76" s="208"/>
      <c r="AN76" s="208"/>
      <c r="AO76" s="208"/>
      <c r="AP76" s="208"/>
      <c r="AQ76" s="208"/>
      <c r="AR76" s="208"/>
      <c r="AS76" s="208"/>
      <c r="AT76" s="208"/>
      <c r="AV76" s="214" t="s">
        <v>232</v>
      </c>
      <c r="AX76" s="206"/>
      <c r="AY76" s="208"/>
      <c r="AZ76" s="208"/>
      <c r="BA76" s="208"/>
      <c r="BB76" s="208"/>
      <c r="BC76" s="208"/>
      <c r="BD76" s="208"/>
      <c r="BE76" s="208"/>
      <c r="BF76" s="208"/>
      <c r="BG76" s="208"/>
      <c r="BH76" s="208"/>
      <c r="BI76" s="208"/>
      <c r="BJ76" s="208"/>
      <c r="BK76" s="208"/>
      <c r="BL76" s="208"/>
      <c r="BM76" s="208"/>
      <c r="BN76" s="208"/>
      <c r="BO76" s="208"/>
      <c r="BP76" s="208"/>
      <c r="BQ76" s="208"/>
      <c r="BR76" s="214"/>
      <c r="BT76" s="286"/>
      <c r="BU76" s="307" t="s">
        <v>232</v>
      </c>
      <c r="BV76" s="308"/>
      <c r="BW76" s="308"/>
      <c r="BX76" s="258"/>
      <c r="BY76" s="258"/>
      <c r="BZ76" s="258"/>
      <c r="CA76" s="258"/>
      <c r="CB76" s="258"/>
      <c r="CC76" s="258"/>
      <c r="CD76" s="258"/>
      <c r="CE76" s="258"/>
      <c r="CF76" s="258"/>
      <c r="CG76" s="258"/>
      <c r="CH76" s="258"/>
      <c r="CI76" s="258"/>
      <c r="CJ76" s="258"/>
      <c r="CK76" s="258"/>
      <c r="CL76" s="258"/>
      <c r="CM76" s="258"/>
      <c r="CN76" s="258"/>
      <c r="CO76" s="258"/>
      <c r="CP76" s="258"/>
      <c r="CQ76" s="302"/>
      <c r="CR76" s="307" t="s">
        <v>232</v>
      </c>
      <c r="CS76" s="308"/>
      <c r="CT76" s="308"/>
      <c r="CU76" s="258"/>
      <c r="CV76" s="258"/>
      <c r="CW76" s="258"/>
      <c r="CX76" s="258"/>
      <c r="CY76" s="258"/>
      <c r="CZ76" s="258"/>
      <c r="DA76" s="258"/>
      <c r="DB76" s="258"/>
      <c r="DC76" s="258"/>
      <c r="DD76" s="258"/>
      <c r="DE76" s="258"/>
      <c r="DF76" s="258"/>
      <c r="DG76" s="258"/>
      <c r="DH76" s="258"/>
      <c r="DI76" s="258"/>
      <c r="DJ76" s="258"/>
      <c r="DK76" s="258"/>
      <c r="DL76" s="258"/>
      <c r="DM76" s="258"/>
      <c r="DN76" s="302"/>
      <c r="DO76" s="302"/>
      <c r="DP76" s="307" t="s">
        <v>232</v>
      </c>
      <c r="DQ76" s="308"/>
      <c r="DR76" s="308"/>
      <c r="DS76" s="258"/>
      <c r="DT76" s="258"/>
      <c r="DU76" s="258"/>
      <c r="DV76" s="258"/>
      <c r="DW76" s="258"/>
      <c r="DX76" s="258"/>
      <c r="DY76" s="258"/>
      <c r="DZ76" s="258"/>
      <c r="EA76" s="258"/>
      <c r="EB76" s="258"/>
      <c r="EC76" s="258"/>
      <c r="ED76" s="258"/>
      <c r="EE76" s="258"/>
      <c r="EF76" s="258"/>
      <c r="EG76" s="258"/>
      <c r="EH76" s="258"/>
      <c r="EI76" s="258"/>
      <c r="EJ76" s="258"/>
      <c r="EK76" s="258"/>
      <c r="EL76" s="287"/>
      <c r="EM76" s="307" t="s">
        <v>232</v>
      </c>
      <c r="EN76" s="308"/>
      <c r="EO76" s="308"/>
      <c r="EP76" s="258"/>
      <c r="EQ76" s="258"/>
      <c r="ER76" s="258"/>
      <c r="ES76" s="258"/>
      <c r="ET76" s="258"/>
      <c r="EU76" s="258"/>
      <c r="EV76" s="258"/>
      <c r="EW76" s="258"/>
      <c r="EX76" s="258"/>
      <c r="EY76" s="258"/>
      <c r="EZ76" s="258"/>
      <c r="FA76" s="258"/>
      <c r="FB76" s="258"/>
      <c r="FC76" s="258"/>
      <c r="FD76" s="258"/>
      <c r="FE76" s="258"/>
      <c r="FF76" s="258"/>
      <c r="FG76" s="258"/>
      <c r="FH76" s="258"/>
    </row>
    <row r="77" spans="2:164" ht="36" x14ac:dyDescent="0.2">
      <c r="B77" s="224" t="s">
        <v>330</v>
      </c>
      <c r="C77" s="225" t="s">
        <v>331</v>
      </c>
      <c r="D77" s="225" t="s">
        <v>332</v>
      </c>
      <c r="E77" s="225" t="s">
        <v>333</v>
      </c>
      <c r="F77" s="225" t="s">
        <v>2</v>
      </c>
      <c r="G77" s="225" t="s">
        <v>3</v>
      </c>
      <c r="H77" s="225" t="s">
        <v>334</v>
      </c>
      <c r="I77" s="225" t="s">
        <v>352</v>
      </c>
      <c r="J77" s="225" t="s">
        <v>346</v>
      </c>
      <c r="K77" s="225" t="s">
        <v>335</v>
      </c>
      <c r="L77" s="225" t="s">
        <v>336</v>
      </c>
      <c r="M77" s="225" t="s">
        <v>337</v>
      </c>
      <c r="N77" s="225" t="s">
        <v>338</v>
      </c>
      <c r="O77" s="225" t="s">
        <v>353</v>
      </c>
      <c r="P77" s="225" t="s">
        <v>347</v>
      </c>
      <c r="Q77" s="225" t="s">
        <v>339</v>
      </c>
      <c r="R77" s="225" t="s">
        <v>340</v>
      </c>
      <c r="S77" s="225" t="s">
        <v>341</v>
      </c>
      <c r="T77" s="225" t="s">
        <v>6</v>
      </c>
      <c r="U77" s="225" t="s">
        <v>342</v>
      </c>
      <c r="V77" s="225" t="s">
        <v>343</v>
      </c>
      <c r="W77" s="226" t="s">
        <v>7</v>
      </c>
      <c r="X77" s="207"/>
      <c r="Y77" s="224" t="s">
        <v>330</v>
      </c>
      <c r="Z77" s="225" t="s">
        <v>331</v>
      </c>
      <c r="AA77" s="225" t="s">
        <v>332</v>
      </c>
      <c r="AB77" s="225" t="s">
        <v>333</v>
      </c>
      <c r="AC77" s="225" t="s">
        <v>2</v>
      </c>
      <c r="AD77" s="225" t="s">
        <v>3</v>
      </c>
      <c r="AE77" s="225" t="s">
        <v>334</v>
      </c>
      <c r="AF77" s="225" t="s">
        <v>352</v>
      </c>
      <c r="AG77" s="225" t="s">
        <v>346</v>
      </c>
      <c r="AH77" s="225" t="s">
        <v>335</v>
      </c>
      <c r="AI77" s="225" t="s">
        <v>336</v>
      </c>
      <c r="AJ77" s="225" t="s">
        <v>337</v>
      </c>
      <c r="AK77" s="225" t="s">
        <v>338</v>
      </c>
      <c r="AL77" s="225" t="s">
        <v>353</v>
      </c>
      <c r="AM77" s="225" t="s">
        <v>347</v>
      </c>
      <c r="AN77" s="225" t="s">
        <v>339</v>
      </c>
      <c r="AO77" s="225" t="s">
        <v>340</v>
      </c>
      <c r="AP77" s="225" t="s">
        <v>341</v>
      </c>
      <c r="AQ77" s="225" t="s">
        <v>6</v>
      </c>
      <c r="AR77" s="225" t="s">
        <v>342</v>
      </c>
      <c r="AS77" s="225" t="s">
        <v>343</v>
      </c>
      <c r="AT77" s="226" t="s">
        <v>7</v>
      </c>
      <c r="AV77" s="224" t="s">
        <v>330</v>
      </c>
      <c r="AW77" s="225" t="s">
        <v>331</v>
      </c>
      <c r="AX77" s="225" t="s">
        <v>332</v>
      </c>
      <c r="AY77" s="225" t="s">
        <v>333</v>
      </c>
      <c r="AZ77" s="225" t="s">
        <v>2</v>
      </c>
      <c r="BA77" s="225" t="s">
        <v>3</v>
      </c>
      <c r="BB77" s="225" t="s">
        <v>334</v>
      </c>
      <c r="BC77" s="225" t="s">
        <v>350</v>
      </c>
      <c r="BD77" s="225" t="s">
        <v>346</v>
      </c>
      <c r="BE77" s="225" t="s">
        <v>335</v>
      </c>
      <c r="BF77" s="225" t="s">
        <v>336</v>
      </c>
      <c r="BG77" s="225" t="s">
        <v>337</v>
      </c>
      <c r="BH77" s="225" t="s">
        <v>338</v>
      </c>
      <c r="BI77" s="225" t="s">
        <v>349</v>
      </c>
      <c r="BJ77" s="225" t="s">
        <v>347</v>
      </c>
      <c r="BK77" s="225" t="s">
        <v>339</v>
      </c>
      <c r="BL77" s="225" t="s">
        <v>340</v>
      </c>
      <c r="BM77" s="225" t="s">
        <v>341</v>
      </c>
      <c r="BN77" s="225" t="s">
        <v>6</v>
      </c>
      <c r="BO77" s="225" t="s">
        <v>342</v>
      </c>
      <c r="BP77" s="225" t="s">
        <v>343</v>
      </c>
      <c r="BQ77" s="226" t="s">
        <v>7</v>
      </c>
      <c r="BR77" s="235"/>
      <c r="BS77" s="236"/>
      <c r="BT77" s="283"/>
      <c r="BU77" s="288" t="s">
        <v>330</v>
      </c>
      <c r="BV77" s="289" t="s">
        <v>331</v>
      </c>
      <c r="BW77" s="289" t="s">
        <v>332</v>
      </c>
      <c r="BX77" s="289" t="s">
        <v>333</v>
      </c>
      <c r="BY77" s="289" t="s">
        <v>2</v>
      </c>
      <c r="BZ77" s="289" t="s">
        <v>3</v>
      </c>
      <c r="CA77" s="289" t="s">
        <v>334</v>
      </c>
      <c r="CB77" s="289" t="s">
        <v>352</v>
      </c>
      <c r="CC77" s="289" t="s">
        <v>346</v>
      </c>
      <c r="CD77" s="289" t="s">
        <v>335</v>
      </c>
      <c r="CE77" s="289" t="s">
        <v>336</v>
      </c>
      <c r="CF77" s="289" t="s">
        <v>337</v>
      </c>
      <c r="CG77" s="289" t="s">
        <v>338</v>
      </c>
      <c r="CH77" s="289" t="s">
        <v>353</v>
      </c>
      <c r="CI77" s="289" t="s">
        <v>347</v>
      </c>
      <c r="CJ77" s="289" t="s">
        <v>339</v>
      </c>
      <c r="CK77" s="289" t="s">
        <v>340</v>
      </c>
      <c r="CL77" s="289" t="s">
        <v>341</v>
      </c>
      <c r="CM77" s="289" t="s">
        <v>6</v>
      </c>
      <c r="CN77" s="289" t="s">
        <v>342</v>
      </c>
      <c r="CO77" s="289" t="s">
        <v>343</v>
      </c>
      <c r="CP77" s="290" t="s">
        <v>7</v>
      </c>
      <c r="CQ77" s="291"/>
      <c r="CR77" s="288" t="s">
        <v>330</v>
      </c>
      <c r="CS77" s="289" t="s">
        <v>331</v>
      </c>
      <c r="CT77" s="289" t="s">
        <v>332</v>
      </c>
      <c r="CU77" s="289" t="s">
        <v>333</v>
      </c>
      <c r="CV77" s="289" t="s">
        <v>2</v>
      </c>
      <c r="CW77" s="289" t="s">
        <v>3</v>
      </c>
      <c r="CX77" s="289" t="s">
        <v>334</v>
      </c>
      <c r="CY77" s="289" t="s">
        <v>352</v>
      </c>
      <c r="CZ77" s="289" t="s">
        <v>346</v>
      </c>
      <c r="DA77" s="289" t="s">
        <v>335</v>
      </c>
      <c r="DB77" s="289" t="s">
        <v>336</v>
      </c>
      <c r="DC77" s="289" t="s">
        <v>337</v>
      </c>
      <c r="DD77" s="289" t="s">
        <v>338</v>
      </c>
      <c r="DE77" s="289" t="s">
        <v>353</v>
      </c>
      <c r="DF77" s="289" t="s">
        <v>347</v>
      </c>
      <c r="DG77" s="289" t="s">
        <v>339</v>
      </c>
      <c r="DH77" s="289" t="s">
        <v>340</v>
      </c>
      <c r="DI77" s="289" t="s">
        <v>341</v>
      </c>
      <c r="DJ77" s="289" t="s">
        <v>6</v>
      </c>
      <c r="DK77" s="289" t="s">
        <v>342</v>
      </c>
      <c r="DL77" s="289" t="s">
        <v>343</v>
      </c>
      <c r="DM77" s="290" t="s">
        <v>7</v>
      </c>
      <c r="DN77" s="302"/>
      <c r="DO77" s="291"/>
      <c r="DP77" s="288" t="s">
        <v>330</v>
      </c>
      <c r="DQ77" s="289" t="s">
        <v>331</v>
      </c>
      <c r="DR77" s="289" t="s">
        <v>332</v>
      </c>
      <c r="DS77" s="289" t="s">
        <v>333</v>
      </c>
      <c r="DT77" s="289" t="s">
        <v>2</v>
      </c>
      <c r="DU77" s="289" t="s">
        <v>3</v>
      </c>
      <c r="DV77" s="289" t="s">
        <v>334</v>
      </c>
      <c r="DW77" s="289" t="s">
        <v>352</v>
      </c>
      <c r="DX77" s="289" t="s">
        <v>346</v>
      </c>
      <c r="DY77" s="289" t="s">
        <v>335</v>
      </c>
      <c r="DZ77" s="289" t="s">
        <v>336</v>
      </c>
      <c r="EA77" s="289" t="s">
        <v>337</v>
      </c>
      <c r="EB77" s="289" t="s">
        <v>338</v>
      </c>
      <c r="EC77" s="289" t="s">
        <v>353</v>
      </c>
      <c r="ED77" s="289" t="s">
        <v>347</v>
      </c>
      <c r="EE77" s="289" t="s">
        <v>339</v>
      </c>
      <c r="EF77" s="289" t="s">
        <v>340</v>
      </c>
      <c r="EG77" s="289" t="s">
        <v>341</v>
      </c>
      <c r="EH77" s="289" t="s">
        <v>6</v>
      </c>
      <c r="EI77" s="289" t="s">
        <v>342</v>
      </c>
      <c r="EJ77" s="289" t="s">
        <v>343</v>
      </c>
      <c r="EK77" s="290" t="s">
        <v>7</v>
      </c>
      <c r="EL77" s="287"/>
      <c r="EM77" s="288" t="s">
        <v>330</v>
      </c>
      <c r="EN77" s="289" t="s">
        <v>331</v>
      </c>
      <c r="EO77" s="289" t="s">
        <v>332</v>
      </c>
      <c r="EP77" s="289" t="s">
        <v>333</v>
      </c>
      <c r="EQ77" s="289" t="s">
        <v>2</v>
      </c>
      <c r="ER77" s="289" t="s">
        <v>3</v>
      </c>
      <c r="ES77" s="289" t="s">
        <v>334</v>
      </c>
      <c r="ET77" s="289" t="s">
        <v>352</v>
      </c>
      <c r="EU77" s="289" t="s">
        <v>346</v>
      </c>
      <c r="EV77" s="289" t="s">
        <v>335</v>
      </c>
      <c r="EW77" s="289" t="s">
        <v>336</v>
      </c>
      <c r="EX77" s="289" t="s">
        <v>337</v>
      </c>
      <c r="EY77" s="289" t="s">
        <v>338</v>
      </c>
      <c r="EZ77" s="289" t="s">
        <v>353</v>
      </c>
      <c r="FA77" s="289" t="s">
        <v>347</v>
      </c>
      <c r="FB77" s="289" t="s">
        <v>339</v>
      </c>
      <c r="FC77" s="289" t="s">
        <v>340</v>
      </c>
      <c r="FD77" s="289" t="s">
        <v>341</v>
      </c>
      <c r="FE77" s="289" t="s">
        <v>6</v>
      </c>
      <c r="FF77" s="289" t="s">
        <v>342</v>
      </c>
      <c r="FG77" s="289" t="s">
        <v>343</v>
      </c>
      <c r="FH77" s="290" t="s">
        <v>7</v>
      </c>
    </row>
    <row r="78" spans="2:164" x14ac:dyDescent="0.2">
      <c r="B78" s="233" t="s">
        <v>331</v>
      </c>
      <c r="C78" s="227">
        <v>22500</v>
      </c>
      <c r="D78" s="227">
        <v>4003</v>
      </c>
      <c r="E78" s="227">
        <v>1321</v>
      </c>
      <c r="F78" s="227">
        <v>8</v>
      </c>
      <c r="G78" s="227">
        <v>4</v>
      </c>
      <c r="H78" s="227">
        <v>29</v>
      </c>
      <c r="I78" s="227">
        <v>7</v>
      </c>
      <c r="J78" s="227">
        <v>1</v>
      </c>
      <c r="K78" s="227">
        <v>1</v>
      </c>
      <c r="L78" s="227">
        <v>12</v>
      </c>
      <c r="M78" s="227">
        <v>3</v>
      </c>
      <c r="N78" s="227">
        <v>4</v>
      </c>
      <c r="O78" s="227">
        <v>7</v>
      </c>
      <c r="P78" s="227">
        <v>5</v>
      </c>
      <c r="Q78" s="227">
        <v>0</v>
      </c>
      <c r="R78" s="227">
        <v>5</v>
      </c>
      <c r="S78" s="227">
        <v>2</v>
      </c>
      <c r="T78" s="227">
        <v>1</v>
      </c>
      <c r="U78" s="227">
        <v>49</v>
      </c>
      <c r="V78" s="227">
        <v>0</v>
      </c>
      <c r="W78" s="230">
        <v>27962</v>
      </c>
      <c r="X78" s="208"/>
      <c r="Y78" s="233" t="s">
        <v>331</v>
      </c>
      <c r="Z78" s="227">
        <v>2746323.2454264374</v>
      </c>
      <c r="AA78" s="227">
        <v>813256.39128698478</v>
      </c>
      <c r="AB78" s="227">
        <v>341049.85878692457</v>
      </c>
      <c r="AC78" s="251">
        <v>167.2612898087757</v>
      </c>
      <c r="AD78" s="251">
        <v>15.788416834224282</v>
      </c>
      <c r="AE78" s="251">
        <v>64457.12772597876</v>
      </c>
      <c r="AF78" s="251">
        <v>139.29572843177834</v>
      </c>
      <c r="AG78" s="251">
        <v>0</v>
      </c>
      <c r="AH78" s="251">
        <v>22.922421292380687</v>
      </c>
      <c r="AI78" s="251">
        <v>639.86143772521484</v>
      </c>
      <c r="AJ78" s="251">
        <v>940.67140779137708</v>
      </c>
      <c r="AK78" s="251">
        <v>1871.8709677567128</v>
      </c>
      <c r="AL78" s="251">
        <v>280.32532664624318</v>
      </c>
      <c r="AM78" s="251">
        <v>56.731978265198379</v>
      </c>
      <c r="AN78" s="251">
        <v>0</v>
      </c>
      <c r="AO78" s="251">
        <v>0</v>
      </c>
      <c r="AP78" s="251">
        <v>41.268370326122536</v>
      </c>
      <c r="AQ78" s="251">
        <v>27.712497197861975</v>
      </c>
      <c r="AR78" s="251">
        <v>16714.327792639964</v>
      </c>
      <c r="AS78" s="251">
        <v>0</v>
      </c>
      <c r="AT78" s="230">
        <v>3986004.6608610414</v>
      </c>
      <c r="AV78" s="233" t="s">
        <v>331</v>
      </c>
      <c r="AW78" s="227">
        <f>Z78</f>
        <v>2746323.2454264374</v>
      </c>
      <c r="AX78" s="227">
        <f>AA78</f>
        <v>813256.39128698478</v>
      </c>
      <c r="AY78" s="227">
        <f>AB78</f>
        <v>341049.85878692457</v>
      </c>
      <c r="AZ78" s="232">
        <v>0</v>
      </c>
      <c r="BA78" s="256">
        <v>0</v>
      </c>
      <c r="BB78" s="232">
        <v>0</v>
      </c>
      <c r="BC78" s="232">
        <v>0</v>
      </c>
      <c r="BD78" s="232">
        <v>0</v>
      </c>
      <c r="BE78" s="232">
        <v>0</v>
      </c>
      <c r="BF78" s="232">
        <v>0</v>
      </c>
      <c r="BG78" s="232">
        <v>0</v>
      </c>
      <c r="BH78" s="232">
        <v>0</v>
      </c>
      <c r="BI78" s="232">
        <v>0</v>
      </c>
      <c r="BJ78" s="232">
        <v>0</v>
      </c>
      <c r="BK78" s="232">
        <v>0</v>
      </c>
      <c r="BL78" s="232">
        <v>0</v>
      </c>
      <c r="BM78" s="232">
        <v>0</v>
      </c>
      <c r="BN78" s="232">
        <v>0</v>
      </c>
      <c r="BO78" s="232">
        <v>0</v>
      </c>
      <c r="BP78" s="251">
        <v>0</v>
      </c>
      <c r="BQ78" s="230">
        <f t="shared" ref="BQ78:BQ98" si="173">SUM(AW78:BP78)</f>
        <v>3900629.4955003466</v>
      </c>
      <c r="BR78" s="237"/>
      <c r="BS78" s="227"/>
      <c r="BT78" s="284"/>
      <c r="BU78" s="292" t="s">
        <v>331</v>
      </c>
      <c r="BV78" s="293">
        <v>2824</v>
      </c>
      <c r="BW78" s="293">
        <v>384</v>
      </c>
      <c r="BX78" s="293">
        <v>112</v>
      </c>
      <c r="BY78" s="293">
        <v>0</v>
      </c>
      <c r="BZ78" s="293">
        <v>0</v>
      </c>
      <c r="CA78" s="293">
        <v>0</v>
      </c>
      <c r="CB78" s="293">
        <v>0</v>
      </c>
      <c r="CC78" s="293">
        <v>0</v>
      </c>
      <c r="CD78" s="293">
        <v>0</v>
      </c>
      <c r="CE78" s="293">
        <v>0</v>
      </c>
      <c r="CF78" s="293">
        <v>0</v>
      </c>
      <c r="CG78" s="293">
        <v>0</v>
      </c>
      <c r="CH78" s="293">
        <v>0</v>
      </c>
      <c r="CI78" s="293">
        <v>0</v>
      </c>
      <c r="CJ78" s="293">
        <v>0</v>
      </c>
      <c r="CK78" s="293">
        <v>0</v>
      </c>
      <c r="CL78" s="293">
        <v>0</v>
      </c>
      <c r="CM78" s="293">
        <v>0</v>
      </c>
      <c r="CN78" s="293">
        <v>10</v>
      </c>
      <c r="CO78" s="293">
        <v>0</v>
      </c>
      <c r="CP78" s="294">
        <v>3330</v>
      </c>
      <c r="CQ78" s="295"/>
      <c r="CR78" s="292" t="s">
        <v>331</v>
      </c>
      <c r="CS78" s="293">
        <v>282124.36275810981</v>
      </c>
      <c r="CT78" s="293">
        <v>58590.649131465514</v>
      </c>
      <c r="CU78" s="293">
        <v>24595.729430102732</v>
      </c>
      <c r="CV78" s="293">
        <v>0</v>
      </c>
      <c r="CW78" s="293">
        <v>0</v>
      </c>
      <c r="CX78" s="293">
        <v>0</v>
      </c>
      <c r="CY78" s="293">
        <v>0</v>
      </c>
      <c r="CZ78" s="293">
        <v>0</v>
      </c>
      <c r="DA78" s="293">
        <v>0</v>
      </c>
      <c r="DB78" s="293">
        <v>0</v>
      </c>
      <c r="DC78" s="293">
        <v>0</v>
      </c>
      <c r="DD78" s="293">
        <v>0</v>
      </c>
      <c r="DE78" s="293">
        <v>0</v>
      </c>
      <c r="DF78" s="293">
        <v>0</v>
      </c>
      <c r="DG78" s="293">
        <v>0</v>
      </c>
      <c r="DH78" s="293">
        <v>0</v>
      </c>
      <c r="DI78" s="293">
        <v>0</v>
      </c>
      <c r="DJ78" s="293">
        <v>0</v>
      </c>
      <c r="DK78" s="293">
        <v>253.59821955107174</v>
      </c>
      <c r="DL78" s="293">
        <v>0</v>
      </c>
      <c r="DM78" s="294">
        <v>365564.33953922917</v>
      </c>
      <c r="DN78" s="291"/>
      <c r="DO78" s="295"/>
      <c r="DP78" s="292" t="s">
        <v>331</v>
      </c>
      <c r="DQ78" s="293">
        <v>4937</v>
      </c>
      <c r="DR78" s="293">
        <v>637</v>
      </c>
      <c r="DS78" s="293">
        <v>217</v>
      </c>
      <c r="DT78" s="293">
        <v>0</v>
      </c>
      <c r="DU78" s="293">
        <v>0</v>
      </c>
      <c r="DV78" s="293">
        <v>2</v>
      </c>
      <c r="DW78" s="293">
        <v>0</v>
      </c>
      <c r="DX78" s="293">
        <v>0</v>
      </c>
      <c r="DY78" s="293">
        <v>0</v>
      </c>
      <c r="DZ78" s="293">
        <v>0</v>
      </c>
      <c r="EA78" s="293">
        <v>1</v>
      </c>
      <c r="EB78" s="293">
        <v>1</v>
      </c>
      <c r="EC78" s="293">
        <v>0</v>
      </c>
      <c r="ED78" s="293">
        <v>5</v>
      </c>
      <c r="EE78" s="293">
        <v>0</v>
      </c>
      <c r="EF78" s="293">
        <v>0</v>
      </c>
      <c r="EG78" s="293">
        <v>0</v>
      </c>
      <c r="EH78" s="293">
        <v>0</v>
      </c>
      <c r="EI78" s="293">
        <v>10</v>
      </c>
      <c r="EJ78" s="293">
        <v>0</v>
      </c>
      <c r="EK78" s="294">
        <v>5810</v>
      </c>
      <c r="EL78" s="287"/>
      <c r="EM78" s="292" t="s">
        <v>331</v>
      </c>
      <c r="EN78" s="293">
        <v>692911.75573006913</v>
      </c>
      <c r="EO78" s="293">
        <v>123660.50828115395</v>
      </c>
      <c r="EP78" s="293">
        <v>84847.475792832469</v>
      </c>
      <c r="EQ78" s="293">
        <v>0</v>
      </c>
      <c r="ER78" s="293">
        <v>0</v>
      </c>
      <c r="ES78" s="293">
        <v>0</v>
      </c>
      <c r="ET78" s="293">
        <v>0</v>
      </c>
      <c r="EU78" s="293">
        <v>0</v>
      </c>
      <c r="EV78" s="293">
        <v>0</v>
      </c>
      <c r="EW78" s="293">
        <v>0</v>
      </c>
      <c r="EX78" s="293">
        <v>940.67140779137708</v>
      </c>
      <c r="EY78" s="293">
        <v>29.098159915032056</v>
      </c>
      <c r="EZ78" s="293">
        <v>0</v>
      </c>
      <c r="FA78" s="293">
        <v>56.731978265198379</v>
      </c>
      <c r="FB78" s="293">
        <v>0</v>
      </c>
      <c r="FC78" s="293">
        <v>0</v>
      </c>
      <c r="FD78" s="293">
        <v>0</v>
      </c>
      <c r="FE78" s="293">
        <v>0</v>
      </c>
      <c r="FF78" s="293">
        <v>253.59821955107174</v>
      </c>
      <c r="FG78" s="293">
        <v>0</v>
      </c>
      <c r="FH78" s="294">
        <v>902699.83956957818</v>
      </c>
    </row>
    <row r="79" spans="2:164" x14ac:dyDescent="0.2">
      <c r="B79" s="215" t="s">
        <v>332</v>
      </c>
      <c r="C79" s="227">
        <v>0</v>
      </c>
      <c r="D79" s="227">
        <v>14009</v>
      </c>
      <c r="E79" s="227">
        <v>1851</v>
      </c>
      <c r="F79" s="227">
        <v>0</v>
      </c>
      <c r="G79" s="227">
        <v>0</v>
      </c>
      <c r="H79" s="227">
        <v>35</v>
      </c>
      <c r="I79" s="227">
        <v>2</v>
      </c>
      <c r="J79" s="227">
        <v>0</v>
      </c>
      <c r="K79" s="227">
        <v>1</v>
      </c>
      <c r="L79" s="227">
        <v>23</v>
      </c>
      <c r="M79" s="227">
        <v>2</v>
      </c>
      <c r="N79" s="227">
        <v>1</v>
      </c>
      <c r="O79" s="227">
        <v>1</v>
      </c>
      <c r="P79" s="227">
        <v>0</v>
      </c>
      <c r="Q79" s="227">
        <v>1</v>
      </c>
      <c r="R79" s="227">
        <v>9</v>
      </c>
      <c r="S79" s="227">
        <v>5</v>
      </c>
      <c r="T79" s="227">
        <v>1</v>
      </c>
      <c r="U79" s="227">
        <v>31</v>
      </c>
      <c r="V79" s="227">
        <v>0</v>
      </c>
      <c r="W79" s="230">
        <v>15972</v>
      </c>
      <c r="X79" s="208"/>
      <c r="Y79" s="215" t="s">
        <v>332</v>
      </c>
      <c r="Z79" s="227">
        <v>0</v>
      </c>
      <c r="AA79" s="227">
        <v>2197824.0214887019</v>
      </c>
      <c r="AB79" s="227">
        <v>313895.29979546351</v>
      </c>
      <c r="AC79" s="227">
        <v>0</v>
      </c>
      <c r="AD79" s="227">
        <v>0</v>
      </c>
      <c r="AE79" s="227">
        <v>2951.8178077602902</v>
      </c>
      <c r="AF79" s="227">
        <v>61.387077536795104</v>
      </c>
      <c r="AG79" s="227">
        <v>0</v>
      </c>
      <c r="AH79" s="227">
        <v>55.445037424496206</v>
      </c>
      <c r="AI79" s="227">
        <v>3986.6842371556886</v>
      </c>
      <c r="AJ79" s="227">
        <v>1135.317982948945</v>
      </c>
      <c r="AK79" s="251">
        <v>0</v>
      </c>
      <c r="AL79" s="251">
        <v>0</v>
      </c>
      <c r="AM79" s="251">
        <v>0</v>
      </c>
      <c r="AN79" s="251">
        <v>0</v>
      </c>
      <c r="AO79" s="251">
        <v>2848.8430468339902</v>
      </c>
      <c r="AP79" s="251">
        <v>82.536740652245072</v>
      </c>
      <c r="AQ79" s="227">
        <v>74.394577412403137</v>
      </c>
      <c r="AR79" s="227">
        <v>5690.9149597188571</v>
      </c>
      <c r="AS79" s="227">
        <v>0</v>
      </c>
      <c r="AT79" s="230">
        <v>2528606.6627516095</v>
      </c>
      <c r="AV79" s="215" t="s">
        <v>332</v>
      </c>
      <c r="AW79" s="227">
        <f t="shared" ref="AW79:AX81" si="174">Z79</f>
        <v>0</v>
      </c>
      <c r="AX79" s="227">
        <f t="shared" si="174"/>
        <v>2197824.0214887019</v>
      </c>
      <c r="AY79" s="227">
        <f t="shared" ref="AY79:AY81" si="175">AB79</f>
        <v>313895.29979546351</v>
      </c>
      <c r="AZ79" s="227">
        <f>AC79</f>
        <v>0</v>
      </c>
      <c r="BA79" s="227">
        <f t="shared" ref="BA79:BA97" si="176">AD79</f>
        <v>0</v>
      </c>
      <c r="BB79" s="227">
        <f t="shared" ref="BB79:BB81" si="177">AE79</f>
        <v>2951.8178077602902</v>
      </c>
      <c r="BC79" s="227">
        <f t="shared" ref="BC79:BC81" si="178">AF79</f>
        <v>61.387077536795104</v>
      </c>
      <c r="BD79" s="227">
        <f t="shared" ref="BD79:BD81" si="179">AG79</f>
        <v>0</v>
      </c>
      <c r="BE79" s="227">
        <f t="shared" ref="BE79:BE81" si="180">AH79</f>
        <v>55.445037424496206</v>
      </c>
      <c r="BF79" s="227">
        <f t="shared" ref="BF79:BF81" si="181">AI79</f>
        <v>3986.6842371556886</v>
      </c>
      <c r="BG79" s="227">
        <f t="shared" ref="BG79:BG81" si="182">AJ79</f>
        <v>1135.317982948945</v>
      </c>
      <c r="BH79" s="232">
        <v>0</v>
      </c>
      <c r="BI79" s="251">
        <v>0</v>
      </c>
      <c r="BJ79" s="232">
        <v>0</v>
      </c>
      <c r="BK79" s="251">
        <v>0</v>
      </c>
      <c r="BL79" s="232">
        <v>0</v>
      </c>
      <c r="BM79" s="232">
        <v>0</v>
      </c>
      <c r="BN79" s="227">
        <f>AQ79</f>
        <v>74.394577412403137</v>
      </c>
      <c r="BO79" s="227">
        <f t="shared" ref="BO79:BO81" si="183">AR79</f>
        <v>5690.9149597188571</v>
      </c>
      <c r="BP79" s="227">
        <f t="shared" ref="BP79:BP81" si="184">AS79</f>
        <v>0</v>
      </c>
      <c r="BQ79" s="230">
        <f t="shared" si="173"/>
        <v>2525675.2829641229</v>
      </c>
      <c r="BR79" s="237"/>
      <c r="BS79" s="227"/>
      <c r="BT79" s="284"/>
      <c r="BU79" s="296" t="s">
        <v>332</v>
      </c>
      <c r="BV79" s="293">
        <v>0</v>
      </c>
      <c r="BW79" s="293">
        <v>1426</v>
      </c>
      <c r="BX79" s="293">
        <v>188</v>
      </c>
      <c r="BY79" s="293">
        <v>0</v>
      </c>
      <c r="BZ79" s="293">
        <v>0</v>
      </c>
      <c r="CA79" s="293">
        <v>0</v>
      </c>
      <c r="CB79" s="293">
        <v>0</v>
      </c>
      <c r="CC79" s="293">
        <v>0</v>
      </c>
      <c r="CD79" s="293">
        <v>0</v>
      </c>
      <c r="CE79" s="293">
        <v>0</v>
      </c>
      <c r="CF79" s="293">
        <v>0</v>
      </c>
      <c r="CG79" s="293">
        <v>0</v>
      </c>
      <c r="CH79" s="293">
        <v>0</v>
      </c>
      <c r="CI79" s="293">
        <v>0</v>
      </c>
      <c r="CJ79" s="293">
        <v>0</v>
      </c>
      <c r="CK79" s="293">
        <v>1</v>
      </c>
      <c r="CL79" s="293">
        <v>0</v>
      </c>
      <c r="CM79" s="293">
        <v>0</v>
      </c>
      <c r="CN79" s="293">
        <v>2</v>
      </c>
      <c r="CO79" s="293">
        <v>0</v>
      </c>
      <c r="CP79" s="294">
        <v>1617</v>
      </c>
      <c r="CQ79" s="295"/>
      <c r="CR79" s="296" t="s">
        <v>332</v>
      </c>
      <c r="CS79" s="293">
        <v>0</v>
      </c>
      <c r="CT79" s="293">
        <v>227701.62267367655</v>
      </c>
      <c r="CU79" s="293">
        <v>28200.875861842433</v>
      </c>
      <c r="CV79" s="293">
        <v>0</v>
      </c>
      <c r="CW79" s="293">
        <v>0</v>
      </c>
      <c r="CX79" s="293">
        <v>0</v>
      </c>
      <c r="CY79" s="293">
        <v>0</v>
      </c>
      <c r="CZ79" s="293">
        <v>0</v>
      </c>
      <c r="DA79" s="293">
        <v>0</v>
      </c>
      <c r="DB79" s="293">
        <v>0</v>
      </c>
      <c r="DC79" s="293">
        <v>0</v>
      </c>
      <c r="DD79" s="293">
        <v>0</v>
      </c>
      <c r="DE79" s="293">
        <v>0</v>
      </c>
      <c r="DF79" s="293">
        <v>0</v>
      </c>
      <c r="DG79" s="293">
        <v>0</v>
      </c>
      <c r="DH79" s="293">
        <v>2828.2088616709289</v>
      </c>
      <c r="DI79" s="293">
        <v>0</v>
      </c>
      <c r="DJ79" s="293">
        <v>0</v>
      </c>
      <c r="DK79" s="293">
        <v>51.15870588707039</v>
      </c>
      <c r="DL79" s="293">
        <v>0</v>
      </c>
      <c r="DM79" s="294">
        <v>258781.86610307699</v>
      </c>
      <c r="DN79" s="295"/>
      <c r="DO79" s="295"/>
      <c r="DP79" s="296" t="s">
        <v>332</v>
      </c>
      <c r="DQ79" s="293">
        <v>0</v>
      </c>
      <c r="DR79" s="293">
        <v>2287</v>
      </c>
      <c r="DS79" s="293">
        <v>284</v>
      </c>
      <c r="DT79" s="293">
        <v>0</v>
      </c>
      <c r="DU79" s="293">
        <v>0</v>
      </c>
      <c r="DV79" s="293">
        <v>0</v>
      </c>
      <c r="DW79" s="293">
        <v>0</v>
      </c>
      <c r="DX79" s="293">
        <v>0</v>
      </c>
      <c r="DY79" s="293">
        <v>0</v>
      </c>
      <c r="DZ79" s="293">
        <v>0</v>
      </c>
      <c r="EA79" s="293">
        <v>1</v>
      </c>
      <c r="EB79" s="293">
        <v>0</v>
      </c>
      <c r="EC79" s="293">
        <v>0</v>
      </c>
      <c r="ED79" s="293">
        <v>0</v>
      </c>
      <c r="EE79" s="293">
        <v>0</v>
      </c>
      <c r="EF79" s="293">
        <v>1</v>
      </c>
      <c r="EG79" s="293">
        <v>1</v>
      </c>
      <c r="EH79" s="293">
        <v>0</v>
      </c>
      <c r="EI79" s="293">
        <v>2</v>
      </c>
      <c r="EJ79" s="293">
        <v>0</v>
      </c>
      <c r="EK79" s="294">
        <v>2576</v>
      </c>
      <c r="EL79" s="287"/>
      <c r="EM79" s="296" t="s">
        <v>332</v>
      </c>
      <c r="EN79" s="293">
        <v>0</v>
      </c>
      <c r="EO79" s="293">
        <v>376470.92256205494</v>
      </c>
      <c r="EP79" s="293">
        <v>59061.119806076968</v>
      </c>
      <c r="EQ79" s="293">
        <v>0</v>
      </c>
      <c r="ER79" s="293">
        <v>0</v>
      </c>
      <c r="ES79" s="293">
        <v>0</v>
      </c>
      <c r="ET79" s="293">
        <v>0</v>
      </c>
      <c r="EU79" s="293">
        <v>0</v>
      </c>
      <c r="EV79" s="293">
        <v>0</v>
      </c>
      <c r="EW79" s="293">
        <v>0</v>
      </c>
      <c r="EX79" s="293">
        <v>1135.317982948945</v>
      </c>
      <c r="EY79" s="293">
        <v>0</v>
      </c>
      <c r="EZ79" s="293">
        <v>0</v>
      </c>
      <c r="FA79" s="293">
        <v>0</v>
      </c>
      <c r="FB79" s="293">
        <v>0</v>
      </c>
      <c r="FC79" s="293">
        <v>2828.2088616709289</v>
      </c>
      <c r="FD79" s="293">
        <v>20.634185163061268</v>
      </c>
      <c r="FE79" s="293">
        <v>0</v>
      </c>
      <c r="FF79" s="293">
        <v>51.15870588707039</v>
      </c>
      <c r="FG79" s="293">
        <v>0</v>
      </c>
      <c r="FH79" s="294">
        <v>439567.36210380192</v>
      </c>
    </row>
    <row r="80" spans="2:164" ht="24" x14ac:dyDescent="0.2">
      <c r="B80" s="216" t="s">
        <v>333</v>
      </c>
      <c r="C80" s="227">
        <v>0</v>
      </c>
      <c r="D80" s="228">
        <v>0</v>
      </c>
      <c r="E80" s="229">
        <v>6103</v>
      </c>
      <c r="F80" s="229">
        <v>0</v>
      </c>
      <c r="G80" s="229">
        <v>0</v>
      </c>
      <c r="H80" s="229">
        <v>23</v>
      </c>
      <c r="I80" s="229">
        <v>0</v>
      </c>
      <c r="J80" s="229">
        <v>0</v>
      </c>
      <c r="K80" s="229">
        <v>0</v>
      </c>
      <c r="L80" s="229">
        <v>6</v>
      </c>
      <c r="M80" s="229">
        <v>1</v>
      </c>
      <c r="N80" s="229">
        <v>2</v>
      </c>
      <c r="O80" s="229">
        <v>0</v>
      </c>
      <c r="P80" s="229">
        <v>0</v>
      </c>
      <c r="Q80" s="229">
        <v>0</v>
      </c>
      <c r="R80" s="229">
        <v>2</v>
      </c>
      <c r="S80" s="229">
        <v>4</v>
      </c>
      <c r="T80" s="229">
        <v>0</v>
      </c>
      <c r="U80" s="229">
        <v>11</v>
      </c>
      <c r="V80" s="229">
        <v>0</v>
      </c>
      <c r="W80" s="231">
        <v>6152</v>
      </c>
      <c r="X80" s="208"/>
      <c r="Y80" s="216" t="s">
        <v>333</v>
      </c>
      <c r="Z80" s="227">
        <v>0</v>
      </c>
      <c r="AA80" s="228">
        <v>0</v>
      </c>
      <c r="AB80" s="229">
        <v>1326298.6024712375</v>
      </c>
      <c r="AC80" s="229">
        <v>0</v>
      </c>
      <c r="AD80" s="229">
        <v>0</v>
      </c>
      <c r="AE80" s="229">
        <v>982.0398952814603</v>
      </c>
      <c r="AF80" s="229">
        <v>0</v>
      </c>
      <c r="AG80" s="229">
        <v>0</v>
      </c>
      <c r="AH80" s="229">
        <v>0</v>
      </c>
      <c r="AI80" s="229">
        <v>88.501813567973471</v>
      </c>
      <c r="AJ80" s="229">
        <v>0</v>
      </c>
      <c r="AK80" s="253">
        <v>0</v>
      </c>
      <c r="AL80" s="253">
        <v>0</v>
      </c>
      <c r="AM80" s="253">
        <v>0</v>
      </c>
      <c r="AN80" s="253">
        <v>0</v>
      </c>
      <c r="AO80" s="253">
        <v>0</v>
      </c>
      <c r="AP80" s="253">
        <v>738.24106284702077</v>
      </c>
      <c r="AQ80" s="229">
        <v>0</v>
      </c>
      <c r="AR80" s="229">
        <v>14240.854524391983</v>
      </c>
      <c r="AS80" s="229">
        <v>0</v>
      </c>
      <c r="AT80" s="231">
        <v>1342348.2397673258</v>
      </c>
      <c r="AV80" s="216" t="s">
        <v>333</v>
      </c>
      <c r="AW80" s="227">
        <f t="shared" si="174"/>
        <v>0</v>
      </c>
      <c r="AX80" s="227">
        <f t="shared" si="174"/>
        <v>0</v>
      </c>
      <c r="AY80" s="227">
        <f t="shared" si="175"/>
        <v>1326298.6024712375</v>
      </c>
      <c r="AZ80" s="227">
        <f t="shared" ref="AZ80:AZ81" si="185">AC80</f>
        <v>0</v>
      </c>
      <c r="BA80" s="227">
        <f t="shared" si="176"/>
        <v>0</v>
      </c>
      <c r="BB80" s="227">
        <f t="shared" si="177"/>
        <v>982.0398952814603</v>
      </c>
      <c r="BC80" s="227">
        <f t="shared" si="178"/>
        <v>0</v>
      </c>
      <c r="BD80" s="227">
        <f t="shared" si="179"/>
        <v>0</v>
      </c>
      <c r="BE80" s="227">
        <f t="shared" si="180"/>
        <v>0</v>
      </c>
      <c r="BF80" s="227">
        <f t="shared" si="181"/>
        <v>88.501813567973471</v>
      </c>
      <c r="BG80" s="227">
        <f t="shared" si="182"/>
        <v>0</v>
      </c>
      <c r="BH80" s="253">
        <v>0</v>
      </c>
      <c r="BI80" s="257">
        <v>0</v>
      </c>
      <c r="BJ80" s="257">
        <v>0</v>
      </c>
      <c r="BK80" s="253">
        <v>0</v>
      </c>
      <c r="BL80" s="257">
        <v>0</v>
      </c>
      <c r="BM80" s="257">
        <v>0</v>
      </c>
      <c r="BN80" s="227">
        <f t="shared" ref="BN80:BN81" si="186">AQ80</f>
        <v>0</v>
      </c>
      <c r="BO80" s="227">
        <f t="shared" si="183"/>
        <v>14240.854524391983</v>
      </c>
      <c r="BP80" s="227">
        <f t="shared" si="184"/>
        <v>0</v>
      </c>
      <c r="BQ80" s="230">
        <f t="shared" si="173"/>
        <v>1341609.9987044788</v>
      </c>
      <c r="BR80" s="238"/>
      <c r="BS80" s="227"/>
      <c r="BT80" s="285"/>
      <c r="BU80" s="297" t="s">
        <v>333</v>
      </c>
      <c r="BV80" s="293">
        <v>0</v>
      </c>
      <c r="BW80" s="293">
        <v>0</v>
      </c>
      <c r="BX80" s="298">
        <v>619</v>
      </c>
      <c r="BY80" s="298">
        <v>0</v>
      </c>
      <c r="BZ80" s="298">
        <v>0</v>
      </c>
      <c r="CA80" s="298">
        <v>0</v>
      </c>
      <c r="CB80" s="298">
        <v>0</v>
      </c>
      <c r="CC80" s="298">
        <v>0</v>
      </c>
      <c r="CD80" s="298">
        <v>0</v>
      </c>
      <c r="CE80" s="298">
        <v>0</v>
      </c>
      <c r="CF80" s="298">
        <v>0</v>
      </c>
      <c r="CG80" s="298">
        <v>0</v>
      </c>
      <c r="CH80" s="298">
        <v>0</v>
      </c>
      <c r="CI80" s="298">
        <v>0</v>
      </c>
      <c r="CJ80" s="298">
        <v>0</v>
      </c>
      <c r="CK80" s="298">
        <v>0</v>
      </c>
      <c r="CL80" s="298">
        <v>0</v>
      </c>
      <c r="CM80" s="298">
        <v>0</v>
      </c>
      <c r="CN80" s="298">
        <v>0</v>
      </c>
      <c r="CO80" s="298">
        <v>0</v>
      </c>
      <c r="CP80" s="299">
        <v>619</v>
      </c>
      <c r="CQ80" s="291"/>
      <c r="CR80" s="297" t="s">
        <v>333</v>
      </c>
      <c r="CS80" s="293">
        <v>0</v>
      </c>
      <c r="CT80" s="293">
        <v>0</v>
      </c>
      <c r="CU80" s="298">
        <v>159197.87662861744</v>
      </c>
      <c r="CV80" s="298">
        <v>0</v>
      </c>
      <c r="CW80" s="298">
        <v>0</v>
      </c>
      <c r="CX80" s="298">
        <v>0</v>
      </c>
      <c r="CY80" s="298">
        <v>0</v>
      </c>
      <c r="CZ80" s="298">
        <v>0</v>
      </c>
      <c r="DA80" s="298">
        <v>0</v>
      </c>
      <c r="DB80" s="298">
        <v>0</v>
      </c>
      <c r="DC80" s="298">
        <v>0</v>
      </c>
      <c r="DD80" s="298">
        <v>0</v>
      </c>
      <c r="DE80" s="298">
        <v>0</v>
      </c>
      <c r="DF80" s="298">
        <v>0</v>
      </c>
      <c r="DG80" s="298">
        <v>0</v>
      </c>
      <c r="DH80" s="298">
        <v>0</v>
      </c>
      <c r="DI80" s="298">
        <v>0</v>
      </c>
      <c r="DJ80" s="298">
        <v>0</v>
      </c>
      <c r="DK80" s="298">
        <v>0</v>
      </c>
      <c r="DL80" s="298">
        <v>0</v>
      </c>
      <c r="DM80" s="299">
        <v>159197.87662861744</v>
      </c>
      <c r="DN80" s="295"/>
      <c r="DO80" s="291"/>
      <c r="DP80" s="297" t="s">
        <v>333</v>
      </c>
      <c r="DQ80" s="293">
        <v>0</v>
      </c>
      <c r="DR80" s="293">
        <v>0</v>
      </c>
      <c r="DS80" s="298">
        <v>897</v>
      </c>
      <c r="DT80" s="298">
        <v>0</v>
      </c>
      <c r="DU80" s="298">
        <v>0</v>
      </c>
      <c r="DV80" s="298">
        <v>0</v>
      </c>
      <c r="DW80" s="298">
        <v>0</v>
      </c>
      <c r="DX80" s="298">
        <v>0</v>
      </c>
      <c r="DY80" s="298">
        <v>0</v>
      </c>
      <c r="DZ80" s="298">
        <v>0</v>
      </c>
      <c r="EA80" s="298">
        <v>0</v>
      </c>
      <c r="EB80" s="298">
        <v>1</v>
      </c>
      <c r="EC80" s="298">
        <v>0</v>
      </c>
      <c r="ED80" s="298">
        <v>0</v>
      </c>
      <c r="EE80" s="298">
        <v>0</v>
      </c>
      <c r="EF80" s="298">
        <v>0</v>
      </c>
      <c r="EG80" s="298">
        <v>1</v>
      </c>
      <c r="EH80" s="298">
        <v>0</v>
      </c>
      <c r="EI80" s="298">
        <v>6</v>
      </c>
      <c r="EJ80" s="298">
        <v>0</v>
      </c>
      <c r="EK80" s="299">
        <v>905</v>
      </c>
      <c r="EL80" s="287"/>
      <c r="EM80" s="297" t="s">
        <v>333</v>
      </c>
      <c r="EN80" s="293">
        <v>0</v>
      </c>
      <c r="EO80" s="293">
        <v>0</v>
      </c>
      <c r="EP80" s="298">
        <v>291286.76611198043</v>
      </c>
      <c r="EQ80" s="298">
        <v>0</v>
      </c>
      <c r="ER80" s="298">
        <v>0</v>
      </c>
      <c r="ES80" s="298">
        <v>0</v>
      </c>
      <c r="ET80" s="298">
        <v>0</v>
      </c>
      <c r="EU80" s="298">
        <v>0</v>
      </c>
      <c r="EV80" s="298">
        <v>0</v>
      </c>
      <c r="EW80" s="298">
        <v>0</v>
      </c>
      <c r="EX80" s="298">
        <v>0</v>
      </c>
      <c r="EY80" s="298">
        <v>0</v>
      </c>
      <c r="EZ80" s="298">
        <v>0</v>
      </c>
      <c r="FA80" s="298">
        <v>0</v>
      </c>
      <c r="FB80" s="298">
        <v>0</v>
      </c>
      <c r="FC80" s="298">
        <v>0</v>
      </c>
      <c r="FD80" s="298">
        <v>20.634185163061268</v>
      </c>
      <c r="FE80" s="298">
        <v>0</v>
      </c>
      <c r="FF80" s="298">
        <v>0</v>
      </c>
      <c r="FG80" s="298">
        <v>0</v>
      </c>
      <c r="FH80" s="299">
        <v>291307.4002971435</v>
      </c>
    </row>
    <row r="81" spans="2:164" x14ac:dyDescent="0.2">
      <c r="B81" s="217" t="s">
        <v>2</v>
      </c>
      <c r="C81" s="227">
        <v>646</v>
      </c>
      <c r="D81" s="228">
        <v>698</v>
      </c>
      <c r="E81" s="208">
        <v>369</v>
      </c>
      <c r="F81" s="208">
        <v>7733</v>
      </c>
      <c r="G81" s="208">
        <v>107</v>
      </c>
      <c r="H81" s="208">
        <v>449</v>
      </c>
      <c r="I81" s="208">
        <v>133</v>
      </c>
      <c r="J81" s="208">
        <v>1</v>
      </c>
      <c r="K81" s="208">
        <v>31</v>
      </c>
      <c r="L81" s="208">
        <v>79</v>
      </c>
      <c r="M81" s="208">
        <v>16</v>
      </c>
      <c r="N81" s="208">
        <v>0</v>
      </c>
      <c r="O81" s="208">
        <v>13</v>
      </c>
      <c r="P81" s="208">
        <v>0</v>
      </c>
      <c r="Q81" s="208">
        <v>0</v>
      </c>
      <c r="R81" s="208">
        <v>5</v>
      </c>
      <c r="S81" s="208">
        <v>2</v>
      </c>
      <c r="T81" s="208">
        <v>4</v>
      </c>
      <c r="U81" s="208">
        <v>67</v>
      </c>
      <c r="V81" s="208">
        <v>4</v>
      </c>
      <c r="W81" s="222">
        <v>10357</v>
      </c>
      <c r="X81" s="208"/>
      <c r="Y81" s="217" t="s">
        <v>2</v>
      </c>
      <c r="Z81" s="227">
        <v>48672.970523589727</v>
      </c>
      <c r="AA81" s="228">
        <v>51836.818283701272</v>
      </c>
      <c r="AB81" s="208">
        <v>42031.250406316249</v>
      </c>
      <c r="AC81" s="208">
        <v>654895.61225933162</v>
      </c>
      <c r="AD81" s="258">
        <v>6697.0448569465561</v>
      </c>
      <c r="AE81" s="208">
        <v>31489.0108860338</v>
      </c>
      <c r="AF81" s="208">
        <v>5795.9477938406526</v>
      </c>
      <c r="AG81" s="208">
        <v>75.504591300332166</v>
      </c>
      <c r="AH81" s="208">
        <v>885.97886771512628</v>
      </c>
      <c r="AI81" s="208">
        <v>6742.3453799273002</v>
      </c>
      <c r="AJ81" s="208">
        <v>482.9653149780039</v>
      </c>
      <c r="AK81" s="252">
        <v>0</v>
      </c>
      <c r="AL81" s="252">
        <v>471.69852602333691</v>
      </c>
      <c r="AM81" s="252">
        <v>0</v>
      </c>
      <c r="AN81" s="252">
        <v>0</v>
      </c>
      <c r="AO81" s="252">
        <v>0</v>
      </c>
      <c r="AP81" s="252">
        <v>317.35793648918207</v>
      </c>
      <c r="AQ81" s="208">
        <v>208.55723898328375</v>
      </c>
      <c r="AR81" s="208">
        <v>1713.6055286110752</v>
      </c>
      <c r="AS81" s="208">
        <v>97.148010736904766</v>
      </c>
      <c r="AT81" s="222">
        <v>852413.81640452449</v>
      </c>
      <c r="AV81" s="217" t="s">
        <v>2</v>
      </c>
      <c r="AW81" s="227">
        <f t="shared" si="174"/>
        <v>48672.970523589727</v>
      </c>
      <c r="AX81" s="227">
        <f t="shared" si="174"/>
        <v>51836.818283701272</v>
      </c>
      <c r="AY81" s="227">
        <f t="shared" si="175"/>
        <v>42031.250406316249</v>
      </c>
      <c r="AZ81" s="227">
        <f t="shared" si="185"/>
        <v>654895.61225933162</v>
      </c>
      <c r="BA81" s="227">
        <f t="shared" si="176"/>
        <v>6697.0448569465561</v>
      </c>
      <c r="BB81" s="227">
        <f t="shared" si="177"/>
        <v>31489.0108860338</v>
      </c>
      <c r="BC81" s="227">
        <f t="shared" si="178"/>
        <v>5795.9477938406526</v>
      </c>
      <c r="BD81" s="227">
        <f t="shared" si="179"/>
        <v>75.504591300332166</v>
      </c>
      <c r="BE81" s="227">
        <f t="shared" si="180"/>
        <v>885.97886771512628</v>
      </c>
      <c r="BF81" s="227">
        <f t="shared" si="181"/>
        <v>6742.3453799273002</v>
      </c>
      <c r="BG81" s="227">
        <f t="shared" si="182"/>
        <v>482.9653149780039</v>
      </c>
      <c r="BH81" s="252">
        <v>0</v>
      </c>
      <c r="BI81" s="255">
        <v>0</v>
      </c>
      <c r="BJ81" s="255">
        <v>0</v>
      </c>
      <c r="BK81" s="255">
        <v>0</v>
      </c>
      <c r="BL81" s="255">
        <v>0</v>
      </c>
      <c r="BM81" s="255">
        <v>0</v>
      </c>
      <c r="BN81" s="227">
        <f t="shared" si="186"/>
        <v>208.55723898328375</v>
      </c>
      <c r="BO81" s="227">
        <f t="shared" si="183"/>
        <v>1713.6055286110752</v>
      </c>
      <c r="BP81" s="227">
        <f t="shared" si="184"/>
        <v>97.148010736904766</v>
      </c>
      <c r="BQ81" s="230">
        <f t="shared" si="173"/>
        <v>851624.75994201214</v>
      </c>
      <c r="BR81" s="214"/>
      <c r="BS81" s="227"/>
      <c r="BT81" s="286"/>
      <c r="BU81" s="300" t="s">
        <v>2</v>
      </c>
      <c r="BV81" s="293">
        <v>62</v>
      </c>
      <c r="BW81" s="293">
        <v>57</v>
      </c>
      <c r="BX81" s="258">
        <v>14</v>
      </c>
      <c r="BY81" s="258">
        <v>155</v>
      </c>
      <c r="BZ81" s="258">
        <v>0</v>
      </c>
      <c r="CA81" s="258">
        <v>4</v>
      </c>
      <c r="CB81" s="258">
        <v>0</v>
      </c>
      <c r="CC81" s="258">
        <v>0</v>
      </c>
      <c r="CD81" s="258">
        <v>0</v>
      </c>
      <c r="CE81" s="258">
        <v>0</v>
      </c>
      <c r="CF81" s="258">
        <v>0</v>
      </c>
      <c r="CG81" s="258">
        <v>0</v>
      </c>
      <c r="CH81" s="258">
        <v>0</v>
      </c>
      <c r="CI81" s="258">
        <v>0</v>
      </c>
      <c r="CJ81" s="258">
        <v>0</v>
      </c>
      <c r="CK81" s="258">
        <v>0</v>
      </c>
      <c r="CL81" s="258">
        <v>0</v>
      </c>
      <c r="CM81" s="258">
        <v>0</v>
      </c>
      <c r="CN81" s="258">
        <v>1</v>
      </c>
      <c r="CO81" s="258">
        <v>0</v>
      </c>
      <c r="CP81" s="301">
        <v>293</v>
      </c>
      <c r="CQ81" s="302"/>
      <c r="CR81" s="300" t="s">
        <v>2</v>
      </c>
      <c r="CS81" s="293">
        <v>3693.5827422845364</v>
      </c>
      <c r="CT81" s="293">
        <v>7755.2024208037892</v>
      </c>
      <c r="CU81" s="258">
        <v>5115.4622788308543</v>
      </c>
      <c r="CV81" s="258">
        <v>27435.616925085174</v>
      </c>
      <c r="CW81" s="258">
        <v>0</v>
      </c>
      <c r="CX81" s="258">
        <v>0</v>
      </c>
      <c r="CY81" s="258">
        <v>0</v>
      </c>
      <c r="CZ81" s="258">
        <v>0</v>
      </c>
      <c r="DA81" s="258">
        <v>0</v>
      </c>
      <c r="DB81" s="258">
        <v>0</v>
      </c>
      <c r="DC81" s="258">
        <v>0</v>
      </c>
      <c r="DD81" s="258">
        <v>0</v>
      </c>
      <c r="DE81" s="258">
        <v>0</v>
      </c>
      <c r="DF81" s="258">
        <v>0</v>
      </c>
      <c r="DG81" s="258">
        <v>0</v>
      </c>
      <c r="DH81" s="258">
        <v>0</v>
      </c>
      <c r="DI81" s="258">
        <v>0</v>
      </c>
      <c r="DJ81" s="258">
        <v>0</v>
      </c>
      <c r="DK81" s="258">
        <v>25.579352943535195</v>
      </c>
      <c r="DL81" s="258">
        <v>0</v>
      </c>
      <c r="DM81" s="301">
        <v>44025.443719947885</v>
      </c>
      <c r="DN81" s="291"/>
      <c r="DO81" s="302"/>
      <c r="DP81" s="300" t="s">
        <v>2</v>
      </c>
      <c r="DQ81" s="293">
        <v>113</v>
      </c>
      <c r="DR81" s="293">
        <v>112</v>
      </c>
      <c r="DS81" s="258">
        <v>26</v>
      </c>
      <c r="DT81" s="258">
        <v>386</v>
      </c>
      <c r="DU81" s="258">
        <v>3</v>
      </c>
      <c r="DV81" s="258">
        <v>12</v>
      </c>
      <c r="DW81" s="258">
        <v>0</v>
      </c>
      <c r="DX81" s="258">
        <v>0</v>
      </c>
      <c r="DY81" s="258">
        <v>0</v>
      </c>
      <c r="DZ81" s="258">
        <v>0</v>
      </c>
      <c r="EA81" s="258">
        <v>2</v>
      </c>
      <c r="EB81" s="258">
        <v>0</v>
      </c>
      <c r="EC81" s="258">
        <v>0</v>
      </c>
      <c r="ED81" s="258">
        <v>0</v>
      </c>
      <c r="EE81" s="258">
        <v>0</v>
      </c>
      <c r="EF81" s="258">
        <v>0</v>
      </c>
      <c r="EG81" s="258">
        <v>0</v>
      </c>
      <c r="EH81" s="258">
        <v>0</v>
      </c>
      <c r="EI81" s="258">
        <v>1</v>
      </c>
      <c r="EJ81" s="258">
        <v>0</v>
      </c>
      <c r="EK81" s="301">
        <v>655</v>
      </c>
      <c r="EL81" s="287"/>
      <c r="EM81" s="300" t="s">
        <v>2</v>
      </c>
      <c r="EN81" s="293">
        <v>8023.9030928099874</v>
      </c>
      <c r="EO81" s="293">
        <v>12478.186527408983</v>
      </c>
      <c r="EP81" s="258">
        <v>5221.6072052750778</v>
      </c>
      <c r="EQ81" s="258">
        <v>92848.514590731807</v>
      </c>
      <c r="ER81" s="258">
        <v>0</v>
      </c>
      <c r="ES81" s="258">
        <v>170.21431545671803</v>
      </c>
      <c r="ET81" s="258">
        <v>0</v>
      </c>
      <c r="EU81" s="258">
        <v>0</v>
      </c>
      <c r="EV81" s="258">
        <v>0</v>
      </c>
      <c r="EW81" s="258">
        <v>0</v>
      </c>
      <c r="EX81" s="258">
        <v>210.61167712263449</v>
      </c>
      <c r="EY81" s="258">
        <v>0</v>
      </c>
      <c r="EZ81" s="258">
        <v>0</v>
      </c>
      <c r="FA81" s="258">
        <v>0</v>
      </c>
      <c r="FB81" s="258">
        <v>0</v>
      </c>
      <c r="FC81" s="258">
        <v>0</v>
      </c>
      <c r="FD81" s="258">
        <v>0</v>
      </c>
      <c r="FE81" s="258">
        <v>0</v>
      </c>
      <c r="FF81" s="258">
        <v>25.579352943535195</v>
      </c>
      <c r="FG81" s="258">
        <v>0</v>
      </c>
      <c r="FH81" s="301">
        <v>118978.61676174872</v>
      </c>
    </row>
    <row r="82" spans="2:164" x14ac:dyDescent="0.2">
      <c r="B82" s="217" t="s">
        <v>3</v>
      </c>
      <c r="C82" s="227">
        <v>17</v>
      </c>
      <c r="D82" s="228">
        <v>20</v>
      </c>
      <c r="E82" s="208">
        <v>1</v>
      </c>
      <c r="F82" s="208">
        <v>0</v>
      </c>
      <c r="G82" s="208">
        <v>1439</v>
      </c>
      <c r="H82" s="208">
        <v>5</v>
      </c>
      <c r="I82" s="208">
        <v>3</v>
      </c>
      <c r="J82" s="208">
        <v>0</v>
      </c>
      <c r="K82" s="208">
        <v>2</v>
      </c>
      <c r="L82" s="208">
        <v>4</v>
      </c>
      <c r="M82" s="208">
        <v>1</v>
      </c>
      <c r="N82" s="208">
        <v>0</v>
      </c>
      <c r="O82" s="208">
        <v>0</v>
      </c>
      <c r="P82" s="208">
        <v>0</v>
      </c>
      <c r="Q82" s="208">
        <v>0</v>
      </c>
      <c r="R82" s="208">
        <v>1</v>
      </c>
      <c r="S82" s="208">
        <v>1</v>
      </c>
      <c r="T82" s="208">
        <v>0</v>
      </c>
      <c r="U82" s="208">
        <v>4</v>
      </c>
      <c r="V82" s="208">
        <v>0</v>
      </c>
      <c r="W82" s="222">
        <v>1498</v>
      </c>
      <c r="X82" s="208"/>
      <c r="Y82" s="217" t="s">
        <v>3</v>
      </c>
      <c r="Z82" s="251">
        <v>543.83702221441877</v>
      </c>
      <c r="AA82" s="251">
        <v>3473.3022046093383</v>
      </c>
      <c r="AB82" s="252">
        <v>0</v>
      </c>
      <c r="AC82" s="252">
        <v>0</v>
      </c>
      <c r="AD82" s="208">
        <v>161221.41745838078</v>
      </c>
      <c r="AE82" s="252">
        <v>571.7712390157551</v>
      </c>
      <c r="AF82" s="252">
        <v>488.39613279482194</v>
      </c>
      <c r="AG82" s="252">
        <v>0</v>
      </c>
      <c r="AH82" s="252">
        <v>56.232636469510062</v>
      </c>
      <c r="AI82" s="252">
        <v>193.14598371671312</v>
      </c>
      <c r="AJ82" s="252">
        <v>9.7958850151781736</v>
      </c>
      <c r="AK82" s="252">
        <v>0</v>
      </c>
      <c r="AL82" s="252">
        <v>0</v>
      </c>
      <c r="AM82" s="252">
        <v>0</v>
      </c>
      <c r="AN82" s="252">
        <v>0</v>
      </c>
      <c r="AO82" s="252">
        <v>0</v>
      </c>
      <c r="AP82" s="252">
        <v>49.323291591178737</v>
      </c>
      <c r="AQ82" s="252">
        <v>0</v>
      </c>
      <c r="AR82" s="252">
        <v>14.072753922498611</v>
      </c>
      <c r="AS82" s="252">
        <v>0</v>
      </c>
      <c r="AT82" s="222">
        <v>166621.29460773017</v>
      </c>
      <c r="AV82" s="217" t="s">
        <v>3</v>
      </c>
      <c r="AW82" s="232">
        <v>0</v>
      </c>
      <c r="AX82" s="232">
        <v>0</v>
      </c>
      <c r="AY82" s="255">
        <v>0</v>
      </c>
      <c r="AZ82" s="252">
        <v>0</v>
      </c>
      <c r="BA82" s="227">
        <f t="shared" si="176"/>
        <v>161221.41745838078</v>
      </c>
      <c r="BB82" s="252">
        <v>0</v>
      </c>
      <c r="BC82" s="252">
        <v>0</v>
      </c>
      <c r="BD82" s="252">
        <v>0</v>
      </c>
      <c r="BE82" s="252">
        <v>0</v>
      </c>
      <c r="BF82" s="252">
        <v>0</v>
      </c>
      <c r="BG82" s="252">
        <v>0</v>
      </c>
      <c r="BH82" s="252">
        <v>0</v>
      </c>
      <c r="BI82" s="252">
        <v>0</v>
      </c>
      <c r="BJ82" s="252">
        <v>0</v>
      </c>
      <c r="BK82" s="252">
        <v>0</v>
      </c>
      <c r="BL82" s="255">
        <v>0</v>
      </c>
      <c r="BM82" s="252">
        <v>0</v>
      </c>
      <c r="BN82" s="255">
        <v>0</v>
      </c>
      <c r="BO82" s="255">
        <v>0</v>
      </c>
      <c r="BP82" s="252">
        <v>0</v>
      </c>
      <c r="BQ82" s="230">
        <f t="shared" si="173"/>
        <v>161221.41745838078</v>
      </c>
      <c r="BR82" s="214"/>
      <c r="BS82" s="227"/>
      <c r="BT82" s="286"/>
      <c r="BU82" s="300" t="s">
        <v>3</v>
      </c>
      <c r="BV82" s="293">
        <v>0</v>
      </c>
      <c r="BW82" s="293">
        <v>2</v>
      </c>
      <c r="BX82" s="258">
        <v>0</v>
      </c>
      <c r="BY82" s="258">
        <v>0</v>
      </c>
      <c r="BZ82" s="258">
        <v>9</v>
      </c>
      <c r="CA82" s="258">
        <v>0</v>
      </c>
      <c r="CB82" s="258">
        <v>0</v>
      </c>
      <c r="CC82" s="258">
        <v>0</v>
      </c>
      <c r="CD82" s="258">
        <v>0</v>
      </c>
      <c r="CE82" s="258">
        <v>0</v>
      </c>
      <c r="CF82" s="258">
        <v>0</v>
      </c>
      <c r="CG82" s="258">
        <v>0</v>
      </c>
      <c r="CH82" s="258">
        <v>0</v>
      </c>
      <c r="CI82" s="258">
        <v>0</v>
      </c>
      <c r="CJ82" s="258">
        <v>0</v>
      </c>
      <c r="CK82" s="258">
        <v>0</v>
      </c>
      <c r="CL82" s="258">
        <v>0</v>
      </c>
      <c r="CM82" s="258">
        <v>0</v>
      </c>
      <c r="CN82" s="258">
        <v>0</v>
      </c>
      <c r="CO82" s="258">
        <v>0</v>
      </c>
      <c r="CP82" s="301">
        <v>11</v>
      </c>
      <c r="CQ82" s="302"/>
      <c r="CR82" s="300" t="s">
        <v>3</v>
      </c>
      <c r="CS82" s="293">
        <v>0</v>
      </c>
      <c r="CT82" s="293">
        <v>0</v>
      </c>
      <c r="CU82" s="258">
        <v>0</v>
      </c>
      <c r="CV82" s="258">
        <v>0</v>
      </c>
      <c r="CW82" s="258">
        <v>840.07062227035976</v>
      </c>
      <c r="CX82" s="258">
        <v>0</v>
      </c>
      <c r="CY82" s="258">
        <v>0</v>
      </c>
      <c r="CZ82" s="258">
        <v>0</v>
      </c>
      <c r="DA82" s="258">
        <v>0</v>
      </c>
      <c r="DB82" s="258">
        <v>0</v>
      </c>
      <c r="DC82" s="258">
        <v>0</v>
      </c>
      <c r="DD82" s="258">
        <v>0</v>
      </c>
      <c r="DE82" s="258">
        <v>0</v>
      </c>
      <c r="DF82" s="258">
        <v>0</v>
      </c>
      <c r="DG82" s="258">
        <v>0</v>
      </c>
      <c r="DH82" s="258">
        <v>0</v>
      </c>
      <c r="DI82" s="258">
        <v>0</v>
      </c>
      <c r="DJ82" s="258">
        <v>0</v>
      </c>
      <c r="DK82" s="258">
        <v>0</v>
      </c>
      <c r="DL82" s="258">
        <v>0</v>
      </c>
      <c r="DM82" s="301">
        <v>840.07062227035976</v>
      </c>
      <c r="DN82" s="302"/>
      <c r="DO82" s="302"/>
      <c r="DP82" s="300" t="s">
        <v>3</v>
      </c>
      <c r="DQ82" s="293">
        <v>0</v>
      </c>
      <c r="DR82" s="293">
        <v>2</v>
      </c>
      <c r="DS82" s="258">
        <v>0</v>
      </c>
      <c r="DT82" s="258">
        <v>0</v>
      </c>
      <c r="DU82" s="258">
        <v>47</v>
      </c>
      <c r="DV82" s="258">
        <v>0</v>
      </c>
      <c r="DW82" s="258">
        <v>0</v>
      </c>
      <c r="DX82" s="258">
        <v>0</v>
      </c>
      <c r="DY82" s="258">
        <v>0</v>
      </c>
      <c r="DZ82" s="258">
        <v>0</v>
      </c>
      <c r="EA82" s="258">
        <v>0</v>
      </c>
      <c r="EB82" s="258">
        <v>0</v>
      </c>
      <c r="EC82" s="258">
        <v>0</v>
      </c>
      <c r="ED82" s="258">
        <v>0</v>
      </c>
      <c r="EE82" s="258">
        <v>0</v>
      </c>
      <c r="EF82" s="258">
        <v>0</v>
      </c>
      <c r="EG82" s="258">
        <v>0</v>
      </c>
      <c r="EH82" s="258">
        <v>0</v>
      </c>
      <c r="EI82" s="258">
        <v>0</v>
      </c>
      <c r="EJ82" s="258">
        <v>0</v>
      </c>
      <c r="EK82" s="301">
        <v>49</v>
      </c>
      <c r="EL82" s="287"/>
      <c r="EM82" s="300" t="s">
        <v>3</v>
      </c>
      <c r="EN82" s="293">
        <v>0</v>
      </c>
      <c r="EO82" s="293">
        <v>0</v>
      </c>
      <c r="EP82" s="258">
        <v>0</v>
      </c>
      <c r="EQ82" s="258">
        <v>0</v>
      </c>
      <c r="ER82" s="258">
        <v>7829.9860671602355</v>
      </c>
      <c r="ES82" s="258">
        <v>0</v>
      </c>
      <c r="ET82" s="258">
        <v>0</v>
      </c>
      <c r="EU82" s="258">
        <v>0</v>
      </c>
      <c r="EV82" s="258">
        <v>0</v>
      </c>
      <c r="EW82" s="258">
        <v>0</v>
      </c>
      <c r="EX82" s="258">
        <v>0</v>
      </c>
      <c r="EY82" s="258">
        <v>0</v>
      </c>
      <c r="EZ82" s="258">
        <v>0</v>
      </c>
      <c r="FA82" s="258">
        <v>0</v>
      </c>
      <c r="FB82" s="258">
        <v>0</v>
      </c>
      <c r="FC82" s="258">
        <v>0</v>
      </c>
      <c r="FD82" s="258">
        <v>0</v>
      </c>
      <c r="FE82" s="258">
        <v>0</v>
      </c>
      <c r="FF82" s="258">
        <v>0</v>
      </c>
      <c r="FG82" s="258">
        <v>0</v>
      </c>
      <c r="FH82" s="301">
        <v>7829.9860671602355</v>
      </c>
    </row>
    <row r="83" spans="2:164" x14ac:dyDescent="0.2">
      <c r="B83" s="217" t="s">
        <v>334</v>
      </c>
      <c r="C83" s="227">
        <v>0</v>
      </c>
      <c r="D83" s="228">
        <v>0</v>
      </c>
      <c r="E83" s="208">
        <v>0</v>
      </c>
      <c r="F83" s="208">
        <v>0</v>
      </c>
      <c r="G83" s="208">
        <v>0</v>
      </c>
      <c r="H83" s="208">
        <v>1054</v>
      </c>
      <c r="I83" s="208">
        <v>52</v>
      </c>
      <c r="J83" s="208">
        <v>1</v>
      </c>
      <c r="K83" s="208">
        <v>15</v>
      </c>
      <c r="L83" s="208">
        <v>22</v>
      </c>
      <c r="M83" s="208">
        <v>3</v>
      </c>
      <c r="N83" s="208">
        <v>3</v>
      </c>
      <c r="O83" s="208">
        <v>0</v>
      </c>
      <c r="P83" s="208">
        <v>0</v>
      </c>
      <c r="Q83" s="208">
        <v>0</v>
      </c>
      <c r="R83" s="208">
        <v>1</v>
      </c>
      <c r="S83" s="208">
        <v>1</v>
      </c>
      <c r="T83" s="208">
        <v>0</v>
      </c>
      <c r="U83" s="208">
        <v>0</v>
      </c>
      <c r="V83" s="208">
        <v>0</v>
      </c>
      <c r="W83" s="222">
        <v>1152</v>
      </c>
      <c r="X83" s="208"/>
      <c r="Y83" s="217" t="s">
        <v>334</v>
      </c>
      <c r="Z83" s="227">
        <v>0</v>
      </c>
      <c r="AA83" s="228">
        <v>0</v>
      </c>
      <c r="AB83" s="252">
        <v>0</v>
      </c>
      <c r="AC83" s="208">
        <v>0</v>
      </c>
      <c r="AD83" s="208">
        <v>0</v>
      </c>
      <c r="AE83" s="208">
        <v>127624.25085881064</v>
      </c>
      <c r="AF83" s="208">
        <v>3164.2556386507181</v>
      </c>
      <c r="AG83" s="208">
        <v>0</v>
      </c>
      <c r="AH83" s="208">
        <v>495.76401089931005</v>
      </c>
      <c r="AI83" s="208">
        <v>171.08741555564242</v>
      </c>
      <c r="AJ83" s="208">
        <v>119.09138547848437</v>
      </c>
      <c r="AK83" s="252">
        <v>125.13917771554421</v>
      </c>
      <c r="AL83" s="252">
        <v>0</v>
      </c>
      <c r="AM83" s="252">
        <v>0</v>
      </c>
      <c r="AN83" s="252">
        <v>0</v>
      </c>
      <c r="AO83" s="252">
        <v>0</v>
      </c>
      <c r="AP83" s="252">
        <v>0</v>
      </c>
      <c r="AQ83" s="208">
        <v>0</v>
      </c>
      <c r="AR83" s="208">
        <v>0</v>
      </c>
      <c r="AS83" s="208">
        <v>0</v>
      </c>
      <c r="AT83" s="222">
        <v>131699.58848711033</v>
      </c>
      <c r="AV83" s="217" t="s">
        <v>334</v>
      </c>
      <c r="AW83" s="227">
        <f>Z83</f>
        <v>0</v>
      </c>
      <c r="AX83" s="227">
        <f>AA83</f>
        <v>0</v>
      </c>
      <c r="AY83" s="255">
        <v>0</v>
      </c>
      <c r="AZ83" s="227">
        <f t="shared" ref="AZ83:AZ97" si="187">AC83</f>
        <v>0</v>
      </c>
      <c r="BA83" s="227">
        <f t="shared" si="176"/>
        <v>0</v>
      </c>
      <c r="BB83" s="227">
        <f t="shared" ref="BB83:BB88" si="188">AE83</f>
        <v>127624.25085881064</v>
      </c>
      <c r="BC83" s="227">
        <f t="shared" ref="BC83:BC88" si="189">AF83</f>
        <v>3164.2556386507181</v>
      </c>
      <c r="BD83" s="227">
        <f t="shared" ref="BD83:BD88" si="190">AG83</f>
        <v>0</v>
      </c>
      <c r="BE83" s="227">
        <f t="shared" ref="BE83:BE88" si="191">AH83</f>
        <v>495.76401089931005</v>
      </c>
      <c r="BF83" s="227">
        <f t="shared" ref="BF83:BF88" si="192">AI83</f>
        <v>171.08741555564242</v>
      </c>
      <c r="BG83" s="227">
        <f t="shared" ref="BG83:BG88" si="193">AJ83</f>
        <v>119.09138547848437</v>
      </c>
      <c r="BH83" s="255">
        <v>0</v>
      </c>
      <c r="BI83" s="255">
        <v>0</v>
      </c>
      <c r="BJ83" s="255">
        <v>0</v>
      </c>
      <c r="BK83" s="255">
        <v>0</v>
      </c>
      <c r="BL83" s="252">
        <v>0</v>
      </c>
      <c r="BM83" s="255">
        <v>0</v>
      </c>
      <c r="BN83" s="208">
        <f>AQ83</f>
        <v>0</v>
      </c>
      <c r="BO83" s="208">
        <f t="shared" ref="BO83:BO97" si="194">AR83</f>
        <v>0</v>
      </c>
      <c r="BP83" s="208">
        <f t="shared" ref="BP83:BP97" si="195">AS83</f>
        <v>0</v>
      </c>
      <c r="BQ83" s="230">
        <f t="shared" si="173"/>
        <v>131574.44930939478</v>
      </c>
      <c r="BR83" s="214"/>
      <c r="BS83" s="227"/>
      <c r="BT83" s="286"/>
      <c r="BU83" s="300" t="s">
        <v>334</v>
      </c>
      <c r="BV83" s="293">
        <v>0</v>
      </c>
      <c r="BW83" s="293">
        <v>0</v>
      </c>
      <c r="BX83" s="258">
        <v>0</v>
      </c>
      <c r="BY83" s="258">
        <v>0</v>
      </c>
      <c r="BZ83" s="258">
        <v>0</v>
      </c>
      <c r="CA83" s="258">
        <v>7</v>
      </c>
      <c r="CB83" s="258">
        <v>0</v>
      </c>
      <c r="CC83" s="258">
        <v>0</v>
      </c>
      <c r="CD83" s="258">
        <v>1</v>
      </c>
      <c r="CE83" s="258">
        <v>0</v>
      </c>
      <c r="CF83" s="258">
        <v>0</v>
      </c>
      <c r="CG83" s="258">
        <v>0</v>
      </c>
      <c r="CH83" s="258">
        <v>0</v>
      </c>
      <c r="CI83" s="258">
        <v>0</v>
      </c>
      <c r="CJ83" s="258">
        <v>0</v>
      </c>
      <c r="CK83" s="258">
        <v>0</v>
      </c>
      <c r="CL83" s="258">
        <v>1</v>
      </c>
      <c r="CM83" s="258">
        <v>0</v>
      </c>
      <c r="CN83" s="258">
        <v>0</v>
      </c>
      <c r="CO83" s="258">
        <v>0</v>
      </c>
      <c r="CP83" s="301">
        <v>9</v>
      </c>
      <c r="CQ83" s="302"/>
      <c r="CR83" s="300" t="s">
        <v>334</v>
      </c>
      <c r="CS83" s="293">
        <v>0</v>
      </c>
      <c r="CT83" s="293">
        <v>0</v>
      </c>
      <c r="CU83" s="258">
        <v>0</v>
      </c>
      <c r="CV83" s="258">
        <v>0</v>
      </c>
      <c r="CW83" s="258">
        <v>0</v>
      </c>
      <c r="CX83" s="258">
        <v>1838.6579884312912</v>
      </c>
      <c r="CY83" s="258">
        <v>0</v>
      </c>
      <c r="CZ83" s="258">
        <v>0</v>
      </c>
      <c r="DA83" s="258">
        <v>119.09138547848437</v>
      </c>
      <c r="DB83" s="258">
        <v>0</v>
      </c>
      <c r="DC83" s="258">
        <v>0</v>
      </c>
      <c r="DD83" s="258">
        <v>0</v>
      </c>
      <c r="DE83" s="258">
        <v>0</v>
      </c>
      <c r="DF83" s="258">
        <v>0</v>
      </c>
      <c r="DG83" s="258">
        <v>0</v>
      </c>
      <c r="DH83" s="258">
        <v>0</v>
      </c>
      <c r="DI83" s="258">
        <v>0</v>
      </c>
      <c r="DJ83" s="258">
        <v>0</v>
      </c>
      <c r="DK83" s="258">
        <v>0</v>
      </c>
      <c r="DL83" s="258">
        <v>0</v>
      </c>
      <c r="DM83" s="301">
        <v>1957.7493739097756</v>
      </c>
      <c r="DN83" s="302"/>
      <c r="DO83" s="302"/>
      <c r="DP83" s="300" t="s">
        <v>334</v>
      </c>
      <c r="DQ83" s="293">
        <v>0</v>
      </c>
      <c r="DR83" s="293">
        <v>0</v>
      </c>
      <c r="DS83" s="258">
        <v>0</v>
      </c>
      <c r="DT83" s="258">
        <v>0</v>
      </c>
      <c r="DU83" s="258">
        <v>0</v>
      </c>
      <c r="DV83" s="258">
        <v>31</v>
      </c>
      <c r="DW83" s="258">
        <v>2</v>
      </c>
      <c r="DX83" s="258">
        <v>0</v>
      </c>
      <c r="DY83" s="258">
        <v>1</v>
      </c>
      <c r="DZ83" s="258">
        <v>0</v>
      </c>
      <c r="EA83" s="258">
        <v>0</v>
      </c>
      <c r="EB83" s="258">
        <v>0</v>
      </c>
      <c r="EC83" s="258">
        <v>0</v>
      </c>
      <c r="ED83" s="258">
        <v>0</v>
      </c>
      <c r="EE83" s="258">
        <v>0</v>
      </c>
      <c r="EF83" s="258">
        <v>0</v>
      </c>
      <c r="EG83" s="258">
        <v>1</v>
      </c>
      <c r="EH83" s="258">
        <v>0</v>
      </c>
      <c r="EI83" s="258">
        <v>0</v>
      </c>
      <c r="EJ83" s="258">
        <v>0</v>
      </c>
      <c r="EK83" s="301">
        <v>35</v>
      </c>
      <c r="EL83" s="287"/>
      <c r="EM83" s="300" t="s">
        <v>334</v>
      </c>
      <c r="EN83" s="293">
        <v>0</v>
      </c>
      <c r="EO83" s="293">
        <v>0</v>
      </c>
      <c r="EP83" s="258">
        <v>0</v>
      </c>
      <c r="EQ83" s="258">
        <v>0</v>
      </c>
      <c r="ER83" s="258">
        <v>0</v>
      </c>
      <c r="ES83" s="258">
        <v>8402.4653500780842</v>
      </c>
      <c r="ET83" s="258">
        <v>923.38705141377147</v>
      </c>
      <c r="EU83" s="258">
        <v>0</v>
      </c>
      <c r="EV83" s="258">
        <v>119.09138547848437</v>
      </c>
      <c r="EW83" s="258">
        <v>0</v>
      </c>
      <c r="EX83" s="258">
        <v>0</v>
      </c>
      <c r="EY83" s="258">
        <v>0</v>
      </c>
      <c r="EZ83" s="258">
        <v>0</v>
      </c>
      <c r="FA83" s="258">
        <v>0</v>
      </c>
      <c r="FB83" s="258">
        <v>0</v>
      </c>
      <c r="FC83" s="258">
        <v>0</v>
      </c>
      <c r="FD83" s="258">
        <v>0</v>
      </c>
      <c r="FE83" s="258">
        <v>0</v>
      </c>
      <c r="FF83" s="258">
        <v>0</v>
      </c>
      <c r="FG83" s="258">
        <v>0</v>
      </c>
      <c r="FH83" s="301">
        <v>9444.9437869703397</v>
      </c>
    </row>
    <row r="84" spans="2:164" x14ac:dyDescent="0.2">
      <c r="B84" s="217" t="s">
        <v>352</v>
      </c>
      <c r="C84" s="227">
        <v>0</v>
      </c>
      <c r="D84" s="228">
        <v>0</v>
      </c>
      <c r="E84" s="208">
        <v>0</v>
      </c>
      <c r="F84" s="208">
        <v>0</v>
      </c>
      <c r="G84" s="208">
        <v>0</v>
      </c>
      <c r="H84" s="208">
        <v>0</v>
      </c>
      <c r="I84" s="208">
        <v>303</v>
      </c>
      <c r="J84" s="208">
        <v>0</v>
      </c>
      <c r="K84" s="208">
        <v>2</v>
      </c>
      <c r="L84" s="208">
        <v>7</v>
      </c>
      <c r="M84" s="208">
        <v>1</v>
      </c>
      <c r="N84" s="208">
        <v>0</v>
      </c>
      <c r="O84" s="208">
        <v>3</v>
      </c>
      <c r="P84" s="208">
        <v>0</v>
      </c>
      <c r="Q84" s="208">
        <v>1</v>
      </c>
      <c r="R84" s="208">
        <v>0</v>
      </c>
      <c r="S84" s="208">
        <v>0</v>
      </c>
      <c r="T84" s="208">
        <v>0</v>
      </c>
      <c r="U84" s="208">
        <v>0</v>
      </c>
      <c r="V84" s="208">
        <v>0</v>
      </c>
      <c r="W84" s="222">
        <v>317</v>
      </c>
      <c r="X84" s="208"/>
      <c r="Y84" s="217" t="s">
        <v>352</v>
      </c>
      <c r="Z84" s="227">
        <v>0</v>
      </c>
      <c r="AA84" s="228">
        <v>0</v>
      </c>
      <c r="AB84" s="208">
        <v>0</v>
      </c>
      <c r="AC84" s="208">
        <v>0</v>
      </c>
      <c r="AD84" s="208">
        <v>0</v>
      </c>
      <c r="AE84" s="208">
        <v>0</v>
      </c>
      <c r="AF84" s="208">
        <v>19494.270522835457</v>
      </c>
      <c r="AG84" s="208">
        <v>0</v>
      </c>
      <c r="AH84" s="208">
        <v>44.41219125398753</v>
      </c>
      <c r="AI84" s="208">
        <v>195.73495557813479</v>
      </c>
      <c r="AJ84" s="208">
        <v>0</v>
      </c>
      <c r="AK84" s="252">
        <v>0</v>
      </c>
      <c r="AL84" s="252">
        <v>29.114366384266603</v>
      </c>
      <c r="AM84" s="252">
        <v>0</v>
      </c>
      <c r="AN84" s="252">
        <v>273.70203429554545</v>
      </c>
      <c r="AO84" s="252">
        <v>0</v>
      </c>
      <c r="AP84" s="252">
        <v>0</v>
      </c>
      <c r="AQ84" s="208">
        <v>0</v>
      </c>
      <c r="AR84" s="208">
        <v>0</v>
      </c>
      <c r="AS84" s="208">
        <v>0</v>
      </c>
      <c r="AT84" s="222">
        <v>20037.234070347389</v>
      </c>
      <c r="AV84" s="217" t="s">
        <v>350</v>
      </c>
      <c r="AW84" s="227">
        <f t="shared" ref="AW84:AW97" si="196">Z84</f>
        <v>0</v>
      </c>
      <c r="AX84" s="227">
        <f t="shared" ref="AX84:AX97" si="197">AA84</f>
        <v>0</v>
      </c>
      <c r="AY84" s="227">
        <f t="shared" ref="AY84:AY97" si="198">AB84</f>
        <v>0</v>
      </c>
      <c r="AZ84" s="227">
        <f t="shared" si="187"/>
        <v>0</v>
      </c>
      <c r="BA84" s="227">
        <f t="shared" si="176"/>
        <v>0</v>
      </c>
      <c r="BB84" s="227">
        <f t="shared" si="188"/>
        <v>0</v>
      </c>
      <c r="BC84" s="227">
        <f t="shared" si="189"/>
        <v>19494.270522835457</v>
      </c>
      <c r="BD84" s="227">
        <f t="shared" si="190"/>
        <v>0</v>
      </c>
      <c r="BE84" s="227">
        <f t="shared" si="191"/>
        <v>44.41219125398753</v>
      </c>
      <c r="BF84" s="227">
        <f t="shared" si="192"/>
        <v>195.73495557813479</v>
      </c>
      <c r="BG84" s="227">
        <f t="shared" si="193"/>
        <v>0</v>
      </c>
      <c r="BH84" s="252">
        <v>0</v>
      </c>
      <c r="BI84" s="255">
        <v>0</v>
      </c>
      <c r="BJ84" s="255">
        <v>0</v>
      </c>
      <c r="BK84" s="252">
        <v>0</v>
      </c>
      <c r="BL84" s="255">
        <v>0</v>
      </c>
      <c r="BM84" s="252">
        <v>0</v>
      </c>
      <c r="BN84" s="208">
        <f t="shared" ref="BN84:BN97" si="199">AQ84</f>
        <v>0</v>
      </c>
      <c r="BO84" s="208">
        <f t="shared" si="194"/>
        <v>0</v>
      </c>
      <c r="BP84" s="208">
        <f t="shared" si="195"/>
        <v>0</v>
      </c>
      <c r="BQ84" s="230">
        <f t="shared" si="173"/>
        <v>19734.417669667582</v>
      </c>
      <c r="BR84" s="214"/>
      <c r="BS84" s="227"/>
      <c r="BT84" s="286"/>
      <c r="BU84" s="300" t="s">
        <v>352</v>
      </c>
      <c r="BV84" s="293">
        <v>0</v>
      </c>
      <c r="BW84" s="293">
        <v>0</v>
      </c>
      <c r="BX84" s="258">
        <v>0</v>
      </c>
      <c r="BY84" s="258">
        <v>0</v>
      </c>
      <c r="BZ84" s="258">
        <v>0</v>
      </c>
      <c r="CA84" s="258">
        <v>0</v>
      </c>
      <c r="CB84" s="258">
        <v>0</v>
      </c>
      <c r="CC84" s="258">
        <v>0</v>
      </c>
      <c r="CD84" s="258">
        <v>0</v>
      </c>
      <c r="CE84" s="258">
        <v>0</v>
      </c>
      <c r="CF84" s="258">
        <v>0</v>
      </c>
      <c r="CG84" s="258">
        <v>0</v>
      </c>
      <c r="CH84" s="258">
        <v>0</v>
      </c>
      <c r="CI84" s="258">
        <v>0</v>
      </c>
      <c r="CJ84" s="258">
        <v>0</v>
      </c>
      <c r="CK84" s="258">
        <v>0</v>
      </c>
      <c r="CL84" s="258">
        <v>0</v>
      </c>
      <c r="CM84" s="258">
        <v>0</v>
      </c>
      <c r="CN84" s="258">
        <v>0</v>
      </c>
      <c r="CO84" s="258">
        <v>0</v>
      </c>
      <c r="CP84" s="301">
        <v>0</v>
      </c>
      <c r="CQ84" s="302"/>
      <c r="CR84" s="300" t="s">
        <v>352</v>
      </c>
      <c r="CS84" s="293">
        <v>0</v>
      </c>
      <c r="CT84" s="293">
        <v>0</v>
      </c>
      <c r="CU84" s="258">
        <v>0</v>
      </c>
      <c r="CV84" s="258">
        <v>0</v>
      </c>
      <c r="CW84" s="258">
        <v>0</v>
      </c>
      <c r="CX84" s="258">
        <v>0</v>
      </c>
      <c r="CY84" s="258">
        <v>0</v>
      </c>
      <c r="CZ84" s="258">
        <v>0</v>
      </c>
      <c r="DA84" s="258">
        <v>0</v>
      </c>
      <c r="DB84" s="258">
        <v>0</v>
      </c>
      <c r="DC84" s="258">
        <v>0</v>
      </c>
      <c r="DD84" s="258">
        <v>0</v>
      </c>
      <c r="DE84" s="258">
        <v>0</v>
      </c>
      <c r="DF84" s="258">
        <v>0</v>
      </c>
      <c r="DG84" s="258">
        <v>0</v>
      </c>
      <c r="DH84" s="258">
        <v>0</v>
      </c>
      <c r="DI84" s="258">
        <v>0</v>
      </c>
      <c r="DJ84" s="258">
        <v>0</v>
      </c>
      <c r="DK84" s="258">
        <v>0</v>
      </c>
      <c r="DL84" s="258">
        <v>0</v>
      </c>
      <c r="DM84" s="301">
        <v>0</v>
      </c>
      <c r="DN84" s="302"/>
      <c r="DO84" s="302"/>
      <c r="DP84" s="300" t="s">
        <v>352</v>
      </c>
      <c r="DQ84" s="293">
        <v>0</v>
      </c>
      <c r="DR84" s="293">
        <v>0</v>
      </c>
      <c r="DS84" s="258">
        <v>0</v>
      </c>
      <c r="DT84" s="258">
        <v>0</v>
      </c>
      <c r="DU84" s="258">
        <v>0</v>
      </c>
      <c r="DV84" s="258">
        <v>0</v>
      </c>
      <c r="DW84" s="258">
        <v>2</v>
      </c>
      <c r="DX84" s="258">
        <v>0</v>
      </c>
      <c r="DY84" s="258">
        <v>0</v>
      </c>
      <c r="DZ84" s="258">
        <v>0</v>
      </c>
      <c r="EA84" s="258">
        <v>0</v>
      </c>
      <c r="EB84" s="258">
        <v>0</v>
      </c>
      <c r="EC84" s="258">
        <v>0</v>
      </c>
      <c r="ED84" s="258">
        <v>0</v>
      </c>
      <c r="EE84" s="258">
        <v>0</v>
      </c>
      <c r="EF84" s="258">
        <v>0</v>
      </c>
      <c r="EG84" s="258">
        <v>0</v>
      </c>
      <c r="EH84" s="258">
        <v>0</v>
      </c>
      <c r="EI84" s="258">
        <v>0</v>
      </c>
      <c r="EJ84" s="258">
        <v>0</v>
      </c>
      <c r="EK84" s="301">
        <v>2</v>
      </c>
      <c r="EL84" s="287"/>
      <c r="EM84" s="300" t="s">
        <v>352</v>
      </c>
      <c r="EN84" s="293">
        <v>0</v>
      </c>
      <c r="EO84" s="293">
        <v>0</v>
      </c>
      <c r="EP84" s="258">
        <v>0</v>
      </c>
      <c r="EQ84" s="258">
        <v>0</v>
      </c>
      <c r="ER84" s="258">
        <v>0</v>
      </c>
      <c r="ES84" s="258">
        <v>0</v>
      </c>
      <c r="ET84" s="258">
        <v>923.38705141377147</v>
      </c>
      <c r="EU84" s="258">
        <v>0</v>
      </c>
      <c r="EV84" s="258">
        <v>0</v>
      </c>
      <c r="EW84" s="258">
        <v>0</v>
      </c>
      <c r="EX84" s="258">
        <v>0</v>
      </c>
      <c r="EY84" s="258">
        <v>0</v>
      </c>
      <c r="EZ84" s="258">
        <v>0</v>
      </c>
      <c r="FA84" s="258">
        <v>0</v>
      </c>
      <c r="FB84" s="258">
        <v>0</v>
      </c>
      <c r="FC84" s="258">
        <v>0</v>
      </c>
      <c r="FD84" s="258">
        <v>0</v>
      </c>
      <c r="FE84" s="258">
        <v>0</v>
      </c>
      <c r="FF84" s="258">
        <v>0</v>
      </c>
      <c r="FG84" s="258">
        <v>0</v>
      </c>
      <c r="FH84" s="301">
        <v>923.38705141377147</v>
      </c>
    </row>
    <row r="85" spans="2:164" x14ac:dyDescent="0.2">
      <c r="B85" s="217" t="s">
        <v>335</v>
      </c>
      <c r="C85" s="227">
        <v>0</v>
      </c>
      <c r="D85" s="228">
        <v>0</v>
      </c>
      <c r="E85" s="208">
        <v>0</v>
      </c>
      <c r="F85" s="208">
        <v>0</v>
      </c>
      <c r="G85" s="208">
        <v>0</v>
      </c>
      <c r="H85" s="208">
        <v>0</v>
      </c>
      <c r="I85" s="208">
        <v>0</v>
      </c>
      <c r="J85" s="208">
        <v>0</v>
      </c>
      <c r="K85" s="208">
        <v>44</v>
      </c>
      <c r="L85" s="208">
        <v>2</v>
      </c>
      <c r="M85" s="208">
        <v>0</v>
      </c>
      <c r="N85" s="208">
        <v>0</v>
      </c>
      <c r="O85" s="208">
        <v>0</v>
      </c>
      <c r="P85" s="208">
        <v>0</v>
      </c>
      <c r="Q85" s="208">
        <v>1</v>
      </c>
      <c r="R85" s="208">
        <v>0</v>
      </c>
      <c r="S85" s="208">
        <v>0</v>
      </c>
      <c r="T85" s="208">
        <v>0</v>
      </c>
      <c r="U85" s="208">
        <v>0</v>
      </c>
      <c r="V85" s="208">
        <v>0</v>
      </c>
      <c r="W85" s="222">
        <v>47</v>
      </c>
      <c r="X85" s="208"/>
      <c r="Y85" s="217" t="s">
        <v>335</v>
      </c>
      <c r="Z85" s="227">
        <v>0</v>
      </c>
      <c r="AA85" s="228">
        <v>0</v>
      </c>
      <c r="AB85" s="208">
        <v>0</v>
      </c>
      <c r="AC85" s="208">
        <v>0</v>
      </c>
      <c r="AD85" s="208">
        <v>0</v>
      </c>
      <c r="AE85" s="208">
        <v>0</v>
      </c>
      <c r="AF85" s="208">
        <v>0</v>
      </c>
      <c r="AG85" s="208">
        <v>0</v>
      </c>
      <c r="AH85" s="208">
        <v>3511.7001539592929</v>
      </c>
      <c r="AI85" s="208">
        <v>2897.9032578543392</v>
      </c>
      <c r="AJ85" s="208">
        <v>0</v>
      </c>
      <c r="AK85" s="252">
        <v>0</v>
      </c>
      <c r="AL85" s="252">
        <v>0</v>
      </c>
      <c r="AM85" s="252">
        <v>0</v>
      </c>
      <c r="AN85" s="252">
        <v>273.70203429554545</v>
      </c>
      <c r="AO85" s="252">
        <v>0</v>
      </c>
      <c r="AP85" s="252">
        <v>0</v>
      </c>
      <c r="AQ85" s="208">
        <v>0</v>
      </c>
      <c r="AR85" s="208">
        <v>0</v>
      </c>
      <c r="AS85" s="208">
        <v>0</v>
      </c>
      <c r="AT85" s="222">
        <v>6683.3054461091779</v>
      </c>
      <c r="AV85" s="217" t="s">
        <v>346</v>
      </c>
      <c r="AW85" s="227">
        <f t="shared" si="196"/>
        <v>0</v>
      </c>
      <c r="AX85" s="227">
        <f t="shared" si="197"/>
        <v>0</v>
      </c>
      <c r="AY85" s="227">
        <f t="shared" si="198"/>
        <v>0</v>
      </c>
      <c r="AZ85" s="227">
        <f t="shared" si="187"/>
        <v>0</v>
      </c>
      <c r="BA85" s="227">
        <f t="shared" si="176"/>
        <v>0</v>
      </c>
      <c r="BB85" s="227">
        <f t="shared" si="188"/>
        <v>0</v>
      </c>
      <c r="BC85" s="227">
        <f t="shared" si="189"/>
        <v>0</v>
      </c>
      <c r="BD85" s="227">
        <f t="shared" si="190"/>
        <v>0</v>
      </c>
      <c r="BE85" s="227">
        <f t="shared" si="191"/>
        <v>3511.7001539592929</v>
      </c>
      <c r="BF85" s="227">
        <f t="shared" si="192"/>
        <v>2897.9032578543392</v>
      </c>
      <c r="BG85" s="227">
        <f t="shared" si="193"/>
        <v>0</v>
      </c>
      <c r="BH85" s="252">
        <v>0</v>
      </c>
      <c r="BI85" s="252">
        <v>0</v>
      </c>
      <c r="BJ85" s="255">
        <v>0</v>
      </c>
      <c r="BK85" s="252">
        <v>0</v>
      </c>
      <c r="BL85" s="255">
        <v>0</v>
      </c>
      <c r="BM85" s="252">
        <v>0</v>
      </c>
      <c r="BN85" s="208">
        <f t="shared" si="199"/>
        <v>0</v>
      </c>
      <c r="BO85" s="208">
        <f t="shared" si="194"/>
        <v>0</v>
      </c>
      <c r="BP85" s="208">
        <f t="shared" si="195"/>
        <v>0</v>
      </c>
      <c r="BQ85" s="230">
        <f t="shared" si="173"/>
        <v>6409.6034118136322</v>
      </c>
      <c r="BR85" s="214"/>
      <c r="BS85" s="227"/>
      <c r="BT85" s="286"/>
      <c r="BU85" s="300" t="s">
        <v>335</v>
      </c>
      <c r="BV85" s="293">
        <v>0</v>
      </c>
      <c r="BW85" s="293">
        <v>0</v>
      </c>
      <c r="BX85" s="258">
        <v>0</v>
      </c>
      <c r="BY85" s="258">
        <v>0</v>
      </c>
      <c r="BZ85" s="258">
        <v>0</v>
      </c>
      <c r="CA85" s="258">
        <v>0</v>
      </c>
      <c r="CB85" s="258">
        <v>0</v>
      </c>
      <c r="CC85" s="258">
        <v>0</v>
      </c>
      <c r="CD85" s="258">
        <v>0</v>
      </c>
      <c r="CE85" s="258">
        <v>0</v>
      </c>
      <c r="CF85" s="258">
        <v>0</v>
      </c>
      <c r="CG85" s="258">
        <v>0</v>
      </c>
      <c r="CH85" s="258">
        <v>0</v>
      </c>
      <c r="CI85" s="258">
        <v>0</v>
      </c>
      <c r="CJ85" s="258">
        <v>0</v>
      </c>
      <c r="CK85" s="258">
        <v>0</v>
      </c>
      <c r="CL85" s="258">
        <v>0</v>
      </c>
      <c r="CM85" s="258">
        <v>0</v>
      </c>
      <c r="CN85" s="258">
        <v>0</v>
      </c>
      <c r="CO85" s="258">
        <v>0</v>
      </c>
      <c r="CP85" s="301">
        <v>0</v>
      </c>
      <c r="CQ85" s="302"/>
      <c r="CR85" s="300" t="s">
        <v>335</v>
      </c>
      <c r="CS85" s="293">
        <v>0</v>
      </c>
      <c r="CT85" s="293">
        <v>0</v>
      </c>
      <c r="CU85" s="258">
        <v>0</v>
      </c>
      <c r="CV85" s="258">
        <v>0</v>
      </c>
      <c r="CW85" s="258">
        <v>0</v>
      </c>
      <c r="CX85" s="258">
        <v>0</v>
      </c>
      <c r="CY85" s="258">
        <v>0</v>
      </c>
      <c r="CZ85" s="258">
        <v>0</v>
      </c>
      <c r="DA85" s="258">
        <v>0</v>
      </c>
      <c r="DB85" s="258">
        <v>0</v>
      </c>
      <c r="DC85" s="258">
        <v>0</v>
      </c>
      <c r="DD85" s="258">
        <v>0</v>
      </c>
      <c r="DE85" s="258">
        <v>0</v>
      </c>
      <c r="DF85" s="258">
        <v>0</v>
      </c>
      <c r="DG85" s="258">
        <v>0</v>
      </c>
      <c r="DH85" s="258">
        <v>0</v>
      </c>
      <c r="DI85" s="258">
        <v>0</v>
      </c>
      <c r="DJ85" s="258">
        <v>0</v>
      </c>
      <c r="DK85" s="258">
        <v>0</v>
      </c>
      <c r="DL85" s="258">
        <v>0</v>
      </c>
      <c r="DM85" s="301">
        <v>0</v>
      </c>
      <c r="DN85" s="302"/>
      <c r="DO85" s="302"/>
      <c r="DP85" s="300" t="s">
        <v>335</v>
      </c>
      <c r="DQ85" s="293">
        <v>0</v>
      </c>
      <c r="DR85" s="293">
        <v>0</v>
      </c>
      <c r="DS85" s="258">
        <v>0</v>
      </c>
      <c r="DT85" s="258">
        <v>0</v>
      </c>
      <c r="DU85" s="258">
        <v>0</v>
      </c>
      <c r="DV85" s="258">
        <v>0</v>
      </c>
      <c r="DW85" s="258">
        <v>0</v>
      </c>
      <c r="DX85" s="258">
        <v>0</v>
      </c>
      <c r="DY85" s="258">
        <v>1</v>
      </c>
      <c r="DZ85" s="258">
        <v>0</v>
      </c>
      <c r="EA85" s="258">
        <v>0</v>
      </c>
      <c r="EB85" s="258">
        <v>0</v>
      </c>
      <c r="EC85" s="258">
        <v>0</v>
      </c>
      <c r="ED85" s="258">
        <v>0</v>
      </c>
      <c r="EE85" s="258">
        <v>0</v>
      </c>
      <c r="EF85" s="258">
        <v>0</v>
      </c>
      <c r="EG85" s="258">
        <v>0</v>
      </c>
      <c r="EH85" s="258">
        <v>0</v>
      </c>
      <c r="EI85" s="258">
        <v>0</v>
      </c>
      <c r="EJ85" s="258">
        <v>0</v>
      </c>
      <c r="EK85" s="301">
        <v>1</v>
      </c>
      <c r="EL85" s="287"/>
      <c r="EM85" s="300" t="s">
        <v>335</v>
      </c>
      <c r="EN85" s="293">
        <v>0</v>
      </c>
      <c r="EO85" s="293">
        <v>0</v>
      </c>
      <c r="EP85" s="258">
        <v>0</v>
      </c>
      <c r="EQ85" s="258">
        <v>0</v>
      </c>
      <c r="ER85" s="258">
        <v>0</v>
      </c>
      <c r="ES85" s="258">
        <v>0</v>
      </c>
      <c r="ET85" s="258">
        <v>0</v>
      </c>
      <c r="EU85" s="258">
        <v>0</v>
      </c>
      <c r="EV85" s="258">
        <v>70.878998119987941</v>
      </c>
      <c r="EW85" s="258">
        <v>0</v>
      </c>
      <c r="EX85" s="258">
        <v>0</v>
      </c>
      <c r="EY85" s="258">
        <v>0</v>
      </c>
      <c r="EZ85" s="258">
        <v>0</v>
      </c>
      <c r="FA85" s="258">
        <v>0</v>
      </c>
      <c r="FB85" s="258">
        <v>0</v>
      </c>
      <c r="FC85" s="258">
        <v>0</v>
      </c>
      <c r="FD85" s="258">
        <v>0</v>
      </c>
      <c r="FE85" s="258">
        <v>0</v>
      </c>
      <c r="FF85" s="258">
        <v>0</v>
      </c>
      <c r="FG85" s="258">
        <v>0</v>
      </c>
      <c r="FH85" s="301">
        <v>70.878998119987941</v>
      </c>
    </row>
    <row r="86" spans="2:164" x14ac:dyDescent="0.2">
      <c r="B86" s="217" t="s">
        <v>336</v>
      </c>
      <c r="C86" s="227">
        <v>0</v>
      </c>
      <c r="D86" s="228">
        <v>0</v>
      </c>
      <c r="E86" s="208">
        <v>0</v>
      </c>
      <c r="F86" s="208">
        <v>0</v>
      </c>
      <c r="G86" s="208">
        <v>0</v>
      </c>
      <c r="H86" s="208">
        <v>0</v>
      </c>
      <c r="I86" s="208">
        <v>0</v>
      </c>
      <c r="J86" s="208">
        <v>0</v>
      </c>
      <c r="K86" s="208">
        <v>0</v>
      </c>
      <c r="L86" s="208">
        <v>172</v>
      </c>
      <c r="M86" s="208">
        <v>1</v>
      </c>
      <c r="N86" s="208">
        <v>0</v>
      </c>
      <c r="O86" s="208">
        <v>0</v>
      </c>
      <c r="P86" s="208">
        <v>0</v>
      </c>
      <c r="Q86" s="208">
        <v>0</v>
      </c>
      <c r="R86" s="208">
        <v>10</v>
      </c>
      <c r="S86" s="208">
        <v>0</v>
      </c>
      <c r="T86" s="208">
        <v>0</v>
      </c>
      <c r="U86" s="208">
        <v>0</v>
      </c>
      <c r="V86" s="208">
        <v>0</v>
      </c>
      <c r="W86" s="222">
        <v>183</v>
      </c>
      <c r="X86" s="208"/>
      <c r="Y86" s="217" t="s">
        <v>336</v>
      </c>
      <c r="Z86" s="227">
        <v>0</v>
      </c>
      <c r="AA86" s="228">
        <v>0</v>
      </c>
      <c r="AB86" s="208">
        <v>0</v>
      </c>
      <c r="AC86" s="208">
        <v>0</v>
      </c>
      <c r="AD86" s="208">
        <v>0</v>
      </c>
      <c r="AE86" s="208">
        <v>0</v>
      </c>
      <c r="AF86" s="208">
        <v>0</v>
      </c>
      <c r="AG86" s="208">
        <v>0</v>
      </c>
      <c r="AH86" s="208">
        <v>0</v>
      </c>
      <c r="AI86" s="208">
        <v>18477.88015628621</v>
      </c>
      <c r="AJ86" s="208">
        <v>185.43004684938074</v>
      </c>
      <c r="AK86" s="252">
        <v>0</v>
      </c>
      <c r="AL86" s="252">
        <v>0</v>
      </c>
      <c r="AM86" s="252">
        <v>0</v>
      </c>
      <c r="AN86" s="252">
        <v>0</v>
      </c>
      <c r="AO86" s="252">
        <v>1155.8038806024549</v>
      </c>
      <c r="AP86" s="252">
        <v>0</v>
      </c>
      <c r="AQ86" s="208">
        <v>0</v>
      </c>
      <c r="AR86" s="208">
        <v>0</v>
      </c>
      <c r="AS86" s="208">
        <v>0</v>
      </c>
      <c r="AT86" s="222">
        <v>19819.114083738048</v>
      </c>
      <c r="AV86" s="217" t="s">
        <v>335</v>
      </c>
      <c r="AW86" s="227">
        <f t="shared" si="196"/>
        <v>0</v>
      </c>
      <c r="AX86" s="227">
        <f t="shared" si="197"/>
        <v>0</v>
      </c>
      <c r="AY86" s="227">
        <f t="shared" si="198"/>
        <v>0</v>
      </c>
      <c r="AZ86" s="227">
        <f t="shared" si="187"/>
        <v>0</v>
      </c>
      <c r="BA86" s="227">
        <f t="shared" si="176"/>
        <v>0</v>
      </c>
      <c r="BB86" s="227">
        <f t="shared" si="188"/>
        <v>0</v>
      </c>
      <c r="BC86" s="227">
        <f t="shared" si="189"/>
        <v>0</v>
      </c>
      <c r="BD86" s="227">
        <f t="shared" si="190"/>
        <v>0</v>
      </c>
      <c r="BE86" s="227">
        <f t="shared" si="191"/>
        <v>0</v>
      </c>
      <c r="BF86" s="227">
        <f t="shared" si="192"/>
        <v>18477.88015628621</v>
      </c>
      <c r="BG86" s="227">
        <f t="shared" si="193"/>
        <v>185.43004684938074</v>
      </c>
      <c r="BH86" s="252">
        <v>0</v>
      </c>
      <c r="BI86" s="252">
        <v>0</v>
      </c>
      <c r="BJ86" s="252">
        <v>0</v>
      </c>
      <c r="BK86" s="252">
        <v>0</v>
      </c>
      <c r="BL86" s="255">
        <v>0</v>
      </c>
      <c r="BM86" s="252">
        <v>0</v>
      </c>
      <c r="BN86" s="208">
        <f t="shared" si="199"/>
        <v>0</v>
      </c>
      <c r="BO86" s="208">
        <f t="shared" si="194"/>
        <v>0</v>
      </c>
      <c r="BP86" s="208">
        <f t="shared" si="195"/>
        <v>0</v>
      </c>
      <c r="BQ86" s="230">
        <f t="shared" si="173"/>
        <v>18663.310203135592</v>
      </c>
      <c r="BR86" s="214"/>
      <c r="BS86" s="227"/>
      <c r="BT86" s="286"/>
      <c r="BU86" s="300" t="s">
        <v>336</v>
      </c>
      <c r="BV86" s="293">
        <v>0</v>
      </c>
      <c r="BW86" s="293">
        <v>0</v>
      </c>
      <c r="BX86" s="258">
        <v>0</v>
      </c>
      <c r="BY86" s="258">
        <v>0</v>
      </c>
      <c r="BZ86" s="258">
        <v>0</v>
      </c>
      <c r="CA86" s="258">
        <v>0</v>
      </c>
      <c r="CB86" s="258">
        <v>0</v>
      </c>
      <c r="CC86" s="258">
        <v>0</v>
      </c>
      <c r="CD86" s="258">
        <v>0</v>
      </c>
      <c r="CE86" s="258">
        <v>0</v>
      </c>
      <c r="CF86" s="258">
        <v>0</v>
      </c>
      <c r="CG86" s="258">
        <v>0</v>
      </c>
      <c r="CH86" s="258">
        <v>0</v>
      </c>
      <c r="CI86" s="258">
        <v>0</v>
      </c>
      <c r="CJ86" s="258">
        <v>0</v>
      </c>
      <c r="CK86" s="258">
        <v>0</v>
      </c>
      <c r="CL86" s="258">
        <v>0</v>
      </c>
      <c r="CM86" s="258">
        <v>0</v>
      </c>
      <c r="CN86" s="258">
        <v>0</v>
      </c>
      <c r="CO86" s="258">
        <v>0</v>
      </c>
      <c r="CP86" s="301">
        <v>0</v>
      </c>
      <c r="CQ86" s="302"/>
      <c r="CR86" s="300" t="s">
        <v>336</v>
      </c>
      <c r="CS86" s="293">
        <v>0</v>
      </c>
      <c r="CT86" s="293">
        <v>0</v>
      </c>
      <c r="CU86" s="258">
        <v>0</v>
      </c>
      <c r="CV86" s="258">
        <v>0</v>
      </c>
      <c r="CW86" s="258">
        <v>0</v>
      </c>
      <c r="CX86" s="258">
        <v>0</v>
      </c>
      <c r="CY86" s="258">
        <v>0</v>
      </c>
      <c r="CZ86" s="258">
        <v>0</v>
      </c>
      <c r="DA86" s="258">
        <v>0</v>
      </c>
      <c r="DB86" s="258">
        <v>0</v>
      </c>
      <c r="DC86" s="258">
        <v>0</v>
      </c>
      <c r="DD86" s="258">
        <v>0</v>
      </c>
      <c r="DE86" s="258">
        <v>0</v>
      </c>
      <c r="DF86" s="258">
        <v>0</v>
      </c>
      <c r="DG86" s="258">
        <v>0</v>
      </c>
      <c r="DH86" s="258">
        <v>0</v>
      </c>
      <c r="DI86" s="258">
        <v>0</v>
      </c>
      <c r="DJ86" s="258">
        <v>0</v>
      </c>
      <c r="DK86" s="258">
        <v>0</v>
      </c>
      <c r="DL86" s="258">
        <v>0</v>
      </c>
      <c r="DM86" s="301">
        <v>0</v>
      </c>
      <c r="DN86" s="302"/>
      <c r="DO86" s="302"/>
      <c r="DP86" s="300" t="s">
        <v>336</v>
      </c>
      <c r="DQ86" s="293">
        <v>0</v>
      </c>
      <c r="DR86" s="293">
        <v>0</v>
      </c>
      <c r="DS86" s="258">
        <v>0</v>
      </c>
      <c r="DT86" s="258">
        <v>0</v>
      </c>
      <c r="DU86" s="258">
        <v>0</v>
      </c>
      <c r="DV86" s="258">
        <v>0</v>
      </c>
      <c r="DW86" s="258">
        <v>0</v>
      </c>
      <c r="DX86" s="258">
        <v>0</v>
      </c>
      <c r="DY86" s="258">
        <v>0</v>
      </c>
      <c r="DZ86" s="258">
        <v>0</v>
      </c>
      <c r="EA86" s="258">
        <v>0</v>
      </c>
      <c r="EB86" s="258">
        <v>0</v>
      </c>
      <c r="EC86" s="258">
        <v>0</v>
      </c>
      <c r="ED86" s="258">
        <v>0</v>
      </c>
      <c r="EE86" s="258">
        <v>0</v>
      </c>
      <c r="EF86" s="258">
        <v>0</v>
      </c>
      <c r="EG86" s="258">
        <v>0</v>
      </c>
      <c r="EH86" s="258">
        <v>0</v>
      </c>
      <c r="EI86" s="258">
        <v>0</v>
      </c>
      <c r="EJ86" s="258">
        <v>0</v>
      </c>
      <c r="EK86" s="301">
        <v>0</v>
      </c>
      <c r="EL86" s="287"/>
      <c r="EM86" s="300" t="s">
        <v>336</v>
      </c>
      <c r="EN86" s="293">
        <v>0</v>
      </c>
      <c r="EO86" s="293">
        <v>0</v>
      </c>
      <c r="EP86" s="258">
        <v>0</v>
      </c>
      <c r="EQ86" s="258">
        <v>0</v>
      </c>
      <c r="ER86" s="258">
        <v>0</v>
      </c>
      <c r="ES86" s="258">
        <v>0</v>
      </c>
      <c r="ET86" s="258">
        <v>0</v>
      </c>
      <c r="EU86" s="258">
        <v>0</v>
      </c>
      <c r="EV86" s="258">
        <v>0</v>
      </c>
      <c r="EW86" s="258">
        <v>0</v>
      </c>
      <c r="EX86" s="258">
        <v>0</v>
      </c>
      <c r="EY86" s="258">
        <v>0</v>
      </c>
      <c r="EZ86" s="258">
        <v>0</v>
      </c>
      <c r="FA86" s="258">
        <v>0</v>
      </c>
      <c r="FB86" s="258">
        <v>0</v>
      </c>
      <c r="FC86" s="258">
        <v>0</v>
      </c>
      <c r="FD86" s="258">
        <v>0</v>
      </c>
      <c r="FE86" s="258">
        <v>0</v>
      </c>
      <c r="FF86" s="258">
        <v>0</v>
      </c>
      <c r="FG86" s="258">
        <v>0</v>
      </c>
      <c r="FH86" s="301">
        <v>0</v>
      </c>
    </row>
    <row r="87" spans="2:164" x14ac:dyDescent="0.2">
      <c r="B87" s="217" t="s">
        <v>337</v>
      </c>
      <c r="C87" s="227">
        <v>0</v>
      </c>
      <c r="D87" s="228">
        <v>0</v>
      </c>
      <c r="E87" s="208">
        <v>0</v>
      </c>
      <c r="F87" s="208">
        <v>0</v>
      </c>
      <c r="G87" s="208">
        <v>0</v>
      </c>
      <c r="H87" s="208">
        <v>0</v>
      </c>
      <c r="I87" s="208">
        <v>0</v>
      </c>
      <c r="J87" s="208">
        <v>0</v>
      </c>
      <c r="K87" s="208">
        <v>0</v>
      </c>
      <c r="L87" s="208">
        <v>0</v>
      </c>
      <c r="M87" s="208">
        <v>34</v>
      </c>
      <c r="N87" s="208">
        <v>0</v>
      </c>
      <c r="O87" s="208">
        <v>0</v>
      </c>
      <c r="P87" s="208">
        <v>0</v>
      </c>
      <c r="Q87" s="208">
        <v>0</v>
      </c>
      <c r="R87" s="208">
        <v>0</v>
      </c>
      <c r="S87" s="208">
        <v>2</v>
      </c>
      <c r="T87" s="208">
        <v>0</v>
      </c>
      <c r="U87" s="208">
        <v>0</v>
      </c>
      <c r="V87" s="208">
        <v>0</v>
      </c>
      <c r="W87" s="222">
        <v>36</v>
      </c>
      <c r="X87" s="208"/>
      <c r="Y87" s="217" t="s">
        <v>337</v>
      </c>
      <c r="Z87" s="227">
        <v>0</v>
      </c>
      <c r="AA87" s="228">
        <v>0</v>
      </c>
      <c r="AB87" s="208">
        <v>0</v>
      </c>
      <c r="AC87" s="208">
        <v>0</v>
      </c>
      <c r="AD87" s="208">
        <v>0</v>
      </c>
      <c r="AE87" s="208">
        <v>0</v>
      </c>
      <c r="AF87" s="208">
        <v>0</v>
      </c>
      <c r="AG87" s="208">
        <v>0</v>
      </c>
      <c r="AH87" s="208">
        <v>0</v>
      </c>
      <c r="AI87" s="208">
        <v>0</v>
      </c>
      <c r="AJ87" s="208">
        <v>2707.0278302720262</v>
      </c>
      <c r="AK87" s="252">
        <v>0</v>
      </c>
      <c r="AL87" s="252">
        <v>0</v>
      </c>
      <c r="AM87" s="252">
        <v>0</v>
      </c>
      <c r="AN87" s="252">
        <v>0</v>
      </c>
      <c r="AO87" s="252">
        <v>0</v>
      </c>
      <c r="AP87" s="252">
        <v>268.03464489800331</v>
      </c>
      <c r="AQ87" s="208">
        <v>0</v>
      </c>
      <c r="AR87" s="208">
        <v>0</v>
      </c>
      <c r="AS87" s="208">
        <v>0</v>
      </c>
      <c r="AT87" s="222">
        <v>2975.0624751700298</v>
      </c>
      <c r="AV87" s="217" t="s">
        <v>336</v>
      </c>
      <c r="AW87" s="227">
        <f t="shared" si="196"/>
        <v>0</v>
      </c>
      <c r="AX87" s="227">
        <f t="shared" si="197"/>
        <v>0</v>
      </c>
      <c r="AY87" s="227">
        <f t="shared" si="198"/>
        <v>0</v>
      </c>
      <c r="AZ87" s="227">
        <f t="shared" si="187"/>
        <v>0</v>
      </c>
      <c r="BA87" s="227">
        <f t="shared" si="176"/>
        <v>0</v>
      </c>
      <c r="BB87" s="227">
        <f t="shared" si="188"/>
        <v>0</v>
      </c>
      <c r="BC87" s="227">
        <f t="shared" si="189"/>
        <v>0</v>
      </c>
      <c r="BD87" s="227">
        <f t="shared" si="190"/>
        <v>0</v>
      </c>
      <c r="BE87" s="227">
        <f t="shared" si="191"/>
        <v>0</v>
      </c>
      <c r="BF87" s="227">
        <f t="shared" si="192"/>
        <v>0</v>
      </c>
      <c r="BG87" s="227">
        <f t="shared" si="193"/>
        <v>2707.0278302720262</v>
      </c>
      <c r="BH87" s="252">
        <v>0</v>
      </c>
      <c r="BI87" s="252">
        <v>0</v>
      </c>
      <c r="BJ87" s="252">
        <v>0</v>
      </c>
      <c r="BK87" s="252">
        <v>0</v>
      </c>
      <c r="BL87" s="255">
        <v>0</v>
      </c>
      <c r="BM87" s="252">
        <v>0</v>
      </c>
      <c r="BN87" s="208">
        <f t="shared" si="199"/>
        <v>0</v>
      </c>
      <c r="BO87" s="208">
        <f t="shared" si="194"/>
        <v>0</v>
      </c>
      <c r="BP87" s="208">
        <f t="shared" si="195"/>
        <v>0</v>
      </c>
      <c r="BQ87" s="230">
        <f t="shared" si="173"/>
        <v>2707.0278302720262</v>
      </c>
      <c r="BR87" s="214"/>
      <c r="BS87" s="227"/>
      <c r="BT87" s="286"/>
      <c r="BU87" s="300" t="s">
        <v>337</v>
      </c>
      <c r="BV87" s="293">
        <v>0</v>
      </c>
      <c r="BW87" s="293">
        <v>0</v>
      </c>
      <c r="BX87" s="258">
        <v>0</v>
      </c>
      <c r="BY87" s="258">
        <v>0</v>
      </c>
      <c r="BZ87" s="258">
        <v>0</v>
      </c>
      <c r="CA87" s="258">
        <v>0</v>
      </c>
      <c r="CB87" s="258">
        <v>0</v>
      </c>
      <c r="CC87" s="258">
        <v>0</v>
      </c>
      <c r="CD87" s="258">
        <v>0</v>
      </c>
      <c r="CE87" s="258">
        <v>0</v>
      </c>
      <c r="CF87" s="258">
        <v>0</v>
      </c>
      <c r="CG87" s="258">
        <v>0</v>
      </c>
      <c r="CH87" s="258">
        <v>0</v>
      </c>
      <c r="CI87" s="258">
        <v>0</v>
      </c>
      <c r="CJ87" s="258">
        <v>0</v>
      </c>
      <c r="CK87" s="258">
        <v>0</v>
      </c>
      <c r="CL87" s="258">
        <v>1</v>
      </c>
      <c r="CM87" s="258">
        <v>0</v>
      </c>
      <c r="CN87" s="258">
        <v>0</v>
      </c>
      <c r="CO87" s="258">
        <v>0</v>
      </c>
      <c r="CP87" s="301">
        <v>1</v>
      </c>
      <c r="CQ87" s="302"/>
      <c r="CR87" s="300" t="s">
        <v>337</v>
      </c>
      <c r="CS87" s="293">
        <v>0</v>
      </c>
      <c r="CT87" s="293">
        <v>0</v>
      </c>
      <c r="CU87" s="258">
        <v>0</v>
      </c>
      <c r="CV87" s="258">
        <v>0</v>
      </c>
      <c r="CW87" s="258">
        <v>0</v>
      </c>
      <c r="CX87" s="258">
        <v>0</v>
      </c>
      <c r="CY87" s="258">
        <v>0</v>
      </c>
      <c r="CZ87" s="258">
        <v>0</v>
      </c>
      <c r="DA87" s="258">
        <v>0</v>
      </c>
      <c r="DB87" s="258">
        <v>0</v>
      </c>
      <c r="DC87" s="258">
        <v>0</v>
      </c>
      <c r="DD87" s="258">
        <v>0</v>
      </c>
      <c r="DE87" s="258">
        <v>0</v>
      </c>
      <c r="DF87" s="258">
        <v>0</v>
      </c>
      <c r="DG87" s="258">
        <v>0</v>
      </c>
      <c r="DH87" s="258">
        <v>0</v>
      </c>
      <c r="DI87" s="258">
        <v>0</v>
      </c>
      <c r="DJ87" s="258">
        <v>0</v>
      </c>
      <c r="DK87" s="258">
        <v>0</v>
      </c>
      <c r="DL87" s="258">
        <v>0</v>
      </c>
      <c r="DM87" s="301">
        <v>0</v>
      </c>
      <c r="DN87" s="302"/>
      <c r="DO87" s="302"/>
      <c r="DP87" s="300" t="s">
        <v>337</v>
      </c>
      <c r="DQ87" s="293">
        <v>0</v>
      </c>
      <c r="DR87" s="293">
        <v>0</v>
      </c>
      <c r="DS87" s="258">
        <v>0</v>
      </c>
      <c r="DT87" s="258">
        <v>0</v>
      </c>
      <c r="DU87" s="258">
        <v>0</v>
      </c>
      <c r="DV87" s="258">
        <v>0</v>
      </c>
      <c r="DW87" s="258">
        <v>0</v>
      </c>
      <c r="DX87" s="258">
        <v>0</v>
      </c>
      <c r="DY87" s="258">
        <v>0</v>
      </c>
      <c r="DZ87" s="258">
        <v>0</v>
      </c>
      <c r="EA87" s="258">
        <v>3</v>
      </c>
      <c r="EB87" s="258">
        <v>0</v>
      </c>
      <c r="EC87" s="258">
        <v>0</v>
      </c>
      <c r="ED87" s="258">
        <v>0</v>
      </c>
      <c r="EE87" s="258">
        <v>0</v>
      </c>
      <c r="EF87" s="258">
        <v>0</v>
      </c>
      <c r="EG87" s="258">
        <v>1</v>
      </c>
      <c r="EH87" s="258">
        <v>0</v>
      </c>
      <c r="EI87" s="258">
        <v>0</v>
      </c>
      <c r="EJ87" s="258">
        <v>0</v>
      </c>
      <c r="EK87" s="301">
        <v>4</v>
      </c>
      <c r="EL87" s="287"/>
      <c r="EM87" s="300" t="s">
        <v>337</v>
      </c>
      <c r="EN87" s="293">
        <v>0</v>
      </c>
      <c r="EO87" s="293">
        <v>0</v>
      </c>
      <c r="EP87" s="258">
        <v>0</v>
      </c>
      <c r="EQ87" s="258">
        <v>0</v>
      </c>
      <c r="ER87" s="258">
        <v>0</v>
      </c>
      <c r="ES87" s="258">
        <v>0</v>
      </c>
      <c r="ET87" s="258">
        <v>0</v>
      </c>
      <c r="EU87" s="258">
        <v>0</v>
      </c>
      <c r="EV87" s="258">
        <v>0</v>
      </c>
      <c r="EW87" s="258">
        <v>0</v>
      </c>
      <c r="EX87" s="258">
        <v>2181.2952293016392</v>
      </c>
      <c r="EY87" s="258">
        <v>0</v>
      </c>
      <c r="EZ87" s="258">
        <v>0</v>
      </c>
      <c r="FA87" s="258">
        <v>0</v>
      </c>
      <c r="FB87" s="258">
        <v>0</v>
      </c>
      <c r="FC87" s="258">
        <v>0</v>
      </c>
      <c r="FD87" s="258">
        <v>0</v>
      </c>
      <c r="FE87" s="258">
        <v>0</v>
      </c>
      <c r="FF87" s="258">
        <v>0</v>
      </c>
      <c r="FG87" s="258">
        <v>0</v>
      </c>
      <c r="FH87" s="301">
        <v>2181.2952293016392</v>
      </c>
    </row>
    <row r="88" spans="2:164" x14ac:dyDescent="0.2">
      <c r="B88" s="217" t="s">
        <v>338</v>
      </c>
      <c r="C88" s="227">
        <v>0</v>
      </c>
      <c r="D88" s="228">
        <v>0</v>
      </c>
      <c r="E88" s="208">
        <v>0</v>
      </c>
      <c r="F88" s="208">
        <v>0</v>
      </c>
      <c r="G88" s="208">
        <v>0</v>
      </c>
      <c r="H88" s="208">
        <v>0</v>
      </c>
      <c r="I88" s="208">
        <v>0</v>
      </c>
      <c r="J88" s="208">
        <v>0</v>
      </c>
      <c r="K88" s="208">
        <v>0</v>
      </c>
      <c r="L88" s="208">
        <v>0</v>
      </c>
      <c r="M88" s="208">
        <v>0</v>
      </c>
      <c r="N88" s="208">
        <v>9</v>
      </c>
      <c r="O88" s="208">
        <v>0</v>
      </c>
      <c r="P88" s="208">
        <v>0</v>
      </c>
      <c r="Q88" s="208">
        <v>1</v>
      </c>
      <c r="R88" s="208">
        <v>0</v>
      </c>
      <c r="S88" s="208">
        <v>0</v>
      </c>
      <c r="T88" s="208">
        <v>0</v>
      </c>
      <c r="U88" s="208">
        <v>0</v>
      </c>
      <c r="V88" s="208">
        <v>0</v>
      </c>
      <c r="W88" s="222">
        <v>10</v>
      </c>
      <c r="X88" s="208"/>
      <c r="Y88" s="217" t="s">
        <v>338</v>
      </c>
      <c r="Z88" s="227">
        <v>0</v>
      </c>
      <c r="AA88" s="228">
        <v>0</v>
      </c>
      <c r="AB88" s="208">
        <v>0</v>
      </c>
      <c r="AC88" s="208">
        <v>0</v>
      </c>
      <c r="AD88" s="208">
        <v>0</v>
      </c>
      <c r="AE88" s="208">
        <v>0</v>
      </c>
      <c r="AF88" s="208">
        <v>0</v>
      </c>
      <c r="AG88" s="208">
        <v>0</v>
      </c>
      <c r="AH88" s="208">
        <v>0</v>
      </c>
      <c r="AI88" s="208">
        <v>0</v>
      </c>
      <c r="AJ88" s="208">
        <v>0</v>
      </c>
      <c r="AK88" s="252">
        <v>797.59310015950189</v>
      </c>
      <c r="AL88" s="252">
        <v>0</v>
      </c>
      <c r="AM88" s="252">
        <v>0</v>
      </c>
      <c r="AN88" s="252">
        <v>273.70203429554545</v>
      </c>
      <c r="AO88" s="252">
        <v>0</v>
      </c>
      <c r="AP88" s="252">
        <v>0</v>
      </c>
      <c r="AQ88" s="208">
        <v>0</v>
      </c>
      <c r="AR88" s="208">
        <v>0</v>
      </c>
      <c r="AS88" s="208">
        <v>0</v>
      </c>
      <c r="AT88" s="222">
        <v>1071.2951344550474</v>
      </c>
      <c r="AV88" s="217" t="s">
        <v>337</v>
      </c>
      <c r="AW88" s="227">
        <f t="shared" si="196"/>
        <v>0</v>
      </c>
      <c r="AX88" s="227">
        <f t="shared" si="197"/>
        <v>0</v>
      </c>
      <c r="AY88" s="227">
        <f t="shared" si="198"/>
        <v>0</v>
      </c>
      <c r="AZ88" s="227">
        <f t="shared" si="187"/>
        <v>0</v>
      </c>
      <c r="BA88" s="227">
        <f t="shared" si="176"/>
        <v>0</v>
      </c>
      <c r="BB88" s="227">
        <f t="shared" si="188"/>
        <v>0</v>
      </c>
      <c r="BC88" s="227">
        <f t="shared" si="189"/>
        <v>0</v>
      </c>
      <c r="BD88" s="227">
        <f t="shared" si="190"/>
        <v>0</v>
      </c>
      <c r="BE88" s="227">
        <f t="shared" si="191"/>
        <v>0</v>
      </c>
      <c r="BF88" s="227">
        <f t="shared" si="192"/>
        <v>0</v>
      </c>
      <c r="BG88" s="227">
        <f t="shared" si="193"/>
        <v>0</v>
      </c>
      <c r="BH88" s="252">
        <v>0</v>
      </c>
      <c r="BI88" s="252">
        <v>0</v>
      </c>
      <c r="BJ88" s="252">
        <v>0</v>
      </c>
      <c r="BK88" s="252">
        <v>0</v>
      </c>
      <c r="BL88" s="252">
        <v>0</v>
      </c>
      <c r="BM88" s="255">
        <v>0</v>
      </c>
      <c r="BN88" s="208">
        <f t="shared" si="199"/>
        <v>0</v>
      </c>
      <c r="BO88" s="208">
        <f t="shared" si="194"/>
        <v>0</v>
      </c>
      <c r="BP88" s="208">
        <f t="shared" si="195"/>
        <v>0</v>
      </c>
      <c r="BQ88" s="230">
        <f t="shared" si="173"/>
        <v>0</v>
      </c>
      <c r="BR88" s="214"/>
      <c r="BS88" s="227"/>
      <c r="BT88" s="286"/>
      <c r="BU88" s="300" t="s">
        <v>338</v>
      </c>
      <c r="BV88" s="293">
        <v>0</v>
      </c>
      <c r="BW88" s="293">
        <v>0</v>
      </c>
      <c r="BX88" s="258">
        <v>0</v>
      </c>
      <c r="BY88" s="258">
        <v>0</v>
      </c>
      <c r="BZ88" s="258">
        <v>0</v>
      </c>
      <c r="CA88" s="258">
        <v>0</v>
      </c>
      <c r="CB88" s="258">
        <v>0</v>
      </c>
      <c r="CC88" s="258">
        <v>0</v>
      </c>
      <c r="CD88" s="258">
        <v>0</v>
      </c>
      <c r="CE88" s="258">
        <v>0</v>
      </c>
      <c r="CF88" s="258">
        <v>0</v>
      </c>
      <c r="CG88" s="258">
        <v>0</v>
      </c>
      <c r="CH88" s="258">
        <v>0</v>
      </c>
      <c r="CI88" s="258">
        <v>0</v>
      </c>
      <c r="CJ88" s="258">
        <v>0</v>
      </c>
      <c r="CK88" s="258">
        <v>0</v>
      </c>
      <c r="CL88" s="258">
        <v>0</v>
      </c>
      <c r="CM88" s="258">
        <v>0</v>
      </c>
      <c r="CN88" s="258">
        <v>0</v>
      </c>
      <c r="CO88" s="258">
        <v>0</v>
      </c>
      <c r="CP88" s="301">
        <v>0</v>
      </c>
      <c r="CQ88" s="302"/>
      <c r="CR88" s="300" t="s">
        <v>338</v>
      </c>
      <c r="CS88" s="293">
        <v>0</v>
      </c>
      <c r="CT88" s="293">
        <v>0</v>
      </c>
      <c r="CU88" s="258">
        <v>0</v>
      </c>
      <c r="CV88" s="258">
        <v>0</v>
      </c>
      <c r="CW88" s="258">
        <v>0</v>
      </c>
      <c r="CX88" s="258">
        <v>0</v>
      </c>
      <c r="CY88" s="258">
        <v>0</v>
      </c>
      <c r="CZ88" s="258">
        <v>0</v>
      </c>
      <c r="DA88" s="258">
        <v>0</v>
      </c>
      <c r="DB88" s="258">
        <v>0</v>
      </c>
      <c r="DC88" s="258">
        <v>0</v>
      </c>
      <c r="DD88" s="258">
        <v>0</v>
      </c>
      <c r="DE88" s="258">
        <v>0</v>
      </c>
      <c r="DF88" s="258">
        <v>0</v>
      </c>
      <c r="DG88" s="258">
        <v>0</v>
      </c>
      <c r="DH88" s="258">
        <v>0</v>
      </c>
      <c r="DI88" s="258">
        <v>0</v>
      </c>
      <c r="DJ88" s="258">
        <v>0</v>
      </c>
      <c r="DK88" s="258">
        <v>0</v>
      </c>
      <c r="DL88" s="258">
        <v>0</v>
      </c>
      <c r="DM88" s="301">
        <v>0</v>
      </c>
      <c r="DN88" s="302"/>
      <c r="DO88" s="302"/>
      <c r="DP88" s="300" t="s">
        <v>338</v>
      </c>
      <c r="DQ88" s="293">
        <v>0</v>
      </c>
      <c r="DR88" s="293">
        <v>0</v>
      </c>
      <c r="DS88" s="258">
        <v>0</v>
      </c>
      <c r="DT88" s="258">
        <v>0</v>
      </c>
      <c r="DU88" s="258">
        <v>0</v>
      </c>
      <c r="DV88" s="258">
        <v>0</v>
      </c>
      <c r="DW88" s="258">
        <v>0</v>
      </c>
      <c r="DX88" s="258">
        <v>0</v>
      </c>
      <c r="DY88" s="258">
        <v>0</v>
      </c>
      <c r="DZ88" s="258">
        <v>0</v>
      </c>
      <c r="EA88" s="258">
        <v>0</v>
      </c>
      <c r="EB88" s="258">
        <v>4</v>
      </c>
      <c r="EC88" s="258">
        <v>0</v>
      </c>
      <c r="ED88" s="258">
        <v>0</v>
      </c>
      <c r="EE88" s="258">
        <v>0</v>
      </c>
      <c r="EF88" s="258">
        <v>0</v>
      </c>
      <c r="EG88" s="258">
        <v>0</v>
      </c>
      <c r="EH88" s="258">
        <v>0</v>
      </c>
      <c r="EI88" s="258">
        <v>0</v>
      </c>
      <c r="EJ88" s="258">
        <v>0</v>
      </c>
      <c r="EK88" s="301">
        <v>4</v>
      </c>
      <c r="EL88" s="287"/>
      <c r="EM88" s="300" t="s">
        <v>338</v>
      </c>
      <c r="EN88" s="293">
        <v>0</v>
      </c>
      <c r="EO88" s="293">
        <v>0</v>
      </c>
      <c r="EP88" s="258">
        <v>0</v>
      </c>
      <c r="EQ88" s="258">
        <v>0</v>
      </c>
      <c r="ER88" s="258">
        <v>0</v>
      </c>
      <c r="ES88" s="258">
        <v>0</v>
      </c>
      <c r="ET88" s="258">
        <v>0</v>
      </c>
      <c r="EU88" s="258">
        <v>0</v>
      </c>
      <c r="EV88" s="258">
        <v>0</v>
      </c>
      <c r="EW88" s="258">
        <v>0</v>
      </c>
      <c r="EX88" s="258">
        <v>0</v>
      </c>
      <c r="EY88" s="258">
        <v>58.196319830064112</v>
      </c>
      <c r="EZ88" s="258">
        <v>0</v>
      </c>
      <c r="FA88" s="258">
        <v>0</v>
      </c>
      <c r="FB88" s="258">
        <v>0</v>
      </c>
      <c r="FC88" s="258">
        <v>0</v>
      </c>
      <c r="FD88" s="258">
        <v>0</v>
      </c>
      <c r="FE88" s="258">
        <v>0</v>
      </c>
      <c r="FF88" s="258">
        <v>0</v>
      </c>
      <c r="FG88" s="258">
        <v>0</v>
      </c>
      <c r="FH88" s="301">
        <v>58.196319830064112</v>
      </c>
    </row>
    <row r="89" spans="2:164" x14ac:dyDescent="0.2">
      <c r="B89" s="217" t="s">
        <v>353</v>
      </c>
      <c r="C89" s="227">
        <v>0</v>
      </c>
      <c r="D89" s="228">
        <v>0</v>
      </c>
      <c r="E89" s="208">
        <v>0</v>
      </c>
      <c r="F89" s="208">
        <v>0</v>
      </c>
      <c r="G89" s="208">
        <v>0</v>
      </c>
      <c r="H89" s="208">
        <v>0</v>
      </c>
      <c r="I89" s="208">
        <v>2</v>
      </c>
      <c r="J89" s="208">
        <v>0</v>
      </c>
      <c r="K89" s="208">
        <v>1</v>
      </c>
      <c r="L89" s="208">
        <v>0</v>
      </c>
      <c r="M89" s="208">
        <v>0</v>
      </c>
      <c r="N89" s="208">
        <v>0</v>
      </c>
      <c r="O89" s="208">
        <v>12</v>
      </c>
      <c r="P89" s="208">
        <v>0</v>
      </c>
      <c r="Q89" s="208">
        <v>0</v>
      </c>
      <c r="R89" s="208">
        <v>0</v>
      </c>
      <c r="S89" s="208">
        <v>0</v>
      </c>
      <c r="T89" s="208">
        <v>0</v>
      </c>
      <c r="U89" s="208">
        <v>0</v>
      </c>
      <c r="V89" s="208">
        <v>0</v>
      </c>
      <c r="W89" s="222">
        <v>15</v>
      </c>
      <c r="X89" s="208"/>
      <c r="Y89" s="217" t="s">
        <v>353</v>
      </c>
      <c r="Z89" s="227">
        <v>0</v>
      </c>
      <c r="AA89" s="228">
        <v>0</v>
      </c>
      <c r="AB89" s="208">
        <v>0</v>
      </c>
      <c r="AC89" s="208">
        <v>0</v>
      </c>
      <c r="AD89" s="208">
        <v>0</v>
      </c>
      <c r="AE89" s="252">
        <v>0</v>
      </c>
      <c r="AF89" s="252">
        <v>770.00858827553009</v>
      </c>
      <c r="AG89" s="252">
        <v>0</v>
      </c>
      <c r="AH89" s="252">
        <v>70.878998119987941</v>
      </c>
      <c r="AI89" s="252">
        <v>0</v>
      </c>
      <c r="AJ89" s="252">
        <v>0</v>
      </c>
      <c r="AK89" s="208">
        <v>0</v>
      </c>
      <c r="AL89" s="208">
        <v>249.6019321456269</v>
      </c>
      <c r="AM89" s="208">
        <v>0</v>
      </c>
      <c r="AN89" s="208">
        <v>0</v>
      </c>
      <c r="AO89" s="208">
        <v>0</v>
      </c>
      <c r="AP89" s="208">
        <v>0</v>
      </c>
      <c r="AQ89" s="208">
        <v>0</v>
      </c>
      <c r="AR89" s="208">
        <v>0</v>
      </c>
      <c r="AS89" s="208">
        <v>0</v>
      </c>
      <c r="AT89" s="222">
        <v>1090.4895185411449</v>
      </c>
      <c r="AV89" s="217" t="s">
        <v>338</v>
      </c>
      <c r="AW89" s="227">
        <f t="shared" si="196"/>
        <v>0</v>
      </c>
      <c r="AX89" s="227">
        <f t="shared" si="197"/>
        <v>0</v>
      </c>
      <c r="AY89" s="227">
        <f t="shared" si="198"/>
        <v>0</v>
      </c>
      <c r="AZ89" s="227">
        <f t="shared" si="187"/>
        <v>0</v>
      </c>
      <c r="BA89" s="227">
        <f t="shared" si="176"/>
        <v>0</v>
      </c>
      <c r="BB89" s="255">
        <v>0</v>
      </c>
      <c r="BC89" s="252">
        <v>0</v>
      </c>
      <c r="BD89" s="252">
        <v>0</v>
      </c>
      <c r="BE89" s="252">
        <v>0</v>
      </c>
      <c r="BF89" s="252">
        <v>0</v>
      </c>
      <c r="BG89" s="252">
        <v>0</v>
      </c>
      <c r="BH89" s="208">
        <f t="shared" ref="BH89:BH97" si="200">AK89</f>
        <v>0</v>
      </c>
      <c r="BI89" s="208">
        <f t="shared" ref="BI89:BI97" si="201">AL89</f>
        <v>249.6019321456269</v>
      </c>
      <c r="BJ89" s="208">
        <f t="shared" ref="BJ89:BJ97" si="202">AM89</f>
        <v>0</v>
      </c>
      <c r="BK89" s="208">
        <f t="shared" ref="BK89:BK97" si="203">AN89</f>
        <v>0</v>
      </c>
      <c r="BL89" s="208">
        <f t="shared" ref="BL89:BL97" si="204">AO89</f>
        <v>0</v>
      </c>
      <c r="BM89" s="208">
        <f t="shared" ref="BM89:BM97" si="205">AP89</f>
        <v>0</v>
      </c>
      <c r="BN89" s="208">
        <f t="shared" si="199"/>
        <v>0</v>
      </c>
      <c r="BO89" s="208">
        <f t="shared" si="194"/>
        <v>0</v>
      </c>
      <c r="BP89" s="208">
        <f t="shared" si="195"/>
        <v>0</v>
      </c>
      <c r="BQ89" s="230">
        <f t="shared" si="173"/>
        <v>249.6019321456269</v>
      </c>
      <c r="BR89" s="214"/>
      <c r="BS89" s="227"/>
      <c r="BT89" s="286"/>
      <c r="BU89" s="300" t="s">
        <v>353</v>
      </c>
      <c r="BV89" s="293">
        <v>0</v>
      </c>
      <c r="BW89" s="293">
        <v>0</v>
      </c>
      <c r="BX89" s="258">
        <v>0</v>
      </c>
      <c r="BY89" s="258">
        <v>0</v>
      </c>
      <c r="BZ89" s="258">
        <v>0</v>
      </c>
      <c r="CA89" s="258">
        <v>0</v>
      </c>
      <c r="CB89" s="258">
        <v>0</v>
      </c>
      <c r="CC89" s="258">
        <v>0</v>
      </c>
      <c r="CD89" s="258">
        <v>0</v>
      </c>
      <c r="CE89" s="258">
        <v>0</v>
      </c>
      <c r="CF89" s="258">
        <v>0</v>
      </c>
      <c r="CG89" s="258">
        <v>0</v>
      </c>
      <c r="CH89" s="258">
        <v>0</v>
      </c>
      <c r="CI89" s="258">
        <v>0</v>
      </c>
      <c r="CJ89" s="258">
        <v>0</v>
      </c>
      <c r="CK89" s="258">
        <v>0</v>
      </c>
      <c r="CL89" s="258">
        <v>0</v>
      </c>
      <c r="CM89" s="258">
        <v>0</v>
      </c>
      <c r="CN89" s="258">
        <v>0</v>
      </c>
      <c r="CO89" s="258">
        <v>0</v>
      </c>
      <c r="CP89" s="301">
        <v>0</v>
      </c>
      <c r="CQ89" s="302"/>
      <c r="CR89" s="300" t="s">
        <v>353</v>
      </c>
      <c r="CS89" s="293">
        <v>0</v>
      </c>
      <c r="CT89" s="293">
        <v>0</v>
      </c>
      <c r="CU89" s="258">
        <v>0</v>
      </c>
      <c r="CV89" s="258">
        <v>0</v>
      </c>
      <c r="CW89" s="258">
        <v>0</v>
      </c>
      <c r="CX89" s="258">
        <v>0</v>
      </c>
      <c r="CY89" s="258">
        <v>0</v>
      </c>
      <c r="CZ89" s="258">
        <v>0</v>
      </c>
      <c r="DA89" s="258">
        <v>0</v>
      </c>
      <c r="DB89" s="258">
        <v>0</v>
      </c>
      <c r="DC89" s="258">
        <v>0</v>
      </c>
      <c r="DD89" s="258">
        <v>0</v>
      </c>
      <c r="DE89" s="258">
        <v>0</v>
      </c>
      <c r="DF89" s="258">
        <v>0</v>
      </c>
      <c r="DG89" s="258">
        <v>0</v>
      </c>
      <c r="DH89" s="258">
        <v>0</v>
      </c>
      <c r="DI89" s="258">
        <v>0</v>
      </c>
      <c r="DJ89" s="258">
        <v>0</v>
      </c>
      <c r="DK89" s="258">
        <v>0</v>
      </c>
      <c r="DL89" s="258">
        <v>0</v>
      </c>
      <c r="DM89" s="301">
        <v>0</v>
      </c>
      <c r="DN89" s="302"/>
      <c r="DO89" s="302"/>
      <c r="DP89" s="300" t="s">
        <v>353</v>
      </c>
      <c r="DQ89" s="293">
        <v>0</v>
      </c>
      <c r="DR89" s="293">
        <v>0</v>
      </c>
      <c r="DS89" s="258">
        <v>0</v>
      </c>
      <c r="DT89" s="258">
        <v>0</v>
      </c>
      <c r="DU89" s="258">
        <v>0</v>
      </c>
      <c r="DV89" s="258">
        <v>0</v>
      </c>
      <c r="DW89" s="258">
        <v>0</v>
      </c>
      <c r="DX89" s="258">
        <v>0</v>
      </c>
      <c r="DY89" s="258">
        <v>1</v>
      </c>
      <c r="DZ89" s="258">
        <v>0</v>
      </c>
      <c r="EA89" s="258">
        <v>0</v>
      </c>
      <c r="EB89" s="258">
        <v>0</v>
      </c>
      <c r="EC89" s="258">
        <v>0</v>
      </c>
      <c r="ED89" s="258">
        <v>0</v>
      </c>
      <c r="EE89" s="258">
        <v>0</v>
      </c>
      <c r="EF89" s="258">
        <v>0</v>
      </c>
      <c r="EG89" s="258">
        <v>0</v>
      </c>
      <c r="EH89" s="258">
        <v>0</v>
      </c>
      <c r="EI89" s="258">
        <v>0</v>
      </c>
      <c r="EJ89" s="258">
        <v>0</v>
      </c>
      <c r="EK89" s="301">
        <v>1</v>
      </c>
      <c r="EL89" s="287"/>
      <c r="EM89" s="300" t="s">
        <v>353</v>
      </c>
      <c r="EN89" s="293">
        <v>0</v>
      </c>
      <c r="EO89" s="293">
        <v>0</v>
      </c>
      <c r="EP89" s="258">
        <v>0</v>
      </c>
      <c r="EQ89" s="258">
        <v>0</v>
      </c>
      <c r="ER89" s="258">
        <v>0</v>
      </c>
      <c r="ES89" s="258">
        <v>0</v>
      </c>
      <c r="ET89" s="258">
        <v>0</v>
      </c>
      <c r="EU89" s="258">
        <v>0</v>
      </c>
      <c r="EV89" s="258">
        <v>70.878998119987941</v>
      </c>
      <c r="EW89" s="258">
        <v>0</v>
      </c>
      <c r="EX89" s="258">
        <v>0</v>
      </c>
      <c r="EY89" s="258">
        <v>0</v>
      </c>
      <c r="EZ89" s="258">
        <v>0</v>
      </c>
      <c r="FA89" s="258">
        <v>0</v>
      </c>
      <c r="FB89" s="258">
        <v>0</v>
      </c>
      <c r="FC89" s="258">
        <v>0</v>
      </c>
      <c r="FD89" s="258">
        <v>0</v>
      </c>
      <c r="FE89" s="258">
        <v>0</v>
      </c>
      <c r="FF89" s="258">
        <v>0</v>
      </c>
      <c r="FG89" s="258">
        <v>0</v>
      </c>
      <c r="FH89" s="301">
        <v>70.878998119987941</v>
      </c>
    </row>
    <row r="90" spans="2:164" x14ac:dyDescent="0.2">
      <c r="B90" s="217" t="s">
        <v>339</v>
      </c>
      <c r="C90" s="227">
        <v>0</v>
      </c>
      <c r="D90" s="228">
        <v>0</v>
      </c>
      <c r="E90" s="208">
        <v>0</v>
      </c>
      <c r="F90" s="208">
        <v>0</v>
      </c>
      <c r="G90" s="208">
        <v>0</v>
      </c>
      <c r="H90" s="208">
        <v>0</v>
      </c>
      <c r="I90" s="208">
        <v>0</v>
      </c>
      <c r="J90" s="208">
        <v>0</v>
      </c>
      <c r="K90" s="208">
        <v>0</v>
      </c>
      <c r="L90" s="208">
        <v>0</v>
      </c>
      <c r="M90" s="208">
        <v>0</v>
      </c>
      <c r="N90" s="208">
        <v>0</v>
      </c>
      <c r="O90" s="208">
        <v>0</v>
      </c>
      <c r="P90" s="208">
        <v>0</v>
      </c>
      <c r="Q90" s="208">
        <v>1</v>
      </c>
      <c r="R90" s="208">
        <v>0</v>
      </c>
      <c r="S90" s="208">
        <v>0</v>
      </c>
      <c r="T90" s="208">
        <v>0</v>
      </c>
      <c r="U90" s="208">
        <v>0</v>
      </c>
      <c r="V90" s="208">
        <v>0</v>
      </c>
      <c r="W90" s="222">
        <v>1</v>
      </c>
      <c r="X90" s="208"/>
      <c r="Y90" s="217" t="s">
        <v>339</v>
      </c>
      <c r="Z90" s="227">
        <v>0</v>
      </c>
      <c r="AA90" s="228">
        <v>0</v>
      </c>
      <c r="AB90" s="208">
        <v>0</v>
      </c>
      <c r="AC90" s="208">
        <v>0</v>
      </c>
      <c r="AD90" s="208">
        <v>0</v>
      </c>
      <c r="AE90" s="252">
        <v>0</v>
      </c>
      <c r="AF90" s="252">
        <v>0</v>
      </c>
      <c r="AG90" s="252">
        <v>0</v>
      </c>
      <c r="AH90" s="252">
        <v>0</v>
      </c>
      <c r="AI90" s="252">
        <v>0</v>
      </c>
      <c r="AJ90" s="252">
        <v>0</v>
      </c>
      <c r="AK90" s="208">
        <v>0</v>
      </c>
      <c r="AL90" s="208">
        <v>0</v>
      </c>
      <c r="AM90" s="208">
        <v>0</v>
      </c>
      <c r="AN90" s="208">
        <v>0</v>
      </c>
      <c r="AO90" s="208">
        <v>0</v>
      </c>
      <c r="AP90" s="208">
        <v>0</v>
      </c>
      <c r="AQ90" s="208">
        <v>0</v>
      </c>
      <c r="AR90" s="208">
        <v>0</v>
      </c>
      <c r="AS90" s="208">
        <v>0</v>
      </c>
      <c r="AT90" s="222">
        <v>0</v>
      </c>
      <c r="AV90" s="217" t="s">
        <v>349</v>
      </c>
      <c r="AW90" s="227">
        <f t="shared" si="196"/>
        <v>0</v>
      </c>
      <c r="AX90" s="227">
        <f t="shared" si="197"/>
        <v>0</v>
      </c>
      <c r="AY90" s="227">
        <f t="shared" si="198"/>
        <v>0</v>
      </c>
      <c r="AZ90" s="227">
        <f t="shared" si="187"/>
        <v>0</v>
      </c>
      <c r="BA90" s="227">
        <f t="shared" si="176"/>
        <v>0</v>
      </c>
      <c r="BB90" s="252">
        <v>0</v>
      </c>
      <c r="BC90" s="255">
        <v>0</v>
      </c>
      <c r="BD90" s="252">
        <v>0</v>
      </c>
      <c r="BE90" s="252">
        <v>0</v>
      </c>
      <c r="BF90" s="252">
        <v>0</v>
      </c>
      <c r="BG90" s="252">
        <v>0</v>
      </c>
      <c r="BH90" s="208">
        <f t="shared" si="200"/>
        <v>0</v>
      </c>
      <c r="BI90" s="208">
        <f t="shared" si="201"/>
        <v>0</v>
      </c>
      <c r="BJ90" s="208">
        <f t="shared" si="202"/>
        <v>0</v>
      </c>
      <c r="BK90" s="208">
        <f t="shared" si="203"/>
        <v>0</v>
      </c>
      <c r="BL90" s="208">
        <f t="shared" si="204"/>
        <v>0</v>
      </c>
      <c r="BM90" s="208">
        <f t="shared" si="205"/>
        <v>0</v>
      </c>
      <c r="BN90" s="208">
        <f t="shared" si="199"/>
        <v>0</v>
      </c>
      <c r="BO90" s="208">
        <f t="shared" si="194"/>
        <v>0</v>
      </c>
      <c r="BP90" s="208">
        <f t="shared" si="195"/>
        <v>0</v>
      </c>
      <c r="BQ90" s="230">
        <f t="shared" si="173"/>
        <v>0</v>
      </c>
      <c r="BR90" s="214"/>
      <c r="BS90" s="227"/>
      <c r="BT90" s="286"/>
      <c r="BU90" s="300" t="s">
        <v>339</v>
      </c>
      <c r="BV90" s="293">
        <v>0</v>
      </c>
      <c r="BW90" s="293">
        <v>0</v>
      </c>
      <c r="BX90" s="258">
        <v>0</v>
      </c>
      <c r="BY90" s="258">
        <v>0</v>
      </c>
      <c r="BZ90" s="258">
        <v>0</v>
      </c>
      <c r="CA90" s="258">
        <v>0</v>
      </c>
      <c r="CB90" s="258">
        <v>0</v>
      </c>
      <c r="CC90" s="258">
        <v>0</v>
      </c>
      <c r="CD90" s="258">
        <v>0</v>
      </c>
      <c r="CE90" s="258">
        <v>0</v>
      </c>
      <c r="CF90" s="258">
        <v>0</v>
      </c>
      <c r="CG90" s="258">
        <v>0</v>
      </c>
      <c r="CH90" s="258">
        <v>0</v>
      </c>
      <c r="CI90" s="258">
        <v>0</v>
      </c>
      <c r="CJ90" s="258">
        <v>0</v>
      </c>
      <c r="CK90" s="258">
        <v>0</v>
      </c>
      <c r="CL90" s="258">
        <v>0</v>
      </c>
      <c r="CM90" s="258">
        <v>0</v>
      </c>
      <c r="CN90" s="258">
        <v>0</v>
      </c>
      <c r="CO90" s="258">
        <v>0</v>
      </c>
      <c r="CP90" s="301">
        <v>0</v>
      </c>
      <c r="CQ90" s="302"/>
      <c r="CR90" s="300" t="s">
        <v>339</v>
      </c>
      <c r="CS90" s="293">
        <v>0</v>
      </c>
      <c r="CT90" s="293">
        <v>0</v>
      </c>
      <c r="CU90" s="258">
        <v>0</v>
      </c>
      <c r="CV90" s="258">
        <v>0</v>
      </c>
      <c r="CW90" s="258">
        <v>0</v>
      </c>
      <c r="CX90" s="258">
        <v>0</v>
      </c>
      <c r="CY90" s="258">
        <v>0</v>
      </c>
      <c r="CZ90" s="258">
        <v>0</v>
      </c>
      <c r="DA90" s="258">
        <v>0</v>
      </c>
      <c r="DB90" s="258">
        <v>0</v>
      </c>
      <c r="DC90" s="258">
        <v>0</v>
      </c>
      <c r="DD90" s="258">
        <v>0</v>
      </c>
      <c r="DE90" s="258">
        <v>0</v>
      </c>
      <c r="DF90" s="258">
        <v>0</v>
      </c>
      <c r="DG90" s="258">
        <v>0</v>
      </c>
      <c r="DH90" s="258">
        <v>0</v>
      </c>
      <c r="DI90" s="258">
        <v>0</v>
      </c>
      <c r="DJ90" s="258">
        <v>0</v>
      </c>
      <c r="DK90" s="258">
        <v>0</v>
      </c>
      <c r="DL90" s="258">
        <v>0</v>
      </c>
      <c r="DM90" s="301">
        <v>0</v>
      </c>
      <c r="DN90" s="302"/>
      <c r="DO90" s="302"/>
      <c r="DP90" s="300" t="s">
        <v>339</v>
      </c>
      <c r="DQ90" s="293">
        <v>0</v>
      </c>
      <c r="DR90" s="293">
        <v>0</v>
      </c>
      <c r="DS90" s="258">
        <v>0</v>
      </c>
      <c r="DT90" s="258">
        <v>0</v>
      </c>
      <c r="DU90" s="258">
        <v>0</v>
      </c>
      <c r="DV90" s="258">
        <v>0</v>
      </c>
      <c r="DW90" s="258">
        <v>0</v>
      </c>
      <c r="DX90" s="258">
        <v>0</v>
      </c>
      <c r="DY90" s="258">
        <v>0</v>
      </c>
      <c r="DZ90" s="258">
        <v>0</v>
      </c>
      <c r="EA90" s="258">
        <v>0</v>
      </c>
      <c r="EB90" s="258">
        <v>0</v>
      </c>
      <c r="EC90" s="258">
        <v>0</v>
      </c>
      <c r="ED90" s="258">
        <v>0</v>
      </c>
      <c r="EE90" s="258">
        <v>0</v>
      </c>
      <c r="EF90" s="258">
        <v>0</v>
      </c>
      <c r="EG90" s="258">
        <v>0</v>
      </c>
      <c r="EH90" s="258">
        <v>0</v>
      </c>
      <c r="EI90" s="258">
        <v>0</v>
      </c>
      <c r="EJ90" s="258">
        <v>0</v>
      </c>
      <c r="EK90" s="301">
        <v>0</v>
      </c>
      <c r="EL90" s="287"/>
      <c r="EM90" s="300" t="s">
        <v>339</v>
      </c>
      <c r="EN90" s="293">
        <v>0</v>
      </c>
      <c r="EO90" s="293">
        <v>0</v>
      </c>
      <c r="EP90" s="258">
        <v>0</v>
      </c>
      <c r="EQ90" s="258">
        <v>0</v>
      </c>
      <c r="ER90" s="258">
        <v>0</v>
      </c>
      <c r="ES90" s="258">
        <v>0</v>
      </c>
      <c r="ET90" s="258">
        <v>0</v>
      </c>
      <c r="EU90" s="258">
        <v>0</v>
      </c>
      <c r="EV90" s="258">
        <v>0</v>
      </c>
      <c r="EW90" s="258">
        <v>0</v>
      </c>
      <c r="EX90" s="258">
        <v>0</v>
      </c>
      <c r="EY90" s="258">
        <v>0</v>
      </c>
      <c r="EZ90" s="258">
        <v>0</v>
      </c>
      <c r="FA90" s="258">
        <v>0</v>
      </c>
      <c r="FB90" s="258">
        <v>0</v>
      </c>
      <c r="FC90" s="258">
        <v>0</v>
      </c>
      <c r="FD90" s="258">
        <v>0</v>
      </c>
      <c r="FE90" s="258">
        <v>0</v>
      </c>
      <c r="FF90" s="258">
        <v>0</v>
      </c>
      <c r="FG90" s="258">
        <v>0</v>
      </c>
      <c r="FH90" s="301">
        <v>0</v>
      </c>
    </row>
    <row r="91" spans="2:164" x14ac:dyDescent="0.2">
      <c r="B91" s="234" t="s">
        <v>340</v>
      </c>
      <c r="C91" s="227">
        <v>0</v>
      </c>
      <c r="D91" s="228">
        <v>0</v>
      </c>
      <c r="E91" s="208">
        <v>0</v>
      </c>
      <c r="F91" s="208">
        <v>0</v>
      </c>
      <c r="G91" s="208">
        <v>0</v>
      </c>
      <c r="H91" s="208">
        <v>0</v>
      </c>
      <c r="I91" s="208">
        <v>0</v>
      </c>
      <c r="J91" s="208">
        <v>0</v>
      </c>
      <c r="K91" s="208">
        <v>0</v>
      </c>
      <c r="L91" s="208">
        <v>5</v>
      </c>
      <c r="M91" s="208">
        <v>0</v>
      </c>
      <c r="N91" s="208">
        <v>0</v>
      </c>
      <c r="O91" s="208">
        <v>0</v>
      </c>
      <c r="P91" s="208">
        <v>0</v>
      </c>
      <c r="Q91" s="208">
        <v>0</v>
      </c>
      <c r="R91" s="208">
        <v>42</v>
      </c>
      <c r="S91" s="208">
        <v>0</v>
      </c>
      <c r="T91" s="208">
        <v>0</v>
      </c>
      <c r="U91" s="208">
        <v>0</v>
      </c>
      <c r="V91" s="208">
        <v>0</v>
      </c>
      <c r="W91" s="222">
        <v>47</v>
      </c>
      <c r="X91" s="208"/>
      <c r="Y91" s="217" t="s">
        <v>340</v>
      </c>
      <c r="Z91" s="227">
        <v>0</v>
      </c>
      <c r="AA91" s="228">
        <v>0</v>
      </c>
      <c r="AB91" s="208">
        <v>0</v>
      </c>
      <c r="AC91" s="208">
        <v>0</v>
      </c>
      <c r="AD91" s="208">
        <v>0</v>
      </c>
      <c r="AE91" s="252">
        <v>0</v>
      </c>
      <c r="AF91" s="252">
        <v>0</v>
      </c>
      <c r="AG91" s="252">
        <v>0</v>
      </c>
      <c r="AH91" s="252">
        <v>0</v>
      </c>
      <c r="AI91" s="252">
        <v>138.42064383676876</v>
      </c>
      <c r="AJ91" s="252">
        <v>0</v>
      </c>
      <c r="AK91" s="208">
        <v>0</v>
      </c>
      <c r="AL91" s="208">
        <v>0</v>
      </c>
      <c r="AM91" s="208">
        <v>0</v>
      </c>
      <c r="AN91" s="208">
        <v>0</v>
      </c>
      <c r="AO91" s="208">
        <v>4365.4105058496471</v>
      </c>
      <c r="AP91" s="208">
        <v>0</v>
      </c>
      <c r="AQ91" s="208">
        <v>0</v>
      </c>
      <c r="AR91" s="208">
        <v>0</v>
      </c>
      <c r="AS91" s="208">
        <v>0</v>
      </c>
      <c r="AT91" s="222">
        <v>4503.8311496864162</v>
      </c>
      <c r="AV91" s="217" t="s">
        <v>347</v>
      </c>
      <c r="AW91" s="227">
        <f t="shared" si="196"/>
        <v>0</v>
      </c>
      <c r="AX91" s="227">
        <f t="shared" si="197"/>
        <v>0</v>
      </c>
      <c r="AY91" s="227">
        <f t="shared" si="198"/>
        <v>0</v>
      </c>
      <c r="AZ91" s="227">
        <f t="shared" si="187"/>
        <v>0</v>
      </c>
      <c r="BA91" s="227">
        <f t="shared" si="176"/>
        <v>0</v>
      </c>
      <c r="BB91" s="252">
        <v>0</v>
      </c>
      <c r="BC91" s="252">
        <v>0</v>
      </c>
      <c r="BD91" s="255">
        <v>0</v>
      </c>
      <c r="BE91" s="252">
        <v>0</v>
      </c>
      <c r="BF91" s="255">
        <v>0</v>
      </c>
      <c r="BG91" s="252">
        <v>0</v>
      </c>
      <c r="BH91" s="208">
        <f t="shared" si="200"/>
        <v>0</v>
      </c>
      <c r="BI91" s="208">
        <f t="shared" si="201"/>
        <v>0</v>
      </c>
      <c r="BJ91" s="208">
        <f t="shared" si="202"/>
        <v>0</v>
      </c>
      <c r="BK91" s="208">
        <f t="shared" si="203"/>
        <v>0</v>
      </c>
      <c r="BL91" s="208">
        <f t="shared" si="204"/>
        <v>4365.4105058496471</v>
      </c>
      <c r="BM91" s="208">
        <f t="shared" si="205"/>
        <v>0</v>
      </c>
      <c r="BN91" s="208">
        <f t="shared" si="199"/>
        <v>0</v>
      </c>
      <c r="BO91" s="208">
        <f t="shared" si="194"/>
        <v>0</v>
      </c>
      <c r="BP91" s="208">
        <f t="shared" si="195"/>
        <v>0</v>
      </c>
      <c r="BQ91" s="230">
        <f t="shared" si="173"/>
        <v>4365.4105058496471</v>
      </c>
      <c r="BR91" s="214"/>
      <c r="BS91" s="227"/>
      <c r="BT91" s="286"/>
      <c r="BU91" s="300" t="s">
        <v>340</v>
      </c>
      <c r="BV91" s="293">
        <v>0</v>
      </c>
      <c r="BW91" s="293">
        <v>0</v>
      </c>
      <c r="BX91" s="258">
        <v>0</v>
      </c>
      <c r="BY91" s="258">
        <v>0</v>
      </c>
      <c r="BZ91" s="258">
        <v>0</v>
      </c>
      <c r="CA91" s="258">
        <v>0</v>
      </c>
      <c r="CB91" s="258">
        <v>0</v>
      </c>
      <c r="CC91" s="258">
        <v>0</v>
      </c>
      <c r="CD91" s="258">
        <v>0</v>
      </c>
      <c r="CE91" s="258">
        <v>0</v>
      </c>
      <c r="CF91" s="258">
        <v>0</v>
      </c>
      <c r="CG91" s="258">
        <v>0</v>
      </c>
      <c r="CH91" s="258">
        <v>0</v>
      </c>
      <c r="CI91" s="258">
        <v>0</v>
      </c>
      <c r="CJ91" s="258">
        <v>0</v>
      </c>
      <c r="CK91" s="258">
        <v>3</v>
      </c>
      <c r="CL91" s="258">
        <v>0</v>
      </c>
      <c r="CM91" s="258">
        <v>0</v>
      </c>
      <c r="CN91" s="258">
        <v>0</v>
      </c>
      <c r="CO91" s="258">
        <v>0</v>
      </c>
      <c r="CP91" s="301">
        <v>3</v>
      </c>
      <c r="CQ91" s="302"/>
      <c r="CR91" s="300" t="s">
        <v>340</v>
      </c>
      <c r="CS91" s="293">
        <v>0</v>
      </c>
      <c r="CT91" s="293">
        <v>0</v>
      </c>
      <c r="CU91" s="258">
        <v>0</v>
      </c>
      <c r="CV91" s="258">
        <v>0</v>
      </c>
      <c r="CW91" s="258">
        <v>0</v>
      </c>
      <c r="CX91" s="258">
        <v>0</v>
      </c>
      <c r="CY91" s="258">
        <v>0</v>
      </c>
      <c r="CZ91" s="258">
        <v>0</v>
      </c>
      <c r="DA91" s="258">
        <v>0</v>
      </c>
      <c r="DB91" s="258">
        <v>0</v>
      </c>
      <c r="DC91" s="258">
        <v>0</v>
      </c>
      <c r="DD91" s="258">
        <v>0</v>
      </c>
      <c r="DE91" s="258">
        <v>0</v>
      </c>
      <c r="DF91" s="258">
        <v>0</v>
      </c>
      <c r="DG91" s="258">
        <v>0</v>
      </c>
      <c r="DH91" s="258">
        <v>2828.2088616709289</v>
      </c>
      <c r="DI91" s="258">
        <v>0</v>
      </c>
      <c r="DJ91" s="258">
        <v>0</v>
      </c>
      <c r="DK91" s="258">
        <v>0</v>
      </c>
      <c r="DL91" s="258">
        <v>0</v>
      </c>
      <c r="DM91" s="301">
        <v>2828.2088616709289</v>
      </c>
      <c r="DN91" s="302"/>
      <c r="DO91" s="302"/>
      <c r="DP91" s="300" t="s">
        <v>340</v>
      </c>
      <c r="DQ91" s="293">
        <v>0</v>
      </c>
      <c r="DR91" s="293">
        <v>0</v>
      </c>
      <c r="DS91" s="258">
        <v>0</v>
      </c>
      <c r="DT91" s="258">
        <v>0</v>
      </c>
      <c r="DU91" s="258">
        <v>0</v>
      </c>
      <c r="DV91" s="258">
        <v>0</v>
      </c>
      <c r="DW91" s="258">
        <v>0</v>
      </c>
      <c r="DX91" s="258">
        <v>0</v>
      </c>
      <c r="DY91" s="258">
        <v>0</v>
      </c>
      <c r="DZ91" s="258">
        <v>0</v>
      </c>
      <c r="EA91" s="258">
        <v>0</v>
      </c>
      <c r="EB91" s="258">
        <v>0</v>
      </c>
      <c r="EC91" s="258">
        <v>0</v>
      </c>
      <c r="ED91" s="258">
        <v>0</v>
      </c>
      <c r="EE91" s="258">
        <v>0</v>
      </c>
      <c r="EF91" s="258">
        <v>3</v>
      </c>
      <c r="EG91" s="258">
        <v>0</v>
      </c>
      <c r="EH91" s="258">
        <v>0</v>
      </c>
      <c r="EI91" s="258">
        <v>0</v>
      </c>
      <c r="EJ91" s="258">
        <v>0</v>
      </c>
      <c r="EK91" s="301">
        <v>3</v>
      </c>
      <c r="EL91" s="287"/>
      <c r="EM91" s="300" t="s">
        <v>340</v>
      </c>
      <c r="EN91" s="293">
        <v>0</v>
      </c>
      <c r="EO91" s="293">
        <v>0</v>
      </c>
      <c r="EP91" s="258">
        <v>0</v>
      </c>
      <c r="EQ91" s="258">
        <v>0</v>
      </c>
      <c r="ER91" s="258">
        <v>0</v>
      </c>
      <c r="ES91" s="258">
        <v>0</v>
      </c>
      <c r="ET91" s="258">
        <v>0</v>
      </c>
      <c r="EU91" s="258">
        <v>0</v>
      </c>
      <c r="EV91" s="258">
        <v>0</v>
      </c>
      <c r="EW91" s="258">
        <v>0</v>
      </c>
      <c r="EX91" s="258">
        <v>0</v>
      </c>
      <c r="EY91" s="258">
        <v>0</v>
      </c>
      <c r="EZ91" s="258">
        <v>0</v>
      </c>
      <c r="FA91" s="258">
        <v>0</v>
      </c>
      <c r="FB91" s="258">
        <v>0</v>
      </c>
      <c r="FC91" s="258">
        <v>2828.2088616709289</v>
      </c>
      <c r="FD91" s="258">
        <v>0</v>
      </c>
      <c r="FE91" s="258">
        <v>0</v>
      </c>
      <c r="FF91" s="258">
        <v>0</v>
      </c>
      <c r="FG91" s="258">
        <v>0</v>
      </c>
      <c r="FH91" s="301">
        <v>2828.2088616709289</v>
      </c>
    </row>
    <row r="92" spans="2:164" x14ac:dyDescent="0.2">
      <c r="B92" s="217" t="s">
        <v>341</v>
      </c>
      <c r="C92" s="227">
        <v>0</v>
      </c>
      <c r="D92" s="228">
        <v>0</v>
      </c>
      <c r="E92" s="208">
        <v>0</v>
      </c>
      <c r="F92" s="208">
        <v>0</v>
      </c>
      <c r="G92" s="208">
        <v>0</v>
      </c>
      <c r="H92" s="208">
        <v>0</v>
      </c>
      <c r="I92" s="208">
        <v>0</v>
      </c>
      <c r="J92" s="208">
        <v>0</v>
      </c>
      <c r="K92" s="208">
        <v>0</v>
      </c>
      <c r="L92" s="208">
        <v>0</v>
      </c>
      <c r="M92" s="208">
        <v>1</v>
      </c>
      <c r="N92" s="208">
        <v>0</v>
      </c>
      <c r="O92" s="208">
        <v>0</v>
      </c>
      <c r="P92" s="208">
        <v>0</v>
      </c>
      <c r="Q92" s="208">
        <v>0</v>
      </c>
      <c r="R92" s="208">
        <v>0</v>
      </c>
      <c r="S92" s="208">
        <v>7</v>
      </c>
      <c r="T92" s="208">
        <v>0</v>
      </c>
      <c r="U92" s="208">
        <v>0</v>
      </c>
      <c r="V92" s="208">
        <v>0</v>
      </c>
      <c r="W92" s="222">
        <v>8</v>
      </c>
      <c r="X92" s="208"/>
      <c r="Y92" s="217" t="s">
        <v>341</v>
      </c>
      <c r="Z92" s="227">
        <v>0</v>
      </c>
      <c r="AA92" s="228">
        <v>0</v>
      </c>
      <c r="AB92" s="208">
        <v>0</v>
      </c>
      <c r="AC92" s="208">
        <v>0</v>
      </c>
      <c r="AD92" s="208">
        <v>0</v>
      </c>
      <c r="AE92" s="252">
        <v>0</v>
      </c>
      <c r="AF92" s="252">
        <v>0</v>
      </c>
      <c r="AG92" s="252">
        <v>0</v>
      </c>
      <c r="AH92" s="252">
        <v>0</v>
      </c>
      <c r="AI92" s="252">
        <v>0</v>
      </c>
      <c r="AJ92" s="252">
        <v>0</v>
      </c>
      <c r="AK92" s="208">
        <v>0</v>
      </c>
      <c r="AL92" s="208">
        <v>0</v>
      </c>
      <c r="AM92" s="208">
        <v>0</v>
      </c>
      <c r="AN92" s="208">
        <v>0</v>
      </c>
      <c r="AO92" s="208">
        <v>0</v>
      </c>
      <c r="AP92" s="208">
        <v>1055.5989993362027</v>
      </c>
      <c r="AQ92" s="208">
        <v>0</v>
      </c>
      <c r="AR92" s="208">
        <v>0</v>
      </c>
      <c r="AS92" s="208">
        <v>0</v>
      </c>
      <c r="AT92" s="222">
        <v>1055.5989993362027</v>
      </c>
      <c r="AV92" s="217" t="s">
        <v>339</v>
      </c>
      <c r="AW92" s="227">
        <f t="shared" si="196"/>
        <v>0</v>
      </c>
      <c r="AX92" s="227">
        <f t="shared" si="197"/>
        <v>0</v>
      </c>
      <c r="AY92" s="227">
        <f t="shared" si="198"/>
        <v>0</v>
      </c>
      <c r="AZ92" s="227">
        <f t="shared" si="187"/>
        <v>0</v>
      </c>
      <c r="BA92" s="227">
        <f t="shared" si="176"/>
        <v>0</v>
      </c>
      <c r="BB92" s="252">
        <v>0</v>
      </c>
      <c r="BC92" s="252">
        <v>0</v>
      </c>
      <c r="BD92" s="252">
        <v>0</v>
      </c>
      <c r="BE92" s="252">
        <v>0</v>
      </c>
      <c r="BF92" s="255">
        <v>0</v>
      </c>
      <c r="BG92" s="252">
        <v>0</v>
      </c>
      <c r="BH92" s="208">
        <f t="shared" si="200"/>
        <v>0</v>
      </c>
      <c r="BI92" s="208">
        <f t="shared" si="201"/>
        <v>0</v>
      </c>
      <c r="BJ92" s="208">
        <f t="shared" si="202"/>
        <v>0</v>
      </c>
      <c r="BK92" s="208">
        <f t="shared" si="203"/>
        <v>0</v>
      </c>
      <c r="BL92" s="208">
        <f t="shared" si="204"/>
        <v>0</v>
      </c>
      <c r="BM92" s="208">
        <f t="shared" si="205"/>
        <v>1055.5989993362027</v>
      </c>
      <c r="BN92" s="208">
        <f t="shared" si="199"/>
        <v>0</v>
      </c>
      <c r="BO92" s="208">
        <f t="shared" si="194"/>
        <v>0</v>
      </c>
      <c r="BP92" s="208">
        <f t="shared" si="195"/>
        <v>0</v>
      </c>
      <c r="BQ92" s="230">
        <f t="shared" si="173"/>
        <v>1055.5989993362027</v>
      </c>
      <c r="BR92" s="214"/>
      <c r="BS92" s="227"/>
      <c r="BT92" s="286"/>
      <c r="BU92" s="300" t="s">
        <v>341</v>
      </c>
      <c r="BV92" s="293">
        <v>0</v>
      </c>
      <c r="BW92" s="293">
        <v>0</v>
      </c>
      <c r="BX92" s="258">
        <v>0</v>
      </c>
      <c r="BY92" s="258">
        <v>0</v>
      </c>
      <c r="BZ92" s="258">
        <v>0</v>
      </c>
      <c r="CA92" s="258">
        <v>0</v>
      </c>
      <c r="CB92" s="258">
        <v>0</v>
      </c>
      <c r="CC92" s="258">
        <v>0</v>
      </c>
      <c r="CD92" s="258">
        <v>0</v>
      </c>
      <c r="CE92" s="258">
        <v>0</v>
      </c>
      <c r="CF92" s="258">
        <v>0</v>
      </c>
      <c r="CG92" s="258">
        <v>0</v>
      </c>
      <c r="CH92" s="258">
        <v>0</v>
      </c>
      <c r="CI92" s="258">
        <v>0</v>
      </c>
      <c r="CJ92" s="258">
        <v>0</v>
      </c>
      <c r="CK92" s="258">
        <v>0</v>
      </c>
      <c r="CL92" s="258">
        <v>1</v>
      </c>
      <c r="CM92" s="258">
        <v>0</v>
      </c>
      <c r="CN92" s="258">
        <v>0</v>
      </c>
      <c r="CO92" s="258">
        <v>0</v>
      </c>
      <c r="CP92" s="301">
        <v>1</v>
      </c>
      <c r="CQ92" s="302"/>
      <c r="CR92" s="300" t="s">
        <v>341</v>
      </c>
      <c r="CS92" s="293">
        <v>0</v>
      </c>
      <c r="CT92" s="293">
        <v>0</v>
      </c>
      <c r="CU92" s="258">
        <v>0</v>
      </c>
      <c r="CV92" s="258">
        <v>0</v>
      </c>
      <c r="CW92" s="258">
        <v>0</v>
      </c>
      <c r="CX92" s="258">
        <v>0</v>
      </c>
      <c r="CY92" s="258">
        <v>0</v>
      </c>
      <c r="CZ92" s="258">
        <v>0</v>
      </c>
      <c r="DA92" s="258">
        <v>0</v>
      </c>
      <c r="DB92" s="258">
        <v>0</v>
      </c>
      <c r="DC92" s="258">
        <v>0</v>
      </c>
      <c r="DD92" s="258">
        <v>0</v>
      </c>
      <c r="DE92" s="258">
        <v>0</v>
      </c>
      <c r="DF92" s="258">
        <v>0</v>
      </c>
      <c r="DG92" s="258">
        <v>0</v>
      </c>
      <c r="DH92" s="258">
        <v>0</v>
      </c>
      <c r="DI92" s="258">
        <v>0</v>
      </c>
      <c r="DJ92" s="258">
        <v>0</v>
      </c>
      <c r="DK92" s="258">
        <v>0</v>
      </c>
      <c r="DL92" s="258">
        <v>0</v>
      </c>
      <c r="DM92" s="301">
        <v>0</v>
      </c>
      <c r="DN92" s="302"/>
      <c r="DO92" s="302"/>
      <c r="DP92" s="300" t="s">
        <v>341</v>
      </c>
      <c r="DQ92" s="293">
        <v>0</v>
      </c>
      <c r="DR92" s="293">
        <v>0</v>
      </c>
      <c r="DS92" s="258">
        <v>0</v>
      </c>
      <c r="DT92" s="258">
        <v>0</v>
      </c>
      <c r="DU92" s="258">
        <v>0</v>
      </c>
      <c r="DV92" s="258">
        <v>0</v>
      </c>
      <c r="DW92" s="258">
        <v>0</v>
      </c>
      <c r="DX92" s="258">
        <v>0</v>
      </c>
      <c r="DY92" s="258">
        <v>0</v>
      </c>
      <c r="DZ92" s="258">
        <v>0</v>
      </c>
      <c r="EA92" s="258">
        <v>0</v>
      </c>
      <c r="EB92" s="258">
        <v>0</v>
      </c>
      <c r="EC92" s="258">
        <v>0</v>
      </c>
      <c r="ED92" s="258">
        <v>0</v>
      </c>
      <c r="EE92" s="258">
        <v>0</v>
      </c>
      <c r="EF92" s="258">
        <v>0</v>
      </c>
      <c r="EG92" s="258">
        <v>2</v>
      </c>
      <c r="EH92" s="258">
        <v>0</v>
      </c>
      <c r="EI92" s="258">
        <v>0</v>
      </c>
      <c r="EJ92" s="258">
        <v>0</v>
      </c>
      <c r="EK92" s="301">
        <v>2</v>
      </c>
      <c r="EL92" s="287"/>
      <c r="EM92" s="300" t="s">
        <v>341</v>
      </c>
      <c r="EN92" s="293">
        <v>0</v>
      </c>
      <c r="EO92" s="293">
        <v>0</v>
      </c>
      <c r="EP92" s="258">
        <v>0</v>
      </c>
      <c r="EQ92" s="258">
        <v>0</v>
      </c>
      <c r="ER92" s="258">
        <v>0</v>
      </c>
      <c r="ES92" s="258">
        <v>0</v>
      </c>
      <c r="ET92" s="258">
        <v>0</v>
      </c>
      <c r="EU92" s="258">
        <v>0</v>
      </c>
      <c r="EV92" s="258">
        <v>0</v>
      </c>
      <c r="EW92" s="258">
        <v>0</v>
      </c>
      <c r="EX92" s="258">
        <v>0</v>
      </c>
      <c r="EY92" s="258">
        <v>0</v>
      </c>
      <c r="EZ92" s="258">
        <v>0</v>
      </c>
      <c r="FA92" s="258">
        <v>0</v>
      </c>
      <c r="FB92" s="258">
        <v>0</v>
      </c>
      <c r="FC92" s="258">
        <v>0</v>
      </c>
      <c r="FD92" s="258">
        <v>20.634185163061268</v>
      </c>
      <c r="FE92" s="258">
        <v>0</v>
      </c>
      <c r="FF92" s="258">
        <v>0</v>
      </c>
      <c r="FG92" s="258">
        <v>0</v>
      </c>
      <c r="FH92" s="301">
        <v>20.634185163061268</v>
      </c>
    </row>
    <row r="93" spans="2:164" x14ac:dyDescent="0.2">
      <c r="B93" s="217" t="s">
        <v>6</v>
      </c>
      <c r="C93" s="227">
        <v>0</v>
      </c>
      <c r="D93" s="228">
        <v>0</v>
      </c>
      <c r="E93" s="208">
        <v>0</v>
      </c>
      <c r="F93" s="208">
        <v>0</v>
      </c>
      <c r="G93" s="208">
        <v>0</v>
      </c>
      <c r="H93" s="208">
        <v>4</v>
      </c>
      <c r="I93" s="208">
        <v>1</v>
      </c>
      <c r="J93" s="208">
        <v>0</v>
      </c>
      <c r="K93" s="208">
        <v>0</v>
      </c>
      <c r="L93" s="208">
        <v>0</v>
      </c>
      <c r="M93" s="208">
        <v>0</v>
      </c>
      <c r="N93" s="208">
        <v>0</v>
      </c>
      <c r="O93" s="208">
        <v>0</v>
      </c>
      <c r="P93" s="208">
        <v>0</v>
      </c>
      <c r="Q93" s="208">
        <v>0</v>
      </c>
      <c r="R93" s="208">
        <v>0</v>
      </c>
      <c r="S93" s="208">
        <v>0</v>
      </c>
      <c r="T93" s="208">
        <v>26</v>
      </c>
      <c r="U93" s="208">
        <v>6</v>
      </c>
      <c r="V93" s="208">
        <v>0</v>
      </c>
      <c r="W93" s="222">
        <v>37</v>
      </c>
      <c r="X93" s="208"/>
      <c r="Y93" s="217" t="s">
        <v>6</v>
      </c>
      <c r="Z93" s="227">
        <v>0</v>
      </c>
      <c r="AA93" s="228">
        <v>0</v>
      </c>
      <c r="AB93" s="208">
        <v>0</v>
      </c>
      <c r="AC93" s="208">
        <v>0</v>
      </c>
      <c r="AD93" s="208">
        <v>0</v>
      </c>
      <c r="AE93" s="252">
        <v>1919.8748730904369</v>
      </c>
      <c r="AF93" s="252">
        <v>158.44534070216463</v>
      </c>
      <c r="AG93" s="252">
        <v>0</v>
      </c>
      <c r="AH93" s="252">
        <v>0</v>
      </c>
      <c r="AI93" s="252">
        <v>0</v>
      </c>
      <c r="AJ93" s="252">
        <v>0</v>
      </c>
      <c r="AK93" s="208">
        <v>0</v>
      </c>
      <c r="AL93" s="208">
        <v>0</v>
      </c>
      <c r="AM93" s="208">
        <v>0</v>
      </c>
      <c r="AN93" s="208">
        <v>0</v>
      </c>
      <c r="AO93" s="208">
        <v>0</v>
      </c>
      <c r="AP93" s="208">
        <v>0</v>
      </c>
      <c r="AQ93" s="208">
        <v>1120.6858241139491</v>
      </c>
      <c r="AR93" s="208">
        <v>1732.3941912433686</v>
      </c>
      <c r="AS93" s="208">
        <v>0</v>
      </c>
      <c r="AT93" s="222">
        <v>4931.4002291499191</v>
      </c>
      <c r="AV93" s="217" t="s">
        <v>340</v>
      </c>
      <c r="AW93" s="227">
        <f t="shared" si="196"/>
        <v>0</v>
      </c>
      <c r="AX93" s="227">
        <f t="shared" si="197"/>
        <v>0</v>
      </c>
      <c r="AY93" s="227">
        <f t="shared" si="198"/>
        <v>0</v>
      </c>
      <c r="AZ93" s="227">
        <f t="shared" si="187"/>
        <v>0</v>
      </c>
      <c r="BA93" s="227">
        <f t="shared" si="176"/>
        <v>0</v>
      </c>
      <c r="BB93" s="252">
        <v>0</v>
      </c>
      <c r="BC93" s="252">
        <v>0</v>
      </c>
      <c r="BD93" s="252">
        <v>0</v>
      </c>
      <c r="BE93" s="252">
        <v>0</v>
      </c>
      <c r="BF93" s="255">
        <v>0</v>
      </c>
      <c r="BG93" s="255">
        <v>0</v>
      </c>
      <c r="BH93" s="208">
        <f t="shared" si="200"/>
        <v>0</v>
      </c>
      <c r="BI93" s="208">
        <f t="shared" si="201"/>
        <v>0</v>
      </c>
      <c r="BJ93" s="208">
        <f t="shared" si="202"/>
        <v>0</v>
      </c>
      <c r="BK93" s="208">
        <f t="shared" si="203"/>
        <v>0</v>
      </c>
      <c r="BL93" s="208">
        <f t="shared" si="204"/>
        <v>0</v>
      </c>
      <c r="BM93" s="208">
        <f t="shared" si="205"/>
        <v>0</v>
      </c>
      <c r="BN93" s="208">
        <f t="shared" si="199"/>
        <v>1120.6858241139491</v>
      </c>
      <c r="BO93" s="208">
        <f t="shared" si="194"/>
        <v>1732.3941912433686</v>
      </c>
      <c r="BP93" s="208">
        <f t="shared" si="195"/>
        <v>0</v>
      </c>
      <c r="BQ93" s="230">
        <f t="shared" si="173"/>
        <v>2853.0800153573177</v>
      </c>
      <c r="BR93" s="214"/>
      <c r="BS93" s="227"/>
      <c r="BT93" s="286"/>
      <c r="BU93" s="300" t="s">
        <v>6</v>
      </c>
      <c r="BV93" s="293">
        <v>0</v>
      </c>
      <c r="BW93" s="293">
        <v>0</v>
      </c>
      <c r="BX93" s="258">
        <v>0</v>
      </c>
      <c r="BY93" s="258">
        <v>0</v>
      </c>
      <c r="BZ93" s="258">
        <v>0</v>
      </c>
      <c r="CA93" s="258">
        <v>1</v>
      </c>
      <c r="CB93" s="258">
        <v>0</v>
      </c>
      <c r="CC93" s="258">
        <v>0</v>
      </c>
      <c r="CD93" s="258">
        <v>0</v>
      </c>
      <c r="CE93" s="258">
        <v>0</v>
      </c>
      <c r="CF93" s="258">
        <v>0</v>
      </c>
      <c r="CG93" s="258">
        <v>0</v>
      </c>
      <c r="CH93" s="258">
        <v>0</v>
      </c>
      <c r="CI93" s="258">
        <v>0</v>
      </c>
      <c r="CJ93" s="258">
        <v>0</v>
      </c>
      <c r="CK93" s="258">
        <v>0</v>
      </c>
      <c r="CL93" s="258">
        <v>0</v>
      </c>
      <c r="CM93" s="258">
        <v>2</v>
      </c>
      <c r="CN93" s="258">
        <v>0</v>
      </c>
      <c r="CO93" s="258">
        <v>0</v>
      </c>
      <c r="CP93" s="301">
        <v>3</v>
      </c>
      <c r="CQ93" s="302"/>
      <c r="CR93" s="300" t="s">
        <v>6</v>
      </c>
      <c r="CS93" s="293">
        <v>0</v>
      </c>
      <c r="CT93" s="293">
        <v>0</v>
      </c>
      <c r="CU93" s="258">
        <v>0</v>
      </c>
      <c r="CV93" s="258">
        <v>0</v>
      </c>
      <c r="CW93" s="258">
        <v>0</v>
      </c>
      <c r="CX93" s="258">
        <v>1838.6579884312912</v>
      </c>
      <c r="CY93" s="258">
        <v>0</v>
      </c>
      <c r="CZ93" s="258">
        <v>0</v>
      </c>
      <c r="DA93" s="258">
        <v>0</v>
      </c>
      <c r="DB93" s="258">
        <v>0</v>
      </c>
      <c r="DC93" s="258">
        <v>0</v>
      </c>
      <c r="DD93" s="258">
        <v>0</v>
      </c>
      <c r="DE93" s="258">
        <v>0</v>
      </c>
      <c r="DF93" s="258">
        <v>0</v>
      </c>
      <c r="DG93" s="258">
        <v>0</v>
      </c>
      <c r="DH93" s="258">
        <v>0</v>
      </c>
      <c r="DI93" s="258">
        <v>0</v>
      </c>
      <c r="DJ93" s="258">
        <v>0</v>
      </c>
      <c r="DK93" s="258">
        <v>0</v>
      </c>
      <c r="DL93" s="258">
        <v>0</v>
      </c>
      <c r="DM93" s="301">
        <v>1838.6579884312912</v>
      </c>
      <c r="DN93" s="302"/>
      <c r="DO93" s="302"/>
      <c r="DP93" s="300" t="s">
        <v>6</v>
      </c>
      <c r="DQ93" s="293">
        <v>0</v>
      </c>
      <c r="DR93" s="293">
        <v>0</v>
      </c>
      <c r="DS93" s="258">
        <v>0</v>
      </c>
      <c r="DT93" s="258">
        <v>0</v>
      </c>
      <c r="DU93" s="258">
        <v>0</v>
      </c>
      <c r="DV93" s="258">
        <v>1</v>
      </c>
      <c r="DW93" s="258">
        <v>0</v>
      </c>
      <c r="DX93" s="258">
        <v>0</v>
      </c>
      <c r="DY93" s="258">
        <v>0</v>
      </c>
      <c r="DZ93" s="258">
        <v>0</v>
      </c>
      <c r="EA93" s="258">
        <v>0</v>
      </c>
      <c r="EB93" s="258">
        <v>0</v>
      </c>
      <c r="EC93" s="258">
        <v>0</v>
      </c>
      <c r="ED93" s="258">
        <v>0</v>
      </c>
      <c r="EE93" s="258">
        <v>0</v>
      </c>
      <c r="EF93" s="258">
        <v>0</v>
      </c>
      <c r="EG93" s="258">
        <v>0</v>
      </c>
      <c r="EH93" s="258">
        <v>2</v>
      </c>
      <c r="EI93" s="258">
        <v>0</v>
      </c>
      <c r="EJ93" s="258">
        <v>0</v>
      </c>
      <c r="EK93" s="301">
        <v>3</v>
      </c>
      <c r="EL93" s="287"/>
      <c r="EM93" s="300" t="s">
        <v>6</v>
      </c>
      <c r="EN93" s="293">
        <v>0</v>
      </c>
      <c r="EO93" s="293">
        <v>0</v>
      </c>
      <c r="EP93" s="258">
        <v>0</v>
      </c>
      <c r="EQ93" s="258">
        <v>0</v>
      </c>
      <c r="ER93" s="258">
        <v>0</v>
      </c>
      <c r="ES93" s="258">
        <v>1838.6579884312912</v>
      </c>
      <c r="ET93" s="258">
        <v>0</v>
      </c>
      <c r="EU93" s="258">
        <v>0</v>
      </c>
      <c r="EV93" s="258">
        <v>0</v>
      </c>
      <c r="EW93" s="258">
        <v>0</v>
      </c>
      <c r="EX93" s="258">
        <v>0</v>
      </c>
      <c r="EY93" s="258">
        <v>0</v>
      </c>
      <c r="EZ93" s="258">
        <v>0</v>
      </c>
      <c r="FA93" s="258">
        <v>0</v>
      </c>
      <c r="FB93" s="258">
        <v>0</v>
      </c>
      <c r="FC93" s="258">
        <v>0</v>
      </c>
      <c r="FD93" s="258">
        <v>0</v>
      </c>
      <c r="FE93" s="258">
        <v>0</v>
      </c>
      <c r="FF93" s="258">
        <v>0</v>
      </c>
      <c r="FG93" s="258">
        <v>0</v>
      </c>
      <c r="FH93" s="301">
        <v>1838.6579884312912</v>
      </c>
    </row>
    <row r="94" spans="2:164" x14ac:dyDescent="0.2">
      <c r="B94" s="217" t="s">
        <v>342</v>
      </c>
      <c r="C94" s="227">
        <v>0</v>
      </c>
      <c r="D94" s="228">
        <v>0</v>
      </c>
      <c r="E94" s="208">
        <v>0</v>
      </c>
      <c r="F94" s="208">
        <v>0</v>
      </c>
      <c r="G94" s="208">
        <v>0</v>
      </c>
      <c r="H94" s="208">
        <v>33</v>
      </c>
      <c r="I94" s="208">
        <v>12</v>
      </c>
      <c r="J94" s="208">
        <v>0</v>
      </c>
      <c r="K94" s="208">
        <v>2</v>
      </c>
      <c r="L94" s="208">
        <v>7</v>
      </c>
      <c r="M94" s="208">
        <v>1</v>
      </c>
      <c r="N94" s="208">
        <v>0</v>
      </c>
      <c r="O94" s="208">
        <v>0</v>
      </c>
      <c r="P94" s="208">
        <v>0</v>
      </c>
      <c r="Q94" s="208">
        <v>0</v>
      </c>
      <c r="R94" s="208">
        <v>1</v>
      </c>
      <c r="S94" s="208">
        <v>1</v>
      </c>
      <c r="T94" s="208">
        <v>0</v>
      </c>
      <c r="U94" s="208">
        <v>193</v>
      </c>
      <c r="V94" s="208">
        <v>6</v>
      </c>
      <c r="W94" s="222">
        <v>256</v>
      </c>
      <c r="X94" s="208"/>
      <c r="Y94" s="217" t="s">
        <v>342</v>
      </c>
      <c r="Z94" s="227">
        <v>0</v>
      </c>
      <c r="AA94" s="228">
        <v>0</v>
      </c>
      <c r="AB94" s="208">
        <v>0</v>
      </c>
      <c r="AC94" s="208">
        <v>0</v>
      </c>
      <c r="AD94" s="208">
        <v>0</v>
      </c>
      <c r="AE94" s="252">
        <v>29439.769122805585</v>
      </c>
      <c r="AF94" s="252">
        <v>85.090222968670275</v>
      </c>
      <c r="AG94" s="252">
        <v>0</v>
      </c>
      <c r="AH94" s="252">
        <v>70.878998119987941</v>
      </c>
      <c r="AI94" s="252">
        <v>141.41170576672531</v>
      </c>
      <c r="AJ94" s="252">
        <v>34.170866898400668</v>
      </c>
      <c r="AK94" s="208">
        <v>0</v>
      </c>
      <c r="AL94" s="208">
        <v>0</v>
      </c>
      <c r="AM94" s="208">
        <v>0</v>
      </c>
      <c r="AN94" s="208">
        <v>0</v>
      </c>
      <c r="AO94" s="208">
        <v>0</v>
      </c>
      <c r="AP94" s="208">
        <v>268.03464489800331</v>
      </c>
      <c r="AQ94" s="208">
        <v>0</v>
      </c>
      <c r="AR94" s="208">
        <v>29344.891032322259</v>
      </c>
      <c r="AS94" s="208">
        <v>27.242621914019715</v>
      </c>
      <c r="AT94" s="222">
        <v>59411.489215693648</v>
      </c>
      <c r="AV94" s="217" t="s">
        <v>341</v>
      </c>
      <c r="AW94" s="227">
        <f t="shared" si="196"/>
        <v>0</v>
      </c>
      <c r="AX94" s="227">
        <f t="shared" si="197"/>
        <v>0</v>
      </c>
      <c r="AY94" s="227">
        <f t="shared" si="198"/>
        <v>0</v>
      </c>
      <c r="AZ94" s="227">
        <f t="shared" si="187"/>
        <v>0</v>
      </c>
      <c r="BA94" s="227">
        <f t="shared" si="176"/>
        <v>0</v>
      </c>
      <c r="BB94" s="252">
        <v>0</v>
      </c>
      <c r="BC94" s="252">
        <v>0</v>
      </c>
      <c r="BD94" s="252">
        <v>0</v>
      </c>
      <c r="BE94" s="252">
        <v>0</v>
      </c>
      <c r="BF94" s="252">
        <v>0</v>
      </c>
      <c r="BG94" s="255">
        <v>0</v>
      </c>
      <c r="BH94" s="208">
        <f t="shared" si="200"/>
        <v>0</v>
      </c>
      <c r="BI94" s="208">
        <f t="shared" si="201"/>
        <v>0</v>
      </c>
      <c r="BJ94" s="208">
        <f t="shared" si="202"/>
        <v>0</v>
      </c>
      <c r="BK94" s="208">
        <f t="shared" si="203"/>
        <v>0</v>
      </c>
      <c r="BL94" s="208">
        <f t="shared" si="204"/>
        <v>0</v>
      </c>
      <c r="BM94" s="208">
        <f t="shared" si="205"/>
        <v>268.03464489800331</v>
      </c>
      <c r="BN94" s="208">
        <f t="shared" si="199"/>
        <v>0</v>
      </c>
      <c r="BO94" s="208">
        <f t="shared" si="194"/>
        <v>29344.891032322259</v>
      </c>
      <c r="BP94" s="208">
        <f t="shared" si="195"/>
        <v>27.242621914019715</v>
      </c>
      <c r="BQ94" s="230">
        <f t="shared" si="173"/>
        <v>29640.168299134279</v>
      </c>
      <c r="BR94" s="214"/>
      <c r="BS94" s="227"/>
      <c r="BT94" s="286"/>
      <c r="BU94" s="300" t="s">
        <v>342</v>
      </c>
      <c r="BV94" s="293">
        <v>0</v>
      </c>
      <c r="BW94" s="293">
        <v>0</v>
      </c>
      <c r="BX94" s="258">
        <v>0</v>
      </c>
      <c r="BY94" s="258">
        <v>0</v>
      </c>
      <c r="BZ94" s="258">
        <v>0</v>
      </c>
      <c r="CA94" s="258">
        <v>1</v>
      </c>
      <c r="CB94" s="258">
        <v>0</v>
      </c>
      <c r="CC94" s="258">
        <v>0</v>
      </c>
      <c r="CD94" s="258">
        <v>0</v>
      </c>
      <c r="CE94" s="258">
        <v>0</v>
      </c>
      <c r="CF94" s="258">
        <v>0</v>
      </c>
      <c r="CG94" s="258">
        <v>0</v>
      </c>
      <c r="CH94" s="258">
        <v>0</v>
      </c>
      <c r="CI94" s="258">
        <v>0</v>
      </c>
      <c r="CJ94" s="258">
        <v>0</v>
      </c>
      <c r="CK94" s="258">
        <v>0</v>
      </c>
      <c r="CL94" s="258">
        <v>0</v>
      </c>
      <c r="CM94" s="258">
        <v>0</v>
      </c>
      <c r="CN94" s="258">
        <v>10</v>
      </c>
      <c r="CO94" s="258">
        <v>0</v>
      </c>
      <c r="CP94" s="301">
        <v>11</v>
      </c>
      <c r="CQ94" s="302"/>
      <c r="CR94" s="300" t="s">
        <v>342</v>
      </c>
      <c r="CS94" s="293">
        <v>0</v>
      </c>
      <c r="CT94" s="293">
        <v>0</v>
      </c>
      <c r="CU94" s="258">
        <v>0</v>
      </c>
      <c r="CV94" s="258">
        <v>0</v>
      </c>
      <c r="CW94" s="258">
        <v>0</v>
      </c>
      <c r="CX94" s="258">
        <v>0</v>
      </c>
      <c r="CY94" s="258">
        <v>0</v>
      </c>
      <c r="CZ94" s="258">
        <v>0</v>
      </c>
      <c r="DA94" s="258">
        <v>0</v>
      </c>
      <c r="DB94" s="258">
        <v>0</v>
      </c>
      <c r="DC94" s="258">
        <v>0</v>
      </c>
      <c r="DD94" s="258">
        <v>0</v>
      </c>
      <c r="DE94" s="258">
        <v>0</v>
      </c>
      <c r="DF94" s="258">
        <v>0</v>
      </c>
      <c r="DG94" s="258">
        <v>0</v>
      </c>
      <c r="DH94" s="258">
        <v>0</v>
      </c>
      <c r="DI94" s="258">
        <v>0</v>
      </c>
      <c r="DJ94" s="258">
        <v>0</v>
      </c>
      <c r="DK94" s="258">
        <v>1899.8354430172537</v>
      </c>
      <c r="DL94" s="258">
        <v>0</v>
      </c>
      <c r="DM94" s="301">
        <v>1899.8354430172537</v>
      </c>
      <c r="DN94" s="302"/>
      <c r="DO94" s="302"/>
      <c r="DP94" s="300" t="s">
        <v>342</v>
      </c>
      <c r="DQ94" s="293">
        <v>0</v>
      </c>
      <c r="DR94" s="293">
        <v>0</v>
      </c>
      <c r="DS94" s="258">
        <v>0</v>
      </c>
      <c r="DT94" s="258">
        <v>0</v>
      </c>
      <c r="DU94" s="258">
        <v>0</v>
      </c>
      <c r="DV94" s="258">
        <v>1</v>
      </c>
      <c r="DW94" s="258">
        <v>0</v>
      </c>
      <c r="DX94" s="258">
        <v>0</v>
      </c>
      <c r="DY94" s="258">
        <v>1</v>
      </c>
      <c r="DZ94" s="258">
        <v>0</v>
      </c>
      <c r="EA94" s="258">
        <v>0</v>
      </c>
      <c r="EB94" s="258">
        <v>0</v>
      </c>
      <c r="EC94" s="258">
        <v>0</v>
      </c>
      <c r="ED94" s="258">
        <v>0</v>
      </c>
      <c r="EE94" s="258">
        <v>0</v>
      </c>
      <c r="EF94" s="258">
        <v>0</v>
      </c>
      <c r="EG94" s="258">
        <v>0</v>
      </c>
      <c r="EH94" s="258">
        <v>0</v>
      </c>
      <c r="EI94" s="258">
        <v>10</v>
      </c>
      <c r="EJ94" s="258">
        <v>0</v>
      </c>
      <c r="EK94" s="301">
        <v>12</v>
      </c>
      <c r="EL94" s="287"/>
      <c r="EM94" s="300" t="s">
        <v>342</v>
      </c>
      <c r="EN94" s="293">
        <v>0</v>
      </c>
      <c r="EO94" s="293">
        <v>0</v>
      </c>
      <c r="EP94" s="258">
        <v>0</v>
      </c>
      <c r="EQ94" s="258">
        <v>0</v>
      </c>
      <c r="ER94" s="258">
        <v>0</v>
      </c>
      <c r="ES94" s="258">
        <v>0</v>
      </c>
      <c r="ET94" s="258">
        <v>0</v>
      </c>
      <c r="EU94" s="258">
        <v>0</v>
      </c>
      <c r="EV94" s="258">
        <v>70.878998119987941</v>
      </c>
      <c r="EW94" s="258">
        <v>0</v>
      </c>
      <c r="EX94" s="258">
        <v>0</v>
      </c>
      <c r="EY94" s="258">
        <v>0</v>
      </c>
      <c r="EZ94" s="258">
        <v>0</v>
      </c>
      <c r="FA94" s="258">
        <v>0</v>
      </c>
      <c r="FB94" s="258">
        <v>0</v>
      </c>
      <c r="FC94" s="258">
        <v>0</v>
      </c>
      <c r="FD94" s="258">
        <v>0</v>
      </c>
      <c r="FE94" s="258">
        <v>0</v>
      </c>
      <c r="FF94" s="258">
        <v>1899.8354430172537</v>
      </c>
      <c r="FG94" s="258">
        <v>0</v>
      </c>
      <c r="FH94" s="301">
        <v>1970.7144411372417</v>
      </c>
    </row>
    <row r="95" spans="2:164" x14ac:dyDescent="0.2">
      <c r="B95" s="217" t="s">
        <v>343</v>
      </c>
      <c r="C95" s="227">
        <v>0</v>
      </c>
      <c r="D95" s="228">
        <v>0</v>
      </c>
      <c r="E95" s="208">
        <v>0</v>
      </c>
      <c r="F95" s="208">
        <v>0</v>
      </c>
      <c r="G95" s="208">
        <v>0</v>
      </c>
      <c r="H95" s="208">
        <v>1</v>
      </c>
      <c r="I95" s="208">
        <v>2</v>
      </c>
      <c r="J95" s="208">
        <v>0</v>
      </c>
      <c r="K95" s="208">
        <v>0</v>
      </c>
      <c r="L95" s="208">
        <v>3</v>
      </c>
      <c r="M95" s="208">
        <v>0</v>
      </c>
      <c r="N95" s="208">
        <v>0</v>
      </c>
      <c r="O95" s="208">
        <v>0</v>
      </c>
      <c r="P95" s="208">
        <v>0</v>
      </c>
      <c r="Q95" s="208">
        <v>0</v>
      </c>
      <c r="R95" s="208">
        <v>0</v>
      </c>
      <c r="S95" s="208">
        <v>0</v>
      </c>
      <c r="T95" s="208">
        <v>0</v>
      </c>
      <c r="U95" s="208">
        <v>0</v>
      </c>
      <c r="V95" s="208">
        <v>13</v>
      </c>
      <c r="W95" s="222">
        <v>19</v>
      </c>
      <c r="X95" s="208"/>
      <c r="Y95" s="217" t="s">
        <v>343</v>
      </c>
      <c r="Z95" s="227">
        <v>0</v>
      </c>
      <c r="AA95" s="228">
        <v>0</v>
      </c>
      <c r="AB95" s="208">
        <v>0</v>
      </c>
      <c r="AC95" s="208">
        <v>0</v>
      </c>
      <c r="AD95" s="208">
        <v>0</v>
      </c>
      <c r="AE95" s="208">
        <v>0</v>
      </c>
      <c r="AF95" s="208">
        <v>0</v>
      </c>
      <c r="AG95" s="208">
        <v>0</v>
      </c>
      <c r="AH95" s="208">
        <v>0</v>
      </c>
      <c r="AI95" s="208">
        <v>269.62484252375077</v>
      </c>
      <c r="AJ95" s="208">
        <v>0</v>
      </c>
      <c r="AK95" s="208">
        <v>0</v>
      </c>
      <c r="AL95" s="208">
        <v>0</v>
      </c>
      <c r="AM95" s="208">
        <v>0</v>
      </c>
      <c r="AN95" s="208">
        <v>0</v>
      </c>
      <c r="AO95" s="208">
        <v>0</v>
      </c>
      <c r="AP95" s="208">
        <v>0</v>
      </c>
      <c r="AQ95" s="208">
        <v>0</v>
      </c>
      <c r="AR95" s="208">
        <v>0</v>
      </c>
      <c r="AS95" s="208">
        <v>107.88056786821294</v>
      </c>
      <c r="AT95" s="222">
        <v>377.50541039196372</v>
      </c>
      <c r="AV95" s="217" t="s">
        <v>6</v>
      </c>
      <c r="AW95" s="227">
        <f t="shared" si="196"/>
        <v>0</v>
      </c>
      <c r="AX95" s="227">
        <f t="shared" si="197"/>
        <v>0</v>
      </c>
      <c r="AY95" s="227">
        <f t="shared" si="198"/>
        <v>0</v>
      </c>
      <c r="AZ95" s="227">
        <f t="shared" si="187"/>
        <v>0</v>
      </c>
      <c r="BA95" s="227">
        <f t="shared" si="176"/>
        <v>0</v>
      </c>
      <c r="BB95" s="227">
        <f t="shared" ref="BB95:BB97" si="206">AE95</f>
        <v>0</v>
      </c>
      <c r="BC95" s="227">
        <f t="shared" ref="BC95:BC97" si="207">AF95</f>
        <v>0</v>
      </c>
      <c r="BD95" s="227">
        <f t="shared" ref="BD95:BD97" si="208">AG95</f>
        <v>0</v>
      </c>
      <c r="BE95" s="227">
        <f t="shared" ref="BE95:BE97" si="209">AH95</f>
        <v>0</v>
      </c>
      <c r="BF95" s="208">
        <v>0</v>
      </c>
      <c r="BG95" s="208">
        <v>0</v>
      </c>
      <c r="BH95" s="208">
        <f t="shared" si="200"/>
        <v>0</v>
      </c>
      <c r="BI95" s="208">
        <f t="shared" si="201"/>
        <v>0</v>
      </c>
      <c r="BJ95" s="208">
        <f t="shared" si="202"/>
        <v>0</v>
      </c>
      <c r="BK95" s="208">
        <f t="shared" si="203"/>
        <v>0</v>
      </c>
      <c r="BL95" s="208">
        <f t="shared" si="204"/>
        <v>0</v>
      </c>
      <c r="BM95" s="208">
        <f t="shared" si="205"/>
        <v>0</v>
      </c>
      <c r="BN95" s="208">
        <f t="shared" si="199"/>
        <v>0</v>
      </c>
      <c r="BO95" s="208">
        <f t="shared" si="194"/>
        <v>0</v>
      </c>
      <c r="BP95" s="208">
        <f t="shared" si="195"/>
        <v>107.88056786821294</v>
      </c>
      <c r="BQ95" s="230">
        <f t="shared" si="173"/>
        <v>107.88056786821294</v>
      </c>
      <c r="BR95" s="214"/>
      <c r="BS95" s="227"/>
      <c r="BT95" s="286"/>
      <c r="BU95" s="300" t="s">
        <v>343</v>
      </c>
      <c r="BV95" s="293">
        <v>0</v>
      </c>
      <c r="BW95" s="293">
        <v>0</v>
      </c>
      <c r="BX95" s="258">
        <v>0</v>
      </c>
      <c r="BY95" s="258">
        <v>0</v>
      </c>
      <c r="BZ95" s="258">
        <v>0</v>
      </c>
      <c r="CA95" s="258">
        <v>0</v>
      </c>
      <c r="CB95" s="258">
        <v>0</v>
      </c>
      <c r="CC95" s="258">
        <v>0</v>
      </c>
      <c r="CD95" s="258">
        <v>0</v>
      </c>
      <c r="CE95" s="258">
        <v>0</v>
      </c>
      <c r="CF95" s="258">
        <v>0</v>
      </c>
      <c r="CG95" s="258">
        <v>0</v>
      </c>
      <c r="CH95" s="258">
        <v>0</v>
      </c>
      <c r="CI95" s="258">
        <v>0</v>
      </c>
      <c r="CJ95" s="258">
        <v>0</v>
      </c>
      <c r="CK95" s="258">
        <v>0</v>
      </c>
      <c r="CL95" s="258">
        <v>0</v>
      </c>
      <c r="CM95" s="258">
        <v>0</v>
      </c>
      <c r="CN95" s="258">
        <v>0</v>
      </c>
      <c r="CO95" s="258">
        <v>0</v>
      </c>
      <c r="CP95" s="301">
        <v>0</v>
      </c>
      <c r="CQ95" s="302"/>
      <c r="CR95" s="300" t="s">
        <v>343</v>
      </c>
      <c r="CS95" s="293">
        <v>0</v>
      </c>
      <c r="CT95" s="293">
        <v>0</v>
      </c>
      <c r="CU95" s="258">
        <v>0</v>
      </c>
      <c r="CV95" s="258">
        <v>0</v>
      </c>
      <c r="CW95" s="258">
        <v>0</v>
      </c>
      <c r="CX95" s="258">
        <v>0</v>
      </c>
      <c r="CY95" s="258">
        <v>0</v>
      </c>
      <c r="CZ95" s="258">
        <v>0</v>
      </c>
      <c r="DA95" s="258">
        <v>0</v>
      </c>
      <c r="DB95" s="258">
        <v>0</v>
      </c>
      <c r="DC95" s="258">
        <v>0</v>
      </c>
      <c r="DD95" s="258">
        <v>0</v>
      </c>
      <c r="DE95" s="258">
        <v>0</v>
      </c>
      <c r="DF95" s="258">
        <v>0</v>
      </c>
      <c r="DG95" s="258">
        <v>0</v>
      </c>
      <c r="DH95" s="258">
        <v>0</v>
      </c>
      <c r="DI95" s="258">
        <v>0</v>
      </c>
      <c r="DJ95" s="258">
        <v>0</v>
      </c>
      <c r="DK95" s="258">
        <v>0</v>
      </c>
      <c r="DL95" s="258">
        <v>0</v>
      </c>
      <c r="DM95" s="301">
        <v>0</v>
      </c>
      <c r="DN95" s="302"/>
      <c r="DO95" s="302"/>
      <c r="DP95" s="300" t="s">
        <v>343</v>
      </c>
      <c r="DQ95" s="293">
        <v>0</v>
      </c>
      <c r="DR95" s="293">
        <v>0</v>
      </c>
      <c r="DS95" s="258">
        <v>0</v>
      </c>
      <c r="DT95" s="258">
        <v>0</v>
      </c>
      <c r="DU95" s="258">
        <v>0</v>
      </c>
      <c r="DV95" s="258">
        <v>0</v>
      </c>
      <c r="DW95" s="258">
        <v>0</v>
      </c>
      <c r="DX95" s="258">
        <v>0</v>
      </c>
      <c r="DY95" s="258">
        <v>0</v>
      </c>
      <c r="DZ95" s="258">
        <v>0</v>
      </c>
      <c r="EA95" s="258">
        <v>0</v>
      </c>
      <c r="EB95" s="258">
        <v>0</v>
      </c>
      <c r="EC95" s="258">
        <v>0</v>
      </c>
      <c r="ED95" s="258">
        <v>0</v>
      </c>
      <c r="EE95" s="258">
        <v>0</v>
      </c>
      <c r="EF95" s="258">
        <v>0</v>
      </c>
      <c r="EG95" s="258">
        <v>0</v>
      </c>
      <c r="EH95" s="258">
        <v>0</v>
      </c>
      <c r="EI95" s="258">
        <v>0</v>
      </c>
      <c r="EJ95" s="258">
        <v>0</v>
      </c>
      <c r="EK95" s="301">
        <v>0</v>
      </c>
      <c r="EL95" s="287"/>
      <c r="EM95" s="300" t="s">
        <v>343</v>
      </c>
      <c r="EN95" s="293">
        <v>0</v>
      </c>
      <c r="EO95" s="293">
        <v>0</v>
      </c>
      <c r="EP95" s="258">
        <v>0</v>
      </c>
      <c r="EQ95" s="258">
        <v>0</v>
      </c>
      <c r="ER95" s="258">
        <v>0</v>
      </c>
      <c r="ES95" s="258">
        <v>0</v>
      </c>
      <c r="ET95" s="258">
        <v>0</v>
      </c>
      <c r="EU95" s="258">
        <v>0</v>
      </c>
      <c r="EV95" s="258">
        <v>0</v>
      </c>
      <c r="EW95" s="258">
        <v>0</v>
      </c>
      <c r="EX95" s="258">
        <v>0</v>
      </c>
      <c r="EY95" s="258">
        <v>0</v>
      </c>
      <c r="EZ95" s="258">
        <v>0</v>
      </c>
      <c r="FA95" s="258">
        <v>0</v>
      </c>
      <c r="FB95" s="258">
        <v>0</v>
      </c>
      <c r="FC95" s="258">
        <v>0</v>
      </c>
      <c r="FD95" s="258">
        <v>0</v>
      </c>
      <c r="FE95" s="258">
        <v>0</v>
      </c>
      <c r="FF95" s="258">
        <v>0</v>
      </c>
      <c r="FG95" s="258">
        <v>0</v>
      </c>
      <c r="FH95" s="301">
        <v>0</v>
      </c>
    </row>
    <row r="96" spans="2:164" x14ac:dyDescent="0.2">
      <c r="B96" s="217" t="s">
        <v>346</v>
      </c>
      <c r="C96" s="227">
        <v>0</v>
      </c>
      <c r="D96" s="228">
        <v>0</v>
      </c>
      <c r="E96" s="208">
        <v>0</v>
      </c>
      <c r="F96" s="208">
        <v>0</v>
      </c>
      <c r="G96" s="208">
        <v>0</v>
      </c>
      <c r="H96" s="208">
        <v>0</v>
      </c>
      <c r="I96" s="208">
        <v>0</v>
      </c>
      <c r="J96" s="208">
        <v>2</v>
      </c>
      <c r="K96" s="208">
        <v>1</v>
      </c>
      <c r="L96" s="208">
        <v>0</v>
      </c>
      <c r="M96" s="208">
        <v>0</v>
      </c>
      <c r="N96" s="208">
        <v>0</v>
      </c>
      <c r="O96" s="208">
        <v>0</v>
      </c>
      <c r="P96" s="208">
        <v>0</v>
      </c>
      <c r="Q96" s="208">
        <v>0</v>
      </c>
      <c r="R96" s="208">
        <v>0</v>
      </c>
      <c r="S96" s="208">
        <v>0</v>
      </c>
      <c r="T96" s="208">
        <v>0</v>
      </c>
      <c r="U96" s="208">
        <v>0</v>
      </c>
      <c r="V96" s="208">
        <v>0</v>
      </c>
      <c r="W96" s="222">
        <v>3</v>
      </c>
      <c r="X96" s="208"/>
      <c r="Y96" s="217" t="s">
        <v>346</v>
      </c>
      <c r="Z96" s="227">
        <v>0</v>
      </c>
      <c r="AA96" s="228">
        <v>0</v>
      </c>
      <c r="AB96" s="208">
        <v>0</v>
      </c>
      <c r="AC96" s="208">
        <v>0</v>
      </c>
      <c r="AD96" s="208">
        <v>0</v>
      </c>
      <c r="AE96" s="208">
        <v>0</v>
      </c>
      <c r="AF96" s="208">
        <v>0</v>
      </c>
      <c r="AG96" s="208">
        <v>75.504591300332166</v>
      </c>
      <c r="AH96" s="208">
        <v>119.09138547848437</v>
      </c>
      <c r="AI96" s="208">
        <v>0</v>
      </c>
      <c r="AJ96" s="208">
        <v>0</v>
      </c>
      <c r="AK96" s="208">
        <v>0</v>
      </c>
      <c r="AL96" s="208">
        <v>0</v>
      </c>
      <c r="AM96" s="208">
        <v>0</v>
      </c>
      <c r="AN96" s="208">
        <v>0</v>
      </c>
      <c r="AO96" s="208">
        <v>0</v>
      </c>
      <c r="AP96" s="208">
        <v>0</v>
      </c>
      <c r="AQ96" s="208">
        <v>0</v>
      </c>
      <c r="AR96" s="208">
        <v>0</v>
      </c>
      <c r="AS96" s="208">
        <v>0</v>
      </c>
      <c r="AT96" s="222">
        <v>194.59597677881652</v>
      </c>
      <c r="AV96" s="217" t="s">
        <v>342</v>
      </c>
      <c r="AW96" s="227">
        <f t="shared" si="196"/>
        <v>0</v>
      </c>
      <c r="AX96" s="227">
        <f t="shared" si="197"/>
        <v>0</v>
      </c>
      <c r="AY96" s="227">
        <f t="shared" si="198"/>
        <v>0</v>
      </c>
      <c r="AZ96" s="227">
        <f t="shared" si="187"/>
        <v>0</v>
      </c>
      <c r="BA96" s="227">
        <f t="shared" si="176"/>
        <v>0</v>
      </c>
      <c r="BB96" s="227">
        <f t="shared" si="206"/>
        <v>0</v>
      </c>
      <c r="BC96" s="227">
        <f t="shared" si="207"/>
        <v>0</v>
      </c>
      <c r="BD96" s="227">
        <f t="shared" si="208"/>
        <v>75.504591300332166</v>
      </c>
      <c r="BE96" s="227">
        <f t="shared" si="209"/>
        <v>119.09138547848437</v>
      </c>
      <c r="BF96" s="227">
        <f t="shared" ref="BF96:BF97" si="210">AI96</f>
        <v>0</v>
      </c>
      <c r="BG96" s="227">
        <f t="shared" ref="BG96:BG97" si="211">AJ96</f>
        <v>0</v>
      </c>
      <c r="BH96" s="208">
        <f t="shared" si="200"/>
        <v>0</v>
      </c>
      <c r="BI96" s="208">
        <f t="shared" si="201"/>
        <v>0</v>
      </c>
      <c r="BJ96" s="208">
        <f t="shared" si="202"/>
        <v>0</v>
      </c>
      <c r="BK96" s="208">
        <f t="shared" si="203"/>
        <v>0</v>
      </c>
      <c r="BL96" s="208">
        <f t="shared" si="204"/>
        <v>0</v>
      </c>
      <c r="BM96" s="208">
        <f t="shared" si="205"/>
        <v>0</v>
      </c>
      <c r="BN96" s="208">
        <f t="shared" si="199"/>
        <v>0</v>
      </c>
      <c r="BO96" s="208">
        <f t="shared" si="194"/>
        <v>0</v>
      </c>
      <c r="BP96" s="208">
        <f t="shared" si="195"/>
        <v>0</v>
      </c>
      <c r="BQ96" s="230">
        <f t="shared" si="173"/>
        <v>194.59597677881652</v>
      </c>
      <c r="BR96" s="214"/>
      <c r="BS96" s="227"/>
      <c r="BT96" s="286"/>
      <c r="BU96" s="300" t="s">
        <v>346</v>
      </c>
      <c r="BV96" s="293">
        <v>0</v>
      </c>
      <c r="BW96" s="293">
        <v>0</v>
      </c>
      <c r="BX96" s="258">
        <v>0</v>
      </c>
      <c r="BY96" s="258">
        <v>0</v>
      </c>
      <c r="BZ96" s="258">
        <v>0</v>
      </c>
      <c r="CA96" s="258">
        <v>0</v>
      </c>
      <c r="CB96" s="258">
        <v>0</v>
      </c>
      <c r="CC96" s="258">
        <v>0</v>
      </c>
      <c r="CD96" s="258">
        <v>1</v>
      </c>
      <c r="CE96" s="258">
        <v>0</v>
      </c>
      <c r="CF96" s="258">
        <v>0</v>
      </c>
      <c r="CG96" s="258">
        <v>0</v>
      </c>
      <c r="CH96" s="258">
        <v>0</v>
      </c>
      <c r="CI96" s="258">
        <v>0</v>
      </c>
      <c r="CJ96" s="258">
        <v>0</v>
      </c>
      <c r="CK96" s="258">
        <v>0</v>
      </c>
      <c r="CL96" s="258">
        <v>0</v>
      </c>
      <c r="CM96" s="258">
        <v>0</v>
      </c>
      <c r="CN96" s="258">
        <v>0</v>
      </c>
      <c r="CO96" s="258">
        <v>0</v>
      </c>
      <c r="CP96" s="301">
        <v>1</v>
      </c>
      <c r="CQ96" s="302"/>
      <c r="CR96" s="300" t="s">
        <v>346</v>
      </c>
      <c r="CS96" s="293">
        <v>0</v>
      </c>
      <c r="CT96" s="293">
        <v>0</v>
      </c>
      <c r="CU96" s="258">
        <v>0</v>
      </c>
      <c r="CV96" s="258">
        <v>0</v>
      </c>
      <c r="CW96" s="258">
        <v>0</v>
      </c>
      <c r="CX96" s="258">
        <v>0</v>
      </c>
      <c r="CY96" s="258">
        <v>0</v>
      </c>
      <c r="CZ96" s="258">
        <v>0</v>
      </c>
      <c r="DA96" s="258">
        <v>119.09138547848437</v>
      </c>
      <c r="DB96" s="258">
        <v>0</v>
      </c>
      <c r="DC96" s="258">
        <v>0</v>
      </c>
      <c r="DD96" s="258">
        <v>0</v>
      </c>
      <c r="DE96" s="258">
        <v>0</v>
      </c>
      <c r="DF96" s="258">
        <v>0</v>
      </c>
      <c r="DG96" s="258">
        <v>0</v>
      </c>
      <c r="DH96" s="258">
        <v>0</v>
      </c>
      <c r="DI96" s="258">
        <v>0</v>
      </c>
      <c r="DJ96" s="258">
        <v>0</v>
      </c>
      <c r="DK96" s="258">
        <v>0</v>
      </c>
      <c r="DL96" s="258">
        <v>0</v>
      </c>
      <c r="DM96" s="301">
        <v>119.09138547848437</v>
      </c>
      <c r="DN96" s="302"/>
      <c r="DO96" s="302"/>
      <c r="DP96" s="300" t="s">
        <v>346</v>
      </c>
      <c r="DQ96" s="293">
        <v>0</v>
      </c>
      <c r="DR96" s="293">
        <v>0</v>
      </c>
      <c r="DS96" s="258">
        <v>0</v>
      </c>
      <c r="DT96" s="258">
        <v>0</v>
      </c>
      <c r="DU96" s="258">
        <v>0</v>
      </c>
      <c r="DV96" s="258">
        <v>0</v>
      </c>
      <c r="DW96" s="258">
        <v>0</v>
      </c>
      <c r="DX96" s="258">
        <v>0</v>
      </c>
      <c r="DY96" s="258">
        <v>1</v>
      </c>
      <c r="DZ96" s="258">
        <v>0</v>
      </c>
      <c r="EA96" s="258">
        <v>0</v>
      </c>
      <c r="EB96" s="258">
        <v>0</v>
      </c>
      <c r="EC96" s="258">
        <v>0</v>
      </c>
      <c r="ED96" s="258">
        <v>0</v>
      </c>
      <c r="EE96" s="258">
        <v>0</v>
      </c>
      <c r="EF96" s="258">
        <v>0</v>
      </c>
      <c r="EG96" s="258">
        <v>0</v>
      </c>
      <c r="EH96" s="258">
        <v>0</v>
      </c>
      <c r="EI96" s="258">
        <v>0</v>
      </c>
      <c r="EJ96" s="258">
        <v>0</v>
      </c>
      <c r="EK96" s="301">
        <v>1</v>
      </c>
      <c r="EL96" s="287"/>
      <c r="EM96" s="300" t="s">
        <v>346</v>
      </c>
      <c r="EN96" s="293">
        <v>0</v>
      </c>
      <c r="EO96" s="293">
        <v>0</v>
      </c>
      <c r="EP96" s="258">
        <v>0</v>
      </c>
      <c r="EQ96" s="258">
        <v>0</v>
      </c>
      <c r="ER96" s="258">
        <v>0</v>
      </c>
      <c r="ES96" s="258">
        <v>0</v>
      </c>
      <c r="ET96" s="258">
        <v>0</v>
      </c>
      <c r="EU96" s="258">
        <v>0</v>
      </c>
      <c r="EV96" s="258">
        <v>119.09138547848437</v>
      </c>
      <c r="EW96" s="258">
        <v>0</v>
      </c>
      <c r="EX96" s="258">
        <v>0</v>
      </c>
      <c r="EY96" s="258">
        <v>0</v>
      </c>
      <c r="EZ96" s="258">
        <v>0</v>
      </c>
      <c r="FA96" s="258">
        <v>0</v>
      </c>
      <c r="FB96" s="258">
        <v>0</v>
      </c>
      <c r="FC96" s="258">
        <v>0</v>
      </c>
      <c r="FD96" s="258">
        <v>0</v>
      </c>
      <c r="FE96" s="258">
        <v>0</v>
      </c>
      <c r="FF96" s="258">
        <v>0</v>
      </c>
      <c r="FG96" s="258">
        <v>0</v>
      </c>
      <c r="FH96" s="301">
        <v>119.09138547848437</v>
      </c>
    </row>
    <row r="97" spans="2:164" x14ac:dyDescent="0.2">
      <c r="B97" s="217" t="s">
        <v>347</v>
      </c>
      <c r="C97" s="227">
        <v>0</v>
      </c>
      <c r="D97" s="228">
        <v>0</v>
      </c>
      <c r="E97" s="208">
        <v>0</v>
      </c>
      <c r="F97" s="208">
        <v>0</v>
      </c>
      <c r="G97" s="208">
        <v>0</v>
      </c>
      <c r="H97" s="208">
        <v>0</v>
      </c>
      <c r="I97" s="208">
        <v>0</v>
      </c>
      <c r="J97" s="208">
        <v>0</v>
      </c>
      <c r="K97" s="208">
        <v>0</v>
      </c>
      <c r="L97" s="208">
        <v>0</v>
      </c>
      <c r="M97" s="208">
        <v>0</v>
      </c>
      <c r="N97" s="208">
        <v>0</v>
      </c>
      <c r="O97" s="208">
        <v>0</v>
      </c>
      <c r="P97" s="208">
        <v>3</v>
      </c>
      <c r="Q97" s="208">
        <v>0</v>
      </c>
      <c r="R97" s="208">
        <v>0</v>
      </c>
      <c r="S97" s="208">
        <v>0</v>
      </c>
      <c r="T97" s="208">
        <v>0</v>
      </c>
      <c r="U97" s="208">
        <v>0</v>
      </c>
      <c r="V97" s="208">
        <v>0</v>
      </c>
      <c r="W97" s="222">
        <v>3</v>
      </c>
      <c r="X97" s="208"/>
      <c r="Y97" s="217" t="s">
        <v>347</v>
      </c>
      <c r="Z97" s="227">
        <v>0</v>
      </c>
      <c r="AA97" s="228">
        <v>0</v>
      </c>
      <c r="AB97" s="208">
        <v>0</v>
      </c>
      <c r="AC97" s="208">
        <v>0</v>
      </c>
      <c r="AD97" s="208">
        <v>0</v>
      </c>
      <c r="AE97" s="208">
        <v>0</v>
      </c>
      <c r="AF97" s="208">
        <v>0</v>
      </c>
      <c r="AG97" s="208">
        <v>0</v>
      </c>
      <c r="AH97" s="208">
        <v>0</v>
      </c>
      <c r="AI97" s="208">
        <v>0</v>
      </c>
      <c r="AJ97" s="208">
        <v>0</v>
      </c>
      <c r="AK97" s="208">
        <v>0</v>
      </c>
      <c r="AL97" s="208">
        <v>0</v>
      </c>
      <c r="AM97" s="208">
        <v>37.821318843465583</v>
      </c>
      <c r="AN97" s="208">
        <v>0</v>
      </c>
      <c r="AO97" s="208">
        <v>0</v>
      </c>
      <c r="AP97" s="208">
        <v>0</v>
      </c>
      <c r="AQ97" s="208">
        <v>0</v>
      </c>
      <c r="AR97" s="208">
        <v>0</v>
      </c>
      <c r="AS97" s="208">
        <v>0</v>
      </c>
      <c r="AT97" s="222">
        <v>37.821318843465583</v>
      </c>
      <c r="AV97" s="217" t="s">
        <v>343</v>
      </c>
      <c r="AW97" s="227">
        <f t="shared" si="196"/>
        <v>0</v>
      </c>
      <c r="AX97" s="227">
        <f t="shared" si="197"/>
        <v>0</v>
      </c>
      <c r="AY97" s="227">
        <f t="shared" si="198"/>
        <v>0</v>
      </c>
      <c r="AZ97" s="227">
        <f t="shared" si="187"/>
        <v>0</v>
      </c>
      <c r="BA97" s="227">
        <f t="shared" si="176"/>
        <v>0</v>
      </c>
      <c r="BB97" s="227">
        <f t="shared" si="206"/>
        <v>0</v>
      </c>
      <c r="BC97" s="227">
        <f t="shared" si="207"/>
        <v>0</v>
      </c>
      <c r="BD97" s="227">
        <f t="shared" si="208"/>
        <v>0</v>
      </c>
      <c r="BE97" s="227">
        <f t="shared" si="209"/>
        <v>0</v>
      </c>
      <c r="BF97" s="227">
        <f t="shared" si="210"/>
        <v>0</v>
      </c>
      <c r="BG97" s="227">
        <f t="shared" si="211"/>
        <v>0</v>
      </c>
      <c r="BH97" s="208">
        <f t="shared" si="200"/>
        <v>0</v>
      </c>
      <c r="BI97" s="208">
        <f t="shared" si="201"/>
        <v>0</v>
      </c>
      <c r="BJ97" s="208">
        <f t="shared" si="202"/>
        <v>37.821318843465583</v>
      </c>
      <c r="BK97" s="208">
        <f t="shared" si="203"/>
        <v>0</v>
      </c>
      <c r="BL97" s="208">
        <f t="shared" si="204"/>
        <v>0</v>
      </c>
      <c r="BM97" s="208">
        <f t="shared" si="205"/>
        <v>0</v>
      </c>
      <c r="BN97" s="208">
        <f t="shared" si="199"/>
        <v>0</v>
      </c>
      <c r="BO97" s="208">
        <f t="shared" si="194"/>
        <v>0</v>
      </c>
      <c r="BP97" s="208">
        <f t="shared" si="195"/>
        <v>0</v>
      </c>
      <c r="BQ97" s="222">
        <f t="shared" si="173"/>
        <v>37.821318843465583</v>
      </c>
      <c r="BR97" s="214"/>
      <c r="BS97" s="227"/>
      <c r="BT97" s="286"/>
      <c r="BU97" s="300" t="s">
        <v>347</v>
      </c>
      <c r="BV97" s="293">
        <v>0</v>
      </c>
      <c r="BW97" s="293">
        <v>0</v>
      </c>
      <c r="BX97" s="258">
        <v>0</v>
      </c>
      <c r="BY97" s="258">
        <v>0</v>
      </c>
      <c r="BZ97" s="258">
        <v>0</v>
      </c>
      <c r="CA97" s="258">
        <v>0</v>
      </c>
      <c r="CB97" s="258">
        <v>0</v>
      </c>
      <c r="CC97" s="258">
        <v>0</v>
      </c>
      <c r="CD97" s="258">
        <v>0</v>
      </c>
      <c r="CE97" s="258">
        <v>0</v>
      </c>
      <c r="CF97" s="258">
        <v>0</v>
      </c>
      <c r="CG97" s="258">
        <v>0</v>
      </c>
      <c r="CH97" s="258">
        <v>0</v>
      </c>
      <c r="CI97" s="258">
        <v>0</v>
      </c>
      <c r="CJ97" s="258">
        <v>0</v>
      </c>
      <c r="CK97" s="258">
        <v>0</v>
      </c>
      <c r="CL97" s="258">
        <v>0</v>
      </c>
      <c r="CM97" s="258">
        <v>0</v>
      </c>
      <c r="CN97" s="258">
        <v>0</v>
      </c>
      <c r="CO97" s="258">
        <v>0</v>
      </c>
      <c r="CP97" s="301">
        <v>0</v>
      </c>
      <c r="CQ97" s="302"/>
      <c r="CR97" s="300" t="s">
        <v>347</v>
      </c>
      <c r="CS97" s="293">
        <v>0</v>
      </c>
      <c r="CT97" s="293">
        <v>0</v>
      </c>
      <c r="CU97" s="258">
        <v>0</v>
      </c>
      <c r="CV97" s="258">
        <v>0</v>
      </c>
      <c r="CW97" s="258">
        <v>0</v>
      </c>
      <c r="CX97" s="258">
        <v>0</v>
      </c>
      <c r="CY97" s="258">
        <v>0</v>
      </c>
      <c r="CZ97" s="258">
        <v>0</v>
      </c>
      <c r="DA97" s="258">
        <v>0</v>
      </c>
      <c r="DB97" s="258">
        <v>0</v>
      </c>
      <c r="DC97" s="258">
        <v>0</v>
      </c>
      <c r="DD97" s="258">
        <v>0</v>
      </c>
      <c r="DE97" s="258">
        <v>0</v>
      </c>
      <c r="DF97" s="258">
        <v>0</v>
      </c>
      <c r="DG97" s="258">
        <v>0</v>
      </c>
      <c r="DH97" s="258">
        <v>0</v>
      </c>
      <c r="DI97" s="258">
        <v>0</v>
      </c>
      <c r="DJ97" s="258">
        <v>0</v>
      </c>
      <c r="DK97" s="258">
        <v>0</v>
      </c>
      <c r="DL97" s="258">
        <v>0</v>
      </c>
      <c r="DM97" s="301">
        <v>0</v>
      </c>
      <c r="DN97" s="302"/>
      <c r="DO97" s="302"/>
      <c r="DP97" s="300" t="s">
        <v>347</v>
      </c>
      <c r="DQ97" s="293">
        <v>0</v>
      </c>
      <c r="DR97" s="293">
        <v>0</v>
      </c>
      <c r="DS97" s="258">
        <v>0</v>
      </c>
      <c r="DT97" s="258">
        <v>0</v>
      </c>
      <c r="DU97" s="258">
        <v>0</v>
      </c>
      <c r="DV97" s="258">
        <v>0</v>
      </c>
      <c r="DW97" s="258">
        <v>0</v>
      </c>
      <c r="DX97" s="258">
        <v>0</v>
      </c>
      <c r="DY97" s="258">
        <v>0</v>
      </c>
      <c r="DZ97" s="258">
        <v>0</v>
      </c>
      <c r="EA97" s="258">
        <v>0</v>
      </c>
      <c r="EB97" s="258">
        <v>0</v>
      </c>
      <c r="EC97" s="258">
        <v>0</v>
      </c>
      <c r="ED97" s="258">
        <v>3</v>
      </c>
      <c r="EE97" s="258">
        <v>0</v>
      </c>
      <c r="EF97" s="258">
        <v>0</v>
      </c>
      <c r="EG97" s="258">
        <v>0</v>
      </c>
      <c r="EH97" s="258">
        <v>0</v>
      </c>
      <c r="EI97" s="258">
        <v>0</v>
      </c>
      <c r="EJ97" s="258">
        <v>0</v>
      </c>
      <c r="EK97" s="301">
        <v>3</v>
      </c>
      <c r="EL97" s="287"/>
      <c r="EM97" s="300" t="s">
        <v>347</v>
      </c>
      <c r="EN97" s="293">
        <v>0</v>
      </c>
      <c r="EO97" s="293">
        <v>0</v>
      </c>
      <c r="EP97" s="258">
        <v>0</v>
      </c>
      <c r="EQ97" s="258">
        <v>0</v>
      </c>
      <c r="ER97" s="258">
        <v>0</v>
      </c>
      <c r="ES97" s="258">
        <v>0</v>
      </c>
      <c r="ET97" s="258">
        <v>0</v>
      </c>
      <c r="EU97" s="258">
        <v>0</v>
      </c>
      <c r="EV97" s="258">
        <v>0</v>
      </c>
      <c r="EW97" s="258">
        <v>0</v>
      </c>
      <c r="EX97" s="258">
        <v>0</v>
      </c>
      <c r="EY97" s="258">
        <v>0</v>
      </c>
      <c r="EZ97" s="258">
        <v>0</v>
      </c>
      <c r="FA97" s="258">
        <v>37.821318843465583</v>
      </c>
      <c r="FB97" s="258">
        <v>0</v>
      </c>
      <c r="FC97" s="258">
        <v>0</v>
      </c>
      <c r="FD97" s="258">
        <v>0</v>
      </c>
      <c r="FE97" s="258">
        <v>0</v>
      </c>
      <c r="FF97" s="258">
        <v>0</v>
      </c>
      <c r="FG97" s="258">
        <v>0</v>
      </c>
      <c r="FH97" s="301">
        <v>37.821318843465583</v>
      </c>
    </row>
    <row r="98" spans="2:164" x14ac:dyDescent="0.2">
      <c r="B98" s="218" t="s">
        <v>7</v>
      </c>
      <c r="C98" s="219">
        <v>23163</v>
      </c>
      <c r="D98" s="220">
        <v>18730</v>
      </c>
      <c r="E98" s="221">
        <v>9645</v>
      </c>
      <c r="F98" s="221">
        <v>7741</v>
      </c>
      <c r="G98" s="221">
        <v>1550</v>
      </c>
      <c r="H98" s="221">
        <v>1633</v>
      </c>
      <c r="I98" s="221">
        <v>517</v>
      </c>
      <c r="J98" s="221">
        <v>5</v>
      </c>
      <c r="K98" s="221">
        <v>100</v>
      </c>
      <c r="L98" s="221">
        <v>342</v>
      </c>
      <c r="M98" s="221">
        <v>64</v>
      </c>
      <c r="N98" s="221">
        <v>19</v>
      </c>
      <c r="O98" s="221">
        <v>36</v>
      </c>
      <c r="P98" s="221">
        <v>8</v>
      </c>
      <c r="Q98" s="221">
        <v>5</v>
      </c>
      <c r="R98" s="221">
        <v>76</v>
      </c>
      <c r="S98" s="221">
        <v>25</v>
      </c>
      <c r="T98" s="221">
        <v>32</v>
      </c>
      <c r="U98" s="221">
        <v>361</v>
      </c>
      <c r="V98" s="221">
        <v>23</v>
      </c>
      <c r="W98" s="223">
        <v>64075</v>
      </c>
      <c r="X98" s="208"/>
      <c r="Y98" s="218" t="s">
        <v>7</v>
      </c>
      <c r="Z98" s="219">
        <v>2795540.0529722413</v>
      </c>
      <c r="AA98" s="220">
        <v>3066390.5332639976</v>
      </c>
      <c r="AB98" s="221">
        <v>2023275.011459942</v>
      </c>
      <c r="AC98" s="221">
        <v>655062.87354914041</v>
      </c>
      <c r="AD98" s="221">
        <v>167934.25073216157</v>
      </c>
      <c r="AE98" s="221">
        <v>259435.66240877673</v>
      </c>
      <c r="AF98" s="221">
        <v>30157.097046036586</v>
      </c>
      <c r="AG98" s="221">
        <v>151.00918260066433</v>
      </c>
      <c r="AH98" s="221">
        <v>5333.304700732564</v>
      </c>
      <c r="AI98" s="221">
        <v>33942.601829494466</v>
      </c>
      <c r="AJ98" s="221">
        <v>5614.4707202317977</v>
      </c>
      <c r="AK98" s="221">
        <v>2794.6032456317589</v>
      </c>
      <c r="AL98" s="221">
        <v>1030.7401511994735</v>
      </c>
      <c r="AM98" s="221">
        <v>94.553297108663969</v>
      </c>
      <c r="AN98" s="221">
        <v>821.10610288663634</v>
      </c>
      <c r="AO98" s="221">
        <v>8370.0574332860924</v>
      </c>
      <c r="AP98" s="221">
        <v>2820.3956910379584</v>
      </c>
      <c r="AQ98" s="221">
        <v>1431.3501377074981</v>
      </c>
      <c r="AR98" s="221">
        <v>69451.060782850007</v>
      </c>
      <c r="AS98" s="221">
        <v>232.27120051913744</v>
      </c>
      <c r="AT98" s="223">
        <v>9129883.005907584</v>
      </c>
      <c r="AU98" s="227"/>
      <c r="AV98" s="218" t="s">
        <v>7</v>
      </c>
      <c r="AW98" s="254">
        <f>SUM(AW78:AW97)</f>
        <v>2794996.2159500271</v>
      </c>
      <c r="AX98" s="254">
        <f t="shared" ref="AX98" si="212">SUM(AX78:AX97)</f>
        <v>3062917.2310593883</v>
      </c>
      <c r="AY98" s="254">
        <f t="shared" ref="AY98" si="213">SUM(AY78:AY97)</f>
        <v>2023275.0114599417</v>
      </c>
      <c r="AZ98" s="254">
        <f t="shared" ref="AZ98" si="214">SUM(AZ78:AZ97)</f>
        <v>654895.61225933162</v>
      </c>
      <c r="BA98" s="254">
        <f t="shared" ref="BA98" si="215">SUM(BA78:BA97)</f>
        <v>167918.46231532734</v>
      </c>
      <c r="BB98" s="254">
        <f t="shared" ref="BB98" si="216">SUM(BB78:BB97)</f>
        <v>163047.11944788619</v>
      </c>
      <c r="BC98" s="254">
        <f t="shared" ref="BC98" si="217">SUM(BC78:BC97)</f>
        <v>28515.86103286362</v>
      </c>
      <c r="BD98" s="254">
        <f t="shared" ref="BD98" si="218">SUM(BD78:BD97)</f>
        <v>151.00918260066433</v>
      </c>
      <c r="BE98" s="254">
        <f t="shared" ref="BE98" si="219">SUM(BE78:BE97)</f>
        <v>5112.3916467306972</v>
      </c>
      <c r="BF98" s="254">
        <f t="shared" ref="BF98" si="220">SUM(BF78:BF97)</f>
        <v>32560.13721592529</v>
      </c>
      <c r="BG98" s="254">
        <f t="shared" ref="BG98" si="221">SUM(BG78:BG97)</f>
        <v>4629.8325605268401</v>
      </c>
      <c r="BH98" s="254">
        <f t="shared" ref="BH98" si="222">SUM(BH78:BH97)</f>
        <v>0</v>
      </c>
      <c r="BI98" s="254">
        <f t="shared" ref="BI98" si="223">SUM(BI78:BI97)</f>
        <v>249.6019321456269</v>
      </c>
      <c r="BJ98" s="254">
        <f t="shared" ref="BJ98" si="224">SUM(BJ78:BJ97)</f>
        <v>37.821318843465583</v>
      </c>
      <c r="BK98" s="254">
        <f t="shared" ref="BK98" si="225">SUM(BK78:BK97)</f>
        <v>0</v>
      </c>
      <c r="BL98" s="254">
        <f t="shared" ref="BL98" si="226">SUM(BL78:BL97)</f>
        <v>4365.4105058496471</v>
      </c>
      <c r="BM98" s="254">
        <f t="shared" ref="BM98" si="227">SUM(BM78:BM97)</f>
        <v>1323.633644234206</v>
      </c>
      <c r="BN98" s="254">
        <f t="shared" ref="BN98" si="228">SUM(BN78:BN97)</f>
        <v>1403.637640509636</v>
      </c>
      <c r="BO98" s="254">
        <f t="shared" ref="BO98" si="229">SUM(BO78:BO97)</f>
        <v>52722.660236287542</v>
      </c>
      <c r="BP98" s="254">
        <f t="shared" ref="BP98" si="230">SUM(BP78:BP97)</f>
        <v>232.27120051913744</v>
      </c>
      <c r="BQ98" s="222">
        <f t="shared" si="173"/>
        <v>8998353.9206089396</v>
      </c>
      <c r="BR98" s="214"/>
      <c r="BT98" s="286"/>
      <c r="BU98" s="303" t="s">
        <v>7</v>
      </c>
      <c r="BV98" s="304">
        <v>2886</v>
      </c>
      <c r="BW98" s="304">
        <v>1869</v>
      </c>
      <c r="BX98" s="305">
        <v>933</v>
      </c>
      <c r="BY98" s="305">
        <v>155</v>
      </c>
      <c r="BZ98" s="305">
        <v>9</v>
      </c>
      <c r="CA98" s="305">
        <v>13</v>
      </c>
      <c r="CB98" s="305">
        <v>0</v>
      </c>
      <c r="CC98" s="305">
        <v>0</v>
      </c>
      <c r="CD98" s="305">
        <v>2</v>
      </c>
      <c r="CE98" s="305">
        <v>0</v>
      </c>
      <c r="CF98" s="305">
        <v>0</v>
      </c>
      <c r="CG98" s="305">
        <v>0</v>
      </c>
      <c r="CH98" s="305">
        <v>0</v>
      </c>
      <c r="CI98" s="305">
        <v>0</v>
      </c>
      <c r="CJ98" s="305">
        <v>0</v>
      </c>
      <c r="CK98" s="305">
        <v>4</v>
      </c>
      <c r="CL98" s="305">
        <v>3</v>
      </c>
      <c r="CM98" s="305">
        <v>2</v>
      </c>
      <c r="CN98" s="305">
        <v>23</v>
      </c>
      <c r="CO98" s="305">
        <v>0</v>
      </c>
      <c r="CP98" s="306">
        <v>5899</v>
      </c>
      <c r="CQ98" s="302"/>
      <c r="CR98" s="303" t="s">
        <v>7</v>
      </c>
      <c r="CS98" s="304">
        <v>285817.94550039433</v>
      </c>
      <c r="CT98" s="304">
        <v>294047.47422594583</v>
      </c>
      <c r="CU98" s="305">
        <v>217109.94419939345</v>
      </c>
      <c r="CV98" s="305">
        <v>27435.616925085174</v>
      </c>
      <c r="CW98" s="305">
        <v>840.07062227035976</v>
      </c>
      <c r="CX98" s="305">
        <v>3677.3159768625824</v>
      </c>
      <c r="CY98" s="305">
        <v>0</v>
      </c>
      <c r="CZ98" s="305">
        <v>0</v>
      </c>
      <c r="DA98" s="305">
        <v>238.18277095696874</v>
      </c>
      <c r="DB98" s="305">
        <v>0</v>
      </c>
      <c r="DC98" s="305">
        <v>0</v>
      </c>
      <c r="DD98" s="305">
        <v>0</v>
      </c>
      <c r="DE98" s="305">
        <v>0</v>
      </c>
      <c r="DF98" s="305">
        <v>0</v>
      </c>
      <c r="DG98" s="305">
        <v>0</v>
      </c>
      <c r="DH98" s="305">
        <v>5656.4177233418577</v>
      </c>
      <c r="DI98" s="305">
        <v>0</v>
      </c>
      <c r="DJ98" s="305">
        <v>0</v>
      </c>
      <c r="DK98" s="305">
        <v>2230.1717213989309</v>
      </c>
      <c r="DL98" s="305">
        <v>0</v>
      </c>
      <c r="DM98" s="306">
        <v>837053.13966564962</v>
      </c>
      <c r="DN98" s="302"/>
      <c r="DO98" s="302"/>
      <c r="DP98" s="303" t="s">
        <v>7</v>
      </c>
      <c r="DQ98" s="304">
        <v>5050</v>
      </c>
      <c r="DR98" s="304">
        <v>3038</v>
      </c>
      <c r="DS98" s="305">
        <v>1424</v>
      </c>
      <c r="DT98" s="305">
        <v>386</v>
      </c>
      <c r="DU98" s="305">
        <v>50</v>
      </c>
      <c r="DV98" s="305">
        <v>47</v>
      </c>
      <c r="DW98" s="305">
        <v>4</v>
      </c>
      <c r="DX98" s="305">
        <v>0</v>
      </c>
      <c r="DY98" s="305">
        <v>5</v>
      </c>
      <c r="DZ98" s="305">
        <v>0</v>
      </c>
      <c r="EA98" s="305">
        <v>7</v>
      </c>
      <c r="EB98" s="305">
        <v>6</v>
      </c>
      <c r="EC98" s="305">
        <v>0</v>
      </c>
      <c r="ED98" s="305">
        <v>8</v>
      </c>
      <c r="EE98" s="305">
        <v>0</v>
      </c>
      <c r="EF98" s="305">
        <v>4</v>
      </c>
      <c r="EG98" s="305">
        <v>6</v>
      </c>
      <c r="EH98" s="305">
        <v>2</v>
      </c>
      <c r="EI98" s="305">
        <v>29</v>
      </c>
      <c r="EJ98" s="305">
        <v>0</v>
      </c>
      <c r="EK98" s="306">
        <v>10066</v>
      </c>
      <c r="EL98" s="287"/>
      <c r="EM98" s="303" t="s">
        <v>7</v>
      </c>
      <c r="EN98" s="304">
        <v>700935.65882287908</v>
      </c>
      <c r="EO98" s="304">
        <v>512609.61737061793</v>
      </c>
      <c r="EP98" s="305">
        <v>440416.96891616494</v>
      </c>
      <c r="EQ98" s="305">
        <v>92848.514590731807</v>
      </c>
      <c r="ER98" s="305">
        <v>7829.9860671602355</v>
      </c>
      <c r="ES98" s="305">
        <v>10411.337653966093</v>
      </c>
      <c r="ET98" s="305">
        <v>1846.7741028275429</v>
      </c>
      <c r="EU98" s="305">
        <v>0</v>
      </c>
      <c r="EV98" s="305">
        <v>450.8197653169326</v>
      </c>
      <c r="EW98" s="305">
        <v>0</v>
      </c>
      <c r="EX98" s="305">
        <v>4467.8962971645951</v>
      </c>
      <c r="EY98" s="305">
        <v>87.294479745096169</v>
      </c>
      <c r="EZ98" s="305">
        <v>0</v>
      </c>
      <c r="FA98" s="305">
        <v>94.553297108663969</v>
      </c>
      <c r="FB98" s="305">
        <v>0</v>
      </c>
      <c r="FC98" s="305">
        <v>5656.4177233418577</v>
      </c>
      <c r="FD98" s="305">
        <v>61.902555489183804</v>
      </c>
      <c r="FE98" s="305">
        <v>0</v>
      </c>
      <c r="FF98" s="305">
        <v>2230.1717213989309</v>
      </c>
      <c r="FG98" s="305">
        <v>0</v>
      </c>
      <c r="FH98" s="306">
        <v>1779947.9133639126</v>
      </c>
    </row>
    <row r="99" spans="2:164" x14ac:dyDescent="0.2">
      <c r="B99" s="214"/>
      <c r="D99" s="206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14"/>
      <c r="AA99" s="206"/>
      <c r="AB99" s="208"/>
      <c r="AC99" s="208"/>
      <c r="AD99" s="208"/>
      <c r="AE99" s="208"/>
      <c r="AF99" s="208"/>
      <c r="AG99" s="208"/>
      <c r="AH99" s="208"/>
      <c r="AI99" s="208"/>
      <c r="AJ99" s="208"/>
      <c r="AK99" s="208"/>
      <c r="AL99" s="208"/>
      <c r="AM99" s="208"/>
      <c r="AN99" s="208"/>
      <c r="AO99" s="208"/>
      <c r="AP99" s="208"/>
      <c r="AQ99" s="208"/>
      <c r="AR99" s="208"/>
      <c r="AS99" s="208"/>
      <c r="AT99" s="208"/>
      <c r="AV99" s="214"/>
      <c r="AX99" s="206"/>
      <c r="AY99" s="208"/>
      <c r="AZ99" s="208"/>
      <c r="BA99" s="208"/>
      <c r="BB99" s="208"/>
      <c r="BC99" s="208"/>
      <c r="BD99" s="208"/>
      <c r="BE99" s="208"/>
      <c r="BF99" s="208"/>
      <c r="BG99" s="208"/>
      <c r="BH99" s="208"/>
      <c r="BI99" s="208"/>
      <c r="BJ99" s="208"/>
      <c r="BK99" s="208"/>
      <c r="BL99" s="208"/>
      <c r="BM99" s="208"/>
      <c r="BN99" s="208"/>
      <c r="BO99" s="208"/>
      <c r="BP99" s="208"/>
      <c r="BQ99" s="208"/>
      <c r="BR99" s="214"/>
      <c r="BT99" s="286"/>
      <c r="BU99" s="307"/>
      <c r="BV99" s="308"/>
      <c r="BW99" s="308"/>
      <c r="BX99" s="258"/>
      <c r="BY99" s="258"/>
      <c r="BZ99" s="258"/>
      <c r="CA99" s="258"/>
      <c r="CB99" s="258"/>
      <c r="CC99" s="258"/>
      <c r="CD99" s="258"/>
      <c r="CE99" s="258"/>
      <c r="CF99" s="258"/>
      <c r="CG99" s="258"/>
      <c r="CH99" s="258"/>
      <c r="CI99" s="258"/>
      <c r="CJ99" s="258"/>
      <c r="CK99" s="258"/>
      <c r="CL99" s="258"/>
      <c r="CM99" s="258"/>
      <c r="CN99" s="258"/>
      <c r="CO99" s="258"/>
      <c r="CP99" s="258"/>
      <c r="CQ99" s="302"/>
      <c r="CR99" s="307"/>
      <c r="CS99" s="308"/>
      <c r="CT99" s="308"/>
      <c r="CU99" s="258"/>
      <c r="CV99" s="258"/>
      <c r="CW99" s="258"/>
      <c r="CX99" s="258"/>
      <c r="CY99" s="258"/>
      <c r="CZ99" s="258"/>
      <c r="DA99" s="258"/>
      <c r="DB99" s="258"/>
      <c r="DC99" s="258"/>
      <c r="DD99" s="258"/>
      <c r="DE99" s="258"/>
      <c r="DF99" s="258"/>
      <c r="DG99" s="258"/>
      <c r="DH99" s="258"/>
      <c r="DI99" s="258"/>
      <c r="DJ99" s="258"/>
      <c r="DK99" s="258"/>
      <c r="DL99" s="258"/>
      <c r="DM99" s="258"/>
      <c r="DN99" s="302"/>
      <c r="DO99" s="302"/>
      <c r="DP99" s="307"/>
      <c r="DQ99" s="308"/>
      <c r="DR99" s="308"/>
      <c r="DS99" s="258"/>
      <c r="DT99" s="258"/>
      <c r="DU99" s="258"/>
      <c r="DV99" s="258"/>
      <c r="DW99" s="258"/>
      <c r="DX99" s="258"/>
      <c r="DY99" s="258"/>
      <c r="DZ99" s="258"/>
      <c r="EA99" s="258"/>
      <c r="EB99" s="258"/>
      <c r="EC99" s="258"/>
      <c r="ED99" s="258"/>
      <c r="EE99" s="258"/>
      <c r="EF99" s="258"/>
      <c r="EG99" s="258"/>
      <c r="EH99" s="258"/>
      <c r="EI99" s="258"/>
      <c r="EJ99" s="258"/>
      <c r="EK99" s="258"/>
      <c r="EL99" s="287"/>
      <c r="EM99" s="307"/>
      <c r="EN99" s="308"/>
      <c r="EO99" s="308"/>
      <c r="EP99" s="258"/>
      <c r="EQ99" s="258"/>
      <c r="ER99" s="258"/>
      <c r="ES99" s="258"/>
      <c r="ET99" s="258"/>
      <c r="EU99" s="258"/>
      <c r="EV99" s="258"/>
      <c r="EW99" s="258"/>
      <c r="EX99" s="258"/>
      <c r="EY99" s="258"/>
      <c r="EZ99" s="258"/>
      <c r="FA99" s="258"/>
      <c r="FB99" s="258"/>
      <c r="FC99" s="258"/>
      <c r="FD99" s="258"/>
      <c r="FE99" s="258"/>
      <c r="FF99" s="258"/>
      <c r="FG99" s="258"/>
      <c r="FH99" s="258"/>
    </row>
    <row r="100" spans="2:164" x14ac:dyDescent="0.2">
      <c r="B100" s="214" t="s">
        <v>231</v>
      </c>
      <c r="D100" s="206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14" t="s">
        <v>231</v>
      </c>
      <c r="AA100" s="206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09"/>
      <c r="AP100" s="209"/>
      <c r="AQ100" s="209"/>
      <c r="AR100" s="209"/>
      <c r="AS100" s="209"/>
      <c r="AT100" s="209"/>
      <c r="AV100" s="214" t="s">
        <v>231</v>
      </c>
      <c r="AX100" s="206"/>
      <c r="AY100" s="209"/>
      <c r="AZ100" s="209"/>
      <c r="BA100" s="209"/>
      <c r="BB100" s="209"/>
      <c r="BC100" s="209"/>
      <c r="BD100" s="209"/>
      <c r="BE100" s="209"/>
      <c r="BF100" s="209"/>
      <c r="BG100" s="209"/>
      <c r="BH100" s="209"/>
      <c r="BI100" s="209"/>
      <c r="BJ100" s="209"/>
      <c r="BK100" s="209"/>
      <c r="BL100" s="209"/>
      <c r="BM100" s="209"/>
      <c r="BN100" s="209"/>
      <c r="BO100" s="209"/>
      <c r="BP100" s="209"/>
      <c r="BQ100" s="209"/>
      <c r="BR100" s="214"/>
      <c r="BT100" s="286"/>
      <c r="BU100" s="307" t="s">
        <v>231</v>
      </c>
      <c r="BV100" s="308"/>
      <c r="BW100" s="308"/>
      <c r="BX100" s="309"/>
      <c r="BY100" s="309"/>
      <c r="BZ100" s="309"/>
      <c r="CA100" s="309"/>
      <c r="CB100" s="309"/>
      <c r="CC100" s="309"/>
      <c r="CD100" s="309"/>
      <c r="CE100" s="309"/>
      <c r="CF100" s="309"/>
      <c r="CG100" s="309"/>
      <c r="CH100" s="309"/>
      <c r="CI100" s="309"/>
      <c r="CJ100" s="309"/>
      <c r="CK100" s="309"/>
      <c r="CL100" s="309"/>
      <c r="CM100" s="309"/>
      <c r="CN100" s="309"/>
      <c r="CO100" s="309"/>
      <c r="CP100" s="309"/>
      <c r="CQ100" s="302"/>
      <c r="CR100" s="307" t="s">
        <v>231</v>
      </c>
      <c r="CS100" s="308"/>
      <c r="CT100" s="308"/>
      <c r="CU100" s="309"/>
      <c r="CV100" s="309"/>
      <c r="CW100" s="309"/>
      <c r="CX100" s="309"/>
      <c r="CY100" s="309"/>
      <c r="CZ100" s="309"/>
      <c r="DA100" s="309"/>
      <c r="DB100" s="309"/>
      <c r="DC100" s="309"/>
      <c r="DD100" s="309"/>
      <c r="DE100" s="309"/>
      <c r="DF100" s="309"/>
      <c r="DG100" s="309"/>
      <c r="DH100" s="309"/>
      <c r="DI100" s="309"/>
      <c r="DJ100" s="309"/>
      <c r="DK100" s="309"/>
      <c r="DL100" s="309"/>
      <c r="DM100" s="309"/>
      <c r="DN100" s="302"/>
      <c r="DO100" s="302"/>
      <c r="DP100" s="307" t="s">
        <v>231</v>
      </c>
      <c r="DQ100" s="308"/>
      <c r="DR100" s="308"/>
      <c r="DS100" s="309"/>
      <c r="DT100" s="309"/>
      <c r="DU100" s="309"/>
      <c r="DV100" s="309"/>
      <c r="DW100" s="309"/>
      <c r="DX100" s="309"/>
      <c r="DY100" s="309"/>
      <c r="DZ100" s="309"/>
      <c r="EA100" s="309"/>
      <c r="EB100" s="309"/>
      <c r="EC100" s="309"/>
      <c r="ED100" s="309"/>
      <c r="EE100" s="309"/>
      <c r="EF100" s="309"/>
      <c r="EG100" s="309"/>
      <c r="EH100" s="309"/>
      <c r="EI100" s="309"/>
      <c r="EJ100" s="309"/>
      <c r="EK100" s="309"/>
      <c r="EL100" s="287"/>
      <c r="EM100" s="307" t="s">
        <v>231</v>
      </c>
      <c r="EN100" s="308"/>
      <c r="EO100" s="308"/>
      <c r="EP100" s="309"/>
      <c r="EQ100" s="309"/>
      <c r="ER100" s="309"/>
      <c r="ES100" s="309"/>
      <c r="ET100" s="309"/>
      <c r="EU100" s="309"/>
      <c r="EV100" s="309"/>
      <c r="EW100" s="309"/>
      <c r="EX100" s="309"/>
      <c r="EY100" s="309"/>
      <c r="EZ100" s="309"/>
      <c r="FA100" s="309"/>
      <c r="FB100" s="309"/>
      <c r="FC100" s="309"/>
      <c r="FD100" s="309"/>
      <c r="FE100" s="309"/>
      <c r="FF100" s="309"/>
      <c r="FG100" s="309"/>
      <c r="FH100" s="309"/>
    </row>
    <row r="101" spans="2:164" ht="36" x14ac:dyDescent="0.2">
      <c r="B101" s="224" t="s">
        <v>330</v>
      </c>
      <c r="C101" s="225" t="s">
        <v>331</v>
      </c>
      <c r="D101" s="225" t="s">
        <v>332</v>
      </c>
      <c r="E101" s="225" t="s">
        <v>333</v>
      </c>
      <c r="F101" s="225" t="s">
        <v>2</v>
      </c>
      <c r="G101" s="225" t="s">
        <v>3</v>
      </c>
      <c r="H101" s="225" t="s">
        <v>334</v>
      </c>
      <c r="I101" s="225" t="s">
        <v>352</v>
      </c>
      <c r="J101" s="225" t="s">
        <v>346</v>
      </c>
      <c r="K101" s="225" t="s">
        <v>335</v>
      </c>
      <c r="L101" s="225" t="s">
        <v>336</v>
      </c>
      <c r="M101" s="225" t="s">
        <v>337</v>
      </c>
      <c r="N101" s="225" t="s">
        <v>338</v>
      </c>
      <c r="O101" s="225" t="s">
        <v>353</v>
      </c>
      <c r="P101" s="225" t="s">
        <v>347</v>
      </c>
      <c r="Q101" s="225" t="s">
        <v>339</v>
      </c>
      <c r="R101" s="225" t="s">
        <v>340</v>
      </c>
      <c r="S101" s="225" t="s">
        <v>341</v>
      </c>
      <c r="T101" s="225" t="s">
        <v>6</v>
      </c>
      <c r="U101" s="225" t="s">
        <v>342</v>
      </c>
      <c r="V101" s="225" t="s">
        <v>343</v>
      </c>
      <c r="W101" s="226" t="s">
        <v>7</v>
      </c>
      <c r="X101" s="209"/>
      <c r="Y101" s="224" t="s">
        <v>330</v>
      </c>
      <c r="Z101" s="225" t="s">
        <v>331</v>
      </c>
      <c r="AA101" s="225" t="s">
        <v>332</v>
      </c>
      <c r="AB101" s="225" t="s">
        <v>333</v>
      </c>
      <c r="AC101" s="225" t="s">
        <v>2</v>
      </c>
      <c r="AD101" s="225" t="s">
        <v>3</v>
      </c>
      <c r="AE101" s="225" t="s">
        <v>334</v>
      </c>
      <c r="AF101" s="225" t="s">
        <v>352</v>
      </c>
      <c r="AG101" s="225" t="s">
        <v>346</v>
      </c>
      <c r="AH101" s="225" t="s">
        <v>335</v>
      </c>
      <c r="AI101" s="225" t="s">
        <v>336</v>
      </c>
      <c r="AJ101" s="225" t="s">
        <v>337</v>
      </c>
      <c r="AK101" s="225" t="s">
        <v>338</v>
      </c>
      <c r="AL101" s="225" t="s">
        <v>353</v>
      </c>
      <c r="AM101" s="225" t="s">
        <v>347</v>
      </c>
      <c r="AN101" s="225" t="s">
        <v>339</v>
      </c>
      <c r="AO101" s="225" t="s">
        <v>340</v>
      </c>
      <c r="AP101" s="225" t="s">
        <v>341</v>
      </c>
      <c r="AQ101" s="225" t="s">
        <v>6</v>
      </c>
      <c r="AR101" s="225" t="s">
        <v>342</v>
      </c>
      <c r="AS101" s="225" t="s">
        <v>343</v>
      </c>
      <c r="AT101" s="226" t="s">
        <v>7</v>
      </c>
      <c r="AV101" s="224" t="s">
        <v>330</v>
      </c>
      <c r="AW101" s="225" t="s">
        <v>331</v>
      </c>
      <c r="AX101" s="225" t="s">
        <v>332</v>
      </c>
      <c r="AY101" s="225" t="s">
        <v>333</v>
      </c>
      <c r="AZ101" s="225" t="s">
        <v>2</v>
      </c>
      <c r="BA101" s="225" t="s">
        <v>3</v>
      </c>
      <c r="BB101" s="225" t="s">
        <v>334</v>
      </c>
      <c r="BC101" s="225" t="s">
        <v>350</v>
      </c>
      <c r="BD101" s="225" t="s">
        <v>346</v>
      </c>
      <c r="BE101" s="225" t="s">
        <v>335</v>
      </c>
      <c r="BF101" s="225" t="s">
        <v>336</v>
      </c>
      <c r="BG101" s="225" t="s">
        <v>337</v>
      </c>
      <c r="BH101" s="225" t="s">
        <v>338</v>
      </c>
      <c r="BI101" s="225" t="s">
        <v>349</v>
      </c>
      <c r="BJ101" s="225" t="s">
        <v>347</v>
      </c>
      <c r="BK101" s="225" t="s">
        <v>339</v>
      </c>
      <c r="BL101" s="225" t="s">
        <v>340</v>
      </c>
      <c r="BM101" s="225" t="s">
        <v>341</v>
      </c>
      <c r="BN101" s="225" t="s">
        <v>6</v>
      </c>
      <c r="BO101" s="225" t="s">
        <v>342</v>
      </c>
      <c r="BP101" s="225" t="s">
        <v>343</v>
      </c>
      <c r="BQ101" s="226" t="s">
        <v>7</v>
      </c>
      <c r="BR101" s="235"/>
      <c r="BS101" s="236"/>
      <c r="BT101" s="283"/>
      <c r="BU101" s="288" t="s">
        <v>330</v>
      </c>
      <c r="BV101" s="289" t="s">
        <v>331</v>
      </c>
      <c r="BW101" s="289" t="s">
        <v>332</v>
      </c>
      <c r="BX101" s="289" t="s">
        <v>333</v>
      </c>
      <c r="BY101" s="289" t="s">
        <v>2</v>
      </c>
      <c r="BZ101" s="289" t="s">
        <v>3</v>
      </c>
      <c r="CA101" s="289" t="s">
        <v>334</v>
      </c>
      <c r="CB101" s="289" t="s">
        <v>352</v>
      </c>
      <c r="CC101" s="289" t="s">
        <v>346</v>
      </c>
      <c r="CD101" s="289" t="s">
        <v>335</v>
      </c>
      <c r="CE101" s="289" t="s">
        <v>336</v>
      </c>
      <c r="CF101" s="289" t="s">
        <v>337</v>
      </c>
      <c r="CG101" s="289" t="s">
        <v>338</v>
      </c>
      <c r="CH101" s="289" t="s">
        <v>353</v>
      </c>
      <c r="CI101" s="289" t="s">
        <v>347</v>
      </c>
      <c r="CJ101" s="289" t="s">
        <v>339</v>
      </c>
      <c r="CK101" s="289" t="s">
        <v>340</v>
      </c>
      <c r="CL101" s="289" t="s">
        <v>341</v>
      </c>
      <c r="CM101" s="289" t="s">
        <v>6</v>
      </c>
      <c r="CN101" s="289" t="s">
        <v>342</v>
      </c>
      <c r="CO101" s="289" t="s">
        <v>343</v>
      </c>
      <c r="CP101" s="290" t="s">
        <v>7</v>
      </c>
      <c r="CQ101" s="291"/>
      <c r="CR101" s="288" t="s">
        <v>330</v>
      </c>
      <c r="CS101" s="289" t="s">
        <v>331</v>
      </c>
      <c r="CT101" s="289" t="s">
        <v>332</v>
      </c>
      <c r="CU101" s="289" t="s">
        <v>333</v>
      </c>
      <c r="CV101" s="289" t="s">
        <v>2</v>
      </c>
      <c r="CW101" s="289" t="s">
        <v>3</v>
      </c>
      <c r="CX101" s="289" t="s">
        <v>334</v>
      </c>
      <c r="CY101" s="289" t="s">
        <v>352</v>
      </c>
      <c r="CZ101" s="289" t="s">
        <v>346</v>
      </c>
      <c r="DA101" s="289" t="s">
        <v>335</v>
      </c>
      <c r="DB101" s="289" t="s">
        <v>336</v>
      </c>
      <c r="DC101" s="289" t="s">
        <v>337</v>
      </c>
      <c r="DD101" s="289" t="s">
        <v>338</v>
      </c>
      <c r="DE101" s="289" t="s">
        <v>353</v>
      </c>
      <c r="DF101" s="289" t="s">
        <v>347</v>
      </c>
      <c r="DG101" s="289" t="s">
        <v>339</v>
      </c>
      <c r="DH101" s="289" t="s">
        <v>340</v>
      </c>
      <c r="DI101" s="289" t="s">
        <v>341</v>
      </c>
      <c r="DJ101" s="289" t="s">
        <v>6</v>
      </c>
      <c r="DK101" s="289" t="s">
        <v>342</v>
      </c>
      <c r="DL101" s="289" t="s">
        <v>343</v>
      </c>
      <c r="DM101" s="290" t="s">
        <v>7</v>
      </c>
      <c r="DN101" s="302"/>
      <c r="DO101" s="291"/>
      <c r="DP101" s="288" t="s">
        <v>330</v>
      </c>
      <c r="DQ101" s="289" t="s">
        <v>331</v>
      </c>
      <c r="DR101" s="289" t="s">
        <v>332</v>
      </c>
      <c r="DS101" s="289" t="s">
        <v>333</v>
      </c>
      <c r="DT101" s="289" t="s">
        <v>2</v>
      </c>
      <c r="DU101" s="289" t="s">
        <v>3</v>
      </c>
      <c r="DV101" s="289" t="s">
        <v>334</v>
      </c>
      <c r="DW101" s="289" t="s">
        <v>352</v>
      </c>
      <c r="DX101" s="289" t="s">
        <v>346</v>
      </c>
      <c r="DY101" s="289" t="s">
        <v>335</v>
      </c>
      <c r="DZ101" s="289" t="s">
        <v>336</v>
      </c>
      <c r="EA101" s="289" t="s">
        <v>337</v>
      </c>
      <c r="EB101" s="289" t="s">
        <v>338</v>
      </c>
      <c r="EC101" s="289" t="s">
        <v>353</v>
      </c>
      <c r="ED101" s="289" t="s">
        <v>347</v>
      </c>
      <c r="EE101" s="289" t="s">
        <v>339</v>
      </c>
      <c r="EF101" s="289" t="s">
        <v>340</v>
      </c>
      <c r="EG101" s="289" t="s">
        <v>341</v>
      </c>
      <c r="EH101" s="289" t="s">
        <v>6</v>
      </c>
      <c r="EI101" s="289" t="s">
        <v>342</v>
      </c>
      <c r="EJ101" s="289" t="s">
        <v>343</v>
      </c>
      <c r="EK101" s="290" t="s">
        <v>7</v>
      </c>
      <c r="EL101" s="287"/>
      <c r="EM101" s="288" t="s">
        <v>330</v>
      </c>
      <c r="EN101" s="289" t="s">
        <v>331</v>
      </c>
      <c r="EO101" s="289" t="s">
        <v>332</v>
      </c>
      <c r="EP101" s="289" t="s">
        <v>333</v>
      </c>
      <c r="EQ101" s="289" t="s">
        <v>2</v>
      </c>
      <c r="ER101" s="289" t="s">
        <v>3</v>
      </c>
      <c r="ES101" s="289" t="s">
        <v>334</v>
      </c>
      <c r="ET101" s="289" t="s">
        <v>352</v>
      </c>
      <c r="EU101" s="289" t="s">
        <v>346</v>
      </c>
      <c r="EV101" s="289" t="s">
        <v>335</v>
      </c>
      <c r="EW101" s="289" t="s">
        <v>336</v>
      </c>
      <c r="EX101" s="289" t="s">
        <v>337</v>
      </c>
      <c r="EY101" s="289" t="s">
        <v>338</v>
      </c>
      <c r="EZ101" s="289" t="s">
        <v>353</v>
      </c>
      <c r="FA101" s="289" t="s">
        <v>347</v>
      </c>
      <c r="FB101" s="289" t="s">
        <v>339</v>
      </c>
      <c r="FC101" s="289" t="s">
        <v>340</v>
      </c>
      <c r="FD101" s="289" t="s">
        <v>341</v>
      </c>
      <c r="FE101" s="289" t="s">
        <v>6</v>
      </c>
      <c r="FF101" s="289" t="s">
        <v>342</v>
      </c>
      <c r="FG101" s="289" t="s">
        <v>343</v>
      </c>
      <c r="FH101" s="290" t="s">
        <v>7</v>
      </c>
    </row>
    <row r="102" spans="2:164" x14ac:dyDescent="0.2">
      <c r="B102" s="233" t="s">
        <v>331</v>
      </c>
      <c r="C102" s="227">
        <v>17703</v>
      </c>
      <c r="D102" s="227">
        <v>2528</v>
      </c>
      <c r="E102" s="227">
        <v>1012</v>
      </c>
      <c r="F102" s="227">
        <v>33</v>
      </c>
      <c r="G102" s="227">
        <v>2</v>
      </c>
      <c r="H102" s="227">
        <v>36</v>
      </c>
      <c r="I102" s="227">
        <v>19</v>
      </c>
      <c r="J102" s="227">
        <v>2</v>
      </c>
      <c r="K102" s="227">
        <v>3</v>
      </c>
      <c r="L102" s="227">
        <v>18</v>
      </c>
      <c r="M102" s="227">
        <v>13</v>
      </c>
      <c r="N102" s="227">
        <v>1</v>
      </c>
      <c r="O102" s="227">
        <v>8</v>
      </c>
      <c r="P102" s="227">
        <v>3</v>
      </c>
      <c r="Q102" s="227">
        <v>5</v>
      </c>
      <c r="R102" s="227">
        <v>35</v>
      </c>
      <c r="S102" s="227">
        <v>2</v>
      </c>
      <c r="T102" s="227">
        <v>2</v>
      </c>
      <c r="U102" s="227">
        <v>41</v>
      </c>
      <c r="V102" s="227">
        <v>8</v>
      </c>
      <c r="W102" s="230">
        <v>21474</v>
      </c>
      <c r="X102" s="209"/>
      <c r="Y102" s="233" t="s">
        <v>331</v>
      </c>
      <c r="Z102" s="227">
        <v>2011861.4039821548</v>
      </c>
      <c r="AA102" s="227">
        <v>367710.4823188741</v>
      </c>
      <c r="AB102" s="227">
        <v>105058.54601138049</v>
      </c>
      <c r="AC102" s="251">
        <v>3541.6560142420221</v>
      </c>
      <c r="AD102" s="251">
        <v>139.92073027725468</v>
      </c>
      <c r="AE102" s="251">
        <v>2138.2889949182604</v>
      </c>
      <c r="AF102" s="251">
        <v>161.8763856859816</v>
      </c>
      <c r="AG102" s="251">
        <v>0</v>
      </c>
      <c r="AH102" s="251">
        <v>0</v>
      </c>
      <c r="AI102" s="251">
        <v>7156.9458512577667</v>
      </c>
      <c r="AJ102" s="251">
        <v>152.83867643700947</v>
      </c>
      <c r="AK102" s="251">
        <v>0</v>
      </c>
      <c r="AL102" s="251">
        <v>515.49936036258282</v>
      </c>
      <c r="AM102" s="251">
        <v>57.908405107576485</v>
      </c>
      <c r="AN102" s="251">
        <v>0</v>
      </c>
      <c r="AO102" s="251">
        <v>557.5072338812538</v>
      </c>
      <c r="AP102" s="251">
        <v>75.120286223599507</v>
      </c>
      <c r="AQ102" s="251">
        <v>84.830778364024951</v>
      </c>
      <c r="AR102" s="251">
        <v>3841.6411988374743</v>
      </c>
      <c r="AS102" s="251">
        <v>153.72294281887048</v>
      </c>
      <c r="AT102" s="230">
        <v>2503208.189170823</v>
      </c>
      <c r="AV102" s="233" t="s">
        <v>331</v>
      </c>
      <c r="AW102" s="227">
        <f>Z102</f>
        <v>2011861.4039821548</v>
      </c>
      <c r="AX102" s="227">
        <f>AA102</f>
        <v>367710.4823188741</v>
      </c>
      <c r="AY102" s="227">
        <f>AB102</f>
        <v>105058.54601138049</v>
      </c>
      <c r="AZ102" s="232">
        <v>0</v>
      </c>
      <c r="BA102" s="256">
        <v>0</v>
      </c>
      <c r="BB102" s="232">
        <v>0</v>
      </c>
      <c r="BC102" s="232">
        <v>0</v>
      </c>
      <c r="BD102" s="232">
        <v>0</v>
      </c>
      <c r="BE102" s="232">
        <v>0</v>
      </c>
      <c r="BF102" s="232">
        <v>0</v>
      </c>
      <c r="BG102" s="232">
        <v>0</v>
      </c>
      <c r="BH102" s="232">
        <v>0</v>
      </c>
      <c r="BI102" s="232">
        <v>0</v>
      </c>
      <c r="BJ102" s="232">
        <v>0</v>
      </c>
      <c r="BK102" s="232">
        <v>0</v>
      </c>
      <c r="BL102" s="232">
        <v>0</v>
      </c>
      <c r="BM102" s="232">
        <v>0</v>
      </c>
      <c r="BN102" s="232">
        <v>0</v>
      </c>
      <c r="BO102" s="232">
        <v>0</v>
      </c>
      <c r="BP102" s="251">
        <v>0</v>
      </c>
      <c r="BQ102" s="230">
        <f t="shared" ref="BQ102:BQ122" si="231">SUM(AW102:BP102)</f>
        <v>2484630.4323124094</v>
      </c>
      <c r="BR102" s="237"/>
      <c r="BS102" s="227"/>
      <c r="BT102" s="284"/>
      <c r="BU102" s="292" t="s">
        <v>331</v>
      </c>
      <c r="BV102" s="293">
        <v>1927</v>
      </c>
      <c r="BW102" s="293">
        <v>268</v>
      </c>
      <c r="BX102" s="293">
        <v>94</v>
      </c>
      <c r="BY102" s="293">
        <v>0</v>
      </c>
      <c r="BZ102" s="293">
        <v>0</v>
      </c>
      <c r="CA102" s="293">
        <v>0</v>
      </c>
      <c r="CB102" s="293">
        <v>0</v>
      </c>
      <c r="CC102" s="293">
        <v>0</v>
      </c>
      <c r="CD102" s="293">
        <v>0</v>
      </c>
      <c r="CE102" s="293">
        <v>0</v>
      </c>
      <c r="CF102" s="293">
        <v>0</v>
      </c>
      <c r="CG102" s="293">
        <v>0</v>
      </c>
      <c r="CH102" s="293">
        <v>0</v>
      </c>
      <c r="CI102" s="293">
        <v>3</v>
      </c>
      <c r="CJ102" s="293">
        <v>1</v>
      </c>
      <c r="CK102" s="293">
        <v>3</v>
      </c>
      <c r="CL102" s="293">
        <v>0</v>
      </c>
      <c r="CM102" s="293">
        <v>0</v>
      </c>
      <c r="CN102" s="293">
        <v>3</v>
      </c>
      <c r="CO102" s="293">
        <v>0</v>
      </c>
      <c r="CP102" s="294">
        <v>2299</v>
      </c>
      <c r="CQ102" s="295"/>
      <c r="CR102" s="292" t="s">
        <v>331</v>
      </c>
      <c r="CS102" s="293">
        <v>285240.59584386728</v>
      </c>
      <c r="CT102" s="293">
        <v>87252.731898267506</v>
      </c>
      <c r="CU102" s="293">
        <v>29533.09193815861</v>
      </c>
      <c r="CV102" s="293">
        <v>0</v>
      </c>
      <c r="CW102" s="293">
        <v>0</v>
      </c>
      <c r="CX102" s="293">
        <v>0</v>
      </c>
      <c r="CY102" s="293">
        <v>0</v>
      </c>
      <c r="CZ102" s="293">
        <v>0</v>
      </c>
      <c r="DA102" s="293">
        <v>0</v>
      </c>
      <c r="DB102" s="293">
        <v>0</v>
      </c>
      <c r="DC102" s="293">
        <v>0</v>
      </c>
      <c r="DD102" s="293">
        <v>0</v>
      </c>
      <c r="DE102" s="293">
        <v>0</v>
      </c>
      <c r="DF102" s="293">
        <v>57.908405107576485</v>
      </c>
      <c r="DG102" s="293">
        <v>0</v>
      </c>
      <c r="DH102" s="293">
        <v>156.03673485863851</v>
      </c>
      <c r="DI102" s="293">
        <v>0</v>
      </c>
      <c r="DJ102" s="293">
        <v>0</v>
      </c>
      <c r="DK102" s="293">
        <v>0</v>
      </c>
      <c r="DL102" s="293">
        <v>0</v>
      </c>
      <c r="DM102" s="294">
        <v>402240.36482025962</v>
      </c>
      <c r="DN102" s="291"/>
      <c r="DO102" s="295"/>
      <c r="DP102" s="292" t="s">
        <v>331</v>
      </c>
      <c r="DQ102" s="293">
        <v>3549</v>
      </c>
      <c r="DR102" s="293">
        <v>519</v>
      </c>
      <c r="DS102" s="293">
        <v>173</v>
      </c>
      <c r="DT102" s="293">
        <v>0</v>
      </c>
      <c r="DU102" s="293">
        <v>0</v>
      </c>
      <c r="DV102" s="293">
        <v>0</v>
      </c>
      <c r="DW102" s="293">
        <v>0</v>
      </c>
      <c r="DX102" s="293">
        <v>0</v>
      </c>
      <c r="DY102" s="293">
        <v>0</v>
      </c>
      <c r="DZ102" s="293">
        <v>0</v>
      </c>
      <c r="EA102" s="293">
        <v>0</v>
      </c>
      <c r="EB102" s="293">
        <v>0</v>
      </c>
      <c r="EC102" s="293">
        <v>0</v>
      </c>
      <c r="ED102" s="293">
        <v>3</v>
      </c>
      <c r="EE102" s="293">
        <v>5</v>
      </c>
      <c r="EF102" s="293">
        <v>3</v>
      </c>
      <c r="EG102" s="293">
        <v>0</v>
      </c>
      <c r="EH102" s="293">
        <v>0</v>
      </c>
      <c r="EI102" s="293">
        <v>3</v>
      </c>
      <c r="EJ102" s="293">
        <v>2</v>
      </c>
      <c r="EK102" s="294">
        <v>4257</v>
      </c>
      <c r="EL102" s="287"/>
      <c r="EM102" s="292" t="s">
        <v>331</v>
      </c>
      <c r="EN102" s="293">
        <v>518450.60872034513</v>
      </c>
      <c r="EO102" s="293">
        <v>126311.54239110918</v>
      </c>
      <c r="EP102" s="293">
        <v>39531.630412811217</v>
      </c>
      <c r="EQ102" s="293">
        <v>0</v>
      </c>
      <c r="ER102" s="293">
        <v>0</v>
      </c>
      <c r="ES102" s="293">
        <v>0</v>
      </c>
      <c r="ET102" s="293">
        <v>0</v>
      </c>
      <c r="EU102" s="293">
        <v>0</v>
      </c>
      <c r="EV102" s="293">
        <v>0</v>
      </c>
      <c r="EW102" s="293">
        <v>0</v>
      </c>
      <c r="EX102" s="293">
        <v>0</v>
      </c>
      <c r="EY102" s="293">
        <v>0</v>
      </c>
      <c r="EZ102" s="293">
        <v>0</v>
      </c>
      <c r="FA102" s="293">
        <v>57.908405107576485</v>
      </c>
      <c r="FB102" s="293">
        <v>0</v>
      </c>
      <c r="FC102" s="293">
        <v>156.03673485863851</v>
      </c>
      <c r="FD102" s="293">
        <v>0</v>
      </c>
      <c r="FE102" s="293">
        <v>0</v>
      </c>
      <c r="FF102" s="293">
        <v>0</v>
      </c>
      <c r="FG102" s="293">
        <v>0</v>
      </c>
      <c r="FH102" s="294">
        <v>684507.72666423174</v>
      </c>
    </row>
    <row r="103" spans="2:164" x14ac:dyDescent="0.2">
      <c r="B103" s="215" t="s">
        <v>332</v>
      </c>
      <c r="C103" s="227">
        <v>2</v>
      </c>
      <c r="D103" s="227">
        <v>11085</v>
      </c>
      <c r="E103" s="227">
        <v>1509</v>
      </c>
      <c r="F103" s="227">
        <v>0</v>
      </c>
      <c r="G103" s="227">
        <v>0</v>
      </c>
      <c r="H103" s="227">
        <v>73</v>
      </c>
      <c r="I103" s="227">
        <v>32</v>
      </c>
      <c r="J103" s="227">
        <v>11</v>
      </c>
      <c r="K103" s="227">
        <v>2</v>
      </c>
      <c r="L103" s="227">
        <v>54</v>
      </c>
      <c r="M103" s="227">
        <v>8</v>
      </c>
      <c r="N103" s="227">
        <v>10</v>
      </c>
      <c r="O103" s="227">
        <v>3</v>
      </c>
      <c r="P103" s="227">
        <v>1</v>
      </c>
      <c r="Q103" s="227">
        <v>1</v>
      </c>
      <c r="R103" s="227">
        <v>34</v>
      </c>
      <c r="S103" s="227">
        <v>7</v>
      </c>
      <c r="T103" s="227">
        <v>6</v>
      </c>
      <c r="U103" s="227">
        <v>86</v>
      </c>
      <c r="V103" s="227">
        <v>3</v>
      </c>
      <c r="W103" s="230">
        <v>12927</v>
      </c>
      <c r="X103" s="209"/>
      <c r="Y103" s="215" t="s">
        <v>332</v>
      </c>
      <c r="Z103" s="227">
        <v>64.963187592295156</v>
      </c>
      <c r="AA103" s="227">
        <v>1084956.2922145904</v>
      </c>
      <c r="AB103" s="227">
        <v>206356.76094793013</v>
      </c>
      <c r="AC103" s="227">
        <v>0</v>
      </c>
      <c r="AD103" s="227">
        <v>0</v>
      </c>
      <c r="AE103" s="227">
        <v>34171.057163500933</v>
      </c>
      <c r="AF103" s="227">
        <v>196.05542668362762</v>
      </c>
      <c r="AG103" s="227">
        <v>35.378442941566448</v>
      </c>
      <c r="AH103" s="227">
        <v>444.92859896156182</v>
      </c>
      <c r="AI103" s="227">
        <v>503.27044713742305</v>
      </c>
      <c r="AJ103" s="227">
        <v>53.933878124210587</v>
      </c>
      <c r="AK103" s="251">
        <v>64.583514384015487</v>
      </c>
      <c r="AL103" s="251">
        <v>84.424201553738584</v>
      </c>
      <c r="AM103" s="251">
        <v>19.302801702525496</v>
      </c>
      <c r="AN103" s="251">
        <v>0</v>
      </c>
      <c r="AO103" s="251">
        <v>9489.3034644634317</v>
      </c>
      <c r="AP103" s="251">
        <v>41.025207812676918</v>
      </c>
      <c r="AQ103" s="227">
        <v>2026.4369784718906</v>
      </c>
      <c r="AR103" s="227">
        <v>1476.5191758312067</v>
      </c>
      <c r="AS103" s="227">
        <v>76.946088799210642</v>
      </c>
      <c r="AT103" s="230">
        <v>1340061.1817404812</v>
      </c>
      <c r="AV103" s="215" t="s">
        <v>332</v>
      </c>
      <c r="AW103" s="227">
        <f t="shared" ref="AW103:AX105" si="232">Z103</f>
        <v>64.963187592295156</v>
      </c>
      <c r="AX103" s="227">
        <f t="shared" si="232"/>
        <v>1084956.2922145904</v>
      </c>
      <c r="AY103" s="227">
        <f t="shared" ref="AY103:AY105" si="233">AB103</f>
        <v>206356.76094793013</v>
      </c>
      <c r="AZ103" s="227">
        <f>AC103</f>
        <v>0</v>
      </c>
      <c r="BA103" s="227">
        <f t="shared" ref="BA103:BA121" si="234">AD103</f>
        <v>0</v>
      </c>
      <c r="BB103" s="227">
        <f t="shared" ref="BB103:BB105" si="235">AE103</f>
        <v>34171.057163500933</v>
      </c>
      <c r="BC103" s="227">
        <f t="shared" ref="BC103:BC105" si="236">AF103</f>
        <v>196.05542668362762</v>
      </c>
      <c r="BD103" s="227">
        <f t="shared" ref="BD103:BD105" si="237">AG103</f>
        <v>35.378442941566448</v>
      </c>
      <c r="BE103" s="227">
        <f t="shared" ref="BE103:BE105" si="238">AH103</f>
        <v>444.92859896156182</v>
      </c>
      <c r="BF103" s="227">
        <f t="shared" ref="BF103:BF105" si="239">AI103</f>
        <v>503.27044713742305</v>
      </c>
      <c r="BG103" s="227">
        <f t="shared" ref="BG103:BG105" si="240">AJ103</f>
        <v>53.933878124210587</v>
      </c>
      <c r="BH103" s="232">
        <v>0</v>
      </c>
      <c r="BI103" s="251">
        <v>0</v>
      </c>
      <c r="BJ103" s="232">
        <v>0</v>
      </c>
      <c r="BK103" s="251">
        <v>0</v>
      </c>
      <c r="BL103" s="232">
        <v>0</v>
      </c>
      <c r="BM103" s="232">
        <v>0</v>
      </c>
      <c r="BN103" s="227">
        <f>AQ103</f>
        <v>2026.4369784718906</v>
      </c>
      <c r="BO103" s="227">
        <f t="shared" ref="BO103:BO105" si="241">AR103</f>
        <v>1476.5191758312067</v>
      </c>
      <c r="BP103" s="227">
        <f t="shared" ref="BP103:BP105" si="242">AS103</f>
        <v>76.946088799210642</v>
      </c>
      <c r="BQ103" s="230">
        <f t="shared" si="231"/>
        <v>1330362.5425505647</v>
      </c>
      <c r="BR103" s="237"/>
      <c r="BS103" s="227"/>
      <c r="BT103" s="284"/>
      <c r="BU103" s="296" t="s">
        <v>332</v>
      </c>
      <c r="BV103" s="293">
        <v>0</v>
      </c>
      <c r="BW103" s="293">
        <v>1169</v>
      </c>
      <c r="BX103" s="293">
        <v>151</v>
      </c>
      <c r="BY103" s="293">
        <v>0</v>
      </c>
      <c r="BZ103" s="293">
        <v>0</v>
      </c>
      <c r="CA103" s="293">
        <v>5</v>
      </c>
      <c r="CB103" s="293">
        <v>0</v>
      </c>
      <c r="CC103" s="293">
        <v>1</v>
      </c>
      <c r="CD103" s="293">
        <v>0</v>
      </c>
      <c r="CE103" s="293">
        <v>0</v>
      </c>
      <c r="CF103" s="293">
        <v>0</v>
      </c>
      <c r="CG103" s="293">
        <v>0</v>
      </c>
      <c r="CH103" s="293">
        <v>0</v>
      </c>
      <c r="CI103" s="293">
        <v>1</v>
      </c>
      <c r="CJ103" s="293">
        <v>0</v>
      </c>
      <c r="CK103" s="293">
        <v>1</v>
      </c>
      <c r="CL103" s="293">
        <v>0</v>
      </c>
      <c r="CM103" s="293">
        <v>0</v>
      </c>
      <c r="CN103" s="293">
        <v>3</v>
      </c>
      <c r="CO103" s="293">
        <v>0</v>
      </c>
      <c r="CP103" s="294">
        <v>1331</v>
      </c>
      <c r="CQ103" s="295"/>
      <c r="CR103" s="296" t="s">
        <v>332</v>
      </c>
      <c r="CS103" s="293">
        <v>0</v>
      </c>
      <c r="CT103" s="293">
        <v>101282.34140872996</v>
      </c>
      <c r="CU103" s="293">
        <v>3294.9641455567385</v>
      </c>
      <c r="CV103" s="293">
        <v>0</v>
      </c>
      <c r="CW103" s="293">
        <v>0</v>
      </c>
      <c r="CX103" s="293">
        <v>15105.707264231638</v>
      </c>
      <c r="CY103" s="293">
        <v>0</v>
      </c>
      <c r="CZ103" s="293">
        <v>35.378442941566448</v>
      </c>
      <c r="DA103" s="293">
        <v>0</v>
      </c>
      <c r="DB103" s="293">
        <v>0</v>
      </c>
      <c r="DC103" s="293">
        <v>0</v>
      </c>
      <c r="DD103" s="293">
        <v>0</v>
      </c>
      <c r="DE103" s="293">
        <v>0</v>
      </c>
      <c r="DF103" s="293">
        <v>19.302801702525496</v>
      </c>
      <c r="DG103" s="293">
        <v>0</v>
      </c>
      <c r="DH103" s="293">
        <v>121.12386342758919</v>
      </c>
      <c r="DI103" s="293">
        <v>0</v>
      </c>
      <c r="DJ103" s="293">
        <v>0</v>
      </c>
      <c r="DK103" s="293">
        <v>20.141558709687203</v>
      </c>
      <c r="DL103" s="293">
        <v>0</v>
      </c>
      <c r="DM103" s="294">
        <v>119878.9594852997</v>
      </c>
      <c r="DN103" s="295"/>
      <c r="DO103" s="295"/>
      <c r="DP103" s="296" t="s">
        <v>332</v>
      </c>
      <c r="DQ103" s="293">
        <v>0</v>
      </c>
      <c r="DR103" s="293">
        <v>2085</v>
      </c>
      <c r="DS103" s="293">
        <v>251</v>
      </c>
      <c r="DT103" s="293">
        <v>0</v>
      </c>
      <c r="DU103" s="293">
        <v>0</v>
      </c>
      <c r="DV103" s="293">
        <v>5</v>
      </c>
      <c r="DW103" s="293">
        <v>0</v>
      </c>
      <c r="DX103" s="293">
        <v>1</v>
      </c>
      <c r="DY103" s="293">
        <v>0</v>
      </c>
      <c r="DZ103" s="293">
        <v>0</v>
      </c>
      <c r="EA103" s="293">
        <v>0</v>
      </c>
      <c r="EB103" s="293">
        <v>0</v>
      </c>
      <c r="EC103" s="293">
        <v>0</v>
      </c>
      <c r="ED103" s="293">
        <v>1</v>
      </c>
      <c r="EE103" s="293">
        <v>1</v>
      </c>
      <c r="EF103" s="293">
        <v>2</v>
      </c>
      <c r="EG103" s="293">
        <v>0</v>
      </c>
      <c r="EH103" s="293">
        <v>0</v>
      </c>
      <c r="EI103" s="293">
        <v>7</v>
      </c>
      <c r="EJ103" s="293">
        <v>0</v>
      </c>
      <c r="EK103" s="294">
        <v>2353</v>
      </c>
      <c r="EL103" s="287"/>
      <c r="EM103" s="296" t="s">
        <v>332</v>
      </c>
      <c r="EN103" s="293">
        <v>0</v>
      </c>
      <c r="EO103" s="293">
        <v>242351.34566306203</v>
      </c>
      <c r="EP103" s="293">
        <v>7546.866079393667</v>
      </c>
      <c r="EQ103" s="293">
        <v>0</v>
      </c>
      <c r="ER103" s="293">
        <v>0</v>
      </c>
      <c r="ES103" s="293">
        <v>15105.707264231638</v>
      </c>
      <c r="ET103" s="293">
        <v>0</v>
      </c>
      <c r="EU103" s="293">
        <v>35.378442941566448</v>
      </c>
      <c r="EV103" s="293">
        <v>0</v>
      </c>
      <c r="EW103" s="293">
        <v>0</v>
      </c>
      <c r="EX103" s="293">
        <v>0</v>
      </c>
      <c r="EY103" s="293">
        <v>0</v>
      </c>
      <c r="EZ103" s="293">
        <v>0</v>
      </c>
      <c r="FA103" s="293">
        <v>19.302801702525496</v>
      </c>
      <c r="FB103" s="293">
        <v>0</v>
      </c>
      <c r="FC103" s="293">
        <v>121.12386342758919</v>
      </c>
      <c r="FD103" s="293">
        <v>0</v>
      </c>
      <c r="FE103" s="293">
        <v>0</v>
      </c>
      <c r="FF103" s="293">
        <v>20.141558709687203</v>
      </c>
      <c r="FG103" s="293">
        <v>0</v>
      </c>
      <c r="FH103" s="294">
        <v>265199.86567346868</v>
      </c>
    </row>
    <row r="104" spans="2:164" ht="24" x14ac:dyDescent="0.2">
      <c r="B104" s="216" t="s">
        <v>333</v>
      </c>
      <c r="C104" s="227">
        <v>0</v>
      </c>
      <c r="D104" s="228">
        <v>0</v>
      </c>
      <c r="E104" s="229">
        <v>5570</v>
      </c>
      <c r="F104" s="229">
        <v>0</v>
      </c>
      <c r="G104" s="229">
        <v>0</v>
      </c>
      <c r="H104" s="229">
        <v>70</v>
      </c>
      <c r="I104" s="229">
        <v>29</v>
      </c>
      <c r="J104" s="229">
        <v>6</v>
      </c>
      <c r="K104" s="229">
        <v>1</v>
      </c>
      <c r="L104" s="229">
        <v>28</v>
      </c>
      <c r="M104" s="229">
        <v>2</v>
      </c>
      <c r="N104" s="229">
        <v>1</v>
      </c>
      <c r="O104" s="229">
        <v>1</v>
      </c>
      <c r="P104" s="229">
        <v>0</v>
      </c>
      <c r="Q104" s="229">
        <v>0</v>
      </c>
      <c r="R104" s="229">
        <v>30</v>
      </c>
      <c r="S104" s="229">
        <v>7</v>
      </c>
      <c r="T104" s="229">
        <v>2</v>
      </c>
      <c r="U104" s="229">
        <v>78</v>
      </c>
      <c r="V104" s="229">
        <v>5</v>
      </c>
      <c r="W104" s="231">
        <v>5830</v>
      </c>
      <c r="X104" s="210"/>
      <c r="Y104" s="216" t="s">
        <v>333</v>
      </c>
      <c r="Z104" s="227">
        <v>0</v>
      </c>
      <c r="AA104" s="228">
        <v>0</v>
      </c>
      <c r="AB104" s="229">
        <v>635797.98555846524</v>
      </c>
      <c r="AC104" s="229">
        <v>0</v>
      </c>
      <c r="AD104" s="229">
        <v>0</v>
      </c>
      <c r="AE104" s="229">
        <v>4349.5975823500594</v>
      </c>
      <c r="AF104" s="229">
        <v>141.66424415753835</v>
      </c>
      <c r="AG104" s="229">
        <v>0</v>
      </c>
      <c r="AH104" s="229">
        <v>417.08157618790972</v>
      </c>
      <c r="AI104" s="229">
        <v>1068.8610138943775</v>
      </c>
      <c r="AJ104" s="229">
        <v>0</v>
      </c>
      <c r="AK104" s="253">
        <v>0</v>
      </c>
      <c r="AL104" s="253">
        <v>0</v>
      </c>
      <c r="AM104" s="253">
        <v>0</v>
      </c>
      <c r="AN104" s="253">
        <v>0</v>
      </c>
      <c r="AO104" s="253">
        <v>0</v>
      </c>
      <c r="AP104" s="253">
        <v>423.56899084101144</v>
      </c>
      <c r="AQ104" s="229">
        <v>552.6646304923338</v>
      </c>
      <c r="AR104" s="229">
        <v>2386.6539083532339</v>
      </c>
      <c r="AS104" s="229">
        <v>0</v>
      </c>
      <c r="AT104" s="231">
        <v>645138.07750474173</v>
      </c>
      <c r="AV104" s="216" t="s">
        <v>333</v>
      </c>
      <c r="AW104" s="227">
        <f t="shared" si="232"/>
        <v>0</v>
      </c>
      <c r="AX104" s="227">
        <f t="shared" si="232"/>
        <v>0</v>
      </c>
      <c r="AY104" s="227">
        <f t="shared" si="233"/>
        <v>635797.98555846524</v>
      </c>
      <c r="AZ104" s="227">
        <f t="shared" ref="AZ104:AZ105" si="243">AC104</f>
        <v>0</v>
      </c>
      <c r="BA104" s="227">
        <f t="shared" si="234"/>
        <v>0</v>
      </c>
      <c r="BB104" s="227">
        <f t="shared" si="235"/>
        <v>4349.5975823500594</v>
      </c>
      <c r="BC104" s="227">
        <f t="shared" si="236"/>
        <v>141.66424415753835</v>
      </c>
      <c r="BD104" s="227">
        <f t="shared" si="237"/>
        <v>0</v>
      </c>
      <c r="BE104" s="227">
        <f t="shared" si="238"/>
        <v>417.08157618790972</v>
      </c>
      <c r="BF104" s="227">
        <f t="shared" si="239"/>
        <v>1068.8610138943775</v>
      </c>
      <c r="BG104" s="227">
        <f t="shared" si="240"/>
        <v>0</v>
      </c>
      <c r="BH104" s="253">
        <v>0</v>
      </c>
      <c r="BI104" s="257">
        <v>0</v>
      </c>
      <c r="BJ104" s="257">
        <v>0</v>
      </c>
      <c r="BK104" s="253">
        <v>0</v>
      </c>
      <c r="BL104" s="257">
        <v>0</v>
      </c>
      <c r="BM104" s="257">
        <v>0</v>
      </c>
      <c r="BN104" s="227">
        <f t="shared" ref="BN104:BN105" si="244">AQ104</f>
        <v>552.6646304923338</v>
      </c>
      <c r="BO104" s="227">
        <f t="shared" si="241"/>
        <v>2386.6539083532339</v>
      </c>
      <c r="BP104" s="227">
        <f t="shared" si="242"/>
        <v>0</v>
      </c>
      <c r="BQ104" s="230">
        <f t="shared" si="231"/>
        <v>644714.50851390057</v>
      </c>
      <c r="BR104" s="238"/>
      <c r="BS104" s="227"/>
      <c r="BT104" s="285"/>
      <c r="BU104" s="297" t="s">
        <v>333</v>
      </c>
      <c r="BV104" s="293">
        <v>0</v>
      </c>
      <c r="BW104" s="293">
        <v>0</v>
      </c>
      <c r="BX104" s="298">
        <v>478</v>
      </c>
      <c r="BY104" s="298">
        <v>0</v>
      </c>
      <c r="BZ104" s="298">
        <v>0</v>
      </c>
      <c r="CA104" s="298">
        <v>2</v>
      </c>
      <c r="CB104" s="298">
        <v>0</v>
      </c>
      <c r="CC104" s="298">
        <v>0</v>
      </c>
      <c r="CD104" s="298">
        <v>0</v>
      </c>
      <c r="CE104" s="298">
        <v>0</v>
      </c>
      <c r="CF104" s="298">
        <v>0</v>
      </c>
      <c r="CG104" s="298">
        <v>0</v>
      </c>
      <c r="CH104" s="298">
        <v>0</v>
      </c>
      <c r="CI104" s="298">
        <v>0</v>
      </c>
      <c r="CJ104" s="298">
        <v>0</v>
      </c>
      <c r="CK104" s="298">
        <v>0</v>
      </c>
      <c r="CL104" s="298">
        <v>0</v>
      </c>
      <c r="CM104" s="298">
        <v>0</v>
      </c>
      <c r="CN104" s="298">
        <v>0</v>
      </c>
      <c r="CO104" s="298">
        <v>0</v>
      </c>
      <c r="CP104" s="299">
        <v>480</v>
      </c>
      <c r="CQ104" s="291"/>
      <c r="CR104" s="297" t="s">
        <v>333</v>
      </c>
      <c r="CS104" s="293">
        <v>0</v>
      </c>
      <c r="CT104" s="293">
        <v>0</v>
      </c>
      <c r="CU104" s="298">
        <v>96933.938137352699</v>
      </c>
      <c r="CV104" s="298">
        <v>0</v>
      </c>
      <c r="CW104" s="298">
        <v>0</v>
      </c>
      <c r="CX104" s="298">
        <v>0</v>
      </c>
      <c r="CY104" s="298">
        <v>0</v>
      </c>
      <c r="CZ104" s="298">
        <v>0</v>
      </c>
      <c r="DA104" s="298">
        <v>0</v>
      </c>
      <c r="DB104" s="298">
        <v>0</v>
      </c>
      <c r="DC104" s="298">
        <v>0</v>
      </c>
      <c r="DD104" s="298">
        <v>0</v>
      </c>
      <c r="DE104" s="298">
        <v>0</v>
      </c>
      <c r="DF104" s="298">
        <v>0</v>
      </c>
      <c r="DG104" s="298">
        <v>0</v>
      </c>
      <c r="DH104" s="298">
        <v>0</v>
      </c>
      <c r="DI104" s="298">
        <v>0</v>
      </c>
      <c r="DJ104" s="298">
        <v>0</v>
      </c>
      <c r="DK104" s="298">
        <v>0</v>
      </c>
      <c r="DL104" s="298">
        <v>0</v>
      </c>
      <c r="DM104" s="299">
        <v>96933.938137352699</v>
      </c>
      <c r="DN104" s="295"/>
      <c r="DO104" s="291"/>
      <c r="DP104" s="297" t="s">
        <v>333</v>
      </c>
      <c r="DQ104" s="293">
        <v>0</v>
      </c>
      <c r="DR104" s="293">
        <v>0</v>
      </c>
      <c r="DS104" s="298">
        <v>910</v>
      </c>
      <c r="DT104" s="298">
        <v>0</v>
      </c>
      <c r="DU104" s="298">
        <v>0</v>
      </c>
      <c r="DV104" s="298">
        <v>5</v>
      </c>
      <c r="DW104" s="298">
        <v>0</v>
      </c>
      <c r="DX104" s="298">
        <v>1</v>
      </c>
      <c r="DY104" s="298">
        <v>0</v>
      </c>
      <c r="DZ104" s="298">
        <v>0</v>
      </c>
      <c r="EA104" s="298">
        <v>0</v>
      </c>
      <c r="EB104" s="298">
        <v>0</v>
      </c>
      <c r="EC104" s="298">
        <v>0</v>
      </c>
      <c r="ED104" s="298">
        <v>0</v>
      </c>
      <c r="EE104" s="298">
        <v>0</v>
      </c>
      <c r="EF104" s="298">
        <v>1</v>
      </c>
      <c r="EG104" s="298">
        <v>0</v>
      </c>
      <c r="EH104" s="298">
        <v>0</v>
      </c>
      <c r="EI104" s="298">
        <v>4</v>
      </c>
      <c r="EJ104" s="298">
        <v>0</v>
      </c>
      <c r="EK104" s="299">
        <v>921</v>
      </c>
      <c r="EL104" s="287"/>
      <c r="EM104" s="297" t="s">
        <v>333</v>
      </c>
      <c r="EN104" s="293">
        <v>0</v>
      </c>
      <c r="EO104" s="293">
        <v>0</v>
      </c>
      <c r="EP104" s="298">
        <v>177995.68088023303</v>
      </c>
      <c r="EQ104" s="298">
        <v>0</v>
      </c>
      <c r="ER104" s="298">
        <v>0</v>
      </c>
      <c r="ES104" s="298">
        <v>27.69106749080208</v>
      </c>
      <c r="ET104" s="298">
        <v>0</v>
      </c>
      <c r="EU104" s="298">
        <v>0</v>
      </c>
      <c r="EV104" s="298">
        <v>0</v>
      </c>
      <c r="EW104" s="298">
        <v>0</v>
      </c>
      <c r="EX104" s="298">
        <v>0</v>
      </c>
      <c r="EY104" s="298">
        <v>0</v>
      </c>
      <c r="EZ104" s="298">
        <v>0</v>
      </c>
      <c r="FA104" s="298">
        <v>0</v>
      </c>
      <c r="FB104" s="298">
        <v>0</v>
      </c>
      <c r="FC104" s="298">
        <v>0</v>
      </c>
      <c r="FD104" s="298">
        <v>0</v>
      </c>
      <c r="FE104" s="298">
        <v>0</v>
      </c>
      <c r="FF104" s="298">
        <v>727.28252992407181</v>
      </c>
      <c r="FG104" s="298">
        <v>0</v>
      </c>
      <c r="FH104" s="299">
        <v>178750.65447764791</v>
      </c>
    </row>
    <row r="105" spans="2:164" x14ac:dyDescent="0.2">
      <c r="B105" s="217" t="s">
        <v>2</v>
      </c>
      <c r="C105" s="227">
        <v>944</v>
      </c>
      <c r="D105" s="228">
        <v>1456</v>
      </c>
      <c r="E105" s="208">
        <v>1236</v>
      </c>
      <c r="F105" s="208">
        <v>21399</v>
      </c>
      <c r="G105" s="208">
        <v>188</v>
      </c>
      <c r="H105" s="208">
        <v>800</v>
      </c>
      <c r="I105" s="208">
        <v>296</v>
      </c>
      <c r="J105" s="208">
        <v>9</v>
      </c>
      <c r="K105" s="208">
        <v>34</v>
      </c>
      <c r="L105" s="208">
        <v>236</v>
      </c>
      <c r="M105" s="208">
        <v>56</v>
      </c>
      <c r="N105" s="208">
        <v>20</v>
      </c>
      <c r="O105" s="208">
        <v>5</v>
      </c>
      <c r="P105" s="208">
        <v>15</v>
      </c>
      <c r="Q105" s="208">
        <v>3</v>
      </c>
      <c r="R105" s="208">
        <v>69</v>
      </c>
      <c r="S105" s="208">
        <v>8</v>
      </c>
      <c r="T105" s="208">
        <v>3</v>
      </c>
      <c r="U105" s="208">
        <v>252</v>
      </c>
      <c r="V105" s="208">
        <v>19</v>
      </c>
      <c r="W105" s="222">
        <v>27048</v>
      </c>
      <c r="X105" s="209"/>
      <c r="Y105" s="217" t="s">
        <v>2</v>
      </c>
      <c r="Z105" s="227">
        <v>73932.884690207356</v>
      </c>
      <c r="AA105" s="228">
        <v>81499.475162655945</v>
      </c>
      <c r="AB105" s="208">
        <v>47467.351624352217</v>
      </c>
      <c r="AC105" s="208">
        <v>2059207.8689737492</v>
      </c>
      <c r="AD105" s="258">
        <v>10774.257533970451</v>
      </c>
      <c r="AE105" s="208">
        <v>44669.366222268771</v>
      </c>
      <c r="AF105" s="208">
        <v>9374.7919544697234</v>
      </c>
      <c r="AG105" s="208">
        <v>75.449603994959318</v>
      </c>
      <c r="AH105" s="208">
        <v>3811.9048760092537</v>
      </c>
      <c r="AI105" s="208">
        <v>6701.7127360752111</v>
      </c>
      <c r="AJ105" s="208">
        <v>2562.1806787183618</v>
      </c>
      <c r="AK105" s="252">
        <v>29182.981742815926</v>
      </c>
      <c r="AL105" s="252">
        <v>75.951016080521825</v>
      </c>
      <c r="AM105" s="252">
        <v>171.96361250758679</v>
      </c>
      <c r="AN105" s="252">
        <v>0</v>
      </c>
      <c r="AO105" s="252">
        <v>2822.4829006724663</v>
      </c>
      <c r="AP105" s="252">
        <v>49.323291591178737</v>
      </c>
      <c r="AQ105" s="208">
        <v>588.2710109388413</v>
      </c>
      <c r="AR105" s="208">
        <v>3120.6018016510247</v>
      </c>
      <c r="AS105" s="208">
        <v>437.85909870668519</v>
      </c>
      <c r="AT105" s="222">
        <v>2376526.6785314362</v>
      </c>
      <c r="AV105" s="217" t="s">
        <v>2</v>
      </c>
      <c r="AW105" s="227">
        <f t="shared" si="232"/>
        <v>73932.884690207356</v>
      </c>
      <c r="AX105" s="227">
        <f t="shared" si="232"/>
        <v>81499.475162655945</v>
      </c>
      <c r="AY105" s="227">
        <f t="shared" si="233"/>
        <v>47467.351624352217</v>
      </c>
      <c r="AZ105" s="227">
        <f t="shared" si="243"/>
        <v>2059207.8689737492</v>
      </c>
      <c r="BA105" s="227">
        <f t="shared" si="234"/>
        <v>10774.257533970451</v>
      </c>
      <c r="BB105" s="227">
        <f t="shared" si="235"/>
        <v>44669.366222268771</v>
      </c>
      <c r="BC105" s="227">
        <f t="shared" si="236"/>
        <v>9374.7919544697234</v>
      </c>
      <c r="BD105" s="227">
        <f t="shared" si="237"/>
        <v>75.449603994959318</v>
      </c>
      <c r="BE105" s="227">
        <f t="shared" si="238"/>
        <v>3811.9048760092537</v>
      </c>
      <c r="BF105" s="227">
        <f t="shared" si="239"/>
        <v>6701.7127360752111</v>
      </c>
      <c r="BG105" s="227">
        <f t="shared" si="240"/>
        <v>2562.1806787183618</v>
      </c>
      <c r="BH105" s="252">
        <v>0</v>
      </c>
      <c r="BI105" s="255">
        <v>0</v>
      </c>
      <c r="BJ105" s="255">
        <v>0</v>
      </c>
      <c r="BK105" s="255">
        <v>0</v>
      </c>
      <c r="BL105" s="255">
        <v>0</v>
      </c>
      <c r="BM105" s="255">
        <v>0</v>
      </c>
      <c r="BN105" s="227">
        <f t="shared" si="244"/>
        <v>588.2710109388413</v>
      </c>
      <c r="BO105" s="227">
        <f t="shared" si="241"/>
        <v>3120.6018016510247</v>
      </c>
      <c r="BP105" s="227">
        <f t="shared" si="242"/>
        <v>437.85909870668519</v>
      </c>
      <c r="BQ105" s="230">
        <f t="shared" si="231"/>
        <v>2344223.9759677681</v>
      </c>
      <c r="BR105" s="214"/>
      <c r="BS105" s="227"/>
      <c r="BT105" s="286"/>
      <c r="BU105" s="300" t="s">
        <v>2</v>
      </c>
      <c r="BV105" s="293">
        <v>42</v>
      </c>
      <c r="BW105" s="293">
        <v>90</v>
      </c>
      <c r="BX105" s="258">
        <v>76</v>
      </c>
      <c r="BY105" s="258">
        <v>1022</v>
      </c>
      <c r="BZ105" s="258">
        <v>8</v>
      </c>
      <c r="CA105" s="258">
        <v>2</v>
      </c>
      <c r="CB105" s="258">
        <v>0</v>
      </c>
      <c r="CC105" s="258">
        <v>0</v>
      </c>
      <c r="CD105" s="258">
        <v>5</v>
      </c>
      <c r="CE105" s="258">
        <v>0</v>
      </c>
      <c r="CF105" s="258">
        <v>0</v>
      </c>
      <c r="CG105" s="258">
        <v>0</v>
      </c>
      <c r="CH105" s="258">
        <v>0</v>
      </c>
      <c r="CI105" s="258">
        <v>0</v>
      </c>
      <c r="CJ105" s="258">
        <v>0</v>
      </c>
      <c r="CK105" s="258">
        <v>0</v>
      </c>
      <c r="CL105" s="258">
        <v>0</v>
      </c>
      <c r="CM105" s="258">
        <v>0</v>
      </c>
      <c r="CN105" s="258">
        <v>1</v>
      </c>
      <c r="CO105" s="258">
        <v>0</v>
      </c>
      <c r="CP105" s="301">
        <v>1246</v>
      </c>
      <c r="CQ105" s="302"/>
      <c r="CR105" s="300" t="s">
        <v>2</v>
      </c>
      <c r="CS105" s="293">
        <v>4378.4571163278342</v>
      </c>
      <c r="CT105" s="293">
        <v>10491.152272537482</v>
      </c>
      <c r="CU105" s="258">
        <v>5357.7402695343335</v>
      </c>
      <c r="CV105" s="258">
        <v>187731.23591223362</v>
      </c>
      <c r="CW105" s="258">
        <v>134.97204638469489</v>
      </c>
      <c r="CX105" s="258">
        <v>0</v>
      </c>
      <c r="CY105" s="258">
        <v>0</v>
      </c>
      <c r="CZ105" s="258">
        <v>0</v>
      </c>
      <c r="DA105" s="258">
        <v>0</v>
      </c>
      <c r="DB105" s="258">
        <v>0</v>
      </c>
      <c r="DC105" s="258">
        <v>0</v>
      </c>
      <c r="DD105" s="258">
        <v>0</v>
      </c>
      <c r="DE105" s="258">
        <v>0</v>
      </c>
      <c r="DF105" s="258">
        <v>0</v>
      </c>
      <c r="DG105" s="258">
        <v>0</v>
      </c>
      <c r="DH105" s="258">
        <v>0</v>
      </c>
      <c r="DI105" s="258">
        <v>0</v>
      </c>
      <c r="DJ105" s="258">
        <v>0</v>
      </c>
      <c r="DK105" s="258">
        <v>0</v>
      </c>
      <c r="DL105" s="258">
        <v>0</v>
      </c>
      <c r="DM105" s="301">
        <v>208093.55761701797</v>
      </c>
      <c r="DN105" s="291"/>
      <c r="DO105" s="302"/>
      <c r="DP105" s="300" t="s">
        <v>2</v>
      </c>
      <c r="DQ105" s="293">
        <v>118</v>
      </c>
      <c r="DR105" s="293">
        <v>193</v>
      </c>
      <c r="DS105" s="258">
        <v>158</v>
      </c>
      <c r="DT105" s="258">
        <v>1881</v>
      </c>
      <c r="DU105" s="258">
        <v>9</v>
      </c>
      <c r="DV105" s="258">
        <v>4</v>
      </c>
      <c r="DW105" s="258">
        <v>0</v>
      </c>
      <c r="DX105" s="258">
        <v>3</v>
      </c>
      <c r="DY105" s="258">
        <v>7</v>
      </c>
      <c r="DZ105" s="258">
        <v>2</v>
      </c>
      <c r="EA105" s="258">
        <v>2</v>
      </c>
      <c r="EB105" s="258">
        <v>0</v>
      </c>
      <c r="EC105" s="258">
        <v>0</v>
      </c>
      <c r="ED105" s="258">
        <v>0</v>
      </c>
      <c r="EE105" s="258">
        <v>1</v>
      </c>
      <c r="EF105" s="258">
        <v>0</v>
      </c>
      <c r="EG105" s="258">
        <v>0</v>
      </c>
      <c r="EH105" s="258">
        <v>0</v>
      </c>
      <c r="EI105" s="258">
        <v>4</v>
      </c>
      <c r="EJ105" s="258">
        <v>0</v>
      </c>
      <c r="EK105" s="301">
        <v>2382</v>
      </c>
      <c r="EL105" s="287"/>
      <c r="EM105" s="300" t="s">
        <v>2</v>
      </c>
      <c r="EN105" s="293">
        <v>5720.9950504010558</v>
      </c>
      <c r="EO105" s="293">
        <v>31229.747765486685</v>
      </c>
      <c r="EP105" s="258">
        <v>14070.016587424027</v>
      </c>
      <c r="EQ105" s="258">
        <v>292420.74677687732</v>
      </c>
      <c r="ER105" s="258">
        <v>148.34024195193376</v>
      </c>
      <c r="ES105" s="258">
        <v>31.178021720764892</v>
      </c>
      <c r="ET105" s="258">
        <v>0</v>
      </c>
      <c r="EU105" s="258">
        <v>37.724801997479659</v>
      </c>
      <c r="EV105" s="258">
        <v>89.96091794006324</v>
      </c>
      <c r="EW105" s="258">
        <v>1700.6296668702507</v>
      </c>
      <c r="EX105" s="258">
        <v>0</v>
      </c>
      <c r="EY105" s="258">
        <v>0</v>
      </c>
      <c r="EZ105" s="258">
        <v>0</v>
      </c>
      <c r="FA105" s="258">
        <v>0</v>
      </c>
      <c r="FB105" s="258">
        <v>0</v>
      </c>
      <c r="FC105" s="258">
        <v>0</v>
      </c>
      <c r="FD105" s="258">
        <v>0</v>
      </c>
      <c r="FE105" s="258">
        <v>0</v>
      </c>
      <c r="FF105" s="258">
        <v>727.28252992407181</v>
      </c>
      <c r="FG105" s="258">
        <v>0</v>
      </c>
      <c r="FH105" s="301">
        <v>346176.6223605937</v>
      </c>
    </row>
    <row r="106" spans="2:164" x14ac:dyDescent="0.2">
      <c r="B106" s="217" t="s">
        <v>3</v>
      </c>
      <c r="C106" s="227">
        <v>97</v>
      </c>
      <c r="D106" s="228">
        <v>86</v>
      </c>
      <c r="E106" s="208">
        <v>40</v>
      </c>
      <c r="F106" s="208">
        <v>0</v>
      </c>
      <c r="G106" s="208">
        <v>2004</v>
      </c>
      <c r="H106" s="208">
        <v>43</v>
      </c>
      <c r="I106" s="208">
        <v>13</v>
      </c>
      <c r="J106" s="208">
        <v>5</v>
      </c>
      <c r="K106" s="208">
        <v>0</v>
      </c>
      <c r="L106" s="208">
        <v>31</v>
      </c>
      <c r="M106" s="208">
        <v>5</v>
      </c>
      <c r="N106" s="208">
        <v>0</v>
      </c>
      <c r="O106" s="208">
        <v>0</v>
      </c>
      <c r="P106" s="208">
        <v>0</v>
      </c>
      <c r="Q106" s="208">
        <v>0</v>
      </c>
      <c r="R106" s="208">
        <v>2</v>
      </c>
      <c r="S106" s="208">
        <v>0</v>
      </c>
      <c r="T106" s="208">
        <v>0</v>
      </c>
      <c r="U106" s="208">
        <v>16</v>
      </c>
      <c r="V106" s="208">
        <v>1</v>
      </c>
      <c r="W106" s="222">
        <v>2343</v>
      </c>
      <c r="X106" s="209"/>
      <c r="Y106" s="217" t="s">
        <v>3</v>
      </c>
      <c r="Z106" s="251">
        <v>1517.4590965198097</v>
      </c>
      <c r="AA106" s="251">
        <v>2826.7716657140572</v>
      </c>
      <c r="AB106" s="252">
        <v>186.11651212514462</v>
      </c>
      <c r="AC106" s="252">
        <v>0</v>
      </c>
      <c r="AD106" s="208">
        <v>164932.91486768174</v>
      </c>
      <c r="AE106" s="252">
        <v>17558.349088831659</v>
      </c>
      <c r="AF106" s="252">
        <v>341.39218352556179</v>
      </c>
      <c r="AG106" s="252">
        <v>71.21403107219858</v>
      </c>
      <c r="AH106" s="252">
        <v>0</v>
      </c>
      <c r="AI106" s="252">
        <v>339.67803745932815</v>
      </c>
      <c r="AJ106" s="252">
        <v>0</v>
      </c>
      <c r="AK106" s="252">
        <v>0</v>
      </c>
      <c r="AL106" s="252">
        <v>0</v>
      </c>
      <c r="AM106" s="252">
        <v>0</v>
      </c>
      <c r="AN106" s="252">
        <v>0</v>
      </c>
      <c r="AO106" s="252">
        <v>0</v>
      </c>
      <c r="AP106" s="252">
        <v>0</v>
      </c>
      <c r="AQ106" s="252">
        <v>0</v>
      </c>
      <c r="AR106" s="252">
        <v>90.100826244395876</v>
      </c>
      <c r="AS106" s="252">
        <v>0</v>
      </c>
      <c r="AT106" s="222">
        <v>187863.9963091739</v>
      </c>
      <c r="AV106" s="217" t="s">
        <v>3</v>
      </c>
      <c r="AW106" s="232">
        <v>0</v>
      </c>
      <c r="AX106" s="232">
        <v>0</v>
      </c>
      <c r="AY106" s="255">
        <v>0</v>
      </c>
      <c r="AZ106" s="252">
        <v>0</v>
      </c>
      <c r="BA106" s="227">
        <f t="shared" si="234"/>
        <v>164932.91486768174</v>
      </c>
      <c r="BB106" s="252">
        <v>0</v>
      </c>
      <c r="BC106" s="252">
        <v>0</v>
      </c>
      <c r="BD106" s="252">
        <v>0</v>
      </c>
      <c r="BE106" s="252">
        <v>0</v>
      </c>
      <c r="BF106" s="252">
        <v>0</v>
      </c>
      <c r="BG106" s="252">
        <v>0</v>
      </c>
      <c r="BH106" s="252">
        <v>0</v>
      </c>
      <c r="BI106" s="252">
        <v>0</v>
      </c>
      <c r="BJ106" s="252">
        <v>0</v>
      </c>
      <c r="BK106" s="252">
        <v>0</v>
      </c>
      <c r="BL106" s="255">
        <v>0</v>
      </c>
      <c r="BM106" s="252">
        <v>0</v>
      </c>
      <c r="BN106" s="255">
        <v>0</v>
      </c>
      <c r="BO106" s="255">
        <v>0</v>
      </c>
      <c r="BP106" s="252">
        <v>0</v>
      </c>
      <c r="BQ106" s="230">
        <f t="shared" si="231"/>
        <v>164932.91486768174</v>
      </c>
      <c r="BR106" s="214"/>
      <c r="BS106" s="227"/>
      <c r="BT106" s="286"/>
      <c r="BU106" s="300" t="s">
        <v>3</v>
      </c>
      <c r="BV106" s="293">
        <v>1</v>
      </c>
      <c r="BW106" s="293">
        <v>0</v>
      </c>
      <c r="BX106" s="258">
        <v>0</v>
      </c>
      <c r="BY106" s="258">
        <v>0</v>
      </c>
      <c r="BZ106" s="258">
        <v>75</v>
      </c>
      <c r="CA106" s="258">
        <v>0</v>
      </c>
      <c r="CB106" s="258">
        <v>0</v>
      </c>
      <c r="CC106" s="258">
        <v>0</v>
      </c>
      <c r="CD106" s="258">
        <v>0</v>
      </c>
      <c r="CE106" s="258">
        <v>0</v>
      </c>
      <c r="CF106" s="258">
        <v>0</v>
      </c>
      <c r="CG106" s="258">
        <v>0</v>
      </c>
      <c r="CH106" s="258">
        <v>0</v>
      </c>
      <c r="CI106" s="258">
        <v>0</v>
      </c>
      <c r="CJ106" s="258">
        <v>0</v>
      </c>
      <c r="CK106" s="258">
        <v>0</v>
      </c>
      <c r="CL106" s="258">
        <v>0</v>
      </c>
      <c r="CM106" s="258">
        <v>0</v>
      </c>
      <c r="CN106" s="258">
        <v>0</v>
      </c>
      <c r="CO106" s="258">
        <v>0</v>
      </c>
      <c r="CP106" s="301">
        <v>76</v>
      </c>
      <c r="CQ106" s="302"/>
      <c r="CR106" s="300" t="s">
        <v>3</v>
      </c>
      <c r="CS106" s="293">
        <v>0</v>
      </c>
      <c r="CT106" s="293">
        <v>0</v>
      </c>
      <c r="CU106" s="258">
        <v>0</v>
      </c>
      <c r="CV106" s="258">
        <v>0</v>
      </c>
      <c r="CW106" s="258">
        <v>27475.51521366974</v>
      </c>
      <c r="CX106" s="258">
        <v>0</v>
      </c>
      <c r="CY106" s="258">
        <v>0</v>
      </c>
      <c r="CZ106" s="258">
        <v>0</v>
      </c>
      <c r="DA106" s="258">
        <v>0</v>
      </c>
      <c r="DB106" s="258">
        <v>0</v>
      </c>
      <c r="DC106" s="258">
        <v>0</v>
      </c>
      <c r="DD106" s="258">
        <v>0</v>
      </c>
      <c r="DE106" s="258">
        <v>0</v>
      </c>
      <c r="DF106" s="258">
        <v>0</v>
      </c>
      <c r="DG106" s="258">
        <v>0</v>
      </c>
      <c r="DH106" s="258">
        <v>0</v>
      </c>
      <c r="DI106" s="258">
        <v>0</v>
      </c>
      <c r="DJ106" s="258">
        <v>0</v>
      </c>
      <c r="DK106" s="258">
        <v>0</v>
      </c>
      <c r="DL106" s="258">
        <v>0</v>
      </c>
      <c r="DM106" s="301">
        <v>27475.51521366974</v>
      </c>
      <c r="DN106" s="302"/>
      <c r="DO106" s="302"/>
      <c r="DP106" s="300" t="s">
        <v>3</v>
      </c>
      <c r="DQ106" s="293">
        <v>26</v>
      </c>
      <c r="DR106" s="293">
        <v>31</v>
      </c>
      <c r="DS106" s="258">
        <v>11</v>
      </c>
      <c r="DT106" s="258">
        <v>0</v>
      </c>
      <c r="DU106" s="258">
        <v>202</v>
      </c>
      <c r="DV106" s="258">
        <v>0</v>
      </c>
      <c r="DW106" s="258">
        <v>0</v>
      </c>
      <c r="DX106" s="258">
        <v>2</v>
      </c>
      <c r="DY106" s="258">
        <v>0</v>
      </c>
      <c r="DZ106" s="258">
        <v>0</v>
      </c>
      <c r="EA106" s="258">
        <v>0</v>
      </c>
      <c r="EB106" s="258">
        <v>0</v>
      </c>
      <c r="EC106" s="258">
        <v>0</v>
      </c>
      <c r="ED106" s="258">
        <v>0</v>
      </c>
      <c r="EE106" s="258">
        <v>0</v>
      </c>
      <c r="EF106" s="258">
        <v>0</v>
      </c>
      <c r="EG106" s="258">
        <v>0</v>
      </c>
      <c r="EH106" s="258">
        <v>0</v>
      </c>
      <c r="EI106" s="258">
        <v>2</v>
      </c>
      <c r="EJ106" s="258">
        <v>0</v>
      </c>
      <c r="EK106" s="301">
        <v>274</v>
      </c>
      <c r="EL106" s="287"/>
      <c r="EM106" s="300" t="s">
        <v>3</v>
      </c>
      <c r="EN106" s="293">
        <v>554.79450222501407</v>
      </c>
      <c r="EO106" s="293">
        <v>1711.1720377312204</v>
      </c>
      <c r="EP106" s="258">
        <v>0</v>
      </c>
      <c r="EQ106" s="258">
        <v>0</v>
      </c>
      <c r="ER106" s="258">
        <v>63445.926423549914</v>
      </c>
      <c r="ES106" s="258">
        <v>0</v>
      </c>
      <c r="ET106" s="258">
        <v>0</v>
      </c>
      <c r="EU106" s="258">
        <v>0</v>
      </c>
      <c r="EV106" s="258">
        <v>0</v>
      </c>
      <c r="EW106" s="258">
        <v>0</v>
      </c>
      <c r="EX106" s="258">
        <v>0</v>
      </c>
      <c r="EY106" s="258">
        <v>0</v>
      </c>
      <c r="EZ106" s="258">
        <v>0</v>
      </c>
      <c r="FA106" s="258">
        <v>0</v>
      </c>
      <c r="FB106" s="258">
        <v>0</v>
      </c>
      <c r="FC106" s="258">
        <v>0</v>
      </c>
      <c r="FD106" s="258">
        <v>0</v>
      </c>
      <c r="FE106" s="258">
        <v>0</v>
      </c>
      <c r="FF106" s="258">
        <v>0</v>
      </c>
      <c r="FG106" s="258">
        <v>0</v>
      </c>
      <c r="FH106" s="301">
        <v>65711.89296350615</v>
      </c>
    </row>
    <row r="107" spans="2:164" x14ac:dyDescent="0.2">
      <c r="B107" s="217" t="s">
        <v>334</v>
      </c>
      <c r="C107" s="227">
        <v>0</v>
      </c>
      <c r="D107" s="228">
        <v>0</v>
      </c>
      <c r="E107" s="208">
        <v>0</v>
      </c>
      <c r="F107" s="208">
        <v>0</v>
      </c>
      <c r="G107" s="208">
        <v>0</v>
      </c>
      <c r="H107" s="208">
        <v>1338</v>
      </c>
      <c r="I107" s="208">
        <v>95</v>
      </c>
      <c r="J107" s="208">
        <v>0</v>
      </c>
      <c r="K107" s="208">
        <v>24</v>
      </c>
      <c r="L107" s="208">
        <v>44</v>
      </c>
      <c r="M107" s="208">
        <v>19</v>
      </c>
      <c r="N107" s="208">
        <v>6</v>
      </c>
      <c r="O107" s="208">
        <v>0</v>
      </c>
      <c r="P107" s="208">
        <v>2</v>
      </c>
      <c r="Q107" s="208">
        <v>0</v>
      </c>
      <c r="R107" s="208">
        <v>5</v>
      </c>
      <c r="S107" s="208">
        <v>0</v>
      </c>
      <c r="T107" s="208">
        <v>0</v>
      </c>
      <c r="U107" s="208">
        <v>0</v>
      </c>
      <c r="V107" s="208">
        <v>0</v>
      </c>
      <c r="W107" s="222">
        <v>1533</v>
      </c>
      <c r="Y107" s="217" t="s">
        <v>334</v>
      </c>
      <c r="Z107" s="227">
        <v>0</v>
      </c>
      <c r="AA107" s="228">
        <v>0</v>
      </c>
      <c r="AB107" s="252">
        <v>0</v>
      </c>
      <c r="AC107" s="208">
        <v>0</v>
      </c>
      <c r="AD107" s="208">
        <v>0</v>
      </c>
      <c r="AE107" s="208">
        <v>110435.70611529661</v>
      </c>
      <c r="AF107" s="208">
        <v>2410.2375781579744</v>
      </c>
      <c r="AG107" s="208">
        <v>0</v>
      </c>
      <c r="AH107" s="208">
        <v>466.06144124633994</v>
      </c>
      <c r="AI107" s="208">
        <v>1579.9061286007027</v>
      </c>
      <c r="AJ107" s="208">
        <v>3458.1171221904001</v>
      </c>
      <c r="AK107" s="252">
        <v>2546.9154766129745</v>
      </c>
      <c r="AL107" s="252">
        <v>0</v>
      </c>
      <c r="AM107" s="252">
        <v>0</v>
      </c>
      <c r="AN107" s="252">
        <v>0</v>
      </c>
      <c r="AO107" s="252">
        <v>157.04877376551838</v>
      </c>
      <c r="AP107" s="252">
        <v>0</v>
      </c>
      <c r="AQ107" s="208">
        <v>0</v>
      </c>
      <c r="AR107" s="208">
        <v>0</v>
      </c>
      <c r="AS107" s="208">
        <v>0</v>
      </c>
      <c r="AT107" s="222">
        <v>121053.99263587051</v>
      </c>
      <c r="AV107" s="217" t="s">
        <v>334</v>
      </c>
      <c r="AW107" s="227">
        <f>Z107</f>
        <v>0</v>
      </c>
      <c r="AX107" s="227">
        <f>AA107</f>
        <v>0</v>
      </c>
      <c r="AY107" s="255">
        <v>0</v>
      </c>
      <c r="AZ107" s="227">
        <f t="shared" ref="AZ107:AZ121" si="245">AC107</f>
        <v>0</v>
      </c>
      <c r="BA107" s="227">
        <f t="shared" si="234"/>
        <v>0</v>
      </c>
      <c r="BB107" s="227">
        <f t="shared" ref="BB107:BB112" si="246">AE107</f>
        <v>110435.70611529661</v>
      </c>
      <c r="BC107" s="227">
        <f t="shared" ref="BC107:BC112" si="247">AF107</f>
        <v>2410.2375781579744</v>
      </c>
      <c r="BD107" s="227">
        <f t="shared" ref="BD107:BD112" si="248">AG107</f>
        <v>0</v>
      </c>
      <c r="BE107" s="227">
        <f t="shared" ref="BE107:BE112" si="249">AH107</f>
        <v>466.06144124633994</v>
      </c>
      <c r="BF107" s="227">
        <f t="shared" ref="BF107:BF112" si="250">AI107</f>
        <v>1579.9061286007027</v>
      </c>
      <c r="BG107" s="227">
        <f t="shared" ref="BG107:BG112" si="251">AJ107</f>
        <v>3458.1171221904001</v>
      </c>
      <c r="BH107" s="255">
        <v>0</v>
      </c>
      <c r="BI107" s="255">
        <v>0</v>
      </c>
      <c r="BJ107" s="255">
        <v>0</v>
      </c>
      <c r="BK107" s="255">
        <v>0</v>
      </c>
      <c r="BL107" s="252">
        <v>0</v>
      </c>
      <c r="BM107" s="255">
        <v>0</v>
      </c>
      <c r="BN107" s="208">
        <f>AQ107</f>
        <v>0</v>
      </c>
      <c r="BO107" s="208">
        <f t="shared" ref="BO107:BO121" si="252">AR107</f>
        <v>0</v>
      </c>
      <c r="BP107" s="208">
        <f t="shared" ref="BP107:BP121" si="253">AS107</f>
        <v>0</v>
      </c>
      <c r="BQ107" s="230">
        <f t="shared" si="231"/>
        <v>118350.02838549201</v>
      </c>
      <c r="BR107" s="214"/>
      <c r="BS107" s="227"/>
      <c r="BT107" s="286"/>
      <c r="BU107" s="300" t="s">
        <v>334</v>
      </c>
      <c r="BV107" s="293">
        <v>0</v>
      </c>
      <c r="BW107" s="293">
        <v>0</v>
      </c>
      <c r="BX107" s="258">
        <v>0</v>
      </c>
      <c r="BY107" s="258">
        <v>0</v>
      </c>
      <c r="BZ107" s="258">
        <v>0</v>
      </c>
      <c r="CA107" s="258">
        <v>8</v>
      </c>
      <c r="CB107" s="258">
        <v>0</v>
      </c>
      <c r="CC107" s="258">
        <v>0</v>
      </c>
      <c r="CD107" s="258">
        <v>1</v>
      </c>
      <c r="CE107" s="258">
        <v>0</v>
      </c>
      <c r="CF107" s="258">
        <v>1</v>
      </c>
      <c r="CG107" s="258">
        <v>0</v>
      </c>
      <c r="CH107" s="258">
        <v>0</v>
      </c>
      <c r="CI107" s="258">
        <v>0</v>
      </c>
      <c r="CJ107" s="258">
        <v>0</v>
      </c>
      <c r="CK107" s="258">
        <v>0</v>
      </c>
      <c r="CL107" s="258">
        <v>0</v>
      </c>
      <c r="CM107" s="258">
        <v>0</v>
      </c>
      <c r="CN107" s="258">
        <v>0</v>
      </c>
      <c r="CO107" s="258">
        <v>0</v>
      </c>
      <c r="CP107" s="301">
        <v>10</v>
      </c>
      <c r="CQ107" s="302"/>
      <c r="CR107" s="300" t="s">
        <v>334</v>
      </c>
      <c r="CS107" s="293">
        <v>0</v>
      </c>
      <c r="CT107" s="293">
        <v>0</v>
      </c>
      <c r="CU107" s="258">
        <v>0</v>
      </c>
      <c r="CV107" s="258">
        <v>0</v>
      </c>
      <c r="CW107" s="258">
        <v>0</v>
      </c>
      <c r="CX107" s="258">
        <v>8558.8973271091199</v>
      </c>
      <c r="CY107" s="258">
        <v>0</v>
      </c>
      <c r="CZ107" s="258">
        <v>0</v>
      </c>
      <c r="DA107" s="258">
        <v>0</v>
      </c>
      <c r="DB107" s="258">
        <v>0</v>
      </c>
      <c r="DC107" s="258">
        <v>0</v>
      </c>
      <c r="DD107" s="258">
        <v>0</v>
      </c>
      <c r="DE107" s="258">
        <v>0</v>
      </c>
      <c r="DF107" s="258">
        <v>0</v>
      </c>
      <c r="DG107" s="258">
        <v>0</v>
      </c>
      <c r="DH107" s="258">
        <v>0</v>
      </c>
      <c r="DI107" s="258">
        <v>0</v>
      </c>
      <c r="DJ107" s="258">
        <v>0</v>
      </c>
      <c r="DK107" s="258">
        <v>0</v>
      </c>
      <c r="DL107" s="258">
        <v>0</v>
      </c>
      <c r="DM107" s="301">
        <v>8558.8973271091199</v>
      </c>
      <c r="DN107" s="302"/>
      <c r="DO107" s="302"/>
      <c r="DP107" s="300" t="s">
        <v>334</v>
      </c>
      <c r="DQ107" s="293">
        <v>0</v>
      </c>
      <c r="DR107" s="293">
        <v>0</v>
      </c>
      <c r="DS107" s="258">
        <v>0</v>
      </c>
      <c r="DT107" s="258">
        <v>0</v>
      </c>
      <c r="DU107" s="258">
        <v>0</v>
      </c>
      <c r="DV107" s="258">
        <v>17</v>
      </c>
      <c r="DW107" s="258">
        <v>0</v>
      </c>
      <c r="DX107" s="258">
        <v>0</v>
      </c>
      <c r="DY107" s="258">
        <v>3</v>
      </c>
      <c r="DZ107" s="258">
        <v>0</v>
      </c>
      <c r="EA107" s="258">
        <v>4</v>
      </c>
      <c r="EB107" s="258">
        <v>0</v>
      </c>
      <c r="EC107" s="258">
        <v>0</v>
      </c>
      <c r="ED107" s="258">
        <v>0</v>
      </c>
      <c r="EE107" s="258">
        <v>0</v>
      </c>
      <c r="EF107" s="258">
        <v>0</v>
      </c>
      <c r="EG107" s="258">
        <v>0</v>
      </c>
      <c r="EH107" s="258">
        <v>0</v>
      </c>
      <c r="EI107" s="258">
        <v>0</v>
      </c>
      <c r="EJ107" s="258">
        <v>0</v>
      </c>
      <c r="EK107" s="301">
        <v>24</v>
      </c>
      <c r="EL107" s="287"/>
      <c r="EM107" s="300" t="s">
        <v>334</v>
      </c>
      <c r="EN107" s="293">
        <v>0</v>
      </c>
      <c r="EO107" s="293">
        <v>0</v>
      </c>
      <c r="EP107" s="258">
        <v>0</v>
      </c>
      <c r="EQ107" s="258">
        <v>0</v>
      </c>
      <c r="ER107" s="258">
        <v>0</v>
      </c>
      <c r="ES107" s="258">
        <v>8673.148551302289</v>
      </c>
      <c r="ET107" s="258">
        <v>0</v>
      </c>
      <c r="EU107" s="258">
        <v>0</v>
      </c>
      <c r="EV107" s="258">
        <v>89.96091794006324</v>
      </c>
      <c r="EW107" s="258">
        <v>0</v>
      </c>
      <c r="EX107" s="258">
        <v>2822.0142233741312</v>
      </c>
      <c r="EY107" s="258">
        <v>0</v>
      </c>
      <c r="EZ107" s="258">
        <v>0</v>
      </c>
      <c r="FA107" s="258">
        <v>0</v>
      </c>
      <c r="FB107" s="258">
        <v>0</v>
      </c>
      <c r="FC107" s="258">
        <v>0</v>
      </c>
      <c r="FD107" s="258">
        <v>0</v>
      </c>
      <c r="FE107" s="258">
        <v>0</v>
      </c>
      <c r="FF107" s="258">
        <v>0</v>
      </c>
      <c r="FG107" s="258">
        <v>0</v>
      </c>
      <c r="FH107" s="301">
        <v>11585.123692616484</v>
      </c>
    </row>
    <row r="108" spans="2:164" x14ac:dyDescent="0.2">
      <c r="B108" s="217" t="s">
        <v>352</v>
      </c>
      <c r="C108" s="227">
        <v>0</v>
      </c>
      <c r="D108" s="228">
        <v>0</v>
      </c>
      <c r="E108" s="208">
        <v>0</v>
      </c>
      <c r="F108" s="208">
        <v>0</v>
      </c>
      <c r="G108" s="208">
        <v>0</v>
      </c>
      <c r="H108" s="208">
        <v>0</v>
      </c>
      <c r="I108" s="208">
        <v>584</v>
      </c>
      <c r="J108" s="208">
        <v>1</v>
      </c>
      <c r="K108" s="208">
        <v>6</v>
      </c>
      <c r="L108" s="208">
        <v>17</v>
      </c>
      <c r="M108" s="208">
        <v>2</v>
      </c>
      <c r="N108" s="208">
        <v>0</v>
      </c>
      <c r="O108" s="208">
        <v>3</v>
      </c>
      <c r="P108" s="208">
        <v>1</v>
      </c>
      <c r="Q108" s="208">
        <v>0</v>
      </c>
      <c r="R108" s="208">
        <v>1</v>
      </c>
      <c r="S108" s="208">
        <v>0</v>
      </c>
      <c r="T108" s="208">
        <v>0</v>
      </c>
      <c r="U108" s="208">
        <v>0</v>
      </c>
      <c r="V108" s="208">
        <v>0</v>
      </c>
      <c r="W108" s="222">
        <v>615</v>
      </c>
      <c r="Y108" s="217" t="s">
        <v>352</v>
      </c>
      <c r="Z108" s="227">
        <v>0</v>
      </c>
      <c r="AA108" s="228">
        <v>0</v>
      </c>
      <c r="AB108" s="208">
        <v>0</v>
      </c>
      <c r="AC108" s="208">
        <v>0</v>
      </c>
      <c r="AD108" s="208">
        <v>0</v>
      </c>
      <c r="AE108" s="208">
        <v>0</v>
      </c>
      <c r="AF108" s="208">
        <v>28612.29595831233</v>
      </c>
      <c r="AG108" s="208">
        <v>0</v>
      </c>
      <c r="AH108" s="208">
        <v>121.57370928345263</v>
      </c>
      <c r="AI108" s="208">
        <v>280.42600324927719</v>
      </c>
      <c r="AJ108" s="208">
        <v>69.476801749960771</v>
      </c>
      <c r="AK108" s="252">
        <v>0</v>
      </c>
      <c r="AL108" s="252">
        <v>286.49887505756561</v>
      </c>
      <c r="AM108" s="252">
        <v>0</v>
      </c>
      <c r="AN108" s="252">
        <v>0</v>
      </c>
      <c r="AO108" s="252">
        <v>0</v>
      </c>
      <c r="AP108" s="252">
        <v>0</v>
      </c>
      <c r="AQ108" s="208">
        <v>0</v>
      </c>
      <c r="AR108" s="208">
        <v>0</v>
      </c>
      <c r="AS108" s="208">
        <v>0</v>
      </c>
      <c r="AT108" s="222">
        <v>29370.271347652586</v>
      </c>
      <c r="AV108" s="217" t="s">
        <v>350</v>
      </c>
      <c r="AW108" s="227">
        <f t="shared" ref="AW108:AW121" si="254">Z108</f>
        <v>0</v>
      </c>
      <c r="AX108" s="227">
        <f t="shared" ref="AX108:AX121" si="255">AA108</f>
        <v>0</v>
      </c>
      <c r="AY108" s="227">
        <f t="shared" ref="AY108:AY121" si="256">AB108</f>
        <v>0</v>
      </c>
      <c r="AZ108" s="227">
        <f t="shared" si="245"/>
        <v>0</v>
      </c>
      <c r="BA108" s="227">
        <f t="shared" si="234"/>
        <v>0</v>
      </c>
      <c r="BB108" s="227">
        <f t="shared" si="246"/>
        <v>0</v>
      </c>
      <c r="BC108" s="227">
        <f t="shared" si="247"/>
        <v>28612.29595831233</v>
      </c>
      <c r="BD108" s="227">
        <f t="shared" si="248"/>
        <v>0</v>
      </c>
      <c r="BE108" s="227">
        <f t="shared" si="249"/>
        <v>121.57370928345263</v>
      </c>
      <c r="BF108" s="227">
        <f t="shared" si="250"/>
        <v>280.42600324927719</v>
      </c>
      <c r="BG108" s="227">
        <f t="shared" si="251"/>
        <v>69.476801749960771</v>
      </c>
      <c r="BH108" s="252">
        <v>0</v>
      </c>
      <c r="BI108" s="255">
        <v>0</v>
      </c>
      <c r="BJ108" s="255">
        <v>0</v>
      </c>
      <c r="BK108" s="252">
        <v>0</v>
      </c>
      <c r="BL108" s="255">
        <v>0</v>
      </c>
      <c r="BM108" s="252">
        <v>0</v>
      </c>
      <c r="BN108" s="208">
        <f t="shared" ref="BN108:BN121" si="257">AQ108</f>
        <v>0</v>
      </c>
      <c r="BO108" s="208">
        <f t="shared" si="252"/>
        <v>0</v>
      </c>
      <c r="BP108" s="208">
        <f t="shared" si="253"/>
        <v>0</v>
      </c>
      <c r="BQ108" s="230">
        <f t="shared" si="231"/>
        <v>29083.772472595021</v>
      </c>
      <c r="BR108" s="214"/>
      <c r="BS108" s="227"/>
      <c r="BT108" s="286"/>
      <c r="BU108" s="300" t="s">
        <v>352</v>
      </c>
      <c r="BV108" s="293">
        <v>0</v>
      </c>
      <c r="BW108" s="293">
        <v>0</v>
      </c>
      <c r="BX108" s="258">
        <v>0</v>
      </c>
      <c r="BY108" s="258">
        <v>0</v>
      </c>
      <c r="BZ108" s="258">
        <v>0</v>
      </c>
      <c r="CA108" s="258">
        <v>0</v>
      </c>
      <c r="CB108" s="258">
        <v>0</v>
      </c>
      <c r="CC108" s="258">
        <v>0</v>
      </c>
      <c r="CD108" s="258">
        <v>0</v>
      </c>
      <c r="CE108" s="258">
        <v>0</v>
      </c>
      <c r="CF108" s="258">
        <v>0</v>
      </c>
      <c r="CG108" s="258">
        <v>0</v>
      </c>
      <c r="CH108" s="258">
        <v>0</v>
      </c>
      <c r="CI108" s="258">
        <v>0</v>
      </c>
      <c r="CJ108" s="258">
        <v>0</v>
      </c>
      <c r="CK108" s="258">
        <v>0</v>
      </c>
      <c r="CL108" s="258">
        <v>0</v>
      </c>
      <c r="CM108" s="258">
        <v>0</v>
      </c>
      <c r="CN108" s="258">
        <v>0</v>
      </c>
      <c r="CO108" s="258">
        <v>0</v>
      </c>
      <c r="CP108" s="301">
        <v>0</v>
      </c>
      <c r="CQ108" s="302"/>
      <c r="CR108" s="300" t="s">
        <v>352</v>
      </c>
      <c r="CS108" s="293">
        <v>0</v>
      </c>
      <c r="CT108" s="293">
        <v>0</v>
      </c>
      <c r="CU108" s="258">
        <v>0</v>
      </c>
      <c r="CV108" s="258">
        <v>0</v>
      </c>
      <c r="CW108" s="258">
        <v>0</v>
      </c>
      <c r="CX108" s="258">
        <v>0</v>
      </c>
      <c r="CY108" s="258">
        <v>0</v>
      </c>
      <c r="CZ108" s="258">
        <v>0</v>
      </c>
      <c r="DA108" s="258">
        <v>0</v>
      </c>
      <c r="DB108" s="258">
        <v>0</v>
      </c>
      <c r="DC108" s="258">
        <v>0</v>
      </c>
      <c r="DD108" s="258">
        <v>0</v>
      </c>
      <c r="DE108" s="258">
        <v>0</v>
      </c>
      <c r="DF108" s="258">
        <v>0</v>
      </c>
      <c r="DG108" s="258">
        <v>0</v>
      </c>
      <c r="DH108" s="258">
        <v>0</v>
      </c>
      <c r="DI108" s="258">
        <v>0</v>
      </c>
      <c r="DJ108" s="258">
        <v>0</v>
      </c>
      <c r="DK108" s="258">
        <v>0</v>
      </c>
      <c r="DL108" s="258">
        <v>0</v>
      </c>
      <c r="DM108" s="301">
        <v>0</v>
      </c>
      <c r="DN108" s="302"/>
      <c r="DO108" s="302"/>
      <c r="DP108" s="300" t="s">
        <v>352</v>
      </c>
      <c r="DQ108" s="293">
        <v>0</v>
      </c>
      <c r="DR108" s="293">
        <v>0</v>
      </c>
      <c r="DS108" s="258">
        <v>0</v>
      </c>
      <c r="DT108" s="258">
        <v>0</v>
      </c>
      <c r="DU108" s="258">
        <v>0</v>
      </c>
      <c r="DV108" s="258">
        <v>0</v>
      </c>
      <c r="DW108" s="258">
        <v>0</v>
      </c>
      <c r="DX108" s="258">
        <v>0</v>
      </c>
      <c r="DY108" s="258">
        <v>0</v>
      </c>
      <c r="DZ108" s="258">
        <v>0</v>
      </c>
      <c r="EA108" s="258">
        <v>0</v>
      </c>
      <c r="EB108" s="258">
        <v>0</v>
      </c>
      <c r="EC108" s="258">
        <v>0</v>
      </c>
      <c r="ED108" s="258">
        <v>0</v>
      </c>
      <c r="EE108" s="258">
        <v>0</v>
      </c>
      <c r="EF108" s="258">
        <v>0</v>
      </c>
      <c r="EG108" s="258">
        <v>0</v>
      </c>
      <c r="EH108" s="258">
        <v>0</v>
      </c>
      <c r="EI108" s="258">
        <v>0</v>
      </c>
      <c r="EJ108" s="258">
        <v>0</v>
      </c>
      <c r="EK108" s="301">
        <v>0</v>
      </c>
      <c r="EL108" s="287"/>
      <c r="EM108" s="300" t="s">
        <v>352</v>
      </c>
      <c r="EN108" s="293">
        <v>0</v>
      </c>
      <c r="EO108" s="293">
        <v>0</v>
      </c>
      <c r="EP108" s="258">
        <v>0</v>
      </c>
      <c r="EQ108" s="258">
        <v>0</v>
      </c>
      <c r="ER108" s="258">
        <v>0</v>
      </c>
      <c r="ES108" s="258">
        <v>0</v>
      </c>
      <c r="ET108" s="258">
        <v>0</v>
      </c>
      <c r="EU108" s="258">
        <v>0</v>
      </c>
      <c r="EV108" s="258">
        <v>0</v>
      </c>
      <c r="EW108" s="258">
        <v>0</v>
      </c>
      <c r="EX108" s="258">
        <v>0</v>
      </c>
      <c r="EY108" s="258">
        <v>0</v>
      </c>
      <c r="EZ108" s="258">
        <v>0</v>
      </c>
      <c r="FA108" s="258">
        <v>0</v>
      </c>
      <c r="FB108" s="258">
        <v>0</v>
      </c>
      <c r="FC108" s="258">
        <v>0</v>
      </c>
      <c r="FD108" s="258">
        <v>0</v>
      </c>
      <c r="FE108" s="258">
        <v>0</v>
      </c>
      <c r="FF108" s="258">
        <v>0</v>
      </c>
      <c r="FG108" s="258">
        <v>0</v>
      </c>
      <c r="FH108" s="301">
        <v>0</v>
      </c>
    </row>
    <row r="109" spans="2:164" x14ac:dyDescent="0.2">
      <c r="B109" s="217" t="s">
        <v>335</v>
      </c>
      <c r="C109" s="227">
        <v>0</v>
      </c>
      <c r="D109" s="228">
        <v>0</v>
      </c>
      <c r="E109" s="208">
        <v>0</v>
      </c>
      <c r="F109" s="208">
        <v>0</v>
      </c>
      <c r="G109" s="208">
        <v>0</v>
      </c>
      <c r="H109" s="208">
        <v>0</v>
      </c>
      <c r="I109" s="208">
        <v>0</v>
      </c>
      <c r="J109" s="208">
        <v>0</v>
      </c>
      <c r="K109" s="208">
        <v>50</v>
      </c>
      <c r="L109" s="208">
        <v>2</v>
      </c>
      <c r="M109" s="208">
        <v>1</v>
      </c>
      <c r="N109" s="208">
        <v>0</v>
      </c>
      <c r="O109" s="208">
        <v>0</v>
      </c>
      <c r="P109" s="208">
        <v>0</v>
      </c>
      <c r="Q109" s="208">
        <v>2</v>
      </c>
      <c r="R109" s="208">
        <v>0</v>
      </c>
      <c r="S109" s="208">
        <v>0</v>
      </c>
      <c r="T109" s="208">
        <v>0</v>
      </c>
      <c r="U109" s="208">
        <v>0</v>
      </c>
      <c r="V109" s="208">
        <v>0</v>
      </c>
      <c r="W109" s="222">
        <v>55</v>
      </c>
      <c r="X109" s="208"/>
      <c r="Y109" s="217" t="s">
        <v>335</v>
      </c>
      <c r="Z109" s="227">
        <v>0</v>
      </c>
      <c r="AA109" s="228">
        <v>0</v>
      </c>
      <c r="AB109" s="208">
        <v>0</v>
      </c>
      <c r="AC109" s="208">
        <v>0</v>
      </c>
      <c r="AD109" s="208">
        <v>0</v>
      </c>
      <c r="AE109" s="208">
        <v>0</v>
      </c>
      <c r="AF109" s="208">
        <v>0</v>
      </c>
      <c r="AG109" s="208">
        <v>0</v>
      </c>
      <c r="AH109" s="208">
        <v>7598.0727644851604</v>
      </c>
      <c r="AI109" s="208">
        <v>0</v>
      </c>
      <c r="AJ109" s="208">
        <v>0</v>
      </c>
      <c r="AK109" s="252">
        <v>0</v>
      </c>
      <c r="AL109" s="252">
        <v>0</v>
      </c>
      <c r="AM109" s="252">
        <v>0</v>
      </c>
      <c r="AN109" s="252">
        <v>64.074488547668267</v>
      </c>
      <c r="AO109" s="252">
        <v>0</v>
      </c>
      <c r="AP109" s="252">
        <v>0</v>
      </c>
      <c r="AQ109" s="208">
        <v>0</v>
      </c>
      <c r="AR109" s="208">
        <v>0</v>
      </c>
      <c r="AS109" s="208">
        <v>0</v>
      </c>
      <c r="AT109" s="222">
        <v>7662.1472530328283</v>
      </c>
      <c r="AV109" s="217" t="s">
        <v>346</v>
      </c>
      <c r="AW109" s="227">
        <f t="shared" si="254"/>
        <v>0</v>
      </c>
      <c r="AX109" s="227">
        <f t="shared" si="255"/>
        <v>0</v>
      </c>
      <c r="AY109" s="227">
        <f t="shared" si="256"/>
        <v>0</v>
      </c>
      <c r="AZ109" s="227">
        <f t="shared" si="245"/>
        <v>0</v>
      </c>
      <c r="BA109" s="227">
        <f t="shared" si="234"/>
        <v>0</v>
      </c>
      <c r="BB109" s="227">
        <f t="shared" si="246"/>
        <v>0</v>
      </c>
      <c r="BC109" s="227">
        <f t="shared" si="247"/>
        <v>0</v>
      </c>
      <c r="BD109" s="227">
        <f t="shared" si="248"/>
        <v>0</v>
      </c>
      <c r="BE109" s="227">
        <f t="shared" si="249"/>
        <v>7598.0727644851604</v>
      </c>
      <c r="BF109" s="227">
        <f t="shared" si="250"/>
        <v>0</v>
      </c>
      <c r="BG109" s="227">
        <f t="shared" si="251"/>
        <v>0</v>
      </c>
      <c r="BH109" s="252">
        <v>0</v>
      </c>
      <c r="BI109" s="252">
        <v>0</v>
      </c>
      <c r="BJ109" s="255">
        <v>0</v>
      </c>
      <c r="BK109" s="252">
        <v>0</v>
      </c>
      <c r="BL109" s="255">
        <v>0</v>
      </c>
      <c r="BM109" s="252">
        <v>0</v>
      </c>
      <c r="BN109" s="208">
        <f t="shared" si="257"/>
        <v>0</v>
      </c>
      <c r="BO109" s="208">
        <f t="shared" si="252"/>
        <v>0</v>
      </c>
      <c r="BP109" s="208">
        <f t="shared" si="253"/>
        <v>0</v>
      </c>
      <c r="BQ109" s="230">
        <f t="shared" si="231"/>
        <v>7598.0727644851604</v>
      </c>
      <c r="BR109" s="214"/>
      <c r="BS109" s="227"/>
      <c r="BT109" s="286"/>
      <c r="BU109" s="300" t="s">
        <v>335</v>
      </c>
      <c r="BV109" s="293">
        <v>0</v>
      </c>
      <c r="BW109" s="293">
        <v>0</v>
      </c>
      <c r="BX109" s="258">
        <v>0</v>
      </c>
      <c r="BY109" s="258">
        <v>0</v>
      </c>
      <c r="BZ109" s="258">
        <v>0</v>
      </c>
      <c r="CA109" s="258">
        <v>0</v>
      </c>
      <c r="CB109" s="258">
        <v>0</v>
      </c>
      <c r="CC109" s="258">
        <v>0</v>
      </c>
      <c r="CD109" s="258">
        <v>1</v>
      </c>
      <c r="CE109" s="258">
        <v>0</v>
      </c>
      <c r="CF109" s="258">
        <v>0</v>
      </c>
      <c r="CG109" s="258">
        <v>0</v>
      </c>
      <c r="CH109" s="258">
        <v>0</v>
      </c>
      <c r="CI109" s="258">
        <v>0</v>
      </c>
      <c r="CJ109" s="258">
        <v>0</v>
      </c>
      <c r="CK109" s="258">
        <v>0</v>
      </c>
      <c r="CL109" s="258">
        <v>0</v>
      </c>
      <c r="CM109" s="258">
        <v>0</v>
      </c>
      <c r="CN109" s="258">
        <v>0</v>
      </c>
      <c r="CO109" s="258">
        <v>0</v>
      </c>
      <c r="CP109" s="301">
        <v>1</v>
      </c>
      <c r="CQ109" s="302"/>
      <c r="CR109" s="300" t="s">
        <v>335</v>
      </c>
      <c r="CS109" s="293">
        <v>0</v>
      </c>
      <c r="CT109" s="293">
        <v>0</v>
      </c>
      <c r="CU109" s="258">
        <v>0</v>
      </c>
      <c r="CV109" s="258">
        <v>0</v>
      </c>
      <c r="CW109" s="258">
        <v>0</v>
      </c>
      <c r="CX109" s="258">
        <v>0</v>
      </c>
      <c r="CY109" s="258">
        <v>0</v>
      </c>
      <c r="CZ109" s="258">
        <v>0</v>
      </c>
      <c r="DA109" s="258">
        <v>0</v>
      </c>
      <c r="DB109" s="258">
        <v>0</v>
      </c>
      <c r="DC109" s="258">
        <v>0</v>
      </c>
      <c r="DD109" s="258">
        <v>0</v>
      </c>
      <c r="DE109" s="258">
        <v>0</v>
      </c>
      <c r="DF109" s="258">
        <v>0</v>
      </c>
      <c r="DG109" s="258">
        <v>0</v>
      </c>
      <c r="DH109" s="258">
        <v>0</v>
      </c>
      <c r="DI109" s="258">
        <v>0</v>
      </c>
      <c r="DJ109" s="258">
        <v>0</v>
      </c>
      <c r="DK109" s="258">
        <v>0</v>
      </c>
      <c r="DL109" s="258">
        <v>0</v>
      </c>
      <c r="DM109" s="301">
        <v>0</v>
      </c>
      <c r="DN109" s="302"/>
      <c r="DO109" s="302"/>
      <c r="DP109" s="300" t="s">
        <v>335</v>
      </c>
      <c r="DQ109" s="293">
        <v>0</v>
      </c>
      <c r="DR109" s="293">
        <v>0</v>
      </c>
      <c r="DS109" s="258">
        <v>0</v>
      </c>
      <c r="DT109" s="258">
        <v>0</v>
      </c>
      <c r="DU109" s="258">
        <v>0</v>
      </c>
      <c r="DV109" s="258">
        <v>0</v>
      </c>
      <c r="DW109" s="258">
        <v>0</v>
      </c>
      <c r="DX109" s="258">
        <v>0</v>
      </c>
      <c r="DY109" s="258">
        <v>3</v>
      </c>
      <c r="DZ109" s="258">
        <v>0</v>
      </c>
      <c r="EA109" s="258">
        <v>0</v>
      </c>
      <c r="EB109" s="258">
        <v>0</v>
      </c>
      <c r="EC109" s="258">
        <v>0</v>
      </c>
      <c r="ED109" s="258">
        <v>0</v>
      </c>
      <c r="EE109" s="258">
        <v>0</v>
      </c>
      <c r="EF109" s="258">
        <v>0</v>
      </c>
      <c r="EG109" s="258">
        <v>0</v>
      </c>
      <c r="EH109" s="258">
        <v>0</v>
      </c>
      <c r="EI109" s="258">
        <v>0</v>
      </c>
      <c r="EJ109" s="258">
        <v>0</v>
      </c>
      <c r="EK109" s="301">
        <v>3</v>
      </c>
      <c r="EL109" s="287"/>
      <c r="EM109" s="300" t="s">
        <v>335</v>
      </c>
      <c r="EN109" s="293">
        <v>0</v>
      </c>
      <c r="EO109" s="293">
        <v>0</v>
      </c>
      <c r="EP109" s="258">
        <v>0</v>
      </c>
      <c r="EQ109" s="258">
        <v>0</v>
      </c>
      <c r="ER109" s="258">
        <v>0</v>
      </c>
      <c r="ES109" s="258">
        <v>0</v>
      </c>
      <c r="ET109" s="258">
        <v>0</v>
      </c>
      <c r="EU109" s="258">
        <v>0</v>
      </c>
      <c r="EV109" s="258">
        <v>89.96091794006324</v>
      </c>
      <c r="EW109" s="258">
        <v>0</v>
      </c>
      <c r="EX109" s="258">
        <v>0</v>
      </c>
      <c r="EY109" s="258">
        <v>0</v>
      </c>
      <c r="EZ109" s="258">
        <v>0</v>
      </c>
      <c r="FA109" s="258">
        <v>0</v>
      </c>
      <c r="FB109" s="258">
        <v>0</v>
      </c>
      <c r="FC109" s="258">
        <v>0</v>
      </c>
      <c r="FD109" s="258">
        <v>0</v>
      </c>
      <c r="FE109" s="258">
        <v>0</v>
      </c>
      <c r="FF109" s="258">
        <v>0</v>
      </c>
      <c r="FG109" s="258">
        <v>0</v>
      </c>
      <c r="FH109" s="301">
        <v>89.96091794006324</v>
      </c>
    </row>
    <row r="110" spans="2:164" x14ac:dyDescent="0.2">
      <c r="B110" s="217" t="s">
        <v>336</v>
      </c>
      <c r="C110" s="227">
        <v>0</v>
      </c>
      <c r="D110" s="228">
        <v>0</v>
      </c>
      <c r="E110" s="208">
        <v>0</v>
      </c>
      <c r="F110" s="208">
        <v>0</v>
      </c>
      <c r="G110" s="208">
        <v>0</v>
      </c>
      <c r="H110" s="208">
        <v>0</v>
      </c>
      <c r="I110" s="208">
        <v>0</v>
      </c>
      <c r="J110" s="208">
        <v>0</v>
      </c>
      <c r="K110" s="208">
        <v>0</v>
      </c>
      <c r="L110" s="208">
        <v>430</v>
      </c>
      <c r="M110" s="208">
        <v>5</v>
      </c>
      <c r="N110" s="208">
        <v>0</v>
      </c>
      <c r="O110" s="208">
        <v>0</v>
      </c>
      <c r="P110" s="208">
        <v>0</v>
      </c>
      <c r="Q110" s="208">
        <v>0</v>
      </c>
      <c r="R110" s="208">
        <v>22</v>
      </c>
      <c r="S110" s="208">
        <v>0</v>
      </c>
      <c r="T110" s="208">
        <v>0</v>
      </c>
      <c r="U110" s="208">
        <v>0</v>
      </c>
      <c r="V110" s="208">
        <v>0</v>
      </c>
      <c r="W110" s="222">
        <v>457</v>
      </c>
      <c r="Y110" s="217" t="s">
        <v>336</v>
      </c>
      <c r="Z110" s="227">
        <v>0</v>
      </c>
      <c r="AA110" s="228">
        <v>0</v>
      </c>
      <c r="AB110" s="208">
        <v>0</v>
      </c>
      <c r="AC110" s="208">
        <v>0</v>
      </c>
      <c r="AD110" s="208">
        <v>0</v>
      </c>
      <c r="AE110" s="208">
        <v>0</v>
      </c>
      <c r="AF110" s="208">
        <v>0</v>
      </c>
      <c r="AG110" s="208">
        <v>0</v>
      </c>
      <c r="AH110" s="208">
        <v>0</v>
      </c>
      <c r="AI110" s="208">
        <v>24314.988169571279</v>
      </c>
      <c r="AJ110" s="208">
        <v>4.6947100051400827</v>
      </c>
      <c r="AK110" s="252">
        <v>0</v>
      </c>
      <c r="AL110" s="252">
        <v>0</v>
      </c>
      <c r="AM110" s="252">
        <v>0</v>
      </c>
      <c r="AN110" s="252">
        <v>0</v>
      </c>
      <c r="AO110" s="252">
        <v>1128.2790397716553</v>
      </c>
      <c r="AP110" s="252">
        <v>0</v>
      </c>
      <c r="AQ110" s="208">
        <v>0</v>
      </c>
      <c r="AR110" s="208">
        <v>0</v>
      </c>
      <c r="AS110" s="208">
        <v>0</v>
      </c>
      <c r="AT110" s="222">
        <v>25447.961919348076</v>
      </c>
      <c r="AV110" s="217" t="s">
        <v>335</v>
      </c>
      <c r="AW110" s="227">
        <f t="shared" si="254"/>
        <v>0</v>
      </c>
      <c r="AX110" s="227">
        <f t="shared" si="255"/>
        <v>0</v>
      </c>
      <c r="AY110" s="227">
        <f t="shared" si="256"/>
        <v>0</v>
      </c>
      <c r="AZ110" s="227">
        <f t="shared" si="245"/>
        <v>0</v>
      </c>
      <c r="BA110" s="227">
        <f t="shared" si="234"/>
        <v>0</v>
      </c>
      <c r="BB110" s="227">
        <f t="shared" si="246"/>
        <v>0</v>
      </c>
      <c r="BC110" s="227">
        <f t="shared" si="247"/>
        <v>0</v>
      </c>
      <c r="BD110" s="227">
        <f t="shared" si="248"/>
        <v>0</v>
      </c>
      <c r="BE110" s="227">
        <f t="shared" si="249"/>
        <v>0</v>
      </c>
      <c r="BF110" s="227">
        <f t="shared" si="250"/>
        <v>24314.988169571279</v>
      </c>
      <c r="BG110" s="227">
        <f t="shared" si="251"/>
        <v>4.6947100051400827</v>
      </c>
      <c r="BH110" s="252">
        <v>0</v>
      </c>
      <c r="BI110" s="252">
        <v>0</v>
      </c>
      <c r="BJ110" s="252">
        <v>0</v>
      </c>
      <c r="BK110" s="252">
        <v>0</v>
      </c>
      <c r="BL110" s="255">
        <v>0</v>
      </c>
      <c r="BM110" s="252">
        <v>0</v>
      </c>
      <c r="BN110" s="208">
        <f t="shared" si="257"/>
        <v>0</v>
      </c>
      <c r="BO110" s="208">
        <f t="shared" si="252"/>
        <v>0</v>
      </c>
      <c r="BP110" s="208">
        <f t="shared" si="253"/>
        <v>0</v>
      </c>
      <c r="BQ110" s="230">
        <f t="shared" si="231"/>
        <v>24319.68287957642</v>
      </c>
      <c r="BR110" s="214"/>
      <c r="BS110" s="227"/>
      <c r="BT110" s="286"/>
      <c r="BU110" s="300" t="s">
        <v>336</v>
      </c>
      <c r="BV110" s="293">
        <v>0</v>
      </c>
      <c r="BW110" s="293">
        <v>0</v>
      </c>
      <c r="BX110" s="258">
        <v>0</v>
      </c>
      <c r="BY110" s="258">
        <v>0</v>
      </c>
      <c r="BZ110" s="258">
        <v>0</v>
      </c>
      <c r="CA110" s="258">
        <v>0</v>
      </c>
      <c r="CB110" s="258">
        <v>0</v>
      </c>
      <c r="CC110" s="258">
        <v>0</v>
      </c>
      <c r="CD110" s="258">
        <v>0</v>
      </c>
      <c r="CE110" s="258">
        <v>0</v>
      </c>
      <c r="CF110" s="258">
        <v>0</v>
      </c>
      <c r="CG110" s="258">
        <v>0</v>
      </c>
      <c r="CH110" s="258">
        <v>0</v>
      </c>
      <c r="CI110" s="258">
        <v>0</v>
      </c>
      <c r="CJ110" s="258">
        <v>0</v>
      </c>
      <c r="CK110" s="258">
        <v>1</v>
      </c>
      <c r="CL110" s="258">
        <v>0</v>
      </c>
      <c r="CM110" s="258">
        <v>0</v>
      </c>
      <c r="CN110" s="258">
        <v>0</v>
      </c>
      <c r="CO110" s="258">
        <v>0</v>
      </c>
      <c r="CP110" s="301">
        <v>1</v>
      </c>
      <c r="CQ110" s="302"/>
      <c r="CR110" s="300" t="s">
        <v>336</v>
      </c>
      <c r="CS110" s="293">
        <v>0</v>
      </c>
      <c r="CT110" s="293">
        <v>0</v>
      </c>
      <c r="CU110" s="258">
        <v>0</v>
      </c>
      <c r="CV110" s="258">
        <v>0</v>
      </c>
      <c r="CW110" s="258">
        <v>0</v>
      </c>
      <c r="CX110" s="258">
        <v>0</v>
      </c>
      <c r="CY110" s="258">
        <v>0</v>
      </c>
      <c r="CZ110" s="258">
        <v>0</v>
      </c>
      <c r="DA110" s="258">
        <v>0</v>
      </c>
      <c r="DB110" s="258">
        <v>0</v>
      </c>
      <c r="DC110" s="258">
        <v>0</v>
      </c>
      <c r="DD110" s="258">
        <v>0</v>
      </c>
      <c r="DE110" s="258">
        <v>0</v>
      </c>
      <c r="DF110" s="258">
        <v>0</v>
      </c>
      <c r="DG110" s="258">
        <v>0</v>
      </c>
      <c r="DH110" s="258">
        <v>367.44944900026491</v>
      </c>
      <c r="DI110" s="258">
        <v>0</v>
      </c>
      <c r="DJ110" s="258">
        <v>0</v>
      </c>
      <c r="DK110" s="258">
        <v>0</v>
      </c>
      <c r="DL110" s="258">
        <v>0</v>
      </c>
      <c r="DM110" s="301">
        <v>367.44944900026491</v>
      </c>
      <c r="DN110" s="302"/>
      <c r="DO110" s="302"/>
      <c r="DP110" s="300" t="s">
        <v>336</v>
      </c>
      <c r="DQ110" s="293">
        <v>0</v>
      </c>
      <c r="DR110" s="293">
        <v>0</v>
      </c>
      <c r="DS110" s="258">
        <v>0</v>
      </c>
      <c r="DT110" s="258">
        <v>0</v>
      </c>
      <c r="DU110" s="258">
        <v>0</v>
      </c>
      <c r="DV110" s="258">
        <v>0</v>
      </c>
      <c r="DW110" s="258">
        <v>0</v>
      </c>
      <c r="DX110" s="258">
        <v>0</v>
      </c>
      <c r="DY110" s="258">
        <v>0</v>
      </c>
      <c r="DZ110" s="258">
        <v>2</v>
      </c>
      <c r="EA110" s="258">
        <v>0</v>
      </c>
      <c r="EB110" s="258">
        <v>0</v>
      </c>
      <c r="EC110" s="258">
        <v>0</v>
      </c>
      <c r="ED110" s="258">
        <v>0</v>
      </c>
      <c r="EE110" s="258">
        <v>0</v>
      </c>
      <c r="EF110" s="258">
        <v>1</v>
      </c>
      <c r="EG110" s="258">
        <v>0</v>
      </c>
      <c r="EH110" s="258">
        <v>0</v>
      </c>
      <c r="EI110" s="258">
        <v>0</v>
      </c>
      <c r="EJ110" s="258">
        <v>0</v>
      </c>
      <c r="EK110" s="301">
        <v>3</v>
      </c>
      <c r="EL110" s="287"/>
      <c r="EM110" s="300" t="s">
        <v>336</v>
      </c>
      <c r="EN110" s="293">
        <v>0</v>
      </c>
      <c r="EO110" s="293">
        <v>0</v>
      </c>
      <c r="EP110" s="258">
        <v>0</v>
      </c>
      <c r="EQ110" s="258">
        <v>0</v>
      </c>
      <c r="ER110" s="258">
        <v>0</v>
      </c>
      <c r="ES110" s="258">
        <v>0</v>
      </c>
      <c r="ET110" s="258">
        <v>0</v>
      </c>
      <c r="EU110" s="258">
        <v>0</v>
      </c>
      <c r="EV110" s="258">
        <v>0</v>
      </c>
      <c r="EW110" s="258">
        <v>1700.6296668702507</v>
      </c>
      <c r="EX110" s="258">
        <v>0</v>
      </c>
      <c r="EY110" s="258">
        <v>0</v>
      </c>
      <c r="EZ110" s="258">
        <v>0</v>
      </c>
      <c r="FA110" s="258">
        <v>0</v>
      </c>
      <c r="FB110" s="258">
        <v>0</v>
      </c>
      <c r="FC110" s="258">
        <v>367.44944900026491</v>
      </c>
      <c r="FD110" s="258">
        <v>0</v>
      </c>
      <c r="FE110" s="258">
        <v>0</v>
      </c>
      <c r="FF110" s="258">
        <v>0</v>
      </c>
      <c r="FG110" s="258">
        <v>0</v>
      </c>
      <c r="FH110" s="301">
        <v>2068.0791158705156</v>
      </c>
    </row>
    <row r="111" spans="2:164" s="212" customFormat="1" x14ac:dyDescent="0.2">
      <c r="B111" s="217" t="s">
        <v>337</v>
      </c>
      <c r="C111" s="227">
        <v>0</v>
      </c>
      <c r="D111" s="228">
        <v>0</v>
      </c>
      <c r="E111" s="208">
        <v>0</v>
      </c>
      <c r="F111" s="208">
        <v>0</v>
      </c>
      <c r="G111" s="208">
        <v>0</v>
      </c>
      <c r="H111" s="208">
        <v>0</v>
      </c>
      <c r="I111" s="208">
        <v>0</v>
      </c>
      <c r="J111" s="208">
        <v>0</v>
      </c>
      <c r="K111" s="208">
        <v>0</v>
      </c>
      <c r="L111" s="208">
        <v>0</v>
      </c>
      <c r="M111" s="208">
        <v>108</v>
      </c>
      <c r="N111" s="208">
        <v>0</v>
      </c>
      <c r="O111" s="208">
        <v>0</v>
      </c>
      <c r="P111" s="208">
        <v>0</v>
      </c>
      <c r="Q111" s="208">
        <v>0</v>
      </c>
      <c r="R111" s="208">
        <v>0</v>
      </c>
      <c r="S111" s="208">
        <v>1</v>
      </c>
      <c r="T111" s="208">
        <v>0</v>
      </c>
      <c r="U111" s="208">
        <v>0</v>
      </c>
      <c r="V111" s="208">
        <v>0</v>
      </c>
      <c r="W111" s="222">
        <v>109</v>
      </c>
      <c r="X111" s="213"/>
      <c r="Y111" s="217" t="s">
        <v>337</v>
      </c>
      <c r="Z111" s="227">
        <v>0</v>
      </c>
      <c r="AA111" s="228">
        <v>0</v>
      </c>
      <c r="AB111" s="208">
        <v>0</v>
      </c>
      <c r="AC111" s="208">
        <v>0</v>
      </c>
      <c r="AD111" s="208">
        <v>0</v>
      </c>
      <c r="AE111" s="208">
        <v>0</v>
      </c>
      <c r="AF111" s="208">
        <v>0</v>
      </c>
      <c r="AG111" s="208">
        <v>0</v>
      </c>
      <c r="AH111" s="208">
        <v>0</v>
      </c>
      <c r="AI111" s="208">
        <v>0</v>
      </c>
      <c r="AJ111" s="208">
        <v>5312.582108919024</v>
      </c>
      <c r="AK111" s="252">
        <v>0</v>
      </c>
      <c r="AL111" s="252">
        <v>0</v>
      </c>
      <c r="AM111" s="252">
        <v>0</v>
      </c>
      <c r="AN111" s="252">
        <v>0</v>
      </c>
      <c r="AO111" s="252">
        <v>0</v>
      </c>
      <c r="AP111" s="252">
        <v>0</v>
      </c>
      <c r="AQ111" s="208">
        <v>0</v>
      </c>
      <c r="AR111" s="208">
        <v>0</v>
      </c>
      <c r="AS111" s="208">
        <v>0</v>
      </c>
      <c r="AT111" s="222">
        <v>5312.582108919024</v>
      </c>
      <c r="AV111" s="217" t="s">
        <v>336</v>
      </c>
      <c r="AW111" s="227">
        <f t="shared" si="254"/>
        <v>0</v>
      </c>
      <c r="AX111" s="227">
        <f t="shared" si="255"/>
        <v>0</v>
      </c>
      <c r="AY111" s="227">
        <f t="shared" si="256"/>
        <v>0</v>
      </c>
      <c r="AZ111" s="227">
        <f t="shared" si="245"/>
        <v>0</v>
      </c>
      <c r="BA111" s="227">
        <f t="shared" si="234"/>
        <v>0</v>
      </c>
      <c r="BB111" s="227">
        <f t="shared" si="246"/>
        <v>0</v>
      </c>
      <c r="BC111" s="227">
        <f t="shared" si="247"/>
        <v>0</v>
      </c>
      <c r="BD111" s="227">
        <f t="shared" si="248"/>
        <v>0</v>
      </c>
      <c r="BE111" s="227">
        <f t="shared" si="249"/>
        <v>0</v>
      </c>
      <c r="BF111" s="227">
        <f t="shared" si="250"/>
        <v>0</v>
      </c>
      <c r="BG111" s="227">
        <f t="shared" si="251"/>
        <v>5312.582108919024</v>
      </c>
      <c r="BH111" s="252">
        <v>0</v>
      </c>
      <c r="BI111" s="252">
        <v>0</v>
      </c>
      <c r="BJ111" s="252">
        <v>0</v>
      </c>
      <c r="BK111" s="252">
        <v>0</v>
      </c>
      <c r="BL111" s="255">
        <v>0</v>
      </c>
      <c r="BM111" s="252">
        <v>0</v>
      </c>
      <c r="BN111" s="208">
        <f t="shared" si="257"/>
        <v>0</v>
      </c>
      <c r="BO111" s="208">
        <f t="shared" si="252"/>
        <v>0</v>
      </c>
      <c r="BP111" s="208">
        <f t="shared" si="253"/>
        <v>0</v>
      </c>
      <c r="BQ111" s="230">
        <f t="shared" si="231"/>
        <v>5312.582108919024</v>
      </c>
      <c r="BR111" s="214"/>
      <c r="BS111" s="227"/>
      <c r="BT111" s="286"/>
      <c r="BU111" s="300" t="s">
        <v>337</v>
      </c>
      <c r="BV111" s="293">
        <v>0</v>
      </c>
      <c r="BW111" s="293">
        <v>0</v>
      </c>
      <c r="BX111" s="258">
        <v>0</v>
      </c>
      <c r="BY111" s="258">
        <v>0</v>
      </c>
      <c r="BZ111" s="258">
        <v>0</v>
      </c>
      <c r="CA111" s="258">
        <v>0</v>
      </c>
      <c r="CB111" s="258">
        <v>0</v>
      </c>
      <c r="CC111" s="258">
        <v>0</v>
      </c>
      <c r="CD111" s="258">
        <v>0</v>
      </c>
      <c r="CE111" s="258">
        <v>0</v>
      </c>
      <c r="CF111" s="258">
        <v>1</v>
      </c>
      <c r="CG111" s="258">
        <v>0</v>
      </c>
      <c r="CH111" s="258">
        <v>0</v>
      </c>
      <c r="CI111" s="258">
        <v>0</v>
      </c>
      <c r="CJ111" s="258">
        <v>0</v>
      </c>
      <c r="CK111" s="258">
        <v>0</v>
      </c>
      <c r="CL111" s="258">
        <v>0</v>
      </c>
      <c r="CM111" s="258">
        <v>0</v>
      </c>
      <c r="CN111" s="258">
        <v>0</v>
      </c>
      <c r="CO111" s="258">
        <v>0</v>
      </c>
      <c r="CP111" s="301">
        <v>1</v>
      </c>
      <c r="CQ111" s="302"/>
      <c r="CR111" s="300" t="s">
        <v>337</v>
      </c>
      <c r="CS111" s="293">
        <v>0</v>
      </c>
      <c r="CT111" s="293">
        <v>0</v>
      </c>
      <c r="CU111" s="258">
        <v>0</v>
      </c>
      <c r="CV111" s="258">
        <v>0</v>
      </c>
      <c r="CW111" s="258">
        <v>0</v>
      </c>
      <c r="CX111" s="258">
        <v>0</v>
      </c>
      <c r="CY111" s="258">
        <v>0</v>
      </c>
      <c r="CZ111" s="258">
        <v>0</v>
      </c>
      <c r="DA111" s="258">
        <v>0</v>
      </c>
      <c r="DB111" s="258">
        <v>0</v>
      </c>
      <c r="DC111" s="258">
        <v>0</v>
      </c>
      <c r="DD111" s="258">
        <v>0</v>
      </c>
      <c r="DE111" s="258">
        <v>0</v>
      </c>
      <c r="DF111" s="258">
        <v>0</v>
      </c>
      <c r="DG111" s="258">
        <v>0</v>
      </c>
      <c r="DH111" s="258">
        <v>0</v>
      </c>
      <c r="DI111" s="258">
        <v>0</v>
      </c>
      <c r="DJ111" s="258">
        <v>0</v>
      </c>
      <c r="DK111" s="258">
        <v>0</v>
      </c>
      <c r="DL111" s="258">
        <v>0</v>
      </c>
      <c r="DM111" s="301">
        <v>0</v>
      </c>
      <c r="DN111" s="302"/>
      <c r="DO111" s="302"/>
      <c r="DP111" s="300" t="s">
        <v>337</v>
      </c>
      <c r="DQ111" s="293">
        <v>0</v>
      </c>
      <c r="DR111" s="293">
        <v>0</v>
      </c>
      <c r="DS111" s="258">
        <v>0</v>
      </c>
      <c r="DT111" s="258">
        <v>0</v>
      </c>
      <c r="DU111" s="258">
        <v>0</v>
      </c>
      <c r="DV111" s="258">
        <v>0</v>
      </c>
      <c r="DW111" s="258">
        <v>0</v>
      </c>
      <c r="DX111" s="258">
        <v>0</v>
      </c>
      <c r="DY111" s="258">
        <v>0</v>
      </c>
      <c r="DZ111" s="258">
        <v>0</v>
      </c>
      <c r="EA111" s="258">
        <v>8</v>
      </c>
      <c r="EB111" s="258">
        <v>0</v>
      </c>
      <c r="EC111" s="258">
        <v>0</v>
      </c>
      <c r="ED111" s="258">
        <v>0</v>
      </c>
      <c r="EE111" s="258">
        <v>0</v>
      </c>
      <c r="EF111" s="258">
        <v>0</v>
      </c>
      <c r="EG111" s="258">
        <v>0</v>
      </c>
      <c r="EH111" s="258">
        <v>0</v>
      </c>
      <c r="EI111" s="258">
        <v>0</v>
      </c>
      <c r="EJ111" s="258">
        <v>0</v>
      </c>
      <c r="EK111" s="301">
        <v>8</v>
      </c>
      <c r="EL111" s="310"/>
      <c r="EM111" s="300" t="s">
        <v>337</v>
      </c>
      <c r="EN111" s="293">
        <v>0</v>
      </c>
      <c r="EO111" s="293">
        <v>0</v>
      </c>
      <c r="EP111" s="258">
        <v>0</v>
      </c>
      <c r="EQ111" s="258">
        <v>0</v>
      </c>
      <c r="ER111" s="258">
        <v>0</v>
      </c>
      <c r="ES111" s="258">
        <v>0</v>
      </c>
      <c r="ET111" s="258">
        <v>0</v>
      </c>
      <c r="EU111" s="258">
        <v>0</v>
      </c>
      <c r="EV111" s="258">
        <v>0</v>
      </c>
      <c r="EW111" s="258">
        <v>0</v>
      </c>
      <c r="EX111" s="258">
        <v>1411.0071116870656</v>
      </c>
      <c r="EY111" s="258">
        <v>0</v>
      </c>
      <c r="EZ111" s="258">
        <v>0</v>
      </c>
      <c r="FA111" s="258">
        <v>0</v>
      </c>
      <c r="FB111" s="258">
        <v>0</v>
      </c>
      <c r="FC111" s="258">
        <v>0</v>
      </c>
      <c r="FD111" s="258">
        <v>0</v>
      </c>
      <c r="FE111" s="258">
        <v>0</v>
      </c>
      <c r="FF111" s="258">
        <v>0</v>
      </c>
      <c r="FG111" s="258">
        <v>0</v>
      </c>
      <c r="FH111" s="301">
        <v>1411.0071116870656</v>
      </c>
    </row>
    <row r="112" spans="2:164" x14ac:dyDescent="0.2">
      <c r="B112" s="217" t="s">
        <v>338</v>
      </c>
      <c r="C112" s="227">
        <v>0</v>
      </c>
      <c r="D112" s="228">
        <v>0</v>
      </c>
      <c r="E112" s="208">
        <v>0</v>
      </c>
      <c r="F112" s="208">
        <v>0</v>
      </c>
      <c r="G112" s="208">
        <v>0</v>
      </c>
      <c r="H112" s="208">
        <v>3</v>
      </c>
      <c r="I112" s="208">
        <v>0</v>
      </c>
      <c r="J112" s="208">
        <v>0</v>
      </c>
      <c r="K112" s="208">
        <v>0</v>
      </c>
      <c r="L112" s="208">
        <v>3</v>
      </c>
      <c r="M112" s="208">
        <v>0</v>
      </c>
      <c r="N112" s="208">
        <v>21</v>
      </c>
      <c r="O112" s="208">
        <v>1</v>
      </c>
      <c r="P112" s="208">
        <v>0</v>
      </c>
      <c r="Q112" s="208">
        <v>1</v>
      </c>
      <c r="R112" s="208">
        <v>1</v>
      </c>
      <c r="S112" s="208">
        <v>0</v>
      </c>
      <c r="T112" s="208">
        <v>0</v>
      </c>
      <c r="U112" s="208">
        <v>0</v>
      </c>
      <c r="V112" s="208">
        <v>0</v>
      </c>
      <c r="W112" s="222">
        <v>30</v>
      </c>
      <c r="X112" s="208"/>
      <c r="Y112" s="217" t="s">
        <v>338</v>
      </c>
      <c r="Z112" s="227">
        <v>0</v>
      </c>
      <c r="AA112" s="228">
        <v>0</v>
      </c>
      <c r="AB112" s="208">
        <v>0</v>
      </c>
      <c r="AC112" s="208">
        <v>0</v>
      </c>
      <c r="AD112" s="208">
        <v>0</v>
      </c>
      <c r="AE112" s="208">
        <v>0</v>
      </c>
      <c r="AF112" s="208">
        <v>0</v>
      </c>
      <c r="AG112" s="208">
        <v>0</v>
      </c>
      <c r="AH112" s="208">
        <v>0</v>
      </c>
      <c r="AI112" s="208">
        <v>8.8806144984749569</v>
      </c>
      <c r="AJ112" s="208">
        <v>0</v>
      </c>
      <c r="AK112" s="252">
        <v>19353.034364879109</v>
      </c>
      <c r="AL112" s="252">
        <v>81.216884659145748</v>
      </c>
      <c r="AM112" s="252">
        <v>0</v>
      </c>
      <c r="AN112" s="252">
        <v>0</v>
      </c>
      <c r="AO112" s="252">
        <v>0</v>
      </c>
      <c r="AP112" s="252">
        <v>0</v>
      </c>
      <c r="AQ112" s="208">
        <v>0</v>
      </c>
      <c r="AR112" s="208">
        <v>0</v>
      </c>
      <c r="AS112" s="208">
        <v>0</v>
      </c>
      <c r="AT112" s="222">
        <v>19443.131864036728</v>
      </c>
      <c r="AV112" s="217" t="s">
        <v>337</v>
      </c>
      <c r="AW112" s="227">
        <f t="shared" si="254"/>
        <v>0</v>
      </c>
      <c r="AX112" s="227">
        <f t="shared" si="255"/>
        <v>0</v>
      </c>
      <c r="AY112" s="227">
        <f t="shared" si="256"/>
        <v>0</v>
      </c>
      <c r="AZ112" s="227">
        <f t="shared" si="245"/>
        <v>0</v>
      </c>
      <c r="BA112" s="227">
        <f t="shared" si="234"/>
        <v>0</v>
      </c>
      <c r="BB112" s="227">
        <f t="shared" si="246"/>
        <v>0</v>
      </c>
      <c r="BC112" s="227">
        <f t="shared" si="247"/>
        <v>0</v>
      </c>
      <c r="BD112" s="227">
        <f t="shared" si="248"/>
        <v>0</v>
      </c>
      <c r="BE112" s="227">
        <f t="shared" si="249"/>
        <v>0</v>
      </c>
      <c r="BF112" s="227">
        <f t="shared" si="250"/>
        <v>8.8806144984749569</v>
      </c>
      <c r="BG112" s="227">
        <f t="shared" si="251"/>
        <v>0</v>
      </c>
      <c r="BH112" s="252">
        <v>0</v>
      </c>
      <c r="BI112" s="252">
        <v>0</v>
      </c>
      <c r="BJ112" s="252">
        <v>0</v>
      </c>
      <c r="BK112" s="252">
        <v>0</v>
      </c>
      <c r="BL112" s="252">
        <v>0</v>
      </c>
      <c r="BM112" s="255">
        <v>0</v>
      </c>
      <c r="BN112" s="208">
        <f t="shared" si="257"/>
        <v>0</v>
      </c>
      <c r="BO112" s="208">
        <f t="shared" si="252"/>
        <v>0</v>
      </c>
      <c r="BP112" s="208">
        <f t="shared" si="253"/>
        <v>0</v>
      </c>
      <c r="BQ112" s="230">
        <f t="shared" si="231"/>
        <v>8.8806144984749569</v>
      </c>
      <c r="BR112" s="214"/>
      <c r="BS112" s="227"/>
      <c r="BT112" s="286"/>
      <c r="BU112" s="300" t="s">
        <v>338</v>
      </c>
      <c r="BV112" s="293">
        <v>0</v>
      </c>
      <c r="BW112" s="293">
        <v>0</v>
      </c>
      <c r="BX112" s="258">
        <v>0</v>
      </c>
      <c r="BY112" s="258">
        <v>0</v>
      </c>
      <c r="BZ112" s="258">
        <v>0</v>
      </c>
      <c r="CA112" s="258">
        <v>0</v>
      </c>
      <c r="CB112" s="258">
        <v>0</v>
      </c>
      <c r="CC112" s="258">
        <v>0</v>
      </c>
      <c r="CD112" s="258">
        <v>0</v>
      </c>
      <c r="CE112" s="258">
        <v>0</v>
      </c>
      <c r="CF112" s="258">
        <v>0</v>
      </c>
      <c r="CG112" s="258">
        <v>0</v>
      </c>
      <c r="CH112" s="258">
        <v>0</v>
      </c>
      <c r="CI112" s="258">
        <v>0</v>
      </c>
      <c r="CJ112" s="258">
        <v>0</v>
      </c>
      <c r="CK112" s="258">
        <v>0</v>
      </c>
      <c r="CL112" s="258">
        <v>0</v>
      </c>
      <c r="CM112" s="258">
        <v>0</v>
      </c>
      <c r="CN112" s="258">
        <v>0</v>
      </c>
      <c r="CO112" s="258">
        <v>0</v>
      </c>
      <c r="CP112" s="301">
        <v>0</v>
      </c>
      <c r="CQ112" s="302"/>
      <c r="CR112" s="300" t="s">
        <v>338</v>
      </c>
      <c r="CS112" s="293">
        <v>0</v>
      </c>
      <c r="CT112" s="293">
        <v>0</v>
      </c>
      <c r="CU112" s="258">
        <v>0</v>
      </c>
      <c r="CV112" s="258">
        <v>0</v>
      </c>
      <c r="CW112" s="258">
        <v>0</v>
      </c>
      <c r="CX112" s="258">
        <v>0</v>
      </c>
      <c r="CY112" s="258">
        <v>0</v>
      </c>
      <c r="CZ112" s="258">
        <v>0</v>
      </c>
      <c r="DA112" s="258">
        <v>0</v>
      </c>
      <c r="DB112" s="258">
        <v>0</v>
      </c>
      <c r="DC112" s="258">
        <v>0</v>
      </c>
      <c r="DD112" s="258">
        <v>0</v>
      </c>
      <c r="DE112" s="258">
        <v>0</v>
      </c>
      <c r="DF112" s="258">
        <v>0</v>
      </c>
      <c r="DG112" s="258">
        <v>0</v>
      </c>
      <c r="DH112" s="258">
        <v>0</v>
      </c>
      <c r="DI112" s="258">
        <v>0</v>
      </c>
      <c r="DJ112" s="258">
        <v>0</v>
      </c>
      <c r="DK112" s="258">
        <v>0</v>
      </c>
      <c r="DL112" s="258">
        <v>0</v>
      </c>
      <c r="DM112" s="301">
        <v>0</v>
      </c>
      <c r="DN112" s="302"/>
      <c r="DO112" s="302"/>
      <c r="DP112" s="300" t="s">
        <v>338</v>
      </c>
      <c r="DQ112" s="293">
        <v>0</v>
      </c>
      <c r="DR112" s="293">
        <v>0</v>
      </c>
      <c r="DS112" s="258">
        <v>0</v>
      </c>
      <c r="DT112" s="258">
        <v>0</v>
      </c>
      <c r="DU112" s="258">
        <v>0</v>
      </c>
      <c r="DV112" s="258">
        <v>0</v>
      </c>
      <c r="DW112" s="258">
        <v>0</v>
      </c>
      <c r="DX112" s="258">
        <v>0</v>
      </c>
      <c r="DY112" s="258">
        <v>0</v>
      </c>
      <c r="DZ112" s="258">
        <v>0</v>
      </c>
      <c r="EA112" s="258">
        <v>0</v>
      </c>
      <c r="EB112" s="258">
        <v>0</v>
      </c>
      <c r="EC112" s="258">
        <v>0</v>
      </c>
      <c r="ED112" s="258">
        <v>0</v>
      </c>
      <c r="EE112" s="258">
        <v>1</v>
      </c>
      <c r="EF112" s="258">
        <v>0</v>
      </c>
      <c r="EG112" s="258">
        <v>0</v>
      </c>
      <c r="EH112" s="258">
        <v>0</v>
      </c>
      <c r="EI112" s="258">
        <v>0</v>
      </c>
      <c r="EJ112" s="258">
        <v>0</v>
      </c>
      <c r="EK112" s="301">
        <v>1</v>
      </c>
      <c r="EL112" s="287"/>
      <c r="EM112" s="300" t="s">
        <v>338</v>
      </c>
      <c r="EN112" s="293">
        <v>0</v>
      </c>
      <c r="EO112" s="293">
        <v>0</v>
      </c>
      <c r="EP112" s="258">
        <v>0</v>
      </c>
      <c r="EQ112" s="258">
        <v>0</v>
      </c>
      <c r="ER112" s="258">
        <v>0</v>
      </c>
      <c r="ES112" s="258">
        <v>0</v>
      </c>
      <c r="ET112" s="258">
        <v>0</v>
      </c>
      <c r="EU112" s="258">
        <v>0</v>
      </c>
      <c r="EV112" s="258">
        <v>0</v>
      </c>
      <c r="EW112" s="258">
        <v>0</v>
      </c>
      <c r="EX112" s="258">
        <v>0</v>
      </c>
      <c r="EY112" s="258">
        <v>0</v>
      </c>
      <c r="EZ112" s="258">
        <v>0</v>
      </c>
      <c r="FA112" s="258">
        <v>0</v>
      </c>
      <c r="FB112" s="258">
        <v>0</v>
      </c>
      <c r="FC112" s="258">
        <v>0</v>
      </c>
      <c r="FD112" s="258">
        <v>0</v>
      </c>
      <c r="FE112" s="258">
        <v>0</v>
      </c>
      <c r="FF112" s="258">
        <v>0</v>
      </c>
      <c r="FG112" s="258">
        <v>0</v>
      </c>
      <c r="FH112" s="301">
        <v>0</v>
      </c>
    </row>
    <row r="113" spans="2:164" x14ac:dyDescent="0.2">
      <c r="B113" s="217" t="s">
        <v>353</v>
      </c>
      <c r="C113" s="227">
        <v>0</v>
      </c>
      <c r="D113" s="228">
        <v>0</v>
      </c>
      <c r="E113" s="208">
        <v>0</v>
      </c>
      <c r="F113" s="208">
        <v>0</v>
      </c>
      <c r="G113" s="208">
        <v>0</v>
      </c>
      <c r="H113" s="208">
        <v>0</v>
      </c>
      <c r="I113" s="208">
        <v>3</v>
      </c>
      <c r="J113" s="208">
        <v>0</v>
      </c>
      <c r="K113" s="208">
        <v>0</v>
      </c>
      <c r="L113" s="208">
        <v>0</v>
      </c>
      <c r="M113" s="208">
        <v>0</v>
      </c>
      <c r="N113" s="208">
        <v>0</v>
      </c>
      <c r="O113" s="208">
        <v>11</v>
      </c>
      <c r="P113" s="208">
        <v>0</v>
      </c>
      <c r="Q113" s="208">
        <v>0</v>
      </c>
      <c r="R113" s="208">
        <v>1</v>
      </c>
      <c r="S113" s="208">
        <v>0</v>
      </c>
      <c r="T113" s="208">
        <v>0</v>
      </c>
      <c r="U113" s="208">
        <v>0</v>
      </c>
      <c r="V113" s="208">
        <v>0</v>
      </c>
      <c r="W113" s="222">
        <v>15</v>
      </c>
      <c r="X113" s="208"/>
      <c r="Y113" s="217" t="s">
        <v>353</v>
      </c>
      <c r="Z113" s="227">
        <v>0</v>
      </c>
      <c r="AA113" s="228">
        <v>0</v>
      </c>
      <c r="AB113" s="208">
        <v>0</v>
      </c>
      <c r="AC113" s="208">
        <v>0</v>
      </c>
      <c r="AD113" s="208">
        <v>0</v>
      </c>
      <c r="AE113" s="252">
        <v>0</v>
      </c>
      <c r="AF113" s="252">
        <v>0</v>
      </c>
      <c r="AG113" s="252">
        <v>0</v>
      </c>
      <c r="AH113" s="252">
        <v>0</v>
      </c>
      <c r="AI113" s="252">
        <v>0</v>
      </c>
      <c r="AJ113" s="252">
        <v>0</v>
      </c>
      <c r="AK113" s="208">
        <v>0</v>
      </c>
      <c r="AL113" s="208">
        <v>347.93492472069164</v>
      </c>
      <c r="AM113" s="208">
        <v>0</v>
      </c>
      <c r="AN113" s="208">
        <v>0</v>
      </c>
      <c r="AO113" s="208">
        <v>32.611970682324383</v>
      </c>
      <c r="AP113" s="208">
        <v>0</v>
      </c>
      <c r="AQ113" s="208">
        <v>0</v>
      </c>
      <c r="AR113" s="208">
        <v>0</v>
      </c>
      <c r="AS113" s="208">
        <v>0</v>
      </c>
      <c r="AT113" s="222">
        <v>380.54689540301604</v>
      </c>
      <c r="AV113" s="217" t="s">
        <v>338</v>
      </c>
      <c r="AW113" s="227">
        <f t="shared" si="254"/>
        <v>0</v>
      </c>
      <c r="AX113" s="227">
        <f t="shared" si="255"/>
        <v>0</v>
      </c>
      <c r="AY113" s="227">
        <f t="shared" si="256"/>
        <v>0</v>
      </c>
      <c r="AZ113" s="227">
        <f t="shared" si="245"/>
        <v>0</v>
      </c>
      <c r="BA113" s="227">
        <f t="shared" si="234"/>
        <v>0</v>
      </c>
      <c r="BB113" s="255">
        <v>0</v>
      </c>
      <c r="BC113" s="252">
        <v>0</v>
      </c>
      <c r="BD113" s="252">
        <v>0</v>
      </c>
      <c r="BE113" s="252">
        <v>0</v>
      </c>
      <c r="BF113" s="252">
        <v>0</v>
      </c>
      <c r="BG113" s="252">
        <v>0</v>
      </c>
      <c r="BH113" s="208">
        <f t="shared" ref="BH113:BH121" si="258">AK113</f>
        <v>0</v>
      </c>
      <c r="BI113" s="208">
        <f t="shared" ref="BI113:BI121" si="259">AL113</f>
        <v>347.93492472069164</v>
      </c>
      <c r="BJ113" s="208">
        <f t="shared" ref="BJ113:BJ121" si="260">AM113</f>
        <v>0</v>
      </c>
      <c r="BK113" s="208">
        <f t="shared" ref="BK113:BK121" si="261">AN113</f>
        <v>0</v>
      </c>
      <c r="BL113" s="208">
        <f t="shared" ref="BL113:BL121" si="262">AO113</f>
        <v>32.611970682324383</v>
      </c>
      <c r="BM113" s="208">
        <f t="shared" ref="BM113:BM121" si="263">AP113</f>
        <v>0</v>
      </c>
      <c r="BN113" s="208">
        <f t="shared" si="257"/>
        <v>0</v>
      </c>
      <c r="BO113" s="208">
        <f t="shared" si="252"/>
        <v>0</v>
      </c>
      <c r="BP113" s="208">
        <f t="shared" si="253"/>
        <v>0</v>
      </c>
      <c r="BQ113" s="230">
        <f t="shared" si="231"/>
        <v>380.54689540301604</v>
      </c>
      <c r="BR113" s="214"/>
      <c r="BS113" s="227"/>
      <c r="BT113" s="286"/>
      <c r="BU113" s="300" t="s">
        <v>353</v>
      </c>
      <c r="BV113" s="293">
        <v>0</v>
      </c>
      <c r="BW113" s="293">
        <v>0</v>
      </c>
      <c r="BX113" s="258">
        <v>0</v>
      </c>
      <c r="BY113" s="258">
        <v>0</v>
      </c>
      <c r="BZ113" s="258">
        <v>0</v>
      </c>
      <c r="CA113" s="258">
        <v>0</v>
      </c>
      <c r="CB113" s="258">
        <v>0</v>
      </c>
      <c r="CC113" s="258">
        <v>0</v>
      </c>
      <c r="CD113" s="258">
        <v>0</v>
      </c>
      <c r="CE113" s="258">
        <v>0</v>
      </c>
      <c r="CF113" s="258">
        <v>0</v>
      </c>
      <c r="CG113" s="258">
        <v>0</v>
      </c>
      <c r="CH113" s="258">
        <v>0</v>
      </c>
      <c r="CI113" s="258">
        <v>0</v>
      </c>
      <c r="CJ113" s="258">
        <v>0</v>
      </c>
      <c r="CK113" s="258">
        <v>0</v>
      </c>
      <c r="CL113" s="258">
        <v>0</v>
      </c>
      <c r="CM113" s="258">
        <v>0</v>
      </c>
      <c r="CN113" s="258">
        <v>0</v>
      </c>
      <c r="CO113" s="258">
        <v>0</v>
      </c>
      <c r="CP113" s="301">
        <v>0</v>
      </c>
      <c r="CQ113" s="302"/>
      <c r="CR113" s="300" t="s">
        <v>353</v>
      </c>
      <c r="CS113" s="293">
        <v>0</v>
      </c>
      <c r="CT113" s="293">
        <v>0</v>
      </c>
      <c r="CU113" s="258">
        <v>0</v>
      </c>
      <c r="CV113" s="258">
        <v>0</v>
      </c>
      <c r="CW113" s="258">
        <v>0</v>
      </c>
      <c r="CX113" s="258">
        <v>0</v>
      </c>
      <c r="CY113" s="258">
        <v>0</v>
      </c>
      <c r="CZ113" s="258">
        <v>0</v>
      </c>
      <c r="DA113" s="258">
        <v>0</v>
      </c>
      <c r="DB113" s="258">
        <v>0</v>
      </c>
      <c r="DC113" s="258">
        <v>0</v>
      </c>
      <c r="DD113" s="258">
        <v>0</v>
      </c>
      <c r="DE113" s="258">
        <v>0</v>
      </c>
      <c r="DF113" s="258">
        <v>0</v>
      </c>
      <c r="DG113" s="258">
        <v>0</v>
      </c>
      <c r="DH113" s="258">
        <v>0</v>
      </c>
      <c r="DI113" s="258">
        <v>0</v>
      </c>
      <c r="DJ113" s="258">
        <v>0</v>
      </c>
      <c r="DK113" s="258">
        <v>0</v>
      </c>
      <c r="DL113" s="258">
        <v>0</v>
      </c>
      <c r="DM113" s="301">
        <v>0</v>
      </c>
      <c r="DN113" s="302"/>
      <c r="DO113" s="302"/>
      <c r="DP113" s="300" t="s">
        <v>353</v>
      </c>
      <c r="DQ113" s="293">
        <v>0</v>
      </c>
      <c r="DR113" s="293">
        <v>0</v>
      </c>
      <c r="DS113" s="258">
        <v>0</v>
      </c>
      <c r="DT113" s="258">
        <v>0</v>
      </c>
      <c r="DU113" s="258">
        <v>0</v>
      </c>
      <c r="DV113" s="258">
        <v>0</v>
      </c>
      <c r="DW113" s="258">
        <v>0</v>
      </c>
      <c r="DX113" s="258">
        <v>0</v>
      </c>
      <c r="DY113" s="258">
        <v>0</v>
      </c>
      <c r="DZ113" s="258">
        <v>0</v>
      </c>
      <c r="EA113" s="258">
        <v>0</v>
      </c>
      <c r="EB113" s="258">
        <v>0</v>
      </c>
      <c r="EC113" s="258">
        <v>0</v>
      </c>
      <c r="ED113" s="258">
        <v>0</v>
      </c>
      <c r="EE113" s="258">
        <v>0</v>
      </c>
      <c r="EF113" s="258">
        <v>0</v>
      </c>
      <c r="EG113" s="258">
        <v>0</v>
      </c>
      <c r="EH113" s="258">
        <v>0</v>
      </c>
      <c r="EI113" s="258">
        <v>0</v>
      </c>
      <c r="EJ113" s="258">
        <v>0</v>
      </c>
      <c r="EK113" s="301">
        <v>0</v>
      </c>
      <c r="EL113" s="287"/>
      <c r="EM113" s="300" t="s">
        <v>353</v>
      </c>
      <c r="EN113" s="293">
        <v>0</v>
      </c>
      <c r="EO113" s="293">
        <v>0</v>
      </c>
      <c r="EP113" s="258">
        <v>0</v>
      </c>
      <c r="EQ113" s="258">
        <v>0</v>
      </c>
      <c r="ER113" s="258">
        <v>0</v>
      </c>
      <c r="ES113" s="258">
        <v>0</v>
      </c>
      <c r="ET113" s="258">
        <v>0</v>
      </c>
      <c r="EU113" s="258">
        <v>0</v>
      </c>
      <c r="EV113" s="258">
        <v>0</v>
      </c>
      <c r="EW113" s="258">
        <v>0</v>
      </c>
      <c r="EX113" s="258">
        <v>0</v>
      </c>
      <c r="EY113" s="258">
        <v>0</v>
      </c>
      <c r="EZ113" s="258">
        <v>0</v>
      </c>
      <c r="FA113" s="258">
        <v>0</v>
      </c>
      <c r="FB113" s="258">
        <v>0</v>
      </c>
      <c r="FC113" s="258">
        <v>0</v>
      </c>
      <c r="FD113" s="258">
        <v>0</v>
      </c>
      <c r="FE113" s="258">
        <v>0</v>
      </c>
      <c r="FF113" s="258">
        <v>0</v>
      </c>
      <c r="FG113" s="258">
        <v>0</v>
      </c>
      <c r="FH113" s="301">
        <v>0</v>
      </c>
    </row>
    <row r="114" spans="2:164" x14ac:dyDescent="0.2">
      <c r="B114" s="217" t="s">
        <v>339</v>
      </c>
      <c r="C114" s="227">
        <v>0</v>
      </c>
      <c r="D114" s="228">
        <v>0</v>
      </c>
      <c r="E114" s="208">
        <v>0</v>
      </c>
      <c r="F114" s="208">
        <v>0</v>
      </c>
      <c r="G114" s="208">
        <v>0</v>
      </c>
      <c r="H114" s="208">
        <v>0</v>
      </c>
      <c r="I114" s="208">
        <v>0</v>
      </c>
      <c r="J114" s="208">
        <v>0</v>
      </c>
      <c r="K114" s="208">
        <v>1</v>
      </c>
      <c r="L114" s="208">
        <v>0</v>
      </c>
      <c r="M114" s="208">
        <v>0</v>
      </c>
      <c r="N114" s="208">
        <v>0</v>
      </c>
      <c r="O114" s="208">
        <v>0</v>
      </c>
      <c r="P114" s="208">
        <v>0</v>
      </c>
      <c r="Q114" s="208">
        <v>5</v>
      </c>
      <c r="R114" s="208">
        <v>0</v>
      </c>
      <c r="S114" s="208">
        <v>0</v>
      </c>
      <c r="T114" s="208">
        <v>0</v>
      </c>
      <c r="U114" s="208">
        <v>0</v>
      </c>
      <c r="V114" s="208">
        <v>0</v>
      </c>
      <c r="W114" s="222">
        <v>6</v>
      </c>
      <c r="X114" s="208"/>
      <c r="Y114" s="217" t="s">
        <v>339</v>
      </c>
      <c r="Z114" s="227">
        <v>0</v>
      </c>
      <c r="AA114" s="228">
        <v>0</v>
      </c>
      <c r="AB114" s="208">
        <v>0</v>
      </c>
      <c r="AC114" s="208">
        <v>0</v>
      </c>
      <c r="AD114" s="208">
        <v>0</v>
      </c>
      <c r="AE114" s="252">
        <v>0</v>
      </c>
      <c r="AF114" s="252">
        <v>0</v>
      </c>
      <c r="AG114" s="252">
        <v>0</v>
      </c>
      <c r="AH114" s="252">
        <v>84.196903496683703</v>
      </c>
      <c r="AI114" s="252">
        <v>0</v>
      </c>
      <c r="AJ114" s="252">
        <v>0</v>
      </c>
      <c r="AK114" s="208">
        <v>0</v>
      </c>
      <c r="AL114" s="208">
        <v>0</v>
      </c>
      <c r="AM114" s="208">
        <v>0</v>
      </c>
      <c r="AN114" s="208">
        <v>64.074488547668267</v>
      </c>
      <c r="AO114" s="208">
        <v>0</v>
      </c>
      <c r="AP114" s="208">
        <v>0</v>
      </c>
      <c r="AQ114" s="208">
        <v>0</v>
      </c>
      <c r="AR114" s="208">
        <v>0</v>
      </c>
      <c r="AS114" s="208">
        <v>0</v>
      </c>
      <c r="AT114" s="222">
        <v>148.27139204435196</v>
      </c>
      <c r="AV114" s="217" t="s">
        <v>349</v>
      </c>
      <c r="AW114" s="227">
        <f t="shared" si="254"/>
        <v>0</v>
      </c>
      <c r="AX114" s="227">
        <f t="shared" si="255"/>
        <v>0</v>
      </c>
      <c r="AY114" s="227">
        <f t="shared" si="256"/>
        <v>0</v>
      </c>
      <c r="AZ114" s="227">
        <f t="shared" si="245"/>
        <v>0</v>
      </c>
      <c r="BA114" s="227">
        <f t="shared" si="234"/>
        <v>0</v>
      </c>
      <c r="BB114" s="252">
        <v>0</v>
      </c>
      <c r="BC114" s="255">
        <v>0</v>
      </c>
      <c r="BD114" s="252">
        <v>0</v>
      </c>
      <c r="BE114" s="252">
        <v>0</v>
      </c>
      <c r="BF114" s="252">
        <v>0</v>
      </c>
      <c r="BG114" s="252">
        <v>0</v>
      </c>
      <c r="BH114" s="208">
        <f t="shared" si="258"/>
        <v>0</v>
      </c>
      <c r="BI114" s="208">
        <f t="shared" si="259"/>
        <v>0</v>
      </c>
      <c r="BJ114" s="208">
        <f t="shared" si="260"/>
        <v>0</v>
      </c>
      <c r="BK114" s="208">
        <f t="shared" si="261"/>
        <v>64.074488547668267</v>
      </c>
      <c r="BL114" s="208">
        <f t="shared" si="262"/>
        <v>0</v>
      </c>
      <c r="BM114" s="208">
        <f t="shared" si="263"/>
        <v>0</v>
      </c>
      <c r="BN114" s="208">
        <f t="shared" si="257"/>
        <v>0</v>
      </c>
      <c r="BO114" s="208">
        <f t="shared" si="252"/>
        <v>0</v>
      </c>
      <c r="BP114" s="208">
        <f t="shared" si="253"/>
        <v>0</v>
      </c>
      <c r="BQ114" s="230">
        <f t="shared" si="231"/>
        <v>64.074488547668267</v>
      </c>
      <c r="BR114" s="214"/>
      <c r="BS114" s="227"/>
      <c r="BT114" s="286"/>
      <c r="BU114" s="300" t="s">
        <v>339</v>
      </c>
      <c r="BV114" s="293">
        <v>0</v>
      </c>
      <c r="BW114" s="293">
        <v>0</v>
      </c>
      <c r="BX114" s="258">
        <v>0</v>
      </c>
      <c r="BY114" s="258">
        <v>0</v>
      </c>
      <c r="BZ114" s="258">
        <v>0</v>
      </c>
      <c r="CA114" s="258">
        <v>0</v>
      </c>
      <c r="CB114" s="258">
        <v>0</v>
      </c>
      <c r="CC114" s="258">
        <v>0</v>
      </c>
      <c r="CD114" s="258">
        <v>0</v>
      </c>
      <c r="CE114" s="258">
        <v>0</v>
      </c>
      <c r="CF114" s="258">
        <v>0</v>
      </c>
      <c r="CG114" s="258">
        <v>0</v>
      </c>
      <c r="CH114" s="258">
        <v>0</v>
      </c>
      <c r="CI114" s="258">
        <v>0</v>
      </c>
      <c r="CJ114" s="258">
        <v>1</v>
      </c>
      <c r="CK114" s="258">
        <v>0</v>
      </c>
      <c r="CL114" s="258">
        <v>0</v>
      </c>
      <c r="CM114" s="258">
        <v>0</v>
      </c>
      <c r="CN114" s="258">
        <v>0</v>
      </c>
      <c r="CO114" s="258">
        <v>0</v>
      </c>
      <c r="CP114" s="301">
        <v>1</v>
      </c>
      <c r="CQ114" s="302"/>
      <c r="CR114" s="300" t="s">
        <v>339</v>
      </c>
      <c r="CS114" s="293">
        <v>0</v>
      </c>
      <c r="CT114" s="293">
        <v>0</v>
      </c>
      <c r="CU114" s="258">
        <v>0</v>
      </c>
      <c r="CV114" s="258">
        <v>0</v>
      </c>
      <c r="CW114" s="258">
        <v>0</v>
      </c>
      <c r="CX114" s="258">
        <v>0</v>
      </c>
      <c r="CY114" s="258">
        <v>0</v>
      </c>
      <c r="CZ114" s="258">
        <v>0</v>
      </c>
      <c r="DA114" s="258">
        <v>0</v>
      </c>
      <c r="DB114" s="258">
        <v>0</v>
      </c>
      <c r="DC114" s="258">
        <v>0</v>
      </c>
      <c r="DD114" s="258">
        <v>0</v>
      </c>
      <c r="DE114" s="258">
        <v>0</v>
      </c>
      <c r="DF114" s="258">
        <v>0</v>
      </c>
      <c r="DG114" s="258">
        <v>0</v>
      </c>
      <c r="DH114" s="258">
        <v>0</v>
      </c>
      <c r="DI114" s="258">
        <v>0</v>
      </c>
      <c r="DJ114" s="258">
        <v>0</v>
      </c>
      <c r="DK114" s="258">
        <v>0</v>
      </c>
      <c r="DL114" s="258">
        <v>0</v>
      </c>
      <c r="DM114" s="301">
        <v>0</v>
      </c>
      <c r="DN114" s="302"/>
      <c r="DO114" s="302"/>
      <c r="DP114" s="300" t="s">
        <v>339</v>
      </c>
      <c r="DQ114" s="293">
        <v>0</v>
      </c>
      <c r="DR114" s="293">
        <v>0</v>
      </c>
      <c r="DS114" s="258">
        <v>0</v>
      </c>
      <c r="DT114" s="258">
        <v>0</v>
      </c>
      <c r="DU114" s="258">
        <v>0</v>
      </c>
      <c r="DV114" s="258">
        <v>0</v>
      </c>
      <c r="DW114" s="258">
        <v>0</v>
      </c>
      <c r="DX114" s="258">
        <v>0</v>
      </c>
      <c r="DY114" s="258">
        <v>0</v>
      </c>
      <c r="DZ114" s="258">
        <v>0</v>
      </c>
      <c r="EA114" s="258">
        <v>0</v>
      </c>
      <c r="EB114" s="258">
        <v>0</v>
      </c>
      <c r="EC114" s="258">
        <v>0</v>
      </c>
      <c r="ED114" s="258">
        <v>0</v>
      </c>
      <c r="EE114" s="258">
        <v>3</v>
      </c>
      <c r="EF114" s="258">
        <v>0</v>
      </c>
      <c r="EG114" s="258">
        <v>0</v>
      </c>
      <c r="EH114" s="258">
        <v>0</v>
      </c>
      <c r="EI114" s="258">
        <v>0</v>
      </c>
      <c r="EJ114" s="258">
        <v>0</v>
      </c>
      <c r="EK114" s="301">
        <v>3</v>
      </c>
      <c r="EL114" s="287"/>
      <c r="EM114" s="300" t="s">
        <v>339</v>
      </c>
      <c r="EN114" s="293">
        <v>0</v>
      </c>
      <c r="EO114" s="293">
        <v>0</v>
      </c>
      <c r="EP114" s="258">
        <v>0</v>
      </c>
      <c r="EQ114" s="258">
        <v>0</v>
      </c>
      <c r="ER114" s="258">
        <v>0</v>
      </c>
      <c r="ES114" s="258">
        <v>0</v>
      </c>
      <c r="ET114" s="258">
        <v>0</v>
      </c>
      <c r="EU114" s="258">
        <v>0</v>
      </c>
      <c r="EV114" s="258">
        <v>0</v>
      </c>
      <c r="EW114" s="258">
        <v>0</v>
      </c>
      <c r="EX114" s="258">
        <v>0</v>
      </c>
      <c r="EY114" s="258">
        <v>0</v>
      </c>
      <c r="EZ114" s="258">
        <v>0</v>
      </c>
      <c r="FA114" s="258">
        <v>0</v>
      </c>
      <c r="FB114" s="258">
        <v>0</v>
      </c>
      <c r="FC114" s="258">
        <v>0</v>
      </c>
      <c r="FD114" s="258">
        <v>0</v>
      </c>
      <c r="FE114" s="258">
        <v>0</v>
      </c>
      <c r="FF114" s="258">
        <v>0</v>
      </c>
      <c r="FG114" s="258">
        <v>0</v>
      </c>
      <c r="FH114" s="301">
        <v>0</v>
      </c>
    </row>
    <row r="115" spans="2:164" x14ac:dyDescent="0.2">
      <c r="B115" s="234" t="s">
        <v>340</v>
      </c>
      <c r="C115" s="227">
        <v>0</v>
      </c>
      <c r="D115" s="228">
        <v>0</v>
      </c>
      <c r="E115" s="208">
        <v>0</v>
      </c>
      <c r="F115" s="208">
        <v>0</v>
      </c>
      <c r="G115" s="208">
        <v>0</v>
      </c>
      <c r="H115" s="208">
        <v>0</v>
      </c>
      <c r="I115" s="208">
        <v>0</v>
      </c>
      <c r="J115" s="208">
        <v>0</v>
      </c>
      <c r="K115" s="208">
        <v>0</v>
      </c>
      <c r="L115" s="208">
        <v>23</v>
      </c>
      <c r="M115" s="208">
        <v>1</v>
      </c>
      <c r="N115" s="208">
        <v>0</v>
      </c>
      <c r="O115" s="208">
        <v>0</v>
      </c>
      <c r="P115" s="208">
        <v>0</v>
      </c>
      <c r="Q115" s="208">
        <v>0</v>
      </c>
      <c r="R115" s="208">
        <v>180</v>
      </c>
      <c r="S115" s="208">
        <v>1</v>
      </c>
      <c r="T115" s="208">
        <v>0</v>
      </c>
      <c r="U115" s="208">
        <v>0</v>
      </c>
      <c r="V115" s="208">
        <v>0</v>
      </c>
      <c r="W115" s="222">
        <v>205</v>
      </c>
      <c r="X115" s="208"/>
      <c r="Y115" s="217" t="s">
        <v>340</v>
      </c>
      <c r="Z115" s="227">
        <v>0</v>
      </c>
      <c r="AA115" s="228">
        <v>0</v>
      </c>
      <c r="AB115" s="208">
        <v>0</v>
      </c>
      <c r="AC115" s="208">
        <v>0</v>
      </c>
      <c r="AD115" s="208">
        <v>0</v>
      </c>
      <c r="AE115" s="252">
        <v>0</v>
      </c>
      <c r="AF115" s="252">
        <v>0</v>
      </c>
      <c r="AG115" s="252">
        <v>0</v>
      </c>
      <c r="AH115" s="252">
        <v>0</v>
      </c>
      <c r="AI115" s="252">
        <v>385.97664113258531</v>
      </c>
      <c r="AJ115" s="252">
        <v>0</v>
      </c>
      <c r="AK115" s="208">
        <v>0</v>
      </c>
      <c r="AL115" s="208">
        <v>0</v>
      </c>
      <c r="AM115" s="208">
        <v>0</v>
      </c>
      <c r="AN115" s="208">
        <v>0</v>
      </c>
      <c r="AO115" s="208">
        <v>10125.208091612812</v>
      </c>
      <c r="AP115" s="208">
        <v>250.3450485219908</v>
      </c>
      <c r="AQ115" s="208">
        <v>0</v>
      </c>
      <c r="AR115" s="208">
        <v>0</v>
      </c>
      <c r="AS115" s="208">
        <v>0</v>
      </c>
      <c r="AT115" s="222">
        <v>10761.529781267389</v>
      </c>
      <c r="AV115" s="217" t="s">
        <v>347</v>
      </c>
      <c r="AW115" s="227">
        <f t="shared" si="254"/>
        <v>0</v>
      </c>
      <c r="AX115" s="227">
        <f t="shared" si="255"/>
        <v>0</v>
      </c>
      <c r="AY115" s="227">
        <f t="shared" si="256"/>
        <v>0</v>
      </c>
      <c r="AZ115" s="227">
        <f t="shared" si="245"/>
        <v>0</v>
      </c>
      <c r="BA115" s="227">
        <f t="shared" si="234"/>
        <v>0</v>
      </c>
      <c r="BB115" s="252">
        <v>0</v>
      </c>
      <c r="BC115" s="252">
        <v>0</v>
      </c>
      <c r="BD115" s="255">
        <v>0</v>
      </c>
      <c r="BE115" s="252">
        <v>0</v>
      </c>
      <c r="BF115" s="255">
        <v>0</v>
      </c>
      <c r="BG115" s="252">
        <v>0</v>
      </c>
      <c r="BH115" s="208">
        <f t="shared" si="258"/>
        <v>0</v>
      </c>
      <c r="BI115" s="208">
        <f t="shared" si="259"/>
        <v>0</v>
      </c>
      <c r="BJ115" s="208">
        <f t="shared" si="260"/>
        <v>0</v>
      </c>
      <c r="BK115" s="208">
        <f t="shared" si="261"/>
        <v>0</v>
      </c>
      <c r="BL115" s="208">
        <f t="shared" si="262"/>
        <v>10125.208091612812</v>
      </c>
      <c r="BM115" s="208">
        <f t="shared" si="263"/>
        <v>250.3450485219908</v>
      </c>
      <c r="BN115" s="208">
        <f t="shared" si="257"/>
        <v>0</v>
      </c>
      <c r="BO115" s="208">
        <f t="shared" si="252"/>
        <v>0</v>
      </c>
      <c r="BP115" s="208">
        <f t="shared" si="253"/>
        <v>0</v>
      </c>
      <c r="BQ115" s="230">
        <f t="shared" si="231"/>
        <v>10375.553140134803</v>
      </c>
      <c r="BR115" s="214"/>
      <c r="BS115" s="227"/>
      <c r="BT115" s="286"/>
      <c r="BU115" s="300" t="s">
        <v>340</v>
      </c>
      <c r="BV115" s="293">
        <v>0</v>
      </c>
      <c r="BW115" s="293">
        <v>0</v>
      </c>
      <c r="BX115" s="258">
        <v>0</v>
      </c>
      <c r="BY115" s="258">
        <v>0</v>
      </c>
      <c r="BZ115" s="258">
        <v>0</v>
      </c>
      <c r="CA115" s="258">
        <v>0</v>
      </c>
      <c r="CB115" s="258">
        <v>0</v>
      </c>
      <c r="CC115" s="258">
        <v>0</v>
      </c>
      <c r="CD115" s="258">
        <v>0</v>
      </c>
      <c r="CE115" s="258">
        <v>0</v>
      </c>
      <c r="CF115" s="258">
        <v>0</v>
      </c>
      <c r="CG115" s="258">
        <v>0</v>
      </c>
      <c r="CH115" s="258">
        <v>0</v>
      </c>
      <c r="CI115" s="258">
        <v>0</v>
      </c>
      <c r="CJ115" s="258">
        <v>0</v>
      </c>
      <c r="CK115" s="258">
        <v>10</v>
      </c>
      <c r="CL115" s="258">
        <v>0</v>
      </c>
      <c r="CM115" s="258">
        <v>0</v>
      </c>
      <c r="CN115" s="258">
        <v>0</v>
      </c>
      <c r="CO115" s="258">
        <v>0</v>
      </c>
      <c r="CP115" s="301">
        <v>10</v>
      </c>
      <c r="CQ115" s="302"/>
      <c r="CR115" s="300" t="s">
        <v>340</v>
      </c>
      <c r="CS115" s="293">
        <v>0</v>
      </c>
      <c r="CT115" s="293">
        <v>0</v>
      </c>
      <c r="CU115" s="258">
        <v>0</v>
      </c>
      <c r="CV115" s="258">
        <v>0</v>
      </c>
      <c r="CW115" s="258">
        <v>0</v>
      </c>
      <c r="CX115" s="258">
        <v>0</v>
      </c>
      <c r="CY115" s="258">
        <v>0</v>
      </c>
      <c r="CZ115" s="258">
        <v>0</v>
      </c>
      <c r="DA115" s="258">
        <v>0</v>
      </c>
      <c r="DB115" s="258">
        <v>0</v>
      </c>
      <c r="DC115" s="258">
        <v>0</v>
      </c>
      <c r="DD115" s="258">
        <v>0</v>
      </c>
      <c r="DE115" s="258">
        <v>0</v>
      </c>
      <c r="DF115" s="258">
        <v>0</v>
      </c>
      <c r="DG115" s="258">
        <v>0</v>
      </c>
      <c r="DH115" s="258">
        <v>613.16819205498723</v>
      </c>
      <c r="DI115" s="258">
        <v>0</v>
      </c>
      <c r="DJ115" s="258">
        <v>0</v>
      </c>
      <c r="DK115" s="258">
        <v>0</v>
      </c>
      <c r="DL115" s="258">
        <v>0</v>
      </c>
      <c r="DM115" s="301">
        <v>613.16819205498723</v>
      </c>
      <c r="DN115" s="302"/>
      <c r="DO115" s="302"/>
      <c r="DP115" s="300" t="s">
        <v>340</v>
      </c>
      <c r="DQ115" s="293">
        <v>0</v>
      </c>
      <c r="DR115" s="293">
        <v>0</v>
      </c>
      <c r="DS115" s="258">
        <v>0</v>
      </c>
      <c r="DT115" s="258">
        <v>0</v>
      </c>
      <c r="DU115" s="258">
        <v>0</v>
      </c>
      <c r="DV115" s="258">
        <v>0</v>
      </c>
      <c r="DW115" s="258">
        <v>0</v>
      </c>
      <c r="DX115" s="258">
        <v>0</v>
      </c>
      <c r="DY115" s="258">
        <v>0</v>
      </c>
      <c r="DZ115" s="258">
        <v>0</v>
      </c>
      <c r="EA115" s="258">
        <v>0</v>
      </c>
      <c r="EB115" s="258">
        <v>0</v>
      </c>
      <c r="EC115" s="258">
        <v>0</v>
      </c>
      <c r="ED115" s="258">
        <v>0</v>
      </c>
      <c r="EE115" s="258">
        <v>0</v>
      </c>
      <c r="EF115" s="258">
        <v>10</v>
      </c>
      <c r="EG115" s="258">
        <v>0</v>
      </c>
      <c r="EH115" s="258">
        <v>0</v>
      </c>
      <c r="EI115" s="258">
        <v>0</v>
      </c>
      <c r="EJ115" s="258">
        <v>0</v>
      </c>
      <c r="EK115" s="301">
        <v>10</v>
      </c>
      <c r="EL115" s="287"/>
      <c r="EM115" s="300" t="s">
        <v>340</v>
      </c>
      <c r="EN115" s="293">
        <v>0</v>
      </c>
      <c r="EO115" s="293">
        <v>0</v>
      </c>
      <c r="EP115" s="258">
        <v>0</v>
      </c>
      <c r="EQ115" s="258">
        <v>0</v>
      </c>
      <c r="ER115" s="258">
        <v>0</v>
      </c>
      <c r="ES115" s="258">
        <v>0</v>
      </c>
      <c r="ET115" s="258">
        <v>0</v>
      </c>
      <c r="EU115" s="258">
        <v>0</v>
      </c>
      <c r="EV115" s="258">
        <v>0</v>
      </c>
      <c r="EW115" s="258">
        <v>0</v>
      </c>
      <c r="EX115" s="258">
        <v>0</v>
      </c>
      <c r="EY115" s="258">
        <v>0</v>
      </c>
      <c r="EZ115" s="258">
        <v>0</v>
      </c>
      <c r="FA115" s="258">
        <v>0</v>
      </c>
      <c r="FB115" s="258">
        <v>0</v>
      </c>
      <c r="FC115" s="258">
        <v>613.16819205498723</v>
      </c>
      <c r="FD115" s="258">
        <v>0</v>
      </c>
      <c r="FE115" s="258">
        <v>0</v>
      </c>
      <c r="FF115" s="258">
        <v>0</v>
      </c>
      <c r="FG115" s="258">
        <v>0</v>
      </c>
      <c r="FH115" s="301">
        <v>613.16819205498723</v>
      </c>
    </row>
    <row r="116" spans="2:164" x14ac:dyDescent="0.2">
      <c r="B116" s="217" t="s">
        <v>341</v>
      </c>
      <c r="C116" s="227">
        <v>0</v>
      </c>
      <c r="D116" s="228">
        <v>0</v>
      </c>
      <c r="E116" s="208">
        <v>0</v>
      </c>
      <c r="F116" s="208">
        <v>0</v>
      </c>
      <c r="G116" s="208">
        <v>0</v>
      </c>
      <c r="H116" s="208">
        <v>0</v>
      </c>
      <c r="I116" s="208">
        <v>0</v>
      </c>
      <c r="J116" s="208">
        <v>0</v>
      </c>
      <c r="K116" s="208">
        <v>0</v>
      </c>
      <c r="L116" s="208">
        <v>0</v>
      </c>
      <c r="M116" s="208">
        <v>2</v>
      </c>
      <c r="N116" s="208">
        <v>0</v>
      </c>
      <c r="O116" s="208">
        <v>0</v>
      </c>
      <c r="P116" s="208">
        <v>0</v>
      </c>
      <c r="Q116" s="208">
        <v>0</v>
      </c>
      <c r="R116" s="208">
        <v>0</v>
      </c>
      <c r="S116" s="208">
        <v>18</v>
      </c>
      <c r="T116" s="208">
        <v>0</v>
      </c>
      <c r="U116" s="208">
        <v>0</v>
      </c>
      <c r="V116" s="208">
        <v>0</v>
      </c>
      <c r="W116" s="222">
        <v>20</v>
      </c>
      <c r="X116" s="208"/>
      <c r="Y116" s="217" t="s">
        <v>341</v>
      </c>
      <c r="Z116" s="227">
        <v>0</v>
      </c>
      <c r="AA116" s="228">
        <v>0</v>
      </c>
      <c r="AB116" s="208">
        <v>0</v>
      </c>
      <c r="AC116" s="208">
        <v>0</v>
      </c>
      <c r="AD116" s="208">
        <v>0</v>
      </c>
      <c r="AE116" s="252">
        <v>0</v>
      </c>
      <c r="AF116" s="252">
        <v>0</v>
      </c>
      <c r="AG116" s="252">
        <v>0</v>
      </c>
      <c r="AH116" s="252">
        <v>0</v>
      </c>
      <c r="AI116" s="252">
        <v>0</v>
      </c>
      <c r="AJ116" s="252">
        <v>0</v>
      </c>
      <c r="AK116" s="208">
        <v>0</v>
      </c>
      <c r="AL116" s="208">
        <v>0</v>
      </c>
      <c r="AM116" s="208">
        <v>0</v>
      </c>
      <c r="AN116" s="208">
        <v>0</v>
      </c>
      <c r="AO116" s="208">
        <v>0</v>
      </c>
      <c r="AP116" s="208">
        <v>762.26171878748721</v>
      </c>
      <c r="AQ116" s="208">
        <v>0</v>
      </c>
      <c r="AR116" s="208">
        <v>0</v>
      </c>
      <c r="AS116" s="208">
        <v>0</v>
      </c>
      <c r="AT116" s="222">
        <v>762.26171878748721</v>
      </c>
      <c r="AV116" s="217" t="s">
        <v>339</v>
      </c>
      <c r="AW116" s="227">
        <f t="shared" si="254"/>
        <v>0</v>
      </c>
      <c r="AX116" s="227">
        <f t="shared" si="255"/>
        <v>0</v>
      </c>
      <c r="AY116" s="227">
        <f t="shared" si="256"/>
        <v>0</v>
      </c>
      <c r="AZ116" s="227">
        <f t="shared" si="245"/>
        <v>0</v>
      </c>
      <c r="BA116" s="227">
        <f t="shared" si="234"/>
        <v>0</v>
      </c>
      <c r="BB116" s="252">
        <v>0</v>
      </c>
      <c r="BC116" s="252">
        <v>0</v>
      </c>
      <c r="BD116" s="252">
        <v>0</v>
      </c>
      <c r="BE116" s="252">
        <v>0</v>
      </c>
      <c r="BF116" s="255">
        <v>0</v>
      </c>
      <c r="BG116" s="252">
        <v>0</v>
      </c>
      <c r="BH116" s="208">
        <f t="shared" si="258"/>
        <v>0</v>
      </c>
      <c r="BI116" s="208">
        <f t="shared" si="259"/>
        <v>0</v>
      </c>
      <c r="BJ116" s="208">
        <f t="shared" si="260"/>
        <v>0</v>
      </c>
      <c r="BK116" s="208">
        <f t="shared" si="261"/>
        <v>0</v>
      </c>
      <c r="BL116" s="208">
        <f t="shared" si="262"/>
        <v>0</v>
      </c>
      <c r="BM116" s="208">
        <f t="shared" si="263"/>
        <v>762.26171878748721</v>
      </c>
      <c r="BN116" s="208">
        <f t="shared" si="257"/>
        <v>0</v>
      </c>
      <c r="BO116" s="208">
        <f t="shared" si="252"/>
        <v>0</v>
      </c>
      <c r="BP116" s="208">
        <f t="shared" si="253"/>
        <v>0</v>
      </c>
      <c r="BQ116" s="230">
        <f t="shared" si="231"/>
        <v>762.26171878748721</v>
      </c>
      <c r="BR116" s="214"/>
      <c r="BS116" s="227"/>
      <c r="BT116" s="286"/>
      <c r="BU116" s="300" t="s">
        <v>341</v>
      </c>
      <c r="BV116" s="293">
        <v>0</v>
      </c>
      <c r="BW116" s="293">
        <v>0</v>
      </c>
      <c r="BX116" s="258">
        <v>0</v>
      </c>
      <c r="BY116" s="258">
        <v>0</v>
      </c>
      <c r="BZ116" s="258">
        <v>0</v>
      </c>
      <c r="CA116" s="258">
        <v>0</v>
      </c>
      <c r="CB116" s="258">
        <v>0</v>
      </c>
      <c r="CC116" s="258">
        <v>0</v>
      </c>
      <c r="CD116" s="258">
        <v>0</v>
      </c>
      <c r="CE116" s="258">
        <v>0</v>
      </c>
      <c r="CF116" s="258">
        <v>0</v>
      </c>
      <c r="CG116" s="258">
        <v>0</v>
      </c>
      <c r="CH116" s="258">
        <v>0</v>
      </c>
      <c r="CI116" s="258">
        <v>0</v>
      </c>
      <c r="CJ116" s="258">
        <v>0</v>
      </c>
      <c r="CK116" s="258">
        <v>0</v>
      </c>
      <c r="CL116" s="258">
        <v>4</v>
      </c>
      <c r="CM116" s="258">
        <v>0</v>
      </c>
      <c r="CN116" s="258">
        <v>0</v>
      </c>
      <c r="CO116" s="258">
        <v>0</v>
      </c>
      <c r="CP116" s="301">
        <v>4</v>
      </c>
      <c r="CQ116" s="302"/>
      <c r="CR116" s="300" t="s">
        <v>341</v>
      </c>
      <c r="CS116" s="293">
        <v>0</v>
      </c>
      <c r="CT116" s="293">
        <v>0</v>
      </c>
      <c r="CU116" s="258">
        <v>0</v>
      </c>
      <c r="CV116" s="258">
        <v>0</v>
      </c>
      <c r="CW116" s="258">
        <v>0</v>
      </c>
      <c r="CX116" s="258">
        <v>0</v>
      </c>
      <c r="CY116" s="258">
        <v>0</v>
      </c>
      <c r="CZ116" s="258">
        <v>0</v>
      </c>
      <c r="DA116" s="258">
        <v>0</v>
      </c>
      <c r="DB116" s="258">
        <v>0</v>
      </c>
      <c r="DC116" s="258">
        <v>0</v>
      </c>
      <c r="DD116" s="258">
        <v>0</v>
      </c>
      <c r="DE116" s="258">
        <v>0</v>
      </c>
      <c r="DF116" s="258">
        <v>0</v>
      </c>
      <c r="DG116" s="258">
        <v>0</v>
      </c>
      <c r="DH116" s="258">
        <v>0</v>
      </c>
      <c r="DI116" s="258">
        <v>0</v>
      </c>
      <c r="DJ116" s="258">
        <v>0</v>
      </c>
      <c r="DK116" s="258">
        <v>0</v>
      </c>
      <c r="DL116" s="258">
        <v>0</v>
      </c>
      <c r="DM116" s="301">
        <v>0</v>
      </c>
      <c r="DN116" s="302"/>
      <c r="DO116" s="302"/>
      <c r="DP116" s="300" t="s">
        <v>341</v>
      </c>
      <c r="DQ116" s="293">
        <v>0</v>
      </c>
      <c r="DR116" s="293">
        <v>0</v>
      </c>
      <c r="DS116" s="258">
        <v>0</v>
      </c>
      <c r="DT116" s="258">
        <v>0</v>
      </c>
      <c r="DU116" s="258">
        <v>0</v>
      </c>
      <c r="DV116" s="258">
        <v>0</v>
      </c>
      <c r="DW116" s="258">
        <v>0</v>
      </c>
      <c r="DX116" s="258">
        <v>0</v>
      </c>
      <c r="DY116" s="258">
        <v>0</v>
      </c>
      <c r="DZ116" s="258">
        <v>0</v>
      </c>
      <c r="EA116" s="258">
        <v>0</v>
      </c>
      <c r="EB116" s="258">
        <v>0</v>
      </c>
      <c r="EC116" s="258">
        <v>0</v>
      </c>
      <c r="ED116" s="258">
        <v>0</v>
      </c>
      <c r="EE116" s="258">
        <v>0</v>
      </c>
      <c r="EF116" s="258">
        <v>0</v>
      </c>
      <c r="EG116" s="258">
        <v>4</v>
      </c>
      <c r="EH116" s="258">
        <v>0</v>
      </c>
      <c r="EI116" s="258">
        <v>0</v>
      </c>
      <c r="EJ116" s="258">
        <v>0</v>
      </c>
      <c r="EK116" s="301">
        <v>4</v>
      </c>
      <c r="EL116" s="287"/>
      <c r="EM116" s="300" t="s">
        <v>341</v>
      </c>
      <c r="EN116" s="293">
        <v>0</v>
      </c>
      <c r="EO116" s="293">
        <v>0</v>
      </c>
      <c r="EP116" s="258">
        <v>0</v>
      </c>
      <c r="EQ116" s="258">
        <v>0</v>
      </c>
      <c r="ER116" s="258">
        <v>0</v>
      </c>
      <c r="ES116" s="258">
        <v>0</v>
      </c>
      <c r="ET116" s="258">
        <v>0</v>
      </c>
      <c r="EU116" s="258">
        <v>0</v>
      </c>
      <c r="EV116" s="258">
        <v>0</v>
      </c>
      <c r="EW116" s="258">
        <v>0</v>
      </c>
      <c r="EX116" s="258">
        <v>0</v>
      </c>
      <c r="EY116" s="258">
        <v>0</v>
      </c>
      <c r="EZ116" s="258">
        <v>0</v>
      </c>
      <c r="FA116" s="258">
        <v>0</v>
      </c>
      <c r="FB116" s="258">
        <v>0</v>
      </c>
      <c r="FC116" s="258">
        <v>0</v>
      </c>
      <c r="FD116" s="258">
        <v>0</v>
      </c>
      <c r="FE116" s="258">
        <v>0</v>
      </c>
      <c r="FF116" s="258">
        <v>0</v>
      </c>
      <c r="FG116" s="258">
        <v>0</v>
      </c>
      <c r="FH116" s="301">
        <v>0</v>
      </c>
    </row>
    <row r="117" spans="2:164" x14ac:dyDescent="0.2">
      <c r="B117" s="217" t="s">
        <v>6</v>
      </c>
      <c r="C117" s="227">
        <v>0</v>
      </c>
      <c r="D117" s="228">
        <v>0</v>
      </c>
      <c r="E117" s="208">
        <v>0</v>
      </c>
      <c r="F117" s="208">
        <v>0</v>
      </c>
      <c r="G117" s="208">
        <v>0</v>
      </c>
      <c r="H117" s="208">
        <v>0</v>
      </c>
      <c r="I117" s="208">
        <v>2</v>
      </c>
      <c r="J117" s="208">
        <v>0</v>
      </c>
      <c r="K117" s="208">
        <v>0</v>
      </c>
      <c r="L117" s="208">
        <v>2</v>
      </c>
      <c r="M117" s="208">
        <v>0</v>
      </c>
      <c r="N117" s="208">
        <v>0</v>
      </c>
      <c r="O117" s="208">
        <v>0</v>
      </c>
      <c r="P117" s="208">
        <v>0</v>
      </c>
      <c r="Q117" s="208">
        <v>0</v>
      </c>
      <c r="R117" s="208">
        <v>0</v>
      </c>
      <c r="S117" s="208">
        <v>0</v>
      </c>
      <c r="T117" s="208">
        <v>14</v>
      </c>
      <c r="U117" s="208">
        <v>3</v>
      </c>
      <c r="V117" s="208">
        <v>0</v>
      </c>
      <c r="W117" s="222">
        <v>21</v>
      </c>
      <c r="X117" s="208"/>
      <c r="Y117" s="217" t="s">
        <v>6</v>
      </c>
      <c r="Z117" s="227">
        <v>0</v>
      </c>
      <c r="AA117" s="228">
        <v>0</v>
      </c>
      <c r="AB117" s="208">
        <v>0</v>
      </c>
      <c r="AC117" s="208">
        <v>0</v>
      </c>
      <c r="AD117" s="208">
        <v>0</v>
      </c>
      <c r="AE117" s="252">
        <v>0</v>
      </c>
      <c r="AF117" s="252">
        <v>0</v>
      </c>
      <c r="AG117" s="252">
        <v>0</v>
      </c>
      <c r="AH117" s="252">
        <v>0</v>
      </c>
      <c r="AI117" s="252">
        <v>63.081607343109994</v>
      </c>
      <c r="AJ117" s="252">
        <v>0</v>
      </c>
      <c r="AK117" s="208">
        <v>0</v>
      </c>
      <c r="AL117" s="208">
        <v>0</v>
      </c>
      <c r="AM117" s="208">
        <v>0</v>
      </c>
      <c r="AN117" s="208">
        <v>0</v>
      </c>
      <c r="AO117" s="208">
        <v>0</v>
      </c>
      <c r="AP117" s="208">
        <v>0</v>
      </c>
      <c r="AQ117" s="208">
        <v>1771.1510569028364</v>
      </c>
      <c r="AR117" s="208">
        <v>45.255197656221533</v>
      </c>
      <c r="AS117" s="208">
        <v>0</v>
      </c>
      <c r="AT117" s="222">
        <v>1879.4878619021679</v>
      </c>
      <c r="AV117" s="217" t="s">
        <v>340</v>
      </c>
      <c r="AW117" s="227">
        <f t="shared" si="254"/>
        <v>0</v>
      </c>
      <c r="AX117" s="227">
        <f t="shared" si="255"/>
        <v>0</v>
      </c>
      <c r="AY117" s="227">
        <f t="shared" si="256"/>
        <v>0</v>
      </c>
      <c r="AZ117" s="227">
        <f t="shared" si="245"/>
        <v>0</v>
      </c>
      <c r="BA117" s="227">
        <f t="shared" si="234"/>
        <v>0</v>
      </c>
      <c r="BB117" s="252">
        <v>0</v>
      </c>
      <c r="BC117" s="252">
        <v>0</v>
      </c>
      <c r="BD117" s="252">
        <v>0</v>
      </c>
      <c r="BE117" s="252">
        <v>0</v>
      </c>
      <c r="BF117" s="255">
        <v>0</v>
      </c>
      <c r="BG117" s="255">
        <v>0</v>
      </c>
      <c r="BH117" s="208">
        <f t="shared" si="258"/>
        <v>0</v>
      </c>
      <c r="BI117" s="208">
        <f t="shared" si="259"/>
        <v>0</v>
      </c>
      <c r="BJ117" s="208">
        <f t="shared" si="260"/>
        <v>0</v>
      </c>
      <c r="BK117" s="208">
        <f t="shared" si="261"/>
        <v>0</v>
      </c>
      <c r="BL117" s="208">
        <f t="shared" si="262"/>
        <v>0</v>
      </c>
      <c r="BM117" s="208">
        <f t="shared" si="263"/>
        <v>0</v>
      </c>
      <c r="BN117" s="208">
        <f t="shared" si="257"/>
        <v>1771.1510569028364</v>
      </c>
      <c r="BO117" s="208">
        <f t="shared" si="252"/>
        <v>45.255197656221533</v>
      </c>
      <c r="BP117" s="208">
        <f t="shared" si="253"/>
        <v>0</v>
      </c>
      <c r="BQ117" s="230">
        <f t="shared" si="231"/>
        <v>1816.406254559058</v>
      </c>
      <c r="BR117" s="214"/>
      <c r="BS117" s="227"/>
      <c r="BT117" s="286"/>
      <c r="BU117" s="300" t="s">
        <v>6</v>
      </c>
      <c r="BV117" s="293">
        <v>0</v>
      </c>
      <c r="BW117" s="293">
        <v>0</v>
      </c>
      <c r="BX117" s="258">
        <v>0</v>
      </c>
      <c r="BY117" s="258">
        <v>0</v>
      </c>
      <c r="BZ117" s="258">
        <v>0</v>
      </c>
      <c r="CA117" s="258">
        <v>0</v>
      </c>
      <c r="CB117" s="258">
        <v>0</v>
      </c>
      <c r="CC117" s="258">
        <v>0</v>
      </c>
      <c r="CD117" s="258">
        <v>0</v>
      </c>
      <c r="CE117" s="258">
        <v>0</v>
      </c>
      <c r="CF117" s="258">
        <v>0</v>
      </c>
      <c r="CG117" s="258">
        <v>0</v>
      </c>
      <c r="CH117" s="258">
        <v>0</v>
      </c>
      <c r="CI117" s="258">
        <v>0</v>
      </c>
      <c r="CJ117" s="258">
        <v>0</v>
      </c>
      <c r="CK117" s="258">
        <v>0</v>
      </c>
      <c r="CL117" s="258">
        <v>0</v>
      </c>
      <c r="CM117" s="258">
        <v>0</v>
      </c>
      <c r="CN117" s="258">
        <v>0</v>
      </c>
      <c r="CO117" s="258">
        <v>0</v>
      </c>
      <c r="CP117" s="301">
        <v>0</v>
      </c>
      <c r="CQ117" s="302"/>
      <c r="CR117" s="300" t="s">
        <v>6</v>
      </c>
      <c r="CS117" s="293">
        <v>0</v>
      </c>
      <c r="CT117" s="293">
        <v>0</v>
      </c>
      <c r="CU117" s="258">
        <v>0</v>
      </c>
      <c r="CV117" s="258">
        <v>0</v>
      </c>
      <c r="CW117" s="258">
        <v>0</v>
      </c>
      <c r="CX117" s="258">
        <v>0</v>
      </c>
      <c r="CY117" s="258">
        <v>0</v>
      </c>
      <c r="CZ117" s="258">
        <v>0</v>
      </c>
      <c r="DA117" s="258">
        <v>0</v>
      </c>
      <c r="DB117" s="258">
        <v>0</v>
      </c>
      <c r="DC117" s="258">
        <v>0</v>
      </c>
      <c r="DD117" s="258">
        <v>0</v>
      </c>
      <c r="DE117" s="258">
        <v>0</v>
      </c>
      <c r="DF117" s="258">
        <v>0</v>
      </c>
      <c r="DG117" s="258">
        <v>0</v>
      </c>
      <c r="DH117" s="258">
        <v>0</v>
      </c>
      <c r="DI117" s="258">
        <v>0</v>
      </c>
      <c r="DJ117" s="258">
        <v>0</v>
      </c>
      <c r="DK117" s="258">
        <v>0</v>
      </c>
      <c r="DL117" s="258">
        <v>0</v>
      </c>
      <c r="DM117" s="301">
        <v>0</v>
      </c>
      <c r="DN117" s="302"/>
      <c r="DO117" s="302"/>
      <c r="DP117" s="300" t="s">
        <v>6</v>
      </c>
      <c r="DQ117" s="293">
        <v>0</v>
      </c>
      <c r="DR117" s="293">
        <v>0</v>
      </c>
      <c r="DS117" s="258">
        <v>0</v>
      </c>
      <c r="DT117" s="258">
        <v>0</v>
      </c>
      <c r="DU117" s="258">
        <v>0</v>
      </c>
      <c r="DV117" s="258">
        <v>0</v>
      </c>
      <c r="DW117" s="258">
        <v>0</v>
      </c>
      <c r="DX117" s="258">
        <v>0</v>
      </c>
      <c r="DY117" s="258">
        <v>0</v>
      </c>
      <c r="DZ117" s="258">
        <v>0</v>
      </c>
      <c r="EA117" s="258">
        <v>0</v>
      </c>
      <c r="EB117" s="258">
        <v>0</v>
      </c>
      <c r="EC117" s="258">
        <v>0</v>
      </c>
      <c r="ED117" s="258">
        <v>0</v>
      </c>
      <c r="EE117" s="258">
        <v>0</v>
      </c>
      <c r="EF117" s="258">
        <v>0</v>
      </c>
      <c r="EG117" s="258">
        <v>0</v>
      </c>
      <c r="EH117" s="258">
        <v>0</v>
      </c>
      <c r="EI117" s="258">
        <v>0</v>
      </c>
      <c r="EJ117" s="258">
        <v>0</v>
      </c>
      <c r="EK117" s="301">
        <v>0</v>
      </c>
      <c r="EL117" s="287"/>
      <c r="EM117" s="300" t="s">
        <v>6</v>
      </c>
      <c r="EN117" s="293">
        <v>0</v>
      </c>
      <c r="EO117" s="293">
        <v>0</v>
      </c>
      <c r="EP117" s="258">
        <v>0</v>
      </c>
      <c r="EQ117" s="258">
        <v>0</v>
      </c>
      <c r="ER117" s="258">
        <v>0</v>
      </c>
      <c r="ES117" s="258">
        <v>0</v>
      </c>
      <c r="ET117" s="258">
        <v>0</v>
      </c>
      <c r="EU117" s="258">
        <v>0</v>
      </c>
      <c r="EV117" s="258">
        <v>0</v>
      </c>
      <c r="EW117" s="258">
        <v>0</v>
      </c>
      <c r="EX117" s="258">
        <v>0</v>
      </c>
      <c r="EY117" s="258">
        <v>0</v>
      </c>
      <c r="EZ117" s="258">
        <v>0</v>
      </c>
      <c r="FA117" s="258">
        <v>0</v>
      </c>
      <c r="FB117" s="258">
        <v>0</v>
      </c>
      <c r="FC117" s="258">
        <v>0</v>
      </c>
      <c r="FD117" s="258">
        <v>0</v>
      </c>
      <c r="FE117" s="258">
        <v>0</v>
      </c>
      <c r="FF117" s="258">
        <v>0</v>
      </c>
      <c r="FG117" s="258">
        <v>0</v>
      </c>
      <c r="FH117" s="301">
        <v>0</v>
      </c>
    </row>
    <row r="118" spans="2:164" x14ac:dyDescent="0.2">
      <c r="B118" s="217" t="s">
        <v>342</v>
      </c>
      <c r="C118" s="227">
        <v>0</v>
      </c>
      <c r="D118" s="228">
        <v>0</v>
      </c>
      <c r="E118" s="208">
        <v>0</v>
      </c>
      <c r="F118" s="208">
        <v>0</v>
      </c>
      <c r="G118" s="208">
        <v>0</v>
      </c>
      <c r="H118" s="208">
        <v>102</v>
      </c>
      <c r="I118" s="208">
        <v>52</v>
      </c>
      <c r="J118" s="208">
        <v>0</v>
      </c>
      <c r="K118" s="208">
        <v>3</v>
      </c>
      <c r="L118" s="208">
        <v>34</v>
      </c>
      <c r="M118" s="208">
        <v>9</v>
      </c>
      <c r="N118" s="208">
        <v>6</v>
      </c>
      <c r="O118" s="208">
        <v>2</v>
      </c>
      <c r="P118" s="208">
        <v>1</v>
      </c>
      <c r="Q118" s="208">
        <v>1</v>
      </c>
      <c r="R118" s="208">
        <v>12</v>
      </c>
      <c r="S118" s="208">
        <v>3</v>
      </c>
      <c r="T118" s="208">
        <v>0</v>
      </c>
      <c r="U118" s="208">
        <v>586</v>
      </c>
      <c r="V118" s="208">
        <v>9</v>
      </c>
      <c r="W118" s="222">
        <v>820</v>
      </c>
      <c r="X118" s="208"/>
      <c r="Y118" s="217" t="s">
        <v>342</v>
      </c>
      <c r="Z118" s="227">
        <v>0</v>
      </c>
      <c r="AA118" s="228">
        <v>0</v>
      </c>
      <c r="AB118" s="208">
        <v>0</v>
      </c>
      <c r="AC118" s="208">
        <v>0</v>
      </c>
      <c r="AD118" s="208">
        <v>0</v>
      </c>
      <c r="AE118" s="252">
        <v>3237.2111066215234</v>
      </c>
      <c r="AF118" s="252">
        <v>2911.4185002048671</v>
      </c>
      <c r="AG118" s="252">
        <v>0</v>
      </c>
      <c r="AH118" s="252">
        <v>257.14004279747883</v>
      </c>
      <c r="AI118" s="252">
        <v>539.92071621641537</v>
      </c>
      <c r="AJ118" s="252">
        <v>119.60565578186311</v>
      </c>
      <c r="AK118" s="208">
        <v>11969.520472721952</v>
      </c>
      <c r="AL118" s="208">
        <v>0</v>
      </c>
      <c r="AM118" s="208">
        <v>20.744982668267266</v>
      </c>
      <c r="AN118" s="208">
        <v>0</v>
      </c>
      <c r="AO118" s="208">
        <v>117.81340231997542</v>
      </c>
      <c r="AP118" s="208">
        <v>0</v>
      </c>
      <c r="AQ118" s="208">
        <v>0</v>
      </c>
      <c r="AR118" s="208">
        <v>15174.7880759173</v>
      </c>
      <c r="AS118" s="208">
        <v>405.02824222102726</v>
      </c>
      <c r="AT118" s="222">
        <v>34753.191197470667</v>
      </c>
      <c r="AV118" s="217" t="s">
        <v>341</v>
      </c>
      <c r="AW118" s="227">
        <f t="shared" si="254"/>
        <v>0</v>
      </c>
      <c r="AX118" s="227">
        <f t="shared" si="255"/>
        <v>0</v>
      </c>
      <c r="AY118" s="227">
        <f t="shared" si="256"/>
        <v>0</v>
      </c>
      <c r="AZ118" s="227">
        <f t="shared" si="245"/>
        <v>0</v>
      </c>
      <c r="BA118" s="227">
        <f t="shared" si="234"/>
        <v>0</v>
      </c>
      <c r="BB118" s="252">
        <v>0</v>
      </c>
      <c r="BC118" s="252">
        <v>0</v>
      </c>
      <c r="BD118" s="252">
        <v>0</v>
      </c>
      <c r="BE118" s="252">
        <v>0</v>
      </c>
      <c r="BF118" s="252">
        <v>0</v>
      </c>
      <c r="BG118" s="255">
        <v>0</v>
      </c>
      <c r="BH118" s="208">
        <f t="shared" si="258"/>
        <v>11969.520472721952</v>
      </c>
      <c r="BI118" s="208">
        <f t="shared" si="259"/>
        <v>0</v>
      </c>
      <c r="BJ118" s="208">
        <f t="shared" si="260"/>
        <v>20.744982668267266</v>
      </c>
      <c r="BK118" s="208">
        <f t="shared" si="261"/>
        <v>0</v>
      </c>
      <c r="BL118" s="208">
        <f t="shared" si="262"/>
        <v>117.81340231997542</v>
      </c>
      <c r="BM118" s="208">
        <f t="shared" si="263"/>
        <v>0</v>
      </c>
      <c r="BN118" s="208">
        <f t="shared" si="257"/>
        <v>0</v>
      </c>
      <c r="BO118" s="208">
        <f t="shared" si="252"/>
        <v>15174.7880759173</v>
      </c>
      <c r="BP118" s="208">
        <f t="shared" si="253"/>
        <v>405.02824222102726</v>
      </c>
      <c r="BQ118" s="230">
        <f t="shared" si="231"/>
        <v>27687.89517584852</v>
      </c>
      <c r="BR118" s="214"/>
      <c r="BS118" s="227"/>
      <c r="BT118" s="286"/>
      <c r="BU118" s="300" t="s">
        <v>342</v>
      </c>
      <c r="BV118" s="293">
        <v>0</v>
      </c>
      <c r="BW118" s="293">
        <v>0</v>
      </c>
      <c r="BX118" s="258">
        <v>0</v>
      </c>
      <c r="BY118" s="258">
        <v>0</v>
      </c>
      <c r="BZ118" s="258">
        <v>0</v>
      </c>
      <c r="CA118" s="258">
        <v>1</v>
      </c>
      <c r="CB118" s="258">
        <v>0</v>
      </c>
      <c r="CC118" s="258">
        <v>0</v>
      </c>
      <c r="CD118" s="258">
        <v>0</v>
      </c>
      <c r="CE118" s="258">
        <v>0</v>
      </c>
      <c r="CF118" s="258">
        <v>0</v>
      </c>
      <c r="CG118" s="258">
        <v>0</v>
      </c>
      <c r="CH118" s="258">
        <v>0</v>
      </c>
      <c r="CI118" s="258">
        <v>0</v>
      </c>
      <c r="CJ118" s="258">
        <v>0</v>
      </c>
      <c r="CK118" s="258">
        <v>1</v>
      </c>
      <c r="CL118" s="258">
        <v>0</v>
      </c>
      <c r="CM118" s="258">
        <v>0</v>
      </c>
      <c r="CN118" s="258">
        <v>4</v>
      </c>
      <c r="CO118" s="258">
        <v>0</v>
      </c>
      <c r="CP118" s="301">
        <v>6</v>
      </c>
      <c r="CQ118" s="302"/>
      <c r="CR118" s="300" t="s">
        <v>342</v>
      </c>
      <c r="CS118" s="293">
        <v>0</v>
      </c>
      <c r="CT118" s="293">
        <v>0</v>
      </c>
      <c r="CU118" s="258">
        <v>0</v>
      </c>
      <c r="CV118" s="258">
        <v>0</v>
      </c>
      <c r="CW118" s="258">
        <v>0</v>
      </c>
      <c r="CX118" s="258">
        <v>1758.0127654540729</v>
      </c>
      <c r="CY118" s="258">
        <v>0</v>
      </c>
      <c r="CZ118" s="258">
        <v>0</v>
      </c>
      <c r="DA118" s="258">
        <v>0</v>
      </c>
      <c r="DB118" s="258">
        <v>0</v>
      </c>
      <c r="DC118" s="258">
        <v>0</v>
      </c>
      <c r="DD118" s="258">
        <v>0</v>
      </c>
      <c r="DE118" s="258">
        <v>0</v>
      </c>
      <c r="DF118" s="258">
        <v>0</v>
      </c>
      <c r="DG118" s="258">
        <v>0</v>
      </c>
      <c r="DH118" s="258">
        <v>34.912871431049311</v>
      </c>
      <c r="DI118" s="258">
        <v>0</v>
      </c>
      <c r="DJ118" s="258">
        <v>0</v>
      </c>
      <c r="DK118" s="258">
        <v>20.141558709687203</v>
      </c>
      <c r="DL118" s="258">
        <v>0</v>
      </c>
      <c r="DM118" s="301">
        <v>1813.0671955948094</v>
      </c>
      <c r="DN118" s="302"/>
      <c r="DO118" s="302"/>
      <c r="DP118" s="300" t="s">
        <v>342</v>
      </c>
      <c r="DQ118" s="293">
        <v>0</v>
      </c>
      <c r="DR118" s="293">
        <v>0</v>
      </c>
      <c r="DS118" s="258">
        <v>0</v>
      </c>
      <c r="DT118" s="258">
        <v>0</v>
      </c>
      <c r="DU118" s="258">
        <v>0</v>
      </c>
      <c r="DV118" s="258">
        <v>1</v>
      </c>
      <c r="DW118" s="258">
        <v>0</v>
      </c>
      <c r="DX118" s="258">
        <v>0</v>
      </c>
      <c r="DY118" s="258">
        <v>0</v>
      </c>
      <c r="DZ118" s="258">
        <v>0</v>
      </c>
      <c r="EA118" s="258">
        <v>0</v>
      </c>
      <c r="EB118" s="258">
        <v>0</v>
      </c>
      <c r="EC118" s="258">
        <v>0</v>
      </c>
      <c r="ED118" s="258">
        <v>0</v>
      </c>
      <c r="EE118" s="258">
        <v>0</v>
      </c>
      <c r="EF118" s="258">
        <v>1</v>
      </c>
      <c r="EG118" s="258">
        <v>0</v>
      </c>
      <c r="EH118" s="258">
        <v>0</v>
      </c>
      <c r="EI118" s="258">
        <v>13</v>
      </c>
      <c r="EJ118" s="258">
        <v>0</v>
      </c>
      <c r="EK118" s="301">
        <v>15</v>
      </c>
      <c r="EL118" s="287"/>
      <c r="EM118" s="300" t="s">
        <v>342</v>
      </c>
      <c r="EN118" s="293">
        <v>0</v>
      </c>
      <c r="EO118" s="293">
        <v>0</v>
      </c>
      <c r="EP118" s="258">
        <v>0</v>
      </c>
      <c r="EQ118" s="258">
        <v>0</v>
      </c>
      <c r="ER118" s="258">
        <v>0</v>
      </c>
      <c r="ES118" s="258">
        <v>1758.0127654540729</v>
      </c>
      <c r="ET118" s="258">
        <v>0</v>
      </c>
      <c r="EU118" s="258">
        <v>0</v>
      </c>
      <c r="EV118" s="258">
        <v>0</v>
      </c>
      <c r="EW118" s="258">
        <v>0</v>
      </c>
      <c r="EX118" s="258">
        <v>0</v>
      </c>
      <c r="EY118" s="258">
        <v>0</v>
      </c>
      <c r="EZ118" s="258">
        <v>0</v>
      </c>
      <c r="FA118" s="258">
        <v>0</v>
      </c>
      <c r="FB118" s="258">
        <v>0</v>
      </c>
      <c r="FC118" s="258">
        <v>34.912871431049311</v>
      </c>
      <c r="FD118" s="258">
        <v>0</v>
      </c>
      <c r="FE118" s="258">
        <v>0</v>
      </c>
      <c r="FF118" s="258">
        <v>3197.0350391472221</v>
      </c>
      <c r="FG118" s="258">
        <v>0</v>
      </c>
      <c r="FH118" s="301">
        <v>4989.9606760323441</v>
      </c>
    </row>
    <row r="119" spans="2:164" x14ac:dyDescent="0.2">
      <c r="B119" s="217" t="s">
        <v>343</v>
      </c>
      <c r="C119" s="227">
        <v>0</v>
      </c>
      <c r="D119" s="228">
        <v>0</v>
      </c>
      <c r="E119" s="208">
        <v>0</v>
      </c>
      <c r="F119" s="208">
        <v>0</v>
      </c>
      <c r="G119" s="208">
        <v>0</v>
      </c>
      <c r="H119" s="208">
        <v>6</v>
      </c>
      <c r="I119" s="208">
        <v>1</v>
      </c>
      <c r="J119" s="208">
        <v>0</v>
      </c>
      <c r="K119" s="208">
        <v>0</v>
      </c>
      <c r="L119" s="208">
        <v>3</v>
      </c>
      <c r="M119" s="208">
        <v>1</v>
      </c>
      <c r="N119" s="208">
        <v>0</v>
      </c>
      <c r="O119" s="208">
        <v>0</v>
      </c>
      <c r="P119" s="208">
        <v>0</v>
      </c>
      <c r="Q119" s="208">
        <v>0</v>
      </c>
      <c r="R119" s="208">
        <v>2</v>
      </c>
      <c r="S119" s="208">
        <v>0</v>
      </c>
      <c r="T119" s="208">
        <v>0</v>
      </c>
      <c r="U119" s="208">
        <v>0</v>
      </c>
      <c r="V119" s="208">
        <v>29</v>
      </c>
      <c r="W119" s="222">
        <v>42</v>
      </c>
      <c r="X119" s="208"/>
      <c r="Y119" s="217" t="s">
        <v>343</v>
      </c>
      <c r="Z119" s="227">
        <v>0</v>
      </c>
      <c r="AA119" s="228">
        <v>0</v>
      </c>
      <c r="AB119" s="208">
        <v>0</v>
      </c>
      <c r="AC119" s="208">
        <v>0</v>
      </c>
      <c r="AD119" s="208">
        <v>0</v>
      </c>
      <c r="AE119" s="208">
        <v>110.2624153999659</v>
      </c>
      <c r="AF119" s="208">
        <v>0</v>
      </c>
      <c r="AG119" s="208">
        <v>0</v>
      </c>
      <c r="AH119" s="208">
        <v>0</v>
      </c>
      <c r="AI119" s="208">
        <v>22.923890771888651</v>
      </c>
      <c r="AJ119" s="208">
        <v>0</v>
      </c>
      <c r="AK119" s="208">
        <v>0</v>
      </c>
      <c r="AL119" s="208">
        <v>0</v>
      </c>
      <c r="AM119" s="208">
        <v>0</v>
      </c>
      <c r="AN119" s="208">
        <v>0</v>
      </c>
      <c r="AO119" s="208">
        <v>0</v>
      </c>
      <c r="AP119" s="208">
        <v>0</v>
      </c>
      <c r="AQ119" s="208">
        <v>0</v>
      </c>
      <c r="AR119" s="208">
        <v>0</v>
      </c>
      <c r="AS119" s="208">
        <v>820.10452043651583</v>
      </c>
      <c r="AT119" s="222">
        <v>953.29082660837037</v>
      </c>
      <c r="AV119" s="217" t="s">
        <v>6</v>
      </c>
      <c r="AW119" s="227">
        <f t="shared" si="254"/>
        <v>0</v>
      </c>
      <c r="AX119" s="227">
        <f t="shared" si="255"/>
        <v>0</v>
      </c>
      <c r="AY119" s="227">
        <f t="shared" si="256"/>
        <v>0</v>
      </c>
      <c r="AZ119" s="227">
        <f t="shared" si="245"/>
        <v>0</v>
      </c>
      <c r="BA119" s="227">
        <f t="shared" si="234"/>
        <v>0</v>
      </c>
      <c r="BB119" s="227">
        <f t="shared" ref="BB119:BB121" si="264">AE119</f>
        <v>110.2624153999659</v>
      </c>
      <c r="BC119" s="227">
        <f t="shared" ref="BC119:BC121" si="265">AF119</f>
        <v>0</v>
      </c>
      <c r="BD119" s="227">
        <f t="shared" ref="BD119:BD121" si="266">AG119</f>
        <v>0</v>
      </c>
      <c r="BE119" s="227">
        <f t="shared" ref="BE119:BE121" si="267">AH119</f>
        <v>0</v>
      </c>
      <c r="BF119" s="208">
        <v>0</v>
      </c>
      <c r="BG119" s="208">
        <v>0</v>
      </c>
      <c r="BH119" s="208">
        <f t="shared" si="258"/>
        <v>0</v>
      </c>
      <c r="BI119" s="208">
        <f t="shared" si="259"/>
        <v>0</v>
      </c>
      <c r="BJ119" s="208">
        <f t="shared" si="260"/>
        <v>0</v>
      </c>
      <c r="BK119" s="208">
        <f t="shared" si="261"/>
        <v>0</v>
      </c>
      <c r="BL119" s="208">
        <f t="shared" si="262"/>
        <v>0</v>
      </c>
      <c r="BM119" s="208">
        <f t="shared" si="263"/>
        <v>0</v>
      </c>
      <c r="BN119" s="208">
        <f t="shared" si="257"/>
        <v>0</v>
      </c>
      <c r="BO119" s="208">
        <f t="shared" si="252"/>
        <v>0</v>
      </c>
      <c r="BP119" s="208">
        <f t="shared" si="253"/>
        <v>820.10452043651583</v>
      </c>
      <c r="BQ119" s="230">
        <f t="shared" si="231"/>
        <v>930.36693583648173</v>
      </c>
      <c r="BR119" s="214"/>
      <c r="BS119" s="227"/>
      <c r="BT119" s="286"/>
      <c r="BU119" s="300" t="s">
        <v>343</v>
      </c>
      <c r="BV119" s="293">
        <v>0</v>
      </c>
      <c r="BW119" s="293">
        <v>0</v>
      </c>
      <c r="BX119" s="258">
        <v>0</v>
      </c>
      <c r="BY119" s="258">
        <v>0</v>
      </c>
      <c r="BZ119" s="258">
        <v>0</v>
      </c>
      <c r="CA119" s="258">
        <v>0</v>
      </c>
      <c r="CB119" s="258">
        <v>0</v>
      </c>
      <c r="CC119" s="258">
        <v>0</v>
      </c>
      <c r="CD119" s="258">
        <v>0</v>
      </c>
      <c r="CE119" s="258">
        <v>0</v>
      </c>
      <c r="CF119" s="258">
        <v>0</v>
      </c>
      <c r="CG119" s="258">
        <v>0</v>
      </c>
      <c r="CH119" s="258">
        <v>0</v>
      </c>
      <c r="CI119" s="258">
        <v>0</v>
      </c>
      <c r="CJ119" s="258">
        <v>0</v>
      </c>
      <c r="CK119" s="258">
        <v>0</v>
      </c>
      <c r="CL119" s="258">
        <v>0</v>
      </c>
      <c r="CM119" s="258">
        <v>0</v>
      </c>
      <c r="CN119" s="258">
        <v>0</v>
      </c>
      <c r="CO119" s="258">
        <v>0</v>
      </c>
      <c r="CP119" s="301">
        <v>0</v>
      </c>
      <c r="CQ119" s="302"/>
      <c r="CR119" s="300" t="s">
        <v>343</v>
      </c>
      <c r="CS119" s="293">
        <v>0</v>
      </c>
      <c r="CT119" s="293">
        <v>0</v>
      </c>
      <c r="CU119" s="258">
        <v>0</v>
      </c>
      <c r="CV119" s="258">
        <v>0</v>
      </c>
      <c r="CW119" s="258">
        <v>0</v>
      </c>
      <c r="CX119" s="258">
        <v>0</v>
      </c>
      <c r="CY119" s="258">
        <v>0</v>
      </c>
      <c r="CZ119" s="258">
        <v>0</v>
      </c>
      <c r="DA119" s="258">
        <v>0</v>
      </c>
      <c r="DB119" s="258">
        <v>0</v>
      </c>
      <c r="DC119" s="258">
        <v>0</v>
      </c>
      <c r="DD119" s="258">
        <v>0</v>
      </c>
      <c r="DE119" s="258">
        <v>0</v>
      </c>
      <c r="DF119" s="258">
        <v>0</v>
      </c>
      <c r="DG119" s="258">
        <v>0</v>
      </c>
      <c r="DH119" s="258">
        <v>0</v>
      </c>
      <c r="DI119" s="258">
        <v>0</v>
      </c>
      <c r="DJ119" s="258">
        <v>0</v>
      </c>
      <c r="DK119" s="258">
        <v>0</v>
      </c>
      <c r="DL119" s="258">
        <v>0</v>
      </c>
      <c r="DM119" s="301">
        <v>0</v>
      </c>
      <c r="DN119" s="302"/>
      <c r="DO119" s="302"/>
      <c r="DP119" s="300" t="s">
        <v>343</v>
      </c>
      <c r="DQ119" s="293">
        <v>0</v>
      </c>
      <c r="DR119" s="293">
        <v>0</v>
      </c>
      <c r="DS119" s="258">
        <v>0</v>
      </c>
      <c r="DT119" s="258">
        <v>0</v>
      </c>
      <c r="DU119" s="258">
        <v>0</v>
      </c>
      <c r="DV119" s="258">
        <v>0</v>
      </c>
      <c r="DW119" s="258">
        <v>0</v>
      </c>
      <c r="DX119" s="258">
        <v>0</v>
      </c>
      <c r="DY119" s="258">
        <v>0</v>
      </c>
      <c r="DZ119" s="258">
        <v>0</v>
      </c>
      <c r="EA119" s="258">
        <v>0</v>
      </c>
      <c r="EB119" s="258">
        <v>0</v>
      </c>
      <c r="EC119" s="258">
        <v>0</v>
      </c>
      <c r="ED119" s="258">
        <v>0</v>
      </c>
      <c r="EE119" s="258">
        <v>0</v>
      </c>
      <c r="EF119" s="258">
        <v>0</v>
      </c>
      <c r="EG119" s="258">
        <v>0</v>
      </c>
      <c r="EH119" s="258">
        <v>0</v>
      </c>
      <c r="EI119" s="258">
        <v>0</v>
      </c>
      <c r="EJ119" s="258">
        <v>1</v>
      </c>
      <c r="EK119" s="301">
        <v>1</v>
      </c>
      <c r="EL119" s="287"/>
      <c r="EM119" s="300" t="s">
        <v>343</v>
      </c>
      <c r="EN119" s="293">
        <v>0</v>
      </c>
      <c r="EO119" s="293">
        <v>0</v>
      </c>
      <c r="EP119" s="258">
        <v>0</v>
      </c>
      <c r="EQ119" s="258">
        <v>0</v>
      </c>
      <c r="ER119" s="258">
        <v>0</v>
      </c>
      <c r="ES119" s="258">
        <v>0</v>
      </c>
      <c r="ET119" s="258">
        <v>0</v>
      </c>
      <c r="EU119" s="258">
        <v>0</v>
      </c>
      <c r="EV119" s="258">
        <v>0</v>
      </c>
      <c r="EW119" s="258">
        <v>0</v>
      </c>
      <c r="EX119" s="258">
        <v>0</v>
      </c>
      <c r="EY119" s="258">
        <v>0</v>
      </c>
      <c r="EZ119" s="258">
        <v>0</v>
      </c>
      <c r="FA119" s="258">
        <v>0</v>
      </c>
      <c r="FB119" s="258">
        <v>0</v>
      </c>
      <c r="FC119" s="258">
        <v>0</v>
      </c>
      <c r="FD119" s="258">
        <v>0</v>
      </c>
      <c r="FE119" s="258">
        <v>0</v>
      </c>
      <c r="FF119" s="258">
        <v>0</v>
      </c>
      <c r="FG119" s="258">
        <v>0</v>
      </c>
      <c r="FH119" s="301">
        <v>0</v>
      </c>
    </row>
    <row r="120" spans="2:164" x14ac:dyDescent="0.2">
      <c r="B120" s="217" t="s">
        <v>346</v>
      </c>
      <c r="C120" s="227">
        <v>0</v>
      </c>
      <c r="D120" s="228">
        <v>0</v>
      </c>
      <c r="E120" s="208">
        <v>0</v>
      </c>
      <c r="F120" s="208">
        <v>0</v>
      </c>
      <c r="G120" s="208">
        <v>0</v>
      </c>
      <c r="H120" s="208">
        <v>0</v>
      </c>
      <c r="I120" s="208">
        <v>0</v>
      </c>
      <c r="J120" s="208">
        <v>17</v>
      </c>
      <c r="K120" s="208">
        <v>0</v>
      </c>
      <c r="L120" s="208">
        <v>6</v>
      </c>
      <c r="M120" s="208">
        <v>3</v>
      </c>
      <c r="N120" s="208">
        <v>0</v>
      </c>
      <c r="O120" s="208">
        <v>0</v>
      </c>
      <c r="P120" s="208">
        <v>2</v>
      </c>
      <c r="Q120" s="208">
        <v>0</v>
      </c>
      <c r="R120" s="208">
        <v>1</v>
      </c>
      <c r="S120" s="208">
        <v>0</v>
      </c>
      <c r="T120" s="208">
        <v>0</v>
      </c>
      <c r="U120" s="208">
        <v>0</v>
      </c>
      <c r="V120" s="208">
        <v>0</v>
      </c>
      <c r="W120" s="222">
        <v>29</v>
      </c>
      <c r="X120" s="208"/>
      <c r="Y120" s="217" t="s">
        <v>346</v>
      </c>
      <c r="Z120" s="227">
        <v>0</v>
      </c>
      <c r="AA120" s="228">
        <v>0</v>
      </c>
      <c r="AB120" s="208">
        <v>0</v>
      </c>
      <c r="AC120" s="208">
        <v>0</v>
      </c>
      <c r="AD120" s="208">
        <v>0</v>
      </c>
      <c r="AE120" s="208">
        <v>0</v>
      </c>
      <c r="AF120" s="208">
        <v>0</v>
      </c>
      <c r="AG120" s="208">
        <v>169.94450023549174</v>
      </c>
      <c r="AH120" s="208">
        <v>0</v>
      </c>
      <c r="AI120" s="208">
        <v>1034.0290707699455</v>
      </c>
      <c r="AJ120" s="208">
        <v>0</v>
      </c>
      <c r="AK120" s="208">
        <v>0</v>
      </c>
      <c r="AL120" s="208">
        <v>0</v>
      </c>
      <c r="AM120" s="208">
        <v>38.165202701265329</v>
      </c>
      <c r="AN120" s="208">
        <v>0</v>
      </c>
      <c r="AO120" s="208">
        <v>0</v>
      </c>
      <c r="AP120" s="208">
        <v>0</v>
      </c>
      <c r="AQ120" s="208">
        <v>0</v>
      </c>
      <c r="AR120" s="208">
        <v>0</v>
      </c>
      <c r="AS120" s="208">
        <v>0</v>
      </c>
      <c r="AT120" s="222">
        <v>1242.1387737067025</v>
      </c>
      <c r="AV120" s="217" t="s">
        <v>342</v>
      </c>
      <c r="AW120" s="227">
        <f t="shared" si="254"/>
        <v>0</v>
      </c>
      <c r="AX120" s="227">
        <f t="shared" si="255"/>
        <v>0</v>
      </c>
      <c r="AY120" s="227">
        <f t="shared" si="256"/>
        <v>0</v>
      </c>
      <c r="AZ120" s="227">
        <f t="shared" si="245"/>
        <v>0</v>
      </c>
      <c r="BA120" s="227">
        <f t="shared" si="234"/>
        <v>0</v>
      </c>
      <c r="BB120" s="227">
        <f t="shared" si="264"/>
        <v>0</v>
      </c>
      <c r="BC120" s="227">
        <f t="shared" si="265"/>
        <v>0</v>
      </c>
      <c r="BD120" s="227">
        <f t="shared" si="266"/>
        <v>169.94450023549174</v>
      </c>
      <c r="BE120" s="227">
        <f t="shared" si="267"/>
        <v>0</v>
      </c>
      <c r="BF120" s="227">
        <f t="shared" ref="BF120:BF121" si="268">AI120</f>
        <v>1034.0290707699455</v>
      </c>
      <c r="BG120" s="227">
        <f t="shared" ref="BG120:BG121" si="269">AJ120</f>
        <v>0</v>
      </c>
      <c r="BH120" s="208">
        <f t="shared" si="258"/>
        <v>0</v>
      </c>
      <c r="BI120" s="208">
        <f t="shared" si="259"/>
        <v>0</v>
      </c>
      <c r="BJ120" s="208">
        <f t="shared" si="260"/>
        <v>38.165202701265329</v>
      </c>
      <c r="BK120" s="208">
        <f t="shared" si="261"/>
        <v>0</v>
      </c>
      <c r="BL120" s="208">
        <f t="shared" si="262"/>
        <v>0</v>
      </c>
      <c r="BM120" s="208">
        <f t="shared" si="263"/>
        <v>0</v>
      </c>
      <c r="BN120" s="208">
        <f t="shared" si="257"/>
        <v>0</v>
      </c>
      <c r="BO120" s="208">
        <f t="shared" si="252"/>
        <v>0</v>
      </c>
      <c r="BP120" s="208">
        <f t="shared" si="253"/>
        <v>0</v>
      </c>
      <c r="BQ120" s="230">
        <f t="shared" si="231"/>
        <v>1242.1387737067025</v>
      </c>
      <c r="BR120" s="214"/>
      <c r="BS120" s="227"/>
      <c r="BT120" s="286"/>
      <c r="BU120" s="300" t="s">
        <v>346</v>
      </c>
      <c r="BV120" s="293">
        <v>0</v>
      </c>
      <c r="BW120" s="293">
        <v>0</v>
      </c>
      <c r="BX120" s="258">
        <v>0</v>
      </c>
      <c r="BY120" s="258">
        <v>0</v>
      </c>
      <c r="BZ120" s="258">
        <v>0</v>
      </c>
      <c r="CA120" s="258">
        <v>0</v>
      </c>
      <c r="CB120" s="258">
        <v>0</v>
      </c>
      <c r="CC120" s="258">
        <v>2</v>
      </c>
      <c r="CD120" s="258">
        <v>0</v>
      </c>
      <c r="CE120" s="258">
        <v>0</v>
      </c>
      <c r="CF120" s="258">
        <v>1</v>
      </c>
      <c r="CG120" s="258">
        <v>0</v>
      </c>
      <c r="CH120" s="258">
        <v>0</v>
      </c>
      <c r="CI120" s="258">
        <v>1</v>
      </c>
      <c r="CJ120" s="258">
        <v>0</v>
      </c>
      <c r="CK120" s="258">
        <v>0</v>
      </c>
      <c r="CL120" s="258">
        <v>0</v>
      </c>
      <c r="CM120" s="258">
        <v>0</v>
      </c>
      <c r="CN120" s="258">
        <v>0</v>
      </c>
      <c r="CO120" s="258">
        <v>0</v>
      </c>
      <c r="CP120" s="301">
        <v>4</v>
      </c>
      <c r="CQ120" s="302"/>
      <c r="CR120" s="300" t="s">
        <v>346</v>
      </c>
      <c r="CS120" s="293">
        <v>0</v>
      </c>
      <c r="CT120" s="293">
        <v>0</v>
      </c>
      <c r="CU120" s="258">
        <v>0</v>
      </c>
      <c r="CV120" s="258">
        <v>0</v>
      </c>
      <c r="CW120" s="258">
        <v>0</v>
      </c>
      <c r="CX120" s="258">
        <v>0</v>
      </c>
      <c r="CY120" s="258">
        <v>0</v>
      </c>
      <c r="CZ120" s="258">
        <v>70.756885883132895</v>
      </c>
      <c r="DA120" s="258">
        <v>0</v>
      </c>
      <c r="DB120" s="258">
        <v>0</v>
      </c>
      <c r="DC120" s="258">
        <v>0</v>
      </c>
      <c r="DD120" s="258">
        <v>0</v>
      </c>
      <c r="DE120" s="258">
        <v>0</v>
      </c>
      <c r="DF120" s="258">
        <v>19.302801702525496</v>
      </c>
      <c r="DG120" s="258">
        <v>0</v>
      </c>
      <c r="DH120" s="258">
        <v>0</v>
      </c>
      <c r="DI120" s="258">
        <v>0</v>
      </c>
      <c r="DJ120" s="258">
        <v>0</v>
      </c>
      <c r="DK120" s="258">
        <v>0</v>
      </c>
      <c r="DL120" s="258">
        <v>0</v>
      </c>
      <c r="DM120" s="301">
        <v>90.059687585658395</v>
      </c>
      <c r="DN120" s="302"/>
      <c r="DO120" s="302"/>
      <c r="DP120" s="300" t="s">
        <v>346</v>
      </c>
      <c r="DQ120" s="293">
        <v>0</v>
      </c>
      <c r="DR120" s="293">
        <v>0</v>
      </c>
      <c r="DS120" s="258">
        <v>0</v>
      </c>
      <c r="DT120" s="258">
        <v>0</v>
      </c>
      <c r="DU120" s="258">
        <v>0</v>
      </c>
      <c r="DV120" s="258">
        <v>0</v>
      </c>
      <c r="DW120" s="258">
        <v>0</v>
      </c>
      <c r="DX120" s="258">
        <v>12</v>
      </c>
      <c r="DY120" s="258">
        <v>0</v>
      </c>
      <c r="DZ120" s="258">
        <v>3</v>
      </c>
      <c r="EA120" s="258">
        <v>3</v>
      </c>
      <c r="EB120" s="258">
        <v>0</v>
      </c>
      <c r="EC120" s="258">
        <v>0</v>
      </c>
      <c r="ED120" s="258">
        <v>1</v>
      </c>
      <c r="EE120" s="258">
        <v>0</v>
      </c>
      <c r="EF120" s="258">
        <v>0</v>
      </c>
      <c r="EG120" s="258">
        <v>0</v>
      </c>
      <c r="EH120" s="258">
        <v>0</v>
      </c>
      <c r="EI120" s="258">
        <v>0</v>
      </c>
      <c r="EJ120" s="258">
        <v>0</v>
      </c>
      <c r="EK120" s="301">
        <v>19</v>
      </c>
      <c r="EL120" s="287"/>
      <c r="EM120" s="300" t="s">
        <v>346</v>
      </c>
      <c r="EN120" s="293">
        <v>0</v>
      </c>
      <c r="EO120" s="293">
        <v>0</v>
      </c>
      <c r="EP120" s="258">
        <v>0</v>
      </c>
      <c r="EQ120" s="258">
        <v>0</v>
      </c>
      <c r="ER120" s="258">
        <v>0</v>
      </c>
      <c r="ES120" s="258">
        <v>0</v>
      </c>
      <c r="ET120" s="258">
        <v>0</v>
      </c>
      <c r="EU120" s="258">
        <v>127.34408887935238</v>
      </c>
      <c r="EV120" s="258">
        <v>0</v>
      </c>
      <c r="EW120" s="258">
        <v>956.96565142007239</v>
      </c>
      <c r="EX120" s="258">
        <v>0</v>
      </c>
      <c r="EY120" s="258">
        <v>0</v>
      </c>
      <c r="EZ120" s="258">
        <v>0</v>
      </c>
      <c r="FA120" s="258">
        <v>19.302801702525496</v>
      </c>
      <c r="FB120" s="258">
        <v>0</v>
      </c>
      <c r="FC120" s="258">
        <v>0</v>
      </c>
      <c r="FD120" s="258">
        <v>0</v>
      </c>
      <c r="FE120" s="258">
        <v>0</v>
      </c>
      <c r="FF120" s="258">
        <v>0</v>
      </c>
      <c r="FG120" s="258">
        <v>0</v>
      </c>
      <c r="FH120" s="301">
        <v>1103.6125420019503</v>
      </c>
    </row>
    <row r="121" spans="2:164" x14ac:dyDescent="0.2">
      <c r="B121" s="217" t="s">
        <v>347</v>
      </c>
      <c r="C121" s="227">
        <v>0</v>
      </c>
      <c r="D121" s="228">
        <v>0</v>
      </c>
      <c r="E121" s="208">
        <v>0</v>
      </c>
      <c r="F121" s="208">
        <v>0</v>
      </c>
      <c r="G121" s="208">
        <v>0</v>
      </c>
      <c r="H121" s="208">
        <v>0</v>
      </c>
      <c r="I121" s="208">
        <v>0</v>
      </c>
      <c r="J121" s="208">
        <v>1</v>
      </c>
      <c r="K121" s="208">
        <v>0</v>
      </c>
      <c r="L121" s="208">
        <v>0</v>
      </c>
      <c r="M121" s="208">
        <v>0</v>
      </c>
      <c r="N121" s="208">
        <v>0</v>
      </c>
      <c r="O121" s="208">
        <v>0</v>
      </c>
      <c r="P121" s="208">
        <v>6</v>
      </c>
      <c r="Q121" s="208">
        <v>1</v>
      </c>
      <c r="R121" s="208">
        <v>0</v>
      </c>
      <c r="S121" s="208">
        <v>0</v>
      </c>
      <c r="T121" s="208">
        <v>0</v>
      </c>
      <c r="U121" s="208">
        <v>0</v>
      </c>
      <c r="V121" s="208">
        <v>0</v>
      </c>
      <c r="W121" s="222">
        <v>8</v>
      </c>
      <c r="X121" s="208"/>
      <c r="Y121" s="217" t="s">
        <v>347</v>
      </c>
      <c r="Z121" s="227">
        <v>0</v>
      </c>
      <c r="AA121" s="228">
        <v>0</v>
      </c>
      <c r="AB121" s="208">
        <v>0</v>
      </c>
      <c r="AC121" s="208">
        <v>0</v>
      </c>
      <c r="AD121" s="208">
        <v>0</v>
      </c>
      <c r="AE121" s="208">
        <v>0</v>
      </c>
      <c r="AF121" s="208">
        <v>0</v>
      </c>
      <c r="AG121" s="208">
        <v>0</v>
      </c>
      <c r="AH121" s="208">
        <v>0</v>
      </c>
      <c r="AI121" s="208">
        <v>0</v>
      </c>
      <c r="AJ121" s="208">
        <v>0</v>
      </c>
      <c r="AK121" s="208">
        <v>0</v>
      </c>
      <c r="AL121" s="208">
        <v>0</v>
      </c>
      <c r="AM121" s="208">
        <v>58.910185369532591</v>
      </c>
      <c r="AN121" s="208">
        <v>0</v>
      </c>
      <c r="AO121" s="208">
        <v>0</v>
      </c>
      <c r="AP121" s="208">
        <v>0</v>
      </c>
      <c r="AQ121" s="208">
        <v>0</v>
      </c>
      <c r="AR121" s="208">
        <v>0</v>
      </c>
      <c r="AS121" s="208">
        <v>0</v>
      </c>
      <c r="AT121" s="222">
        <v>58.910185369532591</v>
      </c>
      <c r="AV121" s="217" t="s">
        <v>343</v>
      </c>
      <c r="AW121" s="227">
        <f t="shared" si="254"/>
        <v>0</v>
      </c>
      <c r="AX121" s="227">
        <f t="shared" si="255"/>
        <v>0</v>
      </c>
      <c r="AY121" s="227">
        <f t="shared" si="256"/>
        <v>0</v>
      </c>
      <c r="AZ121" s="227">
        <f t="shared" si="245"/>
        <v>0</v>
      </c>
      <c r="BA121" s="227">
        <f t="shared" si="234"/>
        <v>0</v>
      </c>
      <c r="BB121" s="227">
        <f t="shared" si="264"/>
        <v>0</v>
      </c>
      <c r="BC121" s="227">
        <f t="shared" si="265"/>
        <v>0</v>
      </c>
      <c r="BD121" s="227">
        <f t="shared" si="266"/>
        <v>0</v>
      </c>
      <c r="BE121" s="227">
        <f t="shared" si="267"/>
        <v>0</v>
      </c>
      <c r="BF121" s="227">
        <f t="shared" si="268"/>
        <v>0</v>
      </c>
      <c r="BG121" s="227">
        <f t="shared" si="269"/>
        <v>0</v>
      </c>
      <c r="BH121" s="208">
        <f t="shared" si="258"/>
        <v>0</v>
      </c>
      <c r="BI121" s="208">
        <f t="shared" si="259"/>
        <v>0</v>
      </c>
      <c r="BJ121" s="208">
        <f t="shared" si="260"/>
        <v>58.910185369532591</v>
      </c>
      <c r="BK121" s="208">
        <f t="shared" si="261"/>
        <v>0</v>
      </c>
      <c r="BL121" s="208">
        <f t="shared" si="262"/>
        <v>0</v>
      </c>
      <c r="BM121" s="208">
        <f t="shared" si="263"/>
        <v>0</v>
      </c>
      <c r="BN121" s="208">
        <f t="shared" si="257"/>
        <v>0</v>
      </c>
      <c r="BO121" s="208">
        <f t="shared" si="252"/>
        <v>0</v>
      </c>
      <c r="BP121" s="208">
        <f t="shared" si="253"/>
        <v>0</v>
      </c>
      <c r="BQ121" s="222">
        <f t="shared" si="231"/>
        <v>58.910185369532591</v>
      </c>
      <c r="BR121" s="214"/>
      <c r="BS121" s="227"/>
      <c r="BT121" s="286"/>
      <c r="BU121" s="300" t="s">
        <v>347</v>
      </c>
      <c r="BV121" s="293">
        <v>0</v>
      </c>
      <c r="BW121" s="293">
        <v>0</v>
      </c>
      <c r="BX121" s="258">
        <v>0</v>
      </c>
      <c r="BY121" s="258">
        <v>0</v>
      </c>
      <c r="BZ121" s="258">
        <v>0</v>
      </c>
      <c r="CA121" s="258">
        <v>0</v>
      </c>
      <c r="CB121" s="258">
        <v>0</v>
      </c>
      <c r="CC121" s="258">
        <v>0</v>
      </c>
      <c r="CD121" s="258">
        <v>0</v>
      </c>
      <c r="CE121" s="258">
        <v>0</v>
      </c>
      <c r="CF121" s="258">
        <v>0</v>
      </c>
      <c r="CG121" s="258">
        <v>0</v>
      </c>
      <c r="CH121" s="258">
        <v>0</v>
      </c>
      <c r="CI121" s="258">
        <v>3</v>
      </c>
      <c r="CJ121" s="258">
        <v>0</v>
      </c>
      <c r="CK121" s="258">
        <v>0</v>
      </c>
      <c r="CL121" s="258">
        <v>0</v>
      </c>
      <c r="CM121" s="258">
        <v>0</v>
      </c>
      <c r="CN121" s="258">
        <v>0</v>
      </c>
      <c r="CO121" s="258">
        <v>0</v>
      </c>
      <c r="CP121" s="301">
        <v>3</v>
      </c>
      <c r="CQ121" s="302"/>
      <c r="CR121" s="300" t="s">
        <v>347</v>
      </c>
      <c r="CS121" s="293">
        <v>0</v>
      </c>
      <c r="CT121" s="293">
        <v>0</v>
      </c>
      <c r="CU121" s="258">
        <v>0</v>
      </c>
      <c r="CV121" s="258">
        <v>0</v>
      </c>
      <c r="CW121" s="258">
        <v>0</v>
      </c>
      <c r="CX121" s="258">
        <v>0</v>
      </c>
      <c r="CY121" s="258">
        <v>0</v>
      </c>
      <c r="CZ121" s="258">
        <v>0</v>
      </c>
      <c r="DA121" s="258">
        <v>0</v>
      </c>
      <c r="DB121" s="258">
        <v>0</v>
      </c>
      <c r="DC121" s="258">
        <v>0</v>
      </c>
      <c r="DD121" s="258">
        <v>0</v>
      </c>
      <c r="DE121" s="258">
        <v>0</v>
      </c>
      <c r="DF121" s="258">
        <v>19.302801702525496</v>
      </c>
      <c r="DG121" s="258">
        <v>0</v>
      </c>
      <c r="DH121" s="258">
        <v>0</v>
      </c>
      <c r="DI121" s="258">
        <v>0</v>
      </c>
      <c r="DJ121" s="258">
        <v>0</v>
      </c>
      <c r="DK121" s="258">
        <v>0</v>
      </c>
      <c r="DL121" s="258">
        <v>0</v>
      </c>
      <c r="DM121" s="301">
        <v>19.302801702525496</v>
      </c>
      <c r="DN121" s="302"/>
      <c r="DO121" s="302"/>
      <c r="DP121" s="300" t="s">
        <v>347</v>
      </c>
      <c r="DQ121" s="293">
        <v>0</v>
      </c>
      <c r="DR121" s="293">
        <v>0</v>
      </c>
      <c r="DS121" s="258">
        <v>0</v>
      </c>
      <c r="DT121" s="258">
        <v>0</v>
      </c>
      <c r="DU121" s="258">
        <v>0</v>
      </c>
      <c r="DV121" s="258">
        <v>0</v>
      </c>
      <c r="DW121" s="258">
        <v>0</v>
      </c>
      <c r="DX121" s="258">
        <v>1</v>
      </c>
      <c r="DY121" s="258">
        <v>0</v>
      </c>
      <c r="DZ121" s="258">
        <v>0</v>
      </c>
      <c r="EA121" s="258">
        <v>0</v>
      </c>
      <c r="EB121" s="258">
        <v>0</v>
      </c>
      <c r="EC121" s="258">
        <v>0</v>
      </c>
      <c r="ED121" s="258">
        <v>3</v>
      </c>
      <c r="EE121" s="258">
        <v>0</v>
      </c>
      <c r="EF121" s="258">
        <v>0</v>
      </c>
      <c r="EG121" s="258">
        <v>0</v>
      </c>
      <c r="EH121" s="258">
        <v>0</v>
      </c>
      <c r="EI121" s="258">
        <v>0</v>
      </c>
      <c r="EJ121" s="258">
        <v>0</v>
      </c>
      <c r="EK121" s="301">
        <v>4</v>
      </c>
      <c r="EL121" s="287"/>
      <c r="EM121" s="300" t="s">
        <v>347</v>
      </c>
      <c r="EN121" s="293">
        <v>0</v>
      </c>
      <c r="EO121" s="293">
        <v>0</v>
      </c>
      <c r="EP121" s="258">
        <v>0</v>
      </c>
      <c r="EQ121" s="258">
        <v>0</v>
      </c>
      <c r="ER121" s="258">
        <v>0</v>
      </c>
      <c r="ES121" s="258">
        <v>0</v>
      </c>
      <c r="ET121" s="258">
        <v>0</v>
      </c>
      <c r="EU121" s="258">
        <v>0</v>
      </c>
      <c r="EV121" s="258">
        <v>0</v>
      </c>
      <c r="EW121" s="258">
        <v>0</v>
      </c>
      <c r="EX121" s="258">
        <v>0</v>
      </c>
      <c r="EY121" s="258">
        <v>0</v>
      </c>
      <c r="EZ121" s="258">
        <v>0</v>
      </c>
      <c r="FA121" s="258">
        <v>19.302801702525496</v>
      </c>
      <c r="FB121" s="258">
        <v>0</v>
      </c>
      <c r="FC121" s="258">
        <v>0</v>
      </c>
      <c r="FD121" s="258">
        <v>0</v>
      </c>
      <c r="FE121" s="258">
        <v>0</v>
      </c>
      <c r="FF121" s="258">
        <v>0</v>
      </c>
      <c r="FG121" s="258">
        <v>0</v>
      </c>
      <c r="FH121" s="301">
        <v>19.302801702525496</v>
      </c>
    </row>
    <row r="122" spans="2:164" x14ac:dyDescent="0.2">
      <c r="B122" s="218" t="s">
        <v>7</v>
      </c>
      <c r="C122" s="219">
        <v>18746</v>
      </c>
      <c r="D122" s="220">
        <v>15155</v>
      </c>
      <c r="E122" s="221">
        <v>9367</v>
      </c>
      <c r="F122" s="221">
        <v>21432</v>
      </c>
      <c r="G122" s="221">
        <v>2194</v>
      </c>
      <c r="H122" s="221">
        <v>2471</v>
      </c>
      <c r="I122" s="221">
        <v>1126</v>
      </c>
      <c r="J122" s="221">
        <v>52</v>
      </c>
      <c r="K122" s="221">
        <v>124</v>
      </c>
      <c r="L122" s="221">
        <v>931</v>
      </c>
      <c r="M122" s="221">
        <v>235</v>
      </c>
      <c r="N122" s="221">
        <v>65</v>
      </c>
      <c r="O122" s="221">
        <v>34</v>
      </c>
      <c r="P122" s="221">
        <v>31</v>
      </c>
      <c r="Q122" s="221">
        <v>19</v>
      </c>
      <c r="R122" s="221">
        <v>395</v>
      </c>
      <c r="S122" s="221">
        <v>47</v>
      </c>
      <c r="T122" s="221">
        <v>27</v>
      </c>
      <c r="U122" s="221">
        <v>1062</v>
      </c>
      <c r="V122" s="221">
        <v>74</v>
      </c>
      <c r="W122" s="223">
        <v>73587</v>
      </c>
      <c r="X122" s="208"/>
      <c r="Y122" s="218" t="s">
        <v>7</v>
      </c>
      <c r="Z122" s="219">
        <v>2087376.7109564743</v>
      </c>
      <c r="AA122" s="220">
        <v>1536993.0213618346</v>
      </c>
      <c r="AB122" s="221">
        <v>994866.76065425319</v>
      </c>
      <c r="AC122" s="221">
        <v>2062749.5249879912</v>
      </c>
      <c r="AD122" s="221">
        <v>175847.09313192946</v>
      </c>
      <c r="AE122" s="221">
        <v>216669.83868918777</v>
      </c>
      <c r="AF122" s="221">
        <v>44149.73223119761</v>
      </c>
      <c r="AG122" s="221">
        <v>351.98657824421605</v>
      </c>
      <c r="AH122" s="221">
        <v>13200.959912467841</v>
      </c>
      <c r="AI122" s="221">
        <v>44000.600927977794</v>
      </c>
      <c r="AJ122" s="221">
        <v>11733.42963192597</v>
      </c>
      <c r="AK122" s="221">
        <v>63117.035571413973</v>
      </c>
      <c r="AL122" s="221">
        <v>1391.5252624342463</v>
      </c>
      <c r="AM122" s="221">
        <v>366.99519005675398</v>
      </c>
      <c r="AN122" s="221">
        <v>128.14897709533653</v>
      </c>
      <c r="AO122" s="221">
        <v>24430.254877169438</v>
      </c>
      <c r="AP122" s="221">
        <v>1601.6445437779448</v>
      </c>
      <c r="AQ122" s="221">
        <v>5023.354455169927</v>
      </c>
      <c r="AR122" s="221">
        <v>26135.56018449086</v>
      </c>
      <c r="AS122" s="221">
        <v>1893.6608929823096</v>
      </c>
      <c r="AT122" s="223">
        <v>7312027.8390180757</v>
      </c>
      <c r="AV122" s="218" t="s">
        <v>7</v>
      </c>
      <c r="AW122" s="254">
        <f>SUM(AW102:AW121)</f>
        <v>2085859.2518599546</v>
      </c>
      <c r="AX122" s="254">
        <f t="shared" ref="AX122" si="270">SUM(AX102:AX121)</f>
        <v>1534166.2496961206</v>
      </c>
      <c r="AY122" s="254">
        <f t="shared" ref="AY122" si="271">SUM(AY102:AY121)</f>
        <v>994680.64414212806</v>
      </c>
      <c r="AZ122" s="254">
        <f t="shared" ref="AZ122" si="272">SUM(AZ102:AZ121)</f>
        <v>2059207.8689737492</v>
      </c>
      <c r="BA122" s="254">
        <f t="shared" ref="BA122" si="273">SUM(BA102:BA121)</f>
        <v>175707.17240165221</v>
      </c>
      <c r="BB122" s="254">
        <f t="shared" ref="BB122" si="274">SUM(BB102:BB121)</f>
        <v>193735.98949881634</v>
      </c>
      <c r="BC122" s="254">
        <f t="shared" ref="BC122" si="275">SUM(BC102:BC121)</f>
        <v>40735.045161781192</v>
      </c>
      <c r="BD122" s="254">
        <f t="shared" ref="BD122" si="276">SUM(BD102:BD121)</f>
        <v>280.77254717201754</v>
      </c>
      <c r="BE122" s="254">
        <f t="shared" ref="BE122" si="277">SUM(BE102:BE121)</f>
        <v>12859.622966173678</v>
      </c>
      <c r="BF122" s="254">
        <f t="shared" ref="BF122" si="278">SUM(BF102:BF121)</f>
        <v>35492.074183796693</v>
      </c>
      <c r="BG122" s="254">
        <f t="shared" ref="BG122" si="279">SUM(BG102:BG121)</f>
        <v>11460.985299707098</v>
      </c>
      <c r="BH122" s="254">
        <f t="shared" ref="BH122" si="280">SUM(BH102:BH121)</f>
        <v>11969.520472721952</v>
      </c>
      <c r="BI122" s="254">
        <f t="shared" ref="BI122" si="281">SUM(BI102:BI121)</f>
        <v>347.93492472069164</v>
      </c>
      <c r="BJ122" s="254">
        <f t="shared" ref="BJ122" si="282">SUM(BJ102:BJ121)</f>
        <v>117.8203707390652</v>
      </c>
      <c r="BK122" s="254">
        <f t="shared" ref="BK122" si="283">SUM(BK102:BK121)</f>
        <v>64.074488547668267</v>
      </c>
      <c r="BL122" s="254">
        <f t="shared" ref="BL122" si="284">SUM(BL102:BL121)</f>
        <v>10275.633464615112</v>
      </c>
      <c r="BM122" s="254">
        <f t="shared" ref="BM122" si="285">SUM(BM102:BM121)</f>
        <v>1012.6067673094781</v>
      </c>
      <c r="BN122" s="254">
        <f t="shared" ref="BN122" si="286">SUM(BN102:BN121)</f>
        <v>4938.5236768059021</v>
      </c>
      <c r="BO122" s="254">
        <f t="shared" ref="BO122" si="287">SUM(BO102:BO121)</f>
        <v>22203.818159408987</v>
      </c>
      <c r="BP122" s="254">
        <f t="shared" ref="BP122" si="288">SUM(BP102:BP121)</f>
        <v>1739.9379501634389</v>
      </c>
      <c r="BQ122" s="222">
        <f t="shared" si="231"/>
        <v>7196855.5470060837</v>
      </c>
      <c r="BR122" s="214"/>
      <c r="BT122" s="286"/>
      <c r="BU122" s="303" t="s">
        <v>7</v>
      </c>
      <c r="BV122" s="304">
        <v>1970</v>
      </c>
      <c r="BW122" s="304">
        <v>1527</v>
      </c>
      <c r="BX122" s="305">
        <v>799</v>
      </c>
      <c r="BY122" s="305">
        <v>1022</v>
      </c>
      <c r="BZ122" s="305">
        <v>83</v>
      </c>
      <c r="CA122" s="305">
        <v>18</v>
      </c>
      <c r="CB122" s="305">
        <v>0</v>
      </c>
      <c r="CC122" s="305">
        <v>3</v>
      </c>
      <c r="CD122" s="305">
        <v>7</v>
      </c>
      <c r="CE122" s="305">
        <v>0</v>
      </c>
      <c r="CF122" s="305">
        <v>3</v>
      </c>
      <c r="CG122" s="305">
        <v>0</v>
      </c>
      <c r="CH122" s="305">
        <v>0</v>
      </c>
      <c r="CI122" s="305">
        <v>8</v>
      </c>
      <c r="CJ122" s="305">
        <v>2</v>
      </c>
      <c r="CK122" s="305">
        <v>16</v>
      </c>
      <c r="CL122" s="305">
        <v>4</v>
      </c>
      <c r="CM122" s="305">
        <v>0</v>
      </c>
      <c r="CN122" s="305">
        <v>11</v>
      </c>
      <c r="CO122" s="305">
        <v>0</v>
      </c>
      <c r="CP122" s="306">
        <v>5473</v>
      </c>
      <c r="CQ122" s="302"/>
      <c r="CR122" s="303" t="s">
        <v>7</v>
      </c>
      <c r="CS122" s="304">
        <v>289619.05296019511</v>
      </c>
      <c r="CT122" s="304">
        <v>199026.22557953495</v>
      </c>
      <c r="CU122" s="305">
        <v>135119.73449060239</v>
      </c>
      <c r="CV122" s="305">
        <v>187731.23591223362</v>
      </c>
      <c r="CW122" s="305">
        <v>27610.487260054433</v>
      </c>
      <c r="CX122" s="305">
        <v>25422.617356794832</v>
      </c>
      <c r="CY122" s="305">
        <v>0</v>
      </c>
      <c r="CZ122" s="305">
        <v>106.13532882469934</v>
      </c>
      <c r="DA122" s="305">
        <v>0</v>
      </c>
      <c r="DB122" s="305">
        <v>0</v>
      </c>
      <c r="DC122" s="305">
        <v>0</v>
      </c>
      <c r="DD122" s="305">
        <v>0</v>
      </c>
      <c r="DE122" s="305">
        <v>0</v>
      </c>
      <c r="DF122" s="305">
        <v>115.81681021515298</v>
      </c>
      <c r="DG122" s="305">
        <v>0</v>
      </c>
      <c r="DH122" s="305">
        <v>1292.6911107725291</v>
      </c>
      <c r="DI122" s="305">
        <v>0</v>
      </c>
      <c r="DJ122" s="305">
        <v>0</v>
      </c>
      <c r="DK122" s="305">
        <v>40.283117419374406</v>
      </c>
      <c r="DL122" s="305">
        <v>0</v>
      </c>
      <c r="DM122" s="306">
        <v>866084.27992664708</v>
      </c>
      <c r="DN122" s="302"/>
      <c r="DO122" s="302"/>
      <c r="DP122" s="303" t="s">
        <v>7</v>
      </c>
      <c r="DQ122" s="304">
        <v>3693</v>
      </c>
      <c r="DR122" s="304">
        <v>2828</v>
      </c>
      <c r="DS122" s="305">
        <v>1503</v>
      </c>
      <c r="DT122" s="305">
        <v>1881</v>
      </c>
      <c r="DU122" s="305">
        <v>211</v>
      </c>
      <c r="DV122" s="305">
        <v>32</v>
      </c>
      <c r="DW122" s="305">
        <v>0</v>
      </c>
      <c r="DX122" s="305">
        <v>20</v>
      </c>
      <c r="DY122" s="305">
        <v>13</v>
      </c>
      <c r="DZ122" s="305">
        <v>7</v>
      </c>
      <c r="EA122" s="305">
        <v>17</v>
      </c>
      <c r="EB122" s="305">
        <v>0</v>
      </c>
      <c r="EC122" s="305">
        <v>0</v>
      </c>
      <c r="ED122" s="305">
        <v>8</v>
      </c>
      <c r="EE122" s="305">
        <v>11</v>
      </c>
      <c r="EF122" s="305">
        <v>18</v>
      </c>
      <c r="EG122" s="305">
        <v>4</v>
      </c>
      <c r="EH122" s="305">
        <v>0</v>
      </c>
      <c r="EI122" s="305">
        <v>33</v>
      </c>
      <c r="EJ122" s="305">
        <v>3</v>
      </c>
      <c r="EK122" s="306">
        <v>10282</v>
      </c>
      <c r="EL122" s="287"/>
      <c r="EM122" s="303" t="s">
        <v>7</v>
      </c>
      <c r="EN122" s="304">
        <v>524726.39827297127</v>
      </c>
      <c r="EO122" s="304">
        <v>401603.80785738915</v>
      </c>
      <c r="EP122" s="305">
        <v>239144.19395986194</v>
      </c>
      <c r="EQ122" s="305">
        <v>292420.74677687732</v>
      </c>
      <c r="ER122" s="305">
        <v>63594.266665501847</v>
      </c>
      <c r="ES122" s="305">
        <v>25595.737670199567</v>
      </c>
      <c r="ET122" s="305">
        <v>0</v>
      </c>
      <c r="EU122" s="305">
        <v>200.44733381839848</v>
      </c>
      <c r="EV122" s="305">
        <v>269.88275382018969</v>
      </c>
      <c r="EW122" s="305">
        <v>4358.2249851605739</v>
      </c>
      <c r="EX122" s="305">
        <v>4233.0213350611966</v>
      </c>
      <c r="EY122" s="305">
        <v>0</v>
      </c>
      <c r="EZ122" s="305">
        <v>0</v>
      </c>
      <c r="FA122" s="305">
        <v>115.81681021515298</v>
      </c>
      <c r="FB122" s="305">
        <v>0</v>
      </c>
      <c r="FC122" s="305">
        <v>1292.6911107725291</v>
      </c>
      <c r="FD122" s="305">
        <v>0</v>
      </c>
      <c r="FE122" s="305">
        <v>0</v>
      </c>
      <c r="FF122" s="305">
        <v>4671.7416577050526</v>
      </c>
      <c r="FG122" s="305">
        <v>0</v>
      </c>
      <c r="FH122" s="306">
        <v>1562226.9771893541</v>
      </c>
    </row>
    <row r="123" spans="2:164" x14ac:dyDescent="0.2">
      <c r="B123" s="214" t="s">
        <v>7</v>
      </c>
      <c r="D123" s="206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14" t="s">
        <v>7</v>
      </c>
      <c r="AA123" s="206"/>
      <c r="AB123" s="208"/>
      <c r="AC123" s="208"/>
      <c r="AD123" s="208"/>
      <c r="AE123" s="208"/>
      <c r="AF123" s="208"/>
      <c r="AG123" s="208"/>
      <c r="AH123" s="208"/>
      <c r="AI123" s="208"/>
      <c r="AJ123" s="208"/>
      <c r="AK123" s="208"/>
      <c r="AL123" s="208"/>
      <c r="AM123" s="208"/>
      <c r="AN123" s="208"/>
      <c r="AO123" s="208"/>
      <c r="AP123" s="208"/>
      <c r="AQ123" s="208"/>
      <c r="AR123" s="208"/>
      <c r="AS123" s="208"/>
      <c r="AT123" s="208"/>
      <c r="AV123" s="214" t="s">
        <v>7</v>
      </c>
      <c r="AX123" s="206"/>
      <c r="AY123" s="208"/>
      <c r="AZ123" s="208"/>
      <c r="BA123" s="208"/>
      <c r="BB123" s="208"/>
      <c r="BC123" s="208"/>
      <c r="BD123" s="208"/>
      <c r="BE123" s="208"/>
      <c r="BF123" s="208"/>
      <c r="BG123" s="208"/>
      <c r="BH123" s="208"/>
      <c r="BI123" s="208"/>
      <c r="BJ123" s="208"/>
      <c r="BK123" s="208"/>
      <c r="BL123" s="208"/>
      <c r="BM123" s="208"/>
      <c r="BN123" s="208"/>
      <c r="BO123" s="208"/>
      <c r="BP123" s="208"/>
      <c r="BQ123" s="208"/>
      <c r="BR123" s="214"/>
      <c r="BT123" s="286"/>
      <c r="BU123" s="307"/>
      <c r="BV123" s="308"/>
      <c r="BW123" s="308"/>
      <c r="BX123" s="258"/>
      <c r="BY123" s="258"/>
      <c r="BZ123" s="258"/>
      <c r="CA123" s="258"/>
      <c r="CB123" s="258"/>
      <c r="CC123" s="258"/>
      <c r="CD123" s="258"/>
      <c r="CE123" s="258"/>
      <c r="CF123" s="258"/>
      <c r="CG123" s="258"/>
      <c r="CH123" s="258"/>
      <c r="CI123" s="258"/>
      <c r="CJ123" s="258"/>
      <c r="CK123" s="258"/>
      <c r="CL123" s="258"/>
      <c r="CM123" s="258"/>
      <c r="CN123" s="258"/>
      <c r="CO123" s="258"/>
      <c r="CP123" s="258"/>
      <c r="CQ123" s="302"/>
      <c r="CR123" s="307"/>
      <c r="CS123" s="308"/>
      <c r="CT123" s="308"/>
      <c r="CU123" s="258"/>
      <c r="CV123" s="258"/>
      <c r="CW123" s="258"/>
      <c r="CX123" s="258"/>
      <c r="CY123" s="258"/>
      <c r="CZ123" s="258"/>
      <c r="DA123" s="258"/>
      <c r="DB123" s="258"/>
      <c r="DC123" s="258"/>
      <c r="DD123" s="258"/>
      <c r="DE123" s="258"/>
      <c r="DF123" s="258"/>
      <c r="DG123" s="258"/>
      <c r="DH123" s="258"/>
      <c r="DI123" s="258"/>
      <c r="DJ123" s="258"/>
      <c r="DK123" s="258"/>
      <c r="DL123" s="258"/>
      <c r="DM123" s="258"/>
      <c r="DN123" s="302"/>
      <c r="DO123" s="302"/>
      <c r="DP123" s="307"/>
      <c r="DQ123" s="308"/>
      <c r="DR123" s="308"/>
      <c r="DS123" s="258"/>
      <c r="DT123" s="258"/>
      <c r="DU123" s="258"/>
      <c r="DV123" s="258"/>
      <c r="DW123" s="258"/>
      <c r="DX123" s="258"/>
      <c r="DY123" s="258"/>
      <c r="DZ123" s="258"/>
      <c r="EA123" s="258"/>
      <c r="EB123" s="258"/>
      <c r="EC123" s="258"/>
      <c r="ED123" s="258"/>
      <c r="EE123" s="258"/>
      <c r="EF123" s="258"/>
      <c r="EG123" s="258"/>
      <c r="EH123" s="258"/>
      <c r="EI123" s="258"/>
      <c r="EJ123" s="258"/>
      <c r="EK123" s="258"/>
      <c r="EL123" s="287"/>
      <c r="EM123" s="307"/>
      <c r="EN123" s="308"/>
      <c r="EO123" s="308"/>
      <c r="EP123" s="258"/>
      <c r="EQ123" s="258"/>
      <c r="ER123" s="258"/>
      <c r="ES123" s="258"/>
      <c r="ET123" s="258"/>
      <c r="EU123" s="258"/>
      <c r="EV123" s="258"/>
      <c r="EW123" s="258"/>
      <c r="EX123" s="258"/>
      <c r="EY123" s="258"/>
      <c r="EZ123" s="258"/>
      <c r="FA123" s="258"/>
      <c r="FB123" s="258"/>
      <c r="FC123" s="258"/>
      <c r="FD123" s="258"/>
      <c r="FE123" s="258"/>
      <c r="FF123" s="258"/>
      <c r="FG123" s="258"/>
      <c r="FH123" s="258"/>
    </row>
    <row r="124" spans="2:164" x14ac:dyDescent="0.2">
      <c r="B124" s="214" t="s">
        <v>230</v>
      </c>
      <c r="D124" s="206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14" t="s">
        <v>230</v>
      </c>
      <c r="AA124" s="206"/>
      <c r="AB124" s="208"/>
      <c r="AC124" s="208"/>
      <c r="AD124" s="208"/>
      <c r="AE124" s="208"/>
      <c r="AF124" s="208"/>
      <c r="AG124" s="208"/>
      <c r="AH124" s="208"/>
      <c r="AI124" s="208"/>
      <c r="AJ124" s="208"/>
      <c r="AK124" s="208"/>
      <c r="AL124" s="208"/>
      <c r="AM124" s="208"/>
      <c r="AN124" s="208"/>
      <c r="AO124" s="208"/>
      <c r="AP124" s="208"/>
      <c r="AQ124" s="208"/>
      <c r="AR124" s="208"/>
      <c r="AS124" s="208"/>
      <c r="AT124" s="208"/>
      <c r="AV124" s="214" t="s">
        <v>230</v>
      </c>
      <c r="AX124" s="206"/>
      <c r="AY124" s="208"/>
      <c r="AZ124" s="208"/>
      <c r="BA124" s="208"/>
      <c r="BB124" s="208"/>
      <c r="BC124" s="208"/>
      <c r="BD124" s="208"/>
      <c r="BE124" s="208"/>
      <c r="BF124" s="208"/>
      <c r="BG124" s="208"/>
      <c r="BH124" s="208"/>
      <c r="BI124" s="208"/>
      <c r="BJ124" s="208"/>
      <c r="BK124" s="208"/>
      <c r="BL124" s="208"/>
      <c r="BM124" s="208"/>
      <c r="BN124" s="208"/>
      <c r="BO124" s="208"/>
      <c r="BP124" s="208"/>
      <c r="BQ124" s="208"/>
      <c r="BR124" s="214"/>
      <c r="BT124" s="286"/>
      <c r="BU124" s="307" t="s">
        <v>230</v>
      </c>
      <c r="BV124" s="308"/>
      <c r="BW124" s="308"/>
      <c r="BX124" s="258"/>
      <c r="BY124" s="258"/>
      <c r="BZ124" s="258"/>
      <c r="CA124" s="258"/>
      <c r="CB124" s="258"/>
      <c r="CC124" s="258"/>
      <c r="CD124" s="258"/>
      <c r="CE124" s="258"/>
      <c r="CF124" s="258"/>
      <c r="CG124" s="258"/>
      <c r="CH124" s="258"/>
      <c r="CI124" s="258"/>
      <c r="CJ124" s="258"/>
      <c r="CK124" s="258"/>
      <c r="CL124" s="258"/>
      <c r="CM124" s="258"/>
      <c r="CN124" s="258"/>
      <c r="CO124" s="258"/>
      <c r="CP124" s="258"/>
      <c r="CQ124" s="302"/>
      <c r="CR124" s="307" t="s">
        <v>230</v>
      </c>
      <c r="CS124" s="308"/>
      <c r="CT124" s="308"/>
      <c r="CU124" s="258"/>
      <c r="CV124" s="258"/>
      <c r="CW124" s="258"/>
      <c r="CX124" s="258"/>
      <c r="CY124" s="258"/>
      <c r="CZ124" s="258"/>
      <c r="DA124" s="258"/>
      <c r="DB124" s="258"/>
      <c r="DC124" s="258"/>
      <c r="DD124" s="258"/>
      <c r="DE124" s="258"/>
      <c r="DF124" s="258"/>
      <c r="DG124" s="258"/>
      <c r="DH124" s="258"/>
      <c r="DI124" s="258"/>
      <c r="DJ124" s="258"/>
      <c r="DK124" s="258"/>
      <c r="DL124" s="258"/>
      <c r="DM124" s="258"/>
      <c r="DN124" s="302"/>
      <c r="DO124" s="302"/>
      <c r="DP124" s="307" t="s">
        <v>230</v>
      </c>
      <c r="DQ124" s="308"/>
      <c r="DR124" s="308"/>
      <c r="DS124" s="258"/>
      <c r="DT124" s="258"/>
      <c r="DU124" s="258"/>
      <c r="DV124" s="258"/>
      <c r="DW124" s="258"/>
      <c r="DX124" s="258"/>
      <c r="DY124" s="258"/>
      <c r="DZ124" s="258"/>
      <c r="EA124" s="258"/>
      <c r="EB124" s="258"/>
      <c r="EC124" s="258"/>
      <c r="ED124" s="258"/>
      <c r="EE124" s="258"/>
      <c r="EF124" s="258"/>
      <c r="EG124" s="258"/>
      <c r="EH124" s="258"/>
      <c r="EI124" s="258"/>
      <c r="EJ124" s="258"/>
      <c r="EK124" s="258"/>
      <c r="EL124" s="287"/>
      <c r="EM124" s="307" t="s">
        <v>230</v>
      </c>
      <c r="EN124" s="308"/>
      <c r="EO124" s="308"/>
      <c r="EP124" s="258"/>
      <c r="EQ124" s="258"/>
      <c r="ER124" s="258"/>
      <c r="ES124" s="258"/>
      <c r="ET124" s="258"/>
      <c r="EU124" s="258"/>
      <c r="EV124" s="258"/>
      <c r="EW124" s="258"/>
      <c r="EX124" s="258"/>
      <c r="EY124" s="258"/>
      <c r="EZ124" s="258"/>
      <c r="FA124" s="258"/>
      <c r="FB124" s="258"/>
      <c r="FC124" s="258"/>
      <c r="FD124" s="258"/>
      <c r="FE124" s="258"/>
      <c r="FF124" s="258"/>
      <c r="FG124" s="258"/>
      <c r="FH124" s="258"/>
    </row>
    <row r="125" spans="2:164" ht="36" x14ac:dyDescent="0.2">
      <c r="B125" s="224" t="s">
        <v>330</v>
      </c>
      <c r="C125" s="225" t="s">
        <v>331</v>
      </c>
      <c r="D125" s="225" t="s">
        <v>332</v>
      </c>
      <c r="E125" s="225" t="s">
        <v>333</v>
      </c>
      <c r="F125" s="225" t="s">
        <v>2</v>
      </c>
      <c r="G125" s="225" t="s">
        <v>3</v>
      </c>
      <c r="H125" s="225" t="s">
        <v>334</v>
      </c>
      <c r="I125" s="225" t="s">
        <v>352</v>
      </c>
      <c r="J125" s="225" t="s">
        <v>346</v>
      </c>
      <c r="K125" s="225" t="s">
        <v>335</v>
      </c>
      <c r="L125" s="225" t="s">
        <v>336</v>
      </c>
      <c r="M125" s="225" t="s">
        <v>337</v>
      </c>
      <c r="N125" s="225" t="s">
        <v>338</v>
      </c>
      <c r="O125" s="225" t="s">
        <v>353</v>
      </c>
      <c r="P125" s="225" t="s">
        <v>347</v>
      </c>
      <c r="Q125" s="225" t="s">
        <v>339</v>
      </c>
      <c r="R125" s="225" t="s">
        <v>340</v>
      </c>
      <c r="S125" s="225" t="s">
        <v>341</v>
      </c>
      <c r="T125" s="225" t="s">
        <v>6</v>
      </c>
      <c r="U125" s="225" t="s">
        <v>342</v>
      </c>
      <c r="V125" s="225" t="s">
        <v>343</v>
      </c>
      <c r="W125" s="226" t="s">
        <v>7</v>
      </c>
      <c r="X125" s="208"/>
      <c r="Y125" s="224" t="s">
        <v>330</v>
      </c>
      <c r="Z125" s="225" t="s">
        <v>331</v>
      </c>
      <c r="AA125" s="225" t="s">
        <v>332</v>
      </c>
      <c r="AB125" s="225" t="s">
        <v>333</v>
      </c>
      <c r="AC125" s="225" t="s">
        <v>2</v>
      </c>
      <c r="AD125" s="225" t="s">
        <v>3</v>
      </c>
      <c r="AE125" s="225" t="s">
        <v>334</v>
      </c>
      <c r="AF125" s="225" t="s">
        <v>352</v>
      </c>
      <c r="AG125" s="225" t="s">
        <v>346</v>
      </c>
      <c r="AH125" s="225" t="s">
        <v>335</v>
      </c>
      <c r="AI125" s="225" t="s">
        <v>336</v>
      </c>
      <c r="AJ125" s="225" t="s">
        <v>337</v>
      </c>
      <c r="AK125" s="225" t="s">
        <v>338</v>
      </c>
      <c r="AL125" s="225" t="s">
        <v>353</v>
      </c>
      <c r="AM125" s="225" t="s">
        <v>347</v>
      </c>
      <c r="AN125" s="225" t="s">
        <v>339</v>
      </c>
      <c r="AO125" s="225" t="s">
        <v>340</v>
      </c>
      <c r="AP125" s="225" t="s">
        <v>341</v>
      </c>
      <c r="AQ125" s="225" t="s">
        <v>6</v>
      </c>
      <c r="AR125" s="225" t="s">
        <v>342</v>
      </c>
      <c r="AS125" s="225" t="s">
        <v>343</v>
      </c>
      <c r="AT125" s="226" t="s">
        <v>7</v>
      </c>
      <c r="AV125" s="224" t="s">
        <v>330</v>
      </c>
      <c r="AW125" s="225" t="s">
        <v>331</v>
      </c>
      <c r="AX125" s="225" t="s">
        <v>332</v>
      </c>
      <c r="AY125" s="225" t="s">
        <v>333</v>
      </c>
      <c r="AZ125" s="225" t="s">
        <v>2</v>
      </c>
      <c r="BA125" s="225" t="s">
        <v>3</v>
      </c>
      <c r="BB125" s="225" t="s">
        <v>334</v>
      </c>
      <c r="BC125" s="225" t="s">
        <v>350</v>
      </c>
      <c r="BD125" s="225" t="s">
        <v>346</v>
      </c>
      <c r="BE125" s="225" t="s">
        <v>335</v>
      </c>
      <c r="BF125" s="225" t="s">
        <v>336</v>
      </c>
      <c r="BG125" s="225" t="s">
        <v>337</v>
      </c>
      <c r="BH125" s="225" t="s">
        <v>338</v>
      </c>
      <c r="BI125" s="225" t="s">
        <v>349</v>
      </c>
      <c r="BJ125" s="225" t="s">
        <v>347</v>
      </c>
      <c r="BK125" s="225" t="s">
        <v>339</v>
      </c>
      <c r="BL125" s="225" t="s">
        <v>340</v>
      </c>
      <c r="BM125" s="225" t="s">
        <v>341</v>
      </c>
      <c r="BN125" s="225" t="s">
        <v>6</v>
      </c>
      <c r="BO125" s="225" t="s">
        <v>342</v>
      </c>
      <c r="BP125" s="225" t="s">
        <v>343</v>
      </c>
      <c r="BQ125" s="226" t="s">
        <v>7</v>
      </c>
      <c r="BR125" s="235"/>
      <c r="BS125" s="236"/>
      <c r="BT125" s="283"/>
      <c r="BU125" s="288" t="s">
        <v>330</v>
      </c>
      <c r="BV125" s="289" t="s">
        <v>331</v>
      </c>
      <c r="BW125" s="289" t="s">
        <v>332</v>
      </c>
      <c r="BX125" s="289" t="s">
        <v>333</v>
      </c>
      <c r="BY125" s="289" t="s">
        <v>2</v>
      </c>
      <c r="BZ125" s="289" t="s">
        <v>3</v>
      </c>
      <c r="CA125" s="289" t="s">
        <v>334</v>
      </c>
      <c r="CB125" s="289" t="s">
        <v>352</v>
      </c>
      <c r="CC125" s="289" t="s">
        <v>346</v>
      </c>
      <c r="CD125" s="289" t="s">
        <v>335</v>
      </c>
      <c r="CE125" s="289" t="s">
        <v>336</v>
      </c>
      <c r="CF125" s="289" t="s">
        <v>337</v>
      </c>
      <c r="CG125" s="289" t="s">
        <v>338</v>
      </c>
      <c r="CH125" s="289" t="s">
        <v>353</v>
      </c>
      <c r="CI125" s="289" t="s">
        <v>347</v>
      </c>
      <c r="CJ125" s="289" t="s">
        <v>339</v>
      </c>
      <c r="CK125" s="289" t="s">
        <v>340</v>
      </c>
      <c r="CL125" s="289" t="s">
        <v>341</v>
      </c>
      <c r="CM125" s="289" t="s">
        <v>6</v>
      </c>
      <c r="CN125" s="289" t="s">
        <v>342</v>
      </c>
      <c r="CO125" s="289" t="s">
        <v>343</v>
      </c>
      <c r="CP125" s="290" t="s">
        <v>7</v>
      </c>
      <c r="CQ125" s="291"/>
      <c r="CR125" s="288" t="s">
        <v>330</v>
      </c>
      <c r="CS125" s="289" t="s">
        <v>331</v>
      </c>
      <c r="CT125" s="289" t="s">
        <v>332</v>
      </c>
      <c r="CU125" s="289" t="s">
        <v>333</v>
      </c>
      <c r="CV125" s="289" t="s">
        <v>2</v>
      </c>
      <c r="CW125" s="289" t="s">
        <v>3</v>
      </c>
      <c r="CX125" s="289" t="s">
        <v>334</v>
      </c>
      <c r="CY125" s="289" t="s">
        <v>352</v>
      </c>
      <c r="CZ125" s="289" t="s">
        <v>346</v>
      </c>
      <c r="DA125" s="289" t="s">
        <v>335</v>
      </c>
      <c r="DB125" s="289" t="s">
        <v>336</v>
      </c>
      <c r="DC125" s="289" t="s">
        <v>337</v>
      </c>
      <c r="DD125" s="289" t="s">
        <v>338</v>
      </c>
      <c r="DE125" s="289" t="s">
        <v>353</v>
      </c>
      <c r="DF125" s="289" t="s">
        <v>347</v>
      </c>
      <c r="DG125" s="289" t="s">
        <v>339</v>
      </c>
      <c r="DH125" s="289" t="s">
        <v>340</v>
      </c>
      <c r="DI125" s="289" t="s">
        <v>341</v>
      </c>
      <c r="DJ125" s="289" t="s">
        <v>6</v>
      </c>
      <c r="DK125" s="289" t="s">
        <v>342</v>
      </c>
      <c r="DL125" s="289" t="s">
        <v>343</v>
      </c>
      <c r="DM125" s="290" t="s">
        <v>7</v>
      </c>
      <c r="DN125" s="302"/>
      <c r="DO125" s="291"/>
      <c r="DP125" s="288" t="s">
        <v>330</v>
      </c>
      <c r="DQ125" s="289" t="s">
        <v>331</v>
      </c>
      <c r="DR125" s="289" t="s">
        <v>332</v>
      </c>
      <c r="DS125" s="289" t="s">
        <v>333</v>
      </c>
      <c r="DT125" s="289" t="s">
        <v>2</v>
      </c>
      <c r="DU125" s="289" t="s">
        <v>3</v>
      </c>
      <c r="DV125" s="289" t="s">
        <v>334</v>
      </c>
      <c r="DW125" s="289" t="s">
        <v>352</v>
      </c>
      <c r="DX125" s="289" t="s">
        <v>346</v>
      </c>
      <c r="DY125" s="289" t="s">
        <v>335</v>
      </c>
      <c r="DZ125" s="289" t="s">
        <v>336</v>
      </c>
      <c r="EA125" s="289" t="s">
        <v>337</v>
      </c>
      <c r="EB125" s="289" t="s">
        <v>338</v>
      </c>
      <c r="EC125" s="289" t="s">
        <v>353</v>
      </c>
      <c r="ED125" s="289" t="s">
        <v>347</v>
      </c>
      <c r="EE125" s="289" t="s">
        <v>339</v>
      </c>
      <c r="EF125" s="289" t="s">
        <v>340</v>
      </c>
      <c r="EG125" s="289" t="s">
        <v>341</v>
      </c>
      <c r="EH125" s="289" t="s">
        <v>6</v>
      </c>
      <c r="EI125" s="289" t="s">
        <v>342</v>
      </c>
      <c r="EJ125" s="289" t="s">
        <v>343</v>
      </c>
      <c r="EK125" s="290" t="s">
        <v>7</v>
      </c>
      <c r="EL125" s="287"/>
      <c r="EM125" s="288" t="s">
        <v>330</v>
      </c>
      <c r="EN125" s="289" t="s">
        <v>331</v>
      </c>
      <c r="EO125" s="289" t="s">
        <v>332</v>
      </c>
      <c r="EP125" s="289" t="s">
        <v>333</v>
      </c>
      <c r="EQ125" s="289" t="s">
        <v>2</v>
      </c>
      <c r="ER125" s="289" t="s">
        <v>3</v>
      </c>
      <c r="ES125" s="289" t="s">
        <v>334</v>
      </c>
      <c r="ET125" s="289" t="s">
        <v>352</v>
      </c>
      <c r="EU125" s="289" t="s">
        <v>346</v>
      </c>
      <c r="EV125" s="289" t="s">
        <v>335</v>
      </c>
      <c r="EW125" s="289" t="s">
        <v>336</v>
      </c>
      <c r="EX125" s="289" t="s">
        <v>337</v>
      </c>
      <c r="EY125" s="289" t="s">
        <v>338</v>
      </c>
      <c r="EZ125" s="289" t="s">
        <v>353</v>
      </c>
      <c r="FA125" s="289" t="s">
        <v>347</v>
      </c>
      <c r="FB125" s="289" t="s">
        <v>339</v>
      </c>
      <c r="FC125" s="289" t="s">
        <v>340</v>
      </c>
      <c r="FD125" s="289" t="s">
        <v>341</v>
      </c>
      <c r="FE125" s="289" t="s">
        <v>6</v>
      </c>
      <c r="FF125" s="289" t="s">
        <v>342</v>
      </c>
      <c r="FG125" s="289" t="s">
        <v>343</v>
      </c>
      <c r="FH125" s="290" t="s">
        <v>7</v>
      </c>
    </row>
    <row r="126" spans="2:164" x14ac:dyDescent="0.2">
      <c r="B126" s="233" t="s">
        <v>331</v>
      </c>
      <c r="C126" s="227">
        <v>1565</v>
      </c>
      <c r="D126" s="227">
        <v>77</v>
      </c>
      <c r="E126" s="227">
        <v>18</v>
      </c>
      <c r="F126" s="227">
        <v>6</v>
      </c>
      <c r="G126" s="227">
        <v>0</v>
      </c>
      <c r="H126" s="227">
        <v>2</v>
      </c>
      <c r="I126" s="227">
        <v>0</v>
      </c>
      <c r="J126" s="227">
        <v>0</v>
      </c>
      <c r="K126" s="227">
        <v>0</v>
      </c>
      <c r="L126" s="227">
        <v>0</v>
      </c>
      <c r="M126" s="227">
        <v>0</v>
      </c>
      <c r="N126" s="227">
        <v>0</v>
      </c>
      <c r="O126" s="227">
        <v>0</v>
      </c>
      <c r="P126" s="227">
        <v>0</v>
      </c>
      <c r="Q126" s="227">
        <v>0</v>
      </c>
      <c r="R126" s="227">
        <v>1</v>
      </c>
      <c r="S126" s="227">
        <v>0</v>
      </c>
      <c r="T126" s="227">
        <v>0</v>
      </c>
      <c r="U126" s="227">
        <v>5</v>
      </c>
      <c r="V126" s="227">
        <v>0</v>
      </c>
      <c r="W126" s="230">
        <v>1674</v>
      </c>
      <c r="X126" s="208"/>
      <c r="Y126" s="233" t="s">
        <v>331</v>
      </c>
      <c r="Z126" s="227">
        <v>260118.99434358403</v>
      </c>
      <c r="AA126" s="227">
        <v>12592.709291969542</v>
      </c>
      <c r="AB126" s="227">
        <v>6127.0111729750306</v>
      </c>
      <c r="AC126" s="251">
        <v>191.48593989741033</v>
      </c>
      <c r="AD126" s="251">
        <v>0</v>
      </c>
      <c r="AE126" s="251">
        <v>34.606338728082918</v>
      </c>
      <c r="AF126" s="251">
        <v>0</v>
      </c>
      <c r="AG126" s="251">
        <v>0</v>
      </c>
      <c r="AH126" s="251">
        <v>0</v>
      </c>
      <c r="AI126" s="251">
        <v>0</v>
      </c>
      <c r="AJ126" s="251">
        <v>0</v>
      </c>
      <c r="AK126" s="251">
        <v>0</v>
      </c>
      <c r="AL126" s="251">
        <v>0</v>
      </c>
      <c r="AM126" s="251">
        <v>0</v>
      </c>
      <c r="AN126" s="251">
        <v>0</v>
      </c>
      <c r="AO126" s="251">
        <v>926.04055571240701</v>
      </c>
      <c r="AP126" s="251">
        <v>0</v>
      </c>
      <c r="AQ126" s="251">
        <v>0</v>
      </c>
      <c r="AR126" s="251">
        <v>391.43192734636926</v>
      </c>
      <c r="AS126" s="251">
        <v>0</v>
      </c>
      <c r="AT126" s="230">
        <v>280382.27957021288</v>
      </c>
      <c r="AV126" s="233" t="s">
        <v>331</v>
      </c>
      <c r="AW126" s="227">
        <f>Z126</f>
        <v>260118.99434358403</v>
      </c>
      <c r="AX126" s="227">
        <f>AA126</f>
        <v>12592.709291969542</v>
      </c>
      <c r="AY126" s="227">
        <f>AB126</f>
        <v>6127.0111729750306</v>
      </c>
      <c r="AZ126" s="232">
        <v>0</v>
      </c>
      <c r="BA126" s="256">
        <v>0</v>
      </c>
      <c r="BB126" s="232">
        <v>0</v>
      </c>
      <c r="BC126" s="232">
        <v>0</v>
      </c>
      <c r="BD126" s="232">
        <v>0</v>
      </c>
      <c r="BE126" s="232">
        <v>0</v>
      </c>
      <c r="BF126" s="232">
        <v>0</v>
      </c>
      <c r="BG126" s="232">
        <v>0</v>
      </c>
      <c r="BH126" s="232">
        <v>0</v>
      </c>
      <c r="BI126" s="232">
        <v>0</v>
      </c>
      <c r="BJ126" s="232">
        <v>0</v>
      </c>
      <c r="BK126" s="232">
        <v>0</v>
      </c>
      <c r="BL126" s="232">
        <v>0</v>
      </c>
      <c r="BM126" s="232">
        <v>0</v>
      </c>
      <c r="BN126" s="232">
        <v>0</v>
      </c>
      <c r="BO126" s="232">
        <v>0</v>
      </c>
      <c r="BP126" s="251">
        <v>0</v>
      </c>
      <c r="BQ126" s="230">
        <f t="shared" ref="BQ126:BQ146" si="289">SUM(AW126:BP126)</f>
        <v>278838.7148085286</v>
      </c>
      <c r="BR126" s="237"/>
      <c r="BS126" s="227"/>
      <c r="BT126" s="284"/>
      <c r="BU126" s="292" t="s">
        <v>331</v>
      </c>
      <c r="BV126" s="293">
        <v>213</v>
      </c>
      <c r="BW126" s="293">
        <v>5</v>
      </c>
      <c r="BX126" s="293">
        <v>3</v>
      </c>
      <c r="BY126" s="293">
        <v>3</v>
      </c>
      <c r="BZ126" s="293">
        <v>0</v>
      </c>
      <c r="CA126" s="293">
        <v>0</v>
      </c>
      <c r="CB126" s="293">
        <v>0</v>
      </c>
      <c r="CC126" s="293">
        <v>0</v>
      </c>
      <c r="CD126" s="293">
        <v>0</v>
      </c>
      <c r="CE126" s="293">
        <v>0</v>
      </c>
      <c r="CF126" s="293">
        <v>0</v>
      </c>
      <c r="CG126" s="293">
        <v>0</v>
      </c>
      <c r="CH126" s="293">
        <v>0</v>
      </c>
      <c r="CI126" s="293">
        <v>0</v>
      </c>
      <c r="CJ126" s="293">
        <v>0</v>
      </c>
      <c r="CK126" s="293">
        <v>0</v>
      </c>
      <c r="CL126" s="293">
        <v>0</v>
      </c>
      <c r="CM126" s="293">
        <v>0</v>
      </c>
      <c r="CN126" s="293">
        <v>0</v>
      </c>
      <c r="CO126" s="293">
        <v>0</v>
      </c>
      <c r="CP126" s="294">
        <v>224</v>
      </c>
      <c r="CQ126" s="295"/>
      <c r="CR126" s="292" t="s">
        <v>331</v>
      </c>
      <c r="CS126" s="293">
        <v>10164.417183020036</v>
      </c>
      <c r="CT126" s="293">
        <v>185.42732131690266</v>
      </c>
      <c r="CU126" s="293">
        <v>0</v>
      </c>
      <c r="CV126" s="293">
        <v>52.79560001377898</v>
      </c>
      <c r="CW126" s="293">
        <v>0</v>
      </c>
      <c r="CX126" s="293">
        <v>0</v>
      </c>
      <c r="CY126" s="293">
        <v>0</v>
      </c>
      <c r="CZ126" s="293">
        <v>0</v>
      </c>
      <c r="DA126" s="293">
        <v>0</v>
      </c>
      <c r="DB126" s="293">
        <v>0</v>
      </c>
      <c r="DC126" s="293">
        <v>0</v>
      </c>
      <c r="DD126" s="293">
        <v>0</v>
      </c>
      <c r="DE126" s="293">
        <v>0</v>
      </c>
      <c r="DF126" s="293">
        <v>0</v>
      </c>
      <c r="DG126" s="293">
        <v>0</v>
      </c>
      <c r="DH126" s="293">
        <v>0</v>
      </c>
      <c r="DI126" s="293">
        <v>0</v>
      </c>
      <c r="DJ126" s="293">
        <v>0</v>
      </c>
      <c r="DK126" s="293">
        <v>0</v>
      </c>
      <c r="DL126" s="293">
        <v>0</v>
      </c>
      <c r="DM126" s="294">
        <v>10402.640104350718</v>
      </c>
      <c r="DN126" s="291"/>
      <c r="DO126" s="295"/>
      <c r="DP126" s="292" t="s">
        <v>331</v>
      </c>
      <c r="DQ126" s="293">
        <v>339</v>
      </c>
      <c r="DR126" s="293">
        <v>16</v>
      </c>
      <c r="DS126" s="293">
        <v>5</v>
      </c>
      <c r="DT126" s="293">
        <v>3</v>
      </c>
      <c r="DU126" s="293">
        <v>0</v>
      </c>
      <c r="DV126" s="293">
        <v>0</v>
      </c>
      <c r="DW126" s="293">
        <v>0</v>
      </c>
      <c r="DX126" s="293">
        <v>0</v>
      </c>
      <c r="DY126" s="293">
        <v>0</v>
      </c>
      <c r="DZ126" s="293">
        <v>0</v>
      </c>
      <c r="EA126" s="293">
        <v>0</v>
      </c>
      <c r="EB126" s="293">
        <v>0</v>
      </c>
      <c r="EC126" s="293">
        <v>0</v>
      </c>
      <c r="ED126" s="293">
        <v>0</v>
      </c>
      <c r="EE126" s="293">
        <v>0</v>
      </c>
      <c r="EF126" s="293">
        <v>0</v>
      </c>
      <c r="EG126" s="293">
        <v>0</v>
      </c>
      <c r="EH126" s="293">
        <v>0</v>
      </c>
      <c r="EI126" s="293">
        <v>0</v>
      </c>
      <c r="EJ126" s="293">
        <v>0</v>
      </c>
      <c r="EK126" s="294">
        <v>363</v>
      </c>
      <c r="EL126" s="287"/>
      <c r="EM126" s="292" t="s">
        <v>331</v>
      </c>
      <c r="EN126" s="293">
        <v>32994.691409670282</v>
      </c>
      <c r="EO126" s="293">
        <v>4283.8630368925951</v>
      </c>
      <c r="EP126" s="293">
        <v>856.55480835188894</v>
      </c>
      <c r="EQ126" s="293">
        <v>52.79560001377898</v>
      </c>
      <c r="ER126" s="293">
        <v>0</v>
      </c>
      <c r="ES126" s="293">
        <v>0</v>
      </c>
      <c r="ET126" s="293">
        <v>0</v>
      </c>
      <c r="EU126" s="293">
        <v>0</v>
      </c>
      <c r="EV126" s="293">
        <v>0</v>
      </c>
      <c r="EW126" s="293">
        <v>0</v>
      </c>
      <c r="EX126" s="293">
        <v>0</v>
      </c>
      <c r="EY126" s="293">
        <v>0</v>
      </c>
      <c r="EZ126" s="293">
        <v>0</v>
      </c>
      <c r="FA126" s="293">
        <v>0</v>
      </c>
      <c r="FB126" s="293">
        <v>0</v>
      </c>
      <c r="FC126" s="293">
        <v>0</v>
      </c>
      <c r="FD126" s="293">
        <v>0</v>
      </c>
      <c r="FE126" s="293">
        <v>0</v>
      </c>
      <c r="FF126" s="293">
        <v>0</v>
      </c>
      <c r="FG126" s="293">
        <v>0</v>
      </c>
      <c r="FH126" s="294">
        <v>38187.904854928544</v>
      </c>
    </row>
    <row r="127" spans="2:164" x14ac:dyDescent="0.2">
      <c r="B127" s="215" t="s">
        <v>332</v>
      </c>
      <c r="C127" s="227">
        <v>0</v>
      </c>
      <c r="D127" s="227">
        <v>443</v>
      </c>
      <c r="E127" s="227">
        <v>32</v>
      </c>
      <c r="F127" s="227">
        <v>0</v>
      </c>
      <c r="G127" s="227">
        <v>0</v>
      </c>
      <c r="H127" s="227">
        <v>2</v>
      </c>
      <c r="I127" s="227">
        <v>0</v>
      </c>
      <c r="J127" s="227">
        <v>0</v>
      </c>
      <c r="K127" s="227">
        <v>0</v>
      </c>
      <c r="L127" s="227">
        <v>0</v>
      </c>
      <c r="M127" s="227">
        <v>0</v>
      </c>
      <c r="N127" s="227">
        <v>0</v>
      </c>
      <c r="O127" s="227">
        <v>0</v>
      </c>
      <c r="P127" s="227">
        <v>0</v>
      </c>
      <c r="Q127" s="227">
        <v>0</v>
      </c>
      <c r="R127" s="227">
        <v>0</v>
      </c>
      <c r="S127" s="227">
        <v>0</v>
      </c>
      <c r="T127" s="227">
        <v>0</v>
      </c>
      <c r="U127" s="227">
        <v>2</v>
      </c>
      <c r="V127" s="227">
        <v>0</v>
      </c>
      <c r="W127" s="230">
        <v>479</v>
      </c>
      <c r="X127" s="208"/>
      <c r="Y127" s="215" t="s">
        <v>332</v>
      </c>
      <c r="Z127" s="227">
        <v>0</v>
      </c>
      <c r="AA127" s="227">
        <v>117220.39286892019</v>
      </c>
      <c r="AB127" s="227">
        <v>8714.4754783747539</v>
      </c>
      <c r="AC127" s="227">
        <v>0</v>
      </c>
      <c r="AD127" s="227">
        <v>0</v>
      </c>
      <c r="AE127" s="227">
        <v>116.59952034706812</v>
      </c>
      <c r="AF127" s="227">
        <v>0</v>
      </c>
      <c r="AG127" s="227">
        <v>0</v>
      </c>
      <c r="AH127" s="227">
        <v>0</v>
      </c>
      <c r="AI127" s="227">
        <v>0</v>
      </c>
      <c r="AJ127" s="227">
        <v>0</v>
      </c>
      <c r="AK127" s="251">
        <v>0</v>
      </c>
      <c r="AL127" s="251">
        <v>0</v>
      </c>
      <c r="AM127" s="251">
        <v>0</v>
      </c>
      <c r="AN127" s="251">
        <v>0</v>
      </c>
      <c r="AO127" s="251">
        <v>0</v>
      </c>
      <c r="AP127" s="251">
        <v>0</v>
      </c>
      <c r="AQ127" s="227">
        <v>0</v>
      </c>
      <c r="AR127" s="227">
        <v>31.799332482195709</v>
      </c>
      <c r="AS127" s="227">
        <v>0</v>
      </c>
      <c r="AT127" s="230">
        <v>126083.2672001242</v>
      </c>
      <c r="AV127" s="215" t="s">
        <v>332</v>
      </c>
      <c r="AW127" s="227">
        <f t="shared" ref="AW127:AX129" si="290">Z127</f>
        <v>0</v>
      </c>
      <c r="AX127" s="227">
        <f t="shared" si="290"/>
        <v>117220.39286892019</v>
      </c>
      <c r="AY127" s="227">
        <f t="shared" ref="AY127:AY129" si="291">AB127</f>
        <v>8714.4754783747539</v>
      </c>
      <c r="AZ127" s="227">
        <f>AC127</f>
        <v>0</v>
      </c>
      <c r="BA127" s="227">
        <f t="shared" ref="BA127:BA145" si="292">AD127</f>
        <v>0</v>
      </c>
      <c r="BB127" s="227">
        <f t="shared" ref="BB127:BB129" si="293">AE127</f>
        <v>116.59952034706812</v>
      </c>
      <c r="BC127" s="227">
        <f t="shared" ref="BC127:BC129" si="294">AF127</f>
        <v>0</v>
      </c>
      <c r="BD127" s="227">
        <f t="shared" ref="BD127:BD129" si="295">AG127</f>
        <v>0</v>
      </c>
      <c r="BE127" s="227">
        <f t="shared" ref="BE127:BE129" si="296">AH127</f>
        <v>0</v>
      </c>
      <c r="BF127" s="227">
        <f t="shared" ref="BF127:BF129" si="297">AI127</f>
        <v>0</v>
      </c>
      <c r="BG127" s="227">
        <f t="shared" ref="BG127:BG129" si="298">AJ127</f>
        <v>0</v>
      </c>
      <c r="BH127" s="232">
        <v>0</v>
      </c>
      <c r="BI127" s="251">
        <v>0</v>
      </c>
      <c r="BJ127" s="232">
        <v>0</v>
      </c>
      <c r="BK127" s="251">
        <v>0</v>
      </c>
      <c r="BL127" s="232">
        <v>0</v>
      </c>
      <c r="BM127" s="232">
        <v>0</v>
      </c>
      <c r="BN127" s="227">
        <f>AQ127</f>
        <v>0</v>
      </c>
      <c r="BO127" s="227">
        <f t="shared" ref="BO127:BO129" si="299">AR127</f>
        <v>31.799332482195709</v>
      </c>
      <c r="BP127" s="227">
        <f t="shared" ref="BP127:BP129" si="300">AS127</f>
        <v>0</v>
      </c>
      <c r="BQ127" s="230">
        <f t="shared" si="289"/>
        <v>126083.2672001242</v>
      </c>
      <c r="BR127" s="237"/>
      <c r="BS127" s="227"/>
      <c r="BT127" s="284"/>
      <c r="BU127" s="296" t="s">
        <v>332</v>
      </c>
      <c r="BV127" s="293">
        <v>0</v>
      </c>
      <c r="BW127" s="293">
        <v>67</v>
      </c>
      <c r="BX127" s="293">
        <v>7</v>
      </c>
      <c r="BY127" s="293">
        <v>0</v>
      </c>
      <c r="BZ127" s="293">
        <v>0</v>
      </c>
      <c r="CA127" s="293">
        <v>0</v>
      </c>
      <c r="CB127" s="293">
        <v>0</v>
      </c>
      <c r="CC127" s="293">
        <v>0</v>
      </c>
      <c r="CD127" s="293">
        <v>0</v>
      </c>
      <c r="CE127" s="293">
        <v>0</v>
      </c>
      <c r="CF127" s="293">
        <v>0</v>
      </c>
      <c r="CG127" s="293">
        <v>0</v>
      </c>
      <c r="CH127" s="293">
        <v>0</v>
      </c>
      <c r="CI127" s="293">
        <v>0</v>
      </c>
      <c r="CJ127" s="293">
        <v>0</v>
      </c>
      <c r="CK127" s="293">
        <v>0</v>
      </c>
      <c r="CL127" s="293">
        <v>0</v>
      </c>
      <c r="CM127" s="293">
        <v>0</v>
      </c>
      <c r="CN127" s="293">
        <v>0</v>
      </c>
      <c r="CO127" s="293">
        <v>0</v>
      </c>
      <c r="CP127" s="294">
        <v>74</v>
      </c>
      <c r="CQ127" s="295"/>
      <c r="CR127" s="296" t="s">
        <v>332</v>
      </c>
      <c r="CS127" s="293">
        <v>0</v>
      </c>
      <c r="CT127" s="293">
        <v>25695.207193684546</v>
      </c>
      <c r="CU127" s="293">
        <v>174.8721450379137</v>
      </c>
      <c r="CV127" s="293">
        <v>0</v>
      </c>
      <c r="CW127" s="293">
        <v>0</v>
      </c>
      <c r="CX127" s="293">
        <v>0</v>
      </c>
      <c r="CY127" s="293">
        <v>0</v>
      </c>
      <c r="CZ127" s="293">
        <v>0</v>
      </c>
      <c r="DA127" s="293">
        <v>0</v>
      </c>
      <c r="DB127" s="293">
        <v>0</v>
      </c>
      <c r="DC127" s="293">
        <v>0</v>
      </c>
      <c r="DD127" s="293">
        <v>0</v>
      </c>
      <c r="DE127" s="293">
        <v>0</v>
      </c>
      <c r="DF127" s="293">
        <v>0</v>
      </c>
      <c r="DG127" s="293">
        <v>0</v>
      </c>
      <c r="DH127" s="293">
        <v>0</v>
      </c>
      <c r="DI127" s="293">
        <v>0</v>
      </c>
      <c r="DJ127" s="293">
        <v>0</v>
      </c>
      <c r="DK127" s="293">
        <v>0</v>
      </c>
      <c r="DL127" s="293">
        <v>0</v>
      </c>
      <c r="DM127" s="294">
        <v>25870.079338722458</v>
      </c>
      <c r="DN127" s="295"/>
      <c r="DO127" s="295"/>
      <c r="DP127" s="296" t="s">
        <v>332</v>
      </c>
      <c r="DQ127" s="293">
        <v>0</v>
      </c>
      <c r="DR127" s="293">
        <v>112</v>
      </c>
      <c r="DS127" s="293">
        <v>18</v>
      </c>
      <c r="DT127" s="293">
        <v>0</v>
      </c>
      <c r="DU127" s="293">
        <v>0</v>
      </c>
      <c r="DV127" s="293">
        <v>0</v>
      </c>
      <c r="DW127" s="293">
        <v>0</v>
      </c>
      <c r="DX127" s="293">
        <v>0</v>
      </c>
      <c r="DY127" s="293">
        <v>0</v>
      </c>
      <c r="DZ127" s="293">
        <v>0</v>
      </c>
      <c r="EA127" s="293">
        <v>0</v>
      </c>
      <c r="EB127" s="293">
        <v>0</v>
      </c>
      <c r="EC127" s="293">
        <v>0</v>
      </c>
      <c r="ED127" s="293">
        <v>0</v>
      </c>
      <c r="EE127" s="293">
        <v>0</v>
      </c>
      <c r="EF127" s="293">
        <v>0</v>
      </c>
      <c r="EG127" s="293">
        <v>0</v>
      </c>
      <c r="EH127" s="293">
        <v>0</v>
      </c>
      <c r="EI127" s="293">
        <v>0</v>
      </c>
      <c r="EJ127" s="293">
        <v>0</v>
      </c>
      <c r="EK127" s="294">
        <v>130</v>
      </c>
      <c r="EL127" s="287"/>
      <c r="EM127" s="296" t="s">
        <v>332</v>
      </c>
      <c r="EN127" s="293">
        <v>0</v>
      </c>
      <c r="EO127" s="293">
        <v>45780.644154130794</v>
      </c>
      <c r="EP127" s="293">
        <v>3620.6941118146783</v>
      </c>
      <c r="EQ127" s="293">
        <v>0</v>
      </c>
      <c r="ER127" s="293">
        <v>0</v>
      </c>
      <c r="ES127" s="293">
        <v>0</v>
      </c>
      <c r="ET127" s="293">
        <v>0</v>
      </c>
      <c r="EU127" s="293">
        <v>0</v>
      </c>
      <c r="EV127" s="293">
        <v>0</v>
      </c>
      <c r="EW127" s="293">
        <v>0</v>
      </c>
      <c r="EX127" s="293">
        <v>0</v>
      </c>
      <c r="EY127" s="293">
        <v>0</v>
      </c>
      <c r="EZ127" s="293">
        <v>0</v>
      </c>
      <c r="FA127" s="293">
        <v>0</v>
      </c>
      <c r="FB127" s="293">
        <v>0</v>
      </c>
      <c r="FC127" s="293">
        <v>0</v>
      </c>
      <c r="FD127" s="293">
        <v>0</v>
      </c>
      <c r="FE127" s="293">
        <v>0</v>
      </c>
      <c r="FF127" s="293">
        <v>0</v>
      </c>
      <c r="FG127" s="293">
        <v>0</v>
      </c>
      <c r="FH127" s="294">
        <v>49401.338265945473</v>
      </c>
    </row>
    <row r="128" spans="2:164" ht="24" x14ac:dyDescent="0.2">
      <c r="B128" s="216" t="s">
        <v>333</v>
      </c>
      <c r="C128" s="227">
        <v>0</v>
      </c>
      <c r="D128" s="228">
        <v>0</v>
      </c>
      <c r="E128" s="229">
        <v>249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1</v>
      </c>
      <c r="V128" s="229">
        <v>0</v>
      </c>
      <c r="W128" s="231">
        <v>250</v>
      </c>
      <c r="X128" s="208"/>
      <c r="Y128" s="216" t="s">
        <v>333</v>
      </c>
      <c r="Z128" s="227">
        <v>0</v>
      </c>
      <c r="AA128" s="228">
        <v>0</v>
      </c>
      <c r="AB128" s="229">
        <v>32387.749635410844</v>
      </c>
      <c r="AC128" s="229">
        <v>0</v>
      </c>
      <c r="AD128" s="229">
        <v>0</v>
      </c>
      <c r="AE128" s="229">
        <v>0</v>
      </c>
      <c r="AF128" s="229">
        <v>0</v>
      </c>
      <c r="AG128" s="229">
        <v>0</v>
      </c>
      <c r="AH128" s="229">
        <v>0</v>
      </c>
      <c r="AI128" s="229">
        <v>0</v>
      </c>
      <c r="AJ128" s="229">
        <v>0</v>
      </c>
      <c r="AK128" s="253">
        <v>0</v>
      </c>
      <c r="AL128" s="253">
        <v>0</v>
      </c>
      <c r="AM128" s="253">
        <v>0</v>
      </c>
      <c r="AN128" s="253">
        <v>0</v>
      </c>
      <c r="AO128" s="253">
        <v>0</v>
      </c>
      <c r="AP128" s="253">
        <v>0</v>
      </c>
      <c r="AQ128" s="229">
        <v>0</v>
      </c>
      <c r="AR128" s="229">
        <v>176.31546886792793</v>
      </c>
      <c r="AS128" s="229">
        <v>0</v>
      </c>
      <c r="AT128" s="231">
        <v>32564.065104278772</v>
      </c>
      <c r="AV128" s="216" t="s">
        <v>333</v>
      </c>
      <c r="AW128" s="227">
        <f t="shared" si="290"/>
        <v>0</v>
      </c>
      <c r="AX128" s="227">
        <f t="shared" si="290"/>
        <v>0</v>
      </c>
      <c r="AY128" s="227">
        <f t="shared" si="291"/>
        <v>32387.749635410844</v>
      </c>
      <c r="AZ128" s="227">
        <f t="shared" ref="AZ128:AZ129" si="301">AC128</f>
        <v>0</v>
      </c>
      <c r="BA128" s="227">
        <f t="shared" si="292"/>
        <v>0</v>
      </c>
      <c r="BB128" s="227">
        <f t="shared" si="293"/>
        <v>0</v>
      </c>
      <c r="BC128" s="227">
        <f t="shared" si="294"/>
        <v>0</v>
      </c>
      <c r="BD128" s="227">
        <f t="shared" si="295"/>
        <v>0</v>
      </c>
      <c r="BE128" s="227">
        <f t="shared" si="296"/>
        <v>0</v>
      </c>
      <c r="BF128" s="227">
        <f t="shared" si="297"/>
        <v>0</v>
      </c>
      <c r="BG128" s="227">
        <f t="shared" si="298"/>
        <v>0</v>
      </c>
      <c r="BH128" s="253">
        <v>0</v>
      </c>
      <c r="BI128" s="257">
        <v>0</v>
      </c>
      <c r="BJ128" s="257">
        <v>0</v>
      </c>
      <c r="BK128" s="253">
        <v>0</v>
      </c>
      <c r="BL128" s="257">
        <v>0</v>
      </c>
      <c r="BM128" s="257">
        <v>0</v>
      </c>
      <c r="BN128" s="227">
        <f t="shared" ref="BN128:BN129" si="302">AQ128</f>
        <v>0</v>
      </c>
      <c r="BO128" s="227">
        <f t="shared" si="299"/>
        <v>176.31546886792793</v>
      </c>
      <c r="BP128" s="227">
        <f t="shared" si="300"/>
        <v>0</v>
      </c>
      <c r="BQ128" s="230">
        <f t="shared" si="289"/>
        <v>32564.065104278772</v>
      </c>
      <c r="BR128" s="238"/>
      <c r="BS128" s="227"/>
      <c r="BT128" s="285"/>
      <c r="BU128" s="297" t="s">
        <v>333</v>
      </c>
      <c r="BV128" s="293">
        <v>0</v>
      </c>
      <c r="BW128" s="293">
        <v>0</v>
      </c>
      <c r="BX128" s="298">
        <v>12</v>
      </c>
      <c r="BY128" s="298">
        <v>0</v>
      </c>
      <c r="BZ128" s="298">
        <v>0</v>
      </c>
      <c r="CA128" s="298">
        <v>0</v>
      </c>
      <c r="CB128" s="298">
        <v>0</v>
      </c>
      <c r="CC128" s="298">
        <v>0</v>
      </c>
      <c r="CD128" s="298">
        <v>0</v>
      </c>
      <c r="CE128" s="298">
        <v>0</v>
      </c>
      <c r="CF128" s="298">
        <v>0</v>
      </c>
      <c r="CG128" s="298">
        <v>0</v>
      </c>
      <c r="CH128" s="298">
        <v>0</v>
      </c>
      <c r="CI128" s="298">
        <v>0</v>
      </c>
      <c r="CJ128" s="298">
        <v>0</v>
      </c>
      <c r="CK128" s="298">
        <v>0</v>
      </c>
      <c r="CL128" s="298">
        <v>0</v>
      </c>
      <c r="CM128" s="298">
        <v>0</v>
      </c>
      <c r="CN128" s="298">
        <v>0</v>
      </c>
      <c r="CO128" s="298">
        <v>0</v>
      </c>
      <c r="CP128" s="299">
        <v>12</v>
      </c>
      <c r="CQ128" s="291"/>
      <c r="CR128" s="297" t="s">
        <v>333</v>
      </c>
      <c r="CS128" s="293">
        <v>0</v>
      </c>
      <c r="CT128" s="293">
        <v>0</v>
      </c>
      <c r="CU128" s="298">
        <v>104.92328702274823</v>
      </c>
      <c r="CV128" s="298">
        <v>0</v>
      </c>
      <c r="CW128" s="298">
        <v>0</v>
      </c>
      <c r="CX128" s="298">
        <v>0</v>
      </c>
      <c r="CY128" s="298">
        <v>0</v>
      </c>
      <c r="CZ128" s="298">
        <v>0</v>
      </c>
      <c r="DA128" s="298">
        <v>0</v>
      </c>
      <c r="DB128" s="298">
        <v>0</v>
      </c>
      <c r="DC128" s="298">
        <v>0</v>
      </c>
      <c r="DD128" s="298">
        <v>0</v>
      </c>
      <c r="DE128" s="298">
        <v>0</v>
      </c>
      <c r="DF128" s="298">
        <v>0</v>
      </c>
      <c r="DG128" s="298">
        <v>0</v>
      </c>
      <c r="DH128" s="298">
        <v>0</v>
      </c>
      <c r="DI128" s="298">
        <v>0</v>
      </c>
      <c r="DJ128" s="298">
        <v>0</v>
      </c>
      <c r="DK128" s="298">
        <v>0</v>
      </c>
      <c r="DL128" s="298">
        <v>0</v>
      </c>
      <c r="DM128" s="299">
        <v>104.92328702274823</v>
      </c>
      <c r="DN128" s="295"/>
      <c r="DO128" s="291"/>
      <c r="DP128" s="297" t="s">
        <v>333</v>
      </c>
      <c r="DQ128" s="293">
        <v>0</v>
      </c>
      <c r="DR128" s="293">
        <v>0</v>
      </c>
      <c r="DS128" s="298">
        <v>32</v>
      </c>
      <c r="DT128" s="298">
        <v>0</v>
      </c>
      <c r="DU128" s="298">
        <v>0</v>
      </c>
      <c r="DV128" s="298">
        <v>0</v>
      </c>
      <c r="DW128" s="298">
        <v>0</v>
      </c>
      <c r="DX128" s="298">
        <v>0</v>
      </c>
      <c r="DY128" s="298">
        <v>0</v>
      </c>
      <c r="DZ128" s="298">
        <v>0</v>
      </c>
      <c r="EA128" s="298">
        <v>0</v>
      </c>
      <c r="EB128" s="298">
        <v>0</v>
      </c>
      <c r="EC128" s="298">
        <v>0</v>
      </c>
      <c r="ED128" s="298">
        <v>0</v>
      </c>
      <c r="EE128" s="298">
        <v>0</v>
      </c>
      <c r="EF128" s="298">
        <v>0</v>
      </c>
      <c r="EG128" s="298">
        <v>0</v>
      </c>
      <c r="EH128" s="298">
        <v>0</v>
      </c>
      <c r="EI128" s="298">
        <v>0</v>
      </c>
      <c r="EJ128" s="298">
        <v>0</v>
      </c>
      <c r="EK128" s="299">
        <v>32</v>
      </c>
      <c r="EL128" s="287"/>
      <c r="EM128" s="297" t="s">
        <v>333</v>
      </c>
      <c r="EN128" s="293">
        <v>0</v>
      </c>
      <c r="EO128" s="293">
        <v>0</v>
      </c>
      <c r="EP128" s="298">
        <v>2779.186636920213</v>
      </c>
      <c r="EQ128" s="298">
        <v>0</v>
      </c>
      <c r="ER128" s="298">
        <v>0</v>
      </c>
      <c r="ES128" s="298">
        <v>0</v>
      </c>
      <c r="ET128" s="298">
        <v>0</v>
      </c>
      <c r="EU128" s="298">
        <v>0</v>
      </c>
      <c r="EV128" s="298">
        <v>0</v>
      </c>
      <c r="EW128" s="298">
        <v>0</v>
      </c>
      <c r="EX128" s="298">
        <v>0</v>
      </c>
      <c r="EY128" s="298">
        <v>0</v>
      </c>
      <c r="EZ128" s="298">
        <v>0</v>
      </c>
      <c r="FA128" s="298">
        <v>0</v>
      </c>
      <c r="FB128" s="298">
        <v>0</v>
      </c>
      <c r="FC128" s="298">
        <v>0</v>
      </c>
      <c r="FD128" s="298">
        <v>0</v>
      </c>
      <c r="FE128" s="298">
        <v>0</v>
      </c>
      <c r="FF128" s="298">
        <v>0</v>
      </c>
      <c r="FG128" s="298">
        <v>0</v>
      </c>
      <c r="FH128" s="299">
        <v>2779.186636920213</v>
      </c>
    </row>
    <row r="129" spans="2:164" x14ac:dyDescent="0.2">
      <c r="B129" s="217" t="s">
        <v>2</v>
      </c>
      <c r="C129" s="227">
        <v>41</v>
      </c>
      <c r="D129" s="228">
        <v>15</v>
      </c>
      <c r="E129" s="208">
        <v>16</v>
      </c>
      <c r="F129" s="208">
        <v>1982</v>
      </c>
      <c r="G129" s="208">
        <v>11</v>
      </c>
      <c r="H129" s="208">
        <v>10</v>
      </c>
      <c r="I129" s="208">
        <v>2</v>
      </c>
      <c r="J129" s="208">
        <v>0</v>
      </c>
      <c r="K129" s="208">
        <v>1</v>
      </c>
      <c r="L129" s="208">
        <v>0</v>
      </c>
      <c r="M129" s="208">
        <v>1</v>
      </c>
      <c r="N129" s="208">
        <v>0</v>
      </c>
      <c r="O129" s="208">
        <v>0</v>
      </c>
      <c r="P129" s="208">
        <v>0</v>
      </c>
      <c r="Q129" s="208">
        <v>0</v>
      </c>
      <c r="R129" s="208">
        <v>0</v>
      </c>
      <c r="S129" s="208">
        <v>0</v>
      </c>
      <c r="T129" s="208">
        <v>0</v>
      </c>
      <c r="U129" s="208">
        <v>12</v>
      </c>
      <c r="V129" s="208">
        <v>0</v>
      </c>
      <c r="W129" s="222">
        <v>2091</v>
      </c>
      <c r="X129" s="208"/>
      <c r="Y129" s="217" t="s">
        <v>2</v>
      </c>
      <c r="Z129" s="227">
        <v>7973.2902700912282</v>
      </c>
      <c r="AA129" s="228">
        <v>2057.6186352315781</v>
      </c>
      <c r="AB129" s="208">
        <v>1755.9394882591837</v>
      </c>
      <c r="AC129" s="208">
        <v>285264.06674268906</v>
      </c>
      <c r="AD129" s="258">
        <v>480.4353245513791</v>
      </c>
      <c r="AE129" s="208">
        <v>2027.6058799121474</v>
      </c>
      <c r="AF129" s="208">
        <v>62.066085820781637</v>
      </c>
      <c r="AG129" s="208">
        <v>0</v>
      </c>
      <c r="AH129" s="208">
        <v>308.38143367601862</v>
      </c>
      <c r="AI129" s="208">
        <v>0</v>
      </c>
      <c r="AJ129" s="208">
        <v>31.52728523229738</v>
      </c>
      <c r="AK129" s="252">
        <v>0</v>
      </c>
      <c r="AL129" s="252">
        <v>0</v>
      </c>
      <c r="AM129" s="252">
        <v>0</v>
      </c>
      <c r="AN129" s="252">
        <v>0</v>
      </c>
      <c r="AO129" s="252">
        <v>0</v>
      </c>
      <c r="AP129" s="252">
        <v>0</v>
      </c>
      <c r="AQ129" s="208">
        <v>0</v>
      </c>
      <c r="AR129" s="208">
        <v>402.8198879576363</v>
      </c>
      <c r="AS129" s="208">
        <v>0</v>
      </c>
      <c r="AT129" s="222">
        <v>300363.75103342131</v>
      </c>
      <c r="AV129" s="217" t="s">
        <v>2</v>
      </c>
      <c r="AW129" s="227">
        <f t="shared" si="290"/>
        <v>7973.2902700912282</v>
      </c>
      <c r="AX129" s="227">
        <f t="shared" si="290"/>
        <v>2057.6186352315781</v>
      </c>
      <c r="AY129" s="227">
        <f t="shared" si="291"/>
        <v>1755.9394882591837</v>
      </c>
      <c r="AZ129" s="227">
        <f t="shared" si="301"/>
        <v>285264.06674268906</v>
      </c>
      <c r="BA129" s="227">
        <f t="shared" si="292"/>
        <v>480.4353245513791</v>
      </c>
      <c r="BB129" s="227">
        <f t="shared" si="293"/>
        <v>2027.6058799121474</v>
      </c>
      <c r="BC129" s="227">
        <f t="shared" si="294"/>
        <v>62.066085820781637</v>
      </c>
      <c r="BD129" s="227">
        <f t="shared" si="295"/>
        <v>0</v>
      </c>
      <c r="BE129" s="227">
        <f t="shared" si="296"/>
        <v>308.38143367601862</v>
      </c>
      <c r="BF129" s="227">
        <f t="shared" si="297"/>
        <v>0</v>
      </c>
      <c r="BG129" s="227">
        <f t="shared" si="298"/>
        <v>31.52728523229738</v>
      </c>
      <c r="BH129" s="252">
        <v>0</v>
      </c>
      <c r="BI129" s="255">
        <v>0</v>
      </c>
      <c r="BJ129" s="255">
        <v>0</v>
      </c>
      <c r="BK129" s="255">
        <v>0</v>
      </c>
      <c r="BL129" s="255">
        <v>0</v>
      </c>
      <c r="BM129" s="255">
        <v>0</v>
      </c>
      <c r="BN129" s="227">
        <f t="shared" si="302"/>
        <v>0</v>
      </c>
      <c r="BO129" s="227">
        <f t="shared" si="299"/>
        <v>402.8198879576363</v>
      </c>
      <c r="BP129" s="227">
        <f t="shared" si="300"/>
        <v>0</v>
      </c>
      <c r="BQ129" s="230">
        <f t="shared" si="289"/>
        <v>300363.75103342131</v>
      </c>
      <c r="BR129" s="214"/>
      <c r="BS129" s="227"/>
      <c r="BT129" s="286"/>
      <c r="BU129" s="300" t="s">
        <v>2</v>
      </c>
      <c r="BV129" s="293">
        <v>1</v>
      </c>
      <c r="BW129" s="293">
        <v>2</v>
      </c>
      <c r="BX129" s="258">
        <v>2</v>
      </c>
      <c r="BY129" s="258">
        <v>40</v>
      </c>
      <c r="BZ129" s="258">
        <v>0</v>
      </c>
      <c r="CA129" s="258">
        <v>0</v>
      </c>
      <c r="CB129" s="258">
        <v>0</v>
      </c>
      <c r="CC129" s="258">
        <v>0</v>
      </c>
      <c r="CD129" s="258">
        <v>0</v>
      </c>
      <c r="CE129" s="258">
        <v>0</v>
      </c>
      <c r="CF129" s="258">
        <v>0</v>
      </c>
      <c r="CG129" s="258">
        <v>0</v>
      </c>
      <c r="CH129" s="258">
        <v>0</v>
      </c>
      <c r="CI129" s="258">
        <v>0</v>
      </c>
      <c r="CJ129" s="258">
        <v>0</v>
      </c>
      <c r="CK129" s="258">
        <v>0</v>
      </c>
      <c r="CL129" s="258">
        <v>0</v>
      </c>
      <c r="CM129" s="258">
        <v>0</v>
      </c>
      <c r="CN129" s="258">
        <v>0</v>
      </c>
      <c r="CO129" s="258">
        <v>0</v>
      </c>
      <c r="CP129" s="301">
        <v>45</v>
      </c>
      <c r="CQ129" s="302"/>
      <c r="CR129" s="300" t="s">
        <v>2</v>
      </c>
      <c r="CS129" s="293">
        <v>0</v>
      </c>
      <c r="CT129" s="293">
        <v>53.067664412349714</v>
      </c>
      <c r="CU129" s="258">
        <v>0</v>
      </c>
      <c r="CV129" s="258">
        <v>4643.5139886722054</v>
      </c>
      <c r="CW129" s="258">
        <v>0</v>
      </c>
      <c r="CX129" s="258">
        <v>0</v>
      </c>
      <c r="CY129" s="258">
        <v>0</v>
      </c>
      <c r="CZ129" s="258">
        <v>0</v>
      </c>
      <c r="DA129" s="258">
        <v>0</v>
      </c>
      <c r="DB129" s="258">
        <v>0</v>
      </c>
      <c r="DC129" s="258">
        <v>0</v>
      </c>
      <c r="DD129" s="258">
        <v>0</v>
      </c>
      <c r="DE129" s="258">
        <v>0</v>
      </c>
      <c r="DF129" s="258">
        <v>0</v>
      </c>
      <c r="DG129" s="258">
        <v>0</v>
      </c>
      <c r="DH129" s="258">
        <v>0</v>
      </c>
      <c r="DI129" s="258">
        <v>0</v>
      </c>
      <c r="DJ129" s="258">
        <v>0</v>
      </c>
      <c r="DK129" s="258">
        <v>0</v>
      </c>
      <c r="DL129" s="258">
        <v>0</v>
      </c>
      <c r="DM129" s="301">
        <v>4696.581653084555</v>
      </c>
      <c r="DN129" s="291"/>
      <c r="DO129" s="302"/>
      <c r="DP129" s="300" t="s">
        <v>2</v>
      </c>
      <c r="DQ129" s="293">
        <v>4</v>
      </c>
      <c r="DR129" s="293">
        <v>2</v>
      </c>
      <c r="DS129" s="258">
        <v>5</v>
      </c>
      <c r="DT129" s="258">
        <v>68</v>
      </c>
      <c r="DU129" s="258">
        <v>0</v>
      </c>
      <c r="DV129" s="258">
        <v>0</v>
      </c>
      <c r="DW129" s="258">
        <v>0</v>
      </c>
      <c r="DX129" s="258">
        <v>0</v>
      </c>
      <c r="DY129" s="258">
        <v>0</v>
      </c>
      <c r="DZ129" s="258">
        <v>0</v>
      </c>
      <c r="EA129" s="258">
        <v>0</v>
      </c>
      <c r="EB129" s="258">
        <v>0</v>
      </c>
      <c r="EC129" s="258">
        <v>0</v>
      </c>
      <c r="ED129" s="258">
        <v>0</v>
      </c>
      <c r="EE129" s="258">
        <v>0</v>
      </c>
      <c r="EF129" s="258">
        <v>0</v>
      </c>
      <c r="EG129" s="258">
        <v>0</v>
      </c>
      <c r="EH129" s="258">
        <v>0</v>
      </c>
      <c r="EI129" s="258">
        <v>0</v>
      </c>
      <c r="EJ129" s="258">
        <v>0</v>
      </c>
      <c r="EK129" s="301">
        <v>79</v>
      </c>
      <c r="EL129" s="287"/>
      <c r="EM129" s="300" t="s">
        <v>2</v>
      </c>
      <c r="EN129" s="293">
        <v>101.20452247162514</v>
      </c>
      <c r="EO129" s="293">
        <v>53.067664412349714</v>
      </c>
      <c r="EP129" s="258">
        <v>0</v>
      </c>
      <c r="EQ129" s="258">
        <v>14445.349765637702</v>
      </c>
      <c r="ER129" s="258">
        <v>0</v>
      </c>
      <c r="ES129" s="258">
        <v>0</v>
      </c>
      <c r="ET129" s="258">
        <v>0</v>
      </c>
      <c r="EU129" s="258">
        <v>0</v>
      </c>
      <c r="EV129" s="258">
        <v>0</v>
      </c>
      <c r="EW129" s="258">
        <v>0</v>
      </c>
      <c r="EX129" s="258">
        <v>0</v>
      </c>
      <c r="EY129" s="258">
        <v>0</v>
      </c>
      <c r="EZ129" s="258">
        <v>0</v>
      </c>
      <c r="FA129" s="258">
        <v>0</v>
      </c>
      <c r="FB129" s="258">
        <v>0</v>
      </c>
      <c r="FC129" s="258">
        <v>0</v>
      </c>
      <c r="FD129" s="258">
        <v>0</v>
      </c>
      <c r="FE129" s="258">
        <v>0</v>
      </c>
      <c r="FF129" s="258">
        <v>0</v>
      </c>
      <c r="FG129" s="258">
        <v>0</v>
      </c>
      <c r="FH129" s="301">
        <v>14599.621952521677</v>
      </c>
    </row>
    <row r="130" spans="2:164" x14ac:dyDescent="0.2">
      <c r="B130" s="217" t="s">
        <v>3</v>
      </c>
      <c r="C130" s="227">
        <v>2</v>
      </c>
      <c r="D130" s="228">
        <v>3</v>
      </c>
      <c r="E130" s="208">
        <v>1</v>
      </c>
      <c r="F130" s="208">
        <v>0</v>
      </c>
      <c r="G130" s="208">
        <v>47</v>
      </c>
      <c r="H130" s="208">
        <v>2</v>
      </c>
      <c r="I130" s="208">
        <v>0</v>
      </c>
      <c r="J130" s="208">
        <v>0</v>
      </c>
      <c r="K130" s="208">
        <v>0</v>
      </c>
      <c r="L130" s="208">
        <v>0</v>
      </c>
      <c r="M130" s="208">
        <v>0</v>
      </c>
      <c r="N130" s="208">
        <v>0</v>
      </c>
      <c r="O130" s="208">
        <v>0</v>
      </c>
      <c r="P130" s="208">
        <v>0</v>
      </c>
      <c r="Q130" s="208">
        <v>0</v>
      </c>
      <c r="R130" s="208">
        <v>0</v>
      </c>
      <c r="S130" s="208">
        <v>0</v>
      </c>
      <c r="T130" s="208">
        <v>0</v>
      </c>
      <c r="U130" s="208">
        <v>0</v>
      </c>
      <c r="V130" s="208">
        <v>0</v>
      </c>
      <c r="W130" s="222">
        <v>55</v>
      </c>
      <c r="X130" s="208"/>
      <c r="Y130" s="217" t="s">
        <v>3</v>
      </c>
      <c r="Z130" s="251">
        <v>121.35067558329081</v>
      </c>
      <c r="AA130" s="251">
        <v>46.21338579710401</v>
      </c>
      <c r="AB130" s="252">
        <v>0</v>
      </c>
      <c r="AC130" s="252">
        <v>0</v>
      </c>
      <c r="AD130" s="208">
        <v>15930.457457478924</v>
      </c>
      <c r="AE130" s="252">
        <v>27.24572941367769</v>
      </c>
      <c r="AF130" s="252">
        <v>0</v>
      </c>
      <c r="AG130" s="252">
        <v>0</v>
      </c>
      <c r="AH130" s="252">
        <v>0</v>
      </c>
      <c r="AI130" s="252">
        <v>0</v>
      </c>
      <c r="AJ130" s="252">
        <v>0</v>
      </c>
      <c r="AK130" s="252">
        <v>0</v>
      </c>
      <c r="AL130" s="252">
        <v>0</v>
      </c>
      <c r="AM130" s="252">
        <v>0</v>
      </c>
      <c r="AN130" s="252">
        <v>0</v>
      </c>
      <c r="AO130" s="252">
        <v>0</v>
      </c>
      <c r="AP130" s="252">
        <v>0</v>
      </c>
      <c r="AQ130" s="252">
        <v>0</v>
      </c>
      <c r="AR130" s="252">
        <v>0</v>
      </c>
      <c r="AS130" s="252">
        <v>0</v>
      </c>
      <c r="AT130" s="222">
        <v>16125.267248272998</v>
      </c>
      <c r="AV130" s="217" t="s">
        <v>3</v>
      </c>
      <c r="AW130" s="232">
        <v>0</v>
      </c>
      <c r="AX130" s="232">
        <v>0</v>
      </c>
      <c r="AY130" s="255">
        <v>0</v>
      </c>
      <c r="AZ130" s="252">
        <v>0</v>
      </c>
      <c r="BA130" s="227">
        <f t="shared" si="292"/>
        <v>15930.457457478924</v>
      </c>
      <c r="BB130" s="252">
        <v>0</v>
      </c>
      <c r="BC130" s="252">
        <v>0</v>
      </c>
      <c r="BD130" s="252">
        <v>0</v>
      </c>
      <c r="BE130" s="252">
        <v>0</v>
      </c>
      <c r="BF130" s="252">
        <v>0</v>
      </c>
      <c r="BG130" s="252">
        <v>0</v>
      </c>
      <c r="BH130" s="252">
        <v>0</v>
      </c>
      <c r="BI130" s="252">
        <v>0</v>
      </c>
      <c r="BJ130" s="252">
        <v>0</v>
      </c>
      <c r="BK130" s="252">
        <v>0</v>
      </c>
      <c r="BL130" s="255">
        <v>0</v>
      </c>
      <c r="BM130" s="252">
        <v>0</v>
      </c>
      <c r="BN130" s="255">
        <v>0</v>
      </c>
      <c r="BO130" s="255">
        <v>0</v>
      </c>
      <c r="BP130" s="252">
        <v>0</v>
      </c>
      <c r="BQ130" s="230">
        <f t="shared" si="289"/>
        <v>15930.457457478924</v>
      </c>
      <c r="BR130" s="214"/>
      <c r="BS130" s="227"/>
      <c r="BT130" s="286"/>
      <c r="BU130" s="300" t="s">
        <v>3</v>
      </c>
      <c r="BV130" s="293">
        <v>0</v>
      </c>
      <c r="BW130" s="293">
        <v>0</v>
      </c>
      <c r="BX130" s="258">
        <v>0</v>
      </c>
      <c r="BY130" s="258">
        <v>0</v>
      </c>
      <c r="BZ130" s="258">
        <v>0</v>
      </c>
      <c r="CA130" s="258">
        <v>0</v>
      </c>
      <c r="CB130" s="258">
        <v>0</v>
      </c>
      <c r="CC130" s="258">
        <v>0</v>
      </c>
      <c r="CD130" s="258">
        <v>0</v>
      </c>
      <c r="CE130" s="258">
        <v>0</v>
      </c>
      <c r="CF130" s="258">
        <v>0</v>
      </c>
      <c r="CG130" s="258">
        <v>0</v>
      </c>
      <c r="CH130" s="258">
        <v>0</v>
      </c>
      <c r="CI130" s="258">
        <v>0</v>
      </c>
      <c r="CJ130" s="258">
        <v>0</v>
      </c>
      <c r="CK130" s="258">
        <v>0</v>
      </c>
      <c r="CL130" s="258">
        <v>0</v>
      </c>
      <c r="CM130" s="258">
        <v>0</v>
      </c>
      <c r="CN130" s="258">
        <v>0</v>
      </c>
      <c r="CO130" s="258">
        <v>0</v>
      </c>
      <c r="CP130" s="301">
        <v>0</v>
      </c>
      <c r="CQ130" s="302"/>
      <c r="CR130" s="300" t="s">
        <v>3</v>
      </c>
      <c r="CS130" s="293">
        <v>0</v>
      </c>
      <c r="CT130" s="293">
        <v>0</v>
      </c>
      <c r="CU130" s="258">
        <v>0</v>
      </c>
      <c r="CV130" s="258">
        <v>0</v>
      </c>
      <c r="CW130" s="258">
        <v>0</v>
      </c>
      <c r="CX130" s="258">
        <v>0</v>
      </c>
      <c r="CY130" s="258">
        <v>0</v>
      </c>
      <c r="CZ130" s="258">
        <v>0</v>
      </c>
      <c r="DA130" s="258">
        <v>0</v>
      </c>
      <c r="DB130" s="258">
        <v>0</v>
      </c>
      <c r="DC130" s="258">
        <v>0</v>
      </c>
      <c r="DD130" s="258">
        <v>0</v>
      </c>
      <c r="DE130" s="258">
        <v>0</v>
      </c>
      <c r="DF130" s="258">
        <v>0</v>
      </c>
      <c r="DG130" s="258">
        <v>0</v>
      </c>
      <c r="DH130" s="258">
        <v>0</v>
      </c>
      <c r="DI130" s="258">
        <v>0</v>
      </c>
      <c r="DJ130" s="258">
        <v>0</v>
      </c>
      <c r="DK130" s="258">
        <v>0</v>
      </c>
      <c r="DL130" s="258">
        <v>0</v>
      </c>
      <c r="DM130" s="301">
        <v>0</v>
      </c>
      <c r="DN130" s="302"/>
      <c r="DO130" s="302"/>
      <c r="DP130" s="300" t="s">
        <v>3</v>
      </c>
      <c r="DQ130" s="293">
        <v>1</v>
      </c>
      <c r="DR130" s="293">
        <v>0</v>
      </c>
      <c r="DS130" s="258">
        <v>0</v>
      </c>
      <c r="DT130" s="258">
        <v>0</v>
      </c>
      <c r="DU130" s="258">
        <v>4</v>
      </c>
      <c r="DV130" s="258">
        <v>0</v>
      </c>
      <c r="DW130" s="258">
        <v>0</v>
      </c>
      <c r="DX130" s="258">
        <v>0</v>
      </c>
      <c r="DY130" s="258">
        <v>0</v>
      </c>
      <c r="DZ130" s="258">
        <v>0</v>
      </c>
      <c r="EA130" s="258">
        <v>0</v>
      </c>
      <c r="EB130" s="258">
        <v>0</v>
      </c>
      <c r="EC130" s="258">
        <v>0</v>
      </c>
      <c r="ED130" s="258">
        <v>0</v>
      </c>
      <c r="EE130" s="258">
        <v>0</v>
      </c>
      <c r="EF130" s="258">
        <v>0</v>
      </c>
      <c r="EG130" s="258">
        <v>0</v>
      </c>
      <c r="EH130" s="258">
        <v>0</v>
      </c>
      <c r="EI130" s="258">
        <v>0</v>
      </c>
      <c r="EJ130" s="258">
        <v>0</v>
      </c>
      <c r="EK130" s="301">
        <v>5</v>
      </c>
      <c r="EL130" s="287"/>
      <c r="EM130" s="300" t="s">
        <v>3</v>
      </c>
      <c r="EN130" s="293">
        <v>39.314976794086512</v>
      </c>
      <c r="EO130" s="293">
        <v>0</v>
      </c>
      <c r="EP130" s="258">
        <v>0</v>
      </c>
      <c r="EQ130" s="258">
        <v>0</v>
      </c>
      <c r="ER130" s="258">
        <v>78.629953588173024</v>
      </c>
      <c r="ES130" s="258">
        <v>0</v>
      </c>
      <c r="ET130" s="258">
        <v>0</v>
      </c>
      <c r="EU130" s="258">
        <v>0</v>
      </c>
      <c r="EV130" s="258">
        <v>0</v>
      </c>
      <c r="EW130" s="258">
        <v>0</v>
      </c>
      <c r="EX130" s="258">
        <v>0</v>
      </c>
      <c r="EY130" s="258">
        <v>0</v>
      </c>
      <c r="EZ130" s="258">
        <v>0</v>
      </c>
      <c r="FA130" s="258">
        <v>0</v>
      </c>
      <c r="FB130" s="258">
        <v>0</v>
      </c>
      <c r="FC130" s="258">
        <v>0</v>
      </c>
      <c r="FD130" s="258">
        <v>0</v>
      </c>
      <c r="FE130" s="258">
        <v>0</v>
      </c>
      <c r="FF130" s="258">
        <v>0</v>
      </c>
      <c r="FG130" s="258">
        <v>0</v>
      </c>
      <c r="FH130" s="301">
        <v>117.94493038225954</v>
      </c>
    </row>
    <row r="131" spans="2:164" x14ac:dyDescent="0.2">
      <c r="B131" s="217" t="s">
        <v>334</v>
      </c>
      <c r="C131" s="227">
        <v>0</v>
      </c>
      <c r="D131" s="228">
        <v>0</v>
      </c>
      <c r="E131" s="208">
        <v>0</v>
      </c>
      <c r="F131" s="208">
        <v>0</v>
      </c>
      <c r="G131" s="208">
        <v>0</v>
      </c>
      <c r="H131" s="208">
        <v>46</v>
      </c>
      <c r="I131" s="208">
        <v>3</v>
      </c>
      <c r="J131" s="208">
        <v>0</v>
      </c>
      <c r="K131" s="208">
        <v>0</v>
      </c>
      <c r="L131" s="208">
        <v>0</v>
      </c>
      <c r="M131" s="208">
        <v>0</v>
      </c>
      <c r="N131" s="208">
        <v>0</v>
      </c>
      <c r="O131" s="208">
        <v>0</v>
      </c>
      <c r="P131" s="208">
        <v>0</v>
      </c>
      <c r="Q131" s="208">
        <v>0</v>
      </c>
      <c r="R131" s="208">
        <v>0</v>
      </c>
      <c r="S131" s="208">
        <v>0</v>
      </c>
      <c r="T131" s="208">
        <v>0</v>
      </c>
      <c r="U131" s="208">
        <v>0</v>
      </c>
      <c r="V131" s="208">
        <v>0</v>
      </c>
      <c r="W131" s="222">
        <v>49</v>
      </c>
      <c r="X131" s="208"/>
      <c r="Y131" s="217" t="s">
        <v>334</v>
      </c>
      <c r="Z131" s="227">
        <v>0</v>
      </c>
      <c r="AA131" s="228">
        <v>0</v>
      </c>
      <c r="AB131" s="252">
        <v>0</v>
      </c>
      <c r="AC131" s="208">
        <v>0</v>
      </c>
      <c r="AD131" s="208">
        <v>0</v>
      </c>
      <c r="AE131" s="208">
        <v>7736.6741391682235</v>
      </c>
      <c r="AF131" s="208">
        <v>252.99055851447127</v>
      </c>
      <c r="AG131" s="208">
        <v>0</v>
      </c>
      <c r="AH131" s="208">
        <v>0</v>
      </c>
      <c r="AI131" s="208">
        <v>0</v>
      </c>
      <c r="AJ131" s="208">
        <v>0</v>
      </c>
      <c r="AK131" s="252">
        <v>0</v>
      </c>
      <c r="AL131" s="252">
        <v>0</v>
      </c>
      <c r="AM131" s="252">
        <v>0</v>
      </c>
      <c r="AN131" s="252">
        <v>0</v>
      </c>
      <c r="AO131" s="252">
        <v>0</v>
      </c>
      <c r="AP131" s="252">
        <v>0</v>
      </c>
      <c r="AQ131" s="208">
        <v>0</v>
      </c>
      <c r="AR131" s="208">
        <v>0</v>
      </c>
      <c r="AS131" s="208">
        <v>0</v>
      </c>
      <c r="AT131" s="222">
        <v>7989.6646976826951</v>
      </c>
      <c r="AV131" s="217" t="s">
        <v>334</v>
      </c>
      <c r="AW131" s="227">
        <f>Z131</f>
        <v>0</v>
      </c>
      <c r="AX131" s="227">
        <f>AA131</f>
        <v>0</v>
      </c>
      <c r="AY131" s="255">
        <v>0</v>
      </c>
      <c r="AZ131" s="227">
        <f t="shared" ref="AZ131:AZ145" si="303">AC131</f>
        <v>0</v>
      </c>
      <c r="BA131" s="227">
        <f t="shared" si="292"/>
        <v>0</v>
      </c>
      <c r="BB131" s="227">
        <f t="shared" ref="BB131:BB136" si="304">AE131</f>
        <v>7736.6741391682235</v>
      </c>
      <c r="BC131" s="227">
        <f t="shared" ref="BC131:BC136" si="305">AF131</f>
        <v>252.99055851447127</v>
      </c>
      <c r="BD131" s="227">
        <f t="shared" ref="BD131:BD136" si="306">AG131</f>
        <v>0</v>
      </c>
      <c r="BE131" s="227">
        <f t="shared" ref="BE131:BE136" si="307">AH131</f>
        <v>0</v>
      </c>
      <c r="BF131" s="227">
        <f t="shared" ref="BF131:BF136" si="308">AI131</f>
        <v>0</v>
      </c>
      <c r="BG131" s="227">
        <f t="shared" ref="BG131:BG136" si="309">AJ131</f>
        <v>0</v>
      </c>
      <c r="BH131" s="255">
        <v>0</v>
      </c>
      <c r="BI131" s="255">
        <v>0</v>
      </c>
      <c r="BJ131" s="255">
        <v>0</v>
      </c>
      <c r="BK131" s="255">
        <v>0</v>
      </c>
      <c r="BL131" s="252">
        <v>0</v>
      </c>
      <c r="BM131" s="255">
        <v>0</v>
      </c>
      <c r="BN131" s="208">
        <f>AQ131</f>
        <v>0</v>
      </c>
      <c r="BO131" s="208">
        <f t="shared" ref="BO131:BO145" si="310">AR131</f>
        <v>0</v>
      </c>
      <c r="BP131" s="208">
        <f t="shared" ref="BP131:BP145" si="311">AS131</f>
        <v>0</v>
      </c>
      <c r="BQ131" s="230">
        <f t="shared" si="289"/>
        <v>7989.6646976826951</v>
      </c>
      <c r="BR131" s="214"/>
      <c r="BS131" s="227"/>
      <c r="BT131" s="286"/>
      <c r="BU131" s="300" t="s">
        <v>334</v>
      </c>
      <c r="BV131" s="293">
        <v>0</v>
      </c>
      <c r="BW131" s="293">
        <v>0</v>
      </c>
      <c r="BX131" s="258">
        <v>0</v>
      </c>
      <c r="BY131" s="258">
        <v>0</v>
      </c>
      <c r="BZ131" s="258">
        <v>0</v>
      </c>
      <c r="CA131" s="258">
        <v>0</v>
      </c>
      <c r="CB131" s="258">
        <v>0</v>
      </c>
      <c r="CC131" s="258">
        <v>0</v>
      </c>
      <c r="CD131" s="258">
        <v>0</v>
      </c>
      <c r="CE131" s="258">
        <v>0</v>
      </c>
      <c r="CF131" s="258">
        <v>0</v>
      </c>
      <c r="CG131" s="258">
        <v>0</v>
      </c>
      <c r="CH131" s="258">
        <v>0</v>
      </c>
      <c r="CI131" s="258">
        <v>0</v>
      </c>
      <c r="CJ131" s="258">
        <v>0</v>
      </c>
      <c r="CK131" s="258">
        <v>0</v>
      </c>
      <c r="CL131" s="258">
        <v>0</v>
      </c>
      <c r="CM131" s="258">
        <v>0</v>
      </c>
      <c r="CN131" s="258">
        <v>0</v>
      </c>
      <c r="CO131" s="258">
        <v>0</v>
      </c>
      <c r="CP131" s="301">
        <v>0</v>
      </c>
      <c r="CQ131" s="302"/>
      <c r="CR131" s="300" t="s">
        <v>334</v>
      </c>
      <c r="CS131" s="293">
        <v>0</v>
      </c>
      <c r="CT131" s="293">
        <v>0</v>
      </c>
      <c r="CU131" s="258">
        <v>0</v>
      </c>
      <c r="CV131" s="258">
        <v>0</v>
      </c>
      <c r="CW131" s="258">
        <v>0</v>
      </c>
      <c r="CX131" s="258">
        <v>0</v>
      </c>
      <c r="CY131" s="258">
        <v>0</v>
      </c>
      <c r="CZ131" s="258">
        <v>0</v>
      </c>
      <c r="DA131" s="258">
        <v>0</v>
      </c>
      <c r="DB131" s="258">
        <v>0</v>
      </c>
      <c r="DC131" s="258">
        <v>0</v>
      </c>
      <c r="DD131" s="258">
        <v>0</v>
      </c>
      <c r="DE131" s="258">
        <v>0</v>
      </c>
      <c r="DF131" s="258">
        <v>0</v>
      </c>
      <c r="DG131" s="258">
        <v>0</v>
      </c>
      <c r="DH131" s="258">
        <v>0</v>
      </c>
      <c r="DI131" s="258">
        <v>0</v>
      </c>
      <c r="DJ131" s="258">
        <v>0</v>
      </c>
      <c r="DK131" s="258">
        <v>0</v>
      </c>
      <c r="DL131" s="258">
        <v>0</v>
      </c>
      <c r="DM131" s="301">
        <v>0</v>
      </c>
      <c r="DN131" s="302"/>
      <c r="DO131" s="302"/>
      <c r="DP131" s="300" t="s">
        <v>334</v>
      </c>
      <c r="DQ131" s="293">
        <v>0</v>
      </c>
      <c r="DR131" s="293">
        <v>0</v>
      </c>
      <c r="DS131" s="258">
        <v>0</v>
      </c>
      <c r="DT131" s="258">
        <v>0</v>
      </c>
      <c r="DU131" s="258">
        <v>0</v>
      </c>
      <c r="DV131" s="258">
        <v>2</v>
      </c>
      <c r="DW131" s="258">
        <v>0</v>
      </c>
      <c r="DX131" s="258">
        <v>0</v>
      </c>
      <c r="DY131" s="258">
        <v>0</v>
      </c>
      <c r="DZ131" s="258">
        <v>0</v>
      </c>
      <c r="EA131" s="258">
        <v>0</v>
      </c>
      <c r="EB131" s="258">
        <v>0</v>
      </c>
      <c r="EC131" s="258">
        <v>0</v>
      </c>
      <c r="ED131" s="258">
        <v>0</v>
      </c>
      <c r="EE131" s="258">
        <v>0</v>
      </c>
      <c r="EF131" s="258">
        <v>0</v>
      </c>
      <c r="EG131" s="258">
        <v>0</v>
      </c>
      <c r="EH131" s="258">
        <v>0</v>
      </c>
      <c r="EI131" s="258">
        <v>0</v>
      </c>
      <c r="EJ131" s="258">
        <v>0</v>
      </c>
      <c r="EK131" s="301">
        <v>2</v>
      </c>
      <c r="EL131" s="287"/>
      <c r="EM131" s="300" t="s">
        <v>334</v>
      </c>
      <c r="EN131" s="293">
        <v>0</v>
      </c>
      <c r="EO131" s="293">
        <v>0</v>
      </c>
      <c r="EP131" s="258">
        <v>0</v>
      </c>
      <c r="EQ131" s="258">
        <v>0</v>
      </c>
      <c r="ER131" s="258">
        <v>0</v>
      </c>
      <c r="ES131" s="258">
        <v>10.10456258790234</v>
      </c>
      <c r="ET131" s="258">
        <v>0</v>
      </c>
      <c r="EU131" s="258">
        <v>0</v>
      </c>
      <c r="EV131" s="258">
        <v>0</v>
      </c>
      <c r="EW131" s="258">
        <v>0</v>
      </c>
      <c r="EX131" s="258">
        <v>0</v>
      </c>
      <c r="EY131" s="258">
        <v>0</v>
      </c>
      <c r="EZ131" s="258">
        <v>0</v>
      </c>
      <c r="FA131" s="258">
        <v>0</v>
      </c>
      <c r="FB131" s="258">
        <v>0</v>
      </c>
      <c r="FC131" s="258">
        <v>0</v>
      </c>
      <c r="FD131" s="258">
        <v>0</v>
      </c>
      <c r="FE131" s="258">
        <v>0</v>
      </c>
      <c r="FF131" s="258">
        <v>0</v>
      </c>
      <c r="FG131" s="258">
        <v>0</v>
      </c>
      <c r="FH131" s="301">
        <v>10.10456258790234</v>
      </c>
    </row>
    <row r="132" spans="2:164" x14ac:dyDescent="0.2">
      <c r="B132" s="217" t="s">
        <v>352</v>
      </c>
      <c r="C132" s="227">
        <v>0</v>
      </c>
      <c r="D132" s="228">
        <v>0</v>
      </c>
      <c r="E132" s="208">
        <v>0</v>
      </c>
      <c r="F132" s="208">
        <v>0</v>
      </c>
      <c r="G132" s="208">
        <v>0</v>
      </c>
      <c r="H132" s="208">
        <v>0</v>
      </c>
      <c r="I132" s="208">
        <v>17</v>
      </c>
      <c r="J132" s="208">
        <v>0</v>
      </c>
      <c r="K132" s="208">
        <v>0</v>
      </c>
      <c r="L132" s="208">
        <v>0</v>
      </c>
      <c r="M132" s="208">
        <v>0</v>
      </c>
      <c r="N132" s="208">
        <v>0</v>
      </c>
      <c r="O132" s="208">
        <v>0</v>
      </c>
      <c r="P132" s="208">
        <v>0</v>
      </c>
      <c r="Q132" s="208">
        <v>0</v>
      </c>
      <c r="R132" s="208">
        <v>0</v>
      </c>
      <c r="S132" s="208">
        <v>0</v>
      </c>
      <c r="T132" s="208">
        <v>0</v>
      </c>
      <c r="U132" s="208">
        <v>0</v>
      </c>
      <c r="V132" s="208">
        <v>0</v>
      </c>
      <c r="W132" s="222">
        <v>17</v>
      </c>
      <c r="X132" s="208"/>
      <c r="Y132" s="217" t="s">
        <v>352</v>
      </c>
      <c r="Z132" s="227">
        <v>0</v>
      </c>
      <c r="AA132" s="228">
        <v>0</v>
      </c>
      <c r="AB132" s="208">
        <v>0</v>
      </c>
      <c r="AC132" s="208">
        <v>0</v>
      </c>
      <c r="AD132" s="208">
        <v>0</v>
      </c>
      <c r="AE132" s="208">
        <v>0</v>
      </c>
      <c r="AF132" s="208">
        <v>402.73288995926612</v>
      </c>
      <c r="AG132" s="208">
        <v>0</v>
      </c>
      <c r="AH132" s="208">
        <v>0</v>
      </c>
      <c r="AI132" s="208">
        <v>0</v>
      </c>
      <c r="AJ132" s="208">
        <v>0</v>
      </c>
      <c r="AK132" s="252">
        <v>0</v>
      </c>
      <c r="AL132" s="252">
        <v>0</v>
      </c>
      <c r="AM132" s="252">
        <v>0</v>
      </c>
      <c r="AN132" s="252">
        <v>0</v>
      </c>
      <c r="AO132" s="252">
        <v>0</v>
      </c>
      <c r="AP132" s="252">
        <v>0</v>
      </c>
      <c r="AQ132" s="208">
        <v>0</v>
      </c>
      <c r="AR132" s="208">
        <v>0</v>
      </c>
      <c r="AS132" s="208">
        <v>0</v>
      </c>
      <c r="AT132" s="222">
        <v>402.73288995926612</v>
      </c>
      <c r="AV132" s="217" t="s">
        <v>350</v>
      </c>
      <c r="AW132" s="227">
        <f t="shared" ref="AW132:AW145" si="312">Z132</f>
        <v>0</v>
      </c>
      <c r="AX132" s="227">
        <f t="shared" ref="AX132:AX145" si="313">AA132</f>
        <v>0</v>
      </c>
      <c r="AY132" s="227">
        <f t="shared" ref="AY132:AY145" si="314">AB132</f>
        <v>0</v>
      </c>
      <c r="AZ132" s="227">
        <f t="shared" si="303"/>
        <v>0</v>
      </c>
      <c r="BA132" s="227">
        <f t="shared" si="292"/>
        <v>0</v>
      </c>
      <c r="BB132" s="227">
        <f t="shared" si="304"/>
        <v>0</v>
      </c>
      <c r="BC132" s="227">
        <f t="shared" si="305"/>
        <v>402.73288995926612</v>
      </c>
      <c r="BD132" s="227">
        <f t="shared" si="306"/>
        <v>0</v>
      </c>
      <c r="BE132" s="227">
        <f t="shared" si="307"/>
        <v>0</v>
      </c>
      <c r="BF132" s="227">
        <f t="shared" si="308"/>
        <v>0</v>
      </c>
      <c r="BG132" s="227">
        <f t="shared" si="309"/>
        <v>0</v>
      </c>
      <c r="BH132" s="252">
        <v>0</v>
      </c>
      <c r="BI132" s="255">
        <v>0</v>
      </c>
      <c r="BJ132" s="255">
        <v>0</v>
      </c>
      <c r="BK132" s="252">
        <v>0</v>
      </c>
      <c r="BL132" s="255">
        <v>0</v>
      </c>
      <c r="BM132" s="252">
        <v>0</v>
      </c>
      <c r="BN132" s="208">
        <f t="shared" ref="BN132:BN145" si="315">AQ132</f>
        <v>0</v>
      </c>
      <c r="BO132" s="208">
        <f t="shared" si="310"/>
        <v>0</v>
      </c>
      <c r="BP132" s="208">
        <f t="shared" si="311"/>
        <v>0</v>
      </c>
      <c r="BQ132" s="230">
        <f t="shared" si="289"/>
        <v>402.73288995926612</v>
      </c>
      <c r="BR132" s="214"/>
      <c r="BS132" s="227"/>
      <c r="BT132" s="286"/>
      <c r="BU132" s="300" t="s">
        <v>352</v>
      </c>
      <c r="BV132" s="293">
        <v>0</v>
      </c>
      <c r="BW132" s="293">
        <v>0</v>
      </c>
      <c r="BX132" s="258">
        <v>0</v>
      </c>
      <c r="BY132" s="258">
        <v>0</v>
      </c>
      <c r="BZ132" s="258">
        <v>0</v>
      </c>
      <c r="CA132" s="258">
        <v>0</v>
      </c>
      <c r="CB132" s="258">
        <v>0</v>
      </c>
      <c r="CC132" s="258">
        <v>0</v>
      </c>
      <c r="CD132" s="258">
        <v>0</v>
      </c>
      <c r="CE132" s="258">
        <v>0</v>
      </c>
      <c r="CF132" s="258">
        <v>0</v>
      </c>
      <c r="CG132" s="258">
        <v>0</v>
      </c>
      <c r="CH132" s="258">
        <v>0</v>
      </c>
      <c r="CI132" s="258">
        <v>0</v>
      </c>
      <c r="CJ132" s="258">
        <v>0</v>
      </c>
      <c r="CK132" s="258">
        <v>0</v>
      </c>
      <c r="CL132" s="258">
        <v>0</v>
      </c>
      <c r="CM132" s="258">
        <v>0</v>
      </c>
      <c r="CN132" s="258">
        <v>0</v>
      </c>
      <c r="CO132" s="258">
        <v>0</v>
      </c>
      <c r="CP132" s="301">
        <v>0</v>
      </c>
      <c r="CQ132" s="302"/>
      <c r="CR132" s="300" t="s">
        <v>352</v>
      </c>
      <c r="CS132" s="293">
        <v>0</v>
      </c>
      <c r="CT132" s="293">
        <v>0</v>
      </c>
      <c r="CU132" s="258">
        <v>0</v>
      </c>
      <c r="CV132" s="258">
        <v>0</v>
      </c>
      <c r="CW132" s="258">
        <v>0</v>
      </c>
      <c r="CX132" s="258">
        <v>0</v>
      </c>
      <c r="CY132" s="258">
        <v>0</v>
      </c>
      <c r="CZ132" s="258">
        <v>0</v>
      </c>
      <c r="DA132" s="258">
        <v>0</v>
      </c>
      <c r="DB132" s="258">
        <v>0</v>
      </c>
      <c r="DC132" s="258">
        <v>0</v>
      </c>
      <c r="DD132" s="258">
        <v>0</v>
      </c>
      <c r="DE132" s="258">
        <v>0</v>
      </c>
      <c r="DF132" s="258">
        <v>0</v>
      </c>
      <c r="DG132" s="258">
        <v>0</v>
      </c>
      <c r="DH132" s="258">
        <v>0</v>
      </c>
      <c r="DI132" s="258">
        <v>0</v>
      </c>
      <c r="DJ132" s="258">
        <v>0</v>
      </c>
      <c r="DK132" s="258">
        <v>0</v>
      </c>
      <c r="DL132" s="258">
        <v>0</v>
      </c>
      <c r="DM132" s="301">
        <v>0</v>
      </c>
      <c r="DN132" s="302"/>
      <c r="DO132" s="302"/>
      <c r="DP132" s="300" t="s">
        <v>352</v>
      </c>
      <c r="DQ132" s="293">
        <v>0</v>
      </c>
      <c r="DR132" s="293">
        <v>0</v>
      </c>
      <c r="DS132" s="258">
        <v>0</v>
      </c>
      <c r="DT132" s="258">
        <v>0</v>
      </c>
      <c r="DU132" s="258">
        <v>0</v>
      </c>
      <c r="DV132" s="258">
        <v>0</v>
      </c>
      <c r="DW132" s="258">
        <v>0</v>
      </c>
      <c r="DX132" s="258">
        <v>0</v>
      </c>
      <c r="DY132" s="258">
        <v>0</v>
      </c>
      <c r="DZ132" s="258">
        <v>0</v>
      </c>
      <c r="EA132" s="258">
        <v>0</v>
      </c>
      <c r="EB132" s="258">
        <v>0</v>
      </c>
      <c r="EC132" s="258">
        <v>0</v>
      </c>
      <c r="ED132" s="258">
        <v>0</v>
      </c>
      <c r="EE132" s="258">
        <v>0</v>
      </c>
      <c r="EF132" s="258">
        <v>0</v>
      </c>
      <c r="EG132" s="258">
        <v>0</v>
      </c>
      <c r="EH132" s="258">
        <v>0</v>
      </c>
      <c r="EI132" s="258">
        <v>0</v>
      </c>
      <c r="EJ132" s="258">
        <v>0</v>
      </c>
      <c r="EK132" s="301">
        <v>0</v>
      </c>
      <c r="EL132" s="287"/>
      <c r="EM132" s="300" t="s">
        <v>352</v>
      </c>
      <c r="EN132" s="293">
        <v>0</v>
      </c>
      <c r="EO132" s="293">
        <v>0</v>
      </c>
      <c r="EP132" s="258">
        <v>0</v>
      </c>
      <c r="EQ132" s="258">
        <v>0</v>
      </c>
      <c r="ER132" s="258">
        <v>0</v>
      </c>
      <c r="ES132" s="258">
        <v>0</v>
      </c>
      <c r="ET132" s="258">
        <v>0</v>
      </c>
      <c r="EU132" s="258">
        <v>0</v>
      </c>
      <c r="EV132" s="258">
        <v>0</v>
      </c>
      <c r="EW132" s="258">
        <v>0</v>
      </c>
      <c r="EX132" s="258">
        <v>0</v>
      </c>
      <c r="EY132" s="258">
        <v>0</v>
      </c>
      <c r="EZ132" s="258">
        <v>0</v>
      </c>
      <c r="FA132" s="258">
        <v>0</v>
      </c>
      <c r="FB132" s="258">
        <v>0</v>
      </c>
      <c r="FC132" s="258">
        <v>0</v>
      </c>
      <c r="FD132" s="258">
        <v>0</v>
      </c>
      <c r="FE132" s="258">
        <v>0</v>
      </c>
      <c r="FF132" s="258">
        <v>0</v>
      </c>
      <c r="FG132" s="258">
        <v>0</v>
      </c>
      <c r="FH132" s="301">
        <v>0</v>
      </c>
    </row>
    <row r="133" spans="2:164" x14ac:dyDescent="0.2">
      <c r="B133" s="217" t="s">
        <v>335</v>
      </c>
      <c r="C133" s="227">
        <v>0</v>
      </c>
      <c r="D133" s="228">
        <v>0</v>
      </c>
      <c r="E133" s="208">
        <v>0</v>
      </c>
      <c r="F133" s="208">
        <v>0</v>
      </c>
      <c r="G133" s="208">
        <v>0</v>
      </c>
      <c r="H133" s="208">
        <v>0</v>
      </c>
      <c r="I133" s="208">
        <v>0</v>
      </c>
      <c r="J133" s="208">
        <v>0</v>
      </c>
      <c r="K133" s="208">
        <v>4</v>
      </c>
      <c r="L133" s="208">
        <v>0</v>
      </c>
      <c r="M133" s="208">
        <v>0</v>
      </c>
      <c r="N133" s="208">
        <v>0</v>
      </c>
      <c r="O133" s="208">
        <v>0</v>
      </c>
      <c r="P133" s="208">
        <v>0</v>
      </c>
      <c r="Q133" s="208">
        <v>0</v>
      </c>
      <c r="R133" s="208">
        <v>0</v>
      </c>
      <c r="S133" s="208">
        <v>0</v>
      </c>
      <c r="T133" s="208">
        <v>0</v>
      </c>
      <c r="U133" s="208">
        <v>0</v>
      </c>
      <c r="V133" s="208">
        <v>0</v>
      </c>
      <c r="W133" s="222">
        <v>4</v>
      </c>
      <c r="X133" s="208"/>
      <c r="Y133" s="217" t="s">
        <v>335</v>
      </c>
      <c r="Z133" s="227">
        <v>0</v>
      </c>
      <c r="AA133" s="228">
        <v>0</v>
      </c>
      <c r="AB133" s="208">
        <v>0</v>
      </c>
      <c r="AC133" s="208">
        <v>0</v>
      </c>
      <c r="AD133" s="208">
        <v>0</v>
      </c>
      <c r="AE133" s="208">
        <v>0</v>
      </c>
      <c r="AF133" s="208">
        <v>0</v>
      </c>
      <c r="AG133" s="208">
        <v>0</v>
      </c>
      <c r="AH133" s="208">
        <v>371.58323194784356</v>
      </c>
      <c r="AI133" s="208">
        <v>0</v>
      </c>
      <c r="AJ133" s="208">
        <v>0</v>
      </c>
      <c r="AK133" s="252">
        <v>0</v>
      </c>
      <c r="AL133" s="252">
        <v>0</v>
      </c>
      <c r="AM133" s="252">
        <v>0</v>
      </c>
      <c r="AN133" s="252">
        <v>0</v>
      </c>
      <c r="AO133" s="252">
        <v>0</v>
      </c>
      <c r="AP133" s="252">
        <v>0</v>
      </c>
      <c r="AQ133" s="208">
        <v>0</v>
      </c>
      <c r="AR133" s="208">
        <v>0</v>
      </c>
      <c r="AS133" s="208">
        <v>0</v>
      </c>
      <c r="AT133" s="222">
        <v>371.58323194784356</v>
      </c>
      <c r="AV133" s="217" t="s">
        <v>346</v>
      </c>
      <c r="AW133" s="227">
        <f t="shared" si="312"/>
        <v>0</v>
      </c>
      <c r="AX133" s="227">
        <f t="shared" si="313"/>
        <v>0</v>
      </c>
      <c r="AY133" s="227">
        <f t="shared" si="314"/>
        <v>0</v>
      </c>
      <c r="AZ133" s="227">
        <f t="shared" si="303"/>
        <v>0</v>
      </c>
      <c r="BA133" s="227">
        <f t="shared" si="292"/>
        <v>0</v>
      </c>
      <c r="BB133" s="227">
        <f t="shared" si="304"/>
        <v>0</v>
      </c>
      <c r="BC133" s="227">
        <f t="shared" si="305"/>
        <v>0</v>
      </c>
      <c r="BD133" s="227">
        <f t="shared" si="306"/>
        <v>0</v>
      </c>
      <c r="BE133" s="227">
        <f t="shared" si="307"/>
        <v>371.58323194784356</v>
      </c>
      <c r="BF133" s="227">
        <f t="shared" si="308"/>
        <v>0</v>
      </c>
      <c r="BG133" s="227">
        <f t="shared" si="309"/>
        <v>0</v>
      </c>
      <c r="BH133" s="252">
        <v>0</v>
      </c>
      <c r="BI133" s="252">
        <v>0</v>
      </c>
      <c r="BJ133" s="255">
        <v>0</v>
      </c>
      <c r="BK133" s="252">
        <v>0</v>
      </c>
      <c r="BL133" s="255">
        <v>0</v>
      </c>
      <c r="BM133" s="252">
        <v>0</v>
      </c>
      <c r="BN133" s="208">
        <f t="shared" si="315"/>
        <v>0</v>
      </c>
      <c r="BO133" s="208">
        <f t="shared" si="310"/>
        <v>0</v>
      </c>
      <c r="BP133" s="208">
        <f t="shared" si="311"/>
        <v>0</v>
      </c>
      <c r="BQ133" s="230">
        <f t="shared" si="289"/>
        <v>371.58323194784356</v>
      </c>
      <c r="BR133" s="214"/>
      <c r="BS133" s="227"/>
      <c r="BT133" s="286"/>
      <c r="BU133" s="300" t="s">
        <v>335</v>
      </c>
      <c r="BV133" s="293">
        <v>0</v>
      </c>
      <c r="BW133" s="293">
        <v>0</v>
      </c>
      <c r="BX133" s="258">
        <v>0</v>
      </c>
      <c r="BY133" s="258">
        <v>0</v>
      </c>
      <c r="BZ133" s="258">
        <v>0</v>
      </c>
      <c r="CA133" s="258">
        <v>0</v>
      </c>
      <c r="CB133" s="258">
        <v>0</v>
      </c>
      <c r="CC133" s="258">
        <v>0</v>
      </c>
      <c r="CD133" s="258">
        <v>0</v>
      </c>
      <c r="CE133" s="258">
        <v>0</v>
      </c>
      <c r="CF133" s="258">
        <v>0</v>
      </c>
      <c r="CG133" s="258">
        <v>0</v>
      </c>
      <c r="CH133" s="258">
        <v>0</v>
      </c>
      <c r="CI133" s="258">
        <v>0</v>
      </c>
      <c r="CJ133" s="258">
        <v>0</v>
      </c>
      <c r="CK133" s="258">
        <v>0</v>
      </c>
      <c r="CL133" s="258">
        <v>0</v>
      </c>
      <c r="CM133" s="258">
        <v>0</v>
      </c>
      <c r="CN133" s="258">
        <v>0</v>
      </c>
      <c r="CO133" s="258">
        <v>0</v>
      </c>
      <c r="CP133" s="301">
        <v>0</v>
      </c>
      <c r="CQ133" s="302"/>
      <c r="CR133" s="300" t="s">
        <v>335</v>
      </c>
      <c r="CS133" s="293">
        <v>0</v>
      </c>
      <c r="CT133" s="293">
        <v>0</v>
      </c>
      <c r="CU133" s="258">
        <v>0</v>
      </c>
      <c r="CV133" s="258">
        <v>0</v>
      </c>
      <c r="CW133" s="258">
        <v>0</v>
      </c>
      <c r="CX133" s="258">
        <v>0</v>
      </c>
      <c r="CY133" s="258">
        <v>0</v>
      </c>
      <c r="CZ133" s="258">
        <v>0</v>
      </c>
      <c r="DA133" s="258">
        <v>0</v>
      </c>
      <c r="DB133" s="258">
        <v>0</v>
      </c>
      <c r="DC133" s="258">
        <v>0</v>
      </c>
      <c r="DD133" s="258">
        <v>0</v>
      </c>
      <c r="DE133" s="258">
        <v>0</v>
      </c>
      <c r="DF133" s="258">
        <v>0</v>
      </c>
      <c r="DG133" s="258">
        <v>0</v>
      </c>
      <c r="DH133" s="258">
        <v>0</v>
      </c>
      <c r="DI133" s="258">
        <v>0</v>
      </c>
      <c r="DJ133" s="258">
        <v>0</v>
      </c>
      <c r="DK133" s="258">
        <v>0</v>
      </c>
      <c r="DL133" s="258">
        <v>0</v>
      </c>
      <c r="DM133" s="301">
        <v>0</v>
      </c>
      <c r="DN133" s="302"/>
      <c r="DO133" s="302"/>
      <c r="DP133" s="300" t="s">
        <v>335</v>
      </c>
      <c r="DQ133" s="293">
        <v>0</v>
      </c>
      <c r="DR133" s="293">
        <v>0</v>
      </c>
      <c r="DS133" s="258">
        <v>0</v>
      </c>
      <c r="DT133" s="258">
        <v>0</v>
      </c>
      <c r="DU133" s="258">
        <v>0</v>
      </c>
      <c r="DV133" s="258">
        <v>0</v>
      </c>
      <c r="DW133" s="258">
        <v>0</v>
      </c>
      <c r="DX133" s="258">
        <v>0</v>
      </c>
      <c r="DY133" s="258">
        <v>0</v>
      </c>
      <c r="DZ133" s="258">
        <v>0</v>
      </c>
      <c r="EA133" s="258">
        <v>0</v>
      </c>
      <c r="EB133" s="258">
        <v>0</v>
      </c>
      <c r="EC133" s="258">
        <v>0</v>
      </c>
      <c r="ED133" s="258">
        <v>0</v>
      </c>
      <c r="EE133" s="258">
        <v>0</v>
      </c>
      <c r="EF133" s="258">
        <v>0</v>
      </c>
      <c r="EG133" s="258">
        <v>0</v>
      </c>
      <c r="EH133" s="258">
        <v>0</v>
      </c>
      <c r="EI133" s="258">
        <v>0</v>
      </c>
      <c r="EJ133" s="258">
        <v>0</v>
      </c>
      <c r="EK133" s="301">
        <v>0</v>
      </c>
      <c r="EL133" s="287"/>
      <c r="EM133" s="300" t="s">
        <v>335</v>
      </c>
      <c r="EN133" s="293">
        <v>0</v>
      </c>
      <c r="EO133" s="293">
        <v>0</v>
      </c>
      <c r="EP133" s="258">
        <v>0</v>
      </c>
      <c r="EQ133" s="258">
        <v>0</v>
      </c>
      <c r="ER133" s="258">
        <v>0</v>
      </c>
      <c r="ES133" s="258">
        <v>0</v>
      </c>
      <c r="ET133" s="258">
        <v>0</v>
      </c>
      <c r="EU133" s="258">
        <v>0</v>
      </c>
      <c r="EV133" s="258">
        <v>0</v>
      </c>
      <c r="EW133" s="258">
        <v>0</v>
      </c>
      <c r="EX133" s="258">
        <v>0</v>
      </c>
      <c r="EY133" s="258">
        <v>0</v>
      </c>
      <c r="EZ133" s="258">
        <v>0</v>
      </c>
      <c r="FA133" s="258">
        <v>0</v>
      </c>
      <c r="FB133" s="258">
        <v>0</v>
      </c>
      <c r="FC133" s="258">
        <v>0</v>
      </c>
      <c r="FD133" s="258">
        <v>0</v>
      </c>
      <c r="FE133" s="258">
        <v>0</v>
      </c>
      <c r="FF133" s="258">
        <v>0</v>
      </c>
      <c r="FG133" s="258">
        <v>0</v>
      </c>
      <c r="FH133" s="301">
        <v>0</v>
      </c>
    </row>
    <row r="134" spans="2:164" x14ac:dyDescent="0.2">
      <c r="B134" s="217" t="s">
        <v>336</v>
      </c>
      <c r="C134" s="227">
        <v>0</v>
      </c>
      <c r="D134" s="228">
        <v>0</v>
      </c>
      <c r="E134" s="208">
        <v>0</v>
      </c>
      <c r="F134" s="208">
        <v>0</v>
      </c>
      <c r="G134" s="208">
        <v>0</v>
      </c>
      <c r="H134" s="208">
        <v>0</v>
      </c>
      <c r="I134" s="208">
        <v>0</v>
      </c>
      <c r="J134" s="208">
        <v>0</v>
      </c>
      <c r="K134" s="208">
        <v>0</v>
      </c>
      <c r="L134" s="208">
        <v>2</v>
      </c>
      <c r="M134" s="208">
        <v>0</v>
      </c>
      <c r="N134" s="208">
        <v>0</v>
      </c>
      <c r="O134" s="208">
        <v>0</v>
      </c>
      <c r="P134" s="208">
        <v>0</v>
      </c>
      <c r="Q134" s="208">
        <v>0</v>
      </c>
      <c r="R134" s="208">
        <v>1</v>
      </c>
      <c r="S134" s="208">
        <v>0</v>
      </c>
      <c r="T134" s="208">
        <v>0</v>
      </c>
      <c r="U134" s="208">
        <v>0</v>
      </c>
      <c r="V134" s="208">
        <v>0</v>
      </c>
      <c r="W134" s="222">
        <v>3</v>
      </c>
      <c r="X134" s="209"/>
      <c r="Y134" s="217" t="s">
        <v>336</v>
      </c>
      <c r="Z134" s="227">
        <v>0</v>
      </c>
      <c r="AA134" s="228">
        <v>0</v>
      </c>
      <c r="AB134" s="208">
        <v>0</v>
      </c>
      <c r="AC134" s="208">
        <v>0</v>
      </c>
      <c r="AD134" s="208">
        <v>0</v>
      </c>
      <c r="AE134" s="208">
        <v>0</v>
      </c>
      <c r="AF134" s="208">
        <v>0</v>
      </c>
      <c r="AG134" s="208">
        <v>0</v>
      </c>
      <c r="AH134" s="208">
        <v>0</v>
      </c>
      <c r="AI134" s="208">
        <v>1919.3397848208488</v>
      </c>
      <c r="AJ134" s="208">
        <v>0</v>
      </c>
      <c r="AK134" s="252">
        <v>0</v>
      </c>
      <c r="AL134" s="252">
        <v>0</v>
      </c>
      <c r="AM134" s="252">
        <v>0</v>
      </c>
      <c r="AN134" s="252">
        <v>0</v>
      </c>
      <c r="AO134" s="252">
        <v>926.04055571240701</v>
      </c>
      <c r="AP134" s="252">
        <v>0</v>
      </c>
      <c r="AQ134" s="208">
        <v>0</v>
      </c>
      <c r="AR134" s="208">
        <v>0</v>
      </c>
      <c r="AS134" s="208">
        <v>0</v>
      </c>
      <c r="AT134" s="222">
        <v>2845.3803405332555</v>
      </c>
      <c r="AV134" s="217" t="s">
        <v>335</v>
      </c>
      <c r="AW134" s="227">
        <f t="shared" si="312"/>
        <v>0</v>
      </c>
      <c r="AX134" s="227">
        <f t="shared" si="313"/>
        <v>0</v>
      </c>
      <c r="AY134" s="227">
        <f t="shared" si="314"/>
        <v>0</v>
      </c>
      <c r="AZ134" s="227">
        <f t="shared" si="303"/>
        <v>0</v>
      </c>
      <c r="BA134" s="227">
        <f t="shared" si="292"/>
        <v>0</v>
      </c>
      <c r="BB134" s="227">
        <f t="shared" si="304"/>
        <v>0</v>
      </c>
      <c r="BC134" s="227">
        <f t="shared" si="305"/>
        <v>0</v>
      </c>
      <c r="BD134" s="227">
        <f t="shared" si="306"/>
        <v>0</v>
      </c>
      <c r="BE134" s="227">
        <f t="shared" si="307"/>
        <v>0</v>
      </c>
      <c r="BF134" s="227">
        <f t="shared" si="308"/>
        <v>1919.3397848208488</v>
      </c>
      <c r="BG134" s="227">
        <f t="shared" si="309"/>
        <v>0</v>
      </c>
      <c r="BH134" s="252">
        <v>0</v>
      </c>
      <c r="BI134" s="252">
        <v>0</v>
      </c>
      <c r="BJ134" s="252">
        <v>0</v>
      </c>
      <c r="BK134" s="252">
        <v>0</v>
      </c>
      <c r="BL134" s="255">
        <v>0</v>
      </c>
      <c r="BM134" s="252">
        <v>0</v>
      </c>
      <c r="BN134" s="208">
        <f t="shared" si="315"/>
        <v>0</v>
      </c>
      <c r="BO134" s="208">
        <f t="shared" si="310"/>
        <v>0</v>
      </c>
      <c r="BP134" s="208">
        <f t="shared" si="311"/>
        <v>0</v>
      </c>
      <c r="BQ134" s="230">
        <f t="shared" si="289"/>
        <v>1919.3397848208488</v>
      </c>
      <c r="BR134" s="214"/>
      <c r="BS134" s="227"/>
      <c r="BT134" s="286"/>
      <c r="BU134" s="300" t="s">
        <v>336</v>
      </c>
      <c r="BV134" s="293">
        <v>0</v>
      </c>
      <c r="BW134" s="293">
        <v>0</v>
      </c>
      <c r="BX134" s="258">
        <v>0</v>
      </c>
      <c r="BY134" s="258">
        <v>0</v>
      </c>
      <c r="BZ134" s="258">
        <v>0</v>
      </c>
      <c r="CA134" s="258">
        <v>0</v>
      </c>
      <c r="CB134" s="258">
        <v>0</v>
      </c>
      <c r="CC134" s="258">
        <v>0</v>
      </c>
      <c r="CD134" s="258">
        <v>0</v>
      </c>
      <c r="CE134" s="258">
        <v>0</v>
      </c>
      <c r="CF134" s="258">
        <v>0</v>
      </c>
      <c r="CG134" s="258">
        <v>0</v>
      </c>
      <c r="CH134" s="258">
        <v>0</v>
      </c>
      <c r="CI134" s="258">
        <v>0</v>
      </c>
      <c r="CJ134" s="258">
        <v>0</v>
      </c>
      <c r="CK134" s="258">
        <v>0</v>
      </c>
      <c r="CL134" s="258">
        <v>0</v>
      </c>
      <c r="CM134" s="258">
        <v>0</v>
      </c>
      <c r="CN134" s="258">
        <v>0</v>
      </c>
      <c r="CO134" s="258">
        <v>0</v>
      </c>
      <c r="CP134" s="301">
        <v>0</v>
      </c>
      <c r="CQ134" s="302"/>
      <c r="CR134" s="300" t="s">
        <v>336</v>
      </c>
      <c r="CS134" s="293">
        <v>0</v>
      </c>
      <c r="CT134" s="293">
        <v>0</v>
      </c>
      <c r="CU134" s="258">
        <v>0</v>
      </c>
      <c r="CV134" s="258">
        <v>0</v>
      </c>
      <c r="CW134" s="258">
        <v>0</v>
      </c>
      <c r="CX134" s="258">
        <v>0</v>
      </c>
      <c r="CY134" s="258">
        <v>0</v>
      </c>
      <c r="CZ134" s="258">
        <v>0</v>
      </c>
      <c r="DA134" s="258">
        <v>0</v>
      </c>
      <c r="DB134" s="258">
        <v>0</v>
      </c>
      <c r="DC134" s="258">
        <v>0</v>
      </c>
      <c r="DD134" s="258">
        <v>0</v>
      </c>
      <c r="DE134" s="258">
        <v>0</v>
      </c>
      <c r="DF134" s="258">
        <v>0</v>
      </c>
      <c r="DG134" s="258">
        <v>0</v>
      </c>
      <c r="DH134" s="258">
        <v>0</v>
      </c>
      <c r="DI134" s="258">
        <v>0</v>
      </c>
      <c r="DJ134" s="258">
        <v>0</v>
      </c>
      <c r="DK134" s="258">
        <v>0</v>
      </c>
      <c r="DL134" s="258">
        <v>0</v>
      </c>
      <c r="DM134" s="301">
        <v>0</v>
      </c>
      <c r="DN134" s="302"/>
      <c r="DO134" s="302"/>
      <c r="DP134" s="300" t="s">
        <v>336</v>
      </c>
      <c r="DQ134" s="293">
        <v>0</v>
      </c>
      <c r="DR134" s="293">
        <v>0</v>
      </c>
      <c r="DS134" s="258">
        <v>0</v>
      </c>
      <c r="DT134" s="258">
        <v>0</v>
      </c>
      <c r="DU134" s="258">
        <v>0</v>
      </c>
      <c r="DV134" s="258">
        <v>0</v>
      </c>
      <c r="DW134" s="258">
        <v>0</v>
      </c>
      <c r="DX134" s="258">
        <v>0</v>
      </c>
      <c r="DY134" s="258">
        <v>0</v>
      </c>
      <c r="DZ134" s="258">
        <v>0</v>
      </c>
      <c r="EA134" s="258">
        <v>0</v>
      </c>
      <c r="EB134" s="258">
        <v>0</v>
      </c>
      <c r="EC134" s="258">
        <v>0</v>
      </c>
      <c r="ED134" s="258">
        <v>0</v>
      </c>
      <c r="EE134" s="258">
        <v>0</v>
      </c>
      <c r="EF134" s="258">
        <v>0</v>
      </c>
      <c r="EG134" s="258">
        <v>0</v>
      </c>
      <c r="EH134" s="258">
        <v>0</v>
      </c>
      <c r="EI134" s="258">
        <v>0</v>
      </c>
      <c r="EJ134" s="258">
        <v>0</v>
      </c>
      <c r="EK134" s="301">
        <v>0</v>
      </c>
      <c r="EL134" s="287"/>
      <c r="EM134" s="300" t="s">
        <v>336</v>
      </c>
      <c r="EN134" s="293">
        <v>0</v>
      </c>
      <c r="EO134" s="293">
        <v>0</v>
      </c>
      <c r="EP134" s="258">
        <v>0</v>
      </c>
      <c r="EQ134" s="258">
        <v>0</v>
      </c>
      <c r="ER134" s="258">
        <v>0</v>
      </c>
      <c r="ES134" s="258">
        <v>0</v>
      </c>
      <c r="ET134" s="258">
        <v>0</v>
      </c>
      <c r="EU134" s="258">
        <v>0</v>
      </c>
      <c r="EV134" s="258">
        <v>0</v>
      </c>
      <c r="EW134" s="258">
        <v>0</v>
      </c>
      <c r="EX134" s="258">
        <v>0</v>
      </c>
      <c r="EY134" s="258">
        <v>0</v>
      </c>
      <c r="EZ134" s="258">
        <v>0</v>
      </c>
      <c r="FA134" s="258">
        <v>0</v>
      </c>
      <c r="FB134" s="258">
        <v>0</v>
      </c>
      <c r="FC134" s="258">
        <v>0</v>
      </c>
      <c r="FD134" s="258">
        <v>0</v>
      </c>
      <c r="FE134" s="258">
        <v>0</v>
      </c>
      <c r="FF134" s="258">
        <v>0</v>
      </c>
      <c r="FG134" s="258">
        <v>0</v>
      </c>
      <c r="FH134" s="301">
        <v>0</v>
      </c>
    </row>
    <row r="135" spans="2:164" x14ac:dyDescent="0.2">
      <c r="B135" s="217" t="s">
        <v>337</v>
      </c>
      <c r="C135" s="227">
        <v>0</v>
      </c>
      <c r="D135" s="228">
        <v>0</v>
      </c>
      <c r="E135" s="208">
        <v>0</v>
      </c>
      <c r="F135" s="208">
        <v>0</v>
      </c>
      <c r="G135" s="208">
        <v>0</v>
      </c>
      <c r="H135" s="208">
        <v>0</v>
      </c>
      <c r="I135" s="208">
        <v>0</v>
      </c>
      <c r="J135" s="208">
        <v>0</v>
      </c>
      <c r="K135" s="208">
        <v>0</v>
      </c>
      <c r="L135" s="208">
        <v>0</v>
      </c>
      <c r="M135" s="208">
        <v>2</v>
      </c>
      <c r="N135" s="208">
        <v>0</v>
      </c>
      <c r="O135" s="208">
        <v>0</v>
      </c>
      <c r="P135" s="208">
        <v>0</v>
      </c>
      <c r="Q135" s="208">
        <v>0</v>
      </c>
      <c r="R135" s="208">
        <v>0</v>
      </c>
      <c r="S135" s="208">
        <v>0</v>
      </c>
      <c r="T135" s="208">
        <v>0</v>
      </c>
      <c r="U135" s="208">
        <v>0</v>
      </c>
      <c r="V135" s="208">
        <v>0</v>
      </c>
      <c r="W135" s="222">
        <v>2</v>
      </c>
      <c r="X135" s="209"/>
      <c r="Y135" s="217" t="s">
        <v>337</v>
      </c>
      <c r="Z135" s="227">
        <v>0</v>
      </c>
      <c r="AA135" s="228">
        <v>0</v>
      </c>
      <c r="AB135" s="208">
        <v>0</v>
      </c>
      <c r="AC135" s="208">
        <v>0</v>
      </c>
      <c r="AD135" s="208">
        <v>0</v>
      </c>
      <c r="AE135" s="208">
        <v>0</v>
      </c>
      <c r="AF135" s="208">
        <v>0</v>
      </c>
      <c r="AG135" s="208">
        <v>0</v>
      </c>
      <c r="AH135" s="208">
        <v>0</v>
      </c>
      <c r="AI135" s="208">
        <v>0</v>
      </c>
      <c r="AJ135" s="208">
        <v>63.054570464594761</v>
      </c>
      <c r="AK135" s="252">
        <v>0</v>
      </c>
      <c r="AL135" s="252">
        <v>0</v>
      </c>
      <c r="AM135" s="252">
        <v>0</v>
      </c>
      <c r="AN135" s="252">
        <v>0</v>
      </c>
      <c r="AO135" s="252">
        <v>0</v>
      </c>
      <c r="AP135" s="252">
        <v>0</v>
      </c>
      <c r="AQ135" s="208">
        <v>0</v>
      </c>
      <c r="AR135" s="208">
        <v>0</v>
      </c>
      <c r="AS135" s="208">
        <v>0</v>
      </c>
      <c r="AT135" s="222">
        <v>63.054570464594761</v>
      </c>
      <c r="AV135" s="217" t="s">
        <v>336</v>
      </c>
      <c r="AW135" s="227">
        <f t="shared" si="312"/>
        <v>0</v>
      </c>
      <c r="AX135" s="227">
        <f t="shared" si="313"/>
        <v>0</v>
      </c>
      <c r="AY135" s="227">
        <f t="shared" si="314"/>
        <v>0</v>
      </c>
      <c r="AZ135" s="227">
        <f t="shared" si="303"/>
        <v>0</v>
      </c>
      <c r="BA135" s="227">
        <f t="shared" si="292"/>
        <v>0</v>
      </c>
      <c r="BB135" s="227">
        <f t="shared" si="304"/>
        <v>0</v>
      </c>
      <c r="BC135" s="227">
        <f t="shared" si="305"/>
        <v>0</v>
      </c>
      <c r="BD135" s="227">
        <f t="shared" si="306"/>
        <v>0</v>
      </c>
      <c r="BE135" s="227">
        <f t="shared" si="307"/>
        <v>0</v>
      </c>
      <c r="BF135" s="227">
        <f t="shared" si="308"/>
        <v>0</v>
      </c>
      <c r="BG135" s="227">
        <f t="shared" si="309"/>
        <v>63.054570464594761</v>
      </c>
      <c r="BH135" s="252">
        <v>0</v>
      </c>
      <c r="BI135" s="252">
        <v>0</v>
      </c>
      <c r="BJ135" s="252">
        <v>0</v>
      </c>
      <c r="BK135" s="252">
        <v>0</v>
      </c>
      <c r="BL135" s="255">
        <v>0</v>
      </c>
      <c r="BM135" s="252">
        <v>0</v>
      </c>
      <c r="BN135" s="208">
        <f t="shared" si="315"/>
        <v>0</v>
      </c>
      <c r="BO135" s="208">
        <f t="shared" si="310"/>
        <v>0</v>
      </c>
      <c r="BP135" s="208">
        <f t="shared" si="311"/>
        <v>0</v>
      </c>
      <c r="BQ135" s="230">
        <f t="shared" si="289"/>
        <v>63.054570464594761</v>
      </c>
      <c r="BR135" s="214"/>
      <c r="BS135" s="227"/>
      <c r="BT135" s="286"/>
      <c r="BU135" s="300" t="s">
        <v>337</v>
      </c>
      <c r="BV135" s="293">
        <v>0</v>
      </c>
      <c r="BW135" s="293">
        <v>0</v>
      </c>
      <c r="BX135" s="258">
        <v>0</v>
      </c>
      <c r="BY135" s="258">
        <v>0</v>
      </c>
      <c r="BZ135" s="258">
        <v>0</v>
      </c>
      <c r="CA135" s="258">
        <v>0</v>
      </c>
      <c r="CB135" s="258">
        <v>0</v>
      </c>
      <c r="CC135" s="258">
        <v>0</v>
      </c>
      <c r="CD135" s="258">
        <v>0</v>
      </c>
      <c r="CE135" s="258">
        <v>0</v>
      </c>
      <c r="CF135" s="258">
        <v>0</v>
      </c>
      <c r="CG135" s="258">
        <v>0</v>
      </c>
      <c r="CH135" s="258">
        <v>0</v>
      </c>
      <c r="CI135" s="258">
        <v>0</v>
      </c>
      <c r="CJ135" s="258">
        <v>0</v>
      </c>
      <c r="CK135" s="258">
        <v>0</v>
      </c>
      <c r="CL135" s="258">
        <v>0</v>
      </c>
      <c r="CM135" s="258">
        <v>0</v>
      </c>
      <c r="CN135" s="258">
        <v>0</v>
      </c>
      <c r="CO135" s="258">
        <v>0</v>
      </c>
      <c r="CP135" s="301">
        <v>0</v>
      </c>
      <c r="CQ135" s="302"/>
      <c r="CR135" s="300" t="s">
        <v>337</v>
      </c>
      <c r="CS135" s="293">
        <v>0</v>
      </c>
      <c r="CT135" s="293">
        <v>0</v>
      </c>
      <c r="CU135" s="258">
        <v>0</v>
      </c>
      <c r="CV135" s="258">
        <v>0</v>
      </c>
      <c r="CW135" s="258">
        <v>0</v>
      </c>
      <c r="CX135" s="258">
        <v>0</v>
      </c>
      <c r="CY135" s="258">
        <v>0</v>
      </c>
      <c r="CZ135" s="258">
        <v>0</v>
      </c>
      <c r="DA135" s="258">
        <v>0</v>
      </c>
      <c r="DB135" s="258">
        <v>0</v>
      </c>
      <c r="DC135" s="258">
        <v>0</v>
      </c>
      <c r="DD135" s="258">
        <v>0</v>
      </c>
      <c r="DE135" s="258">
        <v>0</v>
      </c>
      <c r="DF135" s="258">
        <v>0</v>
      </c>
      <c r="DG135" s="258">
        <v>0</v>
      </c>
      <c r="DH135" s="258">
        <v>0</v>
      </c>
      <c r="DI135" s="258">
        <v>0</v>
      </c>
      <c r="DJ135" s="258">
        <v>0</v>
      </c>
      <c r="DK135" s="258">
        <v>0</v>
      </c>
      <c r="DL135" s="258">
        <v>0</v>
      </c>
      <c r="DM135" s="301">
        <v>0</v>
      </c>
      <c r="DN135" s="302"/>
      <c r="DO135" s="302"/>
      <c r="DP135" s="300" t="s">
        <v>337</v>
      </c>
      <c r="DQ135" s="293">
        <v>0</v>
      </c>
      <c r="DR135" s="293">
        <v>0</v>
      </c>
      <c r="DS135" s="258">
        <v>0</v>
      </c>
      <c r="DT135" s="258">
        <v>0</v>
      </c>
      <c r="DU135" s="258">
        <v>0</v>
      </c>
      <c r="DV135" s="258">
        <v>0</v>
      </c>
      <c r="DW135" s="258">
        <v>0</v>
      </c>
      <c r="DX135" s="258">
        <v>0</v>
      </c>
      <c r="DY135" s="258">
        <v>0</v>
      </c>
      <c r="DZ135" s="258">
        <v>0</v>
      </c>
      <c r="EA135" s="258">
        <v>0</v>
      </c>
      <c r="EB135" s="258">
        <v>0</v>
      </c>
      <c r="EC135" s="258">
        <v>0</v>
      </c>
      <c r="ED135" s="258">
        <v>0</v>
      </c>
      <c r="EE135" s="258">
        <v>0</v>
      </c>
      <c r="EF135" s="258">
        <v>0</v>
      </c>
      <c r="EG135" s="258">
        <v>0</v>
      </c>
      <c r="EH135" s="258">
        <v>0</v>
      </c>
      <c r="EI135" s="258">
        <v>0</v>
      </c>
      <c r="EJ135" s="258">
        <v>0</v>
      </c>
      <c r="EK135" s="301">
        <v>0</v>
      </c>
      <c r="EL135" s="287"/>
      <c r="EM135" s="300" t="s">
        <v>337</v>
      </c>
      <c r="EN135" s="293">
        <v>0</v>
      </c>
      <c r="EO135" s="293">
        <v>0</v>
      </c>
      <c r="EP135" s="258">
        <v>0</v>
      </c>
      <c r="EQ135" s="258">
        <v>0</v>
      </c>
      <c r="ER135" s="258">
        <v>0</v>
      </c>
      <c r="ES135" s="258">
        <v>0</v>
      </c>
      <c r="ET135" s="258">
        <v>0</v>
      </c>
      <c r="EU135" s="258">
        <v>0</v>
      </c>
      <c r="EV135" s="258">
        <v>0</v>
      </c>
      <c r="EW135" s="258">
        <v>0</v>
      </c>
      <c r="EX135" s="258">
        <v>0</v>
      </c>
      <c r="EY135" s="258">
        <v>0</v>
      </c>
      <c r="EZ135" s="258">
        <v>0</v>
      </c>
      <c r="FA135" s="258">
        <v>0</v>
      </c>
      <c r="FB135" s="258">
        <v>0</v>
      </c>
      <c r="FC135" s="258">
        <v>0</v>
      </c>
      <c r="FD135" s="258">
        <v>0</v>
      </c>
      <c r="FE135" s="258">
        <v>0</v>
      </c>
      <c r="FF135" s="258">
        <v>0</v>
      </c>
      <c r="FG135" s="258">
        <v>0</v>
      </c>
      <c r="FH135" s="301">
        <v>0</v>
      </c>
    </row>
    <row r="136" spans="2:164" x14ac:dyDescent="0.2">
      <c r="B136" s="217" t="s">
        <v>338</v>
      </c>
      <c r="C136" s="227">
        <v>0</v>
      </c>
      <c r="D136" s="228">
        <v>0</v>
      </c>
      <c r="E136" s="208">
        <v>0</v>
      </c>
      <c r="F136" s="208">
        <v>0</v>
      </c>
      <c r="G136" s="208">
        <v>0</v>
      </c>
      <c r="H136" s="208">
        <v>0</v>
      </c>
      <c r="I136" s="208">
        <v>0</v>
      </c>
      <c r="J136" s="208">
        <v>0</v>
      </c>
      <c r="K136" s="208">
        <v>0</v>
      </c>
      <c r="L136" s="208">
        <v>0</v>
      </c>
      <c r="M136" s="208">
        <v>0</v>
      </c>
      <c r="N136" s="208">
        <v>0</v>
      </c>
      <c r="O136" s="208">
        <v>0</v>
      </c>
      <c r="P136" s="208">
        <v>0</v>
      </c>
      <c r="Q136" s="208">
        <v>0</v>
      </c>
      <c r="R136" s="208">
        <v>0</v>
      </c>
      <c r="S136" s="208">
        <v>0</v>
      </c>
      <c r="T136" s="208">
        <v>0</v>
      </c>
      <c r="U136" s="208">
        <v>0</v>
      </c>
      <c r="V136" s="208">
        <v>0</v>
      </c>
      <c r="W136" s="222">
        <v>0</v>
      </c>
      <c r="X136" s="209"/>
      <c r="Y136" s="217" t="s">
        <v>338</v>
      </c>
      <c r="Z136" s="227">
        <v>0</v>
      </c>
      <c r="AA136" s="228">
        <v>0</v>
      </c>
      <c r="AB136" s="208">
        <v>0</v>
      </c>
      <c r="AC136" s="208">
        <v>0</v>
      </c>
      <c r="AD136" s="208">
        <v>0</v>
      </c>
      <c r="AE136" s="208">
        <v>0</v>
      </c>
      <c r="AF136" s="208">
        <v>0</v>
      </c>
      <c r="AG136" s="208">
        <v>0</v>
      </c>
      <c r="AH136" s="208">
        <v>0</v>
      </c>
      <c r="AI136" s="208">
        <v>0</v>
      </c>
      <c r="AJ136" s="208">
        <v>0</v>
      </c>
      <c r="AK136" s="252">
        <v>0</v>
      </c>
      <c r="AL136" s="252">
        <v>0</v>
      </c>
      <c r="AM136" s="252">
        <v>0</v>
      </c>
      <c r="AN136" s="252">
        <v>0</v>
      </c>
      <c r="AO136" s="252">
        <v>0</v>
      </c>
      <c r="AP136" s="252">
        <v>0</v>
      </c>
      <c r="AQ136" s="208">
        <v>0</v>
      </c>
      <c r="AR136" s="208">
        <v>0</v>
      </c>
      <c r="AS136" s="208">
        <v>0</v>
      </c>
      <c r="AT136" s="222">
        <v>0</v>
      </c>
      <c r="AV136" s="217" t="s">
        <v>337</v>
      </c>
      <c r="AW136" s="227">
        <f t="shared" si="312"/>
        <v>0</v>
      </c>
      <c r="AX136" s="227">
        <f t="shared" si="313"/>
        <v>0</v>
      </c>
      <c r="AY136" s="227">
        <f t="shared" si="314"/>
        <v>0</v>
      </c>
      <c r="AZ136" s="227">
        <f t="shared" si="303"/>
        <v>0</v>
      </c>
      <c r="BA136" s="227">
        <f t="shared" si="292"/>
        <v>0</v>
      </c>
      <c r="BB136" s="227">
        <f t="shared" si="304"/>
        <v>0</v>
      </c>
      <c r="BC136" s="227">
        <f t="shared" si="305"/>
        <v>0</v>
      </c>
      <c r="BD136" s="227">
        <f t="shared" si="306"/>
        <v>0</v>
      </c>
      <c r="BE136" s="227">
        <f t="shared" si="307"/>
        <v>0</v>
      </c>
      <c r="BF136" s="227">
        <f t="shared" si="308"/>
        <v>0</v>
      </c>
      <c r="BG136" s="227">
        <f t="shared" si="309"/>
        <v>0</v>
      </c>
      <c r="BH136" s="252">
        <v>0</v>
      </c>
      <c r="BI136" s="252">
        <v>0</v>
      </c>
      <c r="BJ136" s="252">
        <v>0</v>
      </c>
      <c r="BK136" s="252">
        <v>0</v>
      </c>
      <c r="BL136" s="252">
        <v>0</v>
      </c>
      <c r="BM136" s="255">
        <v>0</v>
      </c>
      <c r="BN136" s="208">
        <f t="shared" si="315"/>
        <v>0</v>
      </c>
      <c r="BO136" s="208">
        <f t="shared" si="310"/>
        <v>0</v>
      </c>
      <c r="BP136" s="208">
        <f t="shared" si="311"/>
        <v>0</v>
      </c>
      <c r="BQ136" s="230">
        <f t="shared" si="289"/>
        <v>0</v>
      </c>
      <c r="BR136" s="214"/>
      <c r="BS136" s="227"/>
      <c r="BT136" s="286"/>
      <c r="BU136" s="300" t="s">
        <v>338</v>
      </c>
      <c r="BV136" s="293">
        <v>0</v>
      </c>
      <c r="BW136" s="293">
        <v>0</v>
      </c>
      <c r="BX136" s="258">
        <v>0</v>
      </c>
      <c r="BY136" s="258">
        <v>0</v>
      </c>
      <c r="BZ136" s="258">
        <v>0</v>
      </c>
      <c r="CA136" s="258">
        <v>0</v>
      </c>
      <c r="CB136" s="258">
        <v>0</v>
      </c>
      <c r="CC136" s="258">
        <v>0</v>
      </c>
      <c r="CD136" s="258">
        <v>0</v>
      </c>
      <c r="CE136" s="258">
        <v>0</v>
      </c>
      <c r="CF136" s="258">
        <v>0</v>
      </c>
      <c r="CG136" s="258">
        <v>0</v>
      </c>
      <c r="CH136" s="258">
        <v>0</v>
      </c>
      <c r="CI136" s="258">
        <v>0</v>
      </c>
      <c r="CJ136" s="258">
        <v>0</v>
      </c>
      <c r="CK136" s="258">
        <v>0</v>
      </c>
      <c r="CL136" s="258">
        <v>0</v>
      </c>
      <c r="CM136" s="258">
        <v>0</v>
      </c>
      <c r="CN136" s="258">
        <v>0</v>
      </c>
      <c r="CO136" s="258">
        <v>0</v>
      </c>
      <c r="CP136" s="301">
        <v>0</v>
      </c>
      <c r="CQ136" s="302"/>
      <c r="CR136" s="300" t="s">
        <v>338</v>
      </c>
      <c r="CS136" s="293">
        <v>0</v>
      </c>
      <c r="CT136" s="293">
        <v>0</v>
      </c>
      <c r="CU136" s="258">
        <v>0</v>
      </c>
      <c r="CV136" s="258">
        <v>0</v>
      </c>
      <c r="CW136" s="258">
        <v>0</v>
      </c>
      <c r="CX136" s="258">
        <v>0</v>
      </c>
      <c r="CY136" s="258">
        <v>0</v>
      </c>
      <c r="CZ136" s="258">
        <v>0</v>
      </c>
      <c r="DA136" s="258">
        <v>0</v>
      </c>
      <c r="DB136" s="258">
        <v>0</v>
      </c>
      <c r="DC136" s="258">
        <v>0</v>
      </c>
      <c r="DD136" s="258">
        <v>0</v>
      </c>
      <c r="DE136" s="258">
        <v>0</v>
      </c>
      <c r="DF136" s="258">
        <v>0</v>
      </c>
      <c r="DG136" s="258">
        <v>0</v>
      </c>
      <c r="DH136" s="258">
        <v>0</v>
      </c>
      <c r="DI136" s="258">
        <v>0</v>
      </c>
      <c r="DJ136" s="258">
        <v>0</v>
      </c>
      <c r="DK136" s="258">
        <v>0</v>
      </c>
      <c r="DL136" s="258">
        <v>0</v>
      </c>
      <c r="DM136" s="301">
        <v>0</v>
      </c>
      <c r="DN136" s="302"/>
      <c r="DO136" s="302"/>
      <c r="DP136" s="300" t="s">
        <v>338</v>
      </c>
      <c r="DQ136" s="293">
        <v>0</v>
      </c>
      <c r="DR136" s="293">
        <v>0</v>
      </c>
      <c r="DS136" s="258">
        <v>0</v>
      </c>
      <c r="DT136" s="258">
        <v>0</v>
      </c>
      <c r="DU136" s="258">
        <v>0</v>
      </c>
      <c r="DV136" s="258">
        <v>0</v>
      </c>
      <c r="DW136" s="258">
        <v>0</v>
      </c>
      <c r="DX136" s="258">
        <v>0</v>
      </c>
      <c r="DY136" s="258">
        <v>0</v>
      </c>
      <c r="DZ136" s="258">
        <v>0</v>
      </c>
      <c r="EA136" s="258">
        <v>0</v>
      </c>
      <c r="EB136" s="258">
        <v>0</v>
      </c>
      <c r="EC136" s="258">
        <v>0</v>
      </c>
      <c r="ED136" s="258">
        <v>0</v>
      </c>
      <c r="EE136" s="258">
        <v>0</v>
      </c>
      <c r="EF136" s="258">
        <v>0</v>
      </c>
      <c r="EG136" s="258">
        <v>0</v>
      </c>
      <c r="EH136" s="258">
        <v>0</v>
      </c>
      <c r="EI136" s="258">
        <v>0</v>
      </c>
      <c r="EJ136" s="258">
        <v>0</v>
      </c>
      <c r="EK136" s="301">
        <v>0</v>
      </c>
      <c r="EL136" s="287"/>
      <c r="EM136" s="300" t="s">
        <v>338</v>
      </c>
      <c r="EN136" s="293">
        <v>0</v>
      </c>
      <c r="EO136" s="293">
        <v>0</v>
      </c>
      <c r="EP136" s="258">
        <v>0</v>
      </c>
      <c r="EQ136" s="258">
        <v>0</v>
      </c>
      <c r="ER136" s="258">
        <v>0</v>
      </c>
      <c r="ES136" s="258">
        <v>0</v>
      </c>
      <c r="ET136" s="258">
        <v>0</v>
      </c>
      <c r="EU136" s="258">
        <v>0</v>
      </c>
      <c r="EV136" s="258">
        <v>0</v>
      </c>
      <c r="EW136" s="258">
        <v>0</v>
      </c>
      <c r="EX136" s="258">
        <v>0</v>
      </c>
      <c r="EY136" s="258">
        <v>0</v>
      </c>
      <c r="EZ136" s="258">
        <v>0</v>
      </c>
      <c r="FA136" s="258">
        <v>0</v>
      </c>
      <c r="FB136" s="258">
        <v>0</v>
      </c>
      <c r="FC136" s="258">
        <v>0</v>
      </c>
      <c r="FD136" s="258">
        <v>0</v>
      </c>
      <c r="FE136" s="258">
        <v>0</v>
      </c>
      <c r="FF136" s="258">
        <v>0</v>
      </c>
      <c r="FG136" s="258">
        <v>0</v>
      </c>
      <c r="FH136" s="301">
        <v>0</v>
      </c>
    </row>
    <row r="137" spans="2:164" x14ac:dyDescent="0.2">
      <c r="B137" s="217" t="s">
        <v>353</v>
      </c>
      <c r="C137" s="227">
        <v>0</v>
      </c>
      <c r="D137" s="228">
        <v>0</v>
      </c>
      <c r="E137" s="208">
        <v>0</v>
      </c>
      <c r="F137" s="208">
        <v>0</v>
      </c>
      <c r="G137" s="208">
        <v>0</v>
      </c>
      <c r="H137" s="208">
        <v>0</v>
      </c>
      <c r="I137" s="208">
        <v>0</v>
      </c>
      <c r="J137" s="208">
        <v>0</v>
      </c>
      <c r="K137" s="208">
        <v>0</v>
      </c>
      <c r="L137" s="208">
        <v>0</v>
      </c>
      <c r="M137" s="208">
        <v>0</v>
      </c>
      <c r="N137" s="208">
        <v>0</v>
      </c>
      <c r="O137" s="208">
        <v>0</v>
      </c>
      <c r="P137" s="208">
        <v>0</v>
      </c>
      <c r="Q137" s="208">
        <v>0</v>
      </c>
      <c r="R137" s="208">
        <v>0</v>
      </c>
      <c r="S137" s="208">
        <v>0</v>
      </c>
      <c r="T137" s="208">
        <v>0</v>
      </c>
      <c r="U137" s="208">
        <v>0</v>
      </c>
      <c r="V137" s="208">
        <v>0</v>
      </c>
      <c r="W137" s="222">
        <v>0</v>
      </c>
      <c r="X137" s="209"/>
      <c r="Y137" s="217" t="s">
        <v>353</v>
      </c>
      <c r="Z137" s="227">
        <v>0</v>
      </c>
      <c r="AA137" s="228">
        <v>0</v>
      </c>
      <c r="AB137" s="208">
        <v>0</v>
      </c>
      <c r="AC137" s="208">
        <v>0</v>
      </c>
      <c r="AD137" s="208">
        <v>0</v>
      </c>
      <c r="AE137" s="252">
        <v>0</v>
      </c>
      <c r="AF137" s="252">
        <v>0</v>
      </c>
      <c r="AG137" s="252">
        <v>0</v>
      </c>
      <c r="AH137" s="252">
        <v>0</v>
      </c>
      <c r="AI137" s="252">
        <v>0</v>
      </c>
      <c r="AJ137" s="252">
        <v>0</v>
      </c>
      <c r="AK137" s="208">
        <v>0</v>
      </c>
      <c r="AL137" s="208">
        <v>0</v>
      </c>
      <c r="AM137" s="208">
        <v>0</v>
      </c>
      <c r="AN137" s="208">
        <v>0</v>
      </c>
      <c r="AO137" s="208">
        <v>0</v>
      </c>
      <c r="AP137" s="208">
        <v>0</v>
      </c>
      <c r="AQ137" s="208">
        <v>0</v>
      </c>
      <c r="AR137" s="208">
        <v>0</v>
      </c>
      <c r="AS137" s="208">
        <v>0</v>
      </c>
      <c r="AT137" s="222">
        <v>0</v>
      </c>
      <c r="AV137" s="217" t="s">
        <v>338</v>
      </c>
      <c r="AW137" s="227">
        <f t="shared" si="312"/>
        <v>0</v>
      </c>
      <c r="AX137" s="227">
        <f t="shared" si="313"/>
        <v>0</v>
      </c>
      <c r="AY137" s="227">
        <f t="shared" si="314"/>
        <v>0</v>
      </c>
      <c r="AZ137" s="227">
        <f t="shared" si="303"/>
        <v>0</v>
      </c>
      <c r="BA137" s="227">
        <f t="shared" si="292"/>
        <v>0</v>
      </c>
      <c r="BB137" s="255">
        <v>0</v>
      </c>
      <c r="BC137" s="252">
        <v>0</v>
      </c>
      <c r="BD137" s="252">
        <v>0</v>
      </c>
      <c r="BE137" s="252">
        <v>0</v>
      </c>
      <c r="BF137" s="252">
        <v>0</v>
      </c>
      <c r="BG137" s="252">
        <v>0</v>
      </c>
      <c r="BH137" s="208">
        <f t="shared" ref="BH137:BH145" si="316">AK137</f>
        <v>0</v>
      </c>
      <c r="BI137" s="208">
        <f t="shared" ref="BI137:BI145" si="317">AL137</f>
        <v>0</v>
      </c>
      <c r="BJ137" s="208">
        <f t="shared" ref="BJ137:BJ145" si="318">AM137</f>
        <v>0</v>
      </c>
      <c r="BK137" s="208">
        <f t="shared" ref="BK137:BK145" si="319">AN137</f>
        <v>0</v>
      </c>
      <c r="BL137" s="208">
        <f t="shared" ref="BL137:BL145" si="320">AO137</f>
        <v>0</v>
      </c>
      <c r="BM137" s="208">
        <f t="shared" ref="BM137:BM145" si="321">AP137</f>
        <v>0</v>
      </c>
      <c r="BN137" s="208">
        <f t="shared" si="315"/>
        <v>0</v>
      </c>
      <c r="BO137" s="208">
        <f t="shared" si="310"/>
        <v>0</v>
      </c>
      <c r="BP137" s="208">
        <f t="shared" si="311"/>
        <v>0</v>
      </c>
      <c r="BQ137" s="230">
        <f t="shared" si="289"/>
        <v>0</v>
      </c>
      <c r="BR137" s="214"/>
      <c r="BS137" s="227"/>
      <c r="BT137" s="286"/>
      <c r="BU137" s="300" t="s">
        <v>353</v>
      </c>
      <c r="BV137" s="293">
        <v>0</v>
      </c>
      <c r="BW137" s="293">
        <v>0</v>
      </c>
      <c r="BX137" s="258">
        <v>0</v>
      </c>
      <c r="BY137" s="258">
        <v>0</v>
      </c>
      <c r="BZ137" s="258">
        <v>0</v>
      </c>
      <c r="CA137" s="258">
        <v>0</v>
      </c>
      <c r="CB137" s="258">
        <v>0</v>
      </c>
      <c r="CC137" s="258">
        <v>0</v>
      </c>
      <c r="CD137" s="258">
        <v>0</v>
      </c>
      <c r="CE137" s="258">
        <v>0</v>
      </c>
      <c r="CF137" s="258">
        <v>0</v>
      </c>
      <c r="CG137" s="258">
        <v>0</v>
      </c>
      <c r="CH137" s="258">
        <v>0</v>
      </c>
      <c r="CI137" s="258">
        <v>0</v>
      </c>
      <c r="CJ137" s="258">
        <v>0</v>
      </c>
      <c r="CK137" s="258">
        <v>0</v>
      </c>
      <c r="CL137" s="258">
        <v>0</v>
      </c>
      <c r="CM137" s="258">
        <v>0</v>
      </c>
      <c r="CN137" s="258">
        <v>0</v>
      </c>
      <c r="CO137" s="258">
        <v>0</v>
      </c>
      <c r="CP137" s="301">
        <v>0</v>
      </c>
      <c r="CQ137" s="302"/>
      <c r="CR137" s="300" t="s">
        <v>353</v>
      </c>
      <c r="CS137" s="293">
        <v>0</v>
      </c>
      <c r="CT137" s="293">
        <v>0</v>
      </c>
      <c r="CU137" s="258">
        <v>0</v>
      </c>
      <c r="CV137" s="258">
        <v>0</v>
      </c>
      <c r="CW137" s="258">
        <v>0</v>
      </c>
      <c r="CX137" s="258">
        <v>0</v>
      </c>
      <c r="CY137" s="258">
        <v>0</v>
      </c>
      <c r="CZ137" s="258">
        <v>0</v>
      </c>
      <c r="DA137" s="258">
        <v>0</v>
      </c>
      <c r="DB137" s="258">
        <v>0</v>
      </c>
      <c r="DC137" s="258">
        <v>0</v>
      </c>
      <c r="DD137" s="258">
        <v>0</v>
      </c>
      <c r="DE137" s="258">
        <v>0</v>
      </c>
      <c r="DF137" s="258">
        <v>0</v>
      </c>
      <c r="DG137" s="258">
        <v>0</v>
      </c>
      <c r="DH137" s="258">
        <v>0</v>
      </c>
      <c r="DI137" s="258">
        <v>0</v>
      </c>
      <c r="DJ137" s="258">
        <v>0</v>
      </c>
      <c r="DK137" s="258">
        <v>0</v>
      </c>
      <c r="DL137" s="258">
        <v>0</v>
      </c>
      <c r="DM137" s="301">
        <v>0</v>
      </c>
      <c r="DN137" s="302"/>
      <c r="DO137" s="302"/>
      <c r="DP137" s="300" t="s">
        <v>353</v>
      </c>
      <c r="DQ137" s="293">
        <v>0</v>
      </c>
      <c r="DR137" s="293">
        <v>0</v>
      </c>
      <c r="DS137" s="258">
        <v>0</v>
      </c>
      <c r="DT137" s="258">
        <v>0</v>
      </c>
      <c r="DU137" s="258">
        <v>0</v>
      </c>
      <c r="DV137" s="258">
        <v>0</v>
      </c>
      <c r="DW137" s="258">
        <v>0</v>
      </c>
      <c r="DX137" s="258">
        <v>0</v>
      </c>
      <c r="DY137" s="258">
        <v>0</v>
      </c>
      <c r="DZ137" s="258">
        <v>0</v>
      </c>
      <c r="EA137" s="258">
        <v>0</v>
      </c>
      <c r="EB137" s="258">
        <v>0</v>
      </c>
      <c r="EC137" s="258">
        <v>0</v>
      </c>
      <c r="ED137" s="258">
        <v>0</v>
      </c>
      <c r="EE137" s="258">
        <v>0</v>
      </c>
      <c r="EF137" s="258">
        <v>0</v>
      </c>
      <c r="EG137" s="258">
        <v>0</v>
      </c>
      <c r="EH137" s="258">
        <v>0</v>
      </c>
      <c r="EI137" s="258">
        <v>0</v>
      </c>
      <c r="EJ137" s="258">
        <v>0</v>
      </c>
      <c r="EK137" s="301">
        <v>0</v>
      </c>
      <c r="EL137" s="287"/>
      <c r="EM137" s="300" t="s">
        <v>353</v>
      </c>
      <c r="EN137" s="293">
        <v>0</v>
      </c>
      <c r="EO137" s="293">
        <v>0</v>
      </c>
      <c r="EP137" s="258">
        <v>0</v>
      </c>
      <c r="EQ137" s="258">
        <v>0</v>
      </c>
      <c r="ER137" s="258">
        <v>0</v>
      </c>
      <c r="ES137" s="258">
        <v>0</v>
      </c>
      <c r="ET137" s="258">
        <v>0</v>
      </c>
      <c r="EU137" s="258">
        <v>0</v>
      </c>
      <c r="EV137" s="258">
        <v>0</v>
      </c>
      <c r="EW137" s="258">
        <v>0</v>
      </c>
      <c r="EX137" s="258">
        <v>0</v>
      </c>
      <c r="EY137" s="258">
        <v>0</v>
      </c>
      <c r="EZ137" s="258">
        <v>0</v>
      </c>
      <c r="FA137" s="258">
        <v>0</v>
      </c>
      <c r="FB137" s="258">
        <v>0</v>
      </c>
      <c r="FC137" s="258">
        <v>0</v>
      </c>
      <c r="FD137" s="258">
        <v>0</v>
      </c>
      <c r="FE137" s="258">
        <v>0</v>
      </c>
      <c r="FF137" s="258">
        <v>0</v>
      </c>
      <c r="FG137" s="258">
        <v>0</v>
      </c>
      <c r="FH137" s="301">
        <v>0</v>
      </c>
    </row>
    <row r="138" spans="2:164" x14ac:dyDescent="0.2">
      <c r="B138" s="217" t="s">
        <v>339</v>
      </c>
      <c r="C138" s="227">
        <v>0</v>
      </c>
      <c r="D138" s="228">
        <v>0</v>
      </c>
      <c r="E138" s="208">
        <v>0</v>
      </c>
      <c r="F138" s="208">
        <v>0</v>
      </c>
      <c r="G138" s="208">
        <v>0</v>
      </c>
      <c r="H138" s="208">
        <v>0</v>
      </c>
      <c r="I138" s="208">
        <v>0</v>
      </c>
      <c r="J138" s="208">
        <v>0</v>
      </c>
      <c r="K138" s="208">
        <v>0</v>
      </c>
      <c r="L138" s="208">
        <v>0</v>
      </c>
      <c r="M138" s="208">
        <v>0</v>
      </c>
      <c r="N138" s="208">
        <v>0</v>
      </c>
      <c r="O138" s="208">
        <v>0</v>
      </c>
      <c r="P138" s="208">
        <v>0</v>
      </c>
      <c r="Q138" s="208">
        <v>0</v>
      </c>
      <c r="R138" s="208">
        <v>0</v>
      </c>
      <c r="S138" s="208">
        <v>0</v>
      </c>
      <c r="T138" s="208">
        <v>0</v>
      </c>
      <c r="U138" s="208">
        <v>0</v>
      </c>
      <c r="V138" s="208">
        <v>0</v>
      </c>
      <c r="W138" s="222">
        <v>0</v>
      </c>
      <c r="X138" s="210"/>
      <c r="Y138" s="217" t="s">
        <v>339</v>
      </c>
      <c r="Z138" s="227">
        <v>0</v>
      </c>
      <c r="AA138" s="228">
        <v>0</v>
      </c>
      <c r="AB138" s="208">
        <v>0</v>
      </c>
      <c r="AC138" s="208">
        <v>0</v>
      </c>
      <c r="AD138" s="208">
        <v>0</v>
      </c>
      <c r="AE138" s="252">
        <v>0</v>
      </c>
      <c r="AF138" s="252">
        <v>0</v>
      </c>
      <c r="AG138" s="252">
        <v>0</v>
      </c>
      <c r="AH138" s="252">
        <v>0</v>
      </c>
      <c r="AI138" s="252">
        <v>0</v>
      </c>
      <c r="AJ138" s="252">
        <v>0</v>
      </c>
      <c r="AK138" s="208">
        <v>0</v>
      </c>
      <c r="AL138" s="208">
        <v>0</v>
      </c>
      <c r="AM138" s="208">
        <v>0</v>
      </c>
      <c r="AN138" s="208">
        <v>0</v>
      </c>
      <c r="AO138" s="208">
        <v>0</v>
      </c>
      <c r="AP138" s="208">
        <v>0</v>
      </c>
      <c r="AQ138" s="208">
        <v>0</v>
      </c>
      <c r="AR138" s="208">
        <v>0</v>
      </c>
      <c r="AS138" s="208">
        <v>0</v>
      </c>
      <c r="AT138" s="222">
        <v>0</v>
      </c>
      <c r="AV138" s="217" t="s">
        <v>349</v>
      </c>
      <c r="AW138" s="227">
        <f t="shared" si="312"/>
        <v>0</v>
      </c>
      <c r="AX138" s="227">
        <f t="shared" si="313"/>
        <v>0</v>
      </c>
      <c r="AY138" s="227">
        <f t="shared" si="314"/>
        <v>0</v>
      </c>
      <c r="AZ138" s="227">
        <f t="shared" si="303"/>
        <v>0</v>
      </c>
      <c r="BA138" s="227">
        <f t="shared" si="292"/>
        <v>0</v>
      </c>
      <c r="BB138" s="252">
        <v>0</v>
      </c>
      <c r="BC138" s="255">
        <v>0</v>
      </c>
      <c r="BD138" s="252">
        <v>0</v>
      </c>
      <c r="BE138" s="252">
        <v>0</v>
      </c>
      <c r="BF138" s="252">
        <v>0</v>
      </c>
      <c r="BG138" s="252">
        <v>0</v>
      </c>
      <c r="BH138" s="208">
        <f t="shared" si="316"/>
        <v>0</v>
      </c>
      <c r="BI138" s="208">
        <f t="shared" si="317"/>
        <v>0</v>
      </c>
      <c r="BJ138" s="208">
        <f t="shared" si="318"/>
        <v>0</v>
      </c>
      <c r="BK138" s="208">
        <f t="shared" si="319"/>
        <v>0</v>
      </c>
      <c r="BL138" s="208">
        <f t="shared" si="320"/>
        <v>0</v>
      </c>
      <c r="BM138" s="208">
        <f t="shared" si="321"/>
        <v>0</v>
      </c>
      <c r="BN138" s="208">
        <f t="shared" si="315"/>
        <v>0</v>
      </c>
      <c r="BO138" s="208">
        <f t="shared" si="310"/>
        <v>0</v>
      </c>
      <c r="BP138" s="208">
        <f t="shared" si="311"/>
        <v>0</v>
      </c>
      <c r="BQ138" s="230">
        <f t="shared" si="289"/>
        <v>0</v>
      </c>
      <c r="BR138" s="214"/>
      <c r="BS138" s="227"/>
      <c r="BT138" s="286"/>
      <c r="BU138" s="300" t="s">
        <v>339</v>
      </c>
      <c r="BV138" s="293">
        <v>0</v>
      </c>
      <c r="BW138" s="293">
        <v>0</v>
      </c>
      <c r="BX138" s="258">
        <v>0</v>
      </c>
      <c r="BY138" s="258">
        <v>0</v>
      </c>
      <c r="BZ138" s="258">
        <v>0</v>
      </c>
      <c r="CA138" s="258">
        <v>0</v>
      </c>
      <c r="CB138" s="258">
        <v>0</v>
      </c>
      <c r="CC138" s="258">
        <v>0</v>
      </c>
      <c r="CD138" s="258">
        <v>0</v>
      </c>
      <c r="CE138" s="258">
        <v>0</v>
      </c>
      <c r="CF138" s="258">
        <v>0</v>
      </c>
      <c r="CG138" s="258">
        <v>0</v>
      </c>
      <c r="CH138" s="258">
        <v>0</v>
      </c>
      <c r="CI138" s="258">
        <v>0</v>
      </c>
      <c r="CJ138" s="258">
        <v>0</v>
      </c>
      <c r="CK138" s="258">
        <v>0</v>
      </c>
      <c r="CL138" s="258">
        <v>0</v>
      </c>
      <c r="CM138" s="258">
        <v>0</v>
      </c>
      <c r="CN138" s="258">
        <v>0</v>
      </c>
      <c r="CO138" s="258">
        <v>0</v>
      </c>
      <c r="CP138" s="301">
        <v>0</v>
      </c>
      <c r="CQ138" s="302"/>
      <c r="CR138" s="300" t="s">
        <v>339</v>
      </c>
      <c r="CS138" s="293">
        <v>0</v>
      </c>
      <c r="CT138" s="293">
        <v>0</v>
      </c>
      <c r="CU138" s="258">
        <v>0</v>
      </c>
      <c r="CV138" s="258">
        <v>0</v>
      </c>
      <c r="CW138" s="258">
        <v>0</v>
      </c>
      <c r="CX138" s="258">
        <v>0</v>
      </c>
      <c r="CY138" s="258">
        <v>0</v>
      </c>
      <c r="CZ138" s="258">
        <v>0</v>
      </c>
      <c r="DA138" s="258">
        <v>0</v>
      </c>
      <c r="DB138" s="258">
        <v>0</v>
      </c>
      <c r="DC138" s="258">
        <v>0</v>
      </c>
      <c r="DD138" s="258">
        <v>0</v>
      </c>
      <c r="DE138" s="258">
        <v>0</v>
      </c>
      <c r="DF138" s="258">
        <v>0</v>
      </c>
      <c r="DG138" s="258">
        <v>0</v>
      </c>
      <c r="DH138" s="258">
        <v>0</v>
      </c>
      <c r="DI138" s="258">
        <v>0</v>
      </c>
      <c r="DJ138" s="258">
        <v>0</v>
      </c>
      <c r="DK138" s="258">
        <v>0</v>
      </c>
      <c r="DL138" s="258">
        <v>0</v>
      </c>
      <c r="DM138" s="301">
        <v>0</v>
      </c>
      <c r="DN138" s="302"/>
      <c r="DO138" s="302"/>
      <c r="DP138" s="300" t="s">
        <v>339</v>
      </c>
      <c r="DQ138" s="293">
        <v>0</v>
      </c>
      <c r="DR138" s="293">
        <v>0</v>
      </c>
      <c r="DS138" s="258">
        <v>0</v>
      </c>
      <c r="DT138" s="258">
        <v>0</v>
      </c>
      <c r="DU138" s="258">
        <v>0</v>
      </c>
      <c r="DV138" s="258">
        <v>0</v>
      </c>
      <c r="DW138" s="258">
        <v>0</v>
      </c>
      <c r="DX138" s="258">
        <v>0</v>
      </c>
      <c r="DY138" s="258">
        <v>0</v>
      </c>
      <c r="DZ138" s="258">
        <v>0</v>
      </c>
      <c r="EA138" s="258">
        <v>0</v>
      </c>
      <c r="EB138" s="258">
        <v>0</v>
      </c>
      <c r="EC138" s="258">
        <v>0</v>
      </c>
      <c r="ED138" s="258">
        <v>0</v>
      </c>
      <c r="EE138" s="258">
        <v>0</v>
      </c>
      <c r="EF138" s="258">
        <v>0</v>
      </c>
      <c r="EG138" s="258">
        <v>0</v>
      </c>
      <c r="EH138" s="258">
        <v>0</v>
      </c>
      <c r="EI138" s="258">
        <v>0</v>
      </c>
      <c r="EJ138" s="258">
        <v>0</v>
      </c>
      <c r="EK138" s="301">
        <v>0</v>
      </c>
      <c r="EL138" s="287"/>
      <c r="EM138" s="300" t="s">
        <v>339</v>
      </c>
      <c r="EN138" s="293">
        <v>0</v>
      </c>
      <c r="EO138" s="293">
        <v>0</v>
      </c>
      <c r="EP138" s="258">
        <v>0</v>
      </c>
      <c r="EQ138" s="258">
        <v>0</v>
      </c>
      <c r="ER138" s="258">
        <v>0</v>
      </c>
      <c r="ES138" s="258">
        <v>0</v>
      </c>
      <c r="ET138" s="258">
        <v>0</v>
      </c>
      <c r="EU138" s="258">
        <v>0</v>
      </c>
      <c r="EV138" s="258">
        <v>0</v>
      </c>
      <c r="EW138" s="258">
        <v>0</v>
      </c>
      <c r="EX138" s="258">
        <v>0</v>
      </c>
      <c r="EY138" s="258">
        <v>0</v>
      </c>
      <c r="EZ138" s="258">
        <v>0</v>
      </c>
      <c r="FA138" s="258">
        <v>0</v>
      </c>
      <c r="FB138" s="258">
        <v>0</v>
      </c>
      <c r="FC138" s="258">
        <v>0</v>
      </c>
      <c r="FD138" s="258">
        <v>0</v>
      </c>
      <c r="FE138" s="258">
        <v>0</v>
      </c>
      <c r="FF138" s="258">
        <v>0</v>
      </c>
      <c r="FG138" s="258">
        <v>0</v>
      </c>
      <c r="FH138" s="301">
        <v>0</v>
      </c>
    </row>
    <row r="139" spans="2:164" x14ac:dyDescent="0.2">
      <c r="B139" s="234" t="s">
        <v>340</v>
      </c>
      <c r="C139" s="227">
        <v>0</v>
      </c>
      <c r="D139" s="228">
        <v>0</v>
      </c>
      <c r="E139" s="208">
        <v>0</v>
      </c>
      <c r="F139" s="208">
        <v>0</v>
      </c>
      <c r="G139" s="208">
        <v>0</v>
      </c>
      <c r="H139" s="208">
        <v>0</v>
      </c>
      <c r="I139" s="208">
        <v>0</v>
      </c>
      <c r="J139" s="208">
        <v>0</v>
      </c>
      <c r="K139" s="208">
        <v>0</v>
      </c>
      <c r="L139" s="208">
        <v>0</v>
      </c>
      <c r="M139" s="208">
        <v>0</v>
      </c>
      <c r="N139" s="208">
        <v>0</v>
      </c>
      <c r="O139" s="208">
        <v>0</v>
      </c>
      <c r="P139" s="208">
        <v>0</v>
      </c>
      <c r="Q139" s="208">
        <v>0</v>
      </c>
      <c r="R139" s="208">
        <v>3</v>
      </c>
      <c r="S139" s="208">
        <v>0</v>
      </c>
      <c r="T139" s="208">
        <v>0</v>
      </c>
      <c r="U139" s="208">
        <v>0</v>
      </c>
      <c r="V139" s="208">
        <v>0</v>
      </c>
      <c r="W139" s="222">
        <v>3</v>
      </c>
      <c r="X139" s="208"/>
      <c r="Y139" s="217" t="s">
        <v>340</v>
      </c>
      <c r="Z139" s="227">
        <v>0</v>
      </c>
      <c r="AA139" s="228">
        <v>0</v>
      </c>
      <c r="AB139" s="208">
        <v>0</v>
      </c>
      <c r="AC139" s="208">
        <v>0</v>
      </c>
      <c r="AD139" s="208">
        <v>0</v>
      </c>
      <c r="AE139" s="252">
        <v>0</v>
      </c>
      <c r="AF139" s="252">
        <v>0</v>
      </c>
      <c r="AG139" s="252">
        <v>0</v>
      </c>
      <c r="AH139" s="252">
        <v>0</v>
      </c>
      <c r="AI139" s="252">
        <v>0</v>
      </c>
      <c r="AJ139" s="252">
        <v>0</v>
      </c>
      <c r="AK139" s="208">
        <v>0</v>
      </c>
      <c r="AL139" s="208">
        <v>0</v>
      </c>
      <c r="AM139" s="208">
        <v>0</v>
      </c>
      <c r="AN139" s="208">
        <v>0</v>
      </c>
      <c r="AO139" s="208">
        <v>3395.4820376121588</v>
      </c>
      <c r="AP139" s="208">
        <v>0</v>
      </c>
      <c r="AQ139" s="208">
        <v>0</v>
      </c>
      <c r="AR139" s="208">
        <v>0</v>
      </c>
      <c r="AS139" s="208">
        <v>0</v>
      </c>
      <c r="AT139" s="222">
        <v>3395.4820376121588</v>
      </c>
      <c r="AV139" s="217" t="s">
        <v>347</v>
      </c>
      <c r="AW139" s="227">
        <f t="shared" si="312"/>
        <v>0</v>
      </c>
      <c r="AX139" s="227">
        <f t="shared" si="313"/>
        <v>0</v>
      </c>
      <c r="AY139" s="227">
        <f t="shared" si="314"/>
        <v>0</v>
      </c>
      <c r="AZ139" s="227">
        <f t="shared" si="303"/>
        <v>0</v>
      </c>
      <c r="BA139" s="227">
        <f t="shared" si="292"/>
        <v>0</v>
      </c>
      <c r="BB139" s="252">
        <v>0</v>
      </c>
      <c r="BC139" s="252">
        <v>0</v>
      </c>
      <c r="BD139" s="255">
        <v>0</v>
      </c>
      <c r="BE139" s="252">
        <v>0</v>
      </c>
      <c r="BF139" s="255">
        <v>0</v>
      </c>
      <c r="BG139" s="252">
        <v>0</v>
      </c>
      <c r="BH139" s="208">
        <f t="shared" si="316"/>
        <v>0</v>
      </c>
      <c r="BI139" s="208">
        <f t="shared" si="317"/>
        <v>0</v>
      </c>
      <c r="BJ139" s="208">
        <f t="shared" si="318"/>
        <v>0</v>
      </c>
      <c r="BK139" s="208">
        <f t="shared" si="319"/>
        <v>0</v>
      </c>
      <c r="BL139" s="208">
        <f t="shared" si="320"/>
        <v>3395.4820376121588</v>
      </c>
      <c r="BM139" s="208">
        <f t="shared" si="321"/>
        <v>0</v>
      </c>
      <c r="BN139" s="208">
        <f t="shared" si="315"/>
        <v>0</v>
      </c>
      <c r="BO139" s="208">
        <f t="shared" si="310"/>
        <v>0</v>
      </c>
      <c r="BP139" s="208">
        <f t="shared" si="311"/>
        <v>0</v>
      </c>
      <c r="BQ139" s="230">
        <f t="shared" si="289"/>
        <v>3395.4820376121588</v>
      </c>
      <c r="BR139" s="214"/>
      <c r="BS139" s="227"/>
      <c r="BT139" s="286"/>
      <c r="BU139" s="300" t="s">
        <v>340</v>
      </c>
      <c r="BV139" s="293">
        <v>0</v>
      </c>
      <c r="BW139" s="293">
        <v>0</v>
      </c>
      <c r="BX139" s="258">
        <v>0</v>
      </c>
      <c r="BY139" s="258">
        <v>0</v>
      </c>
      <c r="BZ139" s="258">
        <v>0</v>
      </c>
      <c r="CA139" s="258">
        <v>0</v>
      </c>
      <c r="CB139" s="258">
        <v>0</v>
      </c>
      <c r="CC139" s="258">
        <v>0</v>
      </c>
      <c r="CD139" s="258">
        <v>0</v>
      </c>
      <c r="CE139" s="258">
        <v>0</v>
      </c>
      <c r="CF139" s="258">
        <v>0</v>
      </c>
      <c r="CG139" s="258">
        <v>0</v>
      </c>
      <c r="CH139" s="258">
        <v>0</v>
      </c>
      <c r="CI139" s="258">
        <v>0</v>
      </c>
      <c r="CJ139" s="258">
        <v>0</v>
      </c>
      <c r="CK139" s="258">
        <v>0</v>
      </c>
      <c r="CL139" s="258">
        <v>0</v>
      </c>
      <c r="CM139" s="258">
        <v>0</v>
      </c>
      <c r="CN139" s="258">
        <v>0</v>
      </c>
      <c r="CO139" s="258">
        <v>0</v>
      </c>
      <c r="CP139" s="301">
        <v>0</v>
      </c>
      <c r="CQ139" s="302"/>
      <c r="CR139" s="300" t="s">
        <v>340</v>
      </c>
      <c r="CS139" s="293">
        <v>0</v>
      </c>
      <c r="CT139" s="293">
        <v>0</v>
      </c>
      <c r="CU139" s="258">
        <v>0</v>
      </c>
      <c r="CV139" s="258">
        <v>0</v>
      </c>
      <c r="CW139" s="258">
        <v>0</v>
      </c>
      <c r="CX139" s="258">
        <v>0</v>
      </c>
      <c r="CY139" s="258">
        <v>0</v>
      </c>
      <c r="CZ139" s="258">
        <v>0</v>
      </c>
      <c r="DA139" s="258">
        <v>0</v>
      </c>
      <c r="DB139" s="258">
        <v>0</v>
      </c>
      <c r="DC139" s="258">
        <v>0</v>
      </c>
      <c r="DD139" s="258">
        <v>0</v>
      </c>
      <c r="DE139" s="258">
        <v>0</v>
      </c>
      <c r="DF139" s="258">
        <v>0</v>
      </c>
      <c r="DG139" s="258">
        <v>0</v>
      </c>
      <c r="DH139" s="258">
        <v>0</v>
      </c>
      <c r="DI139" s="258">
        <v>0</v>
      </c>
      <c r="DJ139" s="258">
        <v>0</v>
      </c>
      <c r="DK139" s="258">
        <v>0</v>
      </c>
      <c r="DL139" s="258">
        <v>0</v>
      </c>
      <c r="DM139" s="301">
        <v>0</v>
      </c>
      <c r="DN139" s="302"/>
      <c r="DO139" s="302"/>
      <c r="DP139" s="300" t="s">
        <v>340</v>
      </c>
      <c r="DQ139" s="293">
        <v>0</v>
      </c>
      <c r="DR139" s="293">
        <v>0</v>
      </c>
      <c r="DS139" s="258">
        <v>0</v>
      </c>
      <c r="DT139" s="258">
        <v>0</v>
      </c>
      <c r="DU139" s="258">
        <v>0</v>
      </c>
      <c r="DV139" s="258">
        <v>0</v>
      </c>
      <c r="DW139" s="258">
        <v>0</v>
      </c>
      <c r="DX139" s="258">
        <v>0</v>
      </c>
      <c r="DY139" s="258">
        <v>0</v>
      </c>
      <c r="DZ139" s="258">
        <v>0</v>
      </c>
      <c r="EA139" s="258">
        <v>0</v>
      </c>
      <c r="EB139" s="258">
        <v>0</v>
      </c>
      <c r="EC139" s="258">
        <v>0</v>
      </c>
      <c r="ED139" s="258">
        <v>0</v>
      </c>
      <c r="EE139" s="258">
        <v>0</v>
      </c>
      <c r="EF139" s="258">
        <v>0</v>
      </c>
      <c r="EG139" s="258">
        <v>0</v>
      </c>
      <c r="EH139" s="258">
        <v>0</v>
      </c>
      <c r="EI139" s="258">
        <v>0</v>
      </c>
      <c r="EJ139" s="258">
        <v>0</v>
      </c>
      <c r="EK139" s="301">
        <v>0</v>
      </c>
      <c r="EL139" s="287"/>
      <c r="EM139" s="300" t="s">
        <v>340</v>
      </c>
      <c r="EN139" s="293">
        <v>0</v>
      </c>
      <c r="EO139" s="293">
        <v>0</v>
      </c>
      <c r="EP139" s="258">
        <v>0</v>
      </c>
      <c r="EQ139" s="258">
        <v>0</v>
      </c>
      <c r="ER139" s="258">
        <v>0</v>
      </c>
      <c r="ES139" s="258">
        <v>0</v>
      </c>
      <c r="ET139" s="258">
        <v>0</v>
      </c>
      <c r="EU139" s="258">
        <v>0</v>
      </c>
      <c r="EV139" s="258">
        <v>0</v>
      </c>
      <c r="EW139" s="258">
        <v>0</v>
      </c>
      <c r="EX139" s="258">
        <v>0</v>
      </c>
      <c r="EY139" s="258">
        <v>0</v>
      </c>
      <c r="EZ139" s="258">
        <v>0</v>
      </c>
      <c r="FA139" s="258">
        <v>0</v>
      </c>
      <c r="FB139" s="258">
        <v>0</v>
      </c>
      <c r="FC139" s="258">
        <v>0</v>
      </c>
      <c r="FD139" s="258">
        <v>0</v>
      </c>
      <c r="FE139" s="258">
        <v>0</v>
      </c>
      <c r="FF139" s="258">
        <v>0</v>
      </c>
      <c r="FG139" s="258">
        <v>0</v>
      </c>
      <c r="FH139" s="301">
        <v>0</v>
      </c>
    </row>
    <row r="140" spans="2:164" x14ac:dyDescent="0.2">
      <c r="B140" s="217" t="s">
        <v>341</v>
      </c>
      <c r="C140" s="227">
        <v>0</v>
      </c>
      <c r="D140" s="228">
        <v>0</v>
      </c>
      <c r="E140" s="208">
        <v>0</v>
      </c>
      <c r="F140" s="208">
        <v>0</v>
      </c>
      <c r="G140" s="208">
        <v>0</v>
      </c>
      <c r="H140" s="208">
        <v>0</v>
      </c>
      <c r="I140" s="208">
        <v>0</v>
      </c>
      <c r="J140" s="208">
        <v>0</v>
      </c>
      <c r="K140" s="208">
        <v>0</v>
      </c>
      <c r="L140" s="208">
        <v>0</v>
      </c>
      <c r="M140" s="208">
        <v>0</v>
      </c>
      <c r="N140" s="208">
        <v>0</v>
      </c>
      <c r="O140" s="208">
        <v>0</v>
      </c>
      <c r="P140" s="208">
        <v>0</v>
      </c>
      <c r="Q140" s="208">
        <v>0</v>
      </c>
      <c r="R140" s="208">
        <v>0</v>
      </c>
      <c r="S140" s="208">
        <v>0</v>
      </c>
      <c r="T140" s="208">
        <v>0</v>
      </c>
      <c r="U140" s="208">
        <v>0</v>
      </c>
      <c r="V140" s="208">
        <v>0</v>
      </c>
      <c r="W140" s="222">
        <v>0</v>
      </c>
      <c r="X140" s="209"/>
      <c r="Y140" s="217" t="s">
        <v>341</v>
      </c>
      <c r="Z140" s="227">
        <v>0</v>
      </c>
      <c r="AA140" s="228">
        <v>0</v>
      </c>
      <c r="AB140" s="208">
        <v>0</v>
      </c>
      <c r="AC140" s="208">
        <v>0</v>
      </c>
      <c r="AD140" s="208">
        <v>0</v>
      </c>
      <c r="AE140" s="252">
        <v>0</v>
      </c>
      <c r="AF140" s="252">
        <v>0</v>
      </c>
      <c r="AG140" s="252">
        <v>0</v>
      </c>
      <c r="AH140" s="252">
        <v>0</v>
      </c>
      <c r="AI140" s="252">
        <v>0</v>
      </c>
      <c r="AJ140" s="252">
        <v>0</v>
      </c>
      <c r="AK140" s="208">
        <v>0</v>
      </c>
      <c r="AL140" s="208">
        <v>0</v>
      </c>
      <c r="AM140" s="208">
        <v>0</v>
      </c>
      <c r="AN140" s="208">
        <v>0</v>
      </c>
      <c r="AO140" s="208">
        <v>0</v>
      </c>
      <c r="AP140" s="208">
        <v>0</v>
      </c>
      <c r="AQ140" s="208">
        <v>0</v>
      </c>
      <c r="AR140" s="208">
        <v>0</v>
      </c>
      <c r="AS140" s="208">
        <v>0</v>
      </c>
      <c r="AT140" s="222">
        <v>0</v>
      </c>
      <c r="AV140" s="217" t="s">
        <v>339</v>
      </c>
      <c r="AW140" s="227">
        <f t="shared" si="312"/>
        <v>0</v>
      </c>
      <c r="AX140" s="227">
        <f t="shared" si="313"/>
        <v>0</v>
      </c>
      <c r="AY140" s="227">
        <f t="shared" si="314"/>
        <v>0</v>
      </c>
      <c r="AZ140" s="227">
        <f t="shared" si="303"/>
        <v>0</v>
      </c>
      <c r="BA140" s="227">
        <f t="shared" si="292"/>
        <v>0</v>
      </c>
      <c r="BB140" s="252">
        <v>0</v>
      </c>
      <c r="BC140" s="252">
        <v>0</v>
      </c>
      <c r="BD140" s="252">
        <v>0</v>
      </c>
      <c r="BE140" s="252">
        <v>0</v>
      </c>
      <c r="BF140" s="255">
        <v>0</v>
      </c>
      <c r="BG140" s="252">
        <v>0</v>
      </c>
      <c r="BH140" s="208">
        <f t="shared" si="316"/>
        <v>0</v>
      </c>
      <c r="BI140" s="208">
        <f t="shared" si="317"/>
        <v>0</v>
      </c>
      <c r="BJ140" s="208">
        <f t="shared" si="318"/>
        <v>0</v>
      </c>
      <c r="BK140" s="208">
        <f t="shared" si="319"/>
        <v>0</v>
      </c>
      <c r="BL140" s="208">
        <f t="shared" si="320"/>
        <v>0</v>
      </c>
      <c r="BM140" s="208">
        <f t="shared" si="321"/>
        <v>0</v>
      </c>
      <c r="BN140" s="208">
        <f t="shared" si="315"/>
        <v>0</v>
      </c>
      <c r="BO140" s="208">
        <f t="shared" si="310"/>
        <v>0</v>
      </c>
      <c r="BP140" s="208">
        <f t="shared" si="311"/>
        <v>0</v>
      </c>
      <c r="BQ140" s="230">
        <f t="shared" si="289"/>
        <v>0</v>
      </c>
      <c r="BR140" s="214"/>
      <c r="BS140" s="227"/>
      <c r="BT140" s="286"/>
      <c r="BU140" s="300" t="s">
        <v>341</v>
      </c>
      <c r="BV140" s="293">
        <v>0</v>
      </c>
      <c r="BW140" s="293">
        <v>0</v>
      </c>
      <c r="BX140" s="258">
        <v>0</v>
      </c>
      <c r="BY140" s="258">
        <v>0</v>
      </c>
      <c r="BZ140" s="258">
        <v>0</v>
      </c>
      <c r="CA140" s="258">
        <v>0</v>
      </c>
      <c r="CB140" s="258">
        <v>0</v>
      </c>
      <c r="CC140" s="258">
        <v>0</v>
      </c>
      <c r="CD140" s="258">
        <v>0</v>
      </c>
      <c r="CE140" s="258">
        <v>0</v>
      </c>
      <c r="CF140" s="258">
        <v>0</v>
      </c>
      <c r="CG140" s="258">
        <v>0</v>
      </c>
      <c r="CH140" s="258">
        <v>0</v>
      </c>
      <c r="CI140" s="258">
        <v>0</v>
      </c>
      <c r="CJ140" s="258">
        <v>0</v>
      </c>
      <c r="CK140" s="258">
        <v>0</v>
      </c>
      <c r="CL140" s="258">
        <v>0</v>
      </c>
      <c r="CM140" s="258">
        <v>0</v>
      </c>
      <c r="CN140" s="258">
        <v>0</v>
      </c>
      <c r="CO140" s="258">
        <v>0</v>
      </c>
      <c r="CP140" s="301">
        <v>0</v>
      </c>
      <c r="CQ140" s="302"/>
      <c r="CR140" s="300" t="s">
        <v>341</v>
      </c>
      <c r="CS140" s="293">
        <v>0</v>
      </c>
      <c r="CT140" s="293">
        <v>0</v>
      </c>
      <c r="CU140" s="258">
        <v>0</v>
      </c>
      <c r="CV140" s="258">
        <v>0</v>
      </c>
      <c r="CW140" s="258">
        <v>0</v>
      </c>
      <c r="CX140" s="258">
        <v>0</v>
      </c>
      <c r="CY140" s="258">
        <v>0</v>
      </c>
      <c r="CZ140" s="258">
        <v>0</v>
      </c>
      <c r="DA140" s="258">
        <v>0</v>
      </c>
      <c r="DB140" s="258">
        <v>0</v>
      </c>
      <c r="DC140" s="258">
        <v>0</v>
      </c>
      <c r="DD140" s="258">
        <v>0</v>
      </c>
      <c r="DE140" s="258">
        <v>0</v>
      </c>
      <c r="DF140" s="258">
        <v>0</v>
      </c>
      <c r="DG140" s="258">
        <v>0</v>
      </c>
      <c r="DH140" s="258">
        <v>0</v>
      </c>
      <c r="DI140" s="258">
        <v>0</v>
      </c>
      <c r="DJ140" s="258">
        <v>0</v>
      </c>
      <c r="DK140" s="258">
        <v>0</v>
      </c>
      <c r="DL140" s="258">
        <v>0</v>
      </c>
      <c r="DM140" s="301">
        <v>0</v>
      </c>
      <c r="DN140" s="302"/>
      <c r="DO140" s="302"/>
      <c r="DP140" s="300" t="s">
        <v>341</v>
      </c>
      <c r="DQ140" s="293">
        <v>0</v>
      </c>
      <c r="DR140" s="293">
        <v>0</v>
      </c>
      <c r="DS140" s="258">
        <v>0</v>
      </c>
      <c r="DT140" s="258">
        <v>0</v>
      </c>
      <c r="DU140" s="258">
        <v>0</v>
      </c>
      <c r="DV140" s="258">
        <v>0</v>
      </c>
      <c r="DW140" s="258">
        <v>0</v>
      </c>
      <c r="DX140" s="258">
        <v>0</v>
      </c>
      <c r="DY140" s="258">
        <v>0</v>
      </c>
      <c r="DZ140" s="258">
        <v>0</v>
      </c>
      <c r="EA140" s="258">
        <v>0</v>
      </c>
      <c r="EB140" s="258">
        <v>0</v>
      </c>
      <c r="EC140" s="258">
        <v>0</v>
      </c>
      <c r="ED140" s="258">
        <v>0</v>
      </c>
      <c r="EE140" s="258">
        <v>0</v>
      </c>
      <c r="EF140" s="258">
        <v>0</v>
      </c>
      <c r="EG140" s="258">
        <v>0</v>
      </c>
      <c r="EH140" s="258">
        <v>0</v>
      </c>
      <c r="EI140" s="258">
        <v>0</v>
      </c>
      <c r="EJ140" s="258">
        <v>0</v>
      </c>
      <c r="EK140" s="301">
        <v>0</v>
      </c>
      <c r="EL140" s="287"/>
      <c r="EM140" s="300" t="s">
        <v>341</v>
      </c>
      <c r="EN140" s="293">
        <v>0</v>
      </c>
      <c r="EO140" s="293">
        <v>0</v>
      </c>
      <c r="EP140" s="258">
        <v>0</v>
      </c>
      <c r="EQ140" s="258">
        <v>0</v>
      </c>
      <c r="ER140" s="258">
        <v>0</v>
      </c>
      <c r="ES140" s="258">
        <v>0</v>
      </c>
      <c r="ET140" s="258">
        <v>0</v>
      </c>
      <c r="EU140" s="258">
        <v>0</v>
      </c>
      <c r="EV140" s="258">
        <v>0</v>
      </c>
      <c r="EW140" s="258">
        <v>0</v>
      </c>
      <c r="EX140" s="258">
        <v>0</v>
      </c>
      <c r="EY140" s="258">
        <v>0</v>
      </c>
      <c r="EZ140" s="258">
        <v>0</v>
      </c>
      <c r="FA140" s="258">
        <v>0</v>
      </c>
      <c r="FB140" s="258">
        <v>0</v>
      </c>
      <c r="FC140" s="258">
        <v>0</v>
      </c>
      <c r="FD140" s="258">
        <v>0</v>
      </c>
      <c r="FE140" s="258">
        <v>0</v>
      </c>
      <c r="FF140" s="258">
        <v>0</v>
      </c>
      <c r="FG140" s="258">
        <v>0</v>
      </c>
      <c r="FH140" s="301">
        <v>0</v>
      </c>
    </row>
    <row r="141" spans="2:164" x14ac:dyDescent="0.2">
      <c r="B141" s="217" t="s">
        <v>6</v>
      </c>
      <c r="C141" s="227">
        <v>0</v>
      </c>
      <c r="D141" s="228">
        <v>0</v>
      </c>
      <c r="E141" s="208">
        <v>0</v>
      </c>
      <c r="F141" s="208">
        <v>0</v>
      </c>
      <c r="G141" s="208">
        <v>0</v>
      </c>
      <c r="H141" s="208">
        <v>0</v>
      </c>
      <c r="I141" s="208">
        <v>0</v>
      </c>
      <c r="J141" s="208">
        <v>0</v>
      </c>
      <c r="K141" s="208">
        <v>0</v>
      </c>
      <c r="L141" s="208">
        <v>0</v>
      </c>
      <c r="M141" s="208">
        <v>0</v>
      </c>
      <c r="N141" s="208">
        <v>0</v>
      </c>
      <c r="O141" s="208">
        <v>0</v>
      </c>
      <c r="P141" s="208">
        <v>0</v>
      </c>
      <c r="Q141" s="208">
        <v>0</v>
      </c>
      <c r="R141" s="208">
        <v>0</v>
      </c>
      <c r="S141" s="208">
        <v>0</v>
      </c>
      <c r="T141" s="208">
        <v>4</v>
      </c>
      <c r="U141" s="208">
        <v>0</v>
      </c>
      <c r="V141" s="208">
        <v>0</v>
      </c>
      <c r="W141" s="222">
        <v>4</v>
      </c>
      <c r="X141" s="209"/>
      <c r="Y141" s="217" t="s">
        <v>6</v>
      </c>
      <c r="Z141" s="227">
        <v>0</v>
      </c>
      <c r="AA141" s="228">
        <v>0</v>
      </c>
      <c r="AB141" s="208">
        <v>0</v>
      </c>
      <c r="AC141" s="208">
        <v>0</v>
      </c>
      <c r="AD141" s="208">
        <v>0</v>
      </c>
      <c r="AE141" s="252">
        <v>0</v>
      </c>
      <c r="AF141" s="252">
        <v>0</v>
      </c>
      <c r="AG141" s="252">
        <v>0</v>
      </c>
      <c r="AH141" s="252">
        <v>0</v>
      </c>
      <c r="AI141" s="252">
        <v>0</v>
      </c>
      <c r="AJ141" s="252">
        <v>0</v>
      </c>
      <c r="AK141" s="208">
        <v>0</v>
      </c>
      <c r="AL141" s="208">
        <v>0</v>
      </c>
      <c r="AM141" s="208">
        <v>0</v>
      </c>
      <c r="AN141" s="208">
        <v>0</v>
      </c>
      <c r="AO141" s="208">
        <v>0</v>
      </c>
      <c r="AP141" s="208">
        <v>0</v>
      </c>
      <c r="AQ141" s="208">
        <v>85.131617439449343</v>
      </c>
      <c r="AR141" s="208">
        <v>0</v>
      </c>
      <c r="AS141" s="208">
        <v>0</v>
      </c>
      <c r="AT141" s="222">
        <v>85.131617439449343</v>
      </c>
      <c r="AV141" s="217" t="s">
        <v>340</v>
      </c>
      <c r="AW141" s="227">
        <f t="shared" si="312"/>
        <v>0</v>
      </c>
      <c r="AX141" s="227">
        <f t="shared" si="313"/>
        <v>0</v>
      </c>
      <c r="AY141" s="227">
        <f t="shared" si="314"/>
        <v>0</v>
      </c>
      <c r="AZ141" s="227">
        <f t="shared" si="303"/>
        <v>0</v>
      </c>
      <c r="BA141" s="227">
        <f t="shared" si="292"/>
        <v>0</v>
      </c>
      <c r="BB141" s="252">
        <v>0</v>
      </c>
      <c r="BC141" s="252">
        <v>0</v>
      </c>
      <c r="BD141" s="252">
        <v>0</v>
      </c>
      <c r="BE141" s="252">
        <v>0</v>
      </c>
      <c r="BF141" s="255">
        <v>0</v>
      </c>
      <c r="BG141" s="255">
        <v>0</v>
      </c>
      <c r="BH141" s="208">
        <f t="shared" si="316"/>
        <v>0</v>
      </c>
      <c r="BI141" s="208">
        <f t="shared" si="317"/>
        <v>0</v>
      </c>
      <c r="BJ141" s="208">
        <f t="shared" si="318"/>
        <v>0</v>
      </c>
      <c r="BK141" s="208">
        <f t="shared" si="319"/>
        <v>0</v>
      </c>
      <c r="BL141" s="208">
        <f t="shared" si="320"/>
        <v>0</v>
      </c>
      <c r="BM141" s="208">
        <f t="shared" si="321"/>
        <v>0</v>
      </c>
      <c r="BN141" s="208">
        <f t="shared" si="315"/>
        <v>85.131617439449343</v>
      </c>
      <c r="BO141" s="208">
        <f t="shared" si="310"/>
        <v>0</v>
      </c>
      <c r="BP141" s="208">
        <f t="shared" si="311"/>
        <v>0</v>
      </c>
      <c r="BQ141" s="230">
        <f t="shared" si="289"/>
        <v>85.131617439449343</v>
      </c>
      <c r="BR141" s="214"/>
      <c r="BS141" s="227"/>
      <c r="BT141" s="286"/>
      <c r="BU141" s="300" t="s">
        <v>6</v>
      </c>
      <c r="BV141" s="293">
        <v>0</v>
      </c>
      <c r="BW141" s="293">
        <v>0</v>
      </c>
      <c r="BX141" s="258">
        <v>0</v>
      </c>
      <c r="BY141" s="258">
        <v>0</v>
      </c>
      <c r="BZ141" s="258">
        <v>0</v>
      </c>
      <c r="CA141" s="258">
        <v>0</v>
      </c>
      <c r="CB141" s="258">
        <v>0</v>
      </c>
      <c r="CC141" s="258">
        <v>0</v>
      </c>
      <c r="CD141" s="258">
        <v>0</v>
      </c>
      <c r="CE141" s="258">
        <v>0</v>
      </c>
      <c r="CF141" s="258">
        <v>0</v>
      </c>
      <c r="CG141" s="258">
        <v>0</v>
      </c>
      <c r="CH141" s="258">
        <v>0</v>
      </c>
      <c r="CI141" s="258">
        <v>0</v>
      </c>
      <c r="CJ141" s="258">
        <v>0</v>
      </c>
      <c r="CK141" s="258">
        <v>0</v>
      </c>
      <c r="CL141" s="258">
        <v>0</v>
      </c>
      <c r="CM141" s="258">
        <v>0</v>
      </c>
      <c r="CN141" s="258">
        <v>0</v>
      </c>
      <c r="CO141" s="258">
        <v>0</v>
      </c>
      <c r="CP141" s="301">
        <v>0</v>
      </c>
      <c r="CQ141" s="302"/>
      <c r="CR141" s="300" t="s">
        <v>6</v>
      </c>
      <c r="CS141" s="293">
        <v>0</v>
      </c>
      <c r="CT141" s="293">
        <v>0</v>
      </c>
      <c r="CU141" s="258">
        <v>0</v>
      </c>
      <c r="CV141" s="258">
        <v>0</v>
      </c>
      <c r="CW141" s="258">
        <v>0</v>
      </c>
      <c r="CX141" s="258">
        <v>0</v>
      </c>
      <c r="CY141" s="258">
        <v>0</v>
      </c>
      <c r="CZ141" s="258">
        <v>0</v>
      </c>
      <c r="DA141" s="258">
        <v>0</v>
      </c>
      <c r="DB141" s="258">
        <v>0</v>
      </c>
      <c r="DC141" s="258">
        <v>0</v>
      </c>
      <c r="DD141" s="258">
        <v>0</v>
      </c>
      <c r="DE141" s="258">
        <v>0</v>
      </c>
      <c r="DF141" s="258">
        <v>0</v>
      </c>
      <c r="DG141" s="258">
        <v>0</v>
      </c>
      <c r="DH141" s="258">
        <v>0</v>
      </c>
      <c r="DI141" s="258">
        <v>0</v>
      </c>
      <c r="DJ141" s="258">
        <v>0</v>
      </c>
      <c r="DK141" s="258">
        <v>0</v>
      </c>
      <c r="DL141" s="258">
        <v>0</v>
      </c>
      <c r="DM141" s="301">
        <v>0</v>
      </c>
      <c r="DN141" s="302"/>
      <c r="DO141" s="302"/>
      <c r="DP141" s="300" t="s">
        <v>6</v>
      </c>
      <c r="DQ141" s="293">
        <v>0</v>
      </c>
      <c r="DR141" s="293">
        <v>0</v>
      </c>
      <c r="DS141" s="258">
        <v>0</v>
      </c>
      <c r="DT141" s="258">
        <v>0</v>
      </c>
      <c r="DU141" s="258">
        <v>0</v>
      </c>
      <c r="DV141" s="258">
        <v>0</v>
      </c>
      <c r="DW141" s="258">
        <v>0</v>
      </c>
      <c r="DX141" s="258">
        <v>0</v>
      </c>
      <c r="DY141" s="258">
        <v>0</v>
      </c>
      <c r="DZ141" s="258">
        <v>0</v>
      </c>
      <c r="EA141" s="258">
        <v>0</v>
      </c>
      <c r="EB141" s="258">
        <v>0</v>
      </c>
      <c r="EC141" s="258">
        <v>0</v>
      </c>
      <c r="ED141" s="258">
        <v>0</v>
      </c>
      <c r="EE141" s="258">
        <v>0</v>
      </c>
      <c r="EF141" s="258">
        <v>0</v>
      </c>
      <c r="EG141" s="258">
        <v>0</v>
      </c>
      <c r="EH141" s="258">
        <v>0</v>
      </c>
      <c r="EI141" s="258">
        <v>0</v>
      </c>
      <c r="EJ141" s="258">
        <v>0</v>
      </c>
      <c r="EK141" s="301">
        <v>0</v>
      </c>
      <c r="EL141" s="287"/>
      <c r="EM141" s="300" t="s">
        <v>6</v>
      </c>
      <c r="EN141" s="293">
        <v>0</v>
      </c>
      <c r="EO141" s="293">
        <v>0</v>
      </c>
      <c r="EP141" s="258">
        <v>0</v>
      </c>
      <c r="EQ141" s="258">
        <v>0</v>
      </c>
      <c r="ER141" s="258">
        <v>0</v>
      </c>
      <c r="ES141" s="258">
        <v>0</v>
      </c>
      <c r="ET141" s="258">
        <v>0</v>
      </c>
      <c r="EU141" s="258">
        <v>0</v>
      </c>
      <c r="EV141" s="258">
        <v>0</v>
      </c>
      <c r="EW141" s="258">
        <v>0</v>
      </c>
      <c r="EX141" s="258">
        <v>0</v>
      </c>
      <c r="EY141" s="258">
        <v>0</v>
      </c>
      <c r="EZ141" s="258">
        <v>0</v>
      </c>
      <c r="FA141" s="258">
        <v>0</v>
      </c>
      <c r="FB141" s="258">
        <v>0</v>
      </c>
      <c r="FC141" s="258">
        <v>0</v>
      </c>
      <c r="FD141" s="258">
        <v>0</v>
      </c>
      <c r="FE141" s="258">
        <v>0</v>
      </c>
      <c r="FF141" s="258">
        <v>0</v>
      </c>
      <c r="FG141" s="258">
        <v>0</v>
      </c>
      <c r="FH141" s="301">
        <v>0</v>
      </c>
    </row>
    <row r="142" spans="2:164" x14ac:dyDescent="0.2">
      <c r="B142" s="217" t="s">
        <v>342</v>
      </c>
      <c r="C142" s="227">
        <v>0</v>
      </c>
      <c r="D142" s="228">
        <v>0</v>
      </c>
      <c r="E142" s="208">
        <v>0</v>
      </c>
      <c r="F142" s="208">
        <v>0</v>
      </c>
      <c r="G142" s="208">
        <v>0</v>
      </c>
      <c r="H142" s="208">
        <v>0</v>
      </c>
      <c r="I142" s="208">
        <v>1</v>
      </c>
      <c r="J142" s="208">
        <v>0</v>
      </c>
      <c r="K142" s="208">
        <v>0</v>
      </c>
      <c r="L142" s="208">
        <v>0</v>
      </c>
      <c r="M142" s="208">
        <v>0</v>
      </c>
      <c r="N142" s="208">
        <v>0</v>
      </c>
      <c r="O142" s="208">
        <v>0</v>
      </c>
      <c r="P142" s="208">
        <v>0</v>
      </c>
      <c r="Q142" s="208">
        <v>0</v>
      </c>
      <c r="R142" s="208">
        <v>0</v>
      </c>
      <c r="S142" s="208">
        <v>0</v>
      </c>
      <c r="T142" s="208">
        <v>0</v>
      </c>
      <c r="U142" s="208">
        <v>37</v>
      </c>
      <c r="V142" s="208">
        <v>1</v>
      </c>
      <c r="W142" s="222">
        <v>39</v>
      </c>
      <c r="Y142" s="217" t="s">
        <v>342</v>
      </c>
      <c r="Z142" s="227">
        <v>0</v>
      </c>
      <c r="AA142" s="228">
        <v>0</v>
      </c>
      <c r="AB142" s="208">
        <v>0</v>
      </c>
      <c r="AC142" s="208">
        <v>0</v>
      </c>
      <c r="AD142" s="208">
        <v>0</v>
      </c>
      <c r="AE142" s="252">
        <v>0</v>
      </c>
      <c r="AF142" s="252">
        <v>10.847519582908333</v>
      </c>
      <c r="AG142" s="252">
        <v>0</v>
      </c>
      <c r="AH142" s="252">
        <v>0</v>
      </c>
      <c r="AI142" s="252">
        <v>0</v>
      </c>
      <c r="AJ142" s="252">
        <v>0</v>
      </c>
      <c r="AK142" s="208">
        <v>0</v>
      </c>
      <c r="AL142" s="208">
        <v>0</v>
      </c>
      <c r="AM142" s="208">
        <v>0</v>
      </c>
      <c r="AN142" s="208">
        <v>0</v>
      </c>
      <c r="AO142" s="208">
        <v>0</v>
      </c>
      <c r="AP142" s="208">
        <v>0</v>
      </c>
      <c r="AQ142" s="208">
        <v>0</v>
      </c>
      <c r="AR142" s="208">
        <v>927.95720680387535</v>
      </c>
      <c r="AS142" s="208">
        <v>88.806176269049899</v>
      </c>
      <c r="AT142" s="222">
        <v>1027.6109026558336</v>
      </c>
      <c r="AV142" s="217" t="s">
        <v>341</v>
      </c>
      <c r="AW142" s="227">
        <f t="shared" si="312"/>
        <v>0</v>
      </c>
      <c r="AX142" s="227">
        <f t="shared" si="313"/>
        <v>0</v>
      </c>
      <c r="AY142" s="227">
        <f t="shared" si="314"/>
        <v>0</v>
      </c>
      <c r="AZ142" s="227">
        <f t="shared" si="303"/>
        <v>0</v>
      </c>
      <c r="BA142" s="227">
        <f t="shared" si="292"/>
        <v>0</v>
      </c>
      <c r="BB142" s="252">
        <v>0</v>
      </c>
      <c r="BC142" s="252">
        <v>0</v>
      </c>
      <c r="BD142" s="252">
        <v>0</v>
      </c>
      <c r="BE142" s="252">
        <v>0</v>
      </c>
      <c r="BF142" s="252">
        <v>0</v>
      </c>
      <c r="BG142" s="255">
        <v>0</v>
      </c>
      <c r="BH142" s="208">
        <f t="shared" si="316"/>
        <v>0</v>
      </c>
      <c r="BI142" s="208">
        <f t="shared" si="317"/>
        <v>0</v>
      </c>
      <c r="BJ142" s="208">
        <f t="shared" si="318"/>
        <v>0</v>
      </c>
      <c r="BK142" s="208">
        <f t="shared" si="319"/>
        <v>0</v>
      </c>
      <c r="BL142" s="208">
        <f t="shared" si="320"/>
        <v>0</v>
      </c>
      <c r="BM142" s="208">
        <f t="shared" si="321"/>
        <v>0</v>
      </c>
      <c r="BN142" s="208">
        <f t="shared" si="315"/>
        <v>0</v>
      </c>
      <c r="BO142" s="208">
        <f t="shared" si="310"/>
        <v>927.95720680387535</v>
      </c>
      <c r="BP142" s="208">
        <f t="shared" si="311"/>
        <v>88.806176269049899</v>
      </c>
      <c r="BQ142" s="230">
        <f t="shared" si="289"/>
        <v>1016.7633830729253</v>
      </c>
      <c r="BR142" s="214"/>
      <c r="BS142" s="227"/>
      <c r="BT142" s="286"/>
      <c r="BU142" s="300" t="s">
        <v>342</v>
      </c>
      <c r="BV142" s="293">
        <v>0</v>
      </c>
      <c r="BW142" s="293">
        <v>0</v>
      </c>
      <c r="BX142" s="258">
        <v>0</v>
      </c>
      <c r="BY142" s="258">
        <v>0</v>
      </c>
      <c r="BZ142" s="258">
        <v>0</v>
      </c>
      <c r="CA142" s="258">
        <v>0</v>
      </c>
      <c r="CB142" s="258">
        <v>0</v>
      </c>
      <c r="CC142" s="258">
        <v>0</v>
      </c>
      <c r="CD142" s="258">
        <v>0</v>
      </c>
      <c r="CE142" s="258">
        <v>0</v>
      </c>
      <c r="CF142" s="258">
        <v>0</v>
      </c>
      <c r="CG142" s="258">
        <v>0</v>
      </c>
      <c r="CH142" s="258">
        <v>0</v>
      </c>
      <c r="CI142" s="258">
        <v>0</v>
      </c>
      <c r="CJ142" s="258">
        <v>0</v>
      </c>
      <c r="CK142" s="258">
        <v>0</v>
      </c>
      <c r="CL142" s="258">
        <v>0</v>
      </c>
      <c r="CM142" s="258">
        <v>0</v>
      </c>
      <c r="CN142" s="258">
        <v>0</v>
      </c>
      <c r="CO142" s="258">
        <v>0</v>
      </c>
      <c r="CP142" s="301">
        <v>0</v>
      </c>
      <c r="CQ142" s="302"/>
      <c r="CR142" s="300" t="s">
        <v>342</v>
      </c>
      <c r="CS142" s="293">
        <v>0</v>
      </c>
      <c r="CT142" s="293">
        <v>0</v>
      </c>
      <c r="CU142" s="258">
        <v>0</v>
      </c>
      <c r="CV142" s="258">
        <v>0</v>
      </c>
      <c r="CW142" s="258">
        <v>0</v>
      </c>
      <c r="CX142" s="258">
        <v>0</v>
      </c>
      <c r="CY142" s="258">
        <v>0</v>
      </c>
      <c r="CZ142" s="258">
        <v>0</v>
      </c>
      <c r="DA142" s="258">
        <v>0</v>
      </c>
      <c r="DB142" s="258">
        <v>0</v>
      </c>
      <c r="DC142" s="258">
        <v>0</v>
      </c>
      <c r="DD142" s="258">
        <v>0</v>
      </c>
      <c r="DE142" s="258">
        <v>0</v>
      </c>
      <c r="DF142" s="258">
        <v>0</v>
      </c>
      <c r="DG142" s="258">
        <v>0</v>
      </c>
      <c r="DH142" s="258">
        <v>0</v>
      </c>
      <c r="DI142" s="258">
        <v>0</v>
      </c>
      <c r="DJ142" s="258">
        <v>0</v>
      </c>
      <c r="DK142" s="258">
        <v>0</v>
      </c>
      <c r="DL142" s="258">
        <v>0</v>
      </c>
      <c r="DM142" s="301">
        <v>0</v>
      </c>
      <c r="DN142" s="302"/>
      <c r="DO142" s="302"/>
      <c r="DP142" s="300" t="s">
        <v>342</v>
      </c>
      <c r="DQ142" s="293">
        <v>0</v>
      </c>
      <c r="DR142" s="293">
        <v>0</v>
      </c>
      <c r="DS142" s="258">
        <v>0</v>
      </c>
      <c r="DT142" s="258">
        <v>0</v>
      </c>
      <c r="DU142" s="258">
        <v>0</v>
      </c>
      <c r="DV142" s="258">
        <v>0</v>
      </c>
      <c r="DW142" s="258">
        <v>0</v>
      </c>
      <c r="DX142" s="258">
        <v>0</v>
      </c>
      <c r="DY142" s="258">
        <v>0</v>
      </c>
      <c r="DZ142" s="258">
        <v>0</v>
      </c>
      <c r="EA142" s="258">
        <v>0</v>
      </c>
      <c r="EB142" s="258">
        <v>0</v>
      </c>
      <c r="EC142" s="258">
        <v>0</v>
      </c>
      <c r="ED142" s="258">
        <v>0</v>
      </c>
      <c r="EE142" s="258">
        <v>0</v>
      </c>
      <c r="EF142" s="258">
        <v>0</v>
      </c>
      <c r="EG142" s="258">
        <v>0</v>
      </c>
      <c r="EH142" s="258">
        <v>0</v>
      </c>
      <c r="EI142" s="258">
        <v>0</v>
      </c>
      <c r="EJ142" s="258">
        <v>0</v>
      </c>
      <c r="EK142" s="301">
        <v>0</v>
      </c>
      <c r="EL142" s="287"/>
      <c r="EM142" s="300" t="s">
        <v>342</v>
      </c>
      <c r="EN142" s="293">
        <v>0</v>
      </c>
      <c r="EO142" s="293">
        <v>0</v>
      </c>
      <c r="EP142" s="258">
        <v>0</v>
      </c>
      <c r="EQ142" s="258">
        <v>0</v>
      </c>
      <c r="ER142" s="258">
        <v>0</v>
      </c>
      <c r="ES142" s="258">
        <v>0</v>
      </c>
      <c r="ET142" s="258">
        <v>0</v>
      </c>
      <c r="EU142" s="258">
        <v>0</v>
      </c>
      <c r="EV142" s="258">
        <v>0</v>
      </c>
      <c r="EW142" s="258">
        <v>0</v>
      </c>
      <c r="EX142" s="258">
        <v>0</v>
      </c>
      <c r="EY142" s="258">
        <v>0</v>
      </c>
      <c r="EZ142" s="258">
        <v>0</v>
      </c>
      <c r="FA142" s="258">
        <v>0</v>
      </c>
      <c r="FB142" s="258">
        <v>0</v>
      </c>
      <c r="FC142" s="258">
        <v>0</v>
      </c>
      <c r="FD142" s="258">
        <v>0</v>
      </c>
      <c r="FE142" s="258">
        <v>0</v>
      </c>
      <c r="FF142" s="258">
        <v>0</v>
      </c>
      <c r="FG142" s="258">
        <v>0</v>
      </c>
      <c r="FH142" s="301">
        <v>0</v>
      </c>
    </row>
    <row r="143" spans="2:164" x14ac:dyDescent="0.2">
      <c r="B143" s="217" t="s">
        <v>343</v>
      </c>
      <c r="C143" s="227">
        <v>0</v>
      </c>
      <c r="D143" s="228">
        <v>0</v>
      </c>
      <c r="E143" s="208">
        <v>0</v>
      </c>
      <c r="F143" s="208">
        <v>0</v>
      </c>
      <c r="G143" s="208">
        <v>0</v>
      </c>
      <c r="H143" s="208">
        <v>0</v>
      </c>
      <c r="I143" s="208">
        <v>0</v>
      </c>
      <c r="J143" s="208">
        <v>0</v>
      </c>
      <c r="K143" s="208">
        <v>0</v>
      </c>
      <c r="L143" s="208">
        <v>0</v>
      </c>
      <c r="M143" s="208">
        <v>0</v>
      </c>
      <c r="N143" s="208">
        <v>0</v>
      </c>
      <c r="O143" s="208">
        <v>0</v>
      </c>
      <c r="P143" s="208">
        <v>0</v>
      </c>
      <c r="Q143" s="208">
        <v>0</v>
      </c>
      <c r="R143" s="208">
        <v>0</v>
      </c>
      <c r="S143" s="208">
        <v>0</v>
      </c>
      <c r="T143" s="208">
        <v>0</v>
      </c>
      <c r="U143" s="208">
        <v>0</v>
      </c>
      <c r="V143" s="208">
        <v>1</v>
      </c>
      <c r="W143" s="222">
        <v>1</v>
      </c>
      <c r="Y143" s="217" t="s">
        <v>343</v>
      </c>
      <c r="Z143" s="227">
        <v>0</v>
      </c>
      <c r="AA143" s="228">
        <v>0</v>
      </c>
      <c r="AB143" s="208">
        <v>0</v>
      </c>
      <c r="AC143" s="208">
        <v>0</v>
      </c>
      <c r="AD143" s="208">
        <v>0</v>
      </c>
      <c r="AE143" s="208">
        <v>0</v>
      </c>
      <c r="AF143" s="208">
        <v>0</v>
      </c>
      <c r="AG143" s="208">
        <v>0</v>
      </c>
      <c r="AH143" s="208">
        <v>0</v>
      </c>
      <c r="AI143" s="208">
        <v>0</v>
      </c>
      <c r="AJ143" s="208">
        <v>0</v>
      </c>
      <c r="AK143" s="208">
        <v>0</v>
      </c>
      <c r="AL143" s="208">
        <v>0</v>
      </c>
      <c r="AM143" s="208">
        <v>0</v>
      </c>
      <c r="AN143" s="208">
        <v>0</v>
      </c>
      <c r="AO143" s="208">
        <v>0</v>
      </c>
      <c r="AP143" s="208">
        <v>0</v>
      </c>
      <c r="AQ143" s="208">
        <v>0</v>
      </c>
      <c r="AR143" s="208">
        <v>0</v>
      </c>
      <c r="AS143" s="208">
        <v>88.806176269049899</v>
      </c>
      <c r="AT143" s="222">
        <v>88.806176269049899</v>
      </c>
      <c r="AV143" s="217" t="s">
        <v>6</v>
      </c>
      <c r="AW143" s="227">
        <f t="shared" si="312"/>
        <v>0</v>
      </c>
      <c r="AX143" s="227">
        <f t="shared" si="313"/>
        <v>0</v>
      </c>
      <c r="AY143" s="227">
        <f t="shared" si="314"/>
        <v>0</v>
      </c>
      <c r="AZ143" s="227">
        <f t="shared" si="303"/>
        <v>0</v>
      </c>
      <c r="BA143" s="227">
        <f t="shared" si="292"/>
        <v>0</v>
      </c>
      <c r="BB143" s="227">
        <f t="shared" ref="BB143:BB145" si="322">AE143</f>
        <v>0</v>
      </c>
      <c r="BC143" s="227">
        <f t="shared" ref="BC143:BC145" si="323">AF143</f>
        <v>0</v>
      </c>
      <c r="BD143" s="227">
        <f t="shared" ref="BD143:BD145" si="324">AG143</f>
        <v>0</v>
      </c>
      <c r="BE143" s="227">
        <f t="shared" ref="BE143:BE145" si="325">AH143</f>
        <v>0</v>
      </c>
      <c r="BF143" s="208">
        <v>0</v>
      </c>
      <c r="BG143" s="208">
        <v>0</v>
      </c>
      <c r="BH143" s="208">
        <f t="shared" si="316"/>
        <v>0</v>
      </c>
      <c r="BI143" s="208">
        <f t="shared" si="317"/>
        <v>0</v>
      </c>
      <c r="BJ143" s="208">
        <f t="shared" si="318"/>
        <v>0</v>
      </c>
      <c r="BK143" s="208">
        <f t="shared" si="319"/>
        <v>0</v>
      </c>
      <c r="BL143" s="208">
        <f t="shared" si="320"/>
        <v>0</v>
      </c>
      <c r="BM143" s="208">
        <f t="shared" si="321"/>
        <v>0</v>
      </c>
      <c r="BN143" s="208">
        <f t="shared" si="315"/>
        <v>0</v>
      </c>
      <c r="BO143" s="208">
        <f t="shared" si="310"/>
        <v>0</v>
      </c>
      <c r="BP143" s="208">
        <f t="shared" si="311"/>
        <v>88.806176269049899</v>
      </c>
      <c r="BQ143" s="230">
        <f t="shared" si="289"/>
        <v>88.806176269049899</v>
      </c>
      <c r="BR143" s="214"/>
      <c r="BS143" s="227"/>
      <c r="BT143" s="286"/>
      <c r="BU143" s="300" t="s">
        <v>343</v>
      </c>
      <c r="BV143" s="293">
        <v>0</v>
      </c>
      <c r="BW143" s="293">
        <v>0</v>
      </c>
      <c r="BX143" s="258">
        <v>0</v>
      </c>
      <c r="BY143" s="258">
        <v>0</v>
      </c>
      <c r="BZ143" s="258">
        <v>0</v>
      </c>
      <c r="CA143" s="258">
        <v>0</v>
      </c>
      <c r="CB143" s="258">
        <v>0</v>
      </c>
      <c r="CC143" s="258">
        <v>0</v>
      </c>
      <c r="CD143" s="258">
        <v>0</v>
      </c>
      <c r="CE143" s="258">
        <v>0</v>
      </c>
      <c r="CF143" s="258">
        <v>0</v>
      </c>
      <c r="CG143" s="258">
        <v>0</v>
      </c>
      <c r="CH143" s="258">
        <v>0</v>
      </c>
      <c r="CI143" s="258">
        <v>0</v>
      </c>
      <c r="CJ143" s="258">
        <v>0</v>
      </c>
      <c r="CK143" s="258">
        <v>0</v>
      </c>
      <c r="CL143" s="258">
        <v>0</v>
      </c>
      <c r="CM143" s="258">
        <v>0</v>
      </c>
      <c r="CN143" s="258">
        <v>0</v>
      </c>
      <c r="CO143" s="258">
        <v>0</v>
      </c>
      <c r="CP143" s="301">
        <v>0</v>
      </c>
      <c r="CQ143" s="302"/>
      <c r="CR143" s="300" t="s">
        <v>343</v>
      </c>
      <c r="CS143" s="293">
        <v>0</v>
      </c>
      <c r="CT143" s="293">
        <v>0</v>
      </c>
      <c r="CU143" s="258">
        <v>0</v>
      </c>
      <c r="CV143" s="258">
        <v>0</v>
      </c>
      <c r="CW143" s="258">
        <v>0</v>
      </c>
      <c r="CX143" s="258">
        <v>0</v>
      </c>
      <c r="CY143" s="258">
        <v>0</v>
      </c>
      <c r="CZ143" s="258">
        <v>0</v>
      </c>
      <c r="DA143" s="258">
        <v>0</v>
      </c>
      <c r="DB143" s="258">
        <v>0</v>
      </c>
      <c r="DC143" s="258">
        <v>0</v>
      </c>
      <c r="DD143" s="258">
        <v>0</v>
      </c>
      <c r="DE143" s="258">
        <v>0</v>
      </c>
      <c r="DF143" s="258">
        <v>0</v>
      </c>
      <c r="DG143" s="258">
        <v>0</v>
      </c>
      <c r="DH143" s="258">
        <v>0</v>
      </c>
      <c r="DI143" s="258">
        <v>0</v>
      </c>
      <c r="DJ143" s="258">
        <v>0</v>
      </c>
      <c r="DK143" s="258">
        <v>0</v>
      </c>
      <c r="DL143" s="258">
        <v>0</v>
      </c>
      <c r="DM143" s="301">
        <v>0</v>
      </c>
      <c r="DN143" s="302"/>
      <c r="DO143" s="302"/>
      <c r="DP143" s="300" t="s">
        <v>343</v>
      </c>
      <c r="DQ143" s="293">
        <v>0</v>
      </c>
      <c r="DR143" s="293">
        <v>0</v>
      </c>
      <c r="DS143" s="258">
        <v>0</v>
      </c>
      <c r="DT143" s="258">
        <v>0</v>
      </c>
      <c r="DU143" s="258">
        <v>0</v>
      </c>
      <c r="DV143" s="258">
        <v>0</v>
      </c>
      <c r="DW143" s="258">
        <v>0</v>
      </c>
      <c r="DX143" s="258">
        <v>0</v>
      </c>
      <c r="DY143" s="258">
        <v>0</v>
      </c>
      <c r="DZ143" s="258">
        <v>0</v>
      </c>
      <c r="EA143" s="258">
        <v>0</v>
      </c>
      <c r="EB143" s="258">
        <v>0</v>
      </c>
      <c r="EC143" s="258">
        <v>0</v>
      </c>
      <c r="ED143" s="258">
        <v>0</v>
      </c>
      <c r="EE143" s="258">
        <v>0</v>
      </c>
      <c r="EF143" s="258">
        <v>0</v>
      </c>
      <c r="EG143" s="258">
        <v>0</v>
      </c>
      <c r="EH143" s="258">
        <v>0</v>
      </c>
      <c r="EI143" s="258">
        <v>0</v>
      </c>
      <c r="EJ143" s="258">
        <v>0</v>
      </c>
      <c r="EK143" s="301">
        <v>0</v>
      </c>
      <c r="EL143" s="287"/>
      <c r="EM143" s="300" t="s">
        <v>343</v>
      </c>
      <c r="EN143" s="293">
        <v>0</v>
      </c>
      <c r="EO143" s="293">
        <v>0</v>
      </c>
      <c r="EP143" s="258">
        <v>0</v>
      </c>
      <c r="EQ143" s="258">
        <v>0</v>
      </c>
      <c r="ER143" s="258">
        <v>0</v>
      </c>
      <c r="ES143" s="258">
        <v>0</v>
      </c>
      <c r="ET143" s="258">
        <v>0</v>
      </c>
      <c r="EU143" s="258">
        <v>0</v>
      </c>
      <c r="EV143" s="258">
        <v>0</v>
      </c>
      <c r="EW143" s="258">
        <v>0</v>
      </c>
      <c r="EX143" s="258">
        <v>0</v>
      </c>
      <c r="EY143" s="258">
        <v>0</v>
      </c>
      <c r="EZ143" s="258">
        <v>0</v>
      </c>
      <c r="FA143" s="258">
        <v>0</v>
      </c>
      <c r="FB143" s="258">
        <v>0</v>
      </c>
      <c r="FC143" s="258">
        <v>0</v>
      </c>
      <c r="FD143" s="258">
        <v>0</v>
      </c>
      <c r="FE143" s="258">
        <v>0</v>
      </c>
      <c r="FF143" s="258">
        <v>0</v>
      </c>
      <c r="FG143" s="258">
        <v>0</v>
      </c>
      <c r="FH143" s="301">
        <v>0</v>
      </c>
    </row>
    <row r="144" spans="2:164" x14ac:dyDescent="0.2">
      <c r="B144" s="217" t="s">
        <v>346</v>
      </c>
      <c r="C144" s="227">
        <v>0</v>
      </c>
      <c r="D144" s="228">
        <v>0</v>
      </c>
      <c r="E144" s="208">
        <v>0</v>
      </c>
      <c r="F144" s="208">
        <v>0</v>
      </c>
      <c r="G144" s="208">
        <v>0</v>
      </c>
      <c r="H144" s="208">
        <v>0</v>
      </c>
      <c r="I144" s="208">
        <v>0</v>
      </c>
      <c r="J144" s="208">
        <v>0</v>
      </c>
      <c r="K144" s="208">
        <v>0</v>
      </c>
      <c r="L144" s="208">
        <v>0</v>
      </c>
      <c r="M144" s="208">
        <v>0</v>
      </c>
      <c r="N144" s="208">
        <v>0</v>
      </c>
      <c r="O144" s="208">
        <v>0</v>
      </c>
      <c r="P144" s="208">
        <v>0</v>
      </c>
      <c r="Q144" s="208">
        <v>0</v>
      </c>
      <c r="R144" s="208">
        <v>0</v>
      </c>
      <c r="S144" s="208">
        <v>0</v>
      </c>
      <c r="T144" s="208">
        <v>0</v>
      </c>
      <c r="U144" s="208">
        <v>0</v>
      </c>
      <c r="V144" s="208">
        <v>0</v>
      </c>
      <c r="W144" s="222">
        <v>0</v>
      </c>
      <c r="Y144" s="217" t="s">
        <v>346</v>
      </c>
      <c r="Z144" s="227">
        <v>0</v>
      </c>
      <c r="AA144" s="228">
        <v>0</v>
      </c>
      <c r="AB144" s="208">
        <v>0</v>
      </c>
      <c r="AC144" s="208">
        <v>0</v>
      </c>
      <c r="AD144" s="208">
        <v>0</v>
      </c>
      <c r="AE144" s="208">
        <v>0</v>
      </c>
      <c r="AF144" s="208">
        <v>0</v>
      </c>
      <c r="AG144" s="208">
        <v>0</v>
      </c>
      <c r="AH144" s="208">
        <v>0</v>
      </c>
      <c r="AI144" s="208">
        <v>0</v>
      </c>
      <c r="AJ144" s="208">
        <v>0</v>
      </c>
      <c r="AK144" s="208">
        <v>0</v>
      </c>
      <c r="AL144" s="208">
        <v>0</v>
      </c>
      <c r="AM144" s="208">
        <v>0</v>
      </c>
      <c r="AN144" s="208">
        <v>0</v>
      </c>
      <c r="AO144" s="208">
        <v>0</v>
      </c>
      <c r="AP144" s="208">
        <v>0</v>
      </c>
      <c r="AQ144" s="208">
        <v>0</v>
      </c>
      <c r="AR144" s="208">
        <v>0</v>
      </c>
      <c r="AS144" s="208">
        <v>0</v>
      </c>
      <c r="AT144" s="222">
        <v>0</v>
      </c>
      <c r="AV144" s="217" t="s">
        <v>342</v>
      </c>
      <c r="AW144" s="227">
        <f t="shared" si="312"/>
        <v>0</v>
      </c>
      <c r="AX144" s="227">
        <f t="shared" si="313"/>
        <v>0</v>
      </c>
      <c r="AY144" s="227">
        <f t="shared" si="314"/>
        <v>0</v>
      </c>
      <c r="AZ144" s="227">
        <f t="shared" si="303"/>
        <v>0</v>
      </c>
      <c r="BA144" s="227">
        <f t="shared" si="292"/>
        <v>0</v>
      </c>
      <c r="BB144" s="227">
        <f t="shared" si="322"/>
        <v>0</v>
      </c>
      <c r="BC144" s="227">
        <f t="shared" si="323"/>
        <v>0</v>
      </c>
      <c r="BD144" s="227">
        <f t="shared" si="324"/>
        <v>0</v>
      </c>
      <c r="BE144" s="227">
        <f t="shared" si="325"/>
        <v>0</v>
      </c>
      <c r="BF144" s="227">
        <f t="shared" ref="BF144:BF145" si="326">AI144</f>
        <v>0</v>
      </c>
      <c r="BG144" s="227">
        <f t="shared" ref="BG144:BG145" si="327">AJ144</f>
        <v>0</v>
      </c>
      <c r="BH144" s="208">
        <f t="shared" si="316"/>
        <v>0</v>
      </c>
      <c r="BI144" s="208">
        <f t="shared" si="317"/>
        <v>0</v>
      </c>
      <c r="BJ144" s="208">
        <f t="shared" si="318"/>
        <v>0</v>
      </c>
      <c r="BK144" s="208">
        <f t="shared" si="319"/>
        <v>0</v>
      </c>
      <c r="BL144" s="208">
        <f t="shared" si="320"/>
        <v>0</v>
      </c>
      <c r="BM144" s="208">
        <f t="shared" si="321"/>
        <v>0</v>
      </c>
      <c r="BN144" s="208">
        <f t="shared" si="315"/>
        <v>0</v>
      </c>
      <c r="BO144" s="208">
        <f t="shared" si="310"/>
        <v>0</v>
      </c>
      <c r="BP144" s="208">
        <f t="shared" si="311"/>
        <v>0</v>
      </c>
      <c r="BQ144" s="230">
        <f t="shared" si="289"/>
        <v>0</v>
      </c>
      <c r="BR144" s="214"/>
      <c r="BS144" s="227"/>
      <c r="BT144" s="286"/>
      <c r="BU144" s="300" t="s">
        <v>346</v>
      </c>
      <c r="BV144" s="293">
        <v>0</v>
      </c>
      <c r="BW144" s="293">
        <v>0</v>
      </c>
      <c r="BX144" s="258">
        <v>0</v>
      </c>
      <c r="BY144" s="258">
        <v>0</v>
      </c>
      <c r="BZ144" s="258">
        <v>0</v>
      </c>
      <c r="CA144" s="258">
        <v>0</v>
      </c>
      <c r="CB144" s="258">
        <v>0</v>
      </c>
      <c r="CC144" s="258">
        <v>0</v>
      </c>
      <c r="CD144" s="258">
        <v>0</v>
      </c>
      <c r="CE144" s="258">
        <v>0</v>
      </c>
      <c r="CF144" s="258">
        <v>0</v>
      </c>
      <c r="CG144" s="258">
        <v>0</v>
      </c>
      <c r="CH144" s="258">
        <v>0</v>
      </c>
      <c r="CI144" s="258">
        <v>0</v>
      </c>
      <c r="CJ144" s="258">
        <v>0</v>
      </c>
      <c r="CK144" s="258">
        <v>0</v>
      </c>
      <c r="CL144" s="258">
        <v>0</v>
      </c>
      <c r="CM144" s="258">
        <v>0</v>
      </c>
      <c r="CN144" s="258">
        <v>0</v>
      </c>
      <c r="CO144" s="258">
        <v>0</v>
      </c>
      <c r="CP144" s="301">
        <v>0</v>
      </c>
      <c r="CQ144" s="302"/>
      <c r="CR144" s="300" t="s">
        <v>346</v>
      </c>
      <c r="CS144" s="293">
        <v>0</v>
      </c>
      <c r="CT144" s="293">
        <v>0</v>
      </c>
      <c r="CU144" s="258">
        <v>0</v>
      </c>
      <c r="CV144" s="258">
        <v>0</v>
      </c>
      <c r="CW144" s="258">
        <v>0</v>
      </c>
      <c r="CX144" s="258">
        <v>0</v>
      </c>
      <c r="CY144" s="258">
        <v>0</v>
      </c>
      <c r="CZ144" s="258">
        <v>0</v>
      </c>
      <c r="DA144" s="258">
        <v>0</v>
      </c>
      <c r="DB144" s="258">
        <v>0</v>
      </c>
      <c r="DC144" s="258">
        <v>0</v>
      </c>
      <c r="DD144" s="258">
        <v>0</v>
      </c>
      <c r="DE144" s="258">
        <v>0</v>
      </c>
      <c r="DF144" s="258">
        <v>0</v>
      </c>
      <c r="DG144" s="258">
        <v>0</v>
      </c>
      <c r="DH144" s="258">
        <v>0</v>
      </c>
      <c r="DI144" s="258">
        <v>0</v>
      </c>
      <c r="DJ144" s="258">
        <v>0</v>
      </c>
      <c r="DK144" s="258">
        <v>0</v>
      </c>
      <c r="DL144" s="258">
        <v>0</v>
      </c>
      <c r="DM144" s="301">
        <v>0</v>
      </c>
      <c r="DN144" s="302"/>
      <c r="DO144" s="302"/>
      <c r="DP144" s="300" t="s">
        <v>346</v>
      </c>
      <c r="DQ144" s="293">
        <v>0</v>
      </c>
      <c r="DR144" s="293">
        <v>0</v>
      </c>
      <c r="DS144" s="258">
        <v>0</v>
      </c>
      <c r="DT144" s="258">
        <v>0</v>
      </c>
      <c r="DU144" s="258">
        <v>0</v>
      </c>
      <c r="DV144" s="258">
        <v>0</v>
      </c>
      <c r="DW144" s="258">
        <v>0</v>
      </c>
      <c r="DX144" s="258">
        <v>0</v>
      </c>
      <c r="DY144" s="258">
        <v>0</v>
      </c>
      <c r="DZ144" s="258">
        <v>0</v>
      </c>
      <c r="EA144" s="258">
        <v>0</v>
      </c>
      <c r="EB144" s="258">
        <v>0</v>
      </c>
      <c r="EC144" s="258">
        <v>0</v>
      </c>
      <c r="ED144" s="258">
        <v>0</v>
      </c>
      <c r="EE144" s="258">
        <v>0</v>
      </c>
      <c r="EF144" s="258">
        <v>0</v>
      </c>
      <c r="EG144" s="258">
        <v>0</v>
      </c>
      <c r="EH144" s="258">
        <v>0</v>
      </c>
      <c r="EI144" s="258">
        <v>0</v>
      </c>
      <c r="EJ144" s="258">
        <v>0</v>
      </c>
      <c r="EK144" s="301">
        <v>0</v>
      </c>
      <c r="EL144" s="287"/>
      <c r="EM144" s="300" t="s">
        <v>346</v>
      </c>
      <c r="EN144" s="293">
        <v>0</v>
      </c>
      <c r="EO144" s="293">
        <v>0</v>
      </c>
      <c r="EP144" s="258">
        <v>0</v>
      </c>
      <c r="EQ144" s="258">
        <v>0</v>
      </c>
      <c r="ER144" s="258">
        <v>0</v>
      </c>
      <c r="ES144" s="258">
        <v>0</v>
      </c>
      <c r="ET144" s="258">
        <v>0</v>
      </c>
      <c r="EU144" s="258">
        <v>0</v>
      </c>
      <c r="EV144" s="258">
        <v>0</v>
      </c>
      <c r="EW144" s="258">
        <v>0</v>
      </c>
      <c r="EX144" s="258">
        <v>0</v>
      </c>
      <c r="EY144" s="258">
        <v>0</v>
      </c>
      <c r="EZ144" s="258">
        <v>0</v>
      </c>
      <c r="FA144" s="258">
        <v>0</v>
      </c>
      <c r="FB144" s="258">
        <v>0</v>
      </c>
      <c r="FC144" s="258">
        <v>0</v>
      </c>
      <c r="FD144" s="258">
        <v>0</v>
      </c>
      <c r="FE144" s="258">
        <v>0</v>
      </c>
      <c r="FF144" s="258">
        <v>0</v>
      </c>
      <c r="FG144" s="258">
        <v>0</v>
      </c>
      <c r="FH144" s="301">
        <v>0</v>
      </c>
    </row>
    <row r="145" spans="2:164" x14ac:dyDescent="0.2">
      <c r="B145" s="217" t="s">
        <v>347</v>
      </c>
      <c r="C145" s="227">
        <v>0</v>
      </c>
      <c r="D145" s="228">
        <v>0</v>
      </c>
      <c r="E145" s="208">
        <v>0</v>
      </c>
      <c r="F145" s="208">
        <v>0</v>
      </c>
      <c r="G145" s="208">
        <v>0</v>
      </c>
      <c r="H145" s="208">
        <v>0</v>
      </c>
      <c r="I145" s="208">
        <v>0</v>
      </c>
      <c r="J145" s="208">
        <v>0</v>
      </c>
      <c r="K145" s="208">
        <v>0</v>
      </c>
      <c r="L145" s="208">
        <v>0</v>
      </c>
      <c r="M145" s="208">
        <v>0</v>
      </c>
      <c r="N145" s="208">
        <v>0</v>
      </c>
      <c r="O145" s="208">
        <v>0</v>
      </c>
      <c r="P145" s="208">
        <v>0</v>
      </c>
      <c r="Q145" s="208">
        <v>0</v>
      </c>
      <c r="R145" s="208">
        <v>0</v>
      </c>
      <c r="S145" s="208">
        <v>0</v>
      </c>
      <c r="T145" s="208">
        <v>0</v>
      </c>
      <c r="U145" s="208">
        <v>0</v>
      </c>
      <c r="V145" s="208">
        <v>0</v>
      </c>
      <c r="W145" s="222">
        <v>0</v>
      </c>
      <c r="X145" s="207"/>
      <c r="Y145" s="217" t="s">
        <v>347</v>
      </c>
      <c r="Z145" s="227">
        <v>0</v>
      </c>
      <c r="AA145" s="228">
        <v>0</v>
      </c>
      <c r="AB145" s="208">
        <v>0</v>
      </c>
      <c r="AC145" s="208">
        <v>0</v>
      </c>
      <c r="AD145" s="208">
        <v>0</v>
      </c>
      <c r="AE145" s="208">
        <v>0</v>
      </c>
      <c r="AF145" s="208">
        <v>0</v>
      </c>
      <c r="AG145" s="208">
        <v>0</v>
      </c>
      <c r="AH145" s="208">
        <v>0</v>
      </c>
      <c r="AI145" s="208">
        <v>0</v>
      </c>
      <c r="AJ145" s="208">
        <v>0</v>
      </c>
      <c r="AK145" s="208">
        <v>0</v>
      </c>
      <c r="AL145" s="208">
        <v>0</v>
      </c>
      <c r="AM145" s="208">
        <v>0</v>
      </c>
      <c r="AN145" s="208">
        <v>0</v>
      </c>
      <c r="AO145" s="208">
        <v>0</v>
      </c>
      <c r="AP145" s="208">
        <v>0</v>
      </c>
      <c r="AQ145" s="208">
        <v>0</v>
      </c>
      <c r="AR145" s="208">
        <v>0</v>
      </c>
      <c r="AS145" s="208">
        <v>0</v>
      </c>
      <c r="AT145" s="222">
        <v>0</v>
      </c>
      <c r="AV145" s="217" t="s">
        <v>343</v>
      </c>
      <c r="AW145" s="227">
        <f t="shared" si="312"/>
        <v>0</v>
      </c>
      <c r="AX145" s="227">
        <f t="shared" si="313"/>
        <v>0</v>
      </c>
      <c r="AY145" s="227">
        <f t="shared" si="314"/>
        <v>0</v>
      </c>
      <c r="AZ145" s="227">
        <f t="shared" si="303"/>
        <v>0</v>
      </c>
      <c r="BA145" s="227">
        <f t="shared" si="292"/>
        <v>0</v>
      </c>
      <c r="BB145" s="227">
        <f t="shared" si="322"/>
        <v>0</v>
      </c>
      <c r="BC145" s="227">
        <f t="shared" si="323"/>
        <v>0</v>
      </c>
      <c r="BD145" s="227">
        <f t="shared" si="324"/>
        <v>0</v>
      </c>
      <c r="BE145" s="227">
        <f t="shared" si="325"/>
        <v>0</v>
      </c>
      <c r="BF145" s="227">
        <f t="shared" si="326"/>
        <v>0</v>
      </c>
      <c r="BG145" s="227">
        <f t="shared" si="327"/>
        <v>0</v>
      </c>
      <c r="BH145" s="208">
        <f t="shared" si="316"/>
        <v>0</v>
      </c>
      <c r="BI145" s="208">
        <f t="shared" si="317"/>
        <v>0</v>
      </c>
      <c r="BJ145" s="208">
        <f t="shared" si="318"/>
        <v>0</v>
      </c>
      <c r="BK145" s="208">
        <f t="shared" si="319"/>
        <v>0</v>
      </c>
      <c r="BL145" s="208">
        <f t="shared" si="320"/>
        <v>0</v>
      </c>
      <c r="BM145" s="208">
        <f t="shared" si="321"/>
        <v>0</v>
      </c>
      <c r="BN145" s="208">
        <f t="shared" si="315"/>
        <v>0</v>
      </c>
      <c r="BO145" s="208">
        <f t="shared" si="310"/>
        <v>0</v>
      </c>
      <c r="BP145" s="208">
        <f t="shared" si="311"/>
        <v>0</v>
      </c>
      <c r="BQ145" s="222">
        <f t="shared" si="289"/>
        <v>0</v>
      </c>
      <c r="BR145" s="214"/>
      <c r="BS145" s="227"/>
      <c r="BT145" s="286"/>
      <c r="BU145" s="300" t="s">
        <v>347</v>
      </c>
      <c r="BV145" s="293">
        <v>0</v>
      </c>
      <c r="BW145" s="293">
        <v>0</v>
      </c>
      <c r="BX145" s="258">
        <v>0</v>
      </c>
      <c r="BY145" s="258">
        <v>0</v>
      </c>
      <c r="BZ145" s="258">
        <v>0</v>
      </c>
      <c r="CA145" s="258">
        <v>0</v>
      </c>
      <c r="CB145" s="258">
        <v>0</v>
      </c>
      <c r="CC145" s="258">
        <v>0</v>
      </c>
      <c r="CD145" s="258">
        <v>0</v>
      </c>
      <c r="CE145" s="258">
        <v>0</v>
      </c>
      <c r="CF145" s="258">
        <v>0</v>
      </c>
      <c r="CG145" s="258">
        <v>0</v>
      </c>
      <c r="CH145" s="258">
        <v>0</v>
      </c>
      <c r="CI145" s="258">
        <v>0</v>
      </c>
      <c r="CJ145" s="258">
        <v>0</v>
      </c>
      <c r="CK145" s="258">
        <v>0</v>
      </c>
      <c r="CL145" s="258">
        <v>0</v>
      </c>
      <c r="CM145" s="258">
        <v>0</v>
      </c>
      <c r="CN145" s="258">
        <v>0</v>
      </c>
      <c r="CO145" s="258">
        <v>0</v>
      </c>
      <c r="CP145" s="301">
        <v>0</v>
      </c>
      <c r="CQ145" s="302"/>
      <c r="CR145" s="300" t="s">
        <v>347</v>
      </c>
      <c r="CS145" s="293">
        <v>0</v>
      </c>
      <c r="CT145" s="293">
        <v>0</v>
      </c>
      <c r="CU145" s="258">
        <v>0</v>
      </c>
      <c r="CV145" s="258">
        <v>0</v>
      </c>
      <c r="CW145" s="258">
        <v>0</v>
      </c>
      <c r="CX145" s="258">
        <v>0</v>
      </c>
      <c r="CY145" s="258">
        <v>0</v>
      </c>
      <c r="CZ145" s="258">
        <v>0</v>
      </c>
      <c r="DA145" s="258">
        <v>0</v>
      </c>
      <c r="DB145" s="258">
        <v>0</v>
      </c>
      <c r="DC145" s="258">
        <v>0</v>
      </c>
      <c r="DD145" s="258">
        <v>0</v>
      </c>
      <c r="DE145" s="258">
        <v>0</v>
      </c>
      <c r="DF145" s="258">
        <v>0</v>
      </c>
      <c r="DG145" s="258">
        <v>0</v>
      </c>
      <c r="DH145" s="258">
        <v>0</v>
      </c>
      <c r="DI145" s="258">
        <v>0</v>
      </c>
      <c r="DJ145" s="258">
        <v>0</v>
      </c>
      <c r="DK145" s="258">
        <v>0</v>
      </c>
      <c r="DL145" s="258">
        <v>0</v>
      </c>
      <c r="DM145" s="301">
        <v>0</v>
      </c>
      <c r="DN145" s="302"/>
      <c r="DO145" s="302"/>
      <c r="DP145" s="300" t="s">
        <v>347</v>
      </c>
      <c r="DQ145" s="293">
        <v>0</v>
      </c>
      <c r="DR145" s="293">
        <v>0</v>
      </c>
      <c r="DS145" s="258">
        <v>0</v>
      </c>
      <c r="DT145" s="258">
        <v>0</v>
      </c>
      <c r="DU145" s="258">
        <v>0</v>
      </c>
      <c r="DV145" s="258">
        <v>0</v>
      </c>
      <c r="DW145" s="258">
        <v>0</v>
      </c>
      <c r="DX145" s="258">
        <v>0</v>
      </c>
      <c r="DY145" s="258">
        <v>0</v>
      </c>
      <c r="DZ145" s="258">
        <v>0</v>
      </c>
      <c r="EA145" s="258">
        <v>0</v>
      </c>
      <c r="EB145" s="258">
        <v>0</v>
      </c>
      <c r="EC145" s="258">
        <v>0</v>
      </c>
      <c r="ED145" s="258">
        <v>0</v>
      </c>
      <c r="EE145" s="258">
        <v>0</v>
      </c>
      <c r="EF145" s="258">
        <v>0</v>
      </c>
      <c r="EG145" s="258">
        <v>0</v>
      </c>
      <c r="EH145" s="258">
        <v>0</v>
      </c>
      <c r="EI145" s="258">
        <v>0</v>
      </c>
      <c r="EJ145" s="258">
        <v>0</v>
      </c>
      <c r="EK145" s="301">
        <v>0</v>
      </c>
      <c r="EL145" s="287"/>
      <c r="EM145" s="300" t="s">
        <v>347</v>
      </c>
      <c r="EN145" s="293">
        <v>0</v>
      </c>
      <c r="EO145" s="293">
        <v>0</v>
      </c>
      <c r="EP145" s="258">
        <v>0</v>
      </c>
      <c r="EQ145" s="258">
        <v>0</v>
      </c>
      <c r="ER145" s="258">
        <v>0</v>
      </c>
      <c r="ES145" s="258">
        <v>0</v>
      </c>
      <c r="ET145" s="258">
        <v>0</v>
      </c>
      <c r="EU145" s="258">
        <v>0</v>
      </c>
      <c r="EV145" s="258">
        <v>0</v>
      </c>
      <c r="EW145" s="258">
        <v>0</v>
      </c>
      <c r="EX145" s="258">
        <v>0</v>
      </c>
      <c r="EY145" s="258">
        <v>0</v>
      </c>
      <c r="EZ145" s="258">
        <v>0</v>
      </c>
      <c r="FA145" s="258">
        <v>0</v>
      </c>
      <c r="FB145" s="258">
        <v>0</v>
      </c>
      <c r="FC145" s="258">
        <v>0</v>
      </c>
      <c r="FD145" s="258">
        <v>0</v>
      </c>
      <c r="FE145" s="258">
        <v>0</v>
      </c>
      <c r="FF145" s="258">
        <v>0</v>
      </c>
      <c r="FG145" s="258">
        <v>0</v>
      </c>
      <c r="FH145" s="301">
        <v>0</v>
      </c>
    </row>
    <row r="146" spans="2:164" x14ac:dyDescent="0.2">
      <c r="B146" s="218" t="s">
        <v>7</v>
      </c>
      <c r="C146" s="219">
        <v>1608</v>
      </c>
      <c r="D146" s="220">
        <v>538</v>
      </c>
      <c r="E146" s="221">
        <v>316</v>
      </c>
      <c r="F146" s="221">
        <v>1988</v>
      </c>
      <c r="G146" s="221">
        <v>58</v>
      </c>
      <c r="H146" s="221">
        <v>62</v>
      </c>
      <c r="I146" s="221">
        <v>23</v>
      </c>
      <c r="J146" s="221">
        <v>0</v>
      </c>
      <c r="K146" s="221">
        <v>5</v>
      </c>
      <c r="L146" s="221">
        <v>2</v>
      </c>
      <c r="M146" s="221">
        <v>3</v>
      </c>
      <c r="N146" s="221">
        <v>0</v>
      </c>
      <c r="O146" s="221">
        <v>0</v>
      </c>
      <c r="P146" s="221">
        <v>0</v>
      </c>
      <c r="Q146" s="221">
        <v>0</v>
      </c>
      <c r="R146" s="221">
        <v>5</v>
      </c>
      <c r="S146" s="221">
        <v>0</v>
      </c>
      <c r="T146" s="221">
        <v>4</v>
      </c>
      <c r="U146" s="221">
        <v>57</v>
      </c>
      <c r="V146" s="221">
        <v>2</v>
      </c>
      <c r="W146" s="223">
        <v>4671</v>
      </c>
      <c r="X146" s="208"/>
      <c r="Y146" s="218" t="s">
        <v>7</v>
      </c>
      <c r="Z146" s="219">
        <v>268213.63528925856</v>
      </c>
      <c r="AA146" s="220">
        <v>131916.93418191842</v>
      </c>
      <c r="AB146" s="221">
        <v>48985.175775019808</v>
      </c>
      <c r="AC146" s="221">
        <v>285455.55268258648</v>
      </c>
      <c r="AD146" s="221">
        <v>16410.892782030303</v>
      </c>
      <c r="AE146" s="221">
        <v>9942.7316075691997</v>
      </c>
      <c r="AF146" s="221">
        <v>728.63705387742732</v>
      </c>
      <c r="AG146" s="221">
        <v>0</v>
      </c>
      <c r="AH146" s="221">
        <v>679.96466562386217</v>
      </c>
      <c r="AI146" s="221">
        <v>1919.3397848208488</v>
      </c>
      <c r="AJ146" s="221">
        <v>94.581855696892148</v>
      </c>
      <c r="AK146" s="221">
        <v>0</v>
      </c>
      <c r="AL146" s="221">
        <v>0</v>
      </c>
      <c r="AM146" s="221">
        <v>0</v>
      </c>
      <c r="AN146" s="221">
        <v>0</v>
      </c>
      <c r="AO146" s="221">
        <v>5247.5631490369724</v>
      </c>
      <c r="AP146" s="221">
        <v>0</v>
      </c>
      <c r="AQ146" s="221">
        <v>85.131617439449343</v>
      </c>
      <c r="AR146" s="221">
        <v>1930.3238234580047</v>
      </c>
      <c r="AS146" s="221">
        <v>177.6123525380998</v>
      </c>
      <c r="AT146" s="223">
        <v>771788.07662087446</v>
      </c>
      <c r="AV146" s="218" t="s">
        <v>7</v>
      </c>
      <c r="AW146" s="254">
        <f>SUM(AW126:AW145)</f>
        <v>268092.28461367526</v>
      </c>
      <c r="AX146" s="254">
        <f t="shared" ref="AX146" si="328">SUM(AX126:AX145)</f>
        <v>131870.72079612131</v>
      </c>
      <c r="AY146" s="254">
        <f t="shared" ref="AY146" si="329">SUM(AY126:AY145)</f>
        <v>48985.175775019808</v>
      </c>
      <c r="AZ146" s="254">
        <f t="shared" ref="AZ146" si="330">SUM(AZ126:AZ145)</f>
        <v>285264.06674268906</v>
      </c>
      <c r="BA146" s="254">
        <f t="shared" ref="BA146" si="331">SUM(BA126:BA145)</f>
        <v>16410.892782030303</v>
      </c>
      <c r="BB146" s="254">
        <f t="shared" ref="BB146" si="332">SUM(BB126:BB145)</f>
        <v>9880.8795394274384</v>
      </c>
      <c r="BC146" s="254">
        <f t="shared" ref="BC146" si="333">SUM(BC126:BC145)</f>
        <v>717.78953429451906</v>
      </c>
      <c r="BD146" s="254">
        <f t="shared" ref="BD146" si="334">SUM(BD126:BD145)</f>
        <v>0</v>
      </c>
      <c r="BE146" s="254">
        <f t="shared" ref="BE146" si="335">SUM(BE126:BE145)</f>
        <v>679.96466562386217</v>
      </c>
      <c r="BF146" s="254">
        <f t="shared" ref="BF146" si="336">SUM(BF126:BF145)</f>
        <v>1919.3397848208488</v>
      </c>
      <c r="BG146" s="254">
        <f t="shared" ref="BG146" si="337">SUM(BG126:BG145)</f>
        <v>94.581855696892148</v>
      </c>
      <c r="BH146" s="254">
        <f t="shared" ref="BH146" si="338">SUM(BH126:BH145)</f>
        <v>0</v>
      </c>
      <c r="BI146" s="254">
        <f t="shared" ref="BI146" si="339">SUM(BI126:BI145)</f>
        <v>0</v>
      </c>
      <c r="BJ146" s="254">
        <f t="shared" ref="BJ146" si="340">SUM(BJ126:BJ145)</f>
        <v>0</v>
      </c>
      <c r="BK146" s="254">
        <f t="shared" ref="BK146" si="341">SUM(BK126:BK145)</f>
        <v>0</v>
      </c>
      <c r="BL146" s="254">
        <f t="shared" ref="BL146" si="342">SUM(BL126:BL145)</f>
        <v>3395.4820376121588</v>
      </c>
      <c r="BM146" s="254">
        <f t="shared" ref="BM146" si="343">SUM(BM126:BM145)</f>
        <v>0</v>
      </c>
      <c r="BN146" s="254">
        <f t="shared" ref="BN146" si="344">SUM(BN126:BN145)</f>
        <v>85.131617439449343</v>
      </c>
      <c r="BO146" s="254">
        <f t="shared" ref="BO146" si="345">SUM(BO126:BO145)</f>
        <v>1538.8918961116353</v>
      </c>
      <c r="BP146" s="254">
        <f t="shared" ref="BP146" si="346">SUM(BP126:BP145)</f>
        <v>177.6123525380998</v>
      </c>
      <c r="BQ146" s="222">
        <f t="shared" si="289"/>
        <v>769112.81399310066</v>
      </c>
      <c r="BR146" s="214"/>
      <c r="BT146" s="286"/>
      <c r="BU146" s="303" t="s">
        <v>7</v>
      </c>
      <c r="BV146" s="304">
        <v>214</v>
      </c>
      <c r="BW146" s="304">
        <v>74</v>
      </c>
      <c r="BX146" s="305">
        <v>24</v>
      </c>
      <c r="BY146" s="305">
        <v>43</v>
      </c>
      <c r="BZ146" s="305">
        <v>0</v>
      </c>
      <c r="CA146" s="305">
        <v>0</v>
      </c>
      <c r="CB146" s="305">
        <v>0</v>
      </c>
      <c r="CC146" s="305">
        <v>0</v>
      </c>
      <c r="CD146" s="305">
        <v>0</v>
      </c>
      <c r="CE146" s="305">
        <v>0</v>
      </c>
      <c r="CF146" s="305">
        <v>0</v>
      </c>
      <c r="CG146" s="305">
        <v>0</v>
      </c>
      <c r="CH146" s="305">
        <v>0</v>
      </c>
      <c r="CI146" s="305">
        <v>0</v>
      </c>
      <c r="CJ146" s="305">
        <v>0</v>
      </c>
      <c r="CK146" s="305">
        <v>0</v>
      </c>
      <c r="CL146" s="305">
        <v>0</v>
      </c>
      <c r="CM146" s="305">
        <v>0</v>
      </c>
      <c r="CN146" s="305">
        <v>0</v>
      </c>
      <c r="CO146" s="305">
        <v>0</v>
      </c>
      <c r="CP146" s="306">
        <v>355</v>
      </c>
      <c r="CQ146" s="302"/>
      <c r="CR146" s="303" t="s">
        <v>7</v>
      </c>
      <c r="CS146" s="304">
        <v>10164.417183020036</v>
      </c>
      <c r="CT146" s="304">
        <v>25933.702179413798</v>
      </c>
      <c r="CU146" s="305">
        <v>279.79543206066194</v>
      </c>
      <c r="CV146" s="305">
        <v>4696.3095886859846</v>
      </c>
      <c r="CW146" s="305">
        <v>0</v>
      </c>
      <c r="CX146" s="305">
        <v>0</v>
      </c>
      <c r="CY146" s="305">
        <v>0</v>
      </c>
      <c r="CZ146" s="305">
        <v>0</v>
      </c>
      <c r="DA146" s="305">
        <v>0</v>
      </c>
      <c r="DB146" s="305">
        <v>0</v>
      </c>
      <c r="DC146" s="305">
        <v>0</v>
      </c>
      <c r="DD146" s="305">
        <v>0</v>
      </c>
      <c r="DE146" s="305">
        <v>0</v>
      </c>
      <c r="DF146" s="305">
        <v>0</v>
      </c>
      <c r="DG146" s="305">
        <v>0</v>
      </c>
      <c r="DH146" s="305">
        <v>0</v>
      </c>
      <c r="DI146" s="305">
        <v>0</v>
      </c>
      <c r="DJ146" s="305">
        <v>0</v>
      </c>
      <c r="DK146" s="305">
        <v>0</v>
      </c>
      <c r="DL146" s="305">
        <v>0</v>
      </c>
      <c r="DM146" s="306">
        <v>41074.224383180481</v>
      </c>
      <c r="DN146" s="302"/>
      <c r="DO146" s="302"/>
      <c r="DP146" s="303" t="s">
        <v>7</v>
      </c>
      <c r="DQ146" s="304">
        <v>344</v>
      </c>
      <c r="DR146" s="304">
        <v>130</v>
      </c>
      <c r="DS146" s="305">
        <v>60</v>
      </c>
      <c r="DT146" s="305">
        <v>71</v>
      </c>
      <c r="DU146" s="305">
        <v>4</v>
      </c>
      <c r="DV146" s="305">
        <v>2</v>
      </c>
      <c r="DW146" s="305">
        <v>0</v>
      </c>
      <c r="DX146" s="305">
        <v>0</v>
      </c>
      <c r="DY146" s="305">
        <v>0</v>
      </c>
      <c r="DZ146" s="305">
        <v>0</v>
      </c>
      <c r="EA146" s="305">
        <v>0</v>
      </c>
      <c r="EB146" s="305">
        <v>0</v>
      </c>
      <c r="EC146" s="305">
        <v>0</v>
      </c>
      <c r="ED146" s="305">
        <v>0</v>
      </c>
      <c r="EE146" s="305">
        <v>0</v>
      </c>
      <c r="EF146" s="305">
        <v>0</v>
      </c>
      <c r="EG146" s="305">
        <v>0</v>
      </c>
      <c r="EH146" s="305">
        <v>0</v>
      </c>
      <c r="EI146" s="305">
        <v>0</v>
      </c>
      <c r="EJ146" s="305">
        <v>0</v>
      </c>
      <c r="EK146" s="306">
        <v>611</v>
      </c>
      <c r="EL146" s="287"/>
      <c r="EM146" s="303" t="s">
        <v>7</v>
      </c>
      <c r="EN146" s="304">
        <v>33135.210908935995</v>
      </c>
      <c r="EO146" s="304">
        <v>50117.574855435741</v>
      </c>
      <c r="EP146" s="305">
        <v>7256.435557086781</v>
      </c>
      <c r="EQ146" s="305">
        <v>14498.14536565148</v>
      </c>
      <c r="ER146" s="305">
        <v>78.629953588173024</v>
      </c>
      <c r="ES146" s="305">
        <v>10.10456258790234</v>
      </c>
      <c r="ET146" s="305">
        <v>0</v>
      </c>
      <c r="EU146" s="305">
        <v>0</v>
      </c>
      <c r="EV146" s="305">
        <v>0</v>
      </c>
      <c r="EW146" s="305">
        <v>0</v>
      </c>
      <c r="EX146" s="305">
        <v>0</v>
      </c>
      <c r="EY146" s="305">
        <v>0</v>
      </c>
      <c r="EZ146" s="305">
        <v>0</v>
      </c>
      <c r="FA146" s="305">
        <v>0</v>
      </c>
      <c r="FB146" s="305">
        <v>0</v>
      </c>
      <c r="FC146" s="305">
        <v>0</v>
      </c>
      <c r="FD146" s="305">
        <v>0</v>
      </c>
      <c r="FE146" s="305">
        <v>0</v>
      </c>
      <c r="FF146" s="305">
        <v>0</v>
      </c>
      <c r="FG146" s="305">
        <v>0</v>
      </c>
      <c r="FH146" s="306">
        <v>105096.10120328607</v>
      </c>
    </row>
    <row r="147" spans="2:164" x14ac:dyDescent="0.2">
      <c r="B147" s="214"/>
      <c r="D147" s="206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14"/>
      <c r="AA147" s="206"/>
      <c r="AB147" s="208"/>
      <c r="AC147" s="208"/>
      <c r="AD147" s="208"/>
      <c r="AE147" s="208"/>
      <c r="AF147" s="208"/>
      <c r="AG147" s="208"/>
      <c r="AH147" s="208"/>
      <c r="AI147" s="208"/>
      <c r="AJ147" s="208"/>
      <c r="AK147" s="208"/>
      <c r="AL147" s="208"/>
      <c r="AM147" s="208"/>
      <c r="AN147" s="208"/>
      <c r="AO147" s="208"/>
      <c r="AP147" s="208"/>
      <c r="AQ147" s="208"/>
      <c r="AR147" s="208"/>
      <c r="AS147" s="208"/>
      <c r="AT147" s="208"/>
      <c r="AV147" s="214"/>
      <c r="AX147" s="206"/>
      <c r="AY147" s="208"/>
      <c r="AZ147" s="208"/>
      <c r="BA147" s="208"/>
      <c r="BB147" s="208"/>
      <c r="BC147" s="208"/>
      <c r="BD147" s="208"/>
      <c r="BE147" s="208"/>
      <c r="BF147" s="208"/>
      <c r="BG147" s="208"/>
      <c r="BH147" s="208"/>
      <c r="BI147" s="208"/>
      <c r="BJ147" s="208"/>
      <c r="BK147" s="208"/>
      <c r="BL147" s="208"/>
      <c r="BM147" s="208"/>
      <c r="BN147" s="208"/>
      <c r="BO147" s="208"/>
      <c r="BP147" s="208"/>
      <c r="BQ147" s="208"/>
      <c r="BR147" s="214"/>
      <c r="BT147" s="286"/>
      <c r="BU147" s="307"/>
      <c r="BV147" s="308"/>
      <c r="BW147" s="308"/>
      <c r="BX147" s="258"/>
      <c r="BY147" s="258"/>
      <c r="BZ147" s="258"/>
      <c r="CA147" s="258"/>
      <c r="CB147" s="258"/>
      <c r="CC147" s="258"/>
      <c r="CD147" s="258"/>
      <c r="CE147" s="258"/>
      <c r="CF147" s="258"/>
      <c r="CG147" s="258"/>
      <c r="CH147" s="258"/>
      <c r="CI147" s="258"/>
      <c r="CJ147" s="258"/>
      <c r="CK147" s="258"/>
      <c r="CL147" s="258"/>
      <c r="CM147" s="258"/>
      <c r="CN147" s="258"/>
      <c r="CO147" s="258"/>
      <c r="CP147" s="258"/>
      <c r="CQ147" s="302"/>
      <c r="CR147" s="307"/>
      <c r="CS147" s="308"/>
      <c r="CT147" s="308"/>
      <c r="CU147" s="258"/>
      <c r="CV147" s="258"/>
      <c r="CW147" s="258"/>
      <c r="CX147" s="258"/>
      <c r="CY147" s="258"/>
      <c r="CZ147" s="258"/>
      <c r="DA147" s="258"/>
      <c r="DB147" s="258"/>
      <c r="DC147" s="258"/>
      <c r="DD147" s="258"/>
      <c r="DE147" s="258"/>
      <c r="DF147" s="258"/>
      <c r="DG147" s="258"/>
      <c r="DH147" s="258"/>
      <c r="DI147" s="258"/>
      <c r="DJ147" s="258"/>
      <c r="DK147" s="258"/>
      <c r="DL147" s="258"/>
      <c r="DM147" s="258"/>
      <c r="DN147" s="302"/>
      <c r="DO147" s="302"/>
      <c r="DP147" s="307"/>
      <c r="DQ147" s="308"/>
      <c r="DR147" s="308"/>
      <c r="DS147" s="258"/>
      <c r="DT147" s="258"/>
      <c r="DU147" s="258"/>
      <c r="DV147" s="258"/>
      <c r="DW147" s="258"/>
      <c r="DX147" s="258"/>
      <c r="DY147" s="258"/>
      <c r="DZ147" s="258"/>
      <c r="EA147" s="258"/>
      <c r="EB147" s="258"/>
      <c r="EC147" s="258"/>
      <c r="ED147" s="258"/>
      <c r="EE147" s="258"/>
      <c r="EF147" s="258"/>
      <c r="EG147" s="258"/>
      <c r="EH147" s="258"/>
      <c r="EI147" s="258"/>
      <c r="EJ147" s="258"/>
      <c r="EK147" s="258"/>
      <c r="EL147" s="287"/>
      <c r="EM147" s="307"/>
      <c r="EN147" s="308"/>
      <c r="EO147" s="308"/>
      <c r="EP147" s="258"/>
      <c r="EQ147" s="258"/>
      <c r="ER147" s="258"/>
      <c r="ES147" s="258"/>
      <c r="ET147" s="258"/>
      <c r="EU147" s="258"/>
      <c r="EV147" s="258"/>
      <c r="EW147" s="258"/>
      <c r="EX147" s="258"/>
      <c r="EY147" s="258"/>
      <c r="EZ147" s="258"/>
      <c r="FA147" s="258"/>
      <c r="FB147" s="258"/>
      <c r="FC147" s="258"/>
      <c r="FD147" s="258"/>
      <c r="FE147" s="258"/>
      <c r="FF147" s="258"/>
      <c r="FG147" s="258"/>
      <c r="FH147" s="258"/>
    </row>
    <row r="148" spans="2:164" x14ac:dyDescent="0.2">
      <c r="B148" s="214" t="s">
        <v>98</v>
      </c>
      <c r="D148" s="206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14" t="s">
        <v>98</v>
      </c>
      <c r="AA148" s="206"/>
      <c r="AB148" s="208"/>
      <c r="AC148" s="208"/>
      <c r="AD148" s="208"/>
      <c r="AE148" s="208"/>
      <c r="AF148" s="208"/>
      <c r="AG148" s="208"/>
      <c r="AH148" s="208"/>
      <c r="AI148" s="208"/>
      <c r="AJ148" s="208"/>
      <c r="AK148" s="208"/>
      <c r="AL148" s="208"/>
      <c r="AM148" s="208"/>
      <c r="AN148" s="208"/>
      <c r="AO148" s="208"/>
      <c r="AP148" s="208"/>
      <c r="AQ148" s="208"/>
      <c r="AR148" s="208"/>
      <c r="AS148" s="208"/>
      <c r="AT148" s="208"/>
      <c r="AV148" s="214" t="s">
        <v>98</v>
      </c>
      <c r="AX148" s="206"/>
      <c r="AY148" s="208"/>
      <c r="AZ148" s="208"/>
      <c r="BA148" s="208"/>
      <c r="BB148" s="208"/>
      <c r="BC148" s="208"/>
      <c r="BD148" s="208"/>
      <c r="BE148" s="208"/>
      <c r="BF148" s="208"/>
      <c r="BG148" s="208"/>
      <c r="BH148" s="208"/>
      <c r="BI148" s="208"/>
      <c r="BJ148" s="208"/>
      <c r="BK148" s="208"/>
      <c r="BL148" s="208"/>
      <c r="BM148" s="208"/>
      <c r="BN148" s="208"/>
      <c r="BO148" s="208"/>
      <c r="BP148" s="208"/>
      <c r="BQ148" s="208"/>
      <c r="BR148" s="214"/>
      <c r="BT148" s="286"/>
      <c r="BU148" s="307" t="s">
        <v>98</v>
      </c>
      <c r="BV148" s="308"/>
      <c r="BW148" s="308"/>
      <c r="BX148" s="258"/>
      <c r="BY148" s="258"/>
      <c r="BZ148" s="258"/>
      <c r="CA148" s="258"/>
      <c r="CB148" s="258"/>
      <c r="CC148" s="258"/>
      <c r="CD148" s="258"/>
      <c r="CE148" s="258"/>
      <c r="CF148" s="258"/>
      <c r="CG148" s="258"/>
      <c r="CH148" s="258"/>
      <c r="CI148" s="258"/>
      <c r="CJ148" s="258"/>
      <c r="CK148" s="258"/>
      <c r="CL148" s="258"/>
      <c r="CM148" s="258"/>
      <c r="CN148" s="258"/>
      <c r="CO148" s="258"/>
      <c r="CP148" s="258"/>
      <c r="CQ148" s="302"/>
      <c r="CR148" s="307" t="s">
        <v>98</v>
      </c>
      <c r="CS148" s="308"/>
      <c r="CT148" s="308"/>
      <c r="CU148" s="258"/>
      <c r="CV148" s="258"/>
      <c r="CW148" s="258"/>
      <c r="CX148" s="258"/>
      <c r="CY148" s="258"/>
      <c r="CZ148" s="258"/>
      <c r="DA148" s="258"/>
      <c r="DB148" s="258"/>
      <c r="DC148" s="258"/>
      <c r="DD148" s="258"/>
      <c r="DE148" s="258"/>
      <c r="DF148" s="258"/>
      <c r="DG148" s="258"/>
      <c r="DH148" s="258"/>
      <c r="DI148" s="258"/>
      <c r="DJ148" s="258"/>
      <c r="DK148" s="258"/>
      <c r="DL148" s="258"/>
      <c r="DM148" s="258"/>
      <c r="DN148" s="302"/>
      <c r="DO148" s="302"/>
      <c r="DP148" s="307" t="s">
        <v>98</v>
      </c>
      <c r="DQ148" s="308"/>
      <c r="DR148" s="308"/>
      <c r="DS148" s="258"/>
      <c r="DT148" s="258"/>
      <c r="DU148" s="258"/>
      <c r="DV148" s="258"/>
      <c r="DW148" s="258"/>
      <c r="DX148" s="258"/>
      <c r="DY148" s="258"/>
      <c r="DZ148" s="258"/>
      <c r="EA148" s="258"/>
      <c r="EB148" s="258"/>
      <c r="EC148" s="258"/>
      <c r="ED148" s="258"/>
      <c r="EE148" s="258"/>
      <c r="EF148" s="258"/>
      <c r="EG148" s="258"/>
      <c r="EH148" s="258"/>
      <c r="EI148" s="258"/>
      <c r="EJ148" s="258"/>
      <c r="EK148" s="258"/>
      <c r="EL148" s="287"/>
      <c r="EM148" s="307" t="s">
        <v>98</v>
      </c>
      <c r="EN148" s="308"/>
      <c r="EO148" s="308"/>
      <c r="EP148" s="258"/>
      <c r="EQ148" s="258"/>
      <c r="ER148" s="258"/>
      <c r="ES148" s="258"/>
      <c r="ET148" s="258"/>
      <c r="EU148" s="258"/>
      <c r="EV148" s="258"/>
      <c r="EW148" s="258"/>
      <c r="EX148" s="258"/>
      <c r="EY148" s="258"/>
      <c r="EZ148" s="258"/>
      <c r="FA148" s="258"/>
      <c r="FB148" s="258"/>
      <c r="FC148" s="258"/>
      <c r="FD148" s="258"/>
      <c r="FE148" s="258"/>
      <c r="FF148" s="258"/>
      <c r="FG148" s="258"/>
      <c r="FH148" s="258"/>
    </row>
    <row r="149" spans="2:164" ht="36" x14ac:dyDescent="0.2">
      <c r="B149" s="224" t="s">
        <v>330</v>
      </c>
      <c r="C149" s="225" t="s">
        <v>331</v>
      </c>
      <c r="D149" s="225" t="s">
        <v>332</v>
      </c>
      <c r="E149" s="225" t="s">
        <v>333</v>
      </c>
      <c r="F149" s="225" t="s">
        <v>2</v>
      </c>
      <c r="G149" s="225" t="s">
        <v>3</v>
      </c>
      <c r="H149" s="225" t="s">
        <v>334</v>
      </c>
      <c r="I149" s="225" t="s">
        <v>352</v>
      </c>
      <c r="J149" s="225" t="s">
        <v>346</v>
      </c>
      <c r="K149" s="225" t="s">
        <v>335</v>
      </c>
      <c r="L149" s="225" t="s">
        <v>336</v>
      </c>
      <c r="M149" s="225" t="s">
        <v>337</v>
      </c>
      <c r="N149" s="225" t="s">
        <v>338</v>
      </c>
      <c r="O149" s="225" t="s">
        <v>353</v>
      </c>
      <c r="P149" s="225" t="s">
        <v>347</v>
      </c>
      <c r="Q149" s="225" t="s">
        <v>339</v>
      </c>
      <c r="R149" s="225" t="s">
        <v>340</v>
      </c>
      <c r="S149" s="225" t="s">
        <v>341</v>
      </c>
      <c r="T149" s="225" t="s">
        <v>6</v>
      </c>
      <c r="U149" s="225" t="s">
        <v>342</v>
      </c>
      <c r="V149" s="225" t="s">
        <v>343</v>
      </c>
      <c r="W149" s="226" t="s">
        <v>7</v>
      </c>
      <c r="X149" s="208"/>
      <c r="Y149" s="224" t="s">
        <v>330</v>
      </c>
      <c r="Z149" s="225" t="s">
        <v>331</v>
      </c>
      <c r="AA149" s="225" t="s">
        <v>332</v>
      </c>
      <c r="AB149" s="225" t="s">
        <v>333</v>
      </c>
      <c r="AC149" s="225" t="s">
        <v>2</v>
      </c>
      <c r="AD149" s="225" t="s">
        <v>3</v>
      </c>
      <c r="AE149" s="225" t="s">
        <v>334</v>
      </c>
      <c r="AF149" s="225" t="s">
        <v>352</v>
      </c>
      <c r="AG149" s="225" t="s">
        <v>346</v>
      </c>
      <c r="AH149" s="225" t="s">
        <v>335</v>
      </c>
      <c r="AI149" s="225" t="s">
        <v>336</v>
      </c>
      <c r="AJ149" s="225" t="s">
        <v>337</v>
      </c>
      <c r="AK149" s="225" t="s">
        <v>338</v>
      </c>
      <c r="AL149" s="225" t="s">
        <v>353</v>
      </c>
      <c r="AM149" s="225" t="s">
        <v>347</v>
      </c>
      <c r="AN149" s="225" t="s">
        <v>339</v>
      </c>
      <c r="AO149" s="225" t="s">
        <v>340</v>
      </c>
      <c r="AP149" s="225" t="s">
        <v>341</v>
      </c>
      <c r="AQ149" s="225" t="s">
        <v>6</v>
      </c>
      <c r="AR149" s="225" t="s">
        <v>342</v>
      </c>
      <c r="AS149" s="225" t="s">
        <v>343</v>
      </c>
      <c r="AT149" s="226" t="s">
        <v>7</v>
      </c>
      <c r="AV149" s="224" t="s">
        <v>330</v>
      </c>
      <c r="AW149" s="225" t="s">
        <v>331</v>
      </c>
      <c r="AX149" s="225" t="s">
        <v>332</v>
      </c>
      <c r="AY149" s="225" t="s">
        <v>333</v>
      </c>
      <c r="AZ149" s="225" t="s">
        <v>2</v>
      </c>
      <c r="BA149" s="225" t="s">
        <v>3</v>
      </c>
      <c r="BB149" s="225" t="s">
        <v>334</v>
      </c>
      <c r="BC149" s="225" t="s">
        <v>350</v>
      </c>
      <c r="BD149" s="225" t="s">
        <v>346</v>
      </c>
      <c r="BE149" s="225" t="s">
        <v>335</v>
      </c>
      <c r="BF149" s="225" t="s">
        <v>336</v>
      </c>
      <c r="BG149" s="225" t="s">
        <v>337</v>
      </c>
      <c r="BH149" s="225" t="s">
        <v>338</v>
      </c>
      <c r="BI149" s="225" t="s">
        <v>349</v>
      </c>
      <c r="BJ149" s="225" t="s">
        <v>347</v>
      </c>
      <c r="BK149" s="225" t="s">
        <v>339</v>
      </c>
      <c r="BL149" s="225" t="s">
        <v>340</v>
      </c>
      <c r="BM149" s="225" t="s">
        <v>341</v>
      </c>
      <c r="BN149" s="225" t="s">
        <v>6</v>
      </c>
      <c r="BO149" s="225" t="s">
        <v>342</v>
      </c>
      <c r="BP149" s="225" t="s">
        <v>343</v>
      </c>
      <c r="BQ149" s="226" t="s">
        <v>7</v>
      </c>
      <c r="BR149" s="235"/>
      <c r="BS149" s="236"/>
      <c r="BT149" s="283"/>
      <c r="BU149" s="288" t="s">
        <v>330</v>
      </c>
      <c r="BV149" s="289" t="s">
        <v>331</v>
      </c>
      <c r="BW149" s="289" t="s">
        <v>332</v>
      </c>
      <c r="BX149" s="289" t="s">
        <v>333</v>
      </c>
      <c r="BY149" s="289" t="s">
        <v>2</v>
      </c>
      <c r="BZ149" s="289" t="s">
        <v>3</v>
      </c>
      <c r="CA149" s="289" t="s">
        <v>334</v>
      </c>
      <c r="CB149" s="289" t="s">
        <v>352</v>
      </c>
      <c r="CC149" s="289" t="s">
        <v>346</v>
      </c>
      <c r="CD149" s="289" t="s">
        <v>335</v>
      </c>
      <c r="CE149" s="289" t="s">
        <v>336</v>
      </c>
      <c r="CF149" s="289" t="s">
        <v>337</v>
      </c>
      <c r="CG149" s="289" t="s">
        <v>338</v>
      </c>
      <c r="CH149" s="289" t="s">
        <v>353</v>
      </c>
      <c r="CI149" s="289" t="s">
        <v>347</v>
      </c>
      <c r="CJ149" s="289" t="s">
        <v>339</v>
      </c>
      <c r="CK149" s="289" t="s">
        <v>340</v>
      </c>
      <c r="CL149" s="289" t="s">
        <v>341</v>
      </c>
      <c r="CM149" s="289" t="s">
        <v>6</v>
      </c>
      <c r="CN149" s="289" t="s">
        <v>342</v>
      </c>
      <c r="CO149" s="289" t="s">
        <v>343</v>
      </c>
      <c r="CP149" s="290" t="s">
        <v>7</v>
      </c>
      <c r="CQ149" s="291"/>
      <c r="CR149" s="288" t="s">
        <v>330</v>
      </c>
      <c r="CS149" s="289" t="s">
        <v>331</v>
      </c>
      <c r="CT149" s="289" t="s">
        <v>332</v>
      </c>
      <c r="CU149" s="289" t="s">
        <v>333</v>
      </c>
      <c r="CV149" s="289" t="s">
        <v>2</v>
      </c>
      <c r="CW149" s="289" t="s">
        <v>3</v>
      </c>
      <c r="CX149" s="289" t="s">
        <v>334</v>
      </c>
      <c r="CY149" s="289" t="s">
        <v>352</v>
      </c>
      <c r="CZ149" s="289" t="s">
        <v>346</v>
      </c>
      <c r="DA149" s="289" t="s">
        <v>335</v>
      </c>
      <c r="DB149" s="289" t="s">
        <v>336</v>
      </c>
      <c r="DC149" s="289" t="s">
        <v>337</v>
      </c>
      <c r="DD149" s="289" t="s">
        <v>338</v>
      </c>
      <c r="DE149" s="289" t="s">
        <v>353</v>
      </c>
      <c r="DF149" s="289" t="s">
        <v>347</v>
      </c>
      <c r="DG149" s="289" t="s">
        <v>339</v>
      </c>
      <c r="DH149" s="289" t="s">
        <v>340</v>
      </c>
      <c r="DI149" s="289" t="s">
        <v>341</v>
      </c>
      <c r="DJ149" s="289" t="s">
        <v>6</v>
      </c>
      <c r="DK149" s="289" t="s">
        <v>342</v>
      </c>
      <c r="DL149" s="289" t="s">
        <v>343</v>
      </c>
      <c r="DM149" s="290" t="s">
        <v>7</v>
      </c>
      <c r="DN149" s="302"/>
      <c r="DO149" s="291"/>
      <c r="DP149" s="288" t="s">
        <v>330</v>
      </c>
      <c r="DQ149" s="289" t="s">
        <v>331</v>
      </c>
      <c r="DR149" s="289" t="s">
        <v>332</v>
      </c>
      <c r="DS149" s="289" t="s">
        <v>333</v>
      </c>
      <c r="DT149" s="289" t="s">
        <v>2</v>
      </c>
      <c r="DU149" s="289" t="s">
        <v>3</v>
      </c>
      <c r="DV149" s="289" t="s">
        <v>334</v>
      </c>
      <c r="DW149" s="289" t="s">
        <v>352</v>
      </c>
      <c r="DX149" s="289" t="s">
        <v>346</v>
      </c>
      <c r="DY149" s="289" t="s">
        <v>335</v>
      </c>
      <c r="DZ149" s="289" t="s">
        <v>336</v>
      </c>
      <c r="EA149" s="289" t="s">
        <v>337</v>
      </c>
      <c r="EB149" s="289" t="s">
        <v>338</v>
      </c>
      <c r="EC149" s="289" t="s">
        <v>353</v>
      </c>
      <c r="ED149" s="289" t="s">
        <v>347</v>
      </c>
      <c r="EE149" s="289" t="s">
        <v>339</v>
      </c>
      <c r="EF149" s="289" t="s">
        <v>340</v>
      </c>
      <c r="EG149" s="289" t="s">
        <v>341</v>
      </c>
      <c r="EH149" s="289" t="s">
        <v>6</v>
      </c>
      <c r="EI149" s="289" t="s">
        <v>342</v>
      </c>
      <c r="EJ149" s="289" t="s">
        <v>343</v>
      </c>
      <c r="EK149" s="290" t="s">
        <v>7</v>
      </c>
      <c r="EL149" s="287"/>
      <c r="EM149" s="288" t="s">
        <v>330</v>
      </c>
      <c r="EN149" s="289" t="s">
        <v>331</v>
      </c>
      <c r="EO149" s="289" t="s">
        <v>332</v>
      </c>
      <c r="EP149" s="289" t="s">
        <v>333</v>
      </c>
      <c r="EQ149" s="289" t="s">
        <v>2</v>
      </c>
      <c r="ER149" s="289" t="s">
        <v>3</v>
      </c>
      <c r="ES149" s="289" t="s">
        <v>334</v>
      </c>
      <c r="ET149" s="289" t="s">
        <v>352</v>
      </c>
      <c r="EU149" s="289" t="s">
        <v>346</v>
      </c>
      <c r="EV149" s="289" t="s">
        <v>335</v>
      </c>
      <c r="EW149" s="289" t="s">
        <v>336</v>
      </c>
      <c r="EX149" s="289" t="s">
        <v>337</v>
      </c>
      <c r="EY149" s="289" t="s">
        <v>338</v>
      </c>
      <c r="EZ149" s="289" t="s">
        <v>353</v>
      </c>
      <c r="FA149" s="289" t="s">
        <v>347</v>
      </c>
      <c r="FB149" s="289" t="s">
        <v>339</v>
      </c>
      <c r="FC149" s="289" t="s">
        <v>340</v>
      </c>
      <c r="FD149" s="289" t="s">
        <v>341</v>
      </c>
      <c r="FE149" s="289" t="s">
        <v>6</v>
      </c>
      <c r="FF149" s="289" t="s">
        <v>342</v>
      </c>
      <c r="FG149" s="289" t="s">
        <v>343</v>
      </c>
      <c r="FH149" s="290" t="s">
        <v>7</v>
      </c>
    </row>
    <row r="150" spans="2:164" x14ac:dyDescent="0.2">
      <c r="B150" s="233" t="s">
        <v>331</v>
      </c>
      <c r="C150" s="227">
        <v>137</v>
      </c>
      <c r="D150" s="227">
        <v>46</v>
      </c>
      <c r="E150" s="227">
        <v>15</v>
      </c>
      <c r="F150" s="227">
        <v>3</v>
      </c>
      <c r="G150" s="227">
        <v>0</v>
      </c>
      <c r="H150" s="227">
        <v>0</v>
      </c>
      <c r="I150" s="227">
        <v>6</v>
      </c>
      <c r="J150" s="227">
        <v>0</v>
      </c>
      <c r="K150" s="227">
        <v>0</v>
      </c>
      <c r="L150" s="227">
        <v>0</v>
      </c>
      <c r="M150" s="227">
        <v>0</v>
      </c>
      <c r="N150" s="227">
        <v>1</v>
      </c>
      <c r="O150" s="227">
        <v>0</v>
      </c>
      <c r="P150" s="227">
        <v>0</v>
      </c>
      <c r="Q150" s="227">
        <v>0</v>
      </c>
      <c r="R150" s="227">
        <v>0</v>
      </c>
      <c r="S150" s="227">
        <v>0</v>
      </c>
      <c r="T150" s="227">
        <v>0</v>
      </c>
      <c r="U150" s="227">
        <v>1</v>
      </c>
      <c r="V150" s="227">
        <v>0</v>
      </c>
      <c r="W150" s="230">
        <v>209</v>
      </c>
      <c r="X150" s="208"/>
      <c r="Y150" s="233" t="s">
        <v>331</v>
      </c>
      <c r="Z150" s="227">
        <v>3069.1313511024787</v>
      </c>
      <c r="AA150" s="227">
        <v>1646.4936391522458</v>
      </c>
      <c r="AB150" s="227">
        <v>15.530734312865974</v>
      </c>
      <c r="AC150" s="251">
        <v>69.759184007568038</v>
      </c>
      <c r="AD150" s="251">
        <v>0</v>
      </c>
      <c r="AE150" s="251">
        <v>0</v>
      </c>
      <c r="AF150" s="251">
        <v>0</v>
      </c>
      <c r="AG150" s="251">
        <v>0</v>
      </c>
      <c r="AH150" s="251">
        <v>0</v>
      </c>
      <c r="AI150" s="251">
        <v>0</v>
      </c>
      <c r="AJ150" s="251">
        <v>0</v>
      </c>
      <c r="AK150" s="251">
        <v>0</v>
      </c>
      <c r="AL150" s="251">
        <v>0</v>
      </c>
      <c r="AM150" s="251">
        <v>0</v>
      </c>
      <c r="AN150" s="251">
        <v>0</v>
      </c>
      <c r="AO150" s="251">
        <v>0</v>
      </c>
      <c r="AP150" s="251">
        <v>0</v>
      </c>
      <c r="AQ150" s="251">
        <v>0</v>
      </c>
      <c r="AR150" s="251">
        <v>0</v>
      </c>
      <c r="AS150" s="251">
        <v>0</v>
      </c>
      <c r="AT150" s="230">
        <v>4800.9149085751578</v>
      </c>
      <c r="AV150" s="233" t="s">
        <v>331</v>
      </c>
      <c r="AW150" s="227">
        <f>Z150</f>
        <v>3069.1313511024787</v>
      </c>
      <c r="AX150" s="227">
        <f>AA150</f>
        <v>1646.4936391522458</v>
      </c>
      <c r="AY150" s="227">
        <f>AB150</f>
        <v>15.530734312865974</v>
      </c>
      <c r="AZ150" s="232">
        <v>0</v>
      </c>
      <c r="BA150" s="256">
        <v>0</v>
      </c>
      <c r="BB150" s="232">
        <v>0</v>
      </c>
      <c r="BC150" s="232">
        <v>0</v>
      </c>
      <c r="BD150" s="232">
        <v>0</v>
      </c>
      <c r="BE150" s="232">
        <v>0</v>
      </c>
      <c r="BF150" s="232">
        <v>0</v>
      </c>
      <c r="BG150" s="232">
        <v>0</v>
      </c>
      <c r="BH150" s="232">
        <v>0</v>
      </c>
      <c r="BI150" s="232">
        <v>0</v>
      </c>
      <c r="BJ150" s="232">
        <v>0</v>
      </c>
      <c r="BK150" s="232">
        <v>0</v>
      </c>
      <c r="BL150" s="232">
        <v>0</v>
      </c>
      <c r="BM150" s="232">
        <v>0</v>
      </c>
      <c r="BN150" s="232">
        <v>0</v>
      </c>
      <c r="BO150" s="232">
        <v>0</v>
      </c>
      <c r="BP150" s="251">
        <v>0</v>
      </c>
      <c r="BQ150" s="230">
        <f t="shared" ref="BQ150:BQ170" si="347">SUM(AW150:BP150)</f>
        <v>4731.1557245675904</v>
      </c>
      <c r="BR150" s="237"/>
      <c r="BS150" s="227"/>
      <c r="BT150" s="284"/>
      <c r="BU150" s="292" t="s">
        <v>331</v>
      </c>
      <c r="BV150" s="293">
        <v>3</v>
      </c>
      <c r="BW150" s="293">
        <v>0</v>
      </c>
      <c r="BX150" s="293">
        <v>0</v>
      </c>
      <c r="BY150" s="293">
        <v>0</v>
      </c>
      <c r="BZ150" s="293">
        <v>0</v>
      </c>
      <c r="CA150" s="293">
        <v>0</v>
      </c>
      <c r="CB150" s="293">
        <v>0</v>
      </c>
      <c r="CC150" s="293">
        <v>0</v>
      </c>
      <c r="CD150" s="293">
        <v>0</v>
      </c>
      <c r="CE150" s="293">
        <v>0</v>
      </c>
      <c r="CF150" s="293">
        <v>0</v>
      </c>
      <c r="CG150" s="293">
        <v>0</v>
      </c>
      <c r="CH150" s="293">
        <v>0</v>
      </c>
      <c r="CI150" s="293">
        <v>0</v>
      </c>
      <c r="CJ150" s="293">
        <v>0</v>
      </c>
      <c r="CK150" s="293">
        <v>0</v>
      </c>
      <c r="CL150" s="293">
        <v>0</v>
      </c>
      <c r="CM150" s="293">
        <v>0</v>
      </c>
      <c r="CN150" s="293">
        <v>0</v>
      </c>
      <c r="CO150" s="293">
        <v>0</v>
      </c>
      <c r="CP150" s="294">
        <v>3</v>
      </c>
      <c r="CQ150" s="295"/>
      <c r="CR150" s="292" t="s">
        <v>331</v>
      </c>
      <c r="CS150" s="293">
        <v>616.92661173663839</v>
      </c>
      <c r="CT150" s="293">
        <v>0</v>
      </c>
      <c r="CU150" s="293">
        <v>0</v>
      </c>
      <c r="CV150" s="293">
        <v>0</v>
      </c>
      <c r="CW150" s="293">
        <v>0</v>
      </c>
      <c r="CX150" s="293">
        <v>0</v>
      </c>
      <c r="CY150" s="293">
        <v>0</v>
      </c>
      <c r="CZ150" s="293">
        <v>0</v>
      </c>
      <c r="DA150" s="293">
        <v>0</v>
      </c>
      <c r="DB150" s="293">
        <v>0</v>
      </c>
      <c r="DC150" s="293">
        <v>0</v>
      </c>
      <c r="DD150" s="293">
        <v>0</v>
      </c>
      <c r="DE150" s="293">
        <v>0</v>
      </c>
      <c r="DF150" s="293">
        <v>0</v>
      </c>
      <c r="DG150" s="293">
        <v>0</v>
      </c>
      <c r="DH150" s="293">
        <v>0</v>
      </c>
      <c r="DI150" s="293">
        <v>0</v>
      </c>
      <c r="DJ150" s="293">
        <v>0</v>
      </c>
      <c r="DK150" s="293">
        <v>0</v>
      </c>
      <c r="DL150" s="293">
        <v>0</v>
      </c>
      <c r="DM150" s="294">
        <v>616.92661173663839</v>
      </c>
      <c r="DN150" s="291"/>
      <c r="DO150" s="295"/>
      <c r="DP150" s="292" t="s">
        <v>331</v>
      </c>
      <c r="DQ150" s="293">
        <v>9</v>
      </c>
      <c r="DR150" s="293">
        <v>7</v>
      </c>
      <c r="DS150" s="293">
        <v>6</v>
      </c>
      <c r="DT150" s="293">
        <v>0</v>
      </c>
      <c r="DU150" s="293">
        <v>0</v>
      </c>
      <c r="DV150" s="293">
        <v>0</v>
      </c>
      <c r="DW150" s="293">
        <v>0</v>
      </c>
      <c r="DX150" s="293">
        <v>0</v>
      </c>
      <c r="DY150" s="293">
        <v>0</v>
      </c>
      <c r="DZ150" s="293">
        <v>0</v>
      </c>
      <c r="EA150" s="293">
        <v>0</v>
      </c>
      <c r="EB150" s="293">
        <v>0</v>
      </c>
      <c r="EC150" s="293">
        <v>0</v>
      </c>
      <c r="ED150" s="293">
        <v>0</v>
      </c>
      <c r="EE150" s="293">
        <v>0</v>
      </c>
      <c r="EF150" s="293">
        <v>0</v>
      </c>
      <c r="EG150" s="293">
        <v>0</v>
      </c>
      <c r="EH150" s="293">
        <v>0</v>
      </c>
      <c r="EI150" s="293">
        <v>0</v>
      </c>
      <c r="EJ150" s="293">
        <v>0</v>
      </c>
      <c r="EK150" s="294">
        <v>22</v>
      </c>
      <c r="EL150" s="287"/>
      <c r="EM150" s="292" t="s">
        <v>331</v>
      </c>
      <c r="EN150" s="293">
        <v>616.92661173663839</v>
      </c>
      <c r="EO150" s="293">
        <v>375.81546466274062</v>
      </c>
      <c r="EP150" s="293">
        <v>0</v>
      </c>
      <c r="EQ150" s="293">
        <v>0</v>
      </c>
      <c r="ER150" s="293">
        <v>0</v>
      </c>
      <c r="ES150" s="293">
        <v>0</v>
      </c>
      <c r="ET150" s="293">
        <v>0</v>
      </c>
      <c r="EU150" s="293">
        <v>0</v>
      </c>
      <c r="EV150" s="293">
        <v>0</v>
      </c>
      <c r="EW150" s="293">
        <v>0</v>
      </c>
      <c r="EX150" s="293">
        <v>0</v>
      </c>
      <c r="EY150" s="293">
        <v>0</v>
      </c>
      <c r="EZ150" s="293">
        <v>0</v>
      </c>
      <c r="FA150" s="293">
        <v>0</v>
      </c>
      <c r="FB150" s="293">
        <v>0</v>
      </c>
      <c r="FC150" s="293">
        <v>0</v>
      </c>
      <c r="FD150" s="293">
        <v>0</v>
      </c>
      <c r="FE150" s="293">
        <v>0</v>
      </c>
      <c r="FF150" s="293">
        <v>0</v>
      </c>
      <c r="FG150" s="293">
        <v>0</v>
      </c>
      <c r="FH150" s="294">
        <v>992.74207639937902</v>
      </c>
    </row>
    <row r="151" spans="2:164" x14ac:dyDescent="0.2">
      <c r="B151" s="215" t="s">
        <v>332</v>
      </c>
      <c r="C151" s="227">
        <v>0</v>
      </c>
      <c r="D151" s="227">
        <v>8216</v>
      </c>
      <c r="E151" s="227">
        <v>719</v>
      </c>
      <c r="F151" s="227">
        <v>0</v>
      </c>
      <c r="G151" s="227">
        <v>0</v>
      </c>
      <c r="H151" s="227">
        <v>1</v>
      </c>
      <c r="I151" s="227">
        <v>2</v>
      </c>
      <c r="J151" s="227">
        <v>0</v>
      </c>
      <c r="K151" s="227">
        <v>0</v>
      </c>
      <c r="L151" s="227">
        <v>0</v>
      </c>
      <c r="M151" s="227">
        <v>0</v>
      </c>
      <c r="N151" s="227">
        <v>2</v>
      </c>
      <c r="O151" s="227">
        <v>0</v>
      </c>
      <c r="P151" s="227">
        <v>0</v>
      </c>
      <c r="Q151" s="227">
        <v>0</v>
      </c>
      <c r="R151" s="227">
        <v>0</v>
      </c>
      <c r="S151" s="227">
        <v>0</v>
      </c>
      <c r="T151" s="227">
        <v>0</v>
      </c>
      <c r="U151" s="227">
        <v>8</v>
      </c>
      <c r="V151" s="227">
        <v>0</v>
      </c>
      <c r="W151" s="230">
        <v>8948</v>
      </c>
      <c r="X151" s="208"/>
      <c r="Y151" s="215" t="s">
        <v>332</v>
      </c>
      <c r="Z151" s="227">
        <v>0</v>
      </c>
      <c r="AA151" s="227">
        <v>675445.71819640521</v>
      </c>
      <c r="AB151" s="227">
        <v>105774.58959328753</v>
      </c>
      <c r="AC151" s="227">
        <v>0</v>
      </c>
      <c r="AD151" s="227">
        <v>0</v>
      </c>
      <c r="AE151" s="227">
        <v>20.384250806452204</v>
      </c>
      <c r="AF151" s="227">
        <v>82.694753297608145</v>
      </c>
      <c r="AG151" s="227">
        <v>0</v>
      </c>
      <c r="AH151" s="227">
        <v>0</v>
      </c>
      <c r="AI151" s="227">
        <v>0</v>
      </c>
      <c r="AJ151" s="227">
        <v>0</v>
      </c>
      <c r="AK151" s="251">
        <v>0</v>
      </c>
      <c r="AL151" s="251">
        <v>0</v>
      </c>
      <c r="AM151" s="251">
        <v>0</v>
      </c>
      <c r="AN151" s="251">
        <v>0</v>
      </c>
      <c r="AO151" s="251">
        <v>0</v>
      </c>
      <c r="AP151" s="251">
        <v>0</v>
      </c>
      <c r="AQ151" s="227">
        <v>0</v>
      </c>
      <c r="AR151" s="227">
        <v>39.262277864884311</v>
      </c>
      <c r="AS151" s="227">
        <v>0</v>
      </c>
      <c r="AT151" s="230">
        <v>781362.64907166164</v>
      </c>
      <c r="AV151" s="215" t="s">
        <v>332</v>
      </c>
      <c r="AW151" s="227">
        <f t="shared" ref="AW151:AX153" si="348">Z151</f>
        <v>0</v>
      </c>
      <c r="AX151" s="227">
        <f t="shared" si="348"/>
        <v>675445.71819640521</v>
      </c>
      <c r="AY151" s="227">
        <f t="shared" ref="AY151:AY153" si="349">AB151</f>
        <v>105774.58959328753</v>
      </c>
      <c r="AZ151" s="227">
        <f>AC151</f>
        <v>0</v>
      </c>
      <c r="BA151" s="227">
        <f t="shared" ref="BA151:BA169" si="350">AD151</f>
        <v>0</v>
      </c>
      <c r="BB151" s="227">
        <f t="shared" ref="BB151:BB153" si="351">AE151</f>
        <v>20.384250806452204</v>
      </c>
      <c r="BC151" s="227">
        <f t="shared" ref="BC151:BC153" si="352">AF151</f>
        <v>82.694753297608145</v>
      </c>
      <c r="BD151" s="227">
        <f t="shared" ref="BD151:BD153" si="353">AG151</f>
        <v>0</v>
      </c>
      <c r="BE151" s="227">
        <f t="shared" ref="BE151:BE153" si="354">AH151</f>
        <v>0</v>
      </c>
      <c r="BF151" s="227">
        <f t="shared" ref="BF151:BF153" si="355">AI151</f>
        <v>0</v>
      </c>
      <c r="BG151" s="227">
        <f t="shared" ref="BG151:BG153" si="356">AJ151</f>
        <v>0</v>
      </c>
      <c r="BH151" s="232">
        <v>0</v>
      </c>
      <c r="BI151" s="251">
        <v>0</v>
      </c>
      <c r="BJ151" s="232">
        <v>0</v>
      </c>
      <c r="BK151" s="251">
        <v>0</v>
      </c>
      <c r="BL151" s="232">
        <v>0</v>
      </c>
      <c r="BM151" s="232">
        <v>0</v>
      </c>
      <c r="BN151" s="227">
        <f>AQ151</f>
        <v>0</v>
      </c>
      <c r="BO151" s="227">
        <f t="shared" ref="BO151:BO153" si="357">AR151</f>
        <v>39.262277864884311</v>
      </c>
      <c r="BP151" s="227">
        <f t="shared" ref="BP151:BP153" si="358">AS151</f>
        <v>0</v>
      </c>
      <c r="BQ151" s="230">
        <f t="shared" si="347"/>
        <v>781362.64907166164</v>
      </c>
      <c r="BR151" s="237"/>
      <c r="BS151" s="227"/>
      <c r="BT151" s="284"/>
      <c r="BU151" s="296" t="s">
        <v>332</v>
      </c>
      <c r="BV151" s="293">
        <v>0</v>
      </c>
      <c r="BW151" s="293">
        <v>833</v>
      </c>
      <c r="BX151" s="293">
        <v>81</v>
      </c>
      <c r="BY151" s="293">
        <v>0</v>
      </c>
      <c r="BZ151" s="293">
        <v>0</v>
      </c>
      <c r="CA151" s="293">
        <v>0</v>
      </c>
      <c r="CB151" s="293">
        <v>0</v>
      </c>
      <c r="CC151" s="293">
        <v>0</v>
      </c>
      <c r="CD151" s="293">
        <v>0</v>
      </c>
      <c r="CE151" s="293">
        <v>0</v>
      </c>
      <c r="CF151" s="293">
        <v>0</v>
      </c>
      <c r="CG151" s="293">
        <v>0</v>
      </c>
      <c r="CH151" s="293">
        <v>0</v>
      </c>
      <c r="CI151" s="293">
        <v>0</v>
      </c>
      <c r="CJ151" s="293">
        <v>0</v>
      </c>
      <c r="CK151" s="293">
        <v>0</v>
      </c>
      <c r="CL151" s="293">
        <v>0</v>
      </c>
      <c r="CM151" s="293">
        <v>0</v>
      </c>
      <c r="CN151" s="293">
        <v>0</v>
      </c>
      <c r="CO151" s="293">
        <v>0</v>
      </c>
      <c r="CP151" s="294">
        <v>914</v>
      </c>
      <c r="CQ151" s="295"/>
      <c r="CR151" s="296" t="s">
        <v>332</v>
      </c>
      <c r="CS151" s="293">
        <v>0</v>
      </c>
      <c r="CT151" s="293">
        <v>35243.928529335361</v>
      </c>
      <c r="CU151" s="293">
        <v>8505.6402648221592</v>
      </c>
      <c r="CV151" s="293">
        <v>0</v>
      </c>
      <c r="CW151" s="293">
        <v>0</v>
      </c>
      <c r="CX151" s="293">
        <v>0</v>
      </c>
      <c r="CY151" s="293">
        <v>0</v>
      </c>
      <c r="CZ151" s="293">
        <v>0</v>
      </c>
      <c r="DA151" s="293">
        <v>0</v>
      </c>
      <c r="DB151" s="293">
        <v>0</v>
      </c>
      <c r="DC151" s="293">
        <v>0</v>
      </c>
      <c r="DD151" s="293">
        <v>0</v>
      </c>
      <c r="DE151" s="293">
        <v>0</v>
      </c>
      <c r="DF151" s="293">
        <v>0</v>
      </c>
      <c r="DG151" s="293">
        <v>0</v>
      </c>
      <c r="DH151" s="293">
        <v>0</v>
      </c>
      <c r="DI151" s="293">
        <v>0</v>
      </c>
      <c r="DJ151" s="293">
        <v>0</v>
      </c>
      <c r="DK151" s="293">
        <v>0</v>
      </c>
      <c r="DL151" s="293">
        <v>0</v>
      </c>
      <c r="DM151" s="294">
        <v>43749.568794157516</v>
      </c>
      <c r="DN151" s="295"/>
      <c r="DO151" s="295"/>
      <c r="DP151" s="296" t="s">
        <v>332</v>
      </c>
      <c r="DQ151" s="293">
        <v>0</v>
      </c>
      <c r="DR151" s="293">
        <v>1367</v>
      </c>
      <c r="DS151" s="293">
        <v>149</v>
      </c>
      <c r="DT151" s="293">
        <v>0</v>
      </c>
      <c r="DU151" s="293">
        <v>0</v>
      </c>
      <c r="DV151" s="293">
        <v>0</v>
      </c>
      <c r="DW151" s="293">
        <v>0</v>
      </c>
      <c r="DX151" s="293">
        <v>0</v>
      </c>
      <c r="DY151" s="293">
        <v>0</v>
      </c>
      <c r="DZ151" s="293">
        <v>0</v>
      </c>
      <c r="EA151" s="293">
        <v>0</v>
      </c>
      <c r="EB151" s="293">
        <v>0</v>
      </c>
      <c r="EC151" s="293">
        <v>0</v>
      </c>
      <c r="ED151" s="293">
        <v>0</v>
      </c>
      <c r="EE151" s="293">
        <v>0</v>
      </c>
      <c r="EF151" s="293">
        <v>0</v>
      </c>
      <c r="EG151" s="293">
        <v>0</v>
      </c>
      <c r="EH151" s="293">
        <v>0</v>
      </c>
      <c r="EI151" s="293">
        <v>0</v>
      </c>
      <c r="EJ151" s="293">
        <v>0</v>
      </c>
      <c r="EK151" s="294">
        <v>1516</v>
      </c>
      <c r="EL151" s="287"/>
      <c r="EM151" s="296" t="s">
        <v>332</v>
      </c>
      <c r="EN151" s="293">
        <v>0</v>
      </c>
      <c r="EO151" s="293">
        <v>102084.96896646182</v>
      </c>
      <c r="EP151" s="293">
        <v>32049.002657942707</v>
      </c>
      <c r="EQ151" s="293">
        <v>0</v>
      </c>
      <c r="ER151" s="293">
        <v>0</v>
      </c>
      <c r="ES151" s="293">
        <v>0</v>
      </c>
      <c r="ET151" s="293">
        <v>0</v>
      </c>
      <c r="EU151" s="293">
        <v>0</v>
      </c>
      <c r="EV151" s="293">
        <v>0</v>
      </c>
      <c r="EW151" s="293">
        <v>0</v>
      </c>
      <c r="EX151" s="293">
        <v>0</v>
      </c>
      <c r="EY151" s="293">
        <v>0</v>
      </c>
      <c r="EZ151" s="293">
        <v>0</v>
      </c>
      <c r="FA151" s="293">
        <v>0</v>
      </c>
      <c r="FB151" s="293">
        <v>0</v>
      </c>
      <c r="FC151" s="293">
        <v>0</v>
      </c>
      <c r="FD151" s="293">
        <v>0</v>
      </c>
      <c r="FE151" s="293">
        <v>0</v>
      </c>
      <c r="FF151" s="293">
        <v>0</v>
      </c>
      <c r="FG151" s="293">
        <v>0</v>
      </c>
      <c r="FH151" s="294">
        <v>134133.97162440454</v>
      </c>
    </row>
    <row r="152" spans="2:164" ht="24" x14ac:dyDescent="0.2">
      <c r="B152" s="216" t="s">
        <v>333</v>
      </c>
      <c r="C152" s="227">
        <v>0</v>
      </c>
      <c r="D152" s="228">
        <v>0</v>
      </c>
      <c r="E152" s="229">
        <v>9916</v>
      </c>
      <c r="F152" s="229">
        <v>0</v>
      </c>
      <c r="G152" s="229">
        <v>0</v>
      </c>
      <c r="H152" s="229">
        <v>17</v>
      </c>
      <c r="I152" s="229">
        <v>7</v>
      </c>
      <c r="J152" s="229">
        <v>0</v>
      </c>
      <c r="K152" s="229">
        <v>0</v>
      </c>
      <c r="L152" s="229">
        <v>2</v>
      </c>
      <c r="M152" s="229">
        <v>0</v>
      </c>
      <c r="N152" s="229">
        <v>3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9</v>
      </c>
      <c r="V152" s="229">
        <v>0</v>
      </c>
      <c r="W152" s="231">
        <v>9954</v>
      </c>
      <c r="X152" s="208"/>
      <c r="Y152" s="216" t="s">
        <v>333</v>
      </c>
      <c r="Z152" s="227">
        <v>0</v>
      </c>
      <c r="AA152" s="228">
        <v>0</v>
      </c>
      <c r="AB152" s="229">
        <v>1268320.0522981412</v>
      </c>
      <c r="AC152" s="229">
        <v>0</v>
      </c>
      <c r="AD152" s="229">
        <v>0</v>
      </c>
      <c r="AE152" s="229">
        <v>0</v>
      </c>
      <c r="AF152" s="229">
        <v>82.694753297608145</v>
      </c>
      <c r="AG152" s="229">
        <v>0</v>
      </c>
      <c r="AH152" s="229">
        <v>0</v>
      </c>
      <c r="AI152" s="229">
        <v>0</v>
      </c>
      <c r="AJ152" s="229">
        <v>0</v>
      </c>
      <c r="AK152" s="253">
        <v>0</v>
      </c>
      <c r="AL152" s="253">
        <v>0</v>
      </c>
      <c r="AM152" s="253">
        <v>0</v>
      </c>
      <c r="AN152" s="253">
        <v>0</v>
      </c>
      <c r="AO152" s="253">
        <v>0</v>
      </c>
      <c r="AP152" s="253">
        <v>0</v>
      </c>
      <c r="AQ152" s="229">
        <v>0</v>
      </c>
      <c r="AR152" s="229">
        <v>5236.1074713835033</v>
      </c>
      <c r="AS152" s="229">
        <v>0</v>
      </c>
      <c r="AT152" s="231">
        <v>1273638.8545228222</v>
      </c>
      <c r="AV152" s="216" t="s">
        <v>333</v>
      </c>
      <c r="AW152" s="227">
        <f t="shared" si="348"/>
        <v>0</v>
      </c>
      <c r="AX152" s="227">
        <f t="shared" si="348"/>
        <v>0</v>
      </c>
      <c r="AY152" s="227">
        <f t="shared" si="349"/>
        <v>1268320.0522981412</v>
      </c>
      <c r="AZ152" s="227">
        <f t="shared" ref="AZ152:AZ153" si="359">AC152</f>
        <v>0</v>
      </c>
      <c r="BA152" s="227">
        <f t="shared" si="350"/>
        <v>0</v>
      </c>
      <c r="BB152" s="227">
        <f t="shared" si="351"/>
        <v>0</v>
      </c>
      <c r="BC152" s="227">
        <f t="shared" si="352"/>
        <v>82.694753297608145</v>
      </c>
      <c r="BD152" s="227">
        <f t="shared" si="353"/>
        <v>0</v>
      </c>
      <c r="BE152" s="227">
        <f t="shared" si="354"/>
        <v>0</v>
      </c>
      <c r="BF152" s="227">
        <f t="shared" si="355"/>
        <v>0</v>
      </c>
      <c r="BG152" s="227">
        <f t="shared" si="356"/>
        <v>0</v>
      </c>
      <c r="BH152" s="253">
        <v>0</v>
      </c>
      <c r="BI152" s="257">
        <v>0</v>
      </c>
      <c r="BJ152" s="257">
        <v>0</v>
      </c>
      <c r="BK152" s="253">
        <v>0</v>
      </c>
      <c r="BL152" s="257">
        <v>0</v>
      </c>
      <c r="BM152" s="257">
        <v>0</v>
      </c>
      <c r="BN152" s="227">
        <f t="shared" ref="BN152:BN153" si="360">AQ152</f>
        <v>0</v>
      </c>
      <c r="BO152" s="227">
        <f t="shared" si="357"/>
        <v>5236.1074713835033</v>
      </c>
      <c r="BP152" s="227">
        <f t="shared" si="358"/>
        <v>0</v>
      </c>
      <c r="BQ152" s="230">
        <f t="shared" si="347"/>
        <v>1273638.8545228222</v>
      </c>
      <c r="BR152" s="238"/>
      <c r="BS152" s="227"/>
      <c r="BT152" s="285"/>
      <c r="BU152" s="297" t="s">
        <v>333</v>
      </c>
      <c r="BV152" s="293">
        <v>0</v>
      </c>
      <c r="BW152" s="293">
        <v>0</v>
      </c>
      <c r="BX152" s="298">
        <v>940</v>
      </c>
      <c r="BY152" s="298">
        <v>0</v>
      </c>
      <c r="BZ152" s="298">
        <v>0</v>
      </c>
      <c r="CA152" s="298">
        <v>0</v>
      </c>
      <c r="CB152" s="298">
        <v>0</v>
      </c>
      <c r="CC152" s="298">
        <v>0</v>
      </c>
      <c r="CD152" s="298">
        <v>0</v>
      </c>
      <c r="CE152" s="298">
        <v>0</v>
      </c>
      <c r="CF152" s="298">
        <v>0</v>
      </c>
      <c r="CG152" s="298">
        <v>0</v>
      </c>
      <c r="CH152" s="298">
        <v>0</v>
      </c>
      <c r="CI152" s="298">
        <v>0</v>
      </c>
      <c r="CJ152" s="298">
        <v>0</v>
      </c>
      <c r="CK152" s="298">
        <v>0</v>
      </c>
      <c r="CL152" s="298">
        <v>0</v>
      </c>
      <c r="CM152" s="298">
        <v>0</v>
      </c>
      <c r="CN152" s="298">
        <v>0</v>
      </c>
      <c r="CO152" s="298">
        <v>0</v>
      </c>
      <c r="CP152" s="299">
        <v>940</v>
      </c>
      <c r="CQ152" s="291"/>
      <c r="CR152" s="297" t="s">
        <v>333</v>
      </c>
      <c r="CS152" s="293">
        <v>0</v>
      </c>
      <c r="CT152" s="293">
        <v>0</v>
      </c>
      <c r="CU152" s="298">
        <v>78846.017188957325</v>
      </c>
      <c r="CV152" s="298">
        <v>0</v>
      </c>
      <c r="CW152" s="298">
        <v>0</v>
      </c>
      <c r="CX152" s="298">
        <v>0</v>
      </c>
      <c r="CY152" s="298">
        <v>0</v>
      </c>
      <c r="CZ152" s="298">
        <v>0</v>
      </c>
      <c r="DA152" s="298">
        <v>0</v>
      </c>
      <c r="DB152" s="298">
        <v>0</v>
      </c>
      <c r="DC152" s="298">
        <v>0</v>
      </c>
      <c r="DD152" s="298">
        <v>0</v>
      </c>
      <c r="DE152" s="298">
        <v>0</v>
      </c>
      <c r="DF152" s="298">
        <v>0</v>
      </c>
      <c r="DG152" s="298">
        <v>0</v>
      </c>
      <c r="DH152" s="298">
        <v>0</v>
      </c>
      <c r="DI152" s="298">
        <v>0</v>
      </c>
      <c r="DJ152" s="298">
        <v>0</v>
      </c>
      <c r="DK152" s="298">
        <v>0</v>
      </c>
      <c r="DL152" s="298">
        <v>0</v>
      </c>
      <c r="DM152" s="299">
        <v>78846.017188957325</v>
      </c>
      <c r="DN152" s="295"/>
      <c r="DO152" s="291"/>
      <c r="DP152" s="297" t="s">
        <v>333</v>
      </c>
      <c r="DQ152" s="293">
        <v>0</v>
      </c>
      <c r="DR152" s="293">
        <v>0</v>
      </c>
      <c r="DS152" s="298">
        <v>1401</v>
      </c>
      <c r="DT152" s="298">
        <v>0</v>
      </c>
      <c r="DU152" s="298">
        <v>0</v>
      </c>
      <c r="DV152" s="298">
        <v>0</v>
      </c>
      <c r="DW152" s="298">
        <v>0</v>
      </c>
      <c r="DX152" s="298">
        <v>0</v>
      </c>
      <c r="DY152" s="298">
        <v>0</v>
      </c>
      <c r="DZ152" s="298">
        <v>0</v>
      </c>
      <c r="EA152" s="298">
        <v>0</v>
      </c>
      <c r="EB152" s="298">
        <v>3</v>
      </c>
      <c r="EC152" s="298">
        <v>0</v>
      </c>
      <c r="ED152" s="298">
        <v>0</v>
      </c>
      <c r="EE152" s="298">
        <v>0</v>
      </c>
      <c r="EF152" s="298">
        <v>0</v>
      </c>
      <c r="EG152" s="298">
        <v>0</v>
      </c>
      <c r="EH152" s="298">
        <v>0</v>
      </c>
      <c r="EI152" s="298">
        <v>0</v>
      </c>
      <c r="EJ152" s="298">
        <v>0</v>
      </c>
      <c r="EK152" s="299">
        <v>1404</v>
      </c>
      <c r="EL152" s="287"/>
      <c r="EM152" s="297" t="s">
        <v>333</v>
      </c>
      <c r="EN152" s="293">
        <v>0</v>
      </c>
      <c r="EO152" s="293">
        <v>0</v>
      </c>
      <c r="EP152" s="298">
        <v>187831.66083398912</v>
      </c>
      <c r="EQ152" s="298">
        <v>0</v>
      </c>
      <c r="ER152" s="298">
        <v>0</v>
      </c>
      <c r="ES152" s="298">
        <v>0</v>
      </c>
      <c r="ET152" s="298">
        <v>0</v>
      </c>
      <c r="EU152" s="298">
        <v>0</v>
      </c>
      <c r="EV152" s="298">
        <v>0</v>
      </c>
      <c r="EW152" s="298">
        <v>0</v>
      </c>
      <c r="EX152" s="298">
        <v>0</v>
      </c>
      <c r="EY152" s="298">
        <v>0</v>
      </c>
      <c r="EZ152" s="298">
        <v>0</v>
      </c>
      <c r="FA152" s="298">
        <v>0</v>
      </c>
      <c r="FB152" s="298">
        <v>0</v>
      </c>
      <c r="FC152" s="298">
        <v>0</v>
      </c>
      <c r="FD152" s="298">
        <v>0</v>
      </c>
      <c r="FE152" s="298">
        <v>0</v>
      </c>
      <c r="FF152" s="298">
        <v>0</v>
      </c>
      <c r="FG152" s="298">
        <v>0</v>
      </c>
      <c r="FH152" s="299">
        <v>187831.66083398912</v>
      </c>
    </row>
    <row r="153" spans="2:164" x14ac:dyDescent="0.2">
      <c r="B153" s="217" t="s">
        <v>2</v>
      </c>
      <c r="C153" s="227">
        <v>2</v>
      </c>
      <c r="D153" s="228">
        <v>164</v>
      </c>
      <c r="E153" s="208">
        <v>545</v>
      </c>
      <c r="F153" s="208">
        <v>4788</v>
      </c>
      <c r="G153" s="208">
        <v>12</v>
      </c>
      <c r="H153" s="208">
        <v>69</v>
      </c>
      <c r="I153" s="208">
        <v>24</v>
      </c>
      <c r="J153" s="208">
        <v>0</v>
      </c>
      <c r="K153" s="208">
        <v>0</v>
      </c>
      <c r="L153" s="208">
        <v>11</v>
      </c>
      <c r="M153" s="208">
        <v>6</v>
      </c>
      <c r="N153" s="208">
        <v>1</v>
      </c>
      <c r="O153" s="208">
        <v>0</v>
      </c>
      <c r="P153" s="208">
        <v>0</v>
      </c>
      <c r="Q153" s="208">
        <v>0</v>
      </c>
      <c r="R153" s="208">
        <v>0</v>
      </c>
      <c r="S153" s="208">
        <v>0</v>
      </c>
      <c r="T153" s="208">
        <v>2</v>
      </c>
      <c r="U153" s="208">
        <v>30</v>
      </c>
      <c r="V153" s="208">
        <v>2</v>
      </c>
      <c r="W153" s="222">
        <v>5656</v>
      </c>
      <c r="X153" s="208"/>
      <c r="Y153" s="217" t="s">
        <v>2</v>
      </c>
      <c r="Z153" s="227">
        <v>616.92661173663839</v>
      </c>
      <c r="AA153" s="228">
        <v>2018.9089567803155</v>
      </c>
      <c r="AB153" s="208">
        <v>24925.666421662656</v>
      </c>
      <c r="AC153" s="208">
        <v>313857.50790392491</v>
      </c>
      <c r="AD153" s="258">
        <v>0</v>
      </c>
      <c r="AE153" s="208">
        <v>810.12235316904389</v>
      </c>
      <c r="AF153" s="208">
        <v>109.4170215404491</v>
      </c>
      <c r="AG153" s="208">
        <v>0</v>
      </c>
      <c r="AH153" s="208">
        <v>0</v>
      </c>
      <c r="AI153" s="208">
        <v>0</v>
      </c>
      <c r="AJ153" s="208">
        <v>0</v>
      </c>
      <c r="AK153" s="252">
        <v>0</v>
      </c>
      <c r="AL153" s="252">
        <v>0</v>
      </c>
      <c r="AM153" s="252">
        <v>0</v>
      </c>
      <c r="AN153" s="252">
        <v>0</v>
      </c>
      <c r="AO153" s="252">
        <v>0</v>
      </c>
      <c r="AP153" s="252">
        <v>0</v>
      </c>
      <c r="AQ153" s="208">
        <v>0</v>
      </c>
      <c r="AR153" s="208">
        <v>183.8467040235974</v>
      </c>
      <c r="AS153" s="208">
        <v>0</v>
      </c>
      <c r="AT153" s="222">
        <v>342522.39597283764</v>
      </c>
      <c r="AV153" s="217" t="s">
        <v>2</v>
      </c>
      <c r="AW153" s="227">
        <f t="shared" si="348"/>
        <v>616.92661173663839</v>
      </c>
      <c r="AX153" s="227">
        <f t="shared" si="348"/>
        <v>2018.9089567803155</v>
      </c>
      <c r="AY153" s="227">
        <f t="shared" si="349"/>
        <v>24925.666421662656</v>
      </c>
      <c r="AZ153" s="227">
        <f t="shared" si="359"/>
        <v>313857.50790392491</v>
      </c>
      <c r="BA153" s="227">
        <f t="shared" si="350"/>
        <v>0</v>
      </c>
      <c r="BB153" s="227">
        <f t="shared" si="351"/>
        <v>810.12235316904389</v>
      </c>
      <c r="BC153" s="227">
        <f t="shared" si="352"/>
        <v>109.4170215404491</v>
      </c>
      <c r="BD153" s="227">
        <f t="shared" si="353"/>
        <v>0</v>
      </c>
      <c r="BE153" s="227">
        <f t="shared" si="354"/>
        <v>0</v>
      </c>
      <c r="BF153" s="227">
        <f t="shared" si="355"/>
        <v>0</v>
      </c>
      <c r="BG153" s="227">
        <f t="shared" si="356"/>
        <v>0</v>
      </c>
      <c r="BH153" s="252">
        <v>0</v>
      </c>
      <c r="BI153" s="255">
        <v>0</v>
      </c>
      <c r="BJ153" s="255">
        <v>0</v>
      </c>
      <c r="BK153" s="255">
        <v>0</v>
      </c>
      <c r="BL153" s="255">
        <v>0</v>
      </c>
      <c r="BM153" s="255">
        <v>0</v>
      </c>
      <c r="BN153" s="227">
        <f t="shared" si="360"/>
        <v>0</v>
      </c>
      <c r="BO153" s="227">
        <f t="shared" si="357"/>
        <v>183.8467040235974</v>
      </c>
      <c r="BP153" s="227">
        <f t="shared" si="358"/>
        <v>0</v>
      </c>
      <c r="BQ153" s="230">
        <f t="shared" si="347"/>
        <v>342522.39597283758</v>
      </c>
      <c r="BR153" s="214"/>
      <c r="BS153" s="227"/>
      <c r="BT153" s="286"/>
      <c r="BU153" s="300" t="s">
        <v>2</v>
      </c>
      <c r="BV153" s="293">
        <v>1</v>
      </c>
      <c r="BW153" s="293">
        <v>6</v>
      </c>
      <c r="BX153" s="258">
        <v>40</v>
      </c>
      <c r="BY153" s="258">
        <v>212</v>
      </c>
      <c r="BZ153" s="258">
        <v>0</v>
      </c>
      <c r="CA153" s="258">
        <v>0</v>
      </c>
      <c r="CB153" s="258">
        <v>0</v>
      </c>
      <c r="CC153" s="258">
        <v>0</v>
      </c>
      <c r="CD153" s="258">
        <v>0</v>
      </c>
      <c r="CE153" s="258">
        <v>0</v>
      </c>
      <c r="CF153" s="258">
        <v>0</v>
      </c>
      <c r="CG153" s="258">
        <v>0</v>
      </c>
      <c r="CH153" s="258">
        <v>0</v>
      </c>
      <c r="CI153" s="258">
        <v>0</v>
      </c>
      <c r="CJ153" s="258">
        <v>0</v>
      </c>
      <c r="CK153" s="258">
        <v>0</v>
      </c>
      <c r="CL153" s="258">
        <v>0</v>
      </c>
      <c r="CM153" s="258">
        <v>0</v>
      </c>
      <c r="CN153" s="258">
        <v>0</v>
      </c>
      <c r="CO153" s="258">
        <v>0</v>
      </c>
      <c r="CP153" s="301">
        <v>259</v>
      </c>
      <c r="CQ153" s="302"/>
      <c r="CR153" s="300" t="s">
        <v>2</v>
      </c>
      <c r="CS153" s="293">
        <v>616.92661173663839</v>
      </c>
      <c r="CT153" s="293">
        <v>0</v>
      </c>
      <c r="CU153" s="258">
        <v>0</v>
      </c>
      <c r="CV153" s="258">
        <v>2523.7938253276752</v>
      </c>
      <c r="CW153" s="258">
        <v>0</v>
      </c>
      <c r="CX153" s="258">
        <v>0</v>
      </c>
      <c r="CY153" s="258">
        <v>0</v>
      </c>
      <c r="CZ153" s="258">
        <v>0</v>
      </c>
      <c r="DA153" s="258">
        <v>0</v>
      </c>
      <c r="DB153" s="258">
        <v>0</v>
      </c>
      <c r="DC153" s="258">
        <v>0</v>
      </c>
      <c r="DD153" s="258">
        <v>0</v>
      </c>
      <c r="DE153" s="258">
        <v>0</v>
      </c>
      <c r="DF153" s="258">
        <v>0</v>
      </c>
      <c r="DG153" s="258">
        <v>0</v>
      </c>
      <c r="DH153" s="258">
        <v>0</v>
      </c>
      <c r="DI153" s="258">
        <v>0</v>
      </c>
      <c r="DJ153" s="258">
        <v>0</v>
      </c>
      <c r="DK153" s="258">
        <v>0</v>
      </c>
      <c r="DL153" s="258">
        <v>0</v>
      </c>
      <c r="DM153" s="301">
        <v>3140.7204370643135</v>
      </c>
      <c r="DN153" s="291"/>
      <c r="DO153" s="302"/>
      <c r="DP153" s="300" t="s">
        <v>2</v>
      </c>
      <c r="DQ153" s="293">
        <v>1</v>
      </c>
      <c r="DR153" s="293">
        <v>20</v>
      </c>
      <c r="DS153" s="258">
        <v>78</v>
      </c>
      <c r="DT153" s="258">
        <v>450</v>
      </c>
      <c r="DU153" s="258">
        <v>8</v>
      </c>
      <c r="DV153" s="258">
        <v>0</v>
      </c>
      <c r="DW153" s="258">
        <v>0</v>
      </c>
      <c r="DX153" s="258">
        <v>0</v>
      </c>
      <c r="DY153" s="258">
        <v>0</v>
      </c>
      <c r="DZ153" s="258">
        <v>0</v>
      </c>
      <c r="EA153" s="258">
        <v>0</v>
      </c>
      <c r="EB153" s="258">
        <v>0</v>
      </c>
      <c r="EC153" s="258">
        <v>0</v>
      </c>
      <c r="ED153" s="258">
        <v>0</v>
      </c>
      <c r="EE153" s="258">
        <v>0</v>
      </c>
      <c r="EF153" s="258">
        <v>0</v>
      </c>
      <c r="EG153" s="258">
        <v>0</v>
      </c>
      <c r="EH153" s="258">
        <v>0</v>
      </c>
      <c r="EI153" s="258">
        <v>0</v>
      </c>
      <c r="EJ153" s="258">
        <v>0</v>
      </c>
      <c r="EK153" s="301">
        <v>557</v>
      </c>
      <c r="EL153" s="287"/>
      <c r="EM153" s="300" t="s">
        <v>2</v>
      </c>
      <c r="EN153" s="293">
        <v>616.92661173663839</v>
      </c>
      <c r="EO153" s="293">
        <v>519.10372885261086</v>
      </c>
      <c r="EP153" s="258">
        <v>0</v>
      </c>
      <c r="EQ153" s="258">
        <v>21767.824768547875</v>
      </c>
      <c r="ER153" s="258">
        <v>0</v>
      </c>
      <c r="ES153" s="258">
        <v>0</v>
      </c>
      <c r="ET153" s="258">
        <v>0</v>
      </c>
      <c r="EU153" s="258">
        <v>0</v>
      </c>
      <c r="EV153" s="258">
        <v>0</v>
      </c>
      <c r="EW153" s="258">
        <v>0</v>
      </c>
      <c r="EX153" s="258">
        <v>0</v>
      </c>
      <c r="EY153" s="258">
        <v>0</v>
      </c>
      <c r="EZ153" s="258">
        <v>0</v>
      </c>
      <c r="FA153" s="258">
        <v>0</v>
      </c>
      <c r="FB153" s="258">
        <v>0</v>
      </c>
      <c r="FC153" s="258">
        <v>0</v>
      </c>
      <c r="FD153" s="258">
        <v>0</v>
      </c>
      <c r="FE153" s="258">
        <v>0</v>
      </c>
      <c r="FF153" s="258">
        <v>0</v>
      </c>
      <c r="FG153" s="258">
        <v>0</v>
      </c>
      <c r="FH153" s="301">
        <v>22903.855109137123</v>
      </c>
    </row>
    <row r="154" spans="2:164" x14ac:dyDescent="0.2">
      <c r="B154" s="217" t="s">
        <v>3</v>
      </c>
      <c r="C154" s="227">
        <v>0</v>
      </c>
      <c r="D154" s="228">
        <v>13</v>
      </c>
      <c r="E154" s="208">
        <v>5</v>
      </c>
      <c r="F154" s="208">
        <v>0</v>
      </c>
      <c r="G154" s="208">
        <v>328</v>
      </c>
      <c r="H154" s="208">
        <v>0</v>
      </c>
      <c r="I154" s="208">
        <v>0</v>
      </c>
      <c r="J154" s="208">
        <v>0</v>
      </c>
      <c r="K154" s="208">
        <v>0</v>
      </c>
      <c r="L154" s="208">
        <v>0</v>
      </c>
      <c r="M154" s="208">
        <v>0</v>
      </c>
      <c r="N154" s="208">
        <v>0</v>
      </c>
      <c r="O154" s="208">
        <v>0</v>
      </c>
      <c r="P154" s="208">
        <v>0</v>
      </c>
      <c r="Q154" s="208">
        <v>0</v>
      </c>
      <c r="R154" s="208">
        <v>0</v>
      </c>
      <c r="S154" s="208">
        <v>0</v>
      </c>
      <c r="T154" s="208">
        <v>0</v>
      </c>
      <c r="U154" s="208">
        <v>0</v>
      </c>
      <c r="V154" s="208">
        <v>0</v>
      </c>
      <c r="W154" s="222">
        <v>346</v>
      </c>
      <c r="X154" s="208"/>
      <c r="Y154" s="217" t="s">
        <v>3</v>
      </c>
      <c r="Z154" s="251">
        <v>0</v>
      </c>
      <c r="AA154" s="251">
        <v>17.186582583628567</v>
      </c>
      <c r="AB154" s="252">
        <v>0</v>
      </c>
      <c r="AC154" s="252">
        <v>0</v>
      </c>
      <c r="AD154" s="208">
        <v>5255.4772905342534</v>
      </c>
      <c r="AE154" s="252">
        <v>0</v>
      </c>
      <c r="AF154" s="252">
        <v>0</v>
      </c>
      <c r="AG154" s="252">
        <v>0</v>
      </c>
      <c r="AH154" s="252">
        <v>0</v>
      </c>
      <c r="AI154" s="252">
        <v>0</v>
      </c>
      <c r="AJ154" s="252">
        <v>0</v>
      </c>
      <c r="AK154" s="252">
        <v>0</v>
      </c>
      <c r="AL154" s="252">
        <v>0</v>
      </c>
      <c r="AM154" s="252">
        <v>0</v>
      </c>
      <c r="AN154" s="252">
        <v>0</v>
      </c>
      <c r="AO154" s="252">
        <v>0</v>
      </c>
      <c r="AP154" s="252">
        <v>0</v>
      </c>
      <c r="AQ154" s="252">
        <v>0</v>
      </c>
      <c r="AR154" s="252">
        <v>0</v>
      </c>
      <c r="AS154" s="252">
        <v>0</v>
      </c>
      <c r="AT154" s="222">
        <v>5272.6638731178818</v>
      </c>
      <c r="AV154" s="217" t="s">
        <v>3</v>
      </c>
      <c r="AW154" s="232">
        <v>0</v>
      </c>
      <c r="AX154" s="232">
        <v>0</v>
      </c>
      <c r="AY154" s="255">
        <v>0</v>
      </c>
      <c r="AZ154" s="252">
        <v>0</v>
      </c>
      <c r="BA154" s="227">
        <f t="shared" si="350"/>
        <v>5255.4772905342534</v>
      </c>
      <c r="BB154" s="252">
        <v>0</v>
      </c>
      <c r="BC154" s="252">
        <v>0</v>
      </c>
      <c r="BD154" s="252">
        <v>0</v>
      </c>
      <c r="BE154" s="252">
        <v>0</v>
      </c>
      <c r="BF154" s="252">
        <v>0</v>
      </c>
      <c r="BG154" s="252">
        <v>0</v>
      </c>
      <c r="BH154" s="252">
        <v>0</v>
      </c>
      <c r="BI154" s="252">
        <v>0</v>
      </c>
      <c r="BJ154" s="252">
        <v>0</v>
      </c>
      <c r="BK154" s="252">
        <v>0</v>
      </c>
      <c r="BL154" s="255">
        <v>0</v>
      </c>
      <c r="BM154" s="252">
        <v>0</v>
      </c>
      <c r="BN154" s="255">
        <v>0</v>
      </c>
      <c r="BO154" s="255">
        <v>0</v>
      </c>
      <c r="BP154" s="252">
        <v>0</v>
      </c>
      <c r="BQ154" s="230">
        <f t="shared" si="347"/>
        <v>5255.4772905342534</v>
      </c>
      <c r="BR154" s="214"/>
      <c r="BS154" s="227"/>
      <c r="BT154" s="286"/>
      <c r="BU154" s="300" t="s">
        <v>3</v>
      </c>
      <c r="BV154" s="293">
        <v>0</v>
      </c>
      <c r="BW154" s="293">
        <v>0</v>
      </c>
      <c r="BX154" s="258">
        <v>0</v>
      </c>
      <c r="BY154" s="258">
        <v>0</v>
      </c>
      <c r="BZ154" s="258">
        <v>2</v>
      </c>
      <c r="CA154" s="258">
        <v>0</v>
      </c>
      <c r="CB154" s="258">
        <v>0</v>
      </c>
      <c r="CC154" s="258">
        <v>0</v>
      </c>
      <c r="CD154" s="258">
        <v>0</v>
      </c>
      <c r="CE154" s="258">
        <v>0</v>
      </c>
      <c r="CF154" s="258">
        <v>0</v>
      </c>
      <c r="CG154" s="258">
        <v>0</v>
      </c>
      <c r="CH154" s="258">
        <v>0</v>
      </c>
      <c r="CI154" s="258">
        <v>0</v>
      </c>
      <c r="CJ154" s="258">
        <v>0</v>
      </c>
      <c r="CK154" s="258">
        <v>0</v>
      </c>
      <c r="CL154" s="258">
        <v>0</v>
      </c>
      <c r="CM154" s="258">
        <v>0</v>
      </c>
      <c r="CN154" s="258">
        <v>0</v>
      </c>
      <c r="CO154" s="258">
        <v>0</v>
      </c>
      <c r="CP154" s="301">
        <v>2</v>
      </c>
      <c r="CQ154" s="302"/>
      <c r="CR154" s="300" t="s">
        <v>3</v>
      </c>
      <c r="CS154" s="293">
        <v>0</v>
      </c>
      <c r="CT154" s="293">
        <v>0</v>
      </c>
      <c r="CU154" s="258">
        <v>0</v>
      </c>
      <c r="CV154" s="258">
        <v>0</v>
      </c>
      <c r="CW154" s="258">
        <v>0</v>
      </c>
      <c r="CX154" s="258">
        <v>0</v>
      </c>
      <c r="CY154" s="258">
        <v>0</v>
      </c>
      <c r="CZ154" s="258">
        <v>0</v>
      </c>
      <c r="DA154" s="258">
        <v>0</v>
      </c>
      <c r="DB154" s="258">
        <v>0</v>
      </c>
      <c r="DC154" s="258">
        <v>0</v>
      </c>
      <c r="DD154" s="258">
        <v>0</v>
      </c>
      <c r="DE154" s="258">
        <v>0</v>
      </c>
      <c r="DF154" s="258">
        <v>0</v>
      </c>
      <c r="DG154" s="258">
        <v>0</v>
      </c>
      <c r="DH154" s="258">
        <v>0</v>
      </c>
      <c r="DI154" s="258">
        <v>0</v>
      </c>
      <c r="DJ154" s="258">
        <v>0</v>
      </c>
      <c r="DK154" s="258">
        <v>0</v>
      </c>
      <c r="DL154" s="258">
        <v>0</v>
      </c>
      <c r="DM154" s="301">
        <v>0</v>
      </c>
      <c r="DN154" s="302"/>
      <c r="DO154" s="302"/>
      <c r="DP154" s="300" t="s">
        <v>3</v>
      </c>
      <c r="DQ154" s="293">
        <v>0</v>
      </c>
      <c r="DR154" s="293">
        <v>4</v>
      </c>
      <c r="DS154" s="258">
        <v>0</v>
      </c>
      <c r="DT154" s="258">
        <v>0</v>
      </c>
      <c r="DU154" s="258">
        <v>18</v>
      </c>
      <c r="DV154" s="258">
        <v>0</v>
      </c>
      <c r="DW154" s="258">
        <v>0</v>
      </c>
      <c r="DX154" s="258">
        <v>0</v>
      </c>
      <c r="DY154" s="258">
        <v>0</v>
      </c>
      <c r="DZ154" s="258">
        <v>0</v>
      </c>
      <c r="EA154" s="258">
        <v>0</v>
      </c>
      <c r="EB154" s="258">
        <v>0</v>
      </c>
      <c r="EC154" s="258">
        <v>0</v>
      </c>
      <c r="ED154" s="258">
        <v>0</v>
      </c>
      <c r="EE154" s="258">
        <v>0</v>
      </c>
      <c r="EF154" s="258">
        <v>0</v>
      </c>
      <c r="EG154" s="258">
        <v>0</v>
      </c>
      <c r="EH154" s="258">
        <v>0</v>
      </c>
      <c r="EI154" s="258">
        <v>0</v>
      </c>
      <c r="EJ154" s="258">
        <v>0</v>
      </c>
      <c r="EK154" s="301">
        <v>22</v>
      </c>
      <c r="EL154" s="287"/>
      <c r="EM154" s="300" t="s">
        <v>3</v>
      </c>
      <c r="EN154" s="293">
        <v>0</v>
      </c>
      <c r="EO154" s="293">
        <v>0</v>
      </c>
      <c r="EP154" s="258">
        <v>0</v>
      </c>
      <c r="EQ154" s="258">
        <v>0</v>
      </c>
      <c r="ER154" s="258">
        <v>302.23350005445263</v>
      </c>
      <c r="ES154" s="258">
        <v>0</v>
      </c>
      <c r="ET154" s="258">
        <v>0</v>
      </c>
      <c r="EU154" s="258">
        <v>0</v>
      </c>
      <c r="EV154" s="258">
        <v>0</v>
      </c>
      <c r="EW154" s="258">
        <v>0</v>
      </c>
      <c r="EX154" s="258">
        <v>0</v>
      </c>
      <c r="EY154" s="258">
        <v>0</v>
      </c>
      <c r="EZ154" s="258">
        <v>0</v>
      </c>
      <c r="FA154" s="258">
        <v>0</v>
      </c>
      <c r="FB154" s="258">
        <v>0</v>
      </c>
      <c r="FC154" s="258">
        <v>0</v>
      </c>
      <c r="FD154" s="258">
        <v>0</v>
      </c>
      <c r="FE154" s="258">
        <v>0</v>
      </c>
      <c r="FF154" s="258">
        <v>0</v>
      </c>
      <c r="FG154" s="258">
        <v>0</v>
      </c>
      <c r="FH154" s="301">
        <v>302.23350005445263</v>
      </c>
    </row>
    <row r="155" spans="2:164" x14ac:dyDescent="0.2">
      <c r="B155" s="217" t="s">
        <v>334</v>
      </c>
      <c r="C155" s="227">
        <v>0</v>
      </c>
      <c r="D155" s="228">
        <v>0</v>
      </c>
      <c r="E155" s="208">
        <v>0</v>
      </c>
      <c r="F155" s="208">
        <v>0</v>
      </c>
      <c r="G155" s="208">
        <v>0</v>
      </c>
      <c r="H155" s="208">
        <v>124</v>
      </c>
      <c r="I155" s="208">
        <v>6</v>
      </c>
      <c r="J155" s="208">
        <v>0</v>
      </c>
      <c r="K155" s="208">
        <v>2</v>
      </c>
      <c r="L155" s="208">
        <v>2</v>
      </c>
      <c r="M155" s="208">
        <v>4</v>
      </c>
      <c r="N155" s="208">
        <v>3</v>
      </c>
      <c r="O155" s="208">
        <v>0</v>
      </c>
      <c r="P155" s="208">
        <v>0</v>
      </c>
      <c r="Q155" s="208">
        <v>0</v>
      </c>
      <c r="R155" s="208">
        <v>0</v>
      </c>
      <c r="S155" s="208">
        <v>0</v>
      </c>
      <c r="T155" s="208">
        <v>0</v>
      </c>
      <c r="U155" s="208">
        <v>0</v>
      </c>
      <c r="V155" s="208">
        <v>0</v>
      </c>
      <c r="W155" s="222">
        <v>141</v>
      </c>
      <c r="X155" s="208"/>
      <c r="Y155" s="217" t="s">
        <v>334</v>
      </c>
      <c r="Z155" s="227">
        <v>0</v>
      </c>
      <c r="AA155" s="228">
        <v>0</v>
      </c>
      <c r="AB155" s="252">
        <v>0</v>
      </c>
      <c r="AC155" s="208">
        <v>0</v>
      </c>
      <c r="AD155" s="208">
        <v>0</v>
      </c>
      <c r="AE155" s="208">
        <v>10970.773486323855</v>
      </c>
      <c r="AF155" s="208">
        <v>109.4170215404491</v>
      </c>
      <c r="AG155" s="208">
        <v>0</v>
      </c>
      <c r="AH155" s="208">
        <v>23.556453878673604</v>
      </c>
      <c r="AI155" s="208">
        <v>0</v>
      </c>
      <c r="AJ155" s="208">
        <v>1423.0777785293433</v>
      </c>
      <c r="AK155" s="252">
        <v>0</v>
      </c>
      <c r="AL155" s="252">
        <v>0</v>
      </c>
      <c r="AM155" s="252">
        <v>0</v>
      </c>
      <c r="AN155" s="252">
        <v>0</v>
      </c>
      <c r="AO155" s="252">
        <v>0</v>
      </c>
      <c r="AP155" s="252">
        <v>0</v>
      </c>
      <c r="AQ155" s="208">
        <v>0</v>
      </c>
      <c r="AR155" s="208">
        <v>0</v>
      </c>
      <c r="AS155" s="208">
        <v>0</v>
      </c>
      <c r="AT155" s="222">
        <v>12526.824740272321</v>
      </c>
      <c r="AV155" s="217" t="s">
        <v>334</v>
      </c>
      <c r="AW155" s="227">
        <f>Z155</f>
        <v>0</v>
      </c>
      <c r="AX155" s="227">
        <f>AA155</f>
        <v>0</v>
      </c>
      <c r="AY155" s="255">
        <v>0</v>
      </c>
      <c r="AZ155" s="227">
        <f t="shared" ref="AZ155:AZ169" si="361">AC155</f>
        <v>0</v>
      </c>
      <c r="BA155" s="227">
        <f t="shared" si="350"/>
        <v>0</v>
      </c>
      <c r="BB155" s="227">
        <f t="shared" ref="BB155:BB160" si="362">AE155</f>
        <v>10970.773486323855</v>
      </c>
      <c r="BC155" s="227">
        <f t="shared" ref="BC155:BC160" si="363">AF155</f>
        <v>109.4170215404491</v>
      </c>
      <c r="BD155" s="227">
        <f t="shared" ref="BD155:BD160" si="364">AG155</f>
        <v>0</v>
      </c>
      <c r="BE155" s="227">
        <f t="shared" ref="BE155:BE160" si="365">AH155</f>
        <v>23.556453878673604</v>
      </c>
      <c r="BF155" s="227">
        <f t="shared" ref="BF155:BF160" si="366">AI155</f>
        <v>0</v>
      </c>
      <c r="BG155" s="227">
        <f t="shared" ref="BG155:BG160" si="367">AJ155</f>
        <v>1423.0777785293433</v>
      </c>
      <c r="BH155" s="255">
        <v>0</v>
      </c>
      <c r="BI155" s="255">
        <v>0</v>
      </c>
      <c r="BJ155" s="255">
        <v>0</v>
      </c>
      <c r="BK155" s="255">
        <v>0</v>
      </c>
      <c r="BL155" s="252">
        <v>0</v>
      </c>
      <c r="BM155" s="255">
        <v>0</v>
      </c>
      <c r="BN155" s="208">
        <f>AQ155</f>
        <v>0</v>
      </c>
      <c r="BO155" s="208">
        <f t="shared" ref="BO155:BO169" si="368">AR155</f>
        <v>0</v>
      </c>
      <c r="BP155" s="208">
        <f t="shared" ref="BP155:BP169" si="369">AS155</f>
        <v>0</v>
      </c>
      <c r="BQ155" s="230">
        <f t="shared" si="347"/>
        <v>12526.824740272319</v>
      </c>
      <c r="BR155" s="214"/>
      <c r="BS155" s="227"/>
      <c r="BT155" s="286"/>
      <c r="BU155" s="300" t="s">
        <v>334</v>
      </c>
      <c r="BV155" s="293">
        <v>0</v>
      </c>
      <c r="BW155" s="293">
        <v>0</v>
      </c>
      <c r="BX155" s="258">
        <v>0</v>
      </c>
      <c r="BY155" s="258">
        <v>0</v>
      </c>
      <c r="BZ155" s="258">
        <v>0</v>
      </c>
      <c r="CA155" s="258">
        <v>0</v>
      </c>
      <c r="CB155" s="258">
        <v>0</v>
      </c>
      <c r="CC155" s="258">
        <v>0</v>
      </c>
      <c r="CD155" s="258">
        <v>0</v>
      </c>
      <c r="CE155" s="258">
        <v>0</v>
      </c>
      <c r="CF155" s="258">
        <v>0</v>
      </c>
      <c r="CG155" s="258">
        <v>0</v>
      </c>
      <c r="CH155" s="258">
        <v>0</v>
      </c>
      <c r="CI155" s="258">
        <v>0</v>
      </c>
      <c r="CJ155" s="258">
        <v>0</v>
      </c>
      <c r="CK155" s="258">
        <v>0</v>
      </c>
      <c r="CL155" s="258">
        <v>0</v>
      </c>
      <c r="CM155" s="258">
        <v>0</v>
      </c>
      <c r="CN155" s="258">
        <v>0</v>
      </c>
      <c r="CO155" s="258">
        <v>0</v>
      </c>
      <c r="CP155" s="301">
        <v>0</v>
      </c>
      <c r="CQ155" s="302"/>
      <c r="CR155" s="300" t="s">
        <v>334</v>
      </c>
      <c r="CS155" s="293">
        <v>0</v>
      </c>
      <c r="CT155" s="293">
        <v>0</v>
      </c>
      <c r="CU155" s="258">
        <v>0</v>
      </c>
      <c r="CV155" s="258">
        <v>0</v>
      </c>
      <c r="CW155" s="258">
        <v>0</v>
      </c>
      <c r="CX155" s="258">
        <v>0</v>
      </c>
      <c r="CY155" s="258">
        <v>0</v>
      </c>
      <c r="CZ155" s="258">
        <v>0</v>
      </c>
      <c r="DA155" s="258">
        <v>0</v>
      </c>
      <c r="DB155" s="258">
        <v>0</v>
      </c>
      <c r="DC155" s="258">
        <v>0</v>
      </c>
      <c r="DD155" s="258">
        <v>0</v>
      </c>
      <c r="DE155" s="258">
        <v>0</v>
      </c>
      <c r="DF155" s="258">
        <v>0</v>
      </c>
      <c r="DG155" s="258">
        <v>0</v>
      </c>
      <c r="DH155" s="258">
        <v>0</v>
      </c>
      <c r="DI155" s="258">
        <v>0</v>
      </c>
      <c r="DJ155" s="258">
        <v>0</v>
      </c>
      <c r="DK155" s="258">
        <v>0</v>
      </c>
      <c r="DL155" s="258">
        <v>0</v>
      </c>
      <c r="DM155" s="301">
        <v>0</v>
      </c>
      <c r="DN155" s="302"/>
      <c r="DO155" s="302"/>
      <c r="DP155" s="300" t="s">
        <v>334</v>
      </c>
      <c r="DQ155" s="293">
        <v>0</v>
      </c>
      <c r="DR155" s="293">
        <v>0</v>
      </c>
      <c r="DS155" s="258">
        <v>0</v>
      </c>
      <c r="DT155" s="258">
        <v>0</v>
      </c>
      <c r="DU155" s="258">
        <v>0</v>
      </c>
      <c r="DV155" s="258">
        <v>0</v>
      </c>
      <c r="DW155" s="258">
        <v>0</v>
      </c>
      <c r="DX155" s="258">
        <v>0</v>
      </c>
      <c r="DY155" s="258">
        <v>0</v>
      </c>
      <c r="DZ155" s="258">
        <v>0</v>
      </c>
      <c r="EA155" s="258">
        <v>0</v>
      </c>
      <c r="EB155" s="258">
        <v>3</v>
      </c>
      <c r="EC155" s="258">
        <v>0</v>
      </c>
      <c r="ED155" s="258">
        <v>0</v>
      </c>
      <c r="EE155" s="258">
        <v>0</v>
      </c>
      <c r="EF155" s="258">
        <v>0</v>
      </c>
      <c r="EG155" s="258">
        <v>0</v>
      </c>
      <c r="EH155" s="258">
        <v>0</v>
      </c>
      <c r="EI155" s="258">
        <v>0</v>
      </c>
      <c r="EJ155" s="258">
        <v>0</v>
      </c>
      <c r="EK155" s="301">
        <v>3</v>
      </c>
      <c r="EL155" s="287"/>
      <c r="EM155" s="300" t="s">
        <v>334</v>
      </c>
      <c r="EN155" s="293">
        <v>0</v>
      </c>
      <c r="EO155" s="293">
        <v>0</v>
      </c>
      <c r="EP155" s="258">
        <v>0</v>
      </c>
      <c r="EQ155" s="258">
        <v>0</v>
      </c>
      <c r="ER155" s="258">
        <v>0</v>
      </c>
      <c r="ES155" s="258">
        <v>0</v>
      </c>
      <c r="ET155" s="258">
        <v>0</v>
      </c>
      <c r="EU155" s="258">
        <v>0</v>
      </c>
      <c r="EV155" s="258">
        <v>0</v>
      </c>
      <c r="EW155" s="258">
        <v>0</v>
      </c>
      <c r="EX155" s="258">
        <v>0</v>
      </c>
      <c r="EY155" s="258">
        <v>0</v>
      </c>
      <c r="EZ155" s="258">
        <v>0</v>
      </c>
      <c r="FA155" s="258">
        <v>0</v>
      </c>
      <c r="FB155" s="258">
        <v>0</v>
      </c>
      <c r="FC155" s="258">
        <v>0</v>
      </c>
      <c r="FD155" s="258">
        <v>0</v>
      </c>
      <c r="FE155" s="258">
        <v>0</v>
      </c>
      <c r="FF155" s="258">
        <v>0</v>
      </c>
      <c r="FG155" s="258">
        <v>0</v>
      </c>
      <c r="FH155" s="301">
        <v>0</v>
      </c>
    </row>
    <row r="156" spans="2:164" x14ac:dyDescent="0.2">
      <c r="B156" s="217" t="s">
        <v>352</v>
      </c>
      <c r="C156" s="227">
        <v>0</v>
      </c>
      <c r="D156" s="228">
        <v>0</v>
      </c>
      <c r="E156" s="208">
        <v>0</v>
      </c>
      <c r="F156" s="208">
        <v>0</v>
      </c>
      <c r="G156" s="208">
        <v>0</v>
      </c>
      <c r="H156" s="208">
        <v>0</v>
      </c>
      <c r="I156" s="208">
        <v>72</v>
      </c>
      <c r="J156" s="208">
        <v>0</v>
      </c>
      <c r="K156" s="208">
        <v>0</v>
      </c>
      <c r="L156" s="208">
        <v>0</v>
      </c>
      <c r="M156" s="208">
        <v>0</v>
      </c>
      <c r="N156" s="208">
        <v>0</v>
      </c>
      <c r="O156" s="208">
        <v>2</v>
      </c>
      <c r="P156" s="208">
        <v>0</v>
      </c>
      <c r="Q156" s="208">
        <v>0</v>
      </c>
      <c r="R156" s="208">
        <v>0</v>
      </c>
      <c r="S156" s="208">
        <v>0</v>
      </c>
      <c r="T156" s="208">
        <v>0</v>
      </c>
      <c r="U156" s="208">
        <v>0</v>
      </c>
      <c r="V156" s="208">
        <v>0</v>
      </c>
      <c r="W156" s="222">
        <v>74</v>
      </c>
      <c r="X156" s="208"/>
      <c r="Y156" s="217" t="s">
        <v>352</v>
      </c>
      <c r="Z156" s="227">
        <v>0</v>
      </c>
      <c r="AA156" s="228">
        <v>0</v>
      </c>
      <c r="AB156" s="208">
        <v>0</v>
      </c>
      <c r="AC156" s="208">
        <v>0</v>
      </c>
      <c r="AD156" s="208">
        <v>0</v>
      </c>
      <c r="AE156" s="208">
        <v>0</v>
      </c>
      <c r="AF156" s="208">
        <v>390.45565727371502</v>
      </c>
      <c r="AG156" s="208">
        <v>0</v>
      </c>
      <c r="AH156" s="208">
        <v>0</v>
      </c>
      <c r="AI156" s="208">
        <v>0</v>
      </c>
      <c r="AJ156" s="208">
        <v>0</v>
      </c>
      <c r="AK156" s="252">
        <v>0</v>
      </c>
      <c r="AL156" s="252">
        <v>387.70680328057307</v>
      </c>
      <c r="AM156" s="252">
        <v>0</v>
      </c>
      <c r="AN156" s="252">
        <v>0</v>
      </c>
      <c r="AO156" s="252">
        <v>0</v>
      </c>
      <c r="AP156" s="252">
        <v>0</v>
      </c>
      <c r="AQ156" s="208">
        <v>0</v>
      </c>
      <c r="AR156" s="208">
        <v>0</v>
      </c>
      <c r="AS156" s="208">
        <v>0</v>
      </c>
      <c r="AT156" s="222">
        <v>778.16246055428815</v>
      </c>
      <c r="AV156" s="217" t="s">
        <v>350</v>
      </c>
      <c r="AW156" s="227">
        <f t="shared" ref="AW156:AW169" si="370">Z156</f>
        <v>0</v>
      </c>
      <c r="AX156" s="227">
        <f t="shared" ref="AX156:AX169" si="371">AA156</f>
        <v>0</v>
      </c>
      <c r="AY156" s="227">
        <f t="shared" ref="AY156:AY169" si="372">AB156</f>
        <v>0</v>
      </c>
      <c r="AZ156" s="227">
        <f t="shared" si="361"/>
        <v>0</v>
      </c>
      <c r="BA156" s="227">
        <f t="shared" si="350"/>
        <v>0</v>
      </c>
      <c r="BB156" s="227">
        <f t="shared" si="362"/>
        <v>0</v>
      </c>
      <c r="BC156" s="227">
        <f t="shared" si="363"/>
        <v>390.45565727371502</v>
      </c>
      <c r="BD156" s="227">
        <f t="shared" si="364"/>
        <v>0</v>
      </c>
      <c r="BE156" s="227">
        <f t="shared" si="365"/>
        <v>0</v>
      </c>
      <c r="BF156" s="227">
        <f t="shared" si="366"/>
        <v>0</v>
      </c>
      <c r="BG156" s="227">
        <f t="shared" si="367"/>
        <v>0</v>
      </c>
      <c r="BH156" s="252">
        <v>0</v>
      </c>
      <c r="BI156" s="255">
        <v>0</v>
      </c>
      <c r="BJ156" s="255">
        <v>0</v>
      </c>
      <c r="BK156" s="252">
        <v>0</v>
      </c>
      <c r="BL156" s="255">
        <v>0</v>
      </c>
      <c r="BM156" s="252">
        <v>0</v>
      </c>
      <c r="BN156" s="208">
        <f t="shared" ref="BN156:BN169" si="373">AQ156</f>
        <v>0</v>
      </c>
      <c r="BO156" s="208">
        <f t="shared" si="368"/>
        <v>0</v>
      </c>
      <c r="BP156" s="208">
        <f t="shared" si="369"/>
        <v>0</v>
      </c>
      <c r="BQ156" s="230">
        <f t="shared" si="347"/>
        <v>390.45565727371502</v>
      </c>
      <c r="BR156" s="214"/>
      <c r="BS156" s="227"/>
      <c r="BT156" s="286"/>
      <c r="BU156" s="300" t="s">
        <v>352</v>
      </c>
      <c r="BV156" s="293">
        <v>0</v>
      </c>
      <c r="BW156" s="293">
        <v>0</v>
      </c>
      <c r="BX156" s="258">
        <v>0</v>
      </c>
      <c r="BY156" s="258">
        <v>0</v>
      </c>
      <c r="BZ156" s="258">
        <v>0</v>
      </c>
      <c r="CA156" s="258">
        <v>0</v>
      </c>
      <c r="CB156" s="258">
        <v>0</v>
      </c>
      <c r="CC156" s="258">
        <v>0</v>
      </c>
      <c r="CD156" s="258">
        <v>0</v>
      </c>
      <c r="CE156" s="258">
        <v>0</v>
      </c>
      <c r="CF156" s="258">
        <v>0</v>
      </c>
      <c r="CG156" s="258">
        <v>0</v>
      </c>
      <c r="CH156" s="258">
        <v>0</v>
      </c>
      <c r="CI156" s="258">
        <v>0</v>
      </c>
      <c r="CJ156" s="258">
        <v>0</v>
      </c>
      <c r="CK156" s="258">
        <v>0</v>
      </c>
      <c r="CL156" s="258">
        <v>0</v>
      </c>
      <c r="CM156" s="258">
        <v>0</v>
      </c>
      <c r="CN156" s="258">
        <v>0</v>
      </c>
      <c r="CO156" s="258">
        <v>0</v>
      </c>
      <c r="CP156" s="301">
        <v>0</v>
      </c>
      <c r="CQ156" s="302"/>
      <c r="CR156" s="300" t="s">
        <v>352</v>
      </c>
      <c r="CS156" s="293">
        <v>0</v>
      </c>
      <c r="CT156" s="293">
        <v>0</v>
      </c>
      <c r="CU156" s="258">
        <v>0</v>
      </c>
      <c r="CV156" s="258">
        <v>0</v>
      </c>
      <c r="CW156" s="258">
        <v>0</v>
      </c>
      <c r="CX156" s="258">
        <v>0</v>
      </c>
      <c r="CY156" s="258">
        <v>0</v>
      </c>
      <c r="CZ156" s="258">
        <v>0</v>
      </c>
      <c r="DA156" s="258">
        <v>0</v>
      </c>
      <c r="DB156" s="258">
        <v>0</v>
      </c>
      <c r="DC156" s="258">
        <v>0</v>
      </c>
      <c r="DD156" s="258">
        <v>0</v>
      </c>
      <c r="DE156" s="258">
        <v>0</v>
      </c>
      <c r="DF156" s="258">
        <v>0</v>
      </c>
      <c r="DG156" s="258">
        <v>0</v>
      </c>
      <c r="DH156" s="258">
        <v>0</v>
      </c>
      <c r="DI156" s="258">
        <v>0</v>
      </c>
      <c r="DJ156" s="258">
        <v>0</v>
      </c>
      <c r="DK156" s="258">
        <v>0</v>
      </c>
      <c r="DL156" s="258">
        <v>0</v>
      </c>
      <c r="DM156" s="301">
        <v>0</v>
      </c>
      <c r="DN156" s="302"/>
      <c r="DO156" s="302"/>
      <c r="DP156" s="300" t="s">
        <v>352</v>
      </c>
      <c r="DQ156" s="293">
        <v>0</v>
      </c>
      <c r="DR156" s="293">
        <v>0</v>
      </c>
      <c r="DS156" s="258">
        <v>0</v>
      </c>
      <c r="DT156" s="258">
        <v>0</v>
      </c>
      <c r="DU156" s="258">
        <v>0</v>
      </c>
      <c r="DV156" s="258">
        <v>0</v>
      </c>
      <c r="DW156" s="258">
        <v>0</v>
      </c>
      <c r="DX156" s="258">
        <v>0</v>
      </c>
      <c r="DY156" s="258">
        <v>0</v>
      </c>
      <c r="DZ156" s="258">
        <v>0</v>
      </c>
      <c r="EA156" s="258">
        <v>0</v>
      </c>
      <c r="EB156" s="258">
        <v>0</v>
      </c>
      <c r="EC156" s="258">
        <v>0</v>
      </c>
      <c r="ED156" s="258">
        <v>0</v>
      </c>
      <c r="EE156" s="258">
        <v>0</v>
      </c>
      <c r="EF156" s="258">
        <v>0</v>
      </c>
      <c r="EG156" s="258">
        <v>0</v>
      </c>
      <c r="EH156" s="258">
        <v>0</v>
      </c>
      <c r="EI156" s="258">
        <v>0</v>
      </c>
      <c r="EJ156" s="258">
        <v>0</v>
      </c>
      <c r="EK156" s="301">
        <v>0</v>
      </c>
      <c r="EL156" s="287"/>
      <c r="EM156" s="300" t="s">
        <v>352</v>
      </c>
      <c r="EN156" s="293">
        <v>0</v>
      </c>
      <c r="EO156" s="293">
        <v>0</v>
      </c>
      <c r="EP156" s="258">
        <v>0</v>
      </c>
      <c r="EQ156" s="258">
        <v>0</v>
      </c>
      <c r="ER156" s="258">
        <v>0</v>
      </c>
      <c r="ES156" s="258">
        <v>0</v>
      </c>
      <c r="ET156" s="258">
        <v>0</v>
      </c>
      <c r="EU156" s="258">
        <v>0</v>
      </c>
      <c r="EV156" s="258">
        <v>0</v>
      </c>
      <c r="EW156" s="258">
        <v>0</v>
      </c>
      <c r="EX156" s="258">
        <v>0</v>
      </c>
      <c r="EY156" s="258">
        <v>0</v>
      </c>
      <c r="EZ156" s="258">
        <v>0</v>
      </c>
      <c r="FA156" s="258">
        <v>0</v>
      </c>
      <c r="FB156" s="258">
        <v>0</v>
      </c>
      <c r="FC156" s="258">
        <v>0</v>
      </c>
      <c r="FD156" s="258">
        <v>0</v>
      </c>
      <c r="FE156" s="258">
        <v>0</v>
      </c>
      <c r="FF156" s="258">
        <v>0</v>
      </c>
      <c r="FG156" s="258">
        <v>0</v>
      </c>
      <c r="FH156" s="301">
        <v>0</v>
      </c>
    </row>
    <row r="157" spans="2:164" x14ac:dyDescent="0.2">
      <c r="B157" s="217" t="s">
        <v>335</v>
      </c>
      <c r="C157" s="227">
        <v>0</v>
      </c>
      <c r="D157" s="228">
        <v>0</v>
      </c>
      <c r="E157" s="208">
        <v>0</v>
      </c>
      <c r="F157" s="208">
        <v>0</v>
      </c>
      <c r="G157" s="208">
        <v>0</v>
      </c>
      <c r="H157" s="208">
        <v>0</v>
      </c>
      <c r="I157" s="208">
        <v>0</v>
      </c>
      <c r="J157" s="208">
        <v>0</v>
      </c>
      <c r="K157" s="208">
        <v>9</v>
      </c>
      <c r="L157" s="208">
        <v>0</v>
      </c>
      <c r="M157" s="208">
        <v>0</v>
      </c>
      <c r="N157" s="208">
        <v>0</v>
      </c>
      <c r="O157" s="208">
        <v>0</v>
      </c>
      <c r="P157" s="208">
        <v>0</v>
      </c>
      <c r="Q157" s="208">
        <v>0</v>
      </c>
      <c r="R157" s="208">
        <v>0</v>
      </c>
      <c r="S157" s="208">
        <v>0</v>
      </c>
      <c r="T157" s="208">
        <v>0</v>
      </c>
      <c r="U157" s="208">
        <v>0</v>
      </c>
      <c r="V157" s="208">
        <v>0</v>
      </c>
      <c r="W157" s="222">
        <v>9</v>
      </c>
      <c r="X157" s="209"/>
      <c r="Y157" s="217" t="s">
        <v>335</v>
      </c>
      <c r="Z157" s="227">
        <v>0</v>
      </c>
      <c r="AA157" s="228">
        <v>0</v>
      </c>
      <c r="AB157" s="208">
        <v>0</v>
      </c>
      <c r="AC157" s="208">
        <v>0</v>
      </c>
      <c r="AD157" s="208">
        <v>0</v>
      </c>
      <c r="AE157" s="208">
        <v>0</v>
      </c>
      <c r="AF157" s="208">
        <v>0</v>
      </c>
      <c r="AG157" s="208">
        <v>0</v>
      </c>
      <c r="AH157" s="208">
        <v>23.556453878673604</v>
      </c>
      <c r="AI157" s="208">
        <v>0</v>
      </c>
      <c r="AJ157" s="208">
        <v>0</v>
      </c>
      <c r="AK157" s="252">
        <v>0</v>
      </c>
      <c r="AL157" s="252">
        <v>0</v>
      </c>
      <c r="AM157" s="252">
        <v>0</v>
      </c>
      <c r="AN157" s="252">
        <v>0</v>
      </c>
      <c r="AO157" s="252">
        <v>0</v>
      </c>
      <c r="AP157" s="252">
        <v>0</v>
      </c>
      <c r="AQ157" s="208">
        <v>0</v>
      </c>
      <c r="AR157" s="208">
        <v>0</v>
      </c>
      <c r="AS157" s="208">
        <v>0</v>
      </c>
      <c r="AT157" s="222">
        <v>23.556453878673604</v>
      </c>
      <c r="AV157" s="217" t="s">
        <v>346</v>
      </c>
      <c r="AW157" s="227">
        <f t="shared" si="370"/>
        <v>0</v>
      </c>
      <c r="AX157" s="227">
        <f t="shared" si="371"/>
        <v>0</v>
      </c>
      <c r="AY157" s="227">
        <f t="shared" si="372"/>
        <v>0</v>
      </c>
      <c r="AZ157" s="227">
        <f t="shared" si="361"/>
        <v>0</v>
      </c>
      <c r="BA157" s="227">
        <f t="shared" si="350"/>
        <v>0</v>
      </c>
      <c r="BB157" s="227">
        <f t="shared" si="362"/>
        <v>0</v>
      </c>
      <c r="BC157" s="227">
        <f t="shared" si="363"/>
        <v>0</v>
      </c>
      <c r="BD157" s="227">
        <f t="shared" si="364"/>
        <v>0</v>
      </c>
      <c r="BE157" s="227">
        <f t="shared" si="365"/>
        <v>23.556453878673604</v>
      </c>
      <c r="BF157" s="227">
        <f t="shared" si="366"/>
        <v>0</v>
      </c>
      <c r="BG157" s="227">
        <f t="shared" si="367"/>
        <v>0</v>
      </c>
      <c r="BH157" s="252">
        <v>0</v>
      </c>
      <c r="BI157" s="252">
        <v>0</v>
      </c>
      <c r="BJ157" s="255">
        <v>0</v>
      </c>
      <c r="BK157" s="252">
        <v>0</v>
      </c>
      <c r="BL157" s="255">
        <v>0</v>
      </c>
      <c r="BM157" s="252">
        <v>0</v>
      </c>
      <c r="BN157" s="208">
        <f t="shared" si="373"/>
        <v>0</v>
      </c>
      <c r="BO157" s="208">
        <f t="shared" si="368"/>
        <v>0</v>
      </c>
      <c r="BP157" s="208">
        <f t="shared" si="369"/>
        <v>0</v>
      </c>
      <c r="BQ157" s="230">
        <f t="shared" si="347"/>
        <v>23.556453878673604</v>
      </c>
      <c r="BR157" s="214"/>
      <c r="BS157" s="227"/>
      <c r="BT157" s="286"/>
      <c r="BU157" s="300" t="s">
        <v>335</v>
      </c>
      <c r="BV157" s="293">
        <v>0</v>
      </c>
      <c r="BW157" s="293">
        <v>0</v>
      </c>
      <c r="BX157" s="258">
        <v>0</v>
      </c>
      <c r="BY157" s="258">
        <v>0</v>
      </c>
      <c r="BZ157" s="258">
        <v>0</v>
      </c>
      <c r="CA157" s="258">
        <v>0</v>
      </c>
      <c r="CB157" s="258">
        <v>0</v>
      </c>
      <c r="CC157" s="258">
        <v>0</v>
      </c>
      <c r="CD157" s="258">
        <v>0</v>
      </c>
      <c r="CE157" s="258">
        <v>0</v>
      </c>
      <c r="CF157" s="258">
        <v>0</v>
      </c>
      <c r="CG157" s="258">
        <v>0</v>
      </c>
      <c r="CH157" s="258">
        <v>0</v>
      </c>
      <c r="CI157" s="258">
        <v>0</v>
      </c>
      <c r="CJ157" s="258">
        <v>0</v>
      </c>
      <c r="CK157" s="258">
        <v>0</v>
      </c>
      <c r="CL157" s="258">
        <v>0</v>
      </c>
      <c r="CM157" s="258">
        <v>0</v>
      </c>
      <c r="CN157" s="258">
        <v>0</v>
      </c>
      <c r="CO157" s="258">
        <v>0</v>
      </c>
      <c r="CP157" s="301">
        <v>0</v>
      </c>
      <c r="CQ157" s="302"/>
      <c r="CR157" s="300" t="s">
        <v>335</v>
      </c>
      <c r="CS157" s="293">
        <v>0</v>
      </c>
      <c r="CT157" s="293">
        <v>0</v>
      </c>
      <c r="CU157" s="258">
        <v>0</v>
      </c>
      <c r="CV157" s="258">
        <v>0</v>
      </c>
      <c r="CW157" s="258">
        <v>0</v>
      </c>
      <c r="CX157" s="258">
        <v>0</v>
      </c>
      <c r="CY157" s="258">
        <v>0</v>
      </c>
      <c r="CZ157" s="258">
        <v>0</v>
      </c>
      <c r="DA157" s="258">
        <v>0</v>
      </c>
      <c r="DB157" s="258">
        <v>0</v>
      </c>
      <c r="DC157" s="258">
        <v>0</v>
      </c>
      <c r="DD157" s="258">
        <v>0</v>
      </c>
      <c r="DE157" s="258">
        <v>0</v>
      </c>
      <c r="DF157" s="258">
        <v>0</v>
      </c>
      <c r="DG157" s="258">
        <v>0</v>
      </c>
      <c r="DH157" s="258">
        <v>0</v>
      </c>
      <c r="DI157" s="258">
        <v>0</v>
      </c>
      <c r="DJ157" s="258">
        <v>0</v>
      </c>
      <c r="DK157" s="258">
        <v>0</v>
      </c>
      <c r="DL157" s="258">
        <v>0</v>
      </c>
      <c r="DM157" s="301">
        <v>0</v>
      </c>
      <c r="DN157" s="302"/>
      <c r="DO157" s="302"/>
      <c r="DP157" s="300" t="s">
        <v>335</v>
      </c>
      <c r="DQ157" s="293">
        <v>0</v>
      </c>
      <c r="DR157" s="293">
        <v>0</v>
      </c>
      <c r="DS157" s="258">
        <v>0</v>
      </c>
      <c r="DT157" s="258">
        <v>0</v>
      </c>
      <c r="DU157" s="258">
        <v>0</v>
      </c>
      <c r="DV157" s="258">
        <v>0</v>
      </c>
      <c r="DW157" s="258">
        <v>0</v>
      </c>
      <c r="DX157" s="258">
        <v>0</v>
      </c>
      <c r="DY157" s="258">
        <v>0</v>
      </c>
      <c r="DZ157" s="258">
        <v>0</v>
      </c>
      <c r="EA157" s="258">
        <v>0</v>
      </c>
      <c r="EB157" s="258">
        <v>0</v>
      </c>
      <c r="EC157" s="258">
        <v>0</v>
      </c>
      <c r="ED157" s="258">
        <v>0</v>
      </c>
      <c r="EE157" s="258">
        <v>0</v>
      </c>
      <c r="EF157" s="258">
        <v>0</v>
      </c>
      <c r="EG157" s="258">
        <v>0</v>
      </c>
      <c r="EH157" s="258">
        <v>0</v>
      </c>
      <c r="EI157" s="258">
        <v>0</v>
      </c>
      <c r="EJ157" s="258">
        <v>0</v>
      </c>
      <c r="EK157" s="301">
        <v>0</v>
      </c>
      <c r="EL157" s="287"/>
      <c r="EM157" s="300" t="s">
        <v>335</v>
      </c>
      <c r="EN157" s="293">
        <v>0</v>
      </c>
      <c r="EO157" s="293">
        <v>0</v>
      </c>
      <c r="EP157" s="258">
        <v>0</v>
      </c>
      <c r="EQ157" s="258">
        <v>0</v>
      </c>
      <c r="ER157" s="258">
        <v>0</v>
      </c>
      <c r="ES157" s="258">
        <v>0</v>
      </c>
      <c r="ET157" s="258">
        <v>0</v>
      </c>
      <c r="EU157" s="258">
        <v>0</v>
      </c>
      <c r="EV157" s="258">
        <v>0</v>
      </c>
      <c r="EW157" s="258">
        <v>0</v>
      </c>
      <c r="EX157" s="258">
        <v>0</v>
      </c>
      <c r="EY157" s="258">
        <v>0</v>
      </c>
      <c r="EZ157" s="258">
        <v>0</v>
      </c>
      <c r="FA157" s="258">
        <v>0</v>
      </c>
      <c r="FB157" s="258">
        <v>0</v>
      </c>
      <c r="FC157" s="258">
        <v>0</v>
      </c>
      <c r="FD157" s="258">
        <v>0</v>
      </c>
      <c r="FE157" s="258">
        <v>0</v>
      </c>
      <c r="FF157" s="258">
        <v>0</v>
      </c>
      <c r="FG157" s="258">
        <v>0</v>
      </c>
      <c r="FH157" s="301">
        <v>0</v>
      </c>
    </row>
    <row r="158" spans="2:164" x14ac:dyDescent="0.2">
      <c r="B158" s="217" t="s">
        <v>336</v>
      </c>
      <c r="C158" s="227">
        <v>0</v>
      </c>
      <c r="D158" s="228">
        <v>0</v>
      </c>
      <c r="E158" s="208">
        <v>0</v>
      </c>
      <c r="F158" s="208">
        <v>0</v>
      </c>
      <c r="G158" s="208">
        <v>0</v>
      </c>
      <c r="H158" s="208">
        <v>0</v>
      </c>
      <c r="I158" s="208">
        <v>0</v>
      </c>
      <c r="J158" s="208">
        <v>0</v>
      </c>
      <c r="K158" s="208">
        <v>0</v>
      </c>
      <c r="L158" s="208">
        <v>41</v>
      </c>
      <c r="M158" s="208">
        <v>2</v>
      </c>
      <c r="N158" s="208">
        <v>0</v>
      </c>
      <c r="O158" s="208">
        <v>0</v>
      </c>
      <c r="P158" s="208">
        <v>0</v>
      </c>
      <c r="Q158" s="208">
        <v>0</v>
      </c>
      <c r="R158" s="208">
        <v>1</v>
      </c>
      <c r="S158" s="208">
        <v>0</v>
      </c>
      <c r="T158" s="208">
        <v>0</v>
      </c>
      <c r="U158" s="208">
        <v>0</v>
      </c>
      <c r="V158" s="208">
        <v>0</v>
      </c>
      <c r="W158" s="222">
        <v>44</v>
      </c>
      <c r="X158" s="208"/>
      <c r="Y158" s="217" t="s">
        <v>336</v>
      </c>
      <c r="Z158" s="227">
        <v>0</v>
      </c>
      <c r="AA158" s="228">
        <v>0</v>
      </c>
      <c r="AB158" s="208">
        <v>0</v>
      </c>
      <c r="AC158" s="208">
        <v>0</v>
      </c>
      <c r="AD158" s="208">
        <v>0</v>
      </c>
      <c r="AE158" s="208">
        <v>0</v>
      </c>
      <c r="AF158" s="208">
        <v>0</v>
      </c>
      <c r="AG158" s="208">
        <v>0</v>
      </c>
      <c r="AH158" s="208">
        <v>0</v>
      </c>
      <c r="AI158" s="208">
        <v>39.925277866918549</v>
      </c>
      <c r="AJ158" s="208">
        <v>0</v>
      </c>
      <c r="AK158" s="252">
        <v>0</v>
      </c>
      <c r="AL158" s="252">
        <v>0</v>
      </c>
      <c r="AM158" s="252">
        <v>0</v>
      </c>
      <c r="AN158" s="252">
        <v>0</v>
      </c>
      <c r="AO158" s="252">
        <v>0</v>
      </c>
      <c r="AP158" s="252">
        <v>0</v>
      </c>
      <c r="AQ158" s="208">
        <v>0</v>
      </c>
      <c r="AR158" s="208">
        <v>0</v>
      </c>
      <c r="AS158" s="208">
        <v>0</v>
      </c>
      <c r="AT158" s="222">
        <v>39.925277866918549</v>
      </c>
      <c r="AV158" s="217" t="s">
        <v>335</v>
      </c>
      <c r="AW158" s="227">
        <f t="shared" si="370"/>
        <v>0</v>
      </c>
      <c r="AX158" s="227">
        <f t="shared" si="371"/>
        <v>0</v>
      </c>
      <c r="AY158" s="227">
        <f t="shared" si="372"/>
        <v>0</v>
      </c>
      <c r="AZ158" s="227">
        <f t="shared" si="361"/>
        <v>0</v>
      </c>
      <c r="BA158" s="227">
        <f t="shared" si="350"/>
        <v>0</v>
      </c>
      <c r="BB158" s="227">
        <f t="shared" si="362"/>
        <v>0</v>
      </c>
      <c r="BC158" s="227">
        <f t="shared" si="363"/>
        <v>0</v>
      </c>
      <c r="BD158" s="227">
        <f t="shared" si="364"/>
        <v>0</v>
      </c>
      <c r="BE158" s="227">
        <f t="shared" si="365"/>
        <v>0</v>
      </c>
      <c r="BF158" s="227">
        <f t="shared" si="366"/>
        <v>39.925277866918549</v>
      </c>
      <c r="BG158" s="227">
        <f t="shared" si="367"/>
        <v>0</v>
      </c>
      <c r="BH158" s="252">
        <v>0</v>
      </c>
      <c r="BI158" s="252">
        <v>0</v>
      </c>
      <c r="BJ158" s="252">
        <v>0</v>
      </c>
      <c r="BK158" s="252">
        <v>0</v>
      </c>
      <c r="BL158" s="255">
        <v>0</v>
      </c>
      <c r="BM158" s="252">
        <v>0</v>
      </c>
      <c r="BN158" s="208">
        <f t="shared" si="373"/>
        <v>0</v>
      </c>
      <c r="BO158" s="208">
        <f t="shared" si="368"/>
        <v>0</v>
      </c>
      <c r="BP158" s="208">
        <f t="shared" si="369"/>
        <v>0</v>
      </c>
      <c r="BQ158" s="230">
        <f t="shared" si="347"/>
        <v>39.925277866918549</v>
      </c>
      <c r="BR158" s="214"/>
      <c r="BS158" s="227"/>
      <c r="BT158" s="286"/>
      <c r="BU158" s="300" t="s">
        <v>336</v>
      </c>
      <c r="BV158" s="293">
        <v>0</v>
      </c>
      <c r="BW158" s="293">
        <v>0</v>
      </c>
      <c r="BX158" s="258">
        <v>0</v>
      </c>
      <c r="BY158" s="258">
        <v>0</v>
      </c>
      <c r="BZ158" s="258">
        <v>0</v>
      </c>
      <c r="CA158" s="258">
        <v>0</v>
      </c>
      <c r="CB158" s="258">
        <v>0</v>
      </c>
      <c r="CC158" s="258">
        <v>0</v>
      </c>
      <c r="CD158" s="258">
        <v>0</v>
      </c>
      <c r="CE158" s="258">
        <v>0</v>
      </c>
      <c r="CF158" s="258">
        <v>0</v>
      </c>
      <c r="CG158" s="258">
        <v>0</v>
      </c>
      <c r="CH158" s="258">
        <v>0</v>
      </c>
      <c r="CI158" s="258">
        <v>0</v>
      </c>
      <c r="CJ158" s="258">
        <v>0</v>
      </c>
      <c r="CK158" s="258">
        <v>0</v>
      </c>
      <c r="CL158" s="258">
        <v>0</v>
      </c>
      <c r="CM158" s="258">
        <v>0</v>
      </c>
      <c r="CN158" s="258">
        <v>0</v>
      </c>
      <c r="CO158" s="258">
        <v>0</v>
      </c>
      <c r="CP158" s="301">
        <v>0</v>
      </c>
      <c r="CQ158" s="302"/>
      <c r="CR158" s="300" t="s">
        <v>336</v>
      </c>
      <c r="CS158" s="293">
        <v>0</v>
      </c>
      <c r="CT158" s="293">
        <v>0</v>
      </c>
      <c r="CU158" s="258">
        <v>0</v>
      </c>
      <c r="CV158" s="258">
        <v>0</v>
      </c>
      <c r="CW158" s="258">
        <v>0</v>
      </c>
      <c r="CX158" s="258">
        <v>0</v>
      </c>
      <c r="CY158" s="258">
        <v>0</v>
      </c>
      <c r="CZ158" s="258">
        <v>0</v>
      </c>
      <c r="DA158" s="258">
        <v>0</v>
      </c>
      <c r="DB158" s="258">
        <v>0</v>
      </c>
      <c r="DC158" s="258">
        <v>0</v>
      </c>
      <c r="DD158" s="258">
        <v>0</v>
      </c>
      <c r="DE158" s="258">
        <v>0</v>
      </c>
      <c r="DF158" s="258">
        <v>0</v>
      </c>
      <c r="DG158" s="258">
        <v>0</v>
      </c>
      <c r="DH158" s="258">
        <v>0</v>
      </c>
      <c r="DI158" s="258">
        <v>0</v>
      </c>
      <c r="DJ158" s="258">
        <v>0</v>
      </c>
      <c r="DK158" s="258">
        <v>0</v>
      </c>
      <c r="DL158" s="258">
        <v>0</v>
      </c>
      <c r="DM158" s="301">
        <v>0</v>
      </c>
      <c r="DN158" s="302"/>
      <c r="DO158" s="302"/>
      <c r="DP158" s="300" t="s">
        <v>336</v>
      </c>
      <c r="DQ158" s="293">
        <v>0</v>
      </c>
      <c r="DR158" s="293">
        <v>0</v>
      </c>
      <c r="DS158" s="258">
        <v>0</v>
      </c>
      <c r="DT158" s="258">
        <v>0</v>
      </c>
      <c r="DU158" s="258">
        <v>0</v>
      </c>
      <c r="DV158" s="258">
        <v>0</v>
      </c>
      <c r="DW158" s="258">
        <v>0</v>
      </c>
      <c r="DX158" s="258">
        <v>0</v>
      </c>
      <c r="DY158" s="258">
        <v>0</v>
      </c>
      <c r="DZ158" s="258">
        <v>0</v>
      </c>
      <c r="EA158" s="258">
        <v>0</v>
      </c>
      <c r="EB158" s="258">
        <v>0</v>
      </c>
      <c r="EC158" s="258">
        <v>0</v>
      </c>
      <c r="ED158" s="258">
        <v>0</v>
      </c>
      <c r="EE158" s="258">
        <v>0</v>
      </c>
      <c r="EF158" s="258">
        <v>0</v>
      </c>
      <c r="EG158" s="258">
        <v>0</v>
      </c>
      <c r="EH158" s="258">
        <v>0</v>
      </c>
      <c r="EI158" s="258">
        <v>0</v>
      </c>
      <c r="EJ158" s="258">
        <v>0</v>
      </c>
      <c r="EK158" s="301">
        <v>0</v>
      </c>
      <c r="EL158" s="287"/>
      <c r="EM158" s="300" t="s">
        <v>336</v>
      </c>
      <c r="EN158" s="293">
        <v>0</v>
      </c>
      <c r="EO158" s="293">
        <v>0</v>
      </c>
      <c r="EP158" s="258">
        <v>0</v>
      </c>
      <c r="EQ158" s="258">
        <v>0</v>
      </c>
      <c r="ER158" s="258">
        <v>0</v>
      </c>
      <c r="ES158" s="258">
        <v>0</v>
      </c>
      <c r="ET158" s="258">
        <v>0</v>
      </c>
      <c r="EU158" s="258">
        <v>0</v>
      </c>
      <c r="EV158" s="258">
        <v>0</v>
      </c>
      <c r="EW158" s="258">
        <v>0</v>
      </c>
      <c r="EX158" s="258">
        <v>0</v>
      </c>
      <c r="EY158" s="258">
        <v>0</v>
      </c>
      <c r="EZ158" s="258">
        <v>0</v>
      </c>
      <c r="FA158" s="258">
        <v>0</v>
      </c>
      <c r="FB158" s="258">
        <v>0</v>
      </c>
      <c r="FC158" s="258">
        <v>0</v>
      </c>
      <c r="FD158" s="258">
        <v>0</v>
      </c>
      <c r="FE158" s="258">
        <v>0</v>
      </c>
      <c r="FF158" s="258">
        <v>0</v>
      </c>
      <c r="FG158" s="258">
        <v>0</v>
      </c>
      <c r="FH158" s="301">
        <v>0</v>
      </c>
    </row>
    <row r="159" spans="2:164" x14ac:dyDescent="0.2">
      <c r="B159" s="217" t="s">
        <v>337</v>
      </c>
      <c r="C159" s="227">
        <v>0</v>
      </c>
      <c r="D159" s="228">
        <v>0</v>
      </c>
      <c r="E159" s="208">
        <v>0</v>
      </c>
      <c r="F159" s="208">
        <v>0</v>
      </c>
      <c r="G159" s="208">
        <v>0</v>
      </c>
      <c r="H159" s="208">
        <v>0</v>
      </c>
      <c r="I159" s="208">
        <v>0</v>
      </c>
      <c r="J159" s="208">
        <v>0</v>
      </c>
      <c r="K159" s="208">
        <v>0</v>
      </c>
      <c r="L159" s="208">
        <v>0</v>
      </c>
      <c r="M159" s="208">
        <v>12</v>
      </c>
      <c r="N159" s="208">
        <v>0</v>
      </c>
      <c r="O159" s="208">
        <v>0</v>
      </c>
      <c r="P159" s="208">
        <v>0</v>
      </c>
      <c r="Q159" s="208">
        <v>0</v>
      </c>
      <c r="R159" s="208">
        <v>0</v>
      </c>
      <c r="S159" s="208">
        <v>0</v>
      </c>
      <c r="T159" s="208">
        <v>0</v>
      </c>
      <c r="U159" s="208">
        <v>0</v>
      </c>
      <c r="V159" s="208">
        <v>0</v>
      </c>
      <c r="W159" s="222">
        <v>12</v>
      </c>
      <c r="X159" s="208"/>
      <c r="Y159" s="217" t="s">
        <v>337</v>
      </c>
      <c r="Z159" s="227">
        <v>0</v>
      </c>
      <c r="AA159" s="228">
        <v>0</v>
      </c>
      <c r="AB159" s="208">
        <v>0</v>
      </c>
      <c r="AC159" s="208">
        <v>0</v>
      </c>
      <c r="AD159" s="208">
        <v>0</v>
      </c>
      <c r="AE159" s="208">
        <v>0</v>
      </c>
      <c r="AF159" s="208">
        <v>0</v>
      </c>
      <c r="AG159" s="208">
        <v>0</v>
      </c>
      <c r="AH159" s="208">
        <v>0</v>
      </c>
      <c r="AI159" s="208">
        <v>0</v>
      </c>
      <c r="AJ159" s="208">
        <v>711.53888926467164</v>
      </c>
      <c r="AK159" s="252">
        <v>0</v>
      </c>
      <c r="AL159" s="252">
        <v>0</v>
      </c>
      <c r="AM159" s="252">
        <v>0</v>
      </c>
      <c r="AN159" s="252">
        <v>0</v>
      </c>
      <c r="AO159" s="252">
        <v>0</v>
      </c>
      <c r="AP159" s="252">
        <v>0</v>
      </c>
      <c r="AQ159" s="208">
        <v>0</v>
      </c>
      <c r="AR159" s="208">
        <v>0</v>
      </c>
      <c r="AS159" s="208">
        <v>0</v>
      </c>
      <c r="AT159" s="222">
        <v>711.53888926467164</v>
      </c>
      <c r="AV159" s="217" t="s">
        <v>336</v>
      </c>
      <c r="AW159" s="227">
        <f t="shared" si="370"/>
        <v>0</v>
      </c>
      <c r="AX159" s="227">
        <f t="shared" si="371"/>
        <v>0</v>
      </c>
      <c r="AY159" s="227">
        <f t="shared" si="372"/>
        <v>0</v>
      </c>
      <c r="AZ159" s="227">
        <f t="shared" si="361"/>
        <v>0</v>
      </c>
      <c r="BA159" s="227">
        <f t="shared" si="350"/>
        <v>0</v>
      </c>
      <c r="BB159" s="227">
        <f t="shared" si="362"/>
        <v>0</v>
      </c>
      <c r="BC159" s="227">
        <f t="shared" si="363"/>
        <v>0</v>
      </c>
      <c r="BD159" s="227">
        <f t="shared" si="364"/>
        <v>0</v>
      </c>
      <c r="BE159" s="227">
        <f t="shared" si="365"/>
        <v>0</v>
      </c>
      <c r="BF159" s="227">
        <f t="shared" si="366"/>
        <v>0</v>
      </c>
      <c r="BG159" s="227">
        <f t="shared" si="367"/>
        <v>711.53888926467164</v>
      </c>
      <c r="BH159" s="252">
        <v>0</v>
      </c>
      <c r="BI159" s="252">
        <v>0</v>
      </c>
      <c r="BJ159" s="252">
        <v>0</v>
      </c>
      <c r="BK159" s="252">
        <v>0</v>
      </c>
      <c r="BL159" s="255">
        <v>0</v>
      </c>
      <c r="BM159" s="252">
        <v>0</v>
      </c>
      <c r="BN159" s="208">
        <f t="shared" si="373"/>
        <v>0</v>
      </c>
      <c r="BO159" s="208">
        <f t="shared" si="368"/>
        <v>0</v>
      </c>
      <c r="BP159" s="208">
        <f t="shared" si="369"/>
        <v>0</v>
      </c>
      <c r="BQ159" s="230">
        <f t="shared" si="347"/>
        <v>711.53888926467164</v>
      </c>
      <c r="BR159" s="214"/>
      <c r="BS159" s="227"/>
      <c r="BT159" s="286"/>
      <c r="BU159" s="300" t="s">
        <v>337</v>
      </c>
      <c r="BV159" s="293">
        <v>0</v>
      </c>
      <c r="BW159" s="293">
        <v>0</v>
      </c>
      <c r="BX159" s="258">
        <v>0</v>
      </c>
      <c r="BY159" s="258">
        <v>0</v>
      </c>
      <c r="BZ159" s="258">
        <v>0</v>
      </c>
      <c r="CA159" s="258">
        <v>0</v>
      </c>
      <c r="CB159" s="258">
        <v>0</v>
      </c>
      <c r="CC159" s="258">
        <v>0</v>
      </c>
      <c r="CD159" s="258">
        <v>0</v>
      </c>
      <c r="CE159" s="258">
        <v>0</v>
      </c>
      <c r="CF159" s="258">
        <v>0</v>
      </c>
      <c r="CG159" s="258">
        <v>0</v>
      </c>
      <c r="CH159" s="258">
        <v>0</v>
      </c>
      <c r="CI159" s="258">
        <v>0</v>
      </c>
      <c r="CJ159" s="258">
        <v>0</v>
      </c>
      <c r="CK159" s="258">
        <v>0</v>
      </c>
      <c r="CL159" s="258">
        <v>0</v>
      </c>
      <c r="CM159" s="258">
        <v>0</v>
      </c>
      <c r="CN159" s="258">
        <v>0</v>
      </c>
      <c r="CO159" s="258">
        <v>0</v>
      </c>
      <c r="CP159" s="301">
        <v>0</v>
      </c>
      <c r="CQ159" s="302"/>
      <c r="CR159" s="300" t="s">
        <v>337</v>
      </c>
      <c r="CS159" s="293">
        <v>0</v>
      </c>
      <c r="CT159" s="293">
        <v>0</v>
      </c>
      <c r="CU159" s="258">
        <v>0</v>
      </c>
      <c r="CV159" s="258">
        <v>0</v>
      </c>
      <c r="CW159" s="258">
        <v>0</v>
      </c>
      <c r="CX159" s="258">
        <v>0</v>
      </c>
      <c r="CY159" s="258">
        <v>0</v>
      </c>
      <c r="CZ159" s="258">
        <v>0</v>
      </c>
      <c r="DA159" s="258">
        <v>0</v>
      </c>
      <c r="DB159" s="258">
        <v>0</v>
      </c>
      <c r="DC159" s="258">
        <v>0</v>
      </c>
      <c r="DD159" s="258">
        <v>0</v>
      </c>
      <c r="DE159" s="258">
        <v>0</v>
      </c>
      <c r="DF159" s="258">
        <v>0</v>
      </c>
      <c r="DG159" s="258">
        <v>0</v>
      </c>
      <c r="DH159" s="258">
        <v>0</v>
      </c>
      <c r="DI159" s="258">
        <v>0</v>
      </c>
      <c r="DJ159" s="258">
        <v>0</v>
      </c>
      <c r="DK159" s="258">
        <v>0</v>
      </c>
      <c r="DL159" s="258">
        <v>0</v>
      </c>
      <c r="DM159" s="301">
        <v>0</v>
      </c>
      <c r="DN159" s="302"/>
      <c r="DO159" s="302"/>
      <c r="DP159" s="300" t="s">
        <v>337</v>
      </c>
      <c r="DQ159" s="293">
        <v>0</v>
      </c>
      <c r="DR159" s="293">
        <v>0</v>
      </c>
      <c r="DS159" s="258">
        <v>0</v>
      </c>
      <c r="DT159" s="258">
        <v>0</v>
      </c>
      <c r="DU159" s="258">
        <v>0</v>
      </c>
      <c r="DV159" s="258">
        <v>0</v>
      </c>
      <c r="DW159" s="258">
        <v>0</v>
      </c>
      <c r="DX159" s="258">
        <v>0</v>
      </c>
      <c r="DY159" s="258">
        <v>0</v>
      </c>
      <c r="DZ159" s="258">
        <v>0</v>
      </c>
      <c r="EA159" s="258">
        <v>0</v>
      </c>
      <c r="EB159" s="258">
        <v>0</v>
      </c>
      <c r="EC159" s="258">
        <v>0</v>
      </c>
      <c r="ED159" s="258">
        <v>0</v>
      </c>
      <c r="EE159" s="258">
        <v>0</v>
      </c>
      <c r="EF159" s="258">
        <v>0</v>
      </c>
      <c r="EG159" s="258">
        <v>0</v>
      </c>
      <c r="EH159" s="258">
        <v>0</v>
      </c>
      <c r="EI159" s="258">
        <v>0</v>
      </c>
      <c r="EJ159" s="258">
        <v>0</v>
      </c>
      <c r="EK159" s="301">
        <v>0</v>
      </c>
      <c r="EL159" s="287"/>
      <c r="EM159" s="300" t="s">
        <v>337</v>
      </c>
      <c r="EN159" s="293">
        <v>0</v>
      </c>
      <c r="EO159" s="293">
        <v>0</v>
      </c>
      <c r="EP159" s="258">
        <v>0</v>
      </c>
      <c r="EQ159" s="258">
        <v>0</v>
      </c>
      <c r="ER159" s="258">
        <v>0</v>
      </c>
      <c r="ES159" s="258">
        <v>0</v>
      </c>
      <c r="ET159" s="258">
        <v>0</v>
      </c>
      <c r="EU159" s="258">
        <v>0</v>
      </c>
      <c r="EV159" s="258">
        <v>0</v>
      </c>
      <c r="EW159" s="258">
        <v>0</v>
      </c>
      <c r="EX159" s="258">
        <v>0</v>
      </c>
      <c r="EY159" s="258">
        <v>0</v>
      </c>
      <c r="EZ159" s="258">
        <v>0</v>
      </c>
      <c r="FA159" s="258">
        <v>0</v>
      </c>
      <c r="FB159" s="258">
        <v>0</v>
      </c>
      <c r="FC159" s="258">
        <v>0</v>
      </c>
      <c r="FD159" s="258">
        <v>0</v>
      </c>
      <c r="FE159" s="258">
        <v>0</v>
      </c>
      <c r="FF159" s="258">
        <v>0</v>
      </c>
      <c r="FG159" s="258">
        <v>0</v>
      </c>
      <c r="FH159" s="301">
        <v>0</v>
      </c>
    </row>
    <row r="160" spans="2:164" x14ac:dyDescent="0.2">
      <c r="B160" s="217" t="s">
        <v>338</v>
      </c>
      <c r="C160" s="227">
        <v>0</v>
      </c>
      <c r="D160" s="228">
        <v>0</v>
      </c>
      <c r="E160" s="208">
        <v>0</v>
      </c>
      <c r="F160" s="208">
        <v>0</v>
      </c>
      <c r="G160" s="208">
        <v>0</v>
      </c>
      <c r="H160" s="208">
        <v>0</v>
      </c>
      <c r="I160" s="208">
        <v>0</v>
      </c>
      <c r="J160" s="208">
        <v>0</v>
      </c>
      <c r="K160" s="208">
        <v>0</v>
      </c>
      <c r="L160" s="208">
        <v>0</v>
      </c>
      <c r="M160" s="208">
        <v>0</v>
      </c>
      <c r="N160" s="208">
        <v>9</v>
      </c>
      <c r="O160" s="208">
        <v>0</v>
      </c>
      <c r="P160" s="208">
        <v>0</v>
      </c>
      <c r="Q160" s="208">
        <v>0</v>
      </c>
      <c r="R160" s="208">
        <v>0</v>
      </c>
      <c r="S160" s="208">
        <v>0</v>
      </c>
      <c r="T160" s="208">
        <v>0</v>
      </c>
      <c r="U160" s="208">
        <v>0</v>
      </c>
      <c r="V160" s="208">
        <v>0</v>
      </c>
      <c r="W160" s="222">
        <v>9</v>
      </c>
      <c r="X160" s="208"/>
      <c r="Y160" s="217" t="s">
        <v>338</v>
      </c>
      <c r="Z160" s="227">
        <v>0</v>
      </c>
      <c r="AA160" s="228">
        <v>0</v>
      </c>
      <c r="AB160" s="208">
        <v>0</v>
      </c>
      <c r="AC160" s="208">
        <v>0</v>
      </c>
      <c r="AD160" s="208">
        <v>0</v>
      </c>
      <c r="AE160" s="208">
        <v>0</v>
      </c>
      <c r="AF160" s="208">
        <v>0</v>
      </c>
      <c r="AG160" s="208">
        <v>0</v>
      </c>
      <c r="AH160" s="208">
        <v>0</v>
      </c>
      <c r="AI160" s="208">
        <v>0</v>
      </c>
      <c r="AJ160" s="208">
        <v>0</v>
      </c>
      <c r="AK160" s="252">
        <v>1798.3514842300513</v>
      </c>
      <c r="AL160" s="252">
        <v>0</v>
      </c>
      <c r="AM160" s="252">
        <v>0</v>
      </c>
      <c r="AN160" s="252">
        <v>0</v>
      </c>
      <c r="AO160" s="252">
        <v>0</v>
      </c>
      <c r="AP160" s="252">
        <v>0</v>
      </c>
      <c r="AQ160" s="208">
        <v>0</v>
      </c>
      <c r="AR160" s="208">
        <v>0</v>
      </c>
      <c r="AS160" s="208">
        <v>0</v>
      </c>
      <c r="AT160" s="222">
        <v>1798.3514842300513</v>
      </c>
      <c r="AV160" s="217" t="s">
        <v>337</v>
      </c>
      <c r="AW160" s="227">
        <f t="shared" si="370"/>
        <v>0</v>
      </c>
      <c r="AX160" s="227">
        <f t="shared" si="371"/>
        <v>0</v>
      </c>
      <c r="AY160" s="227">
        <f t="shared" si="372"/>
        <v>0</v>
      </c>
      <c r="AZ160" s="227">
        <f t="shared" si="361"/>
        <v>0</v>
      </c>
      <c r="BA160" s="227">
        <f t="shared" si="350"/>
        <v>0</v>
      </c>
      <c r="BB160" s="227">
        <f t="shared" si="362"/>
        <v>0</v>
      </c>
      <c r="BC160" s="227">
        <f t="shared" si="363"/>
        <v>0</v>
      </c>
      <c r="BD160" s="227">
        <f t="shared" si="364"/>
        <v>0</v>
      </c>
      <c r="BE160" s="227">
        <f t="shared" si="365"/>
        <v>0</v>
      </c>
      <c r="BF160" s="227">
        <f t="shared" si="366"/>
        <v>0</v>
      </c>
      <c r="BG160" s="227">
        <f t="shared" si="367"/>
        <v>0</v>
      </c>
      <c r="BH160" s="252">
        <v>0</v>
      </c>
      <c r="BI160" s="252">
        <v>0</v>
      </c>
      <c r="BJ160" s="252">
        <v>0</v>
      </c>
      <c r="BK160" s="252">
        <v>0</v>
      </c>
      <c r="BL160" s="252">
        <v>0</v>
      </c>
      <c r="BM160" s="255">
        <v>0</v>
      </c>
      <c r="BN160" s="208">
        <f t="shared" si="373"/>
        <v>0</v>
      </c>
      <c r="BO160" s="208">
        <f t="shared" si="368"/>
        <v>0</v>
      </c>
      <c r="BP160" s="208">
        <f t="shared" si="369"/>
        <v>0</v>
      </c>
      <c r="BQ160" s="230">
        <f t="shared" si="347"/>
        <v>0</v>
      </c>
      <c r="BR160" s="214"/>
      <c r="BS160" s="227"/>
      <c r="BT160" s="286"/>
      <c r="BU160" s="300" t="s">
        <v>338</v>
      </c>
      <c r="BV160" s="293">
        <v>0</v>
      </c>
      <c r="BW160" s="293">
        <v>0</v>
      </c>
      <c r="BX160" s="258">
        <v>0</v>
      </c>
      <c r="BY160" s="258">
        <v>0</v>
      </c>
      <c r="BZ160" s="258">
        <v>0</v>
      </c>
      <c r="CA160" s="258">
        <v>0</v>
      </c>
      <c r="CB160" s="258">
        <v>0</v>
      </c>
      <c r="CC160" s="258">
        <v>0</v>
      </c>
      <c r="CD160" s="258">
        <v>0</v>
      </c>
      <c r="CE160" s="258">
        <v>0</v>
      </c>
      <c r="CF160" s="258">
        <v>0</v>
      </c>
      <c r="CG160" s="258">
        <v>0</v>
      </c>
      <c r="CH160" s="258">
        <v>0</v>
      </c>
      <c r="CI160" s="258">
        <v>0</v>
      </c>
      <c r="CJ160" s="258">
        <v>0</v>
      </c>
      <c r="CK160" s="258">
        <v>0</v>
      </c>
      <c r="CL160" s="258">
        <v>0</v>
      </c>
      <c r="CM160" s="258">
        <v>0</v>
      </c>
      <c r="CN160" s="258">
        <v>0</v>
      </c>
      <c r="CO160" s="258">
        <v>0</v>
      </c>
      <c r="CP160" s="301">
        <v>0</v>
      </c>
      <c r="CQ160" s="302"/>
      <c r="CR160" s="300" t="s">
        <v>338</v>
      </c>
      <c r="CS160" s="293">
        <v>0</v>
      </c>
      <c r="CT160" s="293">
        <v>0</v>
      </c>
      <c r="CU160" s="258">
        <v>0</v>
      </c>
      <c r="CV160" s="258">
        <v>0</v>
      </c>
      <c r="CW160" s="258">
        <v>0</v>
      </c>
      <c r="CX160" s="258">
        <v>0</v>
      </c>
      <c r="CY160" s="258">
        <v>0</v>
      </c>
      <c r="CZ160" s="258">
        <v>0</v>
      </c>
      <c r="DA160" s="258">
        <v>0</v>
      </c>
      <c r="DB160" s="258">
        <v>0</v>
      </c>
      <c r="DC160" s="258">
        <v>0</v>
      </c>
      <c r="DD160" s="258">
        <v>0</v>
      </c>
      <c r="DE160" s="258">
        <v>0</v>
      </c>
      <c r="DF160" s="258">
        <v>0</v>
      </c>
      <c r="DG160" s="258">
        <v>0</v>
      </c>
      <c r="DH160" s="258">
        <v>0</v>
      </c>
      <c r="DI160" s="258">
        <v>0</v>
      </c>
      <c r="DJ160" s="258">
        <v>0</v>
      </c>
      <c r="DK160" s="258">
        <v>0</v>
      </c>
      <c r="DL160" s="258">
        <v>0</v>
      </c>
      <c r="DM160" s="301">
        <v>0</v>
      </c>
      <c r="DN160" s="302"/>
      <c r="DO160" s="302"/>
      <c r="DP160" s="300" t="s">
        <v>338</v>
      </c>
      <c r="DQ160" s="293">
        <v>0</v>
      </c>
      <c r="DR160" s="293">
        <v>0</v>
      </c>
      <c r="DS160" s="258">
        <v>0</v>
      </c>
      <c r="DT160" s="258">
        <v>0</v>
      </c>
      <c r="DU160" s="258">
        <v>0</v>
      </c>
      <c r="DV160" s="258">
        <v>0</v>
      </c>
      <c r="DW160" s="258">
        <v>0</v>
      </c>
      <c r="DX160" s="258">
        <v>0</v>
      </c>
      <c r="DY160" s="258">
        <v>0</v>
      </c>
      <c r="DZ160" s="258">
        <v>0</v>
      </c>
      <c r="EA160" s="258">
        <v>0</v>
      </c>
      <c r="EB160" s="258">
        <v>3</v>
      </c>
      <c r="EC160" s="258">
        <v>0</v>
      </c>
      <c r="ED160" s="258">
        <v>0</v>
      </c>
      <c r="EE160" s="258">
        <v>0</v>
      </c>
      <c r="EF160" s="258">
        <v>0</v>
      </c>
      <c r="EG160" s="258">
        <v>0</v>
      </c>
      <c r="EH160" s="258">
        <v>0</v>
      </c>
      <c r="EI160" s="258">
        <v>0</v>
      </c>
      <c r="EJ160" s="258">
        <v>0</v>
      </c>
      <c r="EK160" s="301">
        <v>3</v>
      </c>
      <c r="EL160" s="287"/>
      <c r="EM160" s="300" t="s">
        <v>338</v>
      </c>
      <c r="EN160" s="293">
        <v>0</v>
      </c>
      <c r="EO160" s="293">
        <v>0</v>
      </c>
      <c r="EP160" s="258">
        <v>0</v>
      </c>
      <c r="EQ160" s="258">
        <v>0</v>
      </c>
      <c r="ER160" s="258">
        <v>0</v>
      </c>
      <c r="ES160" s="258">
        <v>0</v>
      </c>
      <c r="ET160" s="258">
        <v>0</v>
      </c>
      <c r="EU160" s="258">
        <v>0</v>
      </c>
      <c r="EV160" s="258">
        <v>0</v>
      </c>
      <c r="EW160" s="258">
        <v>0</v>
      </c>
      <c r="EX160" s="258">
        <v>0</v>
      </c>
      <c r="EY160" s="258">
        <v>0</v>
      </c>
      <c r="EZ160" s="258">
        <v>0</v>
      </c>
      <c r="FA160" s="258">
        <v>0</v>
      </c>
      <c r="FB160" s="258">
        <v>0</v>
      </c>
      <c r="FC160" s="258">
        <v>0</v>
      </c>
      <c r="FD160" s="258">
        <v>0</v>
      </c>
      <c r="FE160" s="258">
        <v>0</v>
      </c>
      <c r="FF160" s="258">
        <v>0</v>
      </c>
      <c r="FG160" s="258">
        <v>0</v>
      </c>
      <c r="FH160" s="301">
        <v>0</v>
      </c>
    </row>
    <row r="161" spans="2:164" x14ac:dyDescent="0.2">
      <c r="B161" s="217" t="s">
        <v>353</v>
      </c>
      <c r="C161" s="227">
        <v>0</v>
      </c>
      <c r="D161" s="228">
        <v>0</v>
      </c>
      <c r="E161" s="208">
        <v>0</v>
      </c>
      <c r="F161" s="208">
        <v>0</v>
      </c>
      <c r="G161" s="208">
        <v>0</v>
      </c>
      <c r="H161" s="208">
        <v>0</v>
      </c>
      <c r="I161" s="208">
        <v>0</v>
      </c>
      <c r="J161" s="208">
        <v>0</v>
      </c>
      <c r="K161" s="208">
        <v>0</v>
      </c>
      <c r="L161" s="208">
        <v>0</v>
      </c>
      <c r="M161" s="208">
        <v>0</v>
      </c>
      <c r="N161" s="208">
        <v>0</v>
      </c>
      <c r="O161" s="208">
        <v>6</v>
      </c>
      <c r="P161" s="208">
        <v>0</v>
      </c>
      <c r="Q161" s="208">
        <v>0</v>
      </c>
      <c r="R161" s="208">
        <v>0</v>
      </c>
      <c r="S161" s="208">
        <v>0</v>
      </c>
      <c r="T161" s="208">
        <v>0</v>
      </c>
      <c r="U161" s="208">
        <v>0</v>
      </c>
      <c r="V161" s="208">
        <v>0</v>
      </c>
      <c r="W161" s="222">
        <v>6</v>
      </c>
      <c r="X161" s="208"/>
      <c r="Y161" s="217" t="s">
        <v>353</v>
      </c>
      <c r="Z161" s="227">
        <v>0</v>
      </c>
      <c r="AA161" s="228">
        <v>0</v>
      </c>
      <c r="AB161" s="208">
        <v>0</v>
      </c>
      <c r="AC161" s="208">
        <v>0</v>
      </c>
      <c r="AD161" s="208">
        <v>0</v>
      </c>
      <c r="AE161" s="252">
        <v>0</v>
      </c>
      <c r="AF161" s="252">
        <v>0</v>
      </c>
      <c r="AG161" s="252">
        <v>0</v>
      </c>
      <c r="AH161" s="252">
        <v>0</v>
      </c>
      <c r="AI161" s="252">
        <v>0</v>
      </c>
      <c r="AJ161" s="252">
        <v>0</v>
      </c>
      <c r="AK161" s="208">
        <v>0</v>
      </c>
      <c r="AL161" s="208">
        <v>470.15029527199732</v>
      </c>
      <c r="AM161" s="208">
        <v>0</v>
      </c>
      <c r="AN161" s="208">
        <v>0</v>
      </c>
      <c r="AO161" s="208">
        <v>0</v>
      </c>
      <c r="AP161" s="208">
        <v>0</v>
      </c>
      <c r="AQ161" s="208">
        <v>0</v>
      </c>
      <c r="AR161" s="208">
        <v>0</v>
      </c>
      <c r="AS161" s="208">
        <v>0</v>
      </c>
      <c r="AT161" s="222">
        <v>470.15029527199732</v>
      </c>
      <c r="AV161" s="217" t="s">
        <v>338</v>
      </c>
      <c r="AW161" s="227">
        <f t="shared" si="370"/>
        <v>0</v>
      </c>
      <c r="AX161" s="227">
        <f t="shared" si="371"/>
        <v>0</v>
      </c>
      <c r="AY161" s="227">
        <f t="shared" si="372"/>
        <v>0</v>
      </c>
      <c r="AZ161" s="227">
        <f t="shared" si="361"/>
        <v>0</v>
      </c>
      <c r="BA161" s="227">
        <f t="shared" si="350"/>
        <v>0</v>
      </c>
      <c r="BB161" s="255">
        <v>0</v>
      </c>
      <c r="BC161" s="252">
        <v>0</v>
      </c>
      <c r="BD161" s="252">
        <v>0</v>
      </c>
      <c r="BE161" s="252">
        <v>0</v>
      </c>
      <c r="BF161" s="252">
        <v>0</v>
      </c>
      <c r="BG161" s="252">
        <v>0</v>
      </c>
      <c r="BH161" s="208">
        <f t="shared" ref="BH161:BH169" si="374">AK161</f>
        <v>0</v>
      </c>
      <c r="BI161" s="208">
        <f t="shared" ref="BI161:BI169" si="375">AL161</f>
        <v>470.15029527199732</v>
      </c>
      <c r="BJ161" s="208">
        <f t="shared" ref="BJ161:BJ169" si="376">AM161</f>
        <v>0</v>
      </c>
      <c r="BK161" s="208">
        <f t="shared" ref="BK161:BK169" si="377">AN161</f>
        <v>0</v>
      </c>
      <c r="BL161" s="208">
        <f t="shared" ref="BL161:BL169" si="378">AO161</f>
        <v>0</v>
      </c>
      <c r="BM161" s="208">
        <f t="shared" ref="BM161:BM169" si="379">AP161</f>
        <v>0</v>
      </c>
      <c r="BN161" s="208">
        <f t="shared" si="373"/>
        <v>0</v>
      </c>
      <c r="BO161" s="208">
        <f t="shared" si="368"/>
        <v>0</v>
      </c>
      <c r="BP161" s="208">
        <f t="shared" si="369"/>
        <v>0</v>
      </c>
      <c r="BQ161" s="230">
        <f t="shared" si="347"/>
        <v>470.15029527199732</v>
      </c>
      <c r="BR161" s="214"/>
      <c r="BS161" s="227"/>
      <c r="BT161" s="286"/>
      <c r="BU161" s="300" t="s">
        <v>353</v>
      </c>
      <c r="BV161" s="293">
        <v>0</v>
      </c>
      <c r="BW161" s="293">
        <v>0</v>
      </c>
      <c r="BX161" s="258">
        <v>0</v>
      </c>
      <c r="BY161" s="258">
        <v>0</v>
      </c>
      <c r="BZ161" s="258">
        <v>0</v>
      </c>
      <c r="CA161" s="258">
        <v>0</v>
      </c>
      <c r="CB161" s="258">
        <v>0</v>
      </c>
      <c r="CC161" s="258">
        <v>0</v>
      </c>
      <c r="CD161" s="258">
        <v>0</v>
      </c>
      <c r="CE161" s="258">
        <v>0</v>
      </c>
      <c r="CF161" s="258">
        <v>0</v>
      </c>
      <c r="CG161" s="258">
        <v>0</v>
      </c>
      <c r="CH161" s="258">
        <v>0</v>
      </c>
      <c r="CI161" s="258">
        <v>0</v>
      </c>
      <c r="CJ161" s="258">
        <v>0</v>
      </c>
      <c r="CK161" s="258">
        <v>0</v>
      </c>
      <c r="CL161" s="258">
        <v>0</v>
      </c>
      <c r="CM161" s="258">
        <v>0</v>
      </c>
      <c r="CN161" s="258">
        <v>0</v>
      </c>
      <c r="CO161" s="258">
        <v>0</v>
      </c>
      <c r="CP161" s="301">
        <v>0</v>
      </c>
      <c r="CQ161" s="302"/>
      <c r="CR161" s="300" t="s">
        <v>353</v>
      </c>
      <c r="CS161" s="293">
        <v>0</v>
      </c>
      <c r="CT161" s="293">
        <v>0</v>
      </c>
      <c r="CU161" s="258">
        <v>0</v>
      </c>
      <c r="CV161" s="258">
        <v>0</v>
      </c>
      <c r="CW161" s="258">
        <v>0</v>
      </c>
      <c r="CX161" s="258">
        <v>0</v>
      </c>
      <c r="CY161" s="258">
        <v>0</v>
      </c>
      <c r="CZ161" s="258">
        <v>0</v>
      </c>
      <c r="DA161" s="258">
        <v>0</v>
      </c>
      <c r="DB161" s="258">
        <v>0</v>
      </c>
      <c r="DC161" s="258">
        <v>0</v>
      </c>
      <c r="DD161" s="258">
        <v>0</v>
      </c>
      <c r="DE161" s="258">
        <v>0</v>
      </c>
      <c r="DF161" s="258">
        <v>0</v>
      </c>
      <c r="DG161" s="258">
        <v>0</v>
      </c>
      <c r="DH161" s="258">
        <v>0</v>
      </c>
      <c r="DI161" s="258">
        <v>0</v>
      </c>
      <c r="DJ161" s="258">
        <v>0</v>
      </c>
      <c r="DK161" s="258">
        <v>0</v>
      </c>
      <c r="DL161" s="258">
        <v>0</v>
      </c>
      <c r="DM161" s="301">
        <v>0</v>
      </c>
      <c r="DN161" s="302"/>
      <c r="DO161" s="302"/>
      <c r="DP161" s="300" t="s">
        <v>353</v>
      </c>
      <c r="DQ161" s="293">
        <v>0</v>
      </c>
      <c r="DR161" s="293">
        <v>0</v>
      </c>
      <c r="DS161" s="258">
        <v>0</v>
      </c>
      <c r="DT161" s="258">
        <v>0</v>
      </c>
      <c r="DU161" s="258">
        <v>0</v>
      </c>
      <c r="DV161" s="258">
        <v>0</v>
      </c>
      <c r="DW161" s="258">
        <v>0</v>
      </c>
      <c r="DX161" s="258">
        <v>0</v>
      </c>
      <c r="DY161" s="258">
        <v>0</v>
      </c>
      <c r="DZ161" s="258">
        <v>0</v>
      </c>
      <c r="EA161" s="258">
        <v>0</v>
      </c>
      <c r="EB161" s="258">
        <v>0</v>
      </c>
      <c r="EC161" s="258">
        <v>0</v>
      </c>
      <c r="ED161" s="258">
        <v>0</v>
      </c>
      <c r="EE161" s="258">
        <v>0</v>
      </c>
      <c r="EF161" s="258">
        <v>0</v>
      </c>
      <c r="EG161" s="258">
        <v>0</v>
      </c>
      <c r="EH161" s="258">
        <v>0</v>
      </c>
      <c r="EI161" s="258">
        <v>0</v>
      </c>
      <c r="EJ161" s="258">
        <v>0</v>
      </c>
      <c r="EK161" s="301">
        <v>0</v>
      </c>
      <c r="EL161" s="287"/>
      <c r="EM161" s="300" t="s">
        <v>353</v>
      </c>
      <c r="EN161" s="293">
        <v>0</v>
      </c>
      <c r="EO161" s="293">
        <v>0</v>
      </c>
      <c r="EP161" s="258">
        <v>0</v>
      </c>
      <c r="EQ161" s="258">
        <v>0</v>
      </c>
      <c r="ER161" s="258">
        <v>0</v>
      </c>
      <c r="ES161" s="258">
        <v>0</v>
      </c>
      <c r="ET161" s="258">
        <v>0</v>
      </c>
      <c r="EU161" s="258">
        <v>0</v>
      </c>
      <c r="EV161" s="258">
        <v>0</v>
      </c>
      <c r="EW161" s="258">
        <v>0</v>
      </c>
      <c r="EX161" s="258">
        <v>0</v>
      </c>
      <c r="EY161" s="258">
        <v>0</v>
      </c>
      <c r="EZ161" s="258">
        <v>0</v>
      </c>
      <c r="FA161" s="258">
        <v>0</v>
      </c>
      <c r="FB161" s="258">
        <v>0</v>
      </c>
      <c r="FC161" s="258">
        <v>0</v>
      </c>
      <c r="FD161" s="258">
        <v>0</v>
      </c>
      <c r="FE161" s="258">
        <v>0</v>
      </c>
      <c r="FF161" s="258">
        <v>0</v>
      </c>
      <c r="FG161" s="258">
        <v>0</v>
      </c>
      <c r="FH161" s="301">
        <v>0</v>
      </c>
    </row>
    <row r="162" spans="2:164" ht="12.75" customHeight="1" x14ac:dyDescent="0.2">
      <c r="B162" s="217" t="s">
        <v>339</v>
      </c>
      <c r="C162" s="227">
        <v>0</v>
      </c>
      <c r="D162" s="228">
        <v>0</v>
      </c>
      <c r="E162" s="208">
        <v>0</v>
      </c>
      <c r="F162" s="208">
        <v>0</v>
      </c>
      <c r="G162" s="208">
        <v>0</v>
      </c>
      <c r="H162" s="208">
        <v>0</v>
      </c>
      <c r="I162" s="208">
        <v>0</v>
      </c>
      <c r="J162" s="208">
        <v>0</v>
      </c>
      <c r="K162" s="208">
        <v>0</v>
      </c>
      <c r="L162" s="208">
        <v>0</v>
      </c>
      <c r="M162" s="208">
        <v>0</v>
      </c>
      <c r="N162" s="208">
        <v>0</v>
      </c>
      <c r="O162" s="208">
        <v>0</v>
      </c>
      <c r="P162" s="208">
        <v>0</v>
      </c>
      <c r="Q162" s="208">
        <v>0</v>
      </c>
      <c r="R162" s="208">
        <v>0</v>
      </c>
      <c r="S162" s="208">
        <v>0</v>
      </c>
      <c r="T162" s="208">
        <v>0</v>
      </c>
      <c r="U162" s="208">
        <v>0</v>
      </c>
      <c r="V162" s="208">
        <v>0</v>
      </c>
      <c r="W162" s="222">
        <v>0</v>
      </c>
      <c r="X162" s="208"/>
      <c r="Y162" s="217" t="s">
        <v>339</v>
      </c>
      <c r="Z162" s="227">
        <v>0</v>
      </c>
      <c r="AA162" s="228">
        <v>0</v>
      </c>
      <c r="AB162" s="208">
        <v>0</v>
      </c>
      <c r="AC162" s="208">
        <v>0</v>
      </c>
      <c r="AD162" s="208">
        <v>0</v>
      </c>
      <c r="AE162" s="252">
        <v>0</v>
      </c>
      <c r="AF162" s="252">
        <v>0</v>
      </c>
      <c r="AG162" s="252">
        <v>0</v>
      </c>
      <c r="AH162" s="252">
        <v>0</v>
      </c>
      <c r="AI162" s="252">
        <v>0</v>
      </c>
      <c r="AJ162" s="252">
        <v>0</v>
      </c>
      <c r="AK162" s="208">
        <v>0</v>
      </c>
      <c r="AL162" s="208">
        <v>0</v>
      </c>
      <c r="AM162" s="208">
        <v>0</v>
      </c>
      <c r="AN162" s="208">
        <v>0</v>
      </c>
      <c r="AO162" s="208">
        <v>0</v>
      </c>
      <c r="AP162" s="208">
        <v>0</v>
      </c>
      <c r="AQ162" s="208">
        <v>0</v>
      </c>
      <c r="AR162" s="208">
        <v>0</v>
      </c>
      <c r="AS162" s="208">
        <v>0</v>
      </c>
      <c r="AT162" s="222">
        <v>0</v>
      </c>
      <c r="AV162" s="217" t="s">
        <v>349</v>
      </c>
      <c r="AW162" s="227">
        <f t="shared" si="370"/>
        <v>0</v>
      </c>
      <c r="AX162" s="227">
        <f t="shared" si="371"/>
        <v>0</v>
      </c>
      <c r="AY162" s="227">
        <f t="shared" si="372"/>
        <v>0</v>
      </c>
      <c r="AZ162" s="227">
        <f t="shared" si="361"/>
        <v>0</v>
      </c>
      <c r="BA162" s="227">
        <f t="shared" si="350"/>
        <v>0</v>
      </c>
      <c r="BB162" s="252">
        <v>0</v>
      </c>
      <c r="BC162" s="255">
        <v>0</v>
      </c>
      <c r="BD162" s="252">
        <v>0</v>
      </c>
      <c r="BE162" s="252">
        <v>0</v>
      </c>
      <c r="BF162" s="252">
        <v>0</v>
      </c>
      <c r="BG162" s="252">
        <v>0</v>
      </c>
      <c r="BH162" s="208">
        <f t="shared" si="374"/>
        <v>0</v>
      </c>
      <c r="BI162" s="208">
        <f t="shared" si="375"/>
        <v>0</v>
      </c>
      <c r="BJ162" s="208">
        <f t="shared" si="376"/>
        <v>0</v>
      </c>
      <c r="BK162" s="208">
        <f t="shared" si="377"/>
        <v>0</v>
      </c>
      <c r="BL162" s="208">
        <f t="shared" si="378"/>
        <v>0</v>
      </c>
      <c r="BM162" s="208">
        <f t="shared" si="379"/>
        <v>0</v>
      </c>
      <c r="BN162" s="208">
        <f t="shared" si="373"/>
        <v>0</v>
      </c>
      <c r="BO162" s="208">
        <f t="shared" si="368"/>
        <v>0</v>
      </c>
      <c r="BP162" s="208">
        <f t="shared" si="369"/>
        <v>0</v>
      </c>
      <c r="BQ162" s="230">
        <f t="shared" si="347"/>
        <v>0</v>
      </c>
      <c r="BR162" s="214"/>
      <c r="BS162" s="227"/>
      <c r="BT162" s="286"/>
      <c r="BU162" s="300" t="s">
        <v>339</v>
      </c>
      <c r="BV162" s="293">
        <v>0</v>
      </c>
      <c r="BW162" s="293">
        <v>0</v>
      </c>
      <c r="BX162" s="258">
        <v>0</v>
      </c>
      <c r="BY162" s="258">
        <v>0</v>
      </c>
      <c r="BZ162" s="258">
        <v>0</v>
      </c>
      <c r="CA162" s="258">
        <v>0</v>
      </c>
      <c r="CB162" s="258">
        <v>0</v>
      </c>
      <c r="CC162" s="258">
        <v>0</v>
      </c>
      <c r="CD162" s="258">
        <v>0</v>
      </c>
      <c r="CE162" s="258">
        <v>0</v>
      </c>
      <c r="CF162" s="258">
        <v>0</v>
      </c>
      <c r="CG162" s="258">
        <v>0</v>
      </c>
      <c r="CH162" s="258">
        <v>0</v>
      </c>
      <c r="CI162" s="258">
        <v>0</v>
      </c>
      <c r="CJ162" s="258">
        <v>0</v>
      </c>
      <c r="CK162" s="258">
        <v>0</v>
      </c>
      <c r="CL162" s="258">
        <v>0</v>
      </c>
      <c r="CM162" s="258">
        <v>0</v>
      </c>
      <c r="CN162" s="258">
        <v>0</v>
      </c>
      <c r="CO162" s="258">
        <v>0</v>
      </c>
      <c r="CP162" s="301">
        <v>0</v>
      </c>
      <c r="CQ162" s="302"/>
      <c r="CR162" s="300" t="s">
        <v>339</v>
      </c>
      <c r="CS162" s="293">
        <v>0</v>
      </c>
      <c r="CT162" s="293">
        <v>0</v>
      </c>
      <c r="CU162" s="258">
        <v>0</v>
      </c>
      <c r="CV162" s="258">
        <v>0</v>
      </c>
      <c r="CW162" s="258">
        <v>0</v>
      </c>
      <c r="CX162" s="258">
        <v>0</v>
      </c>
      <c r="CY162" s="258">
        <v>0</v>
      </c>
      <c r="CZ162" s="258">
        <v>0</v>
      </c>
      <c r="DA162" s="258">
        <v>0</v>
      </c>
      <c r="DB162" s="258">
        <v>0</v>
      </c>
      <c r="DC162" s="258">
        <v>0</v>
      </c>
      <c r="DD162" s="258">
        <v>0</v>
      </c>
      <c r="DE162" s="258">
        <v>0</v>
      </c>
      <c r="DF162" s="258">
        <v>0</v>
      </c>
      <c r="DG162" s="258">
        <v>0</v>
      </c>
      <c r="DH162" s="258">
        <v>0</v>
      </c>
      <c r="DI162" s="258">
        <v>0</v>
      </c>
      <c r="DJ162" s="258">
        <v>0</v>
      </c>
      <c r="DK162" s="258">
        <v>0</v>
      </c>
      <c r="DL162" s="258">
        <v>0</v>
      </c>
      <c r="DM162" s="301">
        <v>0</v>
      </c>
      <c r="DN162" s="302"/>
      <c r="DO162" s="302"/>
      <c r="DP162" s="300" t="s">
        <v>339</v>
      </c>
      <c r="DQ162" s="293">
        <v>0</v>
      </c>
      <c r="DR162" s="293">
        <v>0</v>
      </c>
      <c r="DS162" s="258">
        <v>0</v>
      </c>
      <c r="DT162" s="258">
        <v>0</v>
      </c>
      <c r="DU162" s="258">
        <v>0</v>
      </c>
      <c r="DV162" s="258">
        <v>0</v>
      </c>
      <c r="DW162" s="258">
        <v>0</v>
      </c>
      <c r="DX162" s="258">
        <v>0</v>
      </c>
      <c r="DY162" s="258">
        <v>0</v>
      </c>
      <c r="DZ162" s="258">
        <v>0</v>
      </c>
      <c r="EA162" s="258">
        <v>0</v>
      </c>
      <c r="EB162" s="258">
        <v>0</v>
      </c>
      <c r="EC162" s="258">
        <v>0</v>
      </c>
      <c r="ED162" s="258">
        <v>0</v>
      </c>
      <c r="EE162" s="258">
        <v>0</v>
      </c>
      <c r="EF162" s="258">
        <v>0</v>
      </c>
      <c r="EG162" s="258">
        <v>0</v>
      </c>
      <c r="EH162" s="258">
        <v>0</v>
      </c>
      <c r="EI162" s="258">
        <v>0</v>
      </c>
      <c r="EJ162" s="258">
        <v>0</v>
      </c>
      <c r="EK162" s="301">
        <v>0</v>
      </c>
      <c r="EL162" s="287"/>
      <c r="EM162" s="300" t="s">
        <v>339</v>
      </c>
      <c r="EN162" s="293">
        <v>0</v>
      </c>
      <c r="EO162" s="293">
        <v>0</v>
      </c>
      <c r="EP162" s="258">
        <v>0</v>
      </c>
      <c r="EQ162" s="258">
        <v>0</v>
      </c>
      <c r="ER162" s="258">
        <v>0</v>
      </c>
      <c r="ES162" s="258">
        <v>0</v>
      </c>
      <c r="ET162" s="258">
        <v>0</v>
      </c>
      <c r="EU162" s="258">
        <v>0</v>
      </c>
      <c r="EV162" s="258">
        <v>0</v>
      </c>
      <c r="EW162" s="258">
        <v>0</v>
      </c>
      <c r="EX162" s="258">
        <v>0</v>
      </c>
      <c r="EY162" s="258">
        <v>0</v>
      </c>
      <c r="EZ162" s="258">
        <v>0</v>
      </c>
      <c r="FA162" s="258">
        <v>0</v>
      </c>
      <c r="FB162" s="258">
        <v>0</v>
      </c>
      <c r="FC162" s="258">
        <v>0</v>
      </c>
      <c r="FD162" s="258">
        <v>0</v>
      </c>
      <c r="FE162" s="258">
        <v>0</v>
      </c>
      <c r="FF162" s="258">
        <v>0</v>
      </c>
      <c r="FG162" s="258">
        <v>0</v>
      </c>
      <c r="FH162" s="301">
        <v>0</v>
      </c>
    </row>
    <row r="163" spans="2:164" x14ac:dyDescent="0.2">
      <c r="B163" s="234" t="s">
        <v>340</v>
      </c>
      <c r="C163" s="227">
        <v>0</v>
      </c>
      <c r="D163" s="228">
        <v>0</v>
      </c>
      <c r="E163" s="208">
        <v>0</v>
      </c>
      <c r="F163" s="208">
        <v>0</v>
      </c>
      <c r="G163" s="208">
        <v>0</v>
      </c>
      <c r="H163" s="208">
        <v>0</v>
      </c>
      <c r="I163" s="208">
        <v>0</v>
      </c>
      <c r="J163" s="208">
        <v>0</v>
      </c>
      <c r="K163" s="208">
        <v>0</v>
      </c>
      <c r="L163" s="208">
        <v>2</v>
      </c>
      <c r="M163" s="208">
        <v>0</v>
      </c>
      <c r="N163" s="208">
        <v>0</v>
      </c>
      <c r="O163" s="208">
        <v>0</v>
      </c>
      <c r="P163" s="208">
        <v>0</v>
      </c>
      <c r="Q163" s="208">
        <v>0</v>
      </c>
      <c r="R163" s="208">
        <v>7</v>
      </c>
      <c r="S163" s="208">
        <v>0</v>
      </c>
      <c r="T163" s="208">
        <v>0</v>
      </c>
      <c r="U163" s="208">
        <v>0</v>
      </c>
      <c r="V163" s="208">
        <v>0</v>
      </c>
      <c r="W163" s="222">
        <v>9</v>
      </c>
      <c r="X163" s="209"/>
      <c r="Y163" s="217" t="s">
        <v>340</v>
      </c>
      <c r="Z163" s="227">
        <v>0</v>
      </c>
      <c r="AA163" s="228">
        <v>0</v>
      </c>
      <c r="AB163" s="208">
        <v>0</v>
      </c>
      <c r="AC163" s="208">
        <v>0</v>
      </c>
      <c r="AD163" s="208">
        <v>0</v>
      </c>
      <c r="AE163" s="252">
        <v>0</v>
      </c>
      <c r="AF163" s="252">
        <v>0</v>
      </c>
      <c r="AG163" s="252">
        <v>0</v>
      </c>
      <c r="AH163" s="252">
        <v>0</v>
      </c>
      <c r="AI163" s="252">
        <v>39.925277866918549</v>
      </c>
      <c r="AJ163" s="252">
        <v>0</v>
      </c>
      <c r="AK163" s="208">
        <v>0</v>
      </c>
      <c r="AL163" s="208">
        <v>0</v>
      </c>
      <c r="AM163" s="208">
        <v>0</v>
      </c>
      <c r="AN163" s="208">
        <v>0</v>
      </c>
      <c r="AO163" s="208">
        <v>4888.8812883566216</v>
      </c>
      <c r="AP163" s="208">
        <v>0</v>
      </c>
      <c r="AQ163" s="208">
        <v>0</v>
      </c>
      <c r="AR163" s="208">
        <v>0</v>
      </c>
      <c r="AS163" s="208">
        <v>0</v>
      </c>
      <c r="AT163" s="222">
        <v>4928.8065662235404</v>
      </c>
      <c r="AV163" s="217" t="s">
        <v>347</v>
      </c>
      <c r="AW163" s="227">
        <f t="shared" si="370"/>
        <v>0</v>
      </c>
      <c r="AX163" s="227">
        <f t="shared" si="371"/>
        <v>0</v>
      </c>
      <c r="AY163" s="227">
        <f t="shared" si="372"/>
        <v>0</v>
      </c>
      <c r="AZ163" s="227">
        <f t="shared" si="361"/>
        <v>0</v>
      </c>
      <c r="BA163" s="227">
        <f t="shared" si="350"/>
        <v>0</v>
      </c>
      <c r="BB163" s="252">
        <v>0</v>
      </c>
      <c r="BC163" s="252">
        <v>0</v>
      </c>
      <c r="BD163" s="255">
        <v>0</v>
      </c>
      <c r="BE163" s="252">
        <v>0</v>
      </c>
      <c r="BF163" s="255">
        <v>0</v>
      </c>
      <c r="BG163" s="252">
        <v>0</v>
      </c>
      <c r="BH163" s="208">
        <f t="shared" si="374"/>
        <v>0</v>
      </c>
      <c r="BI163" s="208">
        <f t="shared" si="375"/>
        <v>0</v>
      </c>
      <c r="BJ163" s="208">
        <f t="shared" si="376"/>
        <v>0</v>
      </c>
      <c r="BK163" s="208">
        <f t="shared" si="377"/>
        <v>0</v>
      </c>
      <c r="BL163" s="208">
        <f t="shared" si="378"/>
        <v>4888.8812883566216</v>
      </c>
      <c r="BM163" s="208">
        <f t="shared" si="379"/>
        <v>0</v>
      </c>
      <c r="BN163" s="208">
        <f t="shared" si="373"/>
        <v>0</v>
      </c>
      <c r="BO163" s="208">
        <f t="shared" si="368"/>
        <v>0</v>
      </c>
      <c r="BP163" s="208">
        <f t="shared" si="369"/>
        <v>0</v>
      </c>
      <c r="BQ163" s="230">
        <f t="shared" si="347"/>
        <v>4888.8812883566216</v>
      </c>
      <c r="BR163" s="214"/>
      <c r="BS163" s="227"/>
      <c r="BT163" s="286"/>
      <c r="BU163" s="300" t="s">
        <v>340</v>
      </c>
      <c r="BV163" s="293">
        <v>0</v>
      </c>
      <c r="BW163" s="293">
        <v>0</v>
      </c>
      <c r="BX163" s="258">
        <v>0</v>
      </c>
      <c r="BY163" s="258">
        <v>0</v>
      </c>
      <c r="BZ163" s="258">
        <v>0</v>
      </c>
      <c r="CA163" s="258">
        <v>0</v>
      </c>
      <c r="CB163" s="258">
        <v>0</v>
      </c>
      <c r="CC163" s="258">
        <v>0</v>
      </c>
      <c r="CD163" s="258">
        <v>0</v>
      </c>
      <c r="CE163" s="258">
        <v>0</v>
      </c>
      <c r="CF163" s="258">
        <v>0</v>
      </c>
      <c r="CG163" s="258">
        <v>0</v>
      </c>
      <c r="CH163" s="258">
        <v>0</v>
      </c>
      <c r="CI163" s="258">
        <v>0</v>
      </c>
      <c r="CJ163" s="258">
        <v>0</v>
      </c>
      <c r="CK163" s="258">
        <v>0</v>
      </c>
      <c r="CL163" s="258">
        <v>0</v>
      </c>
      <c r="CM163" s="258">
        <v>0</v>
      </c>
      <c r="CN163" s="258">
        <v>0</v>
      </c>
      <c r="CO163" s="258">
        <v>0</v>
      </c>
      <c r="CP163" s="301">
        <v>0</v>
      </c>
      <c r="CQ163" s="302"/>
      <c r="CR163" s="300" t="s">
        <v>340</v>
      </c>
      <c r="CS163" s="293">
        <v>0</v>
      </c>
      <c r="CT163" s="293">
        <v>0</v>
      </c>
      <c r="CU163" s="258">
        <v>0</v>
      </c>
      <c r="CV163" s="258">
        <v>0</v>
      </c>
      <c r="CW163" s="258">
        <v>0</v>
      </c>
      <c r="CX163" s="258">
        <v>0</v>
      </c>
      <c r="CY163" s="258">
        <v>0</v>
      </c>
      <c r="CZ163" s="258">
        <v>0</v>
      </c>
      <c r="DA163" s="258">
        <v>0</v>
      </c>
      <c r="DB163" s="258">
        <v>0</v>
      </c>
      <c r="DC163" s="258">
        <v>0</v>
      </c>
      <c r="DD163" s="258">
        <v>0</v>
      </c>
      <c r="DE163" s="258">
        <v>0</v>
      </c>
      <c r="DF163" s="258">
        <v>0</v>
      </c>
      <c r="DG163" s="258">
        <v>0</v>
      </c>
      <c r="DH163" s="258">
        <v>0</v>
      </c>
      <c r="DI163" s="258">
        <v>0</v>
      </c>
      <c r="DJ163" s="258">
        <v>0</v>
      </c>
      <c r="DK163" s="258">
        <v>0</v>
      </c>
      <c r="DL163" s="258">
        <v>0</v>
      </c>
      <c r="DM163" s="301">
        <v>0</v>
      </c>
      <c r="DN163" s="302"/>
      <c r="DO163" s="302"/>
      <c r="DP163" s="300" t="s">
        <v>340</v>
      </c>
      <c r="DQ163" s="293">
        <v>0</v>
      </c>
      <c r="DR163" s="293">
        <v>0</v>
      </c>
      <c r="DS163" s="258">
        <v>0</v>
      </c>
      <c r="DT163" s="258">
        <v>0</v>
      </c>
      <c r="DU163" s="258">
        <v>0</v>
      </c>
      <c r="DV163" s="258">
        <v>0</v>
      </c>
      <c r="DW163" s="258">
        <v>0</v>
      </c>
      <c r="DX163" s="258">
        <v>0</v>
      </c>
      <c r="DY163" s="258">
        <v>0</v>
      </c>
      <c r="DZ163" s="258">
        <v>0</v>
      </c>
      <c r="EA163" s="258">
        <v>0</v>
      </c>
      <c r="EB163" s="258">
        <v>0</v>
      </c>
      <c r="EC163" s="258">
        <v>0</v>
      </c>
      <c r="ED163" s="258">
        <v>0</v>
      </c>
      <c r="EE163" s="258">
        <v>0</v>
      </c>
      <c r="EF163" s="258">
        <v>0</v>
      </c>
      <c r="EG163" s="258">
        <v>0</v>
      </c>
      <c r="EH163" s="258">
        <v>0</v>
      </c>
      <c r="EI163" s="258">
        <v>0</v>
      </c>
      <c r="EJ163" s="258">
        <v>0</v>
      </c>
      <c r="EK163" s="301">
        <v>0</v>
      </c>
      <c r="EL163" s="287"/>
      <c r="EM163" s="300" t="s">
        <v>340</v>
      </c>
      <c r="EN163" s="293">
        <v>0</v>
      </c>
      <c r="EO163" s="293">
        <v>0</v>
      </c>
      <c r="EP163" s="258">
        <v>0</v>
      </c>
      <c r="EQ163" s="258">
        <v>0</v>
      </c>
      <c r="ER163" s="258">
        <v>0</v>
      </c>
      <c r="ES163" s="258">
        <v>0</v>
      </c>
      <c r="ET163" s="258">
        <v>0</v>
      </c>
      <c r="EU163" s="258">
        <v>0</v>
      </c>
      <c r="EV163" s="258">
        <v>0</v>
      </c>
      <c r="EW163" s="258">
        <v>0</v>
      </c>
      <c r="EX163" s="258">
        <v>0</v>
      </c>
      <c r="EY163" s="258">
        <v>0</v>
      </c>
      <c r="EZ163" s="258">
        <v>0</v>
      </c>
      <c r="FA163" s="258">
        <v>0</v>
      </c>
      <c r="FB163" s="258">
        <v>0</v>
      </c>
      <c r="FC163" s="258">
        <v>0</v>
      </c>
      <c r="FD163" s="258">
        <v>0</v>
      </c>
      <c r="FE163" s="258">
        <v>0</v>
      </c>
      <c r="FF163" s="258">
        <v>0</v>
      </c>
      <c r="FG163" s="258">
        <v>0</v>
      </c>
      <c r="FH163" s="301">
        <v>0</v>
      </c>
    </row>
    <row r="164" spans="2:164" x14ac:dyDescent="0.2">
      <c r="B164" s="217" t="s">
        <v>341</v>
      </c>
      <c r="C164" s="227">
        <v>0</v>
      </c>
      <c r="D164" s="228">
        <v>0</v>
      </c>
      <c r="E164" s="208">
        <v>0</v>
      </c>
      <c r="F164" s="208">
        <v>0</v>
      </c>
      <c r="G164" s="208">
        <v>0</v>
      </c>
      <c r="H164" s="208">
        <v>0</v>
      </c>
      <c r="I164" s="208">
        <v>0</v>
      </c>
      <c r="J164" s="208">
        <v>0</v>
      </c>
      <c r="K164" s="208">
        <v>0</v>
      </c>
      <c r="L164" s="208">
        <v>0</v>
      </c>
      <c r="M164" s="208">
        <v>0</v>
      </c>
      <c r="N164" s="208">
        <v>0</v>
      </c>
      <c r="O164" s="208">
        <v>0</v>
      </c>
      <c r="P164" s="208">
        <v>0</v>
      </c>
      <c r="Q164" s="208">
        <v>0</v>
      </c>
      <c r="R164" s="208">
        <v>0</v>
      </c>
      <c r="S164" s="208">
        <v>0</v>
      </c>
      <c r="T164" s="208">
        <v>0</v>
      </c>
      <c r="U164" s="208">
        <v>0</v>
      </c>
      <c r="V164" s="208">
        <v>0</v>
      </c>
      <c r="W164" s="222">
        <v>0</v>
      </c>
      <c r="X164" s="208"/>
      <c r="Y164" s="217" t="s">
        <v>341</v>
      </c>
      <c r="Z164" s="227">
        <v>0</v>
      </c>
      <c r="AA164" s="228">
        <v>0</v>
      </c>
      <c r="AB164" s="208">
        <v>0</v>
      </c>
      <c r="AC164" s="208">
        <v>0</v>
      </c>
      <c r="AD164" s="208">
        <v>0</v>
      </c>
      <c r="AE164" s="252">
        <v>0</v>
      </c>
      <c r="AF164" s="252">
        <v>0</v>
      </c>
      <c r="AG164" s="252">
        <v>0</v>
      </c>
      <c r="AH164" s="252">
        <v>0</v>
      </c>
      <c r="AI164" s="252">
        <v>0</v>
      </c>
      <c r="AJ164" s="252">
        <v>0</v>
      </c>
      <c r="AK164" s="208">
        <v>0</v>
      </c>
      <c r="AL164" s="208">
        <v>0</v>
      </c>
      <c r="AM164" s="208">
        <v>0</v>
      </c>
      <c r="AN164" s="208">
        <v>0</v>
      </c>
      <c r="AO164" s="208">
        <v>0</v>
      </c>
      <c r="AP164" s="208">
        <v>0</v>
      </c>
      <c r="AQ164" s="208">
        <v>0</v>
      </c>
      <c r="AR164" s="208">
        <v>0</v>
      </c>
      <c r="AS164" s="208">
        <v>0</v>
      </c>
      <c r="AT164" s="222">
        <v>0</v>
      </c>
      <c r="AV164" s="217" t="s">
        <v>339</v>
      </c>
      <c r="AW164" s="227">
        <f t="shared" si="370"/>
        <v>0</v>
      </c>
      <c r="AX164" s="227">
        <f t="shared" si="371"/>
        <v>0</v>
      </c>
      <c r="AY164" s="227">
        <f t="shared" si="372"/>
        <v>0</v>
      </c>
      <c r="AZ164" s="227">
        <f t="shared" si="361"/>
        <v>0</v>
      </c>
      <c r="BA164" s="227">
        <f t="shared" si="350"/>
        <v>0</v>
      </c>
      <c r="BB164" s="252">
        <v>0</v>
      </c>
      <c r="BC164" s="252">
        <v>0</v>
      </c>
      <c r="BD164" s="252">
        <v>0</v>
      </c>
      <c r="BE164" s="252">
        <v>0</v>
      </c>
      <c r="BF164" s="255">
        <v>0</v>
      </c>
      <c r="BG164" s="252">
        <v>0</v>
      </c>
      <c r="BH164" s="208">
        <f t="shared" si="374"/>
        <v>0</v>
      </c>
      <c r="BI164" s="208">
        <f t="shared" si="375"/>
        <v>0</v>
      </c>
      <c r="BJ164" s="208">
        <f t="shared" si="376"/>
        <v>0</v>
      </c>
      <c r="BK164" s="208">
        <f t="shared" si="377"/>
        <v>0</v>
      </c>
      <c r="BL164" s="208">
        <f t="shared" si="378"/>
        <v>0</v>
      </c>
      <c r="BM164" s="208">
        <f t="shared" si="379"/>
        <v>0</v>
      </c>
      <c r="BN164" s="208">
        <f t="shared" si="373"/>
        <v>0</v>
      </c>
      <c r="BO164" s="208">
        <f t="shared" si="368"/>
        <v>0</v>
      </c>
      <c r="BP164" s="208">
        <f t="shared" si="369"/>
        <v>0</v>
      </c>
      <c r="BQ164" s="230">
        <f t="shared" si="347"/>
        <v>0</v>
      </c>
      <c r="BR164" s="214"/>
      <c r="BS164" s="227"/>
      <c r="BT164" s="286"/>
      <c r="BU164" s="300" t="s">
        <v>341</v>
      </c>
      <c r="BV164" s="293">
        <v>0</v>
      </c>
      <c r="BW164" s="293">
        <v>0</v>
      </c>
      <c r="BX164" s="258">
        <v>0</v>
      </c>
      <c r="BY164" s="258">
        <v>0</v>
      </c>
      <c r="BZ164" s="258">
        <v>0</v>
      </c>
      <c r="CA164" s="258">
        <v>0</v>
      </c>
      <c r="CB164" s="258">
        <v>0</v>
      </c>
      <c r="CC164" s="258">
        <v>0</v>
      </c>
      <c r="CD164" s="258">
        <v>0</v>
      </c>
      <c r="CE164" s="258">
        <v>0</v>
      </c>
      <c r="CF164" s="258">
        <v>0</v>
      </c>
      <c r="CG164" s="258">
        <v>0</v>
      </c>
      <c r="CH164" s="258">
        <v>0</v>
      </c>
      <c r="CI164" s="258">
        <v>0</v>
      </c>
      <c r="CJ164" s="258">
        <v>0</v>
      </c>
      <c r="CK164" s="258">
        <v>0</v>
      </c>
      <c r="CL164" s="258">
        <v>0</v>
      </c>
      <c r="CM164" s="258">
        <v>0</v>
      </c>
      <c r="CN164" s="258">
        <v>0</v>
      </c>
      <c r="CO164" s="258">
        <v>0</v>
      </c>
      <c r="CP164" s="301">
        <v>0</v>
      </c>
      <c r="CQ164" s="302"/>
      <c r="CR164" s="300" t="s">
        <v>341</v>
      </c>
      <c r="CS164" s="293">
        <v>0</v>
      </c>
      <c r="CT164" s="293">
        <v>0</v>
      </c>
      <c r="CU164" s="258">
        <v>0</v>
      </c>
      <c r="CV164" s="258">
        <v>0</v>
      </c>
      <c r="CW164" s="258">
        <v>0</v>
      </c>
      <c r="CX164" s="258">
        <v>0</v>
      </c>
      <c r="CY164" s="258">
        <v>0</v>
      </c>
      <c r="CZ164" s="258">
        <v>0</v>
      </c>
      <c r="DA164" s="258">
        <v>0</v>
      </c>
      <c r="DB164" s="258">
        <v>0</v>
      </c>
      <c r="DC164" s="258">
        <v>0</v>
      </c>
      <c r="DD164" s="258">
        <v>0</v>
      </c>
      <c r="DE164" s="258">
        <v>0</v>
      </c>
      <c r="DF164" s="258">
        <v>0</v>
      </c>
      <c r="DG164" s="258">
        <v>0</v>
      </c>
      <c r="DH164" s="258">
        <v>0</v>
      </c>
      <c r="DI164" s="258">
        <v>0</v>
      </c>
      <c r="DJ164" s="258">
        <v>0</v>
      </c>
      <c r="DK164" s="258">
        <v>0</v>
      </c>
      <c r="DL164" s="258">
        <v>0</v>
      </c>
      <c r="DM164" s="301">
        <v>0</v>
      </c>
      <c r="DN164" s="302"/>
      <c r="DO164" s="302"/>
      <c r="DP164" s="300" t="s">
        <v>341</v>
      </c>
      <c r="DQ164" s="293">
        <v>0</v>
      </c>
      <c r="DR164" s="293">
        <v>0</v>
      </c>
      <c r="DS164" s="258">
        <v>0</v>
      </c>
      <c r="DT164" s="258">
        <v>0</v>
      </c>
      <c r="DU164" s="258">
        <v>0</v>
      </c>
      <c r="DV164" s="258">
        <v>0</v>
      </c>
      <c r="DW164" s="258">
        <v>0</v>
      </c>
      <c r="DX164" s="258">
        <v>0</v>
      </c>
      <c r="DY164" s="258">
        <v>0</v>
      </c>
      <c r="DZ164" s="258">
        <v>0</v>
      </c>
      <c r="EA164" s="258">
        <v>0</v>
      </c>
      <c r="EB164" s="258">
        <v>0</v>
      </c>
      <c r="EC164" s="258">
        <v>0</v>
      </c>
      <c r="ED164" s="258">
        <v>0</v>
      </c>
      <c r="EE164" s="258">
        <v>0</v>
      </c>
      <c r="EF164" s="258">
        <v>0</v>
      </c>
      <c r="EG164" s="258">
        <v>0</v>
      </c>
      <c r="EH164" s="258">
        <v>0</v>
      </c>
      <c r="EI164" s="258">
        <v>0</v>
      </c>
      <c r="EJ164" s="258">
        <v>0</v>
      </c>
      <c r="EK164" s="301">
        <v>0</v>
      </c>
      <c r="EL164" s="287"/>
      <c r="EM164" s="300" t="s">
        <v>341</v>
      </c>
      <c r="EN164" s="293">
        <v>0</v>
      </c>
      <c r="EO164" s="293">
        <v>0</v>
      </c>
      <c r="EP164" s="258">
        <v>0</v>
      </c>
      <c r="EQ164" s="258">
        <v>0</v>
      </c>
      <c r="ER164" s="258">
        <v>0</v>
      </c>
      <c r="ES164" s="258">
        <v>0</v>
      </c>
      <c r="ET164" s="258">
        <v>0</v>
      </c>
      <c r="EU164" s="258">
        <v>0</v>
      </c>
      <c r="EV164" s="258">
        <v>0</v>
      </c>
      <c r="EW164" s="258">
        <v>0</v>
      </c>
      <c r="EX164" s="258">
        <v>0</v>
      </c>
      <c r="EY164" s="258">
        <v>0</v>
      </c>
      <c r="EZ164" s="258">
        <v>0</v>
      </c>
      <c r="FA164" s="258">
        <v>0</v>
      </c>
      <c r="FB164" s="258">
        <v>0</v>
      </c>
      <c r="FC164" s="258">
        <v>0</v>
      </c>
      <c r="FD164" s="258">
        <v>0</v>
      </c>
      <c r="FE164" s="258">
        <v>0</v>
      </c>
      <c r="FF164" s="258">
        <v>0</v>
      </c>
      <c r="FG164" s="258">
        <v>0</v>
      </c>
      <c r="FH164" s="301">
        <v>0</v>
      </c>
    </row>
    <row r="165" spans="2:164" x14ac:dyDescent="0.2">
      <c r="B165" s="217" t="s">
        <v>6</v>
      </c>
      <c r="C165" s="227">
        <v>0</v>
      </c>
      <c r="D165" s="228">
        <v>0</v>
      </c>
      <c r="E165" s="208">
        <v>0</v>
      </c>
      <c r="F165" s="208">
        <v>0</v>
      </c>
      <c r="G165" s="208">
        <v>0</v>
      </c>
      <c r="H165" s="208">
        <v>0</v>
      </c>
      <c r="I165" s="208">
        <v>0</v>
      </c>
      <c r="J165" s="208">
        <v>0</v>
      </c>
      <c r="K165" s="208">
        <v>0</v>
      </c>
      <c r="L165" s="208">
        <v>0</v>
      </c>
      <c r="M165" s="208">
        <v>0</v>
      </c>
      <c r="N165" s="208">
        <v>0</v>
      </c>
      <c r="O165" s="208">
        <v>0</v>
      </c>
      <c r="P165" s="208">
        <v>0</v>
      </c>
      <c r="Q165" s="208">
        <v>0</v>
      </c>
      <c r="R165" s="208">
        <v>0</v>
      </c>
      <c r="S165" s="208">
        <v>0</v>
      </c>
      <c r="T165" s="208">
        <v>6</v>
      </c>
      <c r="U165" s="208">
        <v>4</v>
      </c>
      <c r="V165" s="208">
        <v>0</v>
      </c>
      <c r="W165" s="222">
        <v>10</v>
      </c>
      <c r="X165" s="208"/>
      <c r="Y165" s="217" t="s">
        <v>6</v>
      </c>
      <c r="Z165" s="227">
        <v>0</v>
      </c>
      <c r="AA165" s="228">
        <v>0</v>
      </c>
      <c r="AB165" s="208">
        <v>0</v>
      </c>
      <c r="AC165" s="208">
        <v>0</v>
      </c>
      <c r="AD165" s="208">
        <v>0</v>
      </c>
      <c r="AE165" s="252">
        <v>0</v>
      </c>
      <c r="AF165" s="252">
        <v>0</v>
      </c>
      <c r="AG165" s="252">
        <v>0</v>
      </c>
      <c r="AH165" s="252">
        <v>0</v>
      </c>
      <c r="AI165" s="252">
        <v>0</v>
      </c>
      <c r="AJ165" s="252">
        <v>0</v>
      </c>
      <c r="AK165" s="208">
        <v>0</v>
      </c>
      <c r="AL165" s="208">
        <v>0</v>
      </c>
      <c r="AM165" s="208">
        <v>0</v>
      </c>
      <c r="AN165" s="208">
        <v>0</v>
      </c>
      <c r="AO165" s="208">
        <v>0</v>
      </c>
      <c r="AP165" s="208">
        <v>0</v>
      </c>
      <c r="AQ165" s="208">
        <v>826.42707647076577</v>
      </c>
      <c r="AR165" s="208">
        <v>2618.0537356917516</v>
      </c>
      <c r="AS165" s="208">
        <v>0</v>
      </c>
      <c r="AT165" s="222">
        <v>3444.4808121625174</v>
      </c>
      <c r="AV165" s="217" t="s">
        <v>340</v>
      </c>
      <c r="AW165" s="227">
        <f t="shared" si="370"/>
        <v>0</v>
      </c>
      <c r="AX165" s="227">
        <f t="shared" si="371"/>
        <v>0</v>
      </c>
      <c r="AY165" s="227">
        <f t="shared" si="372"/>
        <v>0</v>
      </c>
      <c r="AZ165" s="227">
        <f t="shared" si="361"/>
        <v>0</v>
      </c>
      <c r="BA165" s="227">
        <f t="shared" si="350"/>
        <v>0</v>
      </c>
      <c r="BB165" s="252">
        <v>0</v>
      </c>
      <c r="BC165" s="252">
        <v>0</v>
      </c>
      <c r="BD165" s="252">
        <v>0</v>
      </c>
      <c r="BE165" s="252">
        <v>0</v>
      </c>
      <c r="BF165" s="255">
        <v>0</v>
      </c>
      <c r="BG165" s="255">
        <v>0</v>
      </c>
      <c r="BH165" s="208">
        <f t="shared" si="374"/>
        <v>0</v>
      </c>
      <c r="BI165" s="208">
        <f t="shared" si="375"/>
        <v>0</v>
      </c>
      <c r="BJ165" s="208">
        <f t="shared" si="376"/>
        <v>0</v>
      </c>
      <c r="BK165" s="208">
        <f t="shared" si="377"/>
        <v>0</v>
      </c>
      <c r="BL165" s="208">
        <f t="shared" si="378"/>
        <v>0</v>
      </c>
      <c r="BM165" s="208">
        <f t="shared" si="379"/>
        <v>0</v>
      </c>
      <c r="BN165" s="208">
        <f t="shared" si="373"/>
        <v>826.42707647076577</v>
      </c>
      <c r="BO165" s="208">
        <f t="shared" si="368"/>
        <v>2618.0537356917516</v>
      </c>
      <c r="BP165" s="208">
        <f t="shared" si="369"/>
        <v>0</v>
      </c>
      <c r="BQ165" s="230">
        <f t="shared" si="347"/>
        <v>3444.4808121625174</v>
      </c>
      <c r="BR165" s="214"/>
      <c r="BS165" s="227"/>
      <c r="BT165" s="286"/>
      <c r="BU165" s="300" t="s">
        <v>6</v>
      </c>
      <c r="BV165" s="293">
        <v>0</v>
      </c>
      <c r="BW165" s="293">
        <v>0</v>
      </c>
      <c r="BX165" s="258">
        <v>0</v>
      </c>
      <c r="BY165" s="258">
        <v>0</v>
      </c>
      <c r="BZ165" s="258">
        <v>0</v>
      </c>
      <c r="CA165" s="258">
        <v>0</v>
      </c>
      <c r="CB165" s="258">
        <v>0</v>
      </c>
      <c r="CC165" s="258">
        <v>0</v>
      </c>
      <c r="CD165" s="258">
        <v>0</v>
      </c>
      <c r="CE165" s="258">
        <v>0</v>
      </c>
      <c r="CF165" s="258">
        <v>0</v>
      </c>
      <c r="CG165" s="258">
        <v>0</v>
      </c>
      <c r="CH165" s="258">
        <v>0</v>
      </c>
      <c r="CI165" s="258">
        <v>0</v>
      </c>
      <c r="CJ165" s="258">
        <v>0</v>
      </c>
      <c r="CK165" s="258">
        <v>0</v>
      </c>
      <c r="CL165" s="258">
        <v>0</v>
      </c>
      <c r="CM165" s="258">
        <v>0</v>
      </c>
      <c r="CN165" s="258">
        <v>0</v>
      </c>
      <c r="CO165" s="258">
        <v>0</v>
      </c>
      <c r="CP165" s="301">
        <v>0</v>
      </c>
      <c r="CQ165" s="302"/>
      <c r="CR165" s="300" t="s">
        <v>6</v>
      </c>
      <c r="CS165" s="293">
        <v>0</v>
      </c>
      <c r="CT165" s="293">
        <v>0</v>
      </c>
      <c r="CU165" s="258">
        <v>0</v>
      </c>
      <c r="CV165" s="258">
        <v>0</v>
      </c>
      <c r="CW165" s="258">
        <v>0</v>
      </c>
      <c r="CX165" s="258">
        <v>0</v>
      </c>
      <c r="CY165" s="258">
        <v>0</v>
      </c>
      <c r="CZ165" s="258">
        <v>0</v>
      </c>
      <c r="DA165" s="258">
        <v>0</v>
      </c>
      <c r="DB165" s="258">
        <v>0</v>
      </c>
      <c r="DC165" s="258">
        <v>0</v>
      </c>
      <c r="DD165" s="258">
        <v>0</v>
      </c>
      <c r="DE165" s="258">
        <v>0</v>
      </c>
      <c r="DF165" s="258">
        <v>0</v>
      </c>
      <c r="DG165" s="258">
        <v>0</v>
      </c>
      <c r="DH165" s="258">
        <v>0</v>
      </c>
      <c r="DI165" s="258">
        <v>0</v>
      </c>
      <c r="DJ165" s="258">
        <v>0</v>
      </c>
      <c r="DK165" s="258">
        <v>0</v>
      </c>
      <c r="DL165" s="258">
        <v>0</v>
      </c>
      <c r="DM165" s="301">
        <v>0</v>
      </c>
      <c r="DN165" s="302"/>
      <c r="DO165" s="302"/>
      <c r="DP165" s="300" t="s">
        <v>6</v>
      </c>
      <c r="DQ165" s="293">
        <v>0</v>
      </c>
      <c r="DR165" s="293">
        <v>0</v>
      </c>
      <c r="DS165" s="258">
        <v>0</v>
      </c>
      <c r="DT165" s="258">
        <v>0</v>
      </c>
      <c r="DU165" s="258">
        <v>0</v>
      </c>
      <c r="DV165" s="258">
        <v>0</v>
      </c>
      <c r="DW165" s="258">
        <v>0</v>
      </c>
      <c r="DX165" s="258">
        <v>0</v>
      </c>
      <c r="DY165" s="258">
        <v>0</v>
      </c>
      <c r="DZ165" s="258">
        <v>0</v>
      </c>
      <c r="EA165" s="258">
        <v>0</v>
      </c>
      <c r="EB165" s="258">
        <v>0</v>
      </c>
      <c r="EC165" s="258">
        <v>0</v>
      </c>
      <c r="ED165" s="258">
        <v>0</v>
      </c>
      <c r="EE165" s="258">
        <v>0</v>
      </c>
      <c r="EF165" s="258">
        <v>0</v>
      </c>
      <c r="EG165" s="258">
        <v>0</v>
      </c>
      <c r="EH165" s="258">
        <v>0</v>
      </c>
      <c r="EI165" s="258">
        <v>0</v>
      </c>
      <c r="EJ165" s="258">
        <v>0</v>
      </c>
      <c r="EK165" s="301">
        <v>0</v>
      </c>
      <c r="EL165" s="287"/>
      <c r="EM165" s="300" t="s">
        <v>6</v>
      </c>
      <c r="EN165" s="293">
        <v>0</v>
      </c>
      <c r="EO165" s="293">
        <v>0</v>
      </c>
      <c r="EP165" s="258">
        <v>0</v>
      </c>
      <c r="EQ165" s="258">
        <v>0</v>
      </c>
      <c r="ER165" s="258">
        <v>0</v>
      </c>
      <c r="ES165" s="258">
        <v>0</v>
      </c>
      <c r="ET165" s="258">
        <v>0</v>
      </c>
      <c r="EU165" s="258">
        <v>0</v>
      </c>
      <c r="EV165" s="258">
        <v>0</v>
      </c>
      <c r="EW165" s="258">
        <v>0</v>
      </c>
      <c r="EX165" s="258">
        <v>0</v>
      </c>
      <c r="EY165" s="258">
        <v>0</v>
      </c>
      <c r="EZ165" s="258">
        <v>0</v>
      </c>
      <c r="FA165" s="258">
        <v>0</v>
      </c>
      <c r="FB165" s="258">
        <v>0</v>
      </c>
      <c r="FC165" s="258">
        <v>0</v>
      </c>
      <c r="FD165" s="258">
        <v>0</v>
      </c>
      <c r="FE165" s="258">
        <v>0</v>
      </c>
      <c r="FF165" s="258">
        <v>0</v>
      </c>
      <c r="FG165" s="258">
        <v>0</v>
      </c>
      <c r="FH165" s="301">
        <v>0</v>
      </c>
    </row>
    <row r="166" spans="2:164" x14ac:dyDescent="0.2">
      <c r="B166" s="217" t="s">
        <v>342</v>
      </c>
      <c r="C166" s="227">
        <v>0</v>
      </c>
      <c r="D166" s="228">
        <v>0</v>
      </c>
      <c r="E166" s="208">
        <v>0</v>
      </c>
      <c r="F166" s="208">
        <v>0</v>
      </c>
      <c r="G166" s="208">
        <v>0</v>
      </c>
      <c r="H166" s="208">
        <v>12</v>
      </c>
      <c r="I166" s="208">
        <v>8</v>
      </c>
      <c r="J166" s="208">
        <v>0</v>
      </c>
      <c r="K166" s="208">
        <v>1</v>
      </c>
      <c r="L166" s="208">
        <v>2</v>
      </c>
      <c r="M166" s="208">
        <v>0</v>
      </c>
      <c r="N166" s="208">
        <v>0</v>
      </c>
      <c r="O166" s="208">
        <v>0</v>
      </c>
      <c r="P166" s="208">
        <v>0</v>
      </c>
      <c r="Q166" s="208">
        <v>0</v>
      </c>
      <c r="R166" s="208">
        <v>0</v>
      </c>
      <c r="S166" s="208">
        <v>0</v>
      </c>
      <c r="T166" s="208">
        <v>0</v>
      </c>
      <c r="U166" s="208">
        <v>121</v>
      </c>
      <c r="V166" s="208">
        <v>0</v>
      </c>
      <c r="W166" s="222">
        <v>144</v>
      </c>
      <c r="X166" s="208"/>
      <c r="Y166" s="217" t="s">
        <v>342</v>
      </c>
      <c r="Z166" s="227">
        <v>0</v>
      </c>
      <c r="AA166" s="228">
        <v>0</v>
      </c>
      <c r="AB166" s="208">
        <v>0</v>
      </c>
      <c r="AC166" s="208">
        <v>0</v>
      </c>
      <c r="AD166" s="208">
        <v>0</v>
      </c>
      <c r="AE166" s="252">
        <v>185.50971128495252</v>
      </c>
      <c r="AF166" s="252">
        <v>0</v>
      </c>
      <c r="AG166" s="252">
        <v>0</v>
      </c>
      <c r="AH166" s="252">
        <v>0</v>
      </c>
      <c r="AI166" s="252">
        <v>0</v>
      </c>
      <c r="AJ166" s="252">
        <v>0</v>
      </c>
      <c r="AK166" s="208">
        <v>0</v>
      </c>
      <c r="AL166" s="208">
        <v>0</v>
      </c>
      <c r="AM166" s="208">
        <v>0</v>
      </c>
      <c r="AN166" s="208">
        <v>0</v>
      </c>
      <c r="AO166" s="208">
        <v>0</v>
      </c>
      <c r="AP166" s="208">
        <v>0</v>
      </c>
      <c r="AQ166" s="208">
        <v>0</v>
      </c>
      <c r="AR166" s="208">
        <v>19541.545908636279</v>
      </c>
      <c r="AS166" s="208">
        <v>0</v>
      </c>
      <c r="AT166" s="222">
        <v>19727.05561992123</v>
      </c>
      <c r="AV166" s="217" t="s">
        <v>341</v>
      </c>
      <c r="AW166" s="227">
        <f t="shared" si="370"/>
        <v>0</v>
      </c>
      <c r="AX166" s="227">
        <f t="shared" si="371"/>
        <v>0</v>
      </c>
      <c r="AY166" s="227">
        <f t="shared" si="372"/>
        <v>0</v>
      </c>
      <c r="AZ166" s="227">
        <f t="shared" si="361"/>
        <v>0</v>
      </c>
      <c r="BA166" s="227">
        <f t="shared" si="350"/>
        <v>0</v>
      </c>
      <c r="BB166" s="252">
        <v>0</v>
      </c>
      <c r="BC166" s="252">
        <v>0</v>
      </c>
      <c r="BD166" s="252">
        <v>0</v>
      </c>
      <c r="BE166" s="252">
        <v>0</v>
      </c>
      <c r="BF166" s="252">
        <v>0</v>
      </c>
      <c r="BG166" s="255">
        <v>0</v>
      </c>
      <c r="BH166" s="208">
        <f t="shared" si="374"/>
        <v>0</v>
      </c>
      <c r="BI166" s="208">
        <f t="shared" si="375"/>
        <v>0</v>
      </c>
      <c r="BJ166" s="208">
        <f t="shared" si="376"/>
        <v>0</v>
      </c>
      <c r="BK166" s="208">
        <f t="shared" si="377"/>
        <v>0</v>
      </c>
      <c r="BL166" s="208">
        <f t="shared" si="378"/>
        <v>0</v>
      </c>
      <c r="BM166" s="208">
        <f t="shared" si="379"/>
        <v>0</v>
      </c>
      <c r="BN166" s="208">
        <f t="shared" si="373"/>
        <v>0</v>
      </c>
      <c r="BO166" s="208">
        <f t="shared" si="368"/>
        <v>19541.545908636279</v>
      </c>
      <c r="BP166" s="208">
        <f t="shared" si="369"/>
        <v>0</v>
      </c>
      <c r="BQ166" s="230">
        <f t="shared" si="347"/>
        <v>19541.545908636279</v>
      </c>
      <c r="BR166" s="214"/>
      <c r="BS166" s="227"/>
      <c r="BT166" s="286"/>
      <c r="BU166" s="300" t="s">
        <v>342</v>
      </c>
      <c r="BV166" s="293">
        <v>0</v>
      </c>
      <c r="BW166" s="293">
        <v>0</v>
      </c>
      <c r="BX166" s="258">
        <v>0</v>
      </c>
      <c r="BY166" s="258">
        <v>0</v>
      </c>
      <c r="BZ166" s="258">
        <v>0</v>
      </c>
      <c r="CA166" s="258">
        <v>0</v>
      </c>
      <c r="CB166" s="258">
        <v>0</v>
      </c>
      <c r="CC166" s="258">
        <v>0</v>
      </c>
      <c r="CD166" s="258">
        <v>0</v>
      </c>
      <c r="CE166" s="258">
        <v>0</v>
      </c>
      <c r="CF166" s="258">
        <v>0</v>
      </c>
      <c r="CG166" s="258">
        <v>0</v>
      </c>
      <c r="CH166" s="258">
        <v>0</v>
      </c>
      <c r="CI166" s="258">
        <v>0</v>
      </c>
      <c r="CJ166" s="258">
        <v>0</v>
      </c>
      <c r="CK166" s="258">
        <v>0</v>
      </c>
      <c r="CL166" s="258">
        <v>0</v>
      </c>
      <c r="CM166" s="258">
        <v>0</v>
      </c>
      <c r="CN166" s="258">
        <v>0</v>
      </c>
      <c r="CO166" s="258">
        <v>0</v>
      </c>
      <c r="CP166" s="301">
        <v>0</v>
      </c>
      <c r="CQ166" s="302"/>
      <c r="CR166" s="300" t="s">
        <v>342</v>
      </c>
      <c r="CS166" s="293">
        <v>0</v>
      </c>
      <c r="CT166" s="293">
        <v>0</v>
      </c>
      <c r="CU166" s="258">
        <v>0</v>
      </c>
      <c r="CV166" s="258">
        <v>0</v>
      </c>
      <c r="CW166" s="258">
        <v>0</v>
      </c>
      <c r="CX166" s="258">
        <v>0</v>
      </c>
      <c r="CY166" s="258">
        <v>0</v>
      </c>
      <c r="CZ166" s="258">
        <v>0</v>
      </c>
      <c r="DA166" s="258">
        <v>0</v>
      </c>
      <c r="DB166" s="258">
        <v>0</v>
      </c>
      <c r="DC166" s="258">
        <v>0</v>
      </c>
      <c r="DD166" s="258">
        <v>0</v>
      </c>
      <c r="DE166" s="258">
        <v>0</v>
      </c>
      <c r="DF166" s="258">
        <v>0</v>
      </c>
      <c r="DG166" s="258">
        <v>0</v>
      </c>
      <c r="DH166" s="258">
        <v>0</v>
      </c>
      <c r="DI166" s="258">
        <v>0</v>
      </c>
      <c r="DJ166" s="258">
        <v>0</v>
      </c>
      <c r="DK166" s="258">
        <v>0</v>
      </c>
      <c r="DL166" s="258">
        <v>0</v>
      </c>
      <c r="DM166" s="301">
        <v>0</v>
      </c>
      <c r="DN166" s="302"/>
      <c r="DO166" s="302"/>
      <c r="DP166" s="300" t="s">
        <v>342</v>
      </c>
      <c r="DQ166" s="293">
        <v>0</v>
      </c>
      <c r="DR166" s="293">
        <v>0</v>
      </c>
      <c r="DS166" s="258">
        <v>0</v>
      </c>
      <c r="DT166" s="258">
        <v>0</v>
      </c>
      <c r="DU166" s="258">
        <v>0</v>
      </c>
      <c r="DV166" s="258">
        <v>0</v>
      </c>
      <c r="DW166" s="258">
        <v>0</v>
      </c>
      <c r="DX166" s="258">
        <v>0</v>
      </c>
      <c r="DY166" s="258">
        <v>0</v>
      </c>
      <c r="DZ166" s="258">
        <v>0</v>
      </c>
      <c r="EA166" s="258">
        <v>0</v>
      </c>
      <c r="EB166" s="258">
        <v>0</v>
      </c>
      <c r="EC166" s="258">
        <v>0</v>
      </c>
      <c r="ED166" s="258">
        <v>0</v>
      </c>
      <c r="EE166" s="258">
        <v>0</v>
      </c>
      <c r="EF166" s="258">
        <v>0</v>
      </c>
      <c r="EG166" s="258">
        <v>0</v>
      </c>
      <c r="EH166" s="258">
        <v>0</v>
      </c>
      <c r="EI166" s="258">
        <v>4</v>
      </c>
      <c r="EJ166" s="258">
        <v>0</v>
      </c>
      <c r="EK166" s="301">
        <v>4</v>
      </c>
      <c r="EL166" s="287"/>
      <c r="EM166" s="300" t="s">
        <v>342</v>
      </c>
      <c r="EN166" s="293">
        <v>0</v>
      </c>
      <c r="EO166" s="293">
        <v>0</v>
      </c>
      <c r="EP166" s="258">
        <v>0</v>
      </c>
      <c r="EQ166" s="258">
        <v>0</v>
      </c>
      <c r="ER166" s="258">
        <v>0</v>
      </c>
      <c r="ES166" s="258">
        <v>0</v>
      </c>
      <c r="ET166" s="258">
        <v>0</v>
      </c>
      <c r="EU166" s="258">
        <v>0</v>
      </c>
      <c r="EV166" s="258">
        <v>0</v>
      </c>
      <c r="EW166" s="258">
        <v>0</v>
      </c>
      <c r="EX166" s="258">
        <v>0</v>
      </c>
      <c r="EY166" s="258">
        <v>0</v>
      </c>
      <c r="EZ166" s="258">
        <v>0</v>
      </c>
      <c r="FA166" s="258">
        <v>0</v>
      </c>
      <c r="FB166" s="258">
        <v>0</v>
      </c>
      <c r="FC166" s="258">
        <v>0</v>
      </c>
      <c r="FD166" s="258">
        <v>0</v>
      </c>
      <c r="FE166" s="258">
        <v>0</v>
      </c>
      <c r="FF166" s="258">
        <v>115.89821935675886</v>
      </c>
      <c r="FG166" s="258">
        <v>0</v>
      </c>
      <c r="FH166" s="301">
        <v>115.89821935675886</v>
      </c>
    </row>
    <row r="167" spans="2:164" x14ac:dyDescent="0.2">
      <c r="B167" s="217" t="s">
        <v>343</v>
      </c>
      <c r="C167" s="227">
        <v>0</v>
      </c>
      <c r="D167" s="228">
        <v>0</v>
      </c>
      <c r="E167" s="208">
        <v>0</v>
      </c>
      <c r="F167" s="208">
        <v>0</v>
      </c>
      <c r="G167" s="208">
        <v>0</v>
      </c>
      <c r="H167" s="208">
        <v>0</v>
      </c>
      <c r="I167" s="208">
        <v>0</v>
      </c>
      <c r="J167" s="208">
        <v>0</v>
      </c>
      <c r="K167" s="208">
        <v>0</v>
      </c>
      <c r="L167" s="208">
        <v>0</v>
      </c>
      <c r="M167" s="208">
        <v>0</v>
      </c>
      <c r="N167" s="208">
        <v>0</v>
      </c>
      <c r="O167" s="208">
        <v>0</v>
      </c>
      <c r="P167" s="208">
        <v>0</v>
      </c>
      <c r="Q167" s="208">
        <v>0</v>
      </c>
      <c r="R167" s="208">
        <v>0</v>
      </c>
      <c r="S167" s="208">
        <v>0</v>
      </c>
      <c r="T167" s="208">
        <v>0</v>
      </c>
      <c r="U167" s="208">
        <v>0</v>
      </c>
      <c r="V167" s="208">
        <v>1</v>
      </c>
      <c r="W167" s="222">
        <v>1</v>
      </c>
      <c r="X167" s="208"/>
      <c r="Y167" s="217" t="s">
        <v>343</v>
      </c>
      <c r="Z167" s="227">
        <v>0</v>
      </c>
      <c r="AA167" s="228">
        <v>0</v>
      </c>
      <c r="AB167" s="208">
        <v>0</v>
      </c>
      <c r="AC167" s="208">
        <v>0</v>
      </c>
      <c r="AD167" s="208">
        <v>0</v>
      </c>
      <c r="AE167" s="208">
        <v>0</v>
      </c>
      <c r="AF167" s="208">
        <v>0</v>
      </c>
      <c r="AG167" s="208">
        <v>0</v>
      </c>
      <c r="AH167" s="208">
        <v>0</v>
      </c>
      <c r="AI167" s="208">
        <v>0</v>
      </c>
      <c r="AJ167" s="208">
        <v>0</v>
      </c>
      <c r="AK167" s="208">
        <v>0</v>
      </c>
      <c r="AL167" s="208">
        <v>0</v>
      </c>
      <c r="AM167" s="208">
        <v>0</v>
      </c>
      <c r="AN167" s="208">
        <v>0</v>
      </c>
      <c r="AO167" s="208">
        <v>0</v>
      </c>
      <c r="AP167" s="208">
        <v>0</v>
      </c>
      <c r="AQ167" s="208">
        <v>0</v>
      </c>
      <c r="AR167" s="208">
        <v>0</v>
      </c>
      <c r="AS167" s="208">
        <v>0</v>
      </c>
      <c r="AT167" s="222">
        <v>0</v>
      </c>
      <c r="AV167" s="217" t="s">
        <v>6</v>
      </c>
      <c r="AW167" s="227">
        <f t="shared" si="370"/>
        <v>0</v>
      </c>
      <c r="AX167" s="227">
        <f t="shared" si="371"/>
        <v>0</v>
      </c>
      <c r="AY167" s="227">
        <f t="shared" si="372"/>
        <v>0</v>
      </c>
      <c r="AZ167" s="227">
        <f t="shared" si="361"/>
        <v>0</v>
      </c>
      <c r="BA167" s="227">
        <f t="shared" si="350"/>
        <v>0</v>
      </c>
      <c r="BB167" s="227">
        <f t="shared" ref="BB167:BB169" si="380">AE167</f>
        <v>0</v>
      </c>
      <c r="BC167" s="227">
        <f t="shared" ref="BC167:BC169" si="381">AF167</f>
        <v>0</v>
      </c>
      <c r="BD167" s="227">
        <f t="shared" ref="BD167:BD169" si="382">AG167</f>
        <v>0</v>
      </c>
      <c r="BE167" s="227">
        <f t="shared" ref="BE167:BE169" si="383">AH167</f>
        <v>0</v>
      </c>
      <c r="BF167" s="208">
        <v>0</v>
      </c>
      <c r="BG167" s="208">
        <v>0</v>
      </c>
      <c r="BH167" s="208">
        <f t="shared" si="374"/>
        <v>0</v>
      </c>
      <c r="BI167" s="208">
        <f t="shared" si="375"/>
        <v>0</v>
      </c>
      <c r="BJ167" s="208">
        <f t="shared" si="376"/>
        <v>0</v>
      </c>
      <c r="BK167" s="208">
        <f t="shared" si="377"/>
        <v>0</v>
      </c>
      <c r="BL167" s="208">
        <f t="shared" si="378"/>
        <v>0</v>
      </c>
      <c r="BM167" s="208">
        <f t="shared" si="379"/>
        <v>0</v>
      </c>
      <c r="BN167" s="208">
        <f t="shared" si="373"/>
        <v>0</v>
      </c>
      <c r="BO167" s="208">
        <f t="shared" si="368"/>
        <v>0</v>
      </c>
      <c r="BP167" s="208">
        <f t="shared" si="369"/>
        <v>0</v>
      </c>
      <c r="BQ167" s="230">
        <f t="shared" si="347"/>
        <v>0</v>
      </c>
      <c r="BR167" s="214"/>
      <c r="BS167" s="227"/>
      <c r="BT167" s="286"/>
      <c r="BU167" s="300" t="s">
        <v>343</v>
      </c>
      <c r="BV167" s="293">
        <v>0</v>
      </c>
      <c r="BW167" s="293">
        <v>0</v>
      </c>
      <c r="BX167" s="258">
        <v>0</v>
      </c>
      <c r="BY167" s="258">
        <v>0</v>
      </c>
      <c r="BZ167" s="258">
        <v>0</v>
      </c>
      <c r="CA167" s="258">
        <v>0</v>
      </c>
      <c r="CB167" s="258">
        <v>0</v>
      </c>
      <c r="CC167" s="258">
        <v>0</v>
      </c>
      <c r="CD167" s="258">
        <v>0</v>
      </c>
      <c r="CE167" s="258">
        <v>0</v>
      </c>
      <c r="CF167" s="258">
        <v>0</v>
      </c>
      <c r="CG167" s="258">
        <v>0</v>
      </c>
      <c r="CH167" s="258">
        <v>0</v>
      </c>
      <c r="CI167" s="258">
        <v>0</v>
      </c>
      <c r="CJ167" s="258">
        <v>0</v>
      </c>
      <c r="CK167" s="258">
        <v>0</v>
      </c>
      <c r="CL167" s="258">
        <v>0</v>
      </c>
      <c r="CM167" s="258">
        <v>0</v>
      </c>
      <c r="CN167" s="258">
        <v>0</v>
      </c>
      <c r="CO167" s="258">
        <v>0</v>
      </c>
      <c r="CP167" s="301">
        <v>0</v>
      </c>
      <c r="CQ167" s="302"/>
      <c r="CR167" s="300" t="s">
        <v>343</v>
      </c>
      <c r="CS167" s="293">
        <v>0</v>
      </c>
      <c r="CT167" s="293">
        <v>0</v>
      </c>
      <c r="CU167" s="258">
        <v>0</v>
      </c>
      <c r="CV167" s="258">
        <v>0</v>
      </c>
      <c r="CW167" s="258">
        <v>0</v>
      </c>
      <c r="CX167" s="258">
        <v>0</v>
      </c>
      <c r="CY167" s="258">
        <v>0</v>
      </c>
      <c r="CZ167" s="258">
        <v>0</v>
      </c>
      <c r="DA167" s="258">
        <v>0</v>
      </c>
      <c r="DB167" s="258">
        <v>0</v>
      </c>
      <c r="DC167" s="258">
        <v>0</v>
      </c>
      <c r="DD167" s="258">
        <v>0</v>
      </c>
      <c r="DE167" s="258">
        <v>0</v>
      </c>
      <c r="DF167" s="258">
        <v>0</v>
      </c>
      <c r="DG167" s="258">
        <v>0</v>
      </c>
      <c r="DH167" s="258">
        <v>0</v>
      </c>
      <c r="DI167" s="258">
        <v>0</v>
      </c>
      <c r="DJ167" s="258">
        <v>0</v>
      </c>
      <c r="DK167" s="258">
        <v>0</v>
      </c>
      <c r="DL167" s="258">
        <v>0</v>
      </c>
      <c r="DM167" s="301">
        <v>0</v>
      </c>
      <c r="DN167" s="302"/>
      <c r="DO167" s="302"/>
      <c r="DP167" s="300" t="s">
        <v>343</v>
      </c>
      <c r="DQ167" s="293">
        <v>0</v>
      </c>
      <c r="DR167" s="293">
        <v>0</v>
      </c>
      <c r="DS167" s="258">
        <v>0</v>
      </c>
      <c r="DT167" s="258">
        <v>0</v>
      </c>
      <c r="DU167" s="258">
        <v>0</v>
      </c>
      <c r="DV167" s="258">
        <v>0</v>
      </c>
      <c r="DW167" s="258">
        <v>0</v>
      </c>
      <c r="DX167" s="258">
        <v>0</v>
      </c>
      <c r="DY167" s="258">
        <v>0</v>
      </c>
      <c r="DZ167" s="258">
        <v>0</v>
      </c>
      <c r="EA167" s="258">
        <v>0</v>
      </c>
      <c r="EB167" s="258">
        <v>0</v>
      </c>
      <c r="EC167" s="258">
        <v>0</v>
      </c>
      <c r="ED167" s="258">
        <v>0</v>
      </c>
      <c r="EE167" s="258">
        <v>0</v>
      </c>
      <c r="EF167" s="258">
        <v>0</v>
      </c>
      <c r="EG167" s="258">
        <v>0</v>
      </c>
      <c r="EH167" s="258">
        <v>0</v>
      </c>
      <c r="EI167" s="258">
        <v>0</v>
      </c>
      <c r="EJ167" s="258">
        <v>0</v>
      </c>
      <c r="EK167" s="301">
        <v>0</v>
      </c>
      <c r="EL167" s="287"/>
      <c r="EM167" s="300" t="s">
        <v>343</v>
      </c>
      <c r="EN167" s="293">
        <v>0</v>
      </c>
      <c r="EO167" s="293">
        <v>0</v>
      </c>
      <c r="EP167" s="258">
        <v>0</v>
      </c>
      <c r="EQ167" s="258">
        <v>0</v>
      </c>
      <c r="ER167" s="258">
        <v>0</v>
      </c>
      <c r="ES167" s="258">
        <v>0</v>
      </c>
      <c r="ET167" s="258">
        <v>0</v>
      </c>
      <c r="EU167" s="258">
        <v>0</v>
      </c>
      <c r="EV167" s="258">
        <v>0</v>
      </c>
      <c r="EW167" s="258">
        <v>0</v>
      </c>
      <c r="EX167" s="258">
        <v>0</v>
      </c>
      <c r="EY167" s="258">
        <v>0</v>
      </c>
      <c r="EZ167" s="258">
        <v>0</v>
      </c>
      <c r="FA167" s="258">
        <v>0</v>
      </c>
      <c r="FB167" s="258">
        <v>0</v>
      </c>
      <c r="FC167" s="258">
        <v>0</v>
      </c>
      <c r="FD167" s="258">
        <v>0</v>
      </c>
      <c r="FE167" s="258">
        <v>0</v>
      </c>
      <c r="FF167" s="258">
        <v>0</v>
      </c>
      <c r="FG167" s="258">
        <v>0</v>
      </c>
      <c r="FH167" s="301">
        <v>0</v>
      </c>
    </row>
    <row r="168" spans="2:164" x14ac:dyDescent="0.2">
      <c r="B168" s="217" t="s">
        <v>346</v>
      </c>
      <c r="C168" s="227">
        <v>0</v>
      </c>
      <c r="D168" s="228">
        <v>0</v>
      </c>
      <c r="E168" s="208">
        <v>0</v>
      </c>
      <c r="F168" s="208">
        <v>0</v>
      </c>
      <c r="G168" s="208">
        <v>0</v>
      </c>
      <c r="H168" s="208">
        <v>0</v>
      </c>
      <c r="I168" s="208">
        <v>0</v>
      </c>
      <c r="J168" s="208">
        <v>0</v>
      </c>
      <c r="K168" s="208">
        <v>0</v>
      </c>
      <c r="L168" s="208">
        <v>0</v>
      </c>
      <c r="M168" s="208">
        <v>0</v>
      </c>
      <c r="N168" s="208">
        <v>0</v>
      </c>
      <c r="O168" s="208">
        <v>0</v>
      </c>
      <c r="P168" s="208">
        <v>0</v>
      </c>
      <c r="Q168" s="208">
        <v>0</v>
      </c>
      <c r="R168" s="208">
        <v>0</v>
      </c>
      <c r="S168" s="208">
        <v>0</v>
      </c>
      <c r="T168" s="208">
        <v>0</v>
      </c>
      <c r="U168" s="208">
        <v>0</v>
      </c>
      <c r="V168" s="208">
        <v>0</v>
      </c>
      <c r="W168" s="222">
        <v>0</v>
      </c>
      <c r="X168" s="209"/>
      <c r="Y168" s="217" t="s">
        <v>346</v>
      </c>
      <c r="Z168" s="227">
        <v>0</v>
      </c>
      <c r="AA168" s="228">
        <v>0</v>
      </c>
      <c r="AB168" s="208">
        <v>0</v>
      </c>
      <c r="AC168" s="208">
        <v>0</v>
      </c>
      <c r="AD168" s="208">
        <v>0</v>
      </c>
      <c r="AE168" s="208">
        <v>0</v>
      </c>
      <c r="AF168" s="208">
        <v>0</v>
      </c>
      <c r="AG168" s="208">
        <v>0</v>
      </c>
      <c r="AH168" s="208">
        <v>0</v>
      </c>
      <c r="AI168" s="208">
        <v>0</v>
      </c>
      <c r="AJ168" s="208">
        <v>0</v>
      </c>
      <c r="AK168" s="208">
        <v>0</v>
      </c>
      <c r="AL168" s="208">
        <v>0</v>
      </c>
      <c r="AM168" s="208">
        <v>0</v>
      </c>
      <c r="AN168" s="208">
        <v>0</v>
      </c>
      <c r="AO168" s="208">
        <v>0</v>
      </c>
      <c r="AP168" s="208">
        <v>0</v>
      </c>
      <c r="AQ168" s="208">
        <v>0</v>
      </c>
      <c r="AR168" s="208">
        <v>0</v>
      </c>
      <c r="AS168" s="208">
        <v>0</v>
      </c>
      <c r="AT168" s="222">
        <v>0</v>
      </c>
      <c r="AV168" s="217" t="s">
        <v>342</v>
      </c>
      <c r="AW168" s="227">
        <f t="shared" si="370"/>
        <v>0</v>
      </c>
      <c r="AX168" s="227">
        <f t="shared" si="371"/>
        <v>0</v>
      </c>
      <c r="AY168" s="227">
        <f t="shared" si="372"/>
        <v>0</v>
      </c>
      <c r="AZ168" s="227">
        <f t="shared" si="361"/>
        <v>0</v>
      </c>
      <c r="BA168" s="227">
        <f t="shared" si="350"/>
        <v>0</v>
      </c>
      <c r="BB168" s="227">
        <f t="shared" si="380"/>
        <v>0</v>
      </c>
      <c r="BC168" s="227">
        <f t="shared" si="381"/>
        <v>0</v>
      </c>
      <c r="BD168" s="227">
        <f t="shared" si="382"/>
        <v>0</v>
      </c>
      <c r="BE168" s="227">
        <f t="shared" si="383"/>
        <v>0</v>
      </c>
      <c r="BF168" s="227">
        <f t="shared" ref="BF168:BF169" si="384">AI168</f>
        <v>0</v>
      </c>
      <c r="BG168" s="227">
        <f t="shared" ref="BG168:BG169" si="385">AJ168</f>
        <v>0</v>
      </c>
      <c r="BH168" s="208">
        <f t="shared" si="374"/>
        <v>0</v>
      </c>
      <c r="BI168" s="208">
        <f t="shared" si="375"/>
        <v>0</v>
      </c>
      <c r="BJ168" s="208">
        <f t="shared" si="376"/>
        <v>0</v>
      </c>
      <c r="BK168" s="208">
        <f t="shared" si="377"/>
        <v>0</v>
      </c>
      <c r="BL168" s="208">
        <f t="shared" si="378"/>
        <v>0</v>
      </c>
      <c r="BM168" s="208">
        <f t="shared" si="379"/>
        <v>0</v>
      </c>
      <c r="BN168" s="208">
        <f t="shared" si="373"/>
        <v>0</v>
      </c>
      <c r="BO168" s="208">
        <f t="shared" si="368"/>
        <v>0</v>
      </c>
      <c r="BP168" s="208">
        <f t="shared" si="369"/>
        <v>0</v>
      </c>
      <c r="BQ168" s="230">
        <f t="shared" si="347"/>
        <v>0</v>
      </c>
      <c r="BR168" s="214"/>
      <c r="BS168" s="227"/>
      <c r="BT168" s="286"/>
      <c r="BU168" s="300" t="s">
        <v>346</v>
      </c>
      <c r="BV168" s="293">
        <v>0</v>
      </c>
      <c r="BW168" s="293">
        <v>0</v>
      </c>
      <c r="BX168" s="258">
        <v>0</v>
      </c>
      <c r="BY168" s="258">
        <v>0</v>
      </c>
      <c r="BZ168" s="258">
        <v>0</v>
      </c>
      <c r="CA168" s="258">
        <v>0</v>
      </c>
      <c r="CB168" s="258">
        <v>0</v>
      </c>
      <c r="CC168" s="258">
        <v>0</v>
      </c>
      <c r="CD168" s="258">
        <v>0</v>
      </c>
      <c r="CE168" s="258">
        <v>0</v>
      </c>
      <c r="CF168" s="258">
        <v>0</v>
      </c>
      <c r="CG168" s="258">
        <v>0</v>
      </c>
      <c r="CH168" s="258">
        <v>0</v>
      </c>
      <c r="CI168" s="258">
        <v>0</v>
      </c>
      <c r="CJ168" s="258">
        <v>0</v>
      </c>
      <c r="CK168" s="258">
        <v>0</v>
      </c>
      <c r="CL168" s="258">
        <v>0</v>
      </c>
      <c r="CM168" s="258">
        <v>0</v>
      </c>
      <c r="CN168" s="258">
        <v>0</v>
      </c>
      <c r="CO168" s="258">
        <v>0</v>
      </c>
      <c r="CP168" s="301">
        <v>0</v>
      </c>
      <c r="CQ168" s="302"/>
      <c r="CR168" s="300" t="s">
        <v>346</v>
      </c>
      <c r="CS168" s="293">
        <v>0</v>
      </c>
      <c r="CT168" s="293">
        <v>0</v>
      </c>
      <c r="CU168" s="258">
        <v>0</v>
      </c>
      <c r="CV168" s="258">
        <v>0</v>
      </c>
      <c r="CW168" s="258">
        <v>0</v>
      </c>
      <c r="CX168" s="258">
        <v>0</v>
      </c>
      <c r="CY168" s="258">
        <v>0</v>
      </c>
      <c r="CZ168" s="258">
        <v>0</v>
      </c>
      <c r="DA168" s="258">
        <v>0</v>
      </c>
      <c r="DB168" s="258">
        <v>0</v>
      </c>
      <c r="DC168" s="258">
        <v>0</v>
      </c>
      <c r="DD168" s="258">
        <v>0</v>
      </c>
      <c r="DE168" s="258">
        <v>0</v>
      </c>
      <c r="DF168" s="258">
        <v>0</v>
      </c>
      <c r="DG168" s="258">
        <v>0</v>
      </c>
      <c r="DH168" s="258">
        <v>0</v>
      </c>
      <c r="DI168" s="258">
        <v>0</v>
      </c>
      <c r="DJ168" s="258">
        <v>0</v>
      </c>
      <c r="DK168" s="258">
        <v>0</v>
      </c>
      <c r="DL168" s="258">
        <v>0</v>
      </c>
      <c r="DM168" s="301">
        <v>0</v>
      </c>
      <c r="DN168" s="302"/>
      <c r="DO168" s="302"/>
      <c r="DP168" s="300" t="s">
        <v>346</v>
      </c>
      <c r="DQ168" s="293">
        <v>0</v>
      </c>
      <c r="DR168" s="293">
        <v>0</v>
      </c>
      <c r="DS168" s="258">
        <v>0</v>
      </c>
      <c r="DT168" s="258">
        <v>0</v>
      </c>
      <c r="DU168" s="258">
        <v>0</v>
      </c>
      <c r="DV168" s="258">
        <v>0</v>
      </c>
      <c r="DW168" s="258">
        <v>0</v>
      </c>
      <c r="DX168" s="258">
        <v>0</v>
      </c>
      <c r="DY168" s="258">
        <v>0</v>
      </c>
      <c r="DZ168" s="258">
        <v>0</v>
      </c>
      <c r="EA168" s="258">
        <v>0</v>
      </c>
      <c r="EB168" s="258">
        <v>0</v>
      </c>
      <c r="EC168" s="258">
        <v>0</v>
      </c>
      <c r="ED168" s="258">
        <v>0</v>
      </c>
      <c r="EE168" s="258">
        <v>0</v>
      </c>
      <c r="EF168" s="258">
        <v>0</v>
      </c>
      <c r="EG168" s="258">
        <v>0</v>
      </c>
      <c r="EH168" s="258">
        <v>0</v>
      </c>
      <c r="EI168" s="258">
        <v>0</v>
      </c>
      <c r="EJ168" s="258">
        <v>0</v>
      </c>
      <c r="EK168" s="301">
        <v>0</v>
      </c>
      <c r="EL168" s="287"/>
      <c r="EM168" s="300" t="s">
        <v>346</v>
      </c>
      <c r="EN168" s="293">
        <v>0</v>
      </c>
      <c r="EO168" s="293">
        <v>0</v>
      </c>
      <c r="EP168" s="258">
        <v>0</v>
      </c>
      <c r="EQ168" s="258">
        <v>0</v>
      </c>
      <c r="ER168" s="258">
        <v>0</v>
      </c>
      <c r="ES168" s="258">
        <v>0</v>
      </c>
      <c r="ET168" s="258">
        <v>0</v>
      </c>
      <c r="EU168" s="258">
        <v>0</v>
      </c>
      <c r="EV168" s="258">
        <v>0</v>
      </c>
      <c r="EW168" s="258">
        <v>0</v>
      </c>
      <c r="EX168" s="258">
        <v>0</v>
      </c>
      <c r="EY168" s="258">
        <v>0</v>
      </c>
      <c r="EZ168" s="258">
        <v>0</v>
      </c>
      <c r="FA168" s="258">
        <v>0</v>
      </c>
      <c r="FB168" s="258">
        <v>0</v>
      </c>
      <c r="FC168" s="258">
        <v>0</v>
      </c>
      <c r="FD168" s="258">
        <v>0</v>
      </c>
      <c r="FE168" s="258">
        <v>0</v>
      </c>
      <c r="FF168" s="258">
        <v>0</v>
      </c>
      <c r="FG168" s="258">
        <v>0</v>
      </c>
      <c r="FH168" s="301">
        <v>0</v>
      </c>
    </row>
    <row r="169" spans="2:164" x14ac:dyDescent="0.2">
      <c r="B169" s="217" t="s">
        <v>347</v>
      </c>
      <c r="C169" s="227">
        <v>0</v>
      </c>
      <c r="D169" s="228">
        <v>0</v>
      </c>
      <c r="E169" s="208">
        <v>0</v>
      </c>
      <c r="F169" s="208">
        <v>0</v>
      </c>
      <c r="G169" s="208">
        <v>0</v>
      </c>
      <c r="H169" s="208">
        <v>0</v>
      </c>
      <c r="I169" s="208">
        <v>0</v>
      </c>
      <c r="J169" s="208">
        <v>0</v>
      </c>
      <c r="K169" s="208">
        <v>0</v>
      </c>
      <c r="L169" s="208">
        <v>0</v>
      </c>
      <c r="M169" s="208">
        <v>0</v>
      </c>
      <c r="N169" s="208">
        <v>0</v>
      </c>
      <c r="O169" s="208">
        <v>0</v>
      </c>
      <c r="P169" s="208">
        <v>0</v>
      </c>
      <c r="Q169" s="208">
        <v>0</v>
      </c>
      <c r="R169" s="208">
        <v>0</v>
      </c>
      <c r="S169" s="208">
        <v>0</v>
      </c>
      <c r="T169" s="208">
        <v>0</v>
      </c>
      <c r="U169" s="208">
        <v>0</v>
      </c>
      <c r="V169" s="208">
        <v>0</v>
      </c>
      <c r="W169" s="222">
        <v>0</v>
      </c>
      <c r="X169" s="209"/>
      <c r="Y169" s="217" t="s">
        <v>347</v>
      </c>
      <c r="Z169" s="227">
        <v>0</v>
      </c>
      <c r="AA169" s="228">
        <v>0</v>
      </c>
      <c r="AB169" s="208">
        <v>0</v>
      </c>
      <c r="AC169" s="208">
        <v>0</v>
      </c>
      <c r="AD169" s="208">
        <v>0</v>
      </c>
      <c r="AE169" s="208">
        <v>0</v>
      </c>
      <c r="AF169" s="208">
        <v>0</v>
      </c>
      <c r="AG169" s="208">
        <v>0</v>
      </c>
      <c r="AH169" s="208">
        <v>0</v>
      </c>
      <c r="AI169" s="208">
        <v>0</v>
      </c>
      <c r="AJ169" s="208">
        <v>0</v>
      </c>
      <c r="AK169" s="208">
        <v>0</v>
      </c>
      <c r="AL169" s="208">
        <v>0</v>
      </c>
      <c r="AM169" s="208">
        <v>0</v>
      </c>
      <c r="AN169" s="208">
        <v>0</v>
      </c>
      <c r="AO169" s="208">
        <v>0</v>
      </c>
      <c r="AP169" s="208">
        <v>0</v>
      </c>
      <c r="AQ169" s="208">
        <v>0</v>
      </c>
      <c r="AR169" s="208">
        <v>0</v>
      </c>
      <c r="AS169" s="208">
        <v>0</v>
      </c>
      <c r="AT169" s="222">
        <v>0</v>
      </c>
      <c r="AV169" s="217" t="s">
        <v>343</v>
      </c>
      <c r="AW169" s="227">
        <f t="shared" si="370"/>
        <v>0</v>
      </c>
      <c r="AX169" s="227">
        <f t="shared" si="371"/>
        <v>0</v>
      </c>
      <c r="AY169" s="227">
        <f t="shared" si="372"/>
        <v>0</v>
      </c>
      <c r="AZ169" s="227">
        <f t="shared" si="361"/>
        <v>0</v>
      </c>
      <c r="BA169" s="227">
        <f t="shared" si="350"/>
        <v>0</v>
      </c>
      <c r="BB169" s="227">
        <f t="shared" si="380"/>
        <v>0</v>
      </c>
      <c r="BC169" s="227">
        <f t="shared" si="381"/>
        <v>0</v>
      </c>
      <c r="BD169" s="227">
        <f t="shared" si="382"/>
        <v>0</v>
      </c>
      <c r="BE169" s="227">
        <f t="shared" si="383"/>
        <v>0</v>
      </c>
      <c r="BF169" s="227">
        <f t="shared" si="384"/>
        <v>0</v>
      </c>
      <c r="BG169" s="227">
        <f t="shared" si="385"/>
        <v>0</v>
      </c>
      <c r="BH169" s="208">
        <f t="shared" si="374"/>
        <v>0</v>
      </c>
      <c r="BI169" s="208">
        <f t="shared" si="375"/>
        <v>0</v>
      </c>
      <c r="BJ169" s="208">
        <f t="shared" si="376"/>
        <v>0</v>
      </c>
      <c r="BK169" s="208">
        <f t="shared" si="377"/>
        <v>0</v>
      </c>
      <c r="BL169" s="208">
        <f t="shared" si="378"/>
        <v>0</v>
      </c>
      <c r="BM169" s="208">
        <f t="shared" si="379"/>
        <v>0</v>
      </c>
      <c r="BN169" s="208">
        <f t="shared" si="373"/>
        <v>0</v>
      </c>
      <c r="BO169" s="208">
        <f t="shared" si="368"/>
        <v>0</v>
      </c>
      <c r="BP169" s="208">
        <f t="shared" si="369"/>
        <v>0</v>
      </c>
      <c r="BQ169" s="222">
        <f t="shared" si="347"/>
        <v>0</v>
      </c>
      <c r="BR169" s="214"/>
      <c r="BS169" s="227"/>
      <c r="BT169" s="286"/>
      <c r="BU169" s="300" t="s">
        <v>347</v>
      </c>
      <c r="BV169" s="293">
        <v>0</v>
      </c>
      <c r="BW169" s="293">
        <v>0</v>
      </c>
      <c r="BX169" s="258">
        <v>0</v>
      </c>
      <c r="BY169" s="258">
        <v>0</v>
      </c>
      <c r="BZ169" s="258">
        <v>0</v>
      </c>
      <c r="CA169" s="258">
        <v>0</v>
      </c>
      <c r="CB169" s="258">
        <v>0</v>
      </c>
      <c r="CC169" s="258">
        <v>0</v>
      </c>
      <c r="CD169" s="258">
        <v>0</v>
      </c>
      <c r="CE169" s="258">
        <v>0</v>
      </c>
      <c r="CF169" s="258">
        <v>0</v>
      </c>
      <c r="CG169" s="258">
        <v>0</v>
      </c>
      <c r="CH169" s="258">
        <v>0</v>
      </c>
      <c r="CI169" s="258">
        <v>0</v>
      </c>
      <c r="CJ169" s="258">
        <v>0</v>
      </c>
      <c r="CK169" s="258">
        <v>0</v>
      </c>
      <c r="CL169" s="258">
        <v>0</v>
      </c>
      <c r="CM169" s="258">
        <v>0</v>
      </c>
      <c r="CN169" s="258">
        <v>0</v>
      </c>
      <c r="CO169" s="258">
        <v>0</v>
      </c>
      <c r="CP169" s="301">
        <v>0</v>
      </c>
      <c r="CQ169" s="302"/>
      <c r="CR169" s="300" t="s">
        <v>347</v>
      </c>
      <c r="CS169" s="293">
        <v>0</v>
      </c>
      <c r="CT169" s="293">
        <v>0</v>
      </c>
      <c r="CU169" s="258">
        <v>0</v>
      </c>
      <c r="CV169" s="258">
        <v>0</v>
      </c>
      <c r="CW169" s="258">
        <v>0</v>
      </c>
      <c r="CX169" s="258">
        <v>0</v>
      </c>
      <c r="CY169" s="258">
        <v>0</v>
      </c>
      <c r="CZ169" s="258">
        <v>0</v>
      </c>
      <c r="DA169" s="258">
        <v>0</v>
      </c>
      <c r="DB169" s="258">
        <v>0</v>
      </c>
      <c r="DC169" s="258">
        <v>0</v>
      </c>
      <c r="DD169" s="258">
        <v>0</v>
      </c>
      <c r="DE169" s="258">
        <v>0</v>
      </c>
      <c r="DF169" s="258">
        <v>0</v>
      </c>
      <c r="DG169" s="258">
        <v>0</v>
      </c>
      <c r="DH169" s="258">
        <v>0</v>
      </c>
      <c r="DI169" s="258">
        <v>0</v>
      </c>
      <c r="DJ169" s="258">
        <v>0</v>
      </c>
      <c r="DK169" s="258">
        <v>0</v>
      </c>
      <c r="DL169" s="258">
        <v>0</v>
      </c>
      <c r="DM169" s="301">
        <v>0</v>
      </c>
      <c r="DN169" s="302"/>
      <c r="DO169" s="302"/>
      <c r="DP169" s="300" t="s">
        <v>347</v>
      </c>
      <c r="DQ169" s="293">
        <v>0</v>
      </c>
      <c r="DR169" s="293">
        <v>0</v>
      </c>
      <c r="DS169" s="258">
        <v>0</v>
      </c>
      <c r="DT169" s="258">
        <v>0</v>
      </c>
      <c r="DU169" s="258">
        <v>0</v>
      </c>
      <c r="DV169" s="258">
        <v>0</v>
      </c>
      <c r="DW169" s="258">
        <v>0</v>
      </c>
      <c r="DX169" s="258">
        <v>0</v>
      </c>
      <c r="DY169" s="258">
        <v>0</v>
      </c>
      <c r="DZ169" s="258">
        <v>0</v>
      </c>
      <c r="EA169" s="258">
        <v>0</v>
      </c>
      <c r="EB169" s="258">
        <v>0</v>
      </c>
      <c r="EC169" s="258">
        <v>0</v>
      </c>
      <c r="ED169" s="258">
        <v>0</v>
      </c>
      <c r="EE169" s="258">
        <v>0</v>
      </c>
      <c r="EF169" s="258">
        <v>0</v>
      </c>
      <c r="EG169" s="258">
        <v>0</v>
      </c>
      <c r="EH169" s="258">
        <v>0</v>
      </c>
      <c r="EI169" s="258">
        <v>0</v>
      </c>
      <c r="EJ169" s="258">
        <v>0</v>
      </c>
      <c r="EK169" s="301">
        <v>0</v>
      </c>
      <c r="EL169" s="287"/>
      <c r="EM169" s="300" t="s">
        <v>347</v>
      </c>
      <c r="EN169" s="293">
        <v>0</v>
      </c>
      <c r="EO169" s="293">
        <v>0</v>
      </c>
      <c r="EP169" s="258">
        <v>0</v>
      </c>
      <c r="EQ169" s="258">
        <v>0</v>
      </c>
      <c r="ER169" s="258">
        <v>0</v>
      </c>
      <c r="ES169" s="258">
        <v>0</v>
      </c>
      <c r="ET169" s="258">
        <v>0</v>
      </c>
      <c r="EU169" s="258">
        <v>0</v>
      </c>
      <c r="EV169" s="258">
        <v>0</v>
      </c>
      <c r="EW169" s="258">
        <v>0</v>
      </c>
      <c r="EX169" s="258">
        <v>0</v>
      </c>
      <c r="EY169" s="258">
        <v>0</v>
      </c>
      <c r="EZ169" s="258">
        <v>0</v>
      </c>
      <c r="FA169" s="258">
        <v>0</v>
      </c>
      <c r="FB169" s="258">
        <v>0</v>
      </c>
      <c r="FC169" s="258">
        <v>0</v>
      </c>
      <c r="FD169" s="258">
        <v>0</v>
      </c>
      <c r="FE169" s="258">
        <v>0</v>
      </c>
      <c r="FF169" s="258">
        <v>0</v>
      </c>
      <c r="FG169" s="258">
        <v>0</v>
      </c>
      <c r="FH169" s="301">
        <v>0</v>
      </c>
    </row>
    <row r="170" spans="2:164" x14ac:dyDescent="0.2">
      <c r="B170" s="218" t="s">
        <v>7</v>
      </c>
      <c r="C170" s="219">
        <v>139</v>
      </c>
      <c r="D170" s="220">
        <v>8439</v>
      </c>
      <c r="E170" s="221">
        <v>11200</v>
      </c>
      <c r="F170" s="221">
        <v>4791</v>
      </c>
      <c r="G170" s="221">
        <v>340</v>
      </c>
      <c r="H170" s="221">
        <v>223</v>
      </c>
      <c r="I170" s="221">
        <v>125</v>
      </c>
      <c r="J170" s="221">
        <v>0</v>
      </c>
      <c r="K170" s="221">
        <v>12</v>
      </c>
      <c r="L170" s="221">
        <v>60</v>
      </c>
      <c r="M170" s="221">
        <v>24</v>
      </c>
      <c r="N170" s="221">
        <v>19</v>
      </c>
      <c r="O170" s="221">
        <v>8</v>
      </c>
      <c r="P170" s="221">
        <v>0</v>
      </c>
      <c r="Q170" s="221">
        <v>0</v>
      </c>
      <c r="R170" s="221">
        <v>8</v>
      </c>
      <c r="S170" s="221">
        <v>0</v>
      </c>
      <c r="T170" s="221">
        <v>8</v>
      </c>
      <c r="U170" s="221">
        <v>173</v>
      </c>
      <c r="V170" s="221">
        <v>3</v>
      </c>
      <c r="W170" s="223">
        <v>25572</v>
      </c>
      <c r="X170" s="210"/>
      <c r="Y170" s="218" t="s">
        <v>7</v>
      </c>
      <c r="Z170" s="219">
        <v>3686.057962839117</v>
      </c>
      <c r="AA170" s="220">
        <v>679128.30737492139</v>
      </c>
      <c r="AB170" s="221">
        <v>1399035.839047404</v>
      </c>
      <c r="AC170" s="221">
        <v>313927.2670879325</v>
      </c>
      <c r="AD170" s="221">
        <v>5255.4772905342534</v>
      </c>
      <c r="AE170" s="221">
        <v>11986.789801584304</v>
      </c>
      <c r="AF170" s="221">
        <v>774.67920694982956</v>
      </c>
      <c r="AG170" s="221">
        <v>0</v>
      </c>
      <c r="AH170" s="221">
        <v>47.112907757347209</v>
      </c>
      <c r="AI170" s="221">
        <v>79.850555733837098</v>
      </c>
      <c r="AJ170" s="221">
        <v>2134.616667794015</v>
      </c>
      <c r="AK170" s="221">
        <v>1798.3514842300513</v>
      </c>
      <c r="AL170" s="221">
        <v>857.85709855257039</v>
      </c>
      <c r="AM170" s="221">
        <v>0</v>
      </c>
      <c r="AN170" s="221">
        <v>0</v>
      </c>
      <c r="AO170" s="221">
        <v>4888.8812883566216</v>
      </c>
      <c r="AP170" s="221">
        <v>0</v>
      </c>
      <c r="AQ170" s="221">
        <v>826.42707647076577</v>
      </c>
      <c r="AR170" s="221">
        <v>27618.816097600014</v>
      </c>
      <c r="AS170" s="221">
        <v>0</v>
      </c>
      <c r="AT170" s="223">
        <v>2452046.3309486606</v>
      </c>
      <c r="AV170" s="218" t="s">
        <v>7</v>
      </c>
      <c r="AW170" s="254">
        <f>SUM(AW150:AW169)</f>
        <v>3686.057962839117</v>
      </c>
      <c r="AX170" s="254">
        <f t="shared" ref="AX170" si="386">SUM(AX150:AX169)</f>
        <v>679111.12079233781</v>
      </c>
      <c r="AY170" s="254">
        <f t="shared" ref="AY170" si="387">SUM(AY150:AY169)</f>
        <v>1399035.839047404</v>
      </c>
      <c r="AZ170" s="254">
        <f t="shared" ref="AZ170" si="388">SUM(AZ150:AZ169)</f>
        <v>313857.50790392491</v>
      </c>
      <c r="BA170" s="254">
        <f t="shared" ref="BA170" si="389">SUM(BA150:BA169)</f>
        <v>5255.4772905342534</v>
      </c>
      <c r="BB170" s="254">
        <f t="shared" ref="BB170" si="390">SUM(BB150:BB169)</f>
        <v>11801.280090299351</v>
      </c>
      <c r="BC170" s="254">
        <f t="shared" ref="BC170" si="391">SUM(BC150:BC169)</f>
        <v>774.67920694982956</v>
      </c>
      <c r="BD170" s="254">
        <f t="shared" ref="BD170" si="392">SUM(BD150:BD169)</f>
        <v>0</v>
      </c>
      <c r="BE170" s="254">
        <f t="shared" ref="BE170" si="393">SUM(BE150:BE169)</f>
        <v>47.112907757347209</v>
      </c>
      <c r="BF170" s="254">
        <f t="shared" ref="BF170" si="394">SUM(BF150:BF169)</f>
        <v>39.925277866918549</v>
      </c>
      <c r="BG170" s="254">
        <f t="shared" ref="BG170" si="395">SUM(BG150:BG169)</f>
        <v>2134.616667794015</v>
      </c>
      <c r="BH170" s="254">
        <f t="shared" ref="BH170" si="396">SUM(BH150:BH169)</f>
        <v>0</v>
      </c>
      <c r="BI170" s="254">
        <f t="shared" ref="BI170" si="397">SUM(BI150:BI169)</f>
        <v>470.15029527199732</v>
      </c>
      <c r="BJ170" s="254">
        <f t="shared" ref="BJ170" si="398">SUM(BJ150:BJ169)</f>
        <v>0</v>
      </c>
      <c r="BK170" s="254">
        <f t="shared" ref="BK170" si="399">SUM(BK150:BK169)</f>
        <v>0</v>
      </c>
      <c r="BL170" s="254">
        <f t="shared" ref="BL170" si="400">SUM(BL150:BL169)</f>
        <v>4888.8812883566216</v>
      </c>
      <c r="BM170" s="254">
        <f t="shared" ref="BM170" si="401">SUM(BM150:BM169)</f>
        <v>0</v>
      </c>
      <c r="BN170" s="254">
        <f t="shared" ref="BN170" si="402">SUM(BN150:BN169)</f>
        <v>826.42707647076577</v>
      </c>
      <c r="BO170" s="254">
        <f t="shared" ref="BO170" si="403">SUM(BO150:BO169)</f>
        <v>27618.816097600014</v>
      </c>
      <c r="BP170" s="254">
        <f t="shared" ref="BP170" si="404">SUM(BP150:BP169)</f>
        <v>0</v>
      </c>
      <c r="BQ170" s="222">
        <f t="shared" si="347"/>
        <v>2449547.891905407</v>
      </c>
      <c r="BR170" s="214"/>
      <c r="BT170" s="286"/>
      <c r="BU170" s="303" t="s">
        <v>7</v>
      </c>
      <c r="BV170" s="304">
        <v>4</v>
      </c>
      <c r="BW170" s="304">
        <v>839</v>
      </c>
      <c r="BX170" s="305">
        <v>1061</v>
      </c>
      <c r="BY170" s="305">
        <v>212</v>
      </c>
      <c r="BZ170" s="305">
        <v>2</v>
      </c>
      <c r="CA170" s="305">
        <v>0</v>
      </c>
      <c r="CB170" s="305">
        <v>0</v>
      </c>
      <c r="CC170" s="305">
        <v>0</v>
      </c>
      <c r="CD170" s="305">
        <v>0</v>
      </c>
      <c r="CE170" s="305">
        <v>0</v>
      </c>
      <c r="CF170" s="305">
        <v>0</v>
      </c>
      <c r="CG170" s="305">
        <v>0</v>
      </c>
      <c r="CH170" s="305">
        <v>0</v>
      </c>
      <c r="CI170" s="305">
        <v>0</v>
      </c>
      <c r="CJ170" s="305">
        <v>0</v>
      </c>
      <c r="CK170" s="305">
        <v>0</v>
      </c>
      <c r="CL170" s="305">
        <v>0</v>
      </c>
      <c r="CM170" s="305">
        <v>0</v>
      </c>
      <c r="CN170" s="305">
        <v>0</v>
      </c>
      <c r="CO170" s="305">
        <v>0</v>
      </c>
      <c r="CP170" s="306">
        <v>2118</v>
      </c>
      <c r="CQ170" s="302"/>
      <c r="CR170" s="303" t="s">
        <v>7</v>
      </c>
      <c r="CS170" s="304">
        <v>1233.8532234732768</v>
      </c>
      <c r="CT170" s="304">
        <v>35243.928529335361</v>
      </c>
      <c r="CU170" s="305">
        <v>87351.65745377948</v>
      </c>
      <c r="CV170" s="305">
        <v>2523.7938253276752</v>
      </c>
      <c r="CW170" s="305">
        <v>0</v>
      </c>
      <c r="CX170" s="305">
        <v>0</v>
      </c>
      <c r="CY170" s="305">
        <v>0</v>
      </c>
      <c r="CZ170" s="305">
        <v>0</v>
      </c>
      <c r="DA170" s="305">
        <v>0</v>
      </c>
      <c r="DB170" s="305">
        <v>0</v>
      </c>
      <c r="DC170" s="305">
        <v>0</v>
      </c>
      <c r="DD170" s="305">
        <v>0</v>
      </c>
      <c r="DE170" s="305">
        <v>0</v>
      </c>
      <c r="DF170" s="305">
        <v>0</v>
      </c>
      <c r="DG170" s="305">
        <v>0</v>
      </c>
      <c r="DH170" s="305">
        <v>0</v>
      </c>
      <c r="DI170" s="305">
        <v>0</v>
      </c>
      <c r="DJ170" s="305">
        <v>0</v>
      </c>
      <c r="DK170" s="305">
        <v>0</v>
      </c>
      <c r="DL170" s="305">
        <v>0</v>
      </c>
      <c r="DM170" s="306">
        <v>126353.23303191579</v>
      </c>
      <c r="DN170" s="302"/>
      <c r="DO170" s="302"/>
      <c r="DP170" s="303" t="s">
        <v>7</v>
      </c>
      <c r="DQ170" s="304">
        <v>10</v>
      </c>
      <c r="DR170" s="304">
        <v>1398</v>
      </c>
      <c r="DS170" s="305">
        <v>1634</v>
      </c>
      <c r="DT170" s="305">
        <v>450</v>
      </c>
      <c r="DU170" s="305">
        <v>26</v>
      </c>
      <c r="DV170" s="305">
        <v>0</v>
      </c>
      <c r="DW170" s="305">
        <v>0</v>
      </c>
      <c r="DX170" s="305">
        <v>0</v>
      </c>
      <c r="DY170" s="305">
        <v>0</v>
      </c>
      <c r="DZ170" s="305">
        <v>0</v>
      </c>
      <c r="EA170" s="305">
        <v>0</v>
      </c>
      <c r="EB170" s="305">
        <v>9</v>
      </c>
      <c r="EC170" s="305">
        <v>0</v>
      </c>
      <c r="ED170" s="305">
        <v>0</v>
      </c>
      <c r="EE170" s="305">
        <v>0</v>
      </c>
      <c r="EF170" s="305">
        <v>0</v>
      </c>
      <c r="EG170" s="305">
        <v>0</v>
      </c>
      <c r="EH170" s="305">
        <v>0</v>
      </c>
      <c r="EI170" s="305">
        <v>4</v>
      </c>
      <c r="EJ170" s="305">
        <v>0</v>
      </c>
      <c r="EK170" s="306">
        <v>3531</v>
      </c>
      <c r="EL170" s="287"/>
      <c r="EM170" s="303" t="s">
        <v>7</v>
      </c>
      <c r="EN170" s="304">
        <v>1233.8532234732768</v>
      </c>
      <c r="EO170" s="304">
        <v>102979.88815997717</v>
      </c>
      <c r="EP170" s="305">
        <v>219880.66349193183</v>
      </c>
      <c r="EQ170" s="305">
        <v>21767.824768547875</v>
      </c>
      <c r="ER170" s="305">
        <v>302.23350005445263</v>
      </c>
      <c r="ES170" s="305">
        <v>0</v>
      </c>
      <c r="ET170" s="305">
        <v>0</v>
      </c>
      <c r="EU170" s="305">
        <v>0</v>
      </c>
      <c r="EV170" s="305">
        <v>0</v>
      </c>
      <c r="EW170" s="305">
        <v>0</v>
      </c>
      <c r="EX170" s="305">
        <v>0</v>
      </c>
      <c r="EY170" s="305">
        <v>0</v>
      </c>
      <c r="EZ170" s="305">
        <v>0</v>
      </c>
      <c r="FA170" s="305">
        <v>0</v>
      </c>
      <c r="FB170" s="305">
        <v>0</v>
      </c>
      <c r="FC170" s="305">
        <v>0</v>
      </c>
      <c r="FD170" s="305">
        <v>0</v>
      </c>
      <c r="FE170" s="305">
        <v>0</v>
      </c>
      <c r="FF170" s="305">
        <v>115.89821935675886</v>
      </c>
      <c r="FG170" s="305">
        <v>0</v>
      </c>
      <c r="FH170" s="306">
        <v>346280.36136334145</v>
      </c>
    </row>
    <row r="171" spans="2:164" x14ac:dyDescent="0.2">
      <c r="B171" s="206"/>
      <c r="C171" s="209"/>
      <c r="D171" s="209"/>
      <c r="E171" s="209"/>
      <c r="F171" s="209"/>
      <c r="G171" s="209"/>
      <c r="H171" s="211"/>
      <c r="I171" s="211"/>
      <c r="J171" s="211"/>
      <c r="K171" s="211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</row>
    <row r="175" spans="2:164" x14ac:dyDescent="0.2">
      <c r="B175" s="206"/>
      <c r="C175" s="207"/>
      <c r="D175" s="207"/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</row>
    <row r="176" spans="2:164" x14ac:dyDescent="0.2">
      <c r="B176" s="206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</row>
    <row r="177" spans="2:24" x14ac:dyDescent="0.2">
      <c r="B177" s="206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</row>
    <row r="178" spans="2:24" x14ac:dyDescent="0.2">
      <c r="B178" s="206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</row>
    <row r="179" spans="2:24" x14ac:dyDescent="0.2">
      <c r="B179" s="206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</row>
    <row r="180" spans="2:24" x14ac:dyDescent="0.2">
      <c r="B180" s="206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</row>
    <row r="181" spans="2:24" x14ac:dyDescent="0.2">
      <c r="B181" s="206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</row>
    <row r="182" spans="2:24" x14ac:dyDescent="0.2">
      <c r="B182" s="206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</row>
    <row r="183" spans="2:24" x14ac:dyDescent="0.2">
      <c r="B183" s="206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</row>
    <row r="184" spans="2:24" x14ac:dyDescent="0.2">
      <c r="B184" s="206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</row>
    <row r="185" spans="2:24" x14ac:dyDescent="0.2">
      <c r="B185" s="206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</row>
    <row r="186" spans="2:24" x14ac:dyDescent="0.2">
      <c r="B186" s="206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</row>
    <row r="187" spans="2:24" x14ac:dyDescent="0.2">
      <c r="B187" s="206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</row>
    <row r="188" spans="2:24" x14ac:dyDescent="0.2">
      <c r="B188" s="206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</row>
    <row r="189" spans="2:24" x14ac:dyDescent="0.2">
      <c r="B189" s="206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</row>
    <row r="190" spans="2:24" x14ac:dyDescent="0.2">
      <c r="B190" s="206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</row>
    <row r="191" spans="2:24" x14ac:dyDescent="0.2">
      <c r="B191" s="206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</row>
    <row r="192" spans="2:24" x14ac:dyDescent="0.2">
      <c r="B192" s="206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</row>
    <row r="193" spans="2:24" x14ac:dyDescent="0.2">
      <c r="B193" s="206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</row>
    <row r="194" spans="2:24" x14ac:dyDescent="0.2">
      <c r="B194" s="206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</row>
    <row r="195" spans="2:24" x14ac:dyDescent="0.2">
      <c r="B195" s="206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</row>
    <row r="196" spans="2:24" x14ac:dyDescent="0.2">
      <c r="B196" s="206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</row>
    <row r="197" spans="2:24" x14ac:dyDescent="0.2">
      <c r="B197" s="206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</row>
    <row r="198" spans="2:24" x14ac:dyDescent="0.2">
      <c r="B198" s="206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</row>
    <row r="199" spans="2:24" x14ac:dyDescent="0.2">
      <c r="B199" s="206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</row>
    <row r="200" spans="2:24" x14ac:dyDescent="0.2">
      <c r="B200" s="206"/>
      <c r="C200" s="210"/>
      <c r="D200" s="210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</row>
    <row r="201" spans="2:24" x14ac:dyDescent="0.2">
      <c r="B201" s="206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</row>
    <row r="202" spans="2:24" x14ac:dyDescent="0.2">
      <c r="B202" s="206"/>
      <c r="C202" s="209"/>
      <c r="D202" s="209"/>
      <c r="E202" s="209"/>
      <c r="F202" s="209"/>
      <c r="G202" s="209"/>
      <c r="H202" s="211"/>
      <c r="I202" s="211"/>
      <c r="J202" s="211"/>
      <c r="K202" s="211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</row>
    <row r="206" spans="2:24" x14ac:dyDescent="0.2">
      <c r="B206" s="206"/>
      <c r="C206" s="207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</row>
    <row r="207" spans="2:24" x14ac:dyDescent="0.2">
      <c r="B207" s="206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</row>
    <row r="208" spans="2:24" x14ac:dyDescent="0.2">
      <c r="B208" s="206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</row>
    <row r="209" spans="2:24" x14ac:dyDescent="0.2">
      <c r="B209" s="206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</row>
    <row r="210" spans="2:24" x14ac:dyDescent="0.2">
      <c r="B210" s="206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</row>
    <row r="211" spans="2:24" x14ac:dyDescent="0.2">
      <c r="B211" s="206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</row>
    <row r="212" spans="2:24" x14ac:dyDescent="0.2">
      <c r="B212" s="206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</row>
    <row r="213" spans="2:24" x14ac:dyDescent="0.2">
      <c r="B213" s="206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</row>
    <row r="214" spans="2:24" x14ac:dyDescent="0.2">
      <c r="B214" s="206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</row>
    <row r="215" spans="2:24" x14ac:dyDescent="0.2">
      <c r="B215" s="206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</row>
    <row r="216" spans="2:24" x14ac:dyDescent="0.2">
      <c r="B216" s="206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</row>
    <row r="217" spans="2:24" x14ac:dyDescent="0.2">
      <c r="B217" s="206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</row>
    <row r="218" spans="2:24" x14ac:dyDescent="0.2">
      <c r="B218" s="206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</row>
    <row r="219" spans="2:24" x14ac:dyDescent="0.2">
      <c r="B219" s="206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</row>
    <row r="220" spans="2:24" x14ac:dyDescent="0.2">
      <c r="B220" s="206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</row>
    <row r="221" spans="2:24" x14ac:dyDescent="0.2">
      <c r="B221" s="206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</row>
    <row r="222" spans="2:24" x14ac:dyDescent="0.2">
      <c r="B222" s="206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</row>
    <row r="223" spans="2:24" x14ac:dyDescent="0.2">
      <c r="B223" s="206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</row>
    <row r="224" spans="2:24" x14ac:dyDescent="0.2">
      <c r="B224" s="206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</row>
    <row r="225" spans="2:24" x14ac:dyDescent="0.2">
      <c r="B225" s="206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</row>
    <row r="226" spans="2:24" x14ac:dyDescent="0.2">
      <c r="B226" s="206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</row>
    <row r="227" spans="2:24" x14ac:dyDescent="0.2">
      <c r="B227" s="206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</row>
    <row r="228" spans="2:24" x14ac:dyDescent="0.2">
      <c r="B228" s="206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</row>
    <row r="229" spans="2:24" x14ac:dyDescent="0.2">
      <c r="B229" s="206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</row>
    <row r="230" spans="2:24" x14ac:dyDescent="0.2">
      <c r="B230" s="206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</row>
    <row r="231" spans="2:24" x14ac:dyDescent="0.2">
      <c r="B231" s="206"/>
      <c r="C231" s="210"/>
      <c r="D231" s="210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</row>
    <row r="232" spans="2:24" x14ac:dyDescent="0.2">
      <c r="B232" s="206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</row>
    <row r="233" spans="2:24" x14ac:dyDescent="0.2">
      <c r="B233" s="206"/>
      <c r="C233" s="209"/>
      <c r="D233" s="209"/>
      <c r="E233" s="209"/>
      <c r="F233" s="209"/>
      <c r="G233" s="209"/>
      <c r="H233" s="211"/>
      <c r="I233" s="211"/>
      <c r="J233" s="211"/>
      <c r="K233" s="211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</row>
    <row r="237" spans="2:24" x14ac:dyDescent="0.2">
      <c r="B237" s="206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</row>
    <row r="238" spans="2:24" x14ac:dyDescent="0.2">
      <c r="B238" s="206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</row>
    <row r="239" spans="2:24" x14ac:dyDescent="0.2">
      <c r="B239" s="206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</row>
    <row r="240" spans="2:24" x14ac:dyDescent="0.2">
      <c r="B240" s="206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</row>
    <row r="241" spans="2:24" x14ac:dyDescent="0.2">
      <c r="B241" s="206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</row>
    <row r="242" spans="2:24" x14ac:dyDescent="0.2">
      <c r="B242" s="206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</row>
    <row r="243" spans="2:24" x14ac:dyDescent="0.2">
      <c r="B243" s="206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</row>
    <row r="244" spans="2:24" x14ac:dyDescent="0.2">
      <c r="B244" s="206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</row>
    <row r="245" spans="2:24" x14ac:dyDescent="0.2">
      <c r="B245" s="206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</row>
    <row r="246" spans="2:24" x14ac:dyDescent="0.2">
      <c r="B246" s="206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</row>
    <row r="247" spans="2:24" x14ac:dyDescent="0.2">
      <c r="B247" s="206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</row>
    <row r="248" spans="2:24" x14ac:dyDescent="0.2">
      <c r="B248" s="206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</row>
    <row r="249" spans="2:24" x14ac:dyDescent="0.2">
      <c r="B249" s="206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</row>
    <row r="250" spans="2:24" x14ac:dyDescent="0.2">
      <c r="B250" s="206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</row>
    <row r="251" spans="2:24" x14ac:dyDescent="0.2">
      <c r="B251" s="206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</row>
    <row r="252" spans="2:24" x14ac:dyDescent="0.2">
      <c r="B252" s="206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</row>
    <row r="253" spans="2:24" x14ac:dyDescent="0.2">
      <c r="B253" s="206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</row>
    <row r="254" spans="2:24" x14ac:dyDescent="0.2">
      <c r="B254" s="206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</row>
    <row r="255" spans="2:24" x14ac:dyDescent="0.2">
      <c r="B255" s="206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</row>
    <row r="256" spans="2:24" x14ac:dyDescent="0.2">
      <c r="B256" s="206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</row>
    <row r="257" spans="2:24" x14ac:dyDescent="0.2">
      <c r="B257" s="206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</row>
    <row r="258" spans="2:24" x14ac:dyDescent="0.2">
      <c r="B258" s="206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</row>
    <row r="259" spans="2:24" x14ac:dyDescent="0.2">
      <c r="B259" s="206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</row>
    <row r="260" spans="2:24" x14ac:dyDescent="0.2">
      <c r="B260" s="206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</row>
    <row r="261" spans="2:24" x14ac:dyDescent="0.2">
      <c r="B261" s="206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</row>
    <row r="262" spans="2:24" x14ac:dyDescent="0.2">
      <c r="B262" s="206"/>
      <c r="C262" s="210"/>
      <c r="D262" s="210"/>
      <c r="E262" s="210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</row>
    <row r="263" spans="2:24" x14ac:dyDescent="0.2">
      <c r="B263" s="206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</row>
    <row r="264" spans="2:24" x14ac:dyDescent="0.2">
      <c r="B264" s="206"/>
      <c r="C264" s="209"/>
      <c r="D264" s="209"/>
      <c r="E264" s="209"/>
      <c r="F264" s="209"/>
      <c r="G264" s="209"/>
      <c r="H264" s="211"/>
      <c r="I264" s="211"/>
      <c r="J264" s="211"/>
      <c r="K264" s="211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</row>
    <row r="268" spans="2:24" x14ac:dyDescent="0.2">
      <c r="B268" s="206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</row>
    <row r="269" spans="2:24" x14ac:dyDescent="0.2">
      <c r="B269" s="206"/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</row>
    <row r="270" spans="2:24" x14ac:dyDescent="0.2">
      <c r="B270" s="206"/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</row>
    <row r="271" spans="2:24" x14ac:dyDescent="0.2">
      <c r="B271" s="206"/>
      <c r="C271" s="208"/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</row>
    <row r="272" spans="2:24" x14ac:dyDescent="0.2">
      <c r="B272" s="206"/>
      <c r="C272" s="208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</row>
    <row r="273" spans="2:24" x14ac:dyDescent="0.2">
      <c r="B273" s="206"/>
      <c r="C273" s="208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</row>
    <row r="274" spans="2:24" x14ac:dyDescent="0.2">
      <c r="B274" s="206"/>
      <c r="C274" s="208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</row>
    <row r="275" spans="2:24" x14ac:dyDescent="0.2">
      <c r="B275" s="206"/>
      <c r="C275" s="208"/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</row>
    <row r="276" spans="2:24" x14ac:dyDescent="0.2">
      <c r="B276" s="206"/>
      <c r="C276" s="208"/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</row>
    <row r="277" spans="2:24" x14ac:dyDescent="0.2">
      <c r="B277" s="206"/>
      <c r="C277" s="208"/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</row>
    <row r="278" spans="2:24" x14ac:dyDescent="0.2">
      <c r="B278" s="206"/>
      <c r="C278" s="208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</row>
    <row r="279" spans="2:24" x14ac:dyDescent="0.2">
      <c r="B279" s="206"/>
      <c r="C279" s="208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</row>
    <row r="280" spans="2:24" x14ac:dyDescent="0.2">
      <c r="B280" s="206"/>
      <c r="C280" s="208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</row>
    <row r="281" spans="2:24" x14ac:dyDescent="0.2">
      <c r="B281" s="206"/>
      <c r="C281" s="208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</row>
    <row r="282" spans="2:24" x14ac:dyDescent="0.2">
      <c r="B282" s="206"/>
      <c r="C282" s="208"/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</row>
    <row r="283" spans="2:24" x14ac:dyDescent="0.2">
      <c r="B283" s="206"/>
      <c r="C283" s="208"/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</row>
    <row r="284" spans="2:24" x14ac:dyDescent="0.2">
      <c r="B284" s="206"/>
      <c r="C284" s="208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</row>
    <row r="285" spans="2:24" x14ac:dyDescent="0.2">
      <c r="B285" s="206"/>
      <c r="C285" s="208"/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</row>
    <row r="286" spans="2:24" x14ac:dyDescent="0.2">
      <c r="B286" s="206"/>
      <c r="C286" s="208"/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</row>
    <row r="287" spans="2:24" x14ac:dyDescent="0.2">
      <c r="B287" s="206"/>
      <c r="C287" s="208"/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</row>
    <row r="288" spans="2:24" x14ac:dyDescent="0.2">
      <c r="B288" s="206"/>
      <c r="C288" s="208"/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</row>
    <row r="289" spans="2:24" x14ac:dyDescent="0.2">
      <c r="B289" s="206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</row>
    <row r="290" spans="2:24" x14ac:dyDescent="0.2">
      <c r="B290" s="206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</row>
    <row r="291" spans="2:24" x14ac:dyDescent="0.2">
      <c r="B291" s="206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</row>
    <row r="292" spans="2:24" x14ac:dyDescent="0.2">
      <c r="B292" s="206"/>
      <c r="C292" s="210"/>
      <c r="D292" s="210"/>
      <c r="E292" s="210"/>
      <c r="F292" s="210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</row>
    <row r="293" spans="2:24" x14ac:dyDescent="0.2">
      <c r="B293" s="206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</row>
    <row r="294" spans="2:24" x14ac:dyDescent="0.2">
      <c r="B294" s="206"/>
      <c r="C294" s="209"/>
      <c r="D294" s="209"/>
      <c r="E294" s="209"/>
      <c r="F294" s="209"/>
      <c r="G294" s="209"/>
      <c r="H294" s="211"/>
      <c r="I294" s="211"/>
      <c r="J294" s="211"/>
      <c r="K294" s="211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</row>
    <row r="295" spans="2:24" x14ac:dyDescent="0.2">
      <c r="B295" s="206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8F4B-DB87-4AAD-B7AC-1AA71450B1B7}">
  <sheetPr>
    <tabColor theme="8"/>
  </sheetPr>
  <dimension ref="A1:R35"/>
  <sheetViews>
    <sheetView workbookViewId="0">
      <selection activeCell="E44" sqref="E44"/>
    </sheetView>
  </sheetViews>
  <sheetFormatPr defaultRowHeight="12.75" x14ac:dyDescent="0.2"/>
  <cols>
    <col min="1" max="1" width="45" style="166" customWidth="1"/>
    <col min="2" max="3" width="9.140625" style="12"/>
    <col min="4" max="4" width="21.5703125" style="12" customWidth="1"/>
    <col min="5" max="5" width="22.140625" style="12" customWidth="1"/>
    <col min="6" max="7" width="9.140625" style="12"/>
    <col min="8" max="13" width="9.140625" style="2"/>
    <col min="14" max="14" width="30.7109375" style="2" bestFit="1" customWidth="1"/>
    <col min="15" max="16384" width="9.140625" style="2"/>
  </cols>
  <sheetData>
    <row r="1" spans="1:18" x14ac:dyDescent="0.2">
      <c r="A1" s="166" t="s">
        <v>150</v>
      </c>
      <c r="B1" s="12" t="s">
        <v>298</v>
      </c>
      <c r="C1" s="12" t="s">
        <v>151</v>
      </c>
      <c r="D1" s="12" t="s">
        <v>152</v>
      </c>
      <c r="E1" s="12" t="s">
        <v>153</v>
      </c>
      <c r="F1" s="12" t="s">
        <v>154</v>
      </c>
      <c r="G1" s="12" t="s">
        <v>155</v>
      </c>
      <c r="I1" s="79" t="s">
        <v>156</v>
      </c>
      <c r="N1" s="2" t="s">
        <v>157</v>
      </c>
      <c r="O1" s="2" t="s">
        <v>158</v>
      </c>
      <c r="Q1" s="2" t="s">
        <v>159</v>
      </c>
      <c r="R1" s="2" t="s">
        <v>155</v>
      </c>
    </row>
    <row r="2" spans="1:18" x14ac:dyDescent="0.2">
      <c r="I2" s="2" t="s">
        <v>162</v>
      </c>
      <c r="N2" s="2" t="s">
        <v>163</v>
      </c>
      <c r="O2" s="2">
        <v>1</v>
      </c>
      <c r="Q2" s="2" t="s">
        <v>164</v>
      </c>
      <c r="R2" s="2">
        <v>1</v>
      </c>
    </row>
    <row r="3" spans="1:18" x14ac:dyDescent="0.2">
      <c r="N3" s="2" t="s">
        <v>166</v>
      </c>
      <c r="O3" s="2">
        <v>2</v>
      </c>
      <c r="Q3" s="2" t="s">
        <v>167</v>
      </c>
      <c r="R3" s="2">
        <v>2</v>
      </c>
    </row>
    <row r="4" spans="1:18" x14ac:dyDescent="0.2">
      <c r="N4" s="2" t="s">
        <v>169</v>
      </c>
      <c r="O4" s="2">
        <v>3</v>
      </c>
      <c r="Q4" s="2" t="s">
        <v>170</v>
      </c>
      <c r="R4" s="2">
        <v>3</v>
      </c>
    </row>
    <row r="5" spans="1:18" x14ac:dyDescent="0.2">
      <c r="N5" s="2" t="s">
        <v>172</v>
      </c>
      <c r="O5" s="2">
        <v>4</v>
      </c>
      <c r="Q5" s="2" t="s">
        <v>173</v>
      </c>
      <c r="R5" s="2">
        <v>4</v>
      </c>
    </row>
    <row r="6" spans="1:18" x14ac:dyDescent="0.2">
      <c r="N6" s="2" t="s">
        <v>175</v>
      </c>
      <c r="O6" s="2">
        <v>5</v>
      </c>
      <c r="Q6" s="2" t="s">
        <v>176</v>
      </c>
      <c r="R6" s="2">
        <v>5</v>
      </c>
    </row>
    <row r="7" spans="1:18" x14ac:dyDescent="0.2">
      <c r="N7" s="2" t="s">
        <v>178</v>
      </c>
      <c r="O7" s="2">
        <v>6</v>
      </c>
      <c r="Q7" s="2" t="s">
        <v>179</v>
      </c>
      <c r="R7" s="2">
        <v>6</v>
      </c>
    </row>
    <row r="8" spans="1:18" x14ac:dyDescent="0.2">
      <c r="N8" s="2" t="s">
        <v>181</v>
      </c>
      <c r="O8" s="2">
        <v>7</v>
      </c>
      <c r="Q8" s="2" t="s">
        <v>7</v>
      </c>
      <c r="R8" s="2" t="s">
        <v>7</v>
      </c>
    </row>
    <row r="9" spans="1:18" x14ac:dyDescent="0.2">
      <c r="N9" s="2" t="s">
        <v>182</v>
      </c>
      <c r="O9" s="2">
        <v>8</v>
      </c>
    </row>
    <row r="10" spans="1:18" x14ac:dyDescent="0.2">
      <c r="N10" s="2" t="s">
        <v>183</v>
      </c>
      <c r="O10" s="2">
        <v>9</v>
      </c>
    </row>
    <row r="11" spans="1:18" x14ac:dyDescent="0.2">
      <c r="N11" s="2" t="s">
        <v>184</v>
      </c>
      <c r="O11" s="2">
        <v>10</v>
      </c>
      <c r="Q11" s="2" t="s">
        <v>185</v>
      </c>
    </row>
    <row r="12" spans="1:18" x14ac:dyDescent="0.2">
      <c r="N12" s="2" t="s">
        <v>186</v>
      </c>
      <c r="O12" s="2">
        <v>11</v>
      </c>
      <c r="Q12" s="2" t="s">
        <v>174</v>
      </c>
    </row>
    <row r="13" spans="1:18" x14ac:dyDescent="0.2">
      <c r="N13" s="2" t="s">
        <v>187</v>
      </c>
      <c r="O13" s="2">
        <v>12</v>
      </c>
      <c r="Q13" s="2" t="s">
        <v>165</v>
      </c>
    </row>
    <row r="14" spans="1:18" x14ac:dyDescent="0.2">
      <c r="N14" s="2" t="s">
        <v>188</v>
      </c>
      <c r="O14" s="2">
        <v>13</v>
      </c>
      <c r="Q14" s="2" t="s">
        <v>168</v>
      </c>
    </row>
    <row r="15" spans="1:18" x14ac:dyDescent="0.2">
      <c r="N15" s="2" t="s">
        <v>189</v>
      </c>
      <c r="O15" s="2">
        <v>14</v>
      </c>
      <c r="Q15" s="2" t="s">
        <v>177</v>
      </c>
    </row>
    <row r="16" spans="1:18" x14ac:dyDescent="0.2">
      <c r="N16" s="2" t="s">
        <v>190</v>
      </c>
      <c r="O16" s="2">
        <v>15</v>
      </c>
      <c r="Q16" s="2" t="s">
        <v>171</v>
      </c>
    </row>
    <row r="17" spans="14:17" x14ac:dyDescent="0.2">
      <c r="N17" s="2" t="s">
        <v>191</v>
      </c>
      <c r="O17" s="2">
        <v>16</v>
      </c>
      <c r="Q17" s="2" t="s">
        <v>160</v>
      </c>
    </row>
    <row r="18" spans="14:17" x14ac:dyDescent="0.2">
      <c r="N18" s="2" t="s">
        <v>192</v>
      </c>
      <c r="O18" s="2">
        <v>17</v>
      </c>
      <c r="Q18" s="2" t="s">
        <v>7</v>
      </c>
    </row>
    <row r="19" spans="14:17" x14ac:dyDescent="0.2">
      <c r="N19" s="2" t="s">
        <v>193</v>
      </c>
      <c r="O19" s="2">
        <v>18</v>
      </c>
    </row>
    <row r="20" spans="14:17" x14ac:dyDescent="0.2">
      <c r="N20" s="2" t="s">
        <v>180</v>
      </c>
      <c r="O20" s="2">
        <v>19</v>
      </c>
      <c r="Q20" s="2" t="s">
        <v>298</v>
      </c>
    </row>
    <row r="21" spans="14:17" x14ac:dyDescent="0.2">
      <c r="N21" s="2" t="s">
        <v>195</v>
      </c>
      <c r="O21" s="2">
        <v>20</v>
      </c>
      <c r="Q21" s="2" t="s">
        <v>258</v>
      </c>
    </row>
    <row r="22" spans="14:17" x14ac:dyDescent="0.2">
      <c r="N22" s="2" t="s">
        <v>194</v>
      </c>
      <c r="O22" s="2">
        <v>21</v>
      </c>
      <c r="Q22" s="2" t="s">
        <v>299</v>
      </c>
    </row>
    <row r="23" spans="14:17" x14ac:dyDescent="0.2">
      <c r="N23" s="2" t="s">
        <v>196</v>
      </c>
      <c r="O23" s="2">
        <v>22</v>
      </c>
      <c r="Q23" s="2" t="s">
        <v>7</v>
      </c>
    </row>
    <row r="24" spans="14:17" x14ac:dyDescent="0.2">
      <c r="N24" s="2" t="s">
        <v>197</v>
      </c>
      <c r="O24" s="2">
        <v>23</v>
      </c>
    </row>
    <row r="25" spans="14:17" x14ac:dyDescent="0.2">
      <c r="N25" s="2" t="s">
        <v>161</v>
      </c>
      <c r="O25" s="2">
        <v>24</v>
      </c>
    </row>
    <row r="26" spans="14:17" x14ac:dyDescent="0.2">
      <c r="N26" s="2" t="s">
        <v>198</v>
      </c>
      <c r="O26" s="2">
        <v>25</v>
      </c>
    </row>
    <row r="27" spans="14:17" x14ac:dyDescent="0.2">
      <c r="N27" s="2" t="s">
        <v>199</v>
      </c>
      <c r="O27" s="2">
        <v>26</v>
      </c>
    </row>
    <row r="28" spans="14:17" x14ac:dyDescent="0.2">
      <c r="N28" s="2" t="s">
        <v>200</v>
      </c>
      <c r="O28" s="2">
        <v>27</v>
      </c>
    </row>
    <row r="29" spans="14:17" x14ac:dyDescent="0.2">
      <c r="N29" s="2" t="s">
        <v>201</v>
      </c>
      <c r="O29" s="2">
        <v>28</v>
      </c>
    </row>
    <row r="30" spans="14:17" x14ac:dyDescent="0.2">
      <c r="N30" s="2" t="s">
        <v>202</v>
      </c>
      <c r="O30" s="2">
        <v>29</v>
      </c>
    </row>
    <row r="31" spans="14:17" x14ac:dyDescent="0.2">
      <c r="N31" s="2" t="s">
        <v>203</v>
      </c>
      <c r="O31" s="2">
        <v>30</v>
      </c>
    </row>
    <row r="32" spans="14:17" x14ac:dyDescent="0.2">
      <c r="N32" s="2" t="s">
        <v>204</v>
      </c>
      <c r="O32" s="2">
        <v>31</v>
      </c>
    </row>
    <row r="33" spans="14:15" x14ac:dyDescent="0.2">
      <c r="N33" s="2" t="s">
        <v>205</v>
      </c>
      <c r="O33" s="2">
        <v>32</v>
      </c>
    </row>
    <row r="34" spans="14:15" x14ac:dyDescent="0.2">
      <c r="N34" s="2" t="s">
        <v>206</v>
      </c>
      <c r="O34" s="2">
        <v>33</v>
      </c>
    </row>
    <row r="35" spans="14:15" x14ac:dyDescent="0.2">
      <c r="N35" s="2" t="s">
        <v>207</v>
      </c>
      <c r="O35" s="2">
        <v>34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6F8A-04DD-4CB3-B64A-945324A47F9B}">
  <sheetPr>
    <tabColor theme="8"/>
  </sheetPr>
  <dimension ref="A1:K54"/>
  <sheetViews>
    <sheetView workbookViewId="0">
      <selection activeCell="F43" sqref="F43"/>
    </sheetView>
  </sheetViews>
  <sheetFormatPr defaultRowHeight="12.75" x14ac:dyDescent="0.2"/>
  <cols>
    <col min="1" max="1" width="9.140625" style="2"/>
    <col min="2" max="2" width="13.5703125" style="2" customWidth="1"/>
    <col min="3" max="3" width="10" style="2" bestFit="1" customWidth="1"/>
    <col min="4" max="4" width="10.42578125" style="17" bestFit="1" customWidth="1"/>
    <col min="5" max="5" width="13.7109375" style="2" bestFit="1" customWidth="1"/>
    <col min="6" max="6" width="9.42578125" style="17" bestFit="1" customWidth="1"/>
    <col min="7" max="7" width="9.140625" style="2"/>
    <col min="8" max="8" width="12" style="17" bestFit="1" customWidth="1"/>
    <col min="9" max="9" width="10" style="2" bestFit="1" customWidth="1"/>
    <col min="10" max="10" width="10.42578125" style="17" bestFit="1" customWidth="1"/>
    <col min="11" max="11" width="13.7109375" style="2" bestFit="1" customWidth="1"/>
    <col min="12" max="16384" width="9.140625" style="2"/>
  </cols>
  <sheetData>
    <row r="1" spans="1:11" x14ac:dyDescent="0.2">
      <c r="A1" s="1"/>
    </row>
    <row r="3" spans="1:11" x14ac:dyDescent="0.2">
      <c r="C3" s="2" t="s">
        <v>257</v>
      </c>
    </row>
    <row r="4" spans="1:11" x14ac:dyDescent="0.2">
      <c r="D4" s="17" t="s">
        <v>258</v>
      </c>
      <c r="F4" s="17" t="s">
        <v>259</v>
      </c>
      <c r="H4" s="17" t="s">
        <v>260</v>
      </c>
      <c r="J4" s="17" t="s">
        <v>7</v>
      </c>
    </row>
    <row r="5" spans="1:11" x14ac:dyDescent="0.2">
      <c r="B5" s="2" t="s">
        <v>261</v>
      </c>
      <c r="C5" s="143"/>
      <c r="D5" s="15"/>
      <c r="E5" s="14"/>
      <c r="F5" s="152"/>
      <c r="G5" s="14"/>
      <c r="H5" s="15"/>
      <c r="I5" s="144"/>
      <c r="J5" s="15"/>
      <c r="K5" s="144"/>
    </row>
    <row r="6" spans="1:11" x14ac:dyDescent="0.2">
      <c r="B6" s="2" t="s">
        <v>174</v>
      </c>
      <c r="C6" s="145"/>
      <c r="E6" s="146"/>
      <c r="F6" s="16"/>
      <c r="G6" s="146"/>
      <c r="I6" s="147"/>
      <c r="K6" s="147"/>
    </row>
    <row r="7" spans="1:11" x14ac:dyDescent="0.2">
      <c r="C7" s="145"/>
      <c r="E7" s="146"/>
      <c r="F7" s="16"/>
      <c r="G7" s="146"/>
      <c r="I7" s="147"/>
      <c r="K7" s="147"/>
    </row>
    <row r="8" spans="1:11" x14ac:dyDescent="0.2">
      <c r="C8" s="145"/>
      <c r="E8" s="146"/>
      <c r="F8" s="16"/>
      <c r="G8" s="146"/>
      <c r="I8" s="147"/>
      <c r="K8" s="147"/>
    </row>
    <row r="9" spans="1:11" x14ac:dyDescent="0.2">
      <c r="C9" s="145"/>
      <c r="E9" s="146"/>
      <c r="F9" s="16"/>
      <c r="G9" s="146"/>
      <c r="I9" s="147"/>
      <c r="K9" s="147"/>
    </row>
    <row r="10" spans="1:11" x14ac:dyDescent="0.2">
      <c r="C10" s="145"/>
      <c r="E10" s="146"/>
      <c r="F10" s="16"/>
      <c r="G10" s="146"/>
      <c r="I10" s="147"/>
      <c r="K10" s="147"/>
    </row>
    <row r="11" spans="1:11" x14ac:dyDescent="0.2">
      <c r="C11" s="145"/>
      <c r="E11" s="146"/>
      <c r="F11" s="16"/>
      <c r="G11" s="146"/>
      <c r="I11" s="147"/>
      <c r="K11" s="147"/>
    </row>
    <row r="12" spans="1:11" x14ac:dyDescent="0.2">
      <c r="C12" s="148"/>
      <c r="D12" s="141"/>
      <c r="E12" s="142"/>
      <c r="F12" s="153"/>
      <c r="G12" s="142"/>
      <c r="H12" s="141"/>
      <c r="I12" s="149"/>
      <c r="J12" s="141"/>
      <c r="K12" s="149"/>
    </row>
    <row r="13" spans="1:11" x14ac:dyDescent="0.2">
      <c r="B13" s="2" t="s">
        <v>165</v>
      </c>
      <c r="C13" s="145"/>
      <c r="E13" s="146"/>
      <c r="F13" s="16"/>
      <c r="G13" s="146"/>
      <c r="I13" s="147"/>
      <c r="K13" s="147"/>
    </row>
    <row r="14" spans="1:11" x14ac:dyDescent="0.2">
      <c r="C14" s="145"/>
      <c r="E14" s="146"/>
      <c r="F14" s="16"/>
      <c r="G14" s="146"/>
      <c r="I14" s="147"/>
      <c r="K14" s="147"/>
    </row>
    <row r="15" spans="1:11" x14ac:dyDescent="0.2">
      <c r="C15" s="145"/>
      <c r="E15" s="146"/>
      <c r="F15" s="16"/>
      <c r="G15" s="146"/>
      <c r="I15" s="147"/>
      <c r="K15" s="147"/>
    </row>
    <row r="16" spans="1:11" x14ac:dyDescent="0.2">
      <c r="C16" s="145"/>
      <c r="E16" s="146"/>
      <c r="F16" s="16"/>
      <c r="G16" s="146"/>
      <c r="I16" s="147"/>
      <c r="K16" s="147"/>
    </row>
    <row r="17" spans="2:11" x14ac:dyDescent="0.2">
      <c r="C17" s="145"/>
      <c r="E17" s="146"/>
      <c r="F17" s="16"/>
      <c r="G17" s="146"/>
      <c r="I17" s="147"/>
      <c r="K17" s="147"/>
    </row>
    <row r="18" spans="2:11" x14ac:dyDescent="0.2">
      <c r="C18" s="145"/>
      <c r="E18" s="146"/>
      <c r="F18" s="16"/>
      <c r="G18" s="146"/>
      <c r="I18" s="147"/>
      <c r="K18" s="147"/>
    </row>
    <row r="19" spans="2:11" x14ac:dyDescent="0.2">
      <c r="C19" s="148"/>
      <c r="D19" s="141"/>
      <c r="E19" s="142"/>
      <c r="F19" s="153"/>
      <c r="G19" s="142"/>
      <c r="H19" s="141"/>
      <c r="I19" s="149"/>
      <c r="J19" s="141"/>
      <c r="K19" s="149"/>
    </row>
    <row r="20" spans="2:11" x14ac:dyDescent="0.2">
      <c r="B20" s="2" t="s">
        <v>168</v>
      </c>
      <c r="C20" s="145"/>
      <c r="E20" s="146"/>
      <c r="F20" s="16"/>
      <c r="G20" s="146"/>
      <c r="I20" s="147"/>
      <c r="K20" s="147"/>
    </row>
    <row r="21" spans="2:11" x14ac:dyDescent="0.2">
      <c r="C21" s="145"/>
      <c r="E21" s="146"/>
      <c r="F21" s="16"/>
      <c r="G21" s="146"/>
      <c r="I21" s="147"/>
      <c r="K21" s="147"/>
    </row>
    <row r="22" spans="2:11" x14ac:dyDescent="0.2">
      <c r="C22" s="145"/>
      <c r="E22" s="146"/>
      <c r="F22" s="16"/>
      <c r="G22" s="146"/>
      <c r="I22" s="147"/>
      <c r="K22" s="147"/>
    </row>
    <row r="23" spans="2:11" x14ac:dyDescent="0.2">
      <c r="C23" s="145"/>
      <c r="E23" s="146"/>
      <c r="F23" s="16"/>
      <c r="G23" s="146"/>
      <c r="I23" s="147"/>
      <c r="K23" s="147"/>
    </row>
    <row r="24" spans="2:11" x14ac:dyDescent="0.2">
      <c r="C24" s="145"/>
      <c r="E24" s="146"/>
      <c r="F24" s="16"/>
      <c r="G24" s="146"/>
      <c r="I24" s="147"/>
      <c r="K24" s="147"/>
    </row>
    <row r="25" spans="2:11" x14ac:dyDescent="0.2">
      <c r="C25" s="145"/>
      <c r="E25" s="146"/>
      <c r="F25" s="16"/>
      <c r="G25" s="146"/>
      <c r="I25" s="147"/>
      <c r="K25" s="147"/>
    </row>
    <row r="26" spans="2:11" x14ac:dyDescent="0.2">
      <c r="C26" s="148"/>
      <c r="D26" s="141"/>
      <c r="E26" s="142"/>
      <c r="F26" s="153"/>
      <c r="G26" s="142"/>
      <c r="H26" s="141"/>
      <c r="I26" s="149"/>
      <c r="J26" s="141"/>
      <c r="K26" s="149"/>
    </row>
    <row r="27" spans="2:11" x14ac:dyDescent="0.2">
      <c r="B27" s="2" t="s">
        <v>177</v>
      </c>
      <c r="C27" s="145"/>
      <c r="E27" s="146"/>
      <c r="F27" s="16"/>
      <c r="G27" s="146"/>
      <c r="I27" s="147"/>
      <c r="K27" s="147"/>
    </row>
    <row r="28" spans="2:11" x14ac:dyDescent="0.2">
      <c r="C28" s="145"/>
      <c r="E28" s="146"/>
      <c r="F28" s="16"/>
      <c r="G28" s="146"/>
      <c r="I28" s="147"/>
      <c r="K28" s="147"/>
    </row>
    <row r="29" spans="2:11" x14ac:dyDescent="0.2">
      <c r="C29" s="145"/>
      <c r="E29" s="146"/>
      <c r="F29" s="16"/>
      <c r="G29" s="146"/>
      <c r="I29" s="147"/>
      <c r="K29" s="147"/>
    </row>
    <row r="30" spans="2:11" x14ac:dyDescent="0.2">
      <c r="C30" s="145"/>
      <c r="E30" s="146"/>
      <c r="F30" s="16"/>
      <c r="G30" s="146"/>
      <c r="I30" s="147"/>
      <c r="K30" s="147"/>
    </row>
    <row r="31" spans="2:11" x14ac:dyDescent="0.2">
      <c r="C31" s="145"/>
      <c r="E31" s="146"/>
      <c r="F31" s="16"/>
      <c r="G31" s="146"/>
      <c r="I31" s="147"/>
      <c r="K31" s="147"/>
    </row>
    <row r="32" spans="2:11" x14ac:dyDescent="0.2">
      <c r="C32" s="145"/>
      <c r="E32" s="146"/>
      <c r="F32" s="16"/>
      <c r="G32" s="146"/>
      <c r="I32" s="147"/>
      <c r="K32" s="147"/>
    </row>
    <row r="33" spans="2:11" x14ac:dyDescent="0.2">
      <c r="C33" s="148"/>
      <c r="D33" s="141"/>
      <c r="E33" s="142"/>
      <c r="F33" s="153"/>
      <c r="G33" s="142"/>
      <c r="H33" s="141"/>
      <c r="I33" s="149"/>
      <c r="J33" s="141"/>
      <c r="K33" s="149"/>
    </row>
    <row r="34" spans="2:11" x14ac:dyDescent="0.2">
      <c r="B34" s="2" t="s">
        <v>171</v>
      </c>
      <c r="C34" s="145"/>
      <c r="E34" s="146"/>
      <c r="F34" s="16"/>
      <c r="G34" s="146"/>
      <c r="I34" s="147"/>
      <c r="K34" s="147"/>
    </row>
    <row r="35" spans="2:11" x14ac:dyDescent="0.2">
      <c r="C35" s="145"/>
      <c r="E35" s="146"/>
      <c r="F35" s="16"/>
      <c r="G35" s="146"/>
      <c r="I35" s="147"/>
      <c r="K35" s="147"/>
    </row>
    <row r="36" spans="2:11" x14ac:dyDescent="0.2">
      <c r="C36" s="145"/>
      <c r="E36" s="146"/>
      <c r="F36" s="16"/>
      <c r="G36" s="146"/>
      <c r="I36" s="147"/>
      <c r="K36" s="147"/>
    </row>
    <row r="37" spans="2:11" x14ac:dyDescent="0.2">
      <c r="C37" s="145"/>
      <c r="E37" s="146"/>
      <c r="F37" s="16"/>
      <c r="G37" s="146"/>
      <c r="I37" s="147"/>
      <c r="K37" s="147"/>
    </row>
    <row r="38" spans="2:11" x14ac:dyDescent="0.2">
      <c r="C38" s="145"/>
      <c r="E38" s="146"/>
      <c r="F38" s="16"/>
      <c r="G38" s="146"/>
      <c r="I38" s="147"/>
      <c r="K38" s="147"/>
    </row>
    <row r="39" spans="2:11" x14ac:dyDescent="0.2">
      <c r="C39" s="145"/>
      <c r="E39" s="146"/>
      <c r="F39" s="16"/>
      <c r="G39" s="146"/>
      <c r="I39" s="147"/>
      <c r="K39" s="147"/>
    </row>
    <row r="40" spans="2:11" x14ac:dyDescent="0.2">
      <c r="C40" s="148"/>
      <c r="D40" s="141"/>
      <c r="E40" s="142"/>
      <c r="F40" s="153"/>
      <c r="G40" s="142"/>
      <c r="H40" s="141"/>
      <c r="I40" s="149"/>
      <c r="J40" s="141"/>
      <c r="K40" s="149"/>
    </row>
    <row r="41" spans="2:11" x14ac:dyDescent="0.2">
      <c r="B41" s="2" t="s">
        <v>160</v>
      </c>
      <c r="C41" s="145"/>
      <c r="E41" s="146"/>
      <c r="F41" s="16"/>
      <c r="G41" s="146"/>
      <c r="I41" s="147"/>
      <c r="K41" s="147"/>
    </row>
    <row r="42" spans="2:11" x14ac:dyDescent="0.2">
      <c r="C42" s="145"/>
      <c r="E42" s="146"/>
      <c r="F42" s="16"/>
      <c r="G42" s="146"/>
      <c r="I42" s="147"/>
      <c r="K42" s="147"/>
    </row>
    <row r="43" spans="2:11" x14ac:dyDescent="0.2">
      <c r="C43" s="145"/>
      <c r="E43" s="146"/>
      <c r="F43" s="16"/>
      <c r="G43" s="146"/>
      <c r="I43" s="147"/>
      <c r="K43" s="147"/>
    </row>
    <row r="44" spans="2:11" x14ac:dyDescent="0.2">
      <c r="C44" s="145"/>
      <c r="E44" s="146"/>
      <c r="F44" s="16"/>
      <c r="G44" s="146"/>
      <c r="I44" s="147"/>
      <c r="K44" s="147"/>
    </row>
    <row r="45" spans="2:11" x14ac:dyDescent="0.2">
      <c r="C45" s="145"/>
      <c r="E45" s="146"/>
      <c r="F45" s="16"/>
      <c r="G45" s="146"/>
      <c r="I45" s="147"/>
      <c r="K45" s="147"/>
    </row>
    <row r="46" spans="2:11" x14ac:dyDescent="0.2">
      <c r="C46" s="145"/>
      <c r="E46" s="146"/>
      <c r="F46" s="16"/>
      <c r="G46" s="146"/>
      <c r="I46" s="147"/>
      <c r="K46" s="147"/>
    </row>
    <row r="47" spans="2:11" x14ac:dyDescent="0.2">
      <c r="C47" s="148"/>
      <c r="D47" s="141"/>
      <c r="E47" s="142"/>
      <c r="F47" s="153"/>
      <c r="G47" s="142"/>
      <c r="H47" s="141"/>
      <c r="I47" s="149"/>
      <c r="J47" s="141"/>
      <c r="K47" s="149"/>
    </row>
    <row r="48" spans="2:11" x14ac:dyDescent="0.2">
      <c r="B48" s="2" t="s">
        <v>7</v>
      </c>
      <c r="C48" s="145"/>
      <c r="E48" s="146"/>
      <c r="F48" s="16"/>
      <c r="G48" s="146"/>
      <c r="I48" s="147"/>
      <c r="K48" s="147"/>
    </row>
    <row r="49" spans="3:11" x14ac:dyDescent="0.2">
      <c r="C49" s="145"/>
      <c r="E49" s="146"/>
      <c r="F49" s="16"/>
      <c r="G49" s="146"/>
      <c r="I49" s="147"/>
      <c r="K49" s="147"/>
    </row>
    <row r="50" spans="3:11" x14ac:dyDescent="0.2">
      <c r="C50" s="145"/>
      <c r="E50" s="146"/>
      <c r="F50" s="16"/>
      <c r="G50" s="146"/>
      <c r="I50" s="147"/>
      <c r="K50" s="147"/>
    </row>
    <row r="51" spans="3:11" x14ac:dyDescent="0.2">
      <c r="C51" s="145"/>
      <c r="E51" s="146"/>
      <c r="F51" s="16"/>
      <c r="G51" s="146"/>
      <c r="I51" s="147"/>
      <c r="K51" s="147"/>
    </row>
    <row r="52" spans="3:11" x14ac:dyDescent="0.2">
      <c r="C52" s="145"/>
      <c r="E52" s="146"/>
      <c r="F52" s="16"/>
      <c r="G52" s="146"/>
      <c r="I52" s="147"/>
      <c r="K52" s="147"/>
    </row>
    <row r="53" spans="3:11" x14ac:dyDescent="0.2">
      <c r="C53" s="145"/>
      <c r="E53" s="146"/>
      <c r="F53" s="16"/>
      <c r="G53" s="146"/>
      <c r="I53" s="147"/>
      <c r="K53" s="147"/>
    </row>
    <row r="54" spans="3:11" x14ac:dyDescent="0.2">
      <c r="C54" s="148"/>
      <c r="D54" s="141"/>
      <c r="E54" s="142"/>
      <c r="F54" s="153"/>
      <c r="G54" s="142"/>
      <c r="H54" s="141"/>
      <c r="I54" s="149"/>
      <c r="J54" s="141"/>
      <c r="K54" s="14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AL2003"/>
  <sheetViews>
    <sheetView workbookViewId="0">
      <selection activeCell="T4" sqref="T4"/>
    </sheetView>
  </sheetViews>
  <sheetFormatPr defaultRowHeight="12.75" x14ac:dyDescent="0.2"/>
  <cols>
    <col min="1" max="1" width="14.42578125" style="2" bestFit="1" customWidth="1"/>
    <col min="2" max="2" width="14.5703125" style="2" customWidth="1"/>
    <col min="3" max="3" width="10.5703125" style="2" customWidth="1"/>
    <col min="4" max="4" width="9" style="2" customWidth="1"/>
    <col min="5" max="5" width="15.28515625" style="2" customWidth="1"/>
    <col min="6" max="6" width="22.85546875" style="2" customWidth="1"/>
    <col min="7" max="7" width="13.85546875" style="2" bestFit="1" customWidth="1"/>
    <col min="8" max="8" width="16" style="2" customWidth="1"/>
    <col min="9" max="9" width="9.140625" style="2"/>
    <col min="10" max="10" width="46" style="2" customWidth="1"/>
    <col min="11" max="11" width="10.7109375" style="2" customWidth="1"/>
    <col min="12" max="12" width="11.28515625" style="2" bestFit="1" customWidth="1"/>
    <col min="13" max="13" width="13.85546875" style="2" bestFit="1" customWidth="1"/>
    <col min="14" max="14" width="25.140625" style="2" bestFit="1" customWidth="1"/>
    <col min="15" max="15" width="13.7109375" style="2" bestFit="1" customWidth="1"/>
    <col min="16" max="16" width="9" style="2" bestFit="1" customWidth="1"/>
    <col min="17" max="29" width="9.140625" style="2"/>
    <col min="30" max="30" width="15.5703125" style="2" customWidth="1"/>
    <col min="31" max="16384" width="9.140625" style="2"/>
  </cols>
  <sheetData>
    <row r="1" spans="1:38" x14ac:dyDescent="0.2">
      <c r="A1" s="1" t="s">
        <v>297</v>
      </c>
      <c r="J1" s="1" t="s">
        <v>297</v>
      </c>
      <c r="K1" s="1"/>
      <c r="R1" s="1" t="s">
        <v>297</v>
      </c>
      <c r="AF1" s="1" t="s">
        <v>297</v>
      </c>
    </row>
    <row r="2" spans="1:38" x14ac:dyDescent="0.2">
      <c r="A2" s="5" t="s">
        <v>96</v>
      </c>
      <c r="B2" s="5" t="s">
        <v>55</v>
      </c>
      <c r="C2" s="5" t="s">
        <v>56</v>
      </c>
      <c r="D2" s="5" t="s">
        <v>57</v>
      </c>
      <c r="E2" s="5" t="s">
        <v>58</v>
      </c>
      <c r="F2" s="20" t="s">
        <v>76</v>
      </c>
      <c r="G2" s="20" t="s">
        <v>0</v>
      </c>
      <c r="H2" s="20" t="s">
        <v>1</v>
      </c>
      <c r="J2" s="2" t="s">
        <v>243</v>
      </c>
      <c r="K2" s="2" t="s">
        <v>301</v>
      </c>
      <c r="L2" s="2" t="s">
        <v>244</v>
      </c>
      <c r="M2" s="2" t="s">
        <v>245</v>
      </c>
      <c r="N2" s="2" t="s">
        <v>246</v>
      </c>
      <c r="O2" s="2" t="s">
        <v>247</v>
      </c>
      <c r="P2" s="2" t="s">
        <v>58</v>
      </c>
      <c r="R2" s="2" t="s">
        <v>271</v>
      </c>
      <c r="S2" s="2" t="s">
        <v>272</v>
      </c>
      <c r="T2" s="2" t="s">
        <v>273</v>
      </c>
      <c r="U2" s="2" t="s">
        <v>249</v>
      </c>
      <c r="V2" s="2" t="s">
        <v>241</v>
      </c>
      <c r="W2" s="2" t="s">
        <v>238</v>
      </c>
      <c r="X2" s="2" t="s">
        <v>239</v>
      </c>
      <c r="Y2" s="2" t="s">
        <v>242</v>
      </c>
      <c r="Z2" s="2" t="s">
        <v>237</v>
      </c>
      <c r="AA2" s="2" t="s">
        <v>240</v>
      </c>
      <c r="AB2" s="155" t="s">
        <v>283</v>
      </c>
      <c r="AC2" s="156" t="s">
        <v>284</v>
      </c>
      <c r="AD2" s="2" t="s">
        <v>288</v>
      </c>
      <c r="AF2" s="2" t="s">
        <v>312</v>
      </c>
      <c r="AG2" s="2" t="s">
        <v>313</v>
      </c>
      <c r="AH2" s="2" t="s">
        <v>314</v>
      </c>
      <c r="AI2" s="2" t="s">
        <v>58</v>
      </c>
      <c r="AJ2" s="2" t="s">
        <v>315</v>
      </c>
      <c r="AK2" s="2" t="s">
        <v>316</v>
      </c>
      <c r="AL2" s="2" t="s">
        <v>317</v>
      </c>
    </row>
    <row r="3" spans="1:38" x14ac:dyDescent="0.2">
      <c r="A3" s="2" t="s">
        <v>97</v>
      </c>
      <c r="B3" s="2" t="s">
        <v>59</v>
      </c>
      <c r="C3" s="2">
        <v>1</v>
      </c>
      <c r="D3" s="2">
        <v>1</v>
      </c>
      <c r="E3" s="2">
        <v>0</v>
      </c>
      <c r="F3" s="19" t="str">
        <f t="shared" ref="F3:F66" si="0">IF(A3="joint","Joint",_xlfn.IFNA(VLOOKUP(B3,tour_purposes,2,FALSE),"None"))</f>
        <v>Individual At-Work</v>
      </c>
      <c r="G3" s="19" t="str">
        <f t="shared" ref="G3:G66" si="1">IF(AND(A3="joint",C3&lt;=6),"Auto",_xlfn.IFNA(VLOOKUP(C3,tour_modes,3,FALSE),"None"))</f>
        <v>Drive Alone</v>
      </c>
      <c r="H3" s="19" t="str">
        <f t="shared" ref="H3:H66" si="2">_xlfn.IFNA(VLOOKUP(D3,trip_modes,2,FALSE),"None")</f>
        <v>Drive Alone</v>
      </c>
      <c r="J3" s="2" t="s">
        <v>302</v>
      </c>
      <c r="K3" s="2" t="s">
        <v>7</v>
      </c>
      <c r="L3" s="2" t="s">
        <v>7</v>
      </c>
      <c r="M3" s="2" t="s">
        <v>186</v>
      </c>
      <c r="N3" s="2" t="s">
        <v>182</v>
      </c>
      <c r="O3" s="2" t="s">
        <v>7</v>
      </c>
      <c r="P3" s="2">
        <v>10</v>
      </c>
      <c r="R3" s="2" t="s">
        <v>274</v>
      </c>
      <c r="S3" s="2" t="s">
        <v>274</v>
      </c>
      <c r="T3" s="2" t="s">
        <v>241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155" t="str">
        <f>CONCATENATE(IF(OR(R3="drv",S3="drv"),"drv","wlk"),"-",U3)</f>
        <v>wlk-1</v>
      </c>
      <c r="AC3" s="156" t="str">
        <f>CONCATENATE(T3,"-",U3)</f>
        <v>Local-1</v>
      </c>
      <c r="AD3" s="2" t="str">
        <f>CONCATENATE(R3,"-",S3,"-",T3,"-",U3)</f>
        <v>wlk-wlk-Local-1</v>
      </c>
      <c r="AF3" s="2" t="s">
        <v>318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</row>
    <row r="4" spans="1:38" x14ac:dyDescent="0.2">
      <c r="A4" s="2" t="s">
        <v>97</v>
      </c>
      <c r="B4" s="2" t="s">
        <v>59</v>
      </c>
      <c r="C4" s="2">
        <v>1</v>
      </c>
      <c r="D4" s="2">
        <v>7</v>
      </c>
      <c r="E4" s="2">
        <v>0</v>
      </c>
      <c r="F4" s="19" t="str">
        <f t="shared" si="0"/>
        <v>Individual At-Work</v>
      </c>
      <c r="G4" s="19" t="str">
        <f t="shared" si="1"/>
        <v>Drive Alone</v>
      </c>
      <c r="H4" s="19" t="str">
        <f t="shared" si="2"/>
        <v>Walk</v>
      </c>
      <c r="J4" s="2" t="s">
        <v>303</v>
      </c>
      <c r="K4" s="2" t="s">
        <v>7</v>
      </c>
      <c r="L4" s="2" t="s">
        <v>7</v>
      </c>
      <c r="M4" s="2" t="s">
        <v>186</v>
      </c>
      <c r="N4" s="2" t="s">
        <v>183</v>
      </c>
      <c r="O4" s="2" t="s">
        <v>7</v>
      </c>
      <c r="P4" s="2">
        <v>5</v>
      </c>
      <c r="R4" s="2" t="s">
        <v>274</v>
      </c>
      <c r="S4" s="2" t="s">
        <v>274</v>
      </c>
      <c r="T4" s="2" t="s">
        <v>241</v>
      </c>
      <c r="U4" s="2">
        <v>2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155" t="str">
        <f t="shared" ref="AB4:AB67" si="3">CONCATENATE(IF(OR(R4="drv",S4="drv"),"drv","wlk"),"-",U4)</f>
        <v>wlk-2</v>
      </c>
      <c r="AC4" s="156" t="str">
        <f t="shared" ref="AC4:AC67" si="4">CONCATENATE(T4,"-",U4)</f>
        <v>Local-2</v>
      </c>
      <c r="AD4" s="2" t="str">
        <f t="shared" ref="AD4:AD67" si="5">CONCATENATE(R4,"-",S4,"-",T4,"-",U4)</f>
        <v>wlk-wlk-Local-2</v>
      </c>
      <c r="AF4" s="2" t="s">
        <v>319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</row>
    <row r="5" spans="1:38" x14ac:dyDescent="0.2">
      <c r="A5" s="2" t="s">
        <v>97</v>
      </c>
      <c r="B5" s="2" t="s">
        <v>59</v>
      </c>
      <c r="C5" s="2">
        <v>1</v>
      </c>
      <c r="D5" s="2">
        <v>19</v>
      </c>
      <c r="E5" s="2">
        <v>0</v>
      </c>
      <c r="F5" s="19" t="str">
        <f t="shared" si="0"/>
        <v>Individual At-Work</v>
      </c>
      <c r="G5" s="19" t="str">
        <f t="shared" si="1"/>
        <v>Drive Alone</v>
      </c>
      <c r="H5" s="19" t="str">
        <f t="shared" si="2"/>
        <v>Taxi</v>
      </c>
      <c r="R5" s="2" t="s">
        <v>274</v>
      </c>
      <c r="S5" s="2" t="s">
        <v>274</v>
      </c>
      <c r="T5" s="2" t="s">
        <v>241</v>
      </c>
      <c r="U5" s="2">
        <v>3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155" t="str">
        <f t="shared" si="3"/>
        <v>wlk-3</v>
      </c>
      <c r="AC5" s="156" t="str">
        <f t="shared" si="4"/>
        <v>Local-3</v>
      </c>
      <c r="AD5" s="2" t="str">
        <f t="shared" si="5"/>
        <v>wlk-wlk-Local-3</v>
      </c>
      <c r="AF5" s="2" t="s">
        <v>320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</row>
    <row r="6" spans="1:38" x14ac:dyDescent="0.2">
      <c r="A6" s="2" t="s">
        <v>97</v>
      </c>
      <c r="B6" s="2" t="s">
        <v>59</v>
      </c>
      <c r="C6" s="2">
        <v>3</v>
      </c>
      <c r="D6" s="2">
        <v>1</v>
      </c>
      <c r="E6" s="2">
        <v>0</v>
      </c>
      <c r="F6" s="19" t="str">
        <f t="shared" si="0"/>
        <v>Individual At-Work</v>
      </c>
      <c r="G6" s="19" t="str">
        <f t="shared" si="1"/>
        <v>SR2</v>
      </c>
      <c r="H6" s="19" t="str">
        <f t="shared" si="2"/>
        <v>Drive Alone</v>
      </c>
      <c r="R6" s="2" t="s">
        <v>274</v>
      </c>
      <c r="S6" s="2" t="s">
        <v>274</v>
      </c>
      <c r="T6" s="2" t="s">
        <v>241</v>
      </c>
      <c r="U6" s="2">
        <v>4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155" t="str">
        <f t="shared" si="3"/>
        <v>wlk-4</v>
      </c>
      <c r="AC6" s="156" t="str">
        <f t="shared" si="4"/>
        <v>Local-4</v>
      </c>
      <c r="AD6" s="2" t="str">
        <f t="shared" si="5"/>
        <v>wlk-wlk-Local-4</v>
      </c>
      <c r="AF6" s="2" t="s">
        <v>6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</row>
    <row r="7" spans="1:38" x14ac:dyDescent="0.2">
      <c r="A7" s="2" t="s">
        <v>97</v>
      </c>
      <c r="B7" s="2" t="s">
        <v>59</v>
      </c>
      <c r="C7" s="2">
        <v>3</v>
      </c>
      <c r="D7" s="2">
        <v>3</v>
      </c>
      <c r="E7" s="2">
        <v>0</v>
      </c>
      <c r="F7" s="19" t="str">
        <f t="shared" si="0"/>
        <v>Individual At-Work</v>
      </c>
      <c r="G7" s="19" t="str">
        <f t="shared" si="1"/>
        <v>SR2</v>
      </c>
      <c r="H7" s="19" t="str">
        <f t="shared" si="2"/>
        <v>SR2</v>
      </c>
      <c r="R7" s="2" t="s">
        <v>274</v>
      </c>
      <c r="S7" s="2" t="s">
        <v>274</v>
      </c>
      <c r="T7" s="2" t="s">
        <v>241</v>
      </c>
      <c r="U7" s="2">
        <v>5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155" t="str">
        <f t="shared" si="3"/>
        <v>wlk-5</v>
      </c>
      <c r="AC7" s="156" t="str">
        <f t="shared" si="4"/>
        <v>Local-5</v>
      </c>
      <c r="AD7" s="2" t="str">
        <f t="shared" si="5"/>
        <v>wlk-wlk-Local-5</v>
      </c>
      <c r="AF7" s="2" t="s">
        <v>321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</row>
    <row r="8" spans="1:38" x14ac:dyDescent="0.2">
      <c r="A8" s="2" t="s">
        <v>97</v>
      </c>
      <c r="B8" s="2" t="s">
        <v>59</v>
      </c>
      <c r="C8" s="2">
        <v>5</v>
      </c>
      <c r="D8" s="2">
        <v>1</v>
      </c>
      <c r="E8" s="2">
        <v>0</v>
      </c>
      <c r="F8" s="19" t="str">
        <f t="shared" si="0"/>
        <v>Individual At-Work</v>
      </c>
      <c r="G8" s="19" t="str">
        <f t="shared" si="1"/>
        <v>SR3+</v>
      </c>
      <c r="H8" s="19" t="str">
        <f t="shared" si="2"/>
        <v>Drive Alone</v>
      </c>
      <c r="R8" s="8" t="s">
        <v>274</v>
      </c>
      <c r="S8" s="8" t="s">
        <v>274</v>
      </c>
      <c r="T8" s="8" t="s">
        <v>241</v>
      </c>
      <c r="U8" s="8">
        <v>6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155" t="str">
        <f t="shared" si="3"/>
        <v>wlk-6</v>
      </c>
      <c r="AC8" s="156" t="str">
        <f t="shared" si="4"/>
        <v>Local-6</v>
      </c>
      <c r="AD8" s="2" t="str">
        <f t="shared" si="5"/>
        <v>wlk-wlk-Local-6</v>
      </c>
      <c r="AF8" s="2" t="s">
        <v>322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</row>
    <row r="9" spans="1:38" ht="15" x14ac:dyDescent="0.25">
      <c r="A9" s="2" t="s">
        <v>97</v>
      </c>
      <c r="B9" s="2" t="s">
        <v>59</v>
      </c>
      <c r="C9" s="2">
        <v>5</v>
      </c>
      <c r="D9" s="2">
        <v>3</v>
      </c>
      <c r="E9" s="2">
        <v>0</v>
      </c>
      <c r="F9" s="19" t="str">
        <f t="shared" si="0"/>
        <v>Individual At-Work</v>
      </c>
      <c r="G9" s="19" t="str">
        <f t="shared" si="1"/>
        <v>SR3+</v>
      </c>
      <c r="H9" s="19" t="str">
        <f t="shared" si="2"/>
        <v>SR2</v>
      </c>
      <c r="R9" s="2" t="s">
        <v>275</v>
      </c>
      <c r="S9" s="2" t="s">
        <v>274</v>
      </c>
      <c r="T9" s="2" t="s">
        <v>241</v>
      </c>
      <c r="U9" s="2">
        <v>1</v>
      </c>
      <c r="V9" s="14">
        <v>1</v>
      </c>
      <c r="W9" s="14">
        <v>1</v>
      </c>
      <c r="X9" s="14">
        <v>1</v>
      </c>
      <c r="Y9" s="14">
        <v>1</v>
      </c>
      <c r="Z9" s="14">
        <v>1</v>
      </c>
      <c r="AA9" s="14">
        <v>1</v>
      </c>
      <c r="AB9" s="155" t="str">
        <f t="shared" si="3"/>
        <v>drv-1</v>
      </c>
      <c r="AC9" s="156" t="str">
        <f t="shared" si="4"/>
        <v>Local-1</v>
      </c>
      <c r="AD9" s="2" t="str">
        <f t="shared" si="5"/>
        <v>drv-wlk-Local-1</v>
      </c>
      <c r="AF9"/>
      <c r="AG9"/>
      <c r="AH9"/>
      <c r="AI9"/>
      <c r="AJ9"/>
      <c r="AK9"/>
      <c r="AL9"/>
    </row>
    <row r="10" spans="1:38" ht="15" x14ac:dyDescent="0.25">
      <c r="A10" s="2" t="s">
        <v>97</v>
      </c>
      <c r="B10" s="2" t="s">
        <v>59</v>
      </c>
      <c r="C10" s="2">
        <v>5</v>
      </c>
      <c r="D10" s="2">
        <v>5</v>
      </c>
      <c r="E10" s="2">
        <v>0</v>
      </c>
      <c r="F10" s="19" t="str">
        <f t="shared" si="0"/>
        <v>Individual At-Work</v>
      </c>
      <c r="G10" s="19" t="str">
        <f t="shared" si="1"/>
        <v>SR3+</v>
      </c>
      <c r="H10" s="19" t="str">
        <f t="shared" si="2"/>
        <v>SR3+</v>
      </c>
      <c r="R10" s="2" t="s">
        <v>275</v>
      </c>
      <c r="S10" s="2" t="s">
        <v>274</v>
      </c>
      <c r="T10" s="2" t="s">
        <v>241</v>
      </c>
      <c r="U10" s="2">
        <v>2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155" t="str">
        <f t="shared" si="3"/>
        <v>drv-2</v>
      </c>
      <c r="AC10" s="156" t="str">
        <f t="shared" si="4"/>
        <v>Local-2</v>
      </c>
      <c r="AD10" s="2" t="str">
        <f t="shared" si="5"/>
        <v>drv-wlk-Local-2</v>
      </c>
      <c r="AF10"/>
      <c r="AG10"/>
      <c r="AH10"/>
      <c r="AI10"/>
      <c r="AJ10"/>
      <c r="AK10"/>
      <c r="AL10"/>
    </row>
    <row r="11" spans="1:38" ht="15" x14ac:dyDescent="0.25">
      <c r="A11" s="2" t="s">
        <v>97</v>
      </c>
      <c r="B11" s="2" t="s">
        <v>59</v>
      </c>
      <c r="C11" s="2">
        <v>5</v>
      </c>
      <c r="D11" s="2">
        <v>7</v>
      </c>
      <c r="E11" s="2">
        <v>0</v>
      </c>
      <c r="F11" s="19" t="str">
        <f t="shared" si="0"/>
        <v>Individual At-Work</v>
      </c>
      <c r="G11" s="19" t="str">
        <f t="shared" si="1"/>
        <v>SR3+</v>
      </c>
      <c r="H11" s="19" t="str">
        <f t="shared" si="2"/>
        <v>Walk</v>
      </c>
      <c r="R11" s="2" t="s">
        <v>275</v>
      </c>
      <c r="S11" s="2" t="s">
        <v>274</v>
      </c>
      <c r="T11" s="2" t="s">
        <v>241</v>
      </c>
      <c r="U11" s="2">
        <v>3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155" t="str">
        <f t="shared" si="3"/>
        <v>drv-3</v>
      </c>
      <c r="AC11" s="156" t="str">
        <f t="shared" si="4"/>
        <v>Local-3</v>
      </c>
      <c r="AD11" s="2" t="str">
        <f t="shared" si="5"/>
        <v>drv-wlk-Local-3</v>
      </c>
      <c r="AF11"/>
      <c r="AG11"/>
      <c r="AH11"/>
      <c r="AI11"/>
      <c r="AJ11"/>
      <c r="AK11"/>
      <c r="AL11"/>
    </row>
    <row r="12" spans="1:38" ht="15" x14ac:dyDescent="0.25">
      <c r="A12" s="2" t="s">
        <v>97</v>
      </c>
      <c r="B12" s="2" t="s">
        <v>59</v>
      </c>
      <c r="C12" s="2">
        <v>7</v>
      </c>
      <c r="D12" s="2">
        <v>7</v>
      </c>
      <c r="E12" s="2">
        <v>0</v>
      </c>
      <c r="F12" s="19" t="str">
        <f t="shared" si="0"/>
        <v>Individual At-Work</v>
      </c>
      <c r="G12" s="19" t="str">
        <f t="shared" si="1"/>
        <v>Walk</v>
      </c>
      <c r="H12" s="19" t="str">
        <f t="shared" si="2"/>
        <v>Walk</v>
      </c>
      <c r="R12" s="2" t="s">
        <v>275</v>
      </c>
      <c r="S12" s="2" t="s">
        <v>274</v>
      </c>
      <c r="T12" s="2" t="s">
        <v>241</v>
      </c>
      <c r="U12" s="2">
        <v>4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155" t="str">
        <f t="shared" si="3"/>
        <v>drv-4</v>
      </c>
      <c r="AC12" s="156" t="str">
        <f t="shared" si="4"/>
        <v>Local-4</v>
      </c>
      <c r="AD12" s="2" t="str">
        <f t="shared" si="5"/>
        <v>drv-wlk-Local-4</v>
      </c>
      <c r="AF12"/>
      <c r="AG12"/>
      <c r="AH12"/>
      <c r="AI12"/>
      <c r="AJ12"/>
      <c r="AK12"/>
      <c r="AL12"/>
    </row>
    <row r="13" spans="1:38" ht="15" x14ac:dyDescent="0.25">
      <c r="A13" s="2" t="s">
        <v>97</v>
      </c>
      <c r="B13" s="2" t="s">
        <v>59</v>
      </c>
      <c r="C13" s="2">
        <v>7</v>
      </c>
      <c r="D13" s="2">
        <v>19</v>
      </c>
      <c r="E13" s="2">
        <v>0</v>
      </c>
      <c r="F13" s="19" t="str">
        <f t="shared" si="0"/>
        <v>Individual At-Work</v>
      </c>
      <c r="G13" s="19" t="str">
        <f t="shared" si="1"/>
        <v>Walk</v>
      </c>
      <c r="H13" s="19" t="str">
        <f t="shared" si="2"/>
        <v>Taxi</v>
      </c>
      <c r="R13" s="2" t="s">
        <v>275</v>
      </c>
      <c r="S13" s="2" t="s">
        <v>274</v>
      </c>
      <c r="T13" s="2" t="s">
        <v>241</v>
      </c>
      <c r="U13" s="2">
        <v>5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155" t="str">
        <f t="shared" si="3"/>
        <v>drv-5</v>
      </c>
      <c r="AC13" s="156" t="str">
        <f t="shared" si="4"/>
        <v>Local-5</v>
      </c>
      <c r="AD13" s="2" t="str">
        <f t="shared" si="5"/>
        <v>drv-wlk-Local-5</v>
      </c>
      <c r="AF13"/>
      <c r="AG13"/>
      <c r="AH13"/>
      <c r="AI13"/>
      <c r="AJ13"/>
      <c r="AK13"/>
      <c r="AL13"/>
    </row>
    <row r="14" spans="1:38" ht="15" x14ac:dyDescent="0.25">
      <c r="A14" s="2" t="s">
        <v>97</v>
      </c>
      <c r="B14" s="2" t="s">
        <v>59</v>
      </c>
      <c r="C14" s="2">
        <v>8</v>
      </c>
      <c r="D14" s="2">
        <v>7</v>
      </c>
      <c r="E14" s="2">
        <v>0</v>
      </c>
      <c r="F14" s="19" t="str">
        <f t="shared" si="0"/>
        <v>Individual At-Work</v>
      </c>
      <c r="G14" s="19" t="str">
        <f t="shared" si="1"/>
        <v>Bike</v>
      </c>
      <c r="H14" s="19" t="str">
        <f t="shared" si="2"/>
        <v>Walk</v>
      </c>
      <c r="R14" s="8" t="s">
        <v>275</v>
      </c>
      <c r="S14" s="8" t="s">
        <v>274</v>
      </c>
      <c r="T14" s="8" t="s">
        <v>241</v>
      </c>
      <c r="U14" s="8">
        <v>6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155" t="str">
        <f t="shared" si="3"/>
        <v>drv-6</v>
      </c>
      <c r="AC14" s="156" t="str">
        <f t="shared" si="4"/>
        <v>Local-6</v>
      </c>
      <c r="AD14" s="2" t="str">
        <f t="shared" si="5"/>
        <v>drv-wlk-Local-6</v>
      </c>
      <c r="AF14"/>
      <c r="AG14"/>
      <c r="AH14"/>
      <c r="AI14"/>
      <c r="AJ14"/>
      <c r="AK14"/>
      <c r="AL14"/>
    </row>
    <row r="15" spans="1:38" ht="15" x14ac:dyDescent="0.25">
      <c r="A15" s="2" t="s">
        <v>97</v>
      </c>
      <c r="B15" s="2" t="s">
        <v>59</v>
      </c>
      <c r="C15" s="2">
        <v>8</v>
      </c>
      <c r="D15" s="2">
        <v>8</v>
      </c>
      <c r="E15" s="2">
        <v>0</v>
      </c>
      <c r="F15" s="19" t="str">
        <f t="shared" si="0"/>
        <v>Individual At-Work</v>
      </c>
      <c r="G15" s="19" t="str">
        <f t="shared" si="1"/>
        <v>Bike</v>
      </c>
      <c r="H15" s="19" t="str">
        <f t="shared" si="2"/>
        <v>Bike</v>
      </c>
      <c r="R15" s="2" t="s">
        <v>274</v>
      </c>
      <c r="S15" s="2" t="s">
        <v>275</v>
      </c>
      <c r="T15" s="2" t="s">
        <v>241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155" t="str">
        <f t="shared" si="3"/>
        <v>drv-1</v>
      </c>
      <c r="AC15" s="156" t="str">
        <f t="shared" si="4"/>
        <v>Local-1</v>
      </c>
      <c r="AD15" s="2" t="str">
        <f t="shared" si="5"/>
        <v>wlk-drv-Local-1</v>
      </c>
      <c r="AF15"/>
      <c r="AG15"/>
      <c r="AH15"/>
      <c r="AI15"/>
      <c r="AJ15"/>
      <c r="AK15"/>
      <c r="AL15"/>
    </row>
    <row r="16" spans="1:38" ht="15" x14ac:dyDescent="0.25">
      <c r="A16" s="2" t="s">
        <v>97</v>
      </c>
      <c r="B16" s="2" t="s">
        <v>59</v>
      </c>
      <c r="C16" s="2">
        <v>9</v>
      </c>
      <c r="D16" s="2">
        <v>5</v>
      </c>
      <c r="E16" s="2">
        <v>0</v>
      </c>
      <c r="F16" s="19" t="str">
        <f t="shared" si="0"/>
        <v>Individual At-Work</v>
      </c>
      <c r="G16" s="19" t="str">
        <f t="shared" si="1"/>
        <v>Walk-Transit</v>
      </c>
      <c r="H16" s="19" t="str">
        <f t="shared" si="2"/>
        <v>SR3+</v>
      </c>
      <c r="R16" s="2" t="s">
        <v>274</v>
      </c>
      <c r="S16" s="2" t="s">
        <v>275</v>
      </c>
      <c r="T16" s="2" t="s">
        <v>241</v>
      </c>
      <c r="U16" s="2">
        <v>2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155" t="str">
        <f t="shared" si="3"/>
        <v>drv-2</v>
      </c>
      <c r="AC16" s="156" t="str">
        <f t="shared" si="4"/>
        <v>Local-2</v>
      </c>
      <c r="AD16" s="2" t="str">
        <f t="shared" si="5"/>
        <v>wlk-drv-Local-2</v>
      </c>
      <c r="AF16"/>
      <c r="AG16"/>
      <c r="AH16"/>
      <c r="AI16"/>
      <c r="AJ16"/>
      <c r="AK16"/>
      <c r="AL16"/>
    </row>
    <row r="17" spans="1:38" ht="15" x14ac:dyDescent="0.25">
      <c r="A17" s="2" t="s">
        <v>97</v>
      </c>
      <c r="B17" s="2" t="s">
        <v>59</v>
      </c>
      <c r="C17" s="2">
        <v>9</v>
      </c>
      <c r="D17" s="2">
        <v>7</v>
      </c>
      <c r="E17" s="2">
        <v>0</v>
      </c>
      <c r="F17" s="19" t="str">
        <f t="shared" si="0"/>
        <v>Individual At-Work</v>
      </c>
      <c r="G17" s="19" t="str">
        <f t="shared" si="1"/>
        <v>Walk-Transit</v>
      </c>
      <c r="H17" s="19" t="str">
        <f t="shared" si="2"/>
        <v>Walk</v>
      </c>
      <c r="R17" s="2" t="s">
        <v>274</v>
      </c>
      <c r="S17" s="2" t="s">
        <v>275</v>
      </c>
      <c r="T17" s="2" t="s">
        <v>241</v>
      </c>
      <c r="U17" s="2">
        <v>3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155" t="str">
        <f t="shared" si="3"/>
        <v>drv-3</v>
      </c>
      <c r="AC17" s="156" t="str">
        <f t="shared" si="4"/>
        <v>Local-3</v>
      </c>
      <c r="AD17" s="2" t="str">
        <f t="shared" si="5"/>
        <v>wlk-drv-Local-3</v>
      </c>
      <c r="AF17"/>
      <c r="AG17"/>
      <c r="AH17"/>
      <c r="AI17"/>
      <c r="AJ17"/>
      <c r="AK17"/>
      <c r="AL17"/>
    </row>
    <row r="18" spans="1:38" ht="15" x14ac:dyDescent="0.25">
      <c r="A18" s="2" t="s">
        <v>97</v>
      </c>
      <c r="B18" s="2" t="s">
        <v>59</v>
      </c>
      <c r="C18" s="2">
        <v>9</v>
      </c>
      <c r="D18" s="2">
        <v>9</v>
      </c>
      <c r="E18" s="2">
        <v>0</v>
      </c>
      <c r="F18" s="19" t="str">
        <f t="shared" si="0"/>
        <v>Individual At-Work</v>
      </c>
      <c r="G18" s="19" t="str">
        <f t="shared" si="1"/>
        <v>Walk-Transit</v>
      </c>
      <c r="H18" s="19" t="str">
        <f t="shared" si="2"/>
        <v>Walk-Local</v>
      </c>
      <c r="R18" s="2" t="s">
        <v>274</v>
      </c>
      <c r="S18" s="2" t="s">
        <v>275</v>
      </c>
      <c r="T18" s="2" t="s">
        <v>241</v>
      </c>
      <c r="U18" s="2">
        <v>4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155" t="str">
        <f t="shared" si="3"/>
        <v>drv-4</v>
      </c>
      <c r="AC18" s="156" t="str">
        <f t="shared" si="4"/>
        <v>Local-4</v>
      </c>
      <c r="AD18" s="2" t="str">
        <f t="shared" si="5"/>
        <v>wlk-drv-Local-4</v>
      </c>
      <c r="AF18"/>
      <c r="AG18"/>
      <c r="AH18"/>
      <c r="AI18"/>
      <c r="AJ18"/>
      <c r="AK18"/>
      <c r="AL18"/>
    </row>
    <row r="19" spans="1:38" ht="15" x14ac:dyDescent="0.25">
      <c r="A19" s="2" t="s">
        <v>97</v>
      </c>
      <c r="B19" s="2" t="s">
        <v>59</v>
      </c>
      <c r="C19" s="2">
        <v>9</v>
      </c>
      <c r="D19" s="2">
        <v>19</v>
      </c>
      <c r="E19" s="2">
        <v>0</v>
      </c>
      <c r="F19" s="19" t="str">
        <f t="shared" si="0"/>
        <v>Individual At-Work</v>
      </c>
      <c r="G19" s="19" t="str">
        <f t="shared" si="1"/>
        <v>Walk-Transit</v>
      </c>
      <c r="H19" s="19" t="str">
        <f t="shared" si="2"/>
        <v>Taxi</v>
      </c>
      <c r="R19" s="2" t="s">
        <v>274</v>
      </c>
      <c r="S19" s="2" t="s">
        <v>275</v>
      </c>
      <c r="T19" s="2" t="s">
        <v>241</v>
      </c>
      <c r="U19" s="2">
        <v>5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155" t="str">
        <f t="shared" si="3"/>
        <v>drv-5</v>
      </c>
      <c r="AC19" s="156" t="str">
        <f t="shared" si="4"/>
        <v>Local-5</v>
      </c>
      <c r="AD19" s="2" t="str">
        <f t="shared" si="5"/>
        <v>wlk-drv-Local-5</v>
      </c>
      <c r="AF19"/>
      <c r="AG19"/>
      <c r="AH19"/>
      <c r="AI19"/>
      <c r="AJ19"/>
      <c r="AK19"/>
      <c r="AL19"/>
    </row>
    <row r="20" spans="1:38" ht="15" x14ac:dyDescent="0.25">
      <c r="A20" s="2" t="s">
        <v>97</v>
      </c>
      <c r="B20" s="2" t="s">
        <v>59</v>
      </c>
      <c r="C20" s="2">
        <v>10</v>
      </c>
      <c r="D20" s="2">
        <v>-10</v>
      </c>
      <c r="E20" s="2">
        <v>0</v>
      </c>
      <c r="F20" s="19" t="str">
        <f t="shared" si="0"/>
        <v>Individual At-Work</v>
      </c>
      <c r="G20" s="19" t="str">
        <f t="shared" si="1"/>
        <v>Walk-Transit</v>
      </c>
      <c r="H20" s="19" t="str">
        <f t="shared" si="2"/>
        <v>Walk-Ferry</v>
      </c>
      <c r="R20" s="2" t="s">
        <v>274</v>
      </c>
      <c r="S20" s="8" t="s">
        <v>275</v>
      </c>
      <c r="T20" s="2" t="s">
        <v>241</v>
      </c>
      <c r="U20" s="2">
        <v>6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155" t="str">
        <f t="shared" si="3"/>
        <v>drv-6</v>
      </c>
      <c r="AC20" s="156" t="str">
        <f t="shared" si="4"/>
        <v>Local-6</v>
      </c>
      <c r="AD20" s="2" t="str">
        <f t="shared" si="5"/>
        <v>wlk-drv-Local-6</v>
      </c>
      <c r="AF20"/>
      <c r="AG20"/>
      <c r="AH20"/>
      <c r="AI20"/>
      <c r="AJ20"/>
      <c r="AK20"/>
      <c r="AL20"/>
    </row>
    <row r="21" spans="1:38" ht="15" x14ac:dyDescent="0.25">
      <c r="A21" s="2" t="s">
        <v>97</v>
      </c>
      <c r="B21" s="2" t="s">
        <v>59</v>
      </c>
      <c r="C21" s="2">
        <v>10</v>
      </c>
      <c r="D21" s="2">
        <v>7</v>
      </c>
      <c r="E21" s="2">
        <v>0</v>
      </c>
      <c r="F21" s="19" t="str">
        <f t="shared" si="0"/>
        <v>Individual At-Work</v>
      </c>
      <c r="G21" s="19" t="str">
        <f t="shared" si="1"/>
        <v>Walk-Transit</v>
      </c>
      <c r="H21" s="19" t="str">
        <f t="shared" si="2"/>
        <v>Walk</v>
      </c>
      <c r="AB21" s="155" t="str">
        <f t="shared" si="3"/>
        <v>wlk-</v>
      </c>
      <c r="AC21" s="156" t="str">
        <f t="shared" si="4"/>
        <v>-</v>
      </c>
      <c r="AD21" s="2" t="str">
        <f t="shared" si="5"/>
        <v>---</v>
      </c>
      <c r="AF21"/>
      <c r="AG21"/>
      <c r="AH21"/>
      <c r="AI21"/>
      <c r="AJ21"/>
      <c r="AK21"/>
      <c r="AL21"/>
    </row>
    <row r="22" spans="1:38" ht="15" x14ac:dyDescent="0.25">
      <c r="A22" s="2" t="s">
        <v>97</v>
      </c>
      <c r="B22" s="2" t="s">
        <v>59</v>
      </c>
      <c r="C22" s="2">
        <v>10</v>
      </c>
      <c r="D22" s="2">
        <v>9</v>
      </c>
      <c r="E22" s="2">
        <v>0</v>
      </c>
      <c r="F22" s="19" t="str">
        <f t="shared" si="0"/>
        <v>Individual At-Work</v>
      </c>
      <c r="G22" s="19" t="str">
        <f t="shared" si="1"/>
        <v>Walk-Transit</v>
      </c>
      <c r="H22" s="19" t="str">
        <f t="shared" si="2"/>
        <v>Walk-Local</v>
      </c>
      <c r="AB22" s="155" t="str">
        <f t="shared" si="3"/>
        <v>wlk-</v>
      </c>
      <c r="AC22" s="156" t="str">
        <f t="shared" si="4"/>
        <v>-</v>
      </c>
      <c r="AD22" s="2" t="str">
        <f t="shared" si="5"/>
        <v>---</v>
      </c>
      <c r="AF22"/>
      <c r="AG22"/>
      <c r="AH22"/>
      <c r="AI22"/>
      <c r="AJ22"/>
      <c r="AK22"/>
      <c r="AL22"/>
    </row>
    <row r="23" spans="1:38" ht="15" x14ac:dyDescent="0.25">
      <c r="A23" s="2" t="s">
        <v>97</v>
      </c>
      <c r="B23" s="2" t="s">
        <v>59</v>
      </c>
      <c r="C23" s="2">
        <v>10</v>
      </c>
      <c r="D23" s="2">
        <v>10</v>
      </c>
      <c r="E23" s="2">
        <v>0</v>
      </c>
      <c r="F23" s="19" t="str">
        <f t="shared" si="0"/>
        <v>Individual At-Work</v>
      </c>
      <c r="G23" s="19" t="str">
        <f t="shared" si="1"/>
        <v>Walk-Transit</v>
      </c>
      <c r="H23" s="19" t="str">
        <f t="shared" si="2"/>
        <v>Walk-LRT</v>
      </c>
      <c r="AB23" s="155" t="str">
        <f t="shared" si="3"/>
        <v>wlk-</v>
      </c>
      <c r="AC23" s="156" t="str">
        <f t="shared" si="4"/>
        <v>-</v>
      </c>
      <c r="AD23" s="2" t="str">
        <f t="shared" si="5"/>
        <v>---</v>
      </c>
      <c r="AF23"/>
      <c r="AG23"/>
      <c r="AH23"/>
      <c r="AI23"/>
      <c r="AJ23"/>
      <c r="AK23"/>
      <c r="AL23"/>
    </row>
    <row r="24" spans="1:38" ht="15" x14ac:dyDescent="0.25">
      <c r="A24" s="2" t="s">
        <v>97</v>
      </c>
      <c r="B24" s="2" t="s">
        <v>59</v>
      </c>
      <c r="C24" s="2">
        <v>10</v>
      </c>
      <c r="D24" s="2">
        <v>19</v>
      </c>
      <c r="E24" s="2">
        <v>0</v>
      </c>
      <c r="F24" s="19" t="str">
        <f t="shared" si="0"/>
        <v>Individual At-Work</v>
      </c>
      <c r="G24" s="19" t="str">
        <f t="shared" si="1"/>
        <v>Walk-Transit</v>
      </c>
      <c r="H24" s="19" t="str">
        <f t="shared" si="2"/>
        <v>Taxi</v>
      </c>
      <c r="AB24" s="155" t="str">
        <f t="shared" si="3"/>
        <v>wlk-</v>
      </c>
      <c r="AC24" s="156" t="str">
        <f t="shared" si="4"/>
        <v>-</v>
      </c>
      <c r="AD24" s="2" t="str">
        <f t="shared" si="5"/>
        <v>---</v>
      </c>
      <c r="AF24"/>
      <c r="AG24"/>
      <c r="AH24"/>
      <c r="AI24"/>
      <c r="AJ24"/>
      <c r="AK24"/>
      <c r="AL24"/>
    </row>
    <row r="25" spans="1:38" ht="15" x14ac:dyDescent="0.25">
      <c r="A25" s="2" t="s">
        <v>97</v>
      </c>
      <c r="B25" s="2" t="s">
        <v>59</v>
      </c>
      <c r="C25" s="2">
        <v>11</v>
      </c>
      <c r="D25" s="2">
        <v>7</v>
      </c>
      <c r="E25" s="2">
        <v>0</v>
      </c>
      <c r="F25" s="19" t="str">
        <f t="shared" si="0"/>
        <v>Individual At-Work</v>
      </c>
      <c r="G25" s="19" t="str">
        <f t="shared" si="1"/>
        <v>Walk-Transit</v>
      </c>
      <c r="H25" s="19" t="str">
        <f t="shared" si="2"/>
        <v>Walk</v>
      </c>
      <c r="AB25" s="155" t="str">
        <f t="shared" si="3"/>
        <v>wlk-</v>
      </c>
      <c r="AC25" s="156" t="str">
        <f t="shared" si="4"/>
        <v>-</v>
      </c>
      <c r="AD25" s="2" t="str">
        <f t="shared" si="5"/>
        <v>---</v>
      </c>
      <c r="AF25"/>
      <c r="AG25"/>
      <c r="AH25"/>
      <c r="AI25"/>
      <c r="AJ25"/>
      <c r="AK25"/>
      <c r="AL25"/>
    </row>
    <row r="26" spans="1:38" ht="15" x14ac:dyDescent="0.25">
      <c r="A26" s="2" t="s">
        <v>97</v>
      </c>
      <c r="B26" s="2" t="s">
        <v>59</v>
      </c>
      <c r="C26" s="2">
        <v>11</v>
      </c>
      <c r="D26" s="2">
        <v>11</v>
      </c>
      <c r="E26" s="2">
        <v>0</v>
      </c>
      <c r="F26" s="19" t="str">
        <f t="shared" si="0"/>
        <v>Individual At-Work</v>
      </c>
      <c r="G26" s="19" t="str">
        <f t="shared" si="1"/>
        <v>Walk-Transit</v>
      </c>
      <c r="H26" s="19" t="str">
        <f t="shared" si="2"/>
        <v>Walk-Express</v>
      </c>
      <c r="AB26" s="155" t="str">
        <f t="shared" si="3"/>
        <v>wlk-</v>
      </c>
      <c r="AC26" s="156" t="str">
        <f t="shared" si="4"/>
        <v>-</v>
      </c>
      <c r="AD26" s="2" t="str">
        <f t="shared" si="5"/>
        <v>---</v>
      </c>
      <c r="AF26"/>
      <c r="AG26"/>
      <c r="AH26"/>
      <c r="AI26"/>
      <c r="AJ26"/>
      <c r="AK26"/>
      <c r="AL26"/>
    </row>
    <row r="27" spans="1:38" ht="15" x14ac:dyDescent="0.25">
      <c r="A27" s="2" t="s">
        <v>97</v>
      </c>
      <c r="B27" s="2" t="s">
        <v>59</v>
      </c>
      <c r="C27" s="2">
        <v>12</v>
      </c>
      <c r="D27" s="2">
        <v>7</v>
      </c>
      <c r="E27" s="2">
        <v>0</v>
      </c>
      <c r="F27" s="19" t="str">
        <f t="shared" si="0"/>
        <v>Individual At-Work</v>
      </c>
      <c r="G27" s="19" t="str">
        <f t="shared" si="1"/>
        <v>Walk-Transit</v>
      </c>
      <c r="H27" s="19" t="str">
        <f t="shared" si="2"/>
        <v>Walk</v>
      </c>
      <c r="AB27" s="155" t="str">
        <f t="shared" si="3"/>
        <v>wlk-</v>
      </c>
      <c r="AC27" s="156" t="str">
        <f t="shared" si="4"/>
        <v>-</v>
      </c>
      <c r="AD27" s="2" t="str">
        <f t="shared" si="5"/>
        <v>---</v>
      </c>
      <c r="AF27"/>
      <c r="AG27"/>
      <c r="AH27"/>
      <c r="AI27"/>
      <c r="AJ27"/>
      <c r="AK27"/>
      <c r="AL27"/>
    </row>
    <row r="28" spans="1:38" ht="15" x14ac:dyDescent="0.25">
      <c r="A28" s="2" t="s">
        <v>97</v>
      </c>
      <c r="B28" s="2" t="s">
        <v>59</v>
      </c>
      <c r="C28" s="2">
        <v>12</v>
      </c>
      <c r="D28" s="2">
        <v>9</v>
      </c>
      <c r="E28" s="2">
        <v>0</v>
      </c>
      <c r="F28" s="19" t="str">
        <f t="shared" si="0"/>
        <v>Individual At-Work</v>
      </c>
      <c r="G28" s="19" t="str">
        <f t="shared" si="1"/>
        <v>Walk-Transit</v>
      </c>
      <c r="H28" s="19" t="str">
        <f t="shared" si="2"/>
        <v>Walk-Local</v>
      </c>
      <c r="AB28" s="155" t="str">
        <f t="shared" si="3"/>
        <v>wlk-</v>
      </c>
      <c r="AC28" s="156" t="str">
        <f t="shared" si="4"/>
        <v>-</v>
      </c>
      <c r="AD28" s="2" t="str">
        <f t="shared" si="5"/>
        <v>---</v>
      </c>
      <c r="AF28"/>
      <c r="AG28"/>
      <c r="AH28"/>
      <c r="AI28"/>
      <c r="AJ28"/>
      <c r="AK28"/>
      <c r="AL28"/>
    </row>
    <row r="29" spans="1:38" ht="15" x14ac:dyDescent="0.25">
      <c r="A29" s="2" t="s">
        <v>97</v>
      </c>
      <c r="B29" s="2" t="s">
        <v>59</v>
      </c>
      <c r="C29" s="2">
        <v>12</v>
      </c>
      <c r="D29" s="2">
        <v>10</v>
      </c>
      <c r="E29" s="2">
        <v>0</v>
      </c>
      <c r="F29" s="19" t="str">
        <f t="shared" si="0"/>
        <v>Individual At-Work</v>
      </c>
      <c r="G29" s="19" t="str">
        <f t="shared" si="1"/>
        <v>Walk-Transit</v>
      </c>
      <c r="H29" s="19" t="str">
        <f t="shared" si="2"/>
        <v>Walk-LRT</v>
      </c>
      <c r="AB29" s="155" t="str">
        <f t="shared" si="3"/>
        <v>wlk-</v>
      </c>
      <c r="AC29" s="156" t="str">
        <f t="shared" si="4"/>
        <v>-</v>
      </c>
      <c r="AD29" s="2" t="str">
        <f t="shared" si="5"/>
        <v>---</v>
      </c>
      <c r="AF29"/>
      <c r="AG29"/>
      <c r="AH29"/>
      <c r="AI29"/>
      <c r="AJ29"/>
      <c r="AK29"/>
      <c r="AL29"/>
    </row>
    <row r="30" spans="1:38" ht="15" x14ac:dyDescent="0.25">
      <c r="A30" s="2" t="s">
        <v>97</v>
      </c>
      <c r="B30" s="2" t="s">
        <v>59</v>
      </c>
      <c r="C30" s="2">
        <v>12</v>
      </c>
      <c r="D30" s="2">
        <v>11</v>
      </c>
      <c r="E30" s="2">
        <v>0</v>
      </c>
      <c r="F30" s="19" t="str">
        <f t="shared" si="0"/>
        <v>Individual At-Work</v>
      </c>
      <c r="G30" s="19" t="str">
        <f t="shared" si="1"/>
        <v>Walk-Transit</v>
      </c>
      <c r="H30" s="19" t="str">
        <f t="shared" si="2"/>
        <v>Walk-Express</v>
      </c>
      <c r="AB30" s="155" t="str">
        <f t="shared" si="3"/>
        <v>wlk-</v>
      </c>
      <c r="AC30" s="156" t="str">
        <f t="shared" si="4"/>
        <v>-</v>
      </c>
      <c r="AD30" s="2" t="str">
        <f t="shared" si="5"/>
        <v>---</v>
      </c>
      <c r="AF30"/>
      <c r="AG30"/>
      <c r="AH30"/>
      <c r="AI30"/>
      <c r="AJ30"/>
      <c r="AK30"/>
      <c r="AL30"/>
    </row>
    <row r="31" spans="1:38" x14ac:dyDescent="0.2">
      <c r="A31" s="2" t="s">
        <v>97</v>
      </c>
      <c r="B31" s="2" t="s">
        <v>59</v>
      </c>
      <c r="C31" s="2">
        <v>12</v>
      </c>
      <c r="D31" s="2">
        <v>12</v>
      </c>
      <c r="E31" s="2">
        <v>0</v>
      </c>
      <c r="F31" s="19" t="str">
        <f t="shared" si="0"/>
        <v>Individual At-Work</v>
      </c>
      <c r="G31" s="19" t="str">
        <f t="shared" si="1"/>
        <v>Walk-Transit</v>
      </c>
      <c r="H31" s="19" t="str">
        <f t="shared" si="2"/>
        <v>Walk-HeavyR</v>
      </c>
      <c r="AB31" s="155" t="str">
        <f t="shared" si="3"/>
        <v>wlk-</v>
      </c>
      <c r="AC31" s="156" t="str">
        <f t="shared" si="4"/>
        <v>-</v>
      </c>
      <c r="AD31" s="2" t="str">
        <f t="shared" si="5"/>
        <v>---</v>
      </c>
    </row>
    <row r="32" spans="1:38" x14ac:dyDescent="0.2">
      <c r="A32" s="2" t="s">
        <v>97</v>
      </c>
      <c r="B32" s="2" t="s">
        <v>59</v>
      </c>
      <c r="C32" s="2">
        <v>13</v>
      </c>
      <c r="D32" s="2">
        <v>7</v>
      </c>
      <c r="E32" s="2">
        <v>0</v>
      </c>
      <c r="F32" s="19" t="str">
        <f t="shared" si="0"/>
        <v>Individual At-Work</v>
      </c>
      <c r="G32" s="19" t="str">
        <f t="shared" si="1"/>
        <v>Walk-Transit</v>
      </c>
      <c r="H32" s="19" t="str">
        <f t="shared" si="2"/>
        <v>Walk</v>
      </c>
      <c r="AB32" s="155" t="str">
        <f t="shared" si="3"/>
        <v>wlk-</v>
      </c>
      <c r="AC32" s="156" t="str">
        <f t="shared" si="4"/>
        <v>-</v>
      </c>
      <c r="AD32" s="2" t="str">
        <f t="shared" si="5"/>
        <v>---</v>
      </c>
    </row>
    <row r="33" spans="1:30" x14ac:dyDescent="0.2">
      <c r="A33" s="2" t="s">
        <v>97</v>
      </c>
      <c r="B33" s="2" t="s">
        <v>59</v>
      </c>
      <c r="C33" s="2">
        <v>13</v>
      </c>
      <c r="D33" s="2">
        <v>9</v>
      </c>
      <c r="E33" s="2">
        <v>0</v>
      </c>
      <c r="F33" s="19" t="str">
        <f t="shared" si="0"/>
        <v>Individual At-Work</v>
      </c>
      <c r="G33" s="19" t="str">
        <f t="shared" si="1"/>
        <v>Walk-Transit</v>
      </c>
      <c r="H33" s="19" t="str">
        <f t="shared" si="2"/>
        <v>Walk-Local</v>
      </c>
      <c r="AB33" s="155" t="str">
        <f t="shared" si="3"/>
        <v>wlk-</v>
      </c>
      <c r="AC33" s="156" t="str">
        <f t="shared" si="4"/>
        <v>-</v>
      </c>
      <c r="AD33" s="2" t="str">
        <f t="shared" si="5"/>
        <v>---</v>
      </c>
    </row>
    <row r="34" spans="1:30" x14ac:dyDescent="0.2">
      <c r="A34" s="2" t="s">
        <v>97</v>
      </c>
      <c r="B34" s="2" t="s">
        <v>59</v>
      </c>
      <c r="C34" s="2">
        <v>13</v>
      </c>
      <c r="D34" s="2">
        <v>13</v>
      </c>
      <c r="E34" s="2">
        <v>0</v>
      </c>
      <c r="F34" s="19" t="str">
        <f t="shared" si="0"/>
        <v>Individual At-Work</v>
      </c>
      <c r="G34" s="19" t="str">
        <f t="shared" si="1"/>
        <v>Walk-Transit</v>
      </c>
      <c r="H34" s="19" t="str">
        <f t="shared" si="2"/>
        <v>Walk-CommR</v>
      </c>
      <c r="AB34" s="155" t="str">
        <f t="shared" si="3"/>
        <v>wlk-</v>
      </c>
      <c r="AC34" s="156" t="str">
        <f t="shared" si="4"/>
        <v>-</v>
      </c>
      <c r="AD34" s="2" t="str">
        <f t="shared" si="5"/>
        <v>---</v>
      </c>
    </row>
    <row r="35" spans="1:30" x14ac:dyDescent="0.2">
      <c r="A35" s="2" t="s">
        <v>97</v>
      </c>
      <c r="B35" s="2" t="s">
        <v>59</v>
      </c>
      <c r="C35" s="2">
        <v>19</v>
      </c>
      <c r="D35" s="2">
        <v>3</v>
      </c>
      <c r="E35" s="2">
        <v>0</v>
      </c>
      <c r="F35" s="19" t="str">
        <f t="shared" si="0"/>
        <v>Individual At-Work</v>
      </c>
      <c r="G35" s="19" t="str">
        <f t="shared" si="1"/>
        <v>Taxi</v>
      </c>
      <c r="H35" s="19" t="str">
        <f t="shared" si="2"/>
        <v>SR2</v>
      </c>
      <c r="AB35" s="155" t="str">
        <f t="shared" si="3"/>
        <v>wlk-</v>
      </c>
      <c r="AC35" s="156" t="str">
        <f t="shared" si="4"/>
        <v>-</v>
      </c>
      <c r="AD35" s="2" t="str">
        <f t="shared" si="5"/>
        <v>---</v>
      </c>
    </row>
    <row r="36" spans="1:30" x14ac:dyDescent="0.2">
      <c r="A36" s="2" t="s">
        <v>97</v>
      </c>
      <c r="B36" s="2" t="s">
        <v>59</v>
      </c>
      <c r="C36" s="2">
        <v>19</v>
      </c>
      <c r="D36" s="2">
        <v>7</v>
      </c>
      <c r="E36" s="2">
        <v>0</v>
      </c>
      <c r="F36" s="19" t="str">
        <f t="shared" si="0"/>
        <v>Individual At-Work</v>
      </c>
      <c r="G36" s="19" t="str">
        <f t="shared" si="1"/>
        <v>Taxi</v>
      </c>
      <c r="H36" s="19" t="str">
        <f t="shared" si="2"/>
        <v>Walk</v>
      </c>
      <c r="AB36" s="155" t="str">
        <f t="shared" si="3"/>
        <v>wlk-</v>
      </c>
      <c r="AC36" s="156" t="str">
        <f t="shared" si="4"/>
        <v>-</v>
      </c>
      <c r="AD36" s="2" t="str">
        <f t="shared" si="5"/>
        <v>---</v>
      </c>
    </row>
    <row r="37" spans="1:30" x14ac:dyDescent="0.2">
      <c r="A37" s="2" t="s">
        <v>97</v>
      </c>
      <c r="B37" s="2" t="s">
        <v>59</v>
      </c>
      <c r="C37" s="2">
        <v>19</v>
      </c>
      <c r="D37" s="2">
        <v>19</v>
      </c>
      <c r="E37" s="2">
        <v>0</v>
      </c>
      <c r="F37" s="19" t="str">
        <f t="shared" si="0"/>
        <v>Individual At-Work</v>
      </c>
      <c r="G37" s="19" t="str">
        <f t="shared" si="1"/>
        <v>Taxi</v>
      </c>
      <c r="H37" s="19" t="str">
        <f t="shared" si="2"/>
        <v>Taxi</v>
      </c>
      <c r="AB37" s="155" t="str">
        <f t="shared" si="3"/>
        <v>wlk-</v>
      </c>
      <c r="AC37" s="156" t="str">
        <f t="shared" si="4"/>
        <v>-</v>
      </c>
      <c r="AD37" s="2" t="str">
        <f t="shared" si="5"/>
        <v>---</v>
      </c>
    </row>
    <row r="38" spans="1:30" x14ac:dyDescent="0.2">
      <c r="A38" s="2" t="s">
        <v>97</v>
      </c>
      <c r="B38" s="2" t="s">
        <v>59</v>
      </c>
      <c r="C38" s="2">
        <v>19</v>
      </c>
      <c r="D38" s="2">
        <v>20</v>
      </c>
      <c r="E38" s="2">
        <v>0</v>
      </c>
      <c r="F38" s="19" t="str">
        <f t="shared" si="0"/>
        <v>Individual At-Work</v>
      </c>
      <c r="G38" s="19" t="str">
        <f t="shared" si="1"/>
        <v>Taxi</v>
      </c>
      <c r="H38" s="19" t="str">
        <f t="shared" si="2"/>
        <v>TNC-Single</v>
      </c>
      <c r="AB38" s="155" t="str">
        <f t="shared" si="3"/>
        <v>wlk-</v>
      </c>
      <c r="AC38" s="156" t="str">
        <f t="shared" si="4"/>
        <v>-</v>
      </c>
      <c r="AD38" s="2" t="str">
        <f t="shared" si="5"/>
        <v>---</v>
      </c>
    </row>
    <row r="39" spans="1:30" x14ac:dyDescent="0.2">
      <c r="A39" s="2" t="s">
        <v>97</v>
      </c>
      <c r="B39" s="2" t="s">
        <v>60</v>
      </c>
      <c r="C39" s="2">
        <v>1</v>
      </c>
      <c r="D39" s="2">
        <v>1</v>
      </c>
      <c r="E39" s="2">
        <v>0</v>
      </c>
      <c r="F39" s="19" t="str">
        <f t="shared" si="0"/>
        <v>Individual At-Work</v>
      </c>
      <c r="G39" s="19" t="str">
        <f t="shared" si="1"/>
        <v>Drive Alone</v>
      </c>
      <c r="H39" s="19" t="str">
        <f t="shared" si="2"/>
        <v>Drive Alone</v>
      </c>
      <c r="AB39" s="155" t="str">
        <f t="shared" si="3"/>
        <v>wlk-</v>
      </c>
      <c r="AC39" s="156" t="str">
        <f t="shared" si="4"/>
        <v>-</v>
      </c>
      <c r="AD39" s="2" t="str">
        <f t="shared" si="5"/>
        <v>---</v>
      </c>
    </row>
    <row r="40" spans="1:30" x14ac:dyDescent="0.2">
      <c r="A40" s="2" t="s">
        <v>97</v>
      </c>
      <c r="B40" s="2" t="s">
        <v>60</v>
      </c>
      <c r="C40" s="2">
        <v>1</v>
      </c>
      <c r="D40" s="2">
        <v>7</v>
      </c>
      <c r="E40" s="2">
        <v>0</v>
      </c>
      <c r="F40" s="19" t="str">
        <f t="shared" si="0"/>
        <v>Individual At-Work</v>
      </c>
      <c r="G40" s="19" t="str">
        <f t="shared" si="1"/>
        <v>Drive Alone</v>
      </c>
      <c r="H40" s="19" t="str">
        <f t="shared" si="2"/>
        <v>Walk</v>
      </c>
      <c r="AB40" s="155" t="str">
        <f t="shared" si="3"/>
        <v>wlk-</v>
      </c>
      <c r="AC40" s="156" t="str">
        <f t="shared" si="4"/>
        <v>-</v>
      </c>
      <c r="AD40" s="2" t="str">
        <f t="shared" si="5"/>
        <v>---</v>
      </c>
    </row>
    <row r="41" spans="1:30" x14ac:dyDescent="0.2">
      <c r="A41" s="2" t="s">
        <v>97</v>
      </c>
      <c r="B41" s="2" t="s">
        <v>60</v>
      </c>
      <c r="C41" s="2">
        <v>1</v>
      </c>
      <c r="D41" s="2">
        <v>19</v>
      </c>
      <c r="E41" s="2">
        <v>0</v>
      </c>
      <c r="F41" s="19" t="str">
        <f t="shared" si="0"/>
        <v>Individual At-Work</v>
      </c>
      <c r="G41" s="19" t="str">
        <f t="shared" si="1"/>
        <v>Drive Alone</v>
      </c>
      <c r="H41" s="19" t="str">
        <f t="shared" si="2"/>
        <v>Taxi</v>
      </c>
      <c r="AB41" s="155" t="str">
        <f t="shared" si="3"/>
        <v>wlk-</v>
      </c>
      <c r="AC41" s="156" t="str">
        <f t="shared" si="4"/>
        <v>-</v>
      </c>
      <c r="AD41" s="2" t="str">
        <f t="shared" si="5"/>
        <v>---</v>
      </c>
    </row>
    <row r="42" spans="1:30" x14ac:dyDescent="0.2">
      <c r="A42" s="2" t="s">
        <v>97</v>
      </c>
      <c r="B42" s="2" t="s">
        <v>60</v>
      </c>
      <c r="C42" s="2">
        <v>1</v>
      </c>
      <c r="D42" s="2">
        <v>20</v>
      </c>
      <c r="E42" s="2">
        <v>0</v>
      </c>
      <c r="F42" s="19" t="str">
        <f t="shared" si="0"/>
        <v>Individual At-Work</v>
      </c>
      <c r="G42" s="19" t="str">
        <f t="shared" si="1"/>
        <v>Drive Alone</v>
      </c>
      <c r="H42" s="19" t="str">
        <f t="shared" si="2"/>
        <v>TNC-Single</v>
      </c>
      <c r="AB42" s="155" t="str">
        <f t="shared" si="3"/>
        <v>wlk-</v>
      </c>
      <c r="AC42" s="156" t="str">
        <f t="shared" si="4"/>
        <v>-</v>
      </c>
      <c r="AD42" s="2" t="str">
        <f t="shared" si="5"/>
        <v>---</v>
      </c>
    </row>
    <row r="43" spans="1:30" x14ac:dyDescent="0.2">
      <c r="A43" s="2" t="s">
        <v>97</v>
      </c>
      <c r="B43" s="2" t="s">
        <v>60</v>
      </c>
      <c r="C43" s="2">
        <v>3</v>
      </c>
      <c r="D43" s="2">
        <v>1</v>
      </c>
      <c r="E43" s="2">
        <v>0</v>
      </c>
      <c r="F43" s="19" t="str">
        <f t="shared" si="0"/>
        <v>Individual At-Work</v>
      </c>
      <c r="G43" s="19" t="str">
        <f t="shared" si="1"/>
        <v>SR2</v>
      </c>
      <c r="H43" s="19" t="str">
        <f t="shared" si="2"/>
        <v>Drive Alone</v>
      </c>
      <c r="AB43" s="155" t="str">
        <f t="shared" si="3"/>
        <v>wlk-</v>
      </c>
      <c r="AC43" s="156" t="str">
        <f t="shared" si="4"/>
        <v>-</v>
      </c>
      <c r="AD43" s="2" t="str">
        <f t="shared" si="5"/>
        <v>---</v>
      </c>
    </row>
    <row r="44" spans="1:30" x14ac:dyDescent="0.2">
      <c r="A44" s="2" t="s">
        <v>97</v>
      </c>
      <c r="B44" s="2" t="s">
        <v>60</v>
      </c>
      <c r="C44" s="2">
        <v>3</v>
      </c>
      <c r="D44" s="2">
        <v>3</v>
      </c>
      <c r="E44" s="2">
        <v>0</v>
      </c>
      <c r="F44" s="19" t="str">
        <f t="shared" si="0"/>
        <v>Individual At-Work</v>
      </c>
      <c r="G44" s="19" t="str">
        <f t="shared" si="1"/>
        <v>SR2</v>
      </c>
      <c r="H44" s="19" t="str">
        <f t="shared" si="2"/>
        <v>SR2</v>
      </c>
      <c r="AB44" s="155" t="str">
        <f t="shared" si="3"/>
        <v>wlk-</v>
      </c>
      <c r="AC44" s="156" t="str">
        <f t="shared" si="4"/>
        <v>-</v>
      </c>
      <c r="AD44" s="2" t="str">
        <f t="shared" si="5"/>
        <v>---</v>
      </c>
    </row>
    <row r="45" spans="1:30" x14ac:dyDescent="0.2">
      <c r="A45" s="2" t="s">
        <v>97</v>
      </c>
      <c r="B45" s="2" t="s">
        <v>60</v>
      </c>
      <c r="C45" s="2">
        <v>3</v>
      </c>
      <c r="D45" s="2">
        <v>20</v>
      </c>
      <c r="E45" s="2">
        <v>0</v>
      </c>
      <c r="F45" s="19" t="str">
        <f t="shared" si="0"/>
        <v>Individual At-Work</v>
      </c>
      <c r="G45" s="19" t="str">
        <f t="shared" si="1"/>
        <v>SR2</v>
      </c>
      <c r="H45" s="19" t="str">
        <f t="shared" si="2"/>
        <v>TNC-Single</v>
      </c>
      <c r="AB45" s="155" t="str">
        <f t="shared" si="3"/>
        <v>wlk-</v>
      </c>
      <c r="AC45" s="156" t="str">
        <f t="shared" si="4"/>
        <v>-</v>
      </c>
      <c r="AD45" s="2" t="str">
        <f t="shared" si="5"/>
        <v>---</v>
      </c>
    </row>
    <row r="46" spans="1:30" x14ac:dyDescent="0.2">
      <c r="A46" s="2" t="s">
        <v>97</v>
      </c>
      <c r="B46" s="2" t="s">
        <v>60</v>
      </c>
      <c r="C46" s="2">
        <v>5</v>
      </c>
      <c r="D46" s="2">
        <v>1</v>
      </c>
      <c r="E46" s="2">
        <v>0</v>
      </c>
      <c r="F46" s="19" t="str">
        <f t="shared" si="0"/>
        <v>Individual At-Work</v>
      </c>
      <c r="G46" s="19" t="str">
        <f t="shared" si="1"/>
        <v>SR3+</v>
      </c>
      <c r="H46" s="19" t="str">
        <f t="shared" si="2"/>
        <v>Drive Alone</v>
      </c>
      <c r="AB46" s="155" t="str">
        <f t="shared" si="3"/>
        <v>wlk-</v>
      </c>
      <c r="AC46" s="156" t="str">
        <f t="shared" si="4"/>
        <v>-</v>
      </c>
      <c r="AD46" s="2" t="str">
        <f t="shared" si="5"/>
        <v>---</v>
      </c>
    </row>
    <row r="47" spans="1:30" x14ac:dyDescent="0.2">
      <c r="A47" s="2" t="s">
        <v>97</v>
      </c>
      <c r="B47" s="2" t="s">
        <v>60</v>
      </c>
      <c r="C47" s="2">
        <v>5</v>
      </c>
      <c r="D47" s="2">
        <v>3</v>
      </c>
      <c r="E47" s="2">
        <v>0</v>
      </c>
      <c r="F47" s="19" t="str">
        <f t="shared" si="0"/>
        <v>Individual At-Work</v>
      </c>
      <c r="G47" s="19" t="str">
        <f t="shared" si="1"/>
        <v>SR3+</v>
      </c>
      <c r="H47" s="19" t="str">
        <f t="shared" si="2"/>
        <v>SR2</v>
      </c>
      <c r="AB47" s="155" t="str">
        <f t="shared" si="3"/>
        <v>wlk-</v>
      </c>
      <c r="AC47" s="156" t="str">
        <f t="shared" si="4"/>
        <v>-</v>
      </c>
      <c r="AD47" s="2" t="str">
        <f t="shared" si="5"/>
        <v>---</v>
      </c>
    </row>
    <row r="48" spans="1:30" x14ac:dyDescent="0.2">
      <c r="A48" s="2" t="s">
        <v>97</v>
      </c>
      <c r="B48" s="2" t="s">
        <v>60</v>
      </c>
      <c r="C48" s="2">
        <v>5</v>
      </c>
      <c r="D48" s="2">
        <v>5</v>
      </c>
      <c r="E48" s="2">
        <v>0</v>
      </c>
      <c r="F48" s="19" t="str">
        <f t="shared" si="0"/>
        <v>Individual At-Work</v>
      </c>
      <c r="G48" s="19" t="str">
        <f t="shared" si="1"/>
        <v>SR3+</v>
      </c>
      <c r="H48" s="19" t="str">
        <f t="shared" si="2"/>
        <v>SR3+</v>
      </c>
      <c r="AB48" s="155" t="str">
        <f t="shared" si="3"/>
        <v>wlk-</v>
      </c>
      <c r="AC48" s="156" t="str">
        <f t="shared" si="4"/>
        <v>-</v>
      </c>
      <c r="AD48" s="2" t="str">
        <f t="shared" si="5"/>
        <v>---</v>
      </c>
    </row>
    <row r="49" spans="1:30" x14ac:dyDescent="0.2">
      <c r="A49" s="2" t="s">
        <v>97</v>
      </c>
      <c r="B49" s="2" t="s">
        <v>60</v>
      </c>
      <c r="C49" s="2">
        <v>5</v>
      </c>
      <c r="D49" s="2">
        <v>7</v>
      </c>
      <c r="E49" s="2">
        <v>0</v>
      </c>
      <c r="F49" s="19" t="str">
        <f t="shared" si="0"/>
        <v>Individual At-Work</v>
      </c>
      <c r="G49" s="19" t="str">
        <f t="shared" si="1"/>
        <v>SR3+</v>
      </c>
      <c r="H49" s="19" t="str">
        <f t="shared" si="2"/>
        <v>Walk</v>
      </c>
      <c r="AB49" s="155" t="str">
        <f t="shared" si="3"/>
        <v>wlk-</v>
      </c>
      <c r="AC49" s="156" t="str">
        <f t="shared" si="4"/>
        <v>-</v>
      </c>
      <c r="AD49" s="2" t="str">
        <f t="shared" si="5"/>
        <v>---</v>
      </c>
    </row>
    <row r="50" spans="1:30" x14ac:dyDescent="0.2">
      <c r="A50" s="2" t="s">
        <v>97</v>
      </c>
      <c r="B50" s="2" t="s">
        <v>60</v>
      </c>
      <c r="C50" s="2">
        <v>5</v>
      </c>
      <c r="D50" s="2">
        <v>19</v>
      </c>
      <c r="E50" s="2">
        <v>0</v>
      </c>
      <c r="F50" s="19" t="str">
        <f t="shared" si="0"/>
        <v>Individual At-Work</v>
      </c>
      <c r="G50" s="19" t="str">
        <f t="shared" si="1"/>
        <v>SR3+</v>
      </c>
      <c r="H50" s="19" t="str">
        <f t="shared" si="2"/>
        <v>Taxi</v>
      </c>
      <c r="AB50" s="155" t="str">
        <f t="shared" si="3"/>
        <v>wlk-</v>
      </c>
      <c r="AC50" s="156" t="str">
        <f t="shared" si="4"/>
        <v>-</v>
      </c>
      <c r="AD50" s="2" t="str">
        <f t="shared" si="5"/>
        <v>---</v>
      </c>
    </row>
    <row r="51" spans="1:30" x14ac:dyDescent="0.2">
      <c r="A51" s="2" t="s">
        <v>97</v>
      </c>
      <c r="B51" s="2" t="s">
        <v>60</v>
      </c>
      <c r="C51" s="2">
        <v>7</v>
      </c>
      <c r="D51" s="2">
        <v>7</v>
      </c>
      <c r="E51" s="2">
        <v>0</v>
      </c>
      <c r="F51" s="19" t="str">
        <f t="shared" si="0"/>
        <v>Individual At-Work</v>
      </c>
      <c r="G51" s="19" t="str">
        <f t="shared" si="1"/>
        <v>Walk</v>
      </c>
      <c r="H51" s="19" t="str">
        <f t="shared" si="2"/>
        <v>Walk</v>
      </c>
      <c r="AB51" s="155" t="str">
        <f t="shared" si="3"/>
        <v>wlk-</v>
      </c>
      <c r="AC51" s="156" t="str">
        <f t="shared" si="4"/>
        <v>-</v>
      </c>
      <c r="AD51" s="2" t="str">
        <f t="shared" si="5"/>
        <v>---</v>
      </c>
    </row>
    <row r="52" spans="1:30" x14ac:dyDescent="0.2">
      <c r="A52" s="2" t="s">
        <v>97</v>
      </c>
      <c r="B52" s="2" t="s">
        <v>60</v>
      </c>
      <c r="C52" s="2">
        <v>7</v>
      </c>
      <c r="D52" s="2">
        <v>19</v>
      </c>
      <c r="E52" s="2">
        <v>0</v>
      </c>
      <c r="F52" s="19" t="str">
        <f t="shared" si="0"/>
        <v>Individual At-Work</v>
      </c>
      <c r="G52" s="19" t="str">
        <f t="shared" si="1"/>
        <v>Walk</v>
      </c>
      <c r="H52" s="19" t="str">
        <f t="shared" si="2"/>
        <v>Taxi</v>
      </c>
      <c r="AB52" s="155" t="str">
        <f t="shared" si="3"/>
        <v>wlk-</v>
      </c>
      <c r="AC52" s="156" t="str">
        <f t="shared" si="4"/>
        <v>-</v>
      </c>
      <c r="AD52" s="2" t="str">
        <f t="shared" si="5"/>
        <v>---</v>
      </c>
    </row>
    <row r="53" spans="1:30" x14ac:dyDescent="0.2">
      <c r="A53" s="2" t="s">
        <v>97</v>
      </c>
      <c r="B53" s="2" t="s">
        <v>60</v>
      </c>
      <c r="C53" s="2">
        <v>7</v>
      </c>
      <c r="D53" s="2">
        <v>20</v>
      </c>
      <c r="E53" s="2">
        <v>0</v>
      </c>
      <c r="F53" s="19" t="str">
        <f t="shared" si="0"/>
        <v>Individual At-Work</v>
      </c>
      <c r="G53" s="19" t="str">
        <f t="shared" si="1"/>
        <v>Walk</v>
      </c>
      <c r="H53" s="19" t="str">
        <f t="shared" si="2"/>
        <v>TNC-Single</v>
      </c>
      <c r="AB53" s="155" t="str">
        <f t="shared" si="3"/>
        <v>wlk-</v>
      </c>
      <c r="AC53" s="156" t="str">
        <f t="shared" si="4"/>
        <v>-</v>
      </c>
      <c r="AD53" s="2" t="str">
        <f t="shared" si="5"/>
        <v>---</v>
      </c>
    </row>
    <row r="54" spans="1:30" x14ac:dyDescent="0.2">
      <c r="A54" s="2" t="s">
        <v>97</v>
      </c>
      <c r="B54" s="2" t="s">
        <v>60</v>
      </c>
      <c r="C54" s="2">
        <v>8</v>
      </c>
      <c r="D54" s="2">
        <v>7</v>
      </c>
      <c r="E54" s="2">
        <v>0</v>
      </c>
      <c r="F54" s="19" t="str">
        <f t="shared" si="0"/>
        <v>Individual At-Work</v>
      </c>
      <c r="G54" s="19" t="str">
        <f t="shared" si="1"/>
        <v>Bike</v>
      </c>
      <c r="H54" s="19" t="str">
        <f t="shared" si="2"/>
        <v>Walk</v>
      </c>
      <c r="AB54" s="155" t="str">
        <f t="shared" si="3"/>
        <v>wlk-</v>
      </c>
      <c r="AC54" s="156" t="str">
        <f t="shared" si="4"/>
        <v>-</v>
      </c>
      <c r="AD54" s="2" t="str">
        <f t="shared" si="5"/>
        <v>---</v>
      </c>
    </row>
    <row r="55" spans="1:30" x14ac:dyDescent="0.2">
      <c r="A55" s="2" t="s">
        <v>97</v>
      </c>
      <c r="B55" s="2" t="s">
        <v>60</v>
      </c>
      <c r="C55" s="2">
        <v>8</v>
      </c>
      <c r="D55" s="2">
        <v>8</v>
      </c>
      <c r="E55" s="2">
        <v>0</v>
      </c>
      <c r="F55" s="19" t="str">
        <f t="shared" si="0"/>
        <v>Individual At-Work</v>
      </c>
      <c r="G55" s="19" t="str">
        <f t="shared" si="1"/>
        <v>Bike</v>
      </c>
      <c r="H55" s="19" t="str">
        <f t="shared" si="2"/>
        <v>Bike</v>
      </c>
      <c r="AB55" s="155" t="str">
        <f t="shared" si="3"/>
        <v>wlk-</v>
      </c>
      <c r="AC55" s="156" t="str">
        <f t="shared" si="4"/>
        <v>-</v>
      </c>
      <c r="AD55" s="2" t="str">
        <f t="shared" si="5"/>
        <v>---</v>
      </c>
    </row>
    <row r="56" spans="1:30" x14ac:dyDescent="0.2">
      <c r="A56" s="2" t="s">
        <v>97</v>
      </c>
      <c r="B56" s="2" t="s">
        <v>60</v>
      </c>
      <c r="C56" s="2">
        <v>8</v>
      </c>
      <c r="D56" s="2">
        <v>19</v>
      </c>
      <c r="E56" s="2">
        <v>0</v>
      </c>
      <c r="F56" s="19" t="str">
        <f t="shared" si="0"/>
        <v>Individual At-Work</v>
      </c>
      <c r="G56" s="19" t="str">
        <f t="shared" si="1"/>
        <v>Bike</v>
      </c>
      <c r="H56" s="19" t="str">
        <f t="shared" si="2"/>
        <v>Taxi</v>
      </c>
      <c r="AB56" s="155" t="str">
        <f t="shared" si="3"/>
        <v>wlk-</v>
      </c>
      <c r="AC56" s="156" t="str">
        <f t="shared" si="4"/>
        <v>-</v>
      </c>
      <c r="AD56" s="2" t="str">
        <f t="shared" si="5"/>
        <v>---</v>
      </c>
    </row>
    <row r="57" spans="1:30" x14ac:dyDescent="0.2">
      <c r="A57" s="2" t="s">
        <v>97</v>
      </c>
      <c r="B57" s="2" t="s">
        <v>60</v>
      </c>
      <c r="C57" s="2">
        <v>9</v>
      </c>
      <c r="D57" s="2">
        <v>5</v>
      </c>
      <c r="E57" s="2">
        <v>0</v>
      </c>
      <c r="F57" s="19" t="str">
        <f t="shared" si="0"/>
        <v>Individual At-Work</v>
      </c>
      <c r="G57" s="19" t="str">
        <f t="shared" si="1"/>
        <v>Walk-Transit</v>
      </c>
      <c r="H57" s="19" t="str">
        <f t="shared" si="2"/>
        <v>SR3+</v>
      </c>
      <c r="AB57" s="155" t="str">
        <f t="shared" si="3"/>
        <v>wlk-</v>
      </c>
      <c r="AC57" s="156" t="str">
        <f t="shared" si="4"/>
        <v>-</v>
      </c>
      <c r="AD57" s="2" t="str">
        <f t="shared" si="5"/>
        <v>---</v>
      </c>
    </row>
    <row r="58" spans="1:30" x14ac:dyDescent="0.2">
      <c r="A58" s="2" t="s">
        <v>97</v>
      </c>
      <c r="B58" s="2" t="s">
        <v>60</v>
      </c>
      <c r="C58" s="2">
        <v>9</v>
      </c>
      <c r="D58" s="2">
        <v>7</v>
      </c>
      <c r="E58" s="2">
        <v>0</v>
      </c>
      <c r="F58" s="19" t="str">
        <f t="shared" si="0"/>
        <v>Individual At-Work</v>
      </c>
      <c r="G58" s="19" t="str">
        <f t="shared" si="1"/>
        <v>Walk-Transit</v>
      </c>
      <c r="H58" s="19" t="str">
        <f t="shared" si="2"/>
        <v>Walk</v>
      </c>
      <c r="AB58" s="155" t="str">
        <f t="shared" si="3"/>
        <v>wlk-</v>
      </c>
      <c r="AC58" s="156" t="str">
        <f t="shared" si="4"/>
        <v>-</v>
      </c>
      <c r="AD58" s="2" t="str">
        <f t="shared" si="5"/>
        <v>---</v>
      </c>
    </row>
    <row r="59" spans="1:30" x14ac:dyDescent="0.2">
      <c r="A59" s="2" t="s">
        <v>97</v>
      </c>
      <c r="B59" s="2" t="s">
        <v>60</v>
      </c>
      <c r="C59" s="2">
        <v>9</v>
      </c>
      <c r="D59" s="2">
        <v>9</v>
      </c>
      <c r="E59" s="2">
        <v>0</v>
      </c>
      <c r="F59" s="19" t="str">
        <f t="shared" si="0"/>
        <v>Individual At-Work</v>
      </c>
      <c r="G59" s="19" t="str">
        <f t="shared" si="1"/>
        <v>Walk-Transit</v>
      </c>
      <c r="H59" s="19" t="str">
        <f t="shared" si="2"/>
        <v>Walk-Local</v>
      </c>
      <c r="AB59" s="155" t="str">
        <f t="shared" si="3"/>
        <v>wlk-</v>
      </c>
      <c r="AC59" s="156" t="str">
        <f t="shared" si="4"/>
        <v>-</v>
      </c>
      <c r="AD59" s="2" t="str">
        <f t="shared" si="5"/>
        <v>---</v>
      </c>
    </row>
    <row r="60" spans="1:30" x14ac:dyDescent="0.2">
      <c r="A60" s="2" t="s">
        <v>97</v>
      </c>
      <c r="B60" s="2" t="s">
        <v>60</v>
      </c>
      <c r="C60" s="2">
        <v>9</v>
      </c>
      <c r="D60" s="2">
        <v>19</v>
      </c>
      <c r="E60" s="2">
        <v>0</v>
      </c>
      <c r="F60" s="19" t="str">
        <f t="shared" si="0"/>
        <v>Individual At-Work</v>
      </c>
      <c r="G60" s="19" t="str">
        <f t="shared" si="1"/>
        <v>Walk-Transit</v>
      </c>
      <c r="H60" s="19" t="str">
        <f t="shared" si="2"/>
        <v>Taxi</v>
      </c>
      <c r="AB60" s="155" t="str">
        <f t="shared" si="3"/>
        <v>wlk-</v>
      </c>
      <c r="AC60" s="156" t="str">
        <f t="shared" si="4"/>
        <v>-</v>
      </c>
      <c r="AD60" s="2" t="str">
        <f t="shared" si="5"/>
        <v>---</v>
      </c>
    </row>
    <row r="61" spans="1:30" x14ac:dyDescent="0.2">
      <c r="A61" s="2" t="s">
        <v>97</v>
      </c>
      <c r="B61" s="2" t="s">
        <v>60</v>
      </c>
      <c r="C61" s="2">
        <v>9</v>
      </c>
      <c r="D61" s="2">
        <v>20</v>
      </c>
      <c r="E61" s="2">
        <v>0</v>
      </c>
      <c r="F61" s="19" t="str">
        <f t="shared" si="0"/>
        <v>Individual At-Work</v>
      </c>
      <c r="G61" s="19" t="str">
        <f t="shared" si="1"/>
        <v>Walk-Transit</v>
      </c>
      <c r="H61" s="19" t="str">
        <f t="shared" si="2"/>
        <v>TNC-Single</v>
      </c>
      <c r="AB61" s="155" t="str">
        <f t="shared" si="3"/>
        <v>wlk-</v>
      </c>
      <c r="AC61" s="156" t="str">
        <f t="shared" si="4"/>
        <v>-</v>
      </c>
      <c r="AD61" s="2" t="str">
        <f t="shared" si="5"/>
        <v>---</v>
      </c>
    </row>
    <row r="62" spans="1:30" x14ac:dyDescent="0.2">
      <c r="A62" s="2" t="s">
        <v>97</v>
      </c>
      <c r="B62" s="2" t="s">
        <v>60</v>
      </c>
      <c r="C62" s="2">
        <v>10</v>
      </c>
      <c r="D62" s="2">
        <v>-10</v>
      </c>
      <c r="E62" s="2">
        <v>0</v>
      </c>
      <c r="F62" s="19" t="str">
        <f t="shared" si="0"/>
        <v>Individual At-Work</v>
      </c>
      <c r="G62" s="19" t="str">
        <f t="shared" si="1"/>
        <v>Walk-Transit</v>
      </c>
      <c r="H62" s="19" t="str">
        <f t="shared" si="2"/>
        <v>Walk-Ferry</v>
      </c>
      <c r="AB62" s="155" t="str">
        <f t="shared" si="3"/>
        <v>wlk-</v>
      </c>
      <c r="AC62" s="156" t="str">
        <f t="shared" si="4"/>
        <v>-</v>
      </c>
      <c r="AD62" s="2" t="str">
        <f t="shared" si="5"/>
        <v>---</v>
      </c>
    </row>
    <row r="63" spans="1:30" x14ac:dyDescent="0.2">
      <c r="A63" s="2" t="s">
        <v>97</v>
      </c>
      <c r="B63" s="2" t="s">
        <v>60</v>
      </c>
      <c r="C63" s="2">
        <v>10</v>
      </c>
      <c r="D63" s="2">
        <v>3</v>
      </c>
      <c r="E63" s="2">
        <v>0</v>
      </c>
      <c r="F63" s="19" t="str">
        <f t="shared" si="0"/>
        <v>Individual At-Work</v>
      </c>
      <c r="G63" s="19" t="str">
        <f t="shared" si="1"/>
        <v>Walk-Transit</v>
      </c>
      <c r="H63" s="19" t="str">
        <f t="shared" si="2"/>
        <v>SR2</v>
      </c>
      <c r="AB63" s="155" t="str">
        <f t="shared" si="3"/>
        <v>wlk-</v>
      </c>
      <c r="AC63" s="156" t="str">
        <f t="shared" si="4"/>
        <v>-</v>
      </c>
      <c r="AD63" s="2" t="str">
        <f t="shared" si="5"/>
        <v>---</v>
      </c>
    </row>
    <row r="64" spans="1:30" x14ac:dyDescent="0.2">
      <c r="A64" s="2" t="s">
        <v>97</v>
      </c>
      <c r="B64" s="2" t="s">
        <v>60</v>
      </c>
      <c r="C64" s="2">
        <v>10</v>
      </c>
      <c r="D64" s="2">
        <v>5</v>
      </c>
      <c r="E64" s="2">
        <v>0</v>
      </c>
      <c r="F64" s="19" t="str">
        <f t="shared" si="0"/>
        <v>Individual At-Work</v>
      </c>
      <c r="G64" s="19" t="str">
        <f t="shared" si="1"/>
        <v>Walk-Transit</v>
      </c>
      <c r="H64" s="19" t="str">
        <f t="shared" si="2"/>
        <v>SR3+</v>
      </c>
      <c r="AB64" s="155" t="str">
        <f t="shared" si="3"/>
        <v>wlk-</v>
      </c>
      <c r="AC64" s="156" t="str">
        <f t="shared" si="4"/>
        <v>-</v>
      </c>
      <c r="AD64" s="2" t="str">
        <f t="shared" si="5"/>
        <v>---</v>
      </c>
    </row>
    <row r="65" spans="1:30" x14ac:dyDescent="0.2">
      <c r="A65" s="2" t="s">
        <v>97</v>
      </c>
      <c r="B65" s="2" t="s">
        <v>60</v>
      </c>
      <c r="C65" s="2">
        <v>10</v>
      </c>
      <c r="D65" s="2">
        <v>7</v>
      </c>
      <c r="E65" s="2">
        <v>0</v>
      </c>
      <c r="F65" s="19" t="str">
        <f t="shared" si="0"/>
        <v>Individual At-Work</v>
      </c>
      <c r="G65" s="19" t="str">
        <f t="shared" si="1"/>
        <v>Walk-Transit</v>
      </c>
      <c r="H65" s="19" t="str">
        <f t="shared" si="2"/>
        <v>Walk</v>
      </c>
      <c r="AB65" s="155" t="str">
        <f t="shared" si="3"/>
        <v>wlk-</v>
      </c>
      <c r="AC65" s="156" t="str">
        <f t="shared" si="4"/>
        <v>-</v>
      </c>
      <c r="AD65" s="2" t="str">
        <f t="shared" si="5"/>
        <v>---</v>
      </c>
    </row>
    <row r="66" spans="1:30" x14ac:dyDescent="0.2">
      <c r="A66" s="2" t="s">
        <v>97</v>
      </c>
      <c r="B66" s="2" t="s">
        <v>60</v>
      </c>
      <c r="C66" s="2">
        <v>10</v>
      </c>
      <c r="D66" s="2">
        <v>9</v>
      </c>
      <c r="E66" s="2">
        <v>0</v>
      </c>
      <c r="F66" s="19" t="str">
        <f t="shared" si="0"/>
        <v>Individual At-Work</v>
      </c>
      <c r="G66" s="19" t="str">
        <f t="shared" si="1"/>
        <v>Walk-Transit</v>
      </c>
      <c r="H66" s="19" t="str">
        <f t="shared" si="2"/>
        <v>Walk-Local</v>
      </c>
      <c r="AB66" s="155" t="str">
        <f t="shared" si="3"/>
        <v>wlk-</v>
      </c>
      <c r="AC66" s="156" t="str">
        <f t="shared" si="4"/>
        <v>-</v>
      </c>
      <c r="AD66" s="2" t="str">
        <f t="shared" si="5"/>
        <v>---</v>
      </c>
    </row>
    <row r="67" spans="1:30" x14ac:dyDescent="0.2">
      <c r="A67" s="2" t="s">
        <v>97</v>
      </c>
      <c r="B67" s="2" t="s">
        <v>60</v>
      </c>
      <c r="C67" s="2">
        <v>10</v>
      </c>
      <c r="D67" s="2">
        <v>10</v>
      </c>
      <c r="E67" s="2">
        <v>0</v>
      </c>
      <c r="F67" s="19" t="str">
        <f t="shared" ref="F67:F130" si="6">IF(A67="joint","Joint",_xlfn.IFNA(VLOOKUP(B67,tour_purposes,2,FALSE),"None"))</f>
        <v>Individual At-Work</v>
      </c>
      <c r="G67" s="19" t="str">
        <f t="shared" ref="G67:G130" si="7">IF(AND(A67="joint",C67&lt;=6),"Auto",_xlfn.IFNA(VLOOKUP(C67,tour_modes,3,FALSE),"None"))</f>
        <v>Walk-Transit</v>
      </c>
      <c r="H67" s="19" t="str">
        <f t="shared" ref="H67:H130" si="8">_xlfn.IFNA(VLOOKUP(D67,trip_modes,2,FALSE),"None")</f>
        <v>Walk-LRT</v>
      </c>
      <c r="AB67" s="155" t="str">
        <f t="shared" si="3"/>
        <v>wlk-</v>
      </c>
      <c r="AC67" s="156" t="str">
        <f t="shared" si="4"/>
        <v>-</v>
      </c>
      <c r="AD67" s="2" t="str">
        <f t="shared" si="5"/>
        <v>---</v>
      </c>
    </row>
    <row r="68" spans="1:30" x14ac:dyDescent="0.2">
      <c r="A68" s="2" t="s">
        <v>97</v>
      </c>
      <c r="B68" s="2" t="s">
        <v>60</v>
      </c>
      <c r="C68" s="2">
        <v>10</v>
      </c>
      <c r="D68" s="2">
        <v>19</v>
      </c>
      <c r="E68" s="2">
        <v>0</v>
      </c>
      <c r="F68" s="19" t="str">
        <f t="shared" si="6"/>
        <v>Individual At-Work</v>
      </c>
      <c r="G68" s="19" t="str">
        <f t="shared" si="7"/>
        <v>Walk-Transit</v>
      </c>
      <c r="H68" s="19" t="str">
        <f t="shared" si="8"/>
        <v>Taxi</v>
      </c>
      <c r="AB68" s="155" t="str">
        <f t="shared" ref="AB68:AB131" si="9">CONCATENATE(IF(OR(R68="drv",S68="drv"),"drv","wlk"),"-",U68)</f>
        <v>wlk-</v>
      </c>
      <c r="AC68" s="156" t="str">
        <f t="shared" ref="AC68:AC131" si="10">CONCATENATE(T68,"-",U68)</f>
        <v>-</v>
      </c>
      <c r="AD68" s="2" t="str">
        <f t="shared" ref="AD68:AD131" si="11">CONCATENATE(R68,"-",S68,"-",T68,"-",U68)</f>
        <v>---</v>
      </c>
    </row>
    <row r="69" spans="1:30" x14ac:dyDescent="0.2">
      <c r="A69" s="2" t="s">
        <v>97</v>
      </c>
      <c r="B69" s="2" t="s">
        <v>60</v>
      </c>
      <c r="C69" s="2">
        <v>11</v>
      </c>
      <c r="D69" s="2">
        <v>-10</v>
      </c>
      <c r="E69" s="2">
        <v>0</v>
      </c>
      <c r="F69" s="19" t="str">
        <f t="shared" si="6"/>
        <v>Individual At-Work</v>
      </c>
      <c r="G69" s="19" t="str">
        <f t="shared" si="7"/>
        <v>Walk-Transit</v>
      </c>
      <c r="H69" s="19" t="str">
        <f t="shared" si="8"/>
        <v>Walk-Ferry</v>
      </c>
      <c r="AB69" s="155" t="str">
        <f t="shared" si="9"/>
        <v>wlk-</v>
      </c>
      <c r="AC69" s="156" t="str">
        <f t="shared" si="10"/>
        <v>-</v>
      </c>
      <c r="AD69" s="2" t="str">
        <f t="shared" si="11"/>
        <v>---</v>
      </c>
    </row>
    <row r="70" spans="1:30" x14ac:dyDescent="0.2">
      <c r="A70" s="2" t="s">
        <v>97</v>
      </c>
      <c r="B70" s="2" t="s">
        <v>60</v>
      </c>
      <c r="C70" s="2">
        <v>11</v>
      </c>
      <c r="D70" s="2">
        <v>7</v>
      </c>
      <c r="E70" s="2">
        <v>0</v>
      </c>
      <c r="F70" s="19" t="str">
        <f t="shared" si="6"/>
        <v>Individual At-Work</v>
      </c>
      <c r="G70" s="19" t="str">
        <f t="shared" si="7"/>
        <v>Walk-Transit</v>
      </c>
      <c r="H70" s="19" t="str">
        <f t="shared" si="8"/>
        <v>Walk</v>
      </c>
      <c r="AB70" s="155" t="str">
        <f t="shared" si="9"/>
        <v>wlk-</v>
      </c>
      <c r="AC70" s="156" t="str">
        <f t="shared" si="10"/>
        <v>-</v>
      </c>
      <c r="AD70" s="2" t="str">
        <f t="shared" si="11"/>
        <v>---</v>
      </c>
    </row>
    <row r="71" spans="1:30" x14ac:dyDescent="0.2">
      <c r="A71" s="2" t="s">
        <v>97</v>
      </c>
      <c r="B71" s="2" t="s">
        <v>60</v>
      </c>
      <c r="C71" s="2">
        <v>11</v>
      </c>
      <c r="D71" s="2">
        <v>9</v>
      </c>
      <c r="E71" s="2">
        <v>0</v>
      </c>
      <c r="F71" s="19" t="str">
        <f t="shared" si="6"/>
        <v>Individual At-Work</v>
      </c>
      <c r="G71" s="19" t="str">
        <f t="shared" si="7"/>
        <v>Walk-Transit</v>
      </c>
      <c r="H71" s="19" t="str">
        <f t="shared" si="8"/>
        <v>Walk-Local</v>
      </c>
      <c r="AB71" s="155" t="str">
        <f t="shared" si="9"/>
        <v>wlk-</v>
      </c>
      <c r="AC71" s="156" t="str">
        <f t="shared" si="10"/>
        <v>-</v>
      </c>
      <c r="AD71" s="2" t="str">
        <f t="shared" si="11"/>
        <v>---</v>
      </c>
    </row>
    <row r="72" spans="1:30" x14ac:dyDescent="0.2">
      <c r="A72" s="2" t="s">
        <v>97</v>
      </c>
      <c r="B72" s="2" t="s">
        <v>60</v>
      </c>
      <c r="C72" s="2">
        <v>11</v>
      </c>
      <c r="D72" s="2">
        <v>10</v>
      </c>
      <c r="E72" s="2">
        <v>0</v>
      </c>
      <c r="F72" s="19" t="str">
        <f t="shared" si="6"/>
        <v>Individual At-Work</v>
      </c>
      <c r="G72" s="19" t="str">
        <f t="shared" si="7"/>
        <v>Walk-Transit</v>
      </c>
      <c r="H72" s="19" t="str">
        <f t="shared" si="8"/>
        <v>Walk-LRT</v>
      </c>
      <c r="AB72" s="155" t="str">
        <f t="shared" si="9"/>
        <v>wlk-</v>
      </c>
      <c r="AC72" s="156" t="str">
        <f t="shared" si="10"/>
        <v>-</v>
      </c>
      <c r="AD72" s="2" t="str">
        <f t="shared" si="11"/>
        <v>---</v>
      </c>
    </row>
    <row r="73" spans="1:30" x14ac:dyDescent="0.2">
      <c r="A73" s="2" t="s">
        <v>97</v>
      </c>
      <c r="B73" s="2" t="s">
        <v>60</v>
      </c>
      <c r="C73" s="2">
        <v>11</v>
      </c>
      <c r="D73" s="2">
        <v>11</v>
      </c>
      <c r="E73" s="2">
        <v>0</v>
      </c>
      <c r="F73" s="19" t="str">
        <f t="shared" si="6"/>
        <v>Individual At-Work</v>
      </c>
      <c r="G73" s="19" t="str">
        <f t="shared" si="7"/>
        <v>Walk-Transit</v>
      </c>
      <c r="H73" s="19" t="str">
        <f t="shared" si="8"/>
        <v>Walk-Express</v>
      </c>
      <c r="AB73" s="155" t="str">
        <f t="shared" si="9"/>
        <v>wlk-</v>
      </c>
      <c r="AC73" s="156" t="str">
        <f t="shared" si="10"/>
        <v>-</v>
      </c>
      <c r="AD73" s="2" t="str">
        <f t="shared" si="11"/>
        <v>---</v>
      </c>
    </row>
    <row r="74" spans="1:30" x14ac:dyDescent="0.2">
      <c r="A74" s="2" t="s">
        <v>97</v>
      </c>
      <c r="B74" s="2" t="s">
        <v>60</v>
      </c>
      <c r="C74" s="2">
        <v>12</v>
      </c>
      <c r="D74" s="2">
        <v>3</v>
      </c>
      <c r="E74" s="2">
        <v>0</v>
      </c>
      <c r="F74" s="19" t="str">
        <f t="shared" si="6"/>
        <v>Individual At-Work</v>
      </c>
      <c r="G74" s="19" t="str">
        <f t="shared" si="7"/>
        <v>Walk-Transit</v>
      </c>
      <c r="H74" s="19" t="str">
        <f t="shared" si="8"/>
        <v>SR2</v>
      </c>
      <c r="AB74" s="155" t="str">
        <f t="shared" si="9"/>
        <v>wlk-</v>
      </c>
      <c r="AC74" s="156" t="str">
        <f t="shared" si="10"/>
        <v>-</v>
      </c>
      <c r="AD74" s="2" t="str">
        <f t="shared" si="11"/>
        <v>---</v>
      </c>
    </row>
    <row r="75" spans="1:30" x14ac:dyDescent="0.2">
      <c r="A75" s="2" t="s">
        <v>97</v>
      </c>
      <c r="B75" s="2" t="s">
        <v>60</v>
      </c>
      <c r="C75" s="2">
        <v>12</v>
      </c>
      <c r="D75" s="2">
        <v>7</v>
      </c>
      <c r="E75" s="2">
        <v>0</v>
      </c>
      <c r="F75" s="19" t="str">
        <f t="shared" si="6"/>
        <v>Individual At-Work</v>
      </c>
      <c r="G75" s="19" t="str">
        <f t="shared" si="7"/>
        <v>Walk-Transit</v>
      </c>
      <c r="H75" s="19" t="str">
        <f t="shared" si="8"/>
        <v>Walk</v>
      </c>
      <c r="AB75" s="155" t="str">
        <f t="shared" si="9"/>
        <v>wlk-</v>
      </c>
      <c r="AC75" s="156" t="str">
        <f t="shared" si="10"/>
        <v>-</v>
      </c>
      <c r="AD75" s="2" t="str">
        <f t="shared" si="11"/>
        <v>---</v>
      </c>
    </row>
    <row r="76" spans="1:30" x14ac:dyDescent="0.2">
      <c r="A76" s="2" t="s">
        <v>97</v>
      </c>
      <c r="B76" s="2" t="s">
        <v>60</v>
      </c>
      <c r="C76" s="2">
        <v>12</v>
      </c>
      <c r="D76" s="2">
        <v>9</v>
      </c>
      <c r="E76" s="2">
        <v>0</v>
      </c>
      <c r="F76" s="19" t="str">
        <f t="shared" si="6"/>
        <v>Individual At-Work</v>
      </c>
      <c r="G76" s="19" t="str">
        <f t="shared" si="7"/>
        <v>Walk-Transit</v>
      </c>
      <c r="H76" s="19" t="str">
        <f t="shared" si="8"/>
        <v>Walk-Local</v>
      </c>
      <c r="AB76" s="155" t="str">
        <f t="shared" si="9"/>
        <v>wlk-</v>
      </c>
      <c r="AC76" s="156" t="str">
        <f t="shared" si="10"/>
        <v>-</v>
      </c>
      <c r="AD76" s="2" t="str">
        <f t="shared" si="11"/>
        <v>---</v>
      </c>
    </row>
    <row r="77" spans="1:30" x14ac:dyDescent="0.2">
      <c r="A77" s="2" t="s">
        <v>97</v>
      </c>
      <c r="B77" s="2" t="s">
        <v>60</v>
      </c>
      <c r="C77" s="2">
        <v>12</v>
      </c>
      <c r="D77" s="2">
        <v>10</v>
      </c>
      <c r="E77" s="2">
        <v>0</v>
      </c>
      <c r="F77" s="19" t="str">
        <f t="shared" si="6"/>
        <v>Individual At-Work</v>
      </c>
      <c r="G77" s="19" t="str">
        <f t="shared" si="7"/>
        <v>Walk-Transit</v>
      </c>
      <c r="H77" s="19" t="str">
        <f t="shared" si="8"/>
        <v>Walk-LRT</v>
      </c>
      <c r="AB77" s="155" t="str">
        <f t="shared" si="9"/>
        <v>wlk-</v>
      </c>
      <c r="AC77" s="156" t="str">
        <f t="shared" si="10"/>
        <v>-</v>
      </c>
      <c r="AD77" s="2" t="str">
        <f t="shared" si="11"/>
        <v>---</v>
      </c>
    </row>
    <row r="78" spans="1:30" x14ac:dyDescent="0.2">
      <c r="A78" s="2" t="s">
        <v>97</v>
      </c>
      <c r="B78" s="2" t="s">
        <v>60</v>
      </c>
      <c r="C78" s="2">
        <v>12</v>
      </c>
      <c r="D78" s="2">
        <v>11</v>
      </c>
      <c r="E78" s="2">
        <v>0</v>
      </c>
      <c r="F78" s="19" t="str">
        <f t="shared" si="6"/>
        <v>Individual At-Work</v>
      </c>
      <c r="G78" s="19" t="str">
        <f t="shared" si="7"/>
        <v>Walk-Transit</v>
      </c>
      <c r="H78" s="19" t="str">
        <f t="shared" si="8"/>
        <v>Walk-Express</v>
      </c>
      <c r="AB78" s="155" t="str">
        <f t="shared" si="9"/>
        <v>wlk-</v>
      </c>
      <c r="AC78" s="156" t="str">
        <f t="shared" si="10"/>
        <v>-</v>
      </c>
      <c r="AD78" s="2" t="str">
        <f t="shared" si="11"/>
        <v>---</v>
      </c>
    </row>
    <row r="79" spans="1:30" x14ac:dyDescent="0.2">
      <c r="A79" s="2" t="s">
        <v>97</v>
      </c>
      <c r="B79" s="2" t="s">
        <v>60</v>
      </c>
      <c r="C79" s="2">
        <v>12</v>
      </c>
      <c r="D79" s="2">
        <v>12</v>
      </c>
      <c r="E79" s="2">
        <v>0</v>
      </c>
      <c r="F79" s="19" t="str">
        <f t="shared" si="6"/>
        <v>Individual At-Work</v>
      </c>
      <c r="G79" s="19" t="str">
        <f t="shared" si="7"/>
        <v>Walk-Transit</v>
      </c>
      <c r="H79" s="19" t="str">
        <f t="shared" si="8"/>
        <v>Walk-HeavyR</v>
      </c>
      <c r="AB79" s="155" t="str">
        <f t="shared" si="9"/>
        <v>wlk-</v>
      </c>
      <c r="AC79" s="156" t="str">
        <f t="shared" si="10"/>
        <v>-</v>
      </c>
      <c r="AD79" s="2" t="str">
        <f t="shared" si="11"/>
        <v>---</v>
      </c>
    </row>
    <row r="80" spans="1:30" x14ac:dyDescent="0.2">
      <c r="A80" s="2" t="s">
        <v>97</v>
      </c>
      <c r="B80" s="2" t="s">
        <v>60</v>
      </c>
      <c r="C80" s="2">
        <v>12</v>
      </c>
      <c r="D80" s="2">
        <v>19</v>
      </c>
      <c r="E80" s="2">
        <v>0</v>
      </c>
      <c r="F80" s="19" t="str">
        <f t="shared" si="6"/>
        <v>Individual At-Work</v>
      </c>
      <c r="G80" s="19" t="str">
        <f t="shared" si="7"/>
        <v>Walk-Transit</v>
      </c>
      <c r="H80" s="19" t="str">
        <f t="shared" si="8"/>
        <v>Taxi</v>
      </c>
      <c r="AB80" s="155" t="str">
        <f t="shared" si="9"/>
        <v>wlk-</v>
      </c>
      <c r="AC80" s="156" t="str">
        <f t="shared" si="10"/>
        <v>-</v>
      </c>
      <c r="AD80" s="2" t="str">
        <f t="shared" si="11"/>
        <v>---</v>
      </c>
    </row>
    <row r="81" spans="1:30" x14ac:dyDescent="0.2">
      <c r="A81" s="2" t="s">
        <v>97</v>
      </c>
      <c r="B81" s="2" t="s">
        <v>60</v>
      </c>
      <c r="C81" s="2">
        <v>13</v>
      </c>
      <c r="D81" s="2">
        <v>7</v>
      </c>
      <c r="E81" s="2">
        <v>0</v>
      </c>
      <c r="F81" s="19" t="str">
        <f t="shared" si="6"/>
        <v>Individual At-Work</v>
      </c>
      <c r="G81" s="19" t="str">
        <f t="shared" si="7"/>
        <v>Walk-Transit</v>
      </c>
      <c r="H81" s="19" t="str">
        <f t="shared" si="8"/>
        <v>Walk</v>
      </c>
      <c r="AB81" s="155" t="str">
        <f t="shared" si="9"/>
        <v>wlk-</v>
      </c>
      <c r="AC81" s="156" t="str">
        <f t="shared" si="10"/>
        <v>-</v>
      </c>
      <c r="AD81" s="2" t="str">
        <f t="shared" si="11"/>
        <v>---</v>
      </c>
    </row>
    <row r="82" spans="1:30" x14ac:dyDescent="0.2">
      <c r="A82" s="2" t="s">
        <v>97</v>
      </c>
      <c r="B82" s="2" t="s">
        <v>60</v>
      </c>
      <c r="C82" s="2">
        <v>13</v>
      </c>
      <c r="D82" s="2">
        <v>9</v>
      </c>
      <c r="E82" s="2">
        <v>0</v>
      </c>
      <c r="F82" s="19" t="str">
        <f t="shared" si="6"/>
        <v>Individual At-Work</v>
      </c>
      <c r="G82" s="19" t="str">
        <f t="shared" si="7"/>
        <v>Walk-Transit</v>
      </c>
      <c r="H82" s="19" t="str">
        <f t="shared" si="8"/>
        <v>Walk-Local</v>
      </c>
      <c r="AB82" s="155" t="str">
        <f t="shared" si="9"/>
        <v>wlk-</v>
      </c>
      <c r="AC82" s="156" t="str">
        <f t="shared" si="10"/>
        <v>-</v>
      </c>
      <c r="AD82" s="2" t="str">
        <f t="shared" si="11"/>
        <v>---</v>
      </c>
    </row>
    <row r="83" spans="1:30" x14ac:dyDescent="0.2">
      <c r="A83" s="2" t="s">
        <v>97</v>
      </c>
      <c r="B83" s="2" t="s">
        <v>60</v>
      </c>
      <c r="C83" s="2">
        <v>13</v>
      </c>
      <c r="D83" s="2">
        <v>10</v>
      </c>
      <c r="E83" s="2">
        <v>0</v>
      </c>
      <c r="F83" s="19" t="str">
        <f t="shared" si="6"/>
        <v>Individual At-Work</v>
      </c>
      <c r="G83" s="19" t="str">
        <f t="shared" si="7"/>
        <v>Walk-Transit</v>
      </c>
      <c r="H83" s="19" t="str">
        <f t="shared" si="8"/>
        <v>Walk-LRT</v>
      </c>
      <c r="AB83" s="155" t="str">
        <f t="shared" si="9"/>
        <v>wlk-</v>
      </c>
      <c r="AC83" s="156" t="str">
        <f t="shared" si="10"/>
        <v>-</v>
      </c>
      <c r="AD83" s="2" t="str">
        <f t="shared" si="11"/>
        <v>---</v>
      </c>
    </row>
    <row r="84" spans="1:30" x14ac:dyDescent="0.2">
      <c r="A84" s="2" t="s">
        <v>97</v>
      </c>
      <c r="B84" s="2" t="s">
        <v>60</v>
      </c>
      <c r="C84" s="2">
        <v>13</v>
      </c>
      <c r="D84" s="2">
        <v>12</v>
      </c>
      <c r="E84" s="2">
        <v>0</v>
      </c>
      <c r="F84" s="19" t="str">
        <f t="shared" si="6"/>
        <v>Individual At-Work</v>
      </c>
      <c r="G84" s="19" t="str">
        <f t="shared" si="7"/>
        <v>Walk-Transit</v>
      </c>
      <c r="H84" s="19" t="str">
        <f t="shared" si="8"/>
        <v>Walk-HeavyR</v>
      </c>
      <c r="AB84" s="155" t="str">
        <f t="shared" si="9"/>
        <v>wlk-</v>
      </c>
      <c r="AC84" s="156" t="str">
        <f t="shared" si="10"/>
        <v>-</v>
      </c>
      <c r="AD84" s="2" t="str">
        <f t="shared" si="11"/>
        <v>---</v>
      </c>
    </row>
    <row r="85" spans="1:30" x14ac:dyDescent="0.2">
      <c r="A85" s="2" t="s">
        <v>97</v>
      </c>
      <c r="B85" s="2" t="s">
        <v>60</v>
      </c>
      <c r="C85" s="2">
        <v>13</v>
      </c>
      <c r="D85" s="2">
        <v>13</v>
      </c>
      <c r="E85" s="2">
        <v>0</v>
      </c>
      <c r="F85" s="19" t="str">
        <f t="shared" si="6"/>
        <v>Individual At-Work</v>
      </c>
      <c r="G85" s="19" t="str">
        <f t="shared" si="7"/>
        <v>Walk-Transit</v>
      </c>
      <c r="H85" s="19" t="str">
        <f t="shared" si="8"/>
        <v>Walk-CommR</v>
      </c>
      <c r="AB85" s="155" t="str">
        <f t="shared" si="9"/>
        <v>wlk-</v>
      </c>
      <c r="AC85" s="156" t="str">
        <f t="shared" si="10"/>
        <v>-</v>
      </c>
      <c r="AD85" s="2" t="str">
        <f t="shared" si="11"/>
        <v>---</v>
      </c>
    </row>
    <row r="86" spans="1:30" x14ac:dyDescent="0.2">
      <c r="A86" s="2" t="s">
        <v>97</v>
      </c>
      <c r="B86" s="2" t="s">
        <v>60</v>
      </c>
      <c r="C86" s="2">
        <v>19</v>
      </c>
      <c r="D86" s="2">
        <v>3</v>
      </c>
      <c r="E86" s="2">
        <v>0</v>
      </c>
      <c r="F86" s="19" t="str">
        <f t="shared" si="6"/>
        <v>Individual At-Work</v>
      </c>
      <c r="G86" s="19" t="str">
        <f t="shared" si="7"/>
        <v>Taxi</v>
      </c>
      <c r="H86" s="19" t="str">
        <f t="shared" si="8"/>
        <v>SR2</v>
      </c>
      <c r="AB86" s="155" t="str">
        <f t="shared" si="9"/>
        <v>wlk-</v>
      </c>
      <c r="AC86" s="156" t="str">
        <f t="shared" si="10"/>
        <v>-</v>
      </c>
      <c r="AD86" s="2" t="str">
        <f t="shared" si="11"/>
        <v>---</v>
      </c>
    </row>
    <row r="87" spans="1:30" x14ac:dyDescent="0.2">
      <c r="A87" s="2" t="s">
        <v>97</v>
      </c>
      <c r="B87" s="2" t="s">
        <v>60</v>
      </c>
      <c r="C87" s="2">
        <v>19</v>
      </c>
      <c r="D87" s="2">
        <v>7</v>
      </c>
      <c r="E87" s="2">
        <v>0</v>
      </c>
      <c r="F87" s="19" t="str">
        <f t="shared" si="6"/>
        <v>Individual At-Work</v>
      </c>
      <c r="G87" s="19" t="str">
        <f t="shared" si="7"/>
        <v>Taxi</v>
      </c>
      <c r="H87" s="19" t="str">
        <f t="shared" si="8"/>
        <v>Walk</v>
      </c>
      <c r="AB87" s="155" t="str">
        <f t="shared" si="9"/>
        <v>wlk-</v>
      </c>
      <c r="AC87" s="156" t="str">
        <f t="shared" si="10"/>
        <v>-</v>
      </c>
      <c r="AD87" s="2" t="str">
        <f t="shared" si="11"/>
        <v>---</v>
      </c>
    </row>
    <row r="88" spans="1:30" x14ac:dyDescent="0.2">
      <c r="A88" s="2" t="s">
        <v>97</v>
      </c>
      <c r="B88" s="2" t="s">
        <v>60</v>
      </c>
      <c r="C88" s="2">
        <v>19</v>
      </c>
      <c r="D88" s="2">
        <v>19</v>
      </c>
      <c r="E88" s="2">
        <v>0</v>
      </c>
      <c r="F88" s="19" t="str">
        <f t="shared" si="6"/>
        <v>Individual At-Work</v>
      </c>
      <c r="G88" s="19" t="str">
        <f t="shared" si="7"/>
        <v>Taxi</v>
      </c>
      <c r="H88" s="19" t="str">
        <f t="shared" si="8"/>
        <v>Taxi</v>
      </c>
      <c r="AB88" s="155" t="str">
        <f t="shared" si="9"/>
        <v>wlk-</v>
      </c>
      <c r="AC88" s="156" t="str">
        <f t="shared" si="10"/>
        <v>-</v>
      </c>
      <c r="AD88" s="2" t="str">
        <f t="shared" si="11"/>
        <v>---</v>
      </c>
    </row>
    <row r="89" spans="1:30" x14ac:dyDescent="0.2">
      <c r="A89" s="2" t="s">
        <v>97</v>
      </c>
      <c r="B89" s="2" t="s">
        <v>60</v>
      </c>
      <c r="C89" s="2">
        <v>19</v>
      </c>
      <c r="D89" s="2">
        <v>20</v>
      </c>
      <c r="E89" s="2">
        <v>0</v>
      </c>
      <c r="F89" s="19" t="str">
        <f t="shared" si="6"/>
        <v>Individual At-Work</v>
      </c>
      <c r="G89" s="19" t="str">
        <f t="shared" si="7"/>
        <v>Taxi</v>
      </c>
      <c r="H89" s="19" t="str">
        <f t="shared" si="8"/>
        <v>TNC-Single</v>
      </c>
      <c r="AB89" s="155" t="str">
        <f t="shared" si="9"/>
        <v>wlk-</v>
      </c>
      <c r="AC89" s="156" t="str">
        <f t="shared" si="10"/>
        <v>-</v>
      </c>
      <c r="AD89" s="2" t="str">
        <f t="shared" si="11"/>
        <v>---</v>
      </c>
    </row>
    <row r="90" spans="1:30" x14ac:dyDescent="0.2">
      <c r="A90" s="2" t="s">
        <v>97</v>
      </c>
      <c r="B90" s="2" t="s">
        <v>60</v>
      </c>
      <c r="C90" s="2">
        <v>19</v>
      </c>
      <c r="D90" s="2">
        <v>21</v>
      </c>
      <c r="E90" s="2">
        <v>0</v>
      </c>
      <c r="F90" s="19" t="str">
        <f t="shared" si="6"/>
        <v>Individual At-Work</v>
      </c>
      <c r="G90" s="19" t="str">
        <f t="shared" si="7"/>
        <v>Taxi</v>
      </c>
      <c r="H90" s="19" t="str">
        <f t="shared" si="8"/>
        <v>TNC-Shared</v>
      </c>
      <c r="AB90" s="155" t="str">
        <f t="shared" si="9"/>
        <v>wlk-</v>
      </c>
      <c r="AC90" s="156" t="str">
        <f t="shared" si="10"/>
        <v>-</v>
      </c>
      <c r="AD90" s="2" t="str">
        <f t="shared" si="11"/>
        <v>---</v>
      </c>
    </row>
    <row r="91" spans="1:30" x14ac:dyDescent="0.2">
      <c r="A91" s="2" t="s">
        <v>97</v>
      </c>
      <c r="B91" s="2" t="s">
        <v>60</v>
      </c>
      <c r="C91" s="2">
        <v>21</v>
      </c>
      <c r="D91" s="2">
        <v>3</v>
      </c>
      <c r="E91" s="2">
        <v>0</v>
      </c>
      <c r="F91" s="19" t="str">
        <f t="shared" si="6"/>
        <v>Individual At-Work</v>
      </c>
      <c r="G91" s="19" t="str">
        <f t="shared" si="7"/>
        <v>TNC-Shared</v>
      </c>
      <c r="H91" s="19" t="str">
        <f t="shared" si="8"/>
        <v>SR2</v>
      </c>
      <c r="AB91" s="155" t="str">
        <f t="shared" si="9"/>
        <v>wlk-</v>
      </c>
      <c r="AC91" s="156" t="str">
        <f t="shared" si="10"/>
        <v>-</v>
      </c>
      <c r="AD91" s="2" t="str">
        <f t="shared" si="11"/>
        <v>---</v>
      </c>
    </row>
    <row r="92" spans="1:30" x14ac:dyDescent="0.2">
      <c r="A92" s="2" t="s">
        <v>97</v>
      </c>
      <c r="B92" s="2" t="s">
        <v>60</v>
      </c>
      <c r="C92" s="2">
        <v>21</v>
      </c>
      <c r="D92" s="2">
        <v>19</v>
      </c>
      <c r="E92" s="2">
        <v>0</v>
      </c>
      <c r="F92" s="19" t="str">
        <f t="shared" si="6"/>
        <v>Individual At-Work</v>
      </c>
      <c r="G92" s="19" t="str">
        <f t="shared" si="7"/>
        <v>TNC-Shared</v>
      </c>
      <c r="H92" s="19" t="str">
        <f t="shared" si="8"/>
        <v>Taxi</v>
      </c>
      <c r="AB92" s="155" t="str">
        <f t="shared" si="9"/>
        <v>wlk-</v>
      </c>
      <c r="AC92" s="156" t="str">
        <f t="shared" si="10"/>
        <v>-</v>
      </c>
      <c r="AD92" s="2" t="str">
        <f t="shared" si="11"/>
        <v>---</v>
      </c>
    </row>
    <row r="93" spans="1:30" x14ac:dyDescent="0.2">
      <c r="A93" s="2" t="s">
        <v>97</v>
      </c>
      <c r="B93" s="2" t="s">
        <v>61</v>
      </c>
      <c r="C93" s="2">
        <v>1</v>
      </c>
      <c r="D93" s="2">
        <v>1</v>
      </c>
      <c r="E93" s="2">
        <v>0</v>
      </c>
      <c r="F93" s="19" t="str">
        <f t="shared" si="6"/>
        <v>Individual At-Work</v>
      </c>
      <c r="G93" s="19" t="str">
        <f t="shared" si="7"/>
        <v>Drive Alone</v>
      </c>
      <c r="H93" s="19" t="str">
        <f t="shared" si="8"/>
        <v>Drive Alone</v>
      </c>
      <c r="AB93" s="155" t="str">
        <f t="shared" si="9"/>
        <v>wlk-</v>
      </c>
      <c r="AC93" s="156" t="str">
        <f t="shared" si="10"/>
        <v>-</v>
      </c>
      <c r="AD93" s="2" t="str">
        <f t="shared" si="11"/>
        <v>---</v>
      </c>
    </row>
    <row r="94" spans="1:30" x14ac:dyDescent="0.2">
      <c r="A94" s="2" t="s">
        <v>97</v>
      </c>
      <c r="B94" s="2" t="s">
        <v>61</v>
      </c>
      <c r="C94" s="2">
        <v>1</v>
      </c>
      <c r="D94" s="2">
        <v>7</v>
      </c>
      <c r="E94" s="2">
        <v>0</v>
      </c>
      <c r="F94" s="19" t="str">
        <f t="shared" si="6"/>
        <v>Individual At-Work</v>
      </c>
      <c r="G94" s="19" t="str">
        <f t="shared" si="7"/>
        <v>Drive Alone</v>
      </c>
      <c r="H94" s="19" t="str">
        <f t="shared" si="8"/>
        <v>Walk</v>
      </c>
      <c r="AB94" s="155" t="str">
        <f t="shared" si="9"/>
        <v>wlk-</v>
      </c>
      <c r="AC94" s="156" t="str">
        <f t="shared" si="10"/>
        <v>-</v>
      </c>
      <c r="AD94" s="2" t="str">
        <f t="shared" si="11"/>
        <v>---</v>
      </c>
    </row>
    <row r="95" spans="1:30" x14ac:dyDescent="0.2">
      <c r="A95" s="2" t="s">
        <v>97</v>
      </c>
      <c r="B95" s="2" t="s">
        <v>61</v>
      </c>
      <c r="C95" s="2">
        <v>1</v>
      </c>
      <c r="D95" s="2">
        <v>19</v>
      </c>
      <c r="E95" s="2">
        <v>0</v>
      </c>
      <c r="F95" s="19" t="str">
        <f t="shared" si="6"/>
        <v>Individual At-Work</v>
      </c>
      <c r="G95" s="19" t="str">
        <f t="shared" si="7"/>
        <v>Drive Alone</v>
      </c>
      <c r="H95" s="19" t="str">
        <f t="shared" si="8"/>
        <v>Taxi</v>
      </c>
      <c r="AB95" s="155" t="str">
        <f t="shared" si="9"/>
        <v>wlk-</v>
      </c>
      <c r="AC95" s="156" t="str">
        <f t="shared" si="10"/>
        <v>-</v>
      </c>
      <c r="AD95" s="2" t="str">
        <f t="shared" si="11"/>
        <v>---</v>
      </c>
    </row>
    <row r="96" spans="1:30" x14ac:dyDescent="0.2">
      <c r="A96" s="2" t="s">
        <v>97</v>
      </c>
      <c r="B96" s="2" t="s">
        <v>61</v>
      </c>
      <c r="C96" s="2">
        <v>1</v>
      </c>
      <c r="D96" s="2">
        <v>20</v>
      </c>
      <c r="E96" s="2">
        <v>0</v>
      </c>
      <c r="F96" s="19" t="str">
        <f t="shared" si="6"/>
        <v>Individual At-Work</v>
      </c>
      <c r="G96" s="19" t="str">
        <f t="shared" si="7"/>
        <v>Drive Alone</v>
      </c>
      <c r="H96" s="19" t="str">
        <f t="shared" si="8"/>
        <v>TNC-Single</v>
      </c>
      <c r="AB96" s="155" t="str">
        <f t="shared" si="9"/>
        <v>wlk-</v>
      </c>
      <c r="AC96" s="156" t="str">
        <f t="shared" si="10"/>
        <v>-</v>
      </c>
      <c r="AD96" s="2" t="str">
        <f t="shared" si="11"/>
        <v>---</v>
      </c>
    </row>
    <row r="97" spans="1:30" x14ac:dyDescent="0.2">
      <c r="A97" s="2" t="s">
        <v>97</v>
      </c>
      <c r="B97" s="2" t="s">
        <v>61</v>
      </c>
      <c r="C97" s="2">
        <v>3</v>
      </c>
      <c r="D97" s="2">
        <v>1</v>
      </c>
      <c r="E97" s="2">
        <v>0</v>
      </c>
      <c r="F97" s="19" t="str">
        <f t="shared" si="6"/>
        <v>Individual At-Work</v>
      </c>
      <c r="G97" s="19" t="str">
        <f t="shared" si="7"/>
        <v>SR2</v>
      </c>
      <c r="H97" s="19" t="str">
        <f t="shared" si="8"/>
        <v>Drive Alone</v>
      </c>
      <c r="AB97" s="155" t="str">
        <f t="shared" si="9"/>
        <v>wlk-</v>
      </c>
      <c r="AC97" s="156" t="str">
        <f t="shared" si="10"/>
        <v>-</v>
      </c>
      <c r="AD97" s="2" t="str">
        <f t="shared" si="11"/>
        <v>---</v>
      </c>
    </row>
    <row r="98" spans="1:30" x14ac:dyDescent="0.2">
      <c r="A98" s="2" t="s">
        <v>97</v>
      </c>
      <c r="B98" s="2" t="s">
        <v>61</v>
      </c>
      <c r="C98" s="2">
        <v>3</v>
      </c>
      <c r="D98" s="2">
        <v>3</v>
      </c>
      <c r="E98" s="2">
        <v>0</v>
      </c>
      <c r="F98" s="19" t="str">
        <f t="shared" si="6"/>
        <v>Individual At-Work</v>
      </c>
      <c r="G98" s="19" t="str">
        <f t="shared" si="7"/>
        <v>SR2</v>
      </c>
      <c r="H98" s="19" t="str">
        <f t="shared" si="8"/>
        <v>SR2</v>
      </c>
      <c r="AB98" s="155" t="str">
        <f t="shared" si="9"/>
        <v>wlk-</v>
      </c>
      <c r="AC98" s="156" t="str">
        <f t="shared" si="10"/>
        <v>-</v>
      </c>
      <c r="AD98" s="2" t="str">
        <f t="shared" si="11"/>
        <v>---</v>
      </c>
    </row>
    <row r="99" spans="1:30" x14ac:dyDescent="0.2">
      <c r="A99" s="2" t="s">
        <v>97</v>
      </c>
      <c r="B99" s="2" t="s">
        <v>61</v>
      </c>
      <c r="C99" s="2">
        <v>5</v>
      </c>
      <c r="D99" s="2">
        <v>1</v>
      </c>
      <c r="E99" s="2">
        <v>0</v>
      </c>
      <c r="F99" s="19" t="str">
        <f t="shared" si="6"/>
        <v>Individual At-Work</v>
      </c>
      <c r="G99" s="19" t="str">
        <f t="shared" si="7"/>
        <v>SR3+</v>
      </c>
      <c r="H99" s="19" t="str">
        <f t="shared" si="8"/>
        <v>Drive Alone</v>
      </c>
      <c r="AB99" s="155" t="str">
        <f t="shared" si="9"/>
        <v>wlk-</v>
      </c>
      <c r="AC99" s="156" t="str">
        <f t="shared" si="10"/>
        <v>-</v>
      </c>
      <c r="AD99" s="2" t="str">
        <f t="shared" si="11"/>
        <v>---</v>
      </c>
    </row>
    <row r="100" spans="1:30" x14ac:dyDescent="0.2">
      <c r="A100" s="2" t="s">
        <v>97</v>
      </c>
      <c r="B100" s="2" t="s">
        <v>61</v>
      </c>
      <c r="C100" s="2">
        <v>5</v>
      </c>
      <c r="D100" s="2">
        <v>3</v>
      </c>
      <c r="E100" s="2">
        <v>0</v>
      </c>
      <c r="F100" s="19" t="str">
        <f t="shared" si="6"/>
        <v>Individual At-Work</v>
      </c>
      <c r="G100" s="19" t="str">
        <f t="shared" si="7"/>
        <v>SR3+</v>
      </c>
      <c r="H100" s="19" t="str">
        <f t="shared" si="8"/>
        <v>SR2</v>
      </c>
      <c r="AB100" s="155" t="str">
        <f t="shared" si="9"/>
        <v>wlk-</v>
      </c>
      <c r="AC100" s="156" t="str">
        <f t="shared" si="10"/>
        <v>-</v>
      </c>
      <c r="AD100" s="2" t="str">
        <f t="shared" si="11"/>
        <v>---</v>
      </c>
    </row>
    <row r="101" spans="1:30" x14ac:dyDescent="0.2">
      <c r="A101" s="2" t="s">
        <v>97</v>
      </c>
      <c r="B101" s="2" t="s">
        <v>61</v>
      </c>
      <c r="C101" s="2">
        <v>5</v>
      </c>
      <c r="D101" s="2">
        <v>5</v>
      </c>
      <c r="E101" s="2">
        <v>0</v>
      </c>
      <c r="F101" s="19" t="str">
        <f t="shared" si="6"/>
        <v>Individual At-Work</v>
      </c>
      <c r="G101" s="19" t="str">
        <f t="shared" si="7"/>
        <v>SR3+</v>
      </c>
      <c r="H101" s="19" t="str">
        <f t="shared" si="8"/>
        <v>SR3+</v>
      </c>
      <c r="AB101" s="155" t="str">
        <f t="shared" si="9"/>
        <v>wlk-</v>
      </c>
      <c r="AC101" s="156" t="str">
        <f t="shared" si="10"/>
        <v>-</v>
      </c>
      <c r="AD101" s="2" t="str">
        <f t="shared" si="11"/>
        <v>---</v>
      </c>
    </row>
    <row r="102" spans="1:30" x14ac:dyDescent="0.2">
      <c r="A102" s="2" t="s">
        <v>97</v>
      </c>
      <c r="B102" s="2" t="s">
        <v>61</v>
      </c>
      <c r="C102" s="2">
        <v>5</v>
      </c>
      <c r="D102" s="2">
        <v>7</v>
      </c>
      <c r="E102" s="2">
        <v>0</v>
      </c>
      <c r="F102" s="19" t="str">
        <f t="shared" si="6"/>
        <v>Individual At-Work</v>
      </c>
      <c r="G102" s="19" t="str">
        <f t="shared" si="7"/>
        <v>SR3+</v>
      </c>
      <c r="H102" s="19" t="str">
        <f t="shared" si="8"/>
        <v>Walk</v>
      </c>
      <c r="AB102" s="155" t="str">
        <f t="shared" si="9"/>
        <v>wlk-</v>
      </c>
      <c r="AC102" s="156" t="str">
        <f t="shared" si="10"/>
        <v>-</v>
      </c>
      <c r="AD102" s="2" t="str">
        <f t="shared" si="11"/>
        <v>---</v>
      </c>
    </row>
    <row r="103" spans="1:30" x14ac:dyDescent="0.2">
      <c r="A103" s="2" t="s">
        <v>97</v>
      </c>
      <c r="B103" s="2" t="s">
        <v>61</v>
      </c>
      <c r="C103" s="2">
        <v>5</v>
      </c>
      <c r="D103" s="2">
        <v>19</v>
      </c>
      <c r="E103" s="2">
        <v>0</v>
      </c>
      <c r="F103" s="19" t="str">
        <f t="shared" si="6"/>
        <v>Individual At-Work</v>
      </c>
      <c r="G103" s="19" t="str">
        <f t="shared" si="7"/>
        <v>SR3+</v>
      </c>
      <c r="H103" s="19" t="str">
        <f t="shared" si="8"/>
        <v>Taxi</v>
      </c>
      <c r="AB103" s="155" t="str">
        <f t="shared" si="9"/>
        <v>wlk-</v>
      </c>
      <c r="AC103" s="156" t="str">
        <f t="shared" si="10"/>
        <v>-</v>
      </c>
      <c r="AD103" s="2" t="str">
        <f t="shared" si="11"/>
        <v>---</v>
      </c>
    </row>
    <row r="104" spans="1:30" x14ac:dyDescent="0.2">
      <c r="A104" s="2" t="s">
        <v>97</v>
      </c>
      <c r="B104" s="2" t="s">
        <v>61</v>
      </c>
      <c r="C104" s="2">
        <v>7</v>
      </c>
      <c r="D104" s="2">
        <v>7</v>
      </c>
      <c r="E104" s="2">
        <v>0</v>
      </c>
      <c r="F104" s="19" t="str">
        <f t="shared" si="6"/>
        <v>Individual At-Work</v>
      </c>
      <c r="G104" s="19" t="str">
        <f t="shared" si="7"/>
        <v>Walk</v>
      </c>
      <c r="H104" s="19" t="str">
        <f t="shared" si="8"/>
        <v>Walk</v>
      </c>
      <c r="AB104" s="155" t="str">
        <f t="shared" si="9"/>
        <v>wlk-</v>
      </c>
      <c r="AC104" s="156" t="str">
        <f t="shared" si="10"/>
        <v>-</v>
      </c>
      <c r="AD104" s="2" t="str">
        <f t="shared" si="11"/>
        <v>---</v>
      </c>
    </row>
    <row r="105" spans="1:30" x14ac:dyDescent="0.2">
      <c r="A105" s="2" t="s">
        <v>97</v>
      </c>
      <c r="B105" s="2" t="s">
        <v>61</v>
      </c>
      <c r="C105" s="2">
        <v>7</v>
      </c>
      <c r="D105" s="2">
        <v>19</v>
      </c>
      <c r="E105" s="2">
        <v>0</v>
      </c>
      <c r="F105" s="19" t="str">
        <f t="shared" si="6"/>
        <v>Individual At-Work</v>
      </c>
      <c r="G105" s="19" t="str">
        <f t="shared" si="7"/>
        <v>Walk</v>
      </c>
      <c r="H105" s="19" t="str">
        <f t="shared" si="8"/>
        <v>Taxi</v>
      </c>
      <c r="AB105" s="155" t="str">
        <f t="shared" si="9"/>
        <v>wlk-</v>
      </c>
      <c r="AC105" s="156" t="str">
        <f t="shared" si="10"/>
        <v>-</v>
      </c>
      <c r="AD105" s="2" t="str">
        <f t="shared" si="11"/>
        <v>---</v>
      </c>
    </row>
    <row r="106" spans="1:30" x14ac:dyDescent="0.2">
      <c r="A106" s="2" t="s">
        <v>97</v>
      </c>
      <c r="B106" s="2" t="s">
        <v>61</v>
      </c>
      <c r="C106" s="2">
        <v>8</v>
      </c>
      <c r="D106" s="2">
        <v>8</v>
      </c>
      <c r="E106" s="2">
        <v>0</v>
      </c>
      <c r="F106" s="19" t="str">
        <f t="shared" si="6"/>
        <v>Individual At-Work</v>
      </c>
      <c r="G106" s="19" t="str">
        <f t="shared" si="7"/>
        <v>Bike</v>
      </c>
      <c r="H106" s="19" t="str">
        <f t="shared" si="8"/>
        <v>Bike</v>
      </c>
      <c r="AB106" s="155" t="str">
        <f t="shared" si="9"/>
        <v>wlk-</v>
      </c>
      <c r="AC106" s="156" t="str">
        <f t="shared" si="10"/>
        <v>-</v>
      </c>
      <c r="AD106" s="2" t="str">
        <f t="shared" si="11"/>
        <v>---</v>
      </c>
    </row>
    <row r="107" spans="1:30" x14ac:dyDescent="0.2">
      <c r="A107" s="2" t="s">
        <v>97</v>
      </c>
      <c r="B107" s="2" t="s">
        <v>61</v>
      </c>
      <c r="C107" s="2">
        <v>9</v>
      </c>
      <c r="D107" s="2">
        <v>7</v>
      </c>
      <c r="E107" s="2">
        <v>0</v>
      </c>
      <c r="F107" s="19" t="str">
        <f t="shared" si="6"/>
        <v>Individual At-Work</v>
      </c>
      <c r="G107" s="19" t="str">
        <f t="shared" si="7"/>
        <v>Walk-Transit</v>
      </c>
      <c r="H107" s="19" t="str">
        <f t="shared" si="8"/>
        <v>Walk</v>
      </c>
      <c r="AB107" s="155" t="str">
        <f t="shared" si="9"/>
        <v>wlk-</v>
      </c>
      <c r="AC107" s="156" t="str">
        <f t="shared" si="10"/>
        <v>-</v>
      </c>
      <c r="AD107" s="2" t="str">
        <f t="shared" si="11"/>
        <v>---</v>
      </c>
    </row>
    <row r="108" spans="1:30" x14ac:dyDescent="0.2">
      <c r="A108" s="2" t="s">
        <v>97</v>
      </c>
      <c r="B108" s="2" t="s">
        <v>61</v>
      </c>
      <c r="C108" s="2">
        <v>9</v>
      </c>
      <c r="D108" s="2">
        <v>9</v>
      </c>
      <c r="E108" s="2">
        <v>0</v>
      </c>
      <c r="F108" s="19" t="str">
        <f t="shared" si="6"/>
        <v>Individual At-Work</v>
      </c>
      <c r="G108" s="19" t="str">
        <f t="shared" si="7"/>
        <v>Walk-Transit</v>
      </c>
      <c r="H108" s="19" t="str">
        <f t="shared" si="8"/>
        <v>Walk-Local</v>
      </c>
      <c r="AB108" s="155" t="str">
        <f t="shared" si="9"/>
        <v>wlk-</v>
      </c>
      <c r="AC108" s="156" t="str">
        <f t="shared" si="10"/>
        <v>-</v>
      </c>
      <c r="AD108" s="2" t="str">
        <f t="shared" si="11"/>
        <v>---</v>
      </c>
    </row>
    <row r="109" spans="1:30" x14ac:dyDescent="0.2">
      <c r="A109" s="2" t="s">
        <v>97</v>
      </c>
      <c r="B109" s="2" t="s">
        <v>61</v>
      </c>
      <c r="C109" s="2">
        <v>9</v>
      </c>
      <c r="D109" s="2">
        <v>19</v>
      </c>
      <c r="E109" s="2">
        <v>0</v>
      </c>
      <c r="F109" s="19" t="str">
        <f t="shared" si="6"/>
        <v>Individual At-Work</v>
      </c>
      <c r="G109" s="19" t="str">
        <f t="shared" si="7"/>
        <v>Walk-Transit</v>
      </c>
      <c r="H109" s="19" t="str">
        <f t="shared" si="8"/>
        <v>Taxi</v>
      </c>
      <c r="AB109" s="155" t="str">
        <f t="shared" si="9"/>
        <v>wlk-</v>
      </c>
      <c r="AC109" s="156" t="str">
        <f t="shared" si="10"/>
        <v>-</v>
      </c>
      <c r="AD109" s="2" t="str">
        <f t="shared" si="11"/>
        <v>---</v>
      </c>
    </row>
    <row r="110" spans="1:30" x14ac:dyDescent="0.2">
      <c r="A110" s="2" t="s">
        <v>97</v>
      </c>
      <c r="B110" s="2" t="s">
        <v>61</v>
      </c>
      <c r="C110" s="2">
        <v>9</v>
      </c>
      <c r="D110" s="2">
        <v>20</v>
      </c>
      <c r="E110" s="2">
        <v>0</v>
      </c>
      <c r="F110" s="19" t="str">
        <f t="shared" si="6"/>
        <v>Individual At-Work</v>
      </c>
      <c r="G110" s="19" t="str">
        <f t="shared" si="7"/>
        <v>Walk-Transit</v>
      </c>
      <c r="H110" s="19" t="str">
        <f t="shared" si="8"/>
        <v>TNC-Single</v>
      </c>
      <c r="AB110" s="155" t="str">
        <f t="shared" si="9"/>
        <v>wlk-</v>
      </c>
      <c r="AC110" s="156" t="str">
        <f t="shared" si="10"/>
        <v>-</v>
      </c>
      <c r="AD110" s="2" t="str">
        <f t="shared" si="11"/>
        <v>---</v>
      </c>
    </row>
    <row r="111" spans="1:30" x14ac:dyDescent="0.2">
      <c r="A111" s="2" t="s">
        <v>97</v>
      </c>
      <c r="B111" s="2" t="s">
        <v>61</v>
      </c>
      <c r="C111" s="2">
        <v>10</v>
      </c>
      <c r="D111" s="2">
        <v>7</v>
      </c>
      <c r="E111" s="2">
        <v>0</v>
      </c>
      <c r="F111" s="19" t="str">
        <f t="shared" si="6"/>
        <v>Individual At-Work</v>
      </c>
      <c r="G111" s="19" t="str">
        <f t="shared" si="7"/>
        <v>Walk-Transit</v>
      </c>
      <c r="H111" s="19" t="str">
        <f t="shared" si="8"/>
        <v>Walk</v>
      </c>
      <c r="AB111" s="155" t="str">
        <f t="shared" si="9"/>
        <v>wlk-</v>
      </c>
      <c r="AC111" s="156" t="str">
        <f t="shared" si="10"/>
        <v>-</v>
      </c>
      <c r="AD111" s="2" t="str">
        <f t="shared" si="11"/>
        <v>---</v>
      </c>
    </row>
    <row r="112" spans="1:30" x14ac:dyDescent="0.2">
      <c r="A112" s="2" t="s">
        <v>97</v>
      </c>
      <c r="B112" s="2" t="s">
        <v>61</v>
      </c>
      <c r="C112" s="2">
        <v>10</v>
      </c>
      <c r="D112" s="2">
        <v>9</v>
      </c>
      <c r="E112" s="2">
        <v>0</v>
      </c>
      <c r="F112" s="19" t="str">
        <f t="shared" si="6"/>
        <v>Individual At-Work</v>
      </c>
      <c r="G112" s="19" t="str">
        <f t="shared" si="7"/>
        <v>Walk-Transit</v>
      </c>
      <c r="H112" s="19" t="str">
        <f t="shared" si="8"/>
        <v>Walk-Local</v>
      </c>
      <c r="AB112" s="155" t="str">
        <f t="shared" si="9"/>
        <v>wlk-</v>
      </c>
      <c r="AC112" s="156" t="str">
        <f t="shared" si="10"/>
        <v>-</v>
      </c>
      <c r="AD112" s="2" t="str">
        <f t="shared" si="11"/>
        <v>---</v>
      </c>
    </row>
    <row r="113" spans="1:30" x14ac:dyDescent="0.2">
      <c r="A113" s="2" t="s">
        <v>97</v>
      </c>
      <c r="B113" s="2" t="s">
        <v>61</v>
      </c>
      <c r="C113" s="2">
        <v>10</v>
      </c>
      <c r="D113" s="2">
        <v>10</v>
      </c>
      <c r="E113" s="2">
        <v>0</v>
      </c>
      <c r="F113" s="19" t="str">
        <f t="shared" si="6"/>
        <v>Individual At-Work</v>
      </c>
      <c r="G113" s="19" t="str">
        <f t="shared" si="7"/>
        <v>Walk-Transit</v>
      </c>
      <c r="H113" s="19" t="str">
        <f t="shared" si="8"/>
        <v>Walk-LRT</v>
      </c>
      <c r="AB113" s="155" t="str">
        <f t="shared" si="9"/>
        <v>wlk-</v>
      </c>
      <c r="AC113" s="156" t="str">
        <f t="shared" si="10"/>
        <v>-</v>
      </c>
      <c r="AD113" s="2" t="str">
        <f t="shared" si="11"/>
        <v>---</v>
      </c>
    </row>
    <row r="114" spans="1:30" x14ac:dyDescent="0.2">
      <c r="A114" s="2" t="s">
        <v>97</v>
      </c>
      <c r="B114" s="2" t="s">
        <v>61</v>
      </c>
      <c r="C114" s="2">
        <v>10</v>
      </c>
      <c r="D114" s="2">
        <v>19</v>
      </c>
      <c r="E114" s="2">
        <v>0</v>
      </c>
      <c r="F114" s="19" t="str">
        <f t="shared" si="6"/>
        <v>Individual At-Work</v>
      </c>
      <c r="G114" s="19" t="str">
        <f t="shared" si="7"/>
        <v>Walk-Transit</v>
      </c>
      <c r="H114" s="19" t="str">
        <f t="shared" si="8"/>
        <v>Taxi</v>
      </c>
      <c r="AB114" s="155" t="str">
        <f t="shared" si="9"/>
        <v>wlk-</v>
      </c>
      <c r="AC114" s="156" t="str">
        <f t="shared" si="10"/>
        <v>-</v>
      </c>
      <c r="AD114" s="2" t="str">
        <f t="shared" si="11"/>
        <v>---</v>
      </c>
    </row>
    <row r="115" spans="1:30" x14ac:dyDescent="0.2">
      <c r="A115" s="2" t="s">
        <v>97</v>
      </c>
      <c r="B115" s="2" t="s">
        <v>61</v>
      </c>
      <c r="C115" s="2">
        <v>11</v>
      </c>
      <c r="D115" s="2">
        <v>7</v>
      </c>
      <c r="E115" s="2">
        <v>0</v>
      </c>
      <c r="F115" s="19" t="str">
        <f t="shared" si="6"/>
        <v>Individual At-Work</v>
      </c>
      <c r="G115" s="19" t="str">
        <f t="shared" si="7"/>
        <v>Walk-Transit</v>
      </c>
      <c r="H115" s="19" t="str">
        <f t="shared" si="8"/>
        <v>Walk</v>
      </c>
      <c r="AB115" s="155" t="str">
        <f t="shared" si="9"/>
        <v>wlk-</v>
      </c>
      <c r="AC115" s="156" t="str">
        <f t="shared" si="10"/>
        <v>-</v>
      </c>
      <c r="AD115" s="2" t="str">
        <f t="shared" si="11"/>
        <v>---</v>
      </c>
    </row>
    <row r="116" spans="1:30" x14ac:dyDescent="0.2">
      <c r="A116" s="2" t="s">
        <v>97</v>
      </c>
      <c r="B116" s="2" t="s">
        <v>61</v>
      </c>
      <c r="C116" s="2">
        <v>11</v>
      </c>
      <c r="D116" s="2">
        <v>9</v>
      </c>
      <c r="E116" s="2">
        <v>0</v>
      </c>
      <c r="F116" s="19" t="str">
        <f t="shared" si="6"/>
        <v>Individual At-Work</v>
      </c>
      <c r="G116" s="19" t="str">
        <f t="shared" si="7"/>
        <v>Walk-Transit</v>
      </c>
      <c r="H116" s="19" t="str">
        <f t="shared" si="8"/>
        <v>Walk-Local</v>
      </c>
      <c r="AB116" s="155" t="str">
        <f t="shared" si="9"/>
        <v>wlk-</v>
      </c>
      <c r="AC116" s="156" t="str">
        <f t="shared" si="10"/>
        <v>-</v>
      </c>
      <c r="AD116" s="2" t="str">
        <f t="shared" si="11"/>
        <v>---</v>
      </c>
    </row>
    <row r="117" spans="1:30" x14ac:dyDescent="0.2">
      <c r="A117" s="2" t="s">
        <v>97</v>
      </c>
      <c r="B117" s="2" t="s">
        <v>61</v>
      </c>
      <c r="C117" s="2">
        <v>11</v>
      </c>
      <c r="D117" s="2">
        <v>11</v>
      </c>
      <c r="E117" s="2">
        <v>0</v>
      </c>
      <c r="F117" s="19" t="str">
        <f t="shared" si="6"/>
        <v>Individual At-Work</v>
      </c>
      <c r="G117" s="19" t="str">
        <f t="shared" si="7"/>
        <v>Walk-Transit</v>
      </c>
      <c r="H117" s="19" t="str">
        <f t="shared" si="8"/>
        <v>Walk-Express</v>
      </c>
      <c r="AB117" s="155" t="str">
        <f t="shared" si="9"/>
        <v>wlk-</v>
      </c>
      <c r="AC117" s="156" t="str">
        <f t="shared" si="10"/>
        <v>-</v>
      </c>
      <c r="AD117" s="2" t="str">
        <f t="shared" si="11"/>
        <v>---</v>
      </c>
    </row>
    <row r="118" spans="1:30" x14ac:dyDescent="0.2">
      <c r="A118" s="2" t="s">
        <v>97</v>
      </c>
      <c r="B118" s="2" t="s">
        <v>61</v>
      </c>
      <c r="C118" s="2">
        <v>12</v>
      </c>
      <c r="D118" s="2">
        <v>7</v>
      </c>
      <c r="E118" s="2">
        <v>0</v>
      </c>
      <c r="F118" s="19" t="str">
        <f t="shared" si="6"/>
        <v>Individual At-Work</v>
      </c>
      <c r="G118" s="19" t="str">
        <f t="shared" si="7"/>
        <v>Walk-Transit</v>
      </c>
      <c r="H118" s="19" t="str">
        <f t="shared" si="8"/>
        <v>Walk</v>
      </c>
      <c r="AB118" s="155" t="str">
        <f t="shared" si="9"/>
        <v>wlk-</v>
      </c>
      <c r="AC118" s="156" t="str">
        <f t="shared" si="10"/>
        <v>-</v>
      </c>
      <c r="AD118" s="2" t="str">
        <f t="shared" si="11"/>
        <v>---</v>
      </c>
    </row>
    <row r="119" spans="1:30" x14ac:dyDescent="0.2">
      <c r="A119" s="2" t="s">
        <v>97</v>
      </c>
      <c r="B119" s="2" t="s">
        <v>61</v>
      </c>
      <c r="C119" s="2">
        <v>12</v>
      </c>
      <c r="D119" s="2">
        <v>9</v>
      </c>
      <c r="E119" s="2">
        <v>0</v>
      </c>
      <c r="F119" s="19" t="str">
        <f t="shared" si="6"/>
        <v>Individual At-Work</v>
      </c>
      <c r="G119" s="19" t="str">
        <f t="shared" si="7"/>
        <v>Walk-Transit</v>
      </c>
      <c r="H119" s="19" t="str">
        <f t="shared" si="8"/>
        <v>Walk-Local</v>
      </c>
      <c r="AB119" s="155" t="str">
        <f t="shared" si="9"/>
        <v>wlk-</v>
      </c>
      <c r="AC119" s="156" t="str">
        <f t="shared" si="10"/>
        <v>-</v>
      </c>
      <c r="AD119" s="2" t="str">
        <f t="shared" si="11"/>
        <v>---</v>
      </c>
    </row>
    <row r="120" spans="1:30" x14ac:dyDescent="0.2">
      <c r="A120" s="2" t="s">
        <v>97</v>
      </c>
      <c r="B120" s="2" t="s">
        <v>61</v>
      </c>
      <c r="C120" s="2">
        <v>12</v>
      </c>
      <c r="D120" s="2">
        <v>10</v>
      </c>
      <c r="E120" s="2">
        <v>0</v>
      </c>
      <c r="F120" s="19" t="str">
        <f t="shared" si="6"/>
        <v>Individual At-Work</v>
      </c>
      <c r="G120" s="19" t="str">
        <f t="shared" si="7"/>
        <v>Walk-Transit</v>
      </c>
      <c r="H120" s="19" t="str">
        <f t="shared" si="8"/>
        <v>Walk-LRT</v>
      </c>
      <c r="AB120" s="155" t="str">
        <f t="shared" si="9"/>
        <v>wlk-</v>
      </c>
      <c r="AC120" s="156" t="str">
        <f t="shared" si="10"/>
        <v>-</v>
      </c>
      <c r="AD120" s="2" t="str">
        <f t="shared" si="11"/>
        <v>---</v>
      </c>
    </row>
    <row r="121" spans="1:30" x14ac:dyDescent="0.2">
      <c r="A121" s="2" t="s">
        <v>97</v>
      </c>
      <c r="B121" s="2" t="s">
        <v>61</v>
      </c>
      <c r="C121" s="2">
        <v>12</v>
      </c>
      <c r="D121" s="2">
        <v>11</v>
      </c>
      <c r="E121" s="2">
        <v>0</v>
      </c>
      <c r="F121" s="19" t="str">
        <f t="shared" si="6"/>
        <v>Individual At-Work</v>
      </c>
      <c r="G121" s="19" t="str">
        <f t="shared" si="7"/>
        <v>Walk-Transit</v>
      </c>
      <c r="H121" s="19" t="str">
        <f t="shared" si="8"/>
        <v>Walk-Express</v>
      </c>
      <c r="AB121" s="155" t="str">
        <f t="shared" si="9"/>
        <v>wlk-</v>
      </c>
      <c r="AC121" s="156" t="str">
        <f t="shared" si="10"/>
        <v>-</v>
      </c>
      <c r="AD121" s="2" t="str">
        <f t="shared" si="11"/>
        <v>---</v>
      </c>
    </row>
    <row r="122" spans="1:30" x14ac:dyDescent="0.2">
      <c r="A122" s="2" t="s">
        <v>97</v>
      </c>
      <c r="B122" s="2" t="s">
        <v>61</v>
      </c>
      <c r="C122" s="2">
        <v>12</v>
      </c>
      <c r="D122" s="2">
        <v>12</v>
      </c>
      <c r="E122" s="2">
        <v>0</v>
      </c>
      <c r="F122" s="19" t="str">
        <f t="shared" si="6"/>
        <v>Individual At-Work</v>
      </c>
      <c r="G122" s="19" t="str">
        <f t="shared" si="7"/>
        <v>Walk-Transit</v>
      </c>
      <c r="H122" s="19" t="str">
        <f t="shared" si="8"/>
        <v>Walk-HeavyR</v>
      </c>
      <c r="AB122" s="155" t="str">
        <f t="shared" si="9"/>
        <v>wlk-</v>
      </c>
      <c r="AC122" s="156" t="str">
        <f t="shared" si="10"/>
        <v>-</v>
      </c>
      <c r="AD122" s="2" t="str">
        <f t="shared" si="11"/>
        <v>---</v>
      </c>
    </row>
    <row r="123" spans="1:30" x14ac:dyDescent="0.2">
      <c r="A123" s="2" t="s">
        <v>97</v>
      </c>
      <c r="B123" s="2" t="s">
        <v>61</v>
      </c>
      <c r="C123" s="2">
        <v>12</v>
      </c>
      <c r="D123" s="2">
        <v>19</v>
      </c>
      <c r="E123" s="2">
        <v>0</v>
      </c>
      <c r="F123" s="19" t="str">
        <f t="shared" si="6"/>
        <v>Individual At-Work</v>
      </c>
      <c r="G123" s="19" t="str">
        <f t="shared" si="7"/>
        <v>Walk-Transit</v>
      </c>
      <c r="H123" s="19" t="str">
        <f t="shared" si="8"/>
        <v>Taxi</v>
      </c>
      <c r="AB123" s="155" t="str">
        <f t="shared" si="9"/>
        <v>wlk-</v>
      </c>
      <c r="AC123" s="156" t="str">
        <f t="shared" si="10"/>
        <v>-</v>
      </c>
      <c r="AD123" s="2" t="str">
        <f t="shared" si="11"/>
        <v>---</v>
      </c>
    </row>
    <row r="124" spans="1:30" x14ac:dyDescent="0.2">
      <c r="A124" s="2" t="s">
        <v>97</v>
      </c>
      <c r="B124" s="2" t="s">
        <v>61</v>
      </c>
      <c r="C124" s="2">
        <v>13</v>
      </c>
      <c r="D124" s="2">
        <v>10</v>
      </c>
      <c r="E124" s="2">
        <v>0</v>
      </c>
      <c r="F124" s="19" t="str">
        <f t="shared" si="6"/>
        <v>Individual At-Work</v>
      </c>
      <c r="G124" s="19" t="str">
        <f t="shared" si="7"/>
        <v>Walk-Transit</v>
      </c>
      <c r="H124" s="19" t="str">
        <f t="shared" si="8"/>
        <v>Walk-LRT</v>
      </c>
      <c r="AB124" s="155" t="str">
        <f t="shared" si="9"/>
        <v>wlk-</v>
      </c>
      <c r="AC124" s="156" t="str">
        <f t="shared" si="10"/>
        <v>-</v>
      </c>
      <c r="AD124" s="2" t="str">
        <f t="shared" si="11"/>
        <v>---</v>
      </c>
    </row>
    <row r="125" spans="1:30" x14ac:dyDescent="0.2">
      <c r="A125" s="2" t="s">
        <v>97</v>
      </c>
      <c r="B125" s="2" t="s">
        <v>61</v>
      </c>
      <c r="C125" s="2">
        <v>13</v>
      </c>
      <c r="D125" s="2">
        <v>13</v>
      </c>
      <c r="E125" s="2">
        <v>0</v>
      </c>
      <c r="F125" s="19" t="str">
        <f t="shared" si="6"/>
        <v>Individual At-Work</v>
      </c>
      <c r="G125" s="19" t="str">
        <f t="shared" si="7"/>
        <v>Walk-Transit</v>
      </c>
      <c r="H125" s="19" t="str">
        <f t="shared" si="8"/>
        <v>Walk-CommR</v>
      </c>
      <c r="AB125" s="155" t="str">
        <f t="shared" si="9"/>
        <v>wlk-</v>
      </c>
      <c r="AC125" s="156" t="str">
        <f t="shared" si="10"/>
        <v>-</v>
      </c>
      <c r="AD125" s="2" t="str">
        <f t="shared" si="11"/>
        <v>---</v>
      </c>
    </row>
    <row r="126" spans="1:30" x14ac:dyDescent="0.2">
      <c r="A126" s="2" t="s">
        <v>97</v>
      </c>
      <c r="B126" s="2" t="s">
        <v>61</v>
      </c>
      <c r="C126" s="2">
        <v>19</v>
      </c>
      <c r="D126" s="2">
        <v>3</v>
      </c>
      <c r="E126" s="2">
        <v>0</v>
      </c>
      <c r="F126" s="19" t="str">
        <f t="shared" si="6"/>
        <v>Individual At-Work</v>
      </c>
      <c r="G126" s="19" t="str">
        <f t="shared" si="7"/>
        <v>Taxi</v>
      </c>
      <c r="H126" s="19" t="str">
        <f t="shared" si="8"/>
        <v>SR2</v>
      </c>
      <c r="AB126" s="155" t="str">
        <f t="shared" si="9"/>
        <v>wlk-</v>
      </c>
      <c r="AC126" s="156" t="str">
        <f t="shared" si="10"/>
        <v>-</v>
      </c>
      <c r="AD126" s="2" t="str">
        <f t="shared" si="11"/>
        <v>---</v>
      </c>
    </row>
    <row r="127" spans="1:30" x14ac:dyDescent="0.2">
      <c r="A127" s="2" t="s">
        <v>97</v>
      </c>
      <c r="B127" s="2" t="s">
        <v>61</v>
      </c>
      <c r="C127" s="2">
        <v>19</v>
      </c>
      <c r="D127" s="2">
        <v>7</v>
      </c>
      <c r="E127" s="2">
        <v>0</v>
      </c>
      <c r="F127" s="19" t="str">
        <f t="shared" si="6"/>
        <v>Individual At-Work</v>
      </c>
      <c r="G127" s="19" t="str">
        <f t="shared" si="7"/>
        <v>Taxi</v>
      </c>
      <c r="H127" s="19" t="str">
        <f t="shared" si="8"/>
        <v>Walk</v>
      </c>
      <c r="AB127" s="155" t="str">
        <f t="shared" si="9"/>
        <v>wlk-</v>
      </c>
      <c r="AC127" s="156" t="str">
        <f t="shared" si="10"/>
        <v>-</v>
      </c>
      <c r="AD127" s="2" t="str">
        <f t="shared" si="11"/>
        <v>---</v>
      </c>
    </row>
    <row r="128" spans="1:30" x14ac:dyDescent="0.2">
      <c r="A128" s="2" t="s">
        <v>97</v>
      </c>
      <c r="B128" s="2" t="s">
        <v>61</v>
      </c>
      <c r="C128" s="2">
        <v>19</v>
      </c>
      <c r="D128" s="2">
        <v>19</v>
      </c>
      <c r="E128" s="2">
        <v>0</v>
      </c>
      <c r="F128" s="19" t="str">
        <f t="shared" si="6"/>
        <v>Individual At-Work</v>
      </c>
      <c r="G128" s="19" t="str">
        <f t="shared" si="7"/>
        <v>Taxi</v>
      </c>
      <c r="H128" s="19" t="str">
        <f t="shared" si="8"/>
        <v>Taxi</v>
      </c>
      <c r="AB128" s="155" t="str">
        <f t="shared" si="9"/>
        <v>wlk-</v>
      </c>
      <c r="AC128" s="156" t="str">
        <f t="shared" si="10"/>
        <v>-</v>
      </c>
      <c r="AD128" s="2" t="str">
        <f t="shared" si="11"/>
        <v>---</v>
      </c>
    </row>
    <row r="129" spans="1:30" x14ac:dyDescent="0.2">
      <c r="A129" s="2" t="s">
        <v>97</v>
      </c>
      <c r="B129" s="2" t="s">
        <v>61</v>
      </c>
      <c r="C129" s="2">
        <v>19</v>
      </c>
      <c r="D129" s="2">
        <v>20</v>
      </c>
      <c r="E129" s="2">
        <v>0</v>
      </c>
      <c r="F129" s="19" t="str">
        <f t="shared" si="6"/>
        <v>Individual At-Work</v>
      </c>
      <c r="G129" s="19" t="str">
        <f t="shared" si="7"/>
        <v>Taxi</v>
      </c>
      <c r="H129" s="19" t="str">
        <f t="shared" si="8"/>
        <v>TNC-Single</v>
      </c>
      <c r="AB129" s="155" t="str">
        <f t="shared" si="9"/>
        <v>wlk-</v>
      </c>
      <c r="AC129" s="156" t="str">
        <f t="shared" si="10"/>
        <v>-</v>
      </c>
      <c r="AD129" s="2" t="str">
        <f t="shared" si="11"/>
        <v>---</v>
      </c>
    </row>
    <row r="130" spans="1:30" x14ac:dyDescent="0.2">
      <c r="A130" s="2" t="s">
        <v>97</v>
      </c>
      <c r="B130" s="2" t="s">
        <v>62</v>
      </c>
      <c r="C130" s="2">
        <v>1</v>
      </c>
      <c r="D130" s="2">
        <v>1</v>
      </c>
      <c r="E130" s="2">
        <v>0</v>
      </c>
      <c r="F130" s="19" t="str">
        <f t="shared" si="6"/>
        <v>Individual Discretionary</v>
      </c>
      <c r="G130" s="19" t="str">
        <f t="shared" si="7"/>
        <v>Drive Alone</v>
      </c>
      <c r="H130" s="19" t="str">
        <f t="shared" si="8"/>
        <v>Drive Alone</v>
      </c>
      <c r="AB130" s="155" t="str">
        <f t="shared" si="9"/>
        <v>wlk-</v>
      </c>
      <c r="AC130" s="156" t="str">
        <f t="shared" si="10"/>
        <v>-</v>
      </c>
      <c r="AD130" s="2" t="str">
        <f t="shared" si="11"/>
        <v>---</v>
      </c>
    </row>
    <row r="131" spans="1:30" x14ac:dyDescent="0.2">
      <c r="A131" s="2" t="s">
        <v>97</v>
      </c>
      <c r="B131" s="2" t="s">
        <v>62</v>
      </c>
      <c r="C131" s="2">
        <v>1</v>
      </c>
      <c r="D131" s="2">
        <v>7</v>
      </c>
      <c r="E131" s="2">
        <v>0</v>
      </c>
      <c r="F131" s="19" t="str">
        <f t="shared" ref="F131:F194" si="12">IF(A131="joint","Joint",_xlfn.IFNA(VLOOKUP(B131,tour_purposes,2,FALSE),"None"))</f>
        <v>Individual Discretionary</v>
      </c>
      <c r="G131" s="19" t="str">
        <f t="shared" ref="G131:G194" si="13">IF(AND(A131="joint",C131&lt;=6),"Auto",_xlfn.IFNA(VLOOKUP(C131,tour_modes,3,FALSE),"None"))</f>
        <v>Drive Alone</v>
      </c>
      <c r="H131" s="19" t="str">
        <f t="shared" ref="H131:H194" si="14">_xlfn.IFNA(VLOOKUP(D131,trip_modes,2,FALSE),"None")</f>
        <v>Walk</v>
      </c>
      <c r="AB131" s="155" t="str">
        <f t="shared" si="9"/>
        <v>wlk-</v>
      </c>
      <c r="AC131" s="156" t="str">
        <f t="shared" si="10"/>
        <v>-</v>
      </c>
      <c r="AD131" s="2" t="str">
        <f t="shared" si="11"/>
        <v>---</v>
      </c>
    </row>
    <row r="132" spans="1:30" x14ac:dyDescent="0.2">
      <c r="A132" s="2" t="s">
        <v>97</v>
      </c>
      <c r="B132" s="2" t="s">
        <v>62</v>
      </c>
      <c r="C132" s="2">
        <v>1</v>
      </c>
      <c r="D132" s="2">
        <v>19</v>
      </c>
      <c r="E132" s="2">
        <v>0</v>
      </c>
      <c r="F132" s="19" t="str">
        <f t="shared" si="12"/>
        <v>Individual Discretionary</v>
      </c>
      <c r="G132" s="19" t="str">
        <f t="shared" si="13"/>
        <v>Drive Alone</v>
      </c>
      <c r="H132" s="19" t="str">
        <f t="shared" si="14"/>
        <v>Taxi</v>
      </c>
      <c r="AB132" s="155" t="str">
        <f t="shared" ref="AB132:AB195" si="15">CONCATENATE(IF(OR(R132="drv",S132="drv"),"drv","wlk"),"-",U132)</f>
        <v>wlk-</v>
      </c>
      <c r="AC132" s="156" t="str">
        <f t="shared" ref="AC132:AC195" si="16">CONCATENATE(T132,"-",U132)</f>
        <v>-</v>
      </c>
      <c r="AD132" s="2" t="str">
        <f t="shared" ref="AD132:AD195" si="17">CONCATENATE(R132,"-",S132,"-",T132,"-",U132)</f>
        <v>---</v>
      </c>
    </row>
    <row r="133" spans="1:30" x14ac:dyDescent="0.2">
      <c r="A133" s="2" t="s">
        <v>97</v>
      </c>
      <c r="B133" s="2" t="s">
        <v>62</v>
      </c>
      <c r="C133" s="2">
        <v>3</v>
      </c>
      <c r="D133" s="2">
        <v>1</v>
      </c>
      <c r="E133" s="2">
        <v>0</v>
      </c>
      <c r="F133" s="19" t="str">
        <f t="shared" si="12"/>
        <v>Individual Discretionary</v>
      </c>
      <c r="G133" s="19" t="str">
        <f t="shared" si="13"/>
        <v>SR2</v>
      </c>
      <c r="H133" s="19" t="str">
        <f t="shared" si="14"/>
        <v>Drive Alone</v>
      </c>
      <c r="AB133" s="155" t="str">
        <f t="shared" si="15"/>
        <v>wlk-</v>
      </c>
      <c r="AC133" s="156" t="str">
        <f t="shared" si="16"/>
        <v>-</v>
      </c>
      <c r="AD133" s="2" t="str">
        <f t="shared" si="17"/>
        <v>---</v>
      </c>
    </row>
    <row r="134" spans="1:30" x14ac:dyDescent="0.2">
      <c r="A134" s="2" t="s">
        <v>97</v>
      </c>
      <c r="B134" s="2" t="s">
        <v>62</v>
      </c>
      <c r="C134" s="2">
        <v>3</v>
      </c>
      <c r="D134" s="2">
        <v>3</v>
      </c>
      <c r="E134" s="2">
        <v>0</v>
      </c>
      <c r="F134" s="19" t="str">
        <f t="shared" si="12"/>
        <v>Individual Discretionary</v>
      </c>
      <c r="G134" s="19" t="str">
        <f t="shared" si="13"/>
        <v>SR2</v>
      </c>
      <c r="H134" s="19" t="str">
        <f t="shared" si="14"/>
        <v>SR2</v>
      </c>
      <c r="AB134" s="155" t="str">
        <f t="shared" si="15"/>
        <v>wlk-</v>
      </c>
      <c r="AC134" s="156" t="str">
        <f t="shared" si="16"/>
        <v>-</v>
      </c>
      <c r="AD134" s="2" t="str">
        <f t="shared" si="17"/>
        <v>---</v>
      </c>
    </row>
    <row r="135" spans="1:30" x14ac:dyDescent="0.2">
      <c r="A135" s="2" t="s">
        <v>97</v>
      </c>
      <c r="B135" s="2" t="s">
        <v>62</v>
      </c>
      <c r="C135" s="2">
        <v>3</v>
      </c>
      <c r="D135" s="2">
        <v>7</v>
      </c>
      <c r="E135" s="2">
        <v>0</v>
      </c>
      <c r="F135" s="19" t="str">
        <f t="shared" si="12"/>
        <v>Individual Discretionary</v>
      </c>
      <c r="G135" s="19" t="str">
        <f t="shared" si="13"/>
        <v>SR2</v>
      </c>
      <c r="H135" s="19" t="str">
        <f t="shared" si="14"/>
        <v>Walk</v>
      </c>
      <c r="AB135" s="155" t="str">
        <f t="shared" si="15"/>
        <v>wlk-</v>
      </c>
      <c r="AC135" s="156" t="str">
        <f t="shared" si="16"/>
        <v>-</v>
      </c>
      <c r="AD135" s="2" t="str">
        <f t="shared" si="17"/>
        <v>---</v>
      </c>
    </row>
    <row r="136" spans="1:30" x14ac:dyDescent="0.2">
      <c r="A136" s="2" t="s">
        <v>97</v>
      </c>
      <c r="B136" s="2" t="s">
        <v>62</v>
      </c>
      <c r="C136" s="2">
        <v>3</v>
      </c>
      <c r="D136" s="2">
        <v>19</v>
      </c>
      <c r="E136" s="2">
        <v>0</v>
      </c>
      <c r="F136" s="19" t="str">
        <f t="shared" si="12"/>
        <v>Individual Discretionary</v>
      </c>
      <c r="G136" s="19" t="str">
        <f t="shared" si="13"/>
        <v>SR2</v>
      </c>
      <c r="H136" s="19" t="str">
        <f t="shared" si="14"/>
        <v>Taxi</v>
      </c>
      <c r="AB136" s="155" t="str">
        <f t="shared" si="15"/>
        <v>wlk-</v>
      </c>
      <c r="AC136" s="156" t="str">
        <f t="shared" si="16"/>
        <v>-</v>
      </c>
      <c r="AD136" s="2" t="str">
        <f t="shared" si="17"/>
        <v>---</v>
      </c>
    </row>
    <row r="137" spans="1:30" x14ac:dyDescent="0.2">
      <c r="A137" s="2" t="s">
        <v>97</v>
      </c>
      <c r="B137" s="2" t="s">
        <v>62</v>
      </c>
      <c r="C137" s="2">
        <v>5</v>
      </c>
      <c r="D137" s="2">
        <v>1</v>
      </c>
      <c r="E137" s="2">
        <v>0</v>
      </c>
      <c r="F137" s="19" t="str">
        <f t="shared" si="12"/>
        <v>Individual Discretionary</v>
      </c>
      <c r="G137" s="19" t="str">
        <f t="shared" si="13"/>
        <v>SR3+</v>
      </c>
      <c r="H137" s="19" t="str">
        <f t="shared" si="14"/>
        <v>Drive Alone</v>
      </c>
      <c r="AB137" s="155" t="str">
        <f t="shared" si="15"/>
        <v>wlk-</v>
      </c>
      <c r="AC137" s="156" t="str">
        <f t="shared" si="16"/>
        <v>-</v>
      </c>
      <c r="AD137" s="2" t="str">
        <f t="shared" si="17"/>
        <v>---</v>
      </c>
    </row>
    <row r="138" spans="1:30" x14ac:dyDescent="0.2">
      <c r="A138" s="2" t="s">
        <v>97</v>
      </c>
      <c r="B138" s="2" t="s">
        <v>62</v>
      </c>
      <c r="C138" s="2">
        <v>5</v>
      </c>
      <c r="D138" s="2">
        <v>3</v>
      </c>
      <c r="E138" s="2">
        <v>0</v>
      </c>
      <c r="F138" s="19" t="str">
        <f t="shared" si="12"/>
        <v>Individual Discretionary</v>
      </c>
      <c r="G138" s="19" t="str">
        <f t="shared" si="13"/>
        <v>SR3+</v>
      </c>
      <c r="H138" s="19" t="str">
        <f t="shared" si="14"/>
        <v>SR2</v>
      </c>
      <c r="AB138" s="155" t="str">
        <f t="shared" si="15"/>
        <v>wlk-</v>
      </c>
      <c r="AC138" s="156" t="str">
        <f t="shared" si="16"/>
        <v>-</v>
      </c>
      <c r="AD138" s="2" t="str">
        <f t="shared" si="17"/>
        <v>---</v>
      </c>
    </row>
    <row r="139" spans="1:30" x14ac:dyDescent="0.2">
      <c r="A139" s="2" t="s">
        <v>97</v>
      </c>
      <c r="B139" s="2" t="s">
        <v>62</v>
      </c>
      <c r="C139" s="2">
        <v>5</v>
      </c>
      <c r="D139" s="2">
        <v>5</v>
      </c>
      <c r="E139" s="2">
        <v>0</v>
      </c>
      <c r="F139" s="19" t="str">
        <f t="shared" si="12"/>
        <v>Individual Discretionary</v>
      </c>
      <c r="G139" s="19" t="str">
        <f t="shared" si="13"/>
        <v>SR3+</v>
      </c>
      <c r="H139" s="19" t="str">
        <f t="shared" si="14"/>
        <v>SR3+</v>
      </c>
      <c r="AB139" s="155" t="str">
        <f t="shared" si="15"/>
        <v>wlk-</v>
      </c>
      <c r="AC139" s="156" t="str">
        <f t="shared" si="16"/>
        <v>-</v>
      </c>
      <c r="AD139" s="2" t="str">
        <f t="shared" si="17"/>
        <v>---</v>
      </c>
    </row>
    <row r="140" spans="1:30" x14ac:dyDescent="0.2">
      <c r="A140" s="2" t="s">
        <v>97</v>
      </c>
      <c r="B140" s="2" t="s">
        <v>62</v>
      </c>
      <c r="C140" s="2">
        <v>5</v>
      </c>
      <c r="D140" s="2">
        <v>7</v>
      </c>
      <c r="E140" s="2">
        <v>0</v>
      </c>
      <c r="F140" s="19" t="str">
        <f t="shared" si="12"/>
        <v>Individual Discretionary</v>
      </c>
      <c r="G140" s="19" t="str">
        <f t="shared" si="13"/>
        <v>SR3+</v>
      </c>
      <c r="H140" s="19" t="str">
        <f t="shared" si="14"/>
        <v>Walk</v>
      </c>
      <c r="AB140" s="155" t="str">
        <f t="shared" si="15"/>
        <v>wlk-</v>
      </c>
      <c r="AC140" s="156" t="str">
        <f t="shared" si="16"/>
        <v>-</v>
      </c>
      <c r="AD140" s="2" t="str">
        <f t="shared" si="17"/>
        <v>---</v>
      </c>
    </row>
    <row r="141" spans="1:30" x14ac:dyDescent="0.2">
      <c r="A141" s="2" t="s">
        <v>97</v>
      </c>
      <c r="B141" s="2" t="s">
        <v>62</v>
      </c>
      <c r="C141" s="2">
        <v>5</v>
      </c>
      <c r="D141" s="2">
        <v>19</v>
      </c>
      <c r="E141" s="2">
        <v>0</v>
      </c>
      <c r="F141" s="19" t="str">
        <f t="shared" si="12"/>
        <v>Individual Discretionary</v>
      </c>
      <c r="G141" s="19" t="str">
        <f t="shared" si="13"/>
        <v>SR3+</v>
      </c>
      <c r="H141" s="19" t="str">
        <f t="shared" si="14"/>
        <v>Taxi</v>
      </c>
      <c r="AB141" s="155" t="str">
        <f t="shared" si="15"/>
        <v>wlk-</v>
      </c>
      <c r="AC141" s="156" t="str">
        <f t="shared" si="16"/>
        <v>-</v>
      </c>
      <c r="AD141" s="2" t="str">
        <f t="shared" si="17"/>
        <v>---</v>
      </c>
    </row>
    <row r="142" spans="1:30" x14ac:dyDescent="0.2">
      <c r="A142" s="2" t="s">
        <v>97</v>
      </c>
      <c r="B142" s="2" t="s">
        <v>62</v>
      </c>
      <c r="C142" s="2">
        <v>7</v>
      </c>
      <c r="D142" s="2">
        <v>7</v>
      </c>
      <c r="E142" s="2">
        <v>0</v>
      </c>
      <c r="F142" s="19" t="str">
        <f t="shared" si="12"/>
        <v>Individual Discretionary</v>
      </c>
      <c r="G142" s="19" t="str">
        <f t="shared" si="13"/>
        <v>Walk</v>
      </c>
      <c r="H142" s="19" t="str">
        <f t="shared" si="14"/>
        <v>Walk</v>
      </c>
      <c r="AB142" s="155" t="str">
        <f t="shared" si="15"/>
        <v>wlk-</v>
      </c>
      <c r="AC142" s="156" t="str">
        <f t="shared" si="16"/>
        <v>-</v>
      </c>
      <c r="AD142" s="2" t="str">
        <f t="shared" si="17"/>
        <v>---</v>
      </c>
    </row>
    <row r="143" spans="1:30" x14ac:dyDescent="0.2">
      <c r="A143" s="2" t="s">
        <v>97</v>
      </c>
      <c r="B143" s="2" t="s">
        <v>62</v>
      </c>
      <c r="C143" s="2">
        <v>7</v>
      </c>
      <c r="D143" s="2">
        <v>19</v>
      </c>
      <c r="E143" s="2">
        <v>0</v>
      </c>
      <c r="F143" s="19" t="str">
        <f t="shared" si="12"/>
        <v>Individual Discretionary</v>
      </c>
      <c r="G143" s="19" t="str">
        <f t="shared" si="13"/>
        <v>Walk</v>
      </c>
      <c r="H143" s="19" t="str">
        <f t="shared" si="14"/>
        <v>Taxi</v>
      </c>
      <c r="AB143" s="155" t="str">
        <f t="shared" si="15"/>
        <v>wlk-</v>
      </c>
      <c r="AC143" s="156" t="str">
        <f t="shared" si="16"/>
        <v>-</v>
      </c>
      <c r="AD143" s="2" t="str">
        <f t="shared" si="17"/>
        <v>---</v>
      </c>
    </row>
    <row r="144" spans="1:30" x14ac:dyDescent="0.2">
      <c r="A144" s="2" t="s">
        <v>97</v>
      </c>
      <c r="B144" s="2" t="s">
        <v>62</v>
      </c>
      <c r="C144" s="2">
        <v>8</v>
      </c>
      <c r="D144" s="2">
        <v>7</v>
      </c>
      <c r="E144" s="2">
        <v>0</v>
      </c>
      <c r="F144" s="19" t="str">
        <f t="shared" si="12"/>
        <v>Individual Discretionary</v>
      </c>
      <c r="G144" s="19" t="str">
        <f t="shared" si="13"/>
        <v>Bike</v>
      </c>
      <c r="H144" s="19" t="str">
        <f t="shared" si="14"/>
        <v>Walk</v>
      </c>
      <c r="AB144" s="155" t="str">
        <f t="shared" si="15"/>
        <v>wlk-</v>
      </c>
      <c r="AC144" s="156" t="str">
        <f t="shared" si="16"/>
        <v>-</v>
      </c>
      <c r="AD144" s="2" t="str">
        <f t="shared" si="17"/>
        <v>---</v>
      </c>
    </row>
    <row r="145" spans="1:30" x14ac:dyDescent="0.2">
      <c r="A145" s="2" t="s">
        <v>97</v>
      </c>
      <c r="B145" s="2" t="s">
        <v>62</v>
      </c>
      <c r="C145" s="2">
        <v>8</v>
      </c>
      <c r="D145" s="2">
        <v>8</v>
      </c>
      <c r="E145" s="2">
        <v>0</v>
      </c>
      <c r="F145" s="19" t="str">
        <f t="shared" si="12"/>
        <v>Individual Discretionary</v>
      </c>
      <c r="G145" s="19" t="str">
        <f t="shared" si="13"/>
        <v>Bike</v>
      </c>
      <c r="H145" s="19" t="str">
        <f t="shared" si="14"/>
        <v>Bike</v>
      </c>
      <c r="AB145" s="155" t="str">
        <f t="shared" si="15"/>
        <v>wlk-</v>
      </c>
      <c r="AC145" s="156" t="str">
        <f t="shared" si="16"/>
        <v>-</v>
      </c>
      <c r="AD145" s="2" t="str">
        <f t="shared" si="17"/>
        <v>---</v>
      </c>
    </row>
    <row r="146" spans="1:30" x14ac:dyDescent="0.2">
      <c r="A146" s="2" t="s">
        <v>97</v>
      </c>
      <c r="B146" s="2" t="s">
        <v>62</v>
      </c>
      <c r="C146" s="2">
        <v>8</v>
      </c>
      <c r="D146" s="2">
        <v>19</v>
      </c>
      <c r="E146" s="2">
        <v>0</v>
      </c>
      <c r="F146" s="19" t="str">
        <f t="shared" si="12"/>
        <v>Individual Discretionary</v>
      </c>
      <c r="G146" s="19" t="str">
        <f t="shared" si="13"/>
        <v>Bike</v>
      </c>
      <c r="H146" s="19" t="str">
        <f t="shared" si="14"/>
        <v>Taxi</v>
      </c>
      <c r="AB146" s="155" t="str">
        <f t="shared" si="15"/>
        <v>wlk-</v>
      </c>
      <c r="AC146" s="156" t="str">
        <f t="shared" si="16"/>
        <v>-</v>
      </c>
      <c r="AD146" s="2" t="str">
        <f t="shared" si="17"/>
        <v>---</v>
      </c>
    </row>
    <row r="147" spans="1:30" x14ac:dyDescent="0.2">
      <c r="A147" s="2" t="s">
        <v>97</v>
      </c>
      <c r="B147" s="2" t="s">
        <v>62</v>
      </c>
      <c r="C147" s="2">
        <v>9</v>
      </c>
      <c r="D147" s="2">
        <v>3</v>
      </c>
      <c r="E147" s="2">
        <v>0</v>
      </c>
      <c r="F147" s="19" t="str">
        <f t="shared" si="12"/>
        <v>Individual Discretionary</v>
      </c>
      <c r="G147" s="19" t="str">
        <f t="shared" si="13"/>
        <v>Walk-Transit</v>
      </c>
      <c r="H147" s="19" t="str">
        <f t="shared" si="14"/>
        <v>SR2</v>
      </c>
      <c r="AB147" s="155" t="str">
        <f t="shared" si="15"/>
        <v>wlk-</v>
      </c>
      <c r="AC147" s="156" t="str">
        <f t="shared" si="16"/>
        <v>-</v>
      </c>
      <c r="AD147" s="2" t="str">
        <f t="shared" si="17"/>
        <v>---</v>
      </c>
    </row>
    <row r="148" spans="1:30" x14ac:dyDescent="0.2">
      <c r="A148" s="2" t="s">
        <v>97</v>
      </c>
      <c r="B148" s="2" t="s">
        <v>62</v>
      </c>
      <c r="C148" s="2">
        <v>9</v>
      </c>
      <c r="D148" s="2">
        <v>5</v>
      </c>
      <c r="E148" s="2">
        <v>0</v>
      </c>
      <c r="F148" s="19" t="str">
        <f t="shared" si="12"/>
        <v>Individual Discretionary</v>
      </c>
      <c r="G148" s="19" t="str">
        <f t="shared" si="13"/>
        <v>Walk-Transit</v>
      </c>
      <c r="H148" s="19" t="str">
        <f t="shared" si="14"/>
        <v>SR3+</v>
      </c>
      <c r="AB148" s="155" t="str">
        <f t="shared" si="15"/>
        <v>wlk-</v>
      </c>
      <c r="AC148" s="156" t="str">
        <f t="shared" si="16"/>
        <v>-</v>
      </c>
      <c r="AD148" s="2" t="str">
        <f t="shared" si="17"/>
        <v>---</v>
      </c>
    </row>
    <row r="149" spans="1:30" x14ac:dyDescent="0.2">
      <c r="A149" s="2" t="s">
        <v>97</v>
      </c>
      <c r="B149" s="2" t="s">
        <v>62</v>
      </c>
      <c r="C149" s="2">
        <v>9</v>
      </c>
      <c r="D149" s="2">
        <v>7</v>
      </c>
      <c r="E149" s="2">
        <v>0</v>
      </c>
      <c r="F149" s="19" t="str">
        <f t="shared" si="12"/>
        <v>Individual Discretionary</v>
      </c>
      <c r="G149" s="19" t="str">
        <f t="shared" si="13"/>
        <v>Walk-Transit</v>
      </c>
      <c r="H149" s="19" t="str">
        <f t="shared" si="14"/>
        <v>Walk</v>
      </c>
      <c r="AB149" s="155" t="str">
        <f t="shared" si="15"/>
        <v>wlk-</v>
      </c>
      <c r="AC149" s="156" t="str">
        <f t="shared" si="16"/>
        <v>-</v>
      </c>
      <c r="AD149" s="2" t="str">
        <f t="shared" si="17"/>
        <v>---</v>
      </c>
    </row>
    <row r="150" spans="1:30" x14ac:dyDescent="0.2">
      <c r="A150" s="2" t="s">
        <v>97</v>
      </c>
      <c r="B150" s="2" t="s">
        <v>62</v>
      </c>
      <c r="C150" s="2">
        <v>9</v>
      </c>
      <c r="D150" s="2">
        <v>9</v>
      </c>
      <c r="E150" s="2">
        <v>0</v>
      </c>
      <c r="F150" s="19" t="str">
        <f t="shared" si="12"/>
        <v>Individual Discretionary</v>
      </c>
      <c r="G150" s="19" t="str">
        <f t="shared" si="13"/>
        <v>Walk-Transit</v>
      </c>
      <c r="H150" s="19" t="str">
        <f t="shared" si="14"/>
        <v>Walk-Local</v>
      </c>
      <c r="AB150" s="155" t="str">
        <f t="shared" si="15"/>
        <v>wlk-</v>
      </c>
      <c r="AC150" s="156" t="str">
        <f t="shared" si="16"/>
        <v>-</v>
      </c>
      <c r="AD150" s="2" t="str">
        <f t="shared" si="17"/>
        <v>---</v>
      </c>
    </row>
    <row r="151" spans="1:30" x14ac:dyDescent="0.2">
      <c r="A151" s="2" t="s">
        <v>97</v>
      </c>
      <c r="B151" s="2" t="s">
        <v>62</v>
      </c>
      <c r="C151" s="2">
        <v>9</v>
      </c>
      <c r="D151" s="2">
        <v>19</v>
      </c>
      <c r="E151" s="2">
        <v>0</v>
      </c>
      <c r="F151" s="19" t="str">
        <f t="shared" si="12"/>
        <v>Individual Discretionary</v>
      </c>
      <c r="G151" s="19" t="str">
        <f t="shared" si="13"/>
        <v>Walk-Transit</v>
      </c>
      <c r="H151" s="19" t="str">
        <f t="shared" si="14"/>
        <v>Taxi</v>
      </c>
      <c r="AB151" s="155" t="str">
        <f t="shared" si="15"/>
        <v>wlk-</v>
      </c>
      <c r="AC151" s="156" t="str">
        <f t="shared" si="16"/>
        <v>-</v>
      </c>
      <c r="AD151" s="2" t="str">
        <f t="shared" si="17"/>
        <v>---</v>
      </c>
    </row>
    <row r="152" spans="1:30" x14ac:dyDescent="0.2">
      <c r="A152" s="2" t="s">
        <v>97</v>
      </c>
      <c r="B152" s="2" t="s">
        <v>62</v>
      </c>
      <c r="C152" s="2">
        <v>10</v>
      </c>
      <c r="D152" s="2">
        <v>-10</v>
      </c>
      <c r="E152" s="2">
        <v>0</v>
      </c>
      <c r="F152" s="19" t="str">
        <f t="shared" si="12"/>
        <v>Individual Discretionary</v>
      </c>
      <c r="G152" s="19" t="str">
        <f t="shared" si="13"/>
        <v>Walk-Transit</v>
      </c>
      <c r="H152" s="19" t="str">
        <f t="shared" si="14"/>
        <v>Walk-Ferry</v>
      </c>
      <c r="AB152" s="155" t="str">
        <f t="shared" si="15"/>
        <v>wlk-</v>
      </c>
      <c r="AC152" s="156" t="str">
        <f t="shared" si="16"/>
        <v>-</v>
      </c>
      <c r="AD152" s="2" t="str">
        <f t="shared" si="17"/>
        <v>---</v>
      </c>
    </row>
    <row r="153" spans="1:30" x14ac:dyDescent="0.2">
      <c r="A153" s="2" t="s">
        <v>97</v>
      </c>
      <c r="B153" s="2" t="s">
        <v>62</v>
      </c>
      <c r="C153" s="2">
        <v>10</v>
      </c>
      <c r="D153" s="2">
        <v>3</v>
      </c>
      <c r="E153" s="2">
        <v>0</v>
      </c>
      <c r="F153" s="19" t="str">
        <f t="shared" si="12"/>
        <v>Individual Discretionary</v>
      </c>
      <c r="G153" s="19" t="str">
        <f t="shared" si="13"/>
        <v>Walk-Transit</v>
      </c>
      <c r="H153" s="19" t="str">
        <f t="shared" si="14"/>
        <v>SR2</v>
      </c>
      <c r="AB153" s="155" t="str">
        <f t="shared" si="15"/>
        <v>wlk-</v>
      </c>
      <c r="AC153" s="156" t="str">
        <f t="shared" si="16"/>
        <v>-</v>
      </c>
      <c r="AD153" s="2" t="str">
        <f t="shared" si="17"/>
        <v>---</v>
      </c>
    </row>
    <row r="154" spans="1:30" x14ac:dyDescent="0.2">
      <c r="A154" s="2" t="s">
        <v>97</v>
      </c>
      <c r="B154" s="2" t="s">
        <v>62</v>
      </c>
      <c r="C154" s="2">
        <v>10</v>
      </c>
      <c r="D154" s="2">
        <v>5</v>
      </c>
      <c r="E154" s="2">
        <v>0</v>
      </c>
      <c r="F154" s="19" t="str">
        <f t="shared" si="12"/>
        <v>Individual Discretionary</v>
      </c>
      <c r="G154" s="19" t="str">
        <f t="shared" si="13"/>
        <v>Walk-Transit</v>
      </c>
      <c r="H154" s="19" t="str">
        <f t="shared" si="14"/>
        <v>SR3+</v>
      </c>
      <c r="AB154" s="155" t="str">
        <f t="shared" si="15"/>
        <v>wlk-</v>
      </c>
      <c r="AC154" s="156" t="str">
        <f t="shared" si="16"/>
        <v>-</v>
      </c>
      <c r="AD154" s="2" t="str">
        <f t="shared" si="17"/>
        <v>---</v>
      </c>
    </row>
    <row r="155" spans="1:30" x14ac:dyDescent="0.2">
      <c r="A155" s="2" t="s">
        <v>97</v>
      </c>
      <c r="B155" s="2" t="s">
        <v>62</v>
      </c>
      <c r="C155" s="2">
        <v>10</v>
      </c>
      <c r="D155" s="2">
        <v>7</v>
      </c>
      <c r="E155" s="2">
        <v>0</v>
      </c>
      <c r="F155" s="19" t="str">
        <f t="shared" si="12"/>
        <v>Individual Discretionary</v>
      </c>
      <c r="G155" s="19" t="str">
        <f t="shared" si="13"/>
        <v>Walk-Transit</v>
      </c>
      <c r="H155" s="19" t="str">
        <f t="shared" si="14"/>
        <v>Walk</v>
      </c>
      <c r="AB155" s="155" t="str">
        <f t="shared" si="15"/>
        <v>wlk-</v>
      </c>
      <c r="AC155" s="156" t="str">
        <f t="shared" si="16"/>
        <v>-</v>
      </c>
      <c r="AD155" s="2" t="str">
        <f t="shared" si="17"/>
        <v>---</v>
      </c>
    </row>
    <row r="156" spans="1:30" x14ac:dyDescent="0.2">
      <c r="A156" s="2" t="s">
        <v>97</v>
      </c>
      <c r="B156" s="2" t="s">
        <v>62</v>
      </c>
      <c r="C156" s="2">
        <v>10</v>
      </c>
      <c r="D156" s="2">
        <v>9</v>
      </c>
      <c r="E156" s="2">
        <v>0</v>
      </c>
      <c r="F156" s="19" t="str">
        <f t="shared" si="12"/>
        <v>Individual Discretionary</v>
      </c>
      <c r="G156" s="19" t="str">
        <f t="shared" si="13"/>
        <v>Walk-Transit</v>
      </c>
      <c r="H156" s="19" t="str">
        <f t="shared" si="14"/>
        <v>Walk-Local</v>
      </c>
      <c r="AB156" s="155" t="str">
        <f t="shared" si="15"/>
        <v>wlk-</v>
      </c>
      <c r="AC156" s="156" t="str">
        <f t="shared" si="16"/>
        <v>-</v>
      </c>
      <c r="AD156" s="2" t="str">
        <f t="shared" si="17"/>
        <v>---</v>
      </c>
    </row>
    <row r="157" spans="1:30" x14ac:dyDescent="0.2">
      <c r="A157" s="2" t="s">
        <v>97</v>
      </c>
      <c r="B157" s="2" t="s">
        <v>62</v>
      </c>
      <c r="C157" s="2">
        <v>10</v>
      </c>
      <c r="D157" s="2">
        <v>10</v>
      </c>
      <c r="E157" s="2">
        <v>0</v>
      </c>
      <c r="F157" s="19" t="str">
        <f t="shared" si="12"/>
        <v>Individual Discretionary</v>
      </c>
      <c r="G157" s="19" t="str">
        <f t="shared" si="13"/>
        <v>Walk-Transit</v>
      </c>
      <c r="H157" s="19" t="str">
        <f t="shared" si="14"/>
        <v>Walk-LRT</v>
      </c>
      <c r="AB157" s="155" t="str">
        <f t="shared" si="15"/>
        <v>wlk-</v>
      </c>
      <c r="AC157" s="156" t="str">
        <f t="shared" si="16"/>
        <v>-</v>
      </c>
      <c r="AD157" s="2" t="str">
        <f t="shared" si="17"/>
        <v>---</v>
      </c>
    </row>
    <row r="158" spans="1:30" x14ac:dyDescent="0.2">
      <c r="A158" s="2" t="s">
        <v>97</v>
      </c>
      <c r="B158" s="2" t="s">
        <v>62</v>
      </c>
      <c r="C158" s="2">
        <v>10</v>
      </c>
      <c r="D158" s="2">
        <v>19</v>
      </c>
      <c r="E158" s="2">
        <v>0</v>
      </c>
      <c r="F158" s="19" t="str">
        <f t="shared" si="12"/>
        <v>Individual Discretionary</v>
      </c>
      <c r="G158" s="19" t="str">
        <f t="shared" si="13"/>
        <v>Walk-Transit</v>
      </c>
      <c r="H158" s="19" t="str">
        <f t="shared" si="14"/>
        <v>Taxi</v>
      </c>
      <c r="AB158" s="155" t="str">
        <f t="shared" si="15"/>
        <v>wlk-</v>
      </c>
      <c r="AC158" s="156" t="str">
        <f t="shared" si="16"/>
        <v>-</v>
      </c>
      <c r="AD158" s="2" t="str">
        <f t="shared" si="17"/>
        <v>---</v>
      </c>
    </row>
    <row r="159" spans="1:30" x14ac:dyDescent="0.2">
      <c r="A159" s="2" t="s">
        <v>97</v>
      </c>
      <c r="B159" s="2" t="s">
        <v>62</v>
      </c>
      <c r="C159" s="2">
        <v>11</v>
      </c>
      <c r="D159" s="2">
        <v>-10</v>
      </c>
      <c r="E159" s="2">
        <v>0</v>
      </c>
      <c r="F159" s="19" t="str">
        <f t="shared" si="12"/>
        <v>Individual Discretionary</v>
      </c>
      <c r="G159" s="19" t="str">
        <f t="shared" si="13"/>
        <v>Walk-Transit</v>
      </c>
      <c r="H159" s="19" t="str">
        <f t="shared" si="14"/>
        <v>Walk-Ferry</v>
      </c>
      <c r="AB159" s="155" t="str">
        <f t="shared" si="15"/>
        <v>wlk-</v>
      </c>
      <c r="AC159" s="156" t="str">
        <f t="shared" si="16"/>
        <v>-</v>
      </c>
      <c r="AD159" s="2" t="str">
        <f t="shared" si="17"/>
        <v>---</v>
      </c>
    </row>
    <row r="160" spans="1:30" x14ac:dyDescent="0.2">
      <c r="A160" s="2" t="s">
        <v>97</v>
      </c>
      <c r="B160" s="2" t="s">
        <v>62</v>
      </c>
      <c r="C160" s="2">
        <v>11</v>
      </c>
      <c r="D160" s="2">
        <v>3</v>
      </c>
      <c r="E160" s="2">
        <v>0</v>
      </c>
      <c r="F160" s="19" t="str">
        <f t="shared" si="12"/>
        <v>Individual Discretionary</v>
      </c>
      <c r="G160" s="19" t="str">
        <f t="shared" si="13"/>
        <v>Walk-Transit</v>
      </c>
      <c r="H160" s="19" t="str">
        <f t="shared" si="14"/>
        <v>SR2</v>
      </c>
      <c r="AB160" s="155" t="str">
        <f t="shared" si="15"/>
        <v>wlk-</v>
      </c>
      <c r="AC160" s="156" t="str">
        <f t="shared" si="16"/>
        <v>-</v>
      </c>
      <c r="AD160" s="2" t="str">
        <f t="shared" si="17"/>
        <v>---</v>
      </c>
    </row>
    <row r="161" spans="1:30" x14ac:dyDescent="0.2">
      <c r="A161" s="2" t="s">
        <v>97</v>
      </c>
      <c r="B161" s="2" t="s">
        <v>62</v>
      </c>
      <c r="C161" s="2">
        <v>11</v>
      </c>
      <c r="D161" s="2">
        <v>5</v>
      </c>
      <c r="E161" s="2">
        <v>0</v>
      </c>
      <c r="F161" s="19" t="str">
        <f t="shared" si="12"/>
        <v>Individual Discretionary</v>
      </c>
      <c r="G161" s="19" t="str">
        <f t="shared" si="13"/>
        <v>Walk-Transit</v>
      </c>
      <c r="H161" s="19" t="str">
        <f t="shared" si="14"/>
        <v>SR3+</v>
      </c>
      <c r="AB161" s="155" t="str">
        <f t="shared" si="15"/>
        <v>wlk-</v>
      </c>
      <c r="AC161" s="156" t="str">
        <f t="shared" si="16"/>
        <v>-</v>
      </c>
      <c r="AD161" s="2" t="str">
        <f t="shared" si="17"/>
        <v>---</v>
      </c>
    </row>
    <row r="162" spans="1:30" x14ac:dyDescent="0.2">
      <c r="A162" s="2" t="s">
        <v>97</v>
      </c>
      <c r="B162" s="2" t="s">
        <v>62</v>
      </c>
      <c r="C162" s="2">
        <v>11</v>
      </c>
      <c r="D162" s="2">
        <v>7</v>
      </c>
      <c r="E162" s="2">
        <v>0</v>
      </c>
      <c r="F162" s="19" t="str">
        <f t="shared" si="12"/>
        <v>Individual Discretionary</v>
      </c>
      <c r="G162" s="19" t="str">
        <f t="shared" si="13"/>
        <v>Walk-Transit</v>
      </c>
      <c r="H162" s="19" t="str">
        <f t="shared" si="14"/>
        <v>Walk</v>
      </c>
      <c r="AB162" s="155" t="str">
        <f t="shared" si="15"/>
        <v>wlk-</v>
      </c>
      <c r="AC162" s="156" t="str">
        <f t="shared" si="16"/>
        <v>-</v>
      </c>
      <c r="AD162" s="2" t="str">
        <f t="shared" si="17"/>
        <v>---</v>
      </c>
    </row>
    <row r="163" spans="1:30" x14ac:dyDescent="0.2">
      <c r="A163" s="2" t="s">
        <v>97</v>
      </c>
      <c r="B163" s="2" t="s">
        <v>62</v>
      </c>
      <c r="C163" s="2">
        <v>11</v>
      </c>
      <c r="D163" s="2">
        <v>9</v>
      </c>
      <c r="E163" s="2">
        <v>0</v>
      </c>
      <c r="F163" s="19" t="str">
        <f t="shared" si="12"/>
        <v>Individual Discretionary</v>
      </c>
      <c r="G163" s="19" t="str">
        <f t="shared" si="13"/>
        <v>Walk-Transit</v>
      </c>
      <c r="H163" s="19" t="str">
        <f t="shared" si="14"/>
        <v>Walk-Local</v>
      </c>
      <c r="AB163" s="155" t="str">
        <f t="shared" si="15"/>
        <v>wlk-</v>
      </c>
      <c r="AC163" s="156" t="str">
        <f t="shared" si="16"/>
        <v>-</v>
      </c>
      <c r="AD163" s="2" t="str">
        <f t="shared" si="17"/>
        <v>---</v>
      </c>
    </row>
    <row r="164" spans="1:30" x14ac:dyDescent="0.2">
      <c r="A164" s="2" t="s">
        <v>97</v>
      </c>
      <c r="B164" s="2" t="s">
        <v>62</v>
      </c>
      <c r="C164" s="2">
        <v>11</v>
      </c>
      <c r="D164" s="2">
        <v>10</v>
      </c>
      <c r="E164" s="2">
        <v>0</v>
      </c>
      <c r="F164" s="19" t="str">
        <f t="shared" si="12"/>
        <v>Individual Discretionary</v>
      </c>
      <c r="G164" s="19" t="str">
        <f t="shared" si="13"/>
        <v>Walk-Transit</v>
      </c>
      <c r="H164" s="19" t="str">
        <f t="shared" si="14"/>
        <v>Walk-LRT</v>
      </c>
      <c r="AB164" s="155" t="str">
        <f t="shared" si="15"/>
        <v>wlk-</v>
      </c>
      <c r="AC164" s="156" t="str">
        <f t="shared" si="16"/>
        <v>-</v>
      </c>
      <c r="AD164" s="2" t="str">
        <f t="shared" si="17"/>
        <v>---</v>
      </c>
    </row>
    <row r="165" spans="1:30" x14ac:dyDescent="0.2">
      <c r="A165" s="2" t="s">
        <v>97</v>
      </c>
      <c r="B165" s="2" t="s">
        <v>62</v>
      </c>
      <c r="C165" s="2">
        <v>11</v>
      </c>
      <c r="D165" s="2">
        <v>11</v>
      </c>
      <c r="E165" s="2">
        <v>0</v>
      </c>
      <c r="F165" s="19" t="str">
        <f t="shared" si="12"/>
        <v>Individual Discretionary</v>
      </c>
      <c r="G165" s="19" t="str">
        <f t="shared" si="13"/>
        <v>Walk-Transit</v>
      </c>
      <c r="H165" s="19" t="str">
        <f t="shared" si="14"/>
        <v>Walk-Express</v>
      </c>
      <c r="AB165" s="155" t="str">
        <f t="shared" si="15"/>
        <v>wlk-</v>
      </c>
      <c r="AC165" s="156" t="str">
        <f t="shared" si="16"/>
        <v>-</v>
      </c>
      <c r="AD165" s="2" t="str">
        <f t="shared" si="17"/>
        <v>---</v>
      </c>
    </row>
    <row r="166" spans="1:30" x14ac:dyDescent="0.2">
      <c r="A166" s="2" t="s">
        <v>97</v>
      </c>
      <c r="B166" s="2" t="s">
        <v>62</v>
      </c>
      <c r="C166" s="2">
        <v>12</v>
      </c>
      <c r="D166" s="2">
        <v>-10</v>
      </c>
      <c r="E166" s="2">
        <v>0</v>
      </c>
      <c r="F166" s="19" t="str">
        <f t="shared" si="12"/>
        <v>Individual Discretionary</v>
      </c>
      <c r="G166" s="19" t="str">
        <f t="shared" si="13"/>
        <v>Walk-Transit</v>
      </c>
      <c r="H166" s="19" t="str">
        <f t="shared" si="14"/>
        <v>Walk-Ferry</v>
      </c>
      <c r="AB166" s="155" t="str">
        <f t="shared" si="15"/>
        <v>wlk-</v>
      </c>
      <c r="AC166" s="156" t="str">
        <f t="shared" si="16"/>
        <v>-</v>
      </c>
      <c r="AD166" s="2" t="str">
        <f t="shared" si="17"/>
        <v>---</v>
      </c>
    </row>
    <row r="167" spans="1:30" x14ac:dyDescent="0.2">
      <c r="A167" s="2" t="s">
        <v>97</v>
      </c>
      <c r="B167" s="2" t="s">
        <v>62</v>
      </c>
      <c r="C167" s="2">
        <v>12</v>
      </c>
      <c r="D167" s="2">
        <v>3</v>
      </c>
      <c r="E167" s="2">
        <v>0</v>
      </c>
      <c r="F167" s="19" t="str">
        <f t="shared" si="12"/>
        <v>Individual Discretionary</v>
      </c>
      <c r="G167" s="19" t="str">
        <f t="shared" si="13"/>
        <v>Walk-Transit</v>
      </c>
      <c r="H167" s="19" t="str">
        <f t="shared" si="14"/>
        <v>SR2</v>
      </c>
      <c r="AB167" s="155" t="str">
        <f t="shared" si="15"/>
        <v>wlk-</v>
      </c>
      <c r="AC167" s="156" t="str">
        <f t="shared" si="16"/>
        <v>-</v>
      </c>
      <c r="AD167" s="2" t="str">
        <f t="shared" si="17"/>
        <v>---</v>
      </c>
    </row>
    <row r="168" spans="1:30" x14ac:dyDescent="0.2">
      <c r="A168" s="2" t="s">
        <v>97</v>
      </c>
      <c r="B168" s="2" t="s">
        <v>62</v>
      </c>
      <c r="C168" s="2">
        <v>12</v>
      </c>
      <c r="D168" s="2">
        <v>5</v>
      </c>
      <c r="E168" s="2">
        <v>0</v>
      </c>
      <c r="F168" s="19" t="str">
        <f t="shared" si="12"/>
        <v>Individual Discretionary</v>
      </c>
      <c r="G168" s="19" t="str">
        <f t="shared" si="13"/>
        <v>Walk-Transit</v>
      </c>
      <c r="H168" s="19" t="str">
        <f t="shared" si="14"/>
        <v>SR3+</v>
      </c>
      <c r="AB168" s="155" t="str">
        <f t="shared" si="15"/>
        <v>wlk-</v>
      </c>
      <c r="AC168" s="156" t="str">
        <f t="shared" si="16"/>
        <v>-</v>
      </c>
      <c r="AD168" s="2" t="str">
        <f t="shared" si="17"/>
        <v>---</v>
      </c>
    </row>
    <row r="169" spans="1:30" x14ac:dyDescent="0.2">
      <c r="A169" s="2" t="s">
        <v>97</v>
      </c>
      <c r="B169" s="2" t="s">
        <v>62</v>
      </c>
      <c r="C169" s="2">
        <v>12</v>
      </c>
      <c r="D169" s="2">
        <v>7</v>
      </c>
      <c r="E169" s="2">
        <v>0</v>
      </c>
      <c r="F169" s="19" t="str">
        <f t="shared" si="12"/>
        <v>Individual Discretionary</v>
      </c>
      <c r="G169" s="19" t="str">
        <f t="shared" si="13"/>
        <v>Walk-Transit</v>
      </c>
      <c r="H169" s="19" t="str">
        <f t="shared" si="14"/>
        <v>Walk</v>
      </c>
      <c r="AB169" s="155" t="str">
        <f t="shared" si="15"/>
        <v>wlk-</v>
      </c>
      <c r="AC169" s="156" t="str">
        <f t="shared" si="16"/>
        <v>-</v>
      </c>
      <c r="AD169" s="2" t="str">
        <f t="shared" si="17"/>
        <v>---</v>
      </c>
    </row>
    <row r="170" spans="1:30" x14ac:dyDescent="0.2">
      <c r="A170" s="2" t="s">
        <v>97</v>
      </c>
      <c r="B170" s="2" t="s">
        <v>62</v>
      </c>
      <c r="C170" s="2">
        <v>12</v>
      </c>
      <c r="D170" s="2">
        <v>9</v>
      </c>
      <c r="E170" s="2">
        <v>0</v>
      </c>
      <c r="F170" s="19" t="str">
        <f t="shared" si="12"/>
        <v>Individual Discretionary</v>
      </c>
      <c r="G170" s="19" t="str">
        <f t="shared" si="13"/>
        <v>Walk-Transit</v>
      </c>
      <c r="H170" s="19" t="str">
        <f t="shared" si="14"/>
        <v>Walk-Local</v>
      </c>
      <c r="AB170" s="155" t="str">
        <f t="shared" si="15"/>
        <v>wlk-</v>
      </c>
      <c r="AC170" s="156" t="str">
        <f t="shared" si="16"/>
        <v>-</v>
      </c>
      <c r="AD170" s="2" t="str">
        <f t="shared" si="17"/>
        <v>---</v>
      </c>
    </row>
    <row r="171" spans="1:30" x14ac:dyDescent="0.2">
      <c r="A171" s="2" t="s">
        <v>97</v>
      </c>
      <c r="B171" s="2" t="s">
        <v>62</v>
      </c>
      <c r="C171" s="2">
        <v>12</v>
      </c>
      <c r="D171" s="2">
        <v>10</v>
      </c>
      <c r="E171" s="2">
        <v>0</v>
      </c>
      <c r="F171" s="19" t="str">
        <f t="shared" si="12"/>
        <v>Individual Discretionary</v>
      </c>
      <c r="G171" s="19" t="str">
        <f t="shared" si="13"/>
        <v>Walk-Transit</v>
      </c>
      <c r="H171" s="19" t="str">
        <f t="shared" si="14"/>
        <v>Walk-LRT</v>
      </c>
      <c r="AB171" s="155" t="str">
        <f t="shared" si="15"/>
        <v>wlk-</v>
      </c>
      <c r="AC171" s="156" t="str">
        <f t="shared" si="16"/>
        <v>-</v>
      </c>
      <c r="AD171" s="2" t="str">
        <f t="shared" si="17"/>
        <v>---</v>
      </c>
    </row>
    <row r="172" spans="1:30" x14ac:dyDescent="0.2">
      <c r="A172" s="2" t="s">
        <v>97</v>
      </c>
      <c r="B172" s="2" t="s">
        <v>62</v>
      </c>
      <c r="C172" s="2">
        <v>12</v>
      </c>
      <c r="D172" s="2">
        <v>11</v>
      </c>
      <c r="E172" s="2">
        <v>0</v>
      </c>
      <c r="F172" s="19" t="str">
        <f t="shared" si="12"/>
        <v>Individual Discretionary</v>
      </c>
      <c r="G172" s="19" t="str">
        <f t="shared" si="13"/>
        <v>Walk-Transit</v>
      </c>
      <c r="H172" s="19" t="str">
        <f t="shared" si="14"/>
        <v>Walk-Express</v>
      </c>
      <c r="AB172" s="155" t="str">
        <f t="shared" si="15"/>
        <v>wlk-</v>
      </c>
      <c r="AC172" s="156" t="str">
        <f t="shared" si="16"/>
        <v>-</v>
      </c>
      <c r="AD172" s="2" t="str">
        <f t="shared" si="17"/>
        <v>---</v>
      </c>
    </row>
    <row r="173" spans="1:30" x14ac:dyDescent="0.2">
      <c r="A173" s="2" t="s">
        <v>97</v>
      </c>
      <c r="B173" s="2" t="s">
        <v>62</v>
      </c>
      <c r="C173" s="2">
        <v>12</v>
      </c>
      <c r="D173" s="2">
        <v>12</v>
      </c>
      <c r="E173" s="2">
        <v>0</v>
      </c>
      <c r="F173" s="19" t="str">
        <f t="shared" si="12"/>
        <v>Individual Discretionary</v>
      </c>
      <c r="G173" s="19" t="str">
        <f t="shared" si="13"/>
        <v>Walk-Transit</v>
      </c>
      <c r="H173" s="19" t="str">
        <f t="shared" si="14"/>
        <v>Walk-HeavyR</v>
      </c>
      <c r="AB173" s="155" t="str">
        <f t="shared" si="15"/>
        <v>wlk-</v>
      </c>
      <c r="AC173" s="156" t="str">
        <f t="shared" si="16"/>
        <v>-</v>
      </c>
      <c r="AD173" s="2" t="str">
        <f t="shared" si="17"/>
        <v>---</v>
      </c>
    </row>
    <row r="174" spans="1:30" x14ac:dyDescent="0.2">
      <c r="A174" s="2" t="s">
        <v>97</v>
      </c>
      <c r="B174" s="2" t="s">
        <v>62</v>
      </c>
      <c r="C174" s="2">
        <v>12</v>
      </c>
      <c r="D174" s="2">
        <v>19</v>
      </c>
      <c r="E174" s="2">
        <v>0</v>
      </c>
      <c r="F174" s="19" t="str">
        <f t="shared" si="12"/>
        <v>Individual Discretionary</v>
      </c>
      <c r="G174" s="19" t="str">
        <f t="shared" si="13"/>
        <v>Walk-Transit</v>
      </c>
      <c r="H174" s="19" t="str">
        <f t="shared" si="14"/>
        <v>Taxi</v>
      </c>
      <c r="AB174" s="155" t="str">
        <f t="shared" si="15"/>
        <v>wlk-</v>
      </c>
      <c r="AC174" s="156" t="str">
        <f t="shared" si="16"/>
        <v>-</v>
      </c>
      <c r="AD174" s="2" t="str">
        <f t="shared" si="17"/>
        <v>---</v>
      </c>
    </row>
    <row r="175" spans="1:30" x14ac:dyDescent="0.2">
      <c r="A175" s="2" t="s">
        <v>97</v>
      </c>
      <c r="B175" s="2" t="s">
        <v>62</v>
      </c>
      <c r="C175" s="2">
        <v>13</v>
      </c>
      <c r="D175" s="2">
        <v>3</v>
      </c>
      <c r="E175" s="2">
        <v>0</v>
      </c>
      <c r="F175" s="19" t="str">
        <f t="shared" si="12"/>
        <v>Individual Discretionary</v>
      </c>
      <c r="G175" s="19" t="str">
        <f t="shared" si="13"/>
        <v>Walk-Transit</v>
      </c>
      <c r="H175" s="19" t="str">
        <f t="shared" si="14"/>
        <v>SR2</v>
      </c>
      <c r="AB175" s="155" t="str">
        <f t="shared" si="15"/>
        <v>wlk-</v>
      </c>
      <c r="AC175" s="156" t="str">
        <f t="shared" si="16"/>
        <v>-</v>
      </c>
      <c r="AD175" s="2" t="str">
        <f t="shared" si="17"/>
        <v>---</v>
      </c>
    </row>
    <row r="176" spans="1:30" x14ac:dyDescent="0.2">
      <c r="A176" s="2" t="s">
        <v>97</v>
      </c>
      <c r="B176" s="2" t="s">
        <v>62</v>
      </c>
      <c r="C176" s="2">
        <v>13</v>
      </c>
      <c r="D176" s="2">
        <v>5</v>
      </c>
      <c r="E176" s="2">
        <v>0</v>
      </c>
      <c r="F176" s="19" t="str">
        <f t="shared" si="12"/>
        <v>Individual Discretionary</v>
      </c>
      <c r="G176" s="19" t="str">
        <f t="shared" si="13"/>
        <v>Walk-Transit</v>
      </c>
      <c r="H176" s="19" t="str">
        <f t="shared" si="14"/>
        <v>SR3+</v>
      </c>
      <c r="AB176" s="155" t="str">
        <f t="shared" si="15"/>
        <v>wlk-</v>
      </c>
      <c r="AC176" s="156" t="str">
        <f t="shared" si="16"/>
        <v>-</v>
      </c>
      <c r="AD176" s="2" t="str">
        <f t="shared" si="17"/>
        <v>---</v>
      </c>
    </row>
    <row r="177" spans="1:30" x14ac:dyDescent="0.2">
      <c r="A177" s="2" t="s">
        <v>97</v>
      </c>
      <c r="B177" s="2" t="s">
        <v>62</v>
      </c>
      <c r="C177" s="2">
        <v>13</v>
      </c>
      <c r="D177" s="2">
        <v>7</v>
      </c>
      <c r="E177" s="2">
        <v>0</v>
      </c>
      <c r="F177" s="19" t="str">
        <f t="shared" si="12"/>
        <v>Individual Discretionary</v>
      </c>
      <c r="G177" s="19" t="str">
        <f t="shared" si="13"/>
        <v>Walk-Transit</v>
      </c>
      <c r="H177" s="19" t="str">
        <f t="shared" si="14"/>
        <v>Walk</v>
      </c>
      <c r="AB177" s="155" t="str">
        <f t="shared" si="15"/>
        <v>wlk-</v>
      </c>
      <c r="AC177" s="156" t="str">
        <f t="shared" si="16"/>
        <v>-</v>
      </c>
      <c r="AD177" s="2" t="str">
        <f t="shared" si="17"/>
        <v>---</v>
      </c>
    </row>
    <row r="178" spans="1:30" x14ac:dyDescent="0.2">
      <c r="A178" s="2" t="s">
        <v>97</v>
      </c>
      <c r="B178" s="2" t="s">
        <v>62</v>
      </c>
      <c r="C178" s="2">
        <v>13</v>
      </c>
      <c r="D178" s="2">
        <v>9</v>
      </c>
      <c r="E178" s="2">
        <v>0</v>
      </c>
      <c r="F178" s="19" t="str">
        <f t="shared" si="12"/>
        <v>Individual Discretionary</v>
      </c>
      <c r="G178" s="19" t="str">
        <f t="shared" si="13"/>
        <v>Walk-Transit</v>
      </c>
      <c r="H178" s="19" t="str">
        <f t="shared" si="14"/>
        <v>Walk-Local</v>
      </c>
      <c r="AB178" s="155" t="str">
        <f t="shared" si="15"/>
        <v>wlk-</v>
      </c>
      <c r="AC178" s="156" t="str">
        <f t="shared" si="16"/>
        <v>-</v>
      </c>
      <c r="AD178" s="2" t="str">
        <f t="shared" si="17"/>
        <v>---</v>
      </c>
    </row>
    <row r="179" spans="1:30" x14ac:dyDescent="0.2">
      <c r="A179" s="2" t="s">
        <v>97</v>
      </c>
      <c r="B179" s="2" t="s">
        <v>62</v>
      </c>
      <c r="C179" s="2">
        <v>13</v>
      </c>
      <c r="D179" s="2">
        <v>10</v>
      </c>
      <c r="E179" s="2">
        <v>0</v>
      </c>
      <c r="F179" s="19" t="str">
        <f t="shared" si="12"/>
        <v>Individual Discretionary</v>
      </c>
      <c r="G179" s="19" t="str">
        <f t="shared" si="13"/>
        <v>Walk-Transit</v>
      </c>
      <c r="H179" s="19" t="str">
        <f t="shared" si="14"/>
        <v>Walk-LRT</v>
      </c>
      <c r="AB179" s="155" t="str">
        <f t="shared" si="15"/>
        <v>wlk-</v>
      </c>
      <c r="AC179" s="156" t="str">
        <f t="shared" si="16"/>
        <v>-</v>
      </c>
      <c r="AD179" s="2" t="str">
        <f t="shared" si="17"/>
        <v>---</v>
      </c>
    </row>
    <row r="180" spans="1:30" x14ac:dyDescent="0.2">
      <c r="A180" s="2" t="s">
        <v>97</v>
      </c>
      <c r="B180" s="2" t="s">
        <v>62</v>
      </c>
      <c r="C180" s="2">
        <v>13</v>
      </c>
      <c r="D180" s="2">
        <v>11</v>
      </c>
      <c r="E180" s="2">
        <v>0</v>
      </c>
      <c r="F180" s="19" t="str">
        <f t="shared" si="12"/>
        <v>Individual Discretionary</v>
      </c>
      <c r="G180" s="19" t="str">
        <f t="shared" si="13"/>
        <v>Walk-Transit</v>
      </c>
      <c r="H180" s="19" t="str">
        <f t="shared" si="14"/>
        <v>Walk-Express</v>
      </c>
      <c r="AB180" s="155" t="str">
        <f t="shared" si="15"/>
        <v>wlk-</v>
      </c>
      <c r="AC180" s="156" t="str">
        <f t="shared" si="16"/>
        <v>-</v>
      </c>
      <c r="AD180" s="2" t="str">
        <f t="shared" si="17"/>
        <v>---</v>
      </c>
    </row>
    <row r="181" spans="1:30" x14ac:dyDescent="0.2">
      <c r="A181" s="2" t="s">
        <v>97</v>
      </c>
      <c r="B181" s="2" t="s">
        <v>62</v>
      </c>
      <c r="C181" s="2">
        <v>13</v>
      </c>
      <c r="D181" s="2">
        <v>12</v>
      </c>
      <c r="E181" s="2">
        <v>0</v>
      </c>
      <c r="F181" s="19" t="str">
        <f t="shared" si="12"/>
        <v>Individual Discretionary</v>
      </c>
      <c r="G181" s="19" t="str">
        <f t="shared" si="13"/>
        <v>Walk-Transit</v>
      </c>
      <c r="H181" s="19" t="str">
        <f t="shared" si="14"/>
        <v>Walk-HeavyR</v>
      </c>
      <c r="AB181" s="155" t="str">
        <f t="shared" si="15"/>
        <v>wlk-</v>
      </c>
      <c r="AC181" s="156" t="str">
        <f t="shared" si="16"/>
        <v>-</v>
      </c>
      <c r="AD181" s="2" t="str">
        <f t="shared" si="17"/>
        <v>---</v>
      </c>
    </row>
    <row r="182" spans="1:30" x14ac:dyDescent="0.2">
      <c r="A182" s="2" t="s">
        <v>97</v>
      </c>
      <c r="B182" s="2" t="s">
        <v>62</v>
      </c>
      <c r="C182" s="2">
        <v>13</v>
      </c>
      <c r="D182" s="2">
        <v>13</v>
      </c>
      <c r="E182" s="2">
        <v>0</v>
      </c>
      <c r="F182" s="19" t="str">
        <f t="shared" si="12"/>
        <v>Individual Discretionary</v>
      </c>
      <c r="G182" s="19" t="str">
        <f t="shared" si="13"/>
        <v>Walk-Transit</v>
      </c>
      <c r="H182" s="19" t="str">
        <f t="shared" si="14"/>
        <v>Walk-CommR</v>
      </c>
      <c r="AB182" s="155" t="str">
        <f t="shared" si="15"/>
        <v>wlk-</v>
      </c>
      <c r="AC182" s="156" t="str">
        <f t="shared" si="16"/>
        <v>-</v>
      </c>
      <c r="AD182" s="2" t="str">
        <f t="shared" si="17"/>
        <v>---</v>
      </c>
    </row>
    <row r="183" spans="1:30" x14ac:dyDescent="0.2">
      <c r="A183" s="2" t="s">
        <v>97</v>
      </c>
      <c r="B183" s="2" t="s">
        <v>62</v>
      </c>
      <c r="C183" s="2">
        <v>14</v>
      </c>
      <c r="D183" s="2">
        <v>14</v>
      </c>
      <c r="E183" s="2">
        <v>0</v>
      </c>
      <c r="F183" s="19" t="str">
        <f t="shared" si="12"/>
        <v>Individual Discretionary</v>
      </c>
      <c r="G183" s="19" t="str">
        <f t="shared" si="13"/>
        <v>Drive-Transit</v>
      </c>
      <c r="H183" s="19" t="str">
        <f t="shared" si="14"/>
        <v>Drive-Local</v>
      </c>
      <c r="AB183" s="155" t="str">
        <f t="shared" si="15"/>
        <v>wlk-</v>
      </c>
      <c r="AC183" s="156" t="str">
        <f t="shared" si="16"/>
        <v>-</v>
      </c>
      <c r="AD183" s="2" t="str">
        <f t="shared" si="17"/>
        <v>---</v>
      </c>
    </row>
    <row r="184" spans="1:30" x14ac:dyDescent="0.2">
      <c r="A184" s="2" t="s">
        <v>97</v>
      </c>
      <c r="B184" s="2" t="s">
        <v>62</v>
      </c>
      <c r="C184" s="2">
        <v>15</v>
      </c>
      <c r="D184" s="2">
        <v>14</v>
      </c>
      <c r="E184" s="2">
        <v>0</v>
      </c>
      <c r="F184" s="19" t="str">
        <f t="shared" si="12"/>
        <v>Individual Discretionary</v>
      </c>
      <c r="G184" s="19" t="str">
        <f t="shared" si="13"/>
        <v>Drive-Transit</v>
      </c>
      <c r="H184" s="19" t="str">
        <f t="shared" si="14"/>
        <v>Drive-Local</v>
      </c>
      <c r="AB184" s="155" t="str">
        <f t="shared" si="15"/>
        <v>wlk-</v>
      </c>
      <c r="AC184" s="156" t="str">
        <f t="shared" si="16"/>
        <v>-</v>
      </c>
      <c r="AD184" s="2" t="str">
        <f t="shared" si="17"/>
        <v>---</v>
      </c>
    </row>
    <row r="185" spans="1:30" x14ac:dyDescent="0.2">
      <c r="A185" s="2" t="s">
        <v>97</v>
      </c>
      <c r="B185" s="2" t="s">
        <v>62</v>
      </c>
      <c r="C185" s="2">
        <v>15</v>
      </c>
      <c r="D185" s="2">
        <v>15</v>
      </c>
      <c r="E185" s="2">
        <v>0</v>
      </c>
      <c r="F185" s="19" t="str">
        <f t="shared" si="12"/>
        <v>Individual Discretionary</v>
      </c>
      <c r="G185" s="19" t="str">
        <f t="shared" si="13"/>
        <v>Drive-Transit</v>
      </c>
      <c r="H185" s="19" t="str">
        <f t="shared" si="14"/>
        <v>Drive-LRT</v>
      </c>
      <c r="AB185" s="155" t="str">
        <f t="shared" si="15"/>
        <v>wlk-</v>
      </c>
      <c r="AC185" s="156" t="str">
        <f t="shared" si="16"/>
        <v>-</v>
      </c>
      <c r="AD185" s="2" t="str">
        <f t="shared" si="17"/>
        <v>---</v>
      </c>
    </row>
    <row r="186" spans="1:30" x14ac:dyDescent="0.2">
      <c r="A186" s="2" t="s">
        <v>97</v>
      </c>
      <c r="B186" s="2" t="s">
        <v>62</v>
      </c>
      <c r="C186" s="2">
        <v>16</v>
      </c>
      <c r="D186" s="2">
        <v>-15</v>
      </c>
      <c r="E186" s="2">
        <v>0</v>
      </c>
      <c r="F186" s="19" t="str">
        <f t="shared" si="12"/>
        <v>Individual Discretionary</v>
      </c>
      <c r="G186" s="19" t="str">
        <f t="shared" si="13"/>
        <v>Drive-Transit</v>
      </c>
      <c r="H186" s="19" t="str">
        <f t="shared" si="14"/>
        <v>Drive-Ferry</v>
      </c>
      <c r="AB186" s="155" t="str">
        <f t="shared" si="15"/>
        <v>wlk-</v>
      </c>
      <c r="AC186" s="156" t="str">
        <f t="shared" si="16"/>
        <v>-</v>
      </c>
      <c r="AD186" s="2" t="str">
        <f t="shared" si="17"/>
        <v>---</v>
      </c>
    </row>
    <row r="187" spans="1:30" x14ac:dyDescent="0.2">
      <c r="A187" s="2" t="s">
        <v>97</v>
      </c>
      <c r="B187" s="2" t="s">
        <v>62</v>
      </c>
      <c r="C187" s="2">
        <v>16</v>
      </c>
      <c r="D187" s="2">
        <v>16</v>
      </c>
      <c r="E187" s="2">
        <v>0</v>
      </c>
      <c r="F187" s="19" t="str">
        <f t="shared" si="12"/>
        <v>Individual Discretionary</v>
      </c>
      <c r="G187" s="19" t="str">
        <f t="shared" si="13"/>
        <v>Drive-Transit</v>
      </c>
      <c r="H187" s="19" t="str">
        <f t="shared" si="14"/>
        <v>Drive-Express</v>
      </c>
      <c r="AB187" s="155" t="str">
        <f t="shared" si="15"/>
        <v>wlk-</v>
      </c>
      <c r="AC187" s="156" t="str">
        <f t="shared" si="16"/>
        <v>-</v>
      </c>
      <c r="AD187" s="2" t="str">
        <f t="shared" si="17"/>
        <v>---</v>
      </c>
    </row>
    <row r="188" spans="1:30" x14ac:dyDescent="0.2">
      <c r="A188" s="2" t="s">
        <v>97</v>
      </c>
      <c r="B188" s="2" t="s">
        <v>62</v>
      </c>
      <c r="C188" s="2">
        <v>17</v>
      </c>
      <c r="D188" s="2">
        <v>-15</v>
      </c>
      <c r="E188" s="2">
        <v>0</v>
      </c>
      <c r="F188" s="19" t="str">
        <f t="shared" si="12"/>
        <v>Individual Discretionary</v>
      </c>
      <c r="G188" s="19" t="str">
        <f t="shared" si="13"/>
        <v>Drive-Transit</v>
      </c>
      <c r="H188" s="19" t="str">
        <f t="shared" si="14"/>
        <v>Drive-Ferry</v>
      </c>
      <c r="AB188" s="155" t="str">
        <f t="shared" si="15"/>
        <v>wlk-</v>
      </c>
      <c r="AC188" s="156" t="str">
        <f t="shared" si="16"/>
        <v>-</v>
      </c>
      <c r="AD188" s="2" t="str">
        <f t="shared" si="17"/>
        <v>---</v>
      </c>
    </row>
    <row r="189" spans="1:30" x14ac:dyDescent="0.2">
      <c r="A189" s="2" t="s">
        <v>97</v>
      </c>
      <c r="B189" s="2" t="s">
        <v>62</v>
      </c>
      <c r="C189" s="2">
        <v>17</v>
      </c>
      <c r="D189" s="2">
        <v>14</v>
      </c>
      <c r="E189" s="2">
        <v>0</v>
      </c>
      <c r="F189" s="19" t="str">
        <f t="shared" si="12"/>
        <v>Individual Discretionary</v>
      </c>
      <c r="G189" s="19" t="str">
        <f t="shared" si="13"/>
        <v>Drive-Transit</v>
      </c>
      <c r="H189" s="19" t="str">
        <f t="shared" si="14"/>
        <v>Drive-Local</v>
      </c>
      <c r="AB189" s="155" t="str">
        <f t="shared" si="15"/>
        <v>wlk-</v>
      </c>
      <c r="AC189" s="156" t="str">
        <f t="shared" si="16"/>
        <v>-</v>
      </c>
      <c r="AD189" s="2" t="str">
        <f t="shared" si="17"/>
        <v>---</v>
      </c>
    </row>
    <row r="190" spans="1:30" x14ac:dyDescent="0.2">
      <c r="A190" s="2" t="s">
        <v>97</v>
      </c>
      <c r="B190" s="2" t="s">
        <v>62</v>
      </c>
      <c r="C190" s="2">
        <v>17</v>
      </c>
      <c r="D190" s="2">
        <v>15</v>
      </c>
      <c r="E190" s="2">
        <v>0</v>
      </c>
      <c r="F190" s="19" t="str">
        <f t="shared" si="12"/>
        <v>Individual Discretionary</v>
      </c>
      <c r="G190" s="19" t="str">
        <f t="shared" si="13"/>
        <v>Drive-Transit</v>
      </c>
      <c r="H190" s="19" t="str">
        <f t="shared" si="14"/>
        <v>Drive-LRT</v>
      </c>
      <c r="AB190" s="155" t="str">
        <f t="shared" si="15"/>
        <v>wlk-</v>
      </c>
      <c r="AC190" s="156" t="str">
        <f t="shared" si="16"/>
        <v>-</v>
      </c>
      <c r="AD190" s="2" t="str">
        <f t="shared" si="17"/>
        <v>---</v>
      </c>
    </row>
    <row r="191" spans="1:30" x14ac:dyDescent="0.2">
      <c r="A191" s="2" t="s">
        <v>97</v>
      </c>
      <c r="B191" s="2" t="s">
        <v>62</v>
      </c>
      <c r="C191" s="2">
        <v>17</v>
      </c>
      <c r="D191" s="2">
        <v>16</v>
      </c>
      <c r="E191" s="2">
        <v>0</v>
      </c>
      <c r="F191" s="19" t="str">
        <f t="shared" si="12"/>
        <v>Individual Discretionary</v>
      </c>
      <c r="G191" s="19" t="str">
        <f t="shared" si="13"/>
        <v>Drive-Transit</v>
      </c>
      <c r="H191" s="19" t="str">
        <f t="shared" si="14"/>
        <v>Drive-Express</v>
      </c>
      <c r="AB191" s="155" t="str">
        <f t="shared" si="15"/>
        <v>wlk-</v>
      </c>
      <c r="AC191" s="156" t="str">
        <f t="shared" si="16"/>
        <v>-</v>
      </c>
      <c r="AD191" s="2" t="str">
        <f t="shared" si="17"/>
        <v>---</v>
      </c>
    </row>
    <row r="192" spans="1:30" x14ac:dyDescent="0.2">
      <c r="A192" s="2" t="s">
        <v>97</v>
      </c>
      <c r="B192" s="2" t="s">
        <v>62</v>
      </c>
      <c r="C192" s="2">
        <v>17</v>
      </c>
      <c r="D192" s="2">
        <v>17</v>
      </c>
      <c r="E192" s="2">
        <v>0</v>
      </c>
      <c r="F192" s="19" t="str">
        <f t="shared" si="12"/>
        <v>Individual Discretionary</v>
      </c>
      <c r="G192" s="19" t="str">
        <f t="shared" si="13"/>
        <v>Drive-Transit</v>
      </c>
      <c r="H192" s="19" t="str">
        <f t="shared" si="14"/>
        <v>Drive-HeavyR</v>
      </c>
      <c r="AB192" s="155" t="str">
        <f t="shared" si="15"/>
        <v>wlk-</v>
      </c>
      <c r="AC192" s="156" t="str">
        <f t="shared" si="16"/>
        <v>-</v>
      </c>
      <c r="AD192" s="2" t="str">
        <f t="shared" si="17"/>
        <v>---</v>
      </c>
    </row>
    <row r="193" spans="1:30" x14ac:dyDescent="0.2">
      <c r="A193" s="2" t="s">
        <v>97</v>
      </c>
      <c r="B193" s="2" t="s">
        <v>62</v>
      </c>
      <c r="C193" s="2">
        <v>18</v>
      </c>
      <c r="D193" s="2">
        <v>14</v>
      </c>
      <c r="E193" s="2">
        <v>0</v>
      </c>
      <c r="F193" s="19" t="str">
        <f t="shared" si="12"/>
        <v>Individual Discretionary</v>
      </c>
      <c r="G193" s="19" t="str">
        <f t="shared" si="13"/>
        <v>Drive-Transit</v>
      </c>
      <c r="H193" s="19" t="str">
        <f t="shared" si="14"/>
        <v>Drive-Local</v>
      </c>
      <c r="AB193" s="155" t="str">
        <f t="shared" si="15"/>
        <v>wlk-</v>
      </c>
      <c r="AC193" s="156" t="str">
        <f t="shared" si="16"/>
        <v>-</v>
      </c>
      <c r="AD193" s="2" t="str">
        <f t="shared" si="17"/>
        <v>---</v>
      </c>
    </row>
    <row r="194" spans="1:30" x14ac:dyDescent="0.2">
      <c r="A194" s="2" t="s">
        <v>97</v>
      </c>
      <c r="B194" s="2" t="s">
        <v>62</v>
      </c>
      <c r="C194" s="2">
        <v>18</v>
      </c>
      <c r="D194" s="2">
        <v>15</v>
      </c>
      <c r="E194" s="2">
        <v>0</v>
      </c>
      <c r="F194" s="19" t="str">
        <f t="shared" si="12"/>
        <v>Individual Discretionary</v>
      </c>
      <c r="G194" s="19" t="str">
        <f t="shared" si="13"/>
        <v>Drive-Transit</v>
      </c>
      <c r="H194" s="19" t="str">
        <f t="shared" si="14"/>
        <v>Drive-LRT</v>
      </c>
      <c r="AB194" s="155" t="str">
        <f t="shared" si="15"/>
        <v>wlk-</v>
      </c>
      <c r="AC194" s="156" t="str">
        <f t="shared" si="16"/>
        <v>-</v>
      </c>
      <c r="AD194" s="2" t="str">
        <f t="shared" si="17"/>
        <v>---</v>
      </c>
    </row>
    <row r="195" spans="1:30" x14ac:dyDescent="0.2">
      <c r="A195" s="2" t="s">
        <v>97</v>
      </c>
      <c r="B195" s="2" t="s">
        <v>62</v>
      </c>
      <c r="C195" s="2">
        <v>18</v>
      </c>
      <c r="D195" s="2">
        <v>16</v>
      </c>
      <c r="E195" s="2">
        <v>0</v>
      </c>
      <c r="F195" s="19" t="str">
        <f t="shared" ref="F195:F258" si="18">IF(A195="joint","Joint",_xlfn.IFNA(VLOOKUP(B195,tour_purposes,2,FALSE),"None"))</f>
        <v>Individual Discretionary</v>
      </c>
      <c r="G195" s="19" t="str">
        <f t="shared" ref="G195:G258" si="19">IF(AND(A195="joint",C195&lt;=6),"Auto",_xlfn.IFNA(VLOOKUP(C195,tour_modes,3,FALSE),"None"))</f>
        <v>Drive-Transit</v>
      </c>
      <c r="H195" s="19" t="str">
        <f t="shared" ref="H195:H258" si="20">_xlfn.IFNA(VLOOKUP(D195,trip_modes,2,FALSE),"None")</f>
        <v>Drive-Express</v>
      </c>
      <c r="AB195" s="155" t="str">
        <f t="shared" si="15"/>
        <v>wlk-</v>
      </c>
      <c r="AC195" s="156" t="str">
        <f t="shared" si="16"/>
        <v>-</v>
      </c>
      <c r="AD195" s="2" t="str">
        <f t="shared" si="17"/>
        <v>---</v>
      </c>
    </row>
    <row r="196" spans="1:30" x14ac:dyDescent="0.2">
      <c r="A196" s="2" t="s">
        <v>97</v>
      </c>
      <c r="B196" s="2" t="s">
        <v>62</v>
      </c>
      <c r="C196" s="2">
        <v>18</v>
      </c>
      <c r="D196" s="2">
        <v>17</v>
      </c>
      <c r="E196" s="2">
        <v>0</v>
      </c>
      <c r="F196" s="19" t="str">
        <f t="shared" si="18"/>
        <v>Individual Discretionary</v>
      </c>
      <c r="G196" s="19" t="str">
        <f t="shared" si="19"/>
        <v>Drive-Transit</v>
      </c>
      <c r="H196" s="19" t="str">
        <f t="shared" si="20"/>
        <v>Drive-HeavyR</v>
      </c>
      <c r="AB196" s="155" t="str">
        <f t="shared" ref="AB196:AB259" si="21">CONCATENATE(IF(OR(R196="drv",S196="drv"),"drv","wlk"),"-",U196)</f>
        <v>wlk-</v>
      </c>
      <c r="AC196" s="156" t="str">
        <f t="shared" ref="AC196:AC259" si="22">CONCATENATE(T196,"-",U196)</f>
        <v>-</v>
      </c>
      <c r="AD196" s="2" t="str">
        <f t="shared" ref="AD196:AD259" si="23">CONCATENATE(R196,"-",S196,"-",T196,"-",U196)</f>
        <v>---</v>
      </c>
    </row>
    <row r="197" spans="1:30" x14ac:dyDescent="0.2">
      <c r="A197" s="2" t="s">
        <v>97</v>
      </c>
      <c r="B197" s="2" t="s">
        <v>62</v>
      </c>
      <c r="C197" s="2">
        <v>18</v>
      </c>
      <c r="D197" s="2">
        <v>18</v>
      </c>
      <c r="E197" s="2">
        <v>0</v>
      </c>
      <c r="F197" s="19" t="str">
        <f t="shared" si="18"/>
        <v>Individual Discretionary</v>
      </c>
      <c r="G197" s="19" t="str">
        <f t="shared" si="19"/>
        <v>Drive-Transit</v>
      </c>
      <c r="H197" s="19" t="str">
        <f t="shared" si="20"/>
        <v>Drive-CommR</v>
      </c>
      <c r="AB197" s="155" t="str">
        <f t="shared" si="21"/>
        <v>wlk-</v>
      </c>
      <c r="AC197" s="156" t="str">
        <f t="shared" si="22"/>
        <v>-</v>
      </c>
      <c r="AD197" s="2" t="str">
        <f t="shared" si="23"/>
        <v>---</v>
      </c>
    </row>
    <row r="198" spans="1:30" x14ac:dyDescent="0.2">
      <c r="A198" s="2" t="s">
        <v>97</v>
      </c>
      <c r="B198" s="2" t="s">
        <v>62</v>
      </c>
      <c r="C198" s="2">
        <v>19</v>
      </c>
      <c r="D198" s="2">
        <v>3</v>
      </c>
      <c r="E198" s="2">
        <v>0</v>
      </c>
      <c r="F198" s="19" t="str">
        <f t="shared" si="18"/>
        <v>Individual Discretionary</v>
      </c>
      <c r="G198" s="19" t="str">
        <f t="shared" si="19"/>
        <v>Taxi</v>
      </c>
      <c r="H198" s="19" t="str">
        <f t="shared" si="20"/>
        <v>SR2</v>
      </c>
      <c r="AB198" s="155" t="str">
        <f t="shared" si="21"/>
        <v>wlk-</v>
      </c>
      <c r="AC198" s="156" t="str">
        <f t="shared" si="22"/>
        <v>-</v>
      </c>
      <c r="AD198" s="2" t="str">
        <f t="shared" si="23"/>
        <v>---</v>
      </c>
    </row>
    <row r="199" spans="1:30" x14ac:dyDescent="0.2">
      <c r="A199" s="2" t="s">
        <v>97</v>
      </c>
      <c r="B199" s="2" t="s">
        <v>62</v>
      </c>
      <c r="C199" s="2">
        <v>19</v>
      </c>
      <c r="D199" s="2">
        <v>5</v>
      </c>
      <c r="E199" s="2">
        <v>0</v>
      </c>
      <c r="F199" s="19" t="str">
        <f t="shared" si="18"/>
        <v>Individual Discretionary</v>
      </c>
      <c r="G199" s="19" t="str">
        <f t="shared" si="19"/>
        <v>Taxi</v>
      </c>
      <c r="H199" s="19" t="str">
        <f t="shared" si="20"/>
        <v>SR3+</v>
      </c>
      <c r="AB199" s="155" t="str">
        <f t="shared" si="21"/>
        <v>wlk-</v>
      </c>
      <c r="AC199" s="156" t="str">
        <f t="shared" si="22"/>
        <v>-</v>
      </c>
      <c r="AD199" s="2" t="str">
        <f t="shared" si="23"/>
        <v>---</v>
      </c>
    </row>
    <row r="200" spans="1:30" x14ac:dyDescent="0.2">
      <c r="A200" s="2" t="s">
        <v>97</v>
      </c>
      <c r="B200" s="2" t="s">
        <v>62</v>
      </c>
      <c r="C200" s="2">
        <v>19</v>
      </c>
      <c r="D200" s="2">
        <v>7</v>
      </c>
      <c r="E200" s="2">
        <v>0</v>
      </c>
      <c r="F200" s="19" t="str">
        <f t="shared" si="18"/>
        <v>Individual Discretionary</v>
      </c>
      <c r="G200" s="19" t="str">
        <f t="shared" si="19"/>
        <v>Taxi</v>
      </c>
      <c r="H200" s="19" t="str">
        <f t="shared" si="20"/>
        <v>Walk</v>
      </c>
      <c r="AB200" s="155" t="str">
        <f t="shared" si="21"/>
        <v>wlk-</v>
      </c>
      <c r="AC200" s="156" t="str">
        <f t="shared" si="22"/>
        <v>-</v>
      </c>
      <c r="AD200" s="2" t="str">
        <f t="shared" si="23"/>
        <v>---</v>
      </c>
    </row>
    <row r="201" spans="1:30" x14ac:dyDescent="0.2">
      <c r="A201" s="2" t="s">
        <v>97</v>
      </c>
      <c r="B201" s="2" t="s">
        <v>62</v>
      </c>
      <c r="C201" s="2">
        <v>19</v>
      </c>
      <c r="D201" s="2">
        <v>19</v>
      </c>
      <c r="E201" s="2">
        <v>0</v>
      </c>
      <c r="F201" s="19" t="str">
        <f t="shared" si="18"/>
        <v>Individual Discretionary</v>
      </c>
      <c r="G201" s="19" t="str">
        <f t="shared" si="19"/>
        <v>Taxi</v>
      </c>
      <c r="H201" s="19" t="str">
        <f t="shared" si="20"/>
        <v>Taxi</v>
      </c>
      <c r="AB201" s="155" t="str">
        <f t="shared" si="21"/>
        <v>wlk-</v>
      </c>
      <c r="AC201" s="156" t="str">
        <f t="shared" si="22"/>
        <v>-</v>
      </c>
      <c r="AD201" s="2" t="str">
        <f t="shared" si="23"/>
        <v>---</v>
      </c>
    </row>
    <row r="202" spans="1:30" x14ac:dyDescent="0.2">
      <c r="A202" s="2" t="s">
        <v>97</v>
      </c>
      <c r="B202" s="2" t="s">
        <v>62</v>
      </c>
      <c r="C202" s="2">
        <v>19</v>
      </c>
      <c r="D202" s="2">
        <v>20</v>
      </c>
      <c r="E202" s="2">
        <v>0</v>
      </c>
      <c r="F202" s="19" t="str">
        <f t="shared" si="18"/>
        <v>Individual Discretionary</v>
      </c>
      <c r="G202" s="19" t="str">
        <f t="shared" si="19"/>
        <v>Taxi</v>
      </c>
      <c r="H202" s="19" t="str">
        <f t="shared" si="20"/>
        <v>TNC-Single</v>
      </c>
      <c r="AB202" s="155" t="str">
        <f t="shared" si="21"/>
        <v>wlk-</v>
      </c>
      <c r="AC202" s="156" t="str">
        <f t="shared" si="22"/>
        <v>-</v>
      </c>
      <c r="AD202" s="2" t="str">
        <f t="shared" si="23"/>
        <v>---</v>
      </c>
    </row>
    <row r="203" spans="1:30" x14ac:dyDescent="0.2">
      <c r="A203" s="2" t="s">
        <v>97</v>
      </c>
      <c r="B203" s="2" t="s">
        <v>62</v>
      </c>
      <c r="C203" s="2">
        <v>20</v>
      </c>
      <c r="D203" s="2">
        <v>3</v>
      </c>
      <c r="E203" s="2">
        <v>0</v>
      </c>
      <c r="F203" s="19" t="str">
        <f t="shared" si="18"/>
        <v>Individual Discretionary</v>
      </c>
      <c r="G203" s="19" t="str">
        <f t="shared" si="19"/>
        <v>TNC-Single</v>
      </c>
      <c r="H203" s="19" t="str">
        <f t="shared" si="20"/>
        <v>SR2</v>
      </c>
      <c r="AB203" s="155" t="str">
        <f t="shared" si="21"/>
        <v>wlk-</v>
      </c>
      <c r="AC203" s="156" t="str">
        <f t="shared" si="22"/>
        <v>-</v>
      </c>
      <c r="AD203" s="2" t="str">
        <f t="shared" si="23"/>
        <v>---</v>
      </c>
    </row>
    <row r="204" spans="1:30" x14ac:dyDescent="0.2">
      <c r="A204" s="2" t="s">
        <v>97</v>
      </c>
      <c r="B204" s="2" t="s">
        <v>62</v>
      </c>
      <c r="C204" s="2">
        <v>20</v>
      </c>
      <c r="D204" s="2">
        <v>19</v>
      </c>
      <c r="E204" s="2">
        <v>0</v>
      </c>
      <c r="F204" s="19" t="str">
        <f t="shared" si="18"/>
        <v>Individual Discretionary</v>
      </c>
      <c r="G204" s="19" t="str">
        <f t="shared" si="19"/>
        <v>TNC-Single</v>
      </c>
      <c r="H204" s="19" t="str">
        <f t="shared" si="20"/>
        <v>Taxi</v>
      </c>
      <c r="AB204" s="155" t="str">
        <f t="shared" si="21"/>
        <v>wlk-</v>
      </c>
      <c r="AC204" s="156" t="str">
        <f t="shared" si="22"/>
        <v>-</v>
      </c>
      <c r="AD204" s="2" t="str">
        <f t="shared" si="23"/>
        <v>---</v>
      </c>
    </row>
    <row r="205" spans="1:30" x14ac:dyDescent="0.2">
      <c r="A205" s="2" t="s">
        <v>97</v>
      </c>
      <c r="B205" s="2" t="s">
        <v>63</v>
      </c>
      <c r="C205" s="2">
        <v>3</v>
      </c>
      <c r="D205" s="2">
        <v>1</v>
      </c>
      <c r="E205" s="2">
        <v>0</v>
      </c>
      <c r="F205" s="19" t="str">
        <f t="shared" si="18"/>
        <v>Individual Maintenance</v>
      </c>
      <c r="G205" s="19" t="str">
        <f t="shared" si="19"/>
        <v>SR2</v>
      </c>
      <c r="H205" s="19" t="str">
        <f t="shared" si="20"/>
        <v>Drive Alone</v>
      </c>
      <c r="AB205" s="155" t="str">
        <f t="shared" si="21"/>
        <v>wlk-</v>
      </c>
      <c r="AC205" s="156" t="str">
        <f t="shared" si="22"/>
        <v>-</v>
      </c>
      <c r="AD205" s="2" t="str">
        <f t="shared" si="23"/>
        <v>---</v>
      </c>
    </row>
    <row r="206" spans="1:30" x14ac:dyDescent="0.2">
      <c r="A206" s="2" t="s">
        <v>97</v>
      </c>
      <c r="B206" s="2" t="s">
        <v>63</v>
      </c>
      <c r="C206" s="2">
        <v>3</v>
      </c>
      <c r="D206" s="2">
        <v>3</v>
      </c>
      <c r="E206" s="2">
        <v>0</v>
      </c>
      <c r="F206" s="19" t="str">
        <f t="shared" si="18"/>
        <v>Individual Maintenance</v>
      </c>
      <c r="G206" s="19" t="str">
        <f t="shared" si="19"/>
        <v>SR2</v>
      </c>
      <c r="H206" s="19" t="str">
        <f t="shared" si="20"/>
        <v>SR2</v>
      </c>
      <c r="AB206" s="155" t="str">
        <f t="shared" si="21"/>
        <v>wlk-</v>
      </c>
      <c r="AC206" s="156" t="str">
        <f t="shared" si="22"/>
        <v>-</v>
      </c>
      <c r="AD206" s="2" t="str">
        <f t="shared" si="23"/>
        <v>---</v>
      </c>
    </row>
    <row r="207" spans="1:30" x14ac:dyDescent="0.2">
      <c r="A207" s="2" t="s">
        <v>97</v>
      </c>
      <c r="B207" s="2" t="s">
        <v>63</v>
      </c>
      <c r="C207" s="2">
        <v>3</v>
      </c>
      <c r="D207" s="2">
        <v>7</v>
      </c>
      <c r="E207" s="2">
        <v>0</v>
      </c>
      <c r="F207" s="19" t="str">
        <f t="shared" si="18"/>
        <v>Individual Maintenance</v>
      </c>
      <c r="G207" s="19" t="str">
        <f t="shared" si="19"/>
        <v>SR2</v>
      </c>
      <c r="H207" s="19" t="str">
        <f t="shared" si="20"/>
        <v>Walk</v>
      </c>
      <c r="AB207" s="155" t="str">
        <f t="shared" si="21"/>
        <v>wlk-</v>
      </c>
      <c r="AC207" s="156" t="str">
        <f t="shared" si="22"/>
        <v>-</v>
      </c>
      <c r="AD207" s="2" t="str">
        <f t="shared" si="23"/>
        <v>---</v>
      </c>
    </row>
    <row r="208" spans="1:30" x14ac:dyDescent="0.2">
      <c r="A208" s="2" t="s">
        <v>97</v>
      </c>
      <c r="B208" s="2" t="s">
        <v>63</v>
      </c>
      <c r="C208" s="2">
        <v>3</v>
      </c>
      <c r="D208" s="2">
        <v>19</v>
      </c>
      <c r="E208" s="2">
        <v>0</v>
      </c>
      <c r="F208" s="19" t="str">
        <f t="shared" si="18"/>
        <v>Individual Maintenance</v>
      </c>
      <c r="G208" s="19" t="str">
        <f t="shared" si="19"/>
        <v>SR2</v>
      </c>
      <c r="H208" s="19" t="str">
        <f t="shared" si="20"/>
        <v>Taxi</v>
      </c>
      <c r="AB208" s="155" t="str">
        <f t="shared" si="21"/>
        <v>wlk-</v>
      </c>
      <c r="AC208" s="156" t="str">
        <f t="shared" si="22"/>
        <v>-</v>
      </c>
      <c r="AD208" s="2" t="str">
        <f t="shared" si="23"/>
        <v>---</v>
      </c>
    </row>
    <row r="209" spans="1:30" x14ac:dyDescent="0.2">
      <c r="A209" s="2" t="s">
        <v>97</v>
      </c>
      <c r="B209" s="2" t="s">
        <v>63</v>
      </c>
      <c r="C209" s="2">
        <v>5</v>
      </c>
      <c r="D209" s="2">
        <v>1</v>
      </c>
      <c r="E209" s="2">
        <v>0</v>
      </c>
      <c r="F209" s="19" t="str">
        <f t="shared" si="18"/>
        <v>Individual Maintenance</v>
      </c>
      <c r="G209" s="19" t="str">
        <f t="shared" si="19"/>
        <v>SR3+</v>
      </c>
      <c r="H209" s="19" t="str">
        <f t="shared" si="20"/>
        <v>Drive Alone</v>
      </c>
      <c r="AB209" s="155" t="str">
        <f t="shared" si="21"/>
        <v>wlk-</v>
      </c>
      <c r="AC209" s="156" t="str">
        <f t="shared" si="22"/>
        <v>-</v>
      </c>
      <c r="AD209" s="2" t="str">
        <f t="shared" si="23"/>
        <v>---</v>
      </c>
    </row>
    <row r="210" spans="1:30" x14ac:dyDescent="0.2">
      <c r="A210" s="2" t="s">
        <v>97</v>
      </c>
      <c r="B210" s="2" t="s">
        <v>63</v>
      </c>
      <c r="C210" s="2">
        <v>5</v>
      </c>
      <c r="D210" s="2">
        <v>3</v>
      </c>
      <c r="E210" s="2">
        <v>0</v>
      </c>
      <c r="F210" s="19" t="str">
        <f t="shared" si="18"/>
        <v>Individual Maintenance</v>
      </c>
      <c r="G210" s="19" t="str">
        <f t="shared" si="19"/>
        <v>SR3+</v>
      </c>
      <c r="H210" s="19" t="str">
        <f t="shared" si="20"/>
        <v>SR2</v>
      </c>
      <c r="AB210" s="155" t="str">
        <f t="shared" si="21"/>
        <v>wlk-</v>
      </c>
      <c r="AC210" s="156" t="str">
        <f t="shared" si="22"/>
        <v>-</v>
      </c>
      <c r="AD210" s="2" t="str">
        <f t="shared" si="23"/>
        <v>---</v>
      </c>
    </row>
    <row r="211" spans="1:30" x14ac:dyDescent="0.2">
      <c r="A211" s="2" t="s">
        <v>97</v>
      </c>
      <c r="B211" s="2" t="s">
        <v>63</v>
      </c>
      <c r="C211" s="2">
        <v>5</v>
      </c>
      <c r="D211" s="2">
        <v>5</v>
      </c>
      <c r="E211" s="2">
        <v>0</v>
      </c>
      <c r="F211" s="19" t="str">
        <f t="shared" si="18"/>
        <v>Individual Maintenance</v>
      </c>
      <c r="G211" s="19" t="str">
        <f t="shared" si="19"/>
        <v>SR3+</v>
      </c>
      <c r="H211" s="19" t="str">
        <f t="shared" si="20"/>
        <v>SR3+</v>
      </c>
      <c r="AB211" s="155" t="str">
        <f t="shared" si="21"/>
        <v>wlk-</v>
      </c>
      <c r="AC211" s="156" t="str">
        <f t="shared" si="22"/>
        <v>-</v>
      </c>
      <c r="AD211" s="2" t="str">
        <f t="shared" si="23"/>
        <v>---</v>
      </c>
    </row>
    <row r="212" spans="1:30" x14ac:dyDescent="0.2">
      <c r="A212" s="2" t="s">
        <v>97</v>
      </c>
      <c r="B212" s="2" t="s">
        <v>63</v>
      </c>
      <c r="C212" s="2">
        <v>5</v>
      </c>
      <c r="D212" s="2">
        <v>7</v>
      </c>
      <c r="E212" s="2">
        <v>0</v>
      </c>
      <c r="F212" s="19" t="str">
        <f t="shared" si="18"/>
        <v>Individual Maintenance</v>
      </c>
      <c r="G212" s="19" t="str">
        <f t="shared" si="19"/>
        <v>SR3+</v>
      </c>
      <c r="H212" s="19" t="str">
        <f t="shared" si="20"/>
        <v>Walk</v>
      </c>
      <c r="AB212" s="155" t="str">
        <f t="shared" si="21"/>
        <v>wlk-</v>
      </c>
      <c r="AC212" s="156" t="str">
        <f t="shared" si="22"/>
        <v>-</v>
      </c>
      <c r="AD212" s="2" t="str">
        <f t="shared" si="23"/>
        <v>---</v>
      </c>
    </row>
    <row r="213" spans="1:30" x14ac:dyDescent="0.2">
      <c r="A213" s="2" t="s">
        <v>97</v>
      </c>
      <c r="B213" s="2" t="s">
        <v>63</v>
      </c>
      <c r="C213" s="2">
        <v>5</v>
      </c>
      <c r="D213" s="2">
        <v>19</v>
      </c>
      <c r="E213" s="2">
        <v>0</v>
      </c>
      <c r="F213" s="19" t="str">
        <f t="shared" si="18"/>
        <v>Individual Maintenance</v>
      </c>
      <c r="G213" s="19" t="str">
        <f t="shared" si="19"/>
        <v>SR3+</v>
      </c>
      <c r="H213" s="19" t="str">
        <f t="shared" si="20"/>
        <v>Taxi</v>
      </c>
      <c r="AB213" s="155" t="str">
        <f t="shared" si="21"/>
        <v>wlk-</v>
      </c>
      <c r="AC213" s="156" t="str">
        <f t="shared" si="22"/>
        <v>-</v>
      </c>
      <c r="AD213" s="2" t="str">
        <f t="shared" si="23"/>
        <v>---</v>
      </c>
    </row>
    <row r="214" spans="1:30" x14ac:dyDescent="0.2">
      <c r="A214" s="2" t="s">
        <v>97</v>
      </c>
      <c r="B214" s="2" t="s">
        <v>63</v>
      </c>
      <c r="C214" s="2">
        <v>7</v>
      </c>
      <c r="D214" s="2">
        <v>7</v>
      </c>
      <c r="E214" s="2">
        <v>0</v>
      </c>
      <c r="F214" s="19" t="str">
        <f t="shared" si="18"/>
        <v>Individual Maintenance</v>
      </c>
      <c r="G214" s="19" t="str">
        <f t="shared" si="19"/>
        <v>Walk</v>
      </c>
      <c r="H214" s="19" t="str">
        <f t="shared" si="20"/>
        <v>Walk</v>
      </c>
      <c r="AB214" s="155" t="str">
        <f t="shared" si="21"/>
        <v>wlk-</v>
      </c>
      <c r="AC214" s="156" t="str">
        <f t="shared" si="22"/>
        <v>-</v>
      </c>
      <c r="AD214" s="2" t="str">
        <f t="shared" si="23"/>
        <v>---</v>
      </c>
    </row>
    <row r="215" spans="1:30" x14ac:dyDescent="0.2">
      <c r="A215" s="2" t="s">
        <v>97</v>
      </c>
      <c r="B215" s="2" t="s">
        <v>63</v>
      </c>
      <c r="C215" s="2">
        <v>7</v>
      </c>
      <c r="D215" s="2">
        <v>19</v>
      </c>
      <c r="E215" s="2">
        <v>0</v>
      </c>
      <c r="F215" s="19" t="str">
        <f t="shared" si="18"/>
        <v>Individual Maintenance</v>
      </c>
      <c r="G215" s="19" t="str">
        <f t="shared" si="19"/>
        <v>Walk</v>
      </c>
      <c r="H215" s="19" t="str">
        <f t="shared" si="20"/>
        <v>Taxi</v>
      </c>
      <c r="AB215" s="155" t="str">
        <f t="shared" si="21"/>
        <v>wlk-</v>
      </c>
      <c r="AC215" s="156" t="str">
        <f t="shared" si="22"/>
        <v>-</v>
      </c>
      <c r="AD215" s="2" t="str">
        <f t="shared" si="23"/>
        <v>---</v>
      </c>
    </row>
    <row r="216" spans="1:30" x14ac:dyDescent="0.2">
      <c r="A216" s="2" t="s">
        <v>97</v>
      </c>
      <c r="B216" s="2" t="s">
        <v>63</v>
      </c>
      <c r="C216" s="2">
        <v>7</v>
      </c>
      <c r="D216" s="2">
        <v>21</v>
      </c>
      <c r="E216" s="2">
        <v>0</v>
      </c>
      <c r="F216" s="19" t="str">
        <f t="shared" si="18"/>
        <v>Individual Maintenance</v>
      </c>
      <c r="G216" s="19" t="str">
        <f t="shared" si="19"/>
        <v>Walk</v>
      </c>
      <c r="H216" s="19" t="str">
        <f t="shared" si="20"/>
        <v>TNC-Shared</v>
      </c>
      <c r="AB216" s="155" t="str">
        <f t="shared" si="21"/>
        <v>wlk-</v>
      </c>
      <c r="AC216" s="156" t="str">
        <f t="shared" si="22"/>
        <v>-</v>
      </c>
      <c r="AD216" s="2" t="str">
        <f t="shared" si="23"/>
        <v>---</v>
      </c>
    </row>
    <row r="217" spans="1:30" x14ac:dyDescent="0.2">
      <c r="A217" s="2" t="s">
        <v>97</v>
      </c>
      <c r="B217" s="2" t="s">
        <v>63</v>
      </c>
      <c r="C217" s="2">
        <v>8</v>
      </c>
      <c r="D217" s="2">
        <v>7</v>
      </c>
      <c r="E217" s="2">
        <v>0</v>
      </c>
      <c r="F217" s="19" t="str">
        <f t="shared" si="18"/>
        <v>Individual Maintenance</v>
      </c>
      <c r="G217" s="19" t="str">
        <f t="shared" si="19"/>
        <v>Bike</v>
      </c>
      <c r="H217" s="19" t="str">
        <f t="shared" si="20"/>
        <v>Walk</v>
      </c>
      <c r="AB217" s="155" t="str">
        <f t="shared" si="21"/>
        <v>wlk-</v>
      </c>
      <c r="AC217" s="156" t="str">
        <f t="shared" si="22"/>
        <v>-</v>
      </c>
      <c r="AD217" s="2" t="str">
        <f t="shared" si="23"/>
        <v>---</v>
      </c>
    </row>
    <row r="218" spans="1:30" x14ac:dyDescent="0.2">
      <c r="A218" s="2" t="s">
        <v>97</v>
      </c>
      <c r="B218" s="2" t="s">
        <v>63</v>
      </c>
      <c r="C218" s="2">
        <v>8</v>
      </c>
      <c r="D218" s="2">
        <v>8</v>
      </c>
      <c r="E218" s="2">
        <v>0</v>
      </c>
      <c r="F218" s="19" t="str">
        <f t="shared" si="18"/>
        <v>Individual Maintenance</v>
      </c>
      <c r="G218" s="19" t="str">
        <f t="shared" si="19"/>
        <v>Bike</v>
      </c>
      <c r="H218" s="19" t="str">
        <f t="shared" si="20"/>
        <v>Bike</v>
      </c>
      <c r="AB218" s="155" t="str">
        <f t="shared" si="21"/>
        <v>wlk-</v>
      </c>
      <c r="AC218" s="156" t="str">
        <f t="shared" si="22"/>
        <v>-</v>
      </c>
      <c r="AD218" s="2" t="str">
        <f t="shared" si="23"/>
        <v>---</v>
      </c>
    </row>
    <row r="219" spans="1:30" x14ac:dyDescent="0.2">
      <c r="A219" s="2" t="s">
        <v>97</v>
      </c>
      <c r="B219" s="2" t="s">
        <v>63</v>
      </c>
      <c r="C219" s="2">
        <v>8</v>
      </c>
      <c r="D219" s="2">
        <v>19</v>
      </c>
      <c r="E219" s="2">
        <v>0</v>
      </c>
      <c r="F219" s="19" t="str">
        <f t="shared" si="18"/>
        <v>Individual Maintenance</v>
      </c>
      <c r="G219" s="19" t="str">
        <f t="shared" si="19"/>
        <v>Bike</v>
      </c>
      <c r="H219" s="19" t="str">
        <f t="shared" si="20"/>
        <v>Taxi</v>
      </c>
      <c r="AB219" s="155" t="str">
        <f t="shared" si="21"/>
        <v>wlk-</v>
      </c>
      <c r="AC219" s="156" t="str">
        <f t="shared" si="22"/>
        <v>-</v>
      </c>
      <c r="AD219" s="2" t="str">
        <f t="shared" si="23"/>
        <v>---</v>
      </c>
    </row>
    <row r="220" spans="1:30" x14ac:dyDescent="0.2">
      <c r="A220" s="2" t="s">
        <v>97</v>
      </c>
      <c r="B220" s="2" t="s">
        <v>63</v>
      </c>
      <c r="C220" s="2">
        <v>9</v>
      </c>
      <c r="D220" s="2">
        <v>3</v>
      </c>
      <c r="E220" s="2">
        <v>0</v>
      </c>
      <c r="F220" s="19" t="str">
        <f t="shared" si="18"/>
        <v>Individual Maintenance</v>
      </c>
      <c r="G220" s="19" t="str">
        <f t="shared" si="19"/>
        <v>Walk-Transit</v>
      </c>
      <c r="H220" s="19" t="str">
        <f t="shared" si="20"/>
        <v>SR2</v>
      </c>
      <c r="AB220" s="155" t="str">
        <f t="shared" si="21"/>
        <v>wlk-</v>
      </c>
      <c r="AC220" s="156" t="str">
        <f t="shared" si="22"/>
        <v>-</v>
      </c>
      <c r="AD220" s="2" t="str">
        <f t="shared" si="23"/>
        <v>---</v>
      </c>
    </row>
    <row r="221" spans="1:30" x14ac:dyDescent="0.2">
      <c r="A221" s="2" t="s">
        <v>97</v>
      </c>
      <c r="B221" s="2" t="s">
        <v>63</v>
      </c>
      <c r="C221" s="2">
        <v>9</v>
      </c>
      <c r="D221" s="2">
        <v>5</v>
      </c>
      <c r="E221" s="2">
        <v>0</v>
      </c>
      <c r="F221" s="19" t="str">
        <f t="shared" si="18"/>
        <v>Individual Maintenance</v>
      </c>
      <c r="G221" s="19" t="str">
        <f t="shared" si="19"/>
        <v>Walk-Transit</v>
      </c>
      <c r="H221" s="19" t="str">
        <f t="shared" si="20"/>
        <v>SR3+</v>
      </c>
      <c r="AB221" s="155" t="str">
        <f t="shared" si="21"/>
        <v>wlk-</v>
      </c>
      <c r="AC221" s="156" t="str">
        <f t="shared" si="22"/>
        <v>-</v>
      </c>
      <c r="AD221" s="2" t="str">
        <f t="shared" si="23"/>
        <v>---</v>
      </c>
    </row>
    <row r="222" spans="1:30" x14ac:dyDescent="0.2">
      <c r="A222" s="2" t="s">
        <v>97</v>
      </c>
      <c r="B222" s="2" t="s">
        <v>63</v>
      </c>
      <c r="C222" s="2">
        <v>9</v>
      </c>
      <c r="D222" s="2">
        <v>7</v>
      </c>
      <c r="E222" s="2">
        <v>0</v>
      </c>
      <c r="F222" s="19" t="str">
        <f t="shared" si="18"/>
        <v>Individual Maintenance</v>
      </c>
      <c r="G222" s="19" t="str">
        <f t="shared" si="19"/>
        <v>Walk-Transit</v>
      </c>
      <c r="H222" s="19" t="str">
        <f t="shared" si="20"/>
        <v>Walk</v>
      </c>
      <c r="AB222" s="155" t="str">
        <f t="shared" si="21"/>
        <v>wlk-</v>
      </c>
      <c r="AC222" s="156" t="str">
        <f t="shared" si="22"/>
        <v>-</v>
      </c>
      <c r="AD222" s="2" t="str">
        <f t="shared" si="23"/>
        <v>---</v>
      </c>
    </row>
    <row r="223" spans="1:30" x14ac:dyDescent="0.2">
      <c r="A223" s="2" t="s">
        <v>97</v>
      </c>
      <c r="B223" s="2" t="s">
        <v>63</v>
      </c>
      <c r="C223" s="2">
        <v>9</v>
      </c>
      <c r="D223" s="2">
        <v>9</v>
      </c>
      <c r="E223" s="2">
        <v>0</v>
      </c>
      <c r="F223" s="19" t="str">
        <f t="shared" si="18"/>
        <v>Individual Maintenance</v>
      </c>
      <c r="G223" s="19" t="str">
        <f t="shared" si="19"/>
        <v>Walk-Transit</v>
      </c>
      <c r="H223" s="19" t="str">
        <f t="shared" si="20"/>
        <v>Walk-Local</v>
      </c>
      <c r="AB223" s="155" t="str">
        <f t="shared" si="21"/>
        <v>wlk-</v>
      </c>
      <c r="AC223" s="156" t="str">
        <f t="shared" si="22"/>
        <v>-</v>
      </c>
      <c r="AD223" s="2" t="str">
        <f t="shared" si="23"/>
        <v>---</v>
      </c>
    </row>
    <row r="224" spans="1:30" x14ac:dyDescent="0.2">
      <c r="A224" s="2" t="s">
        <v>97</v>
      </c>
      <c r="B224" s="2" t="s">
        <v>63</v>
      </c>
      <c r="C224" s="2">
        <v>9</v>
      </c>
      <c r="D224" s="2">
        <v>19</v>
      </c>
      <c r="E224" s="2">
        <v>0</v>
      </c>
      <c r="F224" s="19" t="str">
        <f t="shared" si="18"/>
        <v>Individual Maintenance</v>
      </c>
      <c r="G224" s="19" t="str">
        <f t="shared" si="19"/>
        <v>Walk-Transit</v>
      </c>
      <c r="H224" s="19" t="str">
        <f t="shared" si="20"/>
        <v>Taxi</v>
      </c>
      <c r="AB224" s="155" t="str">
        <f t="shared" si="21"/>
        <v>wlk-</v>
      </c>
      <c r="AC224" s="156" t="str">
        <f t="shared" si="22"/>
        <v>-</v>
      </c>
      <c r="AD224" s="2" t="str">
        <f t="shared" si="23"/>
        <v>---</v>
      </c>
    </row>
    <row r="225" spans="1:30" x14ac:dyDescent="0.2">
      <c r="A225" s="2" t="s">
        <v>97</v>
      </c>
      <c r="B225" s="2" t="s">
        <v>63</v>
      </c>
      <c r="C225" s="2">
        <v>9</v>
      </c>
      <c r="D225" s="2">
        <v>20</v>
      </c>
      <c r="E225" s="2">
        <v>0</v>
      </c>
      <c r="F225" s="19" t="str">
        <f t="shared" si="18"/>
        <v>Individual Maintenance</v>
      </c>
      <c r="G225" s="19" t="str">
        <f t="shared" si="19"/>
        <v>Walk-Transit</v>
      </c>
      <c r="H225" s="19" t="str">
        <f t="shared" si="20"/>
        <v>TNC-Single</v>
      </c>
      <c r="AB225" s="155" t="str">
        <f t="shared" si="21"/>
        <v>wlk-</v>
      </c>
      <c r="AC225" s="156" t="str">
        <f t="shared" si="22"/>
        <v>-</v>
      </c>
      <c r="AD225" s="2" t="str">
        <f t="shared" si="23"/>
        <v>---</v>
      </c>
    </row>
    <row r="226" spans="1:30" x14ac:dyDescent="0.2">
      <c r="A226" s="2" t="s">
        <v>97</v>
      </c>
      <c r="B226" s="2" t="s">
        <v>63</v>
      </c>
      <c r="C226" s="2">
        <v>9</v>
      </c>
      <c r="D226" s="2">
        <v>21</v>
      </c>
      <c r="E226" s="2">
        <v>0</v>
      </c>
      <c r="F226" s="19" t="str">
        <f t="shared" si="18"/>
        <v>Individual Maintenance</v>
      </c>
      <c r="G226" s="19" t="str">
        <f t="shared" si="19"/>
        <v>Walk-Transit</v>
      </c>
      <c r="H226" s="19" t="str">
        <f t="shared" si="20"/>
        <v>TNC-Shared</v>
      </c>
      <c r="AB226" s="155" t="str">
        <f t="shared" si="21"/>
        <v>wlk-</v>
      </c>
      <c r="AC226" s="156" t="str">
        <f t="shared" si="22"/>
        <v>-</v>
      </c>
      <c r="AD226" s="2" t="str">
        <f t="shared" si="23"/>
        <v>---</v>
      </c>
    </row>
    <row r="227" spans="1:30" x14ac:dyDescent="0.2">
      <c r="A227" s="2" t="s">
        <v>97</v>
      </c>
      <c r="B227" s="2" t="s">
        <v>63</v>
      </c>
      <c r="C227" s="2">
        <v>10</v>
      </c>
      <c r="D227" s="2">
        <v>-10</v>
      </c>
      <c r="E227" s="2">
        <v>0</v>
      </c>
      <c r="F227" s="19" t="str">
        <f t="shared" si="18"/>
        <v>Individual Maintenance</v>
      </c>
      <c r="G227" s="19" t="str">
        <f t="shared" si="19"/>
        <v>Walk-Transit</v>
      </c>
      <c r="H227" s="19" t="str">
        <f t="shared" si="20"/>
        <v>Walk-Ferry</v>
      </c>
      <c r="AB227" s="155" t="str">
        <f t="shared" si="21"/>
        <v>wlk-</v>
      </c>
      <c r="AC227" s="156" t="str">
        <f t="shared" si="22"/>
        <v>-</v>
      </c>
      <c r="AD227" s="2" t="str">
        <f t="shared" si="23"/>
        <v>---</v>
      </c>
    </row>
    <row r="228" spans="1:30" x14ac:dyDescent="0.2">
      <c r="A228" s="2" t="s">
        <v>97</v>
      </c>
      <c r="B228" s="2" t="s">
        <v>63</v>
      </c>
      <c r="C228" s="2">
        <v>10</v>
      </c>
      <c r="D228" s="2">
        <v>3</v>
      </c>
      <c r="E228" s="2">
        <v>0</v>
      </c>
      <c r="F228" s="19" t="str">
        <f t="shared" si="18"/>
        <v>Individual Maintenance</v>
      </c>
      <c r="G228" s="19" t="str">
        <f t="shared" si="19"/>
        <v>Walk-Transit</v>
      </c>
      <c r="H228" s="19" t="str">
        <f t="shared" si="20"/>
        <v>SR2</v>
      </c>
      <c r="AB228" s="155" t="str">
        <f t="shared" si="21"/>
        <v>wlk-</v>
      </c>
      <c r="AC228" s="156" t="str">
        <f t="shared" si="22"/>
        <v>-</v>
      </c>
      <c r="AD228" s="2" t="str">
        <f t="shared" si="23"/>
        <v>---</v>
      </c>
    </row>
    <row r="229" spans="1:30" x14ac:dyDescent="0.2">
      <c r="A229" s="2" t="s">
        <v>97</v>
      </c>
      <c r="B229" s="2" t="s">
        <v>63</v>
      </c>
      <c r="C229" s="2">
        <v>10</v>
      </c>
      <c r="D229" s="2">
        <v>5</v>
      </c>
      <c r="E229" s="2">
        <v>0</v>
      </c>
      <c r="F229" s="19" t="str">
        <f t="shared" si="18"/>
        <v>Individual Maintenance</v>
      </c>
      <c r="G229" s="19" t="str">
        <f t="shared" si="19"/>
        <v>Walk-Transit</v>
      </c>
      <c r="H229" s="19" t="str">
        <f t="shared" si="20"/>
        <v>SR3+</v>
      </c>
      <c r="AB229" s="155" t="str">
        <f t="shared" si="21"/>
        <v>wlk-</v>
      </c>
      <c r="AC229" s="156" t="str">
        <f t="shared" si="22"/>
        <v>-</v>
      </c>
      <c r="AD229" s="2" t="str">
        <f t="shared" si="23"/>
        <v>---</v>
      </c>
    </row>
    <row r="230" spans="1:30" x14ac:dyDescent="0.2">
      <c r="A230" s="2" t="s">
        <v>97</v>
      </c>
      <c r="B230" s="2" t="s">
        <v>63</v>
      </c>
      <c r="C230" s="2">
        <v>10</v>
      </c>
      <c r="D230" s="2">
        <v>7</v>
      </c>
      <c r="E230" s="2">
        <v>0</v>
      </c>
      <c r="F230" s="19" t="str">
        <f t="shared" si="18"/>
        <v>Individual Maintenance</v>
      </c>
      <c r="G230" s="19" t="str">
        <f t="shared" si="19"/>
        <v>Walk-Transit</v>
      </c>
      <c r="H230" s="19" t="str">
        <f t="shared" si="20"/>
        <v>Walk</v>
      </c>
      <c r="AB230" s="155" t="str">
        <f t="shared" si="21"/>
        <v>wlk-</v>
      </c>
      <c r="AC230" s="156" t="str">
        <f t="shared" si="22"/>
        <v>-</v>
      </c>
      <c r="AD230" s="2" t="str">
        <f t="shared" si="23"/>
        <v>---</v>
      </c>
    </row>
    <row r="231" spans="1:30" x14ac:dyDescent="0.2">
      <c r="A231" s="2" t="s">
        <v>97</v>
      </c>
      <c r="B231" s="2" t="s">
        <v>63</v>
      </c>
      <c r="C231" s="2">
        <v>10</v>
      </c>
      <c r="D231" s="2">
        <v>9</v>
      </c>
      <c r="E231" s="2">
        <v>0</v>
      </c>
      <c r="F231" s="19" t="str">
        <f t="shared" si="18"/>
        <v>Individual Maintenance</v>
      </c>
      <c r="G231" s="19" t="str">
        <f t="shared" si="19"/>
        <v>Walk-Transit</v>
      </c>
      <c r="H231" s="19" t="str">
        <f t="shared" si="20"/>
        <v>Walk-Local</v>
      </c>
      <c r="AB231" s="155" t="str">
        <f t="shared" si="21"/>
        <v>wlk-</v>
      </c>
      <c r="AC231" s="156" t="str">
        <f t="shared" si="22"/>
        <v>-</v>
      </c>
      <c r="AD231" s="2" t="str">
        <f t="shared" si="23"/>
        <v>---</v>
      </c>
    </row>
    <row r="232" spans="1:30" x14ac:dyDescent="0.2">
      <c r="A232" s="2" t="s">
        <v>97</v>
      </c>
      <c r="B232" s="2" t="s">
        <v>63</v>
      </c>
      <c r="C232" s="2">
        <v>10</v>
      </c>
      <c r="D232" s="2">
        <v>10</v>
      </c>
      <c r="E232" s="2">
        <v>0</v>
      </c>
      <c r="F232" s="19" t="str">
        <f t="shared" si="18"/>
        <v>Individual Maintenance</v>
      </c>
      <c r="G232" s="19" t="str">
        <f t="shared" si="19"/>
        <v>Walk-Transit</v>
      </c>
      <c r="H232" s="19" t="str">
        <f t="shared" si="20"/>
        <v>Walk-LRT</v>
      </c>
      <c r="AB232" s="155" t="str">
        <f t="shared" si="21"/>
        <v>wlk-</v>
      </c>
      <c r="AC232" s="156" t="str">
        <f t="shared" si="22"/>
        <v>-</v>
      </c>
      <c r="AD232" s="2" t="str">
        <f t="shared" si="23"/>
        <v>---</v>
      </c>
    </row>
    <row r="233" spans="1:30" x14ac:dyDescent="0.2">
      <c r="A233" s="2" t="s">
        <v>97</v>
      </c>
      <c r="B233" s="2" t="s">
        <v>63</v>
      </c>
      <c r="C233" s="2">
        <v>10</v>
      </c>
      <c r="D233" s="2">
        <v>19</v>
      </c>
      <c r="E233" s="2">
        <v>0</v>
      </c>
      <c r="F233" s="19" t="str">
        <f t="shared" si="18"/>
        <v>Individual Maintenance</v>
      </c>
      <c r="G233" s="19" t="str">
        <f t="shared" si="19"/>
        <v>Walk-Transit</v>
      </c>
      <c r="H233" s="19" t="str">
        <f t="shared" si="20"/>
        <v>Taxi</v>
      </c>
      <c r="AB233" s="155" t="str">
        <f t="shared" si="21"/>
        <v>wlk-</v>
      </c>
      <c r="AC233" s="156" t="str">
        <f t="shared" si="22"/>
        <v>-</v>
      </c>
      <c r="AD233" s="2" t="str">
        <f t="shared" si="23"/>
        <v>---</v>
      </c>
    </row>
    <row r="234" spans="1:30" x14ac:dyDescent="0.2">
      <c r="A234" s="2" t="s">
        <v>97</v>
      </c>
      <c r="B234" s="2" t="s">
        <v>63</v>
      </c>
      <c r="C234" s="2">
        <v>10</v>
      </c>
      <c r="D234" s="2">
        <v>20</v>
      </c>
      <c r="E234" s="2">
        <v>0</v>
      </c>
      <c r="F234" s="19" t="str">
        <f t="shared" si="18"/>
        <v>Individual Maintenance</v>
      </c>
      <c r="G234" s="19" t="str">
        <f t="shared" si="19"/>
        <v>Walk-Transit</v>
      </c>
      <c r="H234" s="19" t="str">
        <f t="shared" si="20"/>
        <v>TNC-Single</v>
      </c>
      <c r="AB234" s="155" t="str">
        <f t="shared" si="21"/>
        <v>wlk-</v>
      </c>
      <c r="AC234" s="156" t="str">
        <f t="shared" si="22"/>
        <v>-</v>
      </c>
      <c r="AD234" s="2" t="str">
        <f t="shared" si="23"/>
        <v>---</v>
      </c>
    </row>
    <row r="235" spans="1:30" x14ac:dyDescent="0.2">
      <c r="A235" s="2" t="s">
        <v>97</v>
      </c>
      <c r="B235" s="2" t="s">
        <v>63</v>
      </c>
      <c r="C235" s="2">
        <v>11</v>
      </c>
      <c r="D235" s="2">
        <v>3</v>
      </c>
      <c r="E235" s="2">
        <v>0</v>
      </c>
      <c r="F235" s="19" t="str">
        <f t="shared" si="18"/>
        <v>Individual Maintenance</v>
      </c>
      <c r="G235" s="19" t="str">
        <f t="shared" si="19"/>
        <v>Walk-Transit</v>
      </c>
      <c r="H235" s="19" t="str">
        <f t="shared" si="20"/>
        <v>SR2</v>
      </c>
      <c r="AB235" s="155" t="str">
        <f t="shared" si="21"/>
        <v>wlk-</v>
      </c>
      <c r="AC235" s="156" t="str">
        <f t="shared" si="22"/>
        <v>-</v>
      </c>
      <c r="AD235" s="2" t="str">
        <f t="shared" si="23"/>
        <v>---</v>
      </c>
    </row>
    <row r="236" spans="1:30" x14ac:dyDescent="0.2">
      <c r="A236" s="2" t="s">
        <v>97</v>
      </c>
      <c r="B236" s="2" t="s">
        <v>63</v>
      </c>
      <c r="C236" s="2">
        <v>11</v>
      </c>
      <c r="D236" s="2">
        <v>5</v>
      </c>
      <c r="E236" s="2">
        <v>0</v>
      </c>
      <c r="F236" s="19" t="str">
        <f t="shared" si="18"/>
        <v>Individual Maintenance</v>
      </c>
      <c r="G236" s="19" t="str">
        <f t="shared" si="19"/>
        <v>Walk-Transit</v>
      </c>
      <c r="H236" s="19" t="str">
        <f t="shared" si="20"/>
        <v>SR3+</v>
      </c>
      <c r="AB236" s="155" t="str">
        <f t="shared" si="21"/>
        <v>wlk-</v>
      </c>
      <c r="AC236" s="156" t="str">
        <f t="shared" si="22"/>
        <v>-</v>
      </c>
      <c r="AD236" s="2" t="str">
        <f t="shared" si="23"/>
        <v>---</v>
      </c>
    </row>
    <row r="237" spans="1:30" x14ac:dyDescent="0.2">
      <c r="A237" s="2" t="s">
        <v>97</v>
      </c>
      <c r="B237" s="2" t="s">
        <v>63</v>
      </c>
      <c r="C237" s="2">
        <v>11</v>
      </c>
      <c r="D237" s="2">
        <v>7</v>
      </c>
      <c r="E237" s="2">
        <v>0</v>
      </c>
      <c r="F237" s="19" t="str">
        <f t="shared" si="18"/>
        <v>Individual Maintenance</v>
      </c>
      <c r="G237" s="19" t="str">
        <f t="shared" si="19"/>
        <v>Walk-Transit</v>
      </c>
      <c r="H237" s="19" t="str">
        <f t="shared" si="20"/>
        <v>Walk</v>
      </c>
      <c r="AB237" s="155" t="str">
        <f t="shared" si="21"/>
        <v>wlk-</v>
      </c>
      <c r="AC237" s="156" t="str">
        <f t="shared" si="22"/>
        <v>-</v>
      </c>
      <c r="AD237" s="2" t="str">
        <f t="shared" si="23"/>
        <v>---</v>
      </c>
    </row>
    <row r="238" spans="1:30" x14ac:dyDescent="0.2">
      <c r="A238" s="2" t="s">
        <v>97</v>
      </c>
      <c r="B238" s="2" t="s">
        <v>63</v>
      </c>
      <c r="C238" s="2">
        <v>11</v>
      </c>
      <c r="D238" s="2">
        <v>9</v>
      </c>
      <c r="E238" s="2">
        <v>0</v>
      </c>
      <c r="F238" s="19" t="str">
        <f t="shared" si="18"/>
        <v>Individual Maintenance</v>
      </c>
      <c r="G238" s="19" t="str">
        <f t="shared" si="19"/>
        <v>Walk-Transit</v>
      </c>
      <c r="H238" s="19" t="str">
        <f t="shared" si="20"/>
        <v>Walk-Local</v>
      </c>
      <c r="AB238" s="155" t="str">
        <f t="shared" si="21"/>
        <v>wlk-</v>
      </c>
      <c r="AC238" s="156" t="str">
        <f t="shared" si="22"/>
        <v>-</v>
      </c>
      <c r="AD238" s="2" t="str">
        <f t="shared" si="23"/>
        <v>---</v>
      </c>
    </row>
    <row r="239" spans="1:30" x14ac:dyDescent="0.2">
      <c r="A239" s="2" t="s">
        <v>97</v>
      </c>
      <c r="B239" s="2" t="s">
        <v>63</v>
      </c>
      <c r="C239" s="2">
        <v>11</v>
      </c>
      <c r="D239" s="2">
        <v>10</v>
      </c>
      <c r="E239" s="2">
        <v>0</v>
      </c>
      <c r="F239" s="19" t="str">
        <f t="shared" si="18"/>
        <v>Individual Maintenance</v>
      </c>
      <c r="G239" s="19" t="str">
        <f t="shared" si="19"/>
        <v>Walk-Transit</v>
      </c>
      <c r="H239" s="19" t="str">
        <f t="shared" si="20"/>
        <v>Walk-LRT</v>
      </c>
      <c r="AB239" s="155" t="str">
        <f t="shared" si="21"/>
        <v>wlk-</v>
      </c>
      <c r="AC239" s="156" t="str">
        <f t="shared" si="22"/>
        <v>-</v>
      </c>
      <c r="AD239" s="2" t="str">
        <f t="shared" si="23"/>
        <v>---</v>
      </c>
    </row>
    <row r="240" spans="1:30" x14ac:dyDescent="0.2">
      <c r="A240" s="2" t="s">
        <v>97</v>
      </c>
      <c r="B240" s="2" t="s">
        <v>63</v>
      </c>
      <c r="C240" s="2">
        <v>11</v>
      </c>
      <c r="D240" s="2">
        <v>11</v>
      </c>
      <c r="E240" s="2">
        <v>0</v>
      </c>
      <c r="F240" s="19" t="str">
        <f t="shared" si="18"/>
        <v>Individual Maintenance</v>
      </c>
      <c r="G240" s="19" t="str">
        <f t="shared" si="19"/>
        <v>Walk-Transit</v>
      </c>
      <c r="H240" s="19" t="str">
        <f t="shared" si="20"/>
        <v>Walk-Express</v>
      </c>
      <c r="AB240" s="155" t="str">
        <f t="shared" si="21"/>
        <v>wlk-</v>
      </c>
      <c r="AC240" s="156" t="str">
        <f t="shared" si="22"/>
        <v>-</v>
      </c>
      <c r="AD240" s="2" t="str">
        <f t="shared" si="23"/>
        <v>---</v>
      </c>
    </row>
    <row r="241" spans="1:30" x14ac:dyDescent="0.2">
      <c r="A241" s="2" t="s">
        <v>97</v>
      </c>
      <c r="B241" s="2" t="s">
        <v>63</v>
      </c>
      <c r="C241" s="2">
        <v>11</v>
      </c>
      <c r="D241" s="2">
        <v>19</v>
      </c>
      <c r="E241" s="2">
        <v>0</v>
      </c>
      <c r="F241" s="19" t="str">
        <f t="shared" si="18"/>
        <v>Individual Maintenance</v>
      </c>
      <c r="G241" s="19" t="str">
        <f t="shared" si="19"/>
        <v>Walk-Transit</v>
      </c>
      <c r="H241" s="19" t="str">
        <f t="shared" si="20"/>
        <v>Taxi</v>
      </c>
      <c r="AB241" s="155" t="str">
        <f t="shared" si="21"/>
        <v>wlk-</v>
      </c>
      <c r="AC241" s="156" t="str">
        <f t="shared" si="22"/>
        <v>-</v>
      </c>
      <c r="AD241" s="2" t="str">
        <f t="shared" si="23"/>
        <v>---</v>
      </c>
    </row>
    <row r="242" spans="1:30" x14ac:dyDescent="0.2">
      <c r="A242" s="2" t="s">
        <v>97</v>
      </c>
      <c r="B242" s="2" t="s">
        <v>63</v>
      </c>
      <c r="C242" s="2">
        <v>11</v>
      </c>
      <c r="D242" s="2">
        <v>20</v>
      </c>
      <c r="E242" s="2">
        <v>0</v>
      </c>
      <c r="F242" s="19" t="str">
        <f t="shared" si="18"/>
        <v>Individual Maintenance</v>
      </c>
      <c r="G242" s="19" t="str">
        <f t="shared" si="19"/>
        <v>Walk-Transit</v>
      </c>
      <c r="H242" s="19" t="str">
        <f t="shared" si="20"/>
        <v>TNC-Single</v>
      </c>
      <c r="AB242" s="155" t="str">
        <f t="shared" si="21"/>
        <v>wlk-</v>
      </c>
      <c r="AC242" s="156" t="str">
        <f t="shared" si="22"/>
        <v>-</v>
      </c>
      <c r="AD242" s="2" t="str">
        <f t="shared" si="23"/>
        <v>---</v>
      </c>
    </row>
    <row r="243" spans="1:30" x14ac:dyDescent="0.2">
      <c r="A243" s="2" t="s">
        <v>97</v>
      </c>
      <c r="B243" s="2" t="s">
        <v>63</v>
      </c>
      <c r="C243" s="2">
        <v>12</v>
      </c>
      <c r="D243" s="2">
        <v>-10</v>
      </c>
      <c r="E243" s="2">
        <v>0</v>
      </c>
      <c r="F243" s="19" t="str">
        <f t="shared" si="18"/>
        <v>Individual Maintenance</v>
      </c>
      <c r="G243" s="19" t="str">
        <f t="shared" si="19"/>
        <v>Walk-Transit</v>
      </c>
      <c r="H243" s="19" t="str">
        <f t="shared" si="20"/>
        <v>Walk-Ferry</v>
      </c>
      <c r="AB243" s="155" t="str">
        <f t="shared" si="21"/>
        <v>wlk-</v>
      </c>
      <c r="AC243" s="156" t="str">
        <f t="shared" si="22"/>
        <v>-</v>
      </c>
      <c r="AD243" s="2" t="str">
        <f t="shared" si="23"/>
        <v>---</v>
      </c>
    </row>
    <row r="244" spans="1:30" x14ac:dyDescent="0.2">
      <c r="A244" s="2" t="s">
        <v>97</v>
      </c>
      <c r="B244" s="2" t="s">
        <v>63</v>
      </c>
      <c r="C244" s="2">
        <v>12</v>
      </c>
      <c r="D244" s="2">
        <v>3</v>
      </c>
      <c r="E244" s="2">
        <v>0</v>
      </c>
      <c r="F244" s="19" t="str">
        <f t="shared" si="18"/>
        <v>Individual Maintenance</v>
      </c>
      <c r="G244" s="19" t="str">
        <f t="shared" si="19"/>
        <v>Walk-Transit</v>
      </c>
      <c r="H244" s="19" t="str">
        <f t="shared" si="20"/>
        <v>SR2</v>
      </c>
      <c r="AB244" s="155" t="str">
        <f t="shared" si="21"/>
        <v>wlk-</v>
      </c>
      <c r="AC244" s="156" t="str">
        <f t="shared" si="22"/>
        <v>-</v>
      </c>
      <c r="AD244" s="2" t="str">
        <f t="shared" si="23"/>
        <v>---</v>
      </c>
    </row>
    <row r="245" spans="1:30" x14ac:dyDescent="0.2">
      <c r="A245" s="2" t="s">
        <v>97</v>
      </c>
      <c r="B245" s="2" t="s">
        <v>63</v>
      </c>
      <c r="C245" s="2">
        <v>12</v>
      </c>
      <c r="D245" s="2">
        <v>5</v>
      </c>
      <c r="E245" s="2">
        <v>0</v>
      </c>
      <c r="F245" s="19" t="str">
        <f t="shared" si="18"/>
        <v>Individual Maintenance</v>
      </c>
      <c r="G245" s="19" t="str">
        <f t="shared" si="19"/>
        <v>Walk-Transit</v>
      </c>
      <c r="H245" s="19" t="str">
        <f t="shared" si="20"/>
        <v>SR3+</v>
      </c>
      <c r="AB245" s="155" t="str">
        <f t="shared" si="21"/>
        <v>wlk-</v>
      </c>
      <c r="AC245" s="156" t="str">
        <f t="shared" si="22"/>
        <v>-</v>
      </c>
      <c r="AD245" s="2" t="str">
        <f t="shared" si="23"/>
        <v>---</v>
      </c>
    </row>
    <row r="246" spans="1:30" x14ac:dyDescent="0.2">
      <c r="A246" s="2" t="s">
        <v>97</v>
      </c>
      <c r="B246" s="2" t="s">
        <v>63</v>
      </c>
      <c r="C246" s="2">
        <v>12</v>
      </c>
      <c r="D246" s="2">
        <v>7</v>
      </c>
      <c r="E246" s="2">
        <v>0</v>
      </c>
      <c r="F246" s="19" t="str">
        <f t="shared" si="18"/>
        <v>Individual Maintenance</v>
      </c>
      <c r="G246" s="19" t="str">
        <f t="shared" si="19"/>
        <v>Walk-Transit</v>
      </c>
      <c r="H246" s="19" t="str">
        <f t="shared" si="20"/>
        <v>Walk</v>
      </c>
      <c r="AB246" s="155" t="str">
        <f t="shared" si="21"/>
        <v>wlk-</v>
      </c>
      <c r="AC246" s="156" t="str">
        <f t="shared" si="22"/>
        <v>-</v>
      </c>
      <c r="AD246" s="2" t="str">
        <f t="shared" si="23"/>
        <v>---</v>
      </c>
    </row>
    <row r="247" spans="1:30" x14ac:dyDescent="0.2">
      <c r="A247" s="2" t="s">
        <v>97</v>
      </c>
      <c r="B247" s="2" t="s">
        <v>63</v>
      </c>
      <c r="C247" s="2">
        <v>12</v>
      </c>
      <c r="D247" s="2">
        <v>9</v>
      </c>
      <c r="E247" s="2">
        <v>0</v>
      </c>
      <c r="F247" s="19" t="str">
        <f t="shared" si="18"/>
        <v>Individual Maintenance</v>
      </c>
      <c r="G247" s="19" t="str">
        <f t="shared" si="19"/>
        <v>Walk-Transit</v>
      </c>
      <c r="H247" s="19" t="str">
        <f t="shared" si="20"/>
        <v>Walk-Local</v>
      </c>
      <c r="AB247" s="155" t="str">
        <f t="shared" si="21"/>
        <v>wlk-</v>
      </c>
      <c r="AC247" s="156" t="str">
        <f t="shared" si="22"/>
        <v>-</v>
      </c>
      <c r="AD247" s="2" t="str">
        <f t="shared" si="23"/>
        <v>---</v>
      </c>
    </row>
    <row r="248" spans="1:30" x14ac:dyDescent="0.2">
      <c r="A248" s="2" t="s">
        <v>97</v>
      </c>
      <c r="B248" s="2" t="s">
        <v>63</v>
      </c>
      <c r="C248" s="2">
        <v>12</v>
      </c>
      <c r="D248" s="2">
        <v>10</v>
      </c>
      <c r="E248" s="2">
        <v>0</v>
      </c>
      <c r="F248" s="19" t="str">
        <f t="shared" si="18"/>
        <v>Individual Maintenance</v>
      </c>
      <c r="G248" s="19" t="str">
        <f t="shared" si="19"/>
        <v>Walk-Transit</v>
      </c>
      <c r="H248" s="19" t="str">
        <f t="shared" si="20"/>
        <v>Walk-LRT</v>
      </c>
      <c r="AB248" s="155" t="str">
        <f t="shared" si="21"/>
        <v>wlk-</v>
      </c>
      <c r="AC248" s="156" t="str">
        <f t="shared" si="22"/>
        <v>-</v>
      </c>
      <c r="AD248" s="2" t="str">
        <f t="shared" si="23"/>
        <v>---</v>
      </c>
    </row>
    <row r="249" spans="1:30" x14ac:dyDescent="0.2">
      <c r="A249" s="2" t="s">
        <v>97</v>
      </c>
      <c r="B249" s="2" t="s">
        <v>63</v>
      </c>
      <c r="C249" s="2">
        <v>12</v>
      </c>
      <c r="D249" s="2">
        <v>11</v>
      </c>
      <c r="E249" s="2">
        <v>0</v>
      </c>
      <c r="F249" s="19" t="str">
        <f t="shared" si="18"/>
        <v>Individual Maintenance</v>
      </c>
      <c r="G249" s="19" t="str">
        <f t="shared" si="19"/>
        <v>Walk-Transit</v>
      </c>
      <c r="H249" s="19" t="str">
        <f t="shared" si="20"/>
        <v>Walk-Express</v>
      </c>
      <c r="AB249" s="155" t="str">
        <f t="shared" si="21"/>
        <v>wlk-</v>
      </c>
      <c r="AC249" s="156" t="str">
        <f t="shared" si="22"/>
        <v>-</v>
      </c>
      <c r="AD249" s="2" t="str">
        <f t="shared" si="23"/>
        <v>---</v>
      </c>
    </row>
    <row r="250" spans="1:30" x14ac:dyDescent="0.2">
      <c r="A250" s="2" t="s">
        <v>97</v>
      </c>
      <c r="B250" s="2" t="s">
        <v>63</v>
      </c>
      <c r="C250" s="2">
        <v>12</v>
      </c>
      <c r="D250" s="2">
        <v>12</v>
      </c>
      <c r="E250" s="2">
        <v>0</v>
      </c>
      <c r="F250" s="19" t="str">
        <f t="shared" si="18"/>
        <v>Individual Maintenance</v>
      </c>
      <c r="G250" s="19" t="str">
        <f t="shared" si="19"/>
        <v>Walk-Transit</v>
      </c>
      <c r="H250" s="19" t="str">
        <f t="shared" si="20"/>
        <v>Walk-HeavyR</v>
      </c>
      <c r="AB250" s="155" t="str">
        <f t="shared" si="21"/>
        <v>wlk-</v>
      </c>
      <c r="AC250" s="156" t="str">
        <f t="shared" si="22"/>
        <v>-</v>
      </c>
      <c r="AD250" s="2" t="str">
        <f t="shared" si="23"/>
        <v>---</v>
      </c>
    </row>
    <row r="251" spans="1:30" x14ac:dyDescent="0.2">
      <c r="A251" s="2" t="s">
        <v>97</v>
      </c>
      <c r="B251" s="2" t="s">
        <v>63</v>
      </c>
      <c r="C251" s="2">
        <v>12</v>
      </c>
      <c r="D251" s="2">
        <v>19</v>
      </c>
      <c r="E251" s="2">
        <v>0</v>
      </c>
      <c r="F251" s="19" t="str">
        <f t="shared" si="18"/>
        <v>Individual Maintenance</v>
      </c>
      <c r="G251" s="19" t="str">
        <f t="shared" si="19"/>
        <v>Walk-Transit</v>
      </c>
      <c r="H251" s="19" t="str">
        <f t="shared" si="20"/>
        <v>Taxi</v>
      </c>
      <c r="AB251" s="155" t="str">
        <f t="shared" si="21"/>
        <v>wlk-</v>
      </c>
      <c r="AC251" s="156" t="str">
        <f t="shared" si="22"/>
        <v>-</v>
      </c>
      <c r="AD251" s="2" t="str">
        <f t="shared" si="23"/>
        <v>---</v>
      </c>
    </row>
    <row r="252" spans="1:30" x14ac:dyDescent="0.2">
      <c r="A252" s="2" t="s">
        <v>97</v>
      </c>
      <c r="B252" s="2" t="s">
        <v>63</v>
      </c>
      <c r="C252" s="2">
        <v>13</v>
      </c>
      <c r="D252" s="2">
        <v>3</v>
      </c>
      <c r="E252" s="2">
        <v>0</v>
      </c>
      <c r="F252" s="19" t="str">
        <f t="shared" si="18"/>
        <v>Individual Maintenance</v>
      </c>
      <c r="G252" s="19" t="str">
        <f t="shared" si="19"/>
        <v>Walk-Transit</v>
      </c>
      <c r="H252" s="19" t="str">
        <f t="shared" si="20"/>
        <v>SR2</v>
      </c>
      <c r="AB252" s="155" t="str">
        <f t="shared" si="21"/>
        <v>wlk-</v>
      </c>
      <c r="AC252" s="156" t="str">
        <f t="shared" si="22"/>
        <v>-</v>
      </c>
      <c r="AD252" s="2" t="str">
        <f t="shared" si="23"/>
        <v>---</v>
      </c>
    </row>
    <row r="253" spans="1:30" x14ac:dyDescent="0.2">
      <c r="A253" s="2" t="s">
        <v>97</v>
      </c>
      <c r="B253" s="2" t="s">
        <v>63</v>
      </c>
      <c r="C253" s="2">
        <v>13</v>
      </c>
      <c r="D253" s="2">
        <v>5</v>
      </c>
      <c r="E253" s="2">
        <v>0</v>
      </c>
      <c r="F253" s="19" t="str">
        <f t="shared" si="18"/>
        <v>Individual Maintenance</v>
      </c>
      <c r="G253" s="19" t="str">
        <f t="shared" si="19"/>
        <v>Walk-Transit</v>
      </c>
      <c r="H253" s="19" t="str">
        <f t="shared" si="20"/>
        <v>SR3+</v>
      </c>
      <c r="AB253" s="155" t="str">
        <f t="shared" si="21"/>
        <v>wlk-</v>
      </c>
      <c r="AC253" s="156" t="str">
        <f t="shared" si="22"/>
        <v>-</v>
      </c>
      <c r="AD253" s="2" t="str">
        <f t="shared" si="23"/>
        <v>---</v>
      </c>
    </row>
    <row r="254" spans="1:30" x14ac:dyDescent="0.2">
      <c r="A254" s="2" t="s">
        <v>97</v>
      </c>
      <c r="B254" s="2" t="s">
        <v>63</v>
      </c>
      <c r="C254" s="2">
        <v>13</v>
      </c>
      <c r="D254" s="2">
        <v>7</v>
      </c>
      <c r="E254" s="2">
        <v>0</v>
      </c>
      <c r="F254" s="19" t="str">
        <f t="shared" si="18"/>
        <v>Individual Maintenance</v>
      </c>
      <c r="G254" s="19" t="str">
        <f t="shared" si="19"/>
        <v>Walk-Transit</v>
      </c>
      <c r="H254" s="19" t="str">
        <f t="shared" si="20"/>
        <v>Walk</v>
      </c>
      <c r="AB254" s="155" t="str">
        <f t="shared" si="21"/>
        <v>wlk-</v>
      </c>
      <c r="AC254" s="156" t="str">
        <f t="shared" si="22"/>
        <v>-</v>
      </c>
      <c r="AD254" s="2" t="str">
        <f t="shared" si="23"/>
        <v>---</v>
      </c>
    </row>
    <row r="255" spans="1:30" x14ac:dyDescent="0.2">
      <c r="A255" s="2" t="s">
        <v>97</v>
      </c>
      <c r="B255" s="2" t="s">
        <v>63</v>
      </c>
      <c r="C255" s="2">
        <v>13</v>
      </c>
      <c r="D255" s="2">
        <v>9</v>
      </c>
      <c r="E255" s="2">
        <v>0</v>
      </c>
      <c r="F255" s="19" t="str">
        <f t="shared" si="18"/>
        <v>Individual Maintenance</v>
      </c>
      <c r="G255" s="19" t="str">
        <f t="shared" si="19"/>
        <v>Walk-Transit</v>
      </c>
      <c r="H255" s="19" t="str">
        <f t="shared" si="20"/>
        <v>Walk-Local</v>
      </c>
      <c r="AB255" s="155" t="str">
        <f t="shared" si="21"/>
        <v>wlk-</v>
      </c>
      <c r="AC255" s="156" t="str">
        <f t="shared" si="22"/>
        <v>-</v>
      </c>
      <c r="AD255" s="2" t="str">
        <f t="shared" si="23"/>
        <v>---</v>
      </c>
    </row>
    <row r="256" spans="1:30" x14ac:dyDescent="0.2">
      <c r="A256" s="2" t="s">
        <v>97</v>
      </c>
      <c r="B256" s="2" t="s">
        <v>63</v>
      </c>
      <c r="C256" s="2">
        <v>13</v>
      </c>
      <c r="D256" s="2">
        <v>11</v>
      </c>
      <c r="E256" s="2">
        <v>0</v>
      </c>
      <c r="F256" s="19" t="str">
        <f t="shared" si="18"/>
        <v>Individual Maintenance</v>
      </c>
      <c r="G256" s="19" t="str">
        <f t="shared" si="19"/>
        <v>Walk-Transit</v>
      </c>
      <c r="H256" s="19" t="str">
        <f t="shared" si="20"/>
        <v>Walk-Express</v>
      </c>
      <c r="AB256" s="155" t="str">
        <f t="shared" si="21"/>
        <v>wlk-</v>
      </c>
      <c r="AC256" s="156" t="str">
        <f t="shared" si="22"/>
        <v>-</v>
      </c>
      <c r="AD256" s="2" t="str">
        <f t="shared" si="23"/>
        <v>---</v>
      </c>
    </row>
    <row r="257" spans="1:30" x14ac:dyDescent="0.2">
      <c r="A257" s="2" t="s">
        <v>97</v>
      </c>
      <c r="B257" s="2" t="s">
        <v>63</v>
      </c>
      <c r="C257" s="2">
        <v>13</v>
      </c>
      <c r="D257" s="2">
        <v>12</v>
      </c>
      <c r="E257" s="2">
        <v>0</v>
      </c>
      <c r="F257" s="19" t="str">
        <f t="shared" si="18"/>
        <v>Individual Maintenance</v>
      </c>
      <c r="G257" s="19" t="str">
        <f t="shared" si="19"/>
        <v>Walk-Transit</v>
      </c>
      <c r="H257" s="19" t="str">
        <f t="shared" si="20"/>
        <v>Walk-HeavyR</v>
      </c>
      <c r="AB257" s="155" t="str">
        <f t="shared" si="21"/>
        <v>wlk-</v>
      </c>
      <c r="AC257" s="156" t="str">
        <f t="shared" si="22"/>
        <v>-</v>
      </c>
      <c r="AD257" s="2" t="str">
        <f t="shared" si="23"/>
        <v>---</v>
      </c>
    </row>
    <row r="258" spans="1:30" x14ac:dyDescent="0.2">
      <c r="A258" s="2" t="s">
        <v>97</v>
      </c>
      <c r="B258" s="2" t="s">
        <v>63</v>
      </c>
      <c r="C258" s="2">
        <v>13</v>
      </c>
      <c r="D258" s="2">
        <v>13</v>
      </c>
      <c r="E258" s="2">
        <v>0</v>
      </c>
      <c r="F258" s="19" t="str">
        <f t="shared" si="18"/>
        <v>Individual Maintenance</v>
      </c>
      <c r="G258" s="19" t="str">
        <f t="shared" si="19"/>
        <v>Walk-Transit</v>
      </c>
      <c r="H258" s="19" t="str">
        <f t="shared" si="20"/>
        <v>Walk-CommR</v>
      </c>
      <c r="AB258" s="155" t="str">
        <f t="shared" si="21"/>
        <v>wlk-</v>
      </c>
      <c r="AC258" s="156" t="str">
        <f t="shared" si="22"/>
        <v>-</v>
      </c>
      <c r="AD258" s="2" t="str">
        <f t="shared" si="23"/>
        <v>---</v>
      </c>
    </row>
    <row r="259" spans="1:30" x14ac:dyDescent="0.2">
      <c r="A259" s="2" t="s">
        <v>97</v>
      </c>
      <c r="B259" s="2" t="s">
        <v>63</v>
      </c>
      <c r="C259" s="2">
        <v>13</v>
      </c>
      <c r="D259" s="2">
        <v>19</v>
      </c>
      <c r="E259" s="2">
        <v>0</v>
      </c>
      <c r="F259" s="19" t="str">
        <f t="shared" ref="F259:F322" si="24">IF(A259="joint","Joint",_xlfn.IFNA(VLOOKUP(B259,tour_purposes,2,FALSE),"None"))</f>
        <v>Individual Maintenance</v>
      </c>
      <c r="G259" s="19" t="str">
        <f t="shared" ref="G259:G322" si="25">IF(AND(A259="joint",C259&lt;=6),"Auto",_xlfn.IFNA(VLOOKUP(C259,tour_modes,3,FALSE),"None"))</f>
        <v>Walk-Transit</v>
      </c>
      <c r="H259" s="19" t="str">
        <f t="shared" ref="H259:H322" si="26">_xlfn.IFNA(VLOOKUP(D259,trip_modes,2,FALSE),"None")</f>
        <v>Taxi</v>
      </c>
      <c r="AB259" s="155" t="str">
        <f t="shared" si="21"/>
        <v>wlk-</v>
      </c>
      <c r="AC259" s="156" t="str">
        <f t="shared" si="22"/>
        <v>-</v>
      </c>
      <c r="AD259" s="2" t="str">
        <f t="shared" si="23"/>
        <v>---</v>
      </c>
    </row>
    <row r="260" spans="1:30" x14ac:dyDescent="0.2">
      <c r="A260" s="2" t="s">
        <v>97</v>
      </c>
      <c r="B260" s="2" t="s">
        <v>63</v>
      </c>
      <c r="C260" s="2">
        <v>14</v>
      </c>
      <c r="D260" s="2">
        <v>14</v>
      </c>
      <c r="E260" s="2">
        <v>0</v>
      </c>
      <c r="F260" s="19" t="str">
        <f t="shared" si="24"/>
        <v>Individual Maintenance</v>
      </c>
      <c r="G260" s="19" t="str">
        <f t="shared" si="25"/>
        <v>Drive-Transit</v>
      </c>
      <c r="H260" s="19" t="str">
        <f t="shared" si="26"/>
        <v>Drive-Local</v>
      </c>
      <c r="AB260" s="155" t="str">
        <f t="shared" ref="AB260:AB300" si="27">CONCATENATE(IF(OR(R260="drv",S260="drv"),"drv","wlk"),"-",U260)</f>
        <v>wlk-</v>
      </c>
      <c r="AC260" s="156" t="str">
        <f t="shared" ref="AC260:AC300" si="28">CONCATENATE(T260,"-",U260)</f>
        <v>-</v>
      </c>
      <c r="AD260" s="2" t="str">
        <f t="shared" ref="AD260:AD300" si="29">CONCATENATE(R260,"-",S260,"-",T260,"-",U260)</f>
        <v>---</v>
      </c>
    </row>
    <row r="261" spans="1:30" x14ac:dyDescent="0.2">
      <c r="A261" s="2" t="s">
        <v>97</v>
      </c>
      <c r="B261" s="2" t="s">
        <v>63</v>
      </c>
      <c r="C261" s="2">
        <v>14</v>
      </c>
      <c r="D261" s="2">
        <v>19</v>
      </c>
      <c r="E261" s="2">
        <v>0</v>
      </c>
      <c r="F261" s="19" t="str">
        <f t="shared" si="24"/>
        <v>Individual Maintenance</v>
      </c>
      <c r="G261" s="19" t="str">
        <f t="shared" si="25"/>
        <v>Drive-Transit</v>
      </c>
      <c r="H261" s="19" t="str">
        <f t="shared" si="26"/>
        <v>Taxi</v>
      </c>
      <c r="AB261" s="155" t="str">
        <f t="shared" si="27"/>
        <v>wlk-</v>
      </c>
      <c r="AC261" s="156" t="str">
        <f t="shared" si="28"/>
        <v>-</v>
      </c>
      <c r="AD261" s="2" t="str">
        <f t="shared" si="29"/>
        <v>---</v>
      </c>
    </row>
    <row r="262" spans="1:30" x14ac:dyDescent="0.2">
      <c r="A262" s="2" t="s">
        <v>97</v>
      </c>
      <c r="B262" s="2" t="s">
        <v>63</v>
      </c>
      <c r="C262" s="2">
        <v>15</v>
      </c>
      <c r="D262" s="2">
        <v>-15</v>
      </c>
      <c r="E262" s="2">
        <v>0</v>
      </c>
      <c r="F262" s="19" t="str">
        <f t="shared" si="24"/>
        <v>Individual Maintenance</v>
      </c>
      <c r="G262" s="19" t="str">
        <f t="shared" si="25"/>
        <v>Drive-Transit</v>
      </c>
      <c r="H262" s="19" t="str">
        <f t="shared" si="26"/>
        <v>Drive-Ferry</v>
      </c>
      <c r="AB262" s="155" t="str">
        <f t="shared" si="27"/>
        <v>wlk-</v>
      </c>
      <c r="AC262" s="156" t="str">
        <f t="shared" si="28"/>
        <v>-</v>
      </c>
      <c r="AD262" s="2" t="str">
        <f t="shared" si="29"/>
        <v>---</v>
      </c>
    </row>
    <row r="263" spans="1:30" x14ac:dyDescent="0.2">
      <c r="A263" s="2" t="s">
        <v>97</v>
      </c>
      <c r="B263" s="2" t="s">
        <v>63</v>
      </c>
      <c r="C263" s="2">
        <v>15</v>
      </c>
      <c r="D263" s="2">
        <v>15</v>
      </c>
      <c r="E263" s="2">
        <v>0</v>
      </c>
      <c r="F263" s="19" t="str">
        <f t="shared" si="24"/>
        <v>Individual Maintenance</v>
      </c>
      <c r="G263" s="19" t="str">
        <f t="shared" si="25"/>
        <v>Drive-Transit</v>
      </c>
      <c r="H263" s="19" t="str">
        <f t="shared" si="26"/>
        <v>Drive-LRT</v>
      </c>
      <c r="AB263" s="155" t="str">
        <f t="shared" si="27"/>
        <v>wlk-</v>
      </c>
      <c r="AC263" s="156" t="str">
        <f t="shared" si="28"/>
        <v>-</v>
      </c>
      <c r="AD263" s="2" t="str">
        <f t="shared" si="29"/>
        <v>---</v>
      </c>
    </row>
    <row r="264" spans="1:30" x14ac:dyDescent="0.2">
      <c r="A264" s="2" t="s">
        <v>97</v>
      </c>
      <c r="B264" s="2" t="s">
        <v>63</v>
      </c>
      <c r="C264" s="2">
        <v>16</v>
      </c>
      <c r="D264" s="2">
        <v>-15</v>
      </c>
      <c r="E264" s="2">
        <v>0</v>
      </c>
      <c r="F264" s="19" t="str">
        <f t="shared" si="24"/>
        <v>Individual Maintenance</v>
      </c>
      <c r="G264" s="19" t="str">
        <f t="shared" si="25"/>
        <v>Drive-Transit</v>
      </c>
      <c r="H264" s="19" t="str">
        <f t="shared" si="26"/>
        <v>Drive-Ferry</v>
      </c>
      <c r="AB264" s="155" t="str">
        <f t="shared" si="27"/>
        <v>wlk-</v>
      </c>
      <c r="AC264" s="156" t="str">
        <f t="shared" si="28"/>
        <v>-</v>
      </c>
      <c r="AD264" s="2" t="str">
        <f t="shared" si="29"/>
        <v>---</v>
      </c>
    </row>
    <row r="265" spans="1:30" x14ac:dyDescent="0.2">
      <c r="A265" s="2" t="s">
        <v>97</v>
      </c>
      <c r="B265" s="2" t="s">
        <v>63</v>
      </c>
      <c r="C265" s="2">
        <v>16</v>
      </c>
      <c r="D265" s="2">
        <v>16</v>
      </c>
      <c r="E265" s="2">
        <v>0</v>
      </c>
      <c r="F265" s="19" t="str">
        <f t="shared" si="24"/>
        <v>Individual Maintenance</v>
      </c>
      <c r="G265" s="19" t="str">
        <f t="shared" si="25"/>
        <v>Drive-Transit</v>
      </c>
      <c r="H265" s="19" t="str">
        <f t="shared" si="26"/>
        <v>Drive-Express</v>
      </c>
      <c r="AB265" s="155" t="str">
        <f t="shared" si="27"/>
        <v>wlk-</v>
      </c>
      <c r="AC265" s="156" t="str">
        <f t="shared" si="28"/>
        <v>-</v>
      </c>
      <c r="AD265" s="2" t="str">
        <f t="shared" si="29"/>
        <v>---</v>
      </c>
    </row>
    <row r="266" spans="1:30" x14ac:dyDescent="0.2">
      <c r="A266" s="2" t="s">
        <v>97</v>
      </c>
      <c r="B266" s="2" t="s">
        <v>63</v>
      </c>
      <c r="C266" s="2">
        <v>17</v>
      </c>
      <c r="D266" s="2">
        <v>17</v>
      </c>
      <c r="E266" s="2">
        <v>0</v>
      </c>
      <c r="F266" s="19" t="str">
        <f t="shared" si="24"/>
        <v>Individual Maintenance</v>
      </c>
      <c r="G266" s="19" t="str">
        <f t="shared" si="25"/>
        <v>Drive-Transit</v>
      </c>
      <c r="H266" s="19" t="str">
        <f t="shared" si="26"/>
        <v>Drive-HeavyR</v>
      </c>
      <c r="AB266" s="155" t="str">
        <f t="shared" si="27"/>
        <v>wlk-</v>
      </c>
      <c r="AC266" s="156" t="str">
        <f t="shared" si="28"/>
        <v>-</v>
      </c>
      <c r="AD266" s="2" t="str">
        <f t="shared" si="29"/>
        <v>---</v>
      </c>
    </row>
    <row r="267" spans="1:30" x14ac:dyDescent="0.2">
      <c r="A267" s="2" t="s">
        <v>97</v>
      </c>
      <c r="B267" s="2" t="s">
        <v>63</v>
      </c>
      <c r="C267" s="2">
        <v>18</v>
      </c>
      <c r="D267" s="2">
        <v>15</v>
      </c>
      <c r="E267" s="2">
        <v>0</v>
      </c>
      <c r="F267" s="19" t="str">
        <f t="shared" si="24"/>
        <v>Individual Maintenance</v>
      </c>
      <c r="G267" s="19" t="str">
        <f t="shared" si="25"/>
        <v>Drive-Transit</v>
      </c>
      <c r="H267" s="19" t="str">
        <f t="shared" si="26"/>
        <v>Drive-LRT</v>
      </c>
      <c r="AB267" s="155" t="str">
        <f t="shared" si="27"/>
        <v>wlk-</v>
      </c>
      <c r="AC267" s="156" t="str">
        <f t="shared" si="28"/>
        <v>-</v>
      </c>
      <c r="AD267" s="2" t="str">
        <f t="shared" si="29"/>
        <v>---</v>
      </c>
    </row>
    <row r="268" spans="1:30" x14ac:dyDescent="0.2">
      <c r="A268" s="2" t="s">
        <v>97</v>
      </c>
      <c r="B268" s="2" t="s">
        <v>63</v>
      </c>
      <c r="C268" s="2">
        <v>18</v>
      </c>
      <c r="D268" s="2">
        <v>17</v>
      </c>
      <c r="E268" s="2">
        <v>0</v>
      </c>
      <c r="F268" s="19" t="str">
        <f t="shared" si="24"/>
        <v>Individual Maintenance</v>
      </c>
      <c r="G268" s="19" t="str">
        <f t="shared" si="25"/>
        <v>Drive-Transit</v>
      </c>
      <c r="H268" s="19" t="str">
        <f t="shared" si="26"/>
        <v>Drive-HeavyR</v>
      </c>
      <c r="AB268" s="155" t="str">
        <f t="shared" si="27"/>
        <v>wlk-</v>
      </c>
      <c r="AC268" s="156" t="str">
        <f t="shared" si="28"/>
        <v>-</v>
      </c>
      <c r="AD268" s="2" t="str">
        <f t="shared" si="29"/>
        <v>---</v>
      </c>
    </row>
    <row r="269" spans="1:30" x14ac:dyDescent="0.2">
      <c r="A269" s="2" t="s">
        <v>97</v>
      </c>
      <c r="B269" s="2" t="s">
        <v>63</v>
      </c>
      <c r="C269" s="2">
        <v>18</v>
      </c>
      <c r="D269" s="2">
        <v>18</v>
      </c>
      <c r="E269" s="2">
        <v>0</v>
      </c>
      <c r="F269" s="19" t="str">
        <f t="shared" si="24"/>
        <v>Individual Maintenance</v>
      </c>
      <c r="G269" s="19" t="str">
        <f t="shared" si="25"/>
        <v>Drive-Transit</v>
      </c>
      <c r="H269" s="19" t="str">
        <f t="shared" si="26"/>
        <v>Drive-CommR</v>
      </c>
      <c r="AB269" s="155" t="str">
        <f t="shared" si="27"/>
        <v>wlk-</v>
      </c>
      <c r="AC269" s="156" t="str">
        <f t="shared" si="28"/>
        <v>-</v>
      </c>
      <c r="AD269" s="2" t="str">
        <f t="shared" si="29"/>
        <v>---</v>
      </c>
    </row>
    <row r="270" spans="1:30" x14ac:dyDescent="0.2">
      <c r="A270" s="2" t="s">
        <v>97</v>
      </c>
      <c r="B270" s="2" t="s">
        <v>63</v>
      </c>
      <c r="C270" s="2">
        <v>19</v>
      </c>
      <c r="D270" s="2">
        <v>3</v>
      </c>
      <c r="E270" s="2">
        <v>0</v>
      </c>
      <c r="F270" s="19" t="str">
        <f t="shared" si="24"/>
        <v>Individual Maintenance</v>
      </c>
      <c r="G270" s="19" t="str">
        <f t="shared" si="25"/>
        <v>Taxi</v>
      </c>
      <c r="H270" s="19" t="str">
        <f t="shared" si="26"/>
        <v>SR2</v>
      </c>
      <c r="AB270" s="155" t="str">
        <f t="shared" si="27"/>
        <v>wlk-</v>
      </c>
      <c r="AC270" s="156" t="str">
        <f t="shared" si="28"/>
        <v>-</v>
      </c>
      <c r="AD270" s="2" t="str">
        <f t="shared" si="29"/>
        <v>---</v>
      </c>
    </row>
    <row r="271" spans="1:30" x14ac:dyDescent="0.2">
      <c r="A271" s="2" t="s">
        <v>97</v>
      </c>
      <c r="B271" s="2" t="s">
        <v>63</v>
      </c>
      <c r="C271" s="2">
        <v>19</v>
      </c>
      <c r="D271" s="2">
        <v>5</v>
      </c>
      <c r="E271" s="2">
        <v>0</v>
      </c>
      <c r="F271" s="19" t="str">
        <f t="shared" si="24"/>
        <v>Individual Maintenance</v>
      </c>
      <c r="G271" s="19" t="str">
        <f t="shared" si="25"/>
        <v>Taxi</v>
      </c>
      <c r="H271" s="19" t="str">
        <f t="shared" si="26"/>
        <v>SR3+</v>
      </c>
      <c r="AB271" s="155" t="str">
        <f t="shared" si="27"/>
        <v>wlk-</v>
      </c>
      <c r="AC271" s="156" t="str">
        <f t="shared" si="28"/>
        <v>-</v>
      </c>
      <c r="AD271" s="2" t="str">
        <f t="shared" si="29"/>
        <v>---</v>
      </c>
    </row>
    <row r="272" spans="1:30" x14ac:dyDescent="0.2">
      <c r="A272" s="2" t="s">
        <v>97</v>
      </c>
      <c r="B272" s="2" t="s">
        <v>63</v>
      </c>
      <c r="C272" s="2">
        <v>19</v>
      </c>
      <c r="D272" s="2">
        <v>7</v>
      </c>
      <c r="E272" s="2">
        <v>0</v>
      </c>
      <c r="F272" s="19" t="str">
        <f t="shared" si="24"/>
        <v>Individual Maintenance</v>
      </c>
      <c r="G272" s="19" t="str">
        <f t="shared" si="25"/>
        <v>Taxi</v>
      </c>
      <c r="H272" s="19" t="str">
        <f t="shared" si="26"/>
        <v>Walk</v>
      </c>
      <c r="AB272" s="155" t="str">
        <f t="shared" si="27"/>
        <v>wlk-</v>
      </c>
      <c r="AC272" s="156" t="str">
        <f t="shared" si="28"/>
        <v>-</v>
      </c>
      <c r="AD272" s="2" t="str">
        <f t="shared" si="29"/>
        <v>---</v>
      </c>
    </row>
    <row r="273" spans="1:30" x14ac:dyDescent="0.2">
      <c r="A273" s="2" t="s">
        <v>97</v>
      </c>
      <c r="B273" s="2" t="s">
        <v>63</v>
      </c>
      <c r="C273" s="2">
        <v>19</v>
      </c>
      <c r="D273" s="2">
        <v>9</v>
      </c>
      <c r="E273" s="2">
        <v>0</v>
      </c>
      <c r="F273" s="19" t="str">
        <f t="shared" si="24"/>
        <v>Individual Maintenance</v>
      </c>
      <c r="G273" s="19" t="str">
        <f t="shared" si="25"/>
        <v>Taxi</v>
      </c>
      <c r="H273" s="19" t="str">
        <f t="shared" si="26"/>
        <v>Walk-Local</v>
      </c>
      <c r="AB273" s="155" t="str">
        <f t="shared" si="27"/>
        <v>wlk-</v>
      </c>
      <c r="AC273" s="156" t="str">
        <f t="shared" si="28"/>
        <v>-</v>
      </c>
      <c r="AD273" s="2" t="str">
        <f t="shared" si="29"/>
        <v>---</v>
      </c>
    </row>
    <row r="274" spans="1:30" x14ac:dyDescent="0.2">
      <c r="A274" s="2" t="s">
        <v>97</v>
      </c>
      <c r="B274" s="2" t="s">
        <v>63</v>
      </c>
      <c r="C274" s="2">
        <v>19</v>
      </c>
      <c r="D274" s="2">
        <v>19</v>
      </c>
      <c r="E274" s="2">
        <v>0</v>
      </c>
      <c r="F274" s="19" t="str">
        <f t="shared" si="24"/>
        <v>Individual Maintenance</v>
      </c>
      <c r="G274" s="19" t="str">
        <f t="shared" si="25"/>
        <v>Taxi</v>
      </c>
      <c r="H274" s="19" t="str">
        <f t="shared" si="26"/>
        <v>Taxi</v>
      </c>
      <c r="AB274" s="155" t="str">
        <f t="shared" si="27"/>
        <v>wlk-</v>
      </c>
      <c r="AC274" s="156" t="str">
        <f t="shared" si="28"/>
        <v>-</v>
      </c>
      <c r="AD274" s="2" t="str">
        <f t="shared" si="29"/>
        <v>---</v>
      </c>
    </row>
    <row r="275" spans="1:30" x14ac:dyDescent="0.2">
      <c r="A275" s="2" t="s">
        <v>97</v>
      </c>
      <c r="B275" s="2" t="s">
        <v>63</v>
      </c>
      <c r="C275" s="2">
        <v>19</v>
      </c>
      <c r="D275" s="2">
        <v>20</v>
      </c>
      <c r="E275" s="2">
        <v>0</v>
      </c>
      <c r="F275" s="19" t="str">
        <f t="shared" si="24"/>
        <v>Individual Maintenance</v>
      </c>
      <c r="G275" s="19" t="str">
        <f t="shared" si="25"/>
        <v>Taxi</v>
      </c>
      <c r="H275" s="19" t="str">
        <f t="shared" si="26"/>
        <v>TNC-Single</v>
      </c>
      <c r="AB275" s="155" t="str">
        <f t="shared" si="27"/>
        <v>wlk-</v>
      </c>
      <c r="AC275" s="156" t="str">
        <f t="shared" si="28"/>
        <v>-</v>
      </c>
      <c r="AD275" s="2" t="str">
        <f t="shared" si="29"/>
        <v>---</v>
      </c>
    </row>
    <row r="276" spans="1:30" x14ac:dyDescent="0.2">
      <c r="A276" s="2" t="s">
        <v>97</v>
      </c>
      <c r="B276" s="2" t="s">
        <v>63</v>
      </c>
      <c r="C276" s="2">
        <v>19</v>
      </c>
      <c r="D276" s="2">
        <v>21</v>
      </c>
      <c r="E276" s="2">
        <v>0</v>
      </c>
      <c r="F276" s="19" t="str">
        <f t="shared" si="24"/>
        <v>Individual Maintenance</v>
      </c>
      <c r="G276" s="19" t="str">
        <f t="shared" si="25"/>
        <v>Taxi</v>
      </c>
      <c r="H276" s="19" t="str">
        <f t="shared" si="26"/>
        <v>TNC-Shared</v>
      </c>
      <c r="AB276" s="155" t="str">
        <f t="shared" si="27"/>
        <v>wlk-</v>
      </c>
      <c r="AC276" s="156" t="str">
        <f t="shared" si="28"/>
        <v>-</v>
      </c>
      <c r="AD276" s="2" t="str">
        <f t="shared" si="29"/>
        <v>---</v>
      </c>
    </row>
    <row r="277" spans="1:30" x14ac:dyDescent="0.2">
      <c r="A277" s="2" t="s">
        <v>97</v>
      </c>
      <c r="B277" s="2" t="s">
        <v>64</v>
      </c>
      <c r="C277" s="2">
        <v>3</v>
      </c>
      <c r="D277" s="2">
        <v>1</v>
      </c>
      <c r="E277" s="2">
        <v>0</v>
      </c>
      <c r="F277" s="19" t="str">
        <f t="shared" si="24"/>
        <v>Individual Maintenance</v>
      </c>
      <c r="G277" s="19" t="str">
        <f t="shared" si="25"/>
        <v>SR2</v>
      </c>
      <c r="H277" s="19" t="str">
        <f t="shared" si="26"/>
        <v>Drive Alone</v>
      </c>
      <c r="AB277" s="155" t="str">
        <f t="shared" si="27"/>
        <v>wlk-</v>
      </c>
      <c r="AC277" s="156" t="str">
        <f t="shared" si="28"/>
        <v>-</v>
      </c>
      <c r="AD277" s="2" t="str">
        <f t="shared" si="29"/>
        <v>---</v>
      </c>
    </row>
    <row r="278" spans="1:30" x14ac:dyDescent="0.2">
      <c r="A278" s="2" t="s">
        <v>97</v>
      </c>
      <c r="B278" s="2" t="s">
        <v>64</v>
      </c>
      <c r="C278" s="2">
        <v>3</v>
      </c>
      <c r="D278" s="2">
        <v>3</v>
      </c>
      <c r="E278" s="2">
        <v>0</v>
      </c>
      <c r="F278" s="19" t="str">
        <f t="shared" si="24"/>
        <v>Individual Maintenance</v>
      </c>
      <c r="G278" s="19" t="str">
        <f t="shared" si="25"/>
        <v>SR2</v>
      </c>
      <c r="H278" s="19" t="str">
        <f t="shared" si="26"/>
        <v>SR2</v>
      </c>
      <c r="AB278" s="155" t="str">
        <f t="shared" si="27"/>
        <v>wlk-</v>
      </c>
      <c r="AC278" s="156" t="str">
        <f t="shared" si="28"/>
        <v>-</v>
      </c>
      <c r="AD278" s="2" t="str">
        <f t="shared" si="29"/>
        <v>---</v>
      </c>
    </row>
    <row r="279" spans="1:30" x14ac:dyDescent="0.2">
      <c r="A279" s="2" t="s">
        <v>97</v>
      </c>
      <c r="B279" s="2" t="s">
        <v>64</v>
      </c>
      <c r="C279" s="2">
        <v>3</v>
      </c>
      <c r="D279" s="2">
        <v>7</v>
      </c>
      <c r="E279" s="2">
        <v>0</v>
      </c>
      <c r="F279" s="19" t="str">
        <f t="shared" si="24"/>
        <v>Individual Maintenance</v>
      </c>
      <c r="G279" s="19" t="str">
        <f t="shared" si="25"/>
        <v>SR2</v>
      </c>
      <c r="H279" s="19" t="str">
        <f t="shared" si="26"/>
        <v>Walk</v>
      </c>
      <c r="AB279" s="155" t="str">
        <f t="shared" si="27"/>
        <v>wlk-</v>
      </c>
      <c r="AC279" s="156" t="str">
        <f t="shared" si="28"/>
        <v>-</v>
      </c>
      <c r="AD279" s="2" t="str">
        <f t="shared" si="29"/>
        <v>---</v>
      </c>
    </row>
    <row r="280" spans="1:30" x14ac:dyDescent="0.2">
      <c r="A280" s="2" t="s">
        <v>97</v>
      </c>
      <c r="B280" s="2" t="s">
        <v>64</v>
      </c>
      <c r="C280" s="2">
        <v>3</v>
      </c>
      <c r="D280" s="2">
        <v>19</v>
      </c>
      <c r="E280" s="2">
        <v>0</v>
      </c>
      <c r="F280" s="19" t="str">
        <f t="shared" si="24"/>
        <v>Individual Maintenance</v>
      </c>
      <c r="G280" s="19" t="str">
        <f t="shared" si="25"/>
        <v>SR2</v>
      </c>
      <c r="H280" s="19" t="str">
        <f t="shared" si="26"/>
        <v>Taxi</v>
      </c>
      <c r="AB280" s="155" t="str">
        <f t="shared" si="27"/>
        <v>wlk-</v>
      </c>
      <c r="AC280" s="156" t="str">
        <f t="shared" si="28"/>
        <v>-</v>
      </c>
      <c r="AD280" s="2" t="str">
        <f t="shared" si="29"/>
        <v>---</v>
      </c>
    </row>
    <row r="281" spans="1:30" x14ac:dyDescent="0.2">
      <c r="A281" s="2" t="s">
        <v>97</v>
      </c>
      <c r="B281" s="2" t="s">
        <v>64</v>
      </c>
      <c r="C281" s="2">
        <v>5</v>
      </c>
      <c r="D281" s="2">
        <v>1</v>
      </c>
      <c r="E281" s="2">
        <v>0</v>
      </c>
      <c r="F281" s="19" t="str">
        <f t="shared" si="24"/>
        <v>Individual Maintenance</v>
      </c>
      <c r="G281" s="19" t="str">
        <f t="shared" si="25"/>
        <v>SR3+</v>
      </c>
      <c r="H281" s="19" t="str">
        <f t="shared" si="26"/>
        <v>Drive Alone</v>
      </c>
      <c r="AB281" s="155" t="str">
        <f t="shared" si="27"/>
        <v>wlk-</v>
      </c>
      <c r="AC281" s="156" t="str">
        <f t="shared" si="28"/>
        <v>-</v>
      </c>
      <c r="AD281" s="2" t="str">
        <f t="shared" si="29"/>
        <v>---</v>
      </c>
    </row>
    <row r="282" spans="1:30" x14ac:dyDescent="0.2">
      <c r="A282" s="2" t="s">
        <v>97</v>
      </c>
      <c r="B282" s="2" t="s">
        <v>64</v>
      </c>
      <c r="C282" s="2">
        <v>5</v>
      </c>
      <c r="D282" s="2">
        <v>3</v>
      </c>
      <c r="E282" s="2">
        <v>0</v>
      </c>
      <c r="F282" s="19" t="str">
        <f t="shared" si="24"/>
        <v>Individual Maintenance</v>
      </c>
      <c r="G282" s="19" t="str">
        <f t="shared" si="25"/>
        <v>SR3+</v>
      </c>
      <c r="H282" s="19" t="str">
        <f t="shared" si="26"/>
        <v>SR2</v>
      </c>
      <c r="AB282" s="155" t="str">
        <f t="shared" si="27"/>
        <v>wlk-</v>
      </c>
      <c r="AC282" s="156" t="str">
        <f t="shared" si="28"/>
        <v>-</v>
      </c>
      <c r="AD282" s="2" t="str">
        <f t="shared" si="29"/>
        <v>---</v>
      </c>
    </row>
    <row r="283" spans="1:30" x14ac:dyDescent="0.2">
      <c r="A283" s="2" t="s">
        <v>97</v>
      </c>
      <c r="B283" s="2" t="s">
        <v>64</v>
      </c>
      <c r="C283" s="2">
        <v>5</v>
      </c>
      <c r="D283" s="2">
        <v>5</v>
      </c>
      <c r="E283" s="2">
        <v>0</v>
      </c>
      <c r="F283" s="19" t="str">
        <f t="shared" si="24"/>
        <v>Individual Maintenance</v>
      </c>
      <c r="G283" s="19" t="str">
        <f t="shared" si="25"/>
        <v>SR3+</v>
      </c>
      <c r="H283" s="19" t="str">
        <f t="shared" si="26"/>
        <v>SR3+</v>
      </c>
      <c r="AB283" s="155" t="str">
        <f t="shared" si="27"/>
        <v>wlk-</v>
      </c>
      <c r="AC283" s="156" t="str">
        <f t="shared" si="28"/>
        <v>-</v>
      </c>
      <c r="AD283" s="2" t="str">
        <f t="shared" si="29"/>
        <v>---</v>
      </c>
    </row>
    <row r="284" spans="1:30" x14ac:dyDescent="0.2">
      <c r="A284" s="2" t="s">
        <v>97</v>
      </c>
      <c r="B284" s="2" t="s">
        <v>64</v>
      </c>
      <c r="C284" s="2">
        <v>5</v>
      </c>
      <c r="D284" s="2">
        <v>7</v>
      </c>
      <c r="E284" s="2">
        <v>0</v>
      </c>
      <c r="F284" s="19" t="str">
        <f t="shared" si="24"/>
        <v>Individual Maintenance</v>
      </c>
      <c r="G284" s="19" t="str">
        <f t="shared" si="25"/>
        <v>SR3+</v>
      </c>
      <c r="H284" s="19" t="str">
        <f t="shared" si="26"/>
        <v>Walk</v>
      </c>
      <c r="AB284" s="155" t="str">
        <f t="shared" si="27"/>
        <v>wlk-</v>
      </c>
      <c r="AC284" s="156" t="str">
        <f t="shared" si="28"/>
        <v>-</v>
      </c>
      <c r="AD284" s="2" t="str">
        <f t="shared" si="29"/>
        <v>---</v>
      </c>
    </row>
    <row r="285" spans="1:30" x14ac:dyDescent="0.2">
      <c r="A285" s="2" t="s">
        <v>97</v>
      </c>
      <c r="B285" s="2" t="s">
        <v>64</v>
      </c>
      <c r="C285" s="2">
        <v>5</v>
      </c>
      <c r="D285" s="2">
        <v>19</v>
      </c>
      <c r="E285" s="2">
        <v>0</v>
      </c>
      <c r="F285" s="19" t="str">
        <f t="shared" si="24"/>
        <v>Individual Maintenance</v>
      </c>
      <c r="G285" s="19" t="str">
        <f t="shared" si="25"/>
        <v>SR3+</v>
      </c>
      <c r="H285" s="19" t="str">
        <f t="shared" si="26"/>
        <v>Taxi</v>
      </c>
      <c r="AB285" s="155" t="str">
        <f t="shared" si="27"/>
        <v>wlk-</v>
      </c>
      <c r="AC285" s="156" t="str">
        <f t="shared" si="28"/>
        <v>-</v>
      </c>
      <c r="AD285" s="2" t="str">
        <f t="shared" si="29"/>
        <v>---</v>
      </c>
    </row>
    <row r="286" spans="1:30" x14ac:dyDescent="0.2">
      <c r="A286" s="2" t="s">
        <v>97</v>
      </c>
      <c r="B286" s="2" t="s">
        <v>64</v>
      </c>
      <c r="C286" s="2">
        <v>7</v>
      </c>
      <c r="D286" s="2">
        <v>7</v>
      </c>
      <c r="E286" s="2">
        <v>0</v>
      </c>
      <c r="F286" s="19" t="str">
        <f t="shared" si="24"/>
        <v>Individual Maintenance</v>
      </c>
      <c r="G286" s="19" t="str">
        <f t="shared" si="25"/>
        <v>Walk</v>
      </c>
      <c r="H286" s="19" t="str">
        <f t="shared" si="26"/>
        <v>Walk</v>
      </c>
      <c r="AB286" s="155" t="str">
        <f t="shared" si="27"/>
        <v>wlk-</v>
      </c>
      <c r="AC286" s="156" t="str">
        <f t="shared" si="28"/>
        <v>-</v>
      </c>
      <c r="AD286" s="2" t="str">
        <f t="shared" si="29"/>
        <v>---</v>
      </c>
    </row>
    <row r="287" spans="1:30" x14ac:dyDescent="0.2">
      <c r="A287" s="2" t="s">
        <v>97</v>
      </c>
      <c r="B287" s="2" t="s">
        <v>64</v>
      </c>
      <c r="C287" s="2">
        <v>7</v>
      </c>
      <c r="D287" s="2">
        <v>19</v>
      </c>
      <c r="E287" s="2">
        <v>0</v>
      </c>
      <c r="F287" s="19" t="str">
        <f t="shared" si="24"/>
        <v>Individual Maintenance</v>
      </c>
      <c r="G287" s="19" t="str">
        <f t="shared" si="25"/>
        <v>Walk</v>
      </c>
      <c r="H287" s="19" t="str">
        <f t="shared" si="26"/>
        <v>Taxi</v>
      </c>
      <c r="AB287" s="155" t="str">
        <f t="shared" si="27"/>
        <v>wlk-</v>
      </c>
      <c r="AC287" s="156" t="str">
        <f t="shared" si="28"/>
        <v>-</v>
      </c>
      <c r="AD287" s="2" t="str">
        <f t="shared" si="29"/>
        <v>---</v>
      </c>
    </row>
    <row r="288" spans="1:30" x14ac:dyDescent="0.2">
      <c r="A288" s="2" t="s">
        <v>97</v>
      </c>
      <c r="B288" s="2" t="s">
        <v>64</v>
      </c>
      <c r="C288" s="2">
        <v>8</v>
      </c>
      <c r="D288" s="2">
        <v>7</v>
      </c>
      <c r="E288" s="2">
        <v>0</v>
      </c>
      <c r="F288" s="19" t="str">
        <f t="shared" si="24"/>
        <v>Individual Maintenance</v>
      </c>
      <c r="G288" s="19" t="str">
        <f t="shared" si="25"/>
        <v>Bike</v>
      </c>
      <c r="H288" s="19" t="str">
        <f t="shared" si="26"/>
        <v>Walk</v>
      </c>
      <c r="AB288" s="155" t="str">
        <f t="shared" si="27"/>
        <v>wlk-</v>
      </c>
      <c r="AC288" s="156" t="str">
        <f t="shared" si="28"/>
        <v>-</v>
      </c>
      <c r="AD288" s="2" t="str">
        <f t="shared" si="29"/>
        <v>---</v>
      </c>
    </row>
    <row r="289" spans="1:30" x14ac:dyDescent="0.2">
      <c r="A289" s="2" t="s">
        <v>97</v>
      </c>
      <c r="B289" s="2" t="s">
        <v>64</v>
      </c>
      <c r="C289" s="2">
        <v>8</v>
      </c>
      <c r="D289" s="2">
        <v>8</v>
      </c>
      <c r="E289" s="2">
        <v>0</v>
      </c>
      <c r="F289" s="19" t="str">
        <f t="shared" si="24"/>
        <v>Individual Maintenance</v>
      </c>
      <c r="G289" s="19" t="str">
        <f t="shared" si="25"/>
        <v>Bike</v>
      </c>
      <c r="H289" s="19" t="str">
        <f t="shared" si="26"/>
        <v>Bike</v>
      </c>
      <c r="AB289" s="155" t="str">
        <f t="shared" si="27"/>
        <v>wlk-</v>
      </c>
      <c r="AC289" s="156" t="str">
        <f t="shared" si="28"/>
        <v>-</v>
      </c>
      <c r="AD289" s="2" t="str">
        <f t="shared" si="29"/>
        <v>---</v>
      </c>
    </row>
    <row r="290" spans="1:30" x14ac:dyDescent="0.2">
      <c r="A290" s="2" t="s">
        <v>97</v>
      </c>
      <c r="B290" s="2" t="s">
        <v>64</v>
      </c>
      <c r="C290" s="2">
        <v>9</v>
      </c>
      <c r="D290" s="2">
        <v>3</v>
      </c>
      <c r="E290" s="2">
        <v>0</v>
      </c>
      <c r="F290" s="19" t="str">
        <f t="shared" si="24"/>
        <v>Individual Maintenance</v>
      </c>
      <c r="G290" s="19" t="str">
        <f t="shared" si="25"/>
        <v>Walk-Transit</v>
      </c>
      <c r="H290" s="19" t="str">
        <f t="shared" si="26"/>
        <v>SR2</v>
      </c>
      <c r="AB290" s="155" t="str">
        <f t="shared" si="27"/>
        <v>wlk-</v>
      </c>
      <c r="AC290" s="156" t="str">
        <f t="shared" si="28"/>
        <v>-</v>
      </c>
      <c r="AD290" s="2" t="str">
        <f t="shared" si="29"/>
        <v>---</v>
      </c>
    </row>
    <row r="291" spans="1:30" x14ac:dyDescent="0.2">
      <c r="A291" s="2" t="s">
        <v>97</v>
      </c>
      <c r="B291" s="2" t="s">
        <v>64</v>
      </c>
      <c r="C291" s="2">
        <v>9</v>
      </c>
      <c r="D291" s="2">
        <v>5</v>
      </c>
      <c r="E291" s="2">
        <v>0</v>
      </c>
      <c r="F291" s="19" t="str">
        <f t="shared" si="24"/>
        <v>Individual Maintenance</v>
      </c>
      <c r="G291" s="19" t="str">
        <f t="shared" si="25"/>
        <v>Walk-Transit</v>
      </c>
      <c r="H291" s="19" t="str">
        <f t="shared" si="26"/>
        <v>SR3+</v>
      </c>
      <c r="AB291" s="155" t="str">
        <f t="shared" si="27"/>
        <v>wlk-</v>
      </c>
      <c r="AC291" s="156" t="str">
        <f t="shared" si="28"/>
        <v>-</v>
      </c>
      <c r="AD291" s="2" t="str">
        <f t="shared" si="29"/>
        <v>---</v>
      </c>
    </row>
    <row r="292" spans="1:30" x14ac:dyDescent="0.2">
      <c r="A292" s="2" t="s">
        <v>97</v>
      </c>
      <c r="B292" s="2" t="s">
        <v>64</v>
      </c>
      <c r="C292" s="2">
        <v>9</v>
      </c>
      <c r="D292" s="2">
        <v>7</v>
      </c>
      <c r="E292" s="2">
        <v>0</v>
      </c>
      <c r="F292" s="19" t="str">
        <f t="shared" si="24"/>
        <v>Individual Maintenance</v>
      </c>
      <c r="G292" s="19" t="str">
        <f t="shared" si="25"/>
        <v>Walk-Transit</v>
      </c>
      <c r="H292" s="19" t="str">
        <f t="shared" si="26"/>
        <v>Walk</v>
      </c>
      <c r="AB292" s="155" t="str">
        <f t="shared" si="27"/>
        <v>wlk-</v>
      </c>
      <c r="AC292" s="156" t="str">
        <f t="shared" si="28"/>
        <v>-</v>
      </c>
      <c r="AD292" s="2" t="str">
        <f t="shared" si="29"/>
        <v>---</v>
      </c>
    </row>
    <row r="293" spans="1:30" x14ac:dyDescent="0.2">
      <c r="A293" s="2" t="s">
        <v>97</v>
      </c>
      <c r="B293" s="2" t="s">
        <v>64</v>
      </c>
      <c r="C293" s="2">
        <v>9</v>
      </c>
      <c r="D293" s="2">
        <v>9</v>
      </c>
      <c r="E293" s="2">
        <v>0</v>
      </c>
      <c r="F293" s="19" t="str">
        <f t="shared" si="24"/>
        <v>Individual Maintenance</v>
      </c>
      <c r="G293" s="19" t="str">
        <f t="shared" si="25"/>
        <v>Walk-Transit</v>
      </c>
      <c r="H293" s="19" t="str">
        <f t="shared" si="26"/>
        <v>Walk-Local</v>
      </c>
      <c r="AB293" s="155" t="str">
        <f t="shared" si="27"/>
        <v>wlk-</v>
      </c>
      <c r="AC293" s="156" t="str">
        <f t="shared" si="28"/>
        <v>-</v>
      </c>
      <c r="AD293" s="2" t="str">
        <f t="shared" si="29"/>
        <v>---</v>
      </c>
    </row>
    <row r="294" spans="1:30" x14ac:dyDescent="0.2">
      <c r="A294" s="2" t="s">
        <v>97</v>
      </c>
      <c r="B294" s="2" t="s">
        <v>64</v>
      </c>
      <c r="C294" s="2">
        <v>9</v>
      </c>
      <c r="D294" s="2">
        <v>19</v>
      </c>
      <c r="E294" s="2">
        <v>0</v>
      </c>
      <c r="F294" s="19" t="str">
        <f t="shared" si="24"/>
        <v>Individual Maintenance</v>
      </c>
      <c r="G294" s="19" t="str">
        <f t="shared" si="25"/>
        <v>Walk-Transit</v>
      </c>
      <c r="H294" s="19" t="str">
        <f t="shared" si="26"/>
        <v>Taxi</v>
      </c>
      <c r="AB294" s="155" t="str">
        <f t="shared" si="27"/>
        <v>wlk-</v>
      </c>
      <c r="AC294" s="156" t="str">
        <f t="shared" si="28"/>
        <v>-</v>
      </c>
      <c r="AD294" s="2" t="str">
        <f t="shared" si="29"/>
        <v>---</v>
      </c>
    </row>
    <row r="295" spans="1:30" x14ac:dyDescent="0.2">
      <c r="A295" s="2" t="s">
        <v>97</v>
      </c>
      <c r="B295" s="2" t="s">
        <v>64</v>
      </c>
      <c r="C295" s="2">
        <v>10</v>
      </c>
      <c r="D295" s="2">
        <v>3</v>
      </c>
      <c r="E295" s="2">
        <v>0</v>
      </c>
      <c r="F295" s="19" t="str">
        <f t="shared" si="24"/>
        <v>Individual Maintenance</v>
      </c>
      <c r="G295" s="19" t="str">
        <f t="shared" si="25"/>
        <v>Walk-Transit</v>
      </c>
      <c r="H295" s="19" t="str">
        <f t="shared" si="26"/>
        <v>SR2</v>
      </c>
      <c r="AB295" s="155" t="str">
        <f t="shared" si="27"/>
        <v>wlk-</v>
      </c>
      <c r="AC295" s="156" t="str">
        <f t="shared" si="28"/>
        <v>-</v>
      </c>
      <c r="AD295" s="2" t="str">
        <f t="shared" si="29"/>
        <v>---</v>
      </c>
    </row>
    <row r="296" spans="1:30" x14ac:dyDescent="0.2">
      <c r="A296" s="2" t="s">
        <v>97</v>
      </c>
      <c r="B296" s="2" t="s">
        <v>64</v>
      </c>
      <c r="C296" s="2">
        <v>10</v>
      </c>
      <c r="D296" s="2">
        <v>5</v>
      </c>
      <c r="E296" s="2">
        <v>0</v>
      </c>
      <c r="F296" s="19" t="str">
        <f t="shared" si="24"/>
        <v>Individual Maintenance</v>
      </c>
      <c r="G296" s="19" t="str">
        <f t="shared" si="25"/>
        <v>Walk-Transit</v>
      </c>
      <c r="H296" s="19" t="str">
        <f t="shared" si="26"/>
        <v>SR3+</v>
      </c>
      <c r="AB296" s="155" t="str">
        <f t="shared" si="27"/>
        <v>wlk-</v>
      </c>
      <c r="AC296" s="156" t="str">
        <f t="shared" si="28"/>
        <v>-</v>
      </c>
      <c r="AD296" s="2" t="str">
        <f t="shared" si="29"/>
        <v>---</v>
      </c>
    </row>
    <row r="297" spans="1:30" x14ac:dyDescent="0.2">
      <c r="A297" s="2" t="s">
        <v>97</v>
      </c>
      <c r="B297" s="2" t="s">
        <v>64</v>
      </c>
      <c r="C297" s="2">
        <v>10</v>
      </c>
      <c r="D297" s="2">
        <v>7</v>
      </c>
      <c r="E297" s="2">
        <v>0</v>
      </c>
      <c r="F297" s="19" t="str">
        <f t="shared" si="24"/>
        <v>Individual Maintenance</v>
      </c>
      <c r="G297" s="19" t="str">
        <f t="shared" si="25"/>
        <v>Walk-Transit</v>
      </c>
      <c r="H297" s="19" t="str">
        <f t="shared" si="26"/>
        <v>Walk</v>
      </c>
      <c r="AB297" s="155" t="str">
        <f t="shared" si="27"/>
        <v>wlk-</v>
      </c>
      <c r="AC297" s="156" t="str">
        <f t="shared" si="28"/>
        <v>-</v>
      </c>
      <c r="AD297" s="2" t="str">
        <f t="shared" si="29"/>
        <v>---</v>
      </c>
    </row>
    <row r="298" spans="1:30" x14ac:dyDescent="0.2">
      <c r="A298" s="2" t="s">
        <v>97</v>
      </c>
      <c r="B298" s="2" t="s">
        <v>64</v>
      </c>
      <c r="C298" s="2">
        <v>10</v>
      </c>
      <c r="D298" s="2">
        <v>9</v>
      </c>
      <c r="E298" s="2">
        <v>0</v>
      </c>
      <c r="F298" s="19" t="str">
        <f t="shared" si="24"/>
        <v>Individual Maintenance</v>
      </c>
      <c r="G298" s="19" t="str">
        <f t="shared" si="25"/>
        <v>Walk-Transit</v>
      </c>
      <c r="H298" s="19" t="str">
        <f t="shared" si="26"/>
        <v>Walk-Local</v>
      </c>
      <c r="AB298" s="155" t="str">
        <f t="shared" si="27"/>
        <v>wlk-</v>
      </c>
      <c r="AC298" s="156" t="str">
        <f t="shared" si="28"/>
        <v>-</v>
      </c>
      <c r="AD298" s="2" t="str">
        <f t="shared" si="29"/>
        <v>---</v>
      </c>
    </row>
    <row r="299" spans="1:30" x14ac:dyDescent="0.2">
      <c r="A299" s="2" t="s">
        <v>97</v>
      </c>
      <c r="B299" s="2" t="s">
        <v>64</v>
      </c>
      <c r="C299" s="2">
        <v>10</v>
      </c>
      <c r="D299" s="2">
        <v>10</v>
      </c>
      <c r="E299" s="2">
        <v>0</v>
      </c>
      <c r="F299" s="19" t="str">
        <f t="shared" si="24"/>
        <v>Individual Maintenance</v>
      </c>
      <c r="G299" s="19" t="str">
        <f t="shared" si="25"/>
        <v>Walk-Transit</v>
      </c>
      <c r="H299" s="19" t="str">
        <f t="shared" si="26"/>
        <v>Walk-LRT</v>
      </c>
      <c r="AB299" s="155" t="str">
        <f t="shared" si="27"/>
        <v>wlk-</v>
      </c>
      <c r="AC299" s="156" t="str">
        <f t="shared" si="28"/>
        <v>-</v>
      </c>
      <c r="AD299" s="2" t="str">
        <f t="shared" si="29"/>
        <v>---</v>
      </c>
    </row>
    <row r="300" spans="1:30" x14ac:dyDescent="0.2">
      <c r="A300" s="2" t="s">
        <v>97</v>
      </c>
      <c r="B300" s="2" t="s">
        <v>64</v>
      </c>
      <c r="C300" s="2">
        <v>10</v>
      </c>
      <c r="D300" s="2">
        <v>19</v>
      </c>
      <c r="E300" s="2">
        <v>0</v>
      </c>
      <c r="F300" s="19" t="str">
        <f t="shared" si="24"/>
        <v>Individual Maintenance</v>
      </c>
      <c r="G300" s="19" t="str">
        <f t="shared" si="25"/>
        <v>Walk-Transit</v>
      </c>
      <c r="H300" s="19" t="str">
        <f t="shared" si="26"/>
        <v>Taxi</v>
      </c>
      <c r="AB300" s="155" t="str">
        <f t="shared" si="27"/>
        <v>wlk-</v>
      </c>
      <c r="AC300" s="156" t="str">
        <f t="shared" si="28"/>
        <v>-</v>
      </c>
      <c r="AD300" s="2" t="str">
        <f t="shared" si="29"/>
        <v>---</v>
      </c>
    </row>
    <row r="301" spans="1:30" x14ac:dyDescent="0.2">
      <c r="A301" s="2" t="s">
        <v>97</v>
      </c>
      <c r="B301" s="2" t="s">
        <v>64</v>
      </c>
      <c r="C301" s="2">
        <v>11</v>
      </c>
      <c r="D301" s="2">
        <v>3</v>
      </c>
      <c r="E301" s="2">
        <v>0</v>
      </c>
      <c r="F301" s="19" t="str">
        <f t="shared" si="24"/>
        <v>Individual Maintenance</v>
      </c>
      <c r="G301" s="19" t="str">
        <f t="shared" si="25"/>
        <v>Walk-Transit</v>
      </c>
      <c r="H301" s="19" t="str">
        <f t="shared" si="26"/>
        <v>SR2</v>
      </c>
      <c r="AB301" s="155"/>
      <c r="AC301" s="156"/>
    </row>
    <row r="302" spans="1:30" x14ac:dyDescent="0.2">
      <c r="A302" s="2" t="s">
        <v>97</v>
      </c>
      <c r="B302" s="2" t="s">
        <v>64</v>
      </c>
      <c r="C302" s="2">
        <v>11</v>
      </c>
      <c r="D302" s="2">
        <v>5</v>
      </c>
      <c r="E302" s="2">
        <v>0</v>
      </c>
      <c r="F302" s="19" t="str">
        <f t="shared" si="24"/>
        <v>Individual Maintenance</v>
      </c>
      <c r="G302" s="19" t="str">
        <f t="shared" si="25"/>
        <v>Walk-Transit</v>
      </c>
      <c r="H302" s="19" t="str">
        <f t="shared" si="26"/>
        <v>SR3+</v>
      </c>
    </row>
    <row r="303" spans="1:30" x14ac:dyDescent="0.2">
      <c r="A303" s="2" t="s">
        <v>97</v>
      </c>
      <c r="B303" s="2" t="s">
        <v>64</v>
      </c>
      <c r="C303" s="2">
        <v>11</v>
      </c>
      <c r="D303" s="2">
        <v>7</v>
      </c>
      <c r="E303" s="2">
        <v>0</v>
      </c>
      <c r="F303" s="19" t="str">
        <f t="shared" si="24"/>
        <v>Individual Maintenance</v>
      </c>
      <c r="G303" s="19" t="str">
        <f t="shared" si="25"/>
        <v>Walk-Transit</v>
      </c>
      <c r="H303" s="19" t="str">
        <f t="shared" si="26"/>
        <v>Walk</v>
      </c>
    </row>
    <row r="304" spans="1:30" x14ac:dyDescent="0.2">
      <c r="A304" s="2" t="s">
        <v>97</v>
      </c>
      <c r="B304" s="2" t="s">
        <v>64</v>
      </c>
      <c r="C304" s="2">
        <v>11</v>
      </c>
      <c r="D304" s="2">
        <v>9</v>
      </c>
      <c r="E304" s="2">
        <v>0</v>
      </c>
      <c r="F304" s="19" t="str">
        <f t="shared" si="24"/>
        <v>Individual Maintenance</v>
      </c>
      <c r="G304" s="19" t="str">
        <f t="shared" si="25"/>
        <v>Walk-Transit</v>
      </c>
      <c r="H304" s="19" t="str">
        <f t="shared" si="26"/>
        <v>Walk-Local</v>
      </c>
    </row>
    <row r="305" spans="1:8" x14ac:dyDescent="0.2">
      <c r="A305" s="2" t="s">
        <v>97</v>
      </c>
      <c r="B305" s="2" t="s">
        <v>64</v>
      </c>
      <c r="C305" s="2">
        <v>11</v>
      </c>
      <c r="D305" s="2">
        <v>11</v>
      </c>
      <c r="E305" s="2">
        <v>0</v>
      </c>
      <c r="F305" s="19" t="str">
        <f t="shared" si="24"/>
        <v>Individual Maintenance</v>
      </c>
      <c r="G305" s="19" t="str">
        <f t="shared" si="25"/>
        <v>Walk-Transit</v>
      </c>
      <c r="H305" s="19" t="str">
        <f t="shared" si="26"/>
        <v>Walk-Express</v>
      </c>
    </row>
    <row r="306" spans="1:8" x14ac:dyDescent="0.2">
      <c r="A306" s="2" t="s">
        <v>97</v>
      </c>
      <c r="B306" s="2" t="s">
        <v>64</v>
      </c>
      <c r="C306" s="2">
        <v>12</v>
      </c>
      <c r="D306" s="2">
        <v>3</v>
      </c>
      <c r="E306" s="2">
        <v>0</v>
      </c>
      <c r="F306" s="19" t="str">
        <f t="shared" si="24"/>
        <v>Individual Maintenance</v>
      </c>
      <c r="G306" s="19" t="str">
        <f t="shared" si="25"/>
        <v>Walk-Transit</v>
      </c>
      <c r="H306" s="19" t="str">
        <f t="shared" si="26"/>
        <v>SR2</v>
      </c>
    </row>
    <row r="307" spans="1:8" x14ac:dyDescent="0.2">
      <c r="A307" s="2" t="s">
        <v>97</v>
      </c>
      <c r="B307" s="2" t="s">
        <v>64</v>
      </c>
      <c r="C307" s="2">
        <v>12</v>
      </c>
      <c r="D307" s="2">
        <v>5</v>
      </c>
      <c r="E307" s="2">
        <v>0</v>
      </c>
      <c r="F307" s="19" t="str">
        <f t="shared" si="24"/>
        <v>Individual Maintenance</v>
      </c>
      <c r="G307" s="19" t="str">
        <f t="shared" si="25"/>
        <v>Walk-Transit</v>
      </c>
      <c r="H307" s="19" t="str">
        <f t="shared" si="26"/>
        <v>SR3+</v>
      </c>
    </row>
    <row r="308" spans="1:8" x14ac:dyDescent="0.2">
      <c r="A308" s="2" t="s">
        <v>97</v>
      </c>
      <c r="B308" s="2" t="s">
        <v>64</v>
      </c>
      <c r="C308" s="2">
        <v>12</v>
      </c>
      <c r="D308" s="2">
        <v>7</v>
      </c>
      <c r="E308" s="2">
        <v>0</v>
      </c>
      <c r="F308" s="19" t="str">
        <f t="shared" si="24"/>
        <v>Individual Maintenance</v>
      </c>
      <c r="G308" s="19" t="str">
        <f t="shared" si="25"/>
        <v>Walk-Transit</v>
      </c>
      <c r="H308" s="19" t="str">
        <f t="shared" si="26"/>
        <v>Walk</v>
      </c>
    </row>
    <row r="309" spans="1:8" x14ac:dyDescent="0.2">
      <c r="A309" s="2" t="s">
        <v>97</v>
      </c>
      <c r="B309" s="2" t="s">
        <v>64</v>
      </c>
      <c r="C309" s="2">
        <v>12</v>
      </c>
      <c r="D309" s="2">
        <v>9</v>
      </c>
      <c r="E309" s="2">
        <v>0</v>
      </c>
      <c r="F309" s="19" t="str">
        <f t="shared" si="24"/>
        <v>Individual Maintenance</v>
      </c>
      <c r="G309" s="19" t="str">
        <f t="shared" si="25"/>
        <v>Walk-Transit</v>
      </c>
      <c r="H309" s="19" t="str">
        <f t="shared" si="26"/>
        <v>Walk-Local</v>
      </c>
    </row>
    <row r="310" spans="1:8" x14ac:dyDescent="0.2">
      <c r="A310" s="2" t="s">
        <v>97</v>
      </c>
      <c r="B310" s="2" t="s">
        <v>64</v>
      </c>
      <c r="C310" s="2">
        <v>12</v>
      </c>
      <c r="D310" s="2">
        <v>10</v>
      </c>
      <c r="E310" s="2">
        <v>0</v>
      </c>
      <c r="F310" s="19" t="str">
        <f t="shared" si="24"/>
        <v>Individual Maintenance</v>
      </c>
      <c r="G310" s="19" t="str">
        <f t="shared" si="25"/>
        <v>Walk-Transit</v>
      </c>
      <c r="H310" s="19" t="str">
        <f t="shared" si="26"/>
        <v>Walk-LRT</v>
      </c>
    </row>
    <row r="311" spans="1:8" x14ac:dyDescent="0.2">
      <c r="A311" s="2" t="s">
        <v>97</v>
      </c>
      <c r="B311" s="2" t="s">
        <v>64</v>
      </c>
      <c r="C311" s="2">
        <v>12</v>
      </c>
      <c r="D311" s="2">
        <v>11</v>
      </c>
      <c r="E311" s="2">
        <v>0</v>
      </c>
      <c r="F311" s="19" t="str">
        <f t="shared" si="24"/>
        <v>Individual Maintenance</v>
      </c>
      <c r="G311" s="19" t="str">
        <f t="shared" si="25"/>
        <v>Walk-Transit</v>
      </c>
      <c r="H311" s="19" t="str">
        <f t="shared" si="26"/>
        <v>Walk-Express</v>
      </c>
    </row>
    <row r="312" spans="1:8" x14ac:dyDescent="0.2">
      <c r="A312" s="2" t="s">
        <v>97</v>
      </c>
      <c r="B312" s="2" t="s">
        <v>64</v>
      </c>
      <c r="C312" s="2">
        <v>12</v>
      </c>
      <c r="D312" s="2">
        <v>12</v>
      </c>
      <c r="E312" s="2">
        <v>0</v>
      </c>
      <c r="F312" s="19" t="str">
        <f t="shared" si="24"/>
        <v>Individual Maintenance</v>
      </c>
      <c r="G312" s="19" t="str">
        <f t="shared" si="25"/>
        <v>Walk-Transit</v>
      </c>
      <c r="H312" s="19" t="str">
        <f t="shared" si="26"/>
        <v>Walk-HeavyR</v>
      </c>
    </row>
    <row r="313" spans="1:8" x14ac:dyDescent="0.2">
      <c r="A313" s="2" t="s">
        <v>97</v>
      </c>
      <c r="B313" s="2" t="s">
        <v>64</v>
      </c>
      <c r="C313" s="2">
        <v>12</v>
      </c>
      <c r="D313" s="2">
        <v>19</v>
      </c>
      <c r="E313" s="2">
        <v>0</v>
      </c>
      <c r="F313" s="19" t="str">
        <f t="shared" si="24"/>
        <v>Individual Maintenance</v>
      </c>
      <c r="G313" s="19" t="str">
        <f t="shared" si="25"/>
        <v>Walk-Transit</v>
      </c>
      <c r="H313" s="19" t="str">
        <f t="shared" si="26"/>
        <v>Taxi</v>
      </c>
    </row>
    <row r="314" spans="1:8" x14ac:dyDescent="0.2">
      <c r="A314" s="2" t="s">
        <v>97</v>
      </c>
      <c r="B314" s="2" t="s">
        <v>64</v>
      </c>
      <c r="C314" s="2">
        <v>13</v>
      </c>
      <c r="D314" s="2">
        <v>3</v>
      </c>
      <c r="E314" s="2">
        <v>0</v>
      </c>
      <c r="F314" s="19" t="str">
        <f t="shared" si="24"/>
        <v>Individual Maintenance</v>
      </c>
      <c r="G314" s="19" t="str">
        <f t="shared" si="25"/>
        <v>Walk-Transit</v>
      </c>
      <c r="H314" s="19" t="str">
        <f t="shared" si="26"/>
        <v>SR2</v>
      </c>
    </row>
    <row r="315" spans="1:8" x14ac:dyDescent="0.2">
      <c r="A315" s="2" t="s">
        <v>97</v>
      </c>
      <c r="B315" s="2" t="s">
        <v>64</v>
      </c>
      <c r="C315" s="2">
        <v>13</v>
      </c>
      <c r="D315" s="2">
        <v>9</v>
      </c>
      <c r="E315" s="2">
        <v>0</v>
      </c>
      <c r="F315" s="19" t="str">
        <f t="shared" si="24"/>
        <v>Individual Maintenance</v>
      </c>
      <c r="G315" s="19" t="str">
        <f t="shared" si="25"/>
        <v>Walk-Transit</v>
      </c>
      <c r="H315" s="19" t="str">
        <f t="shared" si="26"/>
        <v>Walk-Local</v>
      </c>
    </row>
    <row r="316" spans="1:8" x14ac:dyDescent="0.2">
      <c r="A316" s="2" t="s">
        <v>97</v>
      </c>
      <c r="B316" s="2" t="s">
        <v>64</v>
      </c>
      <c r="C316" s="2">
        <v>13</v>
      </c>
      <c r="D316" s="2">
        <v>10</v>
      </c>
      <c r="E316" s="2">
        <v>0</v>
      </c>
      <c r="F316" s="19" t="str">
        <f t="shared" si="24"/>
        <v>Individual Maintenance</v>
      </c>
      <c r="G316" s="19" t="str">
        <f t="shared" si="25"/>
        <v>Walk-Transit</v>
      </c>
      <c r="H316" s="19" t="str">
        <f t="shared" si="26"/>
        <v>Walk-LRT</v>
      </c>
    </row>
    <row r="317" spans="1:8" x14ac:dyDescent="0.2">
      <c r="A317" s="2" t="s">
        <v>97</v>
      </c>
      <c r="B317" s="2" t="s">
        <v>64</v>
      </c>
      <c r="C317" s="2">
        <v>13</v>
      </c>
      <c r="D317" s="2">
        <v>13</v>
      </c>
      <c r="E317" s="2">
        <v>0</v>
      </c>
      <c r="F317" s="19" t="str">
        <f t="shared" si="24"/>
        <v>Individual Maintenance</v>
      </c>
      <c r="G317" s="19" t="str">
        <f t="shared" si="25"/>
        <v>Walk-Transit</v>
      </c>
      <c r="H317" s="19" t="str">
        <f t="shared" si="26"/>
        <v>Walk-CommR</v>
      </c>
    </row>
    <row r="318" spans="1:8" x14ac:dyDescent="0.2">
      <c r="A318" s="2" t="s">
        <v>97</v>
      </c>
      <c r="B318" s="2" t="s">
        <v>64</v>
      </c>
      <c r="C318" s="2">
        <v>13</v>
      </c>
      <c r="D318" s="2">
        <v>19</v>
      </c>
      <c r="E318" s="2">
        <v>0</v>
      </c>
      <c r="F318" s="19" t="str">
        <f t="shared" si="24"/>
        <v>Individual Maintenance</v>
      </c>
      <c r="G318" s="19" t="str">
        <f t="shared" si="25"/>
        <v>Walk-Transit</v>
      </c>
      <c r="H318" s="19" t="str">
        <f t="shared" si="26"/>
        <v>Taxi</v>
      </c>
    </row>
    <row r="319" spans="1:8" x14ac:dyDescent="0.2">
      <c r="A319" s="2" t="s">
        <v>97</v>
      </c>
      <c r="B319" s="2" t="s">
        <v>64</v>
      </c>
      <c r="C319" s="2">
        <v>14</v>
      </c>
      <c r="D319" s="2">
        <v>14</v>
      </c>
      <c r="E319" s="2">
        <v>0</v>
      </c>
      <c r="F319" s="19" t="str">
        <f t="shared" si="24"/>
        <v>Individual Maintenance</v>
      </c>
      <c r="G319" s="19" t="str">
        <f t="shared" si="25"/>
        <v>Drive-Transit</v>
      </c>
      <c r="H319" s="19" t="str">
        <f t="shared" si="26"/>
        <v>Drive-Local</v>
      </c>
    </row>
    <row r="320" spans="1:8" x14ac:dyDescent="0.2">
      <c r="A320" s="2" t="s">
        <v>97</v>
      </c>
      <c r="B320" s="2" t="s">
        <v>64</v>
      </c>
      <c r="C320" s="2">
        <v>15</v>
      </c>
      <c r="D320" s="2">
        <v>15</v>
      </c>
      <c r="E320" s="2">
        <v>0</v>
      </c>
      <c r="F320" s="19" t="str">
        <f t="shared" si="24"/>
        <v>Individual Maintenance</v>
      </c>
      <c r="G320" s="19" t="str">
        <f t="shared" si="25"/>
        <v>Drive-Transit</v>
      </c>
      <c r="H320" s="19" t="str">
        <f t="shared" si="26"/>
        <v>Drive-LRT</v>
      </c>
    </row>
    <row r="321" spans="1:8" x14ac:dyDescent="0.2">
      <c r="A321" s="2" t="s">
        <v>97</v>
      </c>
      <c r="B321" s="2" t="s">
        <v>64</v>
      </c>
      <c r="C321" s="2">
        <v>16</v>
      </c>
      <c r="D321" s="2">
        <v>16</v>
      </c>
      <c r="E321" s="2">
        <v>0</v>
      </c>
      <c r="F321" s="19" t="str">
        <f t="shared" si="24"/>
        <v>Individual Maintenance</v>
      </c>
      <c r="G321" s="19" t="str">
        <f t="shared" si="25"/>
        <v>Drive-Transit</v>
      </c>
      <c r="H321" s="19" t="str">
        <f t="shared" si="26"/>
        <v>Drive-Express</v>
      </c>
    </row>
    <row r="322" spans="1:8" x14ac:dyDescent="0.2">
      <c r="A322" s="2" t="s">
        <v>97</v>
      </c>
      <c r="B322" s="2" t="s">
        <v>64</v>
      </c>
      <c r="C322" s="2">
        <v>17</v>
      </c>
      <c r="D322" s="2">
        <v>17</v>
      </c>
      <c r="E322" s="2">
        <v>0</v>
      </c>
      <c r="F322" s="19" t="str">
        <f t="shared" si="24"/>
        <v>Individual Maintenance</v>
      </c>
      <c r="G322" s="19" t="str">
        <f t="shared" si="25"/>
        <v>Drive-Transit</v>
      </c>
      <c r="H322" s="19" t="str">
        <f t="shared" si="26"/>
        <v>Drive-HeavyR</v>
      </c>
    </row>
    <row r="323" spans="1:8" x14ac:dyDescent="0.2">
      <c r="A323" s="2" t="s">
        <v>97</v>
      </c>
      <c r="B323" s="2" t="s">
        <v>64</v>
      </c>
      <c r="C323" s="2">
        <v>18</v>
      </c>
      <c r="D323" s="2">
        <v>15</v>
      </c>
      <c r="E323" s="2">
        <v>0</v>
      </c>
      <c r="F323" s="19" t="str">
        <f t="shared" ref="F323:F386" si="30">IF(A323="joint","Joint",_xlfn.IFNA(VLOOKUP(B323,tour_purposes,2,FALSE),"None"))</f>
        <v>Individual Maintenance</v>
      </c>
      <c r="G323" s="19" t="str">
        <f t="shared" ref="G323:G386" si="31">IF(AND(A323="joint",C323&lt;=6),"Auto",_xlfn.IFNA(VLOOKUP(C323,tour_modes,3,FALSE),"None"))</f>
        <v>Drive-Transit</v>
      </c>
      <c r="H323" s="19" t="str">
        <f t="shared" ref="H323:H386" si="32">_xlfn.IFNA(VLOOKUP(D323,trip_modes,2,FALSE),"None")</f>
        <v>Drive-LRT</v>
      </c>
    </row>
    <row r="324" spans="1:8" x14ac:dyDescent="0.2">
      <c r="A324" s="2" t="s">
        <v>97</v>
      </c>
      <c r="B324" s="2" t="s">
        <v>64</v>
      </c>
      <c r="C324" s="2">
        <v>18</v>
      </c>
      <c r="D324" s="2">
        <v>17</v>
      </c>
      <c r="E324" s="2">
        <v>0</v>
      </c>
      <c r="F324" s="19" t="str">
        <f t="shared" si="30"/>
        <v>Individual Maintenance</v>
      </c>
      <c r="G324" s="19" t="str">
        <f t="shared" si="31"/>
        <v>Drive-Transit</v>
      </c>
      <c r="H324" s="19" t="str">
        <f t="shared" si="32"/>
        <v>Drive-HeavyR</v>
      </c>
    </row>
    <row r="325" spans="1:8" x14ac:dyDescent="0.2">
      <c r="A325" s="2" t="s">
        <v>97</v>
      </c>
      <c r="B325" s="2" t="s">
        <v>64</v>
      </c>
      <c r="C325" s="2">
        <v>18</v>
      </c>
      <c r="D325" s="2">
        <v>18</v>
      </c>
      <c r="E325" s="2">
        <v>0</v>
      </c>
      <c r="F325" s="19" t="str">
        <f t="shared" si="30"/>
        <v>Individual Maintenance</v>
      </c>
      <c r="G325" s="19" t="str">
        <f t="shared" si="31"/>
        <v>Drive-Transit</v>
      </c>
      <c r="H325" s="19" t="str">
        <f t="shared" si="32"/>
        <v>Drive-CommR</v>
      </c>
    </row>
    <row r="326" spans="1:8" x14ac:dyDescent="0.2">
      <c r="A326" s="2" t="s">
        <v>97</v>
      </c>
      <c r="B326" s="2" t="s">
        <v>64</v>
      </c>
      <c r="C326" s="2">
        <v>19</v>
      </c>
      <c r="D326" s="2">
        <v>3</v>
      </c>
      <c r="E326" s="2">
        <v>0</v>
      </c>
      <c r="F326" s="19" t="str">
        <f t="shared" si="30"/>
        <v>Individual Maintenance</v>
      </c>
      <c r="G326" s="19" t="str">
        <f t="shared" si="31"/>
        <v>Taxi</v>
      </c>
      <c r="H326" s="19" t="str">
        <f t="shared" si="32"/>
        <v>SR2</v>
      </c>
    </row>
    <row r="327" spans="1:8" x14ac:dyDescent="0.2">
      <c r="A327" s="2" t="s">
        <v>97</v>
      </c>
      <c r="B327" s="2" t="s">
        <v>64</v>
      </c>
      <c r="C327" s="2">
        <v>19</v>
      </c>
      <c r="D327" s="2">
        <v>19</v>
      </c>
      <c r="E327" s="2">
        <v>0</v>
      </c>
      <c r="F327" s="19" t="str">
        <f t="shared" si="30"/>
        <v>Individual Maintenance</v>
      </c>
      <c r="G327" s="19" t="str">
        <f t="shared" si="31"/>
        <v>Taxi</v>
      </c>
      <c r="H327" s="19" t="str">
        <f t="shared" si="32"/>
        <v>Taxi</v>
      </c>
    </row>
    <row r="328" spans="1:8" x14ac:dyDescent="0.2">
      <c r="A328" s="2" t="s">
        <v>97</v>
      </c>
      <c r="B328" s="2" t="s">
        <v>64</v>
      </c>
      <c r="C328" s="2">
        <v>19</v>
      </c>
      <c r="D328" s="2">
        <v>20</v>
      </c>
      <c r="E328" s="2">
        <v>0</v>
      </c>
      <c r="F328" s="19" t="str">
        <f t="shared" si="30"/>
        <v>Individual Maintenance</v>
      </c>
      <c r="G328" s="19" t="str">
        <f t="shared" si="31"/>
        <v>Taxi</v>
      </c>
      <c r="H328" s="19" t="str">
        <f t="shared" si="32"/>
        <v>TNC-Single</v>
      </c>
    </row>
    <row r="329" spans="1:8" x14ac:dyDescent="0.2">
      <c r="A329" s="2" t="s">
        <v>97</v>
      </c>
      <c r="B329" s="2" t="s">
        <v>65</v>
      </c>
      <c r="C329" s="2">
        <v>1</v>
      </c>
      <c r="D329" s="2">
        <v>1</v>
      </c>
      <c r="E329" s="2">
        <v>0</v>
      </c>
      <c r="F329" s="19" t="str">
        <f t="shared" si="30"/>
        <v>Individual Discretionary</v>
      </c>
      <c r="G329" s="19" t="str">
        <f t="shared" si="31"/>
        <v>Drive Alone</v>
      </c>
      <c r="H329" s="19" t="str">
        <f t="shared" si="32"/>
        <v>Drive Alone</v>
      </c>
    </row>
    <row r="330" spans="1:8" x14ac:dyDescent="0.2">
      <c r="A330" s="2" t="s">
        <v>97</v>
      </c>
      <c r="B330" s="2" t="s">
        <v>65</v>
      </c>
      <c r="C330" s="2">
        <v>1</v>
      </c>
      <c r="D330" s="2">
        <v>7</v>
      </c>
      <c r="E330" s="2">
        <v>0</v>
      </c>
      <c r="F330" s="19" t="str">
        <f t="shared" si="30"/>
        <v>Individual Discretionary</v>
      </c>
      <c r="G330" s="19" t="str">
        <f t="shared" si="31"/>
        <v>Drive Alone</v>
      </c>
      <c r="H330" s="19" t="str">
        <f t="shared" si="32"/>
        <v>Walk</v>
      </c>
    </row>
    <row r="331" spans="1:8" x14ac:dyDescent="0.2">
      <c r="A331" s="2" t="s">
        <v>97</v>
      </c>
      <c r="B331" s="2" t="s">
        <v>65</v>
      </c>
      <c r="C331" s="2">
        <v>1</v>
      </c>
      <c r="D331" s="2">
        <v>19</v>
      </c>
      <c r="E331" s="2">
        <v>0</v>
      </c>
      <c r="F331" s="19" t="str">
        <f t="shared" si="30"/>
        <v>Individual Discretionary</v>
      </c>
      <c r="G331" s="19" t="str">
        <f t="shared" si="31"/>
        <v>Drive Alone</v>
      </c>
      <c r="H331" s="19" t="str">
        <f t="shared" si="32"/>
        <v>Taxi</v>
      </c>
    </row>
    <row r="332" spans="1:8" x14ac:dyDescent="0.2">
      <c r="A332" s="2" t="s">
        <v>97</v>
      </c>
      <c r="B332" s="2" t="s">
        <v>65</v>
      </c>
      <c r="C332" s="2">
        <v>1</v>
      </c>
      <c r="D332" s="2">
        <v>20</v>
      </c>
      <c r="E332" s="2">
        <v>0</v>
      </c>
      <c r="F332" s="19" t="str">
        <f t="shared" si="30"/>
        <v>Individual Discretionary</v>
      </c>
      <c r="G332" s="19" t="str">
        <f t="shared" si="31"/>
        <v>Drive Alone</v>
      </c>
      <c r="H332" s="19" t="str">
        <f t="shared" si="32"/>
        <v>TNC-Single</v>
      </c>
    </row>
    <row r="333" spans="1:8" x14ac:dyDescent="0.2">
      <c r="A333" s="2" t="s">
        <v>97</v>
      </c>
      <c r="B333" s="2" t="s">
        <v>65</v>
      </c>
      <c r="C333" s="2">
        <v>3</v>
      </c>
      <c r="D333" s="2">
        <v>1</v>
      </c>
      <c r="E333" s="2">
        <v>0</v>
      </c>
      <c r="F333" s="19" t="str">
        <f t="shared" si="30"/>
        <v>Individual Discretionary</v>
      </c>
      <c r="G333" s="19" t="str">
        <f t="shared" si="31"/>
        <v>SR2</v>
      </c>
      <c r="H333" s="19" t="str">
        <f t="shared" si="32"/>
        <v>Drive Alone</v>
      </c>
    </row>
    <row r="334" spans="1:8" x14ac:dyDescent="0.2">
      <c r="A334" s="2" t="s">
        <v>97</v>
      </c>
      <c r="B334" s="2" t="s">
        <v>65</v>
      </c>
      <c r="C334" s="2">
        <v>3</v>
      </c>
      <c r="D334" s="2">
        <v>3</v>
      </c>
      <c r="E334" s="2">
        <v>0</v>
      </c>
      <c r="F334" s="19" t="str">
        <f t="shared" si="30"/>
        <v>Individual Discretionary</v>
      </c>
      <c r="G334" s="19" t="str">
        <f t="shared" si="31"/>
        <v>SR2</v>
      </c>
      <c r="H334" s="19" t="str">
        <f t="shared" si="32"/>
        <v>SR2</v>
      </c>
    </row>
    <row r="335" spans="1:8" x14ac:dyDescent="0.2">
      <c r="A335" s="2" t="s">
        <v>97</v>
      </c>
      <c r="B335" s="2" t="s">
        <v>65</v>
      </c>
      <c r="C335" s="2">
        <v>3</v>
      </c>
      <c r="D335" s="2">
        <v>7</v>
      </c>
      <c r="E335" s="2">
        <v>0</v>
      </c>
      <c r="F335" s="19" t="str">
        <f t="shared" si="30"/>
        <v>Individual Discretionary</v>
      </c>
      <c r="G335" s="19" t="str">
        <f t="shared" si="31"/>
        <v>SR2</v>
      </c>
      <c r="H335" s="19" t="str">
        <f t="shared" si="32"/>
        <v>Walk</v>
      </c>
    </row>
    <row r="336" spans="1:8" x14ac:dyDescent="0.2">
      <c r="A336" s="2" t="s">
        <v>97</v>
      </c>
      <c r="B336" s="2" t="s">
        <v>65</v>
      </c>
      <c r="C336" s="2">
        <v>3</v>
      </c>
      <c r="D336" s="2">
        <v>19</v>
      </c>
      <c r="E336" s="2">
        <v>0</v>
      </c>
      <c r="F336" s="19" t="str">
        <f t="shared" si="30"/>
        <v>Individual Discretionary</v>
      </c>
      <c r="G336" s="19" t="str">
        <f t="shared" si="31"/>
        <v>SR2</v>
      </c>
      <c r="H336" s="19" t="str">
        <f t="shared" si="32"/>
        <v>Taxi</v>
      </c>
    </row>
    <row r="337" spans="1:8" x14ac:dyDescent="0.2">
      <c r="A337" s="2" t="s">
        <v>97</v>
      </c>
      <c r="B337" s="2" t="s">
        <v>65</v>
      </c>
      <c r="C337" s="2">
        <v>5</v>
      </c>
      <c r="D337" s="2">
        <v>1</v>
      </c>
      <c r="E337" s="2">
        <v>0</v>
      </c>
      <c r="F337" s="19" t="str">
        <f t="shared" si="30"/>
        <v>Individual Discretionary</v>
      </c>
      <c r="G337" s="19" t="str">
        <f t="shared" si="31"/>
        <v>SR3+</v>
      </c>
      <c r="H337" s="19" t="str">
        <f t="shared" si="32"/>
        <v>Drive Alone</v>
      </c>
    </row>
    <row r="338" spans="1:8" x14ac:dyDescent="0.2">
      <c r="A338" s="2" t="s">
        <v>97</v>
      </c>
      <c r="B338" s="2" t="s">
        <v>65</v>
      </c>
      <c r="C338" s="2">
        <v>5</v>
      </c>
      <c r="D338" s="2">
        <v>3</v>
      </c>
      <c r="E338" s="2">
        <v>0</v>
      </c>
      <c r="F338" s="19" t="str">
        <f t="shared" si="30"/>
        <v>Individual Discretionary</v>
      </c>
      <c r="G338" s="19" t="str">
        <f t="shared" si="31"/>
        <v>SR3+</v>
      </c>
      <c r="H338" s="19" t="str">
        <f t="shared" si="32"/>
        <v>SR2</v>
      </c>
    </row>
    <row r="339" spans="1:8" x14ac:dyDescent="0.2">
      <c r="A339" s="2" t="s">
        <v>97</v>
      </c>
      <c r="B339" s="2" t="s">
        <v>65</v>
      </c>
      <c r="C339" s="2">
        <v>5</v>
      </c>
      <c r="D339" s="2">
        <v>5</v>
      </c>
      <c r="E339" s="2">
        <v>0</v>
      </c>
      <c r="F339" s="19" t="str">
        <f t="shared" si="30"/>
        <v>Individual Discretionary</v>
      </c>
      <c r="G339" s="19" t="str">
        <f t="shared" si="31"/>
        <v>SR3+</v>
      </c>
      <c r="H339" s="19" t="str">
        <f t="shared" si="32"/>
        <v>SR3+</v>
      </c>
    </row>
    <row r="340" spans="1:8" x14ac:dyDescent="0.2">
      <c r="A340" s="2" t="s">
        <v>97</v>
      </c>
      <c r="B340" s="2" t="s">
        <v>65</v>
      </c>
      <c r="C340" s="2">
        <v>5</v>
      </c>
      <c r="D340" s="2">
        <v>7</v>
      </c>
      <c r="E340" s="2">
        <v>0</v>
      </c>
      <c r="F340" s="19" t="str">
        <f t="shared" si="30"/>
        <v>Individual Discretionary</v>
      </c>
      <c r="G340" s="19" t="str">
        <f t="shared" si="31"/>
        <v>SR3+</v>
      </c>
      <c r="H340" s="19" t="str">
        <f t="shared" si="32"/>
        <v>Walk</v>
      </c>
    </row>
    <row r="341" spans="1:8" x14ac:dyDescent="0.2">
      <c r="A341" s="2" t="s">
        <v>97</v>
      </c>
      <c r="B341" s="2" t="s">
        <v>65</v>
      </c>
      <c r="C341" s="2">
        <v>5</v>
      </c>
      <c r="D341" s="2">
        <v>19</v>
      </c>
      <c r="E341" s="2">
        <v>0</v>
      </c>
      <c r="F341" s="19" t="str">
        <f t="shared" si="30"/>
        <v>Individual Discretionary</v>
      </c>
      <c r="G341" s="19" t="str">
        <f t="shared" si="31"/>
        <v>SR3+</v>
      </c>
      <c r="H341" s="19" t="str">
        <f t="shared" si="32"/>
        <v>Taxi</v>
      </c>
    </row>
    <row r="342" spans="1:8" x14ac:dyDescent="0.2">
      <c r="A342" s="2" t="s">
        <v>97</v>
      </c>
      <c r="B342" s="2" t="s">
        <v>65</v>
      </c>
      <c r="C342" s="2">
        <v>5</v>
      </c>
      <c r="D342" s="2">
        <v>20</v>
      </c>
      <c r="E342" s="2">
        <v>0</v>
      </c>
      <c r="F342" s="19" t="str">
        <f t="shared" si="30"/>
        <v>Individual Discretionary</v>
      </c>
      <c r="G342" s="19" t="str">
        <f t="shared" si="31"/>
        <v>SR3+</v>
      </c>
      <c r="H342" s="19" t="str">
        <f t="shared" si="32"/>
        <v>TNC-Single</v>
      </c>
    </row>
    <row r="343" spans="1:8" x14ac:dyDescent="0.2">
      <c r="A343" s="2" t="s">
        <v>97</v>
      </c>
      <c r="B343" s="2" t="s">
        <v>65</v>
      </c>
      <c r="C343" s="2">
        <v>7</v>
      </c>
      <c r="D343" s="2">
        <v>7</v>
      </c>
      <c r="E343" s="2">
        <v>0</v>
      </c>
      <c r="F343" s="19" t="str">
        <f t="shared" si="30"/>
        <v>Individual Discretionary</v>
      </c>
      <c r="G343" s="19" t="str">
        <f t="shared" si="31"/>
        <v>Walk</v>
      </c>
      <c r="H343" s="19" t="str">
        <f t="shared" si="32"/>
        <v>Walk</v>
      </c>
    </row>
    <row r="344" spans="1:8" x14ac:dyDescent="0.2">
      <c r="A344" s="2" t="s">
        <v>97</v>
      </c>
      <c r="B344" s="2" t="s">
        <v>65</v>
      </c>
      <c r="C344" s="2">
        <v>7</v>
      </c>
      <c r="D344" s="2">
        <v>19</v>
      </c>
      <c r="E344" s="2">
        <v>0</v>
      </c>
      <c r="F344" s="19" t="str">
        <f t="shared" si="30"/>
        <v>Individual Discretionary</v>
      </c>
      <c r="G344" s="19" t="str">
        <f t="shared" si="31"/>
        <v>Walk</v>
      </c>
      <c r="H344" s="19" t="str">
        <f t="shared" si="32"/>
        <v>Taxi</v>
      </c>
    </row>
    <row r="345" spans="1:8" x14ac:dyDescent="0.2">
      <c r="A345" s="2" t="s">
        <v>97</v>
      </c>
      <c r="B345" s="2" t="s">
        <v>65</v>
      </c>
      <c r="C345" s="2">
        <v>7</v>
      </c>
      <c r="D345" s="2">
        <v>20</v>
      </c>
      <c r="E345" s="2">
        <v>0</v>
      </c>
      <c r="F345" s="19" t="str">
        <f t="shared" si="30"/>
        <v>Individual Discretionary</v>
      </c>
      <c r="G345" s="19" t="str">
        <f t="shared" si="31"/>
        <v>Walk</v>
      </c>
      <c r="H345" s="19" t="str">
        <f t="shared" si="32"/>
        <v>TNC-Single</v>
      </c>
    </row>
    <row r="346" spans="1:8" x14ac:dyDescent="0.2">
      <c r="A346" s="2" t="s">
        <v>97</v>
      </c>
      <c r="B346" s="2" t="s">
        <v>65</v>
      </c>
      <c r="C346" s="2">
        <v>8</v>
      </c>
      <c r="D346" s="2">
        <v>7</v>
      </c>
      <c r="E346" s="2">
        <v>0</v>
      </c>
      <c r="F346" s="19" t="str">
        <f t="shared" si="30"/>
        <v>Individual Discretionary</v>
      </c>
      <c r="G346" s="19" t="str">
        <f t="shared" si="31"/>
        <v>Bike</v>
      </c>
      <c r="H346" s="19" t="str">
        <f t="shared" si="32"/>
        <v>Walk</v>
      </c>
    </row>
    <row r="347" spans="1:8" x14ac:dyDescent="0.2">
      <c r="A347" s="2" t="s">
        <v>97</v>
      </c>
      <c r="B347" s="2" t="s">
        <v>65</v>
      </c>
      <c r="C347" s="2">
        <v>8</v>
      </c>
      <c r="D347" s="2">
        <v>8</v>
      </c>
      <c r="E347" s="2">
        <v>0</v>
      </c>
      <c r="F347" s="19" t="str">
        <f t="shared" si="30"/>
        <v>Individual Discretionary</v>
      </c>
      <c r="G347" s="19" t="str">
        <f t="shared" si="31"/>
        <v>Bike</v>
      </c>
      <c r="H347" s="19" t="str">
        <f t="shared" si="32"/>
        <v>Bike</v>
      </c>
    </row>
    <row r="348" spans="1:8" x14ac:dyDescent="0.2">
      <c r="A348" s="2" t="s">
        <v>97</v>
      </c>
      <c r="B348" s="2" t="s">
        <v>65</v>
      </c>
      <c r="C348" s="2">
        <v>8</v>
      </c>
      <c r="D348" s="2">
        <v>19</v>
      </c>
      <c r="E348" s="2">
        <v>0</v>
      </c>
      <c r="F348" s="19" t="str">
        <f t="shared" si="30"/>
        <v>Individual Discretionary</v>
      </c>
      <c r="G348" s="19" t="str">
        <f t="shared" si="31"/>
        <v>Bike</v>
      </c>
      <c r="H348" s="19" t="str">
        <f t="shared" si="32"/>
        <v>Taxi</v>
      </c>
    </row>
    <row r="349" spans="1:8" x14ac:dyDescent="0.2">
      <c r="A349" s="2" t="s">
        <v>97</v>
      </c>
      <c r="B349" s="2" t="s">
        <v>65</v>
      </c>
      <c r="C349" s="2">
        <v>9</v>
      </c>
      <c r="D349" s="2">
        <v>3</v>
      </c>
      <c r="E349" s="2">
        <v>0</v>
      </c>
      <c r="F349" s="19" t="str">
        <f t="shared" si="30"/>
        <v>Individual Discretionary</v>
      </c>
      <c r="G349" s="19" t="str">
        <f t="shared" si="31"/>
        <v>Walk-Transit</v>
      </c>
      <c r="H349" s="19" t="str">
        <f t="shared" si="32"/>
        <v>SR2</v>
      </c>
    </row>
    <row r="350" spans="1:8" x14ac:dyDescent="0.2">
      <c r="A350" s="2" t="s">
        <v>97</v>
      </c>
      <c r="B350" s="2" t="s">
        <v>65</v>
      </c>
      <c r="C350" s="2">
        <v>9</v>
      </c>
      <c r="D350" s="2">
        <v>5</v>
      </c>
      <c r="E350" s="2">
        <v>0</v>
      </c>
      <c r="F350" s="19" t="str">
        <f t="shared" si="30"/>
        <v>Individual Discretionary</v>
      </c>
      <c r="G350" s="19" t="str">
        <f t="shared" si="31"/>
        <v>Walk-Transit</v>
      </c>
      <c r="H350" s="19" t="str">
        <f t="shared" si="32"/>
        <v>SR3+</v>
      </c>
    </row>
    <row r="351" spans="1:8" x14ac:dyDescent="0.2">
      <c r="A351" s="2" t="s">
        <v>97</v>
      </c>
      <c r="B351" s="2" t="s">
        <v>65</v>
      </c>
      <c r="C351" s="2">
        <v>9</v>
      </c>
      <c r="D351" s="2">
        <v>7</v>
      </c>
      <c r="E351" s="2">
        <v>0</v>
      </c>
      <c r="F351" s="19" t="str">
        <f t="shared" si="30"/>
        <v>Individual Discretionary</v>
      </c>
      <c r="G351" s="19" t="str">
        <f t="shared" si="31"/>
        <v>Walk-Transit</v>
      </c>
      <c r="H351" s="19" t="str">
        <f t="shared" si="32"/>
        <v>Walk</v>
      </c>
    </row>
    <row r="352" spans="1:8" x14ac:dyDescent="0.2">
      <c r="A352" s="2" t="s">
        <v>97</v>
      </c>
      <c r="B352" s="2" t="s">
        <v>65</v>
      </c>
      <c r="C352" s="2">
        <v>9</v>
      </c>
      <c r="D352" s="2">
        <v>9</v>
      </c>
      <c r="E352" s="2">
        <v>0</v>
      </c>
      <c r="F352" s="19" t="str">
        <f t="shared" si="30"/>
        <v>Individual Discretionary</v>
      </c>
      <c r="G352" s="19" t="str">
        <f t="shared" si="31"/>
        <v>Walk-Transit</v>
      </c>
      <c r="H352" s="19" t="str">
        <f t="shared" si="32"/>
        <v>Walk-Local</v>
      </c>
    </row>
    <row r="353" spans="1:8" x14ac:dyDescent="0.2">
      <c r="A353" s="2" t="s">
        <v>97</v>
      </c>
      <c r="B353" s="2" t="s">
        <v>65</v>
      </c>
      <c r="C353" s="2">
        <v>9</v>
      </c>
      <c r="D353" s="2">
        <v>19</v>
      </c>
      <c r="E353" s="2">
        <v>0</v>
      </c>
      <c r="F353" s="19" t="str">
        <f t="shared" si="30"/>
        <v>Individual Discretionary</v>
      </c>
      <c r="G353" s="19" t="str">
        <f t="shared" si="31"/>
        <v>Walk-Transit</v>
      </c>
      <c r="H353" s="19" t="str">
        <f t="shared" si="32"/>
        <v>Taxi</v>
      </c>
    </row>
    <row r="354" spans="1:8" x14ac:dyDescent="0.2">
      <c r="A354" s="2" t="s">
        <v>97</v>
      </c>
      <c r="B354" s="2" t="s">
        <v>65</v>
      </c>
      <c r="C354" s="2">
        <v>9</v>
      </c>
      <c r="D354" s="2">
        <v>20</v>
      </c>
      <c r="E354" s="2">
        <v>0</v>
      </c>
      <c r="F354" s="19" t="str">
        <f t="shared" si="30"/>
        <v>Individual Discretionary</v>
      </c>
      <c r="G354" s="19" t="str">
        <f t="shared" si="31"/>
        <v>Walk-Transit</v>
      </c>
      <c r="H354" s="19" t="str">
        <f t="shared" si="32"/>
        <v>TNC-Single</v>
      </c>
    </row>
    <row r="355" spans="1:8" x14ac:dyDescent="0.2">
      <c r="A355" s="2" t="s">
        <v>97</v>
      </c>
      <c r="B355" s="2" t="s">
        <v>65</v>
      </c>
      <c r="C355" s="2">
        <v>9</v>
      </c>
      <c r="D355" s="2">
        <v>21</v>
      </c>
      <c r="E355" s="2">
        <v>0</v>
      </c>
      <c r="F355" s="19" t="str">
        <f t="shared" si="30"/>
        <v>Individual Discretionary</v>
      </c>
      <c r="G355" s="19" t="str">
        <f t="shared" si="31"/>
        <v>Walk-Transit</v>
      </c>
      <c r="H355" s="19" t="str">
        <f t="shared" si="32"/>
        <v>TNC-Shared</v>
      </c>
    </row>
    <row r="356" spans="1:8" x14ac:dyDescent="0.2">
      <c r="A356" s="2" t="s">
        <v>97</v>
      </c>
      <c r="B356" s="2" t="s">
        <v>65</v>
      </c>
      <c r="C356" s="2">
        <v>10</v>
      </c>
      <c r="D356" s="2">
        <v>-10</v>
      </c>
      <c r="E356" s="2">
        <v>0</v>
      </c>
      <c r="F356" s="19" t="str">
        <f t="shared" si="30"/>
        <v>Individual Discretionary</v>
      </c>
      <c r="G356" s="19" t="str">
        <f t="shared" si="31"/>
        <v>Walk-Transit</v>
      </c>
      <c r="H356" s="19" t="str">
        <f t="shared" si="32"/>
        <v>Walk-Ferry</v>
      </c>
    </row>
    <row r="357" spans="1:8" x14ac:dyDescent="0.2">
      <c r="A357" s="2" t="s">
        <v>97</v>
      </c>
      <c r="B357" s="2" t="s">
        <v>65</v>
      </c>
      <c r="C357" s="2">
        <v>10</v>
      </c>
      <c r="D357" s="2">
        <v>3</v>
      </c>
      <c r="E357" s="2">
        <v>0</v>
      </c>
      <c r="F357" s="19" t="str">
        <f t="shared" si="30"/>
        <v>Individual Discretionary</v>
      </c>
      <c r="G357" s="19" t="str">
        <f t="shared" si="31"/>
        <v>Walk-Transit</v>
      </c>
      <c r="H357" s="19" t="str">
        <f t="shared" si="32"/>
        <v>SR2</v>
      </c>
    </row>
    <row r="358" spans="1:8" x14ac:dyDescent="0.2">
      <c r="A358" s="2" t="s">
        <v>97</v>
      </c>
      <c r="B358" s="2" t="s">
        <v>65</v>
      </c>
      <c r="C358" s="2">
        <v>10</v>
      </c>
      <c r="D358" s="2">
        <v>5</v>
      </c>
      <c r="E358" s="2">
        <v>0</v>
      </c>
      <c r="F358" s="19" t="str">
        <f t="shared" si="30"/>
        <v>Individual Discretionary</v>
      </c>
      <c r="G358" s="19" t="str">
        <f t="shared" si="31"/>
        <v>Walk-Transit</v>
      </c>
      <c r="H358" s="19" t="str">
        <f t="shared" si="32"/>
        <v>SR3+</v>
      </c>
    </row>
    <row r="359" spans="1:8" x14ac:dyDescent="0.2">
      <c r="A359" s="2" t="s">
        <v>97</v>
      </c>
      <c r="B359" s="2" t="s">
        <v>65</v>
      </c>
      <c r="C359" s="2">
        <v>10</v>
      </c>
      <c r="D359" s="2">
        <v>7</v>
      </c>
      <c r="E359" s="2">
        <v>0</v>
      </c>
      <c r="F359" s="19" t="str">
        <f t="shared" si="30"/>
        <v>Individual Discretionary</v>
      </c>
      <c r="G359" s="19" t="str">
        <f t="shared" si="31"/>
        <v>Walk-Transit</v>
      </c>
      <c r="H359" s="19" t="str">
        <f t="shared" si="32"/>
        <v>Walk</v>
      </c>
    </row>
    <row r="360" spans="1:8" x14ac:dyDescent="0.2">
      <c r="A360" s="2" t="s">
        <v>97</v>
      </c>
      <c r="B360" s="2" t="s">
        <v>65</v>
      </c>
      <c r="C360" s="2">
        <v>10</v>
      </c>
      <c r="D360" s="2">
        <v>9</v>
      </c>
      <c r="E360" s="2">
        <v>0</v>
      </c>
      <c r="F360" s="19" t="str">
        <f t="shared" si="30"/>
        <v>Individual Discretionary</v>
      </c>
      <c r="G360" s="19" t="str">
        <f t="shared" si="31"/>
        <v>Walk-Transit</v>
      </c>
      <c r="H360" s="19" t="str">
        <f t="shared" si="32"/>
        <v>Walk-Local</v>
      </c>
    </row>
    <row r="361" spans="1:8" x14ac:dyDescent="0.2">
      <c r="A361" s="2" t="s">
        <v>97</v>
      </c>
      <c r="B361" s="2" t="s">
        <v>65</v>
      </c>
      <c r="C361" s="2">
        <v>10</v>
      </c>
      <c r="D361" s="2">
        <v>10</v>
      </c>
      <c r="E361" s="2">
        <v>0</v>
      </c>
      <c r="F361" s="19" t="str">
        <f t="shared" si="30"/>
        <v>Individual Discretionary</v>
      </c>
      <c r="G361" s="19" t="str">
        <f t="shared" si="31"/>
        <v>Walk-Transit</v>
      </c>
      <c r="H361" s="19" t="str">
        <f t="shared" si="32"/>
        <v>Walk-LRT</v>
      </c>
    </row>
    <row r="362" spans="1:8" x14ac:dyDescent="0.2">
      <c r="A362" s="2" t="s">
        <v>97</v>
      </c>
      <c r="B362" s="2" t="s">
        <v>65</v>
      </c>
      <c r="C362" s="2">
        <v>10</v>
      </c>
      <c r="D362" s="2">
        <v>19</v>
      </c>
      <c r="E362" s="2">
        <v>0</v>
      </c>
      <c r="F362" s="19" t="str">
        <f t="shared" si="30"/>
        <v>Individual Discretionary</v>
      </c>
      <c r="G362" s="19" t="str">
        <f t="shared" si="31"/>
        <v>Walk-Transit</v>
      </c>
      <c r="H362" s="19" t="str">
        <f t="shared" si="32"/>
        <v>Taxi</v>
      </c>
    </row>
    <row r="363" spans="1:8" x14ac:dyDescent="0.2">
      <c r="A363" s="2" t="s">
        <v>97</v>
      </c>
      <c r="B363" s="2" t="s">
        <v>65</v>
      </c>
      <c r="C363" s="2">
        <v>11</v>
      </c>
      <c r="D363" s="2">
        <v>-10</v>
      </c>
      <c r="E363" s="2">
        <v>0</v>
      </c>
      <c r="F363" s="19" t="str">
        <f t="shared" si="30"/>
        <v>Individual Discretionary</v>
      </c>
      <c r="G363" s="19" t="str">
        <f t="shared" si="31"/>
        <v>Walk-Transit</v>
      </c>
      <c r="H363" s="19" t="str">
        <f t="shared" si="32"/>
        <v>Walk-Ferry</v>
      </c>
    </row>
    <row r="364" spans="1:8" x14ac:dyDescent="0.2">
      <c r="A364" s="2" t="s">
        <v>97</v>
      </c>
      <c r="B364" s="2" t="s">
        <v>65</v>
      </c>
      <c r="C364" s="2">
        <v>11</v>
      </c>
      <c r="D364" s="2">
        <v>3</v>
      </c>
      <c r="E364" s="2">
        <v>0</v>
      </c>
      <c r="F364" s="19" t="str">
        <f t="shared" si="30"/>
        <v>Individual Discretionary</v>
      </c>
      <c r="G364" s="19" t="str">
        <f t="shared" si="31"/>
        <v>Walk-Transit</v>
      </c>
      <c r="H364" s="19" t="str">
        <f t="shared" si="32"/>
        <v>SR2</v>
      </c>
    </row>
    <row r="365" spans="1:8" x14ac:dyDescent="0.2">
      <c r="A365" s="2" t="s">
        <v>97</v>
      </c>
      <c r="B365" s="2" t="s">
        <v>65</v>
      </c>
      <c r="C365" s="2">
        <v>11</v>
      </c>
      <c r="D365" s="2">
        <v>5</v>
      </c>
      <c r="E365" s="2">
        <v>0</v>
      </c>
      <c r="F365" s="19" t="str">
        <f t="shared" si="30"/>
        <v>Individual Discretionary</v>
      </c>
      <c r="G365" s="19" t="str">
        <f t="shared" si="31"/>
        <v>Walk-Transit</v>
      </c>
      <c r="H365" s="19" t="str">
        <f t="shared" si="32"/>
        <v>SR3+</v>
      </c>
    </row>
    <row r="366" spans="1:8" x14ac:dyDescent="0.2">
      <c r="A366" s="2" t="s">
        <v>97</v>
      </c>
      <c r="B366" s="2" t="s">
        <v>65</v>
      </c>
      <c r="C366" s="2">
        <v>11</v>
      </c>
      <c r="D366" s="2">
        <v>7</v>
      </c>
      <c r="E366" s="2">
        <v>0</v>
      </c>
      <c r="F366" s="19" t="str">
        <f t="shared" si="30"/>
        <v>Individual Discretionary</v>
      </c>
      <c r="G366" s="19" t="str">
        <f t="shared" si="31"/>
        <v>Walk-Transit</v>
      </c>
      <c r="H366" s="19" t="str">
        <f t="shared" si="32"/>
        <v>Walk</v>
      </c>
    </row>
    <row r="367" spans="1:8" x14ac:dyDescent="0.2">
      <c r="A367" s="2" t="s">
        <v>97</v>
      </c>
      <c r="B367" s="2" t="s">
        <v>65</v>
      </c>
      <c r="C367" s="2">
        <v>11</v>
      </c>
      <c r="D367" s="2">
        <v>9</v>
      </c>
      <c r="E367" s="2">
        <v>0</v>
      </c>
      <c r="F367" s="19" t="str">
        <f t="shared" si="30"/>
        <v>Individual Discretionary</v>
      </c>
      <c r="G367" s="19" t="str">
        <f t="shared" si="31"/>
        <v>Walk-Transit</v>
      </c>
      <c r="H367" s="19" t="str">
        <f t="shared" si="32"/>
        <v>Walk-Local</v>
      </c>
    </row>
    <row r="368" spans="1:8" x14ac:dyDescent="0.2">
      <c r="A368" s="2" t="s">
        <v>97</v>
      </c>
      <c r="B368" s="2" t="s">
        <v>65</v>
      </c>
      <c r="C368" s="2">
        <v>11</v>
      </c>
      <c r="D368" s="2">
        <v>11</v>
      </c>
      <c r="E368" s="2">
        <v>0</v>
      </c>
      <c r="F368" s="19" t="str">
        <f t="shared" si="30"/>
        <v>Individual Discretionary</v>
      </c>
      <c r="G368" s="19" t="str">
        <f t="shared" si="31"/>
        <v>Walk-Transit</v>
      </c>
      <c r="H368" s="19" t="str">
        <f t="shared" si="32"/>
        <v>Walk-Express</v>
      </c>
    </row>
    <row r="369" spans="1:8" x14ac:dyDescent="0.2">
      <c r="A369" s="2" t="s">
        <v>97</v>
      </c>
      <c r="B369" s="2" t="s">
        <v>65</v>
      </c>
      <c r="C369" s="2">
        <v>12</v>
      </c>
      <c r="D369" s="2">
        <v>-10</v>
      </c>
      <c r="E369" s="2">
        <v>0</v>
      </c>
      <c r="F369" s="19" t="str">
        <f t="shared" si="30"/>
        <v>Individual Discretionary</v>
      </c>
      <c r="G369" s="19" t="str">
        <f t="shared" si="31"/>
        <v>Walk-Transit</v>
      </c>
      <c r="H369" s="19" t="str">
        <f t="shared" si="32"/>
        <v>Walk-Ferry</v>
      </c>
    </row>
    <row r="370" spans="1:8" x14ac:dyDescent="0.2">
      <c r="A370" s="2" t="s">
        <v>97</v>
      </c>
      <c r="B370" s="2" t="s">
        <v>65</v>
      </c>
      <c r="C370" s="2">
        <v>12</v>
      </c>
      <c r="D370" s="2">
        <v>3</v>
      </c>
      <c r="E370" s="2">
        <v>0</v>
      </c>
      <c r="F370" s="19" t="str">
        <f t="shared" si="30"/>
        <v>Individual Discretionary</v>
      </c>
      <c r="G370" s="19" t="str">
        <f t="shared" si="31"/>
        <v>Walk-Transit</v>
      </c>
      <c r="H370" s="19" t="str">
        <f t="shared" si="32"/>
        <v>SR2</v>
      </c>
    </row>
    <row r="371" spans="1:8" x14ac:dyDescent="0.2">
      <c r="A371" s="2" t="s">
        <v>97</v>
      </c>
      <c r="B371" s="2" t="s">
        <v>65</v>
      </c>
      <c r="C371" s="2">
        <v>12</v>
      </c>
      <c r="D371" s="2">
        <v>5</v>
      </c>
      <c r="E371" s="2">
        <v>0</v>
      </c>
      <c r="F371" s="19" t="str">
        <f t="shared" si="30"/>
        <v>Individual Discretionary</v>
      </c>
      <c r="G371" s="19" t="str">
        <f t="shared" si="31"/>
        <v>Walk-Transit</v>
      </c>
      <c r="H371" s="19" t="str">
        <f t="shared" si="32"/>
        <v>SR3+</v>
      </c>
    </row>
    <row r="372" spans="1:8" x14ac:dyDescent="0.2">
      <c r="A372" s="2" t="s">
        <v>97</v>
      </c>
      <c r="B372" s="2" t="s">
        <v>65</v>
      </c>
      <c r="C372" s="2">
        <v>12</v>
      </c>
      <c r="D372" s="2">
        <v>7</v>
      </c>
      <c r="E372" s="2">
        <v>0</v>
      </c>
      <c r="F372" s="19" t="str">
        <f t="shared" si="30"/>
        <v>Individual Discretionary</v>
      </c>
      <c r="G372" s="19" t="str">
        <f t="shared" si="31"/>
        <v>Walk-Transit</v>
      </c>
      <c r="H372" s="19" t="str">
        <f t="shared" si="32"/>
        <v>Walk</v>
      </c>
    </row>
    <row r="373" spans="1:8" x14ac:dyDescent="0.2">
      <c r="A373" s="2" t="s">
        <v>97</v>
      </c>
      <c r="B373" s="2" t="s">
        <v>65</v>
      </c>
      <c r="C373" s="2">
        <v>12</v>
      </c>
      <c r="D373" s="2">
        <v>9</v>
      </c>
      <c r="E373" s="2">
        <v>0</v>
      </c>
      <c r="F373" s="19" t="str">
        <f t="shared" si="30"/>
        <v>Individual Discretionary</v>
      </c>
      <c r="G373" s="19" t="str">
        <f t="shared" si="31"/>
        <v>Walk-Transit</v>
      </c>
      <c r="H373" s="19" t="str">
        <f t="shared" si="32"/>
        <v>Walk-Local</v>
      </c>
    </row>
    <row r="374" spans="1:8" x14ac:dyDescent="0.2">
      <c r="A374" s="2" t="s">
        <v>97</v>
      </c>
      <c r="B374" s="2" t="s">
        <v>65</v>
      </c>
      <c r="C374" s="2">
        <v>12</v>
      </c>
      <c r="D374" s="2">
        <v>10</v>
      </c>
      <c r="E374" s="2">
        <v>0</v>
      </c>
      <c r="F374" s="19" t="str">
        <f t="shared" si="30"/>
        <v>Individual Discretionary</v>
      </c>
      <c r="G374" s="19" t="str">
        <f t="shared" si="31"/>
        <v>Walk-Transit</v>
      </c>
      <c r="H374" s="19" t="str">
        <f t="shared" si="32"/>
        <v>Walk-LRT</v>
      </c>
    </row>
    <row r="375" spans="1:8" x14ac:dyDescent="0.2">
      <c r="A375" s="2" t="s">
        <v>97</v>
      </c>
      <c r="B375" s="2" t="s">
        <v>65</v>
      </c>
      <c r="C375" s="2">
        <v>12</v>
      </c>
      <c r="D375" s="2">
        <v>11</v>
      </c>
      <c r="E375" s="2">
        <v>0</v>
      </c>
      <c r="F375" s="19" t="str">
        <f t="shared" si="30"/>
        <v>Individual Discretionary</v>
      </c>
      <c r="G375" s="19" t="str">
        <f t="shared" si="31"/>
        <v>Walk-Transit</v>
      </c>
      <c r="H375" s="19" t="str">
        <f t="shared" si="32"/>
        <v>Walk-Express</v>
      </c>
    </row>
    <row r="376" spans="1:8" x14ac:dyDescent="0.2">
      <c r="A376" s="2" t="s">
        <v>97</v>
      </c>
      <c r="B376" s="2" t="s">
        <v>65</v>
      </c>
      <c r="C376" s="2">
        <v>12</v>
      </c>
      <c r="D376" s="2">
        <v>12</v>
      </c>
      <c r="E376" s="2">
        <v>0</v>
      </c>
      <c r="F376" s="19" t="str">
        <f t="shared" si="30"/>
        <v>Individual Discretionary</v>
      </c>
      <c r="G376" s="19" t="str">
        <f t="shared" si="31"/>
        <v>Walk-Transit</v>
      </c>
      <c r="H376" s="19" t="str">
        <f t="shared" si="32"/>
        <v>Walk-HeavyR</v>
      </c>
    </row>
    <row r="377" spans="1:8" x14ac:dyDescent="0.2">
      <c r="A377" s="2" t="s">
        <v>97</v>
      </c>
      <c r="B377" s="2" t="s">
        <v>65</v>
      </c>
      <c r="C377" s="2">
        <v>12</v>
      </c>
      <c r="D377" s="2">
        <v>19</v>
      </c>
      <c r="E377" s="2">
        <v>0</v>
      </c>
      <c r="F377" s="19" t="str">
        <f t="shared" si="30"/>
        <v>Individual Discretionary</v>
      </c>
      <c r="G377" s="19" t="str">
        <f t="shared" si="31"/>
        <v>Walk-Transit</v>
      </c>
      <c r="H377" s="19" t="str">
        <f t="shared" si="32"/>
        <v>Taxi</v>
      </c>
    </row>
    <row r="378" spans="1:8" x14ac:dyDescent="0.2">
      <c r="A378" s="2" t="s">
        <v>97</v>
      </c>
      <c r="B378" s="2" t="s">
        <v>65</v>
      </c>
      <c r="C378" s="2">
        <v>12</v>
      </c>
      <c r="D378" s="2">
        <v>21</v>
      </c>
      <c r="E378" s="2">
        <v>0</v>
      </c>
      <c r="F378" s="19" t="str">
        <f t="shared" si="30"/>
        <v>Individual Discretionary</v>
      </c>
      <c r="G378" s="19" t="str">
        <f t="shared" si="31"/>
        <v>Walk-Transit</v>
      </c>
      <c r="H378" s="19" t="str">
        <f t="shared" si="32"/>
        <v>TNC-Shared</v>
      </c>
    </row>
    <row r="379" spans="1:8" x14ac:dyDescent="0.2">
      <c r="A379" s="2" t="s">
        <v>97</v>
      </c>
      <c r="B379" s="2" t="s">
        <v>65</v>
      </c>
      <c r="C379" s="2">
        <v>13</v>
      </c>
      <c r="D379" s="2">
        <v>3</v>
      </c>
      <c r="E379" s="2">
        <v>0</v>
      </c>
      <c r="F379" s="19" t="str">
        <f t="shared" si="30"/>
        <v>Individual Discretionary</v>
      </c>
      <c r="G379" s="19" t="str">
        <f t="shared" si="31"/>
        <v>Walk-Transit</v>
      </c>
      <c r="H379" s="19" t="str">
        <f t="shared" si="32"/>
        <v>SR2</v>
      </c>
    </row>
    <row r="380" spans="1:8" x14ac:dyDescent="0.2">
      <c r="A380" s="2" t="s">
        <v>97</v>
      </c>
      <c r="B380" s="2" t="s">
        <v>65</v>
      </c>
      <c r="C380" s="2">
        <v>13</v>
      </c>
      <c r="D380" s="2">
        <v>5</v>
      </c>
      <c r="E380" s="2">
        <v>0</v>
      </c>
      <c r="F380" s="19" t="str">
        <f t="shared" si="30"/>
        <v>Individual Discretionary</v>
      </c>
      <c r="G380" s="19" t="str">
        <f t="shared" si="31"/>
        <v>Walk-Transit</v>
      </c>
      <c r="H380" s="19" t="str">
        <f t="shared" si="32"/>
        <v>SR3+</v>
      </c>
    </row>
    <row r="381" spans="1:8" x14ac:dyDescent="0.2">
      <c r="A381" s="2" t="s">
        <v>97</v>
      </c>
      <c r="B381" s="2" t="s">
        <v>65</v>
      </c>
      <c r="C381" s="2">
        <v>13</v>
      </c>
      <c r="D381" s="2">
        <v>7</v>
      </c>
      <c r="E381" s="2">
        <v>0</v>
      </c>
      <c r="F381" s="19" t="str">
        <f t="shared" si="30"/>
        <v>Individual Discretionary</v>
      </c>
      <c r="G381" s="19" t="str">
        <f t="shared" si="31"/>
        <v>Walk-Transit</v>
      </c>
      <c r="H381" s="19" t="str">
        <f t="shared" si="32"/>
        <v>Walk</v>
      </c>
    </row>
    <row r="382" spans="1:8" x14ac:dyDescent="0.2">
      <c r="A382" s="2" t="s">
        <v>97</v>
      </c>
      <c r="B382" s="2" t="s">
        <v>65</v>
      </c>
      <c r="C382" s="2">
        <v>13</v>
      </c>
      <c r="D382" s="2">
        <v>9</v>
      </c>
      <c r="E382" s="2">
        <v>0</v>
      </c>
      <c r="F382" s="19" t="str">
        <f t="shared" si="30"/>
        <v>Individual Discretionary</v>
      </c>
      <c r="G382" s="19" t="str">
        <f t="shared" si="31"/>
        <v>Walk-Transit</v>
      </c>
      <c r="H382" s="19" t="str">
        <f t="shared" si="32"/>
        <v>Walk-Local</v>
      </c>
    </row>
    <row r="383" spans="1:8" x14ac:dyDescent="0.2">
      <c r="A383" s="2" t="s">
        <v>97</v>
      </c>
      <c r="B383" s="2" t="s">
        <v>65</v>
      </c>
      <c r="C383" s="2">
        <v>13</v>
      </c>
      <c r="D383" s="2">
        <v>10</v>
      </c>
      <c r="E383" s="2">
        <v>0</v>
      </c>
      <c r="F383" s="19" t="str">
        <f t="shared" si="30"/>
        <v>Individual Discretionary</v>
      </c>
      <c r="G383" s="19" t="str">
        <f t="shared" si="31"/>
        <v>Walk-Transit</v>
      </c>
      <c r="H383" s="19" t="str">
        <f t="shared" si="32"/>
        <v>Walk-LRT</v>
      </c>
    </row>
    <row r="384" spans="1:8" x14ac:dyDescent="0.2">
      <c r="A384" s="2" t="s">
        <v>97</v>
      </c>
      <c r="B384" s="2" t="s">
        <v>65</v>
      </c>
      <c r="C384" s="2">
        <v>13</v>
      </c>
      <c r="D384" s="2">
        <v>11</v>
      </c>
      <c r="E384" s="2">
        <v>0</v>
      </c>
      <c r="F384" s="19" t="str">
        <f t="shared" si="30"/>
        <v>Individual Discretionary</v>
      </c>
      <c r="G384" s="19" t="str">
        <f t="shared" si="31"/>
        <v>Walk-Transit</v>
      </c>
      <c r="H384" s="19" t="str">
        <f t="shared" si="32"/>
        <v>Walk-Express</v>
      </c>
    </row>
    <row r="385" spans="1:8" x14ac:dyDescent="0.2">
      <c r="A385" s="2" t="s">
        <v>97</v>
      </c>
      <c r="B385" s="2" t="s">
        <v>65</v>
      </c>
      <c r="C385" s="2">
        <v>13</v>
      </c>
      <c r="D385" s="2">
        <v>12</v>
      </c>
      <c r="E385" s="2">
        <v>0</v>
      </c>
      <c r="F385" s="19" t="str">
        <f t="shared" si="30"/>
        <v>Individual Discretionary</v>
      </c>
      <c r="G385" s="19" t="str">
        <f t="shared" si="31"/>
        <v>Walk-Transit</v>
      </c>
      <c r="H385" s="19" t="str">
        <f t="shared" si="32"/>
        <v>Walk-HeavyR</v>
      </c>
    </row>
    <row r="386" spans="1:8" x14ac:dyDescent="0.2">
      <c r="A386" s="2" t="s">
        <v>97</v>
      </c>
      <c r="B386" s="2" t="s">
        <v>65</v>
      </c>
      <c r="C386" s="2">
        <v>13</v>
      </c>
      <c r="D386" s="2">
        <v>13</v>
      </c>
      <c r="E386" s="2">
        <v>0</v>
      </c>
      <c r="F386" s="19" t="str">
        <f t="shared" si="30"/>
        <v>Individual Discretionary</v>
      </c>
      <c r="G386" s="19" t="str">
        <f t="shared" si="31"/>
        <v>Walk-Transit</v>
      </c>
      <c r="H386" s="19" t="str">
        <f t="shared" si="32"/>
        <v>Walk-CommR</v>
      </c>
    </row>
    <row r="387" spans="1:8" x14ac:dyDescent="0.2">
      <c r="A387" s="2" t="s">
        <v>97</v>
      </c>
      <c r="B387" s="2" t="s">
        <v>65</v>
      </c>
      <c r="C387" s="2">
        <v>13</v>
      </c>
      <c r="D387" s="2">
        <v>19</v>
      </c>
      <c r="E387" s="2">
        <v>0</v>
      </c>
      <c r="F387" s="19" t="str">
        <f t="shared" ref="F387:F450" si="33">IF(A387="joint","Joint",_xlfn.IFNA(VLOOKUP(B387,tour_purposes,2,FALSE),"None"))</f>
        <v>Individual Discretionary</v>
      </c>
      <c r="G387" s="19" t="str">
        <f t="shared" ref="G387:G450" si="34">IF(AND(A387="joint",C387&lt;=6),"Auto",_xlfn.IFNA(VLOOKUP(C387,tour_modes,3,FALSE),"None"))</f>
        <v>Walk-Transit</v>
      </c>
      <c r="H387" s="19" t="str">
        <f t="shared" ref="H387:H450" si="35">_xlfn.IFNA(VLOOKUP(D387,trip_modes,2,FALSE),"None")</f>
        <v>Taxi</v>
      </c>
    </row>
    <row r="388" spans="1:8" x14ac:dyDescent="0.2">
      <c r="A388" s="2" t="s">
        <v>97</v>
      </c>
      <c r="B388" s="2" t="s">
        <v>65</v>
      </c>
      <c r="C388" s="2">
        <v>13</v>
      </c>
      <c r="D388" s="2">
        <v>20</v>
      </c>
      <c r="E388" s="2">
        <v>0</v>
      </c>
      <c r="F388" s="19" t="str">
        <f t="shared" si="33"/>
        <v>Individual Discretionary</v>
      </c>
      <c r="G388" s="19" t="str">
        <f t="shared" si="34"/>
        <v>Walk-Transit</v>
      </c>
      <c r="H388" s="19" t="str">
        <f t="shared" si="35"/>
        <v>TNC-Single</v>
      </c>
    </row>
    <row r="389" spans="1:8" x14ac:dyDescent="0.2">
      <c r="A389" s="2" t="s">
        <v>97</v>
      </c>
      <c r="B389" s="2" t="s">
        <v>65</v>
      </c>
      <c r="C389" s="2">
        <v>14</v>
      </c>
      <c r="D389" s="2">
        <v>14</v>
      </c>
      <c r="E389" s="2">
        <v>0</v>
      </c>
      <c r="F389" s="19" t="str">
        <f t="shared" si="33"/>
        <v>Individual Discretionary</v>
      </c>
      <c r="G389" s="19" t="str">
        <f t="shared" si="34"/>
        <v>Drive-Transit</v>
      </c>
      <c r="H389" s="19" t="str">
        <f t="shared" si="35"/>
        <v>Drive-Local</v>
      </c>
    </row>
    <row r="390" spans="1:8" x14ac:dyDescent="0.2">
      <c r="A390" s="2" t="s">
        <v>97</v>
      </c>
      <c r="B390" s="2" t="s">
        <v>65</v>
      </c>
      <c r="C390" s="2">
        <v>15</v>
      </c>
      <c r="D390" s="2">
        <v>-15</v>
      </c>
      <c r="E390" s="2">
        <v>0</v>
      </c>
      <c r="F390" s="19" t="str">
        <f t="shared" si="33"/>
        <v>Individual Discretionary</v>
      </c>
      <c r="G390" s="19" t="str">
        <f t="shared" si="34"/>
        <v>Drive-Transit</v>
      </c>
      <c r="H390" s="19" t="str">
        <f t="shared" si="35"/>
        <v>Drive-Ferry</v>
      </c>
    </row>
    <row r="391" spans="1:8" x14ac:dyDescent="0.2">
      <c r="A391" s="2" t="s">
        <v>97</v>
      </c>
      <c r="B391" s="2" t="s">
        <v>65</v>
      </c>
      <c r="C391" s="2">
        <v>15</v>
      </c>
      <c r="D391" s="2">
        <v>14</v>
      </c>
      <c r="E391" s="2">
        <v>0</v>
      </c>
      <c r="F391" s="19" t="str">
        <f t="shared" si="33"/>
        <v>Individual Discretionary</v>
      </c>
      <c r="G391" s="19" t="str">
        <f t="shared" si="34"/>
        <v>Drive-Transit</v>
      </c>
      <c r="H391" s="19" t="str">
        <f t="shared" si="35"/>
        <v>Drive-Local</v>
      </c>
    </row>
    <row r="392" spans="1:8" x14ac:dyDescent="0.2">
      <c r="A392" s="2" t="s">
        <v>97</v>
      </c>
      <c r="B392" s="2" t="s">
        <v>65</v>
      </c>
      <c r="C392" s="2">
        <v>15</v>
      </c>
      <c r="D392" s="2">
        <v>15</v>
      </c>
      <c r="E392" s="2">
        <v>0</v>
      </c>
      <c r="F392" s="19" t="str">
        <f t="shared" si="33"/>
        <v>Individual Discretionary</v>
      </c>
      <c r="G392" s="19" t="str">
        <f t="shared" si="34"/>
        <v>Drive-Transit</v>
      </c>
      <c r="H392" s="19" t="str">
        <f t="shared" si="35"/>
        <v>Drive-LRT</v>
      </c>
    </row>
    <row r="393" spans="1:8" x14ac:dyDescent="0.2">
      <c r="A393" s="2" t="s">
        <v>97</v>
      </c>
      <c r="B393" s="2" t="s">
        <v>65</v>
      </c>
      <c r="C393" s="2">
        <v>16</v>
      </c>
      <c r="D393" s="2">
        <v>-15</v>
      </c>
      <c r="E393" s="2">
        <v>0</v>
      </c>
      <c r="F393" s="19" t="str">
        <f t="shared" si="33"/>
        <v>Individual Discretionary</v>
      </c>
      <c r="G393" s="19" t="str">
        <f t="shared" si="34"/>
        <v>Drive-Transit</v>
      </c>
      <c r="H393" s="19" t="str">
        <f t="shared" si="35"/>
        <v>Drive-Ferry</v>
      </c>
    </row>
    <row r="394" spans="1:8" x14ac:dyDescent="0.2">
      <c r="A394" s="2" t="s">
        <v>97</v>
      </c>
      <c r="B394" s="2" t="s">
        <v>65</v>
      </c>
      <c r="C394" s="2">
        <v>16</v>
      </c>
      <c r="D394" s="2">
        <v>14</v>
      </c>
      <c r="E394" s="2">
        <v>0</v>
      </c>
      <c r="F394" s="19" t="str">
        <f t="shared" si="33"/>
        <v>Individual Discretionary</v>
      </c>
      <c r="G394" s="19" t="str">
        <f t="shared" si="34"/>
        <v>Drive-Transit</v>
      </c>
      <c r="H394" s="19" t="str">
        <f t="shared" si="35"/>
        <v>Drive-Local</v>
      </c>
    </row>
    <row r="395" spans="1:8" x14ac:dyDescent="0.2">
      <c r="A395" s="2" t="s">
        <v>97</v>
      </c>
      <c r="B395" s="2" t="s">
        <v>65</v>
      </c>
      <c r="C395" s="2">
        <v>16</v>
      </c>
      <c r="D395" s="2">
        <v>16</v>
      </c>
      <c r="E395" s="2">
        <v>0</v>
      </c>
      <c r="F395" s="19" t="str">
        <f t="shared" si="33"/>
        <v>Individual Discretionary</v>
      </c>
      <c r="G395" s="19" t="str">
        <f t="shared" si="34"/>
        <v>Drive-Transit</v>
      </c>
      <c r="H395" s="19" t="str">
        <f t="shared" si="35"/>
        <v>Drive-Express</v>
      </c>
    </row>
    <row r="396" spans="1:8" x14ac:dyDescent="0.2">
      <c r="A396" s="2" t="s">
        <v>97</v>
      </c>
      <c r="B396" s="2" t="s">
        <v>65</v>
      </c>
      <c r="C396" s="2">
        <v>17</v>
      </c>
      <c r="D396" s="2">
        <v>-15</v>
      </c>
      <c r="E396" s="2">
        <v>0</v>
      </c>
      <c r="F396" s="19" t="str">
        <f t="shared" si="33"/>
        <v>Individual Discretionary</v>
      </c>
      <c r="G396" s="19" t="str">
        <f t="shared" si="34"/>
        <v>Drive-Transit</v>
      </c>
      <c r="H396" s="19" t="str">
        <f t="shared" si="35"/>
        <v>Drive-Ferry</v>
      </c>
    </row>
    <row r="397" spans="1:8" x14ac:dyDescent="0.2">
      <c r="A397" s="2" t="s">
        <v>97</v>
      </c>
      <c r="B397" s="2" t="s">
        <v>65</v>
      </c>
      <c r="C397" s="2">
        <v>17</v>
      </c>
      <c r="D397" s="2">
        <v>14</v>
      </c>
      <c r="E397" s="2">
        <v>0</v>
      </c>
      <c r="F397" s="19" t="str">
        <f t="shared" si="33"/>
        <v>Individual Discretionary</v>
      </c>
      <c r="G397" s="19" t="str">
        <f t="shared" si="34"/>
        <v>Drive-Transit</v>
      </c>
      <c r="H397" s="19" t="str">
        <f t="shared" si="35"/>
        <v>Drive-Local</v>
      </c>
    </row>
    <row r="398" spans="1:8" x14ac:dyDescent="0.2">
      <c r="A398" s="2" t="s">
        <v>97</v>
      </c>
      <c r="B398" s="2" t="s">
        <v>65</v>
      </c>
      <c r="C398" s="2">
        <v>17</v>
      </c>
      <c r="D398" s="2">
        <v>15</v>
      </c>
      <c r="E398" s="2">
        <v>0</v>
      </c>
      <c r="F398" s="19" t="str">
        <f t="shared" si="33"/>
        <v>Individual Discretionary</v>
      </c>
      <c r="G398" s="19" t="str">
        <f t="shared" si="34"/>
        <v>Drive-Transit</v>
      </c>
      <c r="H398" s="19" t="str">
        <f t="shared" si="35"/>
        <v>Drive-LRT</v>
      </c>
    </row>
    <row r="399" spans="1:8" x14ac:dyDescent="0.2">
      <c r="A399" s="2" t="s">
        <v>97</v>
      </c>
      <c r="B399" s="2" t="s">
        <v>65</v>
      </c>
      <c r="C399" s="2">
        <v>17</v>
      </c>
      <c r="D399" s="2">
        <v>16</v>
      </c>
      <c r="E399" s="2">
        <v>0</v>
      </c>
      <c r="F399" s="19" t="str">
        <f t="shared" si="33"/>
        <v>Individual Discretionary</v>
      </c>
      <c r="G399" s="19" t="str">
        <f t="shared" si="34"/>
        <v>Drive-Transit</v>
      </c>
      <c r="H399" s="19" t="str">
        <f t="shared" si="35"/>
        <v>Drive-Express</v>
      </c>
    </row>
    <row r="400" spans="1:8" x14ac:dyDescent="0.2">
      <c r="A400" s="2" t="s">
        <v>97</v>
      </c>
      <c r="B400" s="2" t="s">
        <v>65</v>
      </c>
      <c r="C400" s="2">
        <v>17</v>
      </c>
      <c r="D400" s="2">
        <v>17</v>
      </c>
      <c r="E400" s="2">
        <v>0</v>
      </c>
      <c r="F400" s="19" t="str">
        <f t="shared" si="33"/>
        <v>Individual Discretionary</v>
      </c>
      <c r="G400" s="19" t="str">
        <f t="shared" si="34"/>
        <v>Drive-Transit</v>
      </c>
      <c r="H400" s="19" t="str">
        <f t="shared" si="35"/>
        <v>Drive-HeavyR</v>
      </c>
    </row>
    <row r="401" spans="1:8" x14ac:dyDescent="0.2">
      <c r="A401" s="2" t="s">
        <v>97</v>
      </c>
      <c r="B401" s="2" t="s">
        <v>65</v>
      </c>
      <c r="C401" s="2">
        <v>17</v>
      </c>
      <c r="D401" s="2">
        <v>19</v>
      </c>
      <c r="E401" s="2">
        <v>0</v>
      </c>
      <c r="F401" s="19" t="str">
        <f t="shared" si="33"/>
        <v>Individual Discretionary</v>
      </c>
      <c r="G401" s="19" t="str">
        <f t="shared" si="34"/>
        <v>Drive-Transit</v>
      </c>
      <c r="H401" s="19" t="str">
        <f t="shared" si="35"/>
        <v>Taxi</v>
      </c>
    </row>
    <row r="402" spans="1:8" x14ac:dyDescent="0.2">
      <c r="A402" s="2" t="s">
        <v>97</v>
      </c>
      <c r="B402" s="2" t="s">
        <v>65</v>
      </c>
      <c r="C402" s="2">
        <v>18</v>
      </c>
      <c r="D402" s="2">
        <v>-15</v>
      </c>
      <c r="E402" s="2">
        <v>0</v>
      </c>
      <c r="F402" s="19" t="str">
        <f t="shared" si="33"/>
        <v>Individual Discretionary</v>
      </c>
      <c r="G402" s="19" t="str">
        <f t="shared" si="34"/>
        <v>Drive-Transit</v>
      </c>
      <c r="H402" s="19" t="str">
        <f t="shared" si="35"/>
        <v>Drive-Ferry</v>
      </c>
    </row>
    <row r="403" spans="1:8" x14ac:dyDescent="0.2">
      <c r="A403" s="2" t="s">
        <v>97</v>
      </c>
      <c r="B403" s="2" t="s">
        <v>65</v>
      </c>
      <c r="C403" s="2">
        <v>18</v>
      </c>
      <c r="D403" s="2">
        <v>14</v>
      </c>
      <c r="E403" s="2">
        <v>0</v>
      </c>
      <c r="F403" s="19" t="str">
        <f t="shared" si="33"/>
        <v>Individual Discretionary</v>
      </c>
      <c r="G403" s="19" t="str">
        <f t="shared" si="34"/>
        <v>Drive-Transit</v>
      </c>
      <c r="H403" s="19" t="str">
        <f t="shared" si="35"/>
        <v>Drive-Local</v>
      </c>
    </row>
    <row r="404" spans="1:8" x14ac:dyDescent="0.2">
      <c r="A404" s="2" t="s">
        <v>97</v>
      </c>
      <c r="B404" s="2" t="s">
        <v>65</v>
      </c>
      <c r="C404" s="2">
        <v>18</v>
      </c>
      <c r="D404" s="2">
        <v>15</v>
      </c>
      <c r="E404" s="2">
        <v>0</v>
      </c>
      <c r="F404" s="19" t="str">
        <f t="shared" si="33"/>
        <v>Individual Discretionary</v>
      </c>
      <c r="G404" s="19" t="str">
        <f t="shared" si="34"/>
        <v>Drive-Transit</v>
      </c>
      <c r="H404" s="19" t="str">
        <f t="shared" si="35"/>
        <v>Drive-LRT</v>
      </c>
    </row>
    <row r="405" spans="1:8" x14ac:dyDescent="0.2">
      <c r="A405" s="2" t="s">
        <v>97</v>
      </c>
      <c r="B405" s="2" t="s">
        <v>65</v>
      </c>
      <c r="C405" s="2">
        <v>18</v>
      </c>
      <c r="D405" s="2">
        <v>16</v>
      </c>
      <c r="E405" s="2">
        <v>0</v>
      </c>
      <c r="F405" s="19" t="str">
        <f t="shared" si="33"/>
        <v>Individual Discretionary</v>
      </c>
      <c r="G405" s="19" t="str">
        <f t="shared" si="34"/>
        <v>Drive-Transit</v>
      </c>
      <c r="H405" s="19" t="str">
        <f t="shared" si="35"/>
        <v>Drive-Express</v>
      </c>
    </row>
    <row r="406" spans="1:8" x14ac:dyDescent="0.2">
      <c r="A406" s="2" t="s">
        <v>97</v>
      </c>
      <c r="B406" s="2" t="s">
        <v>65</v>
      </c>
      <c r="C406" s="2">
        <v>18</v>
      </c>
      <c r="D406" s="2">
        <v>17</v>
      </c>
      <c r="E406" s="2">
        <v>0</v>
      </c>
      <c r="F406" s="19" t="str">
        <f t="shared" si="33"/>
        <v>Individual Discretionary</v>
      </c>
      <c r="G406" s="19" t="str">
        <f t="shared" si="34"/>
        <v>Drive-Transit</v>
      </c>
      <c r="H406" s="19" t="str">
        <f t="shared" si="35"/>
        <v>Drive-HeavyR</v>
      </c>
    </row>
    <row r="407" spans="1:8" x14ac:dyDescent="0.2">
      <c r="A407" s="2" t="s">
        <v>97</v>
      </c>
      <c r="B407" s="2" t="s">
        <v>65</v>
      </c>
      <c r="C407" s="2">
        <v>18</v>
      </c>
      <c r="D407" s="2">
        <v>18</v>
      </c>
      <c r="E407" s="2">
        <v>0</v>
      </c>
      <c r="F407" s="19" t="str">
        <f t="shared" si="33"/>
        <v>Individual Discretionary</v>
      </c>
      <c r="G407" s="19" t="str">
        <f t="shared" si="34"/>
        <v>Drive-Transit</v>
      </c>
      <c r="H407" s="19" t="str">
        <f t="shared" si="35"/>
        <v>Drive-CommR</v>
      </c>
    </row>
    <row r="408" spans="1:8" x14ac:dyDescent="0.2">
      <c r="A408" s="2" t="s">
        <v>97</v>
      </c>
      <c r="B408" s="2" t="s">
        <v>65</v>
      </c>
      <c r="C408" s="2">
        <v>19</v>
      </c>
      <c r="D408" s="2">
        <v>3</v>
      </c>
      <c r="E408" s="2">
        <v>0</v>
      </c>
      <c r="F408" s="19" t="str">
        <f t="shared" si="33"/>
        <v>Individual Discretionary</v>
      </c>
      <c r="G408" s="19" t="str">
        <f t="shared" si="34"/>
        <v>Taxi</v>
      </c>
      <c r="H408" s="19" t="str">
        <f t="shared" si="35"/>
        <v>SR2</v>
      </c>
    </row>
    <row r="409" spans="1:8" x14ac:dyDescent="0.2">
      <c r="A409" s="2" t="s">
        <v>97</v>
      </c>
      <c r="B409" s="2" t="s">
        <v>65</v>
      </c>
      <c r="C409" s="2">
        <v>19</v>
      </c>
      <c r="D409" s="2">
        <v>5</v>
      </c>
      <c r="E409" s="2">
        <v>0</v>
      </c>
      <c r="F409" s="19" t="str">
        <f t="shared" si="33"/>
        <v>Individual Discretionary</v>
      </c>
      <c r="G409" s="19" t="str">
        <f t="shared" si="34"/>
        <v>Taxi</v>
      </c>
      <c r="H409" s="19" t="str">
        <f t="shared" si="35"/>
        <v>SR3+</v>
      </c>
    </row>
    <row r="410" spans="1:8" x14ac:dyDescent="0.2">
      <c r="A410" s="2" t="s">
        <v>97</v>
      </c>
      <c r="B410" s="2" t="s">
        <v>65</v>
      </c>
      <c r="C410" s="2">
        <v>19</v>
      </c>
      <c r="D410" s="2">
        <v>7</v>
      </c>
      <c r="E410" s="2">
        <v>0</v>
      </c>
      <c r="F410" s="19" t="str">
        <f t="shared" si="33"/>
        <v>Individual Discretionary</v>
      </c>
      <c r="G410" s="19" t="str">
        <f t="shared" si="34"/>
        <v>Taxi</v>
      </c>
      <c r="H410" s="19" t="str">
        <f t="shared" si="35"/>
        <v>Walk</v>
      </c>
    </row>
    <row r="411" spans="1:8" x14ac:dyDescent="0.2">
      <c r="A411" s="2" t="s">
        <v>97</v>
      </c>
      <c r="B411" s="2" t="s">
        <v>65</v>
      </c>
      <c r="C411" s="2">
        <v>19</v>
      </c>
      <c r="D411" s="2">
        <v>9</v>
      </c>
      <c r="E411" s="2">
        <v>0</v>
      </c>
      <c r="F411" s="19" t="str">
        <f t="shared" si="33"/>
        <v>Individual Discretionary</v>
      </c>
      <c r="G411" s="19" t="str">
        <f t="shared" si="34"/>
        <v>Taxi</v>
      </c>
      <c r="H411" s="19" t="str">
        <f t="shared" si="35"/>
        <v>Walk-Local</v>
      </c>
    </row>
    <row r="412" spans="1:8" x14ac:dyDescent="0.2">
      <c r="A412" s="2" t="s">
        <v>97</v>
      </c>
      <c r="B412" s="2" t="s">
        <v>65</v>
      </c>
      <c r="C412" s="2">
        <v>19</v>
      </c>
      <c r="D412" s="2">
        <v>19</v>
      </c>
      <c r="E412" s="2">
        <v>0</v>
      </c>
      <c r="F412" s="19" t="str">
        <f t="shared" si="33"/>
        <v>Individual Discretionary</v>
      </c>
      <c r="G412" s="19" t="str">
        <f t="shared" si="34"/>
        <v>Taxi</v>
      </c>
      <c r="H412" s="19" t="str">
        <f t="shared" si="35"/>
        <v>Taxi</v>
      </c>
    </row>
    <row r="413" spans="1:8" x14ac:dyDescent="0.2">
      <c r="A413" s="2" t="s">
        <v>97</v>
      </c>
      <c r="B413" s="2" t="s">
        <v>65</v>
      </c>
      <c r="C413" s="2">
        <v>19</v>
      </c>
      <c r="D413" s="2">
        <v>20</v>
      </c>
      <c r="E413" s="2">
        <v>0</v>
      </c>
      <c r="F413" s="19" t="str">
        <f t="shared" si="33"/>
        <v>Individual Discretionary</v>
      </c>
      <c r="G413" s="19" t="str">
        <f t="shared" si="34"/>
        <v>Taxi</v>
      </c>
      <c r="H413" s="19" t="str">
        <f t="shared" si="35"/>
        <v>TNC-Single</v>
      </c>
    </row>
    <row r="414" spans="1:8" x14ac:dyDescent="0.2">
      <c r="A414" s="2" t="s">
        <v>97</v>
      </c>
      <c r="B414" s="2" t="s">
        <v>65</v>
      </c>
      <c r="C414" s="2">
        <v>19</v>
      </c>
      <c r="D414" s="2">
        <v>21</v>
      </c>
      <c r="E414" s="2">
        <v>0</v>
      </c>
      <c r="F414" s="19" t="str">
        <f t="shared" si="33"/>
        <v>Individual Discretionary</v>
      </c>
      <c r="G414" s="19" t="str">
        <f t="shared" si="34"/>
        <v>Taxi</v>
      </c>
      <c r="H414" s="19" t="str">
        <f t="shared" si="35"/>
        <v>TNC-Shared</v>
      </c>
    </row>
    <row r="415" spans="1:8" x14ac:dyDescent="0.2">
      <c r="A415" s="2" t="s">
        <v>97</v>
      </c>
      <c r="B415" s="2" t="s">
        <v>66</v>
      </c>
      <c r="C415" s="2">
        <v>1</v>
      </c>
      <c r="D415" s="2">
        <v>1</v>
      </c>
      <c r="E415" s="2">
        <v>0</v>
      </c>
      <c r="F415" s="19" t="str">
        <f t="shared" si="33"/>
        <v>Individual Maintenance</v>
      </c>
      <c r="G415" s="19" t="str">
        <f t="shared" si="34"/>
        <v>Drive Alone</v>
      </c>
      <c r="H415" s="19" t="str">
        <f t="shared" si="35"/>
        <v>Drive Alone</v>
      </c>
    </row>
    <row r="416" spans="1:8" x14ac:dyDescent="0.2">
      <c r="A416" s="2" t="s">
        <v>97</v>
      </c>
      <c r="B416" s="2" t="s">
        <v>66</v>
      </c>
      <c r="C416" s="2">
        <v>1</v>
      </c>
      <c r="D416" s="2">
        <v>7</v>
      </c>
      <c r="E416" s="2">
        <v>0</v>
      </c>
      <c r="F416" s="19" t="str">
        <f t="shared" si="33"/>
        <v>Individual Maintenance</v>
      </c>
      <c r="G416" s="19" t="str">
        <f t="shared" si="34"/>
        <v>Drive Alone</v>
      </c>
      <c r="H416" s="19" t="str">
        <f t="shared" si="35"/>
        <v>Walk</v>
      </c>
    </row>
    <row r="417" spans="1:8" x14ac:dyDescent="0.2">
      <c r="A417" s="2" t="s">
        <v>97</v>
      </c>
      <c r="B417" s="2" t="s">
        <v>66</v>
      </c>
      <c r="C417" s="2">
        <v>1</v>
      </c>
      <c r="D417" s="2">
        <v>19</v>
      </c>
      <c r="E417" s="2">
        <v>0</v>
      </c>
      <c r="F417" s="19" t="str">
        <f t="shared" si="33"/>
        <v>Individual Maintenance</v>
      </c>
      <c r="G417" s="19" t="str">
        <f t="shared" si="34"/>
        <v>Drive Alone</v>
      </c>
      <c r="H417" s="19" t="str">
        <f t="shared" si="35"/>
        <v>Taxi</v>
      </c>
    </row>
    <row r="418" spans="1:8" x14ac:dyDescent="0.2">
      <c r="A418" s="2" t="s">
        <v>97</v>
      </c>
      <c r="B418" s="2" t="s">
        <v>66</v>
      </c>
      <c r="C418" s="2">
        <v>3</v>
      </c>
      <c r="D418" s="2">
        <v>1</v>
      </c>
      <c r="E418" s="2">
        <v>0</v>
      </c>
      <c r="F418" s="19" t="str">
        <f t="shared" si="33"/>
        <v>Individual Maintenance</v>
      </c>
      <c r="G418" s="19" t="str">
        <f t="shared" si="34"/>
        <v>SR2</v>
      </c>
      <c r="H418" s="19" t="str">
        <f t="shared" si="35"/>
        <v>Drive Alone</v>
      </c>
    </row>
    <row r="419" spans="1:8" x14ac:dyDescent="0.2">
      <c r="A419" s="2" t="s">
        <v>97</v>
      </c>
      <c r="B419" s="2" t="s">
        <v>66</v>
      </c>
      <c r="C419" s="2">
        <v>3</v>
      </c>
      <c r="D419" s="2">
        <v>3</v>
      </c>
      <c r="E419" s="2">
        <v>0</v>
      </c>
      <c r="F419" s="19" t="str">
        <f t="shared" si="33"/>
        <v>Individual Maintenance</v>
      </c>
      <c r="G419" s="19" t="str">
        <f t="shared" si="34"/>
        <v>SR2</v>
      </c>
      <c r="H419" s="19" t="str">
        <f t="shared" si="35"/>
        <v>SR2</v>
      </c>
    </row>
    <row r="420" spans="1:8" x14ac:dyDescent="0.2">
      <c r="A420" s="2" t="s">
        <v>97</v>
      </c>
      <c r="B420" s="2" t="s">
        <v>66</v>
      </c>
      <c r="C420" s="2">
        <v>3</v>
      </c>
      <c r="D420" s="2">
        <v>7</v>
      </c>
      <c r="E420" s="2">
        <v>0</v>
      </c>
      <c r="F420" s="19" t="str">
        <f t="shared" si="33"/>
        <v>Individual Maintenance</v>
      </c>
      <c r="G420" s="19" t="str">
        <f t="shared" si="34"/>
        <v>SR2</v>
      </c>
      <c r="H420" s="19" t="str">
        <f t="shared" si="35"/>
        <v>Walk</v>
      </c>
    </row>
    <row r="421" spans="1:8" x14ac:dyDescent="0.2">
      <c r="A421" s="2" t="s">
        <v>97</v>
      </c>
      <c r="B421" s="2" t="s">
        <v>66</v>
      </c>
      <c r="C421" s="2">
        <v>3</v>
      </c>
      <c r="D421" s="2">
        <v>19</v>
      </c>
      <c r="E421" s="2">
        <v>0</v>
      </c>
      <c r="F421" s="19" t="str">
        <f t="shared" si="33"/>
        <v>Individual Maintenance</v>
      </c>
      <c r="G421" s="19" t="str">
        <f t="shared" si="34"/>
        <v>SR2</v>
      </c>
      <c r="H421" s="19" t="str">
        <f t="shared" si="35"/>
        <v>Taxi</v>
      </c>
    </row>
    <row r="422" spans="1:8" x14ac:dyDescent="0.2">
      <c r="A422" s="2" t="s">
        <v>97</v>
      </c>
      <c r="B422" s="2" t="s">
        <v>66</v>
      </c>
      <c r="C422" s="2">
        <v>5</v>
      </c>
      <c r="D422" s="2">
        <v>1</v>
      </c>
      <c r="E422" s="2">
        <v>0</v>
      </c>
      <c r="F422" s="19" t="str">
        <f t="shared" si="33"/>
        <v>Individual Maintenance</v>
      </c>
      <c r="G422" s="19" t="str">
        <f t="shared" si="34"/>
        <v>SR3+</v>
      </c>
      <c r="H422" s="19" t="str">
        <f t="shared" si="35"/>
        <v>Drive Alone</v>
      </c>
    </row>
    <row r="423" spans="1:8" x14ac:dyDescent="0.2">
      <c r="A423" s="2" t="s">
        <v>97</v>
      </c>
      <c r="B423" s="2" t="s">
        <v>66</v>
      </c>
      <c r="C423" s="2">
        <v>5</v>
      </c>
      <c r="D423" s="2">
        <v>3</v>
      </c>
      <c r="E423" s="2">
        <v>0</v>
      </c>
      <c r="F423" s="19" t="str">
        <f t="shared" si="33"/>
        <v>Individual Maintenance</v>
      </c>
      <c r="G423" s="19" t="str">
        <f t="shared" si="34"/>
        <v>SR3+</v>
      </c>
      <c r="H423" s="19" t="str">
        <f t="shared" si="35"/>
        <v>SR2</v>
      </c>
    </row>
    <row r="424" spans="1:8" x14ac:dyDescent="0.2">
      <c r="A424" s="2" t="s">
        <v>97</v>
      </c>
      <c r="B424" s="2" t="s">
        <v>66</v>
      </c>
      <c r="C424" s="2">
        <v>5</v>
      </c>
      <c r="D424" s="2">
        <v>5</v>
      </c>
      <c r="E424" s="2">
        <v>0</v>
      </c>
      <c r="F424" s="19" t="str">
        <f t="shared" si="33"/>
        <v>Individual Maintenance</v>
      </c>
      <c r="G424" s="19" t="str">
        <f t="shared" si="34"/>
        <v>SR3+</v>
      </c>
      <c r="H424" s="19" t="str">
        <f t="shared" si="35"/>
        <v>SR3+</v>
      </c>
    </row>
    <row r="425" spans="1:8" x14ac:dyDescent="0.2">
      <c r="A425" s="2" t="s">
        <v>97</v>
      </c>
      <c r="B425" s="2" t="s">
        <v>66</v>
      </c>
      <c r="C425" s="2">
        <v>5</v>
      </c>
      <c r="D425" s="2">
        <v>7</v>
      </c>
      <c r="E425" s="2">
        <v>0</v>
      </c>
      <c r="F425" s="19" t="str">
        <f t="shared" si="33"/>
        <v>Individual Maintenance</v>
      </c>
      <c r="G425" s="19" t="str">
        <f t="shared" si="34"/>
        <v>SR3+</v>
      </c>
      <c r="H425" s="19" t="str">
        <f t="shared" si="35"/>
        <v>Walk</v>
      </c>
    </row>
    <row r="426" spans="1:8" x14ac:dyDescent="0.2">
      <c r="A426" s="2" t="s">
        <v>97</v>
      </c>
      <c r="B426" s="2" t="s">
        <v>66</v>
      </c>
      <c r="C426" s="2">
        <v>7</v>
      </c>
      <c r="D426" s="2">
        <v>7</v>
      </c>
      <c r="E426" s="2">
        <v>0</v>
      </c>
      <c r="F426" s="19" t="str">
        <f t="shared" si="33"/>
        <v>Individual Maintenance</v>
      </c>
      <c r="G426" s="19" t="str">
        <f t="shared" si="34"/>
        <v>Walk</v>
      </c>
      <c r="H426" s="19" t="str">
        <f t="shared" si="35"/>
        <v>Walk</v>
      </c>
    </row>
    <row r="427" spans="1:8" x14ac:dyDescent="0.2">
      <c r="A427" s="2" t="s">
        <v>97</v>
      </c>
      <c r="B427" s="2" t="s">
        <v>66</v>
      </c>
      <c r="C427" s="2">
        <v>7</v>
      </c>
      <c r="D427" s="2">
        <v>19</v>
      </c>
      <c r="E427" s="2">
        <v>0</v>
      </c>
      <c r="F427" s="19" t="str">
        <f t="shared" si="33"/>
        <v>Individual Maintenance</v>
      </c>
      <c r="G427" s="19" t="str">
        <f t="shared" si="34"/>
        <v>Walk</v>
      </c>
      <c r="H427" s="19" t="str">
        <f t="shared" si="35"/>
        <v>Taxi</v>
      </c>
    </row>
    <row r="428" spans="1:8" x14ac:dyDescent="0.2">
      <c r="A428" s="2" t="s">
        <v>97</v>
      </c>
      <c r="B428" s="2" t="s">
        <v>66</v>
      </c>
      <c r="C428" s="2">
        <v>8</v>
      </c>
      <c r="D428" s="2">
        <v>7</v>
      </c>
      <c r="E428" s="2">
        <v>0</v>
      </c>
      <c r="F428" s="19" t="str">
        <f t="shared" si="33"/>
        <v>Individual Maintenance</v>
      </c>
      <c r="G428" s="19" t="str">
        <f t="shared" si="34"/>
        <v>Bike</v>
      </c>
      <c r="H428" s="19" t="str">
        <f t="shared" si="35"/>
        <v>Walk</v>
      </c>
    </row>
    <row r="429" spans="1:8" x14ac:dyDescent="0.2">
      <c r="A429" s="2" t="s">
        <v>97</v>
      </c>
      <c r="B429" s="2" t="s">
        <v>66</v>
      </c>
      <c r="C429" s="2">
        <v>8</v>
      </c>
      <c r="D429" s="2">
        <v>8</v>
      </c>
      <c r="E429" s="2">
        <v>0</v>
      </c>
      <c r="F429" s="19" t="str">
        <f t="shared" si="33"/>
        <v>Individual Maintenance</v>
      </c>
      <c r="G429" s="19" t="str">
        <f t="shared" si="34"/>
        <v>Bike</v>
      </c>
      <c r="H429" s="19" t="str">
        <f t="shared" si="35"/>
        <v>Bike</v>
      </c>
    </row>
    <row r="430" spans="1:8" x14ac:dyDescent="0.2">
      <c r="A430" s="2" t="s">
        <v>97</v>
      </c>
      <c r="B430" s="2" t="s">
        <v>66</v>
      </c>
      <c r="C430" s="2">
        <v>8</v>
      </c>
      <c r="D430" s="2">
        <v>19</v>
      </c>
      <c r="E430" s="2">
        <v>0</v>
      </c>
      <c r="F430" s="19" t="str">
        <f t="shared" si="33"/>
        <v>Individual Maintenance</v>
      </c>
      <c r="G430" s="19" t="str">
        <f t="shared" si="34"/>
        <v>Bike</v>
      </c>
      <c r="H430" s="19" t="str">
        <f t="shared" si="35"/>
        <v>Taxi</v>
      </c>
    </row>
    <row r="431" spans="1:8" x14ac:dyDescent="0.2">
      <c r="A431" s="2" t="s">
        <v>97</v>
      </c>
      <c r="B431" s="2" t="s">
        <v>66</v>
      </c>
      <c r="C431" s="2">
        <v>9</v>
      </c>
      <c r="D431" s="2">
        <v>3</v>
      </c>
      <c r="E431" s="2">
        <v>0</v>
      </c>
      <c r="F431" s="19" t="str">
        <f t="shared" si="33"/>
        <v>Individual Maintenance</v>
      </c>
      <c r="G431" s="19" t="str">
        <f t="shared" si="34"/>
        <v>Walk-Transit</v>
      </c>
      <c r="H431" s="19" t="str">
        <f t="shared" si="35"/>
        <v>SR2</v>
      </c>
    </row>
    <row r="432" spans="1:8" x14ac:dyDescent="0.2">
      <c r="A432" s="2" t="s">
        <v>97</v>
      </c>
      <c r="B432" s="2" t="s">
        <v>66</v>
      </c>
      <c r="C432" s="2">
        <v>9</v>
      </c>
      <c r="D432" s="2">
        <v>5</v>
      </c>
      <c r="E432" s="2">
        <v>0</v>
      </c>
      <c r="F432" s="19" t="str">
        <f t="shared" si="33"/>
        <v>Individual Maintenance</v>
      </c>
      <c r="G432" s="19" t="str">
        <f t="shared" si="34"/>
        <v>Walk-Transit</v>
      </c>
      <c r="H432" s="19" t="str">
        <f t="shared" si="35"/>
        <v>SR3+</v>
      </c>
    </row>
    <row r="433" spans="1:8" x14ac:dyDescent="0.2">
      <c r="A433" s="2" t="s">
        <v>97</v>
      </c>
      <c r="B433" s="2" t="s">
        <v>66</v>
      </c>
      <c r="C433" s="2">
        <v>9</v>
      </c>
      <c r="D433" s="2">
        <v>7</v>
      </c>
      <c r="E433" s="2">
        <v>0</v>
      </c>
      <c r="F433" s="19" t="str">
        <f t="shared" si="33"/>
        <v>Individual Maintenance</v>
      </c>
      <c r="G433" s="19" t="str">
        <f t="shared" si="34"/>
        <v>Walk-Transit</v>
      </c>
      <c r="H433" s="19" t="str">
        <f t="shared" si="35"/>
        <v>Walk</v>
      </c>
    </row>
    <row r="434" spans="1:8" x14ac:dyDescent="0.2">
      <c r="A434" s="2" t="s">
        <v>97</v>
      </c>
      <c r="B434" s="2" t="s">
        <v>66</v>
      </c>
      <c r="C434" s="2">
        <v>9</v>
      </c>
      <c r="D434" s="2">
        <v>9</v>
      </c>
      <c r="E434" s="2">
        <v>0</v>
      </c>
      <c r="F434" s="19" t="str">
        <f t="shared" si="33"/>
        <v>Individual Maintenance</v>
      </c>
      <c r="G434" s="19" t="str">
        <f t="shared" si="34"/>
        <v>Walk-Transit</v>
      </c>
      <c r="H434" s="19" t="str">
        <f t="shared" si="35"/>
        <v>Walk-Local</v>
      </c>
    </row>
    <row r="435" spans="1:8" x14ac:dyDescent="0.2">
      <c r="A435" s="2" t="s">
        <v>97</v>
      </c>
      <c r="B435" s="2" t="s">
        <v>66</v>
      </c>
      <c r="C435" s="2">
        <v>9</v>
      </c>
      <c r="D435" s="2">
        <v>19</v>
      </c>
      <c r="E435" s="2">
        <v>0</v>
      </c>
      <c r="F435" s="19" t="str">
        <f t="shared" si="33"/>
        <v>Individual Maintenance</v>
      </c>
      <c r="G435" s="19" t="str">
        <f t="shared" si="34"/>
        <v>Walk-Transit</v>
      </c>
      <c r="H435" s="19" t="str">
        <f t="shared" si="35"/>
        <v>Taxi</v>
      </c>
    </row>
    <row r="436" spans="1:8" x14ac:dyDescent="0.2">
      <c r="A436" s="2" t="s">
        <v>97</v>
      </c>
      <c r="B436" s="2" t="s">
        <v>66</v>
      </c>
      <c r="C436" s="2">
        <v>9</v>
      </c>
      <c r="D436" s="2">
        <v>20</v>
      </c>
      <c r="E436" s="2">
        <v>0</v>
      </c>
      <c r="F436" s="19" t="str">
        <f t="shared" si="33"/>
        <v>Individual Maintenance</v>
      </c>
      <c r="G436" s="19" t="str">
        <f t="shared" si="34"/>
        <v>Walk-Transit</v>
      </c>
      <c r="H436" s="19" t="str">
        <f t="shared" si="35"/>
        <v>TNC-Single</v>
      </c>
    </row>
    <row r="437" spans="1:8" x14ac:dyDescent="0.2">
      <c r="A437" s="2" t="s">
        <v>97</v>
      </c>
      <c r="B437" s="2" t="s">
        <v>66</v>
      </c>
      <c r="C437" s="2">
        <v>9</v>
      </c>
      <c r="D437" s="2">
        <v>21</v>
      </c>
      <c r="E437" s="2">
        <v>0</v>
      </c>
      <c r="F437" s="19" t="str">
        <f t="shared" si="33"/>
        <v>Individual Maintenance</v>
      </c>
      <c r="G437" s="19" t="str">
        <f t="shared" si="34"/>
        <v>Walk-Transit</v>
      </c>
      <c r="H437" s="19" t="str">
        <f t="shared" si="35"/>
        <v>TNC-Shared</v>
      </c>
    </row>
    <row r="438" spans="1:8" x14ac:dyDescent="0.2">
      <c r="A438" s="2" t="s">
        <v>97</v>
      </c>
      <c r="B438" s="2" t="s">
        <v>66</v>
      </c>
      <c r="C438" s="2">
        <v>10</v>
      </c>
      <c r="D438" s="2">
        <v>3</v>
      </c>
      <c r="E438" s="2">
        <v>0</v>
      </c>
      <c r="F438" s="19" t="str">
        <f t="shared" si="33"/>
        <v>Individual Maintenance</v>
      </c>
      <c r="G438" s="19" t="str">
        <f t="shared" si="34"/>
        <v>Walk-Transit</v>
      </c>
      <c r="H438" s="19" t="str">
        <f t="shared" si="35"/>
        <v>SR2</v>
      </c>
    </row>
    <row r="439" spans="1:8" x14ac:dyDescent="0.2">
      <c r="A439" s="2" t="s">
        <v>97</v>
      </c>
      <c r="B439" s="2" t="s">
        <v>66</v>
      </c>
      <c r="C439" s="2">
        <v>10</v>
      </c>
      <c r="D439" s="2">
        <v>5</v>
      </c>
      <c r="E439" s="2">
        <v>0</v>
      </c>
      <c r="F439" s="19" t="str">
        <f t="shared" si="33"/>
        <v>Individual Maintenance</v>
      </c>
      <c r="G439" s="19" t="str">
        <f t="shared" si="34"/>
        <v>Walk-Transit</v>
      </c>
      <c r="H439" s="19" t="str">
        <f t="shared" si="35"/>
        <v>SR3+</v>
      </c>
    </row>
    <row r="440" spans="1:8" x14ac:dyDescent="0.2">
      <c r="A440" s="2" t="s">
        <v>97</v>
      </c>
      <c r="B440" s="2" t="s">
        <v>66</v>
      </c>
      <c r="C440" s="2">
        <v>10</v>
      </c>
      <c r="D440" s="2">
        <v>7</v>
      </c>
      <c r="E440" s="2">
        <v>0</v>
      </c>
      <c r="F440" s="19" t="str">
        <f t="shared" si="33"/>
        <v>Individual Maintenance</v>
      </c>
      <c r="G440" s="19" t="str">
        <f t="shared" si="34"/>
        <v>Walk-Transit</v>
      </c>
      <c r="H440" s="19" t="str">
        <f t="shared" si="35"/>
        <v>Walk</v>
      </c>
    </row>
    <row r="441" spans="1:8" x14ac:dyDescent="0.2">
      <c r="A441" s="2" t="s">
        <v>97</v>
      </c>
      <c r="B441" s="2" t="s">
        <v>66</v>
      </c>
      <c r="C441" s="2">
        <v>10</v>
      </c>
      <c r="D441" s="2">
        <v>9</v>
      </c>
      <c r="E441" s="2">
        <v>0</v>
      </c>
      <c r="F441" s="19" t="str">
        <f t="shared" si="33"/>
        <v>Individual Maintenance</v>
      </c>
      <c r="G441" s="19" t="str">
        <f t="shared" si="34"/>
        <v>Walk-Transit</v>
      </c>
      <c r="H441" s="19" t="str">
        <f t="shared" si="35"/>
        <v>Walk-Local</v>
      </c>
    </row>
    <row r="442" spans="1:8" x14ac:dyDescent="0.2">
      <c r="A442" s="2" t="s">
        <v>97</v>
      </c>
      <c r="B442" s="2" t="s">
        <v>66</v>
      </c>
      <c r="C442" s="2">
        <v>10</v>
      </c>
      <c r="D442" s="2">
        <v>10</v>
      </c>
      <c r="E442" s="2">
        <v>0</v>
      </c>
      <c r="F442" s="19" t="str">
        <f t="shared" si="33"/>
        <v>Individual Maintenance</v>
      </c>
      <c r="G442" s="19" t="str">
        <f t="shared" si="34"/>
        <v>Walk-Transit</v>
      </c>
      <c r="H442" s="19" t="str">
        <f t="shared" si="35"/>
        <v>Walk-LRT</v>
      </c>
    </row>
    <row r="443" spans="1:8" x14ac:dyDescent="0.2">
      <c r="A443" s="2" t="s">
        <v>97</v>
      </c>
      <c r="B443" s="2" t="s">
        <v>66</v>
      </c>
      <c r="C443" s="2">
        <v>10</v>
      </c>
      <c r="D443" s="2">
        <v>19</v>
      </c>
      <c r="E443" s="2">
        <v>0</v>
      </c>
      <c r="F443" s="19" t="str">
        <f t="shared" si="33"/>
        <v>Individual Maintenance</v>
      </c>
      <c r="G443" s="19" t="str">
        <f t="shared" si="34"/>
        <v>Walk-Transit</v>
      </c>
      <c r="H443" s="19" t="str">
        <f t="shared" si="35"/>
        <v>Taxi</v>
      </c>
    </row>
    <row r="444" spans="1:8" x14ac:dyDescent="0.2">
      <c r="A444" s="2" t="s">
        <v>97</v>
      </c>
      <c r="B444" s="2" t="s">
        <v>66</v>
      </c>
      <c r="C444" s="2">
        <v>11</v>
      </c>
      <c r="D444" s="2">
        <v>-10</v>
      </c>
      <c r="E444" s="2">
        <v>0</v>
      </c>
      <c r="F444" s="19" t="str">
        <f t="shared" si="33"/>
        <v>Individual Maintenance</v>
      </c>
      <c r="G444" s="19" t="str">
        <f t="shared" si="34"/>
        <v>Walk-Transit</v>
      </c>
      <c r="H444" s="19" t="str">
        <f t="shared" si="35"/>
        <v>Walk-Ferry</v>
      </c>
    </row>
    <row r="445" spans="1:8" x14ac:dyDescent="0.2">
      <c r="A445" s="2" t="s">
        <v>97</v>
      </c>
      <c r="B445" s="2" t="s">
        <v>66</v>
      </c>
      <c r="C445" s="2">
        <v>11</v>
      </c>
      <c r="D445" s="2">
        <v>3</v>
      </c>
      <c r="E445" s="2">
        <v>0</v>
      </c>
      <c r="F445" s="19" t="str">
        <f t="shared" si="33"/>
        <v>Individual Maintenance</v>
      </c>
      <c r="G445" s="19" t="str">
        <f t="shared" si="34"/>
        <v>Walk-Transit</v>
      </c>
      <c r="H445" s="19" t="str">
        <f t="shared" si="35"/>
        <v>SR2</v>
      </c>
    </row>
    <row r="446" spans="1:8" x14ac:dyDescent="0.2">
      <c r="A446" s="2" t="s">
        <v>97</v>
      </c>
      <c r="B446" s="2" t="s">
        <v>66</v>
      </c>
      <c r="C446" s="2">
        <v>11</v>
      </c>
      <c r="D446" s="2">
        <v>5</v>
      </c>
      <c r="E446" s="2">
        <v>0</v>
      </c>
      <c r="F446" s="19" t="str">
        <f t="shared" si="33"/>
        <v>Individual Maintenance</v>
      </c>
      <c r="G446" s="19" t="str">
        <f t="shared" si="34"/>
        <v>Walk-Transit</v>
      </c>
      <c r="H446" s="19" t="str">
        <f t="shared" si="35"/>
        <v>SR3+</v>
      </c>
    </row>
    <row r="447" spans="1:8" x14ac:dyDescent="0.2">
      <c r="A447" s="2" t="s">
        <v>97</v>
      </c>
      <c r="B447" s="2" t="s">
        <v>66</v>
      </c>
      <c r="C447" s="2">
        <v>11</v>
      </c>
      <c r="D447" s="2">
        <v>7</v>
      </c>
      <c r="E447" s="2">
        <v>0</v>
      </c>
      <c r="F447" s="19" t="str">
        <f t="shared" si="33"/>
        <v>Individual Maintenance</v>
      </c>
      <c r="G447" s="19" t="str">
        <f t="shared" si="34"/>
        <v>Walk-Transit</v>
      </c>
      <c r="H447" s="19" t="str">
        <f t="shared" si="35"/>
        <v>Walk</v>
      </c>
    </row>
    <row r="448" spans="1:8" x14ac:dyDescent="0.2">
      <c r="A448" s="2" t="s">
        <v>97</v>
      </c>
      <c r="B448" s="2" t="s">
        <v>66</v>
      </c>
      <c r="C448" s="2">
        <v>11</v>
      </c>
      <c r="D448" s="2">
        <v>9</v>
      </c>
      <c r="E448" s="2">
        <v>0</v>
      </c>
      <c r="F448" s="19" t="str">
        <f t="shared" si="33"/>
        <v>Individual Maintenance</v>
      </c>
      <c r="G448" s="19" t="str">
        <f t="shared" si="34"/>
        <v>Walk-Transit</v>
      </c>
      <c r="H448" s="19" t="str">
        <f t="shared" si="35"/>
        <v>Walk-Local</v>
      </c>
    </row>
    <row r="449" spans="1:8" x14ac:dyDescent="0.2">
      <c r="A449" s="2" t="s">
        <v>97</v>
      </c>
      <c r="B449" s="2" t="s">
        <v>66</v>
      </c>
      <c r="C449" s="2">
        <v>11</v>
      </c>
      <c r="D449" s="2">
        <v>11</v>
      </c>
      <c r="E449" s="2">
        <v>0</v>
      </c>
      <c r="F449" s="19" t="str">
        <f t="shared" si="33"/>
        <v>Individual Maintenance</v>
      </c>
      <c r="G449" s="19" t="str">
        <f t="shared" si="34"/>
        <v>Walk-Transit</v>
      </c>
      <c r="H449" s="19" t="str">
        <f t="shared" si="35"/>
        <v>Walk-Express</v>
      </c>
    </row>
    <row r="450" spans="1:8" x14ac:dyDescent="0.2">
      <c r="A450" s="2" t="s">
        <v>97</v>
      </c>
      <c r="B450" s="2" t="s">
        <v>66</v>
      </c>
      <c r="C450" s="2">
        <v>12</v>
      </c>
      <c r="D450" s="2">
        <v>-10</v>
      </c>
      <c r="E450" s="2">
        <v>0</v>
      </c>
      <c r="F450" s="19" t="str">
        <f t="shared" si="33"/>
        <v>Individual Maintenance</v>
      </c>
      <c r="G450" s="19" t="str">
        <f t="shared" si="34"/>
        <v>Walk-Transit</v>
      </c>
      <c r="H450" s="19" t="str">
        <f t="shared" si="35"/>
        <v>Walk-Ferry</v>
      </c>
    </row>
    <row r="451" spans="1:8" x14ac:dyDescent="0.2">
      <c r="A451" s="2" t="s">
        <v>97</v>
      </c>
      <c r="B451" s="2" t="s">
        <v>66</v>
      </c>
      <c r="C451" s="2">
        <v>12</v>
      </c>
      <c r="D451" s="2">
        <v>3</v>
      </c>
      <c r="E451" s="2">
        <v>0</v>
      </c>
      <c r="F451" s="19" t="str">
        <f t="shared" ref="F451:F514" si="36">IF(A451="joint","Joint",_xlfn.IFNA(VLOOKUP(B451,tour_purposes,2,FALSE),"None"))</f>
        <v>Individual Maintenance</v>
      </c>
      <c r="G451" s="19" t="str">
        <f t="shared" ref="G451:G514" si="37">IF(AND(A451="joint",C451&lt;=6),"Auto",_xlfn.IFNA(VLOOKUP(C451,tour_modes,3,FALSE),"None"))</f>
        <v>Walk-Transit</v>
      </c>
      <c r="H451" s="19" t="str">
        <f t="shared" ref="H451:H514" si="38">_xlfn.IFNA(VLOOKUP(D451,trip_modes,2,FALSE),"None")</f>
        <v>SR2</v>
      </c>
    </row>
    <row r="452" spans="1:8" x14ac:dyDescent="0.2">
      <c r="A452" s="2" t="s">
        <v>97</v>
      </c>
      <c r="B452" s="2" t="s">
        <v>66</v>
      </c>
      <c r="C452" s="2">
        <v>12</v>
      </c>
      <c r="D452" s="2">
        <v>5</v>
      </c>
      <c r="E452" s="2">
        <v>0</v>
      </c>
      <c r="F452" s="19" t="str">
        <f t="shared" si="36"/>
        <v>Individual Maintenance</v>
      </c>
      <c r="G452" s="19" t="str">
        <f t="shared" si="37"/>
        <v>Walk-Transit</v>
      </c>
      <c r="H452" s="19" t="str">
        <f t="shared" si="38"/>
        <v>SR3+</v>
      </c>
    </row>
    <row r="453" spans="1:8" x14ac:dyDescent="0.2">
      <c r="A453" s="2" t="s">
        <v>97</v>
      </c>
      <c r="B453" s="2" t="s">
        <v>66</v>
      </c>
      <c r="C453" s="2">
        <v>12</v>
      </c>
      <c r="D453" s="2">
        <v>7</v>
      </c>
      <c r="E453" s="2">
        <v>0</v>
      </c>
      <c r="F453" s="19" t="str">
        <f t="shared" si="36"/>
        <v>Individual Maintenance</v>
      </c>
      <c r="G453" s="19" t="str">
        <f t="shared" si="37"/>
        <v>Walk-Transit</v>
      </c>
      <c r="H453" s="19" t="str">
        <f t="shared" si="38"/>
        <v>Walk</v>
      </c>
    </row>
    <row r="454" spans="1:8" x14ac:dyDescent="0.2">
      <c r="A454" s="2" t="s">
        <v>97</v>
      </c>
      <c r="B454" s="2" t="s">
        <v>66</v>
      </c>
      <c r="C454" s="2">
        <v>12</v>
      </c>
      <c r="D454" s="2">
        <v>9</v>
      </c>
      <c r="E454" s="2">
        <v>0</v>
      </c>
      <c r="F454" s="19" t="str">
        <f t="shared" si="36"/>
        <v>Individual Maintenance</v>
      </c>
      <c r="G454" s="19" t="str">
        <f t="shared" si="37"/>
        <v>Walk-Transit</v>
      </c>
      <c r="H454" s="19" t="str">
        <f t="shared" si="38"/>
        <v>Walk-Local</v>
      </c>
    </row>
    <row r="455" spans="1:8" x14ac:dyDescent="0.2">
      <c r="A455" s="2" t="s">
        <v>97</v>
      </c>
      <c r="B455" s="2" t="s">
        <v>66</v>
      </c>
      <c r="C455" s="2">
        <v>12</v>
      </c>
      <c r="D455" s="2">
        <v>10</v>
      </c>
      <c r="E455" s="2">
        <v>0</v>
      </c>
      <c r="F455" s="19" t="str">
        <f t="shared" si="36"/>
        <v>Individual Maintenance</v>
      </c>
      <c r="G455" s="19" t="str">
        <f t="shared" si="37"/>
        <v>Walk-Transit</v>
      </c>
      <c r="H455" s="19" t="str">
        <f t="shared" si="38"/>
        <v>Walk-LRT</v>
      </c>
    </row>
    <row r="456" spans="1:8" x14ac:dyDescent="0.2">
      <c r="A456" s="2" t="s">
        <v>97</v>
      </c>
      <c r="B456" s="2" t="s">
        <v>66</v>
      </c>
      <c r="C456" s="2">
        <v>12</v>
      </c>
      <c r="D456" s="2">
        <v>11</v>
      </c>
      <c r="E456" s="2">
        <v>0</v>
      </c>
      <c r="F456" s="19" t="str">
        <f t="shared" si="36"/>
        <v>Individual Maintenance</v>
      </c>
      <c r="G456" s="19" t="str">
        <f t="shared" si="37"/>
        <v>Walk-Transit</v>
      </c>
      <c r="H456" s="19" t="str">
        <f t="shared" si="38"/>
        <v>Walk-Express</v>
      </c>
    </row>
    <row r="457" spans="1:8" x14ac:dyDescent="0.2">
      <c r="A457" s="2" t="s">
        <v>97</v>
      </c>
      <c r="B457" s="2" t="s">
        <v>66</v>
      </c>
      <c r="C457" s="2">
        <v>12</v>
      </c>
      <c r="D457" s="2">
        <v>12</v>
      </c>
      <c r="E457" s="2">
        <v>0</v>
      </c>
      <c r="F457" s="19" t="str">
        <f t="shared" si="36"/>
        <v>Individual Maintenance</v>
      </c>
      <c r="G457" s="19" t="str">
        <f t="shared" si="37"/>
        <v>Walk-Transit</v>
      </c>
      <c r="H457" s="19" t="str">
        <f t="shared" si="38"/>
        <v>Walk-HeavyR</v>
      </c>
    </row>
    <row r="458" spans="1:8" x14ac:dyDescent="0.2">
      <c r="A458" s="2" t="s">
        <v>97</v>
      </c>
      <c r="B458" s="2" t="s">
        <v>66</v>
      </c>
      <c r="C458" s="2">
        <v>12</v>
      </c>
      <c r="D458" s="2">
        <v>19</v>
      </c>
      <c r="E458" s="2">
        <v>0</v>
      </c>
      <c r="F458" s="19" t="str">
        <f t="shared" si="36"/>
        <v>Individual Maintenance</v>
      </c>
      <c r="G458" s="19" t="str">
        <f t="shared" si="37"/>
        <v>Walk-Transit</v>
      </c>
      <c r="H458" s="19" t="str">
        <f t="shared" si="38"/>
        <v>Taxi</v>
      </c>
    </row>
    <row r="459" spans="1:8" x14ac:dyDescent="0.2">
      <c r="A459" s="2" t="s">
        <v>97</v>
      </c>
      <c r="B459" s="2" t="s">
        <v>66</v>
      </c>
      <c r="C459" s="2">
        <v>12</v>
      </c>
      <c r="D459" s="2">
        <v>20</v>
      </c>
      <c r="E459" s="2">
        <v>0</v>
      </c>
      <c r="F459" s="19" t="str">
        <f t="shared" si="36"/>
        <v>Individual Maintenance</v>
      </c>
      <c r="G459" s="19" t="str">
        <f t="shared" si="37"/>
        <v>Walk-Transit</v>
      </c>
      <c r="H459" s="19" t="str">
        <f t="shared" si="38"/>
        <v>TNC-Single</v>
      </c>
    </row>
    <row r="460" spans="1:8" x14ac:dyDescent="0.2">
      <c r="A460" s="2" t="s">
        <v>97</v>
      </c>
      <c r="B460" s="2" t="s">
        <v>66</v>
      </c>
      <c r="C460" s="2">
        <v>13</v>
      </c>
      <c r="D460" s="2">
        <v>3</v>
      </c>
      <c r="E460" s="2">
        <v>0</v>
      </c>
      <c r="F460" s="19" t="str">
        <f t="shared" si="36"/>
        <v>Individual Maintenance</v>
      </c>
      <c r="G460" s="19" t="str">
        <f t="shared" si="37"/>
        <v>Walk-Transit</v>
      </c>
      <c r="H460" s="19" t="str">
        <f t="shared" si="38"/>
        <v>SR2</v>
      </c>
    </row>
    <row r="461" spans="1:8" x14ac:dyDescent="0.2">
      <c r="A461" s="2" t="s">
        <v>97</v>
      </c>
      <c r="B461" s="2" t="s">
        <v>66</v>
      </c>
      <c r="C461" s="2">
        <v>13</v>
      </c>
      <c r="D461" s="2">
        <v>5</v>
      </c>
      <c r="E461" s="2">
        <v>0</v>
      </c>
      <c r="F461" s="19" t="str">
        <f t="shared" si="36"/>
        <v>Individual Maintenance</v>
      </c>
      <c r="G461" s="19" t="str">
        <f t="shared" si="37"/>
        <v>Walk-Transit</v>
      </c>
      <c r="H461" s="19" t="str">
        <f t="shared" si="38"/>
        <v>SR3+</v>
      </c>
    </row>
    <row r="462" spans="1:8" x14ac:dyDescent="0.2">
      <c r="A462" s="2" t="s">
        <v>97</v>
      </c>
      <c r="B462" s="2" t="s">
        <v>66</v>
      </c>
      <c r="C462" s="2">
        <v>13</v>
      </c>
      <c r="D462" s="2">
        <v>7</v>
      </c>
      <c r="E462" s="2">
        <v>0</v>
      </c>
      <c r="F462" s="19" t="str">
        <f t="shared" si="36"/>
        <v>Individual Maintenance</v>
      </c>
      <c r="G462" s="19" t="str">
        <f t="shared" si="37"/>
        <v>Walk-Transit</v>
      </c>
      <c r="H462" s="19" t="str">
        <f t="shared" si="38"/>
        <v>Walk</v>
      </c>
    </row>
    <row r="463" spans="1:8" x14ac:dyDescent="0.2">
      <c r="A463" s="2" t="s">
        <v>97</v>
      </c>
      <c r="B463" s="2" t="s">
        <v>66</v>
      </c>
      <c r="C463" s="2">
        <v>13</v>
      </c>
      <c r="D463" s="2">
        <v>9</v>
      </c>
      <c r="E463" s="2">
        <v>0</v>
      </c>
      <c r="F463" s="19" t="str">
        <f t="shared" si="36"/>
        <v>Individual Maintenance</v>
      </c>
      <c r="G463" s="19" t="str">
        <f t="shared" si="37"/>
        <v>Walk-Transit</v>
      </c>
      <c r="H463" s="19" t="str">
        <f t="shared" si="38"/>
        <v>Walk-Local</v>
      </c>
    </row>
    <row r="464" spans="1:8" x14ac:dyDescent="0.2">
      <c r="A464" s="2" t="s">
        <v>97</v>
      </c>
      <c r="B464" s="2" t="s">
        <v>66</v>
      </c>
      <c r="C464" s="2">
        <v>13</v>
      </c>
      <c r="D464" s="2">
        <v>10</v>
      </c>
      <c r="E464" s="2">
        <v>0</v>
      </c>
      <c r="F464" s="19" t="str">
        <f t="shared" si="36"/>
        <v>Individual Maintenance</v>
      </c>
      <c r="G464" s="19" t="str">
        <f t="shared" si="37"/>
        <v>Walk-Transit</v>
      </c>
      <c r="H464" s="19" t="str">
        <f t="shared" si="38"/>
        <v>Walk-LRT</v>
      </c>
    </row>
    <row r="465" spans="1:8" x14ac:dyDescent="0.2">
      <c r="A465" s="2" t="s">
        <v>97</v>
      </c>
      <c r="B465" s="2" t="s">
        <v>66</v>
      </c>
      <c r="C465" s="2">
        <v>13</v>
      </c>
      <c r="D465" s="2">
        <v>11</v>
      </c>
      <c r="E465" s="2">
        <v>0</v>
      </c>
      <c r="F465" s="19" t="str">
        <f t="shared" si="36"/>
        <v>Individual Maintenance</v>
      </c>
      <c r="G465" s="19" t="str">
        <f t="shared" si="37"/>
        <v>Walk-Transit</v>
      </c>
      <c r="H465" s="19" t="str">
        <f t="shared" si="38"/>
        <v>Walk-Express</v>
      </c>
    </row>
    <row r="466" spans="1:8" x14ac:dyDescent="0.2">
      <c r="A466" s="2" t="s">
        <v>97</v>
      </c>
      <c r="B466" s="2" t="s">
        <v>66</v>
      </c>
      <c r="C466" s="2">
        <v>13</v>
      </c>
      <c r="D466" s="2">
        <v>12</v>
      </c>
      <c r="E466" s="2">
        <v>0</v>
      </c>
      <c r="F466" s="19" t="str">
        <f t="shared" si="36"/>
        <v>Individual Maintenance</v>
      </c>
      <c r="G466" s="19" t="str">
        <f t="shared" si="37"/>
        <v>Walk-Transit</v>
      </c>
      <c r="H466" s="19" t="str">
        <f t="shared" si="38"/>
        <v>Walk-HeavyR</v>
      </c>
    </row>
    <row r="467" spans="1:8" x14ac:dyDescent="0.2">
      <c r="A467" s="2" t="s">
        <v>97</v>
      </c>
      <c r="B467" s="2" t="s">
        <v>66</v>
      </c>
      <c r="C467" s="2">
        <v>13</v>
      </c>
      <c r="D467" s="2">
        <v>13</v>
      </c>
      <c r="E467" s="2">
        <v>0</v>
      </c>
      <c r="F467" s="19" t="str">
        <f t="shared" si="36"/>
        <v>Individual Maintenance</v>
      </c>
      <c r="G467" s="19" t="str">
        <f t="shared" si="37"/>
        <v>Walk-Transit</v>
      </c>
      <c r="H467" s="19" t="str">
        <f t="shared" si="38"/>
        <v>Walk-CommR</v>
      </c>
    </row>
    <row r="468" spans="1:8" x14ac:dyDescent="0.2">
      <c r="A468" s="2" t="s">
        <v>97</v>
      </c>
      <c r="B468" s="2" t="s">
        <v>66</v>
      </c>
      <c r="C468" s="2">
        <v>13</v>
      </c>
      <c r="D468" s="2">
        <v>19</v>
      </c>
      <c r="E468" s="2">
        <v>0</v>
      </c>
      <c r="F468" s="19" t="str">
        <f t="shared" si="36"/>
        <v>Individual Maintenance</v>
      </c>
      <c r="G468" s="19" t="str">
        <f t="shared" si="37"/>
        <v>Walk-Transit</v>
      </c>
      <c r="H468" s="19" t="str">
        <f t="shared" si="38"/>
        <v>Taxi</v>
      </c>
    </row>
    <row r="469" spans="1:8" x14ac:dyDescent="0.2">
      <c r="A469" s="2" t="s">
        <v>97</v>
      </c>
      <c r="B469" s="2" t="s">
        <v>66</v>
      </c>
      <c r="C469" s="2">
        <v>14</v>
      </c>
      <c r="D469" s="2">
        <v>14</v>
      </c>
      <c r="E469" s="2">
        <v>0</v>
      </c>
      <c r="F469" s="19" t="str">
        <f t="shared" si="36"/>
        <v>Individual Maintenance</v>
      </c>
      <c r="G469" s="19" t="str">
        <f t="shared" si="37"/>
        <v>Drive-Transit</v>
      </c>
      <c r="H469" s="19" t="str">
        <f t="shared" si="38"/>
        <v>Drive-Local</v>
      </c>
    </row>
    <row r="470" spans="1:8" x14ac:dyDescent="0.2">
      <c r="A470" s="2" t="s">
        <v>97</v>
      </c>
      <c r="B470" s="2" t="s">
        <v>66</v>
      </c>
      <c r="C470" s="2">
        <v>14</v>
      </c>
      <c r="D470" s="2">
        <v>19</v>
      </c>
      <c r="E470" s="2">
        <v>0</v>
      </c>
      <c r="F470" s="19" t="str">
        <f t="shared" si="36"/>
        <v>Individual Maintenance</v>
      </c>
      <c r="G470" s="19" t="str">
        <f t="shared" si="37"/>
        <v>Drive-Transit</v>
      </c>
      <c r="H470" s="19" t="str">
        <f t="shared" si="38"/>
        <v>Taxi</v>
      </c>
    </row>
    <row r="471" spans="1:8" x14ac:dyDescent="0.2">
      <c r="A471" s="2" t="s">
        <v>97</v>
      </c>
      <c r="B471" s="2" t="s">
        <v>66</v>
      </c>
      <c r="C471" s="2">
        <v>15</v>
      </c>
      <c r="D471" s="2">
        <v>-15</v>
      </c>
      <c r="E471" s="2">
        <v>0</v>
      </c>
      <c r="F471" s="19" t="str">
        <f t="shared" si="36"/>
        <v>Individual Maintenance</v>
      </c>
      <c r="G471" s="19" t="str">
        <f t="shared" si="37"/>
        <v>Drive-Transit</v>
      </c>
      <c r="H471" s="19" t="str">
        <f t="shared" si="38"/>
        <v>Drive-Ferry</v>
      </c>
    </row>
    <row r="472" spans="1:8" x14ac:dyDescent="0.2">
      <c r="A472" s="2" t="s">
        <v>97</v>
      </c>
      <c r="B472" s="2" t="s">
        <v>66</v>
      </c>
      <c r="C472" s="2">
        <v>15</v>
      </c>
      <c r="D472" s="2">
        <v>15</v>
      </c>
      <c r="E472" s="2">
        <v>0</v>
      </c>
      <c r="F472" s="19" t="str">
        <f t="shared" si="36"/>
        <v>Individual Maintenance</v>
      </c>
      <c r="G472" s="19" t="str">
        <f t="shared" si="37"/>
        <v>Drive-Transit</v>
      </c>
      <c r="H472" s="19" t="str">
        <f t="shared" si="38"/>
        <v>Drive-LRT</v>
      </c>
    </row>
    <row r="473" spans="1:8" x14ac:dyDescent="0.2">
      <c r="A473" s="2" t="s">
        <v>97</v>
      </c>
      <c r="B473" s="2" t="s">
        <v>66</v>
      </c>
      <c r="C473" s="2">
        <v>16</v>
      </c>
      <c r="D473" s="2">
        <v>-15</v>
      </c>
      <c r="E473" s="2">
        <v>0</v>
      </c>
      <c r="F473" s="19" t="str">
        <f t="shared" si="36"/>
        <v>Individual Maintenance</v>
      </c>
      <c r="G473" s="19" t="str">
        <f t="shared" si="37"/>
        <v>Drive-Transit</v>
      </c>
      <c r="H473" s="19" t="str">
        <f t="shared" si="38"/>
        <v>Drive-Ferry</v>
      </c>
    </row>
    <row r="474" spans="1:8" x14ac:dyDescent="0.2">
      <c r="A474" s="2" t="s">
        <v>97</v>
      </c>
      <c r="B474" s="2" t="s">
        <v>66</v>
      </c>
      <c r="C474" s="2">
        <v>16</v>
      </c>
      <c r="D474" s="2">
        <v>15</v>
      </c>
      <c r="E474" s="2">
        <v>0</v>
      </c>
      <c r="F474" s="19" t="str">
        <f t="shared" si="36"/>
        <v>Individual Maintenance</v>
      </c>
      <c r="G474" s="19" t="str">
        <f t="shared" si="37"/>
        <v>Drive-Transit</v>
      </c>
      <c r="H474" s="19" t="str">
        <f t="shared" si="38"/>
        <v>Drive-LRT</v>
      </c>
    </row>
    <row r="475" spans="1:8" x14ac:dyDescent="0.2">
      <c r="A475" s="2" t="s">
        <v>97</v>
      </c>
      <c r="B475" s="2" t="s">
        <v>66</v>
      </c>
      <c r="C475" s="2">
        <v>16</v>
      </c>
      <c r="D475" s="2">
        <v>16</v>
      </c>
      <c r="E475" s="2">
        <v>0</v>
      </c>
      <c r="F475" s="19" t="str">
        <f t="shared" si="36"/>
        <v>Individual Maintenance</v>
      </c>
      <c r="G475" s="19" t="str">
        <f t="shared" si="37"/>
        <v>Drive-Transit</v>
      </c>
      <c r="H475" s="19" t="str">
        <f t="shared" si="38"/>
        <v>Drive-Express</v>
      </c>
    </row>
    <row r="476" spans="1:8" x14ac:dyDescent="0.2">
      <c r="A476" s="2" t="s">
        <v>97</v>
      </c>
      <c r="B476" s="2" t="s">
        <v>66</v>
      </c>
      <c r="C476" s="2">
        <v>17</v>
      </c>
      <c r="D476" s="2">
        <v>-15</v>
      </c>
      <c r="E476" s="2">
        <v>0</v>
      </c>
      <c r="F476" s="19" t="str">
        <f t="shared" si="36"/>
        <v>Individual Maintenance</v>
      </c>
      <c r="G476" s="19" t="str">
        <f t="shared" si="37"/>
        <v>Drive-Transit</v>
      </c>
      <c r="H476" s="19" t="str">
        <f t="shared" si="38"/>
        <v>Drive-Ferry</v>
      </c>
    </row>
    <row r="477" spans="1:8" x14ac:dyDescent="0.2">
      <c r="A477" s="2" t="s">
        <v>97</v>
      </c>
      <c r="B477" s="2" t="s">
        <v>66</v>
      </c>
      <c r="C477" s="2">
        <v>17</v>
      </c>
      <c r="D477" s="2">
        <v>17</v>
      </c>
      <c r="E477" s="2">
        <v>0</v>
      </c>
      <c r="F477" s="19" t="str">
        <f t="shared" si="36"/>
        <v>Individual Maintenance</v>
      </c>
      <c r="G477" s="19" t="str">
        <f t="shared" si="37"/>
        <v>Drive-Transit</v>
      </c>
      <c r="H477" s="19" t="str">
        <f t="shared" si="38"/>
        <v>Drive-HeavyR</v>
      </c>
    </row>
    <row r="478" spans="1:8" x14ac:dyDescent="0.2">
      <c r="A478" s="2" t="s">
        <v>97</v>
      </c>
      <c r="B478" s="2" t="s">
        <v>66</v>
      </c>
      <c r="C478" s="2">
        <v>18</v>
      </c>
      <c r="D478" s="2">
        <v>15</v>
      </c>
      <c r="E478" s="2">
        <v>0</v>
      </c>
      <c r="F478" s="19" t="str">
        <f t="shared" si="36"/>
        <v>Individual Maintenance</v>
      </c>
      <c r="G478" s="19" t="str">
        <f t="shared" si="37"/>
        <v>Drive-Transit</v>
      </c>
      <c r="H478" s="19" t="str">
        <f t="shared" si="38"/>
        <v>Drive-LRT</v>
      </c>
    </row>
    <row r="479" spans="1:8" x14ac:dyDescent="0.2">
      <c r="A479" s="2" t="s">
        <v>97</v>
      </c>
      <c r="B479" s="2" t="s">
        <v>66</v>
      </c>
      <c r="C479" s="2">
        <v>18</v>
      </c>
      <c r="D479" s="2">
        <v>16</v>
      </c>
      <c r="E479" s="2">
        <v>0</v>
      </c>
      <c r="F479" s="19" t="str">
        <f t="shared" si="36"/>
        <v>Individual Maintenance</v>
      </c>
      <c r="G479" s="19" t="str">
        <f t="shared" si="37"/>
        <v>Drive-Transit</v>
      </c>
      <c r="H479" s="19" t="str">
        <f t="shared" si="38"/>
        <v>Drive-Express</v>
      </c>
    </row>
    <row r="480" spans="1:8" x14ac:dyDescent="0.2">
      <c r="A480" s="2" t="s">
        <v>97</v>
      </c>
      <c r="B480" s="2" t="s">
        <v>66</v>
      </c>
      <c r="C480" s="2">
        <v>18</v>
      </c>
      <c r="D480" s="2">
        <v>17</v>
      </c>
      <c r="E480" s="2">
        <v>0</v>
      </c>
      <c r="F480" s="19" t="str">
        <f t="shared" si="36"/>
        <v>Individual Maintenance</v>
      </c>
      <c r="G480" s="19" t="str">
        <f t="shared" si="37"/>
        <v>Drive-Transit</v>
      </c>
      <c r="H480" s="19" t="str">
        <f t="shared" si="38"/>
        <v>Drive-HeavyR</v>
      </c>
    </row>
    <row r="481" spans="1:8" x14ac:dyDescent="0.2">
      <c r="A481" s="2" t="s">
        <v>97</v>
      </c>
      <c r="B481" s="2" t="s">
        <v>66</v>
      </c>
      <c r="C481" s="2">
        <v>18</v>
      </c>
      <c r="D481" s="2">
        <v>18</v>
      </c>
      <c r="E481" s="2">
        <v>0</v>
      </c>
      <c r="F481" s="19" t="str">
        <f t="shared" si="36"/>
        <v>Individual Maintenance</v>
      </c>
      <c r="G481" s="19" t="str">
        <f t="shared" si="37"/>
        <v>Drive-Transit</v>
      </c>
      <c r="H481" s="19" t="str">
        <f t="shared" si="38"/>
        <v>Drive-CommR</v>
      </c>
    </row>
    <row r="482" spans="1:8" x14ac:dyDescent="0.2">
      <c r="A482" s="2" t="s">
        <v>97</v>
      </c>
      <c r="B482" s="2" t="s">
        <v>66</v>
      </c>
      <c r="C482" s="2">
        <v>19</v>
      </c>
      <c r="D482" s="2">
        <v>3</v>
      </c>
      <c r="E482" s="2">
        <v>0</v>
      </c>
      <c r="F482" s="19" t="str">
        <f t="shared" si="36"/>
        <v>Individual Maintenance</v>
      </c>
      <c r="G482" s="19" t="str">
        <f t="shared" si="37"/>
        <v>Taxi</v>
      </c>
      <c r="H482" s="19" t="str">
        <f t="shared" si="38"/>
        <v>SR2</v>
      </c>
    </row>
    <row r="483" spans="1:8" x14ac:dyDescent="0.2">
      <c r="A483" s="2" t="s">
        <v>97</v>
      </c>
      <c r="B483" s="2" t="s">
        <v>66</v>
      </c>
      <c r="C483" s="2">
        <v>19</v>
      </c>
      <c r="D483" s="2">
        <v>5</v>
      </c>
      <c r="E483" s="2">
        <v>0</v>
      </c>
      <c r="F483" s="19" t="str">
        <f t="shared" si="36"/>
        <v>Individual Maintenance</v>
      </c>
      <c r="G483" s="19" t="str">
        <f t="shared" si="37"/>
        <v>Taxi</v>
      </c>
      <c r="H483" s="19" t="str">
        <f t="shared" si="38"/>
        <v>SR3+</v>
      </c>
    </row>
    <row r="484" spans="1:8" x14ac:dyDescent="0.2">
      <c r="A484" s="2" t="s">
        <v>97</v>
      </c>
      <c r="B484" s="2" t="s">
        <v>66</v>
      </c>
      <c r="C484" s="2">
        <v>19</v>
      </c>
      <c r="D484" s="2">
        <v>19</v>
      </c>
      <c r="E484" s="2">
        <v>0</v>
      </c>
      <c r="F484" s="19" t="str">
        <f t="shared" si="36"/>
        <v>Individual Maintenance</v>
      </c>
      <c r="G484" s="19" t="str">
        <f t="shared" si="37"/>
        <v>Taxi</v>
      </c>
      <c r="H484" s="19" t="str">
        <f t="shared" si="38"/>
        <v>Taxi</v>
      </c>
    </row>
    <row r="485" spans="1:8" x14ac:dyDescent="0.2">
      <c r="A485" s="2" t="s">
        <v>97</v>
      </c>
      <c r="B485" s="2" t="s">
        <v>66</v>
      </c>
      <c r="C485" s="2">
        <v>19</v>
      </c>
      <c r="D485" s="2">
        <v>20</v>
      </c>
      <c r="E485" s="2">
        <v>0</v>
      </c>
      <c r="F485" s="19" t="str">
        <f t="shared" si="36"/>
        <v>Individual Maintenance</v>
      </c>
      <c r="G485" s="19" t="str">
        <f t="shared" si="37"/>
        <v>Taxi</v>
      </c>
      <c r="H485" s="19" t="str">
        <f t="shared" si="38"/>
        <v>TNC-Single</v>
      </c>
    </row>
    <row r="486" spans="1:8" x14ac:dyDescent="0.2">
      <c r="A486" s="2" t="s">
        <v>97</v>
      </c>
      <c r="B486" s="2" t="s">
        <v>66</v>
      </c>
      <c r="C486" s="2">
        <v>19</v>
      </c>
      <c r="D486" s="2">
        <v>21</v>
      </c>
      <c r="E486" s="2">
        <v>0</v>
      </c>
      <c r="F486" s="19" t="str">
        <f t="shared" si="36"/>
        <v>Individual Maintenance</v>
      </c>
      <c r="G486" s="19" t="str">
        <f t="shared" si="37"/>
        <v>Taxi</v>
      </c>
      <c r="H486" s="19" t="str">
        <f t="shared" si="38"/>
        <v>TNC-Shared</v>
      </c>
    </row>
    <row r="487" spans="1:8" x14ac:dyDescent="0.2">
      <c r="A487" s="2" t="s">
        <v>97</v>
      </c>
      <c r="B487" s="2" t="s">
        <v>67</v>
      </c>
      <c r="C487" s="2">
        <v>3</v>
      </c>
      <c r="D487" s="2">
        <v>3</v>
      </c>
      <c r="E487" s="2">
        <v>0</v>
      </c>
      <c r="F487" s="19" t="str">
        <f t="shared" si="36"/>
        <v>School</v>
      </c>
      <c r="G487" s="19" t="str">
        <f t="shared" si="37"/>
        <v>SR2</v>
      </c>
      <c r="H487" s="19" t="str">
        <f t="shared" si="38"/>
        <v>SR2</v>
      </c>
    </row>
    <row r="488" spans="1:8" x14ac:dyDescent="0.2">
      <c r="A488" s="2" t="s">
        <v>97</v>
      </c>
      <c r="B488" s="2" t="s">
        <v>67</v>
      </c>
      <c r="C488" s="2">
        <v>3</v>
      </c>
      <c r="D488" s="2">
        <v>7</v>
      </c>
      <c r="E488" s="2">
        <v>0</v>
      </c>
      <c r="F488" s="19" t="str">
        <f t="shared" si="36"/>
        <v>School</v>
      </c>
      <c r="G488" s="19" t="str">
        <f t="shared" si="37"/>
        <v>SR2</v>
      </c>
      <c r="H488" s="19" t="str">
        <f t="shared" si="38"/>
        <v>Walk</v>
      </c>
    </row>
    <row r="489" spans="1:8" x14ac:dyDescent="0.2">
      <c r="A489" s="2" t="s">
        <v>97</v>
      </c>
      <c r="B489" s="2" t="s">
        <v>67</v>
      </c>
      <c r="C489" s="2">
        <v>5</v>
      </c>
      <c r="D489" s="2">
        <v>3</v>
      </c>
      <c r="E489" s="2">
        <v>0</v>
      </c>
      <c r="F489" s="19" t="str">
        <f t="shared" si="36"/>
        <v>School</v>
      </c>
      <c r="G489" s="19" t="str">
        <f t="shared" si="37"/>
        <v>SR3+</v>
      </c>
      <c r="H489" s="19" t="str">
        <f t="shared" si="38"/>
        <v>SR2</v>
      </c>
    </row>
    <row r="490" spans="1:8" x14ac:dyDescent="0.2">
      <c r="A490" s="2" t="s">
        <v>97</v>
      </c>
      <c r="B490" s="2" t="s">
        <v>67</v>
      </c>
      <c r="C490" s="2">
        <v>5</v>
      </c>
      <c r="D490" s="2">
        <v>5</v>
      </c>
      <c r="E490" s="2">
        <v>0</v>
      </c>
      <c r="F490" s="19" t="str">
        <f t="shared" si="36"/>
        <v>School</v>
      </c>
      <c r="G490" s="19" t="str">
        <f t="shared" si="37"/>
        <v>SR3+</v>
      </c>
      <c r="H490" s="19" t="str">
        <f t="shared" si="38"/>
        <v>SR3+</v>
      </c>
    </row>
    <row r="491" spans="1:8" x14ac:dyDescent="0.2">
      <c r="A491" s="2" t="s">
        <v>97</v>
      </c>
      <c r="B491" s="2" t="s">
        <v>67</v>
      </c>
      <c r="C491" s="2">
        <v>5</v>
      </c>
      <c r="D491" s="2">
        <v>7</v>
      </c>
      <c r="E491" s="2">
        <v>0</v>
      </c>
      <c r="F491" s="19" t="str">
        <f t="shared" si="36"/>
        <v>School</v>
      </c>
      <c r="G491" s="19" t="str">
        <f t="shared" si="37"/>
        <v>SR3+</v>
      </c>
      <c r="H491" s="19" t="str">
        <f t="shared" si="38"/>
        <v>Walk</v>
      </c>
    </row>
    <row r="492" spans="1:8" x14ac:dyDescent="0.2">
      <c r="A492" s="2" t="s">
        <v>97</v>
      </c>
      <c r="B492" s="2" t="s">
        <v>67</v>
      </c>
      <c r="C492" s="2">
        <v>5</v>
      </c>
      <c r="D492" s="2">
        <v>19</v>
      </c>
      <c r="E492" s="2">
        <v>0</v>
      </c>
      <c r="F492" s="19" t="str">
        <f t="shared" si="36"/>
        <v>School</v>
      </c>
      <c r="G492" s="19" t="str">
        <f t="shared" si="37"/>
        <v>SR3+</v>
      </c>
      <c r="H492" s="19" t="str">
        <f t="shared" si="38"/>
        <v>Taxi</v>
      </c>
    </row>
    <row r="493" spans="1:8" x14ac:dyDescent="0.2">
      <c r="A493" s="2" t="s">
        <v>97</v>
      </c>
      <c r="B493" s="2" t="s">
        <v>67</v>
      </c>
      <c r="C493" s="2">
        <v>7</v>
      </c>
      <c r="D493" s="2">
        <v>7</v>
      </c>
      <c r="E493" s="2">
        <v>0</v>
      </c>
      <c r="F493" s="19" t="str">
        <f t="shared" si="36"/>
        <v>School</v>
      </c>
      <c r="G493" s="19" t="str">
        <f t="shared" si="37"/>
        <v>Walk</v>
      </c>
      <c r="H493" s="19" t="str">
        <f t="shared" si="38"/>
        <v>Walk</v>
      </c>
    </row>
    <row r="494" spans="1:8" x14ac:dyDescent="0.2">
      <c r="A494" s="2" t="s">
        <v>97</v>
      </c>
      <c r="B494" s="2" t="s">
        <v>67</v>
      </c>
      <c r="C494" s="2">
        <v>7</v>
      </c>
      <c r="D494" s="2">
        <v>19</v>
      </c>
      <c r="E494" s="2">
        <v>0</v>
      </c>
      <c r="F494" s="19" t="str">
        <f t="shared" si="36"/>
        <v>School</v>
      </c>
      <c r="G494" s="19" t="str">
        <f t="shared" si="37"/>
        <v>Walk</v>
      </c>
      <c r="H494" s="19" t="str">
        <f t="shared" si="38"/>
        <v>Taxi</v>
      </c>
    </row>
    <row r="495" spans="1:8" x14ac:dyDescent="0.2">
      <c r="A495" s="2" t="s">
        <v>97</v>
      </c>
      <c r="B495" s="2" t="s">
        <v>67</v>
      </c>
      <c r="C495" s="2">
        <v>8</v>
      </c>
      <c r="D495" s="2">
        <v>7</v>
      </c>
      <c r="E495" s="2">
        <v>0</v>
      </c>
      <c r="F495" s="19" t="str">
        <f t="shared" si="36"/>
        <v>School</v>
      </c>
      <c r="G495" s="19" t="str">
        <f t="shared" si="37"/>
        <v>Bike</v>
      </c>
      <c r="H495" s="19" t="str">
        <f t="shared" si="38"/>
        <v>Walk</v>
      </c>
    </row>
    <row r="496" spans="1:8" x14ac:dyDescent="0.2">
      <c r="A496" s="2" t="s">
        <v>97</v>
      </c>
      <c r="B496" s="2" t="s">
        <v>67</v>
      </c>
      <c r="C496" s="2">
        <v>8</v>
      </c>
      <c r="D496" s="2">
        <v>8</v>
      </c>
      <c r="E496" s="2">
        <v>0</v>
      </c>
      <c r="F496" s="19" t="str">
        <f t="shared" si="36"/>
        <v>School</v>
      </c>
      <c r="G496" s="19" t="str">
        <f t="shared" si="37"/>
        <v>Bike</v>
      </c>
      <c r="H496" s="19" t="str">
        <f t="shared" si="38"/>
        <v>Bike</v>
      </c>
    </row>
    <row r="497" spans="1:8" x14ac:dyDescent="0.2">
      <c r="A497" s="2" t="s">
        <v>97</v>
      </c>
      <c r="B497" s="2" t="s">
        <v>67</v>
      </c>
      <c r="C497" s="2">
        <v>8</v>
      </c>
      <c r="D497" s="2">
        <v>19</v>
      </c>
      <c r="E497" s="2">
        <v>0</v>
      </c>
      <c r="F497" s="19" t="str">
        <f t="shared" si="36"/>
        <v>School</v>
      </c>
      <c r="G497" s="19" t="str">
        <f t="shared" si="37"/>
        <v>Bike</v>
      </c>
      <c r="H497" s="19" t="str">
        <f t="shared" si="38"/>
        <v>Taxi</v>
      </c>
    </row>
    <row r="498" spans="1:8" x14ac:dyDescent="0.2">
      <c r="A498" s="2" t="s">
        <v>97</v>
      </c>
      <c r="B498" s="2" t="s">
        <v>67</v>
      </c>
      <c r="C498" s="2">
        <v>9</v>
      </c>
      <c r="D498" s="2">
        <v>3</v>
      </c>
      <c r="E498" s="2">
        <v>0</v>
      </c>
      <c r="F498" s="19" t="str">
        <f t="shared" si="36"/>
        <v>School</v>
      </c>
      <c r="G498" s="19" t="str">
        <f t="shared" si="37"/>
        <v>Walk-Transit</v>
      </c>
      <c r="H498" s="19" t="str">
        <f t="shared" si="38"/>
        <v>SR2</v>
      </c>
    </row>
    <row r="499" spans="1:8" x14ac:dyDescent="0.2">
      <c r="A499" s="2" t="s">
        <v>97</v>
      </c>
      <c r="B499" s="2" t="s">
        <v>67</v>
      </c>
      <c r="C499" s="2">
        <v>9</v>
      </c>
      <c r="D499" s="2">
        <v>5</v>
      </c>
      <c r="E499" s="2">
        <v>0</v>
      </c>
      <c r="F499" s="19" t="str">
        <f t="shared" si="36"/>
        <v>School</v>
      </c>
      <c r="G499" s="19" t="str">
        <f t="shared" si="37"/>
        <v>Walk-Transit</v>
      </c>
      <c r="H499" s="19" t="str">
        <f t="shared" si="38"/>
        <v>SR3+</v>
      </c>
    </row>
    <row r="500" spans="1:8" x14ac:dyDescent="0.2">
      <c r="A500" s="2" t="s">
        <v>97</v>
      </c>
      <c r="B500" s="2" t="s">
        <v>67</v>
      </c>
      <c r="C500" s="2">
        <v>9</v>
      </c>
      <c r="D500" s="2">
        <v>7</v>
      </c>
      <c r="E500" s="2">
        <v>0</v>
      </c>
      <c r="F500" s="19" t="str">
        <f t="shared" si="36"/>
        <v>School</v>
      </c>
      <c r="G500" s="19" t="str">
        <f t="shared" si="37"/>
        <v>Walk-Transit</v>
      </c>
      <c r="H500" s="19" t="str">
        <f t="shared" si="38"/>
        <v>Walk</v>
      </c>
    </row>
    <row r="501" spans="1:8" x14ac:dyDescent="0.2">
      <c r="A501" s="2" t="s">
        <v>97</v>
      </c>
      <c r="B501" s="2" t="s">
        <v>67</v>
      </c>
      <c r="C501" s="2">
        <v>9</v>
      </c>
      <c r="D501" s="2">
        <v>9</v>
      </c>
      <c r="E501" s="2">
        <v>0</v>
      </c>
      <c r="F501" s="19" t="str">
        <f t="shared" si="36"/>
        <v>School</v>
      </c>
      <c r="G501" s="19" t="str">
        <f t="shared" si="37"/>
        <v>Walk-Transit</v>
      </c>
      <c r="H501" s="19" t="str">
        <f t="shared" si="38"/>
        <v>Walk-Local</v>
      </c>
    </row>
    <row r="502" spans="1:8" x14ac:dyDescent="0.2">
      <c r="A502" s="2" t="s">
        <v>97</v>
      </c>
      <c r="B502" s="2" t="s">
        <v>67</v>
      </c>
      <c r="C502" s="2">
        <v>9</v>
      </c>
      <c r="D502" s="2">
        <v>19</v>
      </c>
      <c r="E502" s="2">
        <v>0</v>
      </c>
      <c r="F502" s="19" t="str">
        <f t="shared" si="36"/>
        <v>School</v>
      </c>
      <c r="G502" s="19" t="str">
        <f t="shared" si="37"/>
        <v>Walk-Transit</v>
      </c>
      <c r="H502" s="19" t="str">
        <f t="shared" si="38"/>
        <v>Taxi</v>
      </c>
    </row>
    <row r="503" spans="1:8" x14ac:dyDescent="0.2">
      <c r="A503" s="2" t="s">
        <v>97</v>
      </c>
      <c r="B503" s="2" t="s">
        <v>67</v>
      </c>
      <c r="C503" s="2">
        <v>10</v>
      </c>
      <c r="D503" s="2">
        <v>-10</v>
      </c>
      <c r="E503" s="2">
        <v>0</v>
      </c>
      <c r="F503" s="19" t="str">
        <f t="shared" si="36"/>
        <v>School</v>
      </c>
      <c r="G503" s="19" t="str">
        <f t="shared" si="37"/>
        <v>Walk-Transit</v>
      </c>
      <c r="H503" s="19" t="str">
        <f t="shared" si="38"/>
        <v>Walk-Ferry</v>
      </c>
    </row>
    <row r="504" spans="1:8" x14ac:dyDescent="0.2">
      <c r="A504" s="2" t="s">
        <v>97</v>
      </c>
      <c r="B504" s="2" t="s">
        <v>67</v>
      </c>
      <c r="C504" s="2">
        <v>10</v>
      </c>
      <c r="D504" s="2">
        <v>3</v>
      </c>
      <c r="E504" s="2">
        <v>0</v>
      </c>
      <c r="F504" s="19" t="str">
        <f t="shared" si="36"/>
        <v>School</v>
      </c>
      <c r="G504" s="19" t="str">
        <f t="shared" si="37"/>
        <v>Walk-Transit</v>
      </c>
      <c r="H504" s="19" t="str">
        <f t="shared" si="38"/>
        <v>SR2</v>
      </c>
    </row>
    <row r="505" spans="1:8" x14ac:dyDescent="0.2">
      <c r="A505" s="2" t="s">
        <v>97</v>
      </c>
      <c r="B505" s="2" t="s">
        <v>67</v>
      </c>
      <c r="C505" s="2">
        <v>10</v>
      </c>
      <c r="D505" s="2">
        <v>5</v>
      </c>
      <c r="E505" s="2">
        <v>0</v>
      </c>
      <c r="F505" s="19" t="str">
        <f t="shared" si="36"/>
        <v>School</v>
      </c>
      <c r="G505" s="19" t="str">
        <f t="shared" si="37"/>
        <v>Walk-Transit</v>
      </c>
      <c r="H505" s="19" t="str">
        <f t="shared" si="38"/>
        <v>SR3+</v>
      </c>
    </row>
    <row r="506" spans="1:8" x14ac:dyDescent="0.2">
      <c r="A506" s="2" t="s">
        <v>97</v>
      </c>
      <c r="B506" s="2" t="s">
        <v>67</v>
      </c>
      <c r="C506" s="2">
        <v>10</v>
      </c>
      <c r="D506" s="2">
        <v>7</v>
      </c>
      <c r="E506" s="2">
        <v>0</v>
      </c>
      <c r="F506" s="19" t="str">
        <f t="shared" si="36"/>
        <v>School</v>
      </c>
      <c r="G506" s="19" t="str">
        <f t="shared" si="37"/>
        <v>Walk-Transit</v>
      </c>
      <c r="H506" s="19" t="str">
        <f t="shared" si="38"/>
        <v>Walk</v>
      </c>
    </row>
    <row r="507" spans="1:8" x14ac:dyDescent="0.2">
      <c r="A507" s="2" t="s">
        <v>97</v>
      </c>
      <c r="B507" s="2" t="s">
        <v>67</v>
      </c>
      <c r="C507" s="2">
        <v>10</v>
      </c>
      <c r="D507" s="2">
        <v>9</v>
      </c>
      <c r="E507" s="2">
        <v>0</v>
      </c>
      <c r="F507" s="19" t="str">
        <f t="shared" si="36"/>
        <v>School</v>
      </c>
      <c r="G507" s="19" t="str">
        <f t="shared" si="37"/>
        <v>Walk-Transit</v>
      </c>
      <c r="H507" s="19" t="str">
        <f t="shared" si="38"/>
        <v>Walk-Local</v>
      </c>
    </row>
    <row r="508" spans="1:8" x14ac:dyDescent="0.2">
      <c r="A508" s="2" t="s">
        <v>97</v>
      </c>
      <c r="B508" s="2" t="s">
        <v>67</v>
      </c>
      <c r="C508" s="2">
        <v>10</v>
      </c>
      <c r="D508" s="2">
        <v>10</v>
      </c>
      <c r="E508" s="2">
        <v>0</v>
      </c>
      <c r="F508" s="19" t="str">
        <f t="shared" si="36"/>
        <v>School</v>
      </c>
      <c r="G508" s="19" t="str">
        <f t="shared" si="37"/>
        <v>Walk-Transit</v>
      </c>
      <c r="H508" s="19" t="str">
        <f t="shared" si="38"/>
        <v>Walk-LRT</v>
      </c>
    </row>
    <row r="509" spans="1:8" x14ac:dyDescent="0.2">
      <c r="A509" s="2" t="s">
        <v>97</v>
      </c>
      <c r="B509" s="2" t="s">
        <v>67</v>
      </c>
      <c r="C509" s="2">
        <v>11</v>
      </c>
      <c r="D509" s="2">
        <v>7</v>
      </c>
      <c r="E509" s="2">
        <v>0</v>
      </c>
      <c r="F509" s="19" t="str">
        <f t="shared" si="36"/>
        <v>School</v>
      </c>
      <c r="G509" s="19" t="str">
        <f t="shared" si="37"/>
        <v>Walk-Transit</v>
      </c>
      <c r="H509" s="19" t="str">
        <f t="shared" si="38"/>
        <v>Walk</v>
      </c>
    </row>
    <row r="510" spans="1:8" x14ac:dyDescent="0.2">
      <c r="A510" s="2" t="s">
        <v>97</v>
      </c>
      <c r="B510" s="2" t="s">
        <v>67</v>
      </c>
      <c r="C510" s="2">
        <v>11</v>
      </c>
      <c r="D510" s="2">
        <v>10</v>
      </c>
      <c r="E510" s="2">
        <v>0</v>
      </c>
      <c r="F510" s="19" t="str">
        <f t="shared" si="36"/>
        <v>School</v>
      </c>
      <c r="G510" s="19" t="str">
        <f t="shared" si="37"/>
        <v>Walk-Transit</v>
      </c>
      <c r="H510" s="19" t="str">
        <f t="shared" si="38"/>
        <v>Walk-LRT</v>
      </c>
    </row>
    <row r="511" spans="1:8" x14ac:dyDescent="0.2">
      <c r="A511" s="2" t="s">
        <v>97</v>
      </c>
      <c r="B511" s="2" t="s">
        <v>67</v>
      </c>
      <c r="C511" s="2">
        <v>11</v>
      </c>
      <c r="D511" s="2">
        <v>11</v>
      </c>
      <c r="E511" s="2">
        <v>0</v>
      </c>
      <c r="F511" s="19" t="str">
        <f t="shared" si="36"/>
        <v>School</v>
      </c>
      <c r="G511" s="19" t="str">
        <f t="shared" si="37"/>
        <v>Walk-Transit</v>
      </c>
      <c r="H511" s="19" t="str">
        <f t="shared" si="38"/>
        <v>Walk-Express</v>
      </c>
    </row>
    <row r="512" spans="1:8" x14ac:dyDescent="0.2">
      <c r="A512" s="2" t="s">
        <v>97</v>
      </c>
      <c r="B512" s="2" t="s">
        <v>67</v>
      </c>
      <c r="C512" s="2">
        <v>12</v>
      </c>
      <c r="D512" s="2">
        <v>10</v>
      </c>
      <c r="E512" s="2">
        <v>0</v>
      </c>
      <c r="F512" s="19" t="str">
        <f t="shared" si="36"/>
        <v>School</v>
      </c>
      <c r="G512" s="19" t="str">
        <f t="shared" si="37"/>
        <v>Walk-Transit</v>
      </c>
      <c r="H512" s="19" t="str">
        <f t="shared" si="38"/>
        <v>Walk-LRT</v>
      </c>
    </row>
    <row r="513" spans="1:8" x14ac:dyDescent="0.2">
      <c r="A513" s="2" t="s">
        <v>97</v>
      </c>
      <c r="B513" s="2" t="s">
        <v>67</v>
      </c>
      <c r="C513" s="2">
        <v>12</v>
      </c>
      <c r="D513" s="2">
        <v>11</v>
      </c>
      <c r="E513" s="2">
        <v>0</v>
      </c>
      <c r="F513" s="19" t="str">
        <f t="shared" si="36"/>
        <v>School</v>
      </c>
      <c r="G513" s="19" t="str">
        <f t="shared" si="37"/>
        <v>Walk-Transit</v>
      </c>
      <c r="H513" s="19" t="str">
        <f t="shared" si="38"/>
        <v>Walk-Express</v>
      </c>
    </row>
    <row r="514" spans="1:8" x14ac:dyDescent="0.2">
      <c r="A514" s="2" t="s">
        <v>97</v>
      </c>
      <c r="B514" s="2" t="s">
        <v>67</v>
      </c>
      <c r="C514" s="2">
        <v>12</v>
      </c>
      <c r="D514" s="2">
        <v>12</v>
      </c>
      <c r="E514" s="2">
        <v>0</v>
      </c>
      <c r="F514" s="19" t="str">
        <f t="shared" si="36"/>
        <v>School</v>
      </c>
      <c r="G514" s="19" t="str">
        <f t="shared" si="37"/>
        <v>Walk-Transit</v>
      </c>
      <c r="H514" s="19" t="str">
        <f t="shared" si="38"/>
        <v>Walk-HeavyR</v>
      </c>
    </row>
    <row r="515" spans="1:8" x14ac:dyDescent="0.2">
      <c r="A515" s="2" t="s">
        <v>97</v>
      </c>
      <c r="B515" s="2" t="s">
        <v>67</v>
      </c>
      <c r="C515" s="2">
        <v>13</v>
      </c>
      <c r="D515" s="2">
        <v>10</v>
      </c>
      <c r="E515" s="2">
        <v>0</v>
      </c>
      <c r="F515" s="19" t="str">
        <f t="shared" ref="F515:F578" si="39">IF(A515="joint","Joint",_xlfn.IFNA(VLOOKUP(B515,tour_purposes,2,FALSE),"None"))</f>
        <v>School</v>
      </c>
      <c r="G515" s="19" t="str">
        <f t="shared" ref="G515:G578" si="40">IF(AND(A515="joint",C515&lt;=6),"Auto",_xlfn.IFNA(VLOOKUP(C515,tour_modes,3,FALSE),"None"))</f>
        <v>Walk-Transit</v>
      </c>
      <c r="H515" s="19" t="str">
        <f t="shared" ref="H515:H578" si="41">_xlfn.IFNA(VLOOKUP(D515,trip_modes,2,FALSE),"None")</f>
        <v>Walk-LRT</v>
      </c>
    </row>
    <row r="516" spans="1:8" x14ac:dyDescent="0.2">
      <c r="A516" s="2" t="s">
        <v>97</v>
      </c>
      <c r="B516" s="2" t="s">
        <v>67</v>
      </c>
      <c r="C516" s="2">
        <v>13</v>
      </c>
      <c r="D516" s="2">
        <v>11</v>
      </c>
      <c r="E516" s="2">
        <v>0</v>
      </c>
      <c r="F516" s="19" t="str">
        <f t="shared" si="39"/>
        <v>School</v>
      </c>
      <c r="G516" s="19" t="str">
        <f t="shared" si="40"/>
        <v>Walk-Transit</v>
      </c>
      <c r="H516" s="19" t="str">
        <f t="shared" si="41"/>
        <v>Walk-Express</v>
      </c>
    </row>
    <row r="517" spans="1:8" x14ac:dyDescent="0.2">
      <c r="A517" s="2" t="s">
        <v>97</v>
      </c>
      <c r="B517" s="2" t="s">
        <v>67</v>
      </c>
      <c r="C517" s="2">
        <v>13</v>
      </c>
      <c r="D517" s="2">
        <v>12</v>
      </c>
      <c r="E517" s="2">
        <v>0</v>
      </c>
      <c r="F517" s="19" t="str">
        <f t="shared" si="39"/>
        <v>School</v>
      </c>
      <c r="G517" s="19" t="str">
        <f t="shared" si="40"/>
        <v>Walk-Transit</v>
      </c>
      <c r="H517" s="19" t="str">
        <f t="shared" si="41"/>
        <v>Walk-HeavyR</v>
      </c>
    </row>
    <row r="518" spans="1:8" x14ac:dyDescent="0.2">
      <c r="A518" s="2" t="s">
        <v>97</v>
      </c>
      <c r="B518" s="2" t="s">
        <v>67</v>
      </c>
      <c r="C518" s="2">
        <v>13</v>
      </c>
      <c r="D518" s="2">
        <v>13</v>
      </c>
      <c r="E518" s="2">
        <v>0</v>
      </c>
      <c r="F518" s="19" t="str">
        <f t="shared" si="39"/>
        <v>School</v>
      </c>
      <c r="G518" s="19" t="str">
        <f t="shared" si="40"/>
        <v>Walk-Transit</v>
      </c>
      <c r="H518" s="19" t="str">
        <f t="shared" si="41"/>
        <v>Walk-CommR</v>
      </c>
    </row>
    <row r="519" spans="1:8" x14ac:dyDescent="0.2">
      <c r="A519" s="2" t="s">
        <v>97</v>
      </c>
      <c r="B519" s="2" t="s">
        <v>67</v>
      </c>
      <c r="C519" s="2">
        <v>19</v>
      </c>
      <c r="D519" s="2">
        <v>3</v>
      </c>
      <c r="E519" s="2">
        <v>0</v>
      </c>
      <c r="F519" s="19" t="str">
        <f t="shared" si="39"/>
        <v>School</v>
      </c>
      <c r="G519" s="19" t="str">
        <f t="shared" si="40"/>
        <v>Taxi</v>
      </c>
      <c r="H519" s="19" t="str">
        <f t="shared" si="41"/>
        <v>SR2</v>
      </c>
    </row>
    <row r="520" spans="1:8" x14ac:dyDescent="0.2">
      <c r="A520" s="2" t="s">
        <v>97</v>
      </c>
      <c r="B520" s="2" t="s">
        <v>67</v>
      </c>
      <c r="C520" s="2">
        <v>19</v>
      </c>
      <c r="D520" s="2">
        <v>5</v>
      </c>
      <c r="E520" s="2">
        <v>0</v>
      </c>
      <c r="F520" s="19" t="str">
        <f t="shared" si="39"/>
        <v>School</v>
      </c>
      <c r="G520" s="19" t="str">
        <f t="shared" si="40"/>
        <v>Taxi</v>
      </c>
      <c r="H520" s="19" t="str">
        <f t="shared" si="41"/>
        <v>SR3+</v>
      </c>
    </row>
    <row r="521" spans="1:8" x14ac:dyDescent="0.2">
      <c r="A521" s="2" t="s">
        <v>97</v>
      </c>
      <c r="B521" s="2" t="s">
        <v>67</v>
      </c>
      <c r="C521" s="2">
        <v>19</v>
      </c>
      <c r="D521" s="2">
        <v>7</v>
      </c>
      <c r="E521" s="2">
        <v>0</v>
      </c>
      <c r="F521" s="19" t="str">
        <f t="shared" si="39"/>
        <v>School</v>
      </c>
      <c r="G521" s="19" t="str">
        <f t="shared" si="40"/>
        <v>Taxi</v>
      </c>
      <c r="H521" s="19" t="str">
        <f t="shared" si="41"/>
        <v>Walk</v>
      </c>
    </row>
    <row r="522" spans="1:8" x14ac:dyDescent="0.2">
      <c r="A522" s="2" t="s">
        <v>97</v>
      </c>
      <c r="B522" s="2" t="s">
        <v>67</v>
      </c>
      <c r="C522" s="2">
        <v>19</v>
      </c>
      <c r="D522" s="2">
        <v>11</v>
      </c>
      <c r="E522" s="2">
        <v>0</v>
      </c>
      <c r="F522" s="19" t="str">
        <f t="shared" si="39"/>
        <v>School</v>
      </c>
      <c r="G522" s="19" t="str">
        <f t="shared" si="40"/>
        <v>Taxi</v>
      </c>
      <c r="H522" s="19" t="str">
        <f t="shared" si="41"/>
        <v>Walk-Express</v>
      </c>
    </row>
    <row r="523" spans="1:8" x14ac:dyDescent="0.2">
      <c r="A523" s="2" t="s">
        <v>97</v>
      </c>
      <c r="B523" s="2" t="s">
        <v>67</v>
      </c>
      <c r="C523" s="2">
        <v>19</v>
      </c>
      <c r="D523" s="2">
        <v>19</v>
      </c>
      <c r="E523" s="2">
        <v>0</v>
      </c>
      <c r="F523" s="19" t="str">
        <f t="shared" si="39"/>
        <v>School</v>
      </c>
      <c r="G523" s="19" t="str">
        <f t="shared" si="40"/>
        <v>Taxi</v>
      </c>
      <c r="H523" s="19" t="str">
        <f t="shared" si="41"/>
        <v>Taxi</v>
      </c>
    </row>
    <row r="524" spans="1:8" x14ac:dyDescent="0.2">
      <c r="A524" s="2" t="s">
        <v>97</v>
      </c>
      <c r="B524" s="2" t="s">
        <v>67</v>
      </c>
      <c r="C524" s="2">
        <v>19</v>
      </c>
      <c r="D524" s="2">
        <v>20</v>
      </c>
      <c r="E524" s="2">
        <v>0</v>
      </c>
      <c r="F524" s="19" t="str">
        <f t="shared" si="39"/>
        <v>School</v>
      </c>
      <c r="G524" s="19" t="str">
        <f t="shared" si="40"/>
        <v>Taxi</v>
      </c>
      <c r="H524" s="19" t="str">
        <f t="shared" si="41"/>
        <v>TNC-Single</v>
      </c>
    </row>
    <row r="525" spans="1:8" x14ac:dyDescent="0.2">
      <c r="A525" s="2" t="s">
        <v>97</v>
      </c>
      <c r="B525" s="2" t="s">
        <v>67</v>
      </c>
      <c r="C525" s="2">
        <v>19</v>
      </c>
      <c r="D525" s="2">
        <v>21</v>
      </c>
      <c r="E525" s="2">
        <v>0</v>
      </c>
      <c r="F525" s="19" t="str">
        <f t="shared" si="39"/>
        <v>School</v>
      </c>
      <c r="G525" s="19" t="str">
        <f t="shared" si="40"/>
        <v>Taxi</v>
      </c>
      <c r="H525" s="19" t="str">
        <f t="shared" si="41"/>
        <v>TNC-Shared</v>
      </c>
    </row>
    <row r="526" spans="1:8" x14ac:dyDescent="0.2">
      <c r="A526" s="2" t="s">
        <v>97</v>
      </c>
      <c r="B526" s="2" t="s">
        <v>68</v>
      </c>
      <c r="C526" s="2">
        <v>1</v>
      </c>
      <c r="D526" s="2">
        <v>1</v>
      </c>
      <c r="E526" s="2">
        <v>0</v>
      </c>
      <c r="F526" s="19" t="str">
        <f t="shared" si="39"/>
        <v>School</v>
      </c>
      <c r="G526" s="19" t="str">
        <f t="shared" si="40"/>
        <v>Drive Alone</v>
      </c>
      <c r="H526" s="19" t="str">
        <f t="shared" si="41"/>
        <v>Drive Alone</v>
      </c>
    </row>
    <row r="527" spans="1:8" x14ac:dyDescent="0.2">
      <c r="A527" s="2" t="s">
        <v>97</v>
      </c>
      <c r="B527" s="2" t="s">
        <v>68</v>
      </c>
      <c r="C527" s="2">
        <v>3</v>
      </c>
      <c r="D527" s="2">
        <v>1</v>
      </c>
      <c r="E527" s="2">
        <v>0</v>
      </c>
      <c r="F527" s="19" t="str">
        <f t="shared" si="39"/>
        <v>School</v>
      </c>
      <c r="G527" s="19" t="str">
        <f t="shared" si="40"/>
        <v>SR2</v>
      </c>
      <c r="H527" s="19" t="str">
        <f t="shared" si="41"/>
        <v>Drive Alone</v>
      </c>
    </row>
    <row r="528" spans="1:8" x14ac:dyDescent="0.2">
      <c r="A528" s="2" t="s">
        <v>97</v>
      </c>
      <c r="B528" s="2" t="s">
        <v>68</v>
      </c>
      <c r="C528" s="2">
        <v>3</v>
      </c>
      <c r="D528" s="2">
        <v>3</v>
      </c>
      <c r="E528" s="2">
        <v>0</v>
      </c>
      <c r="F528" s="19" t="str">
        <f t="shared" si="39"/>
        <v>School</v>
      </c>
      <c r="G528" s="19" t="str">
        <f t="shared" si="40"/>
        <v>SR2</v>
      </c>
      <c r="H528" s="19" t="str">
        <f t="shared" si="41"/>
        <v>SR2</v>
      </c>
    </row>
    <row r="529" spans="1:8" x14ac:dyDescent="0.2">
      <c r="A529" s="2" t="s">
        <v>97</v>
      </c>
      <c r="B529" s="2" t="s">
        <v>68</v>
      </c>
      <c r="C529" s="2">
        <v>3</v>
      </c>
      <c r="D529" s="2">
        <v>7</v>
      </c>
      <c r="E529" s="2">
        <v>0</v>
      </c>
      <c r="F529" s="19" t="str">
        <f t="shared" si="39"/>
        <v>School</v>
      </c>
      <c r="G529" s="19" t="str">
        <f t="shared" si="40"/>
        <v>SR2</v>
      </c>
      <c r="H529" s="19" t="str">
        <f t="shared" si="41"/>
        <v>Walk</v>
      </c>
    </row>
    <row r="530" spans="1:8" x14ac:dyDescent="0.2">
      <c r="A530" s="2" t="s">
        <v>97</v>
      </c>
      <c r="B530" s="2" t="s">
        <v>68</v>
      </c>
      <c r="C530" s="2">
        <v>5</v>
      </c>
      <c r="D530" s="2">
        <v>1</v>
      </c>
      <c r="E530" s="2">
        <v>0</v>
      </c>
      <c r="F530" s="19" t="str">
        <f t="shared" si="39"/>
        <v>School</v>
      </c>
      <c r="G530" s="19" t="str">
        <f t="shared" si="40"/>
        <v>SR3+</v>
      </c>
      <c r="H530" s="19" t="str">
        <f t="shared" si="41"/>
        <v>Drive Alone</v>
      </c>
    </row>
    <row r="531" spans="1:8" x14ac:dyDescent="0.2">
      <c r="A531" s="2" t="s">
        <v>97</v>
      </c>
      <c r="B531" s="2" t="s">
        <v>68</v>
      </c>
      <c r="C531" s="2">
        <v>5</v>
      </c>
      <c r="D531" s="2">
        <v>3</v>
      </c>
      <c r="E531" s="2">
        <v>0</v>
      </c>
      <c r="F531" s="19" t="str">
        <f t="shared" si="39"/>
        <v>School</v>
      </c>
      <c r="G531" s="19" t="str">
        <f t="shared" si="40"/>
        <v>SR3+</v>
      </c>
      <c r="H531" s="19" t="str">
        <f t="shared" si="41"/>
        <v>SR2</v>
      </c>
    </row>
    <row r="532" spans="1:8" x14ac:dyDescent="0.2">
      <c r="A532" s="2" t="s">
        <v>97</v>
      </c>
      <c r="B532" s="2" t="s">
        <v>68</v>
      </c>
      <c r="C532" s="2">
        <v>5</v>
      </c>
      <c r="D532" s="2">
        <v>5</v>
      </c>
      <c r="E532" s="2">
        <v>0</v>
      </c>
      <c r="F532" s="19" t="str">
        <f t="shared" si="39"/>
        <v>School</v>
      </c>
      <c r="G532" s="19" t="str">
        <f t="shared" si="40"/>
        <v>SR3+</v>
      </c>
      <c r="H532" s="19" t="str">
        <f t="shared" si="41"/>
        <v>SR3+</v>
      </c>
    </row>
    <row r="533" spans="1:8" x14ac:dyDescent="0.2">
      <c r="A533" s="2" t="s">
        <v>97</v>
      </c>
      <c r="B533" s="2" t="s">
        <v>68</v>
      </c>
      <c r="C533" s="2">
        <v>5</v>
      </c>
      <c r="D533" s="2">
        <v>7</v>
      </c>
      <c r="E533" s="2">
        <v>0</v>
      </c>
      <c r="F533" s="19" t="str">
        <f t="shared" si="39"/>
        <v>School</v>
      </c>
      <c r="G533" s="19" t="str">
        <f t="shared" si="40"/>
        <v>SR3+</v>
      </c>
      <c r="H533" s="19" t="str">
        <f t="shared" si="41"/>
        <v>Walk</v>
      </c>
    </row>
    <row r="534" spans="1:8" x14ac:dyDescent="0.2">
      <c r="A534" s="2" t="s">
        <v>97</v>
      </c>
      <c r="B534" s="2" t="s">
        <v>68</v>
      </c>
      <c r="C534" s="2">
        <v>7</v>
      </c>
      <c r="D534" s="2">
        <v>7</v>
      </c>
      <c r="E534" s="2">
        <v>0</v>
      </c>
      <c r="F534" s="19" t="str">
        <f t="shared" si="39"/>
        <v>School</v>
      </c>
      <c r="G534" s="19" t="str">
        <f t="shared" si="40"/>
        <v>Walk</v>
      </c>
      <c r="H534" s="19" t="str">
        <f t="shared" si="41"/>
        <v>Walk</v>
      </c>
    </row>
    <row r="535" spans="1:8" x14ac:dyDescent="0.2">
      <c r="A535" s="2" t="s">
        <v>97</v>
      </c>
      <c r="B535" s="2" t="s">
        <v>68</v>
      </c>
      <c r="C535" s="2">
        <v>7</v>
      </c>
      <c r="D535" s="2">
        <v>19</v>
      </c>
      <c r="E535" s="2">
        <v>0</v>
      </c>
      <c r="F535" s="19" t="str">
        <f t="shared" si="39"/>
        <v>School</v>
      </c>
      <c r="G535" s="19" t="str">
        <f t="shared" si="40"/>
        <v>Walk</v>
      </c>
      <c r="H535" s="19" t="str">
        <f t="shared" si="41"/>
        <v>Taxi</v>
      </c>
    </row>
    <row r="536" spans="1:8" x14ac:dyDescent="0.2">
      <c r="A536" s="2" t="s">
        <v>97</v>
      </c>
      <c r="B536" s="2" t="s">
        <v>68</v>
      </c>
      <c r="C536" s="2">
        <v>7</v>
      </c>
      <c r="D536" s="2">
        <v>20</v>
      </c>
      <c r="E536" s="2">
        <v>0</v>
      </c>
      <c r="F536" s="19" t="str">
        <f t="shared" si="39"/>
        <v>School</v>
      </c>
      <c r="G536" s="19" t="str">
        <f t="shared" si="40"/>
        <v>Walk</v>
      </c>
      <c r="H536" s="19" t="str">
        <f t="shared" si="41"/>
        <v>TNC-Single</v>
      </c>
    </row>
    <row r="537" spans="1:8" x14ac:dyDescent="0.2">
      <c r="A537" s="2" t="s">
        <v>97</v>
      </c>
      <c r="B537" s="2" t="s">
        <v>68</v>
      </c>
      <c r="C537" s="2">
        <v>8</v>
      </c>
      <c r="D537" s="2">
        <v>7</v>
      </c>
      <c r="E537" s="2">
        <v>0</v>
      </c>
      <c r="F537" s="19" t="str">
        <f t="shared" si="39"/>
        <v>School</v>
      </c>
      <c r="G537" s="19" t="str">
        <f t="shared" si="40"/>
        <v>Bike</v>
      </c>
      <c r="H537" s="19" t="str">
        <f t="shared" si="41"/>
        <v>Walk</v>
      </c>
    </row>
    <row r="538" spans="1:8" x14ac:dyDescent="0.2">
      <c r="A538" s="2" t="s">
        <v>97</v>
      </c>
      <c r="B538" s="2" t="s">
        <v>68</v>
      </c>
      <c r="C538" s="2">
        <v>8</v>
      </c>
      <c r="D538" s="2">
        <v>8</v>
      </c>
      <c r="E538" s="2">
        <v>0</v>
      </c>
      <c r="F538" s="19" t="str">
        <f t="shared" si="39"/>
        <v>School</v>
      </c>
      <c r="G538" s="19" t="str">
        <f t="shared" si="40"/>
        <v>Bike</v>
      </c>
      <c r="H538" s="19" t="str">
        <f t="shared" si="41"/>
        <v>Bike</v>
      </c>
    </row>
    <row r="539" spans="1:8" x14ac:dyDescent="0.2">
      <c r="A539" s="2" t="s">
        <v>97</v>
      </c>
      <c r="B539" s="2" t="s">
        <v>68</v>
      </c>
      <c r="C539" s="2">
        <v>8</v>
      </c>
      <c r="D539" s="2">
        <v>19</v>
      </c>
      <c r="E539" s="2">
        <v>0</v>
      </c>
      <c r="F539" s="19" t="str">
        <f t="shared" si="39"/>
        <v>School</v>
      </c>
      <c r="G539" s="19" t="str">
        <f t="shared" si="40"/>
        <v>Bike</v>
      </c>
      <c r="H539" s="19" t="str">
        <f t="shared" si="41"/>
        <v>Taxi</v>
      </c>
    </row>
    <row r="540" spans="1:8" x14ac:dyDescent="0.2">
      <c r="A540" s="2" t="s">
        <v>97</v>
      </c>
      <c r="B540" s="2" t="s">
        <v>68</v>
      </c>
      <c r="C540" s="2">
        <v>9</v>
      </c>
      <c r="D540" s="2">
        <v>3</v>
      </c>
      <c r="E540" s="2">
        <v>0</v>
      </c>
      <c r="F540" s="19" t="str">
        <f t="shared" si="39"/>
        <v>School</v>
      </c>
      <c r="G540" s="19" t="str">
        <f t="shared" si="40"/>
        <v>Walk-Transit</v>
      </c>
      <c r="H540" s="19" t="str">
        <f t="shared" si="41"/>
        <v>SR2</v>
      </c>
    </row>
    <row r="541" spans="1:8" x14ac:dyDescent="0.2">
      <c r="A541" s="2" t="s">
        <v>97</v>
      </c>
      <c r="B541" s="2" t="s">
        <v>68</v>
      </c>
      <c r="C541" s="2">
        <v>9</v>
      </c>
      <c r="D541" s="2">
        <v>5</v>
      </c>
      <c r="E541" s="2">
        <v>0</v>
      </c>
      <c r="F541" s="19" t="str">
        <f t="shared" si="39"/>
        <v>School</v>
      </c>
      <c r="G541" s="19" t="str">
        <f t="shared" si="40"/>
        <v>Walk-Transit</v>
      </c>
      <c r="H541" s="19" t="str">
        <f t="shared" si="41"/>
        <v>SR3+</v>
      </c>
    </row>
    <row r="542" spans="1:8" x14ac:dyDescent="0.2">
      <c r="A542" s="2" t="s">
        <v>97</v>
      </c>
      <c r="B542" s="2" t="s">
        <v>68</v>
      </c>
      <c r="C542" s="2">
        <v>9</v>
      </c>
      <c r="D542" s="2">
        <v>7</v>
      </c>
      <c r="E542" s="2">
        <v>0</v>
      </c>
      <c r="F542" s="19" t="str">
        <f t="shared" si="39"/>
        <v>School</v>
      </c>
      <c r="G542" s="19" t="str">
        <f t="shared" si="40"/>
        <v>Walk-Transit</v>
      </c>
      <c r="H542" s="19" t="str">
        <f t="shared" si="41"/>
        <v>Walk</v>
      </c>
    </row>
    <row r="543" spans="1:8" x14ac:dyDescent="0.2">
      <c r="A543" s="2" t="s">
        <v>97</v>
      </c>
      <c r="B543" s="2" t="s">
        <v>68</v>
      </c>
      <c r="C543" s="2">
        <v>9</v>
      </c>
      <c r="D543" s="2">
        <v>9</v>
      </c>
      <c r="E543" s="2">
        <v>0</v>
      </c>
      <c r="F543" s="19" t="str">
        <f t="shared" si="39"/>
        <v>School</v>
      </c>
      <c r="G543" s="19" t="str">
        <f t="shared" si="40"/>
        <v>Walk-Transit</v>
      </c>
      <c r="H543" s="19" t="str">
        <f t="shared" si="41"/>
        <v>Walk-Local</v>
      </c>
    </row>
    <row r="544" spans="1:8" x14ac:dyDescent="0.2">
      <c r="A544" s="2" t="s">
        <v>97</v>
      </c>
      <c r="B544" s="2" t="s">
        <v>68</v>
      </c>
      <c r="C544" s="2">
        <v>9</v>
      </c>
      <c r="D544" s="2">
        <v>19</v>
      </c>
      <c r="E544" s="2">
        <v>0</v>
      </c>
      <c r="F544" s="19" t="str">
        <f t="shared" si="39"/>
        <v>School</v>
      </c>
      <c r="G544" s="19" t="str">
        <f t="shared" si="40"/>
        <v>Walk-Transit</v>
      </c>
      <c r="H544" s="19" t="str">
        <f t="shared" si="41"/>
        <v>Taxi</v>
      </c>
    </row>
    <row r="545" spans="1:8" x14ac:dyDescent="0.2">
      <c r="A545" s="2" t="s">
        <v>97</v>
      </c>
      <c r="B545" s="2" t="s">
        <v>68</v>
      </c>
      <c r="C545" s="2">
        <v>10</v>
      </c>
      <c r="D545" s="2">
        <v>-10</v>
      </c>
      <c r="E545" s="2">
        <v>0</v>
      </c>
      <c r="F545" s="19" t="str">
        <f t="shared" si="39"/>
        <v>School</v>
      </c>
      <c r="G545" s="19" t="str">
        <f t="shared" si="40"/>
        <v>Walk-Transit</v>
      </c>
      <c r="H545" s="19" t="str">
        <f t="shared" si="41"/>
        <v>Walk-Ferry</v>
      </c>
    </row>
    <row r="546" spans="1:8" x14ac:dyDescent="0.2">
      <c r="A546" s="2" t="s">
        <v>97</v>
      </c>
      <c r="B546" s="2" t="s">
        <v>68</v>
      </c>
      <c r="C546" s="2">
        <v>10</v>
      </c>
      <c r="D546" s="2">
        <v>3</v>
      </c>
      <c r="E546" s="2">
        <v>0</v>
      </c>
      <c r="F546" s="19" t="str">
        <f t="shared" si="39"/>
        <v>School</v>
      </c>
      <c r="G546" s="19" t="str">
        <f t="shared" si="40"/>
        <v>Walk-Transit</v>
      </c>
      <c r="H546" s="19" t="str">
        <f t="shared" si="41"/>
        <v>SR2</v>
      </c>
    </row>
    <row r="547" spans="1:8" x14ac:dyDescent="0.2">
      <c r="A547" s="2" t="s">
        <v>97</v>
      </c>
      <c r="B547" s="2" t="s">
        <v>68</v>
      </c>
      <c r="C547" s="2">
        <v>10</v>
      </c>
      <c r="D547" s="2">
        <v>5</v>
      </c>
      <c r="E547" s="2">
        <v>0</v>
      </c>
      <c r="F547" s="19" t="str">
        <f t="shared" si="39"/>
        <v>School</v>
      </c>
      <c r="G547" s="19" t="str">
        <f t="shared" si="40"/>
        <v>Walk-Transit</v>
      </c>
      <c r="H547" s="19" t="str">
        <f t="shared" si="41"/>
        <v>SR3+</v>
      </c>
    </row>
    <row r="548" spans="1:8" x14ac:dyDescent="0.2">
      <c r="A548" s="2" t="s">
        <v>97</v>
      </c>
      <c r="B548" s="2" t="s">
        <v>68</v>
      </c>
      <c r="C548" s="2">
        <v>10</v>
      </c>
      <c r="D548" s="2">
        <v>10</v>
      </c>
      <c r="E548" s="2">
        <v>0</v>
      </c>
      <c r="F548" s="19" t="str">
        <f t="shared" si="39"/>
        <v>School</v>
      </c>
      <c r="G548" s="19" t="str">
        <f t="shared" si="40"/>
        <v>Walk-Transit</v>
      </c>
      <c r="H548" s="19" t="str">
        <f t="shared" si="41"/>
        <v>Walk-LRT</v>
      </c>
    </row>
    <row r="549" spans="1:8" x14ac:dyDescent="0.2">
      <c r="A549" s="2" t="s">
        <v>97</v>
      </c>
      <c r="B549" s="2" t="s">
        <v>68</v>
      </c>
      <c r="C549" s="2">
        <v>11</v>
      </c>
      <c r="D549" s="2">
        <v>9</v>
      </c>
      <c r="E549" s="2">
        <v>0</v>
      </c>
      <c r="F549" s="19" t="str">
        <f t="shared" si="39"/>
        <v>School</v>
      </c>
      <c r="G549" s="19" t="str">
        <f t="shared" si="40"/>
        <v>Walk-Transit</v>
      </c>
      <c r="H549" s="19" t="str">
        <f t="shared" si="41"/>
        <v>Walk-Local</v>
      </c>
    </row>
    <row r="550" spans="1:8" x14ac:dyDescent="0.2">
      <c r="A550" s="2" t="s">
        <v>97</v>
      </c>
      <c r="B550" s="2" t="s">
        <v>68</v>
      </c>
      <c r="C550" s="2">
        <v>11</v>
      </c>
      <c r="D550" s="2">
        <v>10</v>
      </c>
      <c r="E550" s="2">
        <v>0</v>
      </c>
      <c r="F550" s="19" t="str">
        <f t="shared" si="39"/>
        <v>School</v>
      </c>
      <c r="G550" s="19" t="str">
        <f t="shared" si="40"/>
        <v>Walk-Transit</v>
      </c>
      <c r="H550" s="19" t="str">
        <f t="shared" si="41"/>
        <v>Walk-LRT</v>
      </c>
    </row>
    <row r="551" spans="1:8" x14ac:dyDescent="0.2">
      <c r="A551" s="2" t="s">
        <v>97</v>
      </c>
      <c r="B551" s="2" t="s">
        <v>68</v>
      </c>
      <c r="C551" s="2">
        <v>11</v>
      </c>
      <c r="D551" s="2">
        <v>11</v>
      </c>
      <c r="E551" s="2">
        <v>0</v>
      </c>
      <c r="F551" s="19" t="str">
        <f t="shared" si="39"/>
        <v>School</v>
      </c>
      <c r="G551" s="19" t="str">
        <f t="shared" si="40"/>
        <v>Walk-Transit</v>
      </c>
      <c r="H551" s="19" t="str">
        <f t="shared" si="41"/>
        <v>Walk-Express</v>
      </c>
    </row>
    <row r="552" spans="1:8" x14ac:dyDescent="0.2">
      <c r="A552" s="2" t="s">
        <v>97</v>
      </c>
      <c r="B552" s="2" t="s">
        <v>68</v>
      </c>
      <c r="C552" s="2">
        <v>12</v>
      </c>
      <c r="D552" s="2">
        <v>10</v>
      </c>
      <c r="E552" s="2">
        <v>0</v>
      </c>
      <c r="F552" s="19" t="str">
        <f t="shared" si="39"/>
        <v>School</v>
      </c>
      <c r="G552" s="19" t="str">
        <f t="shared" si="40"/>
        <v>Walk-Transit</v>
      </c>
      <c r="H552" s="19" t="str">
        <f t="shared" si="41"/>
        <v>Walk-LRT</v>
      </c>
    </row>
    <row r="553" spans="1:8" x14ac:dyDescent="0.2">
      <c r="A553" s="2" t="s">
        <v>97</v>
      </c>
      <c r="B553" s="2" t="s">
        <v>68</v>
      </c>
      <c r="C553" s="2">
        <v>12</v>
      </c>
      <c r="D553" s="2">
        <v>11</v>
      </c>
      <c r="E553" s="2">
        <v>0</v>
      </c>
      <c r="F553" s="19" t="str">
        <f t="shared" si="39"/>
        <v>School</v>
      </c>
      <c r="G553" s="19" t="str">
        <f t="shared" si="40"/>
        <v>Walk-Transit</v>
      </c>
      <c r="H553" s="19" t="str">
        <f t="shared" si="41"/>
        <v>Walk-Express</v>
      </c>
    </row>
    <row r="554" spans="1:8" x14ac:dyDescent="0.2">
      <c r="A554" s="2" t="s">
        <v>97</v>
      </c>
      <c r="B554" s="2" t="s">
        <v>68</v>
      </c>
      <c r="C554" s="2">
        <v>12</v>
      </c>
      <c r="D554" s="2">
        <v>12</v>
      </c>
      <c r="E554" s="2">
        <v>0</v>
      </c>
      <c r="F554" s="19" t="str">
        <f t="shared" si="39"/>
        <v>School</v>
      </c>
      <c r="G554" s="19" t="str">
        <f t="shared" si="40"/>
        <v>Walk-Transit</v>
      </c>
      <c r="H554" s="19" t="str">
        <f t="shared" si="41"/>
        <v>Walk-HeavyR</v>
      </c>
    </row>
    <row r="555" spans="1:8" x14ac:dyDescent="0.2">
      <c r="A555" s="2" t="s">
        <v>97</v>
      </c>
      <c r="B555" s="2" t="s">
        <v>68</v>
      </c>
      <c r="C555" s="2">
        <v>13</v>
      </c>
      <c r="D555" s="2">
        <v>10</v>
      </c>
      <c r="E555" s="2">
        <v>0</v>
      </c>
      <c r="F555" s="19" t="str">
        <f t="shared" si="39"/>
        <v>School</v>
      </c>
      <c r="G555" s="19" t="str">
        <f t="shared" si="40"/>
        <v>Walk-Transit</v>
      </c>
      <c r="H555" s="19" t="str">
        <f t="shared" si="41"/>
        <v>Walk-LRT</v>
      </c>
    </row>
    <row r="556" spans="1:8" x14ac:dyDescent="0.2">
      <c r="A556" s="2" t="s">
        <v>97</v>
      </c>
      <c r="B556" s="2" t="s">
        <v>68</v>
      </c>
      <c r="C556" s="2">
        <v>13</v>
      </c>
      <c r="D556" s="2">
        <v>12</v>
      </c>
      <c r="E556" s="2">
        <v>0</v>
      </c>
      <c r="F556" s="19" t="str">
        <f t="shared" si="39"/>
        <v>School</v>
      </c>
      <c r="G556" s="19" t="str">
        <f t="shared" si="40"/>
        <v>Walk-Transit</v>
      </c>
      <c r="H556" s="19" t="str">
        <f t="shared" si="41"/>
        <v>Walk-HeavyR</v>
      </c>
    </row>
    <row r="557" spans="1:8" x14ac:dyDescent="0.2">
      <c r="A557" s="2" t="s">
        <v>97</v>
      </c>
      <c r="B557" s="2" t="s">
        <v>68</v>
      </c>
      <c r="C557" s="2">
        <v>13</v>
      </c>
      <c r="D557" s="2">
        <v>13</v>
      </c>
      <c r="E557" s="2">
        <v>0</v>
      </c>
      <c r="F557" s="19" t="str">
        <f t="shared" si="39"/>
        <v>School</v>
      </c>
      <c r="G557" s="19" t="str">
        <f t="shared" si="40"/>
        <v>Walk-Transit</v>
      </c>
      <c r="H557" s="19" t="str">
        <f t="shared" si="41"/>
        <v>Walk-CommR</v>
      </c>
    </row>
    <row r="558" spans="1:8" x14ac:dyDescent="0.2">
      <c r="A558" s="2" t="s">
        <v>97</v>
      </c>
      <c r="B558" s="2" t="s">
        <v>68</v>
      </c>
      <c r="C558" s="2">
        <v>14</v>
      </c>
      <c r="D558" s="2">
        <v>14</v>
      </c>
      <c r="E558" s="2">
        <v>0</v>
      </c>
      <c r="F558" s="19" t="str">
        <f t="shared" si="39"/>
        <v>School</v>
      </c>
      <c r="G558" s="19" t="str">
        <f t="shared" si="40"/>
        <v>Drive-Transit</v>
      </c>
      <c r="H558" s="19" t="str">
        <f t="shared" si="41"/>
        <v>Drive-Local</v>
      </c>
    </row>
    <row r="559" spans="1:8" x14ac:dyDescent="0.2">
      <c r="A559" s="2" t="s">
        <v>97</v>
      </c>
      <c r="B559" s="2" t="s">
        <v>68</v>
      </c>
      <c r="C559" s="2">
        <v>15</v>
      </c>
      <c r="D559" s="2">
        <v>-15</v>
      </c>
      <c r="E559" s="2">
        <v>0</v>
      </c>
      <c r="F559" s="19" t="str">
        <f t="shared" si="39"/>
        <v>School</v>
      </c>
      <c r="G559" s="19" t="str">
        <f t="shared" si="40"/>
        <v>Drive-Transit</v>
      </c>
      <c r="H559" s="19" t="str">
        <f t="shared" si="41"/>
        <v>Drive-Ferry</v>
      </c>
    </row>
    <row r="560" spans="1:8" x14ac:dyDescent="0.2">
      <c r="A560" s="2" t="s">
        <v>97</v>
      </c>
      <c r="B560" s="2" t="s">
        <v>68</v>
      </c>
      <c r="C560" s="2">
        <v>16</v>
      </c>
      <c r="D560" s="2">
        <v>16</v>
      </c>
      <c r="E560" s="2">
        <v>0</v>
      </c>
      <c r="F560" s="19" t="str">
        <f t="shared" si="39"/>
        <v>School</v>
      </c>
      <c r="G560" s="19" t="str">
        <f t="shared" si="40"/>
        <v>Drive-Transit</v>
      </c>
      <c r="H560" s="19" t="str">
        <f t="shared" si="41"/>
        <v>Drive-Express</v>
      </c>
    </row>
    <row r="561" spans="1:8" x14ac:dyDescent="0.2">
      <c r="A561" s="2" t="s">
        <v>97</v>
      </c>
      <c r="B561" s="2" t="s">
        <v>68</v>
      </c>
      <c r="C561" s="2">
        <v>17</v>
      </c>
      <c r="D561" s="2">
        <v>14</v>
      </c>
      <c r="E561" s="2">
        <v>0</v>
      </c>
      <c r="F561" s="19" t="str">
        <f t="shared" si="39"/>
        <v>School</v>
      </c>
      <c r="G561" s="19" t="str">
        <f t="shared" si="40"/>
        <v>Drive-Transit</v>
      </c>
      <c r="H561" s="19" t="str">
        <f t="shared" si="41"/>
        <v>Drive-Local</v>
      </c>
    </row>
    <row r="562" spans="1:8" x14ac:dyDescent="0.2">
      <c r="A562" s="2" t="s">
        <v>97</v>
      </c>
      <c r="B562" s="2" t="s">
        <v>68</v>
      </c>
      <c r="C562" s="2">
        <v>17</v>
      </c>
      <c r="D562" s="2">
        <v>15</v>
      </c>
      <c r="E562" s="2">
        <v>0</v>
      </c>
      <c r="F562" s="19" t="str">
        <f t="shared" si="39"/>
        <v>School</v>
      </c>
      <c r="G562" s="19" t="str">
        <f t="shared" si="40"/>
        <v>Drive-Transit</v>
      </c>
      <c r="H562" s="19" t="str">
        <f t="shared" si="41"/>
        <v>Drive-LRT</v>
      </c>
    </row>
    <row r="563" spans="1:8" x14ac:dyDescent="0.2">
      <c r="A563" s="2" t="s">
        <v>97</v>
      </c>
      <c r="B563" s="2" t="s">
        <v>68</v>
      </c>
      <c r="C563" s="2">
        <v>17</v>
      </c>
      <c r="D563" s="2">
        <v>16</v>
      </c>
      <c r="E563" s="2">
        <v>0</v>
      </c>
      <c r="F563" s="19" t="str">
        <f t="shared" si="39"/>
        <v>School</v>
      </c>
      <c r="G563" s="19" t="str">
        <f t="shared" si="40"/>
        <v>Drive-Transit</v>
      </c>
      <c r="H563" s="19" t="str">
        <f t="shared" si="41"/>
        <v>Drive-Express</v>
      </c>
    </row>
    <row r="564" spans="1:8" x14ac:dyDescent="0.2">
      <c r="A564" s="2" t="s">
        <v>97</v>
      </c>
      <c r="B564" s="2" t="s">
        <v>68</v>
      </c>
      <c r="C564" s="2">
        <v>17</v>
      </c>
      <c r="D564" s="2">
        <v>17</v>
      </c>
      <c r="E564" s="2">
        <v>0</v>
      </c>
      <c r="F564" s="19" t="str">
        <f t="shared" si="39"/>
        <v>School</v>
      </c>
      <c r="G564" s="19" t="str">
        <f t="shared" si="40"/>
        <v>Drive-Transit</v>
      </c>
      <c r="H564" s="19" t="str">
        <f t="shared" si="41"/>
        <v>Drive-HeavyR</v>
      </c>
    </row>
    <row r="565" spans="1:8" x14ac:dyDescent="0.2">
      <c r="A565" s="2" t="s">
        <v>97</v>
      </c>
      <c r="B565" s="2" t="s">
        <v>68</v>
      </c>
      <c r="C565" s="2">
        <v>18</v>
      </c>
      <c r="D565" s="2">
        <v>14</v>
      </c>
      <c r="E565" s="2">
        <v>0</v>
      </c>
      <c r="F565" s="19" t="str">
        <f t="shared" si="39"/>
        <v>School</v>
      </c>
      <c r="G565" s="19" t="str">
        <f t="shared" si="40"/>
        <v>Drive-Transit</v>
      </c>
      <c r="H565" s="19" t="str">
        <f t="shared" si="41"/>
        <v>Drive-Local</v>
      </c>
    </row>
    <row r="566" spans="1:8" x14ac:dyDescent="0.2">
      <c r="A566" s="2" t="s">
        <v>97</v>
      </c>
      <c r="B566" s="2" t="s">
        <v>68</v>
      </c>
      <c r="C566" s="2">
        <v>18</v>
      </c>
      <c r="D566" s="2">
        <v>15</v>
      </c>
      <c r="E566" s="2">
        <v>0</v>
      </c>
      <c r="F566" s="19" t="str">
        <f t="shared" si="39"/>
        <v>School</v>
      </c>
      <c r="G566" s="19" t="str">
        <f t="shared" si="40"/>
        <v>Drive-Transit</v>
      </c>
      <c r="H566" s="19" t="str">
        <f t="shared" si="41"/>
        <v>Drive-LRT</v>
      </c>
    </row>
    <row r="567" spans="1:8" x14ac:dyDescent="0.2">
      <c r="A567" s="2" t="s">
        <v>97</v>
      </c>
      <c r="B567" s="2" t="s">
        <v>68</v>
      </c>
      <c r="C567" s="2">
        <v>18</v>
      </c>
      <c r="D567" s="2">
        <v>16</v>
      </c>
      <c r="E567" s="2">
        <v>0</v>
      </c>
      <c r="F567" s="19" t="str">
        <f t="shared" si="39"/>
        <v>School</v>
      </c>
      <c r="G567" s="19" t="str">
        <f t="shared" si="40"/>
        <v>Drive-Transit</v>
      </c>
      <c r="H567" s="19" t="str">
        <f t="shared" si="41"/>
        <v>Drive-Express</v>
      </c>
    </row>
    <row r="568" spans="1:8" x14ac:dyDescent="0.2">
      <c r="A568" s="2" t="s">
        <v>97</v>
      </c>
      <c r="B568" s="2" t="s">
        <v>68</v>
      </c>
      <c r="C568" s="2">
        <v>18</v>
      </c>
      <c r="D568" s="2">
        <v>17</v>
      </c>
      <c r="E568" s="2">
        <v>0</v>
      </c>
      <c r="F568" s="19" t="str">
        <f t="shared" si="39"/>
        <v>School</v>
      </c>
      <c r="G568" s="19" t="str">
        <f t="shared" si="40"/>
        <v>Drive-Transit</v>
      </c>
      <c r="H568" s="19" t="str">
        <f t="shared" si="41"/>
        <v>Drive-HeavyR</v>
      </c>
    </row>
    <row r="569" spans="1:8" x14ac:dyDescent="0.2">
      <c r="A569" s="2" t="s">
        <v>97</v>
      </c>
      <c r="B569" s="2" t="s">
        <v>68</v>
      </c>
      <c r="C569" s="2">
        <v>18</v>
      </c>
      <c r="D569" s="2">
        <v>18</v>
      </c>
      <c r="E569" s="2">
        <v>0</v>
      </c>
      <c r="F569" s="19" t="str">
        <f t="shared" si="39"/>
        <v>School</v>
      </c>
      <c r="G569" s="19" t="str">
        <f t="shared" si="40"/>
        <v>Drive-Transit</v>
      </c>
      <c r="H569" s="19" t="str">
        <f t="shared" si="41"/>
        <v>Drive-CommR</v>
      </c>
    </row>
    <row r="570" spans="1:8" x14ac:dyDescent="0.2">
      <c r="A570" s="2" t="s">
        <v>97</v>
      </c>
      <c r="B570" s="2" t="s">
        <v>68</v>
      </c>
      <c r="C570" s="2">
        <v>18</v>
      </c>
      <c r="D570" s="2">
        <v>19</v>
      </c>
      <c r="E570" s="2">
        <v>0</v>
      </c>
      <c r="F570" s="19" t="str">
        <f t="shared" si="39"/>
        <v>School</v>
      </c>
      <c r="G570" s="19" t="str">
        <f t="shared" si="40"/>
        <v>Drive-Transit</v>
      </c>
      <c r="H570" s="19" t="str">
        <f t="shared" si="41"/>
        <v>Taxi</v>
      </c>
    </row>
    <row r="571" spans="1:8" x14ac:dyDescent="0.2">
      <c r="A571" s="2" t="s">
        <v>97</v>
      </c>
      <c r="B571" s="2" t="s">
        <v>68</v>
      </c>
      <c r="C571" s="2">
        <v>19</v>
      </c>
      <c r="D571" s="2">
        <v>3</v>
      </c>
      <c r="E571" s="2">
        <v>0</v>
      </c>
      <c r="F571" s="19" t="str">
        <f t="shared" si="39"/>
        <v>School</v>
      </c>
      <c r="G571" s="19" t="str">
        <f t="shared" si="40"/>
        <v>Taxi</v>
      </c>
      <c r="H571" s="19" t="str">
        <f t="shared" si="41"/>
        <v>SR2</v>
      </c>
    </row>
    <row r="572" spans="1:8" x14ac:dyDescent="0.2">
      <c r="A572" s="2" t="s">
        <v>97</v>
      </c>
      <c r="B572" s="2" t="s">
        <v>68</v>
      </c>
      <c r="C572" s="2">
        <v>19</v>
      </c>
      <c r="D572" s="2">
        <v>5</v>
      </c>
      <c r="E572" s="2">
        <v>0</v>
      </c>
      <c r="F572" s="19" t="str">
        <f t="shared" si="39"/>
        <v>School</v>
      </c>
      <c r="G572" s="19" t="str">
        <f t="shared" si="40"/>
        <v>Taxi</v>
      </c>
      <c r="H572" s="19" t="str">
        <f t="shared" si="41"/>
        <v>SR3+</v>
      </c>
    </row>
    <row r="573" spans="1:8" x14ac:dyDescent="0.2">
      <c r="A573" s="2" t="s">
        <v>97</v>
      </c>
      <c r="B573" s="2" t="s">
        <v>68</v>
      </c>
      <c r="C573" s="2">
        <v>19</v>
      </c>
      <c r="D573" s="2">
        <v>7</v>
      </c>
      <c r="E573" s="2">
        <v>0</v>
      </c>
      <c r="F573" s="19" t="str">
        <f t="shared" si="39"/>
        <v>School</v>
      </c>
      <c r="G573" s="19" t="str">
        <f t="shared" si="40"/>
        <v>Taxi</v>
      </c>
      <c r="H573" s="19" t="str">
        <f t="shared" si="41"/>
        <v>Walk</v>
      </c>
    </row>
    <row r="574" spans="1:8" x14ac:dyDescent="0.2">
      <c r="A574" s="2" t="s">
        <v>97</v>
      </c>
      <c r="B574" s="2" t="s">
        <v>68</v>
      </c>
      <c r="C574" s="2">
        <v>19</v>
      </c>
      <c r="D574" s="2">
        <v>19</v>
      </c>
      <c r="E574" s="2">
        <v>0</v>
      </c>
      <c r="F574" s="19" t="str">
        <f t="shared" si="39"/>
        <v>School</v>
      </c>
      <c r="G574" s="19" t="str">
        <f t="shared" si="40"/>
        <v>Taxi</v>
      </c>
      <c r="H574" s="19" t="str">
        <f t="shared" si="41"/>
        <v>Taxi</v>
      </c>
    </row>
    <row r="575" spans="1:8" x14ac:dyDescent="0.2">
      <c r="A575" s="2" t="s">
        <v>97</v>
      </c>
      <c r="B575" s="2" t="s">
        <v>68</v>
      </c>
      <c r="C575" s="2">
        <v>19</v>
      </c>
      <c r="D575" s="2">
        <v>20</v>
      </c>
      <c r="E575" s="2">
        <v>0</v>
      </c>
      <c r="F575" s="19" t="str">
        <f t="shared" si="39"/>
        <v>School</v>
      </c>
      <c r="G575" s="19" t="str">
        <f t="shared" si="40"/>
        <v>Taxi</v>
      </c>
      <c r="H575" s="19" t="str">
        <f t="shared" si="41"/>
        <v>TNC-Single</v>
      </c>
    </row>
    <row r="576" spans="1:8" x14ac:dyDescent="0.2">
      <c r="A576" s="2" t="s">
        <v>97</v>
      </c>
      <c r="B576" s="2" t="s">
        <v>68</v>
      </c>
      <c r="C576" s="2">
        <v>21</v>
      </c>
      <c r="D576" s="2">
        <v>3</v>
      </c>
      <c r="E576" s="2">
        <v>0</v>
      </c>
      <c r="F576" s="19" t="str">
        <f t="shared" si="39"/>
        <v>School</v>
      </c>
      <c r="G576" s="19" t="str">
        <f t="shared" si="40"/>
        <v>TNC-Shared</v>
      </c>
      <c r="H576" s="19" t="str">
        <f t="shared" si="41"/>
        <v>SR2</v>
      </c>
    </row>
    <row r="577" spans="1:8" x14ac:dyDescent="0.2">
      <c r="A577" s="2" t="s">
        <v>97</v>
      </c>
      <c r="B577" s="2" t="s">
        <v>68</v>
      </c>
      <c r="C577" s="2">
        <v>21</v>
      </c>
      <c r="D577" s="2">
        <v>19</v>
      </c>
      <c r="E577" s="2">
        <v>0</v>
      </c>
      <c r="F577" s="19" t="str">
        <f t="shared" si="39"/>
        <v>School</v>
      </c>
      <c r="G577" s="19" t="str">
        <f t="shared" si="40"/>
        <v>TNC-Shared</v>
      </c>
      <c r="H577" s="19" t="str">
        <f t="shared" si="41"/>
        <v>Taxi</v>
      </c>
    </row>
    <row r="578" spans="1:8" x14ac:dyDescent="0.2">
      <c r="A578" s="2" t="s">
        <v>97</v>
      </c>
      <c r="B578" s="2" t="s">
        <v>69</v>
      </c>
      <c r="C578" s="2">
        <v>1</v>
      </c>
      <c r="D578" s="2">
        <v>1</v>
      </c>
      <c r="E578" s="2">
        <v>0</v>
      </c>
      <c r="F578" s="19" t="str">
        <f t="shared" si="39"/>
        <v>Individual Maintenance</v>
      </c>
      <c r="G578" s="19" t="str">
        <f t="shared" si="40"/>
        <v>Drive Alone</v>
      </c>
      <c r="H578" s="19" t="str">
        <f t="shared" si="41"/>
        <v>Drive Alone</v>
      </c>
    </row>
    <row r="579" spans="1:8" x14ac:dyDescent="0.2">
      <c r="A579" s="2" t="s">
        <v>97</v>
      </c>
      <c r="B579" s="2" t="s">
        <v>69</v>
      </c>
      <c r="C579" s="2">
        <v>1</v>
      </c>
      <c r="D579" s="2">
        <v>7</v>
      </c>
      <c r="E579" s="2">
        <v>0</v>
      </c>
      <c r="F579" s="19" t="str">
        <f t="shared" ref="F579:F642" si="42">IF(A579="joint","Joint",_xlfn.IFNA(VLOOKUP(B579,tour_purposes,2,FALSE),"None"))</f>
        <v>Individual Maintenance</v>
      </c>
      <c r="G579" s="19" t="str">
        <f t="shared" ref="G579:G642" si="43">IF(AND(A579="joint",C579&lt;=6),"Auto",_xlfn.IFNA(VLOOKUP(C579,tour_modes,3,FALSE),"None"))</f>
        <v>Drive Alone</v>
      </c>
      <c r="H579" s="19" t="str">
        <f t="shared" ref="H579:H642" si="44">_xlfn.IFNA(VLOOKUP(D579,trip_modes,2,FALSE),"None")</f>
        <v>Walk</v>
      </c>
    </row>
    <row r="580" spans="1:8" x14ac:dyDescent="0.2">
      <c r="A580" s="2" t="s">
        <v>97</v>
      </c>
      <c r="B580" s="2" t="s">
        <v>69</v>
      </c>
      <c r="C580" s="2">
        <v>1</v>
      </c>
      <c r="D580" s="2">
        <v>19</v>
      </c>
      <c r="E580" s="2">
        <v>0</v>
      </c>
      <c r="F580" s="19" t="str">
        <f t="shared" si="42"/>
        <v>Individual Maintenance</v>
      </c>
      <c r="G580" s="19" t="str">
        <f t="shared" si="43"/>
        <v>Drive Alone</v>
      </c>
      <c r="H580" s="19" t="str">
        <f t="shared" si="44"/>
        <v>Taxi</v>
      </c>
    </row>
    <row r="581" spans="1:8" x14ac:dyDescent="0.2">
      <c r="A581" s="2" t="s">
        <v>97</v>
      </c>
      <c r="B581" s="2" t="s">
        <v>69</v>
      </c>
      <c r="C581" s="2">
        <v>1</v>
      </c>
      <c r="D581" s="2">
        <v>20</v>
      </c>
      <c r="E581" s="2">
        <v>0</v>
      </c>
      <c r="F581" s="19" t="str">
        <f t="shared" si="42"/>
        <v>Individual Maintenance</v>
      </c>
      <c r="G581" s="19" t="str">
        <f t="shared" si="43"/>
        <v>Drive Alone</v>
      </c>
      <c r="H581" s="19" t="str">
        <f t="shared" si="44"/>
        <v>TNC-Single</v>
      </c>
    </row>
    <row r="582" spans="1:8" x14ac:dyDescent="0.2">
      <c r="A582" s="2" t="s">
        <v>97</v>
      </c>
      <c r="B582" s="2" t="s">
        <v>69</v>
      </c>
      <c r="C582" s="2">
        <v>3</v>
      </c>
      <c r="D582" s="2">
        <v>1</v>
      </c>
      <c r="E582" s="2">
        <v>0</v>
      </c>
      <c r="F582" s="19" t="str">
        <f t="shared" si="42"/>
        <v>Individual Maintenance</v>
      </c>
      <c r="G582" s="19" t="str">
        <f t="shared" si="43"/>
        <v>SR2</v>
      </c>
      <c r="H582" s="19" t="str">
        <f t="shared" si="44"/>
        <v>Drive Alone</v>
      </c>
    </row>
    <row r="583" spans="1:8" x14ac:dyDescent="0.2">
      <c r="A583" s="2" t="s">
        <v>97</v>
      </c>
      <c r="B583" s="2" t="s">
        <v>69</v>
      </c>
      <c r="C583" s="2">
        <v>3</v>
      </c>
      <c r="D583" s="2">
        <v>3</v>
      </c>
      <c r="E583" s="2">
        <v>0</v>
      </c>
      <c r="F583" s="19" t="str">
        <f t="shared" si="42"/>
        <v>Individual Maintenance</v>
      </c>
      <c r="G583" s="19" t="str">
        <f t="shared" si="43"/>
        <v>SR2</v>
      </c>
      <c r="H583" s="19" t="str">
        <f t="shared" si="44"/>
        <v>SR2</v>
      </c>
    </row>
    <row r="584" spans="1:8" x14ac:dyDescent="0.2">
      <c r="A584" s="2" t="s">
        <v>97</v>
      </c>
      <c r="B584" s="2" t="s">
        <v>69</v>
      </c>
      <c r="C584" s="2">
        <v>3</v>
      </c>
      <c r="D584" s="2">
        <v>7</v>
      </c>
      <c r="E584" s="2">
        <v>0</v>
      </c>
      <c r="F584" s="19" t="str">
        <f t="shared" si="42"/>
        <v>Individual Maintenance</v>
      </c>
      <c r="G584" s="19" t="str">
        <f t="shared" si="43"/>
        <v>SR2</v>
      </c>
      <c r="H584" s="19" t="str">
        <f t="shared" si="44"/>
        <v>Walk</v>
      </c>
    </row>
    <row r="585" spans="1:8" x14ac:dyDescent="0.2">
      <c r="A585" s="2" t="s">
        <v>97</v>
      </c>
      <c r="B585" s="2" t="s">
        <v>69</v>
      </c>
      <c r="C585" s="2">
        <v>3</v>
      </c>
      <c r="D585" s="2">
        <v>19</v>
      </c>
      <c r="E585" s="2">
        <v>0</v>
      </c>
      <c r="F585" s="19" t="str">
        <f t="shared" si="42"/>
        <v>Individual Maintenance</v>
      </c>
      <c r="G585" s="19" t="str">
        <f t="shared" si="43"/>
        <v>SR2</v>
      </c>
      <c r="H585" s="19" t="str">
        <f t="shared" si="44"/>
        <v>Taxi</v>
      </c>
    </row>
    <row r="586" spans="1:8" x14ac:dyDescent="0.2">
      <c r="A586" s="2" t="s">
        <v>97</v>
      </c>
      <c r="B586" s="2" t="s">
        <v>69</v>
      </c>
      <c r="C586" s="2">
        <v>3</v>
      </c>
      <c r="D586" s="2">
        <v>20</v>
      </c>
      <c r="E586" s="2">
        <v>0</v>
      </c>
      <c r="F586" s="19" t="str">
        <f t="shared" si="42"/>
        <v>Individual Maintenance</v>
      </c>
      <c r="G586" s="19" t="str">
        <f t="shared" si="43"/>
        <v>SR2</v>
      </c>
      <c r="H586" s="19" t="str">
        <f t="shared" si="44"/>
        <v>TNC-Single</v>
      </c>
    </row>
    <row r="587" spans="1:8" x14ac:dyDescent="0.2">
      <c r="A587" s="2" t="s">
        <v>97</v>
      </c>
      <c r="B587" s="2" t="s">
        <v>69</v>
      </c>
      <c r="C587" s="2">
        <v>5</v>
      </c>
      <c r="D587" s="2">
        <v>1</v>
      </c>
      <c r="E587" s="2">
        <v>0</v>
      </c>
      <c r="F587" s="19" t="str">
        <f t="shared" si="42"/>
        <v>Individual Maintenance</v>
      </c>
      <c r="G587" s="19" t="str">
        <f t="shared" si="43"/>
        <v>SR3+</v>
      </c>
      <c r="H587" s="19" t="str">
        <f t="shared" si="44"/>
        <v>Drive Alone</v>
      </c>
    </row>
    <row r="588" spans="1:8" x14ac:dyDescent="0.2">
      <c r="A588" s="2" t="s">
        <v>97</v>
      </c>
      <c r="B588" s="2" t="s">
        <v>69</v>
      </c>
      <c r="C588" s="2">
        <v>5</v>
      </c>
      <c r="D588" s="2">
        <v>3</v>
      </c>
      <c r="E588" s="2">
        <v>0</v>
      </c>
      <c r="F588" s="19" t="str">
        <f t="shared" si="42"/>
        <v>Individual Maintenance</v>
      </c>
      <c r="G588" s="19" t="str">
        <f t="shared" si="43"/>
        <v>SR3+</v>
      </c>
      <c r="H588" s="19" t="str">
        <f t="shared" si="44"/>
        <v>SR2</v>
      </c>
    </row>
    <row r="589" spans="1:8" x14ac:dyDescent="0.2">
      <c r="A589" s="2" t="s">
        <v>97</v>
      </c>
      <c r="B589" s="2" t="s">
        <v>69</v>
      </c>
      <c r="C589" s="2">
        <v>5</v>
      </c>
      <c r="D589" s="2">
        <v>5</v>
      </c>
      <c r="E589" s="2">
        <v>0</v>
      </c>
      <c r="F589" s="19" t="str">
        <f t="shared" si="42"/>
        <v>Individual Maintenance</v>
      </c>
      <c r="G589" s="19" t="str">
        <f t="shared" si="43"/>
        <v>SR3+</v>
      </c>
      <c r="H589" s="19" t="str">
        <f t="shared" si="44"/>
        <v>SR3+</v>
      </c>
    </row>
    <row r="590" spans="1:8" x14ac:dyDescent="0.2">
      <c r="A590" s="2" t="s">
        <v>97</v>
      </c>
      <c r="B590" s="2" t="s">
        <v>69</v>
      </c>
      <c r="C590" s="2">
        <v>5</v>
      </c>
      <c r="D590" s="2">
        <v>7</v>
      </c>
      <c r="E590" s="2">
        <v>0</v>
      </c>
      <c r="F590" s="19" t="str">
        <f t="shared" si="42"/>
        <v>Individual Maintenance</v>
      </c>
      <c r="G590" s="19" t="str">
        <f t="shared" si="43"/>
        <v>SR3+</v>
      </c>
      <c r="H590" s="19" t="str">
        <f t="shared" si="44"/>
        <v>Walk</v>
      </c>
    </row>
    <row r="591" spans="1:8" x14ac:dyDescent="0.2">
      <c r="A591" s="2" t="s">
        <v>97</v>
      </c>
      <c r="B591" s="2" t="s">
        <v>69</v>
      </c>
      <c r="C591" s="2">
        <v>5</v>
      </c>
      <c r="D591" s="2">
        <v>19</v>
      </c>
      <c r="E591" s="2">
        <v>0</v>
      </c>
      <c r="F591" s="19" t="str">
        <f t="shared" si="42"/>
        <v>Individual Maintenance</v>
      </c>
      <c r="G591" s="19" t="str">
        <f t="shared" si="43"/>
        <v>SR3+</v>
      </c>
      <c r="H591" s="19" t="str">
        <f t="shared" si="44"/>
        <v>Taxi</v>
      </c>
    </row>
    <row r="592" spans="1:8" x14ac:dyDescent="0.2">
      <c r="A592" s="2" t="s">
        <v>97</v>
      </c>
      <c r="B592" s="2" t="s">
        <v>69</v>
      </c>
      <c r="C592" s="2">
        <v>7</v>
      </c>
      <c r="D592" s="2">
        <v>7</v>
      </c>
      <c r="E592" s="2">
        <v>0</v>
      </c>
      <c r="F592" s="19" t="str">
        <f t="shared" si="42"/>
        <v>Individual Maintenance</v>
      </c>
      <c r="G592" s="19" t="str">
        <f t="shared" si="43"/>
        <v>Walk</v>
      </c>
      <c r="H592" s="19" t="str">
        <f t="shared" si="44"/>
        <v>Walk</v>
      </c>
    </row>
    <row r="593" spans="1:8" x14ac:dyDescent="0.2">
      <c r="A593" s="2" t="s">
        <v>97</v>
      </c>
      <c r="B593" s="2" t="s">
        <v>69</v>
      </c>
      <c r="C593" s="2">
        <v>7</v>
      </c>
      <c r="D593" s="2">
        <v>19</v>
      </c>
      <c r="E593" s="2">
        <v>0</v>
      </c>
      <c r="F593" s="19" t="str">
        <f t="shared" si="42"/>
        <v>Individual Maintenance</v>
      </c>
      <c r="G593" s="19" t="str">
        <f t="shared" si="43"/>
        <v>Walk</v>
      </c>
      <c r="H593" s="19" t="str">
        <f t="shared" si="44"/>
        <v>Taxi</v>
      </c>
    </row>
    <row r="594" spans="1:8" x14ac:dyDescent="0.2">
      <c r="A594" s="2" t="s">
        <v>97</v>
      </c>
      <c r="B594" s="2" t="s">
        <v>69</v>
      </c>
      <c r="C594" s="2">
        <v>8</v>
      </c>
      <c r="D594" s="2">
        <v>7</v>
      </c>
      <c r="E594" s="2">
        <v>0</v>
      </c>
      <c r="F594" s="19" t="str">
        <f t="shared" si="42"/>
        <v>Individual Maintenance</v>
      </c>
      <c r="G594" s="19" t="str">
        <f t="shared" si="43"/>
        <v>Bike</v>
      </c>
      <c r="H594" s="19" t="str">
        <f t="shared" si="44"/>
        <v>Walk</v>
      </c>
    </row>
    <row r="595" spans="1:8" x14ac:dyDescent="0.2">
      <c r="A595" s="2" t="s">
        <v>97</v>
      </c>
      <c r="B595" s="2" t="s">
        <v>69</v>
      </c>
      <c r="C595" s="2">
        <v>8</v>
      </c>
      <c r="D595" s="2">
        <v>8</v>
      </c>
      <c r="E595" s="2">
        <v>0</v>
      </c>
      <c r="F595" s="19" t="str">
        <f t="shared" si="42"/>
        <v>Individual Maintenance</v>
      </c>
      <c r="G595" s="19" t="str">
        <f t="shared" si="43"/>
        <v>Bike</v>
      </c>
      <c r="H595" s="19" t="str">
        <f t="shared" si="44"/>
        <v>Bike</v>
      </c>
    </row>
    <row r="596" spans="1:8" x14ac:dyDescent="0.2">
      <c r="A596" s="2" t="s">
        <v>97</v>
      </c>
      <c r="B596" s="2" t="s">
        <v>69</v>
      </c>
      <c r="C596" s="2">
        <v>8</v>
      </c>
      <c r="D596" s="2">
        <v>19</v>
      </c>
      <c r="E596" s="2">
        <v>0</v>
      </c>
      <c r="F596" s="19" t="str">
        <f t="shared" si="42"/>
        <v>Individual Maintenance</v>
      </c>
      <c r="G596" s="19" t="str">
        <f t="shared" si="43"/>
        <v>Bike</v>
      </c>
      <c r="H596" s="19" t="str">
        <f t="shared" si="44"/>
        <v>Taxi</v>
      </c>
    </row>
    <row r="597" spans="1:8" x14ac:dyDescent="0.2">
      <c r="A597" s="2" t="s">
        <v>97</v>
      </c>
      <c r="B597" s="2" t="s">
        <v>69</v>
      </c>
      <c r="C597" s="2">
        <v>9</v>
      </c>
      <c r="D597" s="2">
        <v>3</v>
      </c>
      <c r="E597" s="2">
        <v>0</v>
      </c>
      <c r="F597" s="19" t="str">
        <f t="shared" si="42"/>
        <v>Individual Maintenance</v>
      </c>
      <c r="G597" s="19" t="str">
        <f t="shared" si="43"/>
        <v>Walk-Transit</v>
      </c>
      <c r="H597" s="19" t="str">
        <f t="shared" si="44"/>
        <v>SR2</v>
      </c>
    </row>
    <row r="598" spans="1:8" x14ac:dyDescent="0.2">
      <c r="A598" s="2" t="s">
        <v>97</v>
      </c>
      <c r="B598" s="2" t="s">
        <v>69</v>
      </c>
      <c r="C598" s="2">
        <v>9</v>
      </c>
      <c r="D598" s="2">
        <v>5</v>
      </c>
      <c r="E598" s="2">
        <v>0</v>
      </c>
      <c r="F598" s="19" t="str">
        <f t="shared" si="42"/>
        <v>Individual Maintenance</v>
      </c>
      <c r="G598" s="19" t="str">
        <f t="shared" si="43"/>
        <v>Walk-Transit</v>
      </c>
      <c r="H598" s="19" t="str">
        <f t="shared" si="44"/>
        <v>SR3+</v>
      </c>
    </row>
    <row r="599" spans="1:8" x14ac:dyDescent="0.2">
      <c r="A599" s="2" t="s">
        <v>97</v>
      </c>
      <c r="B599" s="2" t="s">
        <v>69</v>
      </c>
      <c r="C599" s="2">
        <v>9</v>
      </c>
      <c r="D599" s="2">
        <v>7</v>
      </c>
      <c r="E599" s="2">
        <v>0</v>
      </c>
      <c r="F599" s="19" t="str">
        <f t="shared" si="42"/>
        <v>Individual Maintenance</v>
      </c>
      <c r="G599" s="19" t="str">
        <f t="shared" si="43"/>
        <v>Walk-Transit</v>
      </c>
      <c r="H599" s="19" t="str">
        <f t="shared" si="44"/>
        <v>Walk</v>
      </c>
    </row>
    <row r="600" spans="1:8" x14ac:dyDescent="0.2">
      <c r="A600" s="2" t="s">
        <v>97</v>
      </c>
      <c r="B600" s="2" t="s">
        <v>69</v>
      </c>
      <c r="C600" s="2">
        <v>9</v>
      </c>
      <c r="D600" s="2">
        <v>9</v>
      </c>
      <c r="E600" s="2">
        <v>0</v>
      </c>
      <c r="F600" s="19" t="str">
        <f t="shared" si="42"/>
        <v>Individual Maintenance</v>
      </c>
      <c r="G600" s="19" t="str">
        <f t="shared" si="43"/>
        <v>Walk-Transit</v>
      </c>
      <c r="H600" s="19" t="str">
        <f t="shared" si="44"/>
        <v>Walk-Local</v>
      </c>
    </row>
    <row r="601" spans="1:8" x14ac:dyDescent="0.2">
      <c r="A601" s="2" t="s">
        <v>97</v>
      </c>
      <c r="B601" s="2" t="s">
        <v>69</v>
      </c>
      <c r="C601" s="2">
        <v>9</v>
      </c>
      <c r="D601" s="2">
        <v>19</v>
      </c>
      <c r="E601" s="2">
        <v>0</v>
      </c>
      <c r="F601" s="19" t="str">
        <f t="shared" si="42"/>
        <v>Individual Maintenance</v>
      </c>
      <c r="G601" s="19" t="str">
        <f t="shared" si="43"/>
        <v>Walk-Transit</v>
      </c>
      <c r="H601" s="19" t="str">
        <f t="shared" si="44"/>
        <v>Taxi</v>
      </c>
    </row>
    <row r="602" spans="1:8" x14ac:dyDescent="0.2">
      <c r="A602" s="2" t="s">
        <v>97</v>
      </c>
      <c r="B602" s="2" t="s">
        <v>69</v>
      </c>
      <c r="C602" s="2">
        <v>9</v>
      </c>
      <c r="D602" s="2">
        <v>20</v>
      </c>
      <c r="E602" s="2">
        <v>0</v>
      </c>
      <c r="F602" s="19" t="str">
        <f t="shared" si="42"/>
        <v>Individual Maintenance</v>
      </c>
      <c r="G602" s="19" t="str">
        <f t="shared" si="43"/>
        <v>Walk-Transit</v>
      </c>
      <c r="H602" s="19" t="str">
        <f t="shared" si="44"/>
        <v>TNC-Single</v>
      </c>
    </row>
    <row r="603" spans="1:8" x14ac:dyDescent="0.2">
      <c r="A603" s="2" t="s">
        <v>97</v>
      </c>
      <c r="B603" s="2" t="s">
        <v>69</v>
      </c>
      <c r="C603" s="2">
        <v>9</v>
      </c>
      <c r="D603" s="2">
        <v>21</v>
      </c>
      <c r="E603" s="2">
        <v>0</v>
      </c>
      <c r="F603" s="19" t="str">
        <f t="shared" si="42"/>
        <v>Individual Maintenance</v>
      </c>
      <c r="G603" s="19" t="str">
        <f t="shared" si="43"/>
        <v>Walk-Transit</v>
      </c>
      <c r="H603" s="19" t="str">
        <f t="shared" si="44"/>
        <v>TNC-Shared</v>
      </c>
    </row>
    <row r="604" spans="1:8" x14ac:dyDescent="0.2">
      <c r="A604" s="2" t="s">
        <v>97</v>
      </c>
      <c r="B604" s="2" t="s">
        <v>69</v>
      </c>
      <c r="C604" s="2">
        <v>10</v>
      </c>
      <c r="D604" s="2">
        <v>-10</v>
      </c>
      <c r="E604" s="2">
        <v>0</v>
      </c>
      <c r="F604" s="19" t="str">
        <f t="shared" si="42"/>
        <v>Individual Maintenance</v>
      </c>
      <c r="G604" s="19" t="str">
        <f t="shared" si="43"/>
        <v>Walk-Transit</v>
      </c>
      <c r="H604" s="19" t="str">
        <f t="shared" si="44"/>
        <v>Walk-Ferry</v>
      </c>
    </row>
    <row r="605" spans="1:8" x14ac:dyDescent="0.2">
      <c r="A605" s="2" t="s">
        <v>97</v>
      </c>
      <c r="B605" s="2" t="s">
        <v>69</v>
      </c>
      <c r="C605" s="2">
        <v>10</v>
      </c>
      <c r="D605" s="2">
        <v>3</v>
      </c>
      <c r="E605" s="2">
        <v>0</v>
      </c>
      <c r="F605" s="19" t="str">
        <f t="shared" si="42"/>
        <v>Individual Maintenance</v>
      </c>
      <c r="G605" s="19" t="str">
        <f t="shared" si="43"/>
        <v>Walk-Transit</v>
      </c>
      <c r="H605" s="19" t="str">
        <f t="shared" si="44"/>
        <v>SR2</v>
      </c>
    </row>
    <row r="606" spans="1:8" x14ac:dyDescent="0.2">
      <c r="A606" s="2" t="s">
        <v>97</v>
      </c>
      <c r="B606" s="2" t="s">
        <v>69</v>
      </c>
      <c r="C606" s="2">
        <v>10</v>
      </c>
      <c r="D606" s="2">
        <v>5</v>
      </c>
      <c r="E606" s="2">
        <v>0</v>
      </c>
      <c r="F606" s="19" t="str">
        <f t="shared" si="42"/>
        <v>Individual Maintenance</v>
      </c>
      <c r="G606" s="19" t="str">
        <f t="shared" si="43"/>
        <v>Walk-Transit</v>
      </c>
      <c r="H606" s="19" t="str">
        <f t="shared" si="44"/>
        <v>SR3+</v>
      </c>
    </row>
    <row r="607" spans="1:8" x14ac:dyDescent="0.2">
      <c r="A607" s="2" t="s">
        <v>97</v>
      </c>
      <c r="B607" s="2" t="s">
        <v>69</v>
      </c>
      <c r="C607" s="2">
        <v>10</v>
      </c>
      <c r="D607" s="2">
        <v>7</v>
      </c>
      <c r="E607" s="2">
        <v>0</v>
      </c>
      <c r="F607" s="19" t="str">
        <f t="shared" si="42"/>
        <v>Individual Maintenance</v>
      </c>
      <c r="G607" s="19" t="str">
        <f t="shared" si="43"/>
        <v>Walk-Transit</v>
      </c>
      <c r="H607" s="19" t="str">
        <f t="shared" si="44"/>
        <v>Walk</v>
      </c>
    </row>
    <row r="608" spans="1:8" x14ac:dyDescent="0.2">
      <c r="A608" s="2" t="s">
        <v>97</v>
      </c>
      <c r="B608" s="2" t="s">
        <v>69</v>
      </c>
      <c r="C608" s="2">
        <v>10</v>
      </c>
      <c r="D608" s="2">
        <v>9</v>
      </c>
      <c r="E608" s="2">
        <v>0</v>
      </c>
      <c r="F608" s="19" t="str">
        <f t="shared" si="42"/>
        <v>Individual Maintenance</v>
      </c>
      <c r="G608" s="19" t="str">
        <f t="shared" si="43"/>
        <v>Walk-Transit</v>
      </c>
      <c r="H608" s="19" t="str">
        <f t="shared" si="44"/>
        <v>Walk-Local</v>
      </c>
    </row>
    <row r="609" spans="1:8" x14ac:dyDescent="0.2">
      <c r="A609" s="2" t="s">
        <v>97</v>
      </c>
      <c r="B609" s="2" t="s">
        <v>69</v>
      </c>
      <c r="C609" s="2">
        <v>10</v>
      </c>
      <c r="D609" s="2">
        <v>10</v>
      </c>
      <c r="E609" s="2">
        <v>0</v>
      </c>
      <c r="F609" s="19" t="str">
        <f t="shared" si="42"/>
        <v>Individual Maintenance</v>
      </c>
      <c r="G609" s="19" t="str">
        <f t="shared" si="43"/>
        <v>Walk-Transit</v>
      </c>
      <c r="H609" s="19" t="str">
        <f t="shared" si="44"/>
        <v>Walk-LRT</v>
      </c>
    </row>
    <row r="610" spans="1:8" x14ac:dyDescent="0.2">
      <c r="A610" s="2" t="s">
        <v>97</v>
      </c>
      <c r="B610" s="2" t="s">
        <v>69</v>
      </c>
      <c r="C610" s="2">
        <v>10</v>
      </c>
      <c r="D610" s="2">
        <v>19</v>
      </c>
      <c r="E610" s="2">
        <v>0</v>
      </c>
      <c r="F610" s="19" t="str">
        <f t="shared" si="42"/>
        <v>Individual Maintenance</v>
      </c>
      <c r="G610" s="19" t="str">
        <f t="shared" si="43"/>
        <v>Walk-Transit</v>
      </c>
      <c r="H610" s="19" t="str">
        <f t="shared" si="44"/>
        <v>Taxi</v>
      </c>
    </row>
    <row r="611" spans="1:8" x14ac:dyDescent="0.2">
      <c r="A611" s="2" t="s">
        <v>97</v>
      </c>
      <c r="B611" s="2" t="s">
        <v>69</v>
      </c>
      <c r="C611" s="2">
        <v>10</v>
      </c>
      <c r="D611" s="2">
        <v>20</v>
      </c>
      <c r="E611" s="2">
        <v>0</v>
      </c>
      <c r="F611" s="19" t="str">
        <f t="shared" si="42"/>
        <v>Individual Maintenance</v>
      </c>
      <c r="G611" s="19" t="str">
        <f t="shared" si="43"/>
        <v>Walk-Transit</v>
      </c>
      <c r="H611" s="19" t="str">
        <f t="shared" si="44"/>
        <v>TNC-Single</v>
      </c>
    </row>
    <row r="612" spans="1:8" x14ac:dyDescent="0.2">
      <c r="A612" s="2" t="s">
        <v>97</v>
      </c>
      <c r="B612" s="2" t="s">
        <v>69</v>
      </c>
      <c r="C612" s="2">
        <v>10</v>
      </c>
      <c r="D612" s="2">
        <v>21</v>
      </c>
      <c r="E612" s="2">
        <v>0</v>
      </c>
      <c r="F612" s="19" t="str">
        <f t="shared" si="42"/>
        <v>Individual Maintenance</v>
      </c>
      <c r="G612" s="19" t="str">
        <f t="shared" si="43"/>
        <v>Walk-Transit</v>
      </c>
      <c r="H612" s="19" t="str">
        <f t="shared" si="44"/>
        <v>TNC-Shared</v>
      </c>
    </row>
    <row r="613" spans="1:8" x14ac:dyDescent="0.2">
      <c r="A613" s="2" t="s">
        <v>97</v>
      </c>
      <c r="B613" s="2" t="s">
        <v>69</v>
      </c>
      <c r="C613" s="2">
        <v>11</v>
      </c>
      <c r="D613" s="2">
        <v>-10</v>
      </c>
      <c r="E613" s="2">
        <v>0</v>
      </c>
      <c r="F613" s="19" t="str">
        <f t="shared" si="42"/>
        <v>Individual Maintenance</v>
      </c>
      <c r="G613" s="19" t="str">
        <f t="shared" si="43"/>
        <v>Walk-Transit</v>
      </c>
      <c r="H613" s="19" t="str">
        <f t="shared" si="44"/>
        <v>Walk-Ferry</v>
      </c>
    </row>
    <row r="614" spans="1:8" x14ac:dyDescent="0.2">
      <c r="A614" s="2" t="s">
        <v>97</v>
      </c>
      <c r="B614" s="2" t="s">
        <v>69</v>
      </c>
      <c r="C614" s="2">
        <v>11</v>
      </c>
      <c r="D614" s="2">
        <v>3</v>
      </c>
      <c r="E614" s="2">
        <v>0</v>
      </c>
      <c r="F614" s="19" t="str">
        <f t="shared" si="42"/>
        <v>Individual Maintenance</v>
      </c>
      <c r="G614" s="19" t="str">
        <f t="shared" si="43"/>
        <v>Walk-Transit</v>
      </c>
      <c r="H614" s="19" t="str">
        <f t="shared" si="44"/>
        <v>SR2</v>
      </c>
    </row>
    <row r="615" spans="1:8" x14ac:dyDescent="0.2">
      <c r="A615" s="2" t="s">
        <v>97</v>
      </c>
      <c r="B615" s="2" t="s">
        <v>69</v>
      </c>
      <c r="C615" s="2">
        <v>11</v>
      </c>
      <c r="D615" s="2">
        <v>5</v>
      </c>
      <c r="E615" s="2">
        <v>0</v>
      </c>
      <c r="F615" s="19" t="str">
        <f t="shared" si="42"/>
        <v>Individual Maintenance</v>
      </c>
      <c r="G615" s="19" t="str">
        <f t="shared" si="43"/>
        <v>Walk-Transit</v>
      </c>
      <c r="H615" s="19" t="str">
        <f t="shared" si="44"/>
        <v>SR3+</v>
      </c>
    </row>
    <row r="616" spans="1:8" x14ac:dyDescent="0.2">
      <c r="A616" s="2" t="s">
        <v>97</v>
      </c>
      <c r="B616" s="2" t="s">
        <v>69</v>
      </c>
      <c r="C616" s="2">
        <v>11</v>
      </c>
      <c r="D616" s="2">
        <v>7</v>
      </c>
      <c r="E616" s="2">
        <v>0</v>
      </c>
      <c r="F616" s="19" t="str">
        <f t="shared" si="42"/>
        <v>Individual Maintenance</v>
      </c>
      <c r="G616" s="19" t="str">
        <f t="shared" si="43"/>
        <v>Walk-Transit</v>
      </c>
      <c r="H616" s="19" t="str">
        <f t="shared" si="44"/>
        <v>Walk</v>
      </c>
    </row>
    <row r="617" spans="1:8" x14ac:dyDescent="0.2">
      <c r="A617" s="2" t="s">
        <v>97</v>
      </c>
      <c r="B617" s="2" t="s">
        <v>69</v>
      </c>
      <c r="C617" s="2">
        <v>11</v>
      </c>
      <c r="D617" s="2">
        <v>9</v>
      </c>
      <c r="E617" s="2">
        <v>0</v>
      </c>
      <c r="F617" s="19" t="str">
        <f t="shared" si="42"/>
        <v>Individual Maintenance</v>
      </c>
      <c r="G617" s="19" t="str">
        <f t="shared" si="43"/>
        <v>Walk-Transit</v>
      </c>
      <c r="H617" s="19" t="str">
        <f t="shared" si="44"/>
        <v>Walk-Local</v>
      </c>
    </row>
    <row r="618" spans="1:8" x14ac:dyDescent="0.2">
      <c r="A618" s="2" t="s">
        <v>97</v>
      </c>
      <c r="B618" s="2" t="s">
        <v>69</v>
      </c>
      <c r="C618" s="2">
        <v>11</v>
      </c>
      <c r="D618" s="2">
        <v>11</v>
      </c>
      <c r="E618" s="2">
        <v>0</v>
      </c>
      <c r="F618" s="19" t="str">
        <f t="shared" si="42"/>
        <v>Individual Maintenance</v>
      </c>
      <c r="G618" s="19" t="str">
        <f t="shared" si="43"/>
        <v>Walk-Transit</v>
      </c>
      <c r="H618" s="19" t="str">
        <f t="shared" si="44"/>
        <v>Walk-Express</v>
      </c>
    </row>
    <row r="619" spans="1:8" x14ac:dyDescent="0.2">
      <c r="A619" s="2" t="s">
        <v>97</v>
      </c>
      <c r="B619" s="2" t="s">
        <v>69</v>
      </c>
      <c r="C619" s="2">
        <v>11</v>
      </c>
      <c r="D619" s="2">
        <v>20</v>
      </c>
      <c r="E619" s="2">
        <v>0</v>
      </c>
      <c r="F619" s="19" t="str">
        <f t="shared" si="42"/>
        <v>Individual Maintenance</v>
      </c>
      <c r="G619" s="19" t="str">
        <f t="shared" si="43"/>
        <v>Walk-Transit</v>
      </c>
      <c r="H619" s="19" t="str">
        <f t="shared" si="44"/>
        <v>TNC-Single</v>
      </c>
    </row>
    <row r="620" spans="1:8" x14ac:dyDescent="0.2">
      <c r="A620" s="2" t="s">
        <v>97</v>
      </c>
      <c r="B620" s="2" t="s">
        <v>69</v>
      </c>
      <c r="C620" s="2">
        <v>12</v>
      </c>
      <c r="D620" s="2">
        <v>-10</v>
      </c>
      <c r="E620" s="2">
        <v>0</v>
      </c>
      <c r="F620" s="19" t="str">
        <f t="shared" si="42"/>
        <v>Individual Maintenance</v>
      </c>
      <c r="G620" s="19" t="str">
        <f t="shared" si="43"/>
        <v>Walk-Transit</v>
      </c>
      <c r="H620" s="19" t="str">
        <f t="shared" si="44"/>
        <v>Walk-Ferry</v>
      </c>
    </row>
    <row r="621" spans="1:8" x14ac:dyDescent="0.2">
      <c r="A621" s="2" t="s">
        <v>97</v>
      </c>
      <c r="B621" s="2" t="s">
        <v>69</v>
      </c>
      <c r="C621" s="2">
        <v>12</v>
      </c>
      <c r="D621" s="2">
        <v>3</v>
      </c>
      <c r="E621" s="2">
        <v>0</v>
      </c>
      <c r="F621" s="19" t="str">
        <f t="shared" si="42"/>
        <v>Individual Maintenance</v>
      </c>
      <c r="G621" s="19" t="str">
        <f t="shared" si="43"/>
        <v>Walk-Transit</v>
      </c>
      <c r="H621" s="19" t="str">
        <f t="shared" si="44"/>
        <v>SR2</v>
      </c>
    </row>
    <row r="622" spans="1:8" x14ac:dyDescent="0.2">
      <c r="A622" s="2" t="s">
        <v>97</v>
      </c>
      <c r="B622" s="2" t="s">
        <v>69</v>
      </c>
      <c r="C622" s="2">
        <v>12</v>
      </c>
      <c r="D622" s="2">
        <v>5</v>
      </c>
      <c r="E622" s="2">
        <v>0</v>
      </c>
      <c r="F622" s="19" t="str">
        <f t="shared" si="42"/>
        <v>Individual Maintenance</v>
      </c>
      <c r="G622" s="19" t="str">
        <f t="shared" si="43"/>
        <v>Walk-Transit</v>
      </c>
      <c r="H622" s="19" t="str">
        <f t="shared" si="44"/>
        <v>SR3+</v>
      </c>
    </row>
    <row r="623" spans="1:8" x14ac:dyDescent="0.2">
      <c r="A623" s="2" t="s">
        <v>97</v>
      </c>
      <c r="B623" s="2" t="s">
        <v>69</v>
      </c>
      <c r="C623" s="2">
        <v>12</v>
      </c>
      <c r="D623" s="2">
        <v>7</v>
      </c>
      <c r="E623" s="2">
        <v>0</v>
      </c>
      <c r="F623" s="19" t="str">
        <f t="shared" si="42"/>
        <v>Individual Maintenance</v>
      </c>
      <c r="G623" s="19" t="str">
        <f t="shared" si="43"/>
        <v>Walk-Transit</v>
      </c>
      <c r="H623" s="19" t="str">
        <f t="shared" si="44"/>
        <v>Walk</v>
      </c>
    </row>
    <row r="624" spans="1:8" x14ac:dyDescent="0.2">
      <c r="A624" s="2" t="s">
        <v>97</v>
      </c>
      <c r="B624" s="2" t="s">
        <v>69</v>
      </c>
      <c r="C624" s="2">
        <v>12</v>
      </c>
      <c r="D624" s="2">
        <v>9</v>
      </c>
      <c r="E624" s="2">
        <v>0</v>
      </c>
      <c r="F624" s="19" t="str">
        <f t="shared" si="42"/>
        <v>Individual Maintenance</v>
      </c>
      <c r="G624" s="19" t="str">
        <f t="shared" si="43"/>
        <v>Walk-Transit</v>
      </c>
      <c r="H624" s="19" t="str">
        <f t="shared" si="44"/>
        <v>Walk-Local</v>
      </c>
    </row>
    <row r="625" spans="1:8" x14ac:dyDescent="0.2">
      <c r="A625" s="2" t="s">
        <v>97</v>
      </c>
      <c r="B625" s="2" t="s">
        <v>69</v>
      </c>
      <c r="C625" s="2">
        <v>12</v>
      </c>
      <c r="D625" s="2">
        <v>10</v>
      </c>
      <c r="E625" s="2">
        <v>0</v>
      </c>
      <c r="F625" s="19" t="str">
        <f t="shared" si="42"/>
        <v>Individual Maintenance</v>
      </c>
      <c r="G625" s="19" t="str">
        <f t="shared" si="43"/>
        <v>Walk-Transit</v>
      </c>
      <c r="H625" s="19" t="str">
        <f t="shared" si="44"/>
        <v>Walk-LRT</v>
      </c>
    </row>
    <row r="626" spans="1:8" x14ac:dyDescent="0.2">
      <c r="A626" s="2" t="s">
        <v>97</v>
      </c>
      <c r="B626" s="2" t="s">
        <v>69</v>
      </c>
      <c r="C626" s="2">
        <v>12</v>
      </c>
      <c r="D626" s="2">
        <v>11</v>
      </c>
      <c r="E626" s="2">
        <v>0</v>
      </c>
      <c r="F626" s="19" t="str">
        <f t="shared" si="42"/>
        <v>Individual Maintenance</v>
      </c>
      <c r="G626" s="19" t="str">
        <f t="shared" si="43"/>
        <v>Walk-Transit</v>
      </c>
      <c r="H626" s="19" t="str">
        <f t="shared" si="44"/>
        <v>Walk-Express</v>
      </c>
    </row>
    <row r="627" spans="1:8" x14ac:dyDescent="0.2">
      <c r="A627" s="2" t="s">
        <v>97</v>
      </c>
      <c r="B627" s="2" t="s">
        <v>69</v>
      </c>
      <c r="C627" s="2">
        <v>12</v>
      </c>
      <c r="D627" s="2">
        <v>12</v>
      </c>
      <c r="E627" s="2">
        <v>0</v>
      </c>
      <c r="F627" s="19" t="str">
        <f t="shared" si="42"/>
        <v>Individual Maintenance</v>
      </c>
      <c r="G627" s="19" t="str">
        <f t="shared" si="43"/>
        <v>Walk-Transit</v>
      </c>
      <c r="H627" s="19" t="str">
        <f t="shared" si="44"/>
        <v>Walk-HeavyR</v>
      </c>
    </row>
    <row r="628" spans="1:8" x14ac:dyDescent="0.2">
      <c r="A628" s="2" t="s">
        <v>97</v>
      </c>
      <c r="B628" s="2" t="s">
        <v>69</v>
      </c>
      <c r="C628" s="2">
        <v>12</v>
      </c>
      <c r="D628" s="2">
        <v>19</v>
      </c>
      <c r="E628" s="2">
        <v>0</v>
      </c>
      <c r="F628" s="19" t="str">
        <f t="shared" si="42"/>
        <v>Individual Maintenance</v>
      </c>
      <c r="G628" s="19" t="str">
        <f t="shared" si="43"/>
        <v>Walk-Transit</v>
      </c>
      <c r="H628" s="19" t="str">
        <f t="shared" si="44"/>
        <v>Taxi</v>
      </c>
    </row>
    <row r="629" spans="1:8" x14ac:dyDescent="0.2">
      <c r="A629" s="2" t="s">
        <v>97</v>
      </c>
      <c r="B629" s="2" t="s">
        <v>69</v>
      </c>
      <c r="C629" s="2">
        <v>13</v>
      </c>
      <c r="D629" s="2">
        <v>3</v>
      </c>
      <c r="E629" s="2">
        <v>0</v>
      </c>
      <c r="F629" s="19" t="str">
        <f t="shared" si="42"/>
        <v>Individual Maintenance</v>
      </c>
      <c r="G629" s="19" t="str">
        <f t="shared" si="43"/>
        <v>Walk-Transit</v>
      </c>
      <c r="H629" s="19" t="str">
        <f t="shared" si="44"/>
        <v>SR2</v>
      </c>
    </row>
    <row r="630" spans="1:8" x14ac:dyDescent="0.2">
      <c r="A630" s="2" t="s">
        <v>97</v>
      </c>
      <c r="B630" s="2" t="s">
        <v>69</v>
      </c>
      <c r="C630" s="2">
        <v>13</v>
      </c>
      <c r="D630" s="2">
        <v>5</v>
      </c>
      <c r="E630" s="2">
        <v>0</v>
      </c>
      <c r="F630" s="19" t="str">
        <f t="shared" si="42"/>
        <v>Individual Maintenance</v>
      </c>
      <c r="G630" s="19" t="str">
        <f t="shared" si="43"/>
        <v>Walk-Transit</v>
      </c>
      <c r="H630" s="19" t="str">
        <f t="shared" si="44"/>
        <v>SR3+</v>
      </c>
    </row>
    <row r="631" spans="1:8" x14ac:dyDescent="0.2">
      <c r="A631" s="2" t="s">
        <v>97</v>
      </c>
      <c r="B631" s="2" t="s">
        <v>69</v>
      </c>
      <c r="C631" s="2">
        <v>13</v>
      </c>
      <c r="D631" s="2">
        <v>7</v>
      </c>
      <c r="E631" s="2">
        <v>0</v>
      </c>
      <c r="F631" s="19" t="str">
        <f t="shared" si="42"/>
        <v>Individual Maintenance</v>
      </c>
      <c r="G631" s="19" t="str">
        <f t="shared" si="43"/>
        <v>Walk-Transit</v>
      </c>
      <c r="H631" s="19" t="str">
        <f t="shared" si="44"/>
        <v>Walk</v>
      </c>
    </row>
    <row r="632" spans="1:8" x14ac:dyDescent="0.2">
      <c r="A632" s="2" t="s">
        <v>97</v>
      </c>
      <c r="B632" s="2" t="s">
        <v>69</v>
      </c>
      <c r="C632" s="2">
        <v>13</v>
      </c>
      <c r="D632" s="2">
        <v>9</v>
      </c>
      <c r="E632" s="2">
        <v>0</v>
      </c>
      <c r="F632" s="19" t="str">
        <f t="shared" si="42"/>
        <v>Individual Maintenance</v>
      </c>
      <c r="G632" s="19" t="str">
        <f t="shared" si="43"/>
        <v>Walk-Transit</v>
      </c>
      <c r="H632" s="19" t="str">
        <f t="shared" si="44"/>
        <v>Walk-Local</v>
      </c>
    </row>
    <row r="633" spans="1:8" x14ac:dyDescent="0.2">
      <c r="A633" s="2" t="s">
        <v>97</v>
      </c>
      <c r="B633" s="2" t="s">
        <v>69</v>
      </c>
      <c r="C633" s="2">
        <v>13</v>
      </c>
      <c r="D633" s="2">
        <v>10</v>
      </c>
      <c r="E633" s="2">
        <v>0</v>
      </c>
      <c r="F633" s="19" t="str">
        <f t="shared" si="42"/>
        <v>Individual Maintenance</v>
      </c>
      <c r="G633" s="19" t="str">
        <f t="shared" si="43"/>
        <v>Walk-Transit</v>
      </c>
      <c r="H633" s="19" t="str">
        <f t="shared" si="44"/>
        <v>Walk-LRT</v>
      </c>
    </row>
    <row r="634" spans="1:8" x14ac:dyDescent="0.2">
      <c r="A634" s="2" t="s">
        <v>97</v>
      </c>
      <c r="B634" s="2" t="s">
        <v>69</v>
      </c>
      <c r="C634" s="2">
        <v>13</v>
      </c>
      <c r="D634" s="2">
        <v>11</v>
      </c>
      <c r="E634" s="2">
        <v>0</v>
      </c>
      <c r="F634" s="19" t="str">
        <f t="shared" si="42"/>
        <v>Individual Maintenance</v>
      </c>
      <c r="G634" s="19" t="str">
        <f t="shared" si="43"/>
        <v>Walk-Transit</v>
      </c>
      <c r="H634" s="19" t="str">
        <f t="shared" si="44"/>
        <v>Walk-Express</v>
      </c>
    </row>
    <row r="635" spans="1:8" x14ac:dyDescent="0.2">
      <c r="A635" s="2" t="s">
        <v>97</v>
      </c>
      <c r="B635" s="2" t="s">
        <v>69</v>
      </c>
      <c r="C635" s="2">
        <v>13</v>
      </c>
      <c r="D635" s="2">
        <v>12</v>
      </c>
      <c r="E635" s="2">
        <v>0</v>
      </c>
      <c r="F635" s="19" t="str">
        <f t="shared" si="42"/>
        <v>Individual Maintenance</v>
      </c>
      <c r="G635" s="19" t="str">
        <f t="shared" si="43"/>
        <v>Walk-Transit</v>
      </c>
      <c r="H635" s="19" t="str">
        <f t="shared" si="44"/>
        <v>Walk-HeavyR</v>
      </c>
    </row>
    <row r="636" spans="1:8" x14ac:dyDescent="0.2">
      <c r="A636" s="2" t="s">
        <v>97</v>
      </c>
      <c r="B636" s="2" t="s">
        <v>69</v>
      </c>
      <c r="C636" s="2">
        <v>13</v>
      </c>
      <c r="D636" s="2">
        <v>13</v>
      </c>
      <c r="E636" s="2">
        <v>0</v>
      </c>
      <c r="F636" s="19" t="str">
        <f t="shared" si="42"/>
        <v>Individual Maintenance</v>
      </c>
      <c r="G636" s="19" t="str">
        <f t="shared" si="43"/>
        <v>Walk-Transit</v>
      </c>
      <c r="H636" s="19" t="str">
        <f t="shared" si="44"/>
        <v>Walk-CommR</v>
      </c>
    </row>
    <row r="637" spans="1:8" x14ac:dyDescent="0.2">
      <c r="A637" s="2" t="s">
        <v>97</v>
      </c>
      <c r="B637" s="2" t="s">
        <v>69</v>
      </c>
      <c r="C637" s="2">
        <v>13</v>
      </c>
      <c r="D637" s="2">
        <v>19</v>
      </c>
      <c r="E637" s="2">
        <v>0</v>
      </c>
      <c r="F637" s="19" t="str">
        <f t="shared" si="42"/>
        <v>Individual Maintenance</v>
      </c>
      <c r="G637" s="19" t="str">
        <f t="shared" si="43"/>
        <v>Walk-Transit</v>
      </c>
      <c r="H637" s="19" t="str">
        <f t="shared" si="44"/>
        <v>Taxi</v>
      </c>
    </row>
    <row r="638" spans="1:8" x14ac:dyDescent="0.2">
      <c r="A638" s="2" t="s">
        <v>97</v>
      </c>
      <c r="B638" s="2" t="s">
        <v>69</v>
      </c>
      <c r="C638" s="2">
        <v>14</v>
      </c>
      <c r="D638" s="2">
        <v>14</v>
      </c>
      <c r="E638" s="2">
        <v>0</v>
      </c>
      <c r="F638" s="19" t="str">
        <f t="shared" si="42"/>
        <v>Individual Maintenance</v>
      </c>
      <c r="G638" s="19" t="str">
        <f t="shared" si="43"/>
        <v>Drive-Transit</v>
      </c>
      <c r="H638" s="19" t="str">
        <f t="shared" si="44"/>
        <v>Drive-Local</v>
      </c>
    </row>
    <row r="639" spans="1:8" x14ac:dyDescent="0.2">
      <c r="A639" s="2" t="s">
        <v>97</v>
      </c>
      <c r="B639" s="2" t="s">
        <v>69</v>
      </c>
      <c r="C639" s="2">
        <v>14</v>
      </c>
      <c r="D639" s="2">
        <v>19</v>
      </c>
      <c r="E639" s="2">
        <v>0</v>
      </c>
      <c r="F639" s="19" t="str">
        <f t="shared" si="42"/>
        <v>Individual Maintenance</v>
      </c>
      <c r="G639" s="19" t="str">
        <f t="shared" si="43"/>
        <v>Drive-Transit</v>
      </c>
      <c r="H639" s="19" t="str">
        <f t="shared" si="44"/>
        <v>Taxi</v>
      </c>
    </row>
    <row r="640" spans="1:8" x14ac:dyDescent="0.2">
      <c r="A640" s="2" t="s">
        <v>97</v>
      </c>
      <c r="B640" s="2" t="s">
        <v>69</v>
      </c>
      <c r="C640" s="2">
        <v>15</v>
      </c>
      <c r="D640" s="2">
        <v>-15</v>
      </c>
      <c r="E640" s="2">
        <v>0</v>
      </c>
      <c r="F640" s="19" t="str">
        <f t="shared" si="42"/>
        <v>Individual Maintenance</v>
      </c>
      <c r="G640" s="19" t="str">
        <f t="shared" si="43"/>
        <v>Drive-Transit</v>
      </c>
      <c r="H640" s="19" t="str">
        <f t="shared" si="44"/>
        <v>Drive-Ferry</v>
      </c>
    </row>
    <row r="641" spans="1:8" x14ac:dyDescent="0.2">
      <c r="A641" s="2" t="s">
        <v>97</v>
      </c>
      <c r="B641" s="2" t="s">
        <v>69</v>
      </c>
      <c r="C641" s="2">
        <v>15</v>
      </c>
      <c r="D641" s="2">
        <v>15</v>
      </c>
      <c r="E641" s="2">
        <v>0</v>
      </c>
      <c r="F641" s="19" t="str">
        <f t="shared" si="42"/>
        <v>Individual Maintenance</v>
      </c>
      <c r="G641" s="19" t="str">
        <f t="shared" si="43"/>
        <v>Drive-Transit</v>
      </c>
      <c r="H641" s="19" t="str">
        <f t="shared" si="44"/>
        <v>Drive-LRT</v>
      </c>
    </row>
    <row r="642" spans="1:8" x14ac:dyDescent="0.2">
      <c r="A642" s="2" t="s">
        <v>97</v>
      </c>
      <c r="B642" s="2" t="s">
        <v>69</v>
      </c>
      <c r="C642" s="2">
        <v>16</v>
      </c>
      <c r="D642" s="2">
        <v>-15</v>
      </c>
      <c r="E642" s="2">
        <v>0</v>
      </c>
      <c r="F642" s="19" t="str">
        <f t="shared" si="42"/>
        <v>Individual Maintenance</v>
      </c>
      <c r="G642" s="19" t="str">
        <f t="shared" si="43"/>
        <v>Drive-Transit</v>
      </c>
      <c r="H642" s="19" t="str">
        <f t="shared" si="44"/>
        <v>Drive-Ferry</v>
      </c>
    </row>
    <row r="643" spans="1:8" x14ac:dyDescent="0.2">
      <c r="A643" s="2" t="s">
        <v>97</v>
      </c>
      <c r="B643" s="2" t="s">
        <v>69</v>
      </c>
      <c r="C643" s="2">
        <v>16</v>
      </c>
      <c r="D643" s="2">
        <v>15</v>
      </c>
      <c r="E643" s="2">
        <v>0</v>
      </c>
      <c r="F643" s="19" t="str">
        <f t="shared" ref="F643:F706" si="45">IF(A643="joint","Joint",_xlfn.IFNA(VLOOKUP(B643,tour_purposes,2,FALSE),"None"))</f>
        <v>Individual Maintenance</v>
      </c>
      <c r="G643" s="19" t="str">
        <f t="shared" ref="G643:G706" si="46">IF(AND(A643="joint",C643&lt;=6),"Auto",_xlfn.IFNA(VLOOKUP(C643,tour_modes,3,FALSE),"None"))</f>
        <v>Drive-Transit</v>
      </c>
      <c r="H643" s="19" t="str">
        <f t="shared" ref="H643:H706" si="47">_xlfn.IFNA(VLOOKUP(D643,trip_modes,2,FALSE),"None")</f>
        <v>Drive-LRT</v>
      </c>
    </row>
    <row r="644" spans="1:8" x14ac:dyDescent="0.2">
      <c r="A644" s="2" t="s">
        <v>97</v>
      </c>
      <c r="B644" s="2" t="s">
        <v>69</v>
      </c>
      <c r="C644" s="2">
        <v>16</v>
      </c>
      <c r="D644" s="2">
        <v>16</v>
      </c>
      <c r="E644" s="2">
        <v>0</v>
      </c>
      <c r="F644" s="19" t="str">
        <f t="shared" si="45"/>
        <v>Individual Maintenance</v>
      </c>
      <c r="G644" s="19" t="str">
        <f t="shared" si="46"/>
        <v>Drive-Transit</v>
      </c>
      <c r="H644" s="19" t="str">
        <f t="shared" si="47"/>
        <v>Drive-Express</v>
      </c>
    </row>
    <row r="645" spans="1:8" x14ac:dyDescent="0.2">
      <c r="A645" s="2" t="s">
        <v>97</v>
      </c>
      <c r="B645" s="2" t="s">
        <v>69</v>
      </c>
      <c r="C645" s="2">
        <v>17</v>
      </c>
      <c r="D645" s="2">
        <v>-15</v>
      </c>
      <c r="E645" s="2">
        <v>0</v>
      </c>
      <c r="F645" s="19" t="str">
        <f t="shared" si="45"/>
        <v>Individual Maintenance</v>
      </c>
      <c r="G645" s="19" t="str">
        <f t="shared" si="46"/>
        <v>Drive-Transit</v>
      </c>
      <c r="H645" s="19" t="str">
        <f t="shared" si="47"/>
        <v>Drive-Ferry</v>
      </c>
    </row>
    <row r="646" spans="1:8" x14ac:dyDescent="0.2">
      <c r="A646" s="2" t="s">
        <v>97</v>
      </c>
      <c r="B646" s="2" t="s">
        <v>69</v>
      </c>
      <c r="C646" s="2">
        <v>17</v>
      </c>
      <c r="D646" s="2">
        <v>17</v>
      </c>
      <c r="E646" s="2">
        <v>0</v>
      </c>
      <c r="F646" s="19" t="str">
        <f t="shared" si="45"/>
        <v>Individual Maintenance</v>
      </c>
      <c r="G646" s="19" t="str">
        <f t="shared" si="46"/>
        <v>Drive-Transit</v>
      </c>
      <c r="H646" s="19" t="str">
        <f t="shared" si="47"/>
        <v>Drive-HeavyR</v>
      </c>
    </row>
    <row r="647" spans="1:8" x14ac:dyDescent="0.2">
      <c r="A647" s="2" t="s">
        <v>97</v>
      </c>
      <c r="B647" s="2" t="s">
        <v>69</v>
      </c>
      <c r="C647" s="2">
        <v>18</v>
      </c>
      <c r="D647" s="2">
        <v>-15</v>
      </c>
      <c r="E647" s="2">
        <v>0</v>
      </c>
      <c r="F647" s="19" t="str">
        <f t="shared" si="45"/>
        <v>Individual Maintenance</v>
      </c>
      <c r="G647" s="19" t="str">
        <f t="shared" si="46"/>
        <v>Drive-Transit</v>
      </c>
      <c r="H647" s="19" t="str">
        <f t="shared" si="47"/>
        <v>Drive-Ferry</v>
      </c>
    </row>
    <row r="648" spans="1:8" x14ac:dyDescent="0.2">
      <c r="A648" s="2" t="s">
        <v>97</v>
      </c>
      <c r="B648" s="2" t="s">
        <v>69</v>
      </c>
      <c r="C648" s="2">
        <v>18</v>
      </c>
      <c r="D648" s="2">
        <v>15</v>
      </c>
      <c r="E648" s="2">
        <v>0</v>
      </c>
      <c r="F648" s="19" t="str">
        <f t="shared" si="45"/>
        <v>Individual Maintenance</v>
      </c>
      <c r="G648" s="19" t="str">
        <f t="shared" si="46"/>
        <v>Drive-Transit</v>
      </c>
      <c r="H648" s="19" t="str">
        <f t="shared" si="47"/>
        <v>Drive-LRT</v>
      </c>
    </row>
    <row r="649" spans="1:8" x14ac:dyDescent="0.2">
      <c r="A649" s="2" t="s">
        <v>97</v>
      </c>
      <c r="B649" s="2" t="s">
        <v>69</v>
      </c>
      <c r="C649" s="2">
        <v>18</v>
      </c>
      <c r="D649" s="2">
        <v>16</v>
      </c>
      <c r="E649" s="2">
        <v>0</v>
      </c>
      <c r="F649" s="19" t="str">
        <f t="shared" si="45"/>
        <v>Individual Maintenance</v>
      </c>
      <c r="G649" s="19" t="str">
        <f t="shared" si="46"/>
        <v>Drive-Transit</v>
      </c>
      <c r="H649" s="19" t="str">
        <f t="shared" si="47"/>
        <v>Drive-Express</v>
      </c>
    </row>
    <row r="650" spans="1:8" x14ac:dyDescent="0.2">
      <c r="A650" s="2" t="s">
        <v>97</v>
      </c>
      <c r="B650" s="2" t="s">
        <v>69</v>
      </c>
      <c r="C650" s="2">
        <v>18</v>
      </c>
      <c r="D650" s="2">
        <v>17</v>
      </c>
      <c r="E650" s="2">
        <v>0</v>
      </c>
      <c r="F650" s="19" t="str">
        <f t="shared" si="45"/>
        <v>Individual Maintenance</v>
      </c>
      <c r="G650" s="19" t="str">
        <f t="shared" si="46"/>
        <v>Drive-Transit</v>
      </c>
      <c r="H650" s="19" t="str">
        <f t="shared" si="47"/>
        <v>Drive-HeavyR</v>
      </c>
    </row>
    <row r="651" spans="1:8" x14ac:dyDescent="0.2">
      <c r="A651" s="2" t="s">
        <v>97</v>
      </c>
      <c r="B651" s="2" t="s">
        <v>69</v>
      </c>
      <c r="C651" s="2">
        <v>18</v>
      </c>
      <c r="D651" s="2">
        <v>18</v>
      </c>
      <c r="E651" s="2">
        <v>0</v>
      </c>
      <c r="F651" s="19" t="str">
        <f t="shared" si="45"/>
        <v>Individual Maintenance</v>
      </c>
      <c r="G651" s="19" t="str">
        <f t="shared" si="46"/>
        <v>Drive-Transit</v>
      </c>
      <c r="H651" s="19" t="str">
        <f t="shared" si="47"/>
        <v>Drive-CommR</v>
      </c>
    </row>
    <row r="652" spans="1:8" x14ac:dyDescent="0.2">
      <c r="A652" s="2" t="s">
        <v>97</v>
      </c>
      <c r="B652" s="2" t="s">
        <v>69</v>
      </c>
      <c r="C652" s="2">
        <v>19</v>
      </c>
      <c r="D652" s="2">
        <v>3</v>
      </c>
      <c r="E652" s="2">
        <v>0</v>
      </c>
      <c r="F652" s="19" t="str">
        <f t="shared" si="45"/>
        <v>Individual Maintenance</v>
      </c>
      <c r="G652" s="19" t="str">
        <f t="shared" si="46"/>
        <v>Taxi</v>
      </c>
      <c r="H652" s="19" t="str">
        <f t="shared" si="47"/>
        <v>SR2</v>
      </c>
    </row>
    <row r="653" spans="1:8" x14ac:dyDescent="0.2">
      <c r="A653" s="2" t="s">
        <v>97</v>
      </c>
      <c r="B653" s="2" t="s">
        <v>69</v>
      </c>
      <c r="C653" s="2">
        <v>19</v>
      </c>
      <c r="D653" s="2">
        <v>5</v>
      </c>
      <c r="E653" s="2">
        <v>0</v>
      </c>
      <c r="F653" s="19" t="str">
        <f t="shared" si="45"/>
        <v>Individual Maintenance</v>
      </c>
      <c r="G653" s="19" t="str">
        <f t="shared" si="46"/>
        <v>Taxi</v>
      </c>
      <c r="H653" s="19" t="str">
        <f t="shared" si="47"/>
        <v>SR3+</v>
      </c>
    </row>
    <row r="654" spans="1:8" x14ac:dyDescent="0.2">
      <c r="A654" s="2" t="s">
        <v>97</v>
      </c>
      <c r="B654" s="2" t="s">
        <v>69</v>
      </c>
      <c r="C654" s="2">
        <v>19</v>
      </c>
      <c r="D654" s="2">
        <v>19</v>
      </c>
      <c r="E654" s="2">
        <v>0</v>
      </c>
      <c r="F654" s="19" t="str">
        <f t="shared" si="45"/>
        <v>Individual Maintenance</v>
      </c>
      <c r="G654" s="19" t="str">
        <f t="shared" si="46"/>
        <v>Taxi</v>
      </c>
      <c r="H654" s="19" t="str">
        <f t="shared" si="47"/>
        <v>Taxi</v>
      </c>
    </row>
    <row r="655" spans="1:8" x14ac:dyDescent="0.2">
      <c r="A655" s="2" t="s">
        <v>97</v>
      </c>
      <c r="B655" s="2" t="s">
        <v>69</v>
      </c>
      <c r="C655" s="2">
        <v>19</v>
      </c>
      <c r="D655" s="2">
        <v>20</v>
      </c>
      <c r="E655" s="2">
        <v>0</v>
      </c>
      <c r="F655" s="19" t="str">
        <f t="shared" si="45"/>
        <v>Individual Maintenance</v>
      </c>
      <c r="G655" s="19" t="str">
        <f t="shared" si="46"/>
        <v>Taxi</v>
      </c>
      <c r="H655" s="19" t="str">
        <f t="shared" si="47"/>
        <v>TNC-Single</v>
      </c>
    </row>
    <row r="656" spans="1:8" x14ac:dyDescent="0.2">
      <c r="A656" s="2" t="s">
        <v>97</v>
      </c>
      <c r="B656" s="2" t="s">
        <v>69</v>
      </c>
      <c r="C656" s="2">
        <v>19</v>
      </c>
      <c r="D656" s="2">
        <v>21</v>
      </c>
      <c r="E656" s="2">
        <v>0</v>
      </c>
      <c r="F656" s="19" t="str">
        <f t="shared" si="45"/>
        <v>Individual Maintenance</v>
      </c>
      <c r="G656" s="19" t="str">
        <f t="shared" si="46"/>
        <v>Taxi</v>
      </c>
      <c r="H656" s="19" t="str">
        <f t="shared" si="47"/>
        <v>TNC-Shared</v>
      </c>
    </row>
    <row r="657" spans="1:8" x14ac:dyDescent="0.2">
      <c r="A657" s="2" t="s">
        <v>97</v>
      </c>
      <c r="B657" s="2" t="s">
        <v>70</v>
      </c>
      <c r="C657" s="2">
        <v>1</v>
      </c>
      <c r="D657" s="2">
        <v>1</v>
      </c>
      <c r="E657" s="2">
        <v>0</v>
      </c>
      <c r="F657" s="19" t="str">
        <f t="shared" si="45"/>
        <v>Individual Discretionary</v>
      </c>
      <c r="G657" s="19" t="str">
        <f t="shared" si="46"/>
        <v>Drive Alone</v>
      </c>
      <c r="H657" s="19" t="str">
        <f t="shared" si="47"/>
        <v>Drive Alone</v>
      </c>
    </row>
    <row r="658" spans="1:8" x14ac:dyDescent="0.2">
      <c r="A658" s="2" t="s">
        <v>97</v>
      </c>
      <c r="B658" s="2" t="s">
        <v>70</v>
      </c>
      <c r="C658" s="2">
        <v>1</v>
      </c>
      <c r="D658" s="2">
        <v>7</v>
      </c>
      <c r="E658" s="2">
        <v>0</v>
      </c>
      <c r="F658" s="19" t="str">
        <f t="shared" si="45"/>
        <v>Individual Discretionary</v>
      </c>
      <c r="G658" s="19" t="str">
        <f t="shared" si="46"/>
        <v>Drive Alone</v>
      </c>
      <c r="H658" s="19" t="str">
        <f t="shared" si="47"/>
        <v>Walk</v>
      </c>
    </row>
    <row r="659" spans="1:8" x14ac:dyDescent="0.2">
      <c r="A659" s="2" t="s">
        <v>97</v>
      </c>
      <c r="B659" s="2" t="s">
        <v>70</v>
      </c>
      <c r="C659" s="2">
        <v>1</v>
      </c>
      <c r="D659" s="2">
        <v>19</v>
      </c>
      <c r="E659" s="2">
        <v>0</v>
      </c>
      <c r="F659" s="19" t="str">
        <f t="shared" si="45"/>
        <v>Individual Discretionary</v>
      </c>
      <c r="G659" s="19" t="str">
        <f t="shared" si="46"/>
        <v>Drive Alone</v>
      </c>
      <c r="H659" s="19" t="str">
        <f t="shared" si="47"/>
        <v>Taxi</v>
      </c>
    </row>
    <row r="660" spans="1:8" x14ac:dyDescent="0.2">
      <c r="A660" s="2" t="s">
        <v>97</v>
      </c>
      <c r="B660" s="2" t="s">
        <v>70</v>
      </c>
      <c r="C660" s="2">
        <v>3</v>
      </c>
      <c r="D660" s="2">
        <v>1</v>
      </c>
      <c r="E660" s="2">
        <v>0</v>
      </c>
      <c r="F660" s="19" t="str">
        <f t="shared" si="45"/>
        <v>Individual Discretionary</v>
      </c>
      <c r="G660" s="19" t="str">
        <f t="shared" si="46"/>
        <v>SR2</v>
      </c>
      <c r="H660" s="19" t="str">
        <f t="shared" si="47"/>
        <v>Drive Alone</v>
      </c>
    </row>
    <row r="661" spans="1:8" x14ac:dyDescent="0.2">
      <c r="A661" s="2" t="s">
        <v>97</v>
      </c>
      <c r="B661" s="2" t="s">
        <v>70</v>
      </c>
      <c r="C661" s="2">
        <v>3</v>
      </c>
      <c r="D661" s="2">
        <v>3</v>
      </c>
      <c r="E661" s="2">
        <v>0</v>
      </c>
      <c r="F661" s="19" t="str">
        <f t="shared" si="45"/>
        <v>Individual Discretionary</v>
      </c>
      <c r="G661" s="19" t="str">
        <f t="shared" si="46"/>
        <v>SR2</v>
      </c>
      <c r="H661" s="19" t="str">
        <f t="shared" si="47"/>
        <v>SR2</v>
      </c>
    </row>
    <row r="662" spans="1:8" x14ac:dyDescent="0.2">
      <c r="A662" s="2" t="s">
        <v>97</v>
      </c>
      <c r="B662" s="2" t="s">
        <v>70</v>
      </c>
      <c r="C662" s="2">
        <v>3</v>
      </c>
      <c r="D662" s="2">
        <v>7</v>
      </c>
      <c r="E662" s="2">
        <v>0</v>
      </c>
      <c r="F662" s="19" t="str">
        <f t="shared" si="45"/>
        <v>Individual Discretionary</v>
      </c>
      <c r="G662" s="19" t="str">
        <f t="shared" si="46"/>
        <v>SR2</v>
      </c>
      <c r="H662" s="19" t="str">
        <f t="shared" si="47"/>
        <v>Walk</v>
      </c>
    </row>
    <row r="663" spans="1:8" x14ac:dyDescent="0.2">
      <c r="A663" s="2" t="s">
        <v>97</v>
      </c>
      <c r="B663" s="2" t="s">
        <v>70</v>
      </c>
      <c r="C663" s="2">
        <v>3</v>
      </c>
      <c r="D663" s="2">
        <v>19</v>
      </c>
      <c r="E663" s="2">
        <v>0</v>
      </c>
      <c r="F663" s="19" t="str">
        <f t="shared" si="45"/>
        <v>Individual Discretionary</v>
      </c>
      <c r="G663" s="19" t="str">
        <f t="shared" si="46"/>
        <v>SR2</v>
      </c>
      <c r="H663" s="19" t="str">
        <f t="shared" si="47"/>
        <v>Taxi</v>
      </c>
    </row>
    <row r="664" spans="1:8" x14ac:dyDescent="0.2">
      <c r="A664" s="2" t="s">
        <v>97</v>
      </c>
      <c r="B664" s="2" t="s">
        <v>70</v>
      </c>
      <c r="C664" s="2">
        <v>5</v>
      </c>
      <c r="D664" s="2">
        <v>1</v>
      </c>
      <c r="E664" s="2">
        <v>0</v>
      </c>
      <c r="F664" s="19" t="str">
        <f t="shared" si="45"/>
        <v>Individual Discretionary</v>
      </c>
      <c r="G664" s="19" t="str">
        <f t="shared" si="46"/>
        <v>SR3+</v>
      </c>
      <c r="H664" s="19" t="str">
        <f t="shared" si="47"/>
        <v>Drive Alone</v>
      </c>
    </row>
    <row r="665" spans="1:8" x14ac:dyDescent="0.2">
      <c r="A665" s="2" t="s">
        <v>97</v>
      </c>
      <c r="B665" s="2" t="s">
        <v>70</v>
      </c>
      <c r="C665" s="2">
        <v>5</v>
      </c>
      <c r="D665" s="2">
        <v>3</v>
      </c>
      <c r="E665" s="2">
        <v>0</v>
      </c>
      <c r="F665" s="19" t="str">
        <f t="shared" si="45"/>
        <v>Individual Discretionary</v>
      </c>
      <c r="G665" s="19" t="str">
        <f t="shared" si="46"/>
        <v>SR3+</v>
      </c>
      <c r="H665" s="19" t="str">
        <f t="shared" si="47"/>
        <v>SR2</v>
      </c>
    </row>
    <row r="666" spans="1:8" x14ac:dyDescent="0.2">
      <c r="A666" s="2" t="s">
        <v>97</v>
      </c>
      <c r="B666" s="2" t="s">
        <v>70</v>
      </c>
      <c r="C666" s="2">
        <v>5</v>
      </c>
      <c r="D666" s="2">
        <v>5</v>
      </c>
      <c r="E666" s="2">
        <v>0</v>
      </c>
      <c r="F666" s="19" t="str">
        <f t="shared" si="45"/>
        <v>Individual Discretionary</v>
      </c>
      <c r="G666" s="19" t="str">
        <f t="shared" si="46"/>
        <v>SR3+</v>
      </c>
      <c r="H666" s="19" t="str">
        <f t="shared" si="47"/>
        <v>SR3+</v>
      </c>
    </row>
    <row r="667" spans="1:8" x14ac:dyDescent="0.2">
      <c r="A667" s="2" t="s">
        <v>97</v>
      </c>
      <c r="B667" s="2" t="s">
        <v>70</v>
      </c>
      <c r="C667" s="2">
        <v>5</v>
      </c>
      <c r="D667" s="2">
        <v>7</v>
      </c>
      <c r="E667" s="2">
        <v>0</v>
      </c>
      <c r="F667" s="19" t="str">
        <f t="shared" si="45"/>
        <v>Individual Discretionary</v>
      </c>
      <c r="G667" s="19" t="str">
        <f t="shared" si="46"/>
        <v>SR3+</v>
      </c>
      <c r="H667" s="19" t="str">
        <f t="shared" si="47"/>
        <v>Walk</v>
      </c>
    </row>
    <row r="668" spans="1:8" x14ac:dyDescent="0.2">
      <c r="A668" s="2" t="s">
        <v>97</v>
      </c>
      <c r="B668" s="2" t="s">
        <v>70</v>
      </c>
      <c r="C668" s="2">
        <v>5</v>
      </c>
      <c r="D668" s="2">
        <v>19</v>
      </c>
      <c r="E668" s="2">
        <v>0</v>
      </c>
      <c r="F668" s="19" t="str">
        <f t="shared" si="45"/>
        <v>Individual Discretionary</v>
      </c>
      <c r="G668" s="19" t="str">
        <f t="shared" si="46"/>
        <v>SR3+</v>
      </c>
      <c r="H668" s="19" t="str">
        <f t="shared" si="47"/>
        <v>Taxi</v>
      </c>
    </row>
    <row r="669" spans="1:8" x14ac:dyDescent="0.2">
      <c r="A669" s="2" t="s">
        <v>97</v>
      </c>
      <c r="B669" s="2" t="s">
        <v>70</v>
      </c>
      <c r="C669" s="2">
        <v>7</v>
      </c>
      <c r="D669" s="2">
        <v>7</v>
      </c>
      <c r="E669" s="2">
        <v>0</v>
      </c>
      <c r="F669" s="19" t="str">
        <f t="shared" si="45"/>
        <v>Individual Discretionary</v>
      </c>
      <c r="G669" s="19" t="str">
        <f t="shared" si="46"/>
        <v>Walk</v>
      </c>
      <c r="H669" s="19" t="str">
        <f t="shared" si="47"/>
        <v>Walk</v>
      </c>
    </row>
    <row r="670" spans="1:8" x14ac:dyDescent="0.2">
      <c r="A670" s="2" t="s">
        <v>97</v>
      </c>
      <c r="B670" s="2" t="s">
        <v>70</v>
      </c>
      <c r="C670" s="2">
        <v>7</v>
      </c>
      <c r="D670" s="2">
        <v>19</v>
      </c>
      <c r="E670" s="2">
        <v>0</v>
      </c>
      <c r="F670" s="19" t="str">
        <f t="shared" si="45"/>
        <v>Individual Discretionary</v>
      </c>
      <c r="G670" s="19" t="str">
        <f t="shared" si="46"/>
        <v>Walk</v>
      </c>
      <c r="H670" s="19" t="str">
        <f t="shared" si="47"/>
        <v>Taxi</v>
      </c>
    </row>
    <row r="671" spans="1:8" x14ac:dyDescent="0.2">
      <c r="A671" s="2" t="s">
        <v>97</v>
      </c>
      <c r="B671" s="2" t="s">
        <v>70</v>
      </c>
      <c r="C671" s="2">
        <v>8</v>
      </c>
      <c r="D671" s="2">
        <v>7</v>
      </c>
      <c r="E671" s="2">
        <v>0</v>
      </c>
      <c r="F671" s="19" t="str">
        <f t="shared" si="45"/>
        <v>Individual Discretionary</v>
      </c>
      <c r="G671" s="19" t="str">
        <f t="shared" si="46"/>
        <v>Bike</v>
      </c>
      <c r="H671" s="19" t="str">
        <f t="shared" si="47"/>
        <v>Walk</v>
      </c>
    </row>
    <row r="672" spans="1:8" x14ac:dyDescent="0.2">
      <c r="A672" s="2" t="s">
        <v>97</v>
      </c>
      <c r="B672" s="2" t="s">
        <v>70</v>
      </c>
      <c r="C672" s="2">
        <v>8</v>
      </c>
      <c r="D672" s="2">
        <v>8</v>
      </c>
      <c r="E672" s="2">
        <v>0</v>
      </c>
      <c r="F672" s="19" t="str">
        <f t="shared" si="45"/>
        <v>Individual Discretionary</v>
      </c>
      <c r="G672" s="19" t="str">
        <f t="shared" si="46"/>
        <v>Bike</v>
      </c>
      <c r="H672" s="19" t="str">
        <f t="shared" si="47"/>
        <v>Bike</v>
      </c>
    </row>
    <row r="673" spans="1:8" x14ac:dyDescent="0.2">
      <c r="A673" s="2" t="s">
        <v>97</v>
      </c>
      <c r="B673" s="2" t="s">
        <v>70</v>
      </c>
      <c r="C673" s="2">
        <v>8</v>
      </c>
      <c r="D673" s="2">
        <v>19</v>
      </c>
      <c r="E673" s="2">
        <v>0</v>
      </c>
      <c r="F673" s="19" t="str">
        <f t="shared" si="45"/>
        <v>Individual Discretionary</v>
      </c>
      <c r="G673" s="19" t="str">
        <f t="shared" si="46"/>
        <v>Bike</v>
      </c>
      <c r="H673" s="19" t="str">
        <f t="shared" si="47"/>
        <v>Taxi</v>
      </c>
    </row>
    <row r="674" spans="1:8" x14ac:dyDescent="0.2">
      <c r="A674" s="2" t="s">
        <v>97</v>
      </c>
      <c r="B674" s="2" t="s">
        <v>70</v>
      </c>
      <c r="C674" s="2">
        <v>9</v>
      </c>
      <c r="D674" s="2">
        <v>3</v>
      </c>
      <c r="E674" s="2">
        <v>0</v>
      </c>
      <c r="F674" s="19" t="str">
        <f t="shared" si="45"/>
        <v>Individual Discretionary</v>
      </c>
      <c r="G674" s="19" t="str">
        <f t="shared" si="46"/>
        <v>Walk-Transit</v>
      </c>
      <c r="H674" s="19" t="str">
        <f t="shared" si="47"/>
        <v>SR2</v>
      </c>
    </row>
    <row r="675" spans="1:8" x14ac:dyDescent="0.2">
      <c r="A675" s="2" t="s">
        <v>97</v>
      </c>
      <c r="B675" s="2" t="s">
        <v>70</v>
      </c>
      <c r="C675" s="2">
        <v>9</v>
      </c>
      <c r="D675" s="2">
        <v>5</v>
      </c>
      <c r="E675" s="2">
        <v>0</v>
      </c>
      <c r="F675" s="19" t="str">
        <f t="shared" si="45"/>
        <v>Individual Discretionary</v>
      </c>
      <c r="G675" s="19" t="str">
        <f t="shared" si="46"/>
        <v>Walk-Transit</v>
      </c>
      <c r="H675" s="19" t="str">
        <f t="shared" si="47"/>
        <v>SR3+</v>
      </c>
    </row>
    <row r="676" spans="1:8" x14ac:dyDescent="0.2">
      <c r="A676" s="2" t="s">
        <v>97</v>
      </c>
      <c r="B676" s="2" t="s">
        <v>70</v>
      </c>
      <c r="C676" s="2">
        <v>9</v>
      </c>
      <c r="D676" s="2">
        <v>7</v>
      </c>
      <c r="E676" s="2">
        <v>0</v>
      </c>
      <c r="F676" s="19" t="str">
        <f t="shared" si="45"/>
        <v>Individual Discretionary</v>
      </c>
      <c r="G676" s="19" t="str">
        <f t="shared" si="46"/>
        <v>Walk-Transit</v>
      </c>
      <c r="H676" s="19" t="str">
        <f t="shared" si="47"/>
        <v>Walk</v>
      </c>
    </row>
    <row r="677" spans="1:8" x14ac:dyDescent="0.2">
      <c r="A677" s="2" t="s">
        <v>97</v>
      </c>
      <c r="B677" s="2" t="s">
        <v>70</v>
      </c>
      <c r="C677" s="2">
        <v>9</v>
      </c>
      <c r="D677" s="2">
        <v>9</v>
      </c>
      <c r="E677" s="2">
        <v>0</v>
      </c>
      <c r="F677" s="19" t="str">
        <f t="shared" si="45"/>
        <v>Individual Discretionary</v>
      </c>
      <c r="G677" s="19" t="str">
        <f t="shared" si="46"/>
        <v>Walk-Transit</v>
      </c>
      <c r="H677" s="19" t="str">
        <f t="shared" si="47"/>
        <v>Walk-Local</v>
      </c>
    </row>
    <row r="678" spans="1:8" x14ac:dyDescent="0.2">
      <c r="A678" s="2" t="s">
        <v>97</v>
      </c>
      <c r="B678" s="2" t="s">
        <v>70</v>
      </c>
      <c r="C678" s="2">
        <v>9</v>
      </c>
      <c r="D678" s="2">
        <v>19</v>
      </c>
      <c r="E678" s="2">
        <v>0</v>
      </c>
      <c r="F678" s="19" t="str">
        <f t="shared" si="45"/>
        <v>Individual Discretionary</v>
      </c>
      <c r="G678" s="19" t="str">
        <f t="shared" si="46"/>
        <v>Walk-Transit</v>
      </c>
      <c r="H678" s="19" t="str">
        <f t="shared" si="47"/>
        <v>Taxi</v>
      </c>
    </row>
    <row r="679" spans="1:8" x14ac:dyDescent="0.2">
      <c r="A679" s="2" t="s">
        <v>97</v>
      </c>
      <c r="B679" s="2" t="s">
        <v>70</v>
      </c>
      <c r="C679" s="2">
        <v>10</v>
      </c>
      <c r="D679" s="2">
        <v>-10</v>
      </c>
      <c r="E679" s="2">
        <v>0</v>
      </c>
      <c r="F679" s="19" t="str">
        <f t="shared" si="45"/>
        <v>Individual Discretionary</v>
      </c>
      <c r="G679" s="19" t="str">
        <f t="shared" si="46"/>
        <v>Walk-Transit</v>
      </c>
      <c r="H679" s="19" t="str">
        <f t="shared" si="47"/>
        <v>Walk-Ferry</v>
      </c>
    </row>
    <row r="680" spans="1:8" x14ac:dyDescent="0.2">
      <c r="A680" s="2" t="s">
        <v>97</v>
      </c>
      <c r="B680" s="2" t="s">
        <v>70</v>
      </c>
      <c r="C680" s="2">
        <v>10</v>
      </c>
      <c r="D680" s="2">
        <v>3</v>
      </c>
      <c r="E680" s="2">
        <v>0</v>
      </c>
      <c r="F680" s="19" t="str">
        <f t="shared" si="45"/>
        <v>Individual Discretionary</v>
      </c>
      <c r="G680" s="19" t="str">
        <f t="shared" si="46"/>
        <v>Walk-Transit</v>
      </c>
      <c r="H680" s="19" t="str">
        <f t="shared" si="47"/>
        <v>SR2</v>
      </c>
    </row>
    <row r="681" spans="1:8" x14ac:dyDescent="0.2">
      <c r="A681" s="2" t="s">
        <v>97</v>
      </c>
      <c r="B681" s="2" t="s">
        <v>70</v>
      </c>
      <c r="C681" s="2">
        <v>10</v>
      </c>
      <c r="D681" s="2">
        <v>5</v>
      </c>
      <c r="E681" s="2">
        <v>0</v>
      </c>
      <c r="F681" s="19" t="str">
        <f t="shared" si="45"/>
        <v>Individual Discretionary</v>
      </c>
      <c r="G681" s="19" t="str">
        <f t="shared" si="46"/>
        <v>Walk-Transit</v>
      </c>
      <c r="H681" s="19" t="str">
        <f t="shared" si="47"/>
        <v>SR3+</v>
      </c>
    </row>
    <row r="682" spans="1:8" x14ac:dyDescent="0.2">
      <c r="A682" s="2" t="s">
        <v>97</v>
      </c>
      <c r="B682" s="2" t="s">
        <v>70</v>
      </c>
      <c r="C682" s="2">
        <v>10</v>
      </c>
      <c r="D682" s="2">
        <v>7</v>
      </c>
      <c r="E682" s="2">
        <v>0</v>
      </c>
      <c r="F682" s="19" t="str">
        <f t="shared" si="45"/>
        <v>Individual Discretionary</v>
      </c>
      <c r="G682" s="19" t="str">
        <f t="shared" si="46"/>
        <v>Walk-Transit</v>
      </c>
      <c r="H682" s="19" t="str">
        <f t="shared" si="47"/>
        <v>Walk</v>
      </c>
    </row>
    <row r="683" spans="1:8" x14ac:dyDescent="0.2">
      <c r="A683" s="2" t="s">
        <v>97</v>
      </c>
      <c r="B683" s="2" t="s">
        <v>70</v>
      </c>
      <c r="C683" s="2">
        <v>10</v>
      </c>
      <c r="D683" s="2">
        <v>9</v>
      </c>
      <c r="E683" s="2">
        <v>0</v>
      </c>
      <c r="F683" s="19" t="str">
        <f t="shared" si="45"/>
        <v>Individual Discretionary</v>
      </c>
      <c r="G683" s="19" t="str">
        <f t="shared" si="46"/>
        <v>Walk-Transit</v>
      </c>
      <c r="H683" s="19" t="str">
        <f t="shared" si="47"/>
        <v>Walk-Local</v>
      </c>
    </row>
    <row r="684" spans="1:8" x14ac:dyDescent="0.2">
      <c r="A684" s="2" t="s">
        <v>97</v>
      </c>
      <c r="B684" s="2" t="s">
        <v>70</v>
      </c>
      <c r="C684" s="2">
        <v>10</v>
      </c>
      <c r="D684" s="2">
        <v>10</v>
      </c>
      <c r="E684" s="2">
        <v>0</v>
      </c>
      <c r="F684" s="19" t="str">
        <f t="shared" si="45"/>
        <v>Individual Discretionary</v>
      </c>
      <c r="G684" s="19" t="str">
        <f t="shared" si="46"/>
        <v>Walk-Transit</v>
      </c>
      <c r="H684" s="19" t="str">
        <f t="shared" si="47"/>
        <v>Walk-LRT</v>
      </c>
    </row>
    <row r="685" spans="1:8" x14ac:dyDescent="0.2">
      <c r="A685" s="2" t="s">
        <v>97</v>
      </c>
      <c r="B685" s="2" t="s">
        <v>70</v>
      </c>
      <c r="C685" s="2">
        <v>10</v>
      </c>
      <c r="D685" s="2">
        <v>19</v>
      </c>
      <c r="E685" s="2">
        <v>0</v>
      </c>
      <c r="F685" s="19" t="str">
        <f t="shared" si="45"/>
        <v>Individual Discretionary</v>
      </c>
      <c r="G685" s="19" t="str">
        <f t="shared" si="46"/>
        <v>Walk-Transit</v>
      </c>
      <c r="H685" s="19" t="str">
        <f t="shared" si="47"/>
        <v>Taxi</v>
      </c>
    </row>
    <row r="686" spans="1:8" x14ac:dyDescent="0.2">
      <c r="A686" s="2" t="s">
        <v>97</v>
      </c>
      <c r="B686" s="2" t="s">
        <v>70</v>
      </c>
      <c r="C686" s="2">
        <v>11</v>
      </c>
      <c r="D686" s="2">
        <v>-10</v>
      </c>
      <c r="E686" s="2">
        <v>0</v>
      </c>
      <c r="F686" s="19" t="str">
        <f t="shared" si="45"/>
        <v>Individual Discretionary</v>
      </c>
      <c r="G686" s="19" t="str">
        <f t="shared" si="46"/>
        <v>Walk-Transit</v>
      </c>
      <c r="H686" s="19" t="str">
        <f t="shared" si="47"/>
        <v>Walk-Ferry</v>
      </c>
    </row>
    <row r="687" spans="1:8" x14ac:dyDescent="0.2">
      <c r="A687" s="2" t="s">
        <v>97</v>
      </c>
      <c r="B687" s="2" t="s">
        <v>70</v>
      </c>
      <c r="C687" s="2">
        <v>11</v>
      </c>
      <c r="D687" s="2">
        <v>3</v>
      </c>
      <c r="E687" s="2">
        <v>0</v>
      </c>
      <c r="F687" s="19" t="str">
        <f t="shared" si="45"/>
        <v>Individual Discretionary</v>
      </c>
      <c r="G687" s="19" t="str">
        <f t="shared" si="46"/>
        <v>Walk-Transit</v>
      </c>
      <c r="H687" s="19" t="str">
        <f t="shared" si="47"/>
        <v>SR2</v>
      </c>
    </row>
    <row r="688" spans="1:8" x14ac:dyDescent="0.2">
      <c r="A688" s="2" t="s">
        <v>97</v>
      </c>
      <c r="B688" s="2" t="s">
        <v>70</v>
      </c>
      <c r="C688" s="2">
        <v>11</v>
      </c>
      <c r="D688" s="2">
        <v>5</v>
      </c>
      <c r="E688" s="2">
        <v>0</v>
      </c>
      <c r="F688" s="19" t="str">
        <f t="shared" si="45"/>
        <v>Individual Discretionary</v>
      </c>
      <c r="G688" s="19" t="str">
        <f t="shared" si="46"/>
        <v>Walk-Transit</v>
      </c>
      <c r="H688" s="19" t="str">
        <f t="shared" si="47"/>
        <v>SR3+</v>
      </c>
    </row>
    <row r="689" spans="1:8" x14ac:dyDescent="0.2">
      <c r="A689" s="2" t="s">
        <v>97</v>
      </c>
      <c r="B689" s="2" t="s">
        <v>70</v>
      </c>
      <c r="C689" s="2">
        <v>11</v>
      </c>
      <c r="D689" s="2">
        <v>7</v>
      </c>
      <c r="E689" s="2">
        <v>0</v>
      </c>
      <c r="F689" s="19" t="str">
        <f t="shared" si="45"/>
        <v>Individual Discretionary</v>
      </c>
      <c r="G689" s="19" t="str">
        <f t="shared" si="46"/>
        <v>Walk-Transit</v>
      </c>
      <c r="H689" s="19" t="str">
        <f t="shared" si="47"/>
        <v>Walk</v>
      </c>
    </row>
    <row r="690" spans="1:8" x14ac:dyDescent="0.2">
      <c r="A690" s="2" t="s">
        <v>97</v>
      </c>
      <c r="B690" s="2" t="s">
        <v>70</v>
      </c>
      <c r="C690" s="2">
        <v>11</v>
      </c>
      <c r="D690" s="2">
        <v>9</v>
      </c>
      <c r="E690" s="2">
        <v>0</v>
      </c>
      <c r="F690" s="19" t="str">
        <f t="shared" si="45"/>
        <v>Individual Discretionary</v>
      </c>
      <c r="G690" s="19" t="str">
        <f t="shared" si="46"/>
        <v>Walk-Transit</v>
      </c>
      <c r="H690" s="19" t="str">
        <f t="shared" si="47"/>
        <v>Walk-Local</v>
      </c>
    </row>
    <row r="691" spans="1:8" x14ac:dyDescent="0.2">
      <c r="A691" s="2" t="s">
        <v>97</v>
      </c>
      <c r="B691" s="2" t="s">
        <v>70</v>
      </c>
      <c r="C691" s="2">
        <v>11</v>
      </c>
      <c r="D691" s="2">
        <v>11</v>
      </c>
      <c r="E691" s="2">
        <v>0</v>
      </c>
      <c r="F691" s="19" t="str">
        <f t="shared" si="45"/>
        <v>Individual Discretionary</v>
      </c>
      <c r="G691" s="19" t="str">
        <f t="shared" si="46"/>
        <v>Walk-Transit</v>
      </c>
      <c r="H691" s="19" t="str">
        <f t="shared" si="47"/>
        <v>Walk-Express</v>
      </c>
    </row>
    <row r="692" spans="1:8" x14ac:dyDescent="0.2">
      <c r="A692" s="2" t="s">
        <v>97</v>
      </c>
      <c r="B692" s="2" t="s">
        <v>70</v>
      </c>
      <c r="C692" s="2">
        <v>12</v>
      </c>
      <c r="D692" s="2">
        <v>-10</v>
      </c>
      <c r="E692" s="2">
        <v>0</v>
      </c>
      <c r="F692" s="19" t="str">
        <f t="shared" si="45"/>
        <v>Individual Discretionary</v>
      </c>
      <c r="G692" s="19" t="str">
        <f t="shared" si="46"/>
        <v>Walk-Transit</v>
      </c>
      <c r="H692" s="19" t="str">
        <f t="shared" si="47"/>
        <v>Walk-Ferry</v>
      </c>
    </row>
    <row r="693" spans="1:8" x14ac:dyDescent="0.2">
      <c r="A693" s="2" t="s">
        <v>97</v>
      </c>
      <c r="B693" s="2" t="s">
        <v>70</v>
      </c>
      <c r="C693" s="2">
        <v>12</v>
      </c>
      <c r="D693" s="2">
        <v>3</v>
      </c>
      <c r="E693" s="2">
        <v>0</v>
      </c>
      <c r="F693" s="19" t="str">
        <f t="shared" si="45"/>
        <v>Individual Discretionary</v>
      </c>
      <c r="G693" s="19" t="str">
        <f t="shared" si="46"/>
        <v>Walk-Transit</v>
      </c>
      <c r="H693" s="19" t="str">
        <f t="shared" si="47"/>
        <v>SR2</v>
      </c>
    </row>
    <row r="694" spans="1:8" x14ac:dyDescent="0.2">
      <c r="A694" s="2" t="s">
        <v>97</v>
      </c>
      <c r="B694" s="2" t="s">
        <v>70</v>
      </c>
      <c r="C694" s="2">
        <v>12</v>
      </c>
      <c r="D694" s="2">
        <v>5</v>
      </c>
      <c r="E694" s="2">
        <v>0</v>
      </c>
      <c r="F694" s="19" t="str">
        <f t="shared" si="45"/>
        <v>Individual Discretionary</v>
      </c>
      <c r="G694" s="19" t="str">
        <f t="shared" si="46"/>
        <v>Walk-Transit</v>
      </c>
      <c r="H694" s="19" t="str">
        <f t="shared" si="47"/>
        <v>SR3+</v>
      </c>
    </row>
    <row r="695" spans="1:8" x14ac:dyDescent="0.2">
      <c r="A695" s="2" t="s">
        <v>97</v>
      </c>
      <c r="B695" s="2" t="s">
        <v>70</v>
      </c>
      <c r="C695" s="2">
        <v>12</v>
      </c>
      <c r="D695" s="2">
        <v>7</v>
      </c>
      <c r="E695" s="2">
        <v>0</v>
      </c>
      <c r="F695" s="19" t="str">
        <f t="shared" si="45"/>
        <v>Individual Discretionary</v>
      </c>
      <c r="G695" s="19" t="str">
        <f t="shared" si="46"/>
        <v>Walk-Transit</v>
      </c>
      <c r="H695" s="19" t="str">
        <f t="shared" si="47"/>
        <v>Walk</v>
      </c>
    </row>
    <row r="696" spans="1:8" x14ac:dyDescent="0.2">
      <c r="A696" s="2" t="s">
        <v>97</v>
      </c>
      <c r="B696" s="2" t="s">
        <v>70</v>
      </c>
      <c r="C696" s="2">
        <v>12</v>
      </c>
      <c r="D696" s="2">
        <v>9</v>
      </c>
      <c r="E696" s="2">
        <v>0</v>
      </c>
      <c r="F696" s="19" t="str">
        <f t="shared" si="45"/>
        <v>Individual Discretionary</v>
      </c>
      <c r="G696" s="19" t="str">
        <f t="shared" si="46"/>
        <v>Walk-Transit</v>
      </c>
      <c r="H696" s="19" t="str">
        <f t="shared" si="47"/>
        <v>Walk-Local</v>
      </c>
    </row>
    <row r="697" spans="1:8" x14ac:dyDescent="0.2">
      <c r="A697" s="2" t="s">
        <v>97</v>
      </c>
      <c r="B697" s="2" t="s">
        <v>70</v>
      </c>
      <c r="C697" s="2">
        <v>12</v>
      </c>
      <c r="D697" s="2">
        <v>10</v>
      </c>
      <c r="E697" s="2">
        <v>0</v>
      </c>
      <c r="F697" s="19" t="str">
        <f t="shared" si="45"/>
        <v>Individual Discretionary</v>
      </c>
      <c r="G697" s="19" t="str">
        <f t="shared" si="46"/>
        <v>Walk-Transit</v>
      </c>
      <c r="H697" s="19" t="str">
        <f t="shared" si="47"/>
        <v>Walk-LRT</v>
      </c>
    </row>
    <row r="698" spans="1:8" x14ac:dyDescent="0.2">
      <c r="A698" s="2" t="s">
        <v>97</v>
      </c>
      <c r="B698" s="2" t="s">
        <v>70</v>
      </c>
      <c r="C698" s="2">
        <v>12</v>
      </c>
      <c r="D698" s="2">
        <v>11</v>
      </c>
      <c r="E698" s="2">
        <v>0</v>
      </c>
      <c r="F698" s="19" t="str">
        <f t="shared" si="45"/>
        <v>Individual Discretionary</v>
      </c>
      <c r="G698" s="19" t="str">
        <f t="shared" si="46"/>
        <v>Walk-Transit</v>
      </c>
      <c r="H698" s="19" t="str">
        <f t="shared" si="47"/>
        <v>Walk-Express</v>
      </c>
    </row>
    <row r="699" spans="1:8" x14ac:dyDescent="0.2">
      <c r="A699" s="2" t="s">
        <v>97</v>
      </c>
      <c r="B699" s="2" t="s">
        <v>70</v>
      </c>
      <c r="C699" s="2">
        <v>12</v>
      </c>
      <c r="D699" s="2">
        <v>12</v>
      </c>
      <c r="E699" s="2">
        <v>0</v>
      </c>
      <c r="F699" s="19" t="str">
        <f t="shared" si="45"/>
        <v>Individual Discretionary</v>
      </c>
      <c r="G699" s="19" t="str">
        <f t="shared" si="46"/>
        <v>Walk-Transit</v>
      </c>
      <c r="H699" s="19" t="str">
        <f t="shared" si="47"/>
        <v>Walk-HeavyR</v>
      </c>
    </row>
    <row r="700" spans="1:8" x14ac:dyDescent="0.2">
      <c r="A700" s="2" t="s">
        <v>97</v>
      </c>
      <c r="B700" s="2" t="s">
        <v>70</v>
      </c>
      <c r="C700" s="2">
        <v>12</v>
      </c>
      <c r="D700" s="2">
        <v>19</v>
      </c>
      <c r="E700" s="2">
        <v>0</v>
      </c>
      <c r="F700" s="19" t="str">
        <f t="shared" si="45"/>
        <v>Individual Discretionary</v>
      </c>
      <c r="G700" s="19" t="str">
        <f t="shared" si="46"/>
        <v>Walk-Transit</v>
      </c>
      <c r="H700" s="19" t="str">
        <f t="shared" si="47"/>
        <v>Taxi</v>
      </c>
    </row>
    <row r="701" spans="1:8" x14ac:dyDescent="0.2">
      <c r="A701" s="2" t="s">
        <v>97</v>
      </c>
      <c r="B701" s="2" t="s">
        <v>70</v>
      </c>
      <c r="C701" s="2">
        <v>12</v>
      </c>
      <c r="D701" s="2">
        <v>21</v>
      </c>
      <c r="E701" s="2">
        <v>0</v>
      </c>
      <c r="F701" s="19" t="str">
        <f t="shared" si="45"/>
        <v>Individual Discretionary</v>
      </c>
      <c r="G701" s="19" t="str">
        <f t="shared" si="46"/>
        <v>Walk-Transit</v>
      </c>
      <c r="H701" s="19" t="str">
        <f t="shared" si="47"/>
        <v>TNC-Shared</v>
      </c>
    </row>
    <row r="702" spans="1:8" x14ac:dyDescent="0.2">
      <c r="A702" s="2" t="s">
        <v>97</v>
      </c>
      <c r="B702" s="2" t="s">
        <v>70</v>
      </c>
      <c r="C702" s="2">
        <v>13</v>
      </c>
      <c r="D702" s="2">
        <v>3</v>
      </c>
      <c r="E702" s="2">
        <v>0</v>
      </c>
      <c r="F702" s="19" t="str">
        <f t="shared" si="45"/>
        <v>Individual Discretionary</v>
      </c>
      <c r="G702" s="19" t="str">
        <f t="shared" si="46"/>
        <v>Walk-Transit</v>
      </c>
      <c r="H702" s="19" t="str">
        <f t="shared" si="47"/>
        <v>SR2</v>
      </c>
    </row>
    <row r="703" spans="1:8" x14ac:dyDescent="0.2">
      <c r="A703" s="2" t="s">
        <v>97</v>
      </c>
      <c r="B703" s="2" t="s">
        <v>70</v>
      </c>
      <c r="C703" s="2">
        <v>13</v>
      </c>
      <c r="D703" s="2">
        <v>5</v>
      </c>
      <c r="E703" s="2">
        <v>0</v>
      </c>
      <c r="F703" s="19" t="str">
        <f t="shared" si="45"/>
        <v>Individual Discretionary</v>
      </c>
      <c r="G703" s="19" t="str">
        <f t="shared" si="46"/>
        <v>Walk-Transit</v>
      </c>
      <c r="H703" s="19" t="str">
        <f t="shared" si="47"/>
        <v>SR3+</v>
      </c>
    </row>
    <row r="704" spans="1:8" x14ac:dyDescent="0.2">
      <c r="A704" s="2" t="s">
        <v>97</v>
      </c>
      <c r="B704" s="2" t="s">
        <v>70</v>
      </c>
      <c r="C704" s="2">
        <v>13</v>
      </c>
      <c r="D704" s="2">
        <v>7</v>
      </c>
      <c r="E704" s="2">
        <v>0</v>
      </c>
      <c r="F704" s="19" t="str">
        <f t="shared" si="45"/>
        <v>Individual Discretionary</v>
      </c>
      <c r="G704" s="19" t="str">
        <f t="shared" si="46"/>
        <v>Walk-Transit</v>
      </c>
      <c r="H704" s="19" t="str">
        <f t="shared" si="47"/>
        <v>Walk</v>
      </c>
    </row>
    <row r="705" spans="1:8" x14ac:dyDescent="0.2">
      <c r="A705" s="2" t="s">
        <v>97</v>
      </c>
      <c r="B705" s="2" t="s">
        <v>70</v>
      </c>
      <c r="C705" s="2">
        <v>13</v>
      </c>
      <c r="D705" s="2">
        <v>9</v>
      </c>
      <c r="E705" s="2">
        <v>0</v>
      </c>
      <c r="F705" s="19" t="str">
        <f t="shared" si="45"/>
        <v>Individual Discretionary</v>
      </c>
      <c r="G705" s="19" t="str">
        <f t="shared" si="46"/>
        <v>Walk-Transit</v>
      </c>
      <c r="H705" s="19" t="str">
        <f t="shared" si="47"/>
        <v>Walk-Local</v>
      </c>
    </row>
    <row r="706" spans="1:8" x14ac:dyDescent="0.2">
      <c r="A706" s="2" t="s">
        <v>97</v>
      </c>
      <c r="B706" s="2" t="s">
        <v>70</v>
      </c>
      <c r="C706" s="2">
        <v>13</v>
      </c>
      <c r="D706" s="2">
        <v>10</v>
      </c>
      <c r="E706" s="2">
        <v>0</v>
      </c>
      <c r="F706" s="19" t="str">
        <f t="shared" si="45"/>
        <v>Individual Discretionary</v>
      </c>
      <c r="G706" s="19" t="str">
        <f t="shared" si="46"/>
        <v>Walk-Transit</v>
      </c>
      <c r="H706" s="19" t="str">
        <f t="shared" si="47"/>
        <v>Walk-LRT</v>
      </c>
    </row>
    <row r="707" spans="1:8" x14ac:dyDescent="0.2">
      <c r="A707" s="2" t="s">
        <v>97</v>
      </c>
      <c r="B707" s="2" t="s">
        <v>70</v>
      </c>
      <c r="C707" s="2">
        <v>13</v>
      </c>
      <c r="D707" s="2">
        <v>11</v>
      </c>
      <c r="E707" s="2">
        <v>0</v>
      </c>
      <c r="F707" s="19" t="str">
        <f t="shared" ref="F707:F770" si="48">IF(A707="joint","Joint",_xlfn.IFNA(VLOOKUP(B707,tour_purposes,2,FALSE),"None"))</f>
        <v>Individual Discretionary</v>
      </c>
      <c r="G707" s="19" t="str">
        <f t="shared" ref="G707:G770" si="49">IF(AND(A707="joint",C707&lt;=6),"Auto",_xlfn.IFNA(VLOOKUP(C707,tour_modes,3,FALSE),"None"))</f>
        <v>Walk-Transit</v>
      </c>
      <c r="H707" s="19" t="str">
        <f t="shared" ref="H707:H770" si="50">_xlfn.IFNA(VLOOKUP(D707,trip_modes,2,FALSE),"None")</f>
        <v>Walk-Express</v>
      </c>
    </row>
    <row r="708" spans="1:8" x14ac:dyDescent="0.2">
      <c r="A708" s="2" t="s">
        <v>97</v>
      </c>
      <c r="B708" s="2" t="s">
        <v>70</v>
      </c>
      <c r="C708" s="2">
        <v>13</v>
      </c>
      <c r="D708" s="2">
        <v>12</v>
      </c>
      <c r="E708" s="2">
        <v>0</v>
      </c>
      <c r="F708" s="19" t="str">
        <f t="shared" si="48"/>
        <v>Individual Discretionary</v>
      </c>
      <c r="G708" s="19" t="str">
        <f t="shared" si="49"/>
        <v>Walk-Transit</v>
      </c>
      <c r="H708" s="19" t="str">
        <f t="shared" si="50"/>
        <v>Walk-HeavyR</v>
      </c>
    </row>
    <row r="709" spans="1:8" x14ac:dyDescent="0.2">
      <c r="A709" s="2" t="s">
        <v>97</v>
      </c>
      <c r="B709" s="2" t="s">
        <v>70</v>
      </c>
      <c r="C709" s="2">
        <v>13</v>
      </c>
      <c r="D709" s="2">
        <v>13</v>
      </c>
      <c r="E709" s="2">
        <v>0</v>
      </c>
      <c r="F709" s="19" t="str">
        <f t="shared" si="48"/>
        <v>Individual Discretionary</v>
      </c>
      <c r="G709" s="19" t="str">
        <f t="shared" si="49"/>
        <v>Walk-Transit</v>
      </c>
      <c r="H709" s="19" t="str">
        <f t="shared" si="50"/>
        <v>Walk-CommR</v>
      </c>
    </row>
    <row r="710" spans="1:8" x14ac:dyDescent="0.2">
      <c r="A710" s="2" t="s">
        <v>97</v>
      </c>
      <c r="B710" s="2" t="s">
        <v>70</v>
      </c>
      <c r="C710" s="2">
        <v>14</v>
      </c>
      <c r="D710" s="2">
        <v>14</v>
      </c>
      <c r="E710" s="2">
        <v>0</v>
      </c>
      <c r="F710" s="19" t="str">
        <f t="shared" si="48"/>
        <v>Individual Discretionary</v>
      </c>
      <c r="G710" s="19" t="str">
        <f t="shared" si="49"/>
        <v>Drive-Transit</v>
      </c>
      <c r="H710" s="19" t="str">
        <f t="shared" si="50"/>
        <v>Drive-Local</v>
      </c>
    </row>
    <row r="711" spans="1:8" x14ac:dyDescent="0.2">
      <c r="A711" s="2" t="s">
        <v>97</v>
      </c>
      <c r="B711" s="2" t="s">
        <v>70</v>
      </c>
      <c r="C711" s="2">
        <v>15</v>
      </c>
      <c r="D711" s="2">
        <v>14</v>
      </c>
      <c r="E711" s="2">
        <v>0</v>
      </c>
      <c r="F711" s="19" t="str">
        <f t="shared" si="48"/>
        <v>Individual Discretionary</v>
      </c>
      <c r="G711" s="19" t="str">
        <f t="shared" si="49"/>
        <v>Drive-Transit</v>
      </c>
      <c r="H711" s="19" t="str">
        <f t="shared" si="50"/>
        <v>Drive-Local</v>
      </c>
    </row>
    <row r="712" spans="1:8" x14ac:dyDescent="0.2">
      <c r="A712" s="2" t="s">
        <v>97</v>
      </c>
      <c r="B712" s="2" t="s">
        <v>70</v>
      </c>
      <c r="C712" s="2">
        <v>15</v>
      </c>
      <c r="D712" s="2">
        <v>15</v>
      </c>
      <c r="E712" s="2">
        <v>0</v>
      </c>
      <c r="F712" s="19" t="str">
        <f t="shared" si="48"/>
        <v>Individual Discretionary</v>
      </c>
      <c r="G712" s="19" t="str">
        <f t="shared" si="49"/>
        <v>Drive-Transit</v>
      </c>
      <c r="H712" s="19" t="str">
        <f t="shared" si="50"/>
        <v>Drive-LRT</v>
      </c>
    </row>
    <row r="713" spans="1:8" x14ac:dyDescent="0.2">
      <c r="A713" s="2" t="s">
        <v>97</v>
      </c>
      <c r="B713" s="2" t="s">
        <v>70</v>
      </c>
      <c r="C713" s="2">
        <v>16</v>
      </c>
      <c r="D713" s="2">
        <v>-15</v>
      </c>
      <c r="E713" s="2">
        <v>0</v>
      </c>
      <c r="F713" s="19" t="str">
        <f t="shared" si="48"/>
        <v>Individual Discretionary</v>
      </c>
      <c r="G713" s="19" t="str">
        <f t="shared" si="49"/>
        <v>Drive-Transit</v>
      </c>
      <c r="H713" s="19" t="str">
        <f t="shared" si="50"/>
        <v>Drive-Ferry</v>
      </c>
    </row>
    <row r="714" spans="1:8" x14ac:dyDescent="0.2">
      <c r="A714" s="2" t="s">
        <v>97</v>
      </c>
      <c r="B714" s="2" t="s">
        <v>70</v>
      </c>
      <c r="C714" s="2">
        <v>16</v>
      </c>
      <c r="D714" s="2">
        <v>14</v>
      </c>
      <c r="E714" s="2">
        <v>0</v>
      </c>
      <c r="F714" s="19" t="str">
        <f t="shared" si="48"/>
        <v>Individual Discretionary</v>
      </c>
      <c r="G714" s="19" t="str">
        <f t="shared" si="49"/>
        <v>Drive-Transit</v>
      </c>
      <c r="H714" s="19" t="str">
        <f t="shared" si="50"/>
        <v>Drive-Local</v>
      </c>
    </row>
    <row r="715" spans="1:8" x14ac:dyDescent="0.2">
      <c r="A715" s="2" t="s">
        <v>97</v>
      </c>
      <c r="B715" s="2" t="s">
        <v>70</v>
      </c>
      <c r="C715" s="2">
        <v>16</v>
      </c>
      <c r="D715" s="2">
        <v>16</v>
      </c>
      <c r="E715" s="2">
        <v>0</v>
      </c>
      <c r="F715" s="19" t="str">
        <f t="shared" si="48"/>
        <v>Individual Discretionary</v>
      </c>
      <c r="G715" s="19" t="str">
        <f t="shared" si="49"/>
        <v>Drive-Transit</v>
      </c>
      <c r="H715" s="19" t="str">
        <f t="shared" si="50"/>
        <v>Drive-Express</v>
      </c>
    </row>
    <row r="716" spans="1:8" x14ac:dyDescent="0.2">
      <c r="A716" s="2" t="s">
        <v>97</v>
      </c>
      <c r="B716" s="2" t="s">
        <v>70</v>
      </c>
      <c r="C716" s="2">
        <v>17</v>
      </c>
      <c r="D716" s="2">
        <v>-15</v>
      </c>
      <c r="E716" s="2">
        <v>0</v>
      </c>
      <c r="F716" s="19" t="str">
        <f t="shared" si="48"/>
        <v>Individual Discretionary</v>
      </c>
      <c r="G716" s="19" t="str">
        <f t="shared" si="49"/>
        <v>Drive-Transit</v>
      </c>
      <c r="H716" s="19" t="str">
        <f t="shared" si="50"/>
        <v>Drive-Ferry</v>
      </c>
    </row>
    <row r="717" spans="1:8" x14ac:dyDescent="0.2">
      <c r="A717" s="2" t="s">
        <v>97</v>
      </c>
      <c r="B717" s="2" t="s">
        <v>70</v>
      </c>
      <c r="C717" s="2">
        <v>17</v>
      </c>
      <c r="D717" s="2">
        <v>14</v>
      </c>
      <c r="E717" s="2">
        <v>0</v>
      </c>
      <c r="F717" s="19" t="str">
        <f t="shared" si="48"/>
        <v>Individual Discretionary</v>
      </c>
      <c r="G717" s="19" t="str">
        <f t="shared" si="49"/>
        <v>Drive-Transit</v>
      </c>
      <c r="H717" s="19" t="str">
        <f t="shared" si="50"/>
        <v>Drive-Local</v>
      </c>
    </row>
    <row r="718" spans="1:8" x14ac:dyDescent="0.2">
      <c r="A718" s="2" t="s">
        <v>97</v>
      </c>
      <c r="B718" s="2" t="s">
        <v>70</v>
      </c>
      <c r="C718" s="2">
        <v>17</v>
      </c>
      <c r="D718" s="2">
        <v>15</v>
      </c>
      <c r="E718" s="2">
        <v>0</v>
      </c>
      <c r="F718" s="19" t="str">
        <f t="shared" si="48"/>
        <v>Individual Discretionary</v>
      </c>
      <c r="G718" s="19" t="str">
        <f t="shared" si="49"/>
        <v>Drive-Transit</v>
      </c>
      <c r="H718" s="19" t="str">
        <f t="shared" si="50"/>
        <v>Drive-LRT</v>
      </c>
    </row>
    <row r="719" spans="1:8" x14ac:dyDescent="0.2">
      <c r="A719" s="2" t="s">
        <v>97</v>
      </c>
      <c r="B719" s="2" t="s">
        <v>70</v>
      </c>
      <c r="C719" s="2">
        <v>17</v>
      </c>
      <c r="D719" s="2">
        <v>16</v>
      </c>
      <c r="E719" s="2">
        <v>0</v>
      </c>
      <c r="F719" s="19" t="str">
        <f t="shared" si="48"/>
        <v>Individual Discretionary</v>
      </c>
      <c r="G719" s="19" t="str">
        <f t="shared" si="49"/>
        <v>Drive-Transit</v>
      </c>
      <c r="H719" s="19" t="str">
        <f t="shared" si="50"/>
        <v>Drive-Express</v>
      </c>
    </row>
    <row r="720" spans="1:8" x14ac:dyDescent="0.2">
      <c r="A720" s="2" t="s">
        <v>97</v>
      </c>
      <c r="B720" s="2" t="s">
        <v>70</v>
      </c>
      <c r="C720" s="2">
        <v>17</v>
      </c>
      <c r="D720" s="2">
        <v>17</v>
      </c>
      <c r="E720" s="2">
        <v>0</v>
      </c>
      <c r="F720" s="19" t="str">
        <f t="shared" si="48"/>
        <v>Individual Discretionary</v>
      </c>
      <c r="G720" s="19" t="str">
        <f t="shared" si="49"/>
        <v>Drive-Transit</v>
      </c>
      <c r="H720" s="19" t="str">
        <f t="shared" si="50"/>
        <v>Drive-HeavyR</v>
      </c>
    </row>
    <row r="721" spans="1:8" x14ac:dyDescent="0.2">
      <c r="A721" s="2" t="s">
        <v>97</v>
      </c>
      <c r="B721" s="2" t="s">
        <v>70</v>
      </c>
      <c r="C721" s="2">
        <v>18</v>
      </c>
      <c r="D721" s="2">
        <v>14</v>
      </c>
      <c r="E721" s="2">
        <v>0</v>
      </c>
      <c r="F721" s="19" t="str">
        <f t="shared" si="48"/>
        <v>Individual Discretionary</v>
      </c>
      <c r="G721" s="19" t="str">
        <f t="shared" si="49"/>
        <v>Drive-Transit</v>
      </c>
      <c r="H721" s="19" t="str">
        <f t="shared" si="50"/>
        <v>Drive-Local</v>
      </c>
    </row>
    <row r="722" spans="1:8" x14ac:dyDescent="0.2">
      <c r="A722" s="2" t="s">
        <v>97</v>
      </c>
      <c r="B722" s="2" t="s">
        <v>70</v>
      </c>
      <c r="C722" s="2">
        <v>18</v>
      </c>
      <c r="D722" s="2">
        <v>15</v>
      </c>
      <c r="E722" s="2">
        <v>0</v>
      </c>
      <c r="F722" s="19" t="str">
        <f t="shared" si="48"/>
        <v>Individual Discretionary</v>
      </c>
      <c r="G722" s="19" t="str">
        <f t="shared" si="49"/>
        <v>Drive-Transit</v>
      </c>
      <c r="H722" s="19" t="str">
        <f t="shared" si="50"/>
        <v>Drive-LRT</v>
      </c>
    </row>
    <row r="723" spans="1:8" x14ac:dyDescent="0.2">
      <c r="A723" s="2" t="s">
        <v>97</v>
      </c>
      <c r="B723" s="2" t="s">
        <v>70</v>
      </c>
      <c r="C723" s="2">
        <v>18</v>
      </c>
      <c r="D723" s="2">
        <v>16</v>
      </c>
      <c r="E723" s="2">
        <v>0</v>
      </c>
      <c r="F723" s="19" t="str">
        <f t="shared" si="48"/>
        <v>Individual Discretionary</v>
      </c>
      <c r="G723" s="19" t="str">
        <f t="shared" si="49"/>
        <v>Drive-Transit</v>
      </c>
      <c r="H723" s="19" t="str">
        <f t="shared" si="50"/>
        <v>Drive-Express</v>
      </c>
    </row>
    <row r="724" spans="1:8" x14ac:dyDescent="0.2">
      <c r="A724" s="2" t="s">
        <v>97</v>
      </c>
      <c r="B724" s="2" t="s">
        <v>70</v>
      </c>
      <c r="C724" s="2">
        <v>18</v>
      </c>
      <c r="D724" s="2">
        <v>17</v>
      </c>
      <c r="E724" s="2">
        <v>0</v>
      </c>
      <c r="F724" s="19" t="str">
        <f t="shared" si="48"/>
        <v>Individual Discretionary</v>
      </c>
      <c r="G724" s="19" t="str">
        <f t="shared" si="49"/>
        <v>Drive-Transit</v>
      </c>
      <c r="H724" s="19" t="str">
        <f t="shared" si="50"/>
        <v>Drive-HeavyR</v>
      </c>
    </row>
    <row r="725" spans="1:8" x14ac:dyDescent="0.2">
      <c r="A725" s="2" t="s">
        <v>97</v>
      </c>
      <c r="B725" s="2" t="s">
        <v>70</v>
      </c>
      <c r="C725" s="2">
        <v>18</v>
      </c>
      <c r="D725" s="2">
        <v>18</v>
      </c>
      <c r="E725" s="2">
        <v>0</v>
      </c>
      <c r="F725" s="19" t="str">
        <f t="shared" si="48"/>
        <v>Individual Discretionary</v>
      </c>
      <c r="G725" s="19" t="str">
        <f t="shared" si="49"/>
        <v>Drive-Transit</v>
      </c>
      <c r="H725" s="19" t="str">
        <f t="shared" si="50"/>
        <v>Drive-CommR</v>
      </c>
    </row>
    <row r="726" spans="1:8" x14ac:dyDescent="0.2">
      <c r="A726" s="2" t="s">
        <v>97</v>
      </c>
      <c r="B726" s="2" t="s">
        <v>70</v>
      </c>
      <c r="C726" s="2">
        <v>19</v>
      </c>
      <c r="D726" s="2">
        <v>3</v>
      </c>
      <c r="E726" s="2">
        <v>0</v>
      </c>
      <c r="F726" s="19" t="str">
        <f t="shared" si="48"/>
        <v>Individual Discretionary</v>
      </c>
      <c r="G726" s="19" t="str">
        <f t="shared" si="49"/>
        <v>Taxi</v>
      </c>
      <c r="H726" s="19" t="str">
        <f t="shared" si="50"/>
        <v>SR2</v>
      </c>
    </row>
    <row r="727" spans="1:8" x14ac:dyDescent="0.2">
      <c r="A727" s="2" t="s">
        <v>97</v>
      </c>
      <c r="B727" s="2" t="s">
        <v>70</v>
      </c>
      <c r="C727" s="2">
        <v>19</v>
      </c>
      <c r="D727" s="2">
        <v>5</v>
      </c>
      <c r="E727" s="2">
        <v>0</v>
      </c>
      <c r="F727" s="19" t="str">
        <f t="shared" si="48"/>
        <v>Individual Discretionary</v>
      </c>
      <c r="G727" s="19" t="str">
        <f t="shared" si="49"/>
        <v>Taxi</v>
      </c>
      <c r="H727" s="19" t="str">
        <f t="shared" si="50"/>
        <v>SR3+</v>
      </c>
    </row>
    <row r="728" spans="1:8" x14ac:dyDescent="0.2">
      <c r="A728" s="2" t="s">
        <v>97</v>
      </c>
      <c r="B728" s="2" t="s">
        <v>70</v>
      </c>
      <c r="C728" s="2">
        <v>19</v>
      </c>
      <c r="D728" s="2">
        <v>7</v>
      </c>
      <c r="E728" s="2">
        <v>0</v>
      </c>
      <c r="F728" s="19" t="str">
        <f t="shared" si="48"/>
        <v>Individual Discretionary</v>
      </c>
      <c r="G728" s="19" t="str">
        <f t="shared" si="49"/>
        <v>Taxi</v>
      </c>
      <c r="H728" s="19" t="str">
        <f t="shared" si="50"/>
        <v>Walk</v>
      </c>
    </row>
    <row r="729" spans="1:8" x14ac:dyDescent="0.2">
      <c r="A729" s="2" t="s">
        <v>97</v>
      </c>
      <c r="B729" s="2" t="s">
        <v>70</v>
      </c>
      <c r="C729" s="2">
        <v>19</v>
      </c>
      <c r="D729" s="2">
        <v>19</v>
      </c>
      <c r="E729" s="2">
        <v>0</v>
      </c>
      <c r="F729" s="19" t="str">
        <f t="shared" si="48"/>
        <v>Individual Discretionary</v>
      </c>
      <c r="G729" s="19" t="str">
        <f t="shared" si="49"/>
        <v>Taxi</v>
      </c>
      <c r="H729" s="19" t="str">
        <f t="shared" si="50"/>
        <v>Taxi</v>
      </c>
    </row>
    <row r="730" spans="1:8" x14ac:dyDescent="0.2">
      <c r="A730" s="2" t="s">
        <v>97</v>
      </c>
      <c r="B730" s="2" t="s">
        <v>70</v>
      </c>
      <c r="C730" s="2">
        <v>19</v>
      </c>
      <c r="D730" s="2">
        <v>20</v>
      </c>
      <c r="E730" s="2">
        <v>0</v>
      </c>
      <c r="F730" s="19" t="str">
        <f t="shared" si="48"/>
        <v>Individual Discretionary</v>
      </c>
      <c r="G730" s="19" t="str">
        <f t="shared" si="49"/>
        <v>Taxi</v>
      </c>
      <c r="H730" s="19" t="str">
        <f t="shared" si="50"/>
        <v>TNC-Single</v>
      </c>
    </row>
    <row r="731" spans="1:8" x14ac:dyDescent="0.2">
      <c r="A731" s="2" t="s">
        <v>97</v>
      </c>
      <c r="B731" s="2" t="s">
        <v>70</v>
      </c>
      <c r="C731" s="2">
        <v>21</v>
      </c>
      <c r="D731" s="2">
        <v>3</v>
      </c>
      <c r="E731" s="2">
        <v>0</v>
      </c>
      <c r="F731" s="19" t="str">
        <f t="shared" si="48"/>
        <v>Individual Discretionary</v>
      </c>
      <c r="G731" s="19" t="str">
        <f t="shared" si="49"/>
        <v>TNC-Shared</v>
      </c>
      <c r="H731" s="19" t="str">
        <f t="shared" si="50"/>
        <v>SR2</v>
      </c>
    </row>
    <row r="732" spans="1:8" x14ac:dyDescent="0.2">
      <c r="A732" s="2" t="s">
        <v>97</v>
      </c>
      <c r="B732" s="2" t="s">
        <v>70</v>
      </c>
      <c r="C732" s="2">
        <v>21</v>
      </c>
      <c r="D732" s="2">
        <v>19</v>
      </c>
      <c r="E732" s="2">
        <v>0</v>
      </c>
      <c r="F732" s="19" t="str">
        <f t="shared" si="48"/>
        <v>Individual Discretionary</v>
      </c>
      <c r="G732" s="19" t="str">
        <f t="shared" si="49"/>
        <v>TNC-Shared</v>
      </c>
      <c r="H732" s="19" t="str">
        <f t="shared" si="50"/>
        <v>Taxi</v>
      </c>
    </row>
    <row r="733" spans="1:8" x14ac:dyDescent="0.2">
      <c r="A733" s="2" t="s">
        <v>97</v>
      </c>
      <c r="B733" s="2" t="s">
        <v>71</v>
      </c>
      <c r="C733" s="2">
        <v>1</v>
      </c>
      <c r="D733" s="2">
        <v>1</v>
      </c>
      <c r="E733" s="2">
        <v>0</v>
      </c>
      <c r="F733" s="19" t="str">
        <f t="shared" si="48"/>
        <v>University</v>
      </c>
      <c r="G733" s="19" t="str">
        <f t="shared" si="49"/>
        <v>Drive Alone</v>
      </c>
      <c r="H733" s="19" t="str">
        <f t="shared" si="50"/>
        <v>Drive Alone</v>
      </c>
    </row>
    <row r="734" spans="1:8" x14ac:dyDescent="0.2">
      <c r="A734" s="2" t="s">
        <v>97</v>
      </c>
      <c r="B734" s="2" t="s">
        <v>71</v>
      </c>
      <c r="C734" s="2">
        <v>1</v>
      </c>
      <c r="D734" s="2">
        <v>7</v>
      </c>
      <c r="E734" s="2">
        <v>0</v>
      </c>
      <c r="F734" s="19" t="str">
        <f t="shared" si="48"/>
        <v>University</v>
      </c>
      <c r="G734" s="19" t="str">
        <f t="shared" si="49"/>
        <v>Drive Alone</v>
      </c>
      <c r="H734" s="19" t="str">
        <f t="shared" si="50"/>
        <v>Walk</v>
      </c>
    </row>
    <row r="735" spans="1:8" x14ac:dyDescent="0.2">
      <c r="A735" s="2" t="s">
        <v>97</v>
      </c>
      <c r="B735" s="2" t="s">
        <v>71</v>
      </c>
      <c r="C735" s="2">
        <v>1</v>
      </c>
      <c r="D735" s="2">
        <v>19</v>
      </c>
      <c r="E735" s="2">
        <v>0</v>
      </c>
      <c r="F735" s="19" t="str">
        <f t="shared" si="48"/>
        <v>University</v>
      </c>
      <c r="G735" s="19" t="str">
        <f t="shared" si="49"/>
        <v>Drive Alone</v>
      </c>
      <c r="H735" s="19" t="str">
        <f t="shared" si="50"/>
        <v>Taxi</v>
      </c>
    </row>
    <row r="736" spans="1:8" x14ac:dyDescent="0.2">
      <c r="A736" s="2" t="s">
        <v>97</v>
      </c>
      <c r="B736" s="2" t="s">
        <v>71</v>
      </c>
      <c r="C736" s="2">
        <v>3</v>
      </c>
      <c r="D736" s="2">
        <v>1</v>
      </c>
      <c r="E736" s="2">
        <v>0</v>
      </c>
      <c r="F736" s="19" t="str">
        <f t="shared" si="48"/>
        <v>University</v>
      </c>
      <c r="G736" s="19" t="str">
        <f t="shared" si="49"/>
        <v>SR2</v>
      </c>
      <c r="H736" s="19" t="str">
        <f t="shared" si="50"/>
        <v>Drive Alone</v>
      </c>
    </row>
    <row r="737" spans="1:8" x14ac:dyDescent="0.2">
      <c r="A737" s="2" t="s">
        <v>97</v>
      </c>
      <c r="B737" s="2" t="s">
        <v>71</v>
      </c>
      <c r="C737" s="2">
        <v>3</v>
      </c>
      <c r="D737" s="2">
        <v>3</v>
      </c>
      <c r="E737" s="2">
        <v>0</v>
      </c>
      <c r="F737" s="19" t="str">
        <f t="shared" si="48"/>
        <v>University</v>
      </c>
      <c r="G737" s="19" t="str">
        <f t="shared" si="49"/>
        <v>SR2</v>
      </c>
      <c r="H737" s="19" t="str">
        <f t="shared" si="50"/>
        <v>SR2</v>
      </c>
    </row>
    <row r="738" spans="1:8" x14ac:dyDescent="0.2">
      <c r="A738" s="2" t="s">
        <v>97</v>
      </c>
      <c r="B738" s="2" t="s">
        <v>71</v>
      </c>
      <c r="C738" s="2">
        <v>3</v>
      </c>
      <c r="D738" s="2">
        <v>7</v>
      </c>
      <c r="E738" s="2">
        <v>0</v>
      </c>
      <c r="F738" s="19" t="str">
        <f t="shared" si="48"/>
        <v>University</v>
      </c>
      <c r="G738" s="19" t="str">
        <f t="shared" si="49"/>
        <v>SR2</v>
      </c>
      <c r="H738" s="19" t="str">
        <f t="shared" si="50"/>
        <v>Walk</v>
      </c>
    </row>
    <row r="739" spans="1:8" x14ac:dyDescent="0.2">
      <c r="A739" s="2" t="s">
        <v>97</v>
      </c>
      <c r="B739" s="2" t="s">
        <v>71</v>
      </c>
      <c r="C739" s="2">
        <v>5</v>
      </c>
      <c r="D739" s="2">
        <v>1</v>
      </c>
      <c r="E739" s="2">
        <v>0</v>
      </c>
      <c r="F739" s="19" t="str">
        <f t="shared" si="48"/>
        <v>University</v>
      </c>
      <c r="G739" s="19" t="str">
        <f t="shared" si="49"/>
        <v>SR3+</v>
      </c>
      <c r="H739" s="19" t="str">
        <f t="shared" si="50"/>
        <v>Drive Alone</v>
      </c>
    </row>
    <row r="740" spans="1:8" x14ac:dyDescent="0.2">
      <c r="A740" s="2" t="s">
        <v>97</v>
      </c>
      <c r="B740" s="2" t="s">
        <v>71</v>
      </c>
      <c r="C740" s="2">
        <v>5</v>
      </c>
      <c r="D740" s="2">
        <v>3</v>
      </c>
      <c r="E740" s="2">
        <v>0</v>
      </c>
      <c r="F740" s="19" t="str">
        <f t="shared" si="48"/>
        <v>University</v>
      </c>
      <c r="G740" s="19" t="str">
        <f t="shared" si="49"/>
        <v>SR3+</v>
      </c>
      <c r="H740" s="19" t="str">
        <f t="shared" si="50"/>
        <v>SR2</v>
      </c>
    </row>
    <row r="741" spans="1:8" x14ac:dyDescent="0.2">
      <c r="A741" s="2" t="s">
        <v>97</v>
      </c>
      <c r="B741" s="2" t="s">
        <v>71</v>
      </c>
      <c r="C741" s="2">
        <v>5</v>
      </c>
      <c r="D741" s="2">
        <v>5</v>
      </c>
      <c r="E741" s="2">
        <v>0</v>
      </c>
      <c r="F741" s="19" t="str">
        <f t="shared" si="48"/>
        <v>University</v>
      </c>
      <c r="G741" s="19" t="str">
        <f t="shared" si="49"/>
        <v>SR3+</v>
      </c>
      <c r="H741" s="19" t="str">
        <f t="shared" si="50"/>
        <v>SR3+</v>
      </c>
    </row>
    <row r="742" spans="1:8" x14ac:dyDescent="0.2">
      <c r="A742" s="2" t="s">
        <v>97</v>
      </c>
      <c r="B742" s="2" t="s">
        <v>71</v>
      </c>
      <c r="C742" s="2">
        <v>5</v>
      </c>
      <c r="D742" s="2">
        <v>7</v>
      </c>
      <c r="E742" s="2">
        <v>0</v>
      </c>
      <c r="F742" s="19" t="str">
        <f t="shared" si="48"/>
        <v>University</v>
      </c>
      <c r="G742" s="19" t="str">
        <f t="shared" si="49"/>
        <v>SR3+</v>
      </c>
      <c r="H742" s="19" t="str">
        <f t="shared" si="50"/>
        <v>Walk</v>
      </c>
    </row>
    <row r="743" spans="1:8" x14ac:dyDescent="0.2">
      <c r="A743" s="2" t="s">
        <v>97</v>
      </c>
      <c r="B743" s="2" t="s">
        <v>71</v>
      </c>
      <c r="C743" s="2">
        <v>5</v>
      </c>
      <c r="D743" s="2">
        <v>19</v>
      </c>
      <c r="E743" s="2">
        <v>0</v>
      </c>
      <c r="F743" s="19" t="str">
        <f t="shared" si="48"/>
        <v>University</v>
      </c>
      <c r="G743" s="19" t="str">
        <f t="shared" si="49"/>
        <v>SR3+</v>
      </c>
      <c r="H743" s="19" t="str">
        <f t="shared" si="50"/>
        <v>Taxi</v>
      </c>
    </row>
    <row r="744" spans="1:8" x14ac:dyDescent="0.2">
      <c r="A744" s="2" t="s">
        <v>97</v>
      </c>
      <c r="B744" s="2" t="s">
        <v>71</v>
      </c>
      <c r="C744" s="2">
        <v>7</v>
      </c>
      <c r="D744" s="2">
        <v>7</v>
      </c>
      <c r="E744" s="2">
        <v>0</v>
      </c>
      <c r="F744" s="19" t="str">
        <f t="shared" si="48"/>
        <v>University</v>
      </c>
      <c r="G744" s="19" t="str">
        <f t="shared" si="49"/>
        <v>Walk</v>
      </c>
      <c r="H744" s="19" t="str">
        <f t="shared" si="50"/>
        <v>Walk</v>
      </c>
    </row>
    <row r="745" spans="1:8" x14ac:dyDescent="0.2">
      <c r="A745" s="2" t="s">
        <v>97</v>
      </c>
      <c r="B745" s="2" t="s">
        <v>71</v>
      </c>
      <c r="C745" s="2">
        <v>7</v>
      </c>
      <c r="D745" s="2">
        <v>19</v>
      </c>
      <c r="E745" s="2">
        <v>0</v>
      </c>
      <c r="F745" s="19" t="str">
        <f t="shared" si="48"/>
        <v>University</v>
      </c>
      <c r="G745" s="19" t="str">
        <f t="shared" si="49"/>
        <v>Walk</v>
      </c>
      <c r="H745" s="19" t="str">
        <f t="shared" si="50"/>
        <v>Taxi</v>
      </c>
    </row>
    <row r="746" spans="1:8" x14ac:dyDescent="0.2">
      <c r="A746" s="2" t="s">
        <v>97</v>
      </c>
      <c r="B746" s="2" t="s">
        <v>71</v>
      </c>
      <c r="C746" s="2">
        <v>8</v>
      </c>
      <c r="D746" s="2">
        <v>7</v>
      </c>
      <c r="E746" s="2">
        <v>0</v>
      </c>
      <c r="F746" s="19" t="str">
        <f t="shared" si="48"/>
        <v>University</v>
      </c>
      <c r="G746" s="19" t="str">
        <f t="shared" si="49"/>
        <v>Bike</v>
      </c>
      <c r="H746" s="19" t="str">
        <f t="shared" si="50"/>
        <v>Walk</v>
      </c>
    </row>
    <row r="747" spans="1:8" x14ac:dyDescent="0.2">
      <c r="A747" s="2" t="s">
        <v>97</v>
      </c>
      <c r="B747" s="2" t="s">
        <v>71</v>
      </c>
      <c r="C747" s="2">
        <v>8</v>
      </c>
      <c r="D747" s="2">
        <v>8</v>
      </c>
      <c r="E747" s="2">
        <v>0</v>
      </c>
      <c r="F747" s="19" t="str">
        <f t="shared" si="48"/>
        <v>University</v>
      </c>
      <c r="G747" s="19" t="str">
        <f t="shared" si="49"/>
        <v>Bike</v>
      </c>
      <c r="H747" s="19" t="str">
        <f t="shared" si="50"/>
        <v>Bike</v>
      </c>
    </row>
    <row r="748" spans="1:8" x14ac:dyDescent="0.2">
      <c r="A748" s="2" t="s">
        <v>97</v>
      </c>
      <c r="B748" s="2" t="s">
        <v>71</v>
      </c>
      <c r="C748" s="2">
        <v>8</v>
      </c>
      <c r="D748" s="2">
        <v>19</v>
      </c>
      <c r="E748" s="2">
        <v>0</v>
      </c>
      <c r="F748" s="19" t="str">
        <f t="shared" si="48"/>
        <v>University</v>
      </c>
      <c r="G748" s="19" t="str">
        <f t="shared" si="49"/>
        <v>Bike</v>
      </c>
      <c r="H748" s="19" t="str">
        <f t="shared" si="50"/>
        <v>Taxi</v>
      </c>
    </row>
    <row r="749" spans="1:8" x14ac:dyDescent="0.2">
      <c r="A749" s="2" t="s">
        <v>97</v>
      </c>
      <c r="B749" s="2" t="s">
        <v>71</v>
      </c>
      <c r="C749" s="2">
        <v>8</v>
      </c>
      <c r="D749" s="2">
        <v>20</v>
      </c>
      <c r="E749" s="2">
        <v>0</v>
      </c>
      <c r="F749" s="19" t="str">
        <f t="shared" si="48"/>
        <v>University</v>
      </c>
      <c r="G749" s="19" t="str">
        <f t="shared" si="49"/>
        <v>Bike</v>
      </c>
      <c r="H749" s="19" t="str">
        <f t="shared" si="50"/>
        <v>TNC-Single</v>
      </c>
    </row>
    <row r="750" spans="1:8" x14ac:dyDescent="0.2">
      <c r="A750" s="2" t="s">
        <v>97</v>
      </c>
      <c r="B750" s="2" t="s">
        <v>71</v>
      </c>
      <c r="C750" s="2">
        <v>9</v>
      </c>
      <c r="D750" s="2">
        <v>3</v>
      </c>
      <c r="E750" s="2">
        <v>0</v>
      </c>
      <c r="F750" s="19" t="str">
        <f t="shared" si="48"/>
        <v>University</v>
      </c>
      <c r="G750" s="19" t="str">
        <f t="shared" si="49"/>
        <v>Walk-Transit</v>
      </c>
      <c r="H750" s="19" t="str">
        <f t="shared" si="50"/>
        <v>SR2</v>
      </c>
    </row>
    <row r="751" spans="1:8" x14ac:dyDescent="0.2">
      <c r="A751" s="2" t="s">
        <v>97</v>
      </c>
      <c r="B751" s="2" t="s">
        <v>71</v>
      </c>
      <c r="C751" s="2">
        <v>9</v>
      </c>
      <c r="D751" s="2">
        <v>5</v>
      </c>
      <c r="E751" s="2">
        <v>0</v>
      </c>
      <c r="F751" s="19" t="str">
        <f t="shared" si="48"/>
        <v>University</v>
      </c>
      <c r="G751" s="19" t="str">
        <f t="shared" si="49"/>
        <v>Walk-Transit</v>
      </c>
      <c r="H751" s="19" t="str">
        <f t="shared" si="50"/>
        <v>SR3+</v>
      </c>
    </row>
    <row r="752" spans="1:8" x14ac:dyDescent="0.2">
      <c r="A752" s="2" t="s">
        <v>97</v>
      </c>
      <c r="B752" s="2" t="s">
        <v>71</v>
      </c>
      <c r="C752" s="2">
        <v>9</v>
      </c>
      <c r="D752" s="2">
        <v>7</v>
      </c>
      <c r="E752" s="2">
        <v>0</v>
      </c>
      <c r="F752" s="19" t="str">
        <f t="shared" si="48"/>
        <v>University</v>
      </c>
      <c r="G752" s="19" t="str">
        <f t="shared" si="49"/>
        <v>Walk-Transit</v>
      </c>
      <c r="H752" s="19" t="str">
        <f t="shared" si="50"/>
        <v>Walk</v>
      </c>
    </row>
    <row r="753" spans="1:8" x14ac:dyDescent="0.2">
      <c r="A753" s="2" t="s">
        <v>97</v>
      </c>
      <c r="B753" s="2" t="s">
        <v>71</v>
      </c>
      <c r="C753" s="2">
        <v>9</v>
      </c>
      <c r="D753" s="2">
        <v>9</v>
      </c>
      <c r="E753" s="2">
        <v>0</v>
      </c>
      <c r="F753" s="19" t="str">
        <f t="shared" si="48"/>
        <v>University</v>
      </c>
      <c r="G753" s="19" t="str">
        <f t="shared" si="49"/>
        <v>Walk-Transit</v>
      </c>
      <c r="H753" s="19" t="str">
        <f t="shared" si="50"/>
        <v>Walk-Local</v>
      </c>
    </row>
    <row r="754" spans="1:8" x14ac:dyDescent="0.2">
      <c r="A754" s="2" t="s">
        <v>97</v>
      </c>
      <c r="B754" s="2" t="s">
        <v>71</v>
      </c>
      <c r="C754" s="2">
        <v>9</v>
      </c>
      <c r="D754" s="2">
        <v>19</v>
      </c>
      <c r="E754" s="2">
        <v>0</v>
      </c>
      <c r="F754" s="19" t="str">
        <f t="shared" si="48"/>
        <v>University</v>
      </c>
      <c r="G754" s="19" t="str">
        <f t="shared" si="49"/>
        <v>Walk-Transit</v>
      </c>
      <c r="H754" s="19" t="str">
        <f t="shared" si="50"/>
        <v>Taxi</v>
      </c>
    </row>
    <row r="755" spans="1:8" x14ac:dyDescent="0.2">
      <c r="A755" s="2" t="s">
        <v>97</v>
      </c>
      <c r="B755" s="2" t="s">
        <v>71</v>
      </c>
      <c r="C755" s="2">
        <v>9</v>
      </c>
      <c r="D755" s="2">
        <v>20</v>
      </c>
      <c r="E755" s="2">
        <v>0</v>
      </c>
      <c r="F755" s="19" t="str">
        <f t="shared" si="48"/>
        <v>University</v>
      </c>
      <c r="G755" s="19" t="str">
        <f t="shared" si="49"/>
        <v>Walk-Transit</v>
      </c>
      <c r="H755" s="19" t="str">
        <f t="shared" si="50"/>
        <v>TNC-Single</v>
      </c>
    </row>
    <row r="756" spans="1:8" x14ac:dyDescent="0.2">
      <c r="A756" s="2" t="s">
        <v>97</v>
      </c>
      <c r="B756" s="2" t="s">
        <v>71</v>
      </c>
      <c r="C756" s="2">
        <v>10</v>
      </c>
      <c r="D756" s="2">
        <v>-10</v>
      </c>
      <c r="E756" s="2">
        <v>0</v>
      </c>
      <c r="F756" s="19" t="str">
        <f t="shared" si="48"/>
        <v>University</v>
      </c>
      <c r="G756" s="19" t="str">
        <f t="shared" si="49"/>
        <v>Walk-Transit</v>
      </c>
      <c r="H756" s="19" t="str">
        <f t="shared" si="50"/>
        <v>Walk-Ferry</v>
      </c>
    </row>
    <row r="757" spans="1:8" x14ac:dyDescent="0.2">
      <c r="A757" s="2" t="s">
        <v>97</v>
      </c>
      <c r="B757" s="2" t="s">
        <v>71</v>
      </c>
      <c r="C757" s="2">
        <v>10</v>
      </c>
      <c r="D757" s="2">
        <v>3</v>
      </c>
      <c r="E757" s="2">
        <v>0</v>
      </c>
      <c r="F757" s="19" t="str">
        <f t="shared" si="48"/>
        <v>University</v>
      </c>
      <c r="G757" s="19" t="str">
        <f t="shared" si="49"/>
        <v>Walk-Transit</v>
      </c>
      <c r="H757" s="19" t="str">
        <f t="shared" si="50"/>
        <v>SR2</v>
      </c>
    </row>
    <row r="758" spans="1:8" x14ac:dyDescent="0.2">
      <c r="A758" s="2" t="s">
        <v>97</v>
      </c>
      <c r="B758" s="2" t="s">
        <v>71</v>
      </c>
      <c r="C758" s="2">
        <v>10</v>
      </c>
      <c r="D758" s="2">
        <v>5</v>
      </c>
      <c r="E758" s="2">
        <v>0</v>
      </c>
      <c r="F758" s="19" t="str">
        <f t="shared" si="48"/>
        <v>University</v>
      </c>
      <c r="G758" s="19" t="str">
        <f t="shared" si="49"/>
        <v>Walk-Transit</v>
      </c>
      <c r="H758" s="19" t="str">
        <f t="shared" si="50"/>
        <v>SR3+</v>
      </c>
    </row>
    <row r="759" spans="1:8" x14ac:dyDescent="0.2">
      <c r="A759" s="2" t="s">
        <v>97</v>
      </c>
      <c r="B759" s="2" t="s">
        <v>71</v>
      </c>
      <c r="C759" s="2">
        <v>10</v>
      </c>
      <c r="D759" s="2">
        <v>7</v>
      </c>
      <c r="E759" s="2">
        <v>0</v>
      </c>
      <c r="F759" s="19" t="str">
        <f t="shared" si="48"/>
        <v>University</v>
      </c>
      <c r="G759" s="19" t="str">
        <f t="shared" si="49"/>
        <v>Walk-Transit</v>
      </c>
      <c r="H759" s="19" t="str">
        <f t="shared" si="50"/>
        <v>Walk</v>
      </c>
    </row>
    <row r="760" spans="1:8" x14ac:dyDescent="0.2">
      <c r="A760" s="2" t="s">
        <v>97</v>
      </c>
      <c r="B760" s="2" t="s">
        <v>71</v>
      </c>
      <c r="C760" s="2">
        <v>10</v>
      </c>
      <c r="D760" s="2">
        <v>9</v>
      </c>
      <c r="E760" s="2">
        <v>0</v>
      </c>
      <c r="F760" s="19" t="str">
        <f t="shared" si="48"/>
        <v>University</v>
      </c>
      <c r="G760" s="19" t="str">
        <f t="shared" si="49"/>
        <v>Walk-Transit</v>
      </c>
      <c r="H760" s="19" t="str">
        <f t="shared" si="50"/>
        <v>Walk-Local</v>
      </c>
    </row>
    <row r="761" spans="1:8" x14ac:dyDescent="0.2">
      <c r="A761" s="2" t="s">
        <v>97</v>
      </c>
      <c r="B761" s="2" t="s">
        <v>71</v>
      </c>
      <c r="C761" s="2">
        <v>10</v>
      </c>
      <c r="D761" s="2">
        <v>10</v>
      </c>
      <c r="E761" s="2">
        <v>0</v>
      </c>
      <c r="F761" s="19" t="str">
        <f t="shared" si="48"/>
        <v>University</v>
      </c>
      <c r="G761" s="19" t="str">
        <f t="shared" si="49"/>
        <v>Walk-Transit</v>
      </c>
      <c r="H761" s="19" t="str">
        <f t="shared" si="50"/>
        <v>Walk-LRT</v>
      </c>
    </row>
    <row r="762" spans="1:8" x14ac:dyDescent="0.2">
      <c r="A762" s="2" t="s">
        <v>97</v>
      </c>
      <c r="B762" s="2" t="s">
        <v>71</v>
      </c>
      <c r="C762" s="2">
        <v>10</v>
      </c>
      <c r="D762" s="2">
        <v>19</v>
      </c>
      <c r="E762" s="2">
        <v>0</v>
      </c>
      <c r="F762" s="19" t="str">
        <f t="shared" si="48"/>
        <v>University</v>
      </c>
      <c r="G762" s="19" t="str">
        <f t="shared" si="49"/>
        <v>Walk-Transit</v>
      </c>
      <c r="H762" s="19" t="str">
        <f t="shared" si="50"/>
        <v>Taxi</v>
      </c>
    </row>
    <row r="763" spans="1:8" x14ac:dyDescent="0.2">
      <c r="A763" s="2" t="s">
        <v>97</v>
      </c>
      <c r="B763" s="2" t="s">
        <v>71</v>
      </c>
      <c r="C763" s="2">
        <v>10</v>
      </c>
      <c r="D763" s="2">
        <v>20</v>
      </c>
      <c r="E763" s="2">
        <v>0</v>
      </c>
      <c r="F763" s="19" t="str">
        <f t="shared" si="48"/>
        <v>University</v>
      </c>
      <c r="G763" s="19" t="str">
        <f t="shared" si="49"/>
        <v>Walk-Transit</v>
      </c>
      <c r="H763" s="19" t="str">
        <f t="shared" si="50"/>
        <v>TNC-Single</v>
      </c>
    </row>
    <row r="764" spans="1:8" x14ac:dyDescent="0.2">
      <c r="A764" s="2" t="s">
        <v>97</v>
      </c>
      <c r="B764" s="2" t="s">
        <v>71</v>
      </c>
      <c r="C764" s="2">
        <v>11</v>
      </c>
      <c r="D764" s="2">
        <v>-10</v>
      </c>
      <c r="E764" s="2">
        <v>0</v>
      </c>
      <c r="F764" s="19" t="str">
        <f t="shared" si="48"/>
        <v>University</v>
      </c>
      <c r="G764" s="19" t="str">
        <f t="shared" si="49"/>
        <v>Walk-Transit</v>
      </c>
      <c r="H764" s="19" t="str">
        <f t="shared" si="50"/>
        <v>Walk-Ferry</v>
      </c>
    </row>
    <row r="765" spans="1:8" x14ac:dyDescent="0.2">
      <c r="A765" s="2" t="s">
        <v>97</v>
      </c>
      <c r="B765" s="2" t="s">
        <v>71</v>
      </c>
      <c r="C765" s="2">
        <v>11</v>
      </c>
      <c r="D765" s="2">
        <v>3</v>
      </c>
      <c r="E765" s="2">
        <v>0</v>
      </c>
      <c r="F765" s="19" t="str">
        <f t="shared" si="48"/>
        <v>University</v>
      </c>
      <c r="G765" s="19" t="str">
        <f t="shared" si="49"/>
        <v>Walk-Transit</v>
      </c>
      <c r="H765" s="19" t="str">
        <f t="shared" si="50"/>
        <v>SR2</v>
      </c>
    </row>
    <row r="766" spans="1:8" x14ac:dyDescent="0.2">
      <c r="A766" s="2" t="s">
        <v>97</v>
      </c>
      <c r="B766" s="2" t="s">
        <v>71</v>
      </c>
      <c r="C766" s="2">
        <v>11</v>
      </c>
      <c r="D766" s="2">
        <v>5</v>
      </c>
      <c r="E766" s="2">
        <v>0</v>
      </c>
      <c r="F766" s="19" t="str">
        <f t="shared" si="48"/>
        <v>University</v>
      </c>
      <c r="G766" s="19" t="str">
        <f t="shared" si="49"/>
        <v>Walk-Transit</v>
      </c>
      <c r="H766" s="19" t="str">
        <f t="shared" si="50"/>
        <v>SR3+</v>
      </c>
    </row>
    <row r="767" spans="1:8" x14ac:dyDescent="0.2">
      <c r="A767" s="2" t="s">
        <v>97</v>
      </c>
      <c r="B767" s="2" t="s">
        <v>71</v>
      </c>
      <c r="C767" s="2">
        <v>11</v>
      </c>
      <c r="D767" s="2">
        <v>7</v>
      </c>
      <c r="E767" s="2">
        <v>0</v>
      </c>
      <c r="F767" s="19" t="str">
        <f t="shared" si="48"/>
        <v>University</v>
      </c>
      <c r="G767" s="19" t="str">
        <f t="shared" si="49"/>
        <v>Walk-Transit</v>
      </c>
      <c r="H767" s="19" t="str">
        <f t="shared" si="50"/>
        <v>Walk</v>
      </c>
    </row>
    <row r="768" spans="1:8" x14ac:dyDescent="0.2">
      <c r="A768" s="2" t="s">
        <v>97</v>
      </c>
      <c r="B768" s="2" t="s">
        <v>71</v>
      </c>
      <c r="C768" s="2">
        <v>11</v>
      </c>
      <c r="D768" s="2">
        <v>9</v>
      </c>
      <c r="E768" s="2">
        <v>0</v>
      </c>
      <c r="F768" s="19" t="str">
        <f t="shared" si="48"/>
        <v>University</v>
      </c>
      <c r="G768" s="19" t="str">
        <f t="shared" si="49"/>
        <v>Walk-Transit</v>
      </c>
      <c r="H768" s="19" t="str">
        <f t="shared" si="50"/>
        <v>Walk-Local</v>
      </c>
    </row>
    <row r="769" spans="1:8" x14ac:dyDescent="0.2">
      <c r="A769" s="2" t="s">
        <v>97</v>
      </c>
      <c r="B769" s="2" t="s">
        <v>71</v>
      </c>
      <c r="C769" s="2">
        <v>11</v>
      </c>
      <c r="D769" s="2">
        <v>10</v>
      </c>
      <c r="E769" s="2">
        <v>0</v>
      </c>
      <c r="F769" s="19" t="str">
        <f t="shared" si="48"/>
        <v>University</v>
      </c>
      <c r="G769" s="19" t="str">
        <f t="shared" si="49"/>
        <v>Walk-Transit</v>
      </c>
      <c r="H769" s="19" t="str">
        <f t="shared" si="50"/>
        <v>Walk-LRT</v>
      </c>
    </row>
    <row r="770" spans="1:8" x14ac:dyDescent="0.2">
      <c r="A770" s="2" t="s">
        <v>97</v>
      </c>
      <c r="B770" s="2" t="s">
        <v>71</v>
      </c>
      <c r="C770" s="2">
        <v>11</v>
      </c>
      <c r="D770" s="2">
        <v>11</v>
      </c>
      <c r="E770" s="2">
        <v>0</v>
      </c>
      <c r="F770" s="19" t="str">
        <f t="shared" si="48"/>
        <v>University</v>
      </c>
      <c r="G770" s="19" t="str">
        <f t="shared" si="49"/>
        <v>Walk-Transit</v>
      </c>
      <c r="H770" s="19" t="str">
        <f t="shared" si="50"/>
        <v>Walk-Express</v>
      </c>
    </row>
    <row r="771" spans="1:8" x14ac:dyDescent="0.2">
      <c r="A771" s="2" t="s">
        <v>97</v>
      </c>
      <c r="B771" s="2" t="s">
        <v>71</v>
      </c>
      <c r="C771" s="2">
        <v>12</v>
      </c>
      <c r="D771" s="2">
        <v>-10</v>
      </c>
      <c r="E771" s="2">
        <v>0</v>
      </c>
      <c r="F771" s="19" t="str">
        <f t="shared" ref="F771:F834" si="51">IF(A771="joint","Joint",_xlfn.IFNA(VLOOKUP(B771,tour_purposes,2,FALSE),"None"))</f>
        <v>University</v>
      </c>
      <c r="G771" s="19" t="str">
        <f t="shared" ref="G771:G834" si="52">IF(AND(A771="joint",C771&lt;=6),"Auto",_xlfn.IFNA(VLOOKUP(C771,tour_modes,3,FALSE),"None"))</f>
        <v>Walk-Transit</v>
      </c>
      <c r="H771" s="19" t="str">
        <f t="shared" ref="H771:H834" si="53">_xlfn.IFNA(VLOOKUP(D771,trip_modes,2,FALSE),"None")</f>
        <v>Walk-Ferry</v>
      </c>
    </row>
    <row r="772" spans="1:8" x14ac:dyDescent="0.2">
      <c r="A772" s="2" t="s">
        <v>97</v>
      </c>
      <c r="B772" s="2" t="s">
        <v>71</v>
      </c>
      <c r="C772" s="2">
        <v>12</v>
      </c>
      <c r="D772" s="2">
        <v>3</v>
      </c>
      <c r="E772" s="2">
        <v>0</v>
      </c>
      <c r="F772" s="19" t="str">
        <f t="shared" si="51"/>
        <v>University</v>
      </c>
      <c r="G772" s="19" t="str">
        <f t="shared" si="52"/>
        <v>Walk-Transit</v>
      </c>
      <c r="H772" s="19" t="str">
        <f t="shared" si="53"/>
        <v>SR2</v>
      </c>
    </row>
    <row r="773" spans="1:8" x14ac:dyDescent="0.2">
      <c r="A773" s="2" t="s">
        <v>97</v>
      </c>
      <c r="B773" s="2" t="s">
        <v>71</v>
      </c>
      <c r="C773" s="2">
        <v>12</v>
      </c>
      <c r="D773" s="2">
        <v>5</v>
      </c>
      <c r="E773" s="2">
        <v>0</v>
      </c>
      <c r="F773" s="19" t="str">
        <f t="shared" si="51"/>
        <v>University</v>
      </c>
      <c r="G773" s="19" t="str">
        <f t="shared" si="52"/>
        <v>Walk-Transit</v>
      </c>
      <c r="H773" s="19" t="str">
        <f t="shared" si="53"/>
        <v>SR3+</v>
      </c>
    </row>
    <row r="774" spans="1:8" x14ac:dyDescent="0.2">
      <c r="A774" s="2" t="s">
        <v>97</v>
      </c>
      <c r="B774" s="2" t="s">
        <v>71</v>
      </c>
      <c r="C774" s="2">
        <v>12</v>
      </c>
      <c r="D774" s="2">
        <v>7</v>
      </c>
      <c r="E774" s="2">
        <v>0</v>
      </c>
      <c r="F774" s="19" t="str">
        <f t="shared" si="51"/>
        <v>University</v>
      </c>
      <c r="G774" s="19" t="str">
        <f t="shared" si="52"/>
        <v>Walk-Transit</v>
      </c>
      <c r="H774" s="19" t="str">
        <f t="shared" si="53"/>
        <v>Walk</v>
      </c>
    </row>
    <row r="775" spans="1:8" x14ac:dyDescent="0.2">
      <c r="A775" s="2" t="s">
        <v>97</v>
      </c>
      <c r="B775" s="2" t="s">
        <v>71</v>
      </c>
      <c r="C775" s="2">
        <v>12</v>
      </c>
      <c r="D775" s="2">
        <v>9</v>
      </c>
      <c r="E775" s="2">
        <v>0</v>
      </c>
      <c r="F775" s="19" t="str">
        <f t="shared" si="51"/>
        <v>University</v>
      </c>
      <c r="G775" s="19" t="str">
        <f t="shared" si="52"/>
        <v>Walk-Transit</v>
      </c>
      <c r="H775" s="19" t="str">
        <f t="shared" si="53"/>
        <v>Walk-Local</v>
      </c>
    </row>
    <row r="776" spans="1:8" x14ac:dyDescent="0.2">
      <c r="A776" s="2" t="s">
        <v>97</v>
      </c>
      <c r="B776" s="2" t="s">
        <v>71</v>
      </c>
      <c r="C776" s="2">
        <v>12</v>
      </c>
      <c r="D776" s="2">
        <v>10</v>
      </c>
      <c r="E776" s="2">
        <v>0</v>
      </c>
      <c r="F776" s="19" t="str">
        <f t="shared" si="51"/>
        <v>University</v>
      </c>
      <c r="G776" s="19" t="str">
        <f t="shared" si="52"/>
        <v>Walk-Transit</v>
      </c>
      <c r="H776" s="19" t="str">
        <f t="shared" si="53"/>
        <v>Walk-LRT</v>
      </c>
    </row>
    <row r="777" spans="1:8" x14ac:dyDescent="0.2">
      <c r="A777" s="2" t="s">
        <v>97</v>
      </c>
      <c r="B777" s="2" t="s">
        <v>71</v>
      </c>
      <c r="C777" s="2">
        <v>12</v>
      </c>
      <c r="D777" s="2">
        <v>11</v>
      </c>
      <c r="E777" s="2">
        <v>0</v>
      </c>
      <c r="F777" s="19" t="str">
        <f t="shared" si="51"/>
        <v>University</v>
      </c>
      <c r="G777" s="19" t="str">
        <f t="shared" si="52"/>
        <v>Walk-Transit</v>
      </c>
      <c r="H777" s="19" t="str">
        <f t="shared" si="53"/>
        <v>Walk-Express</v>
      </c>
    </row>
    <row r="778" spans="1:8" x14ac:dyDescent="0.2">
      <c r="A778" s="2" t="s">
        <v>97</v>
      </c>
      <c r="B778" s="2" t="s">
        <v>71</v>
      </c>
      <c r="C778" s="2">
        <v>12</v>
      </c>
      <c r="D778" s="2">
        <v>12</v>
      </c>
      <c r="E778" s="2">
        <v>0</v>
      </c>
      <c r="F778" s="19" t="str">
        <f t="shared" si="51"/>
        <v>University</v>
      </c>
      <c r="G778" s="19" t="str">
        <f t="shared" si="52"/>
        <v>Walk-Transit</v>
      </c>
      <c r="H778" s="19" t="str">
        <f t="shared" si="53"/>
        <v>Walk-HeavyR</v>
      </c>
    </row>
    <row r="779" spans="1:8" x14ac:dyDescent="0.2">
      <c r="A779" s="2" t="s">
        <v>97</v>
      </c>
      <c r="B779" s="2" t="s">
        <v>71</v>
      </c>
      <c r="C779" s="2">
        <v>12</v>
      </c>
      <c r="D779" s="2">
        <v>19</v>
      </c>
      <c r="E779" s="2">
        <v>0</v>
      </c>
      <c r="F779" s="19" t="str">
        <f t="shared" si="51"/>
        <v>University</v>
      </c>
      <c r="G779" s="19" t="str">
        <f t="shared" si="52"/>
        <v>Walk-Transit</v>
      </c>
      <c r="H779" s="19" t="str">
        <f t="shared" si="53"/>
        <v>Taxi</v>
      </c>
    </row>
    <row r="780" spans="1:8" x14ac:dyDescent="0.2">
      <c r="A780" s="2" t="s">
        <v>97</v>
      </c>
      <c r="B780" s="2" t="s">
        <v>71</v>
      </c>
      <c r="C780" s="2">
        <v>13</v>
      </c>
      <c r="D780" s="2">
        <v>3</v>
      </c>
      <c r="E780" s="2">
        <v>0</v>
      </c>
      <c r="F780" s="19" t="str">
        <f t="shared" si="51"/>
        <v>University</v>
      </c>
      <c r="G780" s="19" t="str">
        <f t="shared" si="52"/>
        <v>Walk-Transit</v>
      </c>
      <c r="H780" s="19" t="str">
        <f t="shared" si="53"/>
        <v>SR2</v>
      </c>
    </row>
    <row r="781" spans="1:8" x14ac:dyDescent="0.2">
      <c r="A781" s="2" t="s">
        <v>97</v>
      </c>
      <c r="B781" s="2" t="s">
        <v>71</v>
      </c>
      <c r="C781" s="2">
        <v>13</v>
      </c>
      <c r="D781" s="2">
        <v>5</v>
      </c>
      <c r="E781" s="2">
        <v>0</v>
      </c>
      <c r="F781" s="19" t="str">
        <f t="shared" si="51"/>
        <v>University</v>
      </c>
      <c r="G781" s="19" t="str">
        <f t="shared" si="52"/>
        <v>Walk-Transit</v>
      </c>
      <c r="H781" s="19" t="str">
        <f t="shared" si="53"/>
        <v>SR3+</v>
      </c>
    </row>
    <row r="782" spans="1:8" x14ac:dyDescent="0.2">
      <c r="A782" s="2" t="s">
        <v>97</v>
      </c>
      <c r="B782" s="2" t="s">
        <v>71</v>
      </c>
      <c r="C782" s="2">
        <v>13</v>
      </c>
      <c r="D782" s="2">
        <v>7</v>
      </c>
      <c r="E782" s="2">
        <v>0</v>
      </c>
      <c r="F782" s="19" t="str">
        <f t="shared" si="51"/>
        <v>University</v>
      </c>
      <c r="G782" s="19" t="str">
        <f t="shared" si="52"/>
        <v>Walk-Transit</v>
      </c>
      <c r="H782" s="19" t="str">
        <f t="shared" si="53"/>
        <v>Walk</v>
      </c>
    </row>
    <row r="783" spans="1:8" x14ac:dyDescent="0.2">
      <c r="A783" s="2" t="s">
        <v>97</v>
      </c>
      <c r="B783" s="2" t="s">
        <v>71</v>
      </c>
      <c r="C783" s="2">
        <v>13</v>
      </c>
      <c r="D783" s="2">
        <v>9</v>
      </c>
      <c r="E783" s="2">
        <v>0</v>
      </c>
      <c r="F783" s="19" t="str">
        <f t="shared" si="51"/>
        <v>University</v>
      </c>
      <c r="G783" s="19" t="str">
        <f t="shared" si="52"/>
        <v>Walk-Transit</v>
      </c>
      <c r="H783" s="19" t="str">
        <f t="shared" si="53"/>
        <v>Walk-Local</v>
      </c>
    </row>
    <row r="784" spans="1:8" x14ac:dyDescent="0.2">
      <c r="A784" s="2" t="s">
        <v>97</v>
      </c>
      <c r="B784" s="2" t="s">
        <v>71</v>
      </c>
      <c r="C784" s="2">
        <v>13</v>
      </c>
      <c r="D784" s="2">
        <v>10</v>
      </c>
      <c r="E784" s="2">
        <v>0</v>
      </c>
      <c r="F784" s="19" t="str">
        <f t="shared" si="51"/>
        <v>University</v>
      </c>
      <c r="G784" s="19" t="str">
        <f t="shared" si="52"/>
        <v>Walk-Transit</v>
      </c>
      <c r="H784" s="19" t="str">
        <f t="shared" si="53"/>
        <v>Walk-LRT</v>
      </c>
    </row>
    <row r="785" spans="1:8" x14ac:dyDescent="0.2">
      <c r="A785" s="2" t="s">
        <v>97</v>
      </c>
      <c r="B785" s="2" t="s">
        <v>71</v>
      </c>
      <c r="C785" s="2">
        <v>13</v>
      </c>
      <c r="D785" s="2">
        <v>11</v>
      </c>
      <c r="E785" s="2">
        <v>0</v>
      </c>
      <c r="F785" s="19" t="str">
        <f t="shared" si="51"/>
        <v>University</v>
      </c>
      <c r="G785" s="19" t="str">
        <f t="shared" si="52"/>
        <v>Walk-Transit</v>
      </c>
      <c r="H785" s="19" t="str">
        <f t="shared" si="53"/>
        <v>Walk-Express</v>
      </c>
    </row>
    <row r="786" spans="1:8" x14ac:dyDescent="0.2">
      <c r="A786" s="2" t="s">
        <v>97</v>
      </c>
      <c r="B786" s="2" t="s">
        <v>71</v>
      </c>
      <c r="C786" s="2">
        <v>13</v>
      </c>
      <c r="D786" s="2">
        <v>12</v>
      </c>
      <c r="E786" s="2">
        <v>0</v>
      </c>
      <c r="F786" s="19" t="str">
        <f t="shared" si="51"/>
        <v>University</v>
      </c>
      <c r="G786" s="19" t="str">
        <f t="shared" si="52"/>
        <v>Walk-Transit</v>
      </c>
      <c r="H786" s="19" t="str">
        <f t="shared" si="53"/>
        <v>Walk-HeavyR</v>
      </c>
    </row>
    <row r="787" spans="1:8" x14ac:dyDescent="0.2">
      <c r="A787" s="2" t="s">
        <v>97</v>
      </c>
      <c r="B787" s="2" t="s">
        <v>71</v>
      </c>
      <c r="C787" s="2">
        <v>13</v>
      </c>
      <c r="D787" s="2">
        <v>13</v>
      </c>
      <c r="E787" s="2">
        <v>0</v>
      </c>
      <c r="F787" s="19" t="str">
        <f t="shared" si="51"/>
        <v>University</v>
      </c>
      <c r="G787" s="19" t="str">
        <f t="shared" si="52"/>
        <v>Walk-Transit</v>
      </c>
      <c r="H787" s="19" t="str">
        <f t="shared" si="53"/>
        <v>Walk-CommR</v>
      </c>
    </row>
    <row r="788" spans="1:8" x14ac:dyDescent="0.2">
      <c r="A788" s="2" t="s">
        <v>97</v>
      </c>
      <c r="B788" s="2" t="s">
        <v>71</v>
      </c>
      <c r="C788" s="2">
        <v>13</v>
      </c>
      <c r="D788" s="2">
        <v>19</v>
      </c>
      <c r="E788" s="2">
        <v>0</v>
      </c>
      <c r="F788" s="19" t="str">
        <f t="shared" si="51"/>
        <v>University</v>
      </c>
      <c r="G788" s="19" t="str">
        <f t="shared" si="52"/>
        <v>Walk-Transit</v>
      </c>
      <c r="H788" s="19" t="str">
        <f t="shared" si="53"/>
        <v>Taxi</v>
      </c>
    </row>
    <row r="789" spans="1:8" x14ac:dyDescent="0.2">
      <c r="A789" s="2" t="s">
        <v>97</v>
      </c>
      <c r="B789" s="2" t="s">
        <v>71</v>
      </c>
      <c r="C789" s="2">
        <v>13</v>
      </c>
      <c r="D789" s="2">
        <v>20</v>
      </c>
      <c r="E789" s="2">
        <v>0</v>
      </c>
      <c r="F789" s="19" t="str">
        <f t="shared" si="51"/>
        <v>University</v>
      </c>
      <c r="G789" s="19" t="str">
        <f t="shared" si="52"/>
        <v>Walk-Transit</v>
      </c>
      <c r="H789" s="19" t="str">
        <f t="shared" si="53"/>
        <v>TNC-Single</v>
      </c>
    </row>
    <row r="790" spans="1:8" x14ac:dyDescent="0.2">
      <c r="A790" s="2" t="s">
        <v>97</v>
      </c>
      <c r="B790" s="2" t="s">
        <v>71</v>
      </c>
      <c r="C790" s="2">
        <v>14</v>
      </c>
      <c r="D790" s="2">
        <v>14</v>
      </c>
      <c r="E790" s="2">
        <v>0</v>
      </c>
      <c r="F790" s="19" t="str">
        <f t="shared" si="51"/>
        <v>University</v>
      </c>
      <c r="G790" s="19" t="str">
        <f t="shared" si="52"/>
        <v>Drive-Transit</v>
      </c>
      <c r="H790" s="19" t="str">
        <f t="shared" si="53"/>
        <v>Drive-Local</v>
      </c>
    </row>
    <row r="791" spans="1:8" x14ac:dyDescent="0.2">
      <c r="A791" s="2" t="s">
        <v>97</v>
      </c>
      <c r="B791" s="2" t="s">
        <v>71</v>
      </c>
      <c r="C791" s="2">
        <v>15</v>
      </c>
      <c r="D791" s="2">
        <v>14</v>
      </c>
      <c r="E791" s="2">
        <v>0</v>
      </c>
      <c r="F791" s="19" t="str">
        <f t="shared" si="51"/>
        <v>University</v>
      </c>
      <c r="G791" s="19" t="str">
        <f t="shared" si="52"/>
        <v>Drive-Transit</v>
      </c>
      <c r="H791" s="19" t="str">
        <f t="shared" si="53"/>
        <v>Drive-Local</v>
      </c>
    </row>
    <row r="792" spans="1:8" x14ac:dyDescent="0.2">
      <c r="A792" s="2" t="s">
        <v>97</v>
      </c>
      <c r="B792" s="2" t="s">
        <v>71</v>
      </c>
      <c r="C792" s="2">
        <v>15</v>
      </c>
      <c r="D792" s="2">
        <v>15</v>
      </c>
      <c r="E792" s="2">
        <v>0</v>
      </c>
      <c r="F792" s="19" t="str">
        <f t="shared" si="51"/>
        <v>University</v>
      </c>
      <c r="G792" s="19" t="str">
        <f t="shared" si="52"/>
        <v>Drive-Transit</v>
      </c>
      <c r="H792" s="19" t="str">
        <f t="shared" si="53"/>
        <v>Drive-LRT</v>
      </c>
    </row>
    <row r="793" spans="1:8" x14ac:dyDescent="0.2">
      <c r="A793" s="2" t="s">
        <v>97</v>
      </c>
      <c r="B793" s="2" t="s">
        <v>71</v>
      </c>
      <c r="C793" s="2">
        <v>16</v>
      </c>
      <c r="D793" s="2">
        <v>-15</v>
      </c>
      <c r="E793" s="2">
        <v>0</v>
      </c>
      <c r="F793" s="19" t="str">
        <f t="shared" si="51"/>
        <v>University</v>
      </c>
      <c r="G793" s="19" t="str">
        <f t="shared" si="52"/>
        <v>Drive-Transit</v>
      </c>
      <c r="H793" s="19" t="str">
        <f t="shared" si="53"/>
        <v>Drive-Ferry</v>
      </c>
    </row>
    <row r="794" spans="1:8" x14ac:dyDescent="0.2">
      <c r="A794" s="2" t="s">
        <v>97</v>
      </c>
      <c r="B794" s="2" t="s">
        <v>71</v>
      </c>
      <c r="C794" s="2">
        <v>16</v>
      </c>
      <c r="D794" s="2">
        <v>14</v>
      </c>
      <c r="E794" s="2">
        <v>0</v>
      </c>
      <c r="F794" s="19" t="str">
        <f t="shared" si="51"/>
        <v>University</v>
      </c>
      <c r="G794" s="19" t="str">
        <f t="shared" si="52"/>
        <v>Drive-Transit</v>
      </c>
      <c r="H794" s="19" t="str">
        <f t="shared" si="53"/>
        <v>Drive-Local</v>
      </c>
    </row>
    <row r="795" spans="1:8" x14ac:dyDescent="0.2">
      <c r="A795" s="2" t="s">
        <v>97</v>
      </c>
      <c r="B795" s="2" t="s">
        <v>71</v>
      </c>
      <c r="C795" s="2">
        <v>16</v>
      </c>
      <c r="D795" s="2">
        <v>16</v>
      </c>
      <c r="E795" s="2">
        <v>0</v>
      </c>
      <c r="F795" s="19" t="str">
        <f t="shared" si="51"/>
        <v>University</v>
      </c>
      <c r="G795" s="19" t="str">
        <f t="shared" si="52"/>
        <v>Drive-Transit</v>
      </c>
      <c r="H795" s="19" t="str">
        <f t="shared" si="53"/>
        <v>Drive-Express</v>
      </c>
    </row>
    <row r="796" spans="1:8" x14ac:dyDescent="0.2">
      <c r="A796" s="2" t="s">
        <v>97</v>
      </c>
      <c r="B796" s="2" t="s">
        <v>71</v>
      </c>
      <c r="C796" s="2">
        <v>17</v>
      </c>
      <c r="D796" s="2">
        <v>-15</v>
      </c>
      <c r="E796" s="2">
        <v>0</v>
      </c>
      <c r="F796" s="19" t="str">
        <f t="shared" si="51"/>
        <v>University</v>
      </c>
      <c r="G796" s="19" t="str">
        <f t="shared" si="52"/>
        <v>Drive-Transit</v>
      </c>
      <c r="H796" s="19" t="str">
        <f t="shared" si="53"/>
        <v>Drive-Ferry</v>
      </c>
    </row>
    <row r="797" spans="1:8" x14ac:dyDescent="0.2">
      <c r="A797" s="2" t="s">
        <v>97</v>
      </c>
      <c r="B797" s="2" t="s">
        <v>71</v>
      </c>
      <c r="C797" s="2">
        <v>17</v>
      </c>
      <c r="D797" s="2">
        <v>14</v>
      </c>
      <c r="E797" s="2">
        <v>0</v>
      </c>
      <c r="F797" s="19" t="str">
        <f t="shared" si="51"/>
        <v>University</v>
      </c>
      <c r="G797" s="19" t="str">
        <f t="shared" si="52"/>
        <v>Drive-Transit</v>
      </c>
      <c r="H797" s="19" t="str">
        <f t="shared" si="53"/>
        <v>Drive-Local</v>
      </c>
    </row>
    <row r="798" spans="1:8" x14ac:dyDescent="0.2">
      <c r="A798" s="2" t="s">
        <v>97</v>
      </c>
      <c r="B798" s="2" t="s">
        <v>71</v>
      </c>
      <c r="C798" s="2">
        <v>17</v>
      </c>
      <c r="D798" s="2">
        <v>15</v>
      </c>
      <c r="E798" s="2">
        <v>0</v>
      </c>
      <c r="F798" s="19" t="str">
        <f t="shared" si="51"/>
        <v>University</v>
      </c>
      <c r="G798" s="19" t="str">
        <f t="shared" si="52"/>
        <v>Drive-Transit</v>
      </c>
      <c r="H798" s="19" t="str">
        <f t="shared" si="53"/>
        <v>Drive-LRT</v>
      </c>
    </row>
    <row r="799" spans="1:8" x14ac:dyDescent="0.2">
      <c r="A799" s="2" t="s">
        <v>97</v>
      </c>
      <c r="B799" s="2" t="s">
        <v>71</v>
      </c>
      <c r="C799" s="2">
        <v>17</v>
      </c>
      <c r="D799" s="2">
        <v>16</v>
      </c>
      <c r="E799" s="2">
        <v>0</v>
      </c>
      <c r="F799" s="19" t="str">
        <f t="shared" si="51"/>
        <v>University</v>
      </c>
      <c r="G799" s="19" t="str">
        <f t="shared" si="52"/>
        <v>Drive-Transit</v>
      </c>
      <c r="H799" s="19" t="str">
        <f t="shared" si="53"/>
        <v>Drive-Express</v>
      </c>
    </row>
    <row r="800" spans="1:8" x14ac:dyDescent="0.2">
      <c r="A800" s="2" t="s">
        <v>97</v>
      </c>
      <c r="B800" s="2" t="s">
        <v>71</v>
      </c>
      <c r="C800" s="2">
        <v>17</v>
      </c>
      <c r="D800" s="2">
        <v>17</v>
      </c>
      <c r="E800" s="2">
        <v>0</v>
      </c>
      <c r="F800" s="19" t="str">
        <f t="shared" si="51"/>
        <v>University</v>
      </c>
      <c r="G800" s="19" t="str">
        <f t="shared" si="52"/>
        <v>Drive-Transit</v>
      </c>
      <c r="H800" s="19" t="str">
        <f t="shared" si="53"/>
        <v>Drive-HeavyR</v>
      </c>
    </row>
    <row r="801" spans="1:8" x14ac:dyDescent="0.2">
      <c r="A801" s="2" t="s">
        <v>97</v>
      </c>
      <c r="B801" s="2" t="s">
        <v>71</v>
      </c>
      <c r="C801" s="2">
        <v>17</v>
      </c>
      <c r="D801" s="2">
        <v>19</v>
      </c>
      <c r="E801" s="2">
        <v>0</v>
      </c>
      <c r="F801" s="19" t="str">
        <f t="shared" si="51"/>
        <v>University</v>
      </c>
      <c r="G801" s="19" t="str">
        <f t="shared" si="52"/>
        <v>Drive-Transit</v>
      </c>
      <c r="H801" s="19" t="str">
        <f t="shared" si="53"/>
        <v>Taxi</v>
      </c>
    </row>
    <row r="802" spans="1:8" x14ac:dyDescent="0.2">
      <c r="A802" s="2" t="s">
        <v>97</v>
      </c>
      <c r="B802" s="2" t="s">
        <v>71</v>
      </c>
      <c r="C802" s="2">
        <v>18</v>
      </c>
      <c r="D802" s="2">
        <v>-15</v>
      </c>
      <c r="E802" s="2">
        <v>0</v>
      </c>
      <c r="F802" s="19" t="str">
        <f t="shared" si="51"/>
        <v>University</v>
      </c>
      <c r="G802" s="19" t="str">
        <f t="shared" si="52"/>
        <v>Drive-Transit</v>
      </c>
      <c r="H802" s="19" t="str">
        <f t="shared" si="53"/>
        <v>Drive-Ferry</v>
      </c>
    </row>
    <row r="803" spans="1:8" x14ac:dyDescent="0.2">
      <c r="A803" s="2" t="s">
        <v>97</v>
      </c>
      <c r="B803" s="2" t="s">
        <v>71</v>
      </c>
      <c r="C803" s="2">
        <v>18</v>
      </c>
      <c r="D803" s="2">
        <v>14</v>
      </c>
      <c r="E803" s="2">
        <v>0</v>
      </c>
      <c r="F803" s="19" t="str">
        <f t="shared" si="51"/>
        <v>University</v>
      </c>
      <c r="G803" s="19" t="str">
        <f t="shared" si="52"/>
        <v>Drive-Transit</v>
      </c>
      <c r="H803" s="19" t="str">
        <f t="shared" si="53"/>
        <v>Drive-Local</v>
      </c>
    </row>
    <row r="804" spans="1:8" x14ac:dyDescent="0.2">
      <c r="A804" s="2" t="s">
        <v>97</v>
      </c>
      <c r="B804" s="2" t="s">
        <v>71</v>
      </c>
      <c r="C804" s="2">
        <v>18</v>
      </c>
      <c r="D804" s="2">
        <v>15</v>
      </c>
      <c r="E804" s="2">
        <v>0</v>
      </c>
      <c r="F804" s="19" t="str">
        <f t="shared" si="51"/>
        <v>University</v>
      </c>
      <c r="G804" s="19" t="str">
        <f t="shared" si="52"/>
        <v>Drive-Transit</v>
      </c>
      <c r="H804" s="19" t="str">
        <f t="shared" si="53"/>
        <v>Drive-LRT</v>
      </c>
    </row>
    <row r="805" spans="1:8" x14ac:dyDescent="0.2">
      <c r="A805" s="2" t="s">
        <v>97</v>
      </c>
      <c r="B805" s="2" t="s">
        <v>71</v>
      </c>
      <c r="C805" s="2">
        <v>18</v>
      </c>
      <c r="D805" s="2">
        <v>16</v>
      </c>
      <c r="E805" s="2">
        <v>0</v>
      </c>
      <c r="F805" s="19" t="str">
        <f t="shared" si="51"/>
        <v>University</v>
      </c>
      <c r="G805" s="19" t="str">
        <f t="shared" si="52"/>
        <v>Drive-Transit</v>
      </c>
      <c r="H805" s="19" t="str">
        <f t="shared" si="53"/>
        <v>Drive-Express</v>
      </c>
    </row>
    <row r="806" spans="1:8" x14ac:dyDescent="0.2">
      <c r="A806" s="2" t="s">
        <v>97</v>
      </c>
      <c r="B806" s="2" t="s">
        <v>71</v>
      </c>
      <c r="C806" s="2">
        <v>18</v>
      </c>
      <c r="D806" s="2">
        <v>17</v>
      </c>
      <c r="E806" s="2">
        <v>0</v>
      </c>
      <c r="F806" s="19" t="str">
        <f t="shared" si="51"/>
        <v>University</v>
      </c>
      <c r="G806" s="19" t="str">
        <f t="shared" si="52"/>
        <v>Drive-Transit</v>
      </c>
      <c r="H806" s="19" t="str">
        <f t="shared" si="53"/>
        <v>Drive-HeavyR</v>
      </c>
    </row>
    <row r="807" spans="1:8" x14ac:dyDescent="0.2">
      <c r="A807" s="2" t="s">
        <v>97</v>
      </c>
      <c r="B807" s="2" t="s">
        <v>71</v>
      </c>
      <c r="C807" s="2">
        <v>18</v>
      </c>
      <c r="D807" s="2">
        <v>18</v>
      </c>
      <c r="E807" s="2">
        <v>0</v>
      </c>
      <c r="F807" s="19" t="str">
        <f t="shared" si="51"/>
        <v>University</v>
      </c>
      <c r="G807" s="19" t="str">
        <f t="shared" si="52"/>
        <v>Drive-Transit</v>
      </c>
      <c r="H807" s="19" t="str">
        <f t="shared" si="53"/>
        <v>Drive-CommR</v>
      </c>
    </row>
    <row r="808" spans="1:8" x14ac:dyDescent="0.2">
      <c r="A808" s="2" t="s">
        <v>97</v>
      </c>
      <c r="B808" s="2" t="s">
        <v>71</v>
      </c>
      <c r="C808" s="2">
        <v>19</v>
      </c>
      <c r="D808" s="2">
        <v>3</v>
      </c>
      <c r="E808" s="2">
        <v>0</v>
      </c>
      <c r="F808" s="19" t="str">
        <f t="shared" si="51"/>
        <v>University</v>
      </c>
      <c r="G808" s="19" t="str">
        <f t="shared" si="52"/>
        <v>Taxi</v>
      </c>
      <c r="H808" s="19" t="str">
        <f t="shared" si="53"/>
        <v>SR2</v>
      </c>
    </row>
    <row r="809" spans="1:8" x14ac:dyDescent="0.2">
      <c r="A809" s="2" t="s">
        <v>97</v>
      </c>
      <c r="B809" s="2" t="s">
        <v>71</v>
      </c>
      <c r="C809" s="2">
        <v>19</v>
      </c>
      <c r="D809" s="2">
        <v>5</v>
      </c>
      <c r="E809" s="2">
        <v>0</v>
      </c>
      <c r="F809" s="19" t="str">
        <f t="shared" si="51"/>
        <v>University</v>
      </c>
      <c r="G809" s="19" t="str">
        <f t="shared" si="52"/>
        <v>Taxi</v>
      </c>
      <c r="H809" s="19" t="str">
        <f t="shared" si="53"/>
        <v>SR3+</v>
      </c>
    </row>
    <row r="810" spans="1:8" x14ac:dyDescent="0.2">
      <c r="A810" s="2" t="s">
        <v>97</v>
      </c>
      <c r="B810" s="2" t="s">
        <v>71</v>
      </c>
      <c r="C810" s="2">
        <v>19</v>
      </c>
      <c r="D810" s="2">
        <v>9</v>
      </c>
      <c r="E810" s="2">
        <v>0</v>
      </c>
      <c r="F810" s="19" t="str">
        <f t="shared" si="51"/>
        <v>University</v>
      </c>
      <c r="G810" s="19" t="str">
        <f t="shared" si="52"/>
        <v>Taxi</v>
      </c>
      <c r="H810" s="19" t="str">
        <f t="shared" si="53"/>
        <v>Walk-Local</v>
      </c>
    </row>
    <row r="811" spans="1:8" x14ac:dyDescent="0.2">
      <c r="A811" s="2" t="s">
        <v>97</v>
      </c>
      <c r="B811" s="2" t="s">
        <v>71</v>
      </c>
      <c r="C811" s="2">
        <v>19</v>
      </c>
      <c r="D811" s="2">
        <v>19</v>
      </c>
      <c r="E811" s="2">
        <v>0</v>
      </c>
      <c r="F811" s="19" t="str">
        <f t="shared" si="51"/>
        <v>University</v>
      </c>
      <c r="G811" s="19" t="str">
        <f t="shared" si="52"/>
        <v>Taxi</v>
      </c>
      <c r="H811" s="19" t="str">
        <f t="shared" si="53"/>
        <v>Taxi</v>
      </c>
    </row>
    <row r="812" spans="1:8" x14ac:dyDescent="0.2">
      <c r="A812" s="2" t="s">
        <v>97</v>
      </c>
      <c r="B812" s="2" t="s">
        <v>71</v>
      </c>
      <c r="C812" s="2">
        <v>19</v>
      </c>
      <c r="D812" s="2">
        <v>20</v>
      </c>
      <c r="E812" s="2">
        <v>0</v>
      </c>
      <c r="F812" s="19" t="str">
        <f t="shared" si="51"/>
        <v>University</v>
      </c>
      <c r="G812" s="19" t="str">
        <f t="shared" si="52"/>
        <v>Taxi</v>
      </c>
      <c r="H812" s="19" t="str">
        <f t="shared" si="53"/>
        <v>TNC-Single</v>
      </c>
    </row>
    <row r="813" spans="1:8" x14ac:dyDescent="0.2">
      <c r="A813" s="2" t="s">
        <v>97</v>
      </c>
      <c r="B813" s="2" t="s">
        <v>71</v>
      </c>
      <c r="C813" s="2">
        <v>19</v>
      </c>
      <c r="D813" s="2">
        <v>21</v>
      </c>
      <c r="E813" s="2">
        <v>0</v>
      </c>
      <c r="F813" s="19" t="str">
        <f t="shared" si="51"/>
        <v>University</v>
      </c>
      <c r="G813" s="19" t="str">
        <f t="shared" si="52"/>
        <v>Taxi</v>
      </c>
      <c r="H813" s="19" t="str">
        <f t="shared" si="53"/>
        <v>TNC-Shared</v>
      </c>
    </row>
    <row r="814" spans="1:8" x14ac:dyDescent="0.2">
      <c r="A814" s="2" t="s">
        <v>97</v>
      </c>
      <c r="B814" s="2" t="s">
        <v>71</v>
      </c>
      <c r="C814" s="2">
        <v>20</v>
      </c>
      <c r="D814" s="2">
        <v>3</v>
      </c>
      <c r="E814" s="2">
        <v>0</v>
      </c>
      <c r="F814" s="19" t="str">
        <f t="shared" si="51"/>
        <v>University</v>
      </c>
      <c r="G814" s="19" t="str">
        <f t="shared" si="52"/>
        <v>TNC-Single</v>
      </c>
      <c r="H814" s="19" t="str">
        <f t="shared" si="53"/>
        <v>SR2</v>
      </c>
    </row>
    <row r="815" spans="1:8" x14ac:dyDescent="0.2">
      <c r="A815" s="2" t="s">
        <v>97</v>
      </c>
      <c r="B815" s="2" t="s">
        <v>71</v>
      </c>
      <c r="C815" s="2">
        <v>20</v>
      </c>
      <c r="D815" s="2">
        <v>5</v>
      </c>
      <c r="E815" s="2">
        <v>0</v>
      </c>
      <c r="F815" s="19" t="str">
        <f t="shared" si="51"/>
        <v>University</v>
      </c>
      <c r="G815" s="19" t="str">
        <f t="shared" si="52"/>
        <v>TNC-Single</v>
      </c>
      <c r="H815" s="19" t="str">
        <f t="shared" si="53"/>
        <v>SR3+</v>
      </c>
    </row>
    <row r="816" spans="1:8" x14ac:dyDescent="0.2">
      <c r="A816" s="2" t="s">
        <v>97</v>
      </c>
      <c r="B816" s="2" t="s">
        <v>71</v>
      </c>
      <c r="C816" s="2">
        <v>20</v>
      </c>
      <c r="D816" s="2">
        <v>19</v>
      </c>
      <c r="E816" s="2">
        <v>0</v>
      </c>
      <c r="F816" s="19" t="str">
        <f t="shared" si="51"/>
        <v>University</v>
      </c>
      <c r="G816" s="19" t="str">
        <f t="shared" si="52"/>
        <v>TNC-Single</v>
      </c>
      <c r="H816" s="19" t="str">
        <f t="shared" si="53"/>
        <v>Taxi</v>
      </c>
    </row>
    <row r="817" spans="1:8" x14ac:dyDescent="0.2">
      <c r="A817" s="2" t="s">
        <v>97</v>
      </c>
      <c r="B817" s="2" t="s">
        <v>71</v>
      </c>
      <c r="C817" s="2">
        <v>20</v>
      </c>
      <c r="D817" s="2">
        <v>21</v>
      </c>
      <c r="E817" s="2">
        <v>0</v>
      </c>
      <c r="F817" s="19" t="str">
        <f t="shared" si="51"/>
        <v>University</v>
      </c>
      <c r="G817" s="19" t="str">
        <f t="shared" si="52"/>
        <v>TNC-Single</v>
      </c>
      <c r="H817" s="19" t="str">
        <f t="shared" si="53"/>
        <v>TNC-Shared</v>
      </c>
    </row>
    <row r="818" spans="1:8" x14ac:dyDescent="0.2">
      <c r="A818" s="2" t="s">
        <v>97</v>
      </c>
      <c r="B818" s="2" t="s">
        <v>71</v>
      </c>
      <c r="C818" s="2">
        <v>21</v>
      </c>
      <c r="D818" s="2">
        <v>3</v>
      </c>
      <c r="E818" s="2">
        <v>0</v>
      </c>
      <c r="F818" s="19" t="str">
        <f t="shared" si="51"/>
        <v>University</v>
      </c>
      <c r="G818" s="19" t="str">
        <f t="shared" si="52"/>
        <v>TNC-Shared</v>
      </c>
      <c r="H818" s="19" t="str">
        <f t="shared" si="53"/>
        <v>SR2</v>
      </c>
    </row>
    <row r="819" spans="1:8" x14ac:dyDescent="0.2">
      <c r="A819" s="2" t="s">
        <v>97</v>
      </c>
      <c r="B819" s="2" t="s">
        <v>71</v>
      </c>
      <c r="C819" s="2">
        <v>21</v>
      </c>
      <c r="D819" s="2">
        <v>5</v>
      </c>
      <c r="E819" s="2">
        <v>0</v>
      </c>
      <c r="F819" s="19" t="str">
        <f t="shared" si="51"/>
        <v>University</v>
      </c>
      <c r="G819" s="19" t="str">
        <f t="shared" si="52"/>
        <v>TNC-Shared</v>
      </c>
      <c r="H819" s="19" t="str">
        <f t="shared" si="53"/>
        <v>SR3+</v>
      </c>
    </row>
    <row r="820" spans="1:8" x14ac:dyDescent="0.2">
      <c r="A820" s="2" t="s">
        <v>97</v>
      </c>
      <c r="B820" s="2" t="s">
        <v>71</v>
      </c>
      <c r="C820" s="2">
        <v>21</v>
      </c>
      <c r="D820" s="2">
        <v>19</v>
      </c>
      <c r="E820" s="2">
        <v>0</v>
      </c>
      <c r="F820" s="19" t="str">
        <f t="shared" si="51"/>
        <v>University</v>
      </c>
      <c r="G820" s="19" t="str">
        <f t="shared" si="52"/>
        <v>TNC-Shared</v>
      </c>
      <c r="H820" s="19" t="str">
        <f t="shared" si="53"/>
        <v>Taxi</v>
      </c>
    </row>
    <row r="821" spans="1:8" x14ac:dyDescent="0.2">
      <c r="A821" s="2" t="s">
        <v>97</v>
      </c>
      <c r="B821" s="2" t="s">
        <v>71</v>
      </c>
      <c r="C821" s="2">
        <v>21</v>
      </c>
      <c r="D821" s="2">
        <v>20</v>
      </c>
      <c r="E821" s="2">
        <v>0</v>
      </c>
      <c r="F821" s="19" t="str">
        <f t="shared" si="51"/>
        <v>University</v>
      </c>
      <c r="G821" s="19" t="str">
        <f t="shared" si="52"/>
        <v>TNC-Shared</v>
      </c>
      <c r="H821" s="19" t="str">
        <f t="shared" si="53"/>
        <v>TNC-Single</v>
      </c>
    </row>
    <row r="822" spans="1:8" x14ac:dyDescent="0.2">
      <c r="A822" s="2" t="s">
        <v>97</v>
      </c>
      <c r="B822" s="2" t="s">
        <v>72</v>
      </c>
      <c r="C822" s="2">
        <v>1</v>
      </c>
      <c r="D822" s="2">
        <v>1</v>
      </c>
      <c r="E822" s="2">
        <v>0</v>
      </c>
      <c r="F822" s="19" t="str">
        <f t="shared" si="51"/>
        <v>Work</v>
      </c>
      <c r="G822" s="19" t="str">
        <f t="shared" si="52"/>
        <v>Drive Alone</v>
      </c>
      <c r="H822" s="19" t="str">
        <f t="shared" si="53"/>
        <v>Drive Alone</v>
      </c>
    </row>
    <row r="823" spans="1:8" x14ac:dyDescent="0.2">
      <c r="A823" s="2" t="s">
        <v>97</v>
      </c>
      <c r="B823" s="2" t="s">
        <v>72</v>
      </c>
      <c r="C823" s="2">
        <v>1</v>
      </c>
      <c r="D823" s="2">
        <v>7</v>
      </c>
      <c r="E823" s="2">
        <v>0</v>
      </c>
      <c r="F823" s="19" t="str">
        <f t="shared" si="51"/>
        <v>Work</v>
      </c>
      <c r="G823" s="19" t="str">
        <f t="shared" si="52"/>
        <v>Drive Alone</v>
      </c>
      <c r="H823" s="19" t="str">
        <f t="shared" si="53"/>
        <v>Walk</v>
      </c>
    </row>
    <row r="824" spans="1:8" x14ac:dyDescent="0.2">
      <c r="A824" s="2" t="s">
        <v>97</v>
      </c>
      <c r="B824" s="2" t="s">
        <v>72</v>
      </c>
      <c r="C824" s="2">
        <v>1</v>
      </c>
      <c r="D824" s="2">
        <v>19</v>
      </c>
      <c r="E824" s="2">
        <v>0</v>
      </c>
      <c r="F824" s="19" t="str">
        <f t="shared" si="51"/>
        <v>Work</v>
      </c>
      <c r="G824" s="19" t="str">
        <f t="shared" si="52"/>
        <v>Drive Alone</v>
      </c>
      <c r="H824" s="19" t="str">
        <f t="shared" si="53"/>
        <v>Taxi</v>
      </c>
    </row>
    <row r="825" spans="1:8" x14ac:dyDescent="0.2">
      <c r="A825" s="2" t="s">
        <v>97</v>
      </c>
      <c r="B825" s="2" t="s">
        <v>72</v>
      </c>
      <c r="C825" s="2">
        <v>1</v>
      </c>
      <c r="D825" s="2">
        <v>21</v>
      </c>
      <c r="E825" s="2">
        <v>0</v>
      </c>
      <c r="F825" s="19" t="str">
        <f t="shared" si="51"/>
        <v>Work</v>
      </c>
      <c r="G825" s="19" t="str">
        <f t="shared" si="52"/>
        <v>Drive Alone</v>
      </c>
      <c r="H825" s="19" t="str">
        <f t="shared" si="53"/>
        <v>TNC-Shared</v>
      </c>
    </row>
    <row r="826" spans="1:8" x14ac:dyDescent="0.2">
      <c r="A826" s="2" t="s">
        <v>97</v>
      </c>
      <c r="B826" s="2" t="s">
        <v>72</v>
      </c>
      <c r="C826" s="2">
        <v>3</v>
      </c>
      <c r="D826" s="2">
        <v>1</v>
      </c>
      <c r="E826" s="2">
        <v>0</v>
      </c>
      <c r="F826" s="19" t="str">
        <f t="shared" si="51"/>
        <v>Work</v>
      </c>
      <c r="G826" s="19" t="str">
        <f t="shared" si="52"/>
        <v>SR2</v>
      </c>
      <c r="H826" s="19" t="str">
        <f t="shared" si="53"/>
        <v>Drive Alone</v>
      </c>
    </row>
    <row r="827" spans="1:8" x14ac:dyDescent="0.2">
      <c r="A827" s="2" t="s">
        <v>97</v>
      </c>
      <c r="B827" s="2" t="s">
        <v>72</v>
      </c>
      <c r="C827" s="2">
        <v>3</v>
      </c>
      <c r="D827" s="2">
        <v>3</v>
      </c>
      <c r="E827" s="2">
        <v>0</v>
      </c>
      <c r="F827" s="19" t="str">
        <f t="shared" si="51"/>
        <v>Work</v>
      </c>
      <c r="G827" s="19" t="str">
        <f t="shared" si="52"/>
        <v>SR2</v>
      </c>
      <c r="H827" s="19" t="str">
        <f t="shared" si="53"/>
        <v>SR2</v>
      </c>
    </row>
    <row r="828" spans="1:8" x14ac:dyDescent="0.2">
      <c r="A828" s="2" t="s">
        <v>97</v>
      </c>
      <c r="B828" s="2" t="s">
        <v>72</v>
      </c>
      <c r="C828" s="2">
        <v>3</v>
      </c>
      <c r="D828" s="2">
        <v>7</v>
      </c>
      <c r="E828" s="2">
        <v>0</v>
      </c>
      <c r="F828" s="19" t="str">
        <f t="shared" si="51"/>
        <v>Work</v>
      </c>
      <c r="G828" s="19" t="str">
        <f t="shared" si="52"/>
        <v>SR2</v>
      </c>
      <c r="H828" s="19" t="str">
        <f t="shared" si="53"/>
        <v>Walk</v>
      </c>
    </row>
    <row r="829" spans="1:8" x14ac:dyDescent="0.2">
      <c r="A829" s="2" t="s">
        <v>97</v>
      </c>
      <c r="B829" s="2" t="s">
        <v>72</v>
      </c>
      <c r="C829" s="2">
        <v>3</v>
      </c>
      <c r="D829" s="2">
        <v>19</v>
      </c>
      <c r="E829" s="2">
        <v>0</v>
      </c>
      <c r="F829" s="19" t="str">
        <f t="shared" si="51"/>
        <v>Work</v>
      </c>
      <c r="G829" s="19" t="str">
        <f t="shared" si="52"/>
        <v>SR2</v>
      </c>
      <c r="H829" s="19" t="str">
        <f t="shared" si="53"/>
        <v>Taxi</v>
      </c>
    </row>
    <row r="830" spans="1:8" x14ac:dyDescent="0.2">
      <c r="A830" s="2" t="s">
        <v>97</v>
      </c>
      <c r="B830" s="2" t="s">
        <v>72</v>
      </c>
      <c r="C830" s="2">
        <v>5</v>
      </c>
      <c r="D830" s="2">
        <v>1</v>
      </c>
      <c r="E830" s="2">
        <v>0</v>
      </c>
      <c r="F830" s="19" t="str">
        <f t="shared" si="51"/>
        <v>Work</v>
      </c>
      <c r="G830" s="19" t="str">
        <f t="shared" si="52"/>
        <v>SR3+</v>
      </c>
      <c r="H830" s="19" t="str">
        <f t="shared" si="53"/>
        <v>Drive Alone</v>
      </c>
    </row>
    <row r="831" spans="1:8" x14ac:dyDescent="0.2">
      <c r="A831" s="2" t="s">
        <v>97</v>
      </c>
      <c r="B831" s="2" t="s">
        <v>72</v>
      </c>
      <c r="C831" s="2">
        <v>5</v>
      </c>
      <c r="D831" s="2">
        <v>3</v>
      </c>
      <c r="E831" s="2">
        <v>0</v>
      </c>
      <c r="F831" s="19" t="str">
        <f t="shared" si="51"/>
        <v>Work</v>
      </c>
      <c r="G831" s="19" t="str">
        <f t="shared" si="52"/>
        <v>SR3+</v>
      </c>
      <c r="H831" s="19" t="str">
        <f t="shared" si="53"/>
        <v>SR2</v>
      </c>
    </row>
    <row r="832" spans="1:8" x14ac:dyDescent="0.2">
      <c r="A832" s="2" t="s">
        <v>97</v>
      </c>
      <c r="B832" s="2" t="s">
        <v>72</v>
      </c>
      <c r="C832" s="2">
        <v>5</v>
      </c>
      <c r="D832" s="2">
        <v>5</v>
      </c>
      <c r="E832" s="2">
        <v>0</v>
      </c>
      <c r="F832" s="19" t="str">
        <f t="shared" si="51"/>
        <v>Work</v>
      </c>
      <c r="G832" s="19" t="str">
        <f t="shared" si="52"/>
        <v>SR3+</v>
      </c>
      <c r="H832" s="19" t="str">
        <f t="shared" si="53"/>
        <v>SR3+</v>
      </c>
    </row>
    <row r="833" spans="1:8" x14ac:dyDescent="0.2">
      <c r="A833" s="2" t="s">
        <v>97</v>
      </c>
      <c r="B833" s="2" t="s">
        <v>72</v>
      </c>
      <c r="C833" s="2">
        <v>5</v>
      </c>
      <c r="D833" s="2">
        <v>7</v>
      </c>
      <c r="E833" s="2">
        <v>0</v>
      </c>
      <c r="F833" s="19" t="str">
        <f t="shared" si="51"/>
        <v>Work</v>
      </c>
      <c r="G833" s="19" t="str">
        <f t="shared" si="52"/>
        <v>SR3+</v>
      </c>
      <c r="H833" s="19" t="str">
        <f t="shared" si="53"/>
        <v>Walk</v>
      </c>
    </row>
    <row r="834" spans="1:8" x14ac:dyDescent="0.2">
      <c r="A834" s="2" t="s">
        <v>97</v>
      </c>
      <c r="B834" s="2" t="s">
        <v>72</v>
      </c>
      <c r="C834" s="2">
        <v>7</v>
      </c>
      <c r="D834" s="2">
        <v>7</v>
      </c>
      <c r="E834" s="2">
        <v>0</v>
      </c>
      <c r="F834" s="19" t="str">
        <f t="shared" si="51"/>
        <v>Work</v>
      </c>
      <c r="G834" s="19" t="str">
        <f t="shared" si="52"/>
        <v>Walk</v>
      </c>
      <c r="H834" s="19" t="str">
        <f t="shared" si="53"/>
        <v>Walk</v>
      </c>
    </row>
    <row r="835" spans="1:8" x14ac:dyDescent="0.2">
      <c r="A835" s="2" t="s">
        <v>97</v>
      </c>
      <c r="B835" s="2" t="s">
        <v>72</v>
      </c>
      <c r="C835" s="2">
        <v>7</v>
      </c>
      <c r="D835" s="2">
        <v>19</v>
      </c>
      <c r="E835" s="2">
        <v>0</v>
      </c>
      <c r="F835" s="19" t="str">
        <f t="shared" ref="F835:F898" si="54">IF(A835="joint","Joint",_xlfn.IFNA(VLOOKUP(B835,tour_purposes,2,FALSE),"None"))</f>
        <v>Work</v>
      </c>
      <c r="G835" s="19" t="str">
        <f t="shared" ref="G835:G898" si="55">IF(AND(A835="joint",C835&lt;=6),"Auto",_xlfn.IFNA(VLOOKUP(C835,tour_modes,3,FALSE),"None"))</f>
        <v>Walk</v>
      </c>
      <c r="H835" s="19" t="str">
        <f t="shared" ref="H835:H898" si="56">_xlfn.IFNA(VLOOKUP(D835,trip_modes,2,FALSE),"None")</f>
        <v>Taxi</v>
      </c>
    </row>
    <row r="836" spans="1:8" x14ac:dyDescent="0.2">
      <c r="A836" s="2" t="s">
        <v>97</v>
      </c>
      <c r="B836" s="2" t="s">
        <v>72</v>
      </c>
      <c r="C836" s="2">
        <v>8</v>
      </c>
      <c r="D836" s="2">
        <v>7</v>
      </c>
      <c r="E836" s="2">
        <v>0</v>
      </c>
      <c r="F836" s="19" t="str">
        <f t="shared" si="54"/>
        <v>Work</v>
      </c>
      <c r="G836" s="19" t="str">
        <f t="shared" si="55"/>
        <v>Bike</v>
      </c>
      <c r="H836" s="19" t="str">
        <f t="shared" si="56"/>
        <v>Walk</v>
      </c>
    </row>
    <row r="837" spans="1:8" x14ac:dyDescent="0.2">
      <c r="A837" s="2" t="s">
        <v>97</v>
      </c>
      <c r="B837" s="2" t="s">
        <v>72</v>
      </c>
      <c r="C837" s="2">
        <v>8</v>
      </c>
      <c r="D837" s="2">
        <v>8</v>
      </c>
      <c r="E837" s="2">
        <v>0</v>
      </c>
      <c r="F837" s="19" t="str">
        <f t="shared" si="54"/>
        <v>Work</v>
      </c>
      <c r="G837" s="19" t="str">
        <f t="shared" si="55"/>
        <v>Bike</v>
      </c>
      <c r="H837" s="19" t="str">
        <f t="shared" si="56"/>
        <v>Bike</v>
      </c>
    </row>
    <row r="838" spans="1:8" x14ac:dyDescent="0.2">
      <c r="A838" s="2" t="s">
        <v>97</v>
      </c>
      <c r="B838" s="2" t="s">
        <v>72</v>
      </c>
      <c r="C838" s="2">
        <v>8</v>
      </c>
      <c r="D838" s="2">
        <v>19</v>
      </c>
      <c r="E838" s="2">
        <v>0</v>
      </c>
      <c r="F838" s="19" t="str">
        <f t="shared" si="54"/>
        <v>Work</v>
      </c>
      <c r="G838" s="19" t="str">
        <f t="shared" si="55"/>
        <v>Bike</v>
      </c>
      <c r="H838" s="19" t="str">
        <f t="shared" si="56"/>
        <v>Taxi</v>
      </c>
    </row>
    <row r="839" spans="1:8" x14ac:dyDescent="0.2">
      <c r="A839" s="2" t="s">
        <v>97</v>
      </c>
      <c r="B839" s="2" t="s">
        <v>72</v>
      </c>
      <c r="C839" s="2">
        <v>9</v>
      </c>
      <c r="D839" s="2">
        <v>3</v>
      </c>
      <c r="E839" s="2">
        <v>0</v>
      </c>
      <c r="F839" s="19" t="str">
        <f t="shared" si="54"/>
        <v>Work</v>
      </c>
      <c r="G839" s="19" t="str">
        <f t="shared" si="55"/>
        <v>Walk-Transit</v>
      </c>
      <c r="H839" s="19" t="str">
        <f t="shared" si="56"/>
        <v>SR2</v>
      </c>
    </row>
    <row r="840" spans="1:8" x14ac:dyDescent="0.2">
      <c r="A840" s="2" t="s">
        <v>97</v>
      </c>
      <c r="B840" s="2" t="s">
        <v>72</v>
      </c>
      <c r="C840" s="2">
        <v>9</v>
      </c>
      <c r="D840" s="2">
        <v>5</v>
      </c>
      <c r="E840" s="2">
        <v>0</v>
      </c>
      <c r="F840" s="19" t="str">
        <f t="shared" si="54"/>
        <v>Work</v>
      </c>
      <c r="G840" s="19" t="str">
        <f t="shared" si="55"/>
        <v>Walk-Transit</v>
      </c>
      <c r="H840" s="19" t="str">
        <f t="shared" si="56"/>
        <v>SR3+</v>
      </c>
    </row>
    <row r="841" spans="1:8" x14ac:dyDescent="0.2">
      <c r="A841" s="2" t="s">
        <v>97</v>
      </c>
      <c r="B841" s="2" t="s">
        <v>72</v>
      </c>
      <c r="C841" s="2">
        <v>9</v>
      </c>
      <c r="D841" s="2">
        <v>7</v>
      </c>
      <c r="E841" s="2">
        <v>0</v>
      </c>
      <c r="F841" s="19" t="str">
        <f t="shared" si="54"/>
        <v>Work</v>
      </c>
      <c r="G841" s="19" t="str">
        <f t="shared" si="55"/>
        <v>Walk-Transit</v>
      </c>
      <c r="H841" s="19" t="str">
        <f t="shared" si="56"/>
        <v>Walk</v>
      </c>
    </row>
    <row r="842" spans="1:8" x14ac:dyDescent="0.2">
      <c r="A842" s="2" t="s">
        <v>97</v>
      </c>
      <c r="B842" s="2" t="s">
        <v>72</v>
      </c>
      <c r="C842" s="2">
        <v>9</v>
      </c>
      <c r="D842" s="2">
        <v>9</v>
      </c>
      <c r="E842" s="2">
        <v>0</v>
      </c>
      <c r="F842" s="19" t="str">
        <f t="shared" si="54"/>
        <v>Work</v>
      </c>
      <c r="G842" s="19" t="str">
        <f t="shared" si="55"/>
        <v>Walk-Transit</v>
      </c>
      <c r="H842" s="19" t="str">
        <f t="shared" si="56"/>
        <v>Walk-Local</v>
      </c>
    </row>
    <row r="843" spans="1:8" x14ac:dyDescent="0.2">
      <c r="A843" s="2" t="s">
        <v>97</v>
      </c>
      <c r="B843" s="2" t="s">
        <v>72</v>
      </c>
      <c r="C843" s="2">
        <v>9</v>
      </c>
      <c r="D843" s="2">
        <v>19</v>
      </c>
      <c r="E843" s="2">
        <v>0</v>
      </c>
      <c r="F843" s="19" t="str">
        <f t="shared" si="54"/>
        <v>Work</v>
      </c>
      <c r="G843" s="19" t="str">
        <f t="shared" si="55"/>
        <v>Walk-Transit</v>
      </c>
      <c r="H843" s="19" t="str">
        <f t="shared" si="56"/>
        <v>Taxi</v>
      </c>
    </row>
    <row r="844" spans="1:8" x14ac:dyDescent="0.2">
      <c r="A844" s="2" t="s">
        <v>97</v>
      </c>
      <c r="B844" s="2" t="s">
        <v>72</v>
      </c>
      <c r="C844" s="2">
        <v>9</v>
      </c>
      <c r="D844" s="2">
        <v>20</v>
      </c>
      <c r="E844" s="2">
        <v>0</v>
      </c>
      <c r="F844" s="19" t="str">
        <f t="shared" si="54"/>
        <v>Work</v>
      </c>
      <c r="G844" s="19" t="str">
        <f t="shared" si="55"/>
        <v>Walk-Transit</v>
      </c>
      <c r="H844" s="19" t="str">
        <f t="shared" si="56"/>
        <v>TNC-Single</v>
      </c>
    </row>
    <row r="845" spans="1:8" x14ac:dyDescent="0.2">
      <c r="A845" s="2" t="s">
        <v>97</v>
      </c>
      <c r="B845" s="2" t="s">
        <v>72</v>
      </c>
      <c r="C845" s="2">
        <v>9</v>
      </c>
      <c r="D845" s="2">
        <v>21</v>
      </c>
      <c r="E845" s="2">
        <v>0</v>
      </c>
      <c r="F845" s="19" t="str">
        <f t="shared" si="54"/>
        <v>Work</v>
      </c>
      <c r="G845" s="19" t="str">
        <f t="shared" si="55"/>
        <v>Walk-Transit</v>
      </c>
      <c r="H845" s="19" t="str">
        <f t="shared" si="56"/>
        <v>TNC-Shared</v>
      </c>
    </row>
    <row r="846" spans="1:8" x14ac:dyDescent="0.2">
      <c r="A846" s="2" t="s">
        <v>97</v>
      </c>
      <c r="B846" s="2" t="s">
        <v>72</v>
      </c>
      <c r="C846" s="2">
        <v>10</v>
      </c>
      <c r="D846" s="2">
        <v>-10</v>
      </c>
      <c r="E846" s="2">
        <v>0</v>
      </c>
      <c r="F846" s="19" t="str">
        <f t="shared" si="54"/>
        <v>Work</v>
      </c>
      <c r="G846" s="19" t="str">
        <f t="shared" si="55"/>
        <v>Walk-Transit</v>
      </c>
      <c r="H846" s="19" t="str">
        <f t="shared" si="56"/>
        <v>Walk-Ferry</v>
      </c>
    </row>
    <row r="847" spans="1:8" x14ac:dyDescent="0.2">
      <c r="A847" s="2" t="s">
        <v>97</v>
      </c>
      <c r="B847" s="2" t="s">
        <v>72</v>
      </c>
      <c r="C847" s="2">
        <v>10</v>
      </c>
      <c r="D847" s="2">
        <v>3</v>
      </c>
      <c r="E847" s="2">
        <v>0</v>
      </c>
      <c r="F847" s="19" t="str">
        <f t="shared" si="54"/>
        <v>Work</v>
      </c>
      <c r="G847" s="19" t="str">
        <f t="shared" si="55"/>
        <v>Walk-Transit</v>
      </c>
      <c r="H847" s="19" t="str">
        <f t="shared" si="56"/>
        <v>SR2</v>
      </c>
    </row>
    <row r="848" spans="1:8" x14ac:dyDescent="0.2">
      <c r="A848" s="2" t="s">
        <v>97</v>
      </c>
      <c r="B848" s="2" t="s">
        <v>72</v>
      </c>
      <c r="C848" s="2">
        <v>10</v>
      </c>
      <c r="D848" s="2">
        <v>5</v>
      </c>
      <c r="E848" s="2">
        <v>0</v>
      </c>
      <c r="F848" s="19" t="str">
        <f t="shared" si="54"/>
        <v>Work</v>
      </c>
      <c r="G848" s="19" t="str">
        <f t="shared" si="55"/>
        <v>Walk-Transit</v>
      </c>
      <c r="H848" s="19" t="str">
        <f t="shared" si="56"/>
        <v>SR3+</v>
      </c>
    </row>
    <row r="849" spans="1:8" x14ac:dyDescent="0.2">
      <c r="A849" s="2" t="s">
        <v>97</v>
      </c>
      <c r="B849" s="2" t="s">
        <v>72</v>
      </c>
      <c r="C849" s="2">
        <v>10</v>
      </c>
      <c r="D849" s="2">
        <v>7</v>
      </c>
      <c r="E849" s="2">
        <v>0</v>
      </c>
      <c r="F849" s="19" t="str">
        <f t="shared" si="54"/>
        <v>Work</v>
      </c>
      <c r="G849" s="19" t="str">
        <f t="shared" si="55"/>
        <v>Walk-Transit</v>
      </c>
      <c r="H849" s="19" t="str">
        <f t="shared" si="56"/>
        <v>Walk</v>
      </c>
    </row>
    <row r="850" spans="1:8" x14ac:dyDescent="0.2">
      <c r="A850" s="2" t="s">
        <v>97</v>
      </c>
      <c r="B850" s="2" t="s">
        <v>72</v>
      </c>
      <c r="C850" s="2">
        <v>10</v>
      </c>
      <c r="D850" s="2">
        <v>9</v>
      </c>
      <c r="E850" s="2">
        <v>0</v>
      </c>
      <c r="F850" s="19" t="str">
        <f t="shared" si="54"/>
        <v>Work</v>
      </c>
      <c r="G850" s="19" t="str">
        <f t="shared" si="55"/>
        <v>Walk-Transit</v>
      </c>
      <c r="H850" s="19" t="str">
        <f t="shared" si="56"/>
        <v>Walk-Local</v>
      </c>
    </row>
    <row r="851" spans="1:8" x14ac:dyDescent="0.2">
      <c r="A851" s="2" t="s">
        <v>97</v>
      </c>
      <c r="B851" s="2" t="s">
        <v>72</v>
      </c>
      <c r="C851" s="2">
        <v>10</v>
      </c>
      <c r="D851" s="2">
        <v>10</v>
      </c>
      <c r="E851" s="2">
        <v>0</v>
      </c>
      <c r="F851" s="19" t="str">
        <f t="shared" si="54"/>
        <v>Work</v>
      </c>
      <c r="G851" s="19" t="str">
        <f t="shared" si="55"/>
        <v>Walk-Transit</v>
      </c>
      <c r="H851" s="19" t="str">
        <f t="shared" si="56"/>
        <v>Walk-LRT</v>
      </c>
    </row>
    <row r="852" spans="1:8" x14ac:dyDescent="0.2">
      <c r="A852" s="2" t="s">
        <v>97</v>
      </c>
      <c r="B852" s="2" t="s">
        <v>72</v>
      </c>
      <c r="C852" s="2">
        <v>10</v>
      </c>
      <c r="D852" s="2">
        <v>19</v>
      </c>
      <c r="E852" s="2">
        <v>0</v>
      </c>
      <c r="F852" s="19" t="str">
        <f t="shared" si="54"/>
        <v>Work</v>
      </c>
      <c r="G852" s="19" t="str">
        <f t="shared" si="55"/>
        <v>Walk-Transit</v>
      </c>
      <c r="H852" s="19" t="str">
        <f t="shared" si="56"/>
        <v>Taxi</v>
      </c>
    </row>
    <row r="853" spans="1:8" x14ac:dyDescent="0.2">
      <c r="A853" s="2" t="s">
        <v>97</v>
      </c>
      <c r="B853" s="2" t="s">
        <v>72</v>
      </c>
      <c r="C853" s="2">
        <v>10</v>
      </c>
      <c r="D853" s="2">
        <v>20</v>
      </c>
      <c r="E853" s="2">
        <v>0</v>
      </c>
      <c r="F853" s="19" t="str">
        <f t="shared" si="54"/>
        <v>Work</v>
      </c>
      <c r="G853" s="19" t="str">
        <f t="shared" si="55"/>
        <v>Walk-Transit</v>
      </c>
      <c r="H853" s="19" t="str">
        <f t="shared" si="56"/>
        <v>TNC-Single</v>
      </c>
    </row>
    <row r="854" spans="1:8" x14ac:dyDescent="0.2">
      <c r="A854" s="2" t="s">
        <v>97</v>
      </c>
      <c r="B854" s="2" t="s">
        <v>72</v>
      </c>
      <c r="C854" s="2">
        <v>11</v>
      </c>
      <c r="D854" s="2">
        <v>-10</v>
      </c>
      <c r="E854" s="2">
        <v>0</v>
      </c>
      <c r="F854" s="19" t="str">
        <f t="shared" si="54"/>
        <v>Work</v>
      </c>
      <c r="G854" s="19" t="str">
        <f t="shared" si="55"/>
        <v>Walk-Transit</v>
      </c>
      <c r="H854" s="19" t="str">
        <f t="shared" si="56"/>
        <v>Walk-Ferry</v>
      </c>
    </row>
    <row r="855" spans="1:8" x14ac:dyDescent="0.2">
      <c r="A855" s="2" t="s">
        <v>97</v>
      </c>
      <c r="B855" s="2" t="s">
        <v>72</v>
      </c>
      <c r="C855" s="2">
        <v>11</v>
      </c>
      <c r="D855" s="2">
        <v>3</v>
      </c>
      <c r="E855" s="2">
        <v>0</v>
      </c>
      <c r="F855" s="19" t="str">
        <f t="shared" si="54"/>
        <v>Work</v>
      </c>
      <c r="G855" s="19" t="str">
        <f t="shared" si="55"/>
        <v>Walk-Transit</v>
      </c>
      <c r="H855" s="19" t="str">
        <f t="shared" si="56"/>
        <v>SR2</v>
      </c>
    </row>
    <row r="856" spans="1:8" x14ac:dyDescent="0.2">
      <c r="A856" s="2" t="s">
        <v>97</v>
      </c>
      <c r="B856" s="2" t="s">
        <v>72</v>
      </c>
      <c r="C856" s="2">
        <v>11</v>
      </c>
      <c r="D856" s="2">
        <v>5</v>
      </c>
      <c r="E856" s="2">
        <v>0</v>
      </c>
      <c r="F856" s="19" t="str">
        <f t="shared" si="54"/>
        <v>Work</v>
      </c>
      <c r="G856" s="19" t="str">
        <f t="shared" si="55"/>
        <v>Walk-Transit</v>
      </c>
      <c r="H856" s="19" t="str">
        <f t="shared" si="56"/>
        <v>SR3+</v>
      </c>
    </row>
    <row r="857" spans="1:8" x14ac:dyDescent="0.2">
      <c r="A857" s="2" t="s">
        <v>97</v>
      </c>
      <c r="B857" s="2" t="s">
        <v>72</v>
      </c>
      <c r="C857" s="2">
        <v>11</v>
      </c>
      <c r="D857" s="2">
        <v>7</v>
      </c>
      <c r="E857" s="2">
        <v>0</v>
      </c>
      <c r="F857" s="19" t="str">
        <f t="shared" si="54"/>
        <v>Work</v>
      </c>
      <c r="G857" s="19" t="str">
        <f t="shared" si="55"/>
        <v>Walk-Transit</v>
      </c>
      <c r="H857" s="19" t="str">
        <f t="shared" si="56"/>
        <v>Walk</v>
      </c>
    </row>
    <row r="858" spans="1:8" x14ac:dyDescent="0.2">
      <c r="A858" s="2" t="s">
        <v>97</v>
      </c>
      <c r="B858" s="2" t="s">
        <v>72</v>
      </c>
      <c r="C858" s="2">
        <v>11</v>
      </c>
      <c r="D858" s="2">
        <v>9</v>
      </c>
      <c r="E858" s="2">
        <v>0</v>
      </c>
      <c r="F858" s="19" t="str">
        <f t="shared" si="54"/>
        <v>Work</v>
      </c>
      <c r="G858" s="19" t="str">
        <f t="shared" si="55"/>
        <v>Walk-Transit</v>
      </c>
      <c r="H858" s="19" t="str">
        <f t="shared" si="56"/>
        <v>Walk-Local</v>
      </c>
    </row>
    <row r="859" spans="1:8" x14ac:dyDescent="0.2">
      <c r="A859" s="2" t="s">
        <v>97</v>
      </c>
      <c r="B859" s="2" t="s">
        <v>72</v>
      </c>
      <c r="C859" s="2">
        <v>11</v>
      </c>
      <c r="D859" s="2">
        <v>10</v>
      </c>
      <c r="E859" s="2">
        <v>0</v>
      </c>
      <c r="F859" s="19" t="str">
        <f t="shared" si="54"/>
        <v>Work</v>
      </c>
      <c r="G859" s="19" t="str">
        <f t="shared" si="55"/>
        <v>Walk-Transit</v>
      </c>
      <c r="H859" s="19" t="str">
        <f t="shared" si="56"/>
        <v>Walk-LRT</v>
      </c>
    </row>
    <row r="860" spans="1:8" x14ac:dyDescent="0.2">
      <c r="A860" s="2" t="s">
        <v>97</v>
      </c>
      <c r="B860" s="2" t="s">
        <v>72</v>
      </c>
      <c r="C860" s="2">
        <v>11</v>
      </c>
      <c r="D860" s="2">
        <v>11</v>
      </c>
      <c r="E860" s="2">
        <v>0</v>
      </c>
      <c r="F860" s="19" t="str">
        <f t="shared" si="54"/>
        <v>Work</v>
      </c>
      <c r="G860" s="19" t="str">
        <f t="shared" si="55"/>
        <v>Walk-Transit</v>
      </c>
      <c r="H860" s="19" t="str">
        <f t="shared" si="56"/>
        <v>Walk-Express</v>
      </c>
    </row>
    <row r="861" spans="1:8" x14ac:dyDescent="0.2">
      <c r="A861" s="2" t="s">
        <v>97</v>
      </c>
      <c r="B861" s="2" t="s">
        <v>72</v>
      </c>
      <c r="C861" s="2">
        <v>11</v>
      </c>
      <c r="D861" s="2">
        <v>19</v>
      </c>
      <c r="E861" s="2">
        <v>0</v>
      </c>
      <c r="F861" s="19" t="str">
        <f t="shared" si="54"/>
        <v>Work</v>
      </c>
      <c r="G861" s="19" t="str">
        <f t="shared" si="55"/>
        <v>Walk-Transit</v>
      </c>
      <c r="H861" s="19" t="str">
        <f t="shared" si="56"/>
        <v>Taxi</v>
      </c>
    </row>
    <row r="862" spans="1:8" x14ac:dyDescent="0.2">
      <c r="A862" s="2" t="s">
        <v>97</v>
      </c>
      <c r="B862" s="2" t="s">
        <v>72</v>
      </c>
      <c r="C862" s="2">
        <v>12</v>
      </c>
      <c r="D862" s="2">
        <v>-10</v>
      </c>
      <c r="E862" s="2">
        <v>0</v>
      </c>
      <c r="F862" s="19" t="str">
        <f t="shared" si="54"/>
        <v>Work</v>
      </c>
      <c r="G862" s="19" t="str">
        <f t="shared" si="55"/>
        <v>Walk-Transit</v>
      </c>
      <c r="H862" s="19" t="str">
        <f t="shared" si="56"/>
        <v>Walk-Ferry</v>
      </c>
    </row>
    <row r="863" spans="1:8" x14ac:dyDescent="0.2">
      <c r="A863" s="2" t="s">
        <v>97</v>
      </c>
      <c r="B863" s="2" t="s">
        <v>72</v>
      </c>
      <c r="C863" s="2">
        <v>12</v>
      </c>
      <c r="D863" s="2">
        <v>3</v>
      </c>
      <c r="E863" s="2">
        <v>0</v>
      </c>
      <c r="F863" s="19" t="str">
        <f t="shared" si="54"/>
        <v>Work</v>
      </c>
      <c r="G863" s="19" t="str">
        <f t="shared" si="55"/>
        <v>Walk-Transit</v>
      </c>
      <c r="H863" s="19" t="str">
        <f t="shared" si="56"/>
        <v>SR2</v>
      </c>
    </row>
    <row r="864" spans="1:8" x14ac:dyDescent="0.2">
      <c r="A864" s="2" t="s">
        <v>97</v>
      </c>
      <c r="B864" s="2" t="s">
        <v>72</v>
      </c>
      <c r="C864" s="2">
        <v>12</v>
      </c>
      <c r="D864" s="2">
        <v>5</v>
      </c>
      <c r="E864" s="2">
        <v>0</v>
      </c>
      <c r="F864" s="19" t="str">
        <f t="shared" si="54"/>
        <v>Work</v>
      </c>
      <c r="G864" s="19" t="str">
        <f t="shared" si="55"/>
        <v>Walk-Transit</v>
      </c>
      <c r="H864" s="19" t="str">
        <f t="shared" si="56"/>
        <v>SR3+</v>
      </c>
    </row>
    <row r="865" spans="1:8" x14ac:dyDescent="0.2">
      <c r="A865" s="2" t="s">
        <v>97</v>
      </c>
      <c r="B865" s="2" t="s">
        <v>72</v>
      </c>
      <c r="C865" s="2">
        <v>12</v>
      </c>
      <c r="D865" s="2">
        <v>7</v>
      </c>
      <c r="E865" s="2">
        <v>0</v>
      </c>
      <c r="F865" s="19" t="str">
        <f t="shared" si="54"/>
        <v>Work</v>
      </c>
      <c r="G865" s="19" t="str">
        <f t="shared" si="55"/>
        <v>Walk-Transit</v>
      </c>
      <c r="H865" s="19" t="str">
        <f t="shared" si="56"/>
        <v>Walk</v>
      </c>
    </row>
    <row r="866" spans="1:8" x14ac:dyDescent="0.2">
      <c r="A866" s="2" t="s">
        <v>97</v>
      </c>
      <c r="B866" s="2" t="s">
        <v>72</v>
      </c>
      <c r="C866" s="2">
        <v>12</v>
      </c>
      <c r="D866" s="2">
        <v>9</v>
      </c>
      <c r="E866" s="2">
        <v>0</v>
      </c>
      <c r="F866" s="19" t="str">
        <f t="shared" si="54"/>
        <v>Work</v>
      </c>
      <c r="G866" s="19" t="str">
        <f t="shared" si="55"/>
        <v>Walk-Transit</v>
      </c>
      <c r="H866" s="19" t="str">
        <f t="shared" si="56"/>
        <v>Walk-Local</v>
      </c>
    </row>
    <row r="867" spans="1:8" x14ac:dyDescent="0.2">
      <c r="A867" s="2" t="s">
        <v>97</v>
      </c>
      <c r="B867" s="2" t="s">
        <v>72</v>
      </c>
      <c r="C867" s="2">
        <v>12</v>
      </c>
      <c r="D867" s="2">
        <v>10</v>
      </c>
      <c r="E867" s="2">
        <v>0</v>
      </c>
      <c r="F867" s="19" t="str">
        <f t="shared" si="54"/>
        <v>Work</v>
      </c>
      <c r="G867" s="19" t="str">
        <f t="shared" si="55"/>
        <v>Walk-Transit</v>
      </c>
      <c r="H867" s="19" t="str">
        <f t="shared" si="56"/>
        <v>Walk-LRT</v>
      </c>
    </row>
    <row r="868" spans="1:8" x14ac:dyDescent="0.2">
      <c r="A868" s="2" t="s">
        <v>97</v>
      </c>
      <c r="B868" s="2" t="s">
        <v>72</v>
      </c>
      <c r="C868" s="2">
        <v>12</v>
      </c>
      <c r="D868" s="2">
        <v>11</v>
      </c>
      <c r="E868" s="2">
        <v>0</v>
      </c>
      <c r="F868" s="19" t="str">
        <f t="shared" si="54"/>
        <v>Work</v>
      </c>
      <c r="G868" s="19" t="str">
        <f t="shared" si="55"/>
        <v>Walk-Transit</v>
      </c>
      <c r="H868" s="19" t="str">
        <f t="shared" si="56"/>
        <v>Walk-Express</v>
      </c>
    </row>
    <row r="869" spans="1:8" x14ac:dyDescent="0.2">
      <c r="A869" s="2" t="s">
        <v>97</v>
      </c>
      <c r="B869" s="2" t="s">
        <v>72</v>
      </c>
      <c r="C869" s="2">
        <v>12</v>
      </c>
      <c r="D869" s="2">
        <v>12</v>
      </c>
      <c r="E869" s="2">
        <v>0</v>
      </c>
      <c r="F869" s="19" t="str">
        <f t="shared" si="54"/>
        <v>Work</v>
      </c>
      <c r="G869" s="19" t="str">
        <f t="shared" si="55"/>
        <v>Walk-Transit</v>
      </c>
      <c r="H869" s="19" t="str">
        <f t="shared" si="56"/>
        <v>Walk-HeavyR</v>
      </c>
    </row>
    <row r="870" spans="1:8" x14ac:dyDescent="0.2">
      <c r="A870" s="2" t="s">
        <v>97</v>
      </c>
      <c r="B870" s="2" t="s">
        <v>72</v>
      </c>
      <c r="C870" s="2">
        <v>12</v>
      </c>
      <c r="D870" s="2">
        <v>19</v>
      </c>
      <c r="E870" s="2">
        <v>0</v>
      </c>
      <c r="F870" s="19" t="str">
        <f t="shared" si="54"/>
        <v>Work</v>
      </c>
      <c r="G870" s="19" t="str">
        <f t="shared" si="55"/>
        <v>Walk-Transit</v>
      </c>
      <c r="H870" s="19" t="str">
        <f t="shared" si="56"/>
        <v>Taxi</v>
      </c>
    </row>
    <row r="871" spans="1:8" x14ac:dyDescent="0.2">
      <c r="A871" s="2" t="s">
        <v>97</v>
      </c>
      <c r="B871" s="2" t="s">
        <v>72</v>
      </c>
      <c r="C871" s="2">
        <v>12</v>
      </c>
      <c r="D871" s="2">
        <v>20</v>
      </c>
      <c r="E871" s="2">
        <v>0</v>
      </c>
      <c r="F871" s="19" t="str">
        <f t="shared" si="54"/>
        <v>Work</v>
      </c>
      <c r="G871" s="19" t="str">
        <f t="shared" si="55"/>
        <v>Walk-Transit</v>
      </c>
      <c r="H871" s="19" t="str">
        <f t="shared" si="56"/>
        <v>TNC-Single</v>
      </c>
    </row>
    <row r="872" spans="1:8" x14ac:dyDescent="0.2">
      <c r="A872" s="2" t="s">
        <v>97</v>
      </c>
      <c r="B872" s="2" t="s">
        <v>72</v>
      </c>
      <c r="C872" s="2">
        <v>13</v>
      </c>
      <c r="D872" s="2">
        <v>3</v>
      </c>
      <c r="E872" s="2">
        <v>0</v>
      </c>
      <c r="F872" s="19" t="str">
        <f t="shared" si="54"/>
        <v>Work</v>
      </c>
      <c r="G872" s="19" t="str">
        <f t="shared" si="55"/>
        <v>Walk-Transit</v>
      </c>
      <c r="H872" s="19" t="str">
        <f t="shared" si="56"/>
        <v>SR2</v>
      </c>
    </row>
    <row r="873" spans="1:8" x14ac:dyDescent="0.2">
      <c r="A873" s="2" t="s">
        <v>97</v>
      </c>
      <c r="B873" s="2" t="s">
        <v>72</v>
      </c>
      <c r="C873" s="2">
        <v>13</v>
      </c>
      <c r="D873" s="2">
        <v>5</v>
      </c>
      <c r="E873" s="2">
        <v>0</v>
      </c>
      <c r="F873" s="19" t="str">
        <f t="shared" si="54"/>
        <v>Work</v>
      </c>
      <c r="G873" s="19" t="str">
        <f t="shared" si="55"/>
        <v>Walk-Transit</v>
      </c>
      <c r="H873" s="19" t="str">
        <f t="shared" si="56"/>
        <v>SR3+</v>
      </c>
    </row>
    <row r="874" spans="1:8" x14ac:dyDescent="0.2">
      <c r="A874" s="2" t="s">
        <v>97</v>
      </c>
      <c r="B874" s="2" t="s">
        <v>72</v>
      </c>
      <c r="C874" s="2">
        <v>13</v>
      </c>
      <c r="D874" s="2">
        <v>7</v>
      </c>
      <c r="E874" s="2">
        <v>0</v>
      </c>
      <c r="F874" s="19" t="str">
        <f t="shared" si="54"/>
        <v>Work</v>
      </c>
      <c r="G874" s="19" t="str">
        <f t="shared" si="55"/>
        <v>Walk-Transit</v>
      </c>
      <c r="H874" s="19" t="str">
        <f t="shared" si="56"/>
        <v>Walk</v>
      </c>
    </row>
    <row r="875" spans="1:8" x14ac:dyDescent="0.2">
      <c r="A875" s="2" t="s">
        <v>97</v>
      </c>
      <c r="B875" s="2" t="s">
        <v>72</v>
      </c>
      <c r="C875" s="2">
        <v>13</v>
      </c>
      <c r="D875" s="2">
        <v>9</v>
      </c>
      <c r="E875" s="2">
        <v>0</v>
      </c>
      <c r="F875" s="19" t="str">
        <f t="shared" si="54"/>
        <v>Work</v>
      </c>
      <c r="G875" s="19" t="str">
        <f t="shared" si="55"/>
        <v>Walk-Transit</v>
      </c>
      <c r="H875" s="19" t="str">
        <f t="shared" si="56"/>
        <v>Walk-Local</v>
      </c>
    </row>
    <row r="876" spans="1:8" x14ac:dyDescent="0.2">
      <c r="A876" s="2" t="s">
        <v>97</v>
      </c>
      <c r="B876" s="2" t="s">
        <v>72</v>
      </c>
      <c r="C876" s="2">
        <v>13</v>
      </c>
      <c r="D876" s="2">
        <v>10</v>
      </c>
      <c r="E876" s="2">
        <v>0</v>
      </c>
      <c r="F876" s="19" t="str">
        <f t="shared" si="54"/>
        <v>Work</v>
      </c>
      <c r="G876" s="19" t="str">
        <f t="shared" si="55"/>
        <v>Walk-Transit</v>
      </c>
      <c r="H876" s="19" t="str">
        <f t="shared" si="56"/>
        <v>Walk-LRT</v>
      </c>
    </row>
    <row r="877" spans="1:8" x14ac:dyDescent="0.2">
      <c r="A877" s="2" t="s">
        <v>97</v>
      </c>
      <c r="B877" s="2" t="s">
        <v>72</v>
      </c>
      <c r="C877" s="2">
        <v>13</v>
      </c>
      <c r="D877" s="2">
        <v>11</v>
      </c>
      <c r="E877" s="2">
        <v>0</v>
      </c>
      <c r="F877" s="19" t="str">
        <f t="shared" si="54"/>
        <v>Work</v>
      </c>
      <c r="G877" s="19" t="str">
        <f t="shared" si="55"/>
        <v>Walk-Transit</v>
      </c>
      <c r="H877" s="19" t="str">
        <f t="shared" si="56"/>
        <v>Walk-Express</v>
      </c>
    </row>
    <row r="878" spans="1:8" x14ac:dyDescent="0.2">
      <c r="A878" s="2" t="s">
        <v>97</v>
      </c>
      <c r="B878" s="2" t="s">
        <v>72</v>
      </c>
      <c r="C878" s="2">
        <v>13</v>
      </c>
      <c r="D878" s="2">
        <v>12</v>
      </c>
      <c r="E878" s="2">
        <v>0</v>
      </c>
      <c r="F878" s="19" t="str">
        <f t="shared" si="54"/>
        <v>Work</v>
      </c>
      <c r="G878" s="19" t="str">
        <f t="shared" si="55"/>
        <v>Walk-Transit</v>
      </c>
      <c r="H878" s="19" t="str">
        <f t="shared" si="56"/>
        <v>Walk-HeavyR</v>
      </c>
    </row>
    <row r="879" spans="1:8" x14ac:dyDescent="0.2">
      <c r="A879" s="2" t="s">
        <v>97</v>
      </c>
      <c r="B879" s="2" t="s">
        <v>72</v>
      </c>
      <c r="C879" s="2">
        <v>13</v>
      </c>
      <c r="D879" s="2">
        <v>13</v>
      </c>
      <c r="E879" s="2">
        <v>0</v>
      </c>
      <c r="F879" s="19" t="str">
        <f t="shared" si="54"/>
        <v>Work</v>
      </c>
      <c r="G879" s="19" t="str">
        <f t="shared" si="55"/>
        <v>Walk-Transit</v>
      </c>
      <c r="H879" s="19" t="str">
        <f t="shared" si="56"/>
        <v>Walk-CommR</v>
      </c>
    </row>
    <row r="880" spans="1:8" x14ac:dyDescent="0.2">
      <c r="A880" s="2" t="s">
        <v>97</v>
      </c>
      <c r="B880" s="2" t="s">
        <v>72</v>
      </c>
      <c r="C880" s="2">
        <v>13</v>
      </c>
      <c r="D880" s="2">
        <v>19</v>
      </c>
      <c r="E880" s="2">
        <v>0</v>
      </c>
      <c r="F880" s="19" t="str">
        <f t="shared" si="54"/>
        <v>Work</v>
      </c>
      <c r="G880" s="19" t="str">
        <f t="shared" si="55"/>
        <v>Walk-Transit</v>
      </c>
      <c r="H880" s="19" t="str">
        <f t="shared" si="56"/>
        <v>Taxi</v>
      </c>
    </row>
    <row r="881" spans="1:8" x14ac:dyDescent="0.2">
      <c r="A881" s="2" t="s">
        <v>97</v>
      </c>
      <c r="B881" s="2" t="s">
        <v>72</v>
      </c>
      <c r="C881" s="2">
        <v>13</v>
      </c>
      <c r="D881" s="2">
        <v>20</v>
      </c>
      <c r="E881" s="2">
        <v>0</v>
      </c>
      <c r="F881" s="19" t="str">
        <f t="shared" si="54"/>
        <v>Work</v>
      </c>
      <c r="G881" s="19" t="str">
        <f t="shared" si="55"/>
        <v>Walk-Transit</v>
      </c>
      <c r="H881" s="19" t="str">
        <f t="shared" si="56"/>
        <v>TNC-Single</v>
      </c>
    </row>
    <row r="882" spans="1:8" x14ac:dyDescent="0.2">
      <c r="A882" s="2" t="s">
        <v>97</v>
      </c>
      <c r="B882" s="2" t="s">
        <v>72</v>
      </c>
      <c r="C882" s="2">
        <v>14</v>
      </c>
      <c r="D882" s="2">
        <v>14</v>
      </c>
      <c r="E882" s="2">
        <v>0</v>
      </c>
      <c r="F882" s="19" t="str">
        <f t="shared" si="54"/>
        <v>Work</v>
      </c>
      <c r="G882" s="19" t="str">
        <f t="shared" si="55"/>
        <v>Drive-Transit</v>
      </c>
      <c r="H882" s="19" t="str">
        <f t="shared" si="56"/>
        <v>Drive-Local</v>
      </c>
    </row>
    <row r="883" spans="1:8" x14ac:dyDescent="0.2">
      <c r="A883" s="2" t="s">
        <v>97</v>
      </c>
      <c r="B883" s="2" t="s">
        <v>72</v>
      </c>
      <c r="C883" s="2">
        <v>14</v>
      </c>
      <c r="D883" s="2">
        <v>19</v>
      </c>
      <c r="E883" s="2">
        <v>0</v>
      </c>
      <c r="F883" s="19" t="str">
        <f t="shared" si="54"/>
        <v>Work</v>
      </c>
      <c r="G883" s="19" t="str">
        <f t="shared" si="55"/>
        <v>Drive-Transit</v>
      </c>
      <c r="H883" s="19" t="str">
        <f t="shared" si="56"/>
        <v>Taxi</v>
      </c>
    </row>
    <row r="884" spans="1:8" x14ac:dyDescent="0.2">
      <c r="A884" s="2" t="s">
        <v>97</v>
      </c>
      <c r="B884" s="2" t="s">
        <v>72</v>
      </c>
      <c r="C884" s="2">
        <v>14</v>
      </c>
      <c r="D884" s="2">
        <v>20</v>
      </c>
      <c r="E884" s="2">
        <v>0</v>
      </c>
      <c r="F884" s="19" t="str">
        <f t="shared" si="54"/>
        <v>Work</v>
      </c>
      <c r="G884" s="19" t="str">
        <f t="shared" si="55"/>
        <v>Drive-Transit</v>
      </c>
      <c r="H884" s="19" t="str">
        <f t="shared" si="56"/>
        <v>TNC-Single</v>
      </c>
    </row>
    <row r="885" spans="1:8" x14ac:dyDescent="0.2">
      <c r="A885" s="2" t="s">
        <v>97</v>
      </c>
      <c r="B885" s="2" t="s">
        <v>72</v>
      </c>
      <c r="C885" s="2">
        <v>15</v>
      </c>
      <c r="D885" s="2">
        <v>-15</v>
      </c>
      <c r="E885" s="2">
        <v>0</v>
      </c>
      <c r="F885" s="19" t="str">
        <f t="shared" si="54"/>
        <v>Work</v>
      </c>
      <c r="G885" s="19" t="str">
        <f t="shared" si="55"/>
        <v>Drive-Transit</v>
      </c>
      <c r="H885" s="19" t="str">
        <f t="shared" si="56"/>
        <v>Drive-Ferry</v>
      </c>
    </row>
    <row r="886" spans="1:8" x14ac:dyDescent="0.2">
      <c r="A886" s="2" t="s">
        <v>97</v>
      </c>
      <c r="B886" s="2" t="s">
        <v>72</v>
      </c>
      <c r="C886" s="2">
        <v>15</v>
      </c>
      <c r="D886" s="2">
        <v>14</v>
      </c>
      <c r="E886" s="2">
        <v>0</v>
      </c>
      <c r="F886" s="19" t="str">
        <f t="shared" si="54"/>
        <v>Work</v>
      </c>
      <c r="G886" s="19" t="str">
        <f t="shared" si="55"/>
        <v>Drive-Transit</v>
      </c>
      <c r="H886" s="19" t="str">
        <f t="shared" si="56"/>
        <v>Drive-Local</v>
      </c>
    </row>
    <row r="887" spans="1:8" x14ac:dyDescent="0.2">
      <c r="A887" s="2" t="s">
        <v>97</v>
      </c>
      <c r="B887" s="2" t="s">
        <v>72</v>
      </c>
      <c r="C887" s="2">
        <v>15</v>
      </c>
      <c r="D887" s="2">
        <v>15</v>
      </c>
      <c r="E887" s="2">
        <v>0</v>
      </c>
      <c r="F887" s="19" t="str">
        <f t="shared" si="54"/>
        <v>Work</v>
      </c>
      <c r="G887" s="19" t="str">
        <f t="shared" si="55"/>
        <v>Drive-Transit</v>
      </c>
      <c r="H887" s="19" t="str">
        <f t="shared" si="56"/>
        <v>Drive-LRT</v>
      </c>
    </row>
    <row r="888" spans="1:8" x14ac:dyDescent="0.2">
      <c r="A888" s="2" t="s">
        <v>97</v>
      </c>
      <c r="B888" s="2" t="s">
        <v>72</v>
      </c>
      <c r="C888" s="2">
        <v>15</v>
      </c>
      <c r="D888" s="2">
        <v>19</v>
      </c>
      <c r="E888" s="2">
        <v>0</v>
      </c>
      <c r="F888" s="19" t="str">
        <f t="shared" si="54"/>
        <v>Work</v>
      </c>
      <c r="G888" s="19" t="str">
        <f t="shared" si="55"/>
        <v>Drive-Transit</v>
      </c>
      <c r="H888" s="19" t="str">
        <f t="shared" si="56"/>
        <v>Taxi</v>
      </c>
    </row>
    <row r="889" spans="1:8" x14ac:dyDescent="0.2">
      <c r="A889" s="2" t="s">
        <v>97</v>
      </c>
      <c r="B889" s="2" t="s">
        <v>72</v>
      </c>
      <c r="C889" s="2">
        <v>15</v>
      </c>
      <c r="D889" s="2">
        <v>21</v>
      </c>
      <c r="E889" s="2">
        <v>0</v>
      </c>
      <c r="F889" s="19" t="str">
        <f t="shared" si="54"/>
        <v>Work</v>
      </c>
      <c r="G889" s="19" t="str">
        <f t="shared" si="55"/>
        <v>Drive-Transit</v>
      </c>
      <c r="H889" s="19" t="str">
        <f t="shared" si="56"/>
        <v>TNC-Shared</v>
      </c>
    </row>
    <row r="890" spans="1:8" x14ac:dyDescent="0.2">
      <c r="A890" s="2" t="s">
        <v>97</v>
      </c>
      <c r="B890" s="2" t="s">
        <v>72</v>
      </c>
      <c r="C890" s="2">
        <v>16</v>
      </c>
      <c r="D890" s="2">
        <v>-15</v>
      </c>
      <c r="E890" s="2">
        <v>0</v>
      </c>
      <c r="F890" s="19" t="str">
        <f t="shared" si="54"/>
        <v>Work</v>
      </c>
      <c r="G890" s="19" t="str">
        <f t="shared" si="55"/>
        <v>Drive-Transit</v>
      </c>
      <c r="H890" s="19" t="str">
        <f t="shared" si="56"/>
        <v>Drive-Ferry</v>
      </c>
    </row>
    <row r="891" spans="1:8" x14ac:dyDescent="0.2">
      <c r="A891" s="2" t="s">
        <v>97</v>
      </c>
      <c r="B891" s="2" t="s">
        <v>72</v>
      </c>
      <c r="C891" s="2">
        <v>16</v>
      </c>
      <c r="D891" s="2">
        <v>16</v>
      </c>
      <c r="E891" s="2">
        <v>0</v>
      </c>
      <c r="F891" s="19" t="str">
        <f t="shared" si="54"/>
        <v>Work</v>
      </c>
      <c r="G891" s="19" t="str">
        <f t="shared" si="55"/>
        <v>Drive-Transit</v>
      </c>
      <c r="H891" s="19" t="str">
        <f t="shared" si="56"/>
        <v>Drive-Express</v>
      </c>
    </row>
    <row r="892" spans="1:8" x14ac:dyDescent="0.2">
      <c r="A892" s="2" t="s">
        <v>97</v>
      </c>
      <c r="B892" s="2" t="s">
        <v>72</v>
      </c>
      <c r="C892" s="2">
        <v>16</v>
      </c>
      <c r="D892" s="2">
        <v>20</v>
      </c>
      <c r="E892" s="2">
        <v>0</v>
      </c>
      <c r="F892" s="19" t="str">
        <f t="shared" si="54"/>
        <v>Work</v>
      </c>
      <c r="G892" s="19" t="str">
        <f t="shared" si="55"/>
        <v>Drive-Transit</v>
      </c>
      <c r="H892" s="19" t="str">
        <f t="shared" si="56"/>
        <v>TNC-Single</v>
      </c>
    </row>
    <row r="893" spans="1:8" x14ac:dyDescent="0.2">
      <c r="A893" s="2" t="s">
        <v>97</v>
      </c>
      <c r="B893" s="2" t="s">
        <v>72</v>
      </c>
      <c r="C893" s="2">
        <v>17</v>
      </c>
      <c r="D893" s="2">
        <v>-15</v>
      </c>
      <c r="E893" s="2">
        <v>0</v>
      </c>
      <c r="F893" s="19" t="str">
        <f t="shared" si="54"/>
        <v>Work</v>
      </c>
      <c r="G893" s="19" t="str">
        <f t="shared" si="55"/>
        <v>Drive-Transit</v>
      </c>
      <c r="H893" s="19" t="str">
        <f t="shared" si="56"/>
        <v>Drive-Ferry</v>
      </c>
    </row>
    <row r="894" spans="1:8" x14ac:dyDescent="0.2">
      <c r="A894" s="2" t="s">
        <v>97</v>
      </c>
      <c r="B894" s="2" t="s">
        <v>72</v>
      </c>
      <c r="C894" s="2">
        <v>17</v>
      </c>
      <c r="D894" s="2">
        <v>16</v>
      </c>
      <c r="E894" s="2">
        <v>0</v>
      </c>
      <c r="F894" s="19" t="str">
        <f t="shared" si="54"/>
        <v>Work</v>
      </c>
      <c r="G894" s="19" t="str">
        <f t="shared" si="55"/>
        <v>Drive-Transit</v>
      </c>
      <c r="H894" s="19" t="str">
        <f t="shared" si="56"/>
        <v>Drive-Express</v>
      </c>
    </row>
    <row r="895" spans="1:8" x14ac:dyDescent="0.2">
      <c r="A895" s="2" t="s">
        <v>97</v>
      </c>
      <c r="B895" s="2" t="s">
        <v>72</v>
      </c>
      <c r="C895" s="2">
        <v>17</v>
      </c>
      <c r="D895" s="2">
        <v>17</v>
      </c>
      <c r="E895" s="2">
        <v>0</v>
      </c>
      <c r="F895" s="19" t="str">
        <f t="shared" si="54"/>
        <v>Work</v>
      </c>
      <c r="G895" s="19" t="str">
        <f t="shared" si="55"/>
        <v>Drive-Transit</v>
      </c>
      <c r="H895" s="19" t="str">
        <f t="shared" si="56"/>
        <v>Drive-HeavyR</v>
      </c>
    </row>
    <row r="896" spans="1:8" x14ac:dyDescent="0.2">
      <c r="A896" s="2" t="s">
        <v>97</v>
      </c>
      <c r="B896" s="2" t="s">
        <v>72</v>
      </c>
      <c r="C896" s="2">
        <v>18</v>
      </c>
      <c r="D896" s="2">
        <v>17</v>
      </c>
      <c r="E896" s="2">
        <v>0</v>
      </c>
      <c r="F896" s="19" t="str">
        <f t="shared" si="54"/>
        <v>Work</v>
      </c>
      <c r="G896" s="19" t="str">
        <f t="shared" si="55"/>
        <v>Drive-Transit</v>
      </c>
      <c r="H896" s="19" t="str">
        <f t="shared" si="56"/>
        <v>Drive-HeavyR</v>
      </c>
    </row>
    <row r="897" spans="1:8" x14ac:dyDescent="0.2">
      <c r="A897" s="2" t="s">
        <v>97</v>
      </c>
      <c r="B897" s="2" t="s">
        <v>72</v>
      </c>
      <c r="C897" s="2">
        <v>18</v>
      </c>
      <c r="D897" s="2">
        <v>18</v>
      </c>
      <c r="E897" s="2">
        <v>0</v>
      </c>
      <c r="F897" s="19" t="str">
        <f t="shared" si="54"/>
        <v>Work</v>
      </c>
      <c r="G897" s="19" t="str">
        <f t="shared" si="55"/>
        <v>Drive-Transit</v>
      </c>
      <c r="H897" s="19" t="str">
        <f t="shared" si="56"/>
        <v>Drive-CommR</v>
      </c>
    </row>
    <row r="898" spans="1:8" x14ac:dyDescent="0.2">
      <c r="A898" s="2" t="s">
        <v>97</v>
      </c>
      <c r="B898" s="2" t="s">
        <v>72</v>
      </c>
      <c r="C898" s="2">
        <v>19</v>
      </c>
      <c r="D898" s="2">
        <v>3</v>
      </c>
      <c r="E898" s="2">
        <v>0</v>
      </c>
      <c r="F898" s="19" t="str">
        <f t="shared" si="54"/>
        <v>Work</v>
      </c>
      <c r="G898" s="19" t="str">
        <f t="shared" si="55"/>
        <v>Taxi</v>
      </c>
      <c r="H898" s="19" t="str">
        <f t="shared" si="56"/>
        <v>SR2</v>
      </c>
    </row>
    <row r="899" spans="1:8" x14ac:dyDescent="0.2">
      <c r="A899" s="2" t="s">
        <v>97</v>
      </c>
      <c r="B899" s="2" t="s">
        <v>72</v>
      </c>
      <c r="C899" s="2">
        <v>19</v>
      </c>
      <c r="D899" s="2">
        <v>7</v>
      </c>
      <c r="E899" s="2">
        <v>0</v>
      </c>
      <c r="F899" s="19" t="str">
        <f t="shared" ref="F899:F962" si="57">IF(A899="joint","Joint",_xlfn.IFNA(VLOOKUP(B899,tour_purposes,2,FALSE),"None"))</f>
        <v>Work</v>
      </c>
      <c r="G899" s="19" t="str">
        <f t="shared" ref="G899:G962" si="58">IF(AND(A899="joint",C899&lt;=6),"Auto",_xlfn.IFNA(VLOOKUP(C899,tour_modes,3,FALSE),"None"))</f>
        <v>Taxi</v>
      </c>
      <c r="H899" s="19" t="str">
        <f t="shared" ref="H899:H962" si="59">_xlfn.IFNA(VLOOKUP(D899,trip_modes,2,FALSE),"None")</f>
        <v>Walk</v>
      </c>
    </row>
    <row r="900" spans="1:8" x14ac:dyDescent="0.2">
      <c r="A900" s="2" t="s">
        <v>97</v>
      </c>
      <c r="B900" s="2" t="s">
        <v>72</v>
      </c>
      <c r="C900" s="2">
        <v>19</v>
      </c>
      <c r="D900" s="2">
        <v>19</v>
      </c>
      <c r="E900" s="2">
        <v>0</v>
      </c>
      <c r="F900" s="19" t="str">
        <f t="shared" si="57"/>
        <v>Work</v>
      </c>
      <c r="G900" s="19" t="str">
        <f t="shared" si="58"/>
        <v>Taxi</v>
      </c>
      <c r="H900" s="19" t="str">
        <f t="shared" si="59"/>
        <v>Taxi</v>
      </c>
    </row>
    <row r="901" spans="1:8" x14ac:dyDescent="0.2">
      <c r="A901" s="2" t="s">
        <v>97</v>
      </c>
      <c r="B901" s="2" t="s">
        <v>72</v>
      </c>
      <c r="C901" s="2">
        <v>19</v>
      </c>
      <c r="D901" s="2">
        <v>20</v>
      </c>
      <c r="E901" s="2">
        <v>0</v>
      </c>
      <c r="F901" s="19" t="str">
        <f t="shared" si="57"/>
        <v>Work</v>
      </c>
      <c r="G901" s="19" t="str">
        <f t="shared" si="58"/>
        <v>Taxi</v>
      </c>
      <c r="H901" s="19" t="str">
        <f t="shared" si="59"/>
        <v>TNC-Single</v>
      </c>
    </row>
    <row r="902" spans="1:8" x14ac:dyDescent="0.2">
      <c r="A902" s="2" t="s">
        <v>97</v>
      </c>
      <c r="B902" s="2" t="s">
        <v>72</v>
      </c>
      <c r="C902" s="2">
        <v>19</v>
      </c>
      <c r="D902" s="2">
        <v>21</v>
      </c>
      <c r="E902" s="2">
        <v>0</v>
      </c>
      <c r="F902" s="19" t="str">
        <f t="shared" si="57"/>
        <v>Work</v>
      </c>
      <c r="G902" s="19" t="str">
        <f t="shared" si="58"/>
        <v>Taxi</v>
      </c>
      <c r="H902" s="19" t="str">
        <f t="shared" si="59"/>
        <v>TNC-Shared</v>
      </c>
    </row>
    <row r="903" spans="1:8" x14ac:dyDescent="0.2">
      <c r="A903" s="2" t="s">
        <v>97</v>
      </c>
      <c r="B903" s="2" t="s">
        <v>72</v>
      </c>
      <c r="C903" s="2">
        <v>20</v>
      </c>
      <c r="D903" s="2">
        <v>3</v>
      </c>
      <c r="E903" s="2">
        <v>0</v>
      </c>
      <c r="F903" s="19" t="str">
        <f t="shared" si="57"/>
        <v>Work</v>
      </c>
      <c r="G903" s="19" t="str">
        <f t="shared" si="58"/>
        <v>TNC-Single</v>
      </c>
      <c r="H903" s="19" t="str">
        <f t="shared" si="59"/>
        <v>SR2</v>
      </c>
    </row>
    <row r="904" spans="1:8" x14ac:dyDescent="0.2">
      <c r="A904" s="2" t="s">
        <v>97</v>
      </c>
      <c r="B904" s="2" t="s">
        <v>72</v>
      </c>
      <c r="C904" s="2">
        <v>20</v>
      </c>
      <c r="D904" s="2">
        <v>19</v>
      </c>
      <c r="E904" s="2">
        <v>0</v>
      </c>
      <c r="F904" s="19" t="str">
        <f t="shared" si="57"/>
        <v>Work</v>
      </c>
      <c r="G904" s="19" t="str">
        <f t="shared" si="58"/>
        <v>TNC-Single</v>
      </c>
      <c r="H904" s="19" t="str">
        <f t="shared" si="59"/>
        <v>Taxi</v>
      </c>
    </row>
    <row r="905" spans="1:8" x14ac:dyDescent="0.2">
      <c r="A905" s="2" t="s">
        <v>97</v>
      </c>
      <c r="B905" s="2" t="s">
        <v>73</v>
      </c>
      <c r="C905" s="2">
        <v>1</v>
      </c>
      <c r="D905" s="2">
        <v>1</v>
      </c>
      <c r="E905" s="2">
        <v>0</v>
      </c>
      <c r="F905" s="19" t="str">
        <f t="shared" si="57"/>
        <v>Work</v>
      </c>
      <c r="G905" s="19" t="str">
        <f t="shared" si="58"/>
        <v>Drive Alone</v>
      </c>
      <c r="H905" s="19" t="str">
        <f t="shared" si="59"/>
        <v>Drive Alone</v>
      </c>
    </row>
    <row r="906" spans="1:8" x14ac:dyDescent="0.2">
      <c r="A906" s="2" t="s">
        <v>97</v>
      </c>
      <c r="B906" s="2" t="s">
        <v>73</v>
      </c>
      <c r="C906" s="2">
        <v>1</v>
      </c>
      <c r="D906" s="2">
        <v>7</v>
      </c>
      <c r="E906" s="2">
        <v>0</v>
      </c>
      <c r="F906" s="19" t="str">
        <f t="shared" si="57"/>
        <v>Work</v>
      </c>
      <c r="G906" s="19" t="str">
        <f t="shared" si="58"/>
        <v>Drive Alone</v>
      </c>
      <c r="H906" s="19" t="str">
        <f t="shared" si="59"/>
        <v>Walk</v>
      </c>
    </row>
    <row r="907" spans="1:8" x14ac:dyDescent="0.2">
      <c r="A907" s="2" t="s">
        <v>97</v>
      </c>
      <c r="B907" s="2" t="s">
        <v>73</v>
      </c>
      <c r="C907" s="2">
        <v>1</v>
      </c>
      <c r="D907" s="2">
        <v>19</v>
      </c>
      <c r="E907" s="2">
        <v>0</v>
      </c>
      <c r="F907" s="19" t="str">
        <f t="shared" si="57"/>
        <v>Work</v>
      </c>
      <c r="G907" s="19" t="str">
        <f t="shared" si="58"/>
        <v>Drive Alone</v>
      </c>
      <c r="H907" s="19" t="str">
        <f t="shared" si="59"/>
        <v>Taxi</v>
      </c>
    </row>
    <row r="908" spans="1:8" x14ac:dyDescent="0.2">
      <c r="A908" s="2" t="s">
        <v>97</v>
      </c>
      <c r="B908" s="2" t="s">
        <v>73</v>
      </c>
      <c r="C908" s="2">
        <v>1</v>
      </c>
      <c r="D908" s="2">
        <v>21</v>
      </c>
      <c r="E908" s="2">
        <v>0</v>
      </c>
      <c r="F908" s="19" t="str">
        <f t="shared" si="57"/>
        <v>Work</v>
      </c>
      <c r="G908" s="19" t="str">
        <f t="shared" si="58"/>
        <v>Drive Alone</v>
      </c>
      <c r="H908" s="19" t="str">
        <f t="shared" si="59"/>
        <v>TNC-Shared</v>
      </c>
    </row>
    <row r="909" spans="1:8" x14ac:dyDescent="0.2">
      <c r="A909" s="2" t="s">
        <v>97</v>
      </c>
      <c r="B909" s="2" t="s">
        <v>73</v>
      </c>
      <c r="C909" s="2">
        <v>3</v>
      </c>
      <c r="D909" s="2">
        <v>1</v>
      </c>
      <c r="E909" s="2">
        <v>0</v>
      </c>
      <c r="F909" s="19" t="str">
        <f t="shared" si="57"/>
        <v>Work</v>
      </c>
      <c r="G909" s="19" t="str">
        <f t="shared" si="58"/>
        <v>SR2</v>
      </c>
      <c r="H909" s="19" t="str">
        <f t="shared" si="59"/>
        <v>Drive Alone</v>
      </c>
    </row>
    <row r="910" spans="1:8" x14ac:dyDescent="0.2">
      <c r="A910" s="2" t="s">
        <v>97</v>
      </c>
      <c r="B910" s="2" t="s">
        <v>73</v>
      </c>
      <c r="C910" s="2">
        <v>3</v>
      </c>
      <c r="D910" s="2">
        <v>3</v>
      </c>
      <c r="E910" s="2">
        <v>0</v>
      </c>
      <c r="F910" s="19" t="str">
        <f t="shared" si="57"/>
        <v>Work</v>
      </c>
      <c r="G910" s="19" t="str">
        <f t="shared" si="58"/>
        <v>SR2</v>
      </c>
      <c r="H910" s="19" t="str">
        <f t="shared" si="59"/>
        <v>SR2</v>
      </c>
    </row>
    <row r="911" spans="1:8" x14ac:dyDescent="0.2">
      <c r="A911" s="2" t="s">
        <v>97</v>
      </c>
      <c r="B911" s="2" t="s">
        <v>73</v>
      </c>
      <c r="C911" s="2">
        <v>3</v>
      </c>
      <c r="D911" s="2">
        <v>7</v>
      </c>
      <c r="E911" s="2">
        <v>0</v>
      </c>
      <c r="F911" s="19" t="str">
        <f t="shared" si="57"/>
        <v>Work</v>
      </c>
      <c r="G911" s="19" t="str">
        <f t="shared" si="58"/>
        <v>SR2</v>
      </c>
      <c r="H911" s="19" t="str">
        <f t="shared" si="59"/>
        <v>Walk</v>
      </c>
    </row>
    <row r="912" spans="1:8" x14ac:dyDescent="0.2">
      <c r="A912" s="2" t="s">
        <v>97</v>
      </c>
      <c r="B912" s="2" t="s">
        <v>73</v>
      </c>
      <c r="C912" s="2">
        <v>3</v>
      </c>
      <c r="D912" s="2">
        <v>19</v>
      </c>
      <c r="E912" s="2">
        <v>0</v>
      </c>
      <c r="F912" s="19" t="str">
        <f t="shared" si="57"/>
        <v>Work</v>
      </c>
      <c r="G912" s="19" t="str">
        <f t="shared" si="58"/>
        <v>SR2</v>
      </c>
      <c r="H912" s="19" t="str">
        <f t="shared" si="59"/>
        <v>Taxi</v>
      </c>
    </row>
    <row r="913" spans="1:8" x14ac:dyDescent="0.2">
      <c r="A913" s="2" t="s">
        <v>97</v>
      </c>
      <c r="B913" s="2" t="s">
        <v>73</v>
      </c>
      <c r="C913" s="2">
        <v>5</v>
      </c>
      <c r="D913" s="2">
        <v>1</v>
      </c>
      <c r="E913" s="2">
        <v>0</v>
      </c>
      <c r="F913" s="19" t="str">
        <f t="shared" si="57"/>
        <v>Work</v>
      </c>
      <c r="G913" s="19" t="str">
        <f t="shared" si="58"/>
        <v>SR3+</v>
      </c>
      <c r="H913" s="19" t="str">
        <f t="shared" si="59"/>
        <v>Drive Alone</v>
      </c>
    </row>
    <row r="914" spans="1:8" x14ac:dyDescent="0.2">
      <c r="A914" s="2" t="s">
        <v>97</v>
      </c>
      <c r="B914" s="2" t="s">
        <v>73</v>
      </c>
      <c r="C914" s="2">
        <v>5</v>
      </c>
      <c r="D914" s="2">
        <v>3</v>
      </c>
      <c r="E914" s="2">
        <v>0</v>
      </c>
      <c r="F914" s="19" t="str">
        <f t="shared" si="57"/>
        <v>Work</v>
      </c>
      <c r="G914" s="19" t="str">
        <f t="shared" si="58"/>
        <v>SR3+</v>
      </c>
      <c r="H914" s="19" t="str">
        <f t="shared" si="59"/>
        <v>SR2</v>
      </c>
    </row>
    <row r="915" spans="1:8" x14ac:dyDescent="0.2">
      <c r="A915" s="2" t="s">
        <v>97</v>
      </c>
      <c r="B915" s="2" t="s">
        <v>73</v>
      </c>
      <c r="C915" s="2">
        <v>5</v>
      </c>
      <c r="D915" s="2">
        <v>5</v>
      </c>
      <c r="E915" s="2">
        <v>0</v>
      </c>
      <c r="F915" s="19" t="str">
        <f t="shared" si="57"/>
        <v>Work</v>
      </c>
      <c r="G915" s="19" t="str">
        <f t="shared" si="58"/>
        <v>SR3+</v>
      </c>
      <c r="H915" s="19" t="str">
        <f t="shared" si="59"/>
        <v>SR3+</v>
      </c>
    </row>
    <row r="916" spans="1:8" x14ac:dyDescent="0.2">
      <c r="A916" s="2" t="s">
        <v>97</v>
      </c>
      <c r="B916" s="2" t="s">
        <v>73</v>
      </c>
      <c r="C916" s="2">
        <v>5</v>
      </c>
      <c r="D916" s="2">
        <v>7</v>
      </c>
      <c r="E916" s="2">
        <v>0</v>
      </c>
      <c r="F916" s="19" t="str">
        <f t="shared" si="57"/>
        <v>Work</v>
      </c>
      <c r="G916" s="19" t="str">
        <f t="shared" si="58"/>
        <v>SR3+</v>
      </c>
      <c r="H916" s="19" t="str">
        <f t="shared" si="59"/>
        <v>Walk</v>
      </c>
    </row>
    <row r="917" spans="1:8" x14ac:dyDescent="0.2">
      <c r="A917" s="2" t="s">
        <v>97</v>
      </c>
      <c r="B917" s="2" t="s">
        <v>73</v>
      </c>
      <c r="C917" s="2">
        <v>7</v>
      </c>
      <c r="D917" s="2">
        <v>7</v>
      </c>
      <c r="E917" s="2">
        <v>0</v>
      </c>
      <c r="F917" s="19" t="str">
        <f t="shared" si="57"/>
        <v>Work</v>
      </c>
      <c r="G917" s="19" t="str">
        <f t="shared" si="58"/>
        <v>Walk</v>
      </c>
      <c r="H917" s="19" t="str">
        <f t="shared" si="59"/>
        <v>Walk</v>
      </c>
    </row>
    <row r="918" spans="1:8" x14ac:dyDescent="0.2">
      <c r="A918" s="2" t="s">
        <v>97</v>
      </c>
      <c r="B918" s="2" t="s">
        <v>73</v>
      </c>
      <c r="C918" s="2">
        <v>7</v>
      </c>
      <c r="D918" s="2">
        <v>19</v>
      </c>
      <c r="E918" s="2">
        <v>0</v>
      </c>
      <c r="F918" s="19" t="str">
        <f t="shared" si="57"/>
        <v>Work</v>
      </c>
      <c r="G918" s="19" t="str">
        <f t="shared" si="58"/>
        <v>Walk</v>
      </c>
      <c r="H918" s="19" t="str">
        <f t="shared" si="59"/>
        <v>Taxi</v>
      </c>
    </row>
    <row r="919" spans="1:8" x14ac:dyDescent="0.2">
      <c r="A919" s="2" t="s">
        <v>97</v>
      </c>
      <c r="B919" s="2" t="s">
        <v>73</v>
      </c>
      <c r="C919" s="2">
        <v>8</v>
      </c>
      <c r="D919" s="2">
        <v>7</v>
      </c>
      <c r="E919" s="2">
        <v>0</v>
      </c>
      <c r="F919" s="19" t="str">
        <f t="shared" si="57"/>
        <v>Work</v>
      </c>
      <c r="G919" s="19" t="str">
        <f t="shared" si="58"/>
        <v>Bike</v>
      </c>
      <c r="H919" s="19" t="str">
        <f t="shared" si="59"/>
        <v>Walk</v>
      </c>
    </row>
    <row r="920" spans="1:8" x14ac:dyDescent="0.2">
      <c r="A920" s="2" t="s">
        <v>97</v>
      </c>
      <c r="B920" s="2" t="s">
        <v>73</v>
      </c>
      <c r="C920" s="2">
        <v>8</v>
      </c>
      <c r="D920" s="2">
        <v>8</v>
      </c>
      <c r="E920" s="2">
        <v>0</v>
      </c>
      <c r="F920" s="19" t="str">
        <f t="shared" si="57"/>
        <v>Work</v>
      </c>
      <c r="G920" s="19" t="str">
        <f t="shared" si="58"/>
        <v>Bike</v>
      </c>
      <c r="H920" s="19" t="str">
        <f t="shared" si="59"/>
        <v>Bike</v>
      </c>
    </row>
    <row r="921" spans="1:8" x14ac:dyDescent="0.2">
      <c r="A921" s="2" t="s">
        <v>97</v>
      </c>
      <c r="B921" s="2" t="s">
        <v>73</v>
      </c>
      <c r="C921" s="2">
        <v>8</v>
      </c>
      <c r="D921" s="2">
        <v>19</v>
      </c>
      <c r="E921" s="2">
        <v>0</v>
      </c>
      <c r="F921" s="19" t="str">
        <f t="shared" si="57"/>
        <v>Work</v>
      </c>
      <c r="G921" s="19" t="str">
        <f t="shared" si="58"/>
        <v>Bike</v>
      </c>
      <c r="H921" s="19" t="str">
        <f t="shared" si="59"/>
        <v>Taxi</v>
      </c>
    </row>
    <row r="922" spans="1:8" x14ac:dyDescent="0.2">
      <c r="A922" s="2" t="s">
        <v>97</v>
      </c>
      <c r="B922" s="2" t="s">
        <v>73</v>
      </c>
      <c r="C922" s="2">
        <v>9</v>
      </c>
      <c r="D922" s="2">
        <v>3</v>
      </c>
      <c r="E922" s="2">
        <v>0</v>
      </c>
      <c r="F922" s="19" t="str">
        <f t="shared" si="57"/>
        <v>Work</v>
      </c>
      <c r="G922" s="19" t="str">
        <f t="shared" si="58"/>
        <v>Walk-Transit</v>
      </c>
      <c r="H922" s="19" t="str">
        <f t="shared" si="59"/>
        <v>SR2</v>
      </c>
    </row>
    <row r="923" spans="1:8" x14ac:dyDescent="0.2">
      <c r="A923" s="2" t="s">
        <v>97</v>
      </c>
      <c r="B923" s="2" t="s">
        <v>73</v>
      </c>
      <c r="C923" s="2">
        <v>9</v>
      </c>
      <c r="D923" s="2">
        <v>5</v>
      </c>
      <c r="E923" s="2">
        <v>0</v>
      </c>
      <c r="F923" s="19" t="str">
        <f t="shared" si="57"/>
        <v>Work</v>
      </c>
      <c r="G923" s="19" t="str">
        <f t="shared" si="58"/>
        <v>Walk-Transit</v>
      </c>
      <c r="H923" s="19" t="str">
        <f t="shared" si="59"/>
        <v>SR3+</v>
      </c>
    </row>
    <row r="924" spans="1:8" x14ac:dyDescent="0.2">
      <c r="A924" s="2" t="s">
        <v>97</v>
      </c>
      <c r="B924" s="2" t="s">
        <v>73</v>
      </c>
      <c r="C924" s="2">
        <v>9</v>
      </c>
      <c r="D924" s="2">
        <v>7</v>
      </c>
      <c r="E924" s="2">
        <v>0</v>
      </c>
      <c r="F924" s="19" t="str">
        <f t="shared" si="57"/>
        <v>Work</v>
      </c>
      <c r="G924" s="19" t="str">
        <f t="shared" si="58"/>
        <v>Walk-Transit</v>
      </c>
      <c r="H924" s="19" t="str">
        <f t="shared" si="59"/>
        <v>Walk</v>
      </c>
    </row>
    <row r="925" spans="1:8" x14ac:dyDescent="0.2">
      <c r="A925" s="2" t="s">
        <v>97</v>
      </c>
      <c r="B925" s="2" t="s">
        <v>73</v>
      </c>
      <c r="C925" s="2">
        <v>9</v>
      </c>
      <c r="D925" s="2">
        <v>9</v>
      </c>
      <c r="E925" s="2">
        <v>0</v>
      </c>
      <c r="F925" s="19" t="str">
        <f t="shared" si="57"/>
        <v>Work</v>
      </c>
      <c r="G925" s="19" t="str">
        <f t="shared" si="58"/>
        <v>Walk-Transit</v>
      </c>
      <c r="H925" s="19" t="str">
        <f t="shared" si="59"/>
        <v>Walk-Local</v>
      </c>
    </row>
    <row r="926" spans="1:8" x14ac:dyDescent="0.2">
      <c r="A926" s="2" t="s">
        <v>97</v>
      </c>
      <c r="B926" s="2" t="s">
        <v>73</v>
      </c>
      <c r="C926" s="2">
        <v>9</v>
      </c>
      <c r="D926" s="2">
        <v>19</v>
      </c>
      <c r="E926" s="2">
        <v>0</v>
      </c>
      <c r="F926" s="19" t="str">
        <f t="shared" si="57"/>
        <v>Work</v>
      </c>
      <c r="G926" s="19" t="str">
        <f t="shared" si="58"/>
        <v>Walk-Transit</v>
      </c>
      <c r="H926" s="19" t="str">
        <f t="shared" si="59"/>
        <v>Taxi</v>
      </c>
    </row>
    <row r="927" spans="1:8" x14ac:dyDescent="0.2">
      <c r="A927" s="2" t="s">
        <v>97</v>
      </c>
      <c r="B927" s="2" t="s">
        <v>73</v>
      </c>
      <c r="C927" s="2">
        <v>9</v>
      </c>
      <c r="D927" s="2">
        <v>20</v>
      </c>
      <c r="E927" s="2">
        <v>0</v>
      </c>
      <c r="F927" s="19" t="str">
        <f t="shared" si="57"/>
        <v>Work</v>
      </c>
      <c r="G927" s="19" t="str">
        <f t="shared" si="58"/>
        <v>Walk-Transit</v>
      </c>
      <c r="H927" s="19" t="str">
        <f t="shared" si="59"/>
        <v>TNC-Single</v>
      </c>
    </row>
    <row r="928" spans="1:8" x14ac:dyDescent="0.2">
      <c r="A928" s="2" t="s">
        <v>97</v>
      </c>
      <c r="B928" s="2" t="s">
        <v>73</v>
      </c>
      <c r="C928" s="2">
        <v>9</v>
      </c>
      <c r="D928" s="2">
        <v>21</v>
      </c>
      <c r="E928" s="2">
        <v>0</v>
      </c>
      <c r="F928" s="19" t="str">
        <f t="shared" si="57"/>
        <v>Work</v>
      </c>
      <c r="G928" s="19" t="str">
        <f t="shared" si="58"/>
        <v>Walk-Transit</v>
      </c>
      <c r="H928" s="19" t="str">
        <f t="shared" si="59"/>
        <v>TNC-Shared</v>
      </c>
    </row>
    <row r="929" spans="1:8" x14ac:dyDescent="0.2">
      <c r="A929" s="2" t="s">
        <v>97</v>
      </c>
      <c r="B929" s="2" t="s">
        <v>73</v>
      </c>
      <c r="C929" s="2">
        <v>10</v>
      </c>
      <c r="D929" s="2">
        <v>-10</v>
      </c>
      <c r="E929" s="2">
        <v>0</v>
      </c>
      <c r="F929" s="19" t="str">
        <f t="shared" si="57"/>
        <v>Work</v>
      </c>
      <c r="G929" s="19" t="str">
        <f t="shared" si="58"/>
        <v>Walk-Transit</v>
      </c>
      <c r="H929" s="19" t="str">
        <f t="shared" si="59"/>
        <v>Walk-Ferry</v>
      </c>
    </row>
    <row r="930" spans="1:8" x14ac:dyDescent="0.2">
      <c r="A930" s="2" t="s">
        <v>97</v>
      </c>
      <c r="B930" s="2" t="s">
        <v>73</v>
      </c>
      <c r="C930" s="2">
        <v>10</v>
      </c>
      <c r="D930" s="2">
        <v>3</v>
      </c>
      <c r="E930" s="2">
        <v>0</v>
      </c>
      <c r="F930" s="19" t="str">
        <f t="shared" si="57"/>
        <v>Work</v>
      </c>
      <c r="G930" s="19" t="str">
        <f t="shared" si="58"/>
        <v>Walk-Transit</v>
      </c>
      <c r="H930" s="19" t="str">
        <f t="shared" si="59"/>
        <v>SR2</v>
      </c>
    </row>
    <row r="931" spans="1:8" x14ac:dyDescent="0.2">
      <c r="A931" s="2" t="s">
        <v>97</v>
      </c>
      <c r="B931" s="2" t="s">
        <v>73</v>
      </c>
      <c r="C931" s="2">
        <v>10</v>
      </c>
      <c r="D931" s="2">
        <v>5</v>
      </c>
      <c r="E931" s="2">
        <v>0</v>
      </c>
      <c r="F931" s="19" t="str">
        <f t="shared" si="57"/>
        <v>Work</v>
      </c>
      <c r="G931" s="19" t="str">
        <f t="shared" si="58"/>
        <v>Walk-Transit</v>
      </c>
      <c r="H931" s="19" t="str">
        <f t="shared" si="59"/>
        <v>SR3+</v>
      </c>
    </row>
    <row r="932" spans="1:8" x14ac:dyDescent="0.2">
      <c r="A932" s="2" t="s">
        <v>97</v>
      </c>
      <c r="B932" s="2" t="s">
        <v>73</v>
      </c>
      <c r="C932" s="2">
        <v>10</v>
      </c>
      <c r="D932" s="2">
        <v>7</v>
      </c>
      <c r="E932" s="2">
        <v>0</v>
      </c>
      <c r="F932" s="19" t="str">
        <f t="shared" si="57"/>
        <v>Work</v>
      </c>
      <c r="G932" s="19" t="str">
        <f t="shared" si="58"/>
        <v>Walk-Transit</v>
      </c>
      <c r="H932" s="19" t="str">
        <f t="shared" si="59"/>
        <v>Walk</v>
      </c>
    </row>
    <row r="933" spans="1:8" x14ac:dyDescent="0.2">
      <c r="A933" s="2" t="s">
        <v>97</v>
      </c>
      <c r="B933" s="2" t="s">
        <v>73</v>
      </c>
      <c r="C933" s="2">
        <v>10</v>
      </c>
      <c r="D933" s="2">
        <v>9</v>
      </c>
      <c r="E933" s="2">
        <v>0</v>
      </c>
      <c r="F933" s="19" t="str">
        <f t="shared" si="57"/>
        <v>Work</v>
      </c>
      <c r="G933" s="19" t="str">
        <f t="shared" si="58"/>
        <v>Walk-Transit</v>
      </c>
      <c r="H933" s="19" t="str">
        <f t="shared" si="59"/>
        <v>Walk-Local</v>
      </c>
    </row>
    <row r="934" spans="1:8" x14ac:dyDescent="0.2">
      <c r="A934" s="2" t="s">
        <v>97</v>
      </c>
      <c r="B934" s="2" t="s">
        <v>73</v>
      </c>
      <c r="C934" s="2">
        <v>10</v>
      </c>
      <c r="D934" s="2">
        <v>10</v>
      </c>
      <c r="E934" s="2">
        <v>0</v>
      </c>
      <c r="F934" s="19" t="str">
        <f t="shared" si="57"/>
        <v>Work</v>
      </c>
      <c r="G934" s="19" t="str">
        <f t="shared" si="58"/>
        <v>Walk-Transit</v>
      </c>
      <c r="H934" s="19" t="str">
        <f t="shared" si="59"/>
        <v>Walk-LRT</v>
      </c>
    </row>
    <row r="935" spans="1:8" x14ac:dyDescent="0.2">
      <c r="A935" s="2" t="s">
        <v>97</v>
      </c>
      <c r="B935" s="2" t="s">
        <v>73</v>
      </c>
      <c r="C935" s="2">
        <v>10</v>
      </c>
      <c r="D935" s="2">
        <v>19</v>
      </c>
      <c r="E935" s="2">
        <v>0</v>
      </c>
      <c r="F935" s="19" t="str">
        <f t="shared" si="57"/>
        <v>Work</v>
      </c>
      <c r="G935" s="19" t="str">
        <f t="shared" si="58"/>
        <v>Walk-Transit</v>
      </c>
      <c r="H935" s="19" t="str">
        <f t="shared" si="59"/>
        <v>Taxi</v>
      </c>
    </row>
    <row r="936" spans="1:8" x14ac:dyDescent="0.2">
      <c r="A936" s="2" t="s">
        <v>97</v>
      </c>
      <c r="B936" s="2" t="s">
        <v>73</v>
      </c>
      <c r="C936" s="2">
        <v>11</v>
      </c>
      <c r="D936" s="2">
        <v>-10</v>
      </c>
      <c r="E936" s="2">
        <v>0</v>
      </c>
      <c r="F936" s="19" t="str">
        <f t="shared" si="57"/>
        <v>Work</v>
      </c>
      <c r="G936" s="19" t="str">
        <f t="shared" si="58"/>
        <v>Walk-Transit</v>
      </c>
      <c r="H936" s="19" t="str">
        <f t="shared" si="59"/>
        <v>Walk-Ferry</v>
      </c>
    </row>
    <row r="937" spans="1:8" x14ac:dyDescent="0.2">
      <c r="A937" s="2" t="s">
        <v>97</v>
      </c>
      <c r="B937" s="2" t="s">
        <v>73</v>
      </c>
      <c r="C937" s="2">
        <v>11</v>
      </c>
      <c r="D937" s="2">
        <v>3</v>
      </c>
      <c r="E937" s="2">
        <v>0</v>
      </c>
      <c r="F937" s="19" t="str">
        <f t="shared" si="57"/>
        <v>Work</v>
      </c>
      <c r="G937" s="19" t="str">
        <f t="shared" si="58"/>
        <v>Walk-Transit</v>
      </c>
      <c r="H937" s="19" t="str">
        <f t="shared" si="59"/>
        <v>SR2</v>
      </c>
    </row>
    <row r="938" spans="1:8" x14ac:dyDescent="0.2">
      <c r="A938" s="2" t="s">
        <v>97</v>
      </c>
      <c r="B938" s="2" t="s">
        <v>73</v>
      </c>
      <c r="C938" s="2">
        <v>11</v>
      </c>
      <c r="D938" s="2">
        <v>5</v>
      </c>
      <c r="E938" s="2">
        <v>0</v>
      </c>
      <c r="F938" s="19" t="str">
        <f t="shared" si="57"/>
        <v>Work</v>
      </c>
      <c r="G938" s="19" t="str">
        <f t="shared" si="58"/>
        <v>Walk-Transit</v>
      </c>
      <c r="H938" s="19" t="str">
        <f t="shared" si="59"/>
        <v>SR3+</v>
      </c>
    </row>
    <row r="939" spans="1:8" x14ac:dyDescent="0.2">
      <c r="A939" s="2" t="s">
        <v>97</v>
      </c>
      <c r="B939" s="2" t="s">
        <v>73</v>
      </c>
      <c r="C939" s="2">
        <v>11</v>
      </c>
      <c r="D939" s="2">
        <v>7</v>
      </c>
      <c r="E939" s="2">
        <v>0</v>
      </c>
      <c r="F939" s="19" t="str">
        <f t="shared" si="57"/>
        <v>Work</v>
      </c>
      <c r="G939" s="19" t="str">
        <f t="shared" si="58"/>
        <v>Walk-Transit</v>
      </c>
      <c r="H939" s="19" t="str">
        <f t="shared" si="59"/>
        <v>Walk</v>
      </c>
    </row>
    <row r="940" spans="1:8" x14ac:dyDescent="0.2">
      <c r="A940" s="2" t="s">
        <v>97</v>
      </c>
      <c r="B940" s="2" t="s">
        <v>73</v>
      </c>
      <c r="C940" s="2">
        <v>11</v>
      </c>
      <c r="D940" s="2">
        <v>9</v>
      </c>
      <c r="E940" s="2">
        <v>0</v>
      </c>
      <c r="F940" s="19" t="str">
        <f t="shared" si="57"/>
        <v>Work</v>
      </c>
      <c r="G940" s="19" t="str">
        <f t="shared" si="58"/>
        <v>Walk-Transit</v>
      </c>
      <c r="H940" s="19" t="str">
        <f t="shared" si="59"/>
        <v>Walk-Local</v>
      </c>
    </row>
    <row r="941" spans="1:8" x14ac:dyDescent="0.2">
      <c r="A941" s="2" t="s">
        <v>97</v>
      </c>
      <c r="B941" s="2" t="s">
        <v>73</v>
      </c>
      <c r="C941" s="2">
        <v>11</v>
      </c>
      <c r="D941" s="2">
        <v>10</v>
      </c>
      <c r="E941" s="2">
        <v>0</v>
      </c>
      <c r="F941" s="19" t="str">
        <f t="shared" si="57"/>
        <v>Work</v>
      </c>
      <c r="G941" s="19" t="str">
        <f t="shared" si="58"/>
        <v>Walk-Transit</v>
      </c>
      <c r="H941" s="19" t="str">
        <f t="shared" si="59"/>
        <v>Walk-LRT</v>
      </c>
    </row>
    <row r="942" spans="1:8" x14ac:dyDescent="0.2">
      <c r="A942" s="2" t="s">
        <v>97</v>
      </c>
      <c r="B942" s="2" t="s">
        <v>73</v>
      </c>
      <c r="C942" s="2">
        <v>11</v>
      </c>
      <c r="D942" s="2">
        <v>11</v>
      </c>
      <c r="E942" s="2">
        <v>0</v>
      </c>
      <c r="F942" s="19" t="str">
        <f t="shared" si="57"/>
        <v>Work</v>
      </c>
      <c r="G942" s="19" t="str">
        <f t="shared" si="58"/>
        <v>Walk-Transit</v>
      </c>
      <c r="H942" s="19" t="str">
        <f t="shared" si="59"/>
        <v>Walk-Express</v>
      </c>
    </row>
    <row r="943" spans="1:8" x14ac:dyDescent="0.2">
      <c r="A943" s="2" t="s">
        <v>97</v>
      </c>
      <c r="B943" s="2" t="s">
        <v>73</v>
      </c>
      <c r="C943" s="2">
        <v>11</v>
      </c>
      <c r="D943" s="2">
        <v>19</v>
      </c>
      <c r="E943" s="2">
        <v>0</v>
      </c>
      <c r="F943" s="19" t="str">
        <f t="shared" si="57"/>
        <v>Work</v>
      </c>
      <c r="G943" s="19" t="str">
        <f t="shared" si="58"/>
        <v>Walk-Transit</v>
      </c>
      <c r="H943" s="19" t="str">
        <f t="shared" si="59"/>
        <v>Taxi</v>
      </c>
    </row>
    <row r="944" spans="1:8" x14ac:dyDescent="0.2">
      <c r="A944" s="2" t="s">
        <v>97</v>
      </c>
      <c r="B944" s="2" t="s">
        <v>73</v>
      </c>
      <c r="C944" s="2">
        <v>12</v>
      </c>
      <c r="D944" s="2">
        <v>-10</v>
      </c>
      <c r="E944" s="2">
        <v>0</v>
      </c>
      <c r="F944" s="19" t="str">
        <f t="shared" si="57"/>
        <v>Work</v>
      </c>
      <c r="G944" s="19" t="str">
        <f t="shared" si="58"/>
        <v>Walk-Transit</v>
      </c>
      <c r="H944" s="19" t="str">
        <f t="shared" si="59"/>
        <v>Walk-Ferry</v>
      </c>
    </row>
    <row r="945" spans="1:8" x14ac:dyDescent="0.2">
      <c r="A945" s="2" t="s">
        <v>97</v>
      </c>
      <c r="B945" s="2" t="s">
        <v>73</v>
      </c>
      <c r="C945" s="2">
        <v>12</v>
      </c>
      <c r="D945" s="2">
        <v>3</v>
      </c>
      <c r="E945" s="2">
        <v>0</v>
      </c>
      <c r="F945" s="19" t="str">
        <f t="shared" si="57"/>
        <v>Work</v>
      </c>
      <c r="G945" s="19" t="str">
        <f t="shared" si="58"/>
        <v>Walk-Transit</v>
      </c>
      <c r="H945" s="19" t="str">
        <f t="shared" si="59"/>
        <v>SR2</v>
      </c>
    </row>
    <row r="946" spans="1:8" x14ac:dyDescent="0.2">
      <c r="A946" s="2" t="s">
        <v>97</v>
      </c>
      <c r="B946" s="2" t="s">
        <v>73</v>
      </c>
      <c r="C946" s="2">
        <v>12</v>
      </c>
      <c r="D946" s="2">
        <v>5</v>
      </c>
      <c r="E946" s="2">
        <v>0</v>
      </c>
      <c r="F946" s="19" t="str">
        <f t="shared" si="57"/>
        <v>Work</v>
      </c>
      <c r="G946" s="19" t="str">
        <f t="shared" si="58"/>
        <v>Walk-Transit</v>
      </c>
      <c r="H946" s="19" t="str">
        <f t="shared" si="59"/>
        <v>SR3+</v>
      </c>
    </row>
    <row r="947" spans="1:8" x14ac:dyDescent="0.2">
      <c r="A947" s="2" t="s">
        <v>97</v>
      </c>
      <c r="B947" s="2" t="s">
        <v>73</v>
      </c>
      <c r="C947" s="2">
        <v>12</v>
      </c>
      <c r="D947" s="2">
        <v>7</v>
      </c>
      <c r="E947" s="2">
        <v>0</v>
      </c>
      <c r="F947" s="19" t="str">
        <f t="shared" si="57"/>
        <v>Work</v>
      </c>
      <c r="G947" s="19" t="str">
        <f t="shared" si="58"/>
        <v>Walk-Transit</v>
      </c>
      <c r="H947" s="19" t="str">
        <f t="shared" si="59"/>
        <v>Walk</v>
      </c>
    </row>
    <row r="948" spans="1:8" x14ac:dyDescent="0.2">
      <c r="A948" s="2" t="s">
        <v>97</v>
      </c>
      <c r="B948" s="2" t="s">
        <v>73</v>
      </c>
      <c r="C948" s="2">
        <v>12</v>
      </c>
      <c r="D948" s="2">
        <v>9</v>
      </c>
      <c r="E948" s="2">
        <v>0</v>
      </c>
      <c r="F948" s="19" t="str">
        <f t="shared" si="57"/>
        <v>Work</v>
      </c>
      <c r="G948" s="19" t="str">
        <f t="shared" si="58"/>
        <v>Walk-Transit</v>
      </c>
      <c r="H948" s="19" t="str">
        <f t="shared" si="59"/>
        <v>Walk-Local</v>
      </c>
    </row>
    <row r="949" spans="1:8" x14ac:dyDescent="0.2">
      <c r="A949" s="2" t="s">
        <v>97</v>
      </c>
      <c r="B949" s="2" t="s">
        <v>73</v>
      </c>
      <c r="C949" s="2">
        <v>12</v>
      </c>
      <c r="D949" s="2">
        <v>10</v>
      </c>
      <c r="E949" s="2">
        <v>0</v>
      </c>
      <c r="F949" s="19" t="str">
        <f t="shared" si="57"/>
        <v>Work</v>
      </c>
      <c r="G949" s="19" t="str">
        <f t="shared" si="58"/>
        <v>Walk-Transit</v>
      </c>
      <c r="H949" s="19" t="str">
        <f t="shared" si="59"/>
        <v>Walk-LRT</v>
      </c>
    </row>
    <row r="950" spans="1:8" x14ac:dyDescent="0.2">
      <c r="A950" s="2" t="s">
        <v>97</v>
      </c>
      <c r="B950" s="2" t="s">
        <v>73</v>
      </c>
      <c r="C950" s="2">
        <v>12</v>
      </c>
      <c r="D950" s="2">
        <v>11</v>
      </c>
      <c r="E950" s="2">
        <v>0</v>
      </c>
      <c r="F950" s="19" t="str">
        <f t="shared" si="57"/>
        <v>Work</v>
      </c>
      <c r="G950" s="19" t="str">
        <f t="shared" si="58"/>
        <v>Walk-Transit</v>
      </c>
      <c r="H950" s="19" t="str">
        <f t="shared" si="59"/>
        <v>Walk-Express</v>
      </c>
    </row>
    <row r="951" spans="1:8" x14ac:dyDescent="0.2">
      <c r="A951" s="2" t="s">
        <v>97</v>
      </c>
      <c r="B951" s="2" t="s">
        <v>73</v>
      </c>
      <c r="C951" s="2">
        <v>12</v>
      </c>
      <c r="D951" s="2">
        <v>12</v>
      </c>
      <c r="E951" s="2">
        <v>0</v>
      </c>
      <c r="F951" s="19" t="str">
        <f t="shared" si="57"/>
        <v>Work</v>
      </c>
      <c r="G951" s="19" t="str">
        <f t="shared" si="58"/>
        <v>Walk-Transit</v>
      </c>
      <c r="H951" s="19" t="str">
        <f t="shared" si="59"/>
        <v>Walk-HeavyR</v>
      </c>
    </row>
    <row r="952" spans="1:8" x14ac:dyDescent="0.2">
      <c r="A952" s="2" t="s">
        <v>97</v>
      </c>
      <c r="B952" s="2" t="s">
        <v>73</v>
      </c>
      <c r="C952" s="2">
        <v>12</v>
      </c>
      <c r="D952" s="2">
        <v>19</v>
      </c>
      <c r="E952" s="2">
        <v>0</v>
      </c>
      <c r="F952" s="19" t="str">
        <f t="shared" si="57"/>
        <v>Work</v>
      </c>
      <c r="G952" s="19" t="str">
        <f t="shared" si="58"/>
        <v>Walk-Transit</v>
      </c>
      <c r="H952" s="19" t="str">
        <f t="shared" si="59"/>
        <v>Taxi</v>
      </c>
    </row>
    <row r="953" spans="1:8" x14ac:dyDescent="0.2">
      <c r="A953" s="2" t="s">
        <v>97</v>
      </c>
      <c r="B953" s="2" t="s">
        <v>73</v>
      </c>
      <c r="C953" s="2">
        <v>12</v>
      </c>
      <c r="D953" s="2">
        <v>20</v>
      </c>
      <c r="E953" s="2">
        <v>0</v>
      </c>
      <c r="F953" s="19" t="str">
        <f t="shared" si="57"/>
        <v>Work</v>
      </c>
      <c r="G953" s="19" t="str">
        <f t="shared" si="58"/>
        <v>Walk-Transit</v>
      </c>
      <c r="H953" s="19" t="str">
        <f t="shared" si="59"/>
        <v>TNC-Single</v>
      </c>
    </row>
    <row r="954" spans="1:8" x14ac:dyDescent="0.2">
      <c r="A954" s="2" t="s">
        <v>97</v>
      </c>
      <c r="B954" s="2" t="s">
        <v>73</v>
      </c>
      <c r="C954" s="2">
        <v>13</v>
      </c>
      <c r="D954" s="2">
        <v>3</v>
      </c>
      <c r="E954" s="2">
        <v>0</v>
      </c>
      <c r="F954" s="19" t="str">
        <f t="shared" si="57"/>
        <v>Work</v>
      </c>
      <c r="G954" s="19" t="str">
        <f t="shared" si="58"/>
        <v>Walk-Transit</v>
      </c>
      <c r="H954" s="19" t="str">
        <f t="shared" si="59"/>
        <v>SR2</v>
      </c>
    </row>
    <row r="955" spans="1:8" x14ac:dyDescent="0.2">
      <c r="A955" s="2" t="s">
        <v>97</v>
      </c>
      <c r="B955" s="2" t="s">
        <v>73</v>
      </c>
      <c r="C955" s="2">
        <v>13</v>
      </c>
      <c r="D955" s="2">
        <v>5</v>
      </c>
      <c r="E955" s="2">
        <v>0</v>
      </c>
      <c r="F955" s="19" t="str">
        <f t="shared" si="57"/>
        <v>Work</v>
      </c>
      <c r="G955" s="19" t="str">
        <f t="shared" si="58"/>
        <v>Walk-Transit</v>
      </c>
      <c r="H955" s="19" t="str">
        <f t="shared" si="59"/>
        <v>SR3+</v>
      </c>
    </row>
    <row r="956" spans="1:8" x14ac:dyDescent="0.2">
      <c r="A956" s="2" t="s">
        <v>97</v>
      </c>
      <c r="B956" s="2" t="s">
        <v>73</v>
      </c>
      <c r="C956" s="2">
        <v>13</v>
      </c>
      <c r="D956" s="2">
        <v>7</v>
      </c>
      <c r="E956" s="2">
        <v>0</v>
      </c>
      <c r="F956" s="19" t="str">
        <f t="shared" si="57"/>
        <v>Work</v>
      </c>
      <c r="G956" s="19" t="str">
        <f t="shared" si="58"/>
        <v>Walk-Transit</v>
      </c>
      <c r="H956" s="19" t="str">
        <f t="shared" si="59"/>
        <v>Walk</v>
      </c>
    </row>
    <row r="957" spans="1:8" x14ac:dyDescent="0.2">
      <c r="A957" s="2" t="s">
        <v>97</v>
      </c>
      <c r="B957" s="2" t="s">
        <v>73</v>
      </c>
      <c r="C957" s="2">
        <v>13</v>
      </c>
      <c r="D957" s="2">
        <v>9</v>
      </c>
      <c r="E957" s="2">
        <v>0</v>
      </c>
      <c r="F957" s="19" t="str">
        <f t="shared" si="57"/>
        <v>Work</v>
      </c>
      <c r="G957" s="19" t="str">
        <f t="shared" si="58"/>
        <v>Walk-Transit</v>
      </c>
      <c r="H957" s="19" t="str">
        <f t="shared" si="59"/>
        <v>Walk-Local</v>
      </c>
    </row>
    <row r="958" spans="1:8" x14ac:dyDescent="0.2">
      <c r="A958" s="2" t="s">
        <v>97</v>
      </c>
      <c r="B958" s="2" t="s">
        <v>73</v>
      </c>
      <c r="C958" s="2">
        <v>13</v>
      </c>
      <c r="D958" s="2">
        <v>10</v>
      </c>
      <c r="E958" s="2">
        <v>0</v>
      </c>
      <c r="F958" s="19" t="str">
        <f t="shared" si="57"/>
        <v>Work</v>
      </c>
      <c r="G958" s="19" t="str">
        <f t="shared" si="58"/>
        <v>Walk-Transit</v>
      </c>
      <c r="H958" s="19" t="str">
        <f t="shared" si="59"/>
        <v>Walk-LRT</v>
      </c>
    </row>
    <row r="959" spans="1:8" x14ac:dyDescent="0.2">
      <c r="A959" s="2" t="s">
        <v>97</v>
      </c>
      <c r="B959" s="2" t="s">
        <v>73</v>
      </c>
      <c r="C959" s="2">
        <v>13</v>
      </c>
      <c r="D959" s="2">
        <v>11</v>
      </c>
      <c r="E959" s="2">
        <v>0</v>
      </c>
      <c r="F959" s="19" t="str">
        <f t="shared" si="57"/>
        <v>Work</v>
      </c>
      <c r="G959" s="19" t="str">
        <f t="shared" si="58"/>
        <v>Walk-Transit</v>
      </c>
      <c r="H959" s="19" t="str">
        <f t="shared" si="59"/>
        <v>Walk-Express</v>
      </c>
    </row>
    <row r="960" spans="1:8" x14ac:dyDescent="0.2">
      <c r="A960" s="2" t="s">
        <v>97</v>
      </c>
      <c r="B960" s="2" t="s">
        <v>73</v>
      </c>
      <c r="C960" s="2">
        <v>13</v>
      </c>
      <c r="D960" s="2">
        <v>12</v>
      </c>
      <c r="E960" s="2">
        <v>0</v>
      </c>
      <c r="F960" s="19" t="str">
        <f t="shared" si="57"/>
        <v>Work</v>
      </c>
      <c r="G960" s="19" t="str">
        <f t="shared" si="58"/>
        <v>Walk-Transit</v>
      </c>
      <c r="H960" s="19" t="str">
        <f t="shared" si="59"/>
        <v>Walk-HeavyR</v>
      </c>
    </row>
    <row r="961" spans="1:8" x14ac:dyDescent="0.2">
      <c r="A961" s="2" t="s">
        <v>97</v>
      </c>
      <c r="B961" s="2" t="s">
        <v>73</v>
      </c>
      <c r="C961" s="2">
        <v>13</v>
      </c>
      <c r="D961" s="2">
        <v>13</v>
      </c>
      <c r="E961" s="2">
        <v>0</v>
      </c>
      <c r="F961" s="19" t="str">
        <f t="shared" si="57"/>
        <v>Work</v>
      </c>
      <c r="G961" s="19" t="str">
        <f t="shared" si="58"/>
        <v>Walk-Transit</v>
      </c>
      <c r="H961" s="19" t="str">
        <f t="shared" si="59"/>
        <v>Walk-CommR</v>
      </c>
    </row>
    <row r="962" spans="1:8" x14ac:dyDescent="0.2">
      <c r="A962" s="2" t="s">
        <v>97</v>
      </c>
      <c r="B962" s="2" t="s">
        <v>73</v>
      </c>
      <c r="C962" s="2">
        <v>13</v>
      </c>
      <c r="D962" s="2">
        <v>19</v>
      </c>
      <c r="E962" s="2">
        <v>0</v>
      </c>
      <c r="F962" s="19" t="str">
        <f t="shared" si="57"/>
        <v>Work</v>
      </c>
      <c r="G962" s="19" t="str">
        <f t="shared" si="58"/>
        <v>Walk-Transit</v>
      </c>
      <c r="H962" s="19" t="str">
        <f t="shared" si="59"/>
        <v>Taxi</v>
      </c>
    </row>
    <row r="963" spans="1:8" x14ac:dyDescent="0.2">
      <c r="A963" s="2" t="s">
        <v>97</v>
      </c>
      <c r="B963" s="2" t="s">
        <v>73</v>
      </c>
      <c r="C963" s="2">
        <v>14</v>
      </c>
      <c r="D963" s="2">
        <v>14</v>
      </c>
      <c r="E963" s="2">
        <v>0</v>
      </c>
      <c r="F963" s="19" t="str">
        <f t="shared" ref="F963:F1026" si="60">IF(A963="joint","Joint",_xlfn.IFNA(VLOOKUP(B963,tour_purposes,2,FALSE),"None"))</f>
        <v>Work</v>
      </c>
      <c r="G963" s="19" t="str">
        <f t="shared" ref="G963:G1026" si="61">IF(AND(A963="joint",C963&lt;=6),"Auto",_xlfn.IFNA(VLOOKUP(C963,tour_modes,3,FALSE),"None"))</f>
        <v>Drive-Transit</v>
      </c>
      <c r="H963" s="19" t="str">
        <f t="shared" ref="H963:H1026" si="62">_xlfn.IFNA(VLOOKUP(D963,trip_modes,2,FALSE),"None")</f>
        <v>Drive-Local</v>
      </c>
    </row>
    <row r="964" spans="1:8" x14ac:dyDescent="0.2">
      <c r="A964" s="2" t="s">
        <v>97</v>
      </c>
      <c r="B964" s="2" t="s">
        <v>73</v>
      </c>
      <c r="C964" s="2">
        <v>14</v>
      </c>
      <c r="D964" s="2">
        <v>19</v>
      </c>
      <c r="E964" s="2">
        <v>0</v>
      </c>
      <c r="F964" s="19" t="str">
        <f t="shared" si="60"/>
        <v>Work</v>
      </c>
      <c r="G964" s="19" t="str">
        <f t="shared" si="61"/>
        <v>Drive-Transit</v>
      </c>
      <c r="H964" s="19" t="str">
        <f t="shared" si="62"/>
        <v>Taxi</v>
      </c>
    </row>
    <row r="965" spans="1:8" x14ac:dyDescent="0.2">
      <c r="A965" s="2" t="s">
        <v>97</v>
      </c>
      <c r="B965" s="2" t="s">
        <v>73</v>
      </c>
      <c r="C965" s="2">
        <v>14</v>
      </c>
      <c r="D965" s="2">
        <v>20</v>
      </c>
      <c r="E965" s="2">
        <v>0</v>
      </c>
      <c r="F965" s="19" t="str">
        <f t="shared" si="60"/>
        <v>Work</v>
      </c>
      <c r="G965" s="19" t="str">
        <f t="shared" si="61"/>
        <v>Drive-Transit</v>
      </c>
      <c r="H965" s="19" t="str">
        <f t="shared" si="62"/>
        <v>TNC-Single</v>
      </c>
    </row>
    <row r="966" spans="1:8" x14ac:dyDescent="0.2">
      <c r="A966" s="2" t="s">
        <v>97</v>
      </c>
      <c r="B966" s="2" t="s">
        <v>73</v>
      </c>
      <c r="C966" s="2">
        <v>15</v>
      </c>
      <c r="D966" s="2">
        <v>-15</v>
      </c>
      <c r="E966" s="2">
        <v>0</v>
      </c>
      <c r="F966" s="19" t="str">
        <f t="shared" si="60"/>
        <v>Work</v>
      </c>
      <c r="G966" s="19" t="str">
        <f t="shared" si="61"/>
        <v>Drive-Transit</v>
      </c>
      <c r="H966" s="19" t="str">
        <f t="shared" si="62"/>
        <v>Drive-Ferry</v>
      </c>
    </row>
    <row r="967" spans="1:8" x14ac:dyDescent="0.2">
      <c r="A967" s="2" t="s">
        <v>97</v>
      </c>
      <c r="B967" s="2" t="s">
        <v>73</v>
      </c>
      <c r="C967" s="2">
        <v>15</v>
      </c>
      <c r="D967" s="2">
        <v>14</v>
      </c>
      <c r="E967" s="2">
        <v>0</v>
      </c>
      <c r="F967" s="19" t="str">
        <f t="shared" si="60"/>
        <v>Work</v>
      </c>
      <c r="G967" s="19" t="str">
        <f t="shared" si="61"/>
        <v>Drive-Transit</v>
      </c>
      <c r="H967" s="19" t="str">
        <f t="shared" si="62"/>
        <v>Drive-Local</v>
      </c>
    </row>
    <row r="968" spans="1:8" x14ac:dyDescent="0.2">
      <c r="A968" s="2" t="s">
        <v>97</v>
      </c>
      <c r="B968" s="2" t="s">
        <v>73</v>
      </c>
      <c r="C968" s="2">
        <v>15</v>
      </c>
      <c r="D968" s="2">
        <v>15</v>
      </c>
      <c r="E968" s="2">
        <v>0</v>
      </c>
      <c r="F968" s="19" t="str">
        <f t="shared" si="60"/>
        <v>Work</v>
      </c>
      <c r="G968" s="19" t="str">
        <f t="shared" si="61"/>
        <v>Drive-Transit</v>
      </c>
      <c r="H968" s="19" t="str">
        <f t="shared" si="62"/>
        <v>Drive-LRT</v>
      </c>
    </row>
    <row r="969" spans="1:8" x14ac:dyDescent="0.2">
      <c r="A969" s="2" t="s">
        <v>97</v>
      </c>
      <c r="B969" s="2" t="s">
        <v>73</v>
      </c>
      <c r="C969" s="2">
        <v>16</v>
      </c>
      <c r="D969" s="2">
        <v>-15</v>
      </c>
      <c r="E969" s="2">
        <v>0</v>
      </c>
      <c r="F969" s="19" t="str">
        <f t="shared" si="60"/>
        <v>Work</v>
      </c>
      <c r="G969" s="19" t="str">
        <f t="shared" si="61"/>
        <v>Drive-Transit</v>
      </c>
      <c r="H969" s="19" t="str">
        <f t="shared" si="62"/>
        <v>Drive-Ferry</v>
      </c>
    </row>
    <row r="970" spans="1:8" x14ac:dyDescent="0.2">
      <c r="A970" s="2" t="s">
        <v>97</v>
      </c>
      <c r="B970" s="2" t="s">
        <v>73</v>
      </c>
      <c r="C970" s="2">
        <v>16</v>
      </c>
      <c r="D970" s="2">
        <v>14</v>
      </c>
      <c r="E970" s="2">
        <v>0</v>
      </c>
      <c r="F970" s="19" t="str">
        <f t="shared" si="60"/>
        <v>Work</v>
      </c>
      <c r="G970" s="19" t="str">
        <f t="shared" si="61"/>
        <v>Drive-Transit</v>
      </c>
      <c r="H970" s="19" t="str">
        <f t="shared" si="62"/>
        <v>Drive-Local</v>
      </c>
    </row>
    <row r="971" spans="1:8" x14ac:dyDescent="0.2">
      <c r="A971" s="2" t="s">
        <v>97</v>
      </c>
      <c r="B971" s="2" t="s">
        <v>73</v>
      </c>
      <c r="C971" s="2">
        <v>16</v>
      </c>
      <c r="D971" s="2">
        <v>16</v>
      </c>
      <c r="E971" s="2">
        <v>0</v>
      </c>
      <c r="F971" s="19" t="str">
        <f t="shared" si="60"/>
        <v>Work</v>
      </c>
      <c r="G971" s="19" t="str">
        <f t="shared" si="61"/>
        <v>Drive-Transit</v>
      </c>
      <c r="H971" s="19" t="str">
        <f t="shared" si="62"/>
        <v>Drive-Express</v>
      </c>
    </row>
    <row r="972" spans="1:8" x14ac:dyDescent="0.2">
      <c r="A972" s="2" t="s">
        <v>97</v>
      </c>
      <c r="B972" s="2" t="s">
        <v>73</v>
      </c>
      <c r="C972" s="2">
        <v>17</v>
      </c>
      <c r="D972" s="2">
        <v>17</v>
      </c>
      <c r="E972" s="2">
        <v>0</v>
      </c>
      <c r="F972" s="19" t="str">
        <f t="shared" si="60"/>
        <v>Work</v>
      </c>
      <c r="G972" s="19" t="str">
        <f t="shared" si="61"/>
        <v>Drive-Transit</v>
      </c>
      <c r="H972" s="19" t="str">
        <f t="shared" si="62"/>
        <v>Drive-HeavyR</v>
      </c>
    </row>
    <row r="973" spans="1:8" x14ac:dyDescent="0.2">
      <c r="A973" s="2" t="s">
        <v>97</v>
      </c>
      <c r="B973" s="2" t="s">
        <v>73</v>
      </c>
      <c r="C973" s="2">
        <v>18</v>
      </c>
      <c r="D973" s="2">
        <v>17</v>
      </c>
      <c r="E973" s="2">
        <v>0</v>
      </c>
      <c r="F973" s="19" t="str">
        <f t="shared" si="60"/>
        <v>Work</v>
      </c>
      <c r="G973" s="19" t="str">
        <f t="shared" si="61"/>
        <v>Drive-Transit</v>
      </c>
      <c r="H973" s="19" t="str">
        <f t="shared" si="62"/>
        <v>Drive-HeavyR</v>
      </c>
    </row>
    <row r="974" spans="1:8" x14ac:dyDescent="0.2">
      <c r="A974" s="2" t="s">
        <v>97</v>
      </c>
      <c r="B974" s="2" t="s">
        <v>73</v>
      </c>
      <c r="C974" s="2">
        <v>18</v>
      </c>
      <c r="D974" s="2">
        <v>18</v>
      </c>
      <c r="E974" s="2">
        <v>0</v>
      </c>
      <c r="F974" s="19" t="str">
        <f t="shared" si="60"/>
        <v>Work</v>
      </c>
      <c r="G974" s="19" t="str">
        <f t="shared" si="61"/>
        <v>Drive-Transit</v>
      </c>
      <c r="H974" s="19" t="str">
        <f t="shared" si="62"/>
        <v>Drive-CommR</v>
      </c>
    </row>
    <row r="975" spans="1:8" x14ac:dyDescent="0.2">
      <c r="A975" s="2" t="s">
        <v>97</v>
      </c>
      <c r="B975" s="2" t="s">
        <v>73</v>
      </c>
      <c r="C975" s="2">
        <v>19</v>
      </c>
      <c r="D975" s="2">
        <v>3</v>
      </c>
      <c r="E975" s="2">
        <v>0</v>
      </c>
      <c r="F975" s="19" t="str">
        <f t="shared" si="60"/>
        <v>Work</v>
      </c>
      <c r="G975" s="19" t="str">
        <f t="shared" si="61"/>
        <v>Taxi</v>
      </c>
      <c r="H975" s="19" t="str">
        <f t="shared" si="62"/>
        <v>SR2</v>
      </c>
    </row>
    <row r="976" spans="1:8" x14ac:dyDescent="0.2">
      <c r="A976" s="2" t="s">
        <v>97</v>
      </c>
      <c r="B976" s="2" t="s">
        <v>73</v>
      </c>
      <c r="C976" s="2">
        <v>19</v>
      </c>
      <c r="D976" s="2">
        <v>7</v>
      </c>
      <c r="E976" s="2">
        <v>0</v>
      </c>
      <c r="F976" s="19" t="str">
        <f t="shared" si="60"/>
        <v>Work</v>
      </c>
      <c r="G976" s="19" t="str">
        <f t="shared" si="61"/>
        <v>Taxi</v>
      </c>
      <c r="H976" s="19" t="str">
        <f t="shared" si="62"/>
        <v>Walk</v>
      </c>
    </row>
    <row r="977" spans="1:8" x14ac:dyDescent="0.2">
      <c r="A977" s="2" t="s">
        <v>97</v>
      </c>
      <c r="B977" s="2" t="s">
        <v>73</v>
      </c>
      <c r="C977" s="2">
        <v>19</v>
      </c>
      <c r="D977" s="2">
        <v>19</v>
      </c>
      <c r="E977" s="2">
        <v>0</v>
      </c>
      <c r="F977" s="19" t="str">
        <f t="shared" si="60"/>
        <v>Work</v>
      </c>
      <c r="G977" s="19" t="str">
        <f t="shared" si="61"/>
        <v>Taxi</v>
      </c>
      <c r="H977" s="19" t="str">
        <f t="shared" si="62"/>
        <v>Taxi</v>
      </c>
    </row>
    <row r="978" spans="1:8" x14ac:dyDescent="0.2">
      <c r="A978" s="2" t="s">
        <v>97</v>
      </c>
      <c r="B978" s="2" t="s">
        <v>73</v>
      </c>
      <c r="C978" s="2">
        <v>19</v>
      </c>
      <c r="D978" s="2">
        <v>20</v>
      </c>
      <c r="E978" s="2">
        <v>0</v>
      </c>
      <c r="F978" s="19" t="str">
        <f t="shared" si="60"/>
        <v>Work</v>
      </c>
      <c r="G978" s="19" t="str">
        <f t="shared" si="61"/>
        <v>Taxi</v>
      </c>
      <c r="H978" s="19" t="str">
        <f t="shared" si="62"/>
        <v>TNC-Single</v>
      </c>
    </row>
    <row r="979" spans="1:8" x14ac:dyDescent="0.2">
      <c r="A979" s="2" t="s">
        <v>97</v>
      </c>
      <c r="B979" s="2" t="s">
        <v>74</v>
      </c>
      <c r="C979" s="2">
        <v>1</v>
      </c>
      <c r="D979" s="2">
        <v>1</v>
      </c>
      <c r="E979" s="2">
        <v>0</v>
      </c>
      <c r="F979" s="19" t="str">
        <f t="shared" si="60"/>
        <v>Work</v>
      </c>
      <c r="G979" s="19" t="str">
        <f t="shared" si="61"/>
        <v>Drive Alone</v>
      </c>
      <c r="H979" s="19" t="str">
        <f t="shared" si="62"/>
        <v>Drive Alone</v>
      </c>
    </row>
    <row r="980" spans="1:8" x14ac:dyDescent="0.2">
      <c r="A980" s="2" t="s">
        <v>97</v>
      </c>
      <c r="B980" s="2" t="s">
        <v>74</v>
      </c>
      <c r="C980" s="2">
        <v>1</v>
      </c>
      <c r="D980" s="2">
        <v>7</v>
      </c>
      <c r="E980" s="2">
        <v>0</v>
      </c>
      <c r="F980" s="19" t="str">
        <f t="shared" si="60"/>
        <v>Work</v>
      </c>
      <c r="G980" s="19" t="str">
        <f t="shared" si="61"/>
        <v>Drive Alone</v>
      </c>
      <c r="H980" s="19" t="str">
        <f t="shared" si="62"/>
        <v>Walk</v>
      </c>
    </row>
    <row r="981" spans="1:8" x14ac:dyDescent="0.2">
      <c r="A981" s="2" t="s">
        <v>97</v>
      </c>
      <c r="B981" s="2" t="s">
        <v>74</v>
      </c>
      <c r="C981" s="2">
        <v>1</v>
      </c>
      <c r="D981" s="2">
        <v>19</v>
      </c>
      <c r="E981" s="2">
        <v>0</v>
      </c>
      <c r="F981" s="19" t="str">
        <f t="shared" si="60"/>
        <v>Work</v>
      </c>
      <c r="G981" s="19" t="str">
        <f t="shared" si="61"/>
        <v>Drive Alone</v>
      </c>
      <c r="H981" s="19" t="str">
        <f t="shared" si="62"/>
        <v>Taxi</v>
      </c>
    </row>
    <row r="982" spans="1:8" x14ac:dyDescent="0.2">
      <c r="A982" s="2" t="s">
        <v>97</v>
      </c>
      <c r="B982" s="2" t="s">
        <v>74</v>
      </c>
      <c r="C982" s="2">
        <v>1</v>
      </c>
      <c r="D982" s="2">
        <v>20</v>
      </c>
      <c r="E982" s="2">
        <v>0</v>
      </c>
      <c r="F982" s="19" t="str">
        <f t="shared" si="60"/>
        <v>Work</v>
      </c>
      <c r="G982" s="19" t="str">
        <f t="shared" si="61"/>
        <v>Drive Alone</v>
      </c>
      <c r="H982" s="19" t="str">
        <f t="shared" si="62"/>
        <v>TNC-Single</v>
      </c>
    </row>
    <row r="983" spans="1:8" x14ac:dyDescent="0.2">
      <c r="A983" s="2" t="s">
        <v>97</v>
      </c>
      <c r="B983" s="2" t="s">
        <v>74</v>
      </c>
      <c r="C983" s="2">
        <v>3</v>
      </c>
      <c r="D983" s="2">
        <v>1</v>
      </c>
      <c r="E983" s="2">
        <v>0</v>
      </c>
      <c r="F983" s="19" t="str">
        <f t="shared" si="60"/>
        <v>Work</v>
      </c>
      <c r="G983" s="19" t="str">
        <f t="shared" si="61"/>
        <v>SR2</v>
      </c>
      <c r="H983" s="19" t="str">
        <f t="shared" si="62"/>
        <v>Drive Alone</v>
      </c>
    </row>
    <row r="984" spans="1:8" x14ac:dyDescent="0.2">
      <c r="A984" s="2" t="s">
        <v>97</v>
      </c>
      <c r="B984" s="2" t="s">
        <v>74</v>
      </c>
      <c r="C984" s="2">
        <v>3</v>
      </c>
      <c r="D984" s="2">
        <v>3</v>
      </c>
      <c r="E984" s="2">
        <v>0</v>
      </c>
      <c r="F984" s="19" t="str">
        <f t="shared" si="60"/>
        <v>Work</v>
      </c>
      <c r="G984" s="19" t="str">
        <f t="shared" si="61"/>
        <v>SR2</v>
      </c>
      <c r="H984" s="19" t="str">
        <f t="shared" si="62"/>
        <v>SR2</v>
      </c>
    </row>
    <row r="985" spans="1:8" x14ac:dyDescent="0.2">
      <c r="A985" s="2" t="s">
        <v>97</v>
      </c>
      <c r="B985" s="2" t="s">
        <v>74</v>
      </c>
      <c r="C985" s="2">
        <v>3</v>
      </c>
      <c r="D985" s="2">
        <v>7</v>
      </c>
      <c r="E985" s="2">
        <v>0</v>
      </c>
      <c r="F985" s="19" t="str">
        <f t="shared" si="60"/>
        <v>Work</v>
      </c>
      <c r="G985" s="19" t="str">
        <f t="shared" si="61"/>
        <v>SR2</v>
      </c>
      <c r="H985" s="19" t="str">
        <f t="shared" si="62"/>
        <v>Walk</v>
      </c>
    </row>
    <row r="986" spans="1:8" x14ac:dyDescent="0.2">
      <c r="A986" s="2" t="s">
        <v>97</v>
      </c>
      <c r="B986" s="2" t="s">
        <v>74</v>
      </c>
      <c r="C986" s="2">
        <v>3</v>
      </c>
      <c r="D986" s="2">
        <v>19</v>
      </c>
      <c r="E986" s="2">
        <v>0</v>
      </c>
      <c r="F986" s="19" t="str">
        <f t="shared" si="60"/>
        <v>Work</v>
      </c>
      <c r="G986" s="19" t="str">
        <f t="shared" si="61"/>
        <v>SR2</v>
      </c>
      <c r="H986" s="19" t="str">
        <f t="shared" si="62"/>
        <v>Taxi</v>
      </c>
    </row>
    <row r="987" spans="1:8" x14ac:dyDescent="0.2">
      <c r="A987" s="2" t="s">
        <v>97</v>
      </c>
      <c r="B987" s="2" t="s">
        <v>74</v>
      </c>
      <c r="C987" s="2">
        <v>5</v>
      </c>
      <c r="D987" s="2">
        <v>1</v>
      </c>
      <c r="E987" s="2">
        <v>0</v>
      </c>
      <c r="F987" s="19" t="str">
        <f t="shared" si="60"/>
        <v>Work</v>
      </c>
      <c r="G987" s="19" t="str">
        <f t="shared" si="61"/>
        <v>SR3+</v>
      </c>
      <c r="H987" s="19" t="str">
        <f t="shared" si="62"/>
        <v>Drive Alone</v>
      </c>
    </row>
    <row r="988" spans="1:8" x14ac:dyDescent="0.2">
      <c r="A988" s="2" t="s">
        <v>97</v>
      </c>
      <c r="B988" s="2" t="s">
        <v>74</v>
      </c>
      <c r="C988" s="2">
        <v>5</v>
      </c>
      <c r="D988" s="2">
        <v>3</v>
      </c>
      <c r="E988" s="2">
        <v>0</v>
      </c>
      <c r="F988" s="19" t="str">
        <f t="shared" si="60"/>
        <v>Work</v>
      </c>
      <c r="G988" s="19" t="str">
        <f t="shared" si="61"/>
        <v>SR3+</v>
      </c>
      <c r="H988" s="19" t="str">
        <f t="shared" si="62"/>
        <v>SR2</v>
      </c>
    </row>
    <row r="989" spans="1:8" x14ac:dyDescent="0.2">
      <c r="A989" s="2" t="s">
        <v>97</v>
      </c>
      <c r="B989" s="2" t="s">
        <v>74</v>
      </c>
      <c r="C989" s="2">
        <v>5</v>
      </c>
      <c r="D989" s="2">
        <v>5</v>
      </c>
      <c r="E989" s="2">
        <v>0</v>
      </c>
      <c r="F989" s="19" t="str">
        <f t="shared" si="60"/>
        <v>Work</v>
      </c>
      <c r="G989" s="19" t="str">
        <f t="shared" si="61"/>
        <v>SR3+</v>
      </c>
      <c r="H989" s="19" t="str">
        <f t="shared" si="62"/>
        <v>SR3+</v>
      </c>
    </row>
    <row r="990" spans="1:8" x14ac:dyDescent="0.2">
      <c r="A990" s="2" t="s">
        <v>97</v>
      </c>
      <c r="B990" s="2" t="s">
        <v>74</v>
      </c>
      <c r="C990" s="2">
        <v>5</v>
      </c>
      <c r="D990" s="2">
        <v>7</v>
      </c>
      <c r="E990" s="2">
        <v>0</v>
      </c>
      <c r="F990" s="19" t="str">
        <f t="shared" si="60"/>
        <v>Work</v>
      </c>
      <c r="G990" s="19" t="str">
        <f t="shared" si="61"/>
        <v>SR3+</v>
      </c>
      <c r="H990" s="19" t="str">
        <f t="shared" si="62"/>
        <v>Walk</v>
      </c>
    </row>
    <row r="991" spans="1:8" x14ac:dyDescent="0.2">
      <c r="A991" s="2" t="s">
        <v>97</v>
      </c>
      <c r="B991" s="2" t="s">
        <v>74</v>
      </c>
      <c r="C991" s="2">
        <v>7</v>
      </c>
      <c r="D991" s="2">
        <v>7</v>
      </c>
      <c r="E991" s="2">
        <v>0</v>
      </c>
      <c r="F991" s="19" t="str">
        <f t="shared" si="60"/>
        <v>Work</v>
      </c>
      <c r="G991" s="19" t="str">
        <f t="shared" si="61"/>
        <v>Walk</v>
      </c>
      <c r="H991" s="19" t="str">
        <f t="shared" si="62"/>
        <v>Walk</v>
      </c>
    </row>
    <row r="992" spans="1:8" x14ac:dyDescent="0.2">
      <c r="A992" s="2" t="s">
        <v>97</v>
      </c>
      <c r="B992" s="2" t="s">
        <v>74</v>
      </c>
      <c r="C992" s="2">
        <v>7</v>
      </c>
      <c r="D992" s="2">
        <v>19</v>
      </c>
      <c r="E992" s="2">
        <v>0</v>
      </c>
      <c r="F992" s="19" t="str">
        <f t="shared" si="60"/>
        <v>Work</v>
      </c>
      <c r="G992" s="19" t="str">
        <f t="shared" si="61"/>
        <v>Walk</v>
      </c>
      <c r="H992" s="19" t="str">
        <f t="shared" si="62"/>
        <v>Taxi</v>
      </c>
    </row>
    <row r="993" spans="1:8" x14ac:dyDescent="0.2">
      <c r="A993" s="2" t="s">
        <v>97</v>
      </c>
      <c r="B993" s="2" t="s">
        <v>74</v>
      </c>
      <c r="C993" s="2">
        <v>8</v>
      </c>
      <c r="D993" s="2">
        <v>7</v>
      </c>
      <c r="E993" s="2">
        <v>0</v>
      </c>
      <c r="F993" s="19" t="str">
        <f t="shared" si="60"/>
        <v>Work</v>
      </c>
      <c r="G993" s="19" t="str">
        <f t="shared" si="61"/>
        <v>Bike</v>
      </c>
      <c r="H993" s="19" t="str">
        <f t="shared" si="62"/>
        <v>Walk</v>
      </c>
    </row>
    <row r="994" spans="1:8" x14ac:dyDescent="0.2">
      <c r="A994" s="2" t="s">
        <v>97</v>
      </c>
      <c r="B994" s="2" t="s">
        <v>74</v>
      </c>
      <c r="C994" s="2">
        <v>8</v>
      </c>
      <c r="D994" s="2">
        <v>8</v>
      </c>
      <c r="E994" s="2">
        <v>0</v>
      </c>
      <c r="F994" s="19" t="str">
        <f t="shared" si="60"/>
        <v>Work</v>
      </c>
      <c r="G994" s="19" t="str">
        <f t="shared" si="61"/>
        <v>Bike</v>
      </c>
      <c r="H994" s="19" t="str">
        <f t="shared" si="62"/>
        <v>Bike</v>
      </c>
    </row>
    <row r="995" spans="1:8" x14ac:dyDescent="0.2">
      <c r="A995" s="2" t="s">
        <v>97</v>
      </c>
      <c r="B995" s="2" t="s">
        <v>74</v>
      </c>
      <c r="C995" s="2">
        <v>8</v>
      </c>
      <c r="D995" s="2">
        <v>19</v>
      </c>
      <c r="E995" s="2">
        <v>0</v>
      </c>
      <c r="F995" s="19" t="str">
        <f t="shared" si="60"/>
        <v>Work</v>
      </c>
      <c r="G995" s="19" t="str">
        <f t="shared" si="61"/>
        <v>Bike</v>
      </c>
      <c r="H995" s="19" t="str">
        <f t="shared" si="62"/>
        <v>Taxi</v>
      </c>
    </row>
    <row r="996" spans="1:8" x14ac:dyDescent="0.2">
      <c r="A996" s="2" t="s">
        <v>97</v>
      </c>
      <c r="B996" s="2" t="s">
        <v>74</v>
      </c>
      <c r="C996" s="2">
        <v>9</v>
      </c>
      <c r="D996" s="2">
        <v>3</v>
      </c>
      <c r="E996" s="2">
        <v>0</v>
      </c>
      <c r="F996" s="19" t="str">
        <f t="shared" si="60"/>
        <v>Work</v>
      </c>
      <c r="G996" s="19" t="str">
        <f t="shared" si="61"/>
        <v>Walk-Transit</v>
      </c>
      <c r="H996" s="19" t="str">
        <f t="shared" si="62"/>
        <v>SR2</v>
      </c>
    </row>
    <row r="997" spans="1:8" x14ac:dyDescent="0.2">
      <c r="A997" s="2" t="s">
        <v>97</v>
      </c>
      <c r="B997" s="2" t="s">
        <v>74</v>
      </c>
      <c r="C997" s="2">
        <v>9</v>
      </c>
      <c r="D997" s="2">
        <v>5</v>
      </c>
      <c r="E997" s="2">
        <v>0</v>
      </c>
      <c r="F997" s="19" t="str">
        <f t="shared" si="60"/>
        <v>Work</v>
      </c>
      <c r="G997" s="19" t="str">
        <f t="shared" si="61"/>
        <v>Walk-Transit</v>
      </c>
      <c r="H997" s="19" t="str">
        <f t="shared" si="62"/>
        <v>SR3+</v>
      </c>
    </row>
    <row r="998" spans="1:8" x14ac:dyDescent="0.2">
      <c r="A998" s="2" t="s">
        <v>97</v>
      </c>
      <c r="B998" s="2" t="s">
        <v>74</v>
      </c>
      <c r="C998" s="2">
        <v>9</v>
      </c>
      <c r="D998" s="2">
        <v>7</v>
      </c>
      <c r="E998" s="2">
        <v>0</v>
      </c>
      <c r="F998" s="19" t="str">
        <f t="shared" si="60"/>
        <v>Work</v>
      </c>
      <c r="G998" s="19" t="str">
        <f t="shared" si="61"/>
        <v>Walk-Transit</v>
      </c>
      <c r="H998" s="19" t="str">
        <f t="shared" si="62"/>
        <v>Walk</v>
      </c>
    </row>
    <row r="999" spans="1:8" x14ac:dyDescent="0.2">
      <c r="A999" s="2" t="s">
        <v>97</v>
      </c>
      <c r="B999" s="2" t="s">
        <v>74</v>
      </c>
      <c r="C999" s="2">
        <v>9</v>
      </c>
      <c r="D999" s="2">
        <v>9</v>
      </c>
      <c r="E999" s="2">
        <v>0</v>
      </c>
      <c r="F999" s="19" t="str">
        <f t="shared" si="60"/>
        <v>Work</v>
      </c>
      <c r="G999" s="19" t="str">
        <f t="shared" si="61"/>
        <v>Walk-Transit</v>
      </c>
      <c r="H999" s="19" t="str">
        <f t="shared" si="62"/>
        <v>Walk-Local</v>
      </c>
    </row>
    <row r="1000" spans="1:8" x14ac:dyDescent="0.2">
      <c r="A1000" s="2" t="s">
        <v>97</v>
      </c>
      <c r="B1000" s="2" t="s">
        <v>74</v>
      </c>
      <c r="C1000" s="2">
        <v>9</v>
      </c>
      <c r="D1000" s="2">
        <v>19</v>
      </c>
      <c r="E1000" s="2">
        <v>0</v>
      </c>
      <c r="F1000" s="19" t="str">
        <f t="shared" si="60"/>
        <v>Work</v>
      </c>
      <c r="G1000" s="19" t="str">
        <f t="shared" si="61"/>
        <v>Walk-Transit</v>
      </c>
      <c r="H1000" s="19" t="str">
        <f t="shared" si="62"/>
        <v>Taxi</v>
      </c>
    </row>
    <row r="1001" spans="1:8" x14ac:dyDescent="0.2">
      <c r="A1001" s="2" t="s">
        <v>97</v>
      </c>
      <c r="B1001" s="2" t="s">
        <v>74</v>
      </c>
      <c r="C1001" s="2">
        <v>9</v>
      </c>
      <c r="D1001" s="2">
        <v>20</v>
      </c>
      <c r="E1001" s="2">
        <v>0</v>
      </c>
      <c r="F1001" s="19" t="str">
        <f t="shared" si="60"/>
        <v>Work</v>
      </c>
      <c r="G1001" s="19" t="str">
        <f t="shared" si="61"/>
        <v>Walk-Transit</v>
      </c>
      <c r="H1001" s="19" t="str">
        <f t="shared" si="62"/>
        <v>TNC-Single</v>
      </c>
    </row>
    <row r="1002" spans="1:8" x14ac:dyDescent="0.2">
      <c r="A1002" s="2" t="s">
        <v>97</v>
      </c>
      <c r="B1002" s="2" t="s">
        <v>74</v>
      </c>
      <c r="C1002" s="2">
        <v>10</v>
      </c>
      <c r="D1002" s="2">
        <v>-10</v>
      </c>
      <c r="E1002" s="2">
        <v>0</v>
      </c>
      <c r="F1002" s="19" t="str">
        <f t="shared" si="60"/>
        <v>Work</v>
      </c>
      <c r="G1002" s="19" t="str">
        <f t="shared" si="61"/>
        <v>Walk-Transit</v>
      </c>
      <c r="H1002" s="19" t="str">
        <f t="shared" si="62"/>
        <v>Walk-Ferry</v>
      </c>
    </row>
    <row r="1003" spans="1:8" x14ac:dyDescent="0.2">
      <c r="A1003" s="2" t="s">
        <v>97</v>
      </c>
      <c r="B1003" s="2" t="s">
        <v>74</v>
      </c>
      <c r="C1003" s="2">
        <v>10</v>
      </c>
      <c r="D1003" s="2">
        <v>3</v>
      </c>
      <c r="E1003" s="2">
        <v>0</v>
      </c>
      <c r="F1003" s="19" t="str">
        <f t="shared" si="60"/>
        <v>Work</v>
      </c>
      <c r="G1003" s="19" t="str">
        <f t="shared" si="61"/>
        <v>Walk-Transit</v>
      </c>
      <c r="H1003" s="19" t="str">
        <f t="shared" si="62"/>
        <v>SR2</v>
      </c>
    </row>
    <row r="1004" spans="1:8" x14ac:dyDescent="0.2">
      <c r="A1004" s="2" t="s">
        <v>97</v>
      </c>
      <c r="B1004" s="2" t="s">
        <v>74</v>
      </c>
      <c r="C1004" s="2">
        <v>10</v>
      </c>
      <c r="D1004" s="2">
        <v>5</v>
      </c>
      <c r="E1004" s="2">
        <v>0</v>
      </c>
      <c r="F1004" s="19" t="str">
        <f t="shared" si="60"/>
        <v>Work</v>
      </c>
      <c r="G1004" s="19" t="str">
        <f t="shared" si="61"/>
        <v>Walk-Transit</v>
      </c>
      <c r="H1004" s="19" t="str">
        <f t="shared" si="62"/>
        <v>SR3+</v>
      </c>
    </row>
    <row r="1005" spans="1:8" x14ac:dyDescent="0.2">
      <c r="A1005" s="2" t="s">
        <v>97</v>
      </c>
      <c r="B1005" s="2" t="s">
        <v>74</v>
      </c>
      <c r="C1005" s="2">
        <v>10</v>
      </c>
      <c r="D1005" s="2">
        <v>7</v>
      </c>
      <c r="E1005" s="2">
        <v>0</v>
      </c>
      <c r="F1005" s="19" t="str">
        <f t="shared" si="60"/>
        <v>Work</v>
      </c>
      <c r="G1005" s="19" t="str">
        <f t="shared" si="61"/>
        <v>Walk-Transit</v>
      </c>
      <c r="H1005" s="19" t="str">
        <f t="shared" si="62"/>
        <v>Walk</v>
      </c>
    </row>
    <row r="1006" spans="1:8" x14ac:dyDescent="0.2">
      <c r="A1006" s="2" t="s">
        <v>97</v>
      </c>
      <c r="B1006" s="2" t="s">
        <v>74</v>
      </c>
      <c r="C1006" s="2">
        <v>10</v>
      </c>
      <c r="D1006" s="2">
        <v>9</v>
      </c>
      <c r="E1006" s="2">
        <v>0</v>
      </c>
      <c r="F1006" s="19" t="str">
        <f t="shared" si="60"/>
        <v>Work</v>
      </c>
      <c r="G1006" s="19" t="str">
        <f t="shared" si="61"/>
        <v>Walk-Transit</v>
      </c>
      <c r="H1006" s="19" t="str">
        <f t="shared" si="62"/>
        <v>Walk-Local</v>
      </c>
    </row>
    <row r="1007" spans="1:8" x14ac:dyDescent="0.2">
      <c r="A1007" s="2" t="s">
        <v>97</v>
      </c>
      <c r="B1007" s="2" t="s">
        <v>74</v>
      </c>
      <c r="C1007" s="2">
        <v>10</v>
      </c>
      <c r="D1007" s="2">
        <v>10</v>
      </c>
      <c r="E1007" s="2">
        <v>0</v>
      </c>
      <c r="F1007" s="19" t="str">
        <f t="shared" si="60"/>
        <v>Work</v>
      </c>
      <c r="G1007" s="19" t="str">
        <f t="shared" si="61"/>
        <v>Walk-Transit</v>
      </c>
      <c r="H1007" s="19" t="str">
        <f t="shared" si="62"/>
        <v>Walk-LRT</v>
      </c>
    </row>
    <row r="1008" spans="1:8" x14ac:dyDescent="0.2">
      <c r="A1008" s="2" t="s">
        <v>97</v>
      </c>
      <c r="B1008" s="2" t="s">
        <v>74</v>
      </c>
      <c r="C1008" s="2">
        <v>10</v>
      </c>
      <c r="D1008" s="2">
        <v>19</v>
      </c>
      <c r="E1008" s="2">
        <v>0</v>
      </c>
      <c r="F1008" s="19" t="str">
        <f t="shared" si="60"/>
        <v>Work</v>
      </c>
      <c r="G1008" s="19" t="str">
        <f t="shared" si="61"/>
        <v>Walk-Transit</v>
      </c>
      <c r="H1008" s="19" t="str">
        <f t="shared" si="62"/>
        <v>Taxi</v>
      </c>
    </row>
    <row r="1009" spans="1:8" x14ac:dyDescent="0.2">
      <c r="A1009" s="2" t="s">
        <v>97</v>
      </c>
      <c r="B1009" s="2" t="s">
        <v>74</v>
      </c>
      <c r="C1009" s="2">
        <v>11</v>
      </c>
      <c r="D1009" s="2">
        <v>-10</v>
      </c>
      <c r="E1009" s="2">
        <v>0</v>
      </c>
      <c r="F1009" s="19" t="str">
        <f t="shared" si="60"/>
        <v>Work</v>
      </c>
      <c r="G1009" s="19" t="str">
        <f t="shared" si="61"/>
        <v>Walk-Transit</v>
      </c>
      <c r="H1009" s="19" t="str">
        <f t="shared" si="62"/>
        <v>Walk-Ferry</v>
      </c>
    </row>
    <row r="1010" spans="1:8" x14ac:dyDescent="0.2">
      <c r="A1010" s="2" t="s">
        <v>97</v>
      </c>
      <c r="B1010" s="2" t="s">
        <v>74</v>
      </c>
      <c r="C1010" s="2">
        <v>11</v>
      </c>
      <c r="D1010" s="2">
        <v>3</v>
      </c>
      <c r="E1010" s="2">
        <v>0</v>
      </c>
      <c r="F1010" s="19" t="str">
        <f t="shared" si="60"/>
        <v>Work</v>
      </c>
      <c r="G1010" s="19" t="str">
        <f t="shared" si="61"/>
        <v>Walk-Transit</v>
      </c>
      <c r="H1010" s="19" t="str">
        <f t="shared" si="62"/>
        <v>SR2</v>
      </c>
    </row>
    <row r="1011" spans="1:8" x14ac:dyDescent="0.2">
      <c r="A1011" s="2" t="s">
        <v>97</v>
      </c>
      <c r="B1011" s="2" t="s">
        <v>74</v>
      </c>
      <c r="C1011" s="2">
        <v>11</v>
      </c>
      <c r="D1011" s="2">
        <v>5</v>
      </c>
      <c r="E1011" s="2">
        <v>0</v>
      </c>
      <c r="F1011" s="19" t="str">
        <f t="shared" si="60"/>
        <v>Work</v>
      </c>
      <c r="G1011" s="19" t="str">
        <f t="shared" si="61"/>
        <v>Walk-Transit</v>
      </c>
      <c r="H1011" s="19" t="str">
        <f t="shared" si="62"/>
        <v>SR3+</v>
      </c>
    </row>
    <row r="1012" spans="1:8" x14ac:dyDescent="0.2">
      <c r="A1012" s="2" t="s">
        <v>97</v>
      </c>
      <c r="B1012" s="2" t="s">
        <v>74</v>
      </c>
      <c r="C1012" s="2">
        <v>11</v>
      </c>
      <c r="D1012" s="2">
        <v>7</v>
      </c>
      <c r="E1012" s="2">
        <v>0</v>
      </c>
      <c r="F1012" s="19" t="str">
        <f t="shared" si="60"/>
        <v>Work</v>
      </c>
      <c r="G1012" s="19" t="str">
        <f t="shared" si="61"/>
        <v>Walk-Transit</v>
      </c>
      <c r="H1012" s="19" t="str">
        <f t="shared" si="62"/>
        <v>Walk</v>
      </c>
    </row>
    <row r="1013" spans="1:8" x14ac:dyDescent="0.2">
      <c r="A1013" s="2" t="s">
        <v>97</v>
      </c>
      <c r="B1013" s="2" t="s">
        <v>74</v>
      </c>
      <c r="C1013" s="2">
        <v>11</v>
      </c>
      <c r="D1013" s="2">
        <v>9</v>
      </c>
      <c r="E1013" s="2">
        <v>0</v>
      </c>
      <c r="F1013" s="19" t="str">
        <f t="shared" si="60"/>
        <v>Work</v>
      </c>
      <c r="G1013" s="19" t="str">
        <f t="shared" si="61"/>
        <v>Walk-Transit</v>
      </c>
      <c r="H1013" s="19" t="str">
        <f t="shared" si="62"/>
        <v>Walk-Local</v>
      </c>
    </row>
    <row r="1014" spans="1:8" x14ac:dyDescent="0.2">
      <c r="A1014" s="2" t="s">
        <v>97</v>
      </c>
      <c r="B1014" s="2" t="s">
        <v>74</v>
      </c>
      <c r="C1014" s="2">
        <v>11</v>
      </c>
      <c r="D1014" s="2">
        <v>10</v>
      </c>
      <c r="E1014" s="2">
        <v>0</v>
      </c>
      <c r="F1014" s="19" t="str">
        <f t="shared" si="60"/>
        <v>Work</v>
      </c>
      <c r="G1014" s="19" t="str">
        <f t="shared" si="61"/>
        <v>Walk-Transit</v>
      </c>
      <c r="H1014" s="19" t="str">
        <f t="shared" si="62"/>
        <v>Walk-LRT</v>
      </c>
    </row>
    <row r="1015" spans="1:8" x14ac:dyDescent="0.2">
      <c r="A1015" s="2" t="s">
        <v>97</v>
      </c>
      <c r="B1015" s="2" t="s">
        <v>74</v>
      </c>
      <c r="C1015" s="2">
        <v>11</v>
      </c>
      <c r="D1015" s="2">
        <v>11</v>
      </c>
      <c r="E1015" s="2">
        <v>0</v>
      </c>
      <c r="F1015" s="19" t="str">
        <f t="shared" si="60"/>
        <v>Work</v>
      </c>
      <c r="G1015" s="19" t="str">
        <f t="shared" si="61"/>
        <v>Walk-Transit</v>
      </c>
      <c r="H1015" s="19" t="str">
        <f t="shared" si="62"/>
        <v>Walk-Express</v>
      </c>
    </row>
    <row r="1016" spans="1:8" x14ac:dyDescent="0.2">
      <c r="A1016" s="2" t="s">
        <v>97</v>
      </c>
      <c r="B1016" s="2" t="s">
        <v>74</v>
      </c>
      <c r="C1016" s="2">
        <v>11</v>
      </c>
      <c r="D1016" s="2">
        <v>19</v>
      </c>
      <c r="E1016" s="2">
        <v>0</v>
      </c>
      <c r="F1016" s="19" t="str">
        <f t="shared" si="60"/>
        <v>Work</v>
      </c>
      <c r="G1016" s="19" t="str">
        <f t="shared" si="61"/>
        <v>Walk-Transit</v>
      </c>
      <c r="H1016" s="19" t="str">
        <f t="shared" si="62"/>
        <v>Taxi</v>
      </c>
    </row>
    <row r="1017" spans="1:8" x14ac:dyDescent="0.2">
      <c r="A1017" s="2" t="s">
        <v>97</v>
      </c>
      <c r="B1017" s="2" t="s">
        <v>74</v>
      </c>
      <c r="C1017" s="2">
        <v>12</v>
      </c>
      <c r="D1017" s="2">
        <v>-10</v>
      </c>
      <c r="E1017" s="2">
        <v>0</v>
      </c>
      <c r="F1017" s="19" t="str">
        <f t="shared" si="60"/>
        <v>Work</v>
      </c>
      <c r="G1017" s="19" t="str">
        <f t="shared" si="61"/>
        <v>Walk-Transit</v>
      </c>
      <c r="H1017" s="19" t="str">
        <f t="shared" si="62"/>
        <v>Walk-Ferry</v>
      </c>
    </row>
    <row r="1018" spans="1:8" x14ac:dyDescent="0.2">
      <c r="A1018" s="2" t="s">
        <v>97</v>
      </c>
      <c r="B1018" s="2" t="s">
        <v>74</v>
      </c>
      <c r="C1018" s="2">
        <v>12</v>
      </c>
      <c r="D1018" s="2">
        <v>3</v>
      </c>
      <c r="E1018" s="2">
        <v>0</v>
      </c>
      <c r="F1018" s="19" t="str">
        <f t="shared" si="60"/>
        <v>Work</v>
      </c>
      <c r="G1018" s="19" t="str">
        <f t="shared" si="61"/>
        <v>Walk-Transit</v>
      </c>
      <c r="H1018" s="19" t="str">
        <f t="shared" si="62"/>
        <v>SR2</v>
      </c>
    </row>
    <row r="1019" spans="1:8" x14ac:dyDescent="0.2">
      <c r="A1019" s="2" t="s">
        <v>97</v>
      </c>
      <c r="B1019" s="2" t="s">
        <v>74</v>
      </c>
      <c r="C1019" s="2">
        <v>12</v>
      </c>
      <c r="D1019" s="2">
        <v>5</v>
      </c>
      <c r="E1019" s="2">
        <v>0</v>
      </c>
      <c r="F1019" s="19" t="str">
        <f t="shared" si="60"/>
        <v>Work</v>
      </c>
      <c r="G1019" s="19" t="str">
        <f t="shared" si="61"/>
        <v>Walk-Transit</v>
      </c>
      <c r="H1019" s="19" t="str">
        <f t="shared" si="62"/>
        <v>SR3+</v>
      </c>
    </row>
    <row r="1020" spans="1:8" x14ac:dyDescent="0.2">
      <c r="A1020" s="2" t="s">
        <v>97</v>
      </c>
      <c r="B1020" s="2" t="s">
        <v>74</v>
      </c>
      <c r="C1020" s="2">
        <v>12</v>
      </c>
      <c r="D1020" s="2">
        <v>7</v>
      </c>
      <c r="E1020" s="2">
        <v>0</v>
      </c>
      <c r="F1020" s="19" t="str">
        <f t="shared" si="60"/>
        <v>Work</v>
      </c>
      <c r="G1020" s="19" t="str">
        <f t="shared" si="61"/>
        <v>Walk-Transit</v>
      </c>
      <c r="H1020" s="19" t="str">
        <f t="shared" si="62"/>
        <v>Walk</v>
      </c>
    </row>
    <row r="1021" spans="1:8" x14ac:dyDescent="0.2">
      <c r="A1021" s="2" t="s">
        <v>97</v>
      </c>
      <c r="B1021" s="2" t="s">
        <v>74</v>
      </c>
      <c r="C1021" s="2">
        <v>12</v>
      </c>
      <c r="D1021" s="2">
        <v>9</v>
      </c>
      <c r="E1021" s="2">
        <v>0</v>
      </c>
      <c r="F1021" s="19" t="str">
        <f t="shared" si="60"/>
        <v>Work</v>
      </c>
      <c r="G1021" s="19" t="str">
        <f t="shared" si="61"/>
        <v>Walk-Transit</v>
      </c>
      <c r="H1021" s="19" t="str">
        <f t="shared" si="62"/>
        <v>Walk-Local</v>
      </c>
    </row>
    <row r="1022" spans="1:8" x14ac:dyDescent="0.2">
      <c r="A1022" s="2" t="s">
        <v>97</v>
      </c>
      <c r="B1022" s="2" t="s">
        <v>74</v>
      </c>
      <c r="C1022" s="2">
        <v>12</v>
      </c>
      <c r="D1022" s="2">
        <v>10</v>
      </c>
      <c r="E1022" s="2">
        <v>0</v>
      </c>
      <c r="F1022" s="19" t="str">
        <f t="shared" si="60"/>
        <v>Work</v>
      </c>
      <c r="G1022" s="19" t="str">
        <f t="shared" si="61"/>
        <v>Walk-Transit</v>
      </c>
      <c r="H1022" s="19" t="str">
        <f t="shared" si="62"/>
        <v>Walk-LRT</v>
      </c>
    </row>
    <row r="1023" spans="1:8" x14ac:dyDescent="0.2">
      <c r="A1023" s="2" t="s">
        <v>97</v>
      </c>
      <c r="B1023" s="2" t="s">
        <v>74</v>
      </c>
      <c r="C1023" s="2">
        <v>12</v>
      </c>
      <c r="D1023" s="2">
        <v>11</v>
      </c>
      <c r="E1023" s="2">
        <v>0</v>
      </c>
      <c r="F1023" s="19" t="str">
        <f t="shared" si="60"/>
        <v>Work</v>
      </c>
      <c r="G1023" s="19" t="str">
        <f t="shared" si="61"/>
        <v>Walk-Transit</v>
      </c>
      <c r="H1023" s="19" t="str">
        <f t="shared" si="62"/>
        <v>Walk-Express</v>
      </c>
    </row>
    <row r="1024" spans="1:8" x14ac:dyDescent="0.2">
      <c r="A1024" s="2" t="s">
        <v>97</v>
      </c>
      <c r="B1024" s="2" t="s">
        <v>74</v>
      </c>
      <c r="C1024" s="2">
        <v>12</v>
      </c>
      <c r="D1024" s="2">
        <v>12</v>
      </c>
      <c r="E1024" s="2">
        <v>0</v>
      </c>
      <c r="F1024" s="19" t="str">
        <f t="shared" si="60"/>
        <v>Work</v>
      </c>
      <c r="G1024" s="19" t="str">
        <f t="shared" si="61"/>
        <v>Walk-Transit</v>
      </c>
      <c r="H1024" s="19" t="str">
        <f t="shared" si="62"/>
        <v>Walk-HeavyR</v>
      </c>
    </row>
    <row r="1025" spans="1:8" x14ac:dyDescent="0.2">
      <c r="A1025" s="2" t="s">
        <v>97</v>
      </c>
      <c r="B1025" s="2" t="s">
        <v>74</v>
      </c>
      <c r="C1025" s="2">
        <v>12</v>
      </c>
      <c r="D1025" s="2">
        <v>19</v>
      </c>
      <c r="E1025" s="2">
        <v>0</v>
      </c>
      <c r="F1025" s="19" t="str">
        <f t="shared" si="60"/>
        <v>Work</v>
      </c>
      <c r="G1025" s="19" t="str">
        <f t="shared" si="61"/>
        <v>Walk-Transit</v>
      </c>
      <c r="H1025" s="19" t="str">
        <f t="shared" si="62"/>
        <v>Taxi</v>
      </c>
    </row>
    <row r="1026" spans="1:8" x14ac:dyDescent="0.2">
      <c r="A1026" s="2" t="s">
        <v>97</v>
      </c>
      <c r="B1026" s="2" t="s">
        <v>74</v>
      </c>
      <c r="C1026" s="2">
        <v>12</v>
      </c>
      <c r="D1026" s="2">
        <v>20</v>
      </c>
      <c r="E1026" s="2">
        <v>0</v>
      </c>
      <c r="F1026" s="19" t="str">
        <f t="shared" si="60"/>
        <v>Work</v>
      </c>
      <c r="G1026" s="19" t="str">
        <f t="shared" si="61"/>
        <v>Walk-Transit</v>
      </c>
      <c r="H1026" s="19" t="str">
        <f t="shared" si="62"/>
        <v>TNC-Single</v>
      </c>
    </row>
    <row r="1027" spans="1:8" x14ac:dyDescent="0.2">
      <c r="A1027" s="2" t="s">
        <v>97</v>
      </c>
      <c r="B1027" s="2" t="s">
        <v>74</v>
      </c>
      <c r="C1027" s="2">
        <v>13</v>
      </c>
      <c r="D1027" s="2">
        <v>3</v>
      </c>
      <c r="E1027" s="2">
        <v>0</v>
      </c>
      <c r="F1027" s="19" t="str">
        <f t="shared" ref="F1027:F1090" si="63">IF(A1027="joint","Joint",_xlfn.IFNA(VLOOKUP(B1027,tour_purposes,2,FALSE),"None"))</f>
        <v>Work</v>
      </c>
      <c r="G1027" s="19" t="str">
        <f t="shared" ref="G1027:G1090" si="64">IF(AND(A1027="joint",C1027&lt;=6),"Auto",_xlfn.IFNA(VLOOKUP(C1027,tour_modes,3,FALSE),"None"))</f>
        <v>Walk-Transit</v>
      </c>
      <c r="H1027" s="19" t="str">
        <f t="shared" ref="H1027:H1090" si="65">_xlfn.IFNA(VLOOKUP(D1027,trip_modes,2,FALSE),"None")</f>
        <v>SR2</v>
      </c>
    </row>
    <row r="1028" spans="1:8" x14ac:dyDescent="0.2">
      <c r="A1028" s="2" t="s">
        <v>97</v>
      </c>
      <c r="B1028" s="2" t="s">
        <v>74</v>
      </c>
      <c r="C1028" s="2">
        <v>13</v>
      </c>
      <c r="D1028" s="2">
        <v>5</v>
      </c>
      <c r="E1028" s="2">
        <v>0</v>
      </c>
      <c r="F1028" s="19" t="str">
        <f t="shared" si="63"/>
        <v>Work</v>
      </c>
      <c r="G1028" s="19" t="str">
        <f t="shared" si="64"/>
        <v>Walk-Transit</v>
      </c>
      <c r="H1028" s="19" t="str">
        <f t="shared" si="65"/>
        <v>SR3+</v>
      </c>
    </row>
    <row r="1029" spans="1:8" x14ac:dyDescent="0.2">
      <c r="A1029" s="2" t="s">
        <v>97</v>
      </c>
      <c r="B1029" s="2" t="s">
        <v>74</v>
      </c>
      <c r="C1029" s="2">
        <v>13</v>
      </c>
      <c r="D1029" s="2">
        <v>7</v>
      </c>
      <c r="E1029" s="2">
        <v>0</v>
      </c>
      <c r="F1029" s="19" t="str">
        <f t="shared" si="63"/>
        <v>Work</v>
      </c>
      <c r="G1029" s="19" t="str">
        <f t="shared" si="64"/>
        <v>Walk-Transit</v>
      </c>
      <c r="H1029" s="19" t="str">
        <f t="shared" si="65"/>
        <v>Walk</v>
      </c>
    </row>
    <row r="1030" spans="1:8" x14ac:dyDescent="0.2">
      <c r="A1030" s="2" t="s">
        <v>97</v>
      </c>
      <c r="B1030" s="2" t="s">
        <v>74</v>
      </c>
      <c r="C1030" s="2">
        <v>13</v>
      </c>
      <c r="D1030" s="2">
        <v>9</v>
      </c>
      <c r="E1030" s="2">
        <v>0</v>
      </c>
      <c r="F1030" s="19" t="str">
        <f t="shared" si="63"/>
        <v>Work</v>
      </c>
      <c r="G1030" s="19" t="str">
        <f t="shared" si="64"/>
        <v>Walk-Transit</v>
      </c>
      <c r="H1030" s="19" t="str">
        <f t="shared" si="65"/>
        <v>Walk-Local</v>
      </c>
    </row>
    <row r="1031" spans="1:8" x14ac:dyDescent="0.2">
      <c r="A1031" s="2" t="s">
        <v>97</v>
      </c>
      <c r="B1031" s="2" t="s">
        <v>74</v>
      </c>
      <c r="C1031" s="2">
        <v>13</v>
      </c>
      <c r="D1031" s="2">
        <v>10</v>
      </c>
      <c r="E1031" s="2">
        <v>0</v>
      </c>
      <c r="F1031" s="19" t="str">
        <f t="shared" si="63"/>
        <v>Work</v>
      </c>
      <c r="G1031" s="19" t="str">
        <f t="shared" si="64"/>
        <v>Walk-Transit</v>
      </c>
      <c r="H1031" s="19" t="str">
        <f t="shared" si="65"/>
        <v>Walk-LRT</v>
      </c>
    </row>
    <row r="1032" spans="1:8" x14ac:dyDescent="0.2">
      <c r="A1032" s="2" t="s">
        <v>97</v>
      </c>
      <c r="B1032" s="2" t="s">
        <v>74</v>
      </c>
      <c r="C1032" s="2">
        <v>13</v>
      </c>
      <c r="D1032" s="2">
        <v>11</v>
      </c>
      <c r="E1032" s="2">
        <v>0</v>
      </c>
      <c r="F1032" s="19" t="str">
        <f t="shared" si="63"/>
        <v>Work</v>
      </c>
      <c r="G1032" s="19" t="str">
        <f t="shared" si="64"/>
        <v>Walk-Transit</v>
      </c>
      <c r="H1032" s="19" t="str">
        <f t="shared" si="65"/>
        <v>Walk-Express</v>
      </c>
    </row>
    <row r="1033" spans="1:8" x14ac:dyDescent="0.2">
      <c r="A1033" s="2" t="s">
        <v>97</v>
      </c>
      <c r="B1033" s="2" t="s">
        <v>74</v>
      </c>
      <c r="C1033" s="2">
        <v>13</v>
      </c>
      <c r="D1033" s="2">
        <v>12</v>
      </c>
      <c r="E1033" s="2">
        <v>0</v>
      </c>
      <c r="F1033" s="19" t="str">
        <f t="shared" si="63"/>
        <v>Work</v>
      </c>
      <c r="G1033" s="19" t="str">
        <f t="shared" si="64"/>
        <v>Walk-Transit</v>
      </c>
      <c r="H1033" s="19" t="str">
        <f t="shared" si="65"/>
        <v>Walk-HeavyR</v>
      </c>
    </row>
    <row r="1034" spans="1:8" x14ac:dyDescent="0.2">
      <c r="A1034" s="2" t="s">
        <v>97</v>
      </c>
      <c r="B1034" s="2" t="s">
        <v>74</v>
      </c>
      <c r="C1034" s="2">
        <v>13</v>
      </c>
      <c r="D1034" s="2">
        <v>13</v>
      </c>
      <c r="E1034" s="2">
        <v>0</v>
      </c>
      <c r="F1034" s="19" t="str">
        <f t="shared" si="63"/>
        <v>Work</v>
      </c>
      <c r="G1034" s="19" t="str">
        <f t="shared" si="64"/>
        <v>Walk-Transit</v>
      </c>
      <c r="H1034" s="19" t="str">
        <f t="shared" si="65"/>
        <v>Walk-CommR</v>
      </c>
    </row>
    <row r="1035" spans="1:8" x14ac:dyDescent="0.2">
      <c r="A1035" s="2" t="s">
        <v>97</v>
      </c>
      <c r="B1035" s="2" t="s">
        <v>74</v>
      </c>
      <c r="C1035" s="2">
        <v>13</v>
      </c>
      <c r="D1035" s="2">
        <v>19</v>
      </c>
      <c r="E1035" s="2">
        <v>0</v>
      </c>
      <c r="F1035" s="19" t="str">
        <f t="shared" si="63"/>
        <v>Work</v>
      </c>
      <c r="G1035" s="19" t="str">
        <f t="shared" si="64"/>
        <v>Walk-Transit</v>
      </c>
      <c r="H1035" s="19" t="str">
        <f t="shared" si="65"/>
        <v>Taxi</v>
      </c>
    </row>
    <row r="1036" spans="1:8" x14ac:dyDescent="0.2">
      <c r="A1036" s="2" t="s">
        <v>97</v>
      </c>
      <c r="B1036" s="2" t="s">
        <v>74</v>
      </c>
      <c r="C1036" s="2">
        <v>14</v>
      </c>
      <c r="D1036" s="2">
        <v>14</v>
      </c>
      <c r="E1036" s="2">
        <v>0</v>
      </c>
      <c r="F1036" s="19" t="str">
        <f t="shared" si="63"/>
        <v>Work</v>
      </c>
      <c r="G1036" s="19" t="str">
        <f t="shared" si="64"/>
        <v>Drive-Transit</v>
      </c>
      <c r="H1036" s="19" t="str">
        <f t="shared" si="65"/>
        <v>Drive-Local</v>
      </c>
    </row>
    <row r="1037" spans="1:8" x14ac:dyDescent="0.2">
      <c r="A1037" s="2" t="s">
        <v>97</v>
      </c>
      <c r="B1037" s="2" t="s">
        <v>74</v>
      </c>
      <c r="C1037" s="2">
        <v>14</v>
      </c>
      <c r="D1037" s="2">
        <v>19</v>
      </c>
      <c r="E1037" s="2">
        <v>0</v>
      </c>
      <c r="F1037" s="19" t="str">
        <f t="shared" si="63"/>
        <v>Work</v>
      </c>
      <c r="G1037" s="19" t="str">
        <f t="shared" si="64"/>
        <v>Drive-Transit</v>
      </c>
      <c r="H1037" s="19" t="str">
        <f t="shared" si="65"/>
        <v>Taxi</v>
      </c>
    </row>
    <row r="1038" spans="1:8" x14ac:dyDescent="0.2">
      <c r="A1038" s="2" t="s">
        <v>97</v>
      </c>
      <c r="B1038" s="2" t="s">
        <v>74</v>
      </c>
      <c r="C1038" s="2">
        <v>15</v>
      </c>
      <c r="D1038" s="2">
        <v>-15</v>
      </c>
      <c r="E1038" s="2">
        <v>0</v>
      </c>
      <c r="F1038" s="19" t="str">
        <f t="shared" si="63"/>
        <v>Work</v>
      </c>
      <c r="G1038" s="19" t="str">
        <f t="shared" si="64"/>
        <v>Drive-Transit</v>
      </c>
      <c r="H1038" s="19" t="str">
        <f t="shared" si="65"/>
        <v>Drive-Ferry</v>
      </c>
    </row>
    <row r="1039" spans="1:8" x14ac:dyDescent="0.2">
      <c r="A1039" s="2" t="s">
        <v>97</v>
      </c>
      <c r="B1039" s="2" t="s">
        <v>74</v>
      </c>
      <c r="C1039" s="2">
        <v>15</v>
      </c>
      <c r="D1039" s="2">
        <v>14</v>
      </c>
      <c r="E1039" s="2">
        <v>0</v>
      </c>
      <c r="F1039" s="19" t="str">
        <f t="shared" si="63"/>
        <v>Work</v>
      </c>
      <c r="G1039" s="19" t="str">
        <f t="shared" si="64"/>
        <v>Drive-Transit</v>
      </c>
      <c r="H1039" s="19" t="str">
        <f t="shared" si="65"/>
        <v>Drive-Local</v>
      </c>
    </row>
    <row r="1040" spans="1:8" x14ac:dyDescent="0.2">
      <c r="A1040" s="2" t="s">
        <v>97</v>
      </c>
      <c r="B1040" s="2" t="s">
        <v>74</v>
      </c>
      <c r="C1040" s="2">
        <v>15</v>
      </c>
      <c r="D1040" s="2">
        <v>15</v>
      </c>
      <c r="E1040" s="2">
        <v>0</v>
      </c>
      <c r="F1040" s="19" t="str">
        <f t="shared" si="63"/>
        <v>Work</v>
      </c>
      <c r="G1040" s="19" t="str">
        <f t="shared" si="64"/>
        <v>Drive-Transit</v>
      </c>
      <c r="H1040" s="19" t="str">
        <f t="shared" si="65"/>
        <v>Drive-LRT</v>
      </c>
    </row>
    <row r="1041" spans="1:8" x14ac:dyDescent="0.2">
      <c r="A1041" s="2" t="s">
        <v>97</v>
      </c>
      <c r="B1041" s="2" t="s">
        <v>74</v>
      </c>
      <c r="C1041" s="2">
        <v>16</v>
      </c>
      <c r="D1041" s="2">
        <v>-15</v>
      </c>
      <c r="E1041" s="2">
        <v>0</v>
      </c>
      <c r="F1041" s="19" t="str">
        <f t="shared" si="63"/>
        <v>Work</v>
      </c>
      <c r="G1041" s="19" t="str">
        <f t="shared" si="64"/>
        <v>Drive-Transit</v>
      </c>
      <c r="H1041" s="19" t="str">
        <f t="shared" si="65"/>
        <v>Drive-Ferry</v>
      </c>
    </row>
    <row r="1042" spans="1:8" x14ac:dyDescent="0.2">
      <c r="A1042" s="2" t="s">
        <v>97</v>
      </c>
      <c r="B1042" s="2" t="s">
        <v>74</v>
      </c>
      <c r="C1042" s="2">
        <v>16</v>
      </c>
      <c r="D1042" s="2">
        <v>14</v>
      </c>
      <c r="E1042" s="2">
        <v>0</v>
      </c>
      <c r="F1042" s="19" t="str">
        <f t="shared" si="63"/>
        <v>Work</v>
      </c>
      <c r="G1042" s="19" t="str">
        <f t="shared" si="64"/>
        <v>Drive-Transit</v>
      </c>
      <c r="H1042" s="19" t="str">
        <f t="shared" si="65"/>
        <v>Drive-Local</v>
      </c>
    </row>
    <row r="1043" spans="1:8" x14ac:dyDescent="0.2">
      <c r="A1043" s="2" t="s">
        <v>97</v>
      </c>
      <c r="B1043" s="2" t="s">
        <v>74</v>
      </c>
      <c r="C1043" s="2">
        <v>16</v>
      </c>
      <c r="D1043" s="2">
        <v>15</v>
      </c>
      <c r="E1043" s="2">
        <v>0</v>
      </c>
      <c r="F1043" s="19" t="str">
        <f t="shared" si="63"/>
        <v>Work</v>
      </c>
      <c r="G1043" s="19" t="str">
        <f t="shared" si="64"/>
        <v>Drive-Transit</v>
      </c>
      <c r="H1043" s="19" t="str">
        <f t="shared" si="65"/>
        <v>Drive-LRT</v>
      </c>
    </row>
    <row r="1044" spans="1:8" x14ac:dyDescent="0.2">
      <c r="A1044" s="2" t="s">
        <v>97</v>
      </c>
      <c r="B1044" s="2" t="s">
        <v>74</v>
      </c>
      <c r="C1044" s="2">
        <v>16</v>
      </c>
      <c r="D1044" s="2">
        <v>16</v>
      </c>
      <c r="E1044" s="2">
        <v>0</v>
      </c>
      <c r="F1044" s="19" t="str">
        <f t="shared" si="63"/>
        <v>Work</v>
      </c>
      <c r="G1044" s="19" t="str">
        <f t="shared" si="64"/>
        <v>Drive-Transit</v>
      </c>
      <c r="H1044" s="19" t="str">
        <f t="shared" si="65"/>
        <v>Drive-Express</v>
      </c>
    </row>
    <row r="1045" spans="1:8" x14ac:dyDescent="0.2">
      <c r="A1045" s="2" t="s">
        <v>97</v>
      </c>
      <c r="B1045" s="2" t="s">
        <v>74</v>
      </c>
      <c r="C1045" s="2">
        <v>17</v>
      </c>
      <c r="D1045" s="2">
        <v>-15</v>
      </c>
      <c r="E1045" s="2">
        <v>0</v>
      </c>
      <c r="F1045" s="19" t="str">
        <f t="shared" si="63"/>
        <v>Work</v>
      </c>
      <c r="G1045" s="19" t="str">
        <f t="shared" si="64"/>
        <v>Drive-Transit</v>
      </c>
      <c r="H1045" s="19" t="str">
        <f t="shared" si="65"/>
        <v>Drive-Ferry</v>
      </c>
    </row>
    <row r="1046" spans="1:8" x14ac:dyDescent="0.2">
      <c r="A1046" s="2" t="s">
        <v>97</v>
      </c>
      <c r="B1046" s="2" t="s">
        <v>74</v>
      </c>
      <c r="C1046" s="2">
        <v>17</v>
      </c>
      <c r="D1046" s="2">
        <v>16</v>
      </c>
      <c r="E1046" s="2">
        <v>0</v>
      </c>
      <c r="F1046" s="19" t="str">
        <f t="shared" si="63"/>
        <v>Work</v>
      </c>
      <c r="G1046" s="19" t="str">
        <f t="shared" si="64"/>
        <v>Drive-Transit</v>
      </c>
      <c r="H1046" s="19" t="str">
        <f t="shared" si="65"/>
        <v>Drive-Express</v>
      </c>
    </row>
    <row r="1047" spans="1:8" x14ac:dyDescent="0.2">
      <c r="A1047" s="2" t="s">
        <v>97</v>
      </c>
      <c r="B1047" s="2" t="s">
        <v>74</v>
      </c>
      <c r="C1047" s="2">
        <v>17</v>
      </c>
      <c r="D1047" s="2">
        <v>17</v>
      </c>
      <c r="E1047" s="2">
        <v>0</v>
      </c>
      <c r="F1047" s="19" t="str">
        <f t="shared" si="63"/>
        <v>Work</v>
      </c>
      <c r="G1047" s="19" t="str">
        <f t="shared" si="64"/>
        <v>Drive-Transit</v>
      </c>
      <c r="H1047" s="19" t="str">
        <f t="shared" si="65"/>
        <v>Drive-HeavyR</v>
      </c>
    </row>
    <row r="1048" spans="1:8" x14ac:dyDescent="0.2">
      <c r="A1048" s="2" t="s">
        <v>97</v>
      </c>
      <c r="B1048" s="2" t="s">
        <v>74</v>
      </c>
      <c r="C1048" s="2">
        <v>17</v>
      </c>
      <c r="D1048" s="2">
        <v>19</v>
      </c>
      <c r="E1048" s="2">
        <v>0</v>
      </c>
      <c r="F1048" s="19" t="str">
        <f t="shared" si="63"/>
        <v>Work</v>
      </c>
      <c r="G1048" s="19" t="str">
        <f t="shared" si="64"/>
        <v>Drive-Transit</v>
      </c>
      <c r="H1048" s="19" t="str">
        <f t="shared" si="65"/>
        <v>Taxi</v>
      </c>
    </row>
    <row r="1049" spans="1:8" x14ac:dyDescent="0.2">
      <c r="A1049" s="2" t="s">
        <v>97</v>
      </c>
      <c r="B1049" s="2" t="s">
        <v>74</v>
      </c>
      <c r="C1049" s="2">
        <v>18</v>
      </c>
      <c r="D1049" s="2">
        <v>16</v>
      </c>
      <c r="E1049" s="2">
        <v>0</v>
      </c>
      <c r="F1049" s="19" t="str">
        <f t="shared" si="63"/>
        <v>Work</v>
      </c>
      <c r="G1049" s="19" t="str">
        <f t="shared" si="64"/>
        <v>Drive-Transit</v>
      </c>
      <c r="H1049" s="19" t="str">
        <f t="shared" si="65"/>
        <v>Drive-Express</v>
      </c>
    </row>
    <row r="1050" spans="1:8" x14ac:dyDescent="0.2">
      <c r="A1050" s="2" t="s">
        <v>97</v>
      </c>
      <c r="B1050" s="2" t="s">
        <v>74</v>
      </c>
      <c r="C1050" s="2">
        <v>18</v>
      </c>
      <c r="D1050" s="2">
        <v>17</v>
      </c>
      <c r="E1050" s="2">
        <v>0</v>
      </c>
      <c r="F1050" s="19" t="str">
        <f t="shared" si="63"/>
        <v>Work</v>
      </c>
      <c r="G1050" s="19" t="str">
        <f t="shared" si="64"/>
        <v>Drive-Transit</v>
      </c>
      <c r="H1050" s="19" t="str">
        <f t="shared" si="65"/>
        <v>Drive-HeavyR</v>
      </c>
    </row>
    <row r="1051" spans="1:8" x14ac:dyDescent="0.2">
      <c r="A1051" s="2" t="s">
        <v>97</v>
      </c>
      <c r="B1051" s="2" t="s">
        <v>74</v>
      </c>
      <c r="C1051" s="2">
        <v>18</v>
      </c>
      <c r="D1051" s="2">
        <v>18</v>
      </c>
      <c r="E1051" s="2">
        <v>0</v>
      </c>
      <c r="F1051" s="19" t="str">
        <f t="shared" si="63"/>
        <v>Work</v>
      </c>
      <c r="G1051" s="19" t="str">
        <f t="shared" si="64"/>
        <v>Drive-Transit</v>
      </c>
      <c r="H1051" s="19" t="str">
        <f t="shared" si="65"/>
        <v>Drive-CommR</v>
      </c>
    </row>
    <row r="1052" spans="1:8" x14ac:dyDescent="0.2">
      <c r="A1052" s="2" t="s">
        <v>97</v>
      </c>
      <c r="B1052" s="2" t="s">
        <v>74</v>
      </c>
      <c r="C1052" s="2">
        <v>19</v>
      </c>
      <c r="D1052" s="2">
        <v>3</v>
      </c>
      <c r="E1052" s="2">
        <v>0</v>
      </c>
      <c r="F1052" s="19" t="str">
        <f t="shared" si="63"/>
        <v>Work</v>
      </c>
      <c r="G1052" s="19" t="str">
        <f t="shared" si="64"/>
        <v>Taxi</v>
      </c>
      <c r="H1052" s="19" t="str">
        <f t="shared" si="65"/>
        <v>SR2</v>
      </c>
    </row>
    <row r="1053" spans="1:8" x14ac:dyDescent="0.2">
      <c r="A1053" s="2" t="s">
        <v>97</v>
      </c>
      <c r="B1053" s="2" t="s">
        <v>74</v>
      </c>
      <c r="C1053" s="2">
        <v>19</v>
      </c>
      <c r="D1053" s="2">
        <v>7</v>
      </c>
      <c r="E1053" s="2">
        <v>0</v>
      </c>
      <c r="F1053" s="19" t="str">
        <f t="shared" si="63"/>
        <v>Work</v>
      </c>
      <c r="G1053" s="19" t="str">
        <f t="shared" si="64"/>
        <v>Taxi</v>
      </c>
      <c r="H1053" s="19" t="str">
        <f t="shared" si="65"/>
        <v>Walk</v>
      </c>
    </row>
    <row r="1054" spans="1:8" x14ac:dyDescent="0.2">
      <c r="A1054" s="2" t="s">
        <v>97</v>
      </c>
      <c r="B1054" s="2" t="s">
        <v>74</v>
      </c>
      <c r="C1054" s="2">
        <v>19</v>
      </c>
      <c r="D1054" s="2">
        <v>9</v>
      </c>
      <c r="E1054" s="2">
        <v>0</v>
      </c>
      <c r="F1054" s="19" t="str">
        <f t="shared" si="63"/>
        <v>Work</v>
      </c>
      <c r="G1054" s="19" t="str">
        <f t="shared" si="64"/>
        <v>Taxi</v>
      </c>
      <c r="H1054" s="19" t="str">
        <f t="shared" si="65"/>
        <v>Walk-Local</v>
      </c>
    </row>
    <row r="1055" spans="1:8" x14ac:dyDescent="0.2">
      <c r="A1055" s="2" t="s">
        <v>97</v>
      </c>
      <c r="B1055" s="2" t="s">
        <v>74</v>
      </c>
      <c r="C1055" s="2">
        <v>19</v>
      </c>
      <c r="D1055" s="2">
        <v>19</v>
      </c>
      <c r="E1055" s="2">
        <v>0</v>
      </c>
      <c r="F1055" s="19" t="str">
        <f t="shared" si="63"/>
        <v>Work</v>
      </c>
      <c r="G1055" s="19" t="str">
        <f t="shared" si="64"/>
        <v>Taxi</v>
      </c>
      <c r="H1055" s="19" t="str">
        <f t="shared" si="65"/>
        <v>Taxi</v>
      </c>
    </row>
    <row r="1056" spans="1:8" x14ac:dyDescent="0.2">
      <c r="A1056" s="2" t="s">
        <v>97</v>
      </c>
      <c r="B1056" s="2" t="s">
        <v>74</v>
      </c>
      <c r="C1056" s="2">
        <v>19</v>
      </c>
      <c r="D1056" s="2">
        <v>20</v>
      </c>
      <c r="E1056" s="2">
        <v>0</v>
      </c>
      <c r="F1056" s="19" t="str">
        <f t="shared" si="63"/>
        <v>Work</v>
      </c>
      <c r="G1056" s="19" t="str">
        <f t="shared" si="64"/>
        <v>Taxi</v>
      </c>
      <c r="H1056" s="19" t="str">
        <f t="shared" si="65"/>
        <v>TNC-Single</v>
      </c>
    </row>
    <row r="1057" spans="1:8" x14ac:dyDescent="0.2">
      <c r="A1057" s="2" t="s">
        <v>97</v>
      </c>
      <c r="B1057" s="2" t="s">
        <v>74</v>
      </c>
      <c r="C1057" s="2">
        <v>19</v>
      </c>
      <c r="D1057" s="2">
        <v>21</v>
      </c>
      <c r="E1057" s="2">
        <v>0</v>
      </c>
      <c r="F1057" s="19" t="str">
        <f t="shared" si="63"/>
        <v>Work</v>
      </c>
      <c r="G1057" s="19" t="str">
        <f t="shared" si="64"/>
        <v>Taxi</v>
      </c>
      <c r="H1057" s="19" t="str">
        <f t="shared" si="65"/>
        <v>TNC-Shared</v>
      </c>
    </row>
    <row r="1058" spans="1:8" x14ac:dyDescent="0.2">
      <c r="A1058" s="2" t="s">
        <v>97</v>
      </c>
      <c r="B1058" s="2" t="s">
        <v>74</v>
      </c>
      <c r="C1058" s="2">
        <v>20</v>
      </c>
      <c r="D1058" s="2">
        <v>7</v>
      </c>
      <c r="E1058" s="2">
        <v>0</v>
      </c>
      <c r="F1058" s="19" t="str">
        <f t="shared" si="63"/>
        <v>Work</v>
      </c>
      <c r="G1058" s="19" t="str">
        <f t="shared" si="64"/>
        <v>TNC-Single</v>
      </c>
      <c r="H1058" s="19" t="str">
        <f t="shared" si="65"/>
        <v>Walk</v>
      </c>
    </row>
    <row r="1059" spans="1:8" x14ac:dyDescent="0.2">
      <c r="A1059" s="2" t="s">
        <v>97</v>
      </c>
      <c r="B1059" s="2" t="s">
        <v>74</v>
      </c>
      <c r="C1059" s="2">
        <v>20</v>
      </c>
      <c r="D1059" s="2">
        <v>19</v>
      </c>
      <c r="E1059" s="2">
        <v>0</v>
      </c>
      <c r="F1059" s="19" t="str">
        <f t="shared" si="63"/>
        <v>Work</v>
      </c>
      <c r="G1059" s="19" t="str">
        <f t="shared" si="64"/>
        <v>TNC-Single</v>
      </c>
      <c r="H1059" s="19" t="str">
        <f t="shared" si="65"/>
        <v>Taxi</v>
      </c>
    </row>
    <row r="1060" spans="1:8" x14ac:dyDescent="0.2">
      <c r="A1060" s="2" t="s">
        <v>97</v>
      </c>
      <c r="B1060" s="2" t="s">
        <v>75</v>
      </c>
      <c r="C1060" s="2">
        <v>1</v>
      </c>
      <c r="D1060" s="2">
        <v>1</v>
      </c>
      <c r="E1060" s="2">
        <v>0</v>
      </c>
      <c r="F1060" s="19" t="str">
        <f t="shared" si="63"/>
        <v>Work</v>
      </c>
      <c r="G1060" s="19" t="str">
        <f t="shared" si="64"/>
        <v>Drive Alone</v>
      </c>
      <c r="H1060" s="19" t="str">
        <f t="shared" si="65"/>
        <v>Drive Alone</v>
      </c>
    </row>
    <row r="1061" spans="1:8" x14ac:dyDescent="0.2">
      <c r="A1061" s="2" t="s">
        <v>97</v>
      </c>
      <c r="B1061" s="2" t="s">
        <v>75</v>
      </c>
      <c r="C1061" s="2">
        <v>1</v>
      </c>
      <c r="D1061" s="2">
        <v>7</v>
      </c>
      <c r="E1061" s="2">
        <v>0</v>
      </c>
      <c r="F1061" s="19" t="str">
        <f t="shared" si="63"/>
        <v>Work</v>
      </c>
      <c r="G1061" s="19" t="str">
        <f t="shared" si="64"/>
        <v>Drive Alone</v>
      </c>
      <c r="H1061" s="19" t="str">
        <f t="shared" si="65"/>
        <v>Walk</v>
      </c>
    </row>
    <row r="1062" spans="1:8" x14ac:dyDescent="0.2">
      <c r="A1062" s="2" t="s">
        <v>97</v>
      </c>
      <c r="B1062" s="2" t="s">
        <v>75</v>
      </c>
      <c r="C1062" s="2">
        <v>1</v>
      </c>
      <c r="D1062" s="2">
        <v>19</v>
      </c>
      <c r="E1062" s="2">
        <v>0</v>
      </c>
      <c r="F1062" s="19" t="str">
        <f t="shared" si="63"/>
        <v>Work</v>
      </c>
      <c r="G1062" s="19" t="str">
        <f t="shared" si="64"/>
        <v>Drive Alone</v>
      </c>
      <c r="H1062" s="19" t="str">
        <f t="shared" si="65"/>
        <v>Taxi</v>
      </c>
    </row>
    <row r="1063" spans="1:8" x14ac:dyDescent="0.2">
      <c r="A1063" s="2" t="s">
        <v>97</v>
      </c>
      <c r="B1063" s="2" t="s">
        <v>75</v>
      </c>
      <c r="C1063" s="2">
        <v>1</v>
      </c>
      <c r="D1063" s="2">
        <v>20</v>
      </c>
      <c r="E1063" s="2">
        <v>0</v>
      </c>
      <c r="F1063" s="19" t="str">
        <f t="shared" si="63"/>
        <v>Work</v>
      </c>
      <c r="G1063" s="19" t="str">
        <f t="shared" si="64"/>
        <v>Drive Alone</v>
      </c>
      <c r="H1063" s="19" t="str">
        <f t="shared" si="65"/>
        <v>TNC-Single</v>
      </c>
    </row>
    <row r="1064" spans="1:8" x14ac:dyDescent="0.2">
      <c r="A1064" s="2" t="s">
        <v>97</v>
      </c>
      <c r="B1064" s="2" t="s">
        <v>75</v>
      </c>
      <c r="C1064" s="2">
        <v>3</v>
      </c>
      <c r="D1064" s="2">
        <v>1</v>
      </c>
      <c r="E1064" s="2">
        <v>0</v>
      </c>
      <c r="F1064" s="19" t="str">
        <f t="shared" si="63"/>
        <v>Work</v>
      </c>
      <c r="G1064" s="19" t="str">
        <f t="shared" si="64"/>
        <v>SR2</v>
      </c>
      <c r="H1064" s="19" t="str">
        <f t="shared" si="65"/>
        <v>Drive Alone</v>
      </c>
    </row>
    <row r="1065" spans="1:8" x14ac:dyDescent="0.2">
      <c r="A1065" s="2" t="s">
        <v>97</v>
      </c>
      <c r="B1065" s="2" t="s">
        <v>75</v>
      </c>
      <c r="C1065" s="2">
        <v>3</v>
      </c>
      <c r="D1065" s="2">
        <v>3</v>
      </c>
      <c r="E1065" s="2">
        <v>0</v>
      </c>
      <c r="F1065" s="19" t="str">
        <f t="shared" si="63"/>
        <v>Work</v>
      </c>
      <c r="G1065" s="19" t="str">
        <f t="shared" si="64"/>
        <v>SR2</v>
      </c>
      <c r="H1065" s="19" t="str">
        <f t="shared" si="65"/>
        <v>SR2</v>
      </c>
    </row>
    <row r="1066" spans="1:8" x14ac:dyDescent="0.2">
      <c r="A1066" s="2" t="s">
        <v>97</v>
      </c>
      <c r="B1066" s="2" t="s">
        <v>75</v>
      </c>
      <c r="C1066" s="2">
        <v>3</v>
      </c>
      <c r="D1066" s="2">
        <v>7</v>
      </c>
      <c r="E1066" s="2">
        <v>0</v>
      </c>
      <c r="F1066" s="19" t="str">
        <f t="shared" si="63"/>
        <v>Work</v>
      </c>
      <c r="G1066" s="19" t="str">
        <f t="shared" si="64"/>
        <v>SR2</v>
      </c>
      <c r="H1066" s="19" t="str">
        <f t="shared" si="65"/>
        <v>Walk</v>
      </c>
    </row>
    <row r="1067" spans="1:8" x14ac:dyDescent="0.2">
      <c r="A1067" s="2" t="s">
        <v>97</v>
      </c>
      <c r="B1067" s="2" t="s">
        <v>75</v>
      </c>
      <c r="C1067" s="2">
        <v>3</v>
      </c>
      <c r="D1067" s="2">
        <v>19</v>
      </c>
      <c r="E1067" s="2">
        <v>0</v>
      </c>
      <c r="F1067" s="19" t="str">
        <f t="shared" si="63"/>
        <v>Work</v>
      </c>
      <c r="G1067" s="19" t="str">
        <f t="shared" si="64"/>
        <v>SR2</v>
      </c>
      <c r="H1067" s="19" t="str">
        <f t="shared" si="65"/>
        <v>Taxi</v>
      </c>
    </row>
    <row r="1068" spans="1:8" x14ac:dyDescent="0.2">
      <c r="A1068" s="2" t="s">
        <v>97</v>
      </c>
      <c r="B1068" s="2" t="s">
        <v>75</v>
      </c>
      <c r="C1068" s="2">
        <v>5</v>
      </c>
      <c r="D1068" s="2">
        <v>1</v>
      </c>
      <c r="E1068" s="2">
        <v>0</v>
      </c>
      <c r="F1068" s="19" t="str">
        <f t="shared" si="63"/>
        <v>Work</v>
      </c>
      <c r="G1068" s="19" t="str">
        <f t="shared" si="64"/>
        <v>SR3+</v>
      </c>
      <c r="H1068" s="19" t="str">
        <f t="shared" si="65"/>
        <v>Drive Alone</v>
      </c>
    </row>
    <row r="1069" spans="1:8" x14ac:dyDescent="0.2">
      <c r="A1069" s="2" t="s">
        <v>97</v>
      </c>
      <c r="B1069" s="2" t="s">
        <v>75</v>
      </c>
      <c r="C1069" s="2">
        <v>5</v>
      </c>
      <c r="D1069" s="2">
        <v>3</v>
      </c>
      <c r="E1069" s="2">
        <v>0</v>
      </c>
      <c r="F1069" s="19" t="str">
        <f t="shared" si="63"/>
        <v>Work</v>
      </c>
      <c r="G1069" s="19" t="str">
        <f t="shared" si="64"/>
        <v>SR3+</v>
      </c>
      <c r="H1069" s="19" t="str">
        <f t="shared" si="65"/>
        <v>SR2</v>
      </c>
    </row>
    <row r="1070" spans="1:8" x14ac:dyDescent="0.2">
      <c r="A1070" s="2" t="s">
        <v>97</v>
      </c>
      <c r="B1070" s="2" t="s">
        <v>75</v>
      </c>
      <c r="C1070" s="2">
        <v>5</v>
      </c>
      <c r="D1070" s="2">
        <v>5</v>
      </c>
      <c r="E1070" s="2">
        <v>0</v>
      </c>
      <c r="F1070" s="19" t="str">
        <f t="shared" si="63"/>
        <v>Work</v>
      </c>
      <c r="G1070" s="19" t="str">
        <f t="shared" si="64"/>
        <v>SR3+</v>
      </c>
      <c r="H1070" s="19" t="str">
        <f t="shared" si="65"/>
        <v>SR3+</v>
      </c>
    </row>
    <row r="1071" spans="1:8" x14ac:dyDescent="0.2">
      <c r="A1071" s="2" t="s">
        <v>97</v>
      </c>
      <c r="B1071" s="2" t="s">
        <v>75</v>
      </c>
      <c r="C1071" s="2">
        <v>5</v>
      </c>
      <c r="D1071" s="2">
        <v>7</v>
      </c>
      <c r="E1071" s="2">
        <v>0</v>
      </c>
      <c r="F1071" s="19" t="str">
        <f t="shared" si="63"/>
        <v>Work</v>
      </c>
      <c r="G1071" s="19" t="str">
        <f t="shared" si="64"/>
        <v>SR3+</v>
      </c>
      <c r="H1071" s="19" t="str">
        <f t="shared" si="65"/>
        <v>Walk</v>
      </c>
    </row>
    <row r="1072" spans="1:8" x14ac:dyDescent="0.2">
      <c r="A1072" s="2" t="s">
        <v>97</v>
      </c>
      <c r="B1072" s="2" t="s">
        <v>75</v>
      </c>
      <c r="C1072" s="2">
        <v>7</v>
      </c>
      <c r="D1072" s="2">
        <v>7</v>
      </c>
      <c r="E1072" s="2">
        <v>0</v>
      </c>
      <c r="F1072" s="19" t="str">
        <f t="shared" si="63"/>
        <v>Work</v>
      </c>
      <c r="G1072" s="19" t="str">
        <f t="shared" si="64"/>
        <v>Walk</v>
      </c>
      <c r="H1072" s="19" t="str">
        <f t="shared" si="65"/>
        <v>Walk</v>
      </c>
    </row>
    <row r="1073" spans="1:8" x14ac:dyDescent="0.2">
      <c r="A1073" s="2" t="s">
        <v>97</v>
      </c>
      <c r="B1073" s="2" t="s">
        <v>75</v>
      </c>
      <c r="C1073" s="2">
        <v>7</v>
      </c>
      <c r="D1073" s="2">
        <v>19</v>
      </c>
      <c r="E1073" s="2">
        <v>0</v>
      </c>
      <c r="F1073" s="19" t="str">
        <f t="shared" si="63"/>
        <v>Work</v>
      </c>
      <c r="G1073" s="19" t="str">
        <f t="shared" si="64"/>
        <v>Walk</v>
      </c>
      <c r="H1073" s="19" t="str">
        <f t="shared" si="65"/>
        <v>Taxi</v>
      </c>
    </row>
    <row r="1074" spans="1:8" x14ac:dyDescent="0.2">
      <c r="A1074" s="2" t="s">
        <v>97</v>
      </c>
      <c r="B1074" s="2" t="s">
        <v>75</v>
      </c>
      <c r="C1074" s="2">
        <v>8</v>
      </c>
      <c r="D1074" s="2">
        <v>7</v>
      </c>
      <c r="E1074" s="2">
        <v>0</v>
      </c>
      <c r="F1074" s="19" t="str">
        <f t="shared" si="63"/>
        <v>Work</v>
      </c>
      <c r="G1074" s="19" t="str">
        <f t="shared" si="64"/>
        <v>Bike</v>
      </c>
      <c r="H1074" s="19" t="str">
        <f t="shared" si="65"/>
        <v>Walk</v>
      </c>
    </row>
    <row r="1075" spans="1:8" x14ac:dyDescent="0.2">
      <c r="A1075" s="2" t="s">
        <v>97</v>
      </c>
      <c r="B1075" s="2" t="s">
        <v>75</v>
      </c>
      <c r="C1075" s="2">
        <v>8</v>
      </c>
      <c r="D1075" s="2">
        <v>8</v>
      </c>
      <c r="E1075" s="2">
        <v>0</v>
      </c>
      <c r="F1075" s="19" t="str">
        <f t="shared" si="63"/>
        <v>Work</v>
      </c>
      <c r="G1075" s="19" t="str">
        <f t="shared" si="64"/>
        <v>Bike</v>
      </c>
      <c r="H1075" s="19" t="str">
        <f t="shared" si="65"/>
        <v>Bike</v>
      </c>
    </row>
    <row r="1076" spans="1:8" x14ac:dyDescent="0.2">
      <c r="A1076" s="2" t="s">
        <v>97</v>
      </c>
      <c r="B1076" s="2" t="s">
        <v>75</v>
      </c>
      <c r="C1076" s="2">
        <v>8</v>
      </c>
      <c r="D1076" s="2">
        <v>19</v>
      </c>
      <c r="E1076" s="2">
        <v>0</v>
      </c>
      <c r="F1076" s="19" t="str">
        <f t="shared" si="63"/>
        <v>Work</v>
      </c>
      <c r="G1076" s="19" t="str">
        <f t="shared" si="64"/>
        <v>Bike</v>
      </c>
      <c r="H1076" s="19" t="str">
        <f t="shared" si="65"/>
        <v>Taxi</v>
      </c>
    </row>
    <row r="1077" spans="1:8" x14ac:dyDescent="0.2">
      <c r="A1077" s="2" t="s">
        <v>97</v>
      </c>
      <c r="B1077" s="2" t="s">
        <v>75</v>
      </c>
      <c r="C1077" s="2">
        <v>8</v>
      </c>
      <c r="D1077" s="2">
        <v>20</v>
      </c>
      <c r="E1077" s="2">
        <v>0</v>
      </c>
      <c r="F1077" s="19" t="str">
        <f t="shared" si="63"/>
        <v>Work</v>
      </c>
      <c r="G1077" s="19" t="str">
        <f t="shared" si="64"/>
        <v>Bike</v>
      </c>
      <c r="H1077" s="19" t="str">
        <f t="shared" si="65"/>
        <v>TNC-Single</v>
      </c>
    </row>
    <row r="1078" spans="1:8" x14ac:dyDescent="0.2">
      <c r="A1078" s="2" t="s">
        <v>97</v>
      </c>
      <c r="B1078" s="2" t="s">
        <v>75</v>
      </c>
      <c r="C1078" s="2">
        <v>9</v>
      </c>
      <c r="D1078" s="2">
        <v>3</v>
      </c>
      <c r="E1078" s="2">
        <v>0</v>
      </c>
      <c r="F1078" s="19" t="str">
        <f t="shared" si="63"/>
        <v>Work</v>
      </c>
      <c r="G1078" s="19" t="str">
        <f t="shared" si="64"/>
        <v>Walk-Transit</v>
      </c>
      <c r="H1078" s="19" t="str">
        <f t="shared" si="65"/>
        <v>SR2</v>
      </c>
    </row>
    <row r="1079" spans="1:8" x14ac:dyDescent="0.2">
      <c r="A1079" s="2" t="s">
        <v>97</v>
      </c>
      <c r="B1079" s="2" t="s">
        <v>75</v>
      </c>
      <c r="C1079" s="2">
        <v>9</v>
      </c>
      <c r="D1079" s="2">
        <v>5</v>
      </c>
      <c r="E1079" s="2">
        <v>0</v>
      </c>
      <c r="F1079" s="19" t="str">
        <f t="shared" si="63"/>
        <v>Work</v>
      </c>
      <c r="G1079" s="19" t="str">
        <f t="shared" si="64"/>
        <v>Walk-Transit</v>
      </c>
      <c r="H1079" s="19" t="str">
        <f t="shared" si="65"/>
        <v>SR3+</v>
      </c>
    </row>
    <row r="1080" spans="1:8" x14ac:dyDescent="0.2">
      <c r="A1080" s="2" t="s">
        <v>97</v>
      </c>
      <c r="B1080" s="2" t="s">
        <v>75</v>
      </c>
      <c r="C1080" s="2">
        <v>9</v>
      </c>
      <c r="D1080" s="2">
        <v>7</v>
      </c>
      <c r="E1080" s="2">
        <v>0</v>
      </c>
      <c r="F1080" s="19" t="str">
        <f t="shared" si="63"/>
        <v>Work</v>
      </c>
      <c r="G1080" s="19" t="str">
        <f t="shared" si="64"/>
        <v>Walk-Transit</v>
      </c>
      <c r="H1080" s="19" t="str">
        <f t="shared" si="65"/>
        <v>Walk</v>
      </c>
    </row>
    <row r="1081" spans="1:8" x14ac:dyDescent="0.2">
      <c r="A1081" s="2" t="s">
        <v>97</v>
      </c>
      <c r="B1081" s="2" t="s">
        <v>75</v>
      </c>
      <c r="C1081" s="2">
        <v>9</v>
      </c>
      <c r="D1081" s="2">
        <v>9</v>
      </c>
      <c r="E1081" s="2">
        <v>0</v>
      </c>
      <c r="F1081" s="19" t="str">
        <f t="shared" si="63"/>
        <v>Work</v>
      </c>
      <c r="G1081" s="19" t="str">
        <f t="shared" si="64"/>
        <v>Walk-Transit</v>
      </c>
      <c r="H1081" s="19" t="str">
        <f t="shared" si="65"/>
        <v>Walk-Local</v>
      </c>
    </row>
    <row r="1082" spans="1:8" x14ac:dyDescent="0.2">
      <c r="A1082" s="2" t="s">
        <v>97</v>
      </c>
      <c r="B1082" s="2" t="s">
        <v>75</v>
      </c>
      <c r="C1082" s="2">
        <v>9</v>
      </c>
      <c r="D1082" s="2">
        <v>19</v>
      </c>
      <c r="E1082" s="2">
        <v>0</v>
      </c>
      <c r="F1082" s="19" t="str">
        <f t="shared" si="63"/>
        <v>Work</v>
      </c>
      <c r="G1082" s="19" t="str">
        <f t="shared" si="64"/>
        <v>Walk-Transit</v>
      </c>
      <c r="H1082" s="19" t="str">
        <f t="shared" si="65"/>
        <v>Taxi</v>
      </c>
    </row>
    <row r="1083" spans="1:8" x14ac:dyDescent="0.2">
      <c r="A1083" s="2" t="s">
        <v>97</v>
      </c>
      <c r="B1083" s="2" t="s">
        <v>75</v>
      </c>
      <c r="C1083" s="2">
        <v>9</v>
      </c>
      <c r="D1083" s="2">
        <v>20</v>
      </c>
      <c r="E1083" s="2">
        <v>0</v>
      </c>
      <c r="F1083" s="19" t="str">
        <f t="shared" si="63"/>
        <v>Work</v>
      </c>
      <c r="G1083" s="19" t="str">
        <f t="shared" si="64"/>
        <v>Walk-Transit</v>
      </c>
      <c r="H1083" s="19" t="str">
        <f t="shared" si="65"/>
        <v>TNC-Single</v>
      </c>
    </row>
    <row r="1084" spans="1:8" x14ac:dyDescent="0.2">
      <c r="A1084" s="2" t="s">
        <v>97</v>
      </c>
      <c r="B1084" s="2" t="s">
        <v>75</v>
      </c>
      <c r="C1084" s="2">
        <v>9</v>
      </c>
      <c r="D1084" s="2">
        <v>21</v>
      </c>
      <c r="E1084" s="2">
        <v>0</v>
      </c>
      <c r="F1084" s="19" t="str">
        <f t="shared" si="63"/>
        <v>Work</v>
      </c>
      <c r="G1084" s="19" t="str">
        <f t="shared" si="64"/>
        <v>Walk-Transit</v>
      </c>
      <c r="H1084" s="19" t="str">
        <f t="shared" si="65"/>
        <v>TNC-Shared</v>
      </c>
    </row>
    <row r="1085" spans="1:8" x14ac:dyDescent="0.2">
      <c r="A1085" s="2" t="s">
        <v>97</v>
      </c>
      <c r="B1085" s="2" t="s">
        <v>75</v>
      </c>
      <c r="C1085" s="2">
        <v>10</v>
      </c>
      <c r="D1085" s="2">
        <v>-10</v>
      </c>
      <c r="E1085" s="2">
        <v>0</v>
      </c>
      <c r="F1085" s="19" t="str">
        <f t="shared" si="63"/>
        <v>Work</v>
      </c>
      <c r="G1085" s="19" t="str">
        <f t="shared" si="64"/>
        <v>Walk-Transit</v>
      </c>
      <c r="H1085" s="19" t="str">
        <f t="shared" si="65"/>
        <v>Walk-Ferry</v>
      </c>
    </row>
    <row r="1086" spans="1:8" x14ac:dyDescent="0.2">
      <c r="A1086" s="2" t="s">
        <v>97</v>
      </c>
      <c r="B1086" s="2" t="s">
        <v>75</v>
      </c>
      <c r="C1086" s="2">
        <v>10</v>
      </c>
      <c r="D1086" s="2">
        <v>3</v>
      </c>
      <c r="E1086" s="2">
        <v>0</v>
      </c>
      <c r="F1086" s="19" t="str">
        <f t="shared" si="63"/>
        <v>Work</v>
      </c>
      <c r="G1086" s="19" t="str">
        <f t="shared" si="64"/>
        <v>Walk-Transit</v>
      </c>
      <c r="H1086" s="19" t="str">
        <f t="shared" si="65"/>
        <v>SR2</v>
      </c>
    </row>
    <row r="1087" spans="1:8" x14ac:dyDescent="0.2">
      <c r="A1087" s="2" t="s">
        <v>97</v>
      </c>
      <c r="B1087" s="2" t="s">
        <v>75</v>
      </c>
      <c r="C1087" s="2">
        <v>10</v>
      </c>
      <c r="D1087" s="2">
        <v>5</v>
      </c>
      <c r="E1087" s="2">
        <v>0</v>
      </c>
      <c r="F1087" s="19" t="str">
        <f t="shared" si="63"/>
        <v>Work</v>
      </c>
      <c r="G1087" s="19" t="str">
        <f t="shared" si="64"/>
        <v>Walk-Transit</v>
      </c>
      <c r="H1087" s="19" t="str">
        <f t="shared" si="65"/>
        <v>SR3+</v>
      </c>
    </row>
    <row r="1088" spans="1:8" x14ac:dyDescent="0.2">
      <c r="A1088" s="2" t="s">
        <v>97</v>
      </c>
      <c r="B1088" s="2" t="s">
        <v>75</v>
      </c>
      <c r="C1088" s="2">
        <v>10</v>
      </c>
      <c r="D1088" s="2">
        <v>7</v>
      </c>
      <c r="E1088" s="2">
        <v>0</v>
      </c>
      <c r="F1088" s="19" t="str">
        <f t="shared" si="63"/>
        <v>Work</v>
      </c>
      <c r="G1088" s="19" t="str">
        <f t="shared" si="64"/>
        <v>Walk-Transit</v>
      </c>
      <c r="H1088" s="19" t="str">
        <f t="shared" si="65"/>
        <v>Walk</v>
      </c>
    </row>
    <row r="1089" spans="1:8" x14ac:dyDescent="0.2">
      <c r="A1089" s="2" t="s">
        <v>97</v>
      </c>
      <c r="B1089" s="2" t="s">
        <v>75</v>
      </c>
      <c r="C1089" s="2">
        <v>10</v>
      </c>
      <c r="D1089" s="2">
        <v>9</v>
      </c>
      <c r="E1089" s="2">
        <v>0</v>
      </c>
      <c r="F1089" s="19" t="str">
        <f t="shared" si="63"/>
        <v>Work</v>
      </c>
      <c r="G1089" s="19" t="str">
        <f t="shared" si="64"/>
        <v>Walk-Transit</v>
      </c>
      <c r="H1089" s="19" t="str">
        <f t="shared" si="65"/>
        <v>Walk-Local</v>
      </c>
    </row>
    <row r="1090" spans="1:8" x14ac:dyDescent="0.2">
      <c r="A1090" s="2" t="s">
        <v>97</v>
      </c>
      <c r="B1090" s="2" t="s">
        <v>75</v>
      </c>
      <c r="C1090" s="2">
        <v>10</v>
      </c>
      <c r="D1090" s="2">
        <v>10</v>
      </c>
      <c r="E1090" s="2">
        <v>0</v>
      </c>
      <c r="F1090" s="19" t="str">
        <f t="shared" si="63"/>
        <v>Work</v>
      </c>
      <c r="G1090" s="19" t="str">
        <f t="shared" si="64"/>
        <v>Walk-Transit</v>
      </c>
      <c r="H1090" s="19" t="str">
        <f t="shared" si="65"/>
        <v>Walk-LRT</v>
      </c>
    </row>
    <row r="1091" spans="1:8" x14ac:dyDescent="0.2">
      <c r="A1091" s="2" t="s">
        <v>97</v>
      </c>
      <c r="B1091" s="2" t="s">
        <v>75</v>
      </c>
      <c r="C1091" s="2">
        <v>10</v>
      </c>
      <c r="D1091" s="2">
        <v>19</v>
      </c>
      <c r="E1091" s="2">
        <v>0</v>
      </c>
      <c r="F1091" s="19" t="str">
        <f t="shared" ref="F1091:F1154" si="66">IF(A1091="joint","Joint",_xlfn.IFNA(VLOOKUP(B1091,tour_purposes,2,FALSE),"None"))</f>
        <v>Work</v>
      </c>
      <c r="G1091" s="19" t="str">
        <f t="shared" ref="G1091:G1154" si="67">IF(AND(A1091="joint",C1091&lt;=6),"Auto",_xlfn.IFNA(VLOOKUP(C1091,tour_modes,3,FALSE),"None"))</f>
        <v>Walk-Transit</v>
      </c>
      <c r="H1091" s="19" t="str">
        <f t="shared" ref="H1091:H1154" si="68">_xlfn.IFNA(VLOOKUP(D1091,trip_modes,2,FALSE),"None")</f>
        <v>Taxi</v>
      </c>
    </row>
    <row r="1092" spans="1:8" x14ac:dyDescent="0.2">
      <c r="A1092" s="2" t="s">
        <v>97</v>
      </c>
      <c r="B1092" s="2" t="s">
        <v>75</v>
      </c>
      <c r="C1092" s="2">
        <v>10</v>
      </c>
      <c r="D1092" s="2">
        <v>20</v>
      </c>
      <c r="E1092" s="2">
        <v>0</v>
      </c>
      <c r="F1092" s="19" t="str">
        <f t="shared" si="66"/>
        <v>Work</v>
      </c>
      <c r="G1092" s="19" t="str">
        <f t="shared" si="67"/>
        <v>Walk-Transit</v>
      </c>
      <c r="H1092" s="19" t="str">
        <f t="shared" si="68"/>
        <v>TNC-Single</v>
      </c>
    </row>
    <row r="1093" spans="1:8" x14ac:dyDescent="0.2">
      <c r="A1093" s="2" t="s">
        <v>97</v>
      </c>
      <c r="B1093" s="2" t="s">
        <v>75</v>
      </c>
      <c r="C1093" s="2">
        <v>11</v>
      </c>
      <c r="D1093" s="2">
        <v>-10</v>
      </c>
      <c r="E1093" s="2">
        <v>0</v>
      </c>
      <c r="F1093" s="19" t="str">
        <f t="shared" si="66"/>
        <v>Work</v>
      </c>
      <c r="G1093" s="19" t="str">
        <f t="shared" si="67"/>
        <v>Walk-Transit</v>
      </c>
      <c r="H1093" s="19" t="str">
        <f t="shared" si="68"/>
        <v>Walk-Ferry</v>
      </c>
    </row>
    <row r="1094" spans="1:8" x14ac:dyDescent="0.2">
      <c r="A1094" s="2" t="s">
        <v>97</v>
      </c>
      <c r="B1094" s="2" t="s">
        <v>75</v>
      </c>
      <c r="C1094" s="2">
        <v>11</v>
      </c>
      <c r="D1094" s="2">
        <v>3</v>
      </c>
      <c r="E1094" s="2">
        <v>0</v>
      </c>
      <c r="F1094" s="19" t="str">
        <f t="shared" si="66"/>
        <v>Work</v>
      </c>
      <c r="G1094" s="19" t="str">
        <f t="shared" si="67"/>
        <v>Walk-Transit</v>
      </c>
      <c r="H1094" s="19" t="str">
        <f t="shared" si="68"/>
        <v>SR2</v>
      </c>
    </row>
    <row r="1095" spans="1:8" x14ac:dyDescent="0.2">
      <c r="A1095" s="2" t="s">
        <v>97</v>
      </c>
      <c r="B1095" s="2" t="s">
        <v>75</v>
      </c>
      <c r="C1095" s="2">
        <v>11</v>
      </c>
      <c r="D1095" s="2">
        <v>5</v>
      </c>
      <c r="E1095" s="2">
        <v>0</v>
      </c>
      <c r="F1095" s="19" t="str">
        <f t="shared" si="66"/>
        <v>Work</v>
      </c>
      <c r="G1095" s="19" t="str">
        <f t="shared" si="67"/>
        <v>Walk-Transit</v>
      </c>
      <c r="H1095" s="19" t="str">
        <f t="shared" si="68"/>
        <v>SR3+</v>
      </c>
    </row>
    <row r="1096" spans="1:8" x14ac:dyDescent="0.2">
      <c r="A1096" s="2" t="s">
        <v>97</v>
      </c>
      <c r="B1096" s="2" t="s">
        <v>75</v>
      </c>
      <c r="C1096" s="2">
        <v>11</v>
      </c>
      <c r="D1096" s="2">
        <v>7</v>
      </c>
      <c r="E1096" s="2">
        <v>0</v>
      </c>
      <c r="F1096" s="19" t="str">
        <f t="shared" si="66"/>
        <v>Work</v>
      </c>
      <c r="G1096" s="19" t="str">
        <f t="shared" si="67"/>
        <v>Walk-Transit</v>
      </c>
      <c r="H1096" s="19" t="str">
        <f t="shared" si="68"/>
        <v>Walk</v>
      </c>
    </row>
    <row r="1097" spans="1:8" x14ac:dyDescent="0.2">
      <c r="A1097" s="2" t="s">
        <v>97</v>
      </c>
      <c r="B1097" s="2" t="s">
        <v>75</v>
      </c>
      <c r="C1097" s="2">
        <v>11</v>
      </c>
      <c r="D1097" s="2">
        <v>9</v>
      </c>
      <c r="E1097" s="2">
        <v>0</v>
      </c>
      <c r="F1097" s="19" t="str">
        <f t="shared" si="66"/>
        <v>Work</v>
      </c>
      <c r="G1097" s="19" t="str">
        <f t="shared" si="67"/>
        <v>Walk-Transit</v>
      </c>
      <c r="H1097" s="19" t="str">
        <f t="shared" si="68"/>
        <v>Walk-Local</v>
      </c>
    </row>
    <row r="1098" spans="1:8" x14ac:dyDescent="0.2">
      <c r="A1098" s="2" t="s">
        <v>97</v>
      </c>
      <c r="B1098" s="2" t="s">
        <v>75</v>
      </c>
      <c r="C1098" s="2">
        <v>11</v>
      </c>
      <c r="D1098" s="2">
        <v>10</v>
      </c>
      <c r="E1098" s="2">
        <v>0</v>
      </c>
      <c r="F1098" s="19" t="str">
        <f t="shared" si="66"/>
        <v>Work</v>
      </c>
      <c r="G1098" s="19" t="str">
        <f t="shared" si="67"/>
        <v>Walk-Transit</v>
      </c>
      <c r="H1098" s="19" t="str">
        <f t="shared" si="68"/>
        <v>Walk-LRT</v>
      </c>
    </row>
    <row r="1099" spans="1:8" x14ac:dyDescent="0.2">
      <c r="A1099" s="2" t="s">
        <v>97</v>
      </c>
      <c r="B1099" s="2" t="s">
        <v>75</v>
      </c>
      <c r="C1099" s="2">
        <v>11</v>
      </c>
      <c r="D1099" s="2">
        <v>11</v>
      </c>
      <c r="E1099" s="2">
        <v>0</v>
      </c>
      <c r="F1099" s="19" t="str">
        <f t="shared" si="66"/>
        <v>Work</v>
      </c>
      <c r="G1099" s="19" t="str">
        <f t="shared" si="67"/>
        <v>Walk-Transit</v>
      </c>
      <c r="H1099" s="19" t="str">
        <f t="shared" si="68"/>
        <v>Walk-Express</v>
      </c>
    </row>
    <row r="1100" spans="1:8" x14ac:dyDescent="0.2">
      <c r="A1100" s="2" t="s">
        <v>97</v>
      </c>
      <c r="B1100" s="2" t="s">
        <v>75</v>
      </c>
      <c r="C1100" s="2">
        <v>11</v>
      </c>
      <c r="D1100" s="2">
        <v>19</v>
      </c>
      <c r="E1100" s="2">
        <v>0</v>
      </c>
      <c r="F1100" s="19" t="str">
        <f t="shared" si="66"/>
        <v>Work</v>
      </c>
      <c r="G1100" s="19" t="str">
        <f t="shared" si="67"/>
        <v>Walk-Transit</v>
      </c>
      <c r="H1100" s="19" t="str">
        <f t="shared" si="68"/>
        <v>Taxi</v>
      </c>
    </row>
    <row r="1101" spans="1:8" x14ac:dyDescent="0.2">
      <c r="A1101" s="2" t="s">
        <v>97</v>
      </c>
      <c r="B1101" s="2" t="s">
        <v>75</v>
      </c>
      <c r="C1101" s="2">
        <v>11</v>
      </c>
      <c r="D1101" s="2">
        <v>20</v>
      </c>
      <c r="E1101" s="2">
        <v>0</v>
      </c>
      <c r="F1101" s="19" t="str">
        <f t="shared" si="66"/>
        <v>Work</v>
      </c>
      <c r="G1101" s="19" t="str">
        <f t="shared" si="67"/>
        <v>Walk-Transit</v>
      </c>
      <c r="H1101" s="19" t="str">
        <f t="shared" si="68"/>
        <v>TNC-Single</v>
      </c>
    </row>
    <row r="1102" spans="1:8" x14ac:dyDescent="0.2">
      <c r="A1102" s="2" t="s">
        <v>97</v>
      </c>
      <c r="B1102" s="2" t="s">
        <v>75</v>
      </c>
      <c r="C1102" s="2">
        <v>12</v>
      </c>
      <c r="D1102" s="2">
        <v>-10</v>
      </c>
      <c r="E1102" s="2">
        <v>0</v>
      </c>
      <c r="F1102" s="19" t="str">
        <f t="shared" si="66"/>
        <v>Work</v>
      </c>
      <c r="G1102" s="19" t="str">
        <f t="shared" si="67"/>
        <v>Walk-Transit</v>
      </c>
      <c r="H1102" s="19" t="str">
        <f t="shared" si="68"/>
        <v>Walk-Ferry</v>
      </c>
    </row>
    <row r="1103" spans="1:8" x14ac:dyDescent="0.2">
      <c r="A1103" s="2" t="s">
        <v>97</v>
      </c>
      <c r="B1103" s="2" t="s">
        <v>75</v>
      </c>
      <c r="C1103" s="2">
        <v>12</v>
      </c>
      <c r="D1103" s="2">
        <v>3</v>
      </c>
      <c r="E1103" s="2">
        <v>0</v>
      </c>
      <c r="F1103" s="19" t="str">
        <f t="shared" si="66"/>
        <v>Work</v>
      </c>
      <c r="G1103" s="19" t="str">
        <f t="shared" si="67"/>
        <v>Walk-Transit</v>
      </c>
      <c r="H1103" s="19" t="str">
        <f t="shared" si="68"/>
        <v>SR2</v>
      </c>
    </row>
    <row r="1104" spans="1:8" x14ac:dyDescent="0.2">
      <c r="A1104" s="2" t="s">
        <v>97</v>
      </c>
      <c r="B1104" s="2" t="s">
        <v>75</v>
      </c>
      <c r="C1104" s="2">
        <v>12</v>
      </c>
      <c r="D1104" s="2">
        <v>5</v>
      </c>
      <c r="E1104" s="2">
        <v>0</v>
      </c>
      <c r="F1104" s="19" t="str">
        <f t="shared" si="66"/>
        <v>Work</v>
      </c>
      <c r="G1104" s="19" t="str">
        <f t="shared" si="67"/>
        <v>Walk-Transit</v>
      </c>
      <c r="H1104" s="19" t="str">
        <f t="shared" si="68"/>
        <v>SR3+</v>
      </c>
    </row>
    <row r="1105" spans="1:8" x14ac:dyDescent="0.2">
      <c r="A1105" s="2" t="s">
        <v>97</v>
      </c>
      <c r="B1105" s="2" t="s">
        <v>75</v>
      </c>
      <c r="C1105" s="2">
        <v>12</v>
      </c>
      <c r="D1105" s="2">
        <v>7</v>
      </c>
      <c r="E1105" s="2">
        <v>0</v>
      </c>
      <c r="F1105" s="19" t="str">
        <f t="shared" si="66"/>
        <v>Work</v>
      </c>
      <c r="G1105" s="19" t="str">
        <f t="shared" si="67"/>
        <v>Walk-Transit</v>
      </c>
      <c r="H1105" s="19" t="str">
        <f t="shared" si="68"/>
        <v>Walk</v>
      </c>
    </row>
    <row r="1106" spans="1:8" x14ac:dyDescent="0.2">
      <c r="A1106" s="2" t="s">
        <v>97</v>
      </c>
      <c r="B1106" s="2" t="s">
        <v>75</v>
      </c>
      <c r="C1106" s="2">
        <v>12</v>
      </c>
      <c r="D1106" s="2">
        <v>9</v>
      </c>
      <c r="E1106" s="2">
        <v>0</v>
      </c>
      <c r="F1106" s="19" t="str">
        <f t="shared" si="66"/>
        <v>Work</v>
      </c>
      <c r="G1106" s="19" t="str">
        <f t="shared" si="67"/>
        <v>Walk-Transit</v>
      </c>
      <c r="H1106" s="19" t="str">
        <f t="shared" si="68"/>
        <v>Walk-Local</v>
      </c>
    </row>
    <row r="1107" spans="1:8" x14ac:dyDescent="0.2">
      <c r="A1107" s="2" t="s">
        <v>97</v>
      </c>
      <c r="B1107" s="2" t="s">
        <v>75</v>
      </c>
      <c r="C1107" s="2">
        <v>12</v>
      </c>
      <c r="D1107" s="2">
        <v>10</v>
      </c>
      <c r="E1107" s="2">
        <v>0</v>
      </c>
      <c r="F1107" s="19" t="str">
        <f t="shared" si="66"/>
        <v>Work</v>
      </c>
      <c r="G1107" s="19" t="str">
        <f t="shared" si="67"/>
        <v>Walk-Transit</v>
      </c>
      <c r="H1107" s="19" t="str">
        <f t="shared" si="68"/>
        <v>Walk-LRT</v>
      </c>
    </row>
    <row r="1108" spans="1:8" x14ac:dyDescent="0.2">
      <c r="A1108" s="2" t="s">
        <v>97</v>
      </c>
      <c r="B1108" s="2" t="s">
        <v>75</v>
      </c>
      <c r="C1108" s="2">
        <v>12</v>
      </c>
      <c r="D1108" s="2">
        <v>11</v>
      </c>
      <c r="E1108" s="2">
        <v>0</v>
      </c>
      <c r="F1108" s="19" t="str">
        <f t="shared" si="66"/>
        <v>Work</v>
      </c>
      <c r="G1108" s="19" t="str">
        <f t="shared" si="67"/>
        <v>Walk-Transit</v>
      </c>
      <c r="H1108" s="19" t="str">
        <f t="shared" si="68"/>
        <v>Walk-Express</v>
      </c>
    </row>
    <row r="1109" spans="1:8" x14ac:dyDescent="0.2">
      <c r="A1109" s="2" t="s">
        <v>97</v>
      </c>
      <c r="B1109" s="2" t="s">
        <v>75</v>
      </c>
      <c r="C1109" s="2">
        <v>12</v>
      </c>
      <c r="D1109" s="2">
        <v>12</v>
      </c>
      <c r="E1109" s="2">
        <v>0</v>
      </c>
      <c r="F1109" s="19" t="str">
        <f t="shared" si="66"/>
        <v>Work</v>
      </c>
      <c r="G1109" s="19" t="str">
        <f t="shared" si="67"/>
        <v>Walk-Transit</v>
      </c>
      <c r="H1109" s="19" t="str">
        <f t="shared" si="68"/>
        <v>Walk-HeavyR</v>
      </c>
    </row>
    <row r="1110" spans="1:8" x14ac:dyDescent="0.2">
      <c r="A1110" s="2" t="s">
        <v>97</v>
      </c>
      <c r="B1110" s="2" t="s">
        <v>75</v>
      </c>
      <c r="C1110" s="2">
        <v>12</v>
      </c>
      <c r="D1110" s="2">
        <v>19</v>
      </c>
      <c r="E1110" s="2">
        <v>0</v>
      </c>
      <c r="F1110" s="19" t="str">
        <f t="shared" si="66"/>
        <v>Work</v>
      </c>
      <c r="G1110" s="19" t="str">
        <f t="shared" si="67"/>
        <v>Walk-Transit</v>
      </c>
      <c r="H1110" s="19" t="str">
        <f t="shared" si="68"/>
        <v>Taxi</v>
      </c>
    </row>
    <row r="1111" spans="1:8" x14ac:dyDescent="0.2">
      <c r="A1111" s="2" t="s">
        <v>97</v>
      </c>
      <c r="B1111" s="2" t="s">
        <v>75</v>
      </c>
      <c r="C1111" s="2">
        <v>12</v>
      </c>
      <c r="D1111" s="2">
        <v>20</v>
      </c>
      <c r="E1111" s="2">
        <v>0</v>
      </c>
      <c r="F1111" s="19" t="str">
        <f t="shared" si="66"/>
        <v>Work</v>
      </c>
      <c r="G1111" s="19" t="str">
        <f t="shared" si="67"/>
        <v>Walk-Transit</v>
      </c>
      <c r="H1111" s="19" t="str">
        <f t="shared" si="68"/>
        <v>TNC-Single</v>
      </c>
    </row>
    <row r="1112" spans="1:8" x14ac:dyDescent="0.2">
      <c r="A1112" s="2" t="s">
        <v>97</v>
      </c>
      <c r="B1112" s="2" t="s">
        <v>75</v>
      </c>
      <c r="C1112" s="2">
        <v>12</v>
      </c>
      <c r="D1112" s="2">
        <v>21</v>
      </c>
      <c r="E1112" s="2">
        <v>0</v>
      </c>
      <c r="F1112" s="19" t="str">
        <f t="shared" si="66"/>
        <v>Work</v>
      </c>
      <c r="G1112" s="19" t="str">
        <f t="shared" si="67"/>
        <v>Walk-Transit</v>
      </c>
      <c r="H1112" s="19" t="str">
        <f t="shared" si="68"/>
        <v>TNC-Shared</v>
      </c>
    </row>
    <row r="1113" spans="1:8" x14ac:dyDescent="0.2">
      <c r="A1113" s="2" t="s">
        <v>97</v>
      </c>
      <c r="B1113" s="2" t="s">
        <v>75</v>
      </c>
      <c r="C1113" s="2">
        <v>13</v>
      </c>
      <c r="D1113" s="2">
        <v>3</v>
      </c>
      <c r="E1113" s="2">
        <v>0</v>
      </c>
      <c r="F1113" s="19" t="str">
        <f t="shared" si="66"/>
        <v>Work</v>
      </c>
      <c r="G1113" s="19" t="str">
        <f t="shared" si="67"/>
        <v>Walk-Transit</v>
      </c>
      <c r="H1113" s="19" t="str">
        <f t="shared" si="68"/>
        <v>SR2</v>
      </c>
    </row>
    <row r="1114" spans="1:8" x14ac:dyDescent="0.2">
      <c r="A1114" s="2" t="s">
        <v>97</v>
      </c>
      <c r="B1114" s="2" t="s">
        <v>75</v>
      </c>
      <c r="C1114" s="2">
        <v>13</v>
      </c>
      <c r="D1114" s="2">
        <v>5</v>
      </c>
      <c r="E1114" s="2">
        <v>0</v>
      </c>
      <c r="F1114" s="19" t="str">
        <f t="shared" si="66"/>
        <v>Work</v>
      </c>
      <c r="G1114" s="19" t="str">
        <f t="shared" si="67"/>
        <v>Walk-Transit</v>
      </c>
      <c r="H1114" s="19" t="str">
        <f t="shared" si="68"/>
        <v>SR3+</v>
      </c>
    </row>
    <row r="1115" spans="1:8" x14ac:dyDescent="0.2">
      <c r="A1115" s="2" t="s">
        <v>97</v>
      </c>
      <c r="B1115" s="2" t="s">
        <v>75</v>
      </c>
      <c r="C1115" s="2">
        <v>13</v>
      </c>
      <c r="D1115" s="2">
        <v>7</v>
      </c>
      <c r="E1115" s="2">
        <v>0</v>
      </c>
      <c r="F1115" s="19" t="str">
        <f t="shared" si="66"/>
        <v>Work</v>
      </c>
      <c r="G1115" s="19" t="str">
        <f t="shared" si="67"/>
        <v>Walk-Transit</v>
      </c>
      <c r="H1115" s="19" t="str">
        <f t="shared" si="68"/>
        <v>Walk</v>
      </c>
    </row>
    <row r="1116" spans="1:8" x14ac:dyDescent="0.2">
      <c r="A1116" s="2" t="s">
        <v>97</v>
      </c>
      <c r="B1116" s="2" t="s">
        <v>75</v>
      </c>
      <c r="C1116" s="2">
        <v>13</v>
      </c>
      <c r="D1116" s="2">
        <v>9</v>
      </c>
      <c r="E1116" s="2">
        <v>0</v>
      </c>
      <c r="F1116" s="19" t="str">
        <f t="shared" si="66"/>
        <v>Work</v>
      </c>
      <c r="G1116" s="19" t="str">
        <f t="shared" si="67"/>
        <v>Walk-Transit</v>
      </c>
      <c r="H1116" s="19" t="str">
        <f t="shared" si="68"/>
        <v>Walk-Local</v>
      </c>
    </row>
    <row r="1117" spans="1:8" x14ac:dyDescent="0.2">
      <c r="A1117" s="2" t="s">
        <v>97</v>
      </c>
      <c r="B1117" s="2" t="s">
        <v>75</v>
      </c>
      <c r="C1117" s="2">
        <v>13</v>
      </c>
      <c r="D1117" s="2">
        <v>10</v>
      </c>
      <c r="E1117" s="2">
        <v>0</v>
      </c>
      <c r="F1117" s="19" t="str">
        <f t="shared" si="66"/>
        <v>Work</v>
      </c>
      <c r="G1117" s="19" t="str">
        <f t="shared" si="67"/>
        <v>Walk-Transit</v>
      </c>
      <c r="H1117" s="19" t="str">
        <f t="shared" si="68"/>
        <v>Walk-LRT</v>
      </c>
    </row>
    <row r="1118" spans="1:8" x14ac:dyDescent="0.2">
      <c r="A1118" s="2" t="s">
        <v>97</v>
      </c>
      <c r="B1118" s="2" t="s">
        <v>75</v>
      </c>
      <c r="C1118" s="2">
        <v>13</v>
      </c>
      <c r="D1118" s="2">
        <v>11</v>
      </c>
      <c r="E1118" s="2">
        <v>0</v>
      </c>
      <c r="F1118" s="19" t="str">
        <f t="shared" si="66"/>
        <v>Work</v>
      </c>
      <c r="G1118" s="19" t="str">
        <f t="shared" si="67"/>
        <v>Walk-Transit</v>
      </c>
      <c r="H1118" s="19" t="str">
        <f t="shared" si="68"/>
        <v>Walk-Express</v>
      </c>
    </row>
    <row r="1119" spans="1:8" x14ac:dyDescent="0.2">
      <c r="A1119" s="2" t="s">
        <v>97</v>
      </c>
      <c r="B1119" s="2" t="s">
        <v>75</v>
      </c>
      <c r="C1119" s="2">
        <v>13</v>
      </c>
      <c r="D1119" s="2">
        <v>12</v>
      </c>
      <c r="E1119" s="2">
        <v>0</v>
      </c>
      <c r="F1119" s="19" t="str">
        <f t="shared" si="66"/>
        <v>Work</v>
      </c>
      <c r="G1119" s="19" t="str">
        <f t="shared" si="67"/>
        <v>Walk-Transit</v>
      </c>
      <c r="H1119" s="19" t="str">
        <f t="shared" si="68"/>
        <v>Walk-HeavyR</v>
      </c>
    </row>
    <row r="1120" spans="1:8" x14ac:dyDescent="0.2">
      <c r="A1120" s="2" t="s">
        <v>97</v>
      </c>
      <c r="B1120" s="2" t="s">
        <v>75</v>
      </c>
      <c r="C1120" s="2">
        <v>13</v>
      </c>
      <c r="D1120" s="2">
        <v>13</v>
      </c>
      <c r="E1120" s="2">
        <v>0</v>
      </c>
      <c r="F1120" s="19" t="str">
        <f t="shared" si="66"/>
        <v>Work</v>
      </c>
      <c r="G1120" s="19" t="str">
        <f t="shared" si="67"/>
        <v>Walk-Transit</v>
      </c>
      <c r="H1120" s="19" t="str">
        <f t="shared" si="68"/>
        <v>Walk-CommR</v>
      </c>
    </row>
    <row r="1121" spans="1:8" x14ac:dyDescent="0.2">
      <c r="A1121" s="2" t="s">
        <v>97</v>
      </c>
      <c r="B1121" s="2" t="s">
        <v>75</v>
      </c>
      <c r="C1121" s="2">
        <v>13</v>
      </c>
      <c r="D1121" s="2">
        <v>19</v>
      </c>
      <c r="E1121" s="2">
        <v>0</v>
      </c>
      <c r="F1121" s="19" t="str">
        <f t="shared" si="66"/>
        <v>Work</v>
      </c>
      <c r="G1121" s="19" t="str">
        <f t="shared" si="67"/>
        <v>Walk-Transit</v>
      </c>
      <c r="H1121" s="19" t="str">
        <f t="shared" si="68"/>
        <v>Taxi</v>
      </c>
    </row>
    <row r="1122" spans="1:8" x14ac:dyDescent="0.2">
      <c r="A1122" s="2" t="s">
        <v>97</v>
      </c>
      <c r="B1122" s="2" t="s">
        <v>75</v>
      </c>
      <c r="C1122" s="2">
        <v>13</v>
      </c>
      <c r="D1122" s="2">
        <v>20</v>
      </c>
      <c r="E1122" s="2">
        <v>0</v>
      </c>
      <c r="F1122" s="19" t="str">
        <f t="shared" si="66"/>
        <v>Work</v>
      </c>
      <c r="G1122" s="19" t="str">
        <f t="shared" si="67"/>
        <v>Walk-Transit</v>
      </c>
      <c r="H1122" s="19" t="str">
        <f t="shared" si="68"/>
        <v>TNC-Single</v>
      </c>
    </row>
    <row r="1123" spans="1:8" x14ac:dyDescent="0.2">
      <c r="A1123" s="2" t="s">
        <v>97</v>
      </c>
      <c r="B1123" s="2" t="s">
        <v>75</v>
      </c>
      <c r="C1123" s="2">
        <v>14</v>
      </c>
      <c r="D1123" s="2">
        <v>14</v>
      </c>
      <c r="E1123" s="2">
        <v>0</v>
      </c>
      <c r="F1123" s="19" t="str">
        <f t="shared" si="66"/>
        <v>Work</v>
      </c>
      <c r="G1123" s="19" t="str">
        <f t="shared" si="67"/>
        <v>Drive-Transit</v>
      </c>
      <c r="H1123" s="19" t="str">
        <f t="shared" si="68"/>
        <v>Drive-Local</v>
      </c>
    </row>
    <row r="1124" spans="1:8" x14ac:dyDescent="0.2">
      <c r="A1124" s="2" t="s">
        <v>97</v>
      </c>
      <c r="B1124" s="2" t="s">
        <v>75</v>
      </c>
      <c r="C1124" s="2">
        <v>14</v>
      </c>
      <c r="D1124" s="2">
        <v>19</v>
      </c>
      <c r="E1124" s="2">
        <v>0</v>
      </c>
      <c r="F1124" s="19" t="str">
        <f t="shared" si="66"/>
        <v>Work</v>
      </c>
      <c r="G1124" s="19" t="str">
        <f t="shared" si="67"/>
        <v>Drive-Transit</v>
      </c>
      <c r="H1124" s="19" t="str">
        <f t="shared" si="68"/>
        <v>Taxi</v>
      </c>
    </row>
    <row r="1125" spans="1:8" x14ac:dyDescent="0.2">
      <c r="A1125" s="2" t="s">
        <v>97</v>
      </c>
      <c r="B1125" s="2" t="s">
        <v>75</v>
      </c>
      <c r="C1125" s="2">
        <v>14</v>
      </c>
      <c r="D1125" s="2">
        <v>20</v>
      </c>
      <c r="E1125" s="2">
        <v>0</v>
      </c>
      <c r="F1125" s="19" t="str">
        <f t="shared" si="66"/>
        <v>Work</v>
      </c>
      <c r="G1125" s="19" t="str">
        <f t="shared" si="67"/>
        <v>Drive-Transit</v>
      </c>
      <c r="H1125" s="19" t="str">
        <f t="shared" si="68"/>
        <v>TNC-Single</v>
      </c>
    </row>
    <row r="1126" spans="1:8" x14ac:dyDescent="0.2">
      <c r="A1126" s="2" t="s">
        <v>97</v>
      </c>
      <c r="B1126" s="2" t="s">
        <v>75</v>
      </c>
      <c r="C1126" s="2">
        <v>15</v>
      </c>
      <c r="D1126" s="2">
        <v>-15</v>
      </c>
      <c r="E1126" s="2">
        <v>0</v>
      </c>
      <c r="F1126" s="19" t="str">
        <f t="shared" si="66"/>
        <v>Work</v>
      </c>
      <c r="G1126" s="19" t="str">
        <f t="shared" si="67"/>
        <v>Drive-Transit</v>
      </c>
      <c r="H1126" s="19" t="str">
        <f t="shared" si="68"/>
        <v>Drive-Ferry</v>
      </c>
    </row>
    <row r="1127" spans="1:8" x14ac:dyDescent="0.2">
      <c r="A1127" s="2" t="s">
        <v>97</v>
      </c>
      <c r="B1127" s="2" t="s">
        <v>75</v>
      </c>
      <c r="C1127" s="2">
        <v>15</v>
      </c>
      <c r="D1127" s="2">
        <v>14</v>
      </c>
      <c r="E1127" s="2">
        <v>0</v>
      </c>
      <c r="F1127" s="19" t="str">
        <f t="shared" si="66"/>
        <v>Work</v>
      </c>
      <c r="G1127" s="19" t="str">
        <f t="shared" si="67"/>
        <v>Drive-Transit</v>
      </c>
      <c r="H1127" s="19" t="str">
        <f t="shared" si="68"/>
        <v>Drive-Local</v>
      </c>
    </row>
    <row r="1128" spans="1:8" x14ac:dyDescent="0.2">
      <c r="A1128" s="2" t="s">
        <v>97</v>
      </c>
      <c r="B1128" s="2" t="s">
        <v>75</v>
      </c>
      <c r="C1128" s="2">
        <v>15</v>
      </c>
      <c r="D1128" s="2">
        <v>15</v>
      </c>
      <c r="E1128" s="2">
        <v>0</v>
      </c>
      <c r="F1128" s="19" t="str">
        <f t="shared" si="66"/>
        <v>Work</v>
      </c>
      <c r="G1128" s="19" t="str">
        <f t="shared" si="67"/>
        <v>Drive-Transit</v>
      </c>
      <c r="H1128" s="19" t="str">
        <f t="shared" si="68"/>
        <v>Drive-LRT</v>
      </c>
    </row>
    <row r="1129" spans="1:8" x14ac:dyDescent="0.2">
      <c r="A1129" s="2" t="s">
        <v>97</v>
      </c>
      <c r="B1129" s="2" t="s">
        <v>75</v>
      </c>
      <c r="C1129" s="2">
        <v>15</v>
      </c>
      <c r="D1129" s="2">
        <v>19</v>
      </c>
      <c r="E1129" s="2">
        <v>0</v>
      </c>
      <c r="F1129" s="19" t="str">
        <f t="shared" si="66"/>
        <v>Work</v>
      </c>
      <c r="G1129" s="19" t="str">
        <f t="shared" si="67"/>
        <v>Drive-Transit</v>
      </c>
      <c r="H1129" s="19" t="str">
        <f t="shared" si="68"/>
        <v>Taxi</v>
      </c>
    </row>
    <row r="1130" spans="1:8" x14ac:dyDescent="0.2">
      <c r="A1130" s="2" t="s">
        <v>97</v>
      </c>
      <c r="B1130" s="2" t="s">
        <v>75</v>
      </c>
      <c r="C1130" s="2">
        <v>15</v>
      </c>
      <c r="D1130" s="2">
        <v>20</v>
      </c>
      <c r="E1130" s="2">
        <v>0</v>
      </c>
      <c r="F1130" s="19" t="str">
        <f t="shared" si="66"/>
        <v>Work</v>
      </c>
      <c r="G1130" s="19" t="str">
        <f t="shared" si="67"/>
        <v>Drive-Transit</v>
      </c>
      <c r="H1130" s="19" t="str">
        <f t="shared" si="68"/>
        <v>TNC-Single</v>
      </c>
    </row>
    <row r="1131" spans="1:8" x14ac:dyDescent="0.2">
      <c r="A1131" s="2" t="s">
        <v>97</v>
      </c>
      <c r="B1131" s="2" t="s">
        <v>75</v>
      </c>
      <c r="C1131" s="2">
        <v>16</v>
      </c>
      <c r="D1131" s="2">
        <v>-15</v>
      </c>
      <c r="E1131" s="2">
        <v>0</v>
      </c>
      <c r="F1131" s="19" t="str">
        <f t="shared" si="66"/>
        <v>Work</v>
      </c>
      <c r="G1131" s="19" t="str">
        <f t="shared" si="67"/>
        <v>Drive-Transit</v>
      </c>
      <c r="H1131" s="19" t="str">
        <f t="shared" si="68"/>
        <v>Drive-Ferry</v>
      </c>
    </row>
    <row r="1132" spans="1:8" x14ac:dyDescent="0.2">
      <c r="A1132" s="2" t="s">
        <v>97</v>
      </c>
      <c r="B1132" s="2" t="s">
        <v>75</v>
      </c>
      <c r="C1132" s="2">
        <v>16</v>
      </c>
      <c r="D1132" s="2">
        <v>14</v>
      </c>
      <c r="E1132" s="2">
        <v>0</v>
      </c>
      <c r="F1132" s="19" t="str">
        <f t="shared" si="66"/>
        <v>Work</v>
      </c>
      <c r="G1132" s="19" t="str">
        <f t="shared" si="67"/>
        <v>Drive-Transit</v>
      </c>
      <c r="H1132" s="19" t="str">
        <f t="shared" si="68"/>
        <v>Drive-Local</v>
      </c>
    </row>
    <row r="1133" spans="1:8" x14ac:dyDescent="0.2">
      <c r="A1133" s="2" t="s">
        <v>97</v>
      </c>
      <c r="B1133" s="2" t="s">
        <v>75</v>
      </c>
      <c r="C1133" s="2">
        <v>16</v>
      </c>
      <c r="D1133" s="2">
        <v>16</v>
      </c>
      <c r="E1133" s="2">
        <v>0</v>
      </c>
      <c r="F1133" s="19" t="str">
        <f t="shared" si="66"/>
        <v>Work</v>
      </c>
      <c r="G1133" s="19" t="str">
        <f t="shared" si="67"/>
        <v>Drive-Transit</v>
      </c>
      <c r="H1133" s="19" t="str">
        <f t="shared" si="68"/>
        <v>Drive-Express</v>
      </c>
    </row>
    <row r="1134" spans="1:8" x14ac:dyDescent="0.2">
      <c r="A1134" s="2" t="s">
        <v>97</v>
      </c>
      <c r="B1134" s="2" t="s">
        <v>75</v>
      </c>
      <c r="C1134" s="2">
        <v>17</v>
      </c>
      <c r="D1134" s="2">
        <v>-15</v>
      </c>
      <c r="E1134" s="2">
        <v>0</v>
      </c>
      <c r="F1134" s="19" t="str">
        <f t="shared" si="66"/>
        <v>Work</v>
      </c>
      <c r="G1134" s="19" t="str">
        <f t="shared" si="67"/>
        <v>Drive-Transit</v>
      </c>
      <c r="H1134" s="19" t="str">
        <f t="shared" si="68"/>
        <v>Drive-Ferry</v>
      </c>
    </row>
    <row r="1135" spans="1:8" x14ac:dyDescent="0.2">
      <c r="A1135" s="2" t="s">
        <v>97</v>
      </c>
      <c r="B1135" s="2" t="s">
        <v>75</v>
      </c>
      <c r="C1135" s="2">
        <v>17</v>
      </c>
      <c r="D1135" s="2">
        <v>16</v>
      </c>
      <c r="E1135" s="2">
        <v>0</v>
      </c>
      <c r="F1135" s="19" t="str">
        <f t="shared" si="66"/>
        <v>Work</v>
      </c>
      <c r="G1135" s="19" t="str">
        <f t="shared" si="67"/>
        <v>Drive-Transit</v>
      </c>
      <c r="H1135" s="19" t="str">
        <f t="shared" si="68"/>
        <v>Drive-Express</v>
      </c>
    </row>
    <row r="1136" spans="1:8" x14ac:dyDescent="0.2">
      <c r="A1136" s="2" t="s">
        <v>97</v>
      </c>
      <c r="B1136" s="2" t="s">
        <v>75</v>
      </c>
      <c r="C1136" s="2">
        <v>17</v>
      </c>
      <c r="D1136" s="2">
        <v>17</v>
      </c>
      <c r="E1136" s="2">
        <v>0</v>
      </c>
      <c r="F1136" s="19" t="str">
        <f t="shared" si="66"/>
        <v>Work</v>
      </c>
      <c r="G1136" s="19" t="str">
        <f t="shared" si="67"/>
        <v>Drive-Transit</v>
      </c>
      <c r="H1136" s="19" t="str">
        <f t="shared" si="68"/>
        <v>Drive-HeavyR</v>
      </c>
    </row>
    <row r="1137" spans="1:8" x14ac:dyDescent="0.2">
      <c r="A1137" s="2" t="s">
        <v>97</v>
      </c>
      <c r="B1137" s="2" t="s">
        <v>75</v>
      </c>
      <c r="C1137" s="2">
        <v>17</v>
      </c>
      <c r="D1137" s="2">
        <v>19</v>
      </c>
      <c r="E1137" s="2">
        <v>0</v>
      </c>
      <c r="F1137" s="19" t="str">
        <f t="shared" si="66"/>
        <v>Work</v>
      </c>
      <c r="G1137" s="19" t="str">
        <f t="shared" si="67"/>
        <v>Drive-Transit</v>
      </c>
      <c r="H1137" s="19" t="str">
        <f t="shared" si="68"/>
        <v>Taxi</v>
      </c>
    </row>
    <row r="1138" spans="1:8" x14ac:dyDescent="0.2">
      <c r="A1138" s="2" t="s">
        <v>97</v>
      </c>
      <c r="B1138" s="2" t="s">
        <v>75</v>
      </c>
      <c r="C1138" s="2">
        <v>18</v>
      </c>
      <c r="D1138" s="2">
        <v>17</v>
      </c>
      <c r="E1138" s="2">
        <v>0</v>
      </c>
      <c r="F1138" s="19" t="str">
        <f t="shared" si="66"/>
        <v>Work</v>
      </c>
      <c r="G1138" s="19" t="str">
        <f t="shared" si="67"/>
        <v>Drive-Transit</v>
      </c>
      <c r="H1138" s="19" t="str">
        <f t="shared" si="68"/>
        <v>Drive-HeavyR</v>
      </c>
    </row>
    <row r="1139" spans="1:8" x14ac:dyDescent="0.2">
      <c r="A1139" s="2" t="s">
        <v>97</v>
      </c>
      <c r="B1139" s="2" t="s">
        <v>75</v>
      </c>
      <c r="C1139" s="2">
        <v>18</v>
      </c>
      <c r="D1139" s="2">
        <v>18</v>
      </c>
      <c r="E1139" s="2">
        <v>0</v>
      </c>
      <c r="F1139" s="19" t="str">
        <f t="shared" si="66"/>
        <v>Work</v>
      </c>
      <c r="G1139" s="19" t="str">
        <f t="shared" si="67"/>
        <v>Drive-Transit</v>
      </c>
      <c r="H1139" s="19" t="str">
        <f t="shared" si="68"/>
        <v>Drive-CommR</v>
      </c>
    </row>
    <row r="1140" spans="1:8" x14ac:dyDescent="0.2">
      <c r="A1140" s="2" t="s">
        <v>97</v>
      </c>
      <c r="B1140" s="2" t="s">
        <v>75</v>
      </c>
      <c r="C1140" s="2">
        <v>19</v>
      </c>
      <c r="D1140" s="2">
        <v>3</v>
      </c>
      <c r="E1140" s="2">
        <v>0</v>
      </c>
      <c r="F1140" s="19" t="str">
        <f t="shared" si="66"/>
        <v>Work</v>
      </c>
      <c r="G1140" s="19" t="str">
        <f t="shared" si="67"/>
        <v>Taxi</v>
      </c>
      <c r="H1140" s="19" t="str">
        <f t="shared" si="68"/>
        <v>SR2</v>
      </c>
    </row>
    <row r="1141" spans="1:8" x14ac:dyDescent="0.2">
      <c r="A1141" s="2" t="s">
        <v>97</v>
      </c>
      <c r="B1141" s="2" t="s">
        <v>75</v>
      </c>
      <c r="C1141" s="2">
        <v>19</v>
      </c>
      <c r="D1141" s="2">
        <v>5</v>
      </c>
      <c r="E1141" s="2">
        <v>0</v>
      </c>
      <c r="F1141" s="19" t="str">
        <f t="shared" si="66"/>
        <v>Work</v>
      </c>
      <c r="G1141" s="19" t="str">
        <f t="shared" si="67"/>
        <v>Taxi</v>
      </c>
      <c r="H1141" s="19" t="str">
        <f t="shared" si="68"/>
        <v>SR3+</v>
      </c>
    </row>
    <row r="1142" spans="1:8" x14ac:dyDescent="0.2">
      <c r="A1142" s="2" t="s">
        <v>97</v>
      </c>
      <c r="B1142" s="2" t="s">
        <v>75</v>
      </c>
      <c r="C1142" s="2">
        <v>19</v>
      </c>
      <c r="D1142" s="2">
        <v>7</v>
      </c>
      <c r="E1142" s="2">
        <v>0</v>
      </c>
      <c r="F1142" s="19" t="str">
        <f t="shared" si="66"/>
        <v>Work</v>
      </c>
      <c r="G1142" s="19" t="str">
        <f t="shared" si="67"/>
        <v>Taxi</v>
      </c>
      <c r="H1142" s="19" t="str">
        <f t="shared" si="68"/>
        <v>Walk</v>
      </c>
    </row>
    <row r="1143" spans="1:8" x14ac:dyDescent="0.2">
      <c r="A1143" s="2" t="s">
        <v>97</v>
      </c>
      <c r="B1143" s="2" t="s">
        <v>75</v>
      </c>
      <c r="C1143" s="2">
        <v>19</v>
      </c>
      <c r="D1143" s="2">
        <v>12</v>
      </c>
      <c r="E1143" s="2">
        <v>0</v>
      </c>
      <c r="F1143" s="19" t="str">
        <f t="shared" si="66"/>
        <v>Work</v>
      </c>
      <c r="G1143" s="19" t="str">
        <f t="shared" si="67"/>
        <v>Taxi</v>
      </c>
      <c r="H1143" s="19" t="str">
        <f t="shared" si="68"/>
        <v>Walk-HeavyR</v>
      </c>
    </row>
    <row r="1144" spans="1:8" x14ac:dyDescent="0.2">
      <c r="A1144" s="2" t="s">
        <v>97</v>
      </c>
      <c r="B1144" s="2" t="s">
        <v>75</v>
      </c>
      <c r="C1144" s="2">
        <v>19</v>
      </c>
      <c r="D1144" s="2">
        <v>19</v>
      </c>
      <c r="E1144" s="2">
        <v>0</v>
      </c>
      <c r="F1144" s="19" t="str">
        <f t="shared" si="66"/>
        <v>Work</v>
      </c>
      <c r="G1144" s="19" t="str">
        <f t="shared" si="67"/>
        <v>Taxi</v>
      </c>
      <c r="H1144" s="19" t="str">
        <f t="shared" si="68"/>
        <v>Taxi</v>
      </c>
    </row>
    <row r="1145" spans="1:8" x14ac:dyDescent="0.2">
      <c r="A1145" s="2" t="s">
        <v>97</v>
      </c>
      <c r="B1145" s="2" t="s">
        <v>75</v>
      </c>
      <c r="C1145" s="2">
        <v>19</v>
      </c>
      <c r="D1145" s="2">
        <v>20</v>
      </c>
      <c r="E1145" s="2">
        <v>0</v>
      </c>
      <c r="F1145" s="19" t="str">
        <f t="shared" si="66"/>
        <v>Work</v>
      </c>
      <c r="G1145" s="19" t="str">
        <f t="shared" si="67"/>
        <v>Taxi</v>
      </c>
      <c r="H1145" s="19" t="str">
        <f t="shared" si="68"/>
        <v>TNC-Single</v>
      </c>
    </row>
    <row r="1146" spans="1:8" x14ac:dyDescent="0.2">
      <c r="A1146" s="2" t="s">
        <v>97</v>
      </c>
      <c r="B1146" s="2" t="s">
        <v>75</v>
      </c>
      <c r="C1146" s="2">
        <v>19</v>
      </c>
      <c r="D1146" s="2">
        <v>21</v>
      </c>
      <c r="E1146" s="2">
        <v>0</v>
      </c>
      <c r="F1146" s="19" t="str">
        <f t="shared" si="66"/>
        <v>Work</v>
      </c>
      <c r="G1146" s="19" t="str">
        <f t="shared" si="67"/>
        <v>Taxi</v>
      </c>
      <c r="H1146" s="19" t="str">
        <f t="shared" si="68"/>
        <v>TNC-Shared</v>
      </c>
    </row>
    <row r="1147" spans="1:8" x14ac:dyDescent="0.2">
      <c r="A1147" s="2" t="s">
        <v>97</v>
      </c>
      <c r="B1147" s="2" t="s">
        <v>75</v>
      </c>
      <c r="C1147" s="2">
        <v>20</v>
      </c>
      <c r="D1147" s="2">
        <v>3</v>
      </c>
      <c r="E1147" s="2">
        <v>0</v>
      </c>
      <c r="F1147" s="19" t="str">
        <f t="shared" si="66"/>
        <v>Work</v>
      </c>
      <c r="G1147" s="19" t="str">
        <f t="shared" si="67"/>
        <v>TNC-Single</v>
      </c>
      <c r="H1147" s="19" t="str">
        <f t="shared" si="68"/>
        <v>SR2</v>
      </c>
    </row>
    <row r="1148" spans="1:8" x14ac:dyDescent="0.2">
      <c r="A1148" s="2" t="s">
        <v>97</v>
      </c>
      <c r="B1148" s="2" t="s">
        <v>75</v>
      </c>
      <c r="C1148" s="2">
        <v>20</v>
      </c>
      <c r="D1148" s="2">
        <v>19</v>
      </c>
      <c r="E1148" s="2">
        <v>0</v>
      </c>
      <c r="F1148" s="19" t="str">
        <f t="shared" si="66"/>
        <v>Work</v>
      </c>
      <c r="G1148" s="19" t="str">
        <f t="shared" si="67"/>
        <v>TNC-Single</v>
      </c>
      <c r="H1148" s="19" t="str">
        <f t="shared" si="68"/>
        <v>Taxi</v>
      </c>
    </row>
    <row r="1149" spans="1:8" x14ac:dyDescent="0.2">
      <c r="A1149" s="2" t="s">
        <v>98</v>
      </c>
      <c r="B1149" s="2" t="s">
        <v>62</v>
      </c>
      <c r="C1149" s="2">
        <v>3</v>
      </c>
      <c r="D1149" s="2">
        <v>3</v>
      </c>
      <c r="E1149" s="2">
        <v>0</v>
      </c>
      <c r="F1149" s="19" t="str">
        <f t="shared" si="66"/>
        <v>Joint</v>
      </c>
      <c r="G1149" s="19" t="str">
        <f t="shared" si="67"/>
        <v>Auto</v>
      </c>
      <c r="H1149" s="19" t="str">
        <f t="shared" si="68"/>
        <v>SR2</v>
      </c>
    </row>
    <row r="1150" spans="1:8" x14ac:dyDescent="0.2">
      <c r="A1150" s="2" t="s">
        <v>98</v>
      </c>
      <c r="B1150" s="2" t="s">
        <v>62</v>
      </c>
      <c r="C1150" s="2">
        <v>3</v>
      </c>
      <c r="D1150" s="2">
        <v>5</v>
      </c>
      <c r="E1150" s="2">
        <v>0</v>
      </c>
      <c r="F1150" s="19" t="str">
        <f t="shared" si="66"/>
        <v>Joint</v>
      </c>
      <c r="G1150" s="19" t="str">
        <f t="shared" si="67"/>
        <v>Auto</v>
      </c>
      <c r="H1150" s="19" t="str">
        <f t="shared" si="68"/>
        <v>SR3+</v>
      </c>
    </row>
    <row r="1151" spans="1:8" x14ac:dyDescent="0.2">
      <c r="A1151" s="2" t="s">
        <v>98</v>
      </c>
      <c r="B1151" s="2" t="s">
        <v>62</v>
      </c>
      <c r="C1151" s="2">
        <v>3</v>
      </c>
      <c r="D1151" s="2">
        <v>19</v>
      </c>
      <c r="E1151" s="2">
        <v>0</v>
      </c>
      <c r="F1151" s="19" t="str">
        <f t="shared" si="66"/>
        <v>Joint</v>
      </c>
      <c r="G1151" s="19" t="str">
        <f t="shared" si="67"/>
        <v>Auto</v>
      </c>
      <c r="H1151" s="19" t="str">
        <f t="shared" si="68"/>
        <v>Taxi</v>
      </c>
    </row>
    <row r="1152" spans="1:8" x14ac:dyDescent="0.2">
      <c r="A1152" s="2" t="s">
        <v>98</v>
      </c>
      <c r="B1152" s="2" t="s">
        <v>62</v>
      </c>
      <c r="C1152" s="2">
        <v>5</v>
      </c>
      <c r="D1152" s="2">
        <v>3</v>
      </c>
      <c r="E1152" s="2">
        <v>0</v>
      </c>
      <c r="F1152" s="19" t="str">
        <f t="shared" si="66"/>
        <v>Joint</v>
      </c>
      <c r="G1152" s="19" t="str">
        <f t="shared" si="67"/>
        <v>Auto</v>
      </c>
      <c r="H1152" s="19" t="str">
        <f t="shared" si="68"/>
        <v>SR2</v>
      </c>
    </row>
    <row r="1153" spans="1:8" x14ac:dyDescent="0.2">
      <c r="A1153" s="2" t="s">
        <v>98</v>
      </c>
      <c r="B1153" s="2" t="s">
        <v>62</v>
      </c>
      <c r="C1153" s="2">
        <v>5</v>
      </c>
      <c r="D1153" s="2">
        <v>5</v>
      </c>
      <c r="E1153" s="2">
        <v>0</v>
      </c>
      <c r="F1153" s="19" t="str">
        <f t="shared" si="66"/>
        <v>Joint</v>
      </c>
      <c r="G1153" s="19" t="str">
        <f t="shared" si="67"/>
        <v>Auto</v>
      </c>
      <c r="H1153" s="19" t="str">
        <f t="shared" si="68"/>
        <v>SR3+</v>
      </c>
    </row>
    <row r="1154" spans="1:8" x14ac:dyDescent="0.2">
      <c r="A1154" s="2" t="s">
        <v>98</v>
      </c>
      <c r="B1154" s="2" t="s">
        <v>62</v>
      </c>
      <c r="C1154" s="2">
        <v>5</v>
      </c>
      <c r="D1154" s="2">
        <v>7</v>
      </c>
      <c r="E1154" s="2">
        <v>0</v>
      </c>
      <c r="F1154" s="19" t="str">
        <f t="shared" si="66"/>
        <v>Joint</v>
      </c>
      <c r="G1154" s="19" t="str">
        <f t="shared" si="67"/>
        <v>Auto</v>
      </c>
      <c r="H1154" s="19" t="str">
        <f t="shared" si="68"/>
        <v>Walk</v>
      </c>
    </row>
    <row r="1155" spans="1:8" x14ac:dyDescent="0.2">
      <c r="A1155" s="2" t="s">
        <v>98</v>
      </c>
      <c r="B1155" s="2" t="s">
        <v>62</v>
      </c>
      <c r="C1155" s="2">
        <v>5</v>
      </c>
      <c r="D1155" s="2">
        <v>19</v>
      </c>
      <c r="E1155" s="2">
        <v>0</v>
      </c>
      <c r="F1155" s="19" t="str">
        <f t="shared" ref="F1155:F1218" si="69">IF(A1155="joint","Joint",_xlfn.IFNA(VLOOKUP(B1155,tour_purposes,2,FALSE),"None"))</f>
        <v>Joint</v>
      </c>
      <c r="G1155" s="19" t="str">
        <f t="shared" ref="G1155:G1218" si="70">IF(AND(A1155="joint",C1155&lt;=6),"Auto",_xlfn.IFNA(VLOOKUP(C1155,tour_modes,3,FALSE),"None"))</f>
        <v>Auto</v>
      </c>
      <c r="H1155" s="19" t="str">
        <f t="shared" ref="H1155:H1218" si="71">_xlfn.IFNA(VLOOKUP(D1155,trip_modes,2,FALSE),"None")</f>
        <v>Taxi</v>
      </c>
    </row>
    <row r="1156" spans="1:8" x14ac:dyDescent="0.2">
      <c r="A1156" s="2" t="s">
        <v>98</v>
      </c>
      <c r="B1156" s="2" t="s">
        <v>62</v>
      </c>
      <c r="C1156" s="2">
        <v>5</v>
      </c>
      <c r="D1156" s="2">
        <v>20</v>
      </c>
      <c r="E1156" s="2">
        <v>0</v>
      </c>
      <c r="F1156" s="19" t="str">
        <f t="shared" si="69"/>
        <v>Joint</v>
      </c>
      <c r="G1156" s="19" t="str">
        <f t="shared" si="70"/>
        <v>Auto</v>
      </c>
      <c r="H1156" s="19" t="str">
        <f t="shared" si="71"/>
        <v>TNC-Single</v>
      </c>
    </row>
    <row r="1157" spans="1:8" x14ac:dyDescent="0.2">
      <c r="A1157" s="2" t="s">
        <v>98</v>
      </c>
      <c r="B1157" s="2" t="s">
        <v>62</v>
      </c>
      <c r="C1157" s="2">
        <v>7</v>
      </c>
      <c r="D1157" s="2">
        <v>7</v>
      </c>
      <c r="E1157" s="2">
        <v>0</v>
      </c>
      <c r="F1157" s="19" t="str">
        <f t="shared" si="69"/>
        <v>Joint</v>
      </c>
      <c r="G1157" s="19" t="str">
        <f t="shared" si="70"/>
        <v>Walk</v>
      </c>
      <c r="H1157" s="19" t="str">
        <f t="shared" si="71"/>
        <v>Walk</v>
      </c>
    </row>
    <row r="1158" spans="1:8" x14ac:dyDescent="0.2">
      <c r="A1158" s="2" t="s">
        <v>98</v>
      </c>
      <c r="B1158" s="2" t="s">
        <v>62</v>
      </c>
      <c r="C1158" s="2">
        <v>8</v>
      </c>
      <c r="D1158" s="2">
        <v>8</v>
      </c>
      <c r="E1158" s="2">
        <v>0</v>
      </c>
      <c r="F1158" s="19" t="str">
        <f t="shared" si="69"/>
        <v>Joint</v>
      </c>
      <c r="G1158" s="19" t="str">
        <f t="shared" si="70"/>
        <v>Bike</v>
      </c>
      <c r="H1158" s="19" t="str">
        <f t="shared" si="71"/>
        <v>Bike</v>
      </c>
    </row>
    <row r="1159" spans="1:8" x14ac:dyDescent="0.2">
      <c r="A1159" s="2" t="s">
        <v>98</v>
      </c>
      <c r="B1159" s="2" t="s">
        <v>62</v>
      </c>
      <c r="C1159" s="2">
        <v>9</v>
      </c>
      <c r="D1159" s="2">
        <v>9</v>
      </c>
      <c r="E1159" s="2">
        <v>0</v>
      </c>
      <c r="F1159" s="19" t="str">
        <f t="shared" si="69"/>
        <v>Joint</v>
      </c>
      <c r="G1159" s="19" t="str">
        <f t="shared" si="70"/>
        <v>Walk-Transit</v>
      </c>
      <c r="H1159" s="19" t="str">
        <f t="shared" si="71"/>
        <v>Walk-Local</v>
      </c>
    </row>
    <row r="1160" spans="1:8" x14ac:dyDescent="0.2">
      <c r="A1160" s="2" t="s">
        <v>98</v>
      </c>
      <c r="B1160" s="2" t="s">
        <v>62</v>
      </c>
      <c r="C1160" s="2">
        <v>10</v>
      </c>
      <c r="D1160" s="2">
        <v>10</v>
      </c>
      <c r="E1160" s="2">
        <v>0</v>
      </c>
      <c r="F1160" s="19" t="str">
        <f t="shared" si="69"/>
        <v>Joint</v>
      </c>
      <c r="G1160" s="19" t="str">
        <f t="shared" si="70"/>
        <v>Walk-Transit</v>
      </c>
      <c r="H1160" s="19" t="str">
        <f t="shared" si="71"/>
        <v>Walk-LRT</v>
      </c>
    </row>
    <row r="1161" spans="1:8" x14ac:dyDescent="0.2">
      <c r="A1161" s="2" t="s">
        <v>98</v>
      </c>
      <c r="B1161" s="2" t="s">
        <v>62</v>
      </c>
      <c r="C1161" s="2">
        <v>11</v>
      </c>
      <c r="D1161" s="2">
        <v>11</v>
      </c>
      <c r="E1161" s="2">
        <v>0</v>
      </c>
      <c r="F1161" s="19" t="str">
        <f t="shared" si="69"/>
        <v>Joint</v>
      </c>
      <c r="G1161" s="19" t="str">
        <f t="shared" si="70"/>
        <v>Walk-Transit</v>
      </c>
      <c r="H1161" s="19" t="str">
        <f t="shared" si="71"/>
        <v>Walk-Express</v>
      </c>
    </row>
    <row r="1162" spans="1:8" x14ac:dyDescent="0.2">
      <c r="A1162" s="2" t="s">
        <v>98</v>
      </c>
      <c r="B1162" s="2" t="s">
        <v>62</v>
      </c>
      <c r="C1162" s="2">
        <v>12</v>
      </c>
      <c r="D1162" s="2">
        <v>10</v>
      </c>
      <c r="E1162" s="2">
        <v>0</v>
      </c>
      <c r="F1162" s="19" t="str">
        <f t="shared" si="69"/>
        <v>Joint</v>
      </c>
      <c r="G1162" s="19" t="str">
        <f t="shared" si="70"/>
        <v>Walk-Transit</v>
      </c>
      <c r="H1162" s="19" t="str">
        <f t="shared" si="71"/>
        <v>Walk-LRT</v>
      </c>
    </row>
    <row r="1163" spans="1:8" x14ac:dyDescent="0.2">
      <c r="A1163" s="2" t="s">
        <v>98</v>
      </c>
      <c r="B1163" s="2" t="s">
        <v>62</v>
      </c>
      <c r="C1163" s="2">
        <v>12</v>
      </c>
      <c r="D1163" s="2">
        <v>12</v>
      </c>
      <c r="E1163" s="2">
        <v>0</v>
      </c>
      <c r="F1163" s="19" t="str">
        <f t="shared" si="69"/>
        <v>Joint</v>
      </c>
      <c r="G1163" s="19" t="str">
        <f t="shared" si="70"/>
        <v>Walk-Transit</v>
      </c>
      <c r="H1163" s="19" t="str">
        <f t="shared" si="71"/>
        <v>Walk-HeavyR</v>
      </c>
    </row>
    <row r="1164" spans="1:8" x14ac:dyDescent="0.2">
      <c r="A1164" s="2" t="s">
        <v>98</v>
      </c>
      <c r="B1164" s="2" t="s">
        <v>62</v>
      </c>
      <c r="C1164" s="2">
        <v>14</v>
      </c>
      <c r="D1164" s="2">
        <v>14</v>
      </c>
      <c r="E1164" s="2">
        <v>0</v>
      </c>
      <c r="F1164" s="19" t="str">
        <f t="shared" si="69"/>
        <v>Joint</v>
      </c>
      <c r="G1164" s="19" t="str">
        <f t="shared" si="70"/>
        <v>Drive-Transit</v>
      </c>
      <c r="H1164" s="19" t="str">
        <f t="shared" si="71"/>
        <v>Drive-Local</v>
      </c>
    </row>
    <row r="1165" spans="1:8" x14ac:dyDescent="0.2">
      <c r="A1165" s="2" t="s">
        <v>98</v>
      </c>
      <c r="B1165" s="2" t="s">
        <v>62</v>
      </c>
      <c r="C1165" s="2">
        <v>16</v>
      </c>
      <c r="D1165" s="2">
        <v>16</v>
      </c>
      <c r="E1165" s="2">
        <v>0</v>
      </c>
      <c r="F1165" s="19" t="str">
        <f t="shared" si="69"/>
        <v>Joint</v>
      </c>
      <c r="G1165" s="19" t="str">
        <f t="shared" si="70"/>
        <v>Drive-Transit</v>
      </c>
      <c r="H1165" s="19" t="str">
        <f t="shared" si="71"/>
        <v>Drive-Express</v>
      </c>
    </row>
    <row r="1166" spans="1:8" x14ac:dyDescent="0.2">
      <c r="A1166" s="2" t="s">
        <v>98</v>
      </c>
      <c r="B1166" s="2" t="s">
        <v>62</v>
      </c>
      <c r="C1166" s="2">
        <v>17</v>
      </c>
      <c r="D1166" s="2">
        <v>17</v>
      </c>
      <c r="E1166" s="2">
        <v>0</v>
      </c>
      <c r="F1166" s="19" t="str">
        <f t="shared" si="69"/>
        <v>Joint</v>
      </c>
      <c r="G1166" s="19" t="str">
        <f t="shared" si="70"/>
        <v>Drive-Transit</v>
      </c>
      <c r="H1166" s="19" t="str">
        <f t="shared" si="71"/>
        <v>Drive-HeavyR</v>
      </c>
    </row>
    <row r="1167" spans="1:8" x14ac:dyDescent="0.2">
      <c r="A1167" s="2" t="s">
        <v>98</v>
      </c>
      <c r="B1167" s="2" t="s">
        <v>62</v>
      </c>
      <c r="C1167" s="2">
        <v>19</v>
      </c>
      <c r="D1167" s="2">
        <v>19</v>
      </c>
      <c r="E1167" s="2">
        <v>0</v>
      </c>
      <c r="F1167" s="19" t="str">
        <f t="shared" si="69"/>
        <v>Joint</v>
      </c>
      <c r="G1167" s="19" t="str">
        <f t="shared" si="70"/>
        <v>Taxi</v>
      </c>
      <c r="H1167" s="19" t="str">
        <f t="shared" si="71"/>
        <v>Taxi</v>
      </c>
    </row>
    <row r="1168" spans="1:8" x14ac:dyDescent="0.2">
      <c r="A1168" s="2" t="s">
        <v>98</v>
      </c>
      <c r="B1168" s="2" t="s">
        <v>62</v>
      </c>
      <c r="C1168" s="2">
        <v>20</v>
      </c>
      <c r="D1168" s="2">
        <v>19</v>
      </c>
      <c r="E1168" s="2">
        <v>0</v>
      </c>
      <c r="F1168" s="19" t="str">
        <f t="shared" si="69"/>
        <v>Joint</v>
      </c>
      <c r="G1168" s="19" t="str">
        <f t="shared" si="70"/>
        <v>TNC-Single</v>
      </c>
      <c r="H1168" s="19" t="str">
        <f t="shared" si="71"/>
        <v>Taxi</v>
      </c>
    </row>
    <row r="1169" spans="1:8" x14ac:dyDescent="0.2">
      <c r="A1169" s="2" t="s">
        <v>98</v>
      </c>
      <c r="B1169" s="2" t="s">
        <v>62</v>
      </c>
      <c r="C1169" s="2">
        <v>21</v>
      </c>
      <c r="D1169" s="2">
        <v>19</v>
      </c>
      <c r="E1169" s="2">
        <v>0</v>
      </c>
      <c r="F1169" s="19" t="str">
        <f t="shared" si="69"/>
        <v>Joint</v>
      </c>
      <c r="G1169" s="19" t="str">
        <f t="shared" si="70"/>
        <v>TNC-Shared</v>
      </c>
      <c r="H1169" s="19" t="str">
        <f t="shared" si="71"/>
        <v>Taxi</v>
      </c>
    </row>
    <row r="1170" spans="1:8" x14ac:dyDescent="0.2">
      <c r="A1170" s="2" t="s">
        <v>98</v>
      </c>
      <c r="B1170" s="2" t="s">
        <v>65</v>
      </c>
      <c r="C1170" s="2">
        <v>3</v>
      </c>
      <c r="D1170" s="2">
        <v>3</v>
      </c>
      <c r="E1170" s="2">
        <v>0</v>
      </c>
      <c r="F1170" s="19" t="str">
        <f t="shared" si="69"/>
        <v>Joint</v>
      </c>
      <c r="G1170" s="19" t="str">
        <f t="shared" si="70"/>
        <v>Auto</v>
      </c>
      <c r="H1170" s="19" t="str">
        <f t="shared" si="71"/>
        <v>SR2</v>
      </c>
    </row>
    <row r="1171" spans="1:8" x14ac:dyDescent="0.2">
      <c r="A1171" s="2" t="s">
        <v>98</v>
      </c>
      <c r="B1171" s="2" t="s">
        <v>65</v>
      </c>
      <c r="C1171" s="2">
        <v>3</v>
      </c>
      <c r="D1171" s="2">
        <v>5</v>
      </c>
      <c r="E1171" s="2">
        <v>0</v>
      </c>
      <c r="F1171" s="19" t="str">
        <f t="shared" si="69"/>
        <v>Joint</v>
      </c>
      <c r="G1171" s="19" t="str">
        <f t="shared" si="70"/>
        <v>Auto</v>
      </c>
      <c r="H1171" s="19" t="str">
        <f t="shared" si="71"/>
        <v>SR3+</v>
      </c>
    </row>
    <row r="1172" spans="1:8" x14ac:dyDescent="0.2">
      <c r="A1172" s="2" t="s">
        <v>98</v>
      </c>
      <c r="B1172" s="2" t="s">
        <v>65</v>
      </c>
      <c r="C1172" s="2">
        <v>3</v>
      </c>
      <c r="D1172" s="2">
        <v>7</v>
      </c>
      <c r="E1172" s="2">
        <v>0</v>
      </c>
      <c r="F1172" s="19" t="str">
        <f t="shared" si="69"/>
        <v>Joint</v>
      </c>
      <c r="G1172" s="19" t="str">
        <f t="shared" si="70"/>
        <v>Auto</v>
      </c>
      <c r="H1172" s="19" t="str">
        <f t="shared" si="71"/>
        <v>Walk</v>
      </c>
    </row>
    <row r="1173" spans="1:8" x14ac:dyDescent="0.2">
      <c r="A1173" s="2" t="s">
        <v>98</v>
      </c>
      <c r="B1173" s="2" t="s">
        <v>65</v>
      </c>
      <c r="C1173" s="2">
        <v>3</v>
      </c>
      <c r="D1173" s="2">
        <v>19</v>
      </c>
      <c r="E1173" s="2">
        <v>0</v>
      </c>
      <c r="F1173" s="19" t="str">
        <f t="shared" si="69"/>
        <v>Joint</v>
      </c>
      <c r="G1173" s="19" t="str">
        <f t="shared" si="70"/>
        <v>Auto</v>
      </c>
      <c r="H1173" s="19" t="str">
        <f t="shared" si="71"/>
        <v>Taxi</v>
      </c>
    </row>
    <row r="1174" spans="1:8" x14ac:dyDescent="0.2">
      <c r="A1174" s="2" t="s">
        <v>98</v>
      </c>
      <c r="B1174" s="2" t="s">
        <v>65</v>
      </c>
      <c r="C1174" s="2">
        <v>5</v>
      </c>
      <c r="D1174" s="2">
        <v>3</v>
      </c>
      <c r="E1174" s="2">
        <v>0</v>
      </c>
      <c r="F1174" s="19" t="str">
        <f t="shared" si="69"/>
        <v>Joint</v>
      </c>
      <c r="G1174" s="19" t="str">
        <f t="shared" si="70"/>
        <v>Auto</v>
      </c>
      <c r="H1174" s="19" t="str">
        <f t="shared" si="71"/>
        <v>SR2</v>
      </c>
    </row>
    <row r="1175" spans="1:8" x14ac:dyDescent="0.2">
      <c r="A1175" s="2" t="s">
        <v>98</v>
      </c>
      <c r="B1175" s="2" t="s">
        <v>65</v>
      </c>
      <c r="C1175" s="2">
        <v>5</v>
      </c>
      <c r="D1175" s="2">
        <v>5</v>
      </c>
      <c r="E1175" s="2">
        <v>0</v>
      </c>
      <c r="F1175" s="19" t="str">
        <f t="shared" si="69"/>
        <v>Joint</v>
      </c>
      <c r="G1175" s="19" t="str">
        <f t="shared" si="70"/>
        <v>Auto</v>
      </c>
      <c r="H1175" s="19" t="str">
        <f t="shared" si="71"/>
        <v>SR3+</v>
      </c>
    </row>
    <row r="1176" spans="1:8" x14ac:dyDescent="0.2">
      <c r="A1176" s="2" t="s">
        <v>98</v>
      </c>
      <c r="B1176" s="2" t="s">
        <v>65</v>
      </c>
      <c r="C1176" s="2">
        <v>5</v>
      </c>
      <c r="D1176" s="2">
        <v>7</v>
      </c>
      <c r="E1176" s="2">
        <v>0</v>
      </c>
      <c r="F1176" s="19" t="str">
        <f t="shared" si="69"/>
        <v>Joint</v>
      </c>
      <c r="G1176" s="19" t="str">
        <f t="shared" si="70"/>
        <v>Auto</v>
      </c>
      <c r="H1176" s="19" t="str">
        <f t="shared" si="71"/>
        <v>Walk</v>
      </c>
    </row>
    <row r="1177" spans="1:8" x14ac:dyDescent="0.2">
      <c r="A1177" s="2" t="s">
        <v>98</v>
      </c>
      <c r="B1177" s="2" t="s">
        <v>65</v>
      </c>
      <c r="C1177" s="2">
        <v>5</v>
      </c>
      <c r="D1177" s="2">
        <v>19</v>
      </c>
      <c r="E1177" s="2">
        <v>0</v>
      </c>
      <c r="F1177" s="19" t="str">
        <f t="shared" si="69"/>
        <v>Joint</v>
      </c>
      <c r="G1177" s="19" t="str">
        <f t="shared" si="70"/>
        <v>Auto</v>
      </c>
      <c r="H1177" s="19" t="str">
        <f t="shared" si="71"/>
        <v>Taxi</v>
      </c>
    </row>
    <row r="1178" spans="1:8" x14ac:dyDescent="0.2">
      <c r="A1178" s="2" t="s">
        <v>98</v>
      </c>
      <c r="B1178" s="2" t="s">
        <v>65</v>
      </c>
      <c r="C1178" s="2">
        <v>5</v>
      </c>
      <c r="D1178" s="2">
        <v>20</v>
      </c>
      <c r="E1178" s="2">
        <v>0</v>
      </c>
      <c r="F1178" s="19" t="str">
        <f t="shared" si="69"/>
        <v>Joint</v>
      </c>
      <c r="G1178" s="19" t="str">
        <f t="shared" si="70"/>
        <v>Auto</v>
      </c>
      <c r="H1178" s="19" t="str">
        <f t="shared" si="71"/>
        <v>TNC-Single</v>
      </c>
    </row>
    <row r="1179" spans="1:8" x14ac:dyDescent="0.2">
      <c r="A1179" s="2" t="s">
        <v>98</v>
      </c>
      <c r="B1179" s="2" t="s">
        <v>65</v>
      </c>
      <c r="C1179" s="2">
        <v>5</v>
      </c>
      <c r="D1179" s="2">
        <v>21</v>
      </c>
      <c r="E1179" s="2">
        <v>0</v>
      </c>
      <c r="F1179" s="19" t="str">
        <f t="shared" si="69"/>
        <v>Joint</v>
      </c>
      <c r="G1179" s="19" t="str">
        <f t="shared" si="70"/>
        <v>Auto</v>
      </c>
      <c r="H1179" s="19" t="str">
        <f t="shared" si="71"/>
        <v>TNC-Shared</v>
      </c>
    </row>
    <row r="1180" spans="1:8" x14ac:dyDescent="0.2">
      <c r="A1180" s="2" t="s">
        <v>98</v>
      </c>
      <c r="B1180" s="2" t="s">
        <v>65</v>
      </c>
      <c r="C1180" s="2">
        <v>7</v>
      </c>
      <c r="D1180" s="2">
        <v>7</v>
      </c>
      <c r="E1180" s="2">
        <v>0</v>
      </c>
      <c r="F1180" s="19" t="str">
        <f t="shared" si="69"/>
        <v>Joint</v>
      </c>
      <c r="G1180" s="19" t="str">
        <f t="shared" si="70"/>
        <v>Walk</v>
      </c>
      <c r="H1180" s="19" t="str">
        <f t="shared" si="71"/>
        <v>Walk</v>
      </c>
    </row>
    <row r="1181" spans="1:8" x14ac:dyDescent="0.2">
      <c r="A1181" s="2" t="s">
        <v>98</v>
      </c>
      <c r="B1181" s="2" t="s">
        <v>65</v>
      </c>
      <c r="C1181" s="2">
        <v>8</v>
      </c>
      <c r="D1181" s="2">
        <v>8</v>
      </c>
      <c r="E1181" s="2">
        <v>0</v>
      </c>
      <c r="F1181" s="19" t="str">
        <f t="shared" si="69"/>
        <v>Joint</v>
      </c>
      <c r="G1181" s="19" t="str">
        <f t="shared" si="70"/>
        <v>Bike</v>
      </c>
      <c r="H1181" s="19" t="str">
        <f t="shared" si="71"/>
        <v>Bike</v>
      </c>
    </row>
    <row r="1182" spans="1:8" x14ac:dyDescent="0.2">
      <c r="A1182" s="2" t="s">
        <v>98</v>
      </c>
      <c r="B1182" s="2" t="s">
        <v>65</v>
      </c>
      <c r="C1182" s="2">
        <v>9</v>
      </c>
      <c r="D1182" s="2">
        <v>9</v>
      </c>
      <c r="E1182" s="2">
        <v>0</v>
      </c>
      <c r="F1182" s="19" t="str">
        <f t="shared" si="69"/>
        <v>Joint</v>
      </c>
      <c r="G1182" s="19" t="str">
        <f t="shared" si="70"/>
        <v>Walk-Transit</v>
      </c>
      <c r="H1182" s="19" t="str">
        <f t="shared" si="71"/>
        <v>Walk-Local</v>
      </c>
    </row>
    <row r="1183" spans="1:8" x14ac:dyDescent="0.2">
      <c r="A1183" s="2" t="s">
        <v>98</v>
      </c>
      <c r="B1183" s="2" t="s">
        <v>65</v>
      </c>
      <c r="C1183" s="2">
        <v>10</v>
      </c>
      <c r="D1183" s="2">
        <v>10</v>
      </c>
      <c r="E1183" s="2">
        <v>0</v>
      </c>
      <c r="F1183" s="19" t="str">
        <f t="shared" si="69"/>
        <v>Joint</v>
      </c>
      <c r="G1183" s="19" t="str">
        <f t="shared" si="70"/>
        <v>Walk-Transit</v>
      </c>
      <c r="H1183" s="19" t="str">
        <f t="shared" si="71"/>
        <v>Walk-LRT</v>
      </c>
    </row>
    <row r="1184" spans="1:8" x14ac:dyDescent="0.2">
      <c r="A1184" s="2" t="s">
        <v>98</v>
      </c>
      <c r="B1184" s="2" t="s">
        <v>65</v>
      </c>
      <c r="C1184" s="2">
        <v>12</v>
      </c>
      <c r="D1184" s="2">
        <v>12</v>
      </c>
      <c r="E1184" s="2">
        <v>0</v>
      </c>
      <c r="F1184" s="19" t="str">
        <f t="shared" si="69"/>
        <v>Joint</v>
      </c>
      <c r="G1184" s="19" t="str">
        <f t="shared" si="70"/>
        <v>Walk-Transit</v>
      </c>
      <c r="H1184" s="19" t="str">
        <f t="shared" si="71"/>
        <v>Walk-HeavyR</v>
      </c>
    </row>
    <row r="1185" spans="1:8" x14ac:dyDescent="0.2">
      <c r="A1185" s="2" t="s">
        <v>98</v>
      </c>
      <c r="B1185" s="2" t="s">
        <v>65</v>
      </c>
      <c r="C1185" s="2">
        <v>15</v>
      </c>
      <c r="D1185" s="2">
        <v>15</v>
      </c>
      <c r="E1185" s="2">
        <v>0</v>
      </c>
      <c r="F1185" s="19" t="str">
        <f t="shared" si="69"/>
        <v>Joint</v>
      </c>
      <c r="G1185" s="19" t="str">
        <f t="shared" si="70"/>
        <v>Drive-Transit</v>
      </c>
      <c r="H1185" s="19" t="str">
        <f t="shared" si="71"/>
        <v>Drive-LRT</v>
      </c>
    </row>
    <row r="1186" spans="1:8" x14ac:dyDescent="0.2">
      <c r="A1186" s="2" t="s">
        <v>98</v>
      </c>
      <c r="B1186" s="2" t="s">
        <v>65</v>
      </c>
      <c r="C1186" s="2">
        <v>17</v>
      </c>
      <c r="D1186" s="2">
        <v>17</v>
      </c>
      <c r="E1186" s="2">
        <v>0</v>
      </c>
      <c r="F1186" s="19" t="str">
        <f t="shared" si="69"/>
        <v>Joint</v>
      </c>
      <c r="G1186" s="19" t="str">
        <f t="shared" si="70"/>
        <v>Drive-Transit</v>
      </c>
      <c r="H1186" s="19" t="str">
        <f t="shared" si="71"/>
        <v>Drive-HeavyR</v>
      </c>
    </row>
    <row r="1187" spans="1:8" x14ac:dyDescent="0.2">
      <c r="A1187" s="2" t="s">
        <v>98</v>
      </c>
      <c r="B1187" s="2" t="s">
        <v>65</v>
      </c>
      <c r="C1187" s="2">
        <v>19</v>
      </c>
      <c r="D1187" s="2">
        <v>19</v>
      </c>
      <c r="E1187" s="2">
        <v>0</v>
      </c>
      <c r="F1187" s="19" t="str">
        <f t="shared" si="69"/>
        <v>Joint</v>
      </c>
      <c r="G1187" s="19" t="str">
        <f t="shared" si="70"/>
        <v>Taxi</v>
      </c>
      <c r="H1187" s="19" t="str">
        <f t="shared" si="71"/>
        <v>Taxi</v>
      </c>
    </row>
    <row r="1188" spans="1:8" x14ac:dyDescent="0.2">
      <c r="A1188" s="2" t="s">
        <v>98</v>
      </c>
      <c r="B1188" s="2" t="s">
        <v>65</v>
      </c>
      <c r="C1188" s="2">
        <v>20</v>
      </c>
      <c r="D1188" s="2">
        <v>19</v>
      </c>
      <c r="E1188" s="2">
        <v>0</v>
      </c>
      <c r="F1188" s="19" t="str">
        <f t="shared" si="69"/>
        <v>Joint</v>
      </c>
      <c r="G1188" s="19" t="str">
        <f t="shared" si="70"/>
        <v>TNC-Single</v>
      </c>
      <c r="H1188" s="19" t="str">
        <f t="shared" si="71"/>
        <v>Taxi</v>
      </c>
    </row>
    <row r="1189" spans="1:8" x14ac:dyDescent="0.2">
      <c r="A1189" s="2" t="s">
        <v>98</v>
      </c>
      <c r="B1189" s="2" t="s">
        <v>65</v>
      </c>
      <c r="C1189" s="2">
        <v>20</v>
      </c>
      <c r="D1189" s="2">
        <v>20</v>
      </c>
      <c r="E1189" s="2">
        <v>0</v>
      </c>
      <c r="F1189" s="19" t="str">
        <f t="shared" si="69"/>
        <v>Joint</v>
      </c>
      <c r="G1189" s="19" t="str">
        <f t="shared" si="70"/>
        <v>TNC-Single</v>
      </c>
      <c r="H1189" s="19" t="str">
        <f t="shared" si="71"/>
        <v>TNC-Single</v>
      </c>
    </row>
    <row r="1190" spans="1:8" x14ac:dyDescent="0.2">
      <c r="A1190" s="2" t="s">
        <v>98</v>
      </c>
      <c r="B1190" s="2" t="s">
        <v>65</v>
      </c>
      <c r="C1190" s="2">
        <v>21</v>
      </c>
      <c r="D1190" s="2">
        <v>19</v>
      </c>
      <c r="E1190" s="2">
        <v>0</v>
      </c>
      <c r="F1190" s="19" t="str">
        <f t="shared" si="69"/>
        <v>Joint</v>
      </c>
      <c r="G1190" s="19" t="str">
        <f t="shared" si="70"/>
        <v>TNC-Shared</v>
      </c>
      <c r="H1190" s="19" t="str">
        <f t="shared" si="71"/>
        <v>Taxi</v>
      </c>
    </row>
    <row r="1191" spans="1:8" x14ac:dyDescent="0.2">
      <c r="A1191" s="2" t="s">
        <v>98</v>
      </c>
      <c r="B1191" s="2" t="s">
        <v>66</v>
      </c>
      <c r="C1191" s="2">
        <v>3</v>
      </c>
      <c r="D1191" s="2">
        <v>3</v>
      </c>
      <c r="E1191" s="2">
        <v>0</v>
      </c>
      <c r="F1191" s="19" t="str">
        <f t="shared" si="69"/>
        <v>Joint</v>
      </c>
      <c r="G1191" s="19" t="str">
        <f t="shared" si="70"/>
        <v>Auto</v>
      </c>
      <c r="H1191" s="19" t="str">
        <f t="shared" si="71"/>
        <v>SR2</v>
      </c>
    </row>
    <row r="1192" spans="1:8" x14ac:dyDescent="0.2">
      <c r="A1192" s="2" t="s">
        <v>98</v>
      </c>
      <c r="B1192" s="2" t="s">
        <v>66</v>
      </c>
      <c r="C1192" s="2">
        <v>3</v>
      </c>
      <c r="D1192" s="2">
        <v>5</v>
      </c>
      <c r="E1192" s="2">
        <v>0</v>
      </c>
      <c r="F1192" s="19" t="str">
        <f t="shared" si="69"/>
        <v>Joint</v>
      </c>
      <c r="G1192" s="19" t="str">
        <f t="shared" si="70"/>
        <v>Auto</v>
      </c>
      <c r="H1192" s="19" t="str">
        <f t="shared" si="71"/>
        <v>SR3+</v>
      </c>
    </row>
    <row r="1193" spans="1:8" x14ac:dyDescent="0.2">
      <c r="A1193" s="2" t="s">
        <v>98</v>
      </c>
      <c r="B1193" s="2" t="s">
        <v>66</v>
      </c>
      <c r="C1193" s="2">
        <v>3</v>
      </c>
      <c r="D1193" s="2">
        <v>19</v>
      </c>
      <c r="E1193" s="2">
        <v>0</v>
      </c>
      <c r="F1193" s="19" t="str">
        <f t="shared" si="69"/>
        <v>Joint</v>
      </c>
      <c r="G1193" s="19" t="str">
        <f t="shared" si="70"/>
        <v>Auto</v>
      </c>
      <c r="H1193" s="19" t="str">
        <f t="shared" si="71"/>
        <v>Taxi</v>
      </c>
    </row>
    <row r="1194" spans="1:8" x14ac:dyDescent="0.2">
      <c r="A1194" s="2" t="s">
        <v>98</v>
      </c>
      <c r="B1194" s="2" t="s">
        <v>66</v>
      </c>
      <c r="C1194" s="2">
        <v>5</v>
      </c>
      <c r="D1194" s="2">
        <v>3</v>
      </c>
      <c r="E1194" s="2">
        <v>0</v>
      </c>
      <c r="F1194" s="19" t="str">
        <f t="shared" si="69"/>
        <v>Joint</v>
      </c>
      <c r="G1194" s="19" t="str">
        <f t="shared" si="70"/>
        <v>Auto</v>
      </c>
      <c r="H1194" s="19" t="str">
        <f t="shared" si="71"/>
        <v>SR2</v>
      </c>
    </row>
    <row r="1195" spans="1:8" x14ac:dyDescent="0.2">
      <c r="A1195" s="2" t="s">
        <v>98</v>
      </c>
      <c r="B1195" s="2" t="s">
        <v>66</v>
      </c>
      <c r="C1195" s="2">
        <v>5</v>
      </c>
      <c r="D1195" s="2">
        <v>5</v>
      </c>
      <c r="E1195" s="2">
        <v>0</v>
      </c>
      <c r="F1195" s="19" t="str">
        <f t="shared" si="69"/>
        <v>Joint</v>
      </c>
      <c r="G1195" s="19" t="str">
        <f t="shared" si="70"/>
        <v>Auto</v>
      </c>
      <c r="H1195" s="19" t="str">
        <f t="shared" si="71"/>
        <v>SR3+</v>
      </c>
    </row>
    <row r="1196" spans="1:8" x14ac:dyDescent="0.2">
      <c r="A1196" s="2" t="s">
        <v>98</v>
      </c>
      <c r="B1196" s="2" t="s">
        <v>66</v>
      </c>
      <c r="C1196" s="2">
        <v>5</v>
      </c>
      <c r="D1196" s="2">
        <v>7</v>
      </c>
      <c r="E1196" s="2">
        <v>0</v>
      </c>
      <c r="F1196" s="19" t="str">
        <f t="shared" si="69"/>
        <v>Joint</v>
      </c>
      <c r="G1196" s="19" t="str">
        <f t="shared" si="70"/>
        <v>Auto</v>
      </c>
      <c r="H1196" s="19" t="str">
        <f t="shared" si="71"/>
        <v>Walk</v>
      </c>
    </row>
    <row r="1197" spans="1:8" x14ac:dyDescent="0.2">
      <c r="A1197" s="2" t="s">
        <v>98</v>
      </c>
      <c r="B1197" s="2" t="s">
        <v>66</v>
      </c>
      <c r="C1197" s="2">
        <v>5</v>
      </c>
      <c r="D1197" s="2">
        <v>19</v>
      </c>
      <c r="E1197" s="2">
        <v>0</v>
      </c>
      <c r="F1197" s="19" t="str">
        <f t="shared" si="69"/>
        <v>Joint</v>
      </c>
      <c r="G1197" s="19" t="str">
        <f t="shared" si="70"/>
        <v>Auto</v>
      </c>
      <c r="H1197" s="19" t="str">
        <f t="shared" si="71"/>
        <v>Taxi</v>
      </c>
    </row>
    <row r="1198" spans="1:8" x14ac:dyDescent="0.2">
      <c r="A1198" s="2" t="s">
        <v>98</v>
      </c>
      <c r="B1198" s="2" t="s">
        <v>66</v>
      </c>
      <c r="C1198" s="2">
        <v>5</v>
      </c>
      <c r="D1198" s="2">
        <v>20</v>
      </c>
      <c r="E1198" s="2">
        <v>0</v>
      </c>
      <c r="F1198" s="19" t="str">
        <f t="shared" si="69"/>
        <v>Joint</v>
      </c>
      <c r="G1198" s="19" t="str">
        <f t="shared" si="70"/>
        <v>Auto</v>
      </c>
      <c r="H1198" s="19" t="str">
        <f t="shared" si="71"/>
        <v>TNC-Single</v>
      </c>
    </row>
    <row r="1199" spans="1:8" x14ac:dyDescent="0.2">
      <c r="A1199" s="2" t="s">
        <v>98</v>
      </c>
      <c r="B1199" s="2" t="s">
        <v>66</v>
      </c>
      <c r="C1199" s="2">
        <v>7</v>
      </c>
      <c r="D1199" s="2">
        <v>7</v>
      </c>
      <c r="E1199" s="2">
        <v>0</v>
      </c>
      <c r="F1199" s="19" t="str">
        <f t="shared" si="69"/>
        <v>Joint</v>
      </c>
      <c r="G1199" s="19" t="str">
        <f t="shared" si="70"/>
        <v>Walk</v>
      </c>
      <c r="H1199" s="19" t="str">
        <f t="shared" si="71"/>
        <v>Walk</v>
      </c>
    </row>
    <row r="1200" spans="1:8" x14ac:dyDescent="0.2">
      <c r="A1200" s="2" t="s">
        <v>98</v>
      </c>
      <c r="B1200" s="2" t="s">
        <v>66</v>
      </c>
      <c r="C1200" s="2">
        <v>8</v>
      </c>
      <c r="D1200" s="2">
        <v>8</v>
      </c>
      <c r="E1200" s="2">
        <v>0</v>
      </c>
      <c r="F1200" s="19" t="str">
        <f t="shared" si="69"/>
        <v>Joint</v>
      </c>
      <c r="G1200" s="19" t="str">
        <f t="shared" si="70"/>
        <v>Bike</v>
      </c>
      <c r="H1200" s="19" t="str">
        <f t="shared" si="71"/>
        <v>Bike</v>
      </c>
    </row>
    <row r="1201" spans="1:8" x14ac:dyDescent="0.2">
      <c r="A1201" s="2" t="s">
        <v>98</v>
      </c>
      <c r="B1201" s="2" t="s">
        <v>66</v>
      </c>
      <c r="C1201" s="2">
        <v>9</v>
      </c>
      <c r="D1201" s="2">
        <v>3</v>
      </c>
      <c r="E1201" s="2">
        <v>0</v>
      </c>
      <c r="F1201" s="19" t="str">
        <f t="shared" si="69"/>
        <v>Joint</v>
      </c>
      <c r="G1201" s="19" t="str">
        <f t="shared" si="70"/>
        <v>Walk-Transit</v>
      </c>
      <c r="H1201" s="19" t="str">
        <f t="shared" si="71"/>
        <v>SR2</v>
      </c>
    </row>
    <row r="1202" spans="1:8" x14ac:dyDescent="0.2">
      <c r="A1202" s="2" t="s">
        <v>98</v>
      </c>
      <c r="B1202" s="2" t="s">
        <v>66</v>
      </c>
      <c r="C1202" s="2">
        <v>9</v>
      </c>
      <c r="D1202" s="2">
        <v>9</v>
      </c>
      <c r="E1202" s="2">
        <v>0</v>
      </c>
      <c r="F1202" s="19" t="str">
        <f t="shared" si="69"/>
        <v>Joint</v>
      </c>
      <c r="G1202" s="19" t="str">
        <f t="shared" si="70"/>
        <v>Walk-Transit</v>
      </c>
      <c r="H1202" s="19" t="str">
        <f t="shared" si="71"/>
        <v>Walk-Local</v>
      </c>
    </row>
    <row r="1203" spans="1:8" x14ac:dyDescent="0.2">
      <c r="A1203" s="2" t="s">
        <v>98</v>
      </c>
      <c r="B1203" s="2" t="s">
        <v>66</v>
      </c>
      <c r="C1203" s="2">
        <v>10</v>
      </c>
      <c r="D1203" s="2">
        <v>10</v>
      </c>
      <c r="E1203" s="2">
        <v>0</v>
      </c>
      <c r="F1203" s="19" t="str">
        <f t="shared" si="69"/>
        <v>Joint</v>
      </c>
      <c r="G1203" s="19" t="str">
        <f t="shared" si="70"/>
        <v>Walk-Transit</v>
      </c>
      <c r="H1203" s="19" t="str">
        <f t="shared" si="71"/>
        <v>Walk-LRT</v>
      </c>
    </row>
    <row r="1204" spans="1:8" x14ac:dyDescent="0.2">
      <c r="A1204" s="2" t="s">
        <v>98</v>
      </c>
      <c r="B1204" s="2" t="s">
        <v>66</v>
      </c>
      <c r="C1204" s="2">
        <v>12</v>
      </c>
      <c r="D1204" s="2">
        <v>12</v>
      </c>
      <c r="E1204" s="2">
        <v>0</v>
      </c>
      <c r="F1204" s="19" t="str">
        <f t="shared" si="69"/>
        <v>Joint</v>
      </c>
      <c r="G1204" s="19" t="str">
        <f t="shared" si="70"/>
        <v>Walk-Transit</v>
      </c>
      <c r="H1204" s="19" t="str">
        <f t="shared" si="71"/>
        <v>Walk-HeavyR</v>
      </c>
    </row>
    <row r="1205" spans="1:8" x14ac:dyDescent="0.2">
      <c r="A1205" s="2" t="s">
        <v>98</v>
      </c>
      <c r="B1205" s="2" t="s">
        <v>66</v>
      </c>
      <c r="C1205" s="2">
        <v>14</v>
      </c>
      <c r="D1205" s="2">
        <v>14</v>
      </c>
      <c r="E1205" s="2">
        <v>0</v>
      </c>
      <c r="F1205" s="19" t="str">
        <f t="shared" si="69"/>
        <v>Joint</v>
      </c>
      <c r="G1205" s="19" t="str">
        <f t="shared" si="70"/>
        <v>Drive-Transit</v>
      </c>
      <c r="H1205" s="19" t="str">
        <f t="shared" si="71"/>
        <v>Drive-Local</v>
      </c>
    </row>
    <row r="1206" spans="1:8" x14ac:dyDescent="0.2">
      <c r="A1206" s="2" t="s">
        <v>98</v>
      </c>
      <c r="B1206" s="2" t="s">
        <v>66</v>
      </c>
      <c r="C1206" s="2">
        <v>17</v>
      </c>
      <c r="D1206" s="2">
        <v>17</v>
      </c>
      <c r="E1206" s="2">
        <v>0</v>
      </c>
      <c r="F1206" s="19" t="str">
        <f t="shared" si="69"/>
        <v>Joint</v>
      </c>
      <c r="G1206" s="19" t="str">
        <f t="shared" si="70"/>
        <v>Drive-Transit</v>
      </c>
      <c r="H1206" s="19" t="str">
        <f t="shared" si="71"/>
        <v>Drive-HeavyR</v>
      </c>
    </row>
    <row r="1207" spans="1:8" x14ac:dyDescent="0.2">
      <c r="A1207" s="2" t="s">
        <v>98</v>
      </c>
      <c r="B1207" s="2" t="s">
        <v>66</v>
      </c>
      <c r="C1207" s="2">
        <v>18</v>
      </c>
      <c r="D1207" s="2">
        <v>15</v>
      </c>
      <c r="E1207" s="2">
        <v>0</v>
      </c>
      <c r="F1207" s="19" t="str">
        <f t="shared" si="69"/>
        <v>Joint</v>
      </c>
      <c r="G1207" s="19" t="str">
        <f t="shared" si="70"/>
        <v>Drive-Transit</v>
      </c>
      <c r="H1207" s="19" t="str">
        <f t="shared" si="71"/>
        <v>Drive-LRT</v>
      </c>
    </row>
    <row r="1208" spans="1:8" x14ac:dyDescent="0.2">
      <c r="A1208" s="2" t="s">
        <v>98</v>
      </c>
      <c r="B1208" s="2" t="s">
        <v>66</v>
      </c>
      <c r="C1208" s="2">
        <v>18</v>
      </c>
      <c r="D1208" s="2">
        <v>18</v>
      </c>
      <c r="E1208" s="2">
        <v>0</v>
      </c>
      <c r="F1208" s="19" t="str">
        <f t="shared" si="69"/>
        <v>Joint</v>
      </c>
      <c r="G1208" s="19" t="str">
        <f t="shared" si="70"/>
        <v>Drive-Transit</v>
      </c>
      <c r="H1208" s="19" t="str">
        <f t="shared" si="71"/>
        <v>Drive-CommR</v>
      </c>
    </row>
    <row r="1209" spans="1:8" x14ac:dyDescent="0.2">
      <c r="A1209" s="2" t="s">
        <v>98</v>
      </c>
      <c r="B1209" s="2" t="s">
        <v>66</v>
      </c>
      <c r="C1209" s="2">
        <v>19</v>
      </c>
      <c r="D1209" s="2">
        <v>19</v>
      </c>
      <c r="E1209" s="2">
        <v>0</v>
      </c>
      <c r="F1209" s="19" t="str">
        <f t="shared" si="69"/>
        <v>Joint</v>
      </c>
      <c r="G1209" s="19" t="str">
        <f t="shared" si="70"/>
        <v>Taxi</v>
      </c>
      <c r="H1209" s="19" t="str">
        <f t="shared" si="71"/>
        <v>Taxi</v>
      </c>
    </row>
    <row r="1210" spans="1:8" x14ac:dyDescent="0.2">
      <c r="A1210" s="2" t="s">
        <v>98</v>
      </c>
      <c r="B1210" s="2" t="s">
        <v>66</v>
      </c>
      <c r="C1210" s="2">
        <v>20</v>
      </c>
      <c r="D1210" s="2">
        <v>19</v>
      </c>
      <c r="E1210" s="2">
        <v>0</v>
      </c>
      <c r="F1210" s="19" t="str">
        <f t="shared" si="69"/>
        <v>Joint</v>
      </c>
      <c r="G1210" s="19" t="str">
        <f t="shared" si="70"/>
        <v>TNC-Single</v>
      </c>
      <c r="H1210" s="19" t="str">
        <f t="shared" si="71"/>
        <v>Taxi</v>
      </c>
    </row>
    <row r="1211" spans="1:8" x14ac:dyDescent="0.2">
      <c r="A1211" s="2" t="s">
        <v>98</v>
      </c>
      <c r="B1211" s="2" t="s">
        <v>66</v>
      </c>
      <c r="C1211" s="2">
        <v>20</v>
      </c>
      <c r="D1211" s="2">
        <v>21</v>
      </c>
      <c r="E1211" s="2">
        <v>0</v>
      </c>
      <c r="F1211" s="19" t="str">
        <f t="shared" si="69"/>
        <v>Joint</v>
      </c>
      <c r="G1211" s="19" t="str">
        <f t="shared" si="70"/>
        <v>TNC-Single</v>
      </c>
      <c r="H1211" s="19" t="str">
        <f t="shared" si="71"/>
        <v>TNC-Shared</v>
      </c>
    </row>
    <row r="1212" spans="1:8" x14ac:dyDescent="0.2">
      <c r="A1212" s="2" t="s">
        <v>98</v>
      </c>
      <c r="B1212" s="2" t="s">
        <v>66</v>
      </c>
      <c r="C1212" s="2">
        <v>21</v>
      </c>
      <c r="D1212" s="2">
        <v>19</v>
      </c>
      <c r="E1212" s="2">
        <v>0</v>
      </c>
      <c r="F1212" s="19" t="str">
        <f t="shared" si="69"/>
        <v>Joint</v>
      </c>
      <c r="G1212" s="19" t="str">
        <f t="shared" si="70"/>
        <v>TNC-Shared</v>
      </c>
      <c r="H1212" s="19" t="str">
        <f t="shared" si="71"/>
        <v>Taxi</v>
      </c>
    </row>
    <row r="1213" spans="1:8" x14ac:dyDescent="0.2">
      <c r="A1213" s="2" t="s">
        <v>98</v>
      </c>
      <c r="B1213" s="2" t="s">
        <v>66</v>
      </c>
      <c r="C1213" s="2">
        <v>21</v>
      </c>
      <c r="D1213" s="2">
        <v>20</v>
      </c>
      <c r="E1213" s="2">
        <v>0</v>
      </c>
      <c r="F1213" s="19" t="str">
        <f t="shared" si="69"/>
        <v>Joint</v>
      </c>
      <c r="G1213" s="19" t="str">
        <f t="shared" si="70"/>
        <v>TNC-Shared</v>
      </c>
      <c r="H1213" s="19" t="str">
        <f t="shared" si="71"/>
        <v>TNC-Single</v>
      </c>
    </row>
    <row r="1214" spans="1:8" x14ac:dyDescent="0.2">
      <c r="A1214" s="2" t="s">
        <v>98</v>
      </c>
      <c r="B1214" s="2" t="s">
        <v>69</v>
      </c>
      <c r="C1214" s="2">
        <v>3</v>
      </c>
      <c r="D1214" s="2">
        <v>3</v>
      </c>
      <c r="E1214" s="2">
        <v>0</v>
      </c>
      <c r="F1214" s="19" t="str">
        <f t="shared" si="69"/>
        <v>Joint</v>
      </c>
      <c r="G1214" s="19" t="str">
        <f t="shared" si="70"/>
        <v>Auto</v>
      </c>
      <c r="H1214" s="19" t="str">
        <f t="shared" si="71"/>
        <v>SR2</v>
      </c>
    </row>
    <row r="1215" spans="1:8" x14ac:dyDescent="0.2">
      <c r="A1215" s="2" t="s">
        <v>98</v>
      </c>
      <c r="B1215" s="2" t="s">
        <v>69</v>
      </c>
      <c r="C1215" s="2">
        <v>3</v>
      </c>
      <c r="D1215" s="2">
        <v>5</v>
      </c>
      <c r="E1215" s="2">
        <v>0</v>
      </c>
      <c r="F1215" s="19" t="str">
        <f t="shared" si="69"/>
        <v>Joint</v>
      </c>
      <c r="G1215" s="19" t="str">
        <f t="shared" si="70"/>
        <v>Auto</v>
      </c>
      <c r="H1215" s="19" t="str">
        <f t="shared" si="71"/>
        <v>SR3+</v>
      </c>
    </row>
    <row r="1216" spans="1:8" x14ac:dyDescent="0.2">
      <c r="A1216" s="2" t="s">
        <v>98</v>
      </c>
      <c r="B1216" s="2" t="s">
        <v>69</v>
      </c>
      <c r="C1216" s="2">
        <v>3</v>
      </c>
      <c r="D1216" s="2">
        <v>7</v>
      </c>
      <c r="E1216" s="2">
        <v>0</v>
      </c>
      <c r="F1216" s="19" t="str">
        <f t="shared" si="69"/>
        <v>Joint</v>
      </c>
      <c r="G1216" s="19" t="str">
        <f t="shared" si="70"/>
        <v>Auto</v>
      </c>
      <c r="H1216" s="19" t="str">
        <f t="shared" si="71"/>
        <v>Walk</v>
      </c>
    </row>
    <row r="1217" spans="1:8" x14ac:dyDescent="0.2">
      <c r="A1217" s="2" t="s">
        <v>98</v>
      </c>
      <c r="B1217" s="2" t="s">
        <v>69</v>
      </c>
      <c r="C1217" s="2">
        <v>3</v>
      </c>
      <c r="D1217" s="2">
        <v>19</v>
      </c>
      <c r="E1217" s="2">
        <v>0</v>
      </c>
      <c r="F1217" s="19" t="str">
        <f t="shared" si="69"/>
        <v>Joint</v>
      </c>
      <c r="G1217" s="19" t="str">
        <f t="shared" si="70"/>
        <v>Auto</v>
      </c>
      <c r="H1217" s="19" t="str">
        <f t="shared" si="71"/>
        <v>Taxi</v>
      </c>
    </row>
    <row r="1218" spans="1:8" x14ac:dyDescent="0.2">
      <c r="A1218" s="2" t="s">
        <v>98</v>
      </c>
      <c r="B1218" s="2" t="s">
        <v>69</v>
      </c>
      <c r="C1218" s="2">
        <v>5</v>
      </c>
      <c r="D1218" s="2">
        <v>3</v>
      </c>
      <c r="E1218" s="2">
        <v>0</v>
      </c>
      <c r="F1218" s="19" t="str">
        <f t="shared" si="69"/>
        <v>Joint</v>
      </c>
      <c r="G1218" s="19" t="str">
        <f t="shared" si="70"/>
        <v>Auto</v>
      </c>
      <c r="H1218" s="19" t="str">
        <f t="shared" si="71"/>
        <v>SR2</v>
      </c>
    </row>
    <row r="1219" spans="1:8" x14ac:dyDescent="0.2">
      <c r="A1219" s="2" t="s">
        <v>98</v>
      </c>
      <c r="B1219" s="2" t="s">
        <v>69</v>
      </c>
      <c r="C1219" s="2">
        <v>5</v>
      </c>
      <c r="D1219" s="2">
        <v>5</v>
      </c>
      <c r="E1219" s="2">
        <v>0</v>
      </c>
      <c r="F1219" s="19" t="str">
        <f t="shared" ref="F1219:F1282" si="72">IF(A1219="joint","Joint",_xlfn.IFNA(VLOOKUP(B1219,tour_purposes,2,FALSE),"None"))</f>
        <v>Joint</v>
      </c>
      <c r="G1219" s="19" t="str">
        <f t="shared" ref="G1219:G1282" si="73">IF(AND(A1219="joint",C1219&lt;=6),"Auto",_xlfn.IFNA(VLOOKUP(C1219,tour_modes,3,FALSE),"None"))</f>
        <v>Auto</v>
      </c>
      <c r="H1219" s="19" t="str">
        <f t="shared" ref="H1219:H1282" si="74">_xlfn.IFNA(VLOOKUP(D1219,trip_modes,2,FALSE),"None")</f>
        <v>SR3+</v>
      </c>
    </row>
    <row r="1220" spans="1:8" x14ac:dyDescent="0.2">
      <c r="A1220" s="2" t="s">
        <v>98</v>
      </c>
      <c r="B1220" s="2" t="s">
        <v>69</v>
      </c>
      <c r="C1220" s="2">
        <v>5</v>
      </c>
      <c r="D1220" s="2">
        <v>7</v>
      </c>
      <c r="E1220" s="2">
        <v>0</v>
      </c>
      <c r="F1220" s="19" t="str">
        <f t="shared" si="72"/>
        <v>Joint</v>
      </c>
      <c r="G1220" s="19" t="str">
        <f t="shared" si="73"/>
        <v>Auto</v>
      </c>
      <c r="H1220" s="19" t="str">
        <f t="shared" si="74"/>
        <v>Walk</v>
      </c>
    </row>
    <row r="1221" spans="1:8" x14ac:dyDescent="0.2">
      <c r="A1221" s="2" t="s">
        <v>98</v>
      </c>
      <c r="B1221" s="2" t="s">
        <v>69</v>
      </c>
      <c r="C1221" s="2">
        <v>5</v>
      </c>
      <c r="D1221" s="2">
        <v>19</v>
      </c>
      <c r="E1221" s="2">
        <v>0</v>
      </c>
      <c r="F1221" s="19" t="str">
        <f t="shared" si="72"/>
        <v>Joint</v>
      </c>
      <c r="G1221" s="19" t="str">
        <f t="shared" si="73"/>
        <v>Auto</v>
      </c>
      <c r="H1221" s="19" t="str">
        <f t="shared" si="74"/>
        <v>Taxi</v>
      </c>
    </row>
    <row r="1222" spans="1:8" x14ac:dyDescent="0.2">
      <c r="A1222" s="2" t="s">
        <v>98</v>
      </c>
      <c r="B1222" s="2" t="s">
        <v>69</v>
      </c>
      <c r="C1222" s="2">
        <v>5</v>
      </c>
      <c r="D1222" s="2">
        <v>20</v>
      </c>
      <c r="E1222" s="2">
        <v>0</v>
      </c>
      <c r="F1222" s="19" t="str">
        <f t="shared" si="72"/>
        <v>Joint</v>
      </c>
      <c r="G1222" s="19" t="str">
        <f t="shared" si="73"/>
        <v>Auto</v>
      </c>
      <c r="H1222" s="19" t="str">
        <f t="shared" si="74"/>
        <v>TNC-Single</v>
      </c>
    </row>
    <row r="1223" spans="1:8" x14ac:dyDescent="0.2">
      <c r="A1223" s="2" t="s">
        <v>98</v>
      </c>
      <c r="B1223" s="2" t="s">
        <v>69</v>
      </c>
      <c r="C1223" s="2">
        <v>5</v>
      </c>
      <c r="D1223" s="2">
        <v>21</v>
      </c>
      <c r="E1223" s="2">
        <v>0</v>
      </c>
      <c r="F1223" s="19" t="str">
        <f t="shared" si="72"/>
        <v>Joint</v>
      </c>
      <c r="G1223" s="19" t="str">
        <f t="shared" si="73"/>
        <v>Auto</v>
      </c>
      <c r="H1223" s="19" t="str">
        <f t="shared" si="74"/>
        <v>TNC-Shared</v>
      </c>
    </row>
    <row r="1224" spans="1:8" x14ac:dyDescent="0.2">
      <c r="A1224" s="2" t="s">
        <v>98</v>
      </c>
      <c r="B1224" s="2" t="s">
        <v>69</v>
      </c>
      <c r="C1224" s="2">
        <v>7</v>
      </c>
      <c r="D1224" s="2">
        <v>7</v>
      </c>
      <c r="E1224" s="2">
        <v>0</v>
      </c>
      <c r="F1224" s="19" t="str">
        <f t="shared" si="72"/>
        <v>Joint</v>
      </c>
      <c r="G1224" s="19" t="str">
        <f t="shared" si="73"/>
        <v>Walk</v>
      </c>
      <c r="H1224" s="19" t="str">
        <f t="shared" si="74"/>
        <v>Walk</v>
      </c>
    </row>
    <row r="1225" spans="1:8" x14ac:dyDescent="0.2">
      <c r="A1225" s="2" t="s">
        <v>98</v>
      </c>
      <c r="B1225" s="2" t="s">
        <v>69</v>
      </c>
      <c r="C1225" s="2">
        <v>7</v>
      </c>
      <c r="D1225" s="2">
        <v>19</v>
      </c>
      <c r="E1225" s="2">
        <v>0</v>
      </c>
      <c r="F1225" s="19" t="str">
        <f t="shared" si="72"/>
        <v>Joint</v>
      </c>
      <c r="G1225" s="19" t="str">
        <f t="shared" si="73"/>
        <v>Walk</v>
      </c>
      <c r="H1225" s="19" t="str">
        <f t="shared" si="74"/>
        <v>Taxi</v>
      </c>
    </row>
    <row r="1226" spans="1:8" x14ac:dyDescent="0.2">
      <c r="A1226" s="2" t="s">
        <v>98</v>
      </c>
      <c r="B1226" s="2" t="s">
        <v>69</v>
      </c>
      <c r="C1226" s="2">
        <v>8</v>
      </c>
      <c r="D1226" s="2">
        <v>8</v>
      </c>
      <c r="E1226" s="2">
        <v>0</v>
      </c>
      <c r="F1226" s="19" t="str">
        <f t="shared" si="72"/>
        <v>Joint</v>
      </c>
      <c r="G1226" s="19" t="str">
        <f t="shared" si="73"/>
        <v>Bike</v>
      </c>
      <c r="H1226" s="19" t="str">
        <f t="shared" si="74"/>
        <v>Bike</v>
      </c>
    </row>
    <row r="1227" spans="1:8" x14ac:dyDescent="0.2">
      <c r="A1227" s="2" t="s">
        <v>98</v>
      </c>
      <c r="B1227" s="2" t="s">
        <v>69</v>
      </c>
      <c r="C1227" s="2">
        <v>9</v>
      </c>
      <c r="D1227" s="2">
        <v>9</v>
      </c>
      <c r="E1227" s="2">
        <v>0</v>
      </c>
      <c r="F1227" s="19" t="str">
        <f t="shared" si="72"/>
        <v>Joint</v>
      </c>
      <c r="G1227" s="19" t="str">
        <f t="shared" si="73"/>
        <v>Walk-Transit</v>
      </c>
      <c r="H1227" s="19" t="str">
        <f t="shared" si="74"/>
        <v>Walk-Local</v>
      </c>
    </row>
    <row r="1228" spans="1:8" x14ac:dyDescent="0.2">
      <c r="A1228" s="2" t="s">
        <v>98</v>
      </c>
      <c r="B1228" s="2" t="s">
        <v>69</v>
      </c>
      <c r="C1228" s="2">
        <v>10</v>
      </c>
      <c r="D1228" s="2">
        <v>10</v>
      </c>
      <c r="E1228" s="2">
        <v>0</v>
      </c>
      <c r="F1228" s="19" t="str">
        <f t="shared" si="72"/>
        <v>Joint</v>
      </c>
      <c r="G1228" s="19" t="str">
        <f t="shared" si="73"/>
        <v>Walk-Transit</v>
      </c>
      <c r="H1228" s="19" t="str">
        <f t="shared" si="74"/>
        <v>Walk-LRT</v>
      </c>
    </row>
    <row r="1229" spans="1:8" x14ac:dyDescent="0.2">
      <c r="A1229" s="2" t="s">
        <v>98</v>
      </c>
      <c r="B1229" s="2" t="s">
        <v>69</v>
      </c>
      <c r="C1229" s="2">
        <v>12</v>
      </c>
      <c r="D1229" s="2">
        <v>12</v>
      </c>
      <c r="E1229" s="2">
        <v>0</v>
      </c>
      <c r="F1229" s="19" t="str">
        <f t="shared" si="72"/>
        <v>Joint</v>
      </c>
      <c r="G1229" s="19" t="str">
        <f t="shared" si="73"/>
        <v>Walk-Transit</v>
      </c>
      <c r="H1229" s="19" t="str">
        <f t="shared" si="74"/>
        <v>Walk-HeavyR</v>
      </c>
    </row>
    <row r="1230" spans="1:8" x14ac:dyDescent="0.2">
      <c r="A1230" s="2" t="s">
        <v>98</v>
      </c>
      <c r="B1230" s="2" t="s">
        <v>69</v>
      </c>
      <c r="C1230" s="2">
        <v>15</v>
      </c>
      <c r="D1230" s="2">
        <v>15</v>
      </c>
      <c r="E1230" s="2">
        <v>0</v>
      </c>
      <c r="F1230" s="19" t="str">
        <f t="shared" si="72"/>
        <v>Joint</v>
      </c>
      <c r="G1230" s="19" t="str">
        <f t="shared" si="73"/>
        <v>Drive-Transit</v>
      </c>
      <c r="H1230" s="19" t="str">
        <f t="shared" si="74"/>
        <v>Drive-LRT</v>
      </c>
    </row>
    <row r="1231" spans="1:8" x14ac:dyDescent="0.2">
      <c r="A1231" s="2" t="s">
        <v>98</v>
      </c>
      <c r="B1231" s="2" t="s">
        <v>69</v>
      </c>
      <c r="C1231" s="2">
        <v>17</v>
      </c>
      <c r="D1231" s="2">
        <v>17</v>
      </c>
      <c r="E1231" s="2">
        <v>0</v>
      </c>
      <c r="F1231" s="19" t="str">
        <f t="shared" si="72"/>
        <v>Joint</v>
      </c>
      <c r="G1231" s="19" t="str">
        <f t="shared" si="73"/>
        <v>Drive-Transit</v>
      </c>
      <c r="H1231" s="19" t="str">
        <f t="shared" si="74"/>
        <v>Drive-HeavyR</v>
      </c>
    </row>
    <row r="1232" spans="1:8" x14ac:dyDescent="0.2">
      <c r="A1232" s="2" t="s">
        <v>98</v>
      </c>
      <c r="B1232" s="2" t="s">
        <v>69</v>
      </c>
      <c r="C1232" s="2">
        <v>19</v>
      </c>
      <c r="D1232" s="2">
        <v>19</v>
      </c>
      <c r="E1232" s="2">
        <v>0</v>
      </c>
      <c r="F1232" s="19" t="str">
        <f t="shared" si="72"/>
        <v>Joint</v>
      </c>
      <c r="G1232" s="19" t="str">
        <f t="shared" si="73"/>
        <v>Taxi</v>
      </c>
      <c r="H1232" s="19" t="str">
        <f t="shared" si="74"/>
        <v>Taxi</v>
      </c>
    </row>
    <row r="1233" spans="1:8" x14ac:dyDescent="0.2">
      <c r="A1233" s="2" t="s">
        <v>98</v>
      </c>
      <c r="B1233" s="2" t="s">
        <v>69</v>
      </c>
      <c r="C1233" s="2">
        <v>20</v>
      </c>
      <c r="D1233" s="2">
        <v>19</v>
      </c>
      <c r="E1233" s="2">
        <v>0</v>
      </c>
      <c r="F1233" s="19" t="str">
        <f t="shared" si="72"/>
        <v>Joint</v>
      </c>
      <c r="G1233" s="19" t="str">
        <f t="shared" si="73"/>
        <v>TNC-Single</v>
      </c>
      <c r="H1233" s="19" t="str">
        <f t="shared" si="74"/>
        <v>Taxi</v>
      </c>
    </row>
    <row r="1234" spans="1:8" x14ac:dyDescent="0.2">
      <c r="A1234" s="2" t="s">
        <v>98</v>
      </c>
      <c r="B1234" s="2" t="s">
        <v>69</v>
      </c>
      <c r="C1234" s="2">
        <v>20</v>
      </c>
      <c r="D1234" s="2">
        <v>20</v>
      </c>
      <c r="E1234" s="2">
        <v>0</v>
      </c>
      <c r="F1234" s="19" t="str">
        <f t="shared" si="72"/>
        <v>Joint</v>
      </c>
      <c r="G1234" s="19" t="str">
        <f t="shared" si="73"/>
        <v>TNC-Single</v>
      </c>
      <c r="H1234" s="19" t="str">
        <f t="shared" si="74"/>
        <v>TNC-Single</v>
      </c>
    </row>
    <row r="1235" spans="1:8" x14ac:dyDescent="0.2">
      <c r="A1235" s="2" t="s">
        <v>98</v>
      </c>
      <c r="B1235" s="2" t="s">
        <v>69</v>
      </c>
      <c r="C1235" s="2">
        <v>21</v>
      </c>
      <c r="D1235" s="2">
        <v>19</v>
      </c>
      <c r="E1235" s="2">
        <v>0</v>
      </c>
      <c r="F1235" s="19" t="str">
        <f t="shared" si="72"/>
        <v>Joint</v>
      </c>
      <c r="G1235" s="19" t="str">
        <f t="shared" si="73"/>
        <v>TNC-Shared</v>
      </c>
      <c r="H1235" s="19" t="str">
        <f t="shared" si="74"/>
        <v>Taxi</v>
      </c>
    </row>
    <row r="1236" spans="1:8" x14ac:dyDescent="0.2">
      <c r="A1236" s="2" t="s">
        <v>98</v>
      </c>
      <c r="B1236" s="2" t="s">
        <v>70</v>
      </c>
      <c r="C1236" s="2">
        <v>3</v>
      </c>
      <c r="D1236" s="2">
        <v>3</v>
      </c>
      <c r="E1236" s="2">
        <v>0</v>
      </c>
      <c r="F1236" s="19" t="str">
        <f t="shared" si="72"/>
        <v>Joint</v>
      </c>
      <c r="G1236" s="19" t="str">
        <f t="shared" si="73"/>
        <v>Auto</v>
      </c>
      <c r="H1236" s="19" t="str">
        <f t="shared" si="74"/>
        <v>SR2</v>
      </c>
    </row>
    <row r="1237" spans="1:8" x14ac:dyDescent="0.2">
      <c r="A1237" s="2" t="s">
        <v>98</v>
      </c>
      <c r="B1237" s="2" t="s">
        <v>70</v>
      </c>
      <c r="C1237" s="2">
        <v>3</v>
      </c>
      <c r="D1237" s="2">
        <v>5</v>
      </c>
      <c r="E1237" s="2">
        <v>0</v>
      </c>
      <c r="F1237" s="19" t="str">
        <f t="shared" si="72"/>
        <v>Joint</v>
      </c>
      <c r="G1237" s="19" t="str">
        <f t="shared" si="73"/>
        <v>Auto</v>
      </c>
      <c r="H1237" s="19" t="str">
        <f t="shared" si="74"/>
        <v>SR3+</v>
      </c>
    </row>
    <row r="1238" spans="1:8" x14ac:dyDescent="0.2">
      <c r="A1238" s="2" t="s">
        <v>98</v>
      </c>
      <c r="B1238" s="2" t="s">
        <v>70</v>
      </c>
      <c r="C1238" s="2">
        <v>5</v>
      </c>
      <c r="D1238" s="2">
        <v>3</v>
      </c>
      <c r="E1238" s="2">
        <v>0</v>
      </c>
      <c r="F1238" s="19" t="str">
        <f t="shared" si="72"/>
        <v>Joint</v>
      </c>
      <c r="G1238" s="19" t="str">
        <f t="shared" si="73"/>
        <v>Auto</v>
      </c>
      <c r="H1238" s="19" t="str">
        <f t="shared" si="74"/>
        <v>SR2</v>
      </c>
    </row>
    <row r="1239" spans="1:8" x14ac:dyDescent="0.2">
      <c r="A1239" s="2" t="s">
        <v>98</v>
      </c>
      <c r="B1239" s="2" t="s">
        <v>70</v>
      </c>
      <c r="C1239" s="2">
        <v>5</v>
      </c>
      <c r="D1239" s="2">
        <v>5</v>
      </c>
      <c r="E1239" s="2">
        <v>0</v>
      </c>
      <c r="F1239" s="19" t="str">
        <f t="shared" si="72"/>
        <v>Joint</v>
      </c>
      <c r="G1239" s="19" t="str">
        <f t="shared" si="73"/>
        <v>Auto</v>
      </c>
      <c r="H1239" s="19" t="str">
        <f t="shared" si="74"/>
        <v>SR3+</v>
      </c>
    </row>
    <row r="1240" spans="1:8" x14ac:dyDescent="0.2">
      <c r="A1240" s="2" t="s">
        <v>98</v>
      </c>
      <c r="B1240" s="2" t="s">
        <v>70</v>
      </c>
      <c r="C1240" s="2">
        <v>5</v>
      </c>
      <c r="D1240" s="2">
        <v>7</v>
      </c>
      <c r="E1240" s="2">
        <v>0</v>
      </c>
      <c r="F1240" s="19" t="str">
        <f t="shared" si="72"/>
        <v>Joint</v>
      </c>
      <c r="G1240" s="19" t="str">
        <f t="shared" si="73"/>
        <v>Auto</v>
      </c>
      <c r="H1240" s="19" t="str">
        <f t="shared" si="74"/>
        <v>Walk</v>
      </c>
    </row>
    <row r="1241" spans="1:8" x14ac:dyDescent="0.2">
      <c r="A1241" s="2" t="s">
        <v>98</v>
      </c>
      <c r="B1241" s="2" t="s">
        <v>70</v>
      </c>
      <c r="C1241" s="2">
        <v>5</v>
      </c>
      <c r="D1241" s="2">
        <v>19</v>
      </c>
      <c r="E1241" s="2">
        <v>0</v>
      </c>
      <c r="F1241" s="19" t="str">
        <f t="shared" si="72"/>
        <v>Joint</v>
      </c>
      <c r="G1241" s="19" t="str">
        <f t="shared" si="73"/>
        <v>Auto</v>
      </c>
      <c r="H1241" s="19" t="str">
        <f t="shared" si="74"/>
        <v>Taxi</v>
      </c>
    </row>
    <row r="1242" spans="1:8" x14ac:dyDescent="0.2">
      <c r="A1242" s="2" t="s">
        <v>98</v>
      </c>
      <c r="B1242" s="2" t="s">
        <v>70</v>
      </c>
      <c r="C1242" s="2">
        <v>5</v>
      </c>
      <c r="D1242" s="2">
        <v>20</v>
      </c>
      <c r="E1242" s="2">
        <v>0</v>
      </c>
      <c r="F1242" s="19" t="str">
        <f t="shared" si="72"/>
        <v>Joint</v>
      </c>
      <c r="G1242" s="19" t="str">
        <f t="shared" si="73"/>
        <v>Auto</v>
      </c>
      <c r="H1242" s="19" t="str">
        <f t="shared" si="74"/>
        <v>TNC-Single</v>
      </c>
    </row>
    <row r="1243" spans="1:8" x14ac:dyDescent="0.2">
      <c r="A1243" s="2" t="s">
        <v>98</v>
      </c>
      <c r="B1243" s="2" t="s">
        <v>70</v>
      </c>
      <c r="C1243" s="2">
        <v>7</v>
      </c>
      <c r="D1243" s="2">
        <v>7</v>
      </c>
      <c r="E1243" s="2">
        <v>0</v>
      </c>
      <c r="F1243" s="19" t="str">
        <f t="shared" si="72"/>
        <v>Joint</v>
      </c>
      <c r="G1243" s="19" t="str">
        <f t="shared" si="73"/>
        <v>Walk</v>
      </c>
      <c r="H1243" s="19" t="str">
        <f t="shared" si="74"/>
        <v>Walk</v>
      </c>
    </row>
    <row r="1244" spans="1:8" x14ac:dyDescent="0.2">
      <c r="A1244" s="2" t="s">
        <v>98</v>
      </c>
      <c r="B1244" s="2" t="s">
        <v>70</v>
      </c>
      <c r="C1244" s="2">
        <v>8</v>
      </c>
      <c r="D1244" s="2">
        <v>8</v>
      </c>
      <c r="E1244" s="2">
        <v>0</v>
      </c>
      <c r="F1244" s="19" t="str">
        <f t="shared" si="72"/>
        <v>Joint</v>
      </c>
      <c r="G1244" s="19" t="str">
        <f t="shared" si="73"/>
        <v>Bike</v>
      </c>
      <c r="H1244" s="19" t="str">
        <f t="shared" si="74"/>
        <v>Bike</v>
      </c>
    </row>
    <row r="1245" spans="1:8" x14ac:dyDescent="0.2">
      <c r="A1245" s="2" t="s">
        <v>98</v>
      </c>
      <c r="B1245" s="2" t="s">
        <v>70</v>
      </c>
      <c r="C1245" s="2">
        <v>9</v>
      </c>
      <c r="D1245" s="2">
        <v>9</v>
      </c>
      <c r="E1245" s="2">
        <v>0</v>
      </c>
      <c r="F1245" s="19" t="str">
        <f t="shared" si="72"/>
        <v>Joint</v>
      </c>
      <c r="G1245" s="19" t="str">
        <f t="shared" si="73"/>
        <v>Walk-Transit</v>
      </c>
      <c r="H1245" s="19" t="str">
        <f t="shared" si="74"/>
        <v>Walk-Local</v>
      </c>
    </row>
    <row r="1246" spans="1:8" x14ac:dyDescent="0.2">
      <c r="A1246" s="2" t="s">
        <v>98</v>
      </c>
      <c r="B1246" s="2" t="s">
        <v>70</v>
      </c>
      <c r="C1246" s="2">
        <v>10</v>
      </c>
      <c r="D1246" s="2">
        <v>9</v>
      </c>
      <c r="E1246" s="2">
        <v>0</v>
      </c>
      <c r="F1246" s="19" t="str">
        <f t="shared" si="72"/>
        <v>Joint</v>
      </c>
      <c r="G1246" s="19" t="str">
        <f t="shared" si="73"/>
        <v>Walk-Transit</v>
      </c>
      <c r="H1246" s="19" t="str">
        <f t="shared" si="74"/>
        <v>Walk-Local</v>
      </c>
    </row>
    <row r="1247" spans="1:8" x14ac:dyDescent="0.2">
      <c r="A1247" s="2" t="s">
        <v>98</v>
      </c>
      <c r="B1247" s="2" t="s">
        <v>70</v>
      </c>
      <c r="C1247" s="2">
        <v>10</v>
      </c>
      <c r="D1247" s="2">
        <v>10</v>
      </c>
      <c r="E1247" s="2">
        <v>0</v>
      </c>
      <c r="F1247" s="19" t="str">
        <f t="shared" si="72"/>
        <v>Joint</v>
      </c>
      <c r="G1247" s="19" t="str">
        <f t="shared" si="73"/>
        <v>Walk-Transit</v>
      </c>
      <c r="H1247" s="19" t="str">
        <f t="shared" si="74"/>
        <v>Walk-LRT</v>
      </c>
    </row>
    <row r="1248" spans="1:8" x14ac:dyDescent="0.2">
      <c r="A1248" s="2" t="s">
        <v>98</v>
      </c>
      <c r="B1248" s="2" t="s">
        <v>70</v>
      </c>
      <c r="C1248" s="2">
        <v>12</v>
      </c>
      <c r="D1248" s="2">
        <v>12</v>
      </c>
      <c r="E1248" s="2">
        <v>0</v>
      </c>
      <c r="F1248" s="19" t="str">
        <f t="shared" si="72"/>
        <v>Joint</v>
      </c>
      <c r="G1248" s="19" t="str">
        <f t="shared" si="73"/>
        <v>Walk-Transit</v>
      </c>
      <c r="H1248" s="19" t="str">
        <f t="shared" si="74"/>
        <v>Walk-HeavyR</v>
      </c>
    </row>
    <row r="1249" spans="1:8" x14ac:dyDescent="0.2">
      <c r="A1249" s="2" t="s">
        <v>98</v>
      </c>
      <c r="B1249" s="2" t="s">
        <v>70</v>
      </c>
      <c r="C1249" s="2">
        <v>18</v>
      </c>
      <c r="D1249" s="2">
        <v>18</v>
      </c>
      <c r="E1249" s="2">
        <v>0</v>
      </c>
      <c r="F1249" s="19" t="str">
        <f t="shared" si="72"/>
        <v>Joint</v>
      </c>
      <c r="G1249" s="19" t="str">
        <f t="shared" si="73"/>
        <v>Drive-Transit</v>
      </c>
      <c r="H1249" s="19" t="str">
        <f t="shared" si="74"/>
        <v>Drive-CommR</v>
      </c>
    </row>
    <row r="1250" spans="1:8" x14ac:dyDescent="0.2">
      <c r="A1250" s="2" t="s">
        <v>98</v>
      </c>
      <c r="B1250" s="2" t="s">
        <v>70</v>
      </c>
      <c r="C1250" s="2">
        <v>19</v>
      </c>
      <c r="D1250" s="2">
        <v>19</v>
      </c>
      <c r="E1250" s="2">
        <v>0</v>
      </c>
      <c r="F1250" s="19" t="str">
        <f t="shared" si="72"/>
        <v>Joint</v>
      </c>
      <c r="G1250" s="19" t="str">
        <f t="shared" si="73"/>
        <v>Taxi</v>
      </c>
      <c r="H1250" s="19" t="str">
        <f t="shared" si="74"/>
        <v>Taxi</v>
      </c>
    </row>
    <row r="1251" spans="1:8" x14ac:dyDescent="0.2">
      <c r="A1251" s="2" t="s">
        <v>98</v>
      </c>
      <c r="B1251" s="2" t="s">
        <v>70</v>
      </c>
      <c r="C1251" s="2">
        <v>20</v>
      </c>
      <c r="D1251" s="2">
        <v>19</v>
      </c>
      <c r="E1251" s="2">
        <v>0</v>
      </c>
      <c r="F1251" s="19" t="str">
        <f t="shared" si="72"/>
        <v>Joint</v>
      </c>
      <c r="G1251" s="19" t="str">
        <f t="shared" si="73"/>
        <v>TNC-Single</v>
      </c>
      <c r="H1251" s="19" t="str">
        <f t="shared" si="74"/>
        <v>Taxi</v>
      </c>
    </row>
    <row r="1252" spans="1:8" x14ac:dyDescent="0.2">
      <c r="A1252" s="2" t="s">
        <v>98</v>
      </c>
      <c r="B1252" s="2" t="s">
        <v>70</v>
      </c>
      <c r="C1252" s="2">
        <v>21</v>
      </c>
      <c r="D1252" s="2">
        <v>19</v>
      </c>
      <c r="E1252" s="2">
        <v>0</v>
      </c>
      <c r="F1252" s="19" t="str">
        <f t="shared" si="72"/>
        <v>Joint</v>
      </c>
      <c r="G1252" s="19" t="str">
        <f t="shared" si="73"/>
        <v>TNC-Shared</v>
      </c>
      <c r="H1252" s="19" t="str">
        <f t="shared" si="74"/>
        <v>Taxi</v>
      </c>
    </row>
    <row r="1253" spans="1:8" x14ac:dyDescent="0.2">
      <c r="A1253" s="2" t="s">
        <v>98</v>
      </c>
      <c r="B1253" s="2" t="s">
        <v>70</v>
      </c>
      <c r="C1253" s="2">
        <v>21</v>
      </c>
      <c r="D1253" s="2">
        <v>21</v>
      </c>
      <c r="E1253" s="2">
        <v>0</v>
      </c>
      <c r="F1253" s="19" t="str">
        <f t="shared" si="72"/>
        <v>Joint</v>
      </c>
      <c r="G1253" s="19" t="str">
        <f t="shared" si="73"/>
        <v>TNC-Shared</v>
      </c>
      <c r="H1253" s="19" t="str">
        <f t="shared" si="74"/>
        <v>TNC-Shared</v>
      </c>
    </row>
    <row r="1254" spans="1:8" x14ac:dyDescent="0.2">
      <c r="F1254" s="19" t="str">
        <f t="shared" si="72"/>
        <v>None</v>
      </c>
      <c r="G1254" s="19" t="str">
        <f t="shared" si="73"/>
        <v>None</v>
      </c>
      <c r="H1254" s="19" t="str">
        <f t="shared" si="74"/>
        <v>None</v>
      </c>
    </row>
    <row r="1255" spans="1:8" x14ac:dyDescent="0.2">
      <c r="F1255" s="19" t="str">
        <f t="shared" si="72"/>
        <v>None</v>
      </c>
      <c r="G1255" s="19" t="str">
        <f t="shared" si="73"/>
        <v>None</v>
      </c>
      <c r="H1255" s="19" t="str">
        <f t="shared" si="74"/>
        <v>None</v>
      </c>
    </row>
    <row r="1256" spans="1:8" x14ac:dyDescent="0.2">
      <c r="F1256" s="19" t="str">
        <f t="shared" si="72"/>
        <v>None</v>
      </c>
      <c r="G1256" s="19" t="str">
        <f t="shared" si="73"/>
        <v>None</v>
      </c>
      <c r="H1256" s="19" t="str">
        <f t="shared" si="74"/>
        <v>None</v>
      </c>
    </row>
    <row r="1257" spans="1:8" x14ac:dyDescent="0.2">
      <c r="F1257" s="19" t="str">
        <f t="shared" si="72"/>
        <v>None</v>
      </c>
      <c r="G1257" s="19" t="str">
        <f t="shared" si="73"/>
        <v>None</v>
      </c>
      <c r="H1257" s="19" t="str">
        <f t="shared" si="74"/>
        <v>None</v>
      </c>
    </row>
    <row r="1258" spans="1:8" x14ac:dyDescent="0.2">
      <c r="F1258" s="19" t="str">
        <f t="shared" si="72"/>
        <v>None</v>
      </c>
      <c r="G1258" s="19" t="str">
        <f t="shared" si="73"/>
        <v>None</v>
      </c>
      <c r="H1258" s="19" t="str">
        <f t="shared" si="74"/>
        <v>None</v>
      </c>
    </row>
    <row r="1259" spans="1:8" x14ac:dyDescent="0.2">
      <c r="F1259" s="19" t="str">
        <f t="shared" si="72"/>
        <v>None</v>
      </c>
      <c r="G1259" s="19" t="str">
        <f t="shared" si="73"/>
        <v>None</v>
      </c>
      <c r="H1259" s="19" t="str">
        <f t="shared" si="74"/>
        <v>None</v>
      </c>
    </row>
    <row r="1260" spans="1:8" x14ac:dyDescent="0.2">
      <c r="F1260" s="19" t="str">
        <f t="shared" si="72"/>
        <v>None</v>
      </c>
      <c r="G1260" s="19" t="str">
        <f t="shared" si="73"/>
        <v>None</v>
      </c>
      <c r="H1260" s="19" t="str">
        <f t="shared" si="74"/>
        <v>None</v>
      </c>
    </row>
    <row r="1261" spans="1:8" x14ac:dyDescent="0.2">
      <c r="F1261" s="19" t="str">
        <f t="shared" si="72"/>
        <v>None</v>
      </c>
      <c r="G1261" s="19" t="str">
        <f t="shared" si="73"/>
        <v>None</v>
      </c>
      <c r="H1261" s="19" t="str">
        <f t="shared" si="74"/>
        <v>None</v>
      </c>
    </row>
    <row r="1262" spans="1:8" x14ac:dyDescent="0.2">
      <c r="F1262" s="19" t="str">
        <f t="shared" si="72"/>
        <v>None</v>
      </c>
      <c r="G1262" s="19" t="str">
        <f t="shared" si="73"/>
        <v>None</v>
      </c>
      <c r="H1262" s="19" t="str">
        <f t="shared" si="74"/>
        <v>None</v>
      </c>
    </row>
    <row r="1263" spans="1:8" x14ac:dyDescent="0.2">
      <c r="F1263" s="19" t="str">
        <f t="shared" si="72"/>
        <v>None</v>
      </c>
      <c r="G1263" s="19" t="str">
        <f t="shared" si="73"/>
        <v>None</v>
      </c>
      <c r="H1263" s="19" t="str">
        <f t="shared" si="74"/>
        <v>None</v>
      </c>
    </row>
    <row r="1264" spans="1:8" x14ac:dyDescent="0.2">
      <c r="F1264" s="19" t="str">
        <f t="shared" si="72"/>
        <v>None</v>
      </c>
      <c r="G1264" s="19" t="str">
        <f t="shared" si="73"/>
        <v>None</v>
      </c>
      <c r="H1264" s="19" t="str">
        <f t="shared" si="74"/>
        <v>None</v>
      </c>
    </row>
    <row r="1265" spans="6:8" x14ac:dyDescent="0.2">
      <c r="F1265" s="19" t="str">
        <f t="shared" si="72"/>
        <v>None</v>
      </c>
      <c r="G1265" s="19" t="str">
        <f t="shared" si="73"/>
        <v>None</v>
      </c>
      <c r="H1265" s="19" t="str">
        <f t="shared" si="74"/>
        <v>None</v>
      </c>
    </row>
    <row r="1266" spans="6:8" x14ac:dyDescent="0.2">
      <c r="F1266" s="19" t="str">
        <f t="shared" si="72"/>
        <v>None</v>
      </c>
      <c r="G1266" s="19" t="str">
        <f t="shared" si="73"/>
        <v>None</v>
      </c>
      <c r="H1266" s="19" t="str">
        <f t="shared" si="74"/>
        <v>None</v>
      </c>
    </row>
    <row r="1267" spans="6:8" x14ac:dyDescent="0.2">
      <c r="F1267" s="19" t="str">
        <f t="shared" si="72"/>
        <v>None</v>
      </c>
      <c r="G1267" s="19" t="str">
        <f t="shared" si="73"/>
        <v>None</v>
      </c>
      <c r="H1267" s="19" t="str">
        <f t="shared" si="74"/>
        <v>None</v>
      </c>
    </row>
    <row r="1268" spans="6:8" x14ac:dyDescent="0.2">
      <c r="F1268" s="19" t="str">
        <f t="shared" si="72"/>
        <v>None</v>
      </c>
      <c r="G1268" s="19" t="str">
        <f t="shared" si="73"/>
        <v>None</v>
      </c>
      <c r="H1268" s="19" t="str">
        <f t="shared" si="74"/>
        <v>None</v>
      </c>
    </row>
    <row r="1269" spans="6:8" x14ac:dyDescent="0.2">
      <c r="F1269" s="19" t="str">
        <f t="shared" si="72"/>
        <v>None</v>
      </c>
      <c r="G1269" s="19" t="str">
        <f t="shared" si="73"/>
        <v>None</v>
      </c>
      <c r="H1269" s="19" t="str">
        <f t="shared" si="74"/>
        <v>None</v>
      </c>
    </row>
    <row r="1270" spans="6:8" x14ac:dyDescent="0.2">
      <c r="F1270" s="19" t="str">
        <f t="shared" si="72"/>
        <v>None</v>
      </c>
      <c r="G1270" s="19" t="str">
        <f t="shared" si="73"/>
        <v>None</v>
      </c>
      <c r="H1270" s="19" t="str">
        <f t="shared" si="74"/>
        <v>None</v>
      </c>
    </row>
    <row r="1271" spans="6:8" x14ac:dyDescent="0.2">
      <c r="F1271" s="19" t="str">
        <f t="shared" si="72"/>
        <v>None</v>
      </c>
      <c r="G1271" s="19" t="str">
        <f t="shared" si="73"/>
        <v>None</v>
      </c>
      <c r="H1271" s="19" t="str">
        <f t="shared" si="74"/>
        <v>None</v>
      </c>
    </row>
    <row r="1272" spans="6:8" x14ac:dyDescent="0.2">
      <c r="F1272" s="19" t="str">
        <f t="shared" si="72"/>
        <v>None</v>
      </c>
      <c r="G1272" s="19" t="str">
        <f t="shared" si="73"/>
        <v>None</v>
      </c>
      <c r="H1272" s="19" t="str">
        <f t="shared" si="74"/>
        <v>None</v>
      </c>
    </row>
    <row r="1273" spans="6:8" x14ac:dyDescent="0.2">
      <c r="F1273" s="19" t="str">
        <f t="shared" si="72"/>
        <v>None</v>
      </c>
      <c r="G1273" s="19" t="str">
        <f t="shared" si="73"/>
        <v>None</v>
      </c>
      <c r="H1273" s="19" t="str">
        <f t="shared" si="74"/>
        <v>None</v>
      </c>
    </row>
    <row r="1274" spans="6:8" x14ac:dyDescent="0.2">
      <c r="F1274" s="19" t="str">
        <f t="shared" si="72"/>
        <v>None</v>
      </c>
      <c r="G1274" s="19" t="str">
        <f t="shared" si="73"/>
        <v>None</v>
      </c>
      <c r="H1274" s="19" t="str">
        <f t="shared" si="74"/>
        <v>None</v>
      </c>
    </row>
    <row r="1275" spans="6:8" x14ac:dyDescent="0.2">
      <c r="F1275" s="19" t="str">
        <f t="shared" si="72"/>
        <v>None</v>
      </c>
      <c r="G1275" s="19" t="str">
        <f t="shared" si="73"/>
        <v>None</v>
      </c>
      <c r="H1275" s="19" t="str">
        <f t="shared" si="74"/>
        <v>None</v>
      </c>
    </row>
    <row r="1276" spans="6:8" x14ac:dyDescent="0.2">
      <c r="F1276" s="19" t="str">
        <f t="shared" si="72"/>
        <v>None</v>
      </c>
      <c r="G1276" s="19" t="str">
        <f t="shared" si="73"/>
        <v>None</v>
      </c>
      <c r="H1276" s="19" t="str">
        <f t="shared" si="74"/>
        <v>None</v>
      </c>
    </row>
    <row r="1277" spans="6:8" x14ac:dyDescent="0.2">
      <c r="F1277" s="19" t="str">
        <f t="shared" si="72"/>
        <v>None</v>
      </c>
      <c r="G1277" s="19" t="str">
        <f t="shared" si="73"/>
        <v>None</v>
      </c>
      <c r="H1277" s="19" t="str">
        <f t="shared" si="74"/>
        <v>None</v>
      </c>
    </row>
    <row r="1278" spans="6:8" x14ac:dyDescent="0.2">
      <c r="F1278" s="19" t="str">
        <f t="shared" si="72"/>
        <v>None</v>
      </c>
      <c r="G1278" s="19" t="str">
        <f t="shared" si="73"/>
        <v>None</v>
      </c>
      <c r="H1278" s="19" t="str">
        <f t="shared" si="74"/>
        <v>None</v>
      </c>
    </row>
    <row r="1279" spans="6:8" x14ac:dyDescent="0.2">
      <c r="F1279" s="19" t="str">
        <f t="shared" si="72"/>
        <v>None</v>
      </c>
      <c r="G1279" s="19" t="str">
        <f t="shared" si="73"/>
        <v>None</v>
      </c>
      <c r="H1279" s="19" t="str">
        <f t="shared" si="74"/>
        <v>None</v>
      </c>
    </row>
    <row r="1280" spans="6:8" x14ac:dyDescent="0.2">
      <c r="F1280" s="19" t="str">
        <f t="shared" si="72"/>
        <v>None</v>
      </c>
      <c r="G1280" s="19" t="str">
        <f t="shared" si="73"/>
        <v>None</v>
      </c>
      <c r="H1280" s="19" t="str">
        <f t="shared" si="74"/>
        <v>None</v>
      </c>
    </row>
    <row r="1281" spans="6:8" x14ac:dyDescent="0.2">
      <c r="F1281" s="19" t="str">
        <f t="shared" si="72"/>
        <v>None</v>
      </c>
      <c r="G1281" s="19" t="str">
        <f t="shared" si="73"/>
        <v>None</v>
      </c>
      <c r="H1281" s="19" t="str">
        <f t="shared" si="74"/>
        <v>None</v>
      </c>
    </row>
    <row r="1282" spans="6:8" x14ac:dyDescent="0.2">
      <c r="F1282" s="19" t="str">
        <f t="shared" si="72"/>
        <v>None</v>
      </c>
      <c r="G1282" s="19" t="str">
        <f t="shared" si="73"/>
        <v>None</v>
      </c>
      <c r="H1282" s="19" t="str">
        <f t="shared" si="74"/>
        <v>None</v>
      </c>
    </row>
    <row r="1283" spans="6:8" x14ac:dyDescent="0.2">
      <c r="F1283" s="19" t="str">
        <f t="shared" ref="F1283:F1300" si="75">IF(A1283="joint","Joint",_xlfn.IFNA(VLOOKUP(B1283,tour_purposes,2,FALSE),"None"))</f>
        <v>None</v>
      </c>
      <c r="G1283" s="19" t="str">
        <f t="shared" ref="G1283:G1300" si="76">IF(AND(A1283="joint",C1283&lt;=6),"Auto",_xlfn.IFNA(VLOOKUP(C1283,tour_modes,3,FALSE),"None"))</f>
        <v>None</v>
      </c>
      <c r="H1283" s="19" t="str">
        <f t="shared" ref="H1283:H1300" si="77">_xlfn.IFNA(VLOOKUP(D1283,trip_modes,2,FALSE),"None")</f>
        <v>None</v>
      </c>
    </row>
    <row r="1284" spans="6:8" x14ac:dyDescent="0.2">
      <c r="F1284" s="19" t="str">
        <f t="shared" si="75"/>
        <v>None</v>
      </c>
      <c r="G1284" s="19" t="str">
        <f t="shared" si="76"/>
        <v>None</v>
      </c>
      <c r="H1284" s="19" t="str">
        <f t="shared" si="77"/>
        <v>None</v>
      </c>
    </row>
    <row r="1285" spans="6:8" x14ac:dyDescent="0.2">
      <c r="F1285" s="19" t="str">
        <f t="shared" si="75"/>
        <v>None</v>
      </c>
      <c r="G1285" s="19" t="str">
        <f t="shared" si="76"/>
        <v>None</v>
      </c>
      <c r="H1285" s="19" t="str">
        <f t="shared" si="77"/>
        <v>None</v>
      </c>
    </row>
    <row r="1286" spans="6:8" x14ac:dyDescent="0.2">
      <c r="F1286" s="19" t="str">
        <f t="shared" si="75"/>
        <v>None</v>
      </c>
      <c r="G1286" s="19" t="str">
        <f t="shared" si="76"/>
        <v>None</v>
      </c>
      <c r="H1286" s="19" t="str">
        <f t="shared" si="77"/>
        <v>None</v>
      </c>
    </row>
    <row r="1287" spans="6:8" x14ac:dyDescent="0.2">
      <c r="F1287" s="19" t="str">
        <f t="shared" si="75"/>
        <v>None</v>
      </c>
      <c r="G1287" s="19" t="str">
        <f t="shared" si="76"/>
        <v>None</v>
      </c>
      <c r="H1287" s="19" t="str">
        <f t="shared" si="77"/>
        <v>None</v>
      </c>
    </row>
    <row r="1288" spans="6:8" x14ac:dyDescent="0.2">
      <c r="F1288" s="19" t="str">
        <f t="shared" si="75"/>
        <v>None</v>
      </c>
      <c r="G1288" s="19" t="str">
        <f t="shared" si="76"/>
        <v>None</v>
      </c>
      <c r="H1288" s="19" t="str">
        <f t="shared" si="77"/>
        <v>None</v>
      </c>
    </row>
    <row r="1289" spans="6:8" x14ac:dyDescent="0.2">
      <c r="F1289" s="19" t="str">
        <f t="shared" si="75"/>
        <v>None</v>
      </c>
      <c r="G1289" s="19" t="str">
        <f t="shared" si="76"/>
        <v>None</v>
      </c>
      <c r="H1289" s="19" t="str">
        <f t="shared" si="77"/>
        <v>None</v>
      </c>
    </row>
    <row r="1290" spans="6:8" x14ac:dyDescent="0.2">
      <c r="F1290" s="19" t="str">
        <f t="shared" si="75"/>
        <v>None</v>
      </c>
      <c r="G1290" s="19" t="str">
        <f t="shared" si="76"/>
        <v>None</v>
      </c>
      <c r="H1290" s="19" t="str">
        <f t="shared" si="77"/>
        <v>None</v>
      </c>
    </row>
    <row r="1291" spans="6:8" x14ac:dyDescent="0.2">
      <c r="F1291" s="19" t="str">
        <f t="shared" si="75"/>
        <v>None</v>
      </c>
      <c r="G1291" s="19" t="str">
        <f t="shared" si="76"/>
        <v>None</v>
      </c>
      <c r="H1291" s="19" t="str">
        <f t="shared" si="77"/>
        <v>None</v>
      </c>
    </row>
    <row r="1292" spans="6:8" x14ac:dyDescent="0.2">
      <c r="F1292" s="19" t="str">
        <f t="shared" si="75"/>
        <v>None</v>
      </c>
      <c r="G1292" s="19" t="str">
        <f t="shared" si="76"/>
        <v>None</v>
      </c>
      <c r="H1292" s="19" t="str">
        <f t="shared" si="77"/>
        <v>None</v>
      </c>
    </row>
    <row r="1293" spans="6:8" x14ac:dyDescent="0.2">
      <c r="F1293" s="19" t="str">
        <f t="shared" si="75"/>
        <v>None</v>
      </c>
      <c r="G1293" s="19" t="str">
        <f t="shared" si="76"/>
        <v>None</v>
      </c>
      <c r="H1293" s="19" t="str">
        <f t="shared" si="77"/>
        <v>None</v>
      </c>
    </row>
    <row r="1294" spans="6:8" x14ac:dyDescent="0.2">
      <c r="F1294" s="19" t="str">
        <f t="shared" si="75"/>
        <v>None</v>
      </c>
      <c r="G1294" s="19" t="str">
        <f t="shared" si="76"/>
        <v>None</v>
      </c>
      <c r="H1294" s="19" t="str">
        <f t="shared" si="77"/>
        <v>None</v>
      </c>
    </row>
    <row r="1295" spans="6:8" x14ac:dyDescent="0.2">
      <c r="F1295" s="19" t="str">
        <f t="shared" si="75"/>
        <v>None</v>
      </c>
      <c r="G1295" s="19" t="str">
        <f t="shared" si="76"/>
        <v>None</v>
      </c>
      <c r="H1295" s="19" t="str">
        <f t="shared" si="77"/>
        <v>None</v>
      </c>
    </row>
    <row r="1296" spans="6:8" x14ac:dyDescent="0.2">
      <c r="F1296" s="19" t="str">
        <f t="shared" si="75"/>
        <v>None</v>
      </c>
      <c r="G1296" s="19" t="str">
        <f t="shared" si="76"/>
        <v>None</v>
      </c>
      <c r="H1296" s="19" t="str">
        <f t="shared" si="77"/>
        <v>None</v>
      </c>
    </row>
    <row r="1297" spans="6:8" x14ac:dyDescent="0.2">
      <c r="F1297" s="19" t="str">
        <f t="shared" si="75"/>
        <v>None</v>
      </c>
      <c r="G1297" s="19" t="str">
        <f t="shared" si="76"/>
        <v>None</v>
      </c>
      <c r="H1297" s="19" t="str">
        <f t="shared" si="77"/>
        <v>None</v>
      </c>
    </row>
    <row r="1298" spans="6:8" x14ac:dyDescent="0.2">
      <c r="F1298" s="19" t="str">
        <f t="shared" si="75"/>
        <v>None</v>
      </c>
      <c r="G1298" s="19" t="str">
        <f t="shared" si="76"/>
        <v>None</v>
      </c>
      <c r="H1298" s="19" t="str">
        <f t="shared" si="77"/>
        <v>None</v>
      </c>
    </row>
    <row r="1299" spans="6:8" x14ac:dyDescent="0.2">
      <c r="F1299" s="19" t="str">
        <f t="shared" si="75"/>
        <v>None</v>
      </c>
      <c r="G1299" s="19" t="str">
        <f t="shared" si="76"/>
        <v>None</v>
      </c>
      <c r="H1299" s="19" t="str">
        <f t="shared" si="77"/>
        <v>None</v>
      </c>
    </row>
    <row r="1300" spans="6:8" x14ac:dyDescent="0.2">
      <c r="F1300" s="19" t="str">
        <f t="shared" si="75"/>
        <v>None</v>
      </c>
      <c r="G1300" s="19" t="str">
        <f t="shared" si="76"/>
        <v>None</v>
      </c>
      <c r="H1300" s="19" t="str">
        <f t="shared" si="77"/>
        <v>None</v>
      </c>
    </row>
    <row r="1301" spans="6:8" x14ac:dyDescent="0.2">
      <c r="F1301" s="19" t="str">
        <f t="shared" ref="F1301:F1364" si="78">IF(A1301="joint","Joint",_xlfn.IFNA(VLOOKUP(B1301,tour_purposes,2,FALSE),"None"))</f>
        <v>None</v>
      </c>
      <c r="G1301" s="19" t="str">
        <f t="shared" ref="G1301:G1364" si="79">IF(AND(A1301="joint",C1301&lt;=6),"Auto",_xlfn.IFNA(VLOOKUP(C1301,tour_modes,3,FALSE),"None"))</f>
        <v>None</v>
      </c>
      <c r="H1301" s="19" t="str">
        <f t="shared" ref="H1301:H1364" si="80">_xlfn.IFNA(VLOOKUP(D1301,trip_modes,2,FALSE),"None")</f>
        <v>None</v>
      </c>
    </row>
    <row r="1302" spans="6:8" x14ac:dyDescent="0.2">
      <c r="F1302" s="19" t="str">
        <f t="shared" si="78"/>
        <v>None</v>
      </c>
      <c r="G1302" s="19" t="str">
        <f t="shared" si="79"/>
        <v>None</v>
      </c>
      <c r="H1302" s="19" t="str">
        <f t="shared" si="80"/>
        <v>None</v>
      </c>
    </row>
    <row r="1303" spans="6:8" x14ac:dyDescent="0.2">
      <c r="F1303" s="19" t="str">
        <f t="shared" si="78"/>
        <v>None</v>
      </c>
      <c r="G1303" s="19" t="str">
        <f t="shared" si="79"/>
        <v>None</v>
      </c>
      <c r="H1303" s="19" t="str">
        <f t="shared" si="80"/>
        <v>None</v>
      </c>
    </row>
    <row r="1304" spans="6:8" x14ac:dyDescent="0.2">
      <c r="F1304" s="19" t="str">
        <f t="shared" si="78"/>
        <v>None</v>
      </c>
      <c r="G1304" s="19" t="str">
        <f t="shared" si="79"/>
        <v>None</v>
      </c>
      <c r="H1304" s="19" t="str">
        <f t="shared" si="80"/>
        <v>None</v>
      </c>
    </row>
    <row r="1305" spans="6:8" x14ac:dyDescent="0.2">
      <c r="F1305" s="19" t="str">
        <f t="shared" si="78"/>
        <v>None</v>
      </c>
      <c r="G1305" s="19" t="str">
        <f t="shared" si="79"/>
        <v>None</v>
      </c>
      <c r="H1305" s="19" t="str">
        <f t="shared" si="80"/>
        <v>None</v>
      </c>
    </row>
    <row r="1306" spans="6:8" x14ac:dyDescent="0.2">
      <c r="F1306" s="19" t="str">
        <f t="shared" si="78"/>
        <v>None</v>
      </c>
      <c r="G1306" s="19" t="str">
        <f t="shared" si="79"/>
        <v>None</v>
      </c>
      <c r="H1306" s="19" t="str">
        <f t="shared" si="80"/>
        <v>None</v>
      </c>
    </row>
    <row r="1307" spans="6:8" x14ac:dyDescent="0.2">
      <c r="F1307" s="19" t="str">
        <f t="shared" si="78"/>
        <v>None</v>
      </c>
      <c r="G1307" s="19" t="str">
        <f t="shared" si="79"/>
        <v>None</v>
      </c>
      <c r="H1307" s="19" t="str">
        <f t="shared" si="80"/>
        <v>None</v>
      </c>
    </row>
    <row r="1308" spans="6:8" x14ac:dyDescent="0.2">
      <c r="F1308" s="19" t="str">
        <f t="shared" si="78"/>
        <v>None</v>
      </c>
      <c r="G1308" s="19" t="str">
        <f t="shared" si="79"/>
        <v>None</v>
      </c>
      <c r="H1308" s="19" t="str">
        <f t="shared" si="80"/>
        <v>None</v>
      </c>
    </row>
    <row r="1309" spans="6:8" x14ac:dyDescent="0.2">
      <c r="F1309" s="19" t="str">
        <f t="shared" si="78"/>
        <v>None</v>
      </c>
      <c r="G1309" s="19" t="str">
        <f t="shared" si="79"/>
        <v>None</v>
      </c>
      <c r="H1309" s="19" t="str">
        <f t="shared" si="80"/>
        <v>None</v>
      </c>
    </row>
    <row r="1310" spans="6:8" x14ac:dyDescent="0.2">
      <c r="F1310" s="19" t="str">
        <f t="shared" si="78"/>
        <v>None</v>
      </c>
      <c r="G1310" s="19" t="str">
        <f t="shared" si="79"/>
        <v>None</v>
      </c>
      <c r="H1310" s="19" t="str">
        <f t="shared" si="80"/>
        <v>None</v>
      </c>
    </row>
    <row r="1311" spans="6:8" x14ac:dyDescent="0.2">
      <c r="F1311" s="19" t="str">
        <f t="shared" si="78"/>
        <v>None</v>
      </c>
      <c r="G1311" s="19" t="str">
        <f t="shared" si="79"/>
        <v>None</v>
      </c>
      <c r="H1311" s="19" t="str">
        <f t="shared" si="80"/>
        <v>None</v>
      </c>
    </row>
    <row r="1312" spans="6:8" x14ac:dyDescent="0.2">
      <c r="F1312" s="19" t="str">
        <f t="shared" si="78"/>
        <v>None</v>
      </c>
      <c r="G1312" s="19" t="str">
        <f t="shared" si="79"/>
        <v>None</v>
      </c>
      <c r="H1312" s="19" t="str">
        <f t="shared" si="80"/>
        <v>None</v>
      </c>
    </row>
    <row r="1313" spans="6:8" x14ac:dyDescent="0.2">
      <c r="F1313" s="19" t="str">
        <f t="shared" si="78"/>
        <v>None</v>
      </c>
      <c r="G1313" s="19" t="str">
        <f t="shared" si="79"/>
        <v>None</v>
      </c>
      <c r="H1313" s="19" t="str">
        <f t="shared" si="80"/>
        <v>None</v>
      </c>
    </row>
    <row r="1314" spans="6:8" x14ac:dyDescent="0.2">
      <c r="F1314" s="19" t="str">
        <f t="shared" si="78"/>
        <v>None</v>
      </c>
      <c r="G1314" s="19" t="str">
        <f t="shared" si="79"/>
        <v>None</v>
      </c>
      <c r="H1314" s="19" t="str">
        <f t="shared" si="80"/>
        <v>None</v>
      </c>
    </row>
    <row r="1315" spans="6:8" x14ac:dyDescent="0.2">
      <c r="F1315" s="19" t="str">
        <f t="shared" si="78"/>
        <v>None</v>
      </c>
      <c r="G1315" s="19" t="str">
        <f t="shared" si="79"/>
        <v>None</v>
      </c>
      <c r="H1315" s="19" t="str">
        <f t="shared" si="80"/>
        <v>None</v>
      </c>
    </row>
    <row r="1316" spans="6:8" x14ac:dyDescent="0.2">
      <c r="F1316" s="19" t="str">
        <f t="shared" si="78"/>
        <v>None</v>
      </c>
      <c r="G1316" s="19" t="str">
        <f t="shared" si="79"/>
        <v>None</v>
      </c>
      <c r="H1316" s="19" t="str">
        <f t="shared" si="80"/>
        <v>None</v>
      </c>
    </row>
    <row r="1317" spans="6:8" x14ac:dyDescent="0.2">
      <c r="F1317" s="19" t="str">
        <f t="shared" si="78"/>
        <v>None</v>
      </c>
      <c r="G1317" s="19" t="str">
        <f t="shared" si="79"/>
        <v>None</v>
      </c>
      <c r="H1317" s="19" t="str">
        <f t="shared" si="80"/>
        <v>None</v>
      </c>
    </row>
    <row r="1318" spans="6:8" x14ac:dyDescent="0.2">
      <c r="F1318" s="19" t="str">
        <f t="shared" si="78"/>
        <v>None</v>
      </c>
      <c r="G1318" s="19" t="str">
        <f t="shared" si="79"/>
        <v>None</v>
      </c>
      <c r="H1318" s="19" t="str">
        <f t="shared" si="80"/>
        <v>None</v>
      </c>
    </row>
    <row r="1319" spans="6:8" x14ac:dyDescent="0.2">
      <c r="F1319" s="19" t="str">
        <f t="shared" si="78"/>
        <v>None</v>
      </c>
      <c r="G1319" s="19" t="str">
        <f t="shared" si="79"/>
        <v>None</v>
      </c>
      <c r="H1319" s="19" t="str">
        <f t="shared" si="80"/>
        <v>None</v>
      </c>
    </row>
    <row r="1320" spans="6:8" x14ac:dyDescent="0.2">
      <c r="F1320" s="19" t="str">
        <f t="shared" si="78"/>
        <v>None</v>
      </c>
      <c r="G1320" s="19" t="str">
        <f t="shared" si="79"/>
        <v>None</v>
      </c>
      <c r="H1320" s="19" t="str">
        <f t="shared" si="80"/>
        <v>None</v>
      </c>
    </row>
    <row r="1321" spans="6:8" x14ac:dyDescent="0.2">
      <c r="F1321" s="19" t="str">
        <f t="shared" si="78"/>
        <v>None</v>
      </c>
      <c r="G1321" s="19" t="str">
        <f t="shared" si="79"/>
        <v>None</v>
      </c>
      <c r="H1321" s="19" t="str">
        <f t="shared" si="80"/>
        <v>None</v>
      </c>
    </row>
    <row r="1322" spans="6:8" x14ac:dyDescent="0.2">
      <c r="F1322" s="19" t="str">
        <f t="shared" si="78"/>
        <v>None</v>
      </c>
      <c r="G1322" s="19" t="str">
        <f t="shared" si="79"/>
        <v>None</v>
      </c>
      <c r="H1322" s="19" t="str">
        <f t="shared" si="80"/>
        <v>None</v>
      </c>
    </row>
    <row r="1323" spans="6:8" x14ac:dyDescent="0.2">
      <c r="F1323" s="19" t="str">
        <f t="shared" si="78"/>
        <v>None</v>
      </c>
      <c r="G1323" s="19" t="str">
        <f t="shared" si="79"/>
        <v>None</v>
      </c>
      <c r="H1323" s="19" t="str">
        <f t="shared" si="80"/>
        <v>None</v>
      </c>
    </row>
    <row r="1324" spans="6:8" x14ac:dyDescent="0.2">
      <c r="F1324" s="19" t="str">
        <f t="shared" si="78"/>
        <v>None</v>
      </c>
      <c r="G1324" s="19" t="str">
        <f t="shared" si="79"/>
        <v>None</v>
      </c>
      <c r="H1324" s="19" t="str">
        <f t="shared" si="80"/>
        <v>None</v>
      </c>
    </row>
    <row r="1325" spans="6:8" x14ac:dyDescent="0.2">
      <c r="F1325" s="19" t="str">
        <f t="shared" si="78"/>
        <v>None</v>
      </c>
      <c r="G1325" s="19" t="str">
        <f t="shared" si="79"/>
        <v>None</v>
      </c>
      <c r="H1325" s="19" t="str">
        <f t="shared" si="80"/>
        <v>None</v>
      </c>
    </row>
    <row r="1326" spans="6:8" x14ac:dyDescent="0.2">
      <c r="F1326" s="19" t="str">
        <f t="shared" si="78"/>
        <v>None</v>
      </c>
      <c r="G1326" s="19" t="str">
        <f t="shared" si="79"/>
        <v>None</v>
      </c>
      <c r="H1326" s="19" t="str">
        <f t="shared" si="80"/>
        <v>None</v>
      </c>
    </row>
    <row r="1327" spans="6:8" x14ac:dyDescent="0.2">
      <c r="F1327" s="19" t="str">
        <f t="shared" si="78"/>
        <v>None</v>
      </c>
      <c r="G1327" s="19" t="str">
        <f t="shared" si="79"/>
        <v>None</v>
      </c>
      <c r="H1327" s="19" t="str">
        <f t="shared" si="80"/>
        <v>None</v>
      </c>
    </row>
    <row r="1328" spans="6:8" x14ac:dyDescent="0.2">
      <c r="F1328" s="19" t="str">
        <f t="shared" si="78"/>
        <v>None</v>
      </c>
      <c r="G1328" s="19" t="str">
        <f t="shared" si="79"/>
        <v>None</v>
      </c>
      <c r="H1328" s="19" t="str">
        <f t="shared" si="80"/>
        <v>None</v>
      </c>
    </row>
    <row r="1329" spans="6:8" x14ac:dyDescent="0.2">
      <c r="F1329" s="19" t="str">
        <f t="shared" si="78"/>
        <v>None</v>
      </c>
      <c r="G1329" s="19" t="str">
        <f t="shared" si="79"/>
        <v>None</v>
      </c>
      <c r="H1329" s="19" t="str">
        <f t="shared" si="80"/>
        <v>None</v>
      </c>
    </row>
    <row r="1330" spans="6:8" x14ac:dyDescent="0.2">
      <c r="F1330" s="19" t="str">
        <f t="shared" si="78"/>
        <v>None</v>
      </c>
      <c r="G1330" s="19" t="str">
        <f t="shared" si="79"/>
        <v>None</v>
      </c>
      <c r="H1330" s="19" t="str">
        <f t="shared" si="80"/>
        <v>None</v>
      </c>
    </row>
    <row r="1331" spans="6:8" x14ac:dyDescent="0.2">
      <c r="F1331" s="19" t="str">
        <f t="shared" si="78"/>
        <v>None</v>
      </c>
      <c r="G1331" s="19" t="str">
        <f t="shared" si="79"/>
        <v>None</v>
      </c>
      <c r="H1331" s="19" t="str">
        <f t="shared" si="80"/>
        <v>None</v>
      </c>
    </row>
    <row r="1332" spans="6:8" x14ac:dyDescent="0.2">
      <c r="F1332" s="19" t="str">
        <f t="shared" si="78"/>
        <v>None</v>
      </c>
      <c r="G1332" s="19" t="str">
        <f t="shared" si="79"/>
        <v>None</v>
      </c>
      <c r="H1332" s="19" t="str">
        <f t="shared" si="80"/>
        <v>None</v>
      </c>
    </row>
    <row r="1333" spans="6:8" x14ac:dyDescent="0.2">
      <c r="F1333" s="19" t="str">
        <f t="shared" si="78"/>
        <v>None</v>
      </c>
      <c r="G1333" s="19" t="str">
        <f t="shared" si="79"/>
        <v>None</v>
      </c>
      <c r="H1333" s="19" t="str">
        <f t="shared" si="80"/>
        <v>None</v>
      </c>
    </row>
    <row r="1334" spans="6:8" x14ac:dyDescent="0.2">
      <c r="F1334" s="19" t="str">
        <f t="shared" si="78"/>
        <v>None</v>
      </c>
      <c r="G1334" s="19" t="str">
        <f t="shared" si="79"/>
        <v>None</v>
      </c>
      <c r="H1334" s="19" t="str">
        <f t="shared" si="80"/>
        <v>None</v>
      </c>
    </row>
    <row r="1335" spans="6:8" x14ac:dyDescent="0.2">
      <c r="F1335" s="19" t="str">
        <f t="shared" si="78"/>
        <v>None</v>
      </c>
      <c r="G1335" s="19" t="str">
        <f t="shared" si="79"/>
        <v>None</v>
      </c>
      <c r="H1335" s="19" t="str">
        <f t="shared" si="80"/>
        <v>None</v>
      </c>
    </row>
    <row r="1336" spans="6:8" x14ac:dyDescent="0.2">
      <c r="F1336" s="19" t="str">
        <f t="shared" si="78"/>
        <v>None</v>
      </c>
      <c r="G1336" s="19" t="str">
        <f t="shared" si="79"/>
        <v>None</v>
      </c>
      <c r="H1336" s="19" t="str">
        <f t="shared" si="80"/>
        <v>None</v>
      </c>
    </row>
    <row r="1337" spans="6:8" x14ac:dyDescent="0.2">
      <c r="F1337" s="19" t="str">
        <f t="shared" si="78"/>
        <v>None</v>
      </c>
      <c r="G1337" s="19" t="str">
        <f t="shared" si="79"/>
        <v>None</v>
      </c>
      <c r="H1337" s="19" t="str">
        <f t="shared" si="80"/>
        <v>None</v>
      </c>
    </row>
    <row r="1338" spans="6:8" x14ac:dyDescent="0.2">
      <c r="F1338" s="19" t="str">
        <f t="shared" si="78"/>
        <v>None</v>
      </c>
      <c r="G1338" s="19" t="str">
        <f t="shared" si="79"/>
        <v>None</v>
      </c>
      <c r="H1338" s="19" t="str">
        <f t="shared" si="80"/>
        <v>None</v>
      </c>
    </row>
    <row r="1339" spans="6:8" x14ac:dyDescent="0.2">
      <c r="F1339" s="19" t="str">
        <f t="shared" si="78"/>
        <v>None</v>
      </c>
      <c r="G1339" s="19" t="str">
        <f t="shared" si="79"/>
        <v>None</v>
      </c>
      <c r="H1339" s="19" t="str">
        <f t="shared" si="80"/>
        <v>None</v>
      </c>
    </row>
    <row r="1340" spans="6:8" x14ac:dyDescent="0.2">
      <c r="F1340" s="19" t="str">
        <f t="shared" si="78"/>
        <v>None</v>
      </c>
      <c r="G1340" s="19" t="str">
        <f t="shared" si="79"/>
        <v>None</v>
      </c>
      <c r="H1340" s="19" t="str">
        <f t="shared" si="80"/>
        <v>None</v>
      </c>
    </row>
    <row r="1341" spans="6:8" x14ac:dyDescent="0.2">
      <c r="F1341" s="19" t="str">
        <f t="shared" si="78"/>
        <v>None</v>
      </c>
      <c r="G1341" s="19" t="str">
        <f t="shared" si="79"/>
        <v>None</v>
      </c>
      <c r="H1341" s="19" t="str">
        <f t="shared" si="80"/>
        <v>None</v>
      </c>
    </row>
    <row r="1342" spans="6:8" x14ac:dyDescent="0.2">
      <c r="F1342" s="19" t="str">
        <f t="shared" si="78"/>
        <v>None</v>
      </c>
      <c r="G1342" s="19" t="str">
        <f t="shared" si="79"/>
        <v>None</v>
      </c>
      <c r="H1342" s="19" t="str">
        <f t="shared" si="80"/>
        <v>None</v>
      </c>
    </row>
    <row r="1343" spans="6:8" x14ac:dyDescent="0.2">
      <c r="F1343" s="19" t="str">
        <f t="shared" si="78"/>
        <v>None</v>
      </c>
      <c r="G1343" s="19" t="str">
        <f t="shared" si="79"/>
        <v>None</v>
      </c>
      <c r="H1343" s="19" t="str">
        <f t="shared" si="80"/>
        <v>None</v>
      </c>
    </row>
    <row r="1344" spans="6:8" x14ac:dyDescent="0.2">
      <c r="F1344" s="19" t="str">
        <f t="shared" si="78"/>
        <v>None</v>
      </c>
      <c r="G1344" s="19" t="str">
        <f t="shared" si="79"/>
        <v>None</v>
      </c>
      <c r="H1344" s="19" t="str">
        <f t="shared" si="80"/>
        <v>None</v>
      </c>
    </row>
    <row r="1345" spans="6:8" x14ac:dyDescent="0.2">
      <c r="F1345" s="19" t="str">
        <f t="shared" si="78"/>
        <v>None</v>
      </c>
      <c r="G1345" s="19" t="str">
        <f t="shared" si="79"/>
        <v>None</v>
      </c>
      <c r="H1345" s="19" t="str">
        <f t="shared" si="80"/>
        <v>None</v>
      </c>
    </row>
    <row r="1346" spans="6:8" x14ac:dyDescent="0.2">
      <c r="F1346" s="19" t="str">
        <f t="shared" si="78"/>
        <v>None</v>
      </c>
      <c r="G1346" s="19" t="str">
        <f t="shared" si="79"/>
        <v>None</v>
      </c>
      <c r="H1346" s="19" t="str">
        <f t="shared" si="80"/>
        <v>None</v>
      </c>
    </row>
    <row r="1347" spans="6:8" x14ac:dyDescent="0.2">
      <c r="F1347" s="19" t="str">
        <f t="shared" si="78"/>
        <v>None</v>
      </c>
      <c r="G1347" s="19" t="str">
        <f t="shared" si="79"/>
        <v>None</v>
      </c>
      <c r="H1347" s="19" t="str">
        <f t="shared" si="80"/>
        <v>None</v>
      </c>
    </row>
    <row r="1348" spans="6:8" x14ac:dyDescent="0.2">
      <c r="F1348" s="19" t="str">
        <f t="shared" si="78"/>
        <v>None</v>
      </c>
      <c r="G1348" s="19" t="str">
        <f t="shared" si="79"/>
        <v>None</v>
      </c>
      <c r="H1348" s="19" t="str">
        <f t="shared" si="80"/>
        <v>None</v>
      </c>
    </row>
    <row r="1349" spans="6:8" x14ac:dyDescent="0.2">
      <c r="F1349" s="19" t="str">
        <f t="shared" si="78"/>
        <v>None</v>
      </c>
      <c r="G1349" s="19" t="str">
        <f t="shared" si="79"/>
        <v>None</v>
      </c>
      <c r="H1349" s="19" t="str">
        <f t="shared" si="80"/>
        <v>None</v>
      </c>
    </row>
    <row r="1350" spans="6:8" x14ac:dyDescent="0.2">
      <c r="F1350" s="19" t="str">
        <f t="shared" si="78"/>
        <v>None</v>
      </c>
      <c r="G1350" s="19" t="str">
        <f t="shared" si="79"/>
        <v>None</v>
      </c>
      <c r="H1350" s="19" t="str">
        <f t="shared" si="80"/>
        <v>None</v>
      </c>
    </row>
    <row r="1351" spans="6:8" x14ac:dyDescent="0.2">
      <c r="F1351" s="19" t="str">
        <f t="shared" si="78"/>
        <v>None</v>
      </c>
      <c r="G1351" s="19" t="str">
        <f t="shared" si="79"/>
        <v>None</v>
      </c>
      <c r="H1351" s="19" t="str">
        <f t="shared" si="80"/>
        <v>None</v>
      </c>
    </row>
    <row r="1352" spans="6:8" x14ac:dyDescent="0.2">
      <c r="F1352" s="19" t="str">
        <f t="shared" si="78"/>
        <v>None</v>
      </c>
      <c r="G1352" s="19" t="str">
        <f t="shared" si="79"/>
        <v>None</v>
      </c>
      <c r="H1352" s="19" t="str">
        <f t="shared" si="80"/>
        <v>None</v>
      </c>
    </row>
    <row r="1353" spans="6:8" x14ac:dyDescent="0.2">
      <c r="F1353" s="19" t="str">
        <f t="shared" si="78"/>
        <v>None</v>
      </c>
      <c r="G1353" s="19" t="str">
        <f t="shared" si="79"/>
        <v>None</v>
      </c>
      <c r="H1353" s="19" t="str">
        <f t="shared" si="80"/>
        <v>None</v>
      </c>
    </row>
    <row r="1354" spans="6:8" x14ac:dyDescent="0.2">
      <c r="F1354" s="19" t="str">
        <f t="shared" si="78"/>
        <v>None</v>
      </c>
      <c r="G1354" s="19" t="str">
        <f t="shared" si="79"/>
        <v>None</v>
      </c>
      <c r="H1354" s="19" t="str">
        <f t="shared" si="80"/>
        <v>None</v>
      </c>
    </row>
    <row r="1355" spans="6:8" x14ac:dyDescent="0.2">
      <c r="F1355" s="19" t="str">
        <f t="shared" si="78"/>
        <v>None</v>
      </c>
      <c r="G1355" s="19" t="str">
        <f t="shared" si="79"/>
        <v>None</v>
      </c>
      <c r="H1355" s="19" t="str">
        <f t="shared" si="80"/>
        <v>None</v>
      </c>
    </row>
    <row r="1356" spans="6:8" x14ac:dyDescent="0.2">
      <c r="F1356" s="19" t="str">
        <f t="shared" si="78"/>
        <v>None</v>
      </c>
      <c r="G1356" s="19" t="str">
        <f t="shared" si="79"/>
        <v>None</v>
      </c>
      <c r="H1356" s="19" t="str">
        <f t="shared" si="80"/>
        <v>None</v>
      </c>
    </row>
    <row r="1357" spans="6:8" x14ac:dyDescent="0.2">
      <c r="F1357" s="19" t="str">
        <f t="shared" si="78"/>
        <v>None</v>
      </c>
      <c r="G1357" s="19" t="str">
        <f t="shared" si="79"/>
        <v>None</v>
      </c>
      <c r="H1357" s="19" t="str">
        <f t="shared" si="80"/>
        <v>None</v>
      </c>
    </row>
    <row r="1358" spans="6:8" x14ac:dyDescent="0.2">
      <c r="F1358" s="19" t="str">
        <f t="shared" si="78"/>
        <v>None</v>
      </c>
      <c r="G1358" s="19" t="str">
        <f t="shared" si="79"/>
        <v>None</v>
      </c>
      <c r="H1358" s="19" t="str">
        <f t="shared" si="80"/>
        <v>None</v>
      </c>
    </row>
    <row r="1359" spans="6:8" x14ac:dyDescent="0.2">
      <c r="F1359" s="19" t="str">
        <f t="shared" si="78"/>
        <v>None</v>
      </c>
      <c r="G1359" s="19" t="str">
        <f t="shared" si="79"/>
        <v>None</v>
      </c>
      <c r="H1359" s="19" t="str">
        <f t="shared" si="80"/>
        <v>None</v>
      </c>
    </row>
    <row r="1360" spans="6:8" x14ac:dyDescent="0.2">
      <c r="F1360" s="19" t="str">
        <f t="shared" si="78"/>
        <v>None</v>
      </c>
      <c r="G1360" s="19" t="str">
        <f t="shared" si="79"/>
        <v>None</v>
      </c>
      <c r="H1360" s="19" t="str">
        <f t="shared" si="80"/>
        <v>None</v>
      </c>
    </row>
    <row r="1361" spans="6:8" x14ac:dyDescent="0.2">
      <c r="F1361" s="19" t="str">
        <f t="shared" si="78"/>
        <v>None</v>
      </c>
      <c r="G1361" s="19" t="str">
        <f t="shared" si="79"/>
        <v>None</v>
      </c>
      <c r="H1361" s="19" t="str">
        <f t="shared" si="80"/>
        <v>None</v>
      </c>
    </row>
    <row r="1362" spans="6:8" x14ac:dyDescent="0.2">
      <c r="F1362" s="19" t="str">
        <f t="shared" si="78"/>
        <v>None</v>
      </c>
      <c r="G1362" s="19" t="str">
        <f t="shared" si="79"/>
        <v>None</v>
      </c>
      <c r="H1362" s="19" t="str">
        <f t="shared" si="80"/>
        <v>None</v>
      </c>
    </row>
    <row r="1363" spans="6:8" x14ac:dyDescent="0.2">
      <c r="F1363" s="19" t="str">
        <f t="shared" si="78"/>
        <v>None</v>
      </c>
      <c r="G1363" s="19" t="str">
        <f t="shared" si="79"/>
        <v>None</v>
      </c>
      <c r="H1363" s="19" t="str">
        <f t="shared" si="80"/>
        <v>None</v>
      </c>
    </row>
    <row r="1364" spans="6:8" x14ac:dyDescent="0.2">
      <c r="F1364" s="19" t="str">
        <f t="shared" si="78"/>
        <v>None</v>
      </c>
      <c r="G1364" s="19" t="str">
        <f t="shared" si="79"/>
        <v>None</v>
      </c>
      <c r="H1364" s="19" t="str">
        <f t="shared" si="80"/>
        <v>None</v>
      </c>
    </row>
    <row r="1365" spans="6:8" x14ac:dyDescent="0.2">
      <c r="F1365" s="19" t="str">
        <f t="shared" ref="F1365:F1428" si="81">IF(A1365="joint","Joint",_xlfn.IFNA(VLOOKUP(B1365,tour_purposes,2,FALSE),"None"))</f>
        <v>None</v>
      </c>
      <c r="G1365" s="19" t="str">
        <f t="shared" ref="G1365:G1428" si="82">IF(AND(A1365="joint",C1365&lt;=6),"Auto",_xlfn.IFNA(VLOOKUP(C1365,tour_modes,3,FALSE),"None"))</f>
        <v>None</v>
      </c>
      <c r="H1365" s="19" t="str">
        <f t="shared" ref="H1365:H1428" si="83">_xlfn.IFNA(VLOOKUP(D1365,trip_modes,2,FALSE),"None")</f>
        <v>None</v>
      </c>
    </row>
    <row r="1366" spans="6:8" x14ac:dyDescent="0.2">
      <c r="F1366" s="19" t="str">
        <f t="shared" si="81"/>
        <v>None</v>
      </c>
      <c r="G1366" s="19" t="str">
        <f t="shared" si="82"/>
        <v>None</v>
      </c>
      <c r="H1366" s="19" t="str">
        <f t="shared" si="83"/>
        <v>None</v>
      </c>
    </row>
    <row r="1367" spans="6:8" x14ac:dyDescent="0.2">
      <c r="F1367" s="19" t="str">
        <f t="shared" si="81"/>
        <v>None</v>
      </c>
      <c r="G1367" s="19" t="str">
        <f t="shared" si="82"/>
        <v>None</v>
      </c>
      <c r="H1367" s="19" t="str">
        <f t="shared" si="83"/>
        <v>None</v>
      </c>
    </row>
    <row r="1368" spans="6:8" x14ac:dyDescent="0.2">
      <c r="F1368" s="19" t="str">
        <f t="shared" si="81"/>
        <v>None</v>
      </c>
      <c r="G1368" s="19" t="str">
        <f t="shared" si="82"/>
        <v>None</v>
      </c>
      <c r="H1368" s="19" t="str">
        <f t="shared" si="83"/>
        <v>None</v>
      </c>
    </row>
    <row r="1369" spans="6:8" x14ac:dyDescent="0.2">
      <c r="F1369" s="19" t="str">
        <f t="shared" si="81"/>
        <v>None</v>
      </c>
      <c r="G1369" s="19" t="str">
        <f t="shared" si="82"/>
        <v>None</v>
      </c>
      <c r="H1369" s="19" t="str">
        <f t="shared" si="83"/>
        <v>None</v>
      </c>
    </row>
    <row r="1370" spans="6:8" x14ac:dyDescent="0.2">
      <c r="F1370" s="19" t="str">
        <f t="shared" si="81"/>
        <v>None</v>
      </c>
      <c r="G1370" s="19" t="str">
        <f t="shared" si="82"/>
        <v>None</v>
      </c>
      <c r="H1370" s="19" t="str">
        <f t="shared" si="83"/>
        <v>None</v>
      </c>
    </row>
    <row r="1371" spans="6:8" x14ac:dyDescent="0.2">
      <c r="F1371" s="19" t="str">
        <f t="shared" si="81"/>
        <v>None</v>
      </c>
      <c r="G1371" s="19" t="str">
        <f t="shared" si="82"/>
        <v>None</v>
      </c>
      <c r="H1371" s="19" t="str">
        <f t="shared" si="83"/>
        <v>None</v>
      </c>
    </row>
    <row r="1372" spans="6:8" x14ac:dyDescent="0.2">
      <c r="F1372" s="19" t="str">
        <f t="shared" si="81"/>
        <v>None</v>
      </c>
      <c r="G1372" s="19" t="str">
        <f t="shared" si="82"/>
        <v>None</v>
      </c>
      <c r="H1372" s="19" t="str">
        <f t="shared" si="83"/>
        <v>None</v>
      </c>
    </row>
    <row r="1373" spans="6:8" x14ac:dyDescent="0.2">
      <c r="F1373" s="19" t="str">
        <f t="shared" si="81"/>
        <v>None</v>
      </c>
      <c r="G1373" s="19" t="str">
        <f t="shared" si="82"/>
        <v>None</v>
      </c>
      <c r="H1373" s="19" t="str">
        <f t="shared" si="83"/>
        <v>None</v>
      </c>
    </row>
    <row r="1374" spans="6:8" x14ac:dyDescent="0.2">
      <c r="F1374" s="19" t="str">
        <f t="shared" si="81"/>
        <v>None</v>
      </c>
      <c r="G1374" s="19" t="str">
        <f t="shared" si="82"/>
        <v>None</v>
      </c>
      <c r="H1374" s="19" t="str">
        <f t="shared" si="83"/>
        <v>None</v>
      </c>
    </row>
    <row r="1375" spans="6:8" x14ac:dyDescent="0.2">
      <c r="F1375" s="19" t="str">
        <f t="shared" si="81"/>
        <v>None</v>
      </c>
      <c r="G1375" s="19" t="str">
        <f t="shared" si="82"/>
        <v>None</v>
      </c>
      <c r="H1375" s="19" t="str">
        <f t="shared" si="83"/>
        <v>None</v>
      </c>
    </row>
    <row r="1376" spans="6:8" x14ac:dyDescent="0.2">
      <c r="F1376" s="19" t="str">
        <f t="shared" si="81"/>
        <v>None</v>
      </c>
      <c r="G1376" s="19" t="str">
        <f t="shared" si="82"/>
        <v>None</v>
      </c>
      <c r="H1376" s="19" t="str">
        <f t="shared" si="83"/>
        <v>None</v>
      </c>
    </row>
    <row r="1377" spans="6:8" x14ac:dyDescent="0.2">
      <c r="F1377" s="19" t="str">
        <f t="shared" si="81"/>
        <v>None</v>
      </c>
      <c r="G1377" s="19" t="str">
        <f t="shared" si="82"/>
        <v>None</v>
      </c>
      <c r="H1377" s="19" t="str">
        <f t="shared" si="83"/>
        <v>None</v>
      </c>
    </row>
    <row r="1378" spans="6:8" x14ac:dyDescent="0.2">
      <c r="F1378" s="19" t="str">
        <f t="shared" si="81"/>
        <v>None</v>
      </c>
      <c r="G1378" s="19" t="str">
        <f t="shared" si="82"/>
        <v>None</v>
      </c>
      <c r="H1378" s="19" t="str">
        <f t="shared" si="83"/>
        <v>None</v>
      </c>
    </row>
    <row r="1379" spans="6:8" x14ac:dyDescent="0.2">
      <c r="F1379" s="19" t="str">
        <f t="shared" si="81"/>
        <v>None</v>
      </c>
      <c r="G1379" s="19" t="str">
        <f t="shared" si="82"/>
        <v>None</v>
      </c>
      <c r="H1379" s="19" t="str">
        <f t="shared" si="83"/>
        <v>None</v>
      </c>
    </row>
    <row r="1380" spans="6:8" x14ac:dyDescent="0.2">
      <c r="F1380" s="19" t="str">
        <f t="shared" si="81"/>
        <v>None</v>
      </c>
      <c r="G1380" s="19" t="str">
        <f t="shared" si="82"/>
        <v>None</v>
      </c>
      <c r="H1380" s="19" t="str">
        <f t="shared" si="83"/>
        <v>None</v>
      </c>
    </row>
    <row r="1381" spans="6:8" x14ac:dyDescent="0.2">
      <c r="F1381" s="19" t="str">
        <f t="shared" si="81"/>
        <v>None</v>
      </c>
      <c r="G1381" s="19" t="str">
        <f t="shared" si="82"/>
        <v>None</v>
      </c>
      <c r="H1381" s="19" t="str">
        <f t="shared" si="83"/>
        <v>None</v>
      </c>
    </row>
    <row r="1382" spans="6:8" x14ac:dyDescent="0.2">
      <c r="F1382" s="19" t="str">
        <f t="shared" si="81"/>
        <v>None</v>
      </c>
      <c r="G1382" s="19" t="str">
        <f t="shared" si="82"/>
        <v>None</v>
      </c>
      <c r="H1382" s="19" t="str">
        <f t="shared" si="83"/>
        <v>None</v>
      </c>
    </row>
    <row r="1383" spans="6:8" x14ac:dyDescent="0.2">
      <c r="F1383" s="19" t="str">
        <f t="shared" si="81"/>
        <v>None</v>
      </c>
      <c r="G1383" s="19" t="str">
        <f t="shared" si="82"/>
        <v>None</v>
      </c>
      <c r="H1383" s="19" t="str">
        <f t="shared" si="83"/>
        <v>None</v>
      </c>
    </row>
    <row r="1384" spans="6:8" x14ac:dyDescent="0.2">
      <c r="F1384" s="19" t="str">
        <f t="shared" si="81"/>
        <v>None</v>
      </c>
      <c r="G1384" s="19" t="str">
        <f t="shared" si="82"/>
        <v>None</v>
      </c>
      <c r="H1384" s="19" t="str">
        <f t="shared" si="83"/>
        <v>None</v>
      </c>
    </row>
    <row r="1385" spans="6:8" x14ac:dyDescent="0.2">
      <c r="F1385" s="19" t="str">
        <f t="shared" si="81"/>
        <v>None</v>
      </c>
      <c r="G1385" s="19" t="str">
        <f t="shared" si="82"/>
        <v>None</v>
      </c>
      <c r="H1385" s="19" t="str">
        <f t="shared" si="83"/>
        <v>None</v>
      </c>
    </row>
    <row r="1386" spans="6:8" x14ac:dyDescent="0.2">
      <c r="F1386" s="19" t="str">
        <f t="shared" si="81"/>
        <v>None</v>
      </c>
      <c r="G1386" s="19" t="str">
        <f t="shared" si="82"/>
        <v>None</v>
      </c>
      <c r="H1386" s="19" t="str">
        <f t="shared" si="83"/>
        <v>None</v>
      </c>
    </row>
    <row r="1387" spans="6:8" x14ac:dyDescent="0.2">
      <c r="F1387" s="19" t="str">
        <f t="shared" si="81"/>
        <v>None</v>
      </c>
      <c r="G1387" s="19" t="str">
        <f t="shared" si="82"/>
        <v>None</v>
      </c>
      <c r="H1387" s="19" t="str">
        <f t="shared" si="83"/>
        <v>None</v>
      </c>
    </row>
    <row r="1388" spans="6:8" x14ac:dyDescent="0.2">
      <c r="F1388" s="19" t="str">
        <f t="shared" si="81"/>
        <v>None</v>
      </c>
      <c r="G1388" s="19" t="str">
        <f t="shared" si="82"/>
        <v>None</v>
      </c>
      <c r="H1388" s="19" t="str">
        <f t="shared" si="83"/>
        <v>None</v>
      </c>
    </row>
    <row r="1389" spans="6:8" x14ac:dyDescent="0.2">
      <c r="F1389" s="19" t="str">
        <f t="shared" si="81"/>
        <v>None</v>
      </c>
      <c r="G1389" s="19" t="str">
        <f t="shared" si="82"/>
        <v>None</v>
      </c>
      <c r="H1389" s="19" t="str">
        <f t="shared" si="83"/>
        <v>None</v>
      </c>
    </row>
    <row r="1390" spans="6:8" x14ac:dyDescent="0.2">
      <c r="F1390" s="19" t="str">
        <f t="shared" si="81"/>
        <v>None</v>
      </c>
      <c r="G1390" s="19" t="str">
        <f t="shared" si="82"/>
        <v>None</v>
      </c>
      <c r="H1390" s="19" t="str">
        <f t="shared" si="83"/>
        <v>None</v>
      </c>
    </row>
    <row r="1391" spans="6:8" x14ac:dyDescent="0.2">
      <c r="F1391" s="19" t="str">
        <f t="shared" si="81"/>
        <v>None</v>
      </c>
      <c r="G1391" s="19" t="str">
        <f t="shared" si="82"/>
        <v>None</v>
      </c>
      <c r="H1391" s="19" t="str">
        <f t="shared" si="83"/>
        <v>None</v>
      </c>
    </row>
    <row r="1392" spans="6:8" x14ac:dyDescent="0.2">
      <c r="F1392" s="19" t="str">
        <f t="shared" si="81"/>
        <v>None</v>
      </c>
      <c r="G1392" s="19" t="str">
        <f t="shared" si="82"/>
        <v>None</v>
      </c>
      <c r="H1392" s="19" t="str">
        <f t="shared" si="83"/>
        <v>None</v>
      </c>
    </row>
    <row r="1393" spans="6:8" x14ac:dyDescent="0.2">
      <c r="F1393" s="19" t="str">
        <f t="shared" si="81"/>
        <v>None</v>
      </c>
      <c r="G1393" s="19" t="str">
        <f t="shared" si="82"/>
        <v>None</v>
      </c>
      <c r="H1393" s="19" t="str">
        <f t="shared" si="83"/>
        <v>None</v>
      </c>
    </row>
    <row r="1394" spans="6:8" x14ac:dyDescent="0.2">
      <c r="F1394" s="19" t="str">
        <f t="shared" si="81"/>
        <v>None</v>
      </c>
      <c r="G1394" s="19" t="str">
        <f t="shared" si="82"/>
        <v>None</v>
      </c>
      <c r="H1394" s="19" t="str">
        <f t="shared" si="83"/>
        <v>None</v>
      </c>
    </row>
    <row r="1395" spans="6:8" x14ac:dyDescent="0.2">
      <c r="F1395" s="19" t="str">
        <f t="shared" si="81"/>
        <v>None</v>
      </c>
      <c r="G1395" s="19" t="str">
        <f t="shared" si="82"/>
        <v>None</v>
      </c>
      <c r="H1395" s="19" t="str">
        <f t="shared" si="83"/>
        <v>None</v>
      </c>
    </row>
    <row r="1396" spans="6:8" x14ac:dyDescent="0.2">
      <c r="F1396" s="19" t="str">
        <f t="shared" si="81"/>
        <v>None</v>
      </c>
      <c r="G1396" s="19" t="str">
        <f t="shared" si="82"/>
        <v>None</v>
      </c>
      <c r="H1396" s="19" t="str">
        <f t="shared" si="83"/>
        <v>None</v>
      </c>
    </row>
    <row r="1397" spans="6:8" x14ac:dyDescent="0.2">
      <c r="F1397" s="19" t="str">
        <f t="shared" si="81"/>
        <v>None</v>
      </c>
      <c r="G1397" s="19" t="str">
        <f t="shared" si="82"/>
        <v>None</v>
      </c>
      <c r="H1397" s="19" t="str">
        <f t="shared" si="83"/>
        <v>None</v>
      </c>
    </row>
    <row r="1398" spans="6:8" x14ac:dyDescent="0.2">
      <c r="F1398" s="19" t="str">
        <f t="shared" si="81"/>
        <v>None</v>
      </c>
      <c r="G1398" s="19" t="str">
        <f t="shared" si="82"/>
        <v>None</v>
      </c>
      <c r="H1398" s="19" t="str">
        <f t="shared" si="83"/>
        <v>None</v>
      </c>
    </row>
    <row r="1399" spans="6:8" x14ac:dyDescent="0.2">
      <c r="F1399" s="19" t="str">
        <f t="shared" si="81"/>
        <v>None</v>
      </c>
      <c r="G1399" s="19" t="str">
        <f t="shared" si="82"/>
        <v>None</v>
      </c>
      <c r="H1399" s="19" t="str">
        <f t="shared" si="83"/>
        <v>None</v>
      </c>
    </row>
    <row r="1400" spans="6:8" x14ac:dyDescent="0.2">
      <c r="F1400" s="19" t="str">
        <f t="shared" si="81"/>
        <v>None</v>
      </c>
      <c r="G1400" s="19" t="str">
        <f t="shared" si="82"/>
        <v>None</v>
      </c>
      <c r="H1400" s="19" t="str">
        <f t="shared" si="83"/>
        <v>None</v>
      </c>
    </row>
    <row r="1401" spans="6:8" x14ac:dyDescent="0.2">
      <c r="F1401" s="19" t="str">
        <f t="shared" si="81"/>
        <v>None</v>
      </c>
      <c r="G1401" s="19" t="str">
        <f t="shared" si="82"/>
        <v>None</v>
      </c>
      <c r="H1401" s="19" t="str">
        <f t="shared" si="83"/>
        <v>None</v>
      </c>
    </row>
    <row r="1402" spans="6:8" x14ac:dyDescent="0.2">
      <c r="F1402" s="19" t="str">
        <f t="shared" si="81"/>
        <v>None</v>
      </c>
      <c r="G1402" s="19" t="str">
        <f t="shared" si="82"/>
        <v>None</v>
      </c>
      <c r="H1402" s="19" t="str">
        <f t="shared" si="83"/>
        <v>None</v>
      </c>
    </row>
    <row r="1403" spans="6:8" x14ac:dyDescent="0.2">
      <c r="F1403" s="19" t="str">
        <f t="shared" si="81"/>
        <v>None</v>
      </c>
      <c r="G1403" s="19" t="str">
        <f t="shared" si="82"/>
        <v>None</v>
      </c>
      <c r="H1403" s="19" t="str">
        <f t="shared" si="83"/>
        <v>None</v>
      </c>
    </row>
    <row r="1404" spans="6:8" x14ac:dyDescent="0.2">
      <c r="F1404" s="19" t="str">
        <f t="shared" si="81"/>
        <v>None</v>
      </c>
      <c r="G1404" s="19" t="str">
        <f t="shared" si="82"/>
        <v>None</v>
      </c>
      <c r="H1404" s="19" t="str">
        <f t="shared" si="83"/>
        <v>None</v>
      </c>
    </row>
    <row r="1405" spans="6:8" x14ac:dyDescent="0.2">
      <c r="F1405" s="19" t="str">
        <f t="shared" si="81"/>
        <v>None</v>
      </c>
      <c r="G1405" s="19" t="str">
        <f t="shared" si="82"/>
        <v>None</v>
      </c>
      <c r="H1405" s="19" t="str">
        <f t="shared" si="83"/>
        <v>None</v>
      </c>
    </row>
    <row r="1406" spans="6:8" x14ac:dyDescent="0.2">
      <c r="F1406" s="19" t="str">
        <f t="shared" si="81"/>
        <v>None</v>
      </c>
      <c r="G1406" s="19" t="str">
        <f t="shared" si="82"/>
        <v>None</v>
      </c>
      <c r="H1406" s="19" t="str">
        <f t="shared" si="83"/>
        <v>None</v>
      </c>
    </row>
    <row r="1407" spans="6:8" x14ac:dyDescent="0.2">
      <c r="F1407" s="19" t="str">
        <f t="shared" si="81"/>
        <v>None</v>
      </c>
      <c r="G1407" s="19" t="str">
        <f t="shared" si="82"/>
        <v>None</v>
      </c>
      <c r="H1407" s="19" t="str">
        <f t="shared" si="83"/>
        <v>None</v>
      </c>
    </row>
    <row r="1408" spans="6:8" x14ac:dyDescent="0.2">
      <c r="F1408" s="19" t="str">
        <f t="shared" si="81"/>
        <v>None</v>
      </c>
      <c r="G1408" s="19" t="str">
        <f t="shared" si="82"/>
        <v>None</v>
      </c>
      <c r="H1408" s="19" t="str">
        <f t="shared" si="83"/>
        <v>None</v>
      </c>
    </row>
    <row r="1409" spans="6:8" x14ac:dyDescent="0.2">
      <c r="F1409" s="19" t="str">
        <f t="shared" si="81"/>
        <v>None</v>
      </c>
      <c r="G1409" s="19" t="str">
        <f t="shared" si="82"/>
        <v>None</v>
      </c>
      <c r="H1409" s="19" t="str">
        <f t="shared" si="83"/>
        <v>None</v>
      </c>
    </row>
    <row r="1410" spans="6:8" x14ac:dyDescent="0.2">
      <c r="F1410" s="19" t="str">
        <f t="shared" si="81"/>
        <v>None</v>
      </c>
      <c r="G1410" s="19" t="str">
        <f t="shared" si="82"/>
        <v>None</v>
      </c>
      <c r="H1410" s="19" t="str">
        <f t="shared" si="83"/>
        <v>None</v>
      </c>
    </row>
    <row r="1411" spans="6:8" x14ac:dyDescent="0.2">
      <c r="F1411" s="19" t="str">
        <f t="shared" si="81"/>
        <v>None</v>
      </c>
      <c r="G1411" s="19" t="str">
        <f t="shared" si="82"/>
        <v>None</v>
      </c>
      <c r="H1411" s="19" t="str">
        <f t="shared" si="83"/>
        <v>None</v>
      </c>
    </row>
    <row r="1412" spans="6:8" x14ac:dyDescent="0.2">
      <c r="F1412" s="19" t="str">
        <f t="shared" si="81"/>
        <v>None</v>
      </c>
      <c r="G1412" s="19" t="str">
        <f t="shared" si="82"/>
        <v>None</v>
      </c>
      <c r="H1412" s="19" t="str">
        <f t="shared" si="83"/>
        <v>None</v>
      </c>
    </row>
    <row r="1413" spans="6:8" x14ac:dyDescent="0.2">
      <c r="F1413" s="19" t="str">
        <f t="shared" si="81"/>
        <v>None</v>
      </c>
      <c r="G1413" s="19" t="str">
        <f t="shared" si="82"/>
        <v>None</v>
      </c>
      <c r="H1413" s="19" t="str">
        <f t="shared" si="83"/>
        <v>None</v>
      </c>
    </row>
    <row r="1414" spans="6:8" x14ac:dyDescent="0.2">
      <c r="F1414" s="19" t="str">
        <f t="shared" si="81"/>
        <v>None</v>
      </c>
      <c r="G1414" s="19" t="str">
        <f t="shared" si="82"/>
        <v>None</v>
      </c>
      <c r="H1414" s="19" t="str">
        <f t="shared" si="83"/>
        <v>None</v>
      </c>
    </row>
    <row r="1415" spans="6:8" x14ac:dyDescent="0.2">
      <c r="F1415" s="19" t="str">
        <f t="shared" si="81"/>
        <v>None</v>
      </c>
      <c r="G1415" s="19" t="str">
        <f t="shared" si="82"/>
        <v>None</v>
      </c>
      <c r="H1415" s="19" t="str">
        <f t="shared" si="83"/>
        <v>None</v>
      </c>
    </row>
    <row r="1416" spans="6:8" x14ac:dyDescent="0.2">
      <c r="F1416" s="19" t="str">
        <f t="shared" si="81"/>
        <v>None</v>
      </c>
      <c r="G1416" s="19" t="str">
        <f t="shared" si="82"/>
        <v>None</v>
      </c>
      <c r="H1416" s="19" t="str">
        <f t="shared" si="83"/>
        <v>None</v>
      </c>
    </row>
    <row r="1417" spans="6:8" x14ac:dyDescent="0.2">
      <c r="F1417" s="19" t="str">
        <f t="shared" si="81"/>
        <v>None</v>
      </c>
      <c r="G1417" s="19" t="str">
        <f t="shared" si="82"/>
        <v>None</v>
      </c>
      <c r="H1417" s="19" t="str">
        <f t="shared" si="83"/>
        <v>None</v>
      </c>
    </row>
    <row r="1418" spans="6:8" x14ac:dyDescent="0.2">
      <c r="F1418" s="19" t="str">
        <f t="shared" si="81"/>
        <v>None</v>
      </c>
      <c r="G1418" s="19" t="str">
        <f t="shared" si="82"/>
        <v>None</v>
      </c>
      <c r="H1418" s="19" t="str">
        <f t="shared" si="83"/>
        <v>None</v>
      </c>
    </row>
    <row r="1419" spans="6:8" x14ac:dyDescent="0.2">
      <c r="F1419" s="19" t="str">
        <f t="shared" si="81"/>
        <v>None</v>
      </c>
      <c r="G1419" s="19" t="str">
        <f t="shared" si="82"/>
        <v>None</v>
      </c>
      <c r="H1419" s="19" t="str">
        <f t="shared" si="83"/>
        <v>None</v>
      </c>
    </row>
    <row r="1420" spans="6:8" x14ac:dyDescent="0.2">
      <c r="F1420" s="19" t="str">
        <f t="shared" si="81"/>
        <v>None</v>
      </c>
      <c r="G1420" s="19" t="str">
        <f t="shared" si="82"/>
        <v>None</v>
      </c>
      <c r="H1420" s="19" t="str">
        <f t="shared" si="83"/>
        <v>None</v>
      </c>
    </row>
    <row r="1421" spans="6:8" x14ac:dyDescent="0.2">
      <c r="F1421" s="19" t="str">
        <f t="shared" si="81"/>
        <v>None</v>
      </c>
      <c r="G1421" s="19" t="str">
        <f t="shared" si="82"/>
        <v>None</v>
      </c>
      <c r="H1421" s="19" t="str">
        <f t="shared" si="83"/>
        <v>None</v>
      </c>
    </row>
    <row r="1422" spans="6:8" x14ac:dyDescent="0.2">
      <c r="F1422" s="19" t="str">
        <f t="shared" si="81"/>
        <v>None</v>
      </c>
      <c r="G1422" s="19" t="str">
        <f t="shared" si="82"/>
        <v>None</v>
      </c>
      <c r="H1422" s="19" t="str">
        <f t="shared" si="83"/>
        <v>None</v>
      </c>
    </row>
    <row r="1423" spans="6:8" x14ac:dyDescent="0.2">
      <c r="F1423" s="19" t="str">
        <f t="shared" si="81"/>
        <v>None</v>
      </c>
      <c r="G1423" s="19" t="str">
        <f t="shared" si="82"/>
        <v>None</v>
      </c>
      <c r="H1423" s="19" t="str">
        <f t="shared" si="83"/>
        <v>None</v>
      </c>
    </row>
    <row r="1424" spans="6:8" x14ac:dyDescent="0.2">
      <c r="F1424" s="19" t="str">
        <f t="shared" si="81"/>
        <v>None</v>
      </c>
      <c r="G1424" s="19" t="str">
        <f t="shared" si="82"/>
        <v>None</v>
      </c>
      <c r="H1424" s="19" t="str">
        <f t="shared" si="83"/>
        <v>None</v>
      </c>
    </row>
    <row r="1425" spans="6:8" x14ac:dyDescent="0.2">
      <c r="F1425" s="19" t="str">
        <f t="shared" si="81"/>
        <v>None</v>
      </c>
      <c r="G1425" s="19" t="str">
        <f t="shared" si="82"/>
        <v>None</v>
      </c>
      <c r="H1425" s="19" t="str">
        <f t="shared" si="83"/>
        <v>None</v>
      </c>
    </row>
    <row r="1426" spans="6:8" x14ac:dyDescent="0.2">
      <c r="F1426" s="19" t="str">
        <f t="shared" si="81"/>
        <v>None</v>
      </c>
      <c r="G1426" s="19" t="str">
        <f t="shared" si="82"/>
        <v>None</v>
      </c>
      <c r="H1426" s="19" t="str">
        <f t="shared" si="83"/>
        <v>None</v>
      </c>
    </row>
    <row r="1427" spans="6:8" x14ac:dyDescent="0.2">
      <c r="F1427" s="19" t="str">
        <f t="shared" si="81"/>
        <v>None</v>
      </c>
      <c r="G1427" s="19" t="str">
        <f t="shared" si="82"/>
        <v>None</v>
      </c>
      <c r="H1427" s="19" t="str">
        <f t="shared" si="83"/>
        <v>None</v>
      </c>
    </row>
    <row r="1428" spans="6:8" x14ac:dyDescent="0.2">
      <c r="F1428" s="19" t="str">
        <f t="shared" si="81"/>
        <v>None</v>
      </c>
      <c r="G1428" s="19" t="str">
        <f t="shared" si="82"/>
        <v>None</v>
      </c>
      <c r="H1428" s="19" t="str">
        <f t="shared" si="83"/>
        <v>None</v>
      </c>
    </row>
    <row r="1429" spans="6:8" x14ac:dyDescent="0.2">
      <c r="F1429" s="19" t="str">
        <f t="shared" ref="F1429:F1492" si="84">IF(A1429="joint","Joint",_xlfn.IFNA(VLOOKUP(B1429,tour_purposes,2,FALSE),"None"))</f>
        <v>None</v>
      </c>
      <c r="G1429" s="19" t="str">
        <f t="shared" ref="G1429:G1492" si="85">IF(AND(A1429="joint",C1429&lt;=6),"Auto",_xlfn.IFNA(VLOOKUP(C1429,tour_modes,3,FALSE),"None"))</f>
        <v>None</v>
      </c>
      <c r="H1429" s="19" t="str">
        <f t="shared" ref="H1429:H1492" si="86">_xlfn.IFNA(VLOOKUP(D1429,trip_modes,2,FALSE),"None")</f>
        <v>None</v>
      </c>
    </row>
    <row r="1430" spans="6:8" x14ac:dyDescent="0.2">
      <c r="F1430" s="19" t="str">
        <f t="shared" si="84"/>
        <v>None</v>
      </c>
      <c r="G1430" s="19" t="str">
        <f t="shared" si="85"/>
        <v>None</v>
      </c>
      <c r="H1430" s="19" t="str">
        <f t="shared" si="86"/>
        <v>None</v>
      </c>
    </row>
    <row r="1431" spans="6:8" x14ac:dyDescent="0.2">
      <c r="F1431" s="19" t="str">
        <f t="shared" si="84"/>
        <v>None</v>
      </c>
      <c r="G1431" s="19" t="str">
        <f t="shared" si="85"/>
        <v>None</v>
      </c>
      <c r="H1431" s="19" t="str">
        <f t="shared" si="86"/>
        <v>None</v>
      </c>
    </row>
    <row r="1432" spans="6:8" x14ac:dyDescent="0.2">
      <c r="F1432" s="19" t="str">
        <f t="shared" si="84"/>
        <v>None</v>
      </c>
      <c r="G1432" s="19" t="str">
        <f t="shared" si="85"/>
        <v>None</v>
      </c>
      <c r="H1432" s="19" t="str">
        <f t="shared" si="86"/>
        <v>None</v>
      </c>
    </row>
    <row r="1433" spans="6:8" x14ac:dyDescent="0.2">
      <c r="F1433" s="19" t="str">
        <f t="shared" si="84"/>
        <v>None</v>
      </c>
      <c r="G1433" s="19" t="str">
        <f t="shared" si="85"/>
        <v>None</v>
      </c>
      <c r="H1433" s="19" t="str">
        <f t="shared" si="86"/>
        <v>None</v>
      </c>
    </row>
    <row r="1434" spans="6:8" x14ac:dyDescent="0.2">
      <c r="F1434" s="19" t="str">
        <f t="shared" si="84"/>
        <v>None</v>
      </c>
      <c r="G1434" s="19" t="str">
        <f t="shared" si="85"/>
        <v>None</v>
      </c>
      <c r="H1434" s="19" t="str">
        <f t="shared" si="86"/>
        <v>None</v>
      </c>
    </row>
    <row r="1435" spans="6:8" x14ac:dyDescent="0.2">
      <c r="F1435" s="19" t="str">
        <f t="shared" si="84"/>
        <v>None</v>
      </c>
      <c r="G1435" s="19" t="str">
        <f t="shared" si="85"/>
        <v>None</v>
      </c>
      <c r="H1435" s="19" t="str">
        <f t="shared" si="86"/>
        <v>None</v>
      </c>
    </row>
    <row r="1436" spans="6:8" x14ac:dyDescent="0.2">
      <c r="F1436" s="19" t="str">
        <f t="shared" si="84"/>
        <v>None</v>
      </c>
      <c r="G1436" s="19" t="str">
        <f t="shared" si="85"/>
        <v>None</v>
      </c>
      <c r="H1436" s="19" t="str">
        <f t="shared" si="86"/>
        <v>None</v>
      </c>
    </row>
    <row r="1437" spans="6:8" x14ac:dyDescent="0.2">
      <c r="F1437" s="19" t="str">
        <f t="shared" si="84"/>
        <v>None</v>
      </c>
      <c r="G1437" s="19" t="str">
        <f t="shared" si="85"/>
        <v>None</v>
      </c>
      <c r="H1437" s="19" t="str">
        <f t="shared" si="86"/>
        <v>None</v>
      </c>
    </row>
    <row r="1438" spans="6:8" x14ac:dyDescent="0.2">
      <c r="F1438" s="19" t="str">
        <f t="shared" si="84"/>
        <v>None</v>
      </c>
      <c r="G1438" s="19" t="str">
        <f t="shared" si="85"/>
        <v>None</v>
      </c>
      <c r="H1438" s="19" t="str">
        <f t="shared" si="86"/>
        <v>None</v>
      </c>
    </row>
    <row r="1439" spans="6:8" x14ac:dyDescent="0.2">
      <c r="F1439" s="19" t="str">
        <f t="shared" si="84"/>
        <v>None</v>
      </c>
      <c r="G1439" s="19" t="str">
        <f t="shared" si="85"/>
        <v>None</v>
      </c>
      <c r="H1439" s="19" t="str">
        <f t="shared" si="86"/>
        <v>None</v>
      </c>
    </row>
    <row r="1440" spans="6:8" x14ac:dyDescent="0.2">
      <c r="F1440" s="19" t="str">
        <f t="shared" si="84"/>
        <v>None</v>
      </c>
      <c r="G1440" s="19" t="str">
        <f t="shared" si="85"/>
        <v>None</v>
      </c>
      <c r="H1440" s="19" t="str">
        <f t="shared" si="86"/>
        <v>None</v>
      </c>
    </row>
    <row r="1441" spans="6:8" x14ac:dyDescent="0.2">
      <c r="F1441" s="19" t="str">
        <f t="shared" si="84"/>
        <v>None</v>
      </c>
      <c r="G1441" s="19" t="str">
        <f t="shared" si="85"/>
        <v>None</v>
      </c>
      <c r="H1441" s="19" t="str">
        <f t="shared" si="86"/>
        <v>None</v>
      </c>
    </row>
    <row r="1442" spans="6:8" x14ac:dyDescent="0.2">
      <c r="F1442" s="19" t="str">
        <f t="shared" si="84"/>
        <v>None</v>
      </c>
      <c r="G1442" s="19" t="str">
        <f t="shared" si="85"/>
        <v>None</v>
      </c>
      <c r="H1442" s="19" t="str">
        <f t="shared" si="86"/>
        <v>None</v>
      </c>
    </row>
    <row r="1443" spans="6:8" x14ac:dyDescent="0.2">
      <c r="F1443" s="19" t="str">
        <f t="shared" si="84"/>
        <v>None</v>
      </c>
      <c r="G1443" s="19" t="str">
        <f t="shared" si="85"/>
        <v>None</v>
      </c>
      <c r="H1443" s="19" t="str">
        <f t="shared" si="86"/>
        <v>None</v>
      </c>
    </row>
    <row r="1444" spans="6:8" x14ac:dyDescent="0.2">
      <c r="F1444" s="19" t="str">
        <f t="shared" si="84"/>
        <v>None</v>
      </c>
      <c r="G1444" s="19" t="str">
        <f t="shared" si="85"/>
        <v>None</v>
      </c>
      <c r="H1444" s="19" t="str">
        <f t="shared" si="86"/>
        <v>None</v>
      </c>
    </row>
    <row r="1445" spans="6:8" x14ac:dyDescent="0.2">
      <c r="F1445" s="19" t="str">
        <f t="shared" si="84"/>
        <v>None</v>
      </c>
      <c r="G1445" s="19" t="str">
        <f t="shared" si="85"/>
        <v>None</v>
      </c>
      <c r="H1445" s="19" t="str">
        <f t="shared" si="86"/>
        <v>None</v>
      </c>
    </row>
    <row r="1446" spans="6:8" x14ac:dyDescent="0.2">
      <c r="F1446" s="19" t="str">
        <f t="shared" si="84"/>
        <v>None</v>
      </c>
      <c r="G1446" s="19" t="str">
        <f t="shared" si="85"/>
        <v>None</v>
      </c>
      <c r="H1446" s="19" t="str">
        <f t="shared" si="86"/>
        <v>None</v>
      </c>
    </row>
    <row r="1447" spans="6:8" x14ac:dyDescent="0.2">
      <c r="F1447" s="19" t="str">
        <f t="shared" si="84"/>
        <v>None</v>
      </c>
      <c r="G1447" s="19" t="str">
        <f t="shared" si="85"/>
        <v>None</v>
      </c>
      <c r="H1447" s="19" t="str">
        <f t="shared" si="86"/>
        <v>None</v>
      </c>
    </row>
    <row r="1448" spans="6:8" x14ac:dyDescent="0.2">
      <c r="F1448" s="19" t="str">
        <f t="shared" si="84"/>
        <v>None</v>
      </c>
      <c r="G1448" s="19" t="str">
        <f t="shared" si="85"/>
        <v>None</v>
      </c>
      <c r="H1448" s="19" t="str">
        <f t="shared" si="86"/>
        <v>None</v>
      </c>
    </row>
    <row r="1449" spans="6:8" x14ac:dyDescent="0.2">
      <c r="F1449" s="19" t="str">
        <f t="shared" si="84"/>
        <v>None</v>
      </c>
      <c r="G1449" s="19" t="str">
        <f t="shared" si="85"/>
        <v>None</v>
      </c>
      <c r="H1449" s="19" t="str">
        <f t="shared" si="86"/>
        <v>None</v>
      </c>
    </row>
    <row r="1450" spans="6:8" x14ac:dyDescent="0.2">
      <c r="F1450" s="19" t="str">
        <f t="shared" si="84"/>
        <v>None</v>
      </c>
      <c r="G1450" s="19" t="str">
        <f t="shared" si="85"/>
        <v>None</v>
      </c>
      <c r="H1450" s="19" t="str">
        <f t="shared" si="86"/>
        <v>None</v>
      </c>
    </row>
    <row r="1451" spans="6:8" x14ac:dyDescent="0.2">
      <c r="F1451" s="19" t="str">
        <f t="shared" si="84"/>
        <v>None</v>
      </c>
      <c r="G1451" s="19" t="str">
        <f t="shared" si="85"/>
        <v>None</v>
      </c>
      <c r="H1451" s="19" t="str">
        <f t="shared" si="86"/>
        <v>None</v>
      </c>
    </row>
    <row r="1452" spans="6:8" x14ac:dyDescent="0.2">
      <c r="F1452" s="19" t="str">
        <f t="shared" si="84"/>
        <v>None</v>
      </c>
      <c r="G1452" s="19" t="str">
        <f t="shared" si="85"/>
        <v>None</v>
      </c>
      <c r="H1452" s="19" t="str">
        <f t="shared" si="86"/>
        <v>None</v>
      </c>
    </row>
    <row r="1453" spans="6:8" x14ac:dyDescent="0.2">
      <c r="F1453" s="19" t="str">
        <f t="shared" si="84"/>
        <v>None</v>
      </c>
      <c r="G1453" s="19" t="str">
        <f t="shared" si="85"/>
        <v>None</v>
      </c>
      <c r="H1453" s="19" t="str">
        <f t="shared" si="86"/>
        <v>None</v>
      </c>
    </row>
    <row r="1454" spans="6:8" x14ac:dyDescent="0.2">
      <c r="F1454" s="19" t="str">
        <f t="shared" si="84"/>
        <v>None</v>
      </c>
      <c r="G1454" s="19" t="str">
        <f t="shared" si="85"/>
        <v>None</v>
      </c>
      <c r="H1454" s="19" t="str">
        <f t="shared" si="86"/>
        <v>None</v>
      </c>
    </row>
    <row r="1455" spans="6:8" x14ac:dyDescent="0.2">
      <c r="F1455" s="19" t="str">
        <f t="shared" si="84"/>
        <v>None</v>
      </c>
      <c r="G1455" s="19" t="str">
        <f t="shared" si="85"/>
        <v>None</v>
      </c>
      <c r="H1455" s="19" t="str">
        <f t="shared" si="86"/>
        <v>None</v>
      </c>
    </row>
    <row r="1456" spans="6:8" x14ac:dyDescent="0.2">
      <c r="F1456" s="19" t="str">
        <f t="shared" si="84"/>
        <v>None</v>
      </c>
      <c r="G1456" s="19" t="str">
        <f t="shared" si="85"/>
        <v>None</v>
      </c>
      <c r="H1456" s="19" t="str">
        <f t="shared" si="86"/>
        <v>None</v>
      </c>
    </row>
    <row r="1457" spans="6:8" x14ac:dyDescent="0.2">
      <c r="F1457" s="19" t="str">
        <f t="shared" si="84"/>
        <v>None</v>
      </c>
      <c r="G1457" s="19" t="str">
        <f t="shared" si="85"/>
        <v>None</v>
      </c>
      <c r="H1457" s="19" t="str">
        <f t="shared" si="86"/>
        <v>None</v>
      </c>
    </row>
    <row r="1458" spans="6:8" x14ac:dyDescent="0.2">
      <c r="F1458" s="19" t="str">
        <f t="shared" si="84"/>
        <v>None</v>
      </c>
      <c r="G1458" s="19" t="str">
        <f t="shared" si="85"/>
        <v>None</v>
      </c>
      <c r="H1458" s="19" t="str">
        <f t="shared" si="86"/>
        <v>None</v>
      </c>
    </row>
    <row r="1459" spans="6:8" x14ac:dyDescent="0.2">
      <c r="F1459" s="19" t="str">
        <f t="shared" si="84"/>
        <v>None</v>
      </c>
      <c r="G1459" s="19" t="str">
        <f t="shared" si="85"/>
        <v>None</v>
      </c>
      <c r="H1459" s="19" t="str">
        <f t="shared" si="86"/>
        <v>None</v>
      </c>
    </row>
    <row r="1460" spans="6:8" x14ac:dyDescent="0.2">
      <c r="F1460" s="19" t="str">
        <f t="shared" si="84"/>
        <v>None</v>
      </c>
      <c r="G1460" s="19" t="str">
        <f t="shared" si="85"/>
        <v>None</v>
      </c>
      <c r="H1460" s="19" t="str">
        <f t="shared" si="86"/>
        <v>None</v>
      </c>
    </row>
    <row r="1461" spans="6:8" x14ac:dyDescent="0.2">
      <c r="F1461" s="19" t="str">
        <f t="shared" si="84"/>
        <v>None</v>
      </c>
      <c r="G1461" s="19" t="str">
        <f t="shared" si="85"/>
        <v>None</v>
      </c>
      <c r="H1461" s="19" t="str">
        <f t="shared" si="86"/>
        <v>None</v>
      </c>
    </row>
    <row r="1462" spans="6:8" x14ac:dyDescent="0.2">
      <c r="F1462" s="19" t="str">
        <f t="shared" si="84"/>
        <v>None</v>
      </c>
      <c r="G1462" s="19" t="str">
        <f t="shared" si="85"/>
        <v>None</v>
      </c>
      <c r="H1462" s="19" t="str">
        <f t="shared" si="86"/>
        <v>None</v>
      </c>
    </row>
    <row r="1463" spans="6:8" x14ac:dyDescent="0.2">
      <c r="F1463" s="19" t="str">
        <f t="shared" si="84"/>
        <v>None</v>
      </c>
      <c r="G1463" s="19" t="str">
        <f t="shared" si="85"/>
        <v>None</v>
      </c>
      <c r="H1463" s="19" t="str">
        <f t="shared" si="86"/>
        <v>None</v>
      </c>
    </row>
    <row r="1464" spans="6:8" x14ac:dyDescent="0.2">
      <c r="F1464" s="19" t="str">
        <f t="shared" si="84"/>
        <v>None</v>
      </c>
      <c r="G1464" s="19" t="str">
        <f t="shared" si="85"/>
        <v>None</v>
      </c>
      <c r="H1464" s="19" t="str">
        <f t="shared" si="86"/>
        <v>None</v>
      </c>
    </row>
    <row r="1465" spans="6:8" x14ac:dyDescent="0.2">
      <c r="F1465" s="19" t="str">
        <f t="shared" si="84"/>
        <v>None</v>
      </c>
      <c r="G1465" s="19" t="str">
        <f t="shared" si="85"/>
        <v>None</v>
      </c>
      <c r="H1465" s="19" t="str">
        <f t="shared" si="86"/>
        <v>None</v>
      </c>
    </row>
    <row r="1466" spans="6:8" x14ac:dyDescent="0.2">
      <c r="F1466" s="19" t="str">
        <f t="shared" si="84"/>
        <v>None</v>
      </c>
      <c r="G1466" s="19" t="str">
        <f t="shared" si="85"/>
        <v>None</v>
      </c>
      <c r="H1466" s="19" t="str">
        <f t="shared" si="86"/>
        <v>None</v>
      </c>
    </row>
    <row r="1467" spans="6:8" x14ac:dyDescent="0.2">
      <c r="F1467" s="19" t="str">
        <f t="shared" si="84"/>
        <v>None</v>
      </c>
      <c r="G1467" s="19" t="str">
        <f t="shared" si="85"/>
        <v>None</v>
      </c>
      <c r="H1467" s="19" t="str">
        <f t="shared" si="86"/>
        <v>None</v>
      </c>
    </row>
    <row r="1468" spans="6:8" x14ac:dyDescent="0.2">
      <c r="F1468" s="19" t="str">
        <f t="shared" si="84"/>
        <v>None</v>
      </c>
      <c r="G1468" s="19" t="str">
        <f t="shared" si="85"/>
        <v>None</v>
      </c>
      <c r="H1468" s="19" t="str">
        <f t="shared" si="86"/>
        <v>None</v>
      </c>
    </row>
    <row r="1469" spans="6:8" x14ac:dyDescent="0.2">
      <c r="F1469" s="19" t="str">
        <f t="shared" si="84"/>
        <v>None</v>
      </c>
      <c r="G1469" s="19" t="str">
        <f t="shared" si="85"/>
        <v>None</v>
      </c>
      <c r="H1469" s="19" t="str">
        <f t="shared" si="86"/>
        <v>None</v>
      </c>
    </row>
    <row r="1470" spans="6:8" x14ac:dyDescent="0.2">
      <c r="F1470" s="19" t="str">
        <f t="shared" si="84"/>
        <v>None</v>
      </c>
      <c r="G1470" s="19" t="str">
        <f t="shared" si="85"/>
        <v>None</v>
      </c>
      <c r="H1470" s="19" t="str">
        <f t="shared" si="86"/>
        <v>None</v>
      </c>
    </row>
    <row r="1471" spans="6:8" x14ac:dyDescent="0.2">
      <c r="F1471" s="19" t="str">
        <f t="shared" si="84"/>
        <v>None</v>
      </c>
      <c r="G1471" s="19" t="str">
        <f t="shared" si="85"/>
        <v>None</v>
      </c>
      <c r="H1471" s="19" t="str">
        <f t="shared" si="86"/>
        <v>None</v>
      </c>
    </row>
    <row r="1472" spans="6:8" x14ac:dyDescent="0.2">
      <c r="F1472" s="19" t="str">
        <f t="shared" si="84"/>
        <v>None</v>
      </c>
      <c r="G1472" s="19" t="str">
        <f t="shared" si="85"/>
        <v>None</v>
      </c>
      <c r="H1472" s="19" t="str">
        <f t="shared" si="86"/>
        <v>None</v>
      </c>
    </row>
    <row r="1473" spans="6:8" x14ac:dyDescent="0.2">
      <c r="F1473" s="19" t="str">
        <f t="shared" si="84"/>
        <v>None</v>
      </c>
      <c r="G1473" s="19" t="str">
        <f t="shared" si="85"/>
        <v>None</v>
      </c>
      <c r="H1473" s="19" t="str">
        <f t="shared" si="86"/>
        <v>None</v>
      </c>
    </row>
    <row r="1474" spans="6:8" x14ac:dyDescent="0.2">
      <c r="F1474" s="19" t="str">
        <f t="shared" si="84"/>
        <v>None</v>
      </c>
      <c r="G1474" s="19" t="str">
        <f t="shared" si="85"/>
        <v>None</v>
      </c>
      <c r="H1474" s="19" t="str">
        <f t="shared" si="86"/>
        <v>None</v>
      </c>
    </row>
    <row r="1475" spans="6:8" x14ac:dyDescent="0.2">
      <c r="F1475" s="19" t="str">
        <f t="shared" si="84"/>
        <v>None</v>
      </c>
      <c r="G1475" s="19" t="str">
        <f t="shared" si="85"/>
        <v>None</v>
      </c>
      <c r="H1475" s="19" t="str">
        <f t="shared" si="86"/>
        <v>None</v>
      </c>
    </row>
    <row r="1476" spans="6:8" x14ac:dyDescent="0.2">
      <c r="F1476" s="19" t="str">
        <f t="shared" si="84"/>
        <v>None</v>
      </c>
      <c r="G1476" s="19" t="str">
        <f t="shared" si="85"/>
        <v>None</v>
      </c>
      <c r="H1476" s="19" t="str">
        <f t="shared" si="86"/>
        <v>None</v>
      </c>
    </row>
    <row r="1477" spans="6:8" x14ac:dyDescent="0.2">
      <c r="F1477" s="19" t="str">
        <f t="shared" si="84"/>
        <v>None</v>
      </c>
      <c r="G1477" s="19" t="str">
        <f t="shared" si="85"/>
        <v>None</v>
      </c>
      <c r="H1477" s="19" t="str">
        <f t="shared" si="86"/>
        <v>None</v>
      </c>
    </row>
    <row r="1478" spans="6:8" x14ac:dyDescent="0.2">
      <c r="F1478" s="19" t="str">
        <f t="shared" si="84"/>
        <v>None</v>
      </c>
      <c r="G1478" s="19" t="str">
        <f t="shared" si="85"/>
        <v>None</v>
      </c>
      <c r="H1478" s="19" t="str">
        <f t="shared" si="86"/>
        <v>None</v>
      </c>
    </row>
    <row r="1479" spans="6:8" x14ac:dyDescent="0.2">
      <c r="F1479" s="19" t="str">
        <f t="shared" si="84"/>
        <v>None</v>
      </c>
      <c r="G1479" s="19" t="str">
        <f t="shared" si="85"/>
        <v>None</v>
      </c>
      <c r="H1479" s="19" t="str">
        <f t="shared" si="86"/>
        <v>None</v>
      </c>
    </row>
    <row r="1480" spans="6:8" x14ac:dyDescent="0.2">
      <c r="F1480" s="19" t="str">
        <f t="shared" si="84"/>
        <v>None</v>
      </c>
      <c r="G1480" s="19" t="str">
        <f t="shared" si="85"/>
        <v>None</v>
      </c>
      <c r="H1480" s="19" t="str">
        <f t="shared" si="86"/>
        <v>None</v>
      </c>
    </row>
    <row r="1481" spans="6:8" x14ac:dyDescent="0.2">
      <c r="F1481" s="19" t="str">
        <f t="shared" si="84"/>
        <v>None</v>
      </c>
      <c r="G1481" s="19" t="str">
        <f t="shared" si="85"/>
        <v>None</v>
      </c>
      <c r="H1481" s="19" t="str">
        <f t="shared" si="86"/>
        <v>None</v>
      </c>
    </row>
    <row r="1482" spans="6:8" x14ac:dyDescent="0.2">
      <c r="F1482" s="19" t="str">
        <f t="shared" si="84"/>
        <v>None</v>
      </c>
      <c r="G1482" s="19" t="str">
        <f t="shared" si="85"/>
        <v>None</v>
      </c>
      <c r="H1482" s="19" t="str">
        <f t="shared" si="86"/>
        <v>None</v>
      </c>
    </row>
    <row r="1483" spans="6:8" x14ac:dyDescent="0.2">
      <c r="F1483" s="19" t="str">
        <f t="shared" si="84"/>
        <v>None</v>
      </c>
      <c r="G1483" s="19" t="str">
        <f t="shared" si="85"/>
        <v>None</v>
      </c>
      <c r="H1483" s="19" t="str">
        <f t="shared" si="86"/>
        <v>None</v>
      </c>
    </row>
    <row r="1484" spans="6:8" x14ac:dyDescent="0.2">
      <c r="F1484" s="19" t="str">
        <f t="shared" si="84"/>
        <v>None</v>
      </c>
      <c r="G1484" s="19" t="str">
        <f t="shared" si="85"/>
        <v>None</v>
      </c>
      <c r="H1484" s="19" t="str">
        <f t="shared" si="86"/>
        <v>None</v>
      </c>
    </row>
    <row r="1485" spans="6:8" x14ac:dyDescent="0.2">
      <c r="F1485" s="19" t="str">
        <f t="shared" si="84"/>
        <v>None</v>
      </c>
      <c r="G1485" s="19" t="str">
        <f t="shared" si="85"/>
        <v>None</v>
      </c>
      <c r="H1485" s="19" t="str">
        <f t="shared" si="86"/>
        <v>None</v>
      </c>
    </row>
    <row r="1486" spans="6:8" x14ac:dyDescent="0.2">
      <c r="F1486" s="19" t="str">
        <f t="shared" si="84"/>
        <v>None</v>
      </c>
      <c r="G1486" s="19" t="str">
        <f t="shared" si="85"/>
        <v>None</v>
      </c>
      <c r="H1486" s="19" t="str">
        <f t="shared" si="86"/>
        <v>None</v>
      </c>
    </row>
    <row r="1487" spans="6:8" x14ac:dyDescent="0.2">
      <c r="F1487" s="19" t="str">
        <f t="shared" si="84"/>
        <v>None</v>
      </c>
      <c r="G1487" s="19" t="str">
        <f t="shared" si="85"/>
        <v>None</v>
      </c>
      <c r="H1487" s="19" t="str">
        <f t="shared" si="86"/>
        <v>None</v>
      </c>
    </row>
    <row r="1488" spans="6:8" x14ac:dyDescent="0.2">
      <c r="F1488" s="19" t="str">
        <f t="shared" si="84"/>
        <v>None</v>
      </c>
      <c r="G1488" s="19" t="str">
        <f t="shared" si="85"/>
        <v>None</v>
      </c>
      <c r="H1488" s="19" t="str">
        <f t="shared" si="86"/>
        <v>None</v>
      </c>
    </row>
    <row r="1489" spans="6:8" x14ac:dyDescent="0.2">
      <c r="F1489" s="19" t="str">
        <f t="shared" si="84"/>
        <v>None</v>
      </c>
      <c r="G1489" s="19" t="str">
        <f t="shared" si="85"/>
        <v>None</v>
      </c>
      <c r="H1489" s="19" t="str">
        <f t="shared" si="86"/>
        <v>None</v>
      </c>
    </row>
    <row r="1490" spans="6:8" x14ac:dyDescent="0.2">
      <c r="F1490" s="19" t="str">
        <f t="shared" si="84"/>
        <v>None</v>
      </c>
      <c r="G1490" s="19" t="str">
        <f t="shared" si="85"/>
        <v>None</v>
      </c>
      <c r="H1490" s="19" t="str">
        <f t="shared" si="86"/>
        <v>None</v>
      </c>
    </row>
    <row r="1491" spans="6:8" x14ac:dyDescent="0.2">
      <c r="F1491" s="19" t="str">
        <f t="shared" si="84"/>
        <v>None</v>
      </c>
      <c r="G1491" s="19" t="str">
        <f t="shared" si="85"/>
        <v>None</v>
      </c>
      <c r="H1491" s="19" t="str">
        <f t="shared" si="86"/>
        <v>None</v>
      </c>
    </row>
    <row r="1492" spans="6:8" x14ac:dyDescent="0.2">
      <c r="F1492" s="19" t="str">
        <f t="shared" si="84"/>
        <v>None</v>
      </c>
      <c r="G1492" s="19" t="str">
        <f t="shared" si="85"/>
        <v>None</v>
      </c>
      <c r="H1492" s="19" t="str">
        <f t="shared" si="86"/>
        <v>None</v>
      </c>
    </row>
    <row r="1493" spans="6:8" x14ac:dyDescent="0.2">
      <c r="F1493" s="19" t="str">
        <f t="shared" ref="F1493:F1556" si="87">IF(A1493="joint","Joint",_xlfn.IFNA(VLOOKUP(B1493,tour_purposes,2,FALSE),"None"))</f>
        <v>None</v>
      </c>
      <c r="G1493" s="19" t="str">
        <f t="shared" ref="G1493:G1556" si="88">IF(AND(A1493="joint",C1493&lt;=6),"Auto",_xlfn.IFNA(VLOOKUP(C1493,tour_modes,3,FALSE),"None"))</f>
        <v>None</v>
      </c>
      <c r="H1493" s="19" t="str">
        <f t="shared" ref="H1493:H1556" si="89">_xlfn.IFNA(VLOOKUP(D1493,trip_modes,2,FALSE),"None")</f>
        <v>None</v>
      </c>
    </row>
    <row r="1494" spans="6:8" x14ac:dyDescent="0.2">
      <c r="F1494" s="19" t="str">
        <f t="shared" si="87"/>
        <v>None</v>
      </c>
      <c r="G1494" s="19" t="str">
        <f t="shared" si="88"/>
        <v>None</v>
      </c>
      <c r="H1494" s="19" t="str">
        <f t="shared" si="89"/>
        <v>None</v>
      </c>
    </row>
    <row r="1495" spans="6:8" x14ac:dyDescent="0.2">
      <c r="F1495" s="19" t="str">
        <f t="shared" si="87"/>
        <v>None</v>
      </c>
      <c r="G1495" s="19" t="str">
        <f t="shared" si="88"/>
        <v>None</v>
      </c>
      <c r="H1495" s="19" t="str">
        <f t="shared" si="89"/>
        <v>None</v>
      </c>
    </row>
    <row r="1496" spans="6:8" x14ac:dyDescent="0.2">
      <c r="F1496" s="19" t="str">
        <f t="shared" si="87"/>
        <v>None</v>
      </c>
      <c r="G1496" s="19" t="str">
        <f t="shared" si="88"/>
        <v>None</v>
      </c>
      <c r="H1496" s="19" t="str">
        <f t="shared" si="89"/>
        <v>None</v>
      </c>
    </row>
    <row r="1497" spans="6:8" x14ac:dyDescent="0.2">
      <c r="F1497" s="19" t="str">
        <f t="shared" si="87"/>
        <v>None</v>
      </c>
      <c r="G1497" s="19" t="str">
        <f t="shared" si="88"/>
        <v>None</v>
      </c>
      <c r="H1497" s="19" t="str">
        <f t="shared" si="89"/>
        <v>None</v>
      </c>
    </row>
    <row r="1498" spans="6:8" x14ac:dyDescent="0.2">
      <c r="F1498" s="19" t="str">
        <f t="shared" si="87"/>
        <v>None</v>
      </c>
      <c r="G1498" s="19" t="str">
        <f t="shared" si="88"/>
        <v>None</v>
      </c>
      <c r="H1498" s="19" t="str">
        <f t="shared" si="89"/>
        <v>None</v>
      </c>
    </row>
    <row r="1499" spans="6:8" x14ac:dyDescent="0.2">
      <c r="F1499" s="19" t="str">
        <f t="shared" si="87"/>
        <v>None</v>
      </c>
      <c r="G1499" s="19" t="str">
        <f t="shared" si="88"/>
        <v>None</v>
      </c>
      <c r="H1499" s="19" t="str">
        <f t="shared" si="89"/>
        <v>None</v>
      </c>
    </row>
    <row r="1500" spans="6:8" x14ac:dyDescent="0.2">
      <c r="F1500" s="19" t="str">
        <f t="shared" si="87"/>
        <v>None</v>
      </c>
      <c r="G1500" s="19" t="str">
        <f t="shared" si="88"/>
        <v>None</v>
      </c>
      <c r="H1500" s="19" t="str">
        <f t="shared" si="89"/>
        <v>None</v>
      </c>
    </row>
    <row r="1501" spans="6:8" x14ac:dyDescent="0.2">
      <c r="F1501" s="19" t="str">
        <f t="shared" si="87"/>
        <v>None</v>
      </c>
      <c r="G1501" s="19" t="str">
        <f t="shared" si="88"/>
        <v>None</v>
      </c>
      <c r="H1501" s="19" t="str">
        <f t="shared" si="89"/>
        <v>None</v>
      </c>
    </row>
    <row r="1502" spans="6:8" x14ac:dyDescent="0.2">
      <c r="F1502" s="19" t="str">
        <f t="shared" si="87"/>
        <v>None</v>
      </c>
      <c r="G1502" s="19" t="str">
        <f t="shared" si="88"/>
        <v>None</v>
      </c>
      <c r="H1502" s="19" t="str">
        <f t="shared" si="89"/>
        <v>None</v>
      </c>
    </row>
    <row r="1503" spans="6:8" x14ac:dyDescent="0.2">
      <c r="F1503" s="19" t="str">
        <f t="shared" si="87"/>
        <v>None</v>
      </c>
      <c r="G1503" s="19" t="str">
        <f t="shared" si="88"/>
        <v>None</v>
      </c>
      <c r="H1503" s="19" t="str">
        <f t="shared" si="89"/>
        <v>None</v>
      </c>
    </row>
    <row r="1504" spans="6:8" x14ac:dyDescent="0.2">
      <c r="F1504" s="19" t="str">
        <f t="shared" si="87"/>
        <v>None</v>
      </c>
      <c r="G1504" s="19" t="str">
        <f t="shared" si="88"/>
        <v>None</v>
      </c>
      <c r="H1504" s="19" t="str">
        <f t="shared" si="89"/>
        <v>None</v>
      </c>
    </row>
    <row r="1505" spans="6:8" x14ac:dyDescent="0.2">
      <c r="F1505" s="19" t="str">
        <f t="shared" si="87"/>
        <v>None</v>
      </c>
      <c r="G1505" s="19" t="str">
        <f t="shared" si="88"/>
        <v>None</v>
      </c>
      <c r="H1505" s="19" t="str">
        <f t="shared" si="89"/>
        <v>None</v>
      </c>
    </row>
    <row r="1506" spans="6:8" x14ac:dyDescent="0.2">
      <c r="F1506" s="19" t="str">
        <f t="shared" si="87"/>
        <v>None</v>
      </c>
      <c r="G1506" s="19" t="str">
        <f t="shared" si="88"/>
        <v>None</v>
      </c>
      <c r="H1506" s="19" t="str">
        <f t="shared" si="89"/>
        <v>None</v>
      </c>
    </row>
    <row r="1507" spans="6:8" x14ac:dyDescent="0.2">
      <c r="F1507" s="19" t="str">
        <f t="shared" si="87"/>
        <v>None</v>
      </c>
      <c r="G1507" s="19" t="str">
        <f t="shared" si="88"/>
        <v>None</v>
      </c>
      <c r="H1507" s="19" t="str">
        <f t="shared" si="89"/>
        <v>None</v>
      </c>
    </row>
    <row r="1508" spans="6:8" x14ac:dyDescent="0.2">
      <c r="F1508" s="19" t="str">
        <f t="shared" si="87"/>
        <v>None</v>
      </c>
      <c r="G1508" s="19" t="str">
        <f t="shared" si="88"/>
        <v>None</v>
      </c>
      <c r="H1508" s="19" t="str">
        <f t="shared" si="89"/>
        <v>None</v>
      </c>
    </row>
    <row r="1509" spans="6:8" x14ac:dyDescent="0.2">
      <c r="F1509" s="19" t="str">
        <f t="shared" si="87"/>
        <v>None</v>
      </c>
      <c r="G1509" s="19" t="str">
        <f t="shared" si="88"/>
        <v>None</v>
      </c>
      <c r="H1509" s="19" t="str">
        <f t="shared" si="89"/>
        <v>None</v>
      </c>
    </row>
    <row r="1510" spans="6:8" x14ac:dyDescent="0.2">
      <c r="F1510" s="19" t="str">
        <f t="shared" si="87"/>
        <v>None</v>
      </c>
      <c r="G1510" s="19" t="str">
        <f t="shared" si="88"/>
        <v>None</v>
      </c>
      <c r="H1510" s="19" t="str">
        <f t="shared" si="89"/>
        <v>None</v>
      </c>
    </row>
    <row r="1511" spans="6:8" x14ac:dyDescent="0.2">
      <c r="F1511" s="19" t="str">
        <f t="shared" si="87"/>
        <v>None</v>
      </c>
      <c r="G1511" s="19" t="str">
        <f t="shared" si="88"/>
        <v>None</v>
      </c>
      <c r="H1511" s="19" t="str">
        <f t="shared" si="89"/>
        <v>None</v>
      </c>
    </row>
    <row r="1512" spans="6:8" x14ac:dyDescent="0.2">
      <c r="F1512" s="19" t="str">
        <f t="shared" si="87"/>
        <v>None</v>
      </c>
      <c r="G1512" s="19" t="str">
        <f t="shared" si="88"/>
        <v>None</v>
      </c>
      <c r="H1512" s="19" t="str">
        <f t="shared" si="89"/>
        <v>None</v>
      </c>
    </row>
    <row r="1513" spans="6:8" x14ac:dyDescent="0.2">
      <c r="F1513" s="19" t="str">
        <f t="shared" si="87"/>
        <v>None</v>
      </c>
      <c r="G1513" s="19" t="str">
        <f t="shared" si="88"/>
        <v>None</v>
      </c>
      <c r="H1513" s="19" t="str">
        <f t="shared" si="89"/>
        <v>None</v>
      </c>
    </row>
    <row r="1514" spans="6:8" x14ac:dyDescent="0.2">
      <c r="F1514" s="19" t="str">
        <f t="shared" si="87"/>
        <v>None</v>
      </c>
      <c r="G1514" s="19" t="str">
        <f t="shared" si="88"/>
        <v>None</v>
      </c>
      <c r="H1514" s="19" t="str">
        <f t="shared" si="89"/>
        <v>None</v>
      </c>
    </row>
    <row r="1515" spans="6:8" x14ac:dyDescent="0.2">
      <c r="F1515" s="19" t="str">
        <f t="shared" si="87"/>
        <v>None</v>
      </c>
      <c r="G1515" s="19" t="str">
        <f t="shared" si="88"/>
        <v>None</v>
      </c>
      <c r="H1515" s="19" t="str">
        <f t="shared" si="89"/>
        <v>None</v>
      </c>
    </row>
    <row r="1516" spans="6:8" x14ac:dyDescent="0.2">
      <c r="F1516" s="19" t="str">
        <f t="shared" si="87"/>
        <v>None</v>
      </c>
      <c r="G1516" s="19" t="str">
        <f t="shared" si="88"/>
        <v>None</v>
      </c>
      <c r="H1516" s="19" t="str">
        <f t="shared" si="89"/>
        <v>None</v>
      </c>
    </row>
    <row r="1517" spans="6:8" x14ac:dyDescent="0.2">
      <c r="F1517" s="19" t="str">
        <f t="shared" si="87"/>
        <v>None</v>
      </c>
      <c r="G1517" s="19" t="str">
        <f t="shared" si="88"/>
        <v>None</v>
      </c>
      <c r="H1517" s="19" t="str">
        <f t="shared" si="89"/>
        <v>None</v>
      </c>
    </row>
    <row r="1518" spans="6:8" x14ac:dyDescent="0.2">
      <c r="F1518" s="19" t="str">
        <f t="shared" si="87"/>
        <v>None</v>
      </c>
      <c r="G1518" s="19" t="str">
        <f t="shared" si="88"/>
        <v>None</v>
      </c>
      <c r="H1518" s="19" t="str">
        <f t="shared" si="89"/>
        <v>None</v>
      </c>
    </row>
    <row r="1519" spans="6:8" x14ac:dyDescent="0.2">
      <c r="F1519" s="19" t="str">
        <f t="shared" si="87"/>
        <v>None</v>
      </c>
      <c r="G1519" s="19" t="str">
        <f t="shared" si="88"/>
        <v>None</v>
      </c>
      <c r="H1519" s="19" t="str">
        <f t="shared" si="89"/>
        <v>None</v>
      </c>
    </row>
    <row r="1520" spans="6:8" x14ac:dyDescent="0.2">
      <c r="F1520" s="19" t="str">
        <f t="shared" si="87"/>
        <v>None</v>
      </c>
      <c r="G1520" s="19" t="str">
        <f t="shared" si="88"/>
        <v>None</v>
      </c>
      <c r="H1520" s="19" t="str">
        <f t="shared" si="89"/>
        <v>None</v>
      </c>
    </row>
    <row r="1521" spans="6:8" x14ac:dyDescent="0.2">
      <c r="F1521" s="19" t="str">
        <f t="shared" si="87"/>
        <v>None</v>
      </c>
      <c r="G1521" s="19" t="str">
        <f t="shared" si="88"/>
        <v>None</v>
      </c>
      <c r="H1521" s="19" t="str">
        <f t="shared" si="89"/>
        <v>None</v>
      </c>
    </row>
    <row r="1522" spans="6:8" x14ac:dyDescent="0.2">
      <c r="F1522" s="19" t="str">
        <f t="shared" si="87"/>
        <v>None</v>
      </c>
      <c r="G1522" s="19" t="str">
        <f t="shared" si="88"/>
        <v>None</v>
      </c>
      <c r="H1522" s="19" t="str">
        <f t="shared" si="89"/>
        <v>None</v>
      </c>
    </row>
    <row r="1523" spans="6:8" x14ac:dyDescent="0.2">
      <c r="F1523" s="19" t="str">
        <f t="shared" si="87"/>
        <v>None</v>
      </c>
      <c r="G1523" s="19" t="str">
        <f t="shared" si="88"/>
        <v>None</v>
      </c>
      <c r="H1523" s="19" t="str">
        <f t="shared" si="89"/>
        <v>None</v>
      </c>
    </row>
    <row r="1524" spans="6:8" x14ac:dyDescent="0.2">
      <c r="F1524" s="19" t="str">
        <f t="shared" si="87"/>
        <v>None</v>
      </c>
      <c r="G1524" s="19" t="str">
        <f t="shared" si="88"/>
        <v>None</v>
      </c>
      <c r="H1524" s="19" t="str">
        <f t="shared" si="89"/>
        <v>None</v>
      </c>
    </row>
    <row r="1525" spans="6:8" x14ac:dyDescent="0.2">
      <c r="F1525" s="19" t="str">
        <f t="shared" si="87"/>
        <v>None</v>
      </c>
      <c r="G1525" s="19" t="str">
        <f t="shared" si="88"/>
        <v>None</v>
      </c>
      <c r="H1525" s="19" t="str">
        <f t="shared" si="89"/>
        <v>None</v>
      </c>
    </row>
    <row r="1526" spans="6:8" x14ac:dyDescent="0.2">
      <c r="F1526" s="19" t="str">
        <f t="shared" si="87"/>
        <v>None</v>
      </c>
      <c r="G1526" s="19" t="str">
        <f t="shared" si="88"/>
        <v>None</v>
      </c>
      <c r="H1526" s="19" t="str">
        <f t="shared" si="89"/>
        <v>None</v>
      </c>
    </row>
    <row r="1527" spans="6:8" x14ac:dyDescent="0.2">
      <c r="F1527" s="19" t="str">
        <f t="shared" si="87"/>
        <v>None</v>
      </c>
      <c r="G1527" s="19" t="str">
        <f t="shared" si="88"/>
        <v>None</v>
      </c>
      <c r="H1527" s="19" t="str">
        <f t="shared" si="89"/>
        <v>None</v>
      </c>
    </row>
    <row r="1528" spans="6:8" x14ac:dyDescent="0.2">
      <c r="F1528" s="19" t="str">
        <f t="shared" si="87"/>
        <v>None</v>
      </c>
      <c r="G1528" s="19" t="str">
        <f t="shared" si="88"/>
        <v>None</v>
      </c>
      <c r="H1528" s="19" t="str">
        <f t="shared" si="89"/>
        <v>None</v>
      </c>
    </row>
    <row r="1529" spans="6:8" x14ac:dyDescent="0.2">
      <c r="F1529" s="19" t="str">
        <f t="shared" si="87"/>
        <v>None</v>
      </c>
      <c r="G1529" s="19" t="str">
        <f t="shared" si="88"/>
        <v>None</v>
      </c>
      <c r="H1529" s="19" t="str">
        <f t="shared" si="89"/>
        <v>None</v>
      </c>
    </row>
    <row r="1530" spans="6:8" x14ac:dyDescent="0.2">
      <c r="F1530" s="19" t="str">
        <f t="shared" si="87"/>
        <v>None</v>
      </c>
      <c r="G1530" s="19" t="str">
        <f t="shared" si="88"/>
        <v>None</v>
      </c>
      <c r="H1530" s="19" t="str">
        <f t="shared" si="89"/>
        <v>None</v>
      </c>
    </row>
    <row r="1531" spans="6:8" x14ac:dyDescent="0.2">
      <c r="F1531" s="19" t="str">
        <f t="shared" si="87"/>
        <v>None</v>
      </c>
      <c r="G1531" s="19" t="str">
        <f t="shared" si="88"/>
        <v>None</v>
      </c>
      <c r="H1531" s="19" t="str">
        <f t="shared" si="89"/>
        <v>None</v>
      </c>
    </row>
    <row r="1532" spans="6:8" x14ac:dyDescent="0.2">
      <c r="F1532" s="19" t="str">
        <f t="shared" si="87"/>
        <v>None</v>
      </c>
      <c r="G1532" s="19" t="str">
        <f t="shared" si="88"/>
        <v>None</v>
      </c>
      <c r="H1532" s="19" t="str">
        <f t="shared" si="89"/>
        <v>None</v>
      </c>
    </row>
    <row r="1533" spans="6:8" x14ac:dyDescent="0.2">
      <c r="F1533" s="19" t="str">
        <f t="shared" si="87"/>
        <v>None</v>
      </c>
      <c r="G1533" s="19" t="str">
        <f t="shared" si="88"/>
        <v>None</v>
      </c>
      <c r="H1533" s="19" t="str">
        <f t="shared" si="89"/>
        <v>None</v>
      </c>
    </row>
    <row r="1534" spans="6:8" x14ac:dyDescent="0.2">
      <c r="F1534" s="19" t="str">
        <f t="shared" si="87"/>
        <v>None</v>
      </c>
      <c r="G1534" s="19" t="str">
        <f t="shared" si="88"/>
        <v>None</v>
      </c>
      <c r="H1534" s="19" t="str">
        <f t="shared" si="89"/>
        <v>None</v>
      </c>
    </row>
    <row r="1535" spans="6:8" x14ac:dyDescent="0.2">
      <c r="F1535" s="19" t="str">
        <f t="shared" si="87"/>
        <v>None</v>
      </c>
      <c r="G1535" s="19" t="str">
        <f t="shared" si="88"/>
        <v>None</v>
      </c>
      <c r="H1535" s="19" t="str">
        <f t="shared" si="89"/>
        <v>None</v>
      </c>
    </row>
    <row r="1536" spans="6:8" x14ac:dyDescent="0.2">
      <c r="F1536" s="19" t="str">
        <f t="shared" si="87"/>
        <v>None</v>
      </c>
      <c r="G1536" s="19" t="str">
        <f t="shared" si="88"/>
        <v>None</v>
      </c>
      <c r="H1536" s="19" t="str">
        <f t="shared" si="89"/>
        <v>None</v>
      </c>
    </row>
    <row r="1537" spans="6:8" x14ac:dyDescent="0.2">
      <c r="F1537" s="19" t="str">
        <f t="shared" si="87"/>
        <v>None</v>
      </c>
      <c r="G1537" s="19" t="str">
        <f t="shared" si="88"/>
        <v>None</v>
      </c>
      <c r="H1537" s="19" t="str">
        <f t="shared" si="89"/>
        <v>None</v>
      </c>
    </row>
    <row r="1538" spans="6:8" x14ac:dyDescent="0.2">
      <c r="F1538" s="19" t="str">
        <f t="shared" si="87"/>
        <v>None</v>
      </c>
      <c r="G1538" s="19" t="str">
        <f t="shared" si="88"/>
        <v>None</v>
      </c>
      <c r="H1538" s="19" t="str">
        <f t="shared" si="89"/>
        <v>None</v>
      </c>
    </row>
    <row r="1539" spans="6:8" x14ac:dyDescent="0.2">
      <c r="F1539" s="19" t="str">
        <f t="shared" si="87"/>
        <v>None</v>
      </c>
      <c r="G1539" s="19" t="str">
        <f t="shared" si="88"/>
        <v>None</v>
      </c>
      <c r="H1539" s="19" t="str">
        <f t="shared" si="89"/>
        <v>None</v>
      </c>
    </row>
    <row r="1540" spans="6:8" x14ac:dyDescent="0.2">
      <c r="F1540" s="19" t="str">
        <f t="shared" si="87"/>
        <v>None</v>
      </c>
      <c r="G1540" s="19" t="str">
        <f t="shared" si="88"/>
        <v>None</v>
      </c>
      <c r="H1540" s="19" t="str">
        <f t="shared" si="89"/>
        <v>None</v>
      </c>
    </row>
    <row r="1541" spans="6:8" x14ac:dyDescent="0.2">
      <c r="F1541" s="19" t="str">
        <f t="shared" si="87"/>
        <v>None</v>
      </c>
      <c r="G1541" s="19" t="str">
        <f t="shared" si="88"/>
        <v>None</v>
      </c>
      <c r="H1541" s="19" t="str">
        <f t="shared" si="89"/>
        <v>None</v>
      </c>
    </row>
    <row r="1542" spans="6:8" x14ac:dyDescent="0.2">
      <c r="F1542" s="19" t="str">
        <f t="shared" si="87"/>
        <v>None</v>
      </c>
      <c r="G1542" s="19" t="str">
        <f t="shared" si="88"/>
        <v>None</v>
      </c>
      <c r="H1542" s="19" t="str">
        <f t="shared" si="89"/>
        <v>None</v>
      </c>
    </row>
    <row r="1543" spans="6:8" x14ac:dyDescent="0.2">
      <c r="F1543" s="19" t="str">
        <f t="shared" si="87"/>
        <v>None</v>
      </c>
      <c r="G1543" s="19" t="str">
        <f t="shared" si="88"/>
        <v>None</v>
      </c>
      <c r="H1543" s="19" t="str">
        <f t="shared" si="89"/>
        <v>None</v>
      </c>
    </row>
    <row r="1544" spans="6:8" x14ac:dyDescent="0.2">
      <c r="F1544" s="19" t="str">
        <f t="shared" si="87"/>
        <v>None</v>
      </c>
      <c r="G1544" s="19" t="str">
        <f t="shared" si="88"/>
        <v>None</v>
      </c>
      <c r="H1544" s="19" t="str">
        <f t="shared" si="89"/>
        <v>None</v>
      </c>
    </row>
    <row r="1545" spans="6:8" x14ac:dyDescent="0.2">
      <c r="F1545" s="19" t="str">
        <f t="shared" si="87"/>
        <v>None</v>
      </c>
      <c r="G1545" s="19" t="str">
        <f t="shared" si="88"/>
        <v>None</v>
      </c>
      <c r="H1545" s="19" t="str">
        <f t="shared" si="89"/>
        <v>None</v>
      </c>
    </row>
    <row r="1546" spans="6:8" x14ac:dyDescent="0.2">
      <c r="F1546" s="19" t="str">
        <f t="shared" si="87"/>
        <v>None</v>
      </c>
      <c r="G1546" s="19" t="str">
        <f t="shared" si="88"/>
        <v>None</v>
      </c>
      <c r="H1546" s="19" t="str">
        <f t="shared" si="89"/>
        <v>None</v>
      </c>
    </row>
    <row r="1547" spans="6:8" x14ac:dyDescent="0.2">
      <c r="F1547" s="19" t="str">
        <f t="shared" si="87"/>
        <v>None</v>
      </c>
      <c r="G1547" s="19" t="str">
        <f t="shared" si="88"/>
        <v>None</v>
      </c>
      <c r="H1547" s="19" t="str">
        <f t="shared" si="89"/>
        <v>None</v>
      </c>
    </row>
    <row r="1548" spans="6:8" x14ac:dyDescent="0.2">
      <c r="F1548" s="19" t="str">
        <f t="shared" si="87"/>
        <v>None</v>
      </c>
      <c r="G1548" s="19" t="str">
        <f t="shared" si="88"/>
        <v>None</v>
      </c>
      <c r="H1548" s="19" t="str">
        <f t="shared" si="89"/>
        <v>None</v>
      </c>
    </row>
    <row r="1549" spans="6:8" x14ac:dyDescent="0.2">
      <c r="F1549" s="19" t="str">
        <f t="shared" si="87"/>
        <v>None</v>
      </c>
      <c r="G1549" s="19" t="str">
        <f t="shared" si="88"/>
        <v>None</v>
      </c>
      <c r="H1549" s="19" t="str">
        <f t="shared" si="89"/>
        <v>None</v>
      </c>
    </row>
    <row r="1550" spans="6:8" x14ac:dyDescent="0.2">
      <c r="F1550" s="19" t="str">
        <f t="shared" si="87"/>
        <v>None</v>
      </c>
      <c r="G1550" s="19" t="str">
        <f t="shared" si="88"/>
        <v>None</v>
      </c>
      <c r="H1550" s="19" t="str">
        <f t="shared" si="89"/>
        <v>None</v>
      </c>
    </row>
    <row r="1551" spans="6:8" x14ac:dyDescent="0.2">
      <c r="F1551" s="19" t="str">
        <f t="shared" si="87"/>
        <v>None</v>
      </c>
      <c r="G1551" s="19" t="str">
        <f t="shared" si="88"/>
        <v>None</v>
      </c>
      <c r="H1551" s="19" t="str">
        <f t="shared" si="89"/>
        <v>None</v>
      </c>
    </row>
    <row r="1552" spans="6:8" x14ac:dyDescent="0.2">
      <c r="F1552" s="19" t="str">
        <f t="shared" si="87"/>
        <v>None</v>
      </c>
      <c r="G1552" s="19" t="str">
        <f t="shared" si="88"/>
        <v>None</v>
      </c>
      <c r="H1552" s="19" t="str">
        <f t="shared" si="89"/>
        <v>None</v>
      </c>
    </row>
    <row r="1553" spans="6:8" x14ac:dyDescent="0.2">
      <c r="F1553" s="19" t="str">
        <f t="shared" si="87"/>
        <v>None</v>
      </c>
      <c r="G1553" s="19" t="str">
        <f t="shared" si="88"/>
        <v>None</v>
      </c>
      <c r="H1553" s="19" t="str">
        <f t="shared" si="89"/>
        <v>None</v>
      </c>
    </row>
    <row r="1554" spans="6:8" x14ac:dyDescent="0.2">
      <c r="F1554" s="19" t="str">
        <f t="shared" si="87"/>
        <v>None</v>
      </c>
      <c r="G1554" s="19" t="str">
        <f t="shared" si="88"/>
        <v>None</v>
      </c>
      <c r="H1554" s="19" t="str">
        <f t="shared" si="89"/>
        <v>None</v>
      </c>
    </row>
    <row r="1555" spans="6:8" x14ac:dyDescent="0.2">
      <c r="F1555" s="19" t="str">
        <f t="shared" si="87"/>
        <v>None</v>
      </c>
      <c r="G1555" s="19" t="str">
        <f t="shared" si="88"/>
        <v>None</v>
      </c>
      <c r="H1555" s="19" t="str">
        <f t="shared" si="89"/>
        <v>None</v>
      </c>
    </row>
    <row r="1556" spans="6:8" x14ac:dyDescent="0.2">
      <c r="F1556" s="19" t="str">
        <f t="shared" si="87"/>
        <v>None</v>
      </c>
      <c r="G1556" s="19" t="str">
        <f t="shared" si="88"/>
        <v>None</v>
      </c>
      <c r="H1556" s="19" t="str">
        <f t="shared" si="89"/>
        <v>None</v>
      </c>
    </row>
    <row r="1557" spans="6:8" x14ac:dyDescent="0.2">
      <c r="F1557" s="19" t="str">
        <f t="shared" ref="F1557:F1620" si="90">IF(A1557="joint","Joint",_xlfn.IFNA(VLOOKUP(B1557,tour_purposes,2,FALSE),"None"))</f>
        <v>None</v>
      </c>
      <c r="G1557" s="19" t="str">
        <f t="shared" ref="G1557:G1620" si="91">IF(AND(A1557="joint",C1557&lt;=6),"Auto",_xlfn.IFNA(VLOOKUP(C1557,tour_modes,3,FALSE),"None"))</f>
        <v>None</v>
      </c>
      <c r="H1557" s="19" t="str">
        <f t="shared" ref="H1557:H1620" si="92">_xlfn.IFNA(VLOOKUP(D1557,trip_modes,2,FALSE),"None")</f>
        <v>None</v>
      </c>
    </row>
    <row r="1558" spans="6:8" x14ac:dyDescent="0.2">
      <c r="F1558" s="19" t="str">
        <f t="shared" si="90"/>
        <v>None</v>
      </c>
      <c r="G1558" s="19" t="str">
        <f t="shared" si="91"/>
        <v>None</v>
      </c>
      <c r="H1558" s="19" t="str">
        <f t="shared" si="92"/>
        <v>None</v>
      </c>
    </row>
    <row r="1559" spans="6:8" x14ac:dyDescent="0.2">
      <c r="F1559" s="19" t="str">
        <f t="shared" si="90"/>
        <v>None</v>
      </c>
      <c r="G1559" s="19" t="str">
        <f t="shared" si="91"/>
        <v>None</v>
      </c>
      <c r="H1559" s="19" t="str">
        <f t="shared" si="92"/>
        <v>None</v>
      </c>
    </row>
    <row r="1560" spans="6:8" x14ac:dyDescent="0.2">
      <c r="F1560" s="19" t="str">
        <f t="shared" si="90"/>
        <v>None</v>
      </c>
      <c r="G1560" s="19" t="str">
        <f t="shared" si="91"/>
        <v>None</v>
      </c>
      <c r="H1560" s="19" t="str">
        <f t="shared" si="92"/>
        <v>None</v>
      </c>
    </row>
    <row r="1561" spans="6:8" x14ac:dyDescent="0.2">
      <c r="F1561" s="19" t="str">
        <f t="shared" si="90"/>
        <v>None</v>
      </c>
      <c r="G1561" s="19" t="str">
        <f t="shared" si="91"/>
        <v>None</v>
      </c>
      <c r="H1561" s="19" t="str">
        <f t="shared" si="92"/>
        <v>None</v>
      </c>
    </row>
    <row r="1562" spans="6:8" x14ac:dyDescent="0.2">
      <c r="F1562" s="19" t="str">
        <f t="shared" si="90"/>
        <v>None</v>
      </c>
      <c r="G1562" s="19" t="str">
        <f t="shared" si="91"/>
        <v>None</v>
      </c>
      <c r="H1562" s="19" t="str">
        <f t="shared" si="92"/>
        <v>None</v>
      </c>
    </row>
    <row r="1563" spans="6:8" x14ac:dyDescent="0.2">
      <c r="F1563" s="19" t="str">
        <f t="shared" si="90"/>
        <v>None</v>
      </c>
      <c r="G1563" s="19" t="str">
        <f t="shared" si="91"/>
        <v>None</v>
      </c>
      <c r="H1563" s="19" t="str">
        <f t="shared" si="92"/>
        <v>None</v>
      </c>
    </row>
    <row r="1564" spans="6:8" x14ac:dyDescent="0.2">
      <c r="F1564" s="19" t="str">
        <f t="shared" si="90"/>
        <v>None</v>
      </c>
      <c r="G1564" s="19" t="str">
        <f t="shared" si="91"/>
        <v>None</v>
      </c>
      <c r="H1564" s="19" t="str">
        <f t="shared" si="92"/>
        <v>None</v>
      </c>
    </row>
    <row r="1565" spans="6:8" x14ac:dyDescent="0.2">
      <c r="F1565" s="19" t="str">
        <f t="shared" si="90"/>
        <v>None</v>
      </c>
      <c r="G1565" s="19" t="str">
        <f t="shared" si="91"/>
        <v>None</v>
      </c>
      <c r="H1565" s="19" t="str">
        <f t="shared" si="92"/>
        <v>None</v>
      </c>
    </row>
    <row r="1566" spans="6:8" x14ac:dyDescent="0.2">
      <c r="F1566" s="19" t="str">
        <f t="shared" si="90"/>
        <v>None</v>
      </c>
      <c r="G1566" s="19" t="str">
        <f t="shared" si="91"/>
        <v>None</v>
      </c>
      <c r="H1566" s="19" t="str">
        <f t="shared" si="92"/>
        <v>None</v>
      </c>
    </row>
    <row r="1567" spans="6:8" x14ac:dyDescent="0.2">
      <c r="F1567" s="19" t="str">
        <f t="shared" si="90"/>
        <v>None</v>
      </c>
      <c r="G1567" s="19" t="str">
        <f t="shared" si="91"/>
        <v>None</v>
      </c>
      <c r="H1567" s="19" t="str">
        <f t="shared" si="92"/>
        <v>None</v>
      </c>
    </row>
    <row r="1568" spans="6:8" x14ac:dyDescent="0.2">
      <c r="F1568" s="19" t="str">
        <f t="shared" si="90"/>
        <v>None</v>
      </c>
      <c r="G1568" s="19" t="str">
        <f t="shared" si="91"/>
        <v>None</v>
      </c>
      <c r="H1568" s="19" t="str">
        <f t="shared" si="92"/>
        <v>None</v>
      </c>
    </row>
    <row r="1569" spans="6:8" x14ac:dyDescent="0.2">
      <c r="F1569" s="19" t="str">
        <f t="shared" si="90"/>
        <v>None</v>
      </c>
      <c r="G1569" s="19" t="str">
        <f t="shared" si="91"/>
        <v>None</v>
      </c>
      <c r="H1569" s="19" t="str">
        <f t="shared" si="92"/>
        <v>None</v>
      </c>
    </row>
    <row r="1570" spans="6:8" x14ac:dyDescent="0.2">
      <c r="F1570" s="19" t="str">
        <f t="shared" si="90"/>
        <v>None</v>
      </c>
      <c r="G1570" s="19" t="str">
        <f t="shared" si="91"/>
        <v>None</v>
      </c>
      <c r="H1570" s="19" t="str">
        <f t="shared" si="92"/>
        <v>None</v>
      </c>
    </row>
    <row r="1571" spans="6:8" x14ac:dyDescent="0.2">
      <c r="F1571" s="19" t="str">
        <f t="shared" si="90"/>
        <v>None</v>
      </c>
      <c r="G1571" s="19" t="str">
        <f t="shared" si="91"/>
        <v>None</v>
      </c>
      <c r="H1571" s="19" t="str">
        <f t="shared" si="92"/>
        <v>None</v>
      </c>
    </row>
    <row r="1572" spans="6:8" x14ac:dyDescent="0.2">
      <c r="F1572" s="19" t="str">
        <f t="shared" si="90"/>
        <v>None</v>
      </c>
      <c r="G1572" s="19" t="str">
        <f t="shared" si="91"/>
        <v>None</v>
      </c>
      <c r="H1572" s="19" t="str">
        <f t="shared" si="92"/>
        <v>None</v>
      </c>
    </row>
    <row r="1573" spans="6:8" x14ac:dyDescent="0.2">
      <c r="F1573" s="19" t="str">
        <f t="shared" si="90"/>
        <v>None</v>
      </c>
      <c r="G1573" s="19" t="str">
        <f t="shared" si="91"/>
        <v>None</v>
      </c>
      <c r="H1573" s="19" t="str">
        <f t="shared" si="92"/>
        <v>None</v>
      </c>
    </row>
    <row r="1574" spans="6:8" x14ac:dyDescent="0.2">
      <c r="F1574" s="19" t="str">
        <f t="shared" si="90"/>
        <v>None</v>
      </c>
      <c r="G1574" s="19" t="str">
        <f t="shared" si="91"/>
        <v>None</v>
      </c>
      <c r="H1574" s="19" t="str">
        <f t="shared" si="92"/>
        <v>None</v>
      </c>
    </row>
    <row r="1575" spans="6:8" x14ac:dyDescent="0.2">
      <c r="F1575" s="19" t="str">
        <f t="shared" si="90"/>
        <v>None</v>
      </c>
      <c r="G1575" s="19" t="str">
        <f t="shared" si="91"/>
        <v>None</v>
      </c>
      <c r="H1575" s="19" t="str">
        <f t="shared" si="92"/>
        <v>None</v>
      </c>
    </row>
    <row r="1576" spans="6:8" x14ac:dyDescent="0.2">
      <c r="F1576" s="19" t="str">
        <f t="shared" si="90"/>
        <v>None</v>
      </c>
      <c r="G1576" s="19" t="str">
        <f t="shared" si="91"/>
        <v>None</v>
      </c>
      <c r="H1576" s="19" t="str">
        <f t="shared" si="92"/>
        <v>None</v>
      </c>
    </row>
    <row r="1577" spans="6:8" x14ac:dyDescent="0.2">
      <c r="F1577" s="19" t="str">
        <f t="shared" si="90"/>
        <v>None</v>
      </c>
      <c r="G1577" s="19" t="str">
        <f t="shared" si="91"/>
        <v>None</v>
      </c>
      <c r="H1577" s="19" t="str">
        <f t="shared" si="92"/>
        <v>None</v>
      </c>
    </row>
    <row r="1578" spans="6:8" x14ac:dyDescent="0.2">
      <c r="F1578" s="19" t="str">
        <f t="shared" si="90"/>
        <v>None</v>
      </c>
      <c r="G1578" s="19" t="str">
        <f t="shared" si="91"/>
        <v>None</v>
      </c>
      <c r="H1578" s="19" t="str">
        <f t="shared" si="92"/>
        <v>None</v>
      </c>
    </row>
    <row r="1579" spans="6:8" x14ac:dyDescent="0.2">
      <c r="F1579" s="19" t="str">
        <f t="shared" si="90"/>
        <v>None</v>
      </c>
      <c r="G1579" s="19" t="str">
        <f t="shared" si="91"/>
        <v>None</v>
      </c>
      <c r="H1579" s="19" t="str">
        <f t="shared" si="92"/>
        <v>None</v>
      </c>
    </row>
    <row r="1580" spans="6:8" x14ac:dyDescent="0.2">
      <c r="F1580" s="19" t="str">
        <f t="shared" si="90"/>
        <v>None</v>
      </c>
      <c r="G1580" s="19" t="str">
        <f t="shared" si="91"/>
        <v>None</v>
      </c>
      <c r="H1580" s="19" t="str">
        <f t="shared" si="92"/>
        <v>None</v>
      </c>
    </row>
    <row r="1581" spans="6:8" x14ac:dyDescent="0.2">
      <c r="F1581" s="19" t="str">
        <f t="shared" si="90"/>
        <v>None</v>
      </c>
      <c r="G1581" s="19" t="str">
        <f t="shared" si="91"/>
        <v>None</v>
      </c>
      <c r="H1581" s="19" t="str">
        <f t="shared" si="92"/>
        <v>None</v>
      </c>
    </row>
    <row r="1582" spans="6:8" x14ac:dyDescent="0.2">
      <c r="F1582" s="19" t="str">
        <f t="shared" si="90"/>
        <v>None</v>
      </c>
      <c r="G1582" s="19" t="str">
        <f t="shared" si="91"/>
        <v>None</v>
      </c>
      <c r="H1582" s="19" t="str">
        <f t="shared" si="92"/>
        <v>None</v>
      </c>
    </row>
    <row r="1583" spans="6:8" x14ac:dyDescent="0.2">
      <c r="F1583" s="19" t="str">
        <f t="shared" si="90"/>
        <v>None</v>
      </c>
      <c r="G1583" s="19" t="str">
        <f t="shared" si="91"/>
        <v>None</v>
      </c>
      <c r="H1583" s="19" t="str">
        <f t="shared" si="92"/>
        <v>None</v>
      </c>
    </row>
    <row r="1584" spans="6:8" x14ac:dyDescent="0.2">
      <c r="F1584" s="19" t="str">
        <f t="shared" si="90"/>
        <v>None</v>
      </c>
      <c r="G1584" s="19" t="str">
        <f t="shared" si="91"/>
        <v>None</v>
      </c>
      <c r="H1584" s="19" t="str">
        <f t="shared" si="92"/>
        <v>None</v>
      </c>
    </row>
    <row r="1585" spans="6:8" x14ac:dyDescent="0.2">
      <c r="F1585" s="19" t="str">
        <f t="shared" si="90"/>
        <v>None</v>
      </c>
      <c r="G1585" s="19" t="str">
        <f t="shared" si="91"/>
        <v>None</v>
      </c>
      <c r="H1585" s="19" t="str">
        <f t="shared" si="92"/>
        <v>None</v>
      </c>
    </row>
    <row r="1586" spans="6:8" x14ac:dyDescent="0.2">
      <c r="F1586" s="19" t="str">
        <f t="shared" si="90"/>
        <v>None</v>
      </c>
      <c r="G1586" s="19" t="str">
        <f t="shared" si="91"/>
        <v>None</v>
      </c>
      <c r="H1586" s="19" t="str">
        <f t="shared" si="92"/>
        <v>None</v>
      </c>
    </row>
    <row r="1587" spans="6:8" x14ac:dyDescent="0.2">
      <c r="F1587" s="19" t="str">
        <f t="shared" si="90"/>
        <v>None</v>
      </c>
      <c r="G1587" s="19" t="str">
        <f t="shared" si="91"/>
        <v>None</v>
      </c>
      <c r="H1587" s="19" t="str">
        <f t="shared" si="92"/>
        <v>None</v>
      </c>
    </row>
    <row r="1588" spans="6:8" x14ac:dyDescent="0.2">
      <c r="F1588" s="19" t="str">
        <f t="shared" si="90"/>
        <v>None</v>
      </c>
      <c r="G1588" s="19" t="str">
        <f t="shared" si="91"/>
        <v>None</v>
      </c>
      <c r="H1588" s="19" t="str">
        <f t="shared" si="92"/>
        <v>None</v>
      </c>
    </row>
    <row r="1589" spans="6:8" x14ac:dyDescent="0.2">
      <c r="F1589" s="19" t="str">
        <f t="shared" si="90"/>
        <v>None</v>
      </c>
      <c r="G1589" s="19" t="str">
        <f t="shared" si="91"/>
        <v>None</v>
      </c>
      <c r="H1589" s="19" t="str">
        <f t="shared" si="92"/>
        <v>None</v>
      </c>
    </row>
    <row r="1590" spans="6:8" x14ac:dyDescent="0.2">
      <c r="F1590" s="19" t="str">
        <f t="shared" si="90"/>
        <v>None</v>
      </c>
      <c r="G1590" s="19" t="str">
        <f t="shared" si="91"/>
        <v>None</v>
      </c>
      <c r="H1590" s="19" t="str">
        <f t="shared" si="92"/>
        <v>None</v>
      </c>
    </row>
    <row r="1591" spans="6:8" x14ac:dyDescent="0.2">
      <c r="F1591" s="19" t="str">
        <f t="shared" si="90"/>
        <v>None</v>
      </c>
      <c r="G1591" s="19" t="str">
        <f t="shared" si="91"/>
        <v>None</v>
      </c>
      <c r="H1591" s="19" t="str">
        <f t="shared" si="92"/>
        <v>None</v>
      </c>
    </row>
    <row r="1592" spans="6:8" x14ac:dyDescent="0.2">
      <c r="F1592" s="19" t="str">
        <f t="shared" si="90"/>
        <v>None</v>
      </c>
      <c r="G1592" s="19" t="str">
        <f t="shared" si="91"/>
        <v>None</v>
      </c>
      <c r="H1592" s="19" t="str">
        <f t="shared" si="92"/>
        <v>None</v>
      </c>
    </row>
    <row r="1593" spans="6:8" x14ac:dyDescent="0.2">
      <c r="F1593" s="19" t="str">
        <f t="shared" si="90"/>
        <v>None</v>
      </c>
      <c r="G1593" s="19" t="str">
        <f t="shared" si="91"/>
        <v>None</v>
      </c>
      <c r="H1593" s="19" t="str">
        <f t="shared" si="92"/>
        <v>None</v>
      </c>
    </row>
    <row r="1594" spans="6:8" x14ac:dyDescent="0.2">
      <c r="F1594" s="19" t="str">
        <f t="shared" si="90"/>
        <v>None</v>
      </c>
      <c r="G1594" s="19" t="str">
        <f t="shared" si="91"/>
        <v>None</v>
      </c>
      <c r="H1594" s="19" t="str">
        <f t="shared" si="92"/>
        <v>None</v>
      </c>
    </row>
    <row r="1595" spans="6:8" x14ac:dyDescent="0.2">
      <c r="F1595" s="19" t="str">
        <f t="shared" si="90"/>
        <v>None</v>
      </c>
      <c r="G1595" s="19" t="str">
        <f t="shared" si="91"/>
        <v>None</v>
      </c>
      <c r="H1595" s="19" t="str">
        <f t="shared" si="92"/>
        <v>None</v>
      </c>
    </row>
    <row r="1596" spans="6:8" x14ac:dyDescent="0.2">
      <c r="F1596" s="19" t="str">
        <f t="shared" si="90"/>
        <v>None</v>
      </c>
      <c r="G1596" s="19" t="str">
        <f t="shared" si="91"/>
        <v>None</v>
      </c>
      <c r="H1596" s="19" t="str">
        <f t="shared" si="92"/>
        <v>None</v>
      </c>
    </row>
    <row r="1597" spans="6:8" x14ac:dyDescent="0.2">
      <c r="F1597" s="19" t="str">
        <f t="shared" si="90"/>
        <v>None</v>
      </c>
      <c r="G1597" s="19" t="str">
        <f t="shared" si="91"/>
        <v>None</v>
      </c>
      <c r="H1597" s="19" t="str">
        <f t="shared" si="92"/>
        <v>None</v>
      </c>
    </row>
    <row r="1598" spans="6:8" x14ac:dyDescent="0.2">
      <c r="F1598" s="19" t="str">
        <f t="shared" si="90"/>
        <v>None</v>
      </c>
      <c r="G1598" s="19" t="str">
        <f t="shared" si="91"/>
        <v>None</v>
      </c>
      <c r="H1598" s="19" t="str">
        <f t="shared" si="92"/>
        <v>None</v>
      </c>
    </row>
    <row r="1599" spans="6:8" x14ac:dyDescent="0.2">
      <c r="F1599" s="19" t="str">
        <f t="shared" si="90"/>
        <v>None</v>
      </c>
      <c r="G1599" s="19" t="str">
        <f t="shared" si="91"/>
        <v>None</v>
      </c>
      <c r="H1599" s="19" t="str">
        <f t="shared" si="92"/>
        <v>None</v>
      </c>
    </row>
    <row r="1600" spans="6:8" x14ac:dyDescent="0.2">
      <c r="F1600" s="19" t="str">
        <f t="shared" si="90"/>
        <v>None</v>
      </c>
      <c r="G1600" s="19" t="str">
        <f t="shared" si="91"/>
        <v>None</v>
      </c>
      <c r="H1600" s="19" t="str">
        <f t="shared" si="92"/>
        <v>None</v>
      </c>
    </row>
    <row r="1601" spans="6:8" x14ac:dyDescent="0.2">
      <c r="F1601" s="19" t="str">
        <f t="shared" si="90"/>
        <v>None</v>
      </c>
      <c r="G1601" s="19" t="str">
        <f t="shared" si="91"/>
        <v>None</v>
      </c>
      <c r="H1601" s="19" t="str">
        <f t="shared" si="92"/>
        <v>None</v>
      </c>
    </row>
    <row r="1602" spans="6:8" x14ac:dyDescent="0.2">
      <c r="F1602" s="19" t="str">
        <f t="shared" si="90"/>
        <v>None</v>
      </c>
      <c r="G1602" s="19" t="str">
        <f t="shared" si="91"/>
        <v>None</v>
      </c>
      <c r="H1602" s="19" t="str">
        <f t="shared" si="92"/>
        <v>None</v>
      </c>
    </row>
    <row r="1603" spans="6:8" x14ac:dyDescent="0.2">
      <c r="F1603" s="19" t="str">
        <f t="shared" si="90"/>
        <v>None</v>
      </c>
      <c r="G1603" s="19" t="str">
        <f t="shared" si="91"/>
        <v>None</v>
      </c>
      <c r="H1603" s="19" t="str">
        <f t="shared" si="92"/>
        <v>None</v>
      </c>
    </row>
    <row r="1604" spans="6:8" x14ac:dyDescent="0.2">
      <c r="F1604" s="19" t="str">
        <f t="shared" si="90"/>
        <v>None</v>
      </c>
      <c r="G1604" s="19" t="str">
        <f t="shared" si="91"/>
        <v>None</v>
      </c>
      <c r="H1604" s="19" t="str">
        <f t="shared" si="92"/>
        <v>None</v>
      </c>
    </row>
    <row r="1605" spans="6:8" x14ac:dyDescent="0.2">
      <c r="F1605" s="19" t="str">
        <f t="shared" si="90"/>
        <v>None</v>
      </c>
      <c r="G1605" s="19" t="str">
        <f t="shared" si="91"/>
        <v>None</v>
      </c>
      <c r="H1605" s="19" t="str">
        <f t="shared" si="92"/>
        <v>None</v>
      </c>
    </row>
    <row r="1606" spans="6:8" x14ac:dyDescent="0.2">
      <c r="F1606" s="19" t="str">
        <f t="shared" si="90"/>
        <v>None</v>
      </c>
      <c r="G1606" s="19" t="str">
        <f t="shared" si="91"/>
        <v>None</v>
      </c>
      <c r="H1606" s="19" t="str">
        <f t="shared" si="92"/>
        <v>None</v>
      </c>
    </row>
    <row r="1607" spans="6:8" x14ac:dyDescent="0.2">
      <c r="F1607" s="19" t="str">
        <f t="shared" si="90"/>
        <v>None</v>
      </c>
      <c r="G1607" s="19" t="str">
        <f t="shared" si="91"/>
        <v>None</v>
      </c>
      <c r="H1607" s="19" t="str">
        <f t="shared" si="92"/>
        <v>None</v>
      </c>
    </row>
    <row r="1608" spans="6:8" x14ac:dyDescent="0.2">
      <c r="F1608" s="19" t="str">
        <f t="shared" si="90"/>
        <v>None</v>
      </c>
      <c r="G1608" s="19" t="str">
        <f t="shared" si="91"/>
        <v>None</v>
      </c>
      <c r="H1608" s="19" t="str">
        <f t="shared" si="92"/>
        <v>None</v>
      </c>
    </row>
    <row r="1609" spans="6:8" x14ac:dyDescent="0.2">
      <c r="F1609" s="19" t="str">
        <f t="shared" si="90"/>
        <v>None</v>
      </c>
      <c r="G1609" s="19" t="str">
        <f t="shared" si="91"/>
        <v>None</v>
      </c>
      <c r="H1609" s="19" t="str">
        <f t="shared" si="92"/>
        <v>None</v>
      </c>
    </row>
    <row r="1610" spans="6:8" x14ac:dyDescent="0.2">
      <c r="F1610" s="19" t="str">
        <f t="shared" si="90"/>
        <v>None</v>
      </c>
      <c r="G1610" s="19" t="str">
        <f t="shared" si="91"/>
        <v>None</v>
      </c>
      <c r="H1610" s="19" t="str">
        <f t="shared" si="92"/>
        <v>None</v>
      </c>
    </row>
    <row r="1611" spans="6:8" x14ac:dyDescent="0.2">
      <c r="F1611" s="19" t="str">
        <f t="shared" si="90"/>
        <v>None</v>
      </c>
      <c r="G1611" s="19" t="str">
        <f t="shared" si="91"/>
        <v>None</v>
      </c>
      <c r="H1611" s="19" t="str">
        <f t="shared" si="92"/>
        <v>None</v>
      </c>
    </row>
    <row r="1612" spans="6:8" x14ac:dyDescent="0.2">
      <c r="F1612" s="19" t="str">
        <f t="shared" si="90"/>
        <v>None</v>
      </c>
      <c r="G1612" s="19" t="str">
        <f t="shared" si="91"/>
        <v>None</v>
      </c>
      <c r="H1612" s="19" t="str">
        <f t="shared" si="92"/>
        <v>None</v>
      </c>
    </row>
    <row r="1613" spans="6:8" x14ac:dyDescent="0.2">
      <c r="F1613" s="19" t="str">
        <f t="shared" si="90"/>
        <v>None</v>
      </c>
      <c r="G1613" s="19" t="str">
        <f t="shared" si="91"/>
        <v>None</v>
      </c>
      <c r="H1613" s="19" t="str">
        <f t="shared" si="92"/>
        <v>None</v>
      </c>
    </row>
    <row r="1614" spans="6:8" x14ac:dyDescent="0.2">
      <c r="F1614" s="19" t="str">
        <f t="shared" si="90"/>
        <v>None</v>
      </c>
      <c r="G1614" s="19" t="str">
        <f t="shared" si="91"/>
        <v>None</v>
      </c>
      <c r="H1614" s="19" t="str">
        <f t="shared" si="92"/>
        <v>None</v>
      </c>
    </row>
    <row r="1615" spans="6:8" x14ac:dyDescent="0.2">
      <c r="F1615" s="19" t="str">
        <f t="shared" si="90"/>
        <v>None</v>
      </c>
      <c r="G1615" s="19" t="str">
        <f t="shared" si="91"/>
        <v>None</v>
      </c>
      <c r="H1615" s="19" t="str">
        <f t="shared" si="92"/>
        <v>None</v>
      </c>
    </row>
    <row r="1616" spans="6:8" x14ac:dyDescent="0.2">
      <c r="F1616" s="19" t="str">
        <f t="shared" si="90"/>
        <v>None</v>
      </c>
      <c r="G1616" s="19" t="str">
        <f t="shared" si="91"/>
        <v>None</v>
      </c>
      <c r="H1616" s="19" t="str">
        <f t="shared" si="92"/>
        <v>None</v>
      </c>
    </row>
    <row r="1617" spans="6:8" x14ac:dyDescent="0.2">
      <c r="F1617" s="19" t="str">
        <f t="shared" si="90"/>
        <v>None</v>
      </c>
      <c r="G1617" s="19" t="str">
        <f t="shared" si="91"/>
        <v>None</v>
      </c>
      <c r="H1617" s="19" t="str">
        <f t="shared" si="92"/>
        <v>None</v>
      </c>
    </row>
    <row r="1618" spans="6:8" x14ac:dyDescent="0.2">
      <c r="F1618" s="19" t="str">
        <f t="shared" si="90"/>
        <v>None</v>
      </c>
      <c r="G1618" s="19" t="str">
        <f t="shared" si="91"/>
        <v>None</v>
      </c>
      <c r="H1618" s="19" t="str">
        <f t="shared" si="92"/>
        <v>None</v>
      </c>
    </row>
    <row r="1619" spans="6:8" x14ac:dyDescent="0.2">
      <c r="F1619" s="19" t="str">
        <f t="shared" si="90"/>
        <v>None</v>
      </c>
      <c r="G1619" s="19" t="str">
        <f t="shared" si="91"/>
        <v>None</v>
      </c>
      <c r="H1619" s="19" t="str">
        <f t="shared" si="92"/>
        <v>None</v>
      </c>
    </row>
    <row r="1620" spans="6:8" x14ac:dyDescent="0.2">
      <c r="F1620" s="19" t="str">
        <f t="shared" si="90"/>
        <v>None</v>
      </c>
      <c r="G1620" s="19" t="str">
        <f t="shared" si="91"/>
        <v>None</v>
      </c>
      <c r="H1620" s="19" t="str">
        <f t="shared" si="92"/>
        <v>None</v>
      </c>
    </row>
    <row r="1621" spans="6:8" x14ac:dyDescent="0.2">
      <c r="F1621" s="19" t="str">
        <f t="shared" ref="F1621:F1684" si="93">IF(A1621="joint","Joint",_xlfn.IFNA(VLOOKUP(B1621,tour_purposes,2,FALSE),"None"))</f>
        <v>None</v>
      </c>
      <c r="G1621" s="19" t="str">
        <f t="shared" ref="G1621:G1684" si="94">IF(AND(A1621="joint",C1621&lt;=6),"Auto",_xlfn.IFNA(VLOOKUP(C1621,tour_modes,3,FALSE),"None"))</f>
        <v>None</v>
      </c>
      <c r="H1621" s="19" t="str">
        <f t="shared" ref="H1621:H1684" si="95">_xlfn.IFNA(VLOOKUP(D1621,trip_modes,2,FALSE),"None")</f>
        <v>None</v>
      </c>
    </row>
    <row r="1622" spans="6:8" x14ac:dyDescent="0.2">
      <c r="F1622" s="19" t="str">
        <f t="shared" si="93"/>
        <v>None</v>
      </c>
      <c r="G1622" s="19" t="str">
        <f t="shared" si="94"/>
        <v>None</v>
      </c>
      <c r="H1622" s="19" t="str">
        <f t="shared" si="95"/>
        <v>None</v>
      </c>
    </row>
    <row r="1623" spans="6:8" x14ac:dyDescent="0.2">
      <c r="F1623" s="19" t="str">
        <f t="shared" si="93"/>
        <v>None</v>
      </c>
      <c r="G1623" s="19" t="str">
        <f t="shared" si="94"/>
        <v>None</v>
      </c>
      <c r="H1623" s="19" t="str">
        <f t="shared" si="95"/>
        <v>None</v>
      </c>
    </row>
    <row r="1624" spans="6:8" x14ac:dyDescent="0.2">
      <c r="F1624" s="19" t="str">
        <f t="shared" si="93"/>
        <v>None</v>
      </c>
      <c r="G1624" s="19" t="str">
        <f t="shared" si="94"/>
        <v>None</v>
      </c>
      <c r="H1624" s="19" t="str">
        <f t="shared" si="95"/>
        <v>None</v>
      </c>
    </row>
    <row r="1625" spans="6:8" x14ac:dyDescent="0.2">
      <c r="F1625" s="19" t="str">
        <f t="shared" si="93"/>
        <v>None</v>
      </c>
      <c r="G1625" s="19" t="str">
        <f t="shared" si="94"/>
        <v>None</v>
      </c>
      <c r="H1625" s="19" t="str">
        <f t="shared" si="95"/>
        <v>None</v>
      </c>
    </row>
    <row r="1626" spans="6:8" x14ac:dyDescent="0.2">
      <c r="F1626" s="19" t="str">
        <f t="shared" si="93"/>
        <v>None</v>
      </c>
      <c r="G1626" s="19" t="str">
        <f t="shared" si="94"/>
        <v>None</v>
      </c>
      <c r="H1626" s="19" t="str">
        <f t="shared" si="95"/>
        <v>None</v>
      </c>
    </row>
    <row r="1627" spans="6:8" x14ac:dyDescent="0.2">
      <c r="F1627" s="19" t="str">
        <f t="shared" si="93"/>
        <v>None</v>
      </c>
      <c r="G1627" s="19" t="str">
        <f t="shared" si="94"/>
        <v>None</v>
      </c>
      <c r="H1627" s="19" t="str">
        <f t="shared" si="95"/>
        <v>None</v>
      </c>
    </row>
    <row r="1628" spans="6:8" x14ac:dyDescent="0.2">
      <c r="F1628" s="19" t="str">
        <f t="shared" si="93"/>
        <v>None</v>
      </c>
      <c r="G1628" s="19" t="str">
        <f t="shared" si="94"/>
        <v>None</v>
      </c>
      <c r="H1628" s="19" t="str">
        <f t="shared" si="95"/>
        <v>None</v>
      </c>
    </row>
    <row r="1629" spans="6:8" x14ac:dyDescent="0.2">
      <c r="F1629" s="19" t="str">
        <f t="shared" si="93"/>
        <v>None</v>
      </c>
      <c r="G1629" s="19" t="str">
        <f t="shared" si="94"/>
        <v>None</v>
      </c>
      <c r="H1629" s="19" t="str">
        <f t="shared" si="95"/>
        <v>None</v>
      </c>
    </row>
    <row r="1630" spans="6:8" x14ac:dyDescent="0.2">
      <c r="F1630" s="19" t="str">
        <f t="shared" si="93"/>
        <v>None</v>
      </c>
      <c r="G1630" s="19" t="str">
        <f t="shared" si="94"/>
        <v>None</v>
      </c>
      <c r="H1630" s="19" t="str">
        <f t="shared" si="95"/>
        <v>None</v>
      </c>
    </row>
    <row r="1631" spans="6:8" x14ac:dyDescent="0.2">
      <c r="F1631" s="19" t="str">
        <f t="shared" si="93"/>
        <v>None</v>
      </c>
      <c r="G1631" s="19" t="str">
        <f t="shared" si="94"/>
        <v>None</v>
      </c>
      <c r="H1631" s="19" t="str">
        <f t="shared" si="95"/>
        <v>None</v>
      </c>
    </row>
    <row r="1632" spans="6:8" x14ac:dyDescent="0.2">
      <c r="F1632" s="19" t="str">
        <f t="shared" si="93"/>
        <v>None</v>
      </c>
      <c r="G1632" s="19" t="str">
        <f t="shared" si="94"/>
        <v>None</v>
      </c>
      <c r="H1632" s="19" t="str">
        <f t="shared" si="95"/>
        <v>None</v>
      </c>
    </row>
    <row r="1633" spans="6:8" x14ac:dyDescent="0.2">
      <c r="F1633" s="19" t="str">
        <f t="shared" si="93"/>
        <v>None</v>
      </c>
      <c r="G1633" s="19" t="str">
        <f t="shared" si="94"/>
        <v>None</v>
      </c>
      <c r="H1633" s="19" t="str">
        <f t="shared" si="95"/>
        <v>None</v>
      </c>
    </row>
    <row r="1634" spans="6:8" x14ac:dyDescent="0.2">
      <c r="F1634" s="19" t="str">
        <f t="shared" si="93"/>
        <v>None</v>
      </c>
      <c r="G1634" s="19" t="str">
        <f t="shared" si="94"/>
        <v>None</v>
      </c>
      <c r="H1634" s="19" t="str">
        <f t="shared" si="95"/>
        <v>None</v>
      </c>
    </row>
    <row r="1635" spans="6:8" x14ac:dyDescent="0.2">
      <c r="F1635" s="19" t="str">
        <f t="shared" si="93"/>
        <v>None</v>
      </c>
      <c r="G1635" s="19" t="str">
        <f t="shared" si="94"/>
        <v>None</v>
      </c>
      <c r="H1635" s="19" t="str">
        <f t="shared" si="95"/>
        <v>None</v>
      </c>
    </row>
    <row r="1636" spans="6:8" x14ac:dyDescent="0.2">
      <c r="F1636" s="19" t="str">
        <f t="shared" si="93"/>
        <v>None</v>
      </c>
      <c r="G1636" s="19" t="str">
        <f t="shared" si="94"/>
        <v>None</v>
      </c>
      <c r="H1636" s="19" t="str">
        <f t="shared" si="95"/>
        <v>None</v>
      </c>
    </row>
    <row r="1637" spans="6:8" x14ac:dyDescent="0.2">
      <c r="F1637" s="19" t="str">
        <f t="shared" si="93"/>
        <v>None</v>
      </c>
      <c r="G1637" s="19" t="str">
        <f t="shared" si="94"/>
        <v>None</v>
      </c>
      <c r="H1637" s="19" t="str">
        <f t="shared" si="95"/>
        <v>None</v>
      </c>
    </row>
    <row r="1638" spans="6:8" x14ac:dyDescent="0.2">
      <c r="F1638" s="19" t="str">
        <f t="shared" si="93"/>
        <v>None</v>
      </c>
      <c r="G1638" s="19" t="str">
        <f t="shared" si="94"/>
        <v>None</v>
      </c>
      <c r="H1638" s="19" t="str">
        <f t="shared" si="95"/>
        <v>None</v>
      </c>
    </row>
    <row r="1639" spans="6:8" x14ac:dyDescent="0.2">
      <c r="F1639" s="19" t="str">
        <f t="shared" si="93"/>
        <v>None</v>
      </c>
      <c r="G1639" s="19" t="str">
        <f t="shared" si="94"/>
        <v>None</v>
      </c>
      <c r="H1639" s="19" t="str">
        <f t="shared" si="95"/>
        <v>None</v>
      </c>
    </row>
    <row r="1640" spans="6:8" x14ac:dyDescent="0.2">
      <c r="F1640" s="19" t="str">
        <f t="shared" si="93"/>
        <v>None</v>
      </c>
      <c r="G1640" s="19" t="str">
        <f t="shared" si="94"/>
        <v>None</v>
      </c>
      <c r="H1640" s="19" t="str">
        <f t="shared" si="95"/>
        <v>None</v>
      </c>
    </row>
    <row r="1641" spans="6:8" x14ac:dyDescent="0.2">
      <c r="F1641" s="19" t="str">
        <f t="shared" si="93"/>
        <v>None</v>
      </c>
      <c r="G1641" s="19" t="str">
        <f t="shared" si="94"/>
        <v>None</v>
      </c>
      <c r="H1641" s="19" t="str">
        <f t="shared" si="95"/>
        <v>None</v>
      </c>
    </row>
    <row r="1642" spans="6:8" x14ac:dyDescent="0.2">
      <c r="F1642" s="19" t="str">
        <f t="shared" si="93"/>
        <v>None</v>
      </c>
      <c r="G1642" s="19" t="str">
        <f t="shared" si="94"/>
        <v>None</v>
      </c>
      <c r="H1642" s="19" t="str">
        <f t="shared" si="95"/>
        <v>None</v>
      </c>
    </row>
    <row r="1643" spans="6:8" x14ac:dyDescent="0.2">
      <c r="F1643" s="19" t="str">
        <f t="shared" si="93"/>
        <v>None</v>
      </c>
      <c r="G1643" s="19" t="str">
        <f t="shared" si="94"/>
        <v>None</v>
      </c>
      <c r="H1643" s="19" t="str">
        <f t="shared" si="95"/>
        <v>None</v>
      </c>
    </row>
    <row r="1644" spans="6:8" x14ac:dyDescent="0.2">
      <c r="F1644" s="19" t="str">
        <f t="shared" si="93"/>
        <v>None</v>
      </c>
      <c r="G1644" s="19" t="str">
        <f t="shared" si="94"/>
        <v>None</v>
      </c>
      <c r="H1644" s="19" t="str">
        <f t="shared" si="95"/>
        <v>None</v>
      </c>
    </row>
    <row r="1645" spans="6:8" x14ac:dyDescent="0.2">
      <c r="F1645" s="19" t="str">
        <f t="shared" si="93"/>
        <v>None</v>
      </c>
      <c r="G1645" s="19" t="str">
        <f t="shared" si="94"/>
        <v>None</v>
      </c>
      <c r="H1645" s="19" t="str">
        <f t="shared" si="95"/>
        <v>None</v>
      </c>
    </row>
    <row r="1646" spans="6:8" x14ac:dyDescent="0.2">
      <c r="F1646" s="19" t="str">
        <f t="shared" si="93"/>
        <v>None</v>
      </c>
      <c r="G1646" s="19" t="str">
        <f t="shared" si="94"/>
        <v>None</v>
      </c>
      <c r="H1646" s="19" t="str">
        <f t="shared" si="95"/>
        <v>None</v>
      </c>
    </row>
    <row r="1647" spans="6:8" x14ac:dyDescent="0.2">
      <c r="F1647" s="19" t="str">
        <f t="shared" si="93"/>
        <v>None</v>
      </c>
      <c r="G1647" s="19" t="str">
        <f t="shared" si="94"/>
        <v>None</v>
      </c>
      <c r="H1647" s="19" t="str">
        <f t="shared" si="95"/>
        <v>None</v>
      </c>
    </row>
    <row r="1648" spans="6:8" x14ac:dyDescent="0.2">
      <c r="F1648" s="19" t="str">
        <f t="shared" si="93"/>
        <v>None</v>
      </c>
      <c r="G1648" s="19" t="str">
        <f t="shared" si="94"/>
        <v>None</v>
      </c>
      <c r="H1648" s="19" t="str">
        <f t="shared" si="95"/>
        <v>None</v>
      </c>
    </row>
    <row r="1649" spans="6:8" x14ac:dyDescent="0.2">
      <c r="F1649" s="19" t="str">
        <f t="shared" si="93"/>
        <v>None</v>
      </c>
      <c r="G1649" s="19" t="str">
        <f t="shared" si="94"/>
        <v>None</v>
      </c>
      <c r="H1649" s="19" t="str">
        <f t="shared" si="95"/>
        <v>None</v>
      </c>
    </row>
    <row r="1650" spans="6:8" x14ac:dyDescent="0.2">
      <c r="F1650" s="19" t="str">
        <f t="shared" si="93"/>
        <v>None</v>
      </c>
      <c r="G1650" s="19" t="str">
        <f t="shared" si="94"/>
        <v>None</v>
      </c>
      <c r="H1650" s="19" t="str">
        <f t="shared" si="95"/>
        <v>None</v>
      </c>
    </row>
    <row r="1651" spans="6:8" x14ac:dyDescent="0.2">
      <c r="F1651" s="19" t="str">
        <f t="shared" si="93"/>
        <v>None</v>
      </c>
      <c r="G1651" s="19" t="str">
        <f t="shared" si="94"/>
        <v>None</v>
      </c>
      <c r="H1651" s="19" t="str">
        <f t="shared" si="95"/>
        <v>None</v>
      </c>
    </row>
    <row r="1652" spans="6:8" x14ac:dyDescent="0.2">
      <c r="F1652" s="19" t="str">
        <f t="shared" si="93"/>
        <v>None</v>
      </c>
      <c r="G1652" s="19" t="str">
        <f t="shared" si="94"/>
        <v>None</v>
      </c>
      <c r="H1652" s="19" t="str">
        <f t="shared" si="95"/>
        <v>None</v>
      </c>
    </row>
    <row r="1653" spans="6:8" x14ac:dyDescent="0.2">
      <c r="F1653" s="19" t="str">
        <f t="shared" si="93"/>
        <v>None</v>
      </c>
      <c r="G1653" s="19" t="str">
        <f t="shared" si="94"/>
        <v>None</v>
      </c>
      <c r="H1653" s="19" t="str">
        <f t="shared" si="95"/>
        <v>None</v>
      </c>
    </row>
    <row r="1654" spans="6:8" x14ac:dyDescent="0.2">
      <c r="F1654" s="19" t="str">
        <f t="shared" si="93"/>
        <v>None</v>
      </c>
      <c r="G1654" s="19" t="str">
        <f t="shared" si="94"/>
        <v>None</v>
      </c>
      <c r="H1654" s="19" t="str">
        <f t="shared" si="95"/>
        <v>None</v>
      </c>
    </row>
    <row r="1655" spans="6:8" x14ac:dyDescent="0.2">
      <c r="F1655" s="19" t="str">
        <f t="shared" si="93"/>
        <v>None</v>
      </c>
      <c r="G1655" s="19" t="str">
        <f t="shared" si="94"/>
        <v>None</v>
      </c>
      <c r="H1655" s="19" t="str">
        <f t="shared" si="95"/>
        <v>None</v>
      </c>
    </row>
    <row r="1656" spans="6:8" x14ac:dyDescent="0.2">
      <c r="F1656" s="19" t="str">
        <f t="shared" si="93"/>
        <v>None</v>
      </c>
      <c r="G1656" s="19" t="str">
        <f t="shared" si="94"/>
        <v>None</v>
      </c>
      <c r="H1656" s="19" t="str">
        <f t="shared" si="95"/>
        <v>None</v>
      </c>
    </row>
    <row r="1657" spans="6:8" x14ac:dyDescent="0.2">
      <c r="F1657" s="19" t="str">
        <f t="shared" si="93"/>
        <v>None</v>
      </c>
      <c r="G1657" s="19" t="str">
        <f t="shared" si="94"/>
        <v>None</v>
      </c>
      <c r="H1657" s="19" t="str">
        <f t="shared" si="95"/>
        <v>None</v>
      </c>
    </row>
    <row r="1658" spans="6:8" x14ac:dyDescent="0.2">
      <c r="F1658" s="19" t="str">
        <f t="shared" si="93"/>
        <v>None</v>
      </c>
      <c r="G1658" s="19" t="str">
        <f t="shared" si="94"/>
        <v>None</v>
      </c>
      <c r="H1658" s="19" t="str">
        <f t="shared" si="95"/>
        <v>None</v>
      </c>
    </row>
    <row r="1659" spans="6:8" x14ac:dyDescent="0.2">
      <c r="F1659" s="19" t="str">
        <f t="shared" si="93"/>
        <v>None</v>
      </c>
      <c r="G1659" s="19" t="str">
        <f t="shared" si="94"/>
        <v>None</v>
      </c>
      <c r="H1659" s="19" t="str">
        <f t="shared" si="95"/>
        <v>None</v>
      </c>
    </row>
    <row r="1660" spans="6:8" x14ac:dyDescent="0.2">
      <c r="F1660" s="19" t="str">
        <f t="shared" si="93"/>
        <v>None</v>
      </c>
      <c r="G1660" s="19" t="str">
        <f t="shared" si="94"/>
        <v>None</v>
      </c>
      <c r="H1660" s="19" t="str">
        <f t="shared" si="95"/>
        <v>None</v>
      </c>
    </row>
    <row r="1661" spans="6:8" x14ac:dyDescent="0.2">
      <c r="F1661" s="19" t="str">
        <f t="shared" si="93"/>
        <v>None</v>
      </c>
      <c r="G1661" s="19" t="str">
        <f t="shared" si="94"/>
        <v>None</v>
      </c>
      <c r="H1661" s="19" t="str">
        <f t="shared" si="95"/>
        <v>None</v>
      </c>
    </row>
    <row r="1662" spans="6:8" x14ac:dyDescent="0.2">
      <c r="F1662" s="19" t="str">
        <f t="shared" si="93"/>
        <v>None</v>
      </c>
      <c r="G1662" s="19" t="str">
        <f t="shared" si="94"/>
        <v>None</v>
      </c>
      <c r="H1662" s="19" t="str">
        <f t="shared" si="95"/>
        <v>None</v>
      </c>
    </row>
    <row r="1663" spans="6:8" x14ac:dyDescent="0.2">
      <c r="F1663" s="19" t="str">
        <f t="shared" si="93"/>
        <v>None</v>
      </c>
      <c r="G1663" s="19" t="str">
        <f t="shared" si="94"/>
        <v>None</v>
      </c>
      <c r="H1663" s="19" t="str">
        <f t="shared" si="95"/>
        <v>None</v>
      </c>
    </row>
    <row r="1664" spans="6:8" x14ac:dyDescent="0.2">
      <c r="F1664" s="19" t="str">
        <f t="shared" si="93"/>
        <v>None</v>
      </c>
      <c r="G1664" s="19" t="str">
        <f t="shared" si="94"/>
        <v>None</v>
      </c>
      <c r="H1664" s="19" t="str">
        <f t="shared" si="95"/>
        <v>None</v>
      </c>
    </row>
    <row r="1665" spans="6:8" x14ac:dyDescent="0.2">
      <c r="F1665" s="19" t="str">
        <f t="shared" si="93"/>
        <v>None</v>
      </c>
      <c r="G1665" s="19" t="str">
        <f t="shared" si="94"/>
        <v>None</v>
      </c>
      <c r="H1665" s="19" t="str">
        <f t="shared" si="95"/>
        <v>None</v>
      </c>
    </row>
    <row r="1666" spans="6:8" x14ac:dyDescent="0.2">
      <c r="F1666" s="19" t="str">
        <f t="shared" si="93"/>
        <v>None</v>
      </c>
      <c r="G1666" s="19" t="str">
        <f t="shared" si="94"/>
        <v>None</v>
      </c>
      <c r="H1666" s="19" t="str">
        <f t="shared" si="95"/>
        <v>None</v>
      </c>
    </row>
    <row r="1667" spans="6:8" x14ac:dyDescent="0.2">
      <c r="F1667" s="19" t="str">
        <f t="shared" si="93"/>
        <v>None</v>
      </c>
      <c r="G1667" s="19" t="str">
        <f t="shared" si="94"/>
        <v>None</v>
      </c>
      <c r="H1667" s="19" t="str">
        <f t="shared" si="95"/>
        <v>None</v>
      </c>
    </row>
    <row r="1668" spans="6:8" x14ac:dyDescent="0.2">
      <c r="F1668" s="19" t="str">
        <f t="shared" si="93"/>
        <v>None</v>
      </c>
      <c r="G1668" s="19" t="str">
        <f t="shared" si="94"/>
        <v>None</v>
      </c>
      <c r="H1668" s="19" t="str">
        <f t="shared" si="95"/>
        <v>None</v>
      </c>
    </row>
    <row r="1669" spans="6:8" x14ac:dyDescent="0.2">
      <c r="F1669" s="19" t="str">
        <f t="shared" si="93"/>
        <v>None</v>
      </c>
      <c r="G1669" s="19" t="str">
        <f t="shared" si="94"/>
        <v>None</v>
      </c>
      <c r="H1669" s="19" t="str">
        <f t="shared" si="95"/>
        <v>None</v>
      </c>
    </row>
    <row r="1670" spans="6:8" x14ac:dyDescent="0.2">
      <c r="F1670" s="19" t="str">
        <f t="shared" si="93"/>
        <v>None</v>
      </c>
      <c r="G1670" s="19" t="str">
        <f t="shared" si="94"/>
        <v>None</v>
      </c>
      <c r="H1670" s="19" t="str">
        <f t="shared" si="95"/>
        <v>None</v>
      </c>
    </row>
    <row r="1671" spans="6:8" x14ac:dyDescent="0.2">
      <c r="F1671" s="19" t="str">
        <f t="shared" si="93"/>
        <v>None</v>
      </c>
      <c r="G1671" s="19" t="str">
        <f t="shared" si="94"/>
        <v>None</v>
      </c>
      <c r="H1671" s="19" t="str">
        <f t="shared" si="95"/>
        <v>None</v>
      </c>
    </row>
    <row r="1672" spans="6:8" x14ac:dyDescent="0.2">
      <c r="F1672" s="19" t="str">
        <f t="shared" si="93"/>
        <v>None</v>
      </c>
      <c r="G1672" s="19" t="str">
        <f t="shared" si="94"/>
        <v>None</v>
      </c>
      <c r="H1672" s="19" t="str">
        <f t="shared" si="95"/>
        <v>None</v>
      </c>
    </row>
    <row r="1673" spans="6:8" x14ac:dyDescent="0.2">
      <c r="F1673" s="19" t="str">
        <f t="shared" si="93"/>
        <v>None</v>
      </c>
      <c r="G1673" s="19" t="str">
        <f t="shared" si="94"/>
        <v>None</v>
      </c>
      <c r="H1673" s="19" t="str">
        <f t="shared" si="95"/>
        <v>None</v>
      </c>
    </row>
    <row r="1674" spans="6:8" x14ac:dyDescent="0.2">
      <c r="F1674" s="19" t="str">
        <f t="shared" si="93"/>
        <v>None</v>
      </c>
      <c r="G1674" s="19" t="str">
        <f t="shared" si="94"/>
        <v>None</v>
      </c>
      <c r="H1674" s="19" t="str">
        <f t="shared" si="95"/>
        <v>None</v>
      </c>
    </row>
    <row r="1675" spans="6:8" x14ac:dyDescent="0.2">
      <c r="F1675" s="19" t="str">
        <f t="shared" si="93"/>
        <v>None</v>
      </c>
      <c r="G1675" s="19" t="str">
        <f t="shared" si="94"/>
        <v>None</v>
      </c>
      <c r="H1675" s="19" t="str">
        <f t="shared" si="95"/>
        <v>None</v>
      </c>
    </row>
    <row r="1676" spans="6:8" x14ac:dyDescent="0.2">
      <c r="F1676" s="19" t="str">
        <f t="shared" si="93"/>
        <v>None</v>
      </c>
      <c r="G1676" s="19" t="str">
        <f t="shared" si="94"/>
        <v>None</v>
      </c>
      <c r="H1676" s="19" t="str">
        <f t="shared" si="95"/>
        <v>None</v>
      </c>
    </row>
    <row r="1677" spans="6:8" x14ac:dyDescent="0.2">
      <c r="F1677" s="19" t="str">
        <f t="shared" si="93"/>
        <v>None</v>
      </c>
      <c r="G1677" s="19" t="str">
        <f t="shared" si="94"/>
        <v>None</v>
      </c>
      <c r="H1677" s="19" t="str">
        <f t="shared" si="95"/>
        <v>None</v>
      </c>
    </row>
    <row r="1678" spans="6:8" x14ac:dyDescent="0.2">
      <c r="F1678" s="19" t="str">
        <f t="shared" si="93"/>
        <v>None</v>
      </c>
      <c r="G1678" s="19" t="str">
        <f t="shared" si="94"/>
        <v>None</v>
      </c>
      <c r="H1678" s="19" t="str">
        <f t="shared" si="95"/>
        <v>None</v>
      </c>
    </row>
    <row r="1679" spans="6:8" x14ac:dyDescent="0.2">
      <c r="F1679" s="19" t="str">
        <f t="shared" si="93"/>
        <v>None</v>
      </c>
      <c r="G1679" s="19" t="str">
        <f t="shared" si="94"/>
        <v>None</v>
      </c>
      <c r="H1679" s="19" t="str">
        <f t="shared" si="95"/>
        <v>None</v>
      </c>
    </row>
    <row r="1680" spans="6:8" x14ac:dyDescent="0.2">
      <c r="F1680" s="19" t="str">
        <f t="shared" si="93"/>
        <v>None</v>
      </c>
      <c r="G1680" s="19" t="str">
        <f t="shared" si="94"/>
        <v>None</v>
      </c>
      <c r="H1680" s="19" t="str">
        <f t="shared" si="95"/>
        <v>None</v>
      </c>
    </row>
    <row r="1681" spans="6:8" x14ac:dyDescent="0.2">
      <c r="F1681" s="19" t="str">
        <f t="shared" si="93"/>
        <v>None</v>
      </c>
      <c r="G1681" s="19" t="str">
        <f t="shared" si="94"/>
        <v>None</v>
      </c>
      <c r="H1681" s="19" t="str">
        <f t="shared" si="95"/>
        <v>None</v>
      </c>
    </row>
    <row r="1682" spans="6:8" x14ac:dyDescent="0.2">
      <c r="F1682" s="19" t="str">
        <f t="shared" si="93"/>
        <v>None</v>
      </c>
      <c r="G1682" s="19" t="str">
        <f t="shared" si="94"/>
        <v>None</v>
      </c>
      <c r="H1682" s="19" t="str">
        <f t="shared" si="95"/>
        <v>None</v>
      </c>
    </row>
    <row r="1683" spans="6:8" x14ac:dyDescent="0.2">
      <c r="F1683" s="19" t="str">
        <f t="shared" si="93"/>
        <v>None</v>
      </c>
      <c r="G1683" s="19" t="str">
        <f t="shared" si="94"/>
        <v>None</v>
      </c>
      <c r="H1683" s="19" t="str">
        <f t="shared" si="95"/>
        <v>None</v>
      </c>
    </row>
    <row r="1684" spans="6:8" x14ac:dyDescent="0.2">
      <c r="F1684" s="19" t="str">
        <f t="shared" si="93"/>
        <v>None</v>
      </c>
      <c r="G1684" s="19" t="str">
        <f t="shared" si="94"/>
        <v>None</v>
      </c>
      <c r="H1684" s="19" t="str">
        <f t="shared" si="95"/>
        <v>None</v>
      </c>
    </row>
    <row r="1685" spans="6:8" x14ac:dyDescent="0.2">
      <c r="F1685" s="19" t="str">
        <f t="shared" ref="F1685:F1748" si="96">IF(A1685="joint","Joint",_xlfn.IFNA(VLOOKUP(B1685,tour_purposes,2,FALSE),"None"))</f>
        <v>None</v>
      </c>
      <c r="G1685" s="19" t="str">
        <f t="shared" ref="G1685:G1748" si="97">IF(AND(A1685="joint",C1685&lt;=6),"Auto",_xlfn.IFNA(VLOOKUP(C1685,tour_modes,3,FALSE),"None"))</f>
        <v>None</v>
      </c>
      <c r="H1685" s="19" t="str">
        <f t="shared" ref="H1685:H1748" si="98">_xlfn.IFNA(VLOOKUP(D1685,trip_modes,2,FALSE),"None")</f>
        <v>None</v>
      </c>
    </row>
    <row r="1686" spans="6:8" x14ac:dyDescent="0.2">
      <c r="F1686" s="19" t="str">
        <f t="shared" si="96"/>
        <v>None</v>
      </c>
      <c r="G1686" s="19" t="str">
        <f t="shared" si="97"/>
        <v>None</v>
      </c>
      <c r="H1686" s="19" t="str">
        <f t="shared" si="98"/>
        <v>None</v>
      </c>
    </row>
    <row r="1687" spans="6:8" x14ac:dyDescent="0.2">
      <c r="F1687" s="19" t="str">
        <f t="shared" si="96"/>
        <v>None</v>
      </c>
      <c r="G1687" s="19" t="str">
        <f t="shared" si="97"/>
        <v>None</v>
      </c>
      <c r="H1687" s="19" t="str">
        <f t="shared" si="98"/>
        <v>None</v>
      </c>
    </row>
    <row r="1688" spans="6:8" x14ac:dyDescent="0.2">
      <c r="F1688" s="19" t="str">
        <f t="shared" si="96"/>
        <v>None</v>
      </c>
      <c r="G1688" s="19" t="str">
        <f t="shared" si="97"/>
        <v>None</v>
      </c>
      <c r="H1688" s="19" t="str">
        <f t="shared" si="98"/>
        <v>None</v>
      </c>
    </row>
    <row r="1689" spans="6:8" x14ac:dyDescent="0.2">
      <c r="F1689" s="19" t="str">
        <f t="shared" si="96"/>
        <v>None</v>
      </c>
      <c r="G1689" s="19" t="str">
        <f t="shared" si="97"/>
        <v>None</v>
      </c>
      <c r="H1689" s="19" t="str">
        <f t="shared" si="98"/>
        <v>None</v>
      </c>
    </row>
    <row r="1690" spans="6:8" x14ac:dyDescent="0.2">
      <c r="F1690" s="19" t="str">
        <f t="shared" si="96"/>
        <v>None</v>
      </c>
      <c r="G1690" s="19" t="str">
        <f t="shared" si="97"/>
        <v>None</v>
      </c>
      <c r="H1690" s="19" t="str">
        <f t="shared" si="98"/>
        <v>None</v>
      </c>
    </row>
    <row r="1691" spans="6:8" x14ac:dyDescent="0.2">
      <c r="F1691" s="19" t="str">
        <f t="shared" si="96"/>
        <v>None</v>
      </c>
      <c r="G1691" s="19" t="str">
        <f t="shared" si="97"/>
        <v>None</v>
      </c>
      <c r="H1691" s="19" t="str">
        <f t="shared" si="98"/>
        <v>None</v>
      </c>
    </row>
    <row r="1692" spans="6:8" x14ac:dyDescent="0.2">
      <c r="F1692" s="19" t="str">
        <f t="shared" si="96"/>
        <v>None</v>
      </c>
      <c r="G1692" s="19" t="str">
        <f t="shared" si="97"/>
        <v>None</v>
      </c>
      <c r="H1692" s="19" t="str">
        <f t="shared" si="98"/>
        <v>None</v>
      </c>
    </row>
    <row r="1693" spans="6:8" x14ac:dyDescent="0.2">
      <c r="F1693" s="19" t="str">
        <f t="shared" si="96"/>
        <v>None</v>
      </c>
      <c r="G1693" s="19" t="str">
        <f t="shared" si="97"/>
        <v>None</v>
      </c>
      <c r="H1693" s="19" t="str">
        <f t="shared" si="98"/>
        <v>None</v>
      </c>
    </row>
    <row r="1694" spans="6:8" x14ac:dyDescent="0.2">
      <c r="F1694" s="19" t="str">
        <f t="shared" si="96"/>
        <v>None</v>
      </c>
      <c r="G1694" s="19" t="str">
        <f t="shared" si="97"/>
        <v>None</v>
      </c>
      <c r="H1694" s="19" t="str">
        <f t="shared" si="98"/>
        <v>None</v>
      </c>
    </row>
    <row r="1695" spans="6:8" x14ac:dyDescent="0.2">
      <c r="F1695" s="19" t="str">
        <f t="shared" si="96"/>
        <v>None</v>
      </c>
      <c r="G1695" s="19" t="str">
        <f t="shared" si="97"/>
        <v>None</v>
      </c>
      <c r="H1695" s="19" t="str">
        <f t="shared" si="98"/>
        <v>None</v>
      </c>
    </row>
    <row r="1696" spans="6:8" x14ac:dyDescent="0.2">
      <c r="F1696" s="19" t="str">
        <f t="shared" si="96"/>
        <v>None</v>
      </c>
      <c r="G1696" s="19" t="str">
        <f t="shared" si="97"/>
        <v>None</v>
      </c>
      <c r="H1696" s="19" t="str">
        <f t="shared" si="98"/>
        <v>None</v>
      </c>
    </row>
    <row r="1697" spans="6:8" x14ac:dyDescent="0.2">
      <c r="F1697" s="19" t="str">
        <f t="shared" si="96"/>
        <v>None</v>
      </c>
      <c r="G1697" s="19" t="str">
        <f t="shared" si="97"/>
        <v>None</v>
      </c>
      <c r="H1697" s="19" t="str">
        <f t="shared" si="98"/>
        <v>None</v>
      </c>
    </row>
    <row r="1698" spans="6:8" x14ac:dyDescent="0.2">
      <c r="F1698" s="19" t="str">
        <f t="shared" si="96"/>
        <v>None</v>
      </c>
      <c r="G1698" s="19" t="str">
        <f t="shared" si="97"/>
        <v>None</v>
      </c>
      <c r="H1698" s="19" t="str">
        <f t="shared" si="98"/>
        <v>None</v>
      </c>
    </row>
    <row r="1699" spans="6:8" x14ac:dyDescent="0.2">
      <c r="F1699" s="19" t="str">
        <f t="shared" si="96"/>
        <v>None</v>
      </c>
      <c r="G1699" s="19" t="str">
        <f t="shared" si="97"/>
        <v>None</v>
      </c>
      <c r="H1699" s="19" t="str">
        <f t="shared" si="98"/>
        <v>None</v>
      </c>
    </row>
    <row r="1700" spans="6:8" x14ac:dyDescent="0.2">
      <c r="F1700" s="19" t="str">
        <f t="shared" si="96"/>
        <v>None</v>
      </c>
      <c r="G1700" s="19" t="str">
        <f t="shared" si="97"/>
        <v>None</v>
      </c>
      <c r="H1700" s="19" t="str">
        <f t="shared" si="98"/>
        <v>None</v>
      </c>
    </row>
    <row r="1701" spans="6:8" x14ac:dyDescent="0.2">
      <c r="F1701" s="19" t="str">
        <f t="shared" si="96"/>
        <v>None</v>
      </c>
      <c r="G1701" s="19" t="str">
        <f t="shared" si="97"/>
        <v>None</v>
      </c>
      <c r="H1701" s="19" t="str">
        <f t="shared" si="98"/>
        <v>None</v>
      </c>
    </row>
    <row r="1702" spans="6:8" x14ac:dyDescent="0.2">
      <c r="F1702" s="19" t="str">
        <f t="shared" si="96"/>
        <v>None</v>
      </c>
      <c r="G1702" s="19" t="str">
        <f t="shared" si="97"/>
        <v>None</v>
      </c>
      <c r="H1702" s="19" t="str">
        <f t="shared" si="98"/>
        <v>None</v>
      </c>
    </row>
    <row r="1703" spans="6:8" x14ac:dyDescent="0.2">
      <c r="F1703" s="19" t="str">
        <f t="shared" si="96"/>
        <v>None</v>
      </c>
      <c r="G1703" s="19" t="str">
        <f t="shared" si="97"/>
        <v>None</v>
      </c>
      <c r="H1703" s="19" t="str">
        <f t="shared" si="98"/>
        <v>None</v>
      </c>
    </row>
    <row r="1704" spans="6:8" x14ac:dyDescent="0.2">
      <c r="F1704" s="19" t="str">
        <f t="shared" si="96"/>
        <v>None</v>
      </c>
      <c r="G1704" s="19" t="str">
        <f t="shared" si="97"/>
        <v>None</v>
      </c>
      <c r="H1704" s="19" t="str">
        <f t="shared" si="98"/>
        <v>None</v>
      </c>
    </row>
    <row r="1705" spans="6:8" x14ac:dyDescent="0.2">
      <c r="F1705" s="19" t="str">
        <f t="shared" si="96"/>
        <v>None</v>
      </c>
      <c r="G1705" s="19" t="str">
        <f t="shared" si="97"/>
        <v>None</v>
      </c>
      <c r="H1705" s="19" t="str">
        <f t="shared" si="98"/>
        <v>None</v>
      </c>
    </row>
    <row r="1706" spans="6:8" x14ac:dyDescent="0.2">
      <c r="F1706" s="19" t="str">
        <f t="shared" si="96"/>
        <v>None</v>
      </c>
      <c r="G1706" s="19" t="str">
        <f t="shared" si="97"/>
        <v>None</v>
      </c>
      <c r="H1706" s="19" t="str">
        <f t="shared" si="98"/>
        <v>None</v>
      </c>
    </row>
    <row r="1707" spans="6:8" x14ac:dyDescent="0.2">
      <c r="F1707" s="19" t="str">
        <f t="shared" si="96"/>
        <v>None</v>
      </c>
      <c r="G1707" s="19" t="str">
        <f t="shared" si="97"/>
        <v>None</v>
      </c>
      <c r="H1707" s="19" t="str">
        <f t="shared" si="98"/>
        <v>None</v>
      </c>
    </row>
    <row r="1708" spans="6:8" x14ac:dyDescent="0.2">
      <c r="F1708" s="19" t="str">
        <f t="shared" si="96"/>
        <v>None</v>
      </c>
      <c r="G1708" s="19" t="str">
        <f t="shared" si="97"/>
        <v>None</v>
      </c>
      <c r="H1708" s="19" t="str">
        <f t="shared" si="98"/>
        <v>None</v>
      </c>
    </row>
    <row r="1709" spans="6:8" x14ac:dyDescent="0.2">
      <c r="F1709" s="19" t="str">
        <f t="shared" si="96"/>
        <v>None</v>
      </c>
      <c r="G1709" s="19" t="str">
        <f t="shared" si="97"/>
        <v>None</v>
      </c>
      <c r="H1709" s="19" t="str">
        <f t="shared" si="98"/>
        <v>None</v>
      </c>
    </row>
    <row r="1710" spans="6:8" x14ac:dyDescent="0.2">
      <c r="F1710" s="19" t="str">
        <f t="shared" si="96"/>
        <v>None</v>
      </c>
      <c r="G1710" s="19" t="str">
        <f t="shared" si="97"/>
        <v>None</v>
      </c>
      <c r="H1710" s="19" t="str">
        <f t="shared" si="98"/>
        <v>None</v>
      </c>
    </row>
    <row r="1711" spans="6:8" x14ac:dyDescent="0.2">
      <c r="F1711" s="19" t="str">
        <f t="shared" si="96"/>
        <v>None</v>
      </c>
      <c r="G1711" s="19" t="str">
        <f t="shared" si="97"/>
        <v>None</v>
      </c>
      <c r="H1711" s="19" t="str">
        <f t="shared" si="98"/>
        <v>None</v>
      </c>
    </row>
    <row r="1712" spans="6:8" x14ac:dyDescent="0.2">
      <c r="F1712" s="19" t="str">
        <f t="shared" si="96"/>
        <v>None</v>
      </c>
      <c r="G1712" s="19" t="str">
        <f t="shared" si="97"/>
        <v>None</v>
      </c>
      <c r="H1712" s="19" t="str">
        <f t="shared" si="98"/>
        <v>None</v>
      </c>
    </row>
    <row r="1713" spans="6:8" x14ac:dyDescent="0.2">
      <c r="F1713" s="19" t="str">
        <f t="shared" si="96"/>
        <v>None</v>
      </c>
      <c r="G1713" s="19" t="str">
        <f t="shared" si="97"/>
        <v>None</v>
      </c>
      <c r="H1713" s="19" t="str">
        <f t="shared" si="98"/>
        <v>None</v>
      </c>
    </row>
    <row r="1714" spans="6:8" x14ac:dyDescent="0.2">
      <c r="F1714" s="19" t="str">
        <f t="shared" si="96"/>
        <v>None</v>
      </c>
      <c r="G1714" s="19" t="str">
        <f t="shared" si="97"/>
        <v>None</v>
      </c>
      <c r="H1714" s="19" t="str">
        <f t="shared" si="98"/>
        <v>None</v>
      </c>
    </row>
    <row r="1715" spans="6:8" x14ac:dyDescent="0.2">
      <c r="F1715" s="19" t="str">
        <f t="shared" si="96"/>
        <v>None</v>
      </c>
      <c r="G1715" s="19" t="str">
        <f t="shared" si="97"/>
        <v>None</v>
      </c>
      <c r="H1715" s="19" t="str">
        <f t="shared" si="98"/>
        <v>None</v>
      </c>
    </row>
    <row r="1716" spans="6:8" x14ac:dyDescent="0.2">
      <c r="F1716" s="19" t="str">
        <f t="shared" si="96"/>
        <v>None</v>
      </c>
      <c r="G1716" s="19" t="str">
        <f t="shared" si="97"/>
        <v>None</v>
      </c>
      <c r="H1716" s="19" t="str">
        <f t="shared" si="98"/>
        <v>None</v>
      </c>
    </row>
    <row r="1717" spans="6:8" x14ac:dyDescent="0.2">
      <c r="F1717" s="19" t="str">
        <f t="shared" si="96"/>
        <v>None</v>
      </c>
      <c r="G1717" s="19" t="str">
        <f t="shared" si="97"/>
        <v>None</v>
      </c>
      <c r="H1717" s="19" t="str">
        <f t="shared" si="98"/>
        <v>None</v>
      </c>
    </row>
    <row r="1718" spans="6:8" x14ac:dyDescent="0.2">
      <c r="F1718" s="19" t="str">
        <f t="shared" si="96"/>
        <v>None</v>
      </c>
      <c r="G1718" s="19" t="str">
        <f t="shared" si="97"/>
        <v>None</v>
      </c>
      <c r="H1718" s="19" t="str">
        <f t="shared" si="98"/>
        <v>None</v>
      </c>
    </row>
    <row r="1719" spans="6:8" x14ac:dyDescent="0.2">
      <c r="F1719" s="19" t="str">
        <f t="shared" si="96"/>
        <v>None</v>
      </c>
      <c r="G1719" s="19" t="str">
        <f t="shared" si="97"/>
        <v>None</v>
      </c>
      <c r="H1719" s="19" t="str">
        <f t="shared" si="98"/>
        <v>None</v>
      </c>
    </row>
    <row r="1720" spans="6:8" x14ac:dyDescent="0.2">
      <c r="F1720" s="19" t="str">
        <f t="shared" si="96"/>
        <v>None</v>
      </c>
      <c r="G1720" s="19" t="str">
        <f t="shared" si="97"/>
        <v>None</v>
      </c>
      <c r="H1720" s="19" t="str">
        <f t="shared" si="98"/>
        <v>None</v>
      </c>
    </row>
    <row r="1721" spans="6:8" x14ac:dyDescent="0.2">
      <c r="F1721" s="19" t="str">
        <f t="shared" si="96"/>
        <v>None</v>
      </c>
      <c r="G1721" s="19" t="str">
        <f t="shared" si="97"/>
        <v>None</v>
      </c>
      <c r="H1721" s="19" t="str">
        <f t="shared" si="98"/>
        <v>None</v>
      </c>
    </row>
    <row r="1722" spans="6:8" x14ac:dyDescent="0.2">
      <c r="F1722" s="19" t="str">
        <f t="shared" si="96"/>
        <v>None</v>
      </c>
      <c r="G1722" s="19" t="str">
        <f t="shared" si="97"/>
        <v>None</v>
      </c>
      <c r="H1722" s="19" t="str">
        <f t="shared" si="98"/>
        <v>None</v>
      </c>
    </row>
    <row r="1723" spans="6:8" x14ac:dyDescent="0.2">
      <c r="F1723" s="19" t="str">
        <f t="shared" si="96"/>
        <v>None</v>
      </c>
      <c r="G1723" s="19" t="str">
        <f t="shared" si="97"/>
        <v>None</v>
      </c>
      <c r="H1723" s="19" t="str">
        <f t="shared" si="98"/>
        <v>None</v>
      </c>
    </row>
    <row r="1724" spans="6:8" x14ac:dyDescent="0.2">
      <c r="F1724" s="19" t="str">
        <f t="shared" si="96"/>
        <v>None</v>
      </c>
      <c r="G1724" s="19" t="str">
        <f t="shared" si="97"/>
        <v>None</v>
      </c>
      <c r="H1724" s="19" t="str">
        <f t="shared" si="98"/>
        <v>None</v>
      </c>
    </row>
    <row r="1725" spans="6:8" x14ac:dyDescent="0.2">
      <c r="F1725" s="19" t="str">
        <f t="shared" si="96"/>
        <v>None</v>
      </c>
      <c r="G1725" s="19" t="str">
        <f t="shared" si="97"/>
        <v>None</v>
      </c>
      <c r="H1725" s="19" t="str">
        <f t="shared" si="98"/>
        <v>None</v>
      </c>
    </row>
    <row r="1726" spans="6:8" x14ac:dyDescent="0.2">
      <c r="F1726" s="19" t="str">
        <f t="shared" si="96"/>
        <v>None</v>
      </c>
      <c r="G1726" s="19" t="str">
        <f t="shared" si="97"/>
        <v>None</v>
      </c>
      <c r="H1726" s="19" t="str">
        <f t="shared" si="98"/>
        <v>None</v>
      </c>
    </row>
    <row r="1727" spans="6:8" x14ac:dyDescent="0.2">
      <c r="F1727" s="19" t="str">
        <f t="shared" si="96"/>
        <v>None</v>
      </c>
      <c r="G1727" s="19" t="str">
        <f t="shared" si="97"/>
        <v>None</v>
      </c>
      <c r="H1727" s="19" t="str">
        <f t="shared" si="98"/>
        <v>None</v>
      </c>
    </row>
    <row r="1728" spans="6:8" x14ac:dyDescent="0.2">
      <c r="F1728" s="19" t="str">
        <f t="shared" si="96"/>
        <v>None</v>
      </c>
      <c r="G1728" s="19" t="str">
        <f t="shared" si="97"/>
        <v>None</v>
      </c>
      <c r="H1728" s="19" t="str">
        <f t="shared" si="98"/>
        <v>None</v>
      </c>
    </row>
    <row r="1729" spans="6:8" x14ac:dyDescent="0.2">
      <c r="F1729" s="19" t="str">
        <f t="shared" si="96"/>
        <v>None</v>
      </c>
      <c r="G1729" s="19" t="str">
        <f t="shared" si="97"/>
        <v>None</v>
      </c>
      <c r="H1729" s="19" t="str">
        <f t="shared" si="98"/>
        <v>None</v>
      </c>
    </row>
    <row r="1730" spans="6:8" x14ac:dyDescent="0.2">
      <c r="F1730" s="19" t="str">
        <f t="shared" si="96"/>
        <v>None</v>
      </c>
      <c r="G1730" s="19" t="str">
        <f t="shared" si="97"/>
        <v>None</v>
      </c>
      <c r="H1730" s="19" t="str">
        <f t="shared" si="98"/>
        <v>None</v>
      </c>
    </row>
    <row r="1731" spans="6:8" x14ac:dyDescent="0.2">
      <c r="F1731" s="19" t="str">
        <f t="shared" si="96"/>
        <v>None</v>
      </c>
      <c r="G1731" s="19" t="str">
        <f t="shared" si="97"/>
        <v>None</v>
      </c>
      <c r="H1731" s="19" t="str">
        <f t="shared" si="98"/>
        <v>None</v>
      </c>
    </row>
    <row r="1732" spans="6:8" x14ac:dyDescent="0.2">
      <c r="F1732" s="19" t="str">
        <f t="shared" si="96"/>
        <v>None</v>
      </c>
      <c r="G1732" s="19" t="str">
        <f t="shared" si="97"/>
        <v>None</v>
      </c>
      <c r="H1732" s="19" t="str">
        <f t="shared" si="98"/>
        <v>None</v>
      </c>
    </row>
    <row r="1733" spans="6:8" x14ac:dyDescent="0.2">
      <c r="F1733" s="19" t="str">
        <f t="shared" si="96"/>
        <v>None</v>
      </c>
      <c r="G1733" s="19" t="str">
        <f t="shared" si="97"/>
        <v>None</v>
      </c>
      <c r="H1733" s="19" t="str">
        <f t="shared" si="98"/>
        <v>None</v>
      </c>
    </row>
    <row r="1734" spans="6:8" x14ac:dyDescent="0.2">
      <c r="F1734" s="19" t="str">
        <f t="shared" si="96"/>
        <v>None</v>
      </c>
      <c r="G1734" s="19" t="str">
        <f t="shared" si="97"/>
        <v>None</v>
      </c>
      <c r="H1734" s="19" t="str">
        <f t="shared" si="98"/>
        <v>None</v>
      </c>
    </row>
    <row r="1735" spans="6:8" x14ac:dyDescent="0.2">
      <c r="F1735" s="19" t="str">
        <f t="shared" si="96"/>
        <v>None</v>
      </c>
      <c r="G1735" s="19" t="str">
        <f t="shared" si="97"/>
        <v>None</v>
      </c>
      <c r="H1735" s="19" t="str">
        <f t="shared" si="98"/>
        <v>None</v>
      </c>
    </row>
    <row r="1736" spans="6:8" x14ac:dyDescent="0.2">
      <c r="F1736" s="19" t="str">
        <f t="shared" si="96"/>
        <v>None</v>
      </c>
      <c r="G1736" s="19" t="str">
        <f t="shared" si="97"/>
        <v>None</v>
      </c>
      <c r="H1736" s="19" t="str">
        <f t="shared" si="98"/>
        <v>None</v>
      </c>
    </row>
    <row r="1737" spans="6:8" x14ac:dyDescent="0.2">
      <c r="F1737" s="19" t="str">
        <f t="shared" si="96"/>
        <v>None</v>
      </c>
      <c r="G1737" s="19" t="str">
        <f t="shared" si="97"/>
        <v>None</v>
      </c>
      <c r="H1737" s="19" t="str">
        <f t="shared" si="98"/>
        <v>None</v>
      </c>
    </row>
    <row r="1738" spans="6:8" x14ac:dyDescent="0.2">
      <c r="F1738" s="19" t="str">
        <f t="shared" si="96"/>
        <v>None</v>
      </c>
      <c r="G1738" s="19" t="str">
        <f t="shared" si="97"/>
        <v>None</v>
      </c>
      <c r="H1738" s="19" t="str">
        <f t="shared" si="98"/>
        <v>None</v>
      </c>
    </row>
    <row r="1739" spans="6:8" x14ac:dyDescent="0.2">
      <c r="F1739" s="19" t="str">
        <f t="shared" si="96"/>
        <v>None</v>
      </c>
      <c r="G1739" s="19" t="str">
        <f t="shared" si="97"/>
        <v>None</v>
      </c>
      <c r="H1739" s="19" t="str">
        <f t="shared" si="98"/>
        <v>None</v>
      </c>
    </row>
    <row r="1740" spans="6:8" x14ac:dyDescent="0.2">
      <c r="F1740" s="19" t="str">
        <f t="shared" si="96"/>
        <v>None</v>
      </c>
      <c r="G1740" s="19" t="str">
        <f t="shared" si="97"/>
        <v>None</v>
      </c>
      <c r="H1740" s="19" t="str">
        <f t="shared" si="98"/>
        <v>None</v>
      </c>
    </row>
    <row r="1741" spans="6:8" x14ac:dyDescent="0.2">
      <c r="F1741" s="19" t="str">
        <f t="shared" si="96"/>
        <v>None</v>
      </c>
      <c r="G1741" s="19" t="str">
        <f t="shared" si="97"/>
        <v>None</v>
      </c>
      <c r="H1741" s="19" t="str">
        <f t="shared" si="98"/>
        <v>None</v>
      </c>
    </row>
    <row r="1742" spans="6:8" x14ac:dyDescent="0.2">
      <c r="F1742" s="19" t="str">
        <f t="shared" si="96"/>
        <v>None</v>
      </c>
      <c r="G1742" s="19" t="str">
        <f t="shared" si="97"/>
        <v>None</v>
      </c>
      <c r="H1742" s="19" t="str">
        <f t="shared" si="98"/>
        <v>None</v>
      </c>
    </row>
    <row r="1743" spans="6:8" x14ac:dyDescent="0.2">
      <c r="F1743" s="19" t="str">
        <f t="shared" si="96"/>
        <v>None</v>
      </c>
      <c r="G1743" s="19" t="str">
        <f t="shared" si="97"/>
        <v>None</v>
      </c>
      <c r="H1743" s="19" t="str">
        <f t="shared" si="98"/>
        <v>None</v>
      </c>
    </row>
    <row r="1744" spans="6:8" x14ac:dyDescent="0.2">
      <c r="F1744" s="19" t="str">
        <f t="shared" si="96"/>
        <v>None</v>
      </c>
      <c r="G1744" s="19" t="str">
        <f t="shared" si="97"/>
        <v>None</v>
      </c>
      <c r="H1744" s="19" t="str">
        <f t="shared" si="98"/>
        <v>None</v>
      </c>
    </row>
    <row r="1745" spans="6:8" x14ac:dyDescent="0.2">
      <c r="F1745" s="19" t="str">
        <f t="shared" si="96"/>
        <v>None</v>
      </c>
      <c r="G1745" s="19" t="str">
        <f t="shared" si="97"/>
        <v>None</v>
      </c>
      <c r="H1745" s="19" t="str">
        <f t="shared" si="98"/>
        <v>None</v>
      </c>
    </row>
    <row r="1746" spans="6:8" x14ac:dyDescent="0.2">
      <c r="F1746" s="19" t="str">
        <f t="shared" si="96"/>
        <v>None</v>
      </c>
      <c r="G1746" s="19" t="str">
        <f t="shared" si="97"/>
        <v>None</v>
      </c>
      <c r="H1746" s="19" t="str">
        <f t="shared" si="98"/>
        <v>None</v>
      </c>
    </row>
    <row r="1747" spans="6:8" x14ac:dyDescent="0.2">
      <c r="F1747" s="19" t="str">
        <f t="shared" si="96"/>
        <v>None</v>
      </c>
      <c r="G1747" s="19" t="str">
        <f t="shared" si="97"/>
        <v>None</v>
      </c>
      <c r="H1747" s="19" t="str">
        <f t="shared" si="98"/>
        <v>None</v>
      </c>
    </row>
    <row r="1748" spans="6:8" x14ac:dyDescent="0.2">
      <c r="F1748" s="19" t="str">
        <f t="shared" si="96"/>
        <v>None</v>
      </c>
      <c r="G1748" s="19" t="str">
        <f t="shared" si="97"/>
        <v>None</v>
      </c>
      <c r="H1748" s="19" t="str">
        <f t="shared" si="98"/>
        <v>None</v>
      </c>
    </row>
    <row r="1749" spans="6:8" x14ac:dyDescent="0.2">
      <c r="F1749" s="19" t="str">
        <f t="shared" ref="F1749:F1812" si="99">IF(A1749="joint","Joint",_xlfn.IFNA(VLOOKUP(B1749,tour_purposes,2,FALSE),"None"))</f>
        <v>None</v>
      </c>
      <c r="G1749" s="19" t="str">
        <f t="shared" ref="G1749:G1812" si="100">IF(AND(A1749="joint",C1749&lt;=6),"Auto",_xlfn.IFNA(VLOOKUP(C1749,tour_modes,3,FALSE),"None"))</f>
        <v>None</v>
      </c>
      <c r="H1749" s="19" t="str">
        <f t="shared" ref="H1749:H1812" si="101">_xlfn.IFNA(VLOOKUP(D1749,trip_modes,2,FALSE),"None")</f>
        <v>None</v>
      </c>
    </row>
    <row r="1750" spans="6:8" x14ac:dyDescent="0.2">
      <c r="F1750" s="19" t="str">
        <f t="shared" si="99"/>
        <v>None</v>
      </c>
      <c r="G1750" s="19" t="str">
        <f t="shared" si="100"/>
        <v>None</v>
      </c>
      <c r="H1750" s="19" t="str">
        <f t="shared" si="101"/>
        <v>None</v>
      </c>
    </row>
    <row r="1751" spans="6:8" x14ac:dyDescent="0.2">
      <c r="F1751" s="19" t="str">
        <f t="shared" si="99"/>
        <v>None</v>
      </c>
      <c r="G1751" s="19" t="str">
        <f t="shared" si="100"/>
        <v>None</v>
      </c>
      <c r="H1751" s="19" t="str">
        <f t="shared" si="101"/>
        <v>None</v>
      </c>
    </row>
    <row r="1752" spans="6:8" x14ac:dyDescent="0.2">
      <c r="F1752" s="19" t="str">
        <f t="shared" si="99"/>
        <v>None</v>
      </c>
      <c r="G1752" s="19" t="str">
        <f t="shared" si="100"/>
        <v>None</v>
      </c>
      <c r="H1752" s="19" t="str">
        <f t="shared" si="101"/>
        <v>None</v>
      </c>
    </row>
    <row r="1753" spans="6:8" x14ac:dyDescent="0.2">
      <c r="F1753" s="19" t="str">
        <f t="shared" si="99"/>
        <v>None</v>
      </c>
      <c r="G1753" s="19" t="str">
        <f t="shared" si="100"/>
        <v>None</v>
      </c>
      <c r="H1753" s="19" t="str">
        <f t="shared" si="101"/>
        <v>None</v>
      </c>
    </row>
    <row r="1754" spans="6:8" x14ac:dyDescent="0.2">
      <c r="F1754" s="19" t="str">
        <f t="shared" si="99"/>
        <v>None</v>
      </c>
      <c r="G1754" s="19" t="str">
        <f t="shared" si="100"/>
        <v>None</v>
      </c>
      <c r="H1754" s="19" t="str">
        <f t="shared" si="101"/>
        <v>None</v>
      </c>
    </row>
    <row r="1755" spans="6:8" x14ac:dyDescent="0.2">
      <c r="F1755" s="19" t="str">
        <f t="shared" si="99"/>
        <v>None</v>
      </c>
      <c r="G1755" s="19" t="str">
        <f t="shared" si="100"/>
        <v>None</v>
      </c>
      <c r="H1755" s="19" t="str">
        <f t="shared" si="101"/>
        <v>None</v>
      </c>
    </row>
    <row r="1756" spans="6:8" x14ac:dyDescent="0.2">
      <c r="F1756" s="19" t="str">
        <f t="shared" si="99"/>
        <v>None</v>
      </c>
      <c r="G1756" s="19" t="str">
        <f t="shared" si="100"/>
        <v>None</v>
      </c>
      <c r="H1756" s="19" t="str">
        <f t="shared" si="101"/>
        <v>None</v>
      </c>
    </row>
    <row r="1757" spans="6:8" x14ac:dyDescent="0.2">
      <c r="F1757" s="19" t="str">
        <f t="shared" si="99"/>
        <v>None</v>
      </c>
      <c r="G1757" s="19" t="str">
        <f t="shared" si="100"/>
        <v>None</v>
      </c>
      <c r="H1757" s="19" t="str">
        <f t="shared" si="101"/>
        <v>None</v>
      </c>
    </row>
    <row r="1758" spans="6:8" x14ac:dyDescent="0.2">
      <c r="F1758" s="19" t="str">
        <f t="shared" si="99"/>
        <v>None</v>
      </c>
      <c r="G1758" s="19" t="str">
        <f t="shared" si="100"/>
        <v>None</v>
      </c>
      <c r="H1758" s="19" t="str">
        <f t="shared" si="101"/>
        <v>None</v>
      </c>
    </row>
    <row r="1759" spans="6:8" x14ac:dyDescent="0.2">
      <c r="F1759" s="19" t="str">
        <f t="shared" si="99"/>
        <v>None</v>
      </c>
      <c r="G1759" s="19" t="str">
        <f t="shared" si="100"/>
        <v>None</v>
      </c>
      <c r="H1759" s="19" t="str">
        <f t="shared" si="101"/>
        <v>None</v>
      </c>
    </row>
    <row r="1760" spans="6:8" x14ac:dyDescent="0.2">
      <c r="F1760" s="19" t="str">
        <f t="shared" si="99"/>
        <v>None</v>
      </c>
      <c r="G1760" s="19" t="str">
        <f t="shared" si="100"/>
        <v>None</v>
      </c>
      <c r="H1760" s="19" t="str">
        <f t="shared" si="101"/>
        <v>None</v>
      </c>
    </row>
    <row r="1761" spans="6:8" x14ac:dyDescent="0.2">
      <c r="F1761" s="19" t="str">
        <f t="shared" si="99"/>
        <v>None</v>
      </c>
      <c r="G1761" s="19" t="str">
        <f t="shared" si="100"/>
        <v>None</v>
      </c>
      <c r="H1761" s="19" t="str">
        <f t="shared" si="101"/>
        <v>None</v>
      </c>
    </row>
    <row r="1762" spans="6:8" x14ac:dyDescent="0.2">
      <c r="F1762" s="19" t="str">
        <f t="shared" si="99"/>
        <v>None</v>
      </c>
      <c r="G1762" s="19" t="str">
        <f t="shared" si="100"/>
        <v>None</v>
      </c>
      <c r="H1762" s="19" t="str">
        <f t="shared" si="101"/>
        <v>None</v>
      </c>
    </row>
    <row r="1763" spans="6:8" x14ac:dyDescent="0.2">
      <c r="F1763" s="19" t="str">
        <f t="shared" si="99"/>
        <v>None</v>
      </c>
      <c r="G1763" s="19" t="str">
        <f t="shared" si="100"/>
        <v>None</v>
      </c>
      <c r="H1763" s="19" t="str">
        <f t="shared" si="101"/>
        <v>None</v>
      </c>
    </row>
    <row r="1764" spans="6:8" x14ac:dyDescent="0.2">
      <c r="F1764" s="19" t="str">
        <f t="shared" si="99"/>
        <v>None</v>
      </c>
      <c r="G1764" s="19" t="str">
        <f t="shared" si="100"/>
        <v>None</v>
      </c>
      <c r="H1764" s="19" t="str">
        <f t="shared" si="101"/>
        <v>None</v>
      </c>
    </row>
    <row r="1765" spans="6:8" x14ac:dyDescent="0.2">
      <c r="F1765" s="19" t="str">
        <f t="shared" si="99"/>
        <v>None</v>
      </c>
      <c r="G1765" s="19" t="str">
        <f t="shared" si="100"/>
        <v>None</v>
      </c>
      <c r="H1765" s="19" t="str">
        <f t="shared" si="101"/>
        <v>None</v>
      </c>
    </row>
    <row r="1766" spans="6:8" x14ac:dyDescent="0.2">
      <c r="F1766" s="19" t="str">
        <f t="shared" si="99"/>
        <v>None</v>
      </c>
      <c r="G1766" s="19" t="str">
        <f t="shared" si="100"/>
        <v>None</v>
      </c>
      <c r="H1766" s="19" t="str">
        <f t="shared" si="101"/>
        <v>None</v>
      </c>
    </row>
    <row r="1767" spans="6:8" x14ac:dyDescent="0.2">
      <c r="F1767" s="19" t="str">
        <f t="shared" si="99"/>
        <v>None</v>
      </c>
      <c r="G1767" s="19" t="str">
        <f t="shared" si="100"/>
        <v>None</v>
      </c>
      <c r="H1767" s="19" t="str">
        <f t="shared" si="101"/>
        <v>None</v>
      </c>
    </row>
    <row r="1768" spans="6:8" x14ac:dyDescent="0.2">
      <c r="F1768" s="19" t="str">
        <f t="shared" si="99"/>
        <v>None</v>
      </c>
      <c r="G1768" s="19" t="str">
        <f t="shared" si="100"/>
        <v>None</v>
      </c>
      <c r="H1768" s="19" t="str">
        <f t="shared" si="101"/>
        <v>None</v>
      </c>
    </row>
    <row r="1769" spans="6:8" x14ac:dyDescent="0.2">
      <c r="F1769" s="19" t="str">
        <f t="shared" si="99"/>
        <v>None</v>
      </c>
      <c r="G1769" s="19" t="str">
        <f t="shared" si="100"/>
        <v>None</v>
      </c>
      <c r="H1769" s="19" t="str">
        <f t="shared" si="101"/>
        <v>None</v>
      </c>
    </row>
    <row r="1770" spans="6:8" x14ac:dyDescent="0.2">
      <c r="F1770" s="19" t="str">
        <f t="shared" si="99"/>
        <v>None</v>
      </c>
      <c r="G1770" s="19" t="str">
        <f t="shared" si="100"/>
        <v>None</v>
      </c>
      <c r="H1770" s="19" t="str">
        <f t="shared" si="101"/>
        <v>None</v>
      </c>
    </row>
    <row r="1771" spans="6:8" x14ac:dyDescent="0.2">
      <c r="F1771" s="19" t="str">
        <f t="shared" si="99"/>
        <v>None</v>
      </c>
      <c r="G1771" s="19" t="str">
        <f t="shared" si="100"/>
        <v>None</v>
      </c>
      <c r="H1771" s="19" t="str">
        <f t="shared" si="101"/>
        <v>None</v>
      </c>
    </row>
    <row r="1772" spans="6:8" x14ac:dyDescent="0.2">
      <c r="F1772" s="19" t="str">
        <f t="shared" si="99"/>
        <v>None</v>
      </c>
      <c r="G1772" s="19" t="str">
        <f t="shared" si="100"/>
        <v>None</v>
      </c>
      <c r="H1772" s="19" t="str">
        <f t="shared" si="101"/>
        <v>None</v>
      </c>
    </row>
    <row r="1773" spans="6:8" x14ac:dyDescent="0.2">
      <c r="F1773" s="19" t="str">
        <f t="shared" si="99"/>
        <v>None</v>
      </c>
      <c r="G1773" s="19" t="str">
        <f t="shared" si="100"/>
        <v>None</v>
      </c>
      <c r="H1773" s="19" t="str">
        <f t="shared" si="101"/>
        <v>None</v>
      </c>
    </row>
    <row r="1774" spans="6:8" x14ac:dyDescent="0.2">
      <c r="F1774" s="19" t="str">
        <f t="shared" si="99"/>
        <v>None</v>
      </c>
      <c r="G1774" s="19" t="str">
        <f t="shared" si="100"/>
        <v>None</v>
      </c>
      <c r="H1774" s="19" t="str">
        <f t="shared" si="101"/>
        <v>None</v>
      </c>
    </row>
    <row r="1775" spans="6:8" x14ac:dyDescent="0.2">
      <c r="F1775" s="19" t="str">
        <f t="shared" si="99"/>
        <v>None</v>
      </c>
      <c r="G1775" s="19" t="str">
        <f t="shared" si="100"/>
        <v>None</v>
      </c>
      <c r="H1775" s="19" t="str">
        <f t="shared" si="101"/>
        <v>None</v>
      </c>
    </row>
    <row r="1776" spans="6:8" x14ac:dyDescent="0.2">
      <c r="F1776" s="19" t="str">
        <f t="shared" si="99"/>
        <v>None</v>
      </c>
      <c r="G1776" s="19" t="str">
        <f t="shared" si="100"/>
        <v>None</v>
      </c>
      <c r="H1776" s="19" t="str">
        <f t="shared" si="101"/>
        <v>None</v>
      </c>
    </row>
    <row r="1777" spans="6:8" x14ac:dyDescent="0.2">
      <c r="F1777" s="19" t="str">
        <f t="shared" si="99"/>
        <v>None</v>
      </c>
      <c r="G1777" s="19" t="str">
        <f t="shared" si="100"/>
        <v>None</v>
      </c>
      <c r="H1777" s="19" t="str">
        <f t="shared" si="101"/>
        <v>None</v>
      </c>
    </row>
    <row r="1778" spans="6:8" x14ac:dyDescent="0.2">
      <c r="F1778" s="19" t="str">
        <f t="shared" si="99"/>
        <v>None</v>
      </c>
      <c r="G1778" s="19" t="str">
        <f t="shared" si="100"/>
        <v>None</v>
      </c>
      <c r="H1778" s="19" t="str">
        <f t="shared" si="101"/>
        <v>None</v>
      </c>
    </row>
    <row r="1779" spans="6:8" x14ac:dyDescent="0.2">
      <c r="F1779" s="19" t="str">
        <f t="shared" si="99"/>
        <v>None</v>
      </c>
      <c r="G1779" s="19" t="str">
        <f t="shared" si="100"/>
        <v>None</v>
      </c>
      <c r="H1779" s="19" t="str">
        <f t="shared" si="101"/>
        <v>None</v>
      </c>
    </row>
    <row r="1780" spans="6:8" x14ac:dyDescent="0.2">
      <c r="F1780" s="19" t="str">
        <f t="shared" si="99"/>
        <v>None</v>
      </c>
      <c r="G1780" s="19" t="str">
        <f t="shared" si="100"/>
        <v>None</v>
      </c>
      <c r="H1780" s="19" t="str">
        <f t="shared" si="101"/>
        <v>None</v>
      </c>
    </row>
    <row r="1781" spans="6:8" x14ac:dyDescent="0.2">
      <c r="F1781" s="19" t="str">
        <f t="shared" si="99"/>
        <v>None</v>
      </c>
      <c r="G1781" s="19" t="str">
        <f t="shared" si="100"/>
        <v>None</v>
      </c>
      <c r="H1781" s="19" t="str">
        <f t="shared" si="101"/>
        <v>None</v>
      </c>
    </row>
    <row r="1782" spans="6:8" x14ac:dyDescent="0.2">
      <c r="F1782" s="19" t="str">
        <f t="shared" si="99"/>
        <v>None</v>
      </c>
      <c r="G1782" s="19" t="str">
        <f t="shared" si="100"/>
        <v>None</v>
      </c>
      <c r="H1782" s="19" t="str">
        <f t="shared" si="101"/>
        <v>None</v>
      </c>
    </row>
    <row r="1783" spans="6:8" x14ac:dyDescent="0.2">
      <c r="F1783" s="19" t="str">
        <f t="shared" si="99"/>
        <v>None</v>
      </c>
      <c r="G1783" s="19" t="str">
        <f t="shared" si="100"/>
        <v>None</v>
      </c>
      <c r="H1783" s="19" t="str">
        <f t="shared" si="101"/>
        <v>None</v>
      </c>
    </row>
    <row r="1784" spans="6:8" x14ac:dyDescent="0.2">
      <c r="F1784" s="19" t="str">
        <f t="shared" si="99"/>
        <v>None</v>
      </c>
      <c r="G1784" s="19" t="str">
        <f t="shared" si="100"/>
        <v>None</v>
      </c>
      <c r="H1784" s="19" t="str">
        <f t="shared" si="101"/>
        <v>None</v>
      </c>
    </row>
    <row r="1785" spans="6:8" x14ac:dyDescent="0.2">
      <c r="F1785" s="19" t="str">
        <f t="shared" si="99"/>
        <v>None</v>
      </c>
      <c r="G1785" s="19" t="str">
        <f t="shared" si="100"/>
        <v>None</v>
      </c>
      <c r="H1785" s="19" t="str">
        <f t="shared" si="101"/>
        <v>None</v>
      </c>
    </row>
    <row r="1786" spans="6:8" x14ac:dyDescent="0.2">
      <c r="F1786" s="19" t="str">
        <f t="shared" si="99"/>
        <v>None</v>
      </c>
      <c r="G1786" s="19" t="str">
        <f t="shared" si="100"/>
        <v>None</v>
      </c>
      <c r="H1786" s="19" t="str">
        <f t="shared" si="101"/>
        <v>None</v>
      </c>
    </row>
    <row r="1787" spans="6:8" x14ac:dyDescent="0.2">
      <c r="F1787" s="19" t="str">
        <f t="shared" si="99"/>
        <v>None</v>
      </c>
      <c r="G1787" s="19" t="str">
        <f t="shared" si="100"/>
        <v>None</v>
      </c>
      <c r="H1787" s="19" t="str">
        <f t="shared" si="101"/>
        <v>None</v>
      </c>
    </row>
    <row r="1788" spans="6:8" x14ac:dyDescent="0.2">
      <c r="F1788" s="19" t="str">
        <f t="shared" si="99"/>
        <v>None</v>
      </c>
      <c r="G1788" s="19" t="str">
        <f t="shared" si="100"/>
        <v>None</v>
      </c>
      <c r="H1788" s="19" t="str">
        <f t="shared" si="101"/>
        <v>None</v>
      </c>
    </row>
    <row r="1789" spans="6:8" x14ac:dyDescent="0.2">
      <c r="F1789" s="19" t="str">
        <f t="shared" si="99"/>
        <v>None</v>
      </c>
      <c r="G1789" s="19" t="str">
        <f t="shared" si="100"/>
        <v>None</v>
      </c>
      <c r="H1789" s="19" t="str">
        <f t="shared" si="101"/>
        <v>None</v>
      </c>
    </row>
    <row r="1790" spans="6:8" x14ac:dyDescent="0.2">
      <c r="F1790" s="19" t="str">
        <f t="shared" si="99"/>
        <v>None</v>
      </c>
      <c r="G1790" s="19" t="str">
        <f t="shared" si="100"/>
        <v>None</v>
      </c>
      <c r="H1790" s="19" t="str">
        <f t="shared" si="101"/>
        <v>None</v>
      </c>
    </row>
    <row r="1791" spans="6:8" x14ac:dyDescent="0.2">
      <c r="F1791" s="19" t="str">
        <f t="shared" si="99"/>
        <v>None</v>
      </c>
      <c r="G1791" s="19" t="str">
        <f t="shared" si="100"/>
        <v>None</v>
      </c>
      <c r="H1791" s="19" t="str">
        <f t="shared" si="101"/>
        <v>None</v>
      </c>
    </row>
    <row r="1792" spans="6:8" x14ac:dyDescent="0.2">
      <c r="F1792" s="19" t="str">
        <f t="shared" si="99"/>
        <v>None</v>
      </c>
      <c r="G1792" s="19" t="str">
        <f t="shared" si="100"/>
        <v>None</v>
      </c>
      <c r="H1792" s="19" t="str">
        <f t="shared" si="101"/>
        <v>None</v>
      </c>
    </row>
    <row r="1793" spans="6:8" x14ac:dyDescent="0.2">
      <c r="F1793" s="19" t="str">
        <f t="shared" si="99"/>
        <v>None</v>
      </c>
      <c r="G1793" s="19" t="str">
        <f t="shared" si="100"/>
        <v>None</v>
      </c>
      <c r="H1793" s="19" t="str">
        <f t="shared" si="101"/>
        <v>None</v>
      </c>
    </row>
    <row r="1794" spans="6:8" x14ac:dyDescent="0.2">
      <c r="F1794" s="19" t="str">
        <f t="shared" si="99"/>
        <v>None</v>
      </c>
      <c r="G1794" s="19" t="str">
        <f t="shared" si="100"/>
        <v>None</v>
      </c>
      <c r="H1794" s="19" t="str">
        <f t="shared" si="101"/>
        <v>None</v>
      </c>
    </row>
    <row r="1795" spans="6:8" x14ac:dyDescent="0.2">
      <c r="F1795" s="19" t="str">
        <f t="shared" si="99"/>
        <v>None</v>
      </c>
      <c r="G1795" s="19" t="str">
        <f t="shared" si="100"/>
        <v>None</v>
      </c>
      <c r="H1795" s="19" t="str">
        <f t="shared" si="101"/>
        <v>None</v>
      </c>
    </row>
    <row r="1796" spans="6:8" x14ac:dyDescent="0.2">
      <c r="F1796" s="19" t="str">
        <f t="shared" si="99"/>
        <v>None</v>
      </c>
      <c r="G1796" s="19" t="str">
        <f t="shared" si="100"/>
        <v>None</v>
      </c>
      <c r="H1796" s="19" t="str">
        <f t="shared" si="101"/>
        <v>None</v>
      </c>
    </row>
    <row r="1797" spans="6:8" x14ac:dyDescent="0.2">
      <c r="F1797" s="19" t="str">
        <f t="shared" si="99"/>
        <v>None</v>
      </c>
      <c r="G1797" s="19" t="str">
        <f t="shared" si="100"/>
        <v>None</v>
      </c>
      <c r="H1797" s="19" t="str">
        <f t="shared" si="101"/>
        <v>None</v>
      </c>
    </row>
    <row r="1798" spans="6:8" x14ac:dyDescent="0.2">
      <c r="F1798" s="19" t="str">
        <f t="shared" si="99"/>
        <v>None</v>
      </c>
      <c r="G1798" s="19" t="str">
        <f t="shared" si="100"/>
        <v>None</v>
      </c>
      <c r="H1798" s="19" t="str">
        <f t="shared" si="101"/>
        <v>None</v>
      </c>
    </row>
    <row r="1799" spans="6:8" x14ac:dyDescent="0.2">
      <c r="F1799" s="19" t="str">
        <f t="shared" si="99"/>
        <v>None</v>
      </c>
      <c r="G1799" s="19" t="str">
        <f t="shared" si="100"/>
        <v>None</v>
      </c>
      <c r="H1799" s="19" t="str">
        <f t="shared" si="101"/>
        <v>None</v>
      </c>
    </row>
    <row r="1800" spans="6:8" x14ac:dyDescent="0.2">
      <c r="F1800" s="19" t="str">
        <f t="shared" si="99"/>
        <v>None</v>
      </c>
      <c r="G1800" s="19" t="str">
        <f t="shared" si="100"/>
        <v>None</v>
      </c>
      <c r="H1800" s="19" t="str">
        <f t="shared" si="101"/>
        <v>None</v>
      </c>
    </row>
    <row r="1801" spans="6:8" x14ac:dyDescent="0.2">
      <c r="F1801" s="19" t="str">
        <f t="shared" si="99"/>
        <v>None</v>
      </c>
      <c r="G1801" s="19" t="str">
        <f t="shared" si="100"/>
        <v>None</v>
      </c>
      <c r="H1801" s="19" t="str">
        <f t="shared" si="101"/>
        <v>None</v>
      </c>
    </row>
    <row r="1802" spans="6:8" x14ac:dyDescent="0.2">
      <c r="F1802" s="19" t="str">
        <f t="shared" si="99"/>
        <v>None</v>
      </c>
      <c r="G1802" s="19" t="str">
        <f t="shared" si="100"/>
        <v>None</v>
      </c>
      <c r="H1802" s="19" t="str">
        <f t="shared" si="101"/>
        <v>None</v>
      </c>
    </row>
    <row r="1803" spans="6:8" x14ac:dyDescent="0.2">
      <c r="F1803" s="19" t="str">
        <f t="shared" si="99"/>
        <v>None</v>
      </c>
      <c r="G1803" s="19" t="str">
        <f t="shared" si="100"/>
        <v>None</v>
      </c>
      <c r="H1803" s="19" t="str">
        <f t="shared" si="101"/>
        <v>None</v>
      </c>
    </row>
    <row r="1804" spans="6:8" x14ac:dyDescent="0.2">
      <c r="F1804" s="19" t="str">
        <f t="shared" si="99"/>
        <v>None</v>
      </c>
      <c r="G1804" s="19" t="str">
        <f t="shared" si="100"/>
        <v>None</v>
      </c>
      <c r="H1804" s="19" t="str">
        <f t="shared" si="101"/>
        <v>None</v>
      </c>
    </row>
    <row r="1805" spans="6:8" x14ac:dyDescent="0.2">
      <c r="F1805" s="19" t="str">
        <f t="shared" si="99"/>
        <v>None</v>
      </c>
      <c r="G1805" s="19" t="str">
        <f t="shared" si="100"/>
        <v>None</v>
      </c>
      <c r="H1805" s="19" t="str">
        <f t="shared" si="101"/>
        <v>None</v>
      </c>
    </row>
    <row r="1806" spans="6:8" x14ac:dyDescent="0.2">
      <c r="F1806" s="19" t="str">
        <f t="shared" si="99"/>
        <v>None</v>
      </c>
      <c r="G1806" s="19" t="str">
        <f t="shared" si="100"/>
        <v>None</v>
      </c>
      <c r="H1806" s="19" t="str">
        <f t="shared" si="101"/>
        <v>None</v>
      </c>
    </row>
    <row r="1807" spans="6:8" x14ac:dyDescent="0.2">
      <c r="F1807" s="19" t="str">
        <f t="shared" si="99"/>
        <v>None</v>
      </c>
      <c r="G1807" s="19" t="str">
        <f t="shared" si="100"/>
        <v>None</v>
      </c>
      <c r="H1807" s="19" t="str">
        <f t="shared" si="101"/>
        <v>None</v>
      </c>
    </row>
    <row r="1808" spans="6:8" x14ac:dyDescent="0.2">
      <c r="F1808" s="19" t="str">
        <f t="shared" si="99"/>
        <v>None</v>
      </c>
      <c r="G1808" s="19" t="str">
        <f t="shared" si="100"/>
        <v>None</v>
      </c>
      <c r="H1808" s="19" t="str">
        <f t="shared" si="101"/>
        <v>None</v>
      </c>
    </row>
    <row r="1809" spans="6:8" x14ac:dyDescent="0.2">
      <c r="F1809" s="19" t="str">
        <f t="shared" si="99"/>
        <v>None</v>
      </c>
      <c r="G1809" s="19" t="str">
        <f t="shared" si="100"/>
        <v>None</v>
      </c>
      <c r="H1809" s="19" t="str">
        <f t="shared" si="101"/>
        <v>None</v>
      </c>
    </row>
    <row r="1810" spans="6:8" x14ac:dyDescent="0.2">
      <c r="F1810" s="19" t="str">
        <f t="shared" si="99"/>
        <v>None</v>
      </c>
      <c r="G1810" s="19" t="str">
        <f t="shared" si="100"/>
        <v>None</v>
      </c>
      <c r="H1810" s="19" t="str">
        <f t="shared" si="101"/>
        <v>None</v>
      </c>
    </row>
    <row r="1811" spans="6:8" x14ac:dyDescent="0.2">
      <c r="F1811" s="19" t="str">
        <f t="shared" si="99"/>
        <v>None</v>
      </c>
      <c r="G1811" s="19" t="str">
        <f t="shared" si="100"/>
        <v>None</v>
      </c>
      <c r="H1811" s="19" t="str">
        <f t="shared" si="101"/>
        <v>None</v>
      </c>
    </row>
    <row r="1812" spans="6:8" x14ac:dyDescent="0.2">
      <c r="F1812" s="19" t="str">
        <f t="shared" si="99"/>
        <v>None</v>
      </c>
      <c r="G1812" s="19" t="str">
        <f t="shared" si="100"/>
        <v>None</v>
      </c>
      <c r="H1812" s="19" t="str">
        <f t="shared" si="101"/>
        <v>None</v>
      </c>
    </row>
    <row r="1813" spans="6:8" x14ac:dyDescent="0.2">
      <c r="F1813" s="19" t="str">
        <f t="shared" ref="F1813:F1876" si="102">IF(A1813="joint","Joint",_xlfn.IFNA(VLOOKUP(B1813,tour_purposes,2,FALSE),"None"))</f>
        <v>None</v>
      </c>
      <c r="G1813" s="19" t="str">
        <f t="shared" ref="G1813:G1876" si="103">IF(AND(A1813="joint",C1813&lt;=6),"Auto",_xlfn.IFNA(VLOOKUP(C1813,tour_modes,3,FALSE),"None"))</f>
        <v>None</v>
      </c>
      <c r="H1813" s="19" t="str">
        <f t="shared" ref="H1813:H1876" si="104">_xlfn.IFNA(VLOOKUP(D1813,trip_modes,2,FALSE),"None")</f>
        <v>None</v>
      </c>
    </row>
    <row r="1814" spans="6:8" x14ac:dyDescent="0.2">
      <c r="F1814" s="19" t="str">
        <f t="shared" si="102"/>
        <v>None</v>
      </c>
      <c r="G1814" s="19" t="str">
        <f t="shared" si="103"/>
        <v>None</v>
      </c>
      <c r="H1814" s="19" t="str">
        <f t="shared" si="104"/>
        <v>None</v>
      </c>
    </row>
    <row r="1815" spans="6:8" x14ac:dyDescent="0.2">
      <c r="F1815" s="19" t="str">
        <f t="shared" si="102"/>
        <v>None</v>
      </c>
      <c r="G1815" s="19" t="str">
        <f t="shared" si="103"/>
        <v>None</v>
      </c>
      <c r="H1815" s="19" t="str">
        <f t="shared" si="104"/>
        <v>None</v>
      </c>
    </row>
    <row r="1816" spans="6:8" x14ac:dyDescent="0.2">
      <c r="F1816" s="19" t="str">
        <f t="shared" si="102"/>
        <v>None</v>
      </c>
      <c r="G1816" s="19" t="str">
        <f t="shared" si="103"/>
        <v>None</v>
      </c>
      <c r="H1816" s="19" t="str">
        <f t="shared" si="104"/>
        <v>None</v>
      </c>
    </row>
    <row r="1817" spans="6:8" x14ac:dyDescent="0.2">
      <c r="F1817" s="19" t="str">
        <f t="shared" si="102"/>
        <v>None</v>
      </c>
      <c r="G1817" s="19" t="str">
        <f t="shared" si="103"/>
        <v>None</v>
      </c>
      <c r="H1817" s="19" t="str">
        <f t="shared" si="104"/>
        <v>None</v>
      </c>
    </row>
    <row r="1818" spans="6:8" x14ac:dyDescent="0.2">
      <c r="F1818" s="19" t="str">
        <f t="shared" si="102"/>
        <v>None</v>
      </c>
      <c r="G1818" s="19" t="str">
        <f t="shared" si="103"/>
        <v>None</v>
      </c>
      <c r="H1818" s="19" t="str">
        <f t="shared" si="104"/>
        <v>None</v>
      </c>
    </row>
    <row r="1819" spans="6:8" x14ac:dyDescent="0.2">
      <c r="F1819" s="19" t="str">
        <f t="shared" si="102"/>
        <v>None</v>
      </c>
      <c r="G1819" s="19" t="str">
        <f t="shared" si="103"/>
        <v>None</v>
      </c>
      <c r="H1819" s="19" t="str">
        <f t="shared" si="104"/>
        <v>None</v>
      </c>
    </row>
    <row r="1820" spans="6:8" x14ac:dyDescent="0.2">
      <c r="F1820" s="19" t="str">
        <f t="shared" si="102"/>
        <v>None</v>
      </c>
      <c r="G1820" s="19" t="str">
        <f t="shared" si="103"/>
        <v>None</v>
      </c>
      <c r="H1820" s="19" t="str">
        <f t="shared" si="104"/>
        <v>None</v>
      </c>
    </row>
    <row r="1821" spans="6:8" x14ac:dyDescent="0.2">
      <c r="F1821" s="19" t="str">
        <f t="shared" si="102"/>
        <v>None</v>
      </c>
      <c r="G1821" s="19" t="str">
        <f t="shared" si="103"/>
        <v>None</v>
      </c>
      <c r="H1821" s="19" t="str">
        <f t="shared" si="104"/>
        <v>None</v>
      </c>
    </row>
    <row r="1822" spans="6:8" x14ac:dyDescent="0.2">
      <c r="F1822" s="19" t="str">
        <f t="shared" si="102"/>
        <v>None</v>
      </c>
      <c r="G1822" s="19" t="str">
        <f t="shared" si="103"/>
        <v>None</v>
      </c>
      <c r="H1822" s="19" t="str">
        <f t="shared" si="104"/>
        <v>None</v>
      </c>
    </row>
    <row r="1823" spans="6:8" x14ac:dyDescent="0.2">
      <c r="F1823" s="19" t="str">
        <f t="shared" si="102"/>
        <v>None</v>
      </c>
      <c r="G1823" s="19" t="str">
        <f t="shared" si="103"/>
        <v>None</v>
      </c>
      <c r="H1823" s="19" t="str">
        <f t="shared" si="104"/>
        <v>None</v>
      </c>
    </row>
    <row r="1824" spans="6:8" x14ac:dyDescent="0.2">
      <c r="F1824" s="19" t="str">
        <f t="shared" si="102"/>
        <v>None</v>
      </c>
      <c r="G1824" s="19" t="str">
        <f t="shared" si="103"/>
        <v>None</v>
      </c>
      <c r="H1824" s="19" t="str">
        <f t="shared" si="104"/>
        <v>None</v>
      </c>
    </row>
    <row r="1825" spans="6:8" x14ac:dyDescent="0.2">
      <c r="F1825" s="19" t="str">
        <f t="shared" si="102"/>
        <v>None</v>
      </c>
      <c r="G1825" s="19" t="str">
        <f t="shared" si="103"/>
        <v>None</v>
      </c>
      <c r="H1825" s="19" t="str">
        <f t="shared" si="104"/>
        <v>None</v>
      </c>
    </row>
    <row r="1826" spans="6:8" x14ac:dyDescent="0.2">
      <c r="F1826" s="19" t="str">
        <f t="shared" si="102"/>
        <v>None</v>
      </c>
      <c r="G1826" s="19" t="str">
        <f t="shared" si="103"/>
        <v>None</v>
      </c>
      <c r="H1826" s="19" t="str">
        <f t="shared" si="104"/>
        <v>None</v>
      </c>
    </row>
    <row r="1827" spans="6:8" x14ac:dyDescent="0.2">
      <c r="F1827" s="19" t="str">
        <f t="shared" si="102"/>
        <v>None</v>
      </c>
      <c r="G1827" s="19" t="str">
        <f t="shared" si="103"/>
        <v>None</v>
      </c>
      <c r="H1827" s="19" t="str">
        <f t="shared" si="104"/>
        <v>None</v>
      </c>
    </row>
    <row r="1828" spans="6:8" x14ac:dyDescent="0.2">
      <c r="F1828" s="19" t="str">
        <f t="shared" si="102"/>
        <v>None</v>
      </c>
      <c r="G1828" s="19" t="str">
        <f t="shared" si="103"/>
        <v>None</v>
      </c>
      <c r="H1828" s="19" t="str">
        <f t="shared" si="104"/>
        <v>None</v>
      </c>
    </row>
    <row r="1829" spans="6:8" x14ac:dyDescent="0.2">
      <c r="F1829" s="19" t="str">
        <f t="shared" si="102"/>
        <v>None</v>
      </c>
      <c r="G1829" s="19" t="str">
        <f t="shared" si="103"/>
        <v>None</v>
      </c>
      <c r="H1829" s="19" t="str">
        <f t="shared" si="104"/>
        <v>None</v>
      </c>
    </row>
    <row r="1830" spans="6:8" x14ac:dyDescent="0.2">
      <c r="F1830" s="19" t="str">
        <f t="shared" si="102"/>
        <v>None</v>
      </c>
      <c r="G1830" s="19" t="str">
        <f t="shared" si="103"/>
        <v>None</v>
      </c>
      <c r="H1830" s="19" t="str">
        <f t="shared" si="104"/>
        <v>None</v>
      </c>
    </row>
    <row r="1831" spans="6:8" x14ac:dyDescent="0.2">
      <c r="F1831" s="19" t="str">
        <f t="shared" si="102"/>
        <v>None</v>
      </c>
      <c r="G1831" s="19" t="str">
        <f t="shared" si="103"/>
        <v>None</v>
      </c>
      <c r="H1831" s="19" t="str">
        <f t="shared" si="104"/>
        <v>None</v>
      </c>
    </row>
    <row r="1832" spans="6:8" x14ac:dyDescent="0.2">
      <c r="F1832" s="19" t="str">
        <f t="shared" si="102"/>
        <v>None</v>
      </c>
      <c r="G1832" s="19" t="str">
        <f t="shared" si="103"/>
        <v>None</v>
      </c>
      <c r="H1832" s="19" t="str">
        <f t="shared" si="104"/>
        <v>None</v>
      </c>
    </row>
    <row r="1833" spans="6:8" x14ac:dyDescent="0.2">
      <c r="F1833" s="19" t="str">
        <f t="shared" si="102"/>
        <v>None</v>
      </c>
      <c r="G1833" s="19" t="str">
        <f t="shared" si="103"/>
        <v>None</v>
      </c>
      <c r="H1833" s="19" t="str">
        <f t="shared" si="104"/>
        <v>None</v>
      </c>
    </row>
    <row r="1834" spans="6:8" x14ac:dyDescent="0.2">
      <c r="F1834" s="19" t="str">
        <f t="shared" si="102"/>
        <v>None</v>
      </c>
      <c r="G1834" s="19" t="str">
        <f t="shared" si="103"/>
        <v>None</v>
      </c>
      <c r="H1834" s="19" t="str">
        <f t="shared" si="104"/>
        <v>None</v>
      </c>
    </row>
    <row r="1835" spans="6:8" x14ac:dyDescent="0.2">
      <c r="F1835" s="19" t="str">
        <f t="shared" si="102"/>
        <v>None</v>
      </c>
      <c r="G1835" s="19" t="str">
        <f t="shared" si="103"/>
        <v>None</v>
      </c>
      <c r="H1835" s="19" t="str">
        <f t="shared" si="104"/>
        <v>None</v>
      </c>
    </row>
    <row r="1836" spans="6:8" x14ac:dyDescent="0.2">
      <c r="F1836" s="19" t="str">
        <f t="shared" si="102"/>
        <v>None</v>
      </c>
      <c r="G1836" s="19" t="str">
        <f t="shared" si="103"/>
        <v>None</v>
      </c>
      <c r="H1836" s="19" t="str">
        <f t="shared" si="104"/>
        <v>None</v>
      </c>
    </row>
    <row r="1837" spans="6:8" x14ac:dyDescent="0.2">
      <c r="F1837" s="19" t="str">
        <f t="shared" si="102"/>
        <v>None</v>
      </c>
      <c r="G1837" s="19" t="str">
        <f t="shared" si="103"/>
        <v>None</v>
      </c>
      <c r="H1837" s="19" t="str">
        <f t="shared" si="104"/>
        <v>None</v>
      </c>
    </row>
    <row r="1838" spans="6:8" x14ac:dyDescent="0.2">
      <c r="F1838" s="19" t="str">
        <f t="shared" si="102"/>
        <v>None</v>
      </c>
      <c r="G1838" s="19" t="str">
        <f t="shared" si="103"/>
        <v>None</v>
      </c>
      <c r="H1838" s="19" t="str">
        <f t="shared" si="104"/>
        <v>None</v>
      </c>
    </row>
    <row r="1839" spans="6:8" x14ac:dyDescent="0.2">
      <c r="F1839" s="19" t="str">
        <f t="shared" si="102"/>
        <v>None</v>
      </c>
      <c r="G1839" s="19" t="str">
        <f t="shared" si="103"/>
        <v>None</v>
      </c>
      <c r="H1839" s="19" t="str">
        <f t="shared" si="104"/>
        <v>None</v>
      </c>
    </row>
    <row r="1840" spans="6:8" x14ac:dyDescent="0.2">
      <c r="F1840" s="19" t="str">
        <f t="shared" si="102"/>
        <v>None</v>
      </c>
      <c r="G1840" s="19" t="str">
        <f t="shared" si="103"/>
        <v>None</v>
      </c>
      <c r="H1840" s="19" t="str">
        <f t="shared" si="104"/>
        <v>None</v>
      </c>
    </row>
    <row r="1841" spans="6:8" x14ac:dyDescent="0.2">
      <c r="F1841" s="19" t="str">
        <f t="shared" si="102"/>
        <v>None</v>
      </c>
      <c r="G1841" s="19" t="str">
        <f t="shared" si="103"/>
        <v>None</v>
      </c>
      <c r="H1841" s="19" t="str">
        <f t="shared" si="104"/>
        <v>None</v>
      </c>
    </row>
    <row r="1842" spans="6:8" x14ac:dyDescent="0.2">
      <c r="F1842" s="19" t="str">
        <f t="shared" si="102"/>
        <v>None</v>
      </c>
      <c r="G1842" s="19" t="str">
        <f t="shared" si="103"/>
        <v>None</v>
      </c>
      <c r="H1842" s="19" t="str">
        <f t="shared" si="104"/>
        <v>None</v>
      </c>
    </row>
    <row r="1843" spans="6:8" x14ac:dyDescent="0.2">
      <c r="F1843" s="19" t="str">
        <f t="shared" si="102"/>
        <v>None</v>
      </c>
      <c r="G1843" s="19" t="str">
        <f t="shared" si="103"/>
        <v>None</v>
      </c>
      <c r="H1843" s="19" t="str">
        <f t="shared" si="104"/>
        <v>None</v>
      </c>
    </row>
    <row r="1844" spans="6:8" x14ac:dyDescent="0.2">
      <c r="F1844" s="19" t="str">
        <f t="shared" si="102"/>
        <v>None</v>
      </c>
      <c r="G1844" s="19" t="str">
        <f t="shared" si="103"/>
        <v>None</v>
      </c>
      <c r="H1844" s="19" t="str">
        <f t="shared" si="104"/>
        <v>None</v>
      </c>
    </row>
    <row r="1845" spans="6:8" x14ac:dyDescent="0.2">
      <c r="F1845" s="19" t="str">
        <f t="shared" si="102"/>
        <v>None</v>
      </c>
      <c r="G1845" s="19" t="str">
        <f t="shared" si="103"/>
        <v>None</v>
      </c>
      <c r="H1845" s="19" t="str">
        <f t="shared" si="104"/>
        <v>None</v>
      </c>
    </row>
    <row r="1846" spans="6:8" x14ac:dyDescent="0.2">
      <c r="F1846" s="19" t="str">
        <f t="shared" si="102"/>
        <v>None</v>
      </c>
      <c r="G1846" s="19" t="str">
        <f t="shared" si="103"/>
        <v>None</v>
      </c>
      <c r="H1846" s="19" t="str">
        <f t="shared" si="104"/>
        <v>None</v>
      </c>
    </row>
    <row r="1847" spans="6:8" x14ac:dyDescent="0.2">
      <c r="F1847" s="19" t="str">
        <f t="shared" si="102"/>
        <v>None</v>
      </c>
      <c r="G1847" s="19" t="str">
        <f t="shared" si="103"/>
        <v>None</v>
      </c>
      <c r="H1847" s="19" t="str">
        <f t="shared" si="104"/>
        <v>None</v>
      </c>
    </row>
    <row r="1848" spans="6:8" x14ac:dyDescent="0.2">
      <c r="F1848" s="19" t="str">
        <f t="shared" si="102"/>
        <v>None</v>
      </c>
      <c r="G1848" s="19" t="str">
        <f t="shared" si="103"/>
        <v>None</v>
      </c>
      <c r="H1848" s="19" t="str">
        <f t="shared" si="104"/>
        <v>None</v>
      </c>
    </row>
    <row r="1849" spans="6:8" x14ac:dyDescent="0.2">
      <c r="F1849" s="19" t="str">
        <f t="shared" si="102"/>
        <v>None</v>
      </c>
      <c r="G1849" s="19" t="str">
        <f t="shared" si="103"/>
        <v>None</v>
      </c>
      <c r="H1849" s="19" t="str">
        <f t="shared" si="104"/>
        <v>None</v>
      </c>
    </row>
    <row r="1850" spans="6:8" x14ac:dyDescent="0.2">
      <c r="F1850" s="19" t="str">
        <f t="shared" si="102"/>
        <v>None</v>
      </c>
      <c r="G1850" s="19" t="str">
        <f t="shared" si="103"/>
        <v>None</v>
      </c>
      <c r="H1850" s="19" t="str">
        <f t="shared" si="104"/>
        <v>None</v>
      </c>
    </row>
    <row r="1851" spans="6:8" x14ac:dyDescent="0.2">
      <c r="F1851" s="19" t="str">
        <f t="shared" si="102"/>
        <v>None</v>
      </c>
      <c r="G1851" s="19" t="str">
        <f t="shared" si="103"/>
        <v>None</v>
      </c>
      <c r="H1851" s="19" t="str">
        <f t="shared" si="104"/>
        <v>None</v>
      </c>
    </row>
    <row r="1852" spans="6:8" x14ac:dyDescent="0.2">
      <c r="F1852" s="19" t="str">
        <f t="shared" si="102"/>
        <v>None</v>
      </c>
      <c r="G1852" s="19" t="str">
        <f t="shared" si="103"/>
        <v>None</v>
      </c>
      <c r="H1852" s="19" t="str">
        <f t="shared" si="104"/>
        <v>None</v>
      </c>
    </row>
    <row r="1853" spans="6:8" x14ac:dyDescent="0.2">
      <c r="F1853" s="19" t="str">
        <f t="shared" si="102"/>
        <v>None</v>
      </c>
      <c r="G1853" s="19" t="str">
        <f t="shared" si="103"/>
        <v>None</v>
      </c>
      <c r="H1853" s="19" t="str">
        <f t="shared" si="104"/>
        <v>None</v>
      </c>
    </row>
    <row r="1854" spans="6:8" x14ac:dyDescent="0.2">
      <c r="F1854" s="19" t="str">
        <f t="shared" si="102"/>
        <v>None</v>
      </c>
      <c r="G1854" s="19" t="str">
        <f t="shared" si="103"/>
        <v>None</v>
      </c>
      <c r="H1854" s="19" t="str">
        <f t="shared" si="104"/>
        <v>None</v>
      </c>
    </row>
    <row r="1855" spans="6:8" x14ac:dyDescent="0.2">
      <c r="F1855" s="19" t="str">
        <f t="shared" si="102"/>
        <v>None</v>
      </c>
      <c r="G1855" s="19" t="str">
        <f t="shared" si="103"/>
        <v>None</v>
      </c>
      <c r="H1855" s="19" t="str">
        <f t="shared" si="104"/>
        <v>None</v>
      </c>
    </row>
    <row r="1856" spans="6:8" x14ac:dyDescent="0.2">
      <c r="F1856" s="19" t="str">
        <f t="shared" si="102"/>
        <v>None</v>
      </c>
      <c r="G1856" s="19" t="str">
        <f t="shared" si="103"/>
        <v>None</v>
      </c>
      <c r="H1856" s="19" t="str">
        <f t="shared" si="104"/>
        <v>None</v>
      </c>
    </row>
    <row r="1857" spans="6:8" x14ac:dyDescent="0.2">
      <c r="F1857" s="19" t="str">
        <f t="shared" si="102"/>
        <v>None</v>
      </c>
      <c r="G1857" s="19" t="str">
        <f t="shared" si="103"/>
        <v>None</v>
      </c>
      <c r="H1857" s="19" t="str">
        <f t="shared" si="104"/>
        <v>None</v>
      </c>
    </row>
    <row r="1858" spans="6:8" x14ac:dyDescent="0.2">
      <c r="F1858" s="19" t="str">
        <f t="shared" si="102"/>
        <v>None</v>
      </c>
      <c r="G1858" s="19" t="str">
        <f t="shared" si="103"/>
        <v>None</v>
      </c>
      <c r="H1858" s="19" t="str">
        <f t="shared" si="104"/>
        <v>None</v>
      </c>
    </row>
    <row r="1859" spans="6:8" x14ac:dyDescent="0.2">
      <c r="F1859" s="19" t="str">
        <f t="shared" si="102"/>
        <v>None</v>
      </c>
      <c r="G1859" s="19" t="str">
        <f t="shared" si="103"/>
        <v>None</v>
      </c>
      <c r="H1859" s="19" t="str">
        <f t="shared" si="104"/>
        <v>None</v>
      </c>
    </row>
    <row r="1860" spans="6:8" x14ac:dyDescent="0.2">
      <c r="F1860" s="19" t="str">
        <f t="shared" si="102"/>
        <v>None</v>
      </c>
      <c r="G1860" s="19" t="str">
        <f t="shared" si="103"/>
        <v>None</v>
      </c>
      <c r="H1860" s="19" t="str">
        <f t="shared" si="104"/>
        <v>None</v>
      </c>
    </row>
    <row r="1861" spans="6:8" x14ac:dyDescent="0.2">
      <c r="F1861" s="19" t="str">
        <f t="shared" si="102"/>
        <v>None</v>
      </c>
      <c r="G1861" s="19" t="str">
        <f t="shared" si="103"/>
        <v>None</v>
      </c>
      <c r="H1861" s="19" t="str">
        <f t="shared" si="104"/>
        <v>None</v>
      </c>
    </row>
    <row r="1862" spans="6:8" x14ac:dyDescent="0.2">
      <c r="F1862" s="19" t="str">
        <f t="shared" si="102"/>
        <v>None</v>
      </c>
      <c r="G1862" s="19" t="str">
        <f t="shared" si="103"/>
        <v>None</v>
      </c>
      <c r="H1862" s="19" t="str">
        <f t="shared" si="104"/>
        <v>None</v>
      </c>
    </row>
    <row r="1863" spans="6:8" x14ac:dyDescent="0.2">
      <c r="F1863" s="19" t="str">
        <f t="shared" si="102"/>
        <v>None</v>
      </c>
      <c r="G1863" s="19" t="str">
        <f t="shared" si="103"/>
        <v>None</v>
      </c>
      <c r="H1863" s="19" t="str">
        <f t="shared" si="104"/>
        <v>None</v>
      </c>
    </row>
    <row r="1864" spans="6:8" x14ac:dyDescent="0.2">
      <c r="F1864" s="19" t="str">
        <f t="shared" si="102"/>
        <v>None</v>
      </c>
      <c r="G1864" s="19" t="str">
        <f t="shared" si="103"/>
        <v>None</v>
      </c>
      <c r="H1864" s="19" t="str">
        <f t="shared" si="104"/>
        <v>None</v>
      </c>
    </row>
    <row r="1865" spans="6:8" x14ac:dyDescent="0.2">
      <c r="F1865" s="19" t="str">
        <f t="shared" si="102"/>
        <v>None</v>
      </c>
      <c r="G1865" s="19" t="str">
        <f t="shared" si="103"/>
        <v>None</v>
      </c>
      <c r="H1865" s="19" t="str">
        <f t="shared" si="104"/>
        <v>None</v>
      </c>
    </row>
    <row r="1866" spans="6:8" x14ac:dyDescent="0.2">
      <c r="F1866" s="19" t="str">
        <f t="shared" si="102"/>
        <v>None</v>
      </c>
      <c r="G1866" s="19" t="str">
        <f t="shared" si="103"/>
        <v>None</v>
      </c>
      <c r="H1866" s="19" t="str">
        <f t="shared" si="104"/>
        <v>None</v>
      </c>
    </row>
    <row r="1867" spans="6:8" x14ac:dyDescent="0.2">
      <c r="F1867" s="19" t="str">
        <f t="shared" si="102"/>
        <v>None</v>
      </c>
      <c r="G1867" s="19" t="str">
        <f t="shared" si="103"/>
        <v>None</v>
      </c>
      <c r="H1867" s="19" t="str">
        <f t="shared" si="104"/>
        <v>None</v>
      </c>
    </row>
    <row r="1868" spans="6:8" x14ac:dyDescent="0.2">
      <c r="F1868" s="19" t="str">
        <f t="shared" si="102"/>
        <v>None</v>
      </c>
      <c r="G1868" s="19" t="str">
        <f t="shared" si="103"/>
        <v>None</v>
      </c>
      <c r="H1868" s="19" t="str">
        <f t="shared" si="104"/>
        <v>None</v>
      </c>
    </row>
    <row r="1869" spans="6:8" x14ac:dyDescent="0.2">
      <c r="F1869" s="19" t="str">
        <f t="shared" si="102"/>
        <v>None</v>
      </c>
      <c r="G1869" s="19" t="str">
        <f t="shared" si="103"/>
        <v>None</v>
      </c>
      <c r="H1869" s="19" t="str">
        <f t="shared" si="104"/>
        <v>None</v>
      </c>
    </row>
    <row r="1870" spans="6:8" x14ac:dyDescent="0.2">
      <c r="F1870" s="19" t="str">
        <f t="shared" si="102"/>
        <v>None</v>
      </c>
      <c r="G1870" s="19" t="str">
        <f t="shared" si="103"/>
        <v>None</v>
      </c>
      <c r="H1870" s="19" t="str">
        <f t="shared" si="104"/>
        <v>None</v>
      </c>
    </row>
    <row r="1871" spans="6:8" x14ac:dyDescent="0.2">
      <c r="F1871" s="19" t="str">
        <f t="shared" si="102"/>
        <v>None</v>
      </c>
      <c r="G1871" s="19" t="str">
        <f t="shared" si="103"/>
        <v>None</v>
      </c>
      <c r="H1871" s="19" t="str">
        <f t="shared" si="104"/>
        <v>None</v>
      </c>
    </row>
    <row r="1872" spans="6:8" x14ac:dyDescent="0.2">
      <c r="F1872" s="19" t="str">
        <f t="shared" si="102"/>
        <v>None</v>
      </c>
      <c r="G1872" s="19" t="str">
        <f t="shared" si="103"/>
        <v>None</v>
      </c>
      <c r="H1872" s="19" t="str">
        <f t="shared" si="104"/>
        <v>None</v>
      </c>
    </row>
    <row r="1873" spans="6:8" x14ac:dyDescent="0.2">
      <c r="F1873" s="19" t="str">
        <f t="shared" si="102"/>
        <v>None</v>
      </c>
      <c r="G1873" s="19" t="str">
        <f t="shared" si="103"/>
        <v>None</v>
      </c>
      <c r="H1873" s="19" t="str">
        <f t="shared" si="104"/>
        <v>None</v>
      </c>
    </row>
    <row r="1874" spans="6:8" x14ac:dyDescent="0.2">
      <c r="F1874" s="19" t="str">
        <f t="shared" si="102"/>
        <v>None</v>
      </c>
      <c r="G1874" s="19" t="str">
        <f t="shared" si="103"/>
        <v>None</v>
      </c>
      <c r="H1874" s="19" t="str">
        <f t="shared" si="104"/>
        <v>None</v>
      </c>
    </row>
    <row r="1875" spans="6:8" x14ac:dyDescent="0.2">
      <c r="F1875" s="19" t="str">
        <f t="shared" si="102"/>
        <v>None</v>
      </c>
      <c r="G1875" s="19" t="str">
        <f t="shared" si="103"/>
        <v>None</v>
      </c>
      <c r="H1875" s="19" t="str">
        <f t="shared" si="104"/>
        <v>None</v>
      </c>
    </row>
    <row r="1876" spans="6:8" x14ac:dyDescent="0.2">
      <c r="F1876" s="19" t="str">
        <f t="shared" si="102"/>
        <v>None</v>
      </c>
      <c r="G1876" s="19" t="str">
        <f t="shared" si="103"/>
        <v>None</v>
      </c>
      <c r="H1876" s="19" t="str">
        <f t="shared" si="104"/>
        <v>None</v>
      </c>
    </row>
    <row r="1877" spans="6:8" x14ac:dyDescent="0.2">
      <c r="F1877" s="19" t="str">
        <f t="shared" ref="F1877:F1940" si="105">IF(A1877="joint","Joint",_xlfn.IFNA(VLOOKUP(B1877,tour_purposes,2,FALSE),"None"))</f>
        <v>None</v>
      </c>
      <c r="G1877" s="19" t="str">
        <f t="shared" ref="G1877:G1940" si="106">IF(AND(A1877="joint",C1877&lt;=6),"Auto",_xlfn.IFNA(VLOOKUP(C1877,tour_modes,3,FALSE),"None"))</f>
        <v>None</v>
      </c>
      <c r="H1877" s="19" t="str">
        <f t="shared" ref="H1877:H1940" si="107">_xlfn.IFNA(VLOOKUP(D1877,trip_modes,2,FALSE),"None")</f>
        <v>None</v>
      </c>
    </row>
    <row r="1878" spans="6:8" x14ac:dyDescent="0.2">
      <c r="F1878" s="19" t="str">
        <f t="shared" si="105"/>
        <v>None</v>
      </c>
      <c r="G1878" s="19" t="str">
        <f t="shared" si="106"/>
        <v>None</v>
      </c>
      <c r="H1878" s="19" t="str">
        <f t="shared" si="107"/>
        <v>None</v>
      </c>
    </row>
    <row r="1879" spans="6:8" x14ac:dyDescent="0.2">
      <c r="F1879" s="19" t="str">
        <f t="shared" si="105"/>
        <v>None</v>
      </c>
      <c r="G1879" s="19" t="str">
        <f t="shared" si="106"/>
        <v>None</v>
      </c>
      <c r="H1879" s="19" t="str">
        <f t="shared" si="107"/>
        <v>None</v>
      </c>
    </row>
    <row r="1880" spans="6:8" x14ac:dyDescent="0.2">
      <c r="F1880" s="19" t="str">
        <f t="shared" si="105"/>
        <v>None</v>
      </c>
      <c r="G1880" s="19" t="str">
        <f t="shared" si="106"/>
        <v>None</v>
      </c>
      <c r="H1880" s="19" t="str">
        <f t="shared" si="107"/>
        <v>None</v>
      </c>
    </row>
    <row r="1881" spans="6:8" x14ac:dyDescent="0.2">
      <c r="F1881" s="19" t="str">
        <f t="shared" si="105"/>
        <v>None</v>
      </c>
      <c r="G1881" s="19" t="str">
        <f t="shared" si="106"/>
        <v>None</v>
      </c>
      <c r="H1881" s="19" t="str">
        <f t="shared" si="107"/>
        <v>None</v>
      </c>
    </row>
    <row r="1882" spans="6:8" x14ac:dyDescent="0.2">
      <c r="F1882" s="19" t="str">
        <f t="shared" si="105"/>
        <v>None</v>
      </c>
      <c r="G1882" s="19" t="str">
        <f t="shared" si="106"/>
        <v>None</v>
      </c>
      <c r="H1882" s="19" t="str">
        <f t="shared" si="107"/>
        <v>None</v>
      </c>
    </row>
    <row r="1883" spans="6:8" x14ac:dyDescent="0.2">
      <c r="F1883" s="19" t="str">
        <f t="shared" si="105"/>
        <v>None</v>
      </c>
      <c r="G1883" s="19" t="str">
        <f t="shared" si="106"/>
        <v>None</v>
      </c>
      <c r="H1883" s="19" t="str">
        <f t="shared" si="107"/>
        <v>None</v>
      </c>
    </row>
    <row r="1884" spans="6:8" x14ac:dyDescent="0.2">
      <c r="F1884" s="19" t="str">
        <f t="shared" si="105"/>
        <v>None</v>
      </c>
      <c r="G1884" s="19" t="str">
        <f t="shared" si="106"/>
        <v>None</v>
      </c>
      <c r="H1884" s="19" t="str">
        <f t="shared" si="107"/>
        <v>None</v>
      </c>
    </row>
    <row r="1885" spans="6:8" x14ac:dyDescent="0.2">
      <c r="F1885" s="19" t="str">
        <f t="shared" si="105"/>
        <v>None</v>
      </c>
      <c r="G1885" s="19" t="str">
        <f t="shared" si="106"/>
        <v>None</v>
      </c>
      <c r="H1885" s="19" t="str">
        <f t="shared" si="107"/>
        <v>None</v>
      </c>
    </row>
    <row r="1886" spans="6:8" x14ac:dyDescent="0.2">
      <c r="F1886" s="19" t="str">
        <f t="shared" si="105"/>
        <v>None</v>
      </c>
      <c r="G1886" s="19" t="str">
        <f t="shared" si="106"/>
        <v>None</v>
      </c>
      <c r="H1886" s="19" t="str">
        <f t="shared" si="107"/>
        <v>None</v>
      </c>
    </row>
    <row r="1887" spans="6:8" x14ac:dyDescent="0.2">
      <c r="F1887" s="19" t="str">
        <f t="shared" si="105"/>
        <v>None</v>
      </c>
      <c r="G1887" s="19" t="str">
        <f t="shared" si="106"/>
        <v>None</v>
      </c>
      <c r="H1887" s="19" t="str">
        <f t="shared" si="107"/>
        <v>None</v>
      </c>
    </row>
    <row r="1888" spans="6:8" x14ac:dyDescent="0.2">
      <c r="F1888" s="19" t="str">
        <f t="shared" si="105"/>
        <v>None</v>
      </c>
      <c r="G1888" s="19" t="str">
        <f t="shared" si="106"/>
        <v>None</v>
      </c>
      <c r="H1888" s="19" t="str">
        <f t="shared" si="107"/>
        <v>None</v>
      </c>
    </row>
    <row r="1889" spans="6:8" x14ac:dyDescent="0.2">
      <c r="F1889" s="19" t="str">
        <f t="shared" si="105"/>
        <v>None</v>
      </c>
      <c r="G1889" s="19" t="str">
        <f t="shared" si="106"/>
        <v>None</v>
      </c>
      <c r="H1889" s="19" t="str">
        <f t="shared" si="107"/>
        <v>None</v>
      </c>
    </row>
    <row r="1890" spans="6:8" x14ac:dyDescent="0.2">
      <c r="F1890" s="19" t="str">
        <f t="shared" si="105"/>
        <v>None</v>
      </c>
      <c r="G1890" s="19" t="str">
        <f t="shared" si="106"/>
        <v>None</v>
      </c>
      <c r="H1890" s="19" t="str">
        <f t="shared" si="107"/>
        <v>None</v>
      </c>
    </row>
    <row r="1891" spans="6:8" x14ac:dyDescent="0.2">
      <c r="F1891" s="19" t="str">
        <f t="shared" si="105"/>
        <v>None</v>
      </c>
      <c r="G1891" s="19" t="str">
        <f t="shared" si="106"/>
        <v>None</v>
      </c>
      <c r="H1891" s="19" t="str">
        <f t="shared" si="107"/>
        <v>None</v>
      </c>
    </row>
    <row r="1892" spans="6:8" x14ac:dyDescent="0.2">
      <c r="F1892" s="19" t="str">
        <f t="shared" si="105"/>
        <v>None</v>
      </c>
      <c r="G1892" s="19" t="str">
        <f t="shared" si="106"/>
        <v>None</v>
      </c>
      <c r="H1892" s="19" t="str">
        <f t="shared" si="107"/>
        <v>None</v>
      </c>
    </row>
    <row r="1893" spans="6:8" x14ac:dyDescent="0.2">
      <c r="F1893" s="19" t="str">
        <f t="shared" si="105"/>
        <v>None</v>
      </c>
      <c r="G1893" s="19" t="str">
        <f t="shared" si="106"/>
        <v>None</v>
      </c>
      <c r="H1893" s="19" t="str">
        <f t="shared" si="107"/>
        <v>None</v>
      </c>
    </row>
    <row r="1894" spans="6:8" x14ac:dyDescent="0.2">
      <c r="F1894" s="19" t="str">
        <f t="shared" si="105"/>
        <v>None</v>
      </c>
      <c r="G1894" s="19" t="str">
        <f t="shared" si="106"/>
        <v>None</v>
      </c>
      <c r="H1894" s="19" t="str">
        <f t="shared" si="107"/>
        <v>None</v>
      </c>
    </row>
    <row r="1895" spans="6:8" x14ac:dyDescent="0.2">
      <c r="F1895" s="19" t="str">
        <f t="shared" si="105"/>
        <v>None</v>
      </c>
      <c r="G1895" s="19" t="str">
        <f t="shared" si="106"/>
        <v>None</v>
      </c>
      <c r="H1895" s="19" t="str">
        <f t="shared" si="107"/>
        <v>None</v>
      </c>
    </row>
    <row r="1896" spans="6:8" x14ac:dyDescent="0.2">
      <c r="F1896" s="19" t="str">
        <f t="shared" si="105"/>
        <v>None</v>
      </c>
      <c r="G1896" s="19" t="str">
        <f t="shared" si="106"/>
        <v>None</v>
      </c>
      <c r="H1896" s="19" t="str">
        <f t="shared" si="107"/>
        <v>None</v>
      </c>
    </row>
    <row r="1897" spans="6:8" x14ac:dyDescent="0.2">
      <c r="F1897" s="19" t="str">
        <f t="shared" si="105"/>
        <v>None</v>
      </c>
      <c r="G1897" s="19" t="str">
        <f t="shared" si="106"/>
        <v>None</v>
      </c>
      <c r="H1897" s="19" t="str">
        <f t="shared" si="107"/>
        <v>None</v>
      </c>
    </row>
    <row r="1898" spans="6:8" x14ac:dyDescent="0.2">
      <c r="F1898" s="19" t="str">
        <f t="shared" si="105"/>
        <v>None</v>
      </c>
      <c r="G1898" s="19" t="str">
        <f t="shared" si="106"/>
        <v>None</v>
      </c>
      <c r="H1898" s="19" t="str">
        <f t="shared" si="107"/>
        <v>None</v>
      </c>
    </row>
    <row r="1899" spans="6:8" x14ac:dyDescent="0.2">
      <c r="F1899" s="19" t="str">
        <f t="shared" si="105"/>
        <v>None</v>
      </c>
      <c r="G1899" s="19" t="str">
        <f t="shared" si="106"/>
        <v>None</v>
      </c>
      <c r="H1899" s="19" t="str">
        <f t="shared" si="107"/>
        <v>None</v>
      </c>
    </row>
    <row r="1900" spans="6:8" x14ac:dyDescent="0.2">
      <c r="F1900" s="19" t="str">
        <f t="shared" si="105"/>
        <v>None</v>
      </c>
      <c r="G1900" s="19" t="str">
        <f t="shared" si="106"/>
        <v>None</v>
      </c>
      <c r="H1900" s="19" t="str">
        <f t="shared" si="107"/>
        <v>None</v>
      </c>
    </row>
    <row r="1901" spans="6:8" x14ac:dyDescent="0.2">
      <c r="F1901" s="19" t="str">
        <f t="shared" si="105"/>
        <v>None</v>
      </c>
      <c r="G1901" s="19" t="str">
        <f t="shared" si="106"/>
        <v>None</v>
      </c>
      <c r="H1901" s="19" t="str">
        <f t="shared" si="107"/>
        <v>None</v>
      </c>
    </row>
    <row r="1902" spans="6:8" x14ac:dyDescent="0.2">
      <c r="F1902" s="19" t="str">
        <f t="shared" si="105"/>
        <v>None</v>
      </c>
      <c r="G1902" s="19" t="str">
        <f t="shared" si="106"/>
        <v>None</v>
      </c>
      <c r="H1902" s="19" t="str">
        <f t="shared" si="107"/>
        <v>None</v>
      </c>
    </row>
    <row r="1903" spans="6:8" x14ac:dyDescent="0.2">
      <c r="F1903" s="19" t="str">
        <f t="shared" si="105"/>
        <v>None</v>
      </c>
      <c r="G1903" s="19" t="str">
        <f t="shared" si="106"/>
        <v>None</v>
      </c>
      <c r="H1903" s="19" t="str">
        <f t="shared" si="107"/>
        <v>None</v>
      </c>
    </row>
    <row r="1904" spans="6:8" x14ac:dyDescent="0.2">
      <c r="F1904" s="19" t="str">
        <f t="shared" si="105"/>
        <v>None</v>
      </c>
      <c r="G1904" s="19" t="str">
        <f t="shared" si="106"/>
        <v>None</v>
      </c>
      <c r="H1904" s="19" t="str">
        <f t="shared" si="107"/>
        <v>None</v>
      </c>
    </row>
    <row r="1905" spans="6:8" x14ac:dyDescent="0.2">
      <c r="F1905" s="19" t="str">
        <f t="shared" si="105"/>
        <v>None</v>
      </c>
      <c r="G1905" s="19" t="str">
        <f t="shared" si="106"/>
        <v>None</v>
      </c>
      <c r="H1905" s="19" t="str">
        <f t="shared" si="107"/>
        <v>None</v>
      </c>
    </row>
    <row r="1906" spans="6:8" x14ac:dyDescent="0.2">
      <c r="F1906" s="19" t="str">
        <f t="shared" si="105"/>
        <v>None</v>
      </c>
      <c r="G1906" s="19" t="str">
        <f t="shared" si="106"/>
        <v>None</v>
      </c>
      <c r="H1906" s="19" t="str">
        <f t="shared" si="107"/>
        <v>None</v>
      </c>
    </row>
    <row r="1907" spans="6:8" x14ac:dyDescent="0.2">
      <c r="F1907" s="19" t="str">
        <f t="shared" si="105"/>
        <v>None</v>
      </c>
      <c r="G1907" s="19" t="str">
        <f t="shared" si="106"/>
        <v>None</v>
      </c>
      <c r="H1907" s="19" t="str">
        <f t="shared" si="107"/>
        <v>None</v>
      </c>
    </row>
    <row r="1908" spans="6:8" x14ac:dyDescent="0.2">
      <c r="F1908" s="19" t="str">
        <f t="shared" si="105"/>
        <v>None</v>
      </c>
      <c r="G1908" s="19" t="str">
        <f t="shared" si="106"/>
        <v>None</v>
      </c>
      <c r="H1908" s="19" t="str">
        <f t="shared" si="107"/>
        <v>None</v>
      </c>
    </row>
    <row r="1909" spans="6:8" x14ac:dyDescent="0.2">
      <c r="F1909" s="19" t="str">
        <f t="shared" si="105"/>
        <v>None</v>
      </c>
      <c r="G1909" s="19" t="str">
        <f t="shared" si="106"/>
        <v>None</v>
      </c>
      <c r="H1909" s="19" t="str">
        <f t="shared" si="107"/>
        <v>None</v>
      </c>
    </row>
    <row r="1910" spans="6:8" x14ac:dyDescent="0.2">
      <c r="F1910" s="19" t="str">
        <f t="shared" si="105"/>
        <v>None</v>
      </c>
      <c r="G1910" s="19" t="str">
        <f t="shared" si="106"/>
        <v>None</v>
      </c>
      <c r="H1910" s="19" t="str">
        <f t="shared" si="107"/>
        <v>None</v>
      </c>
    </row>
    <row r="1911" spans="6:8" x14ac:dyDescent="0.2">
      <c r="F1911" s="19" t="str">
        <f t="shared" si="105"/>
        <v>None</v>
      </c>
      <c r="G1911" s="19" t="str">
        <f t="shared" si="106"/>
        <v>None</v>
      </c>
      <c r="H1911" s="19" t="str">
        <f t="shared" si="107"/>
        <v>None</v>
      </c>
    </row>
    <row r="1912" spans="6:8" x14ac:dyDescent="0.2">
      <c r="F1912" s="19" t="str">
        <f t="shared" si="105"/>
        <v>None</v>
      </c>
      <c r="G1912" s="19" t="str">
        <f t="shared" si="106"/>
        <v>None</v>
      </c>
      <c r="H1912" s="19" t="str">
        <f t="shared" si="107"/>
        <v>None</v>
      </c>
    </row>
    <row r="1913" spans="6:8" x14ac:dyDescent="0.2">
      <c r="F1913" s="19" t="str">
        <f t="shared" si="105"/>
        <v>None</v>
      </c>
      <c r="G1913" s="19" t="str">
        <f t="shared" si="106"/>
        <v>None</v>
      </c>
      <c r="H1913" s="19" t="str">
        <f t="shared" si="107"/>
        <v>None</v>
      </c>
    </row>
    <row r="1914" spans="6:8" x14ac:dyDescent="0.2">
      <c r="F1914" s="19" t="str">
        <f t="shared" si="105"/>
        <v>None</v>
      </c>
      <c r="G1914" s="19" t="str">
        <f t="shared" si="106"/>
        <v>None</v>
      </c>
      <c r="H1914" s="19" t="str">
        <f t="shared" si="107"/>
        <v>None</v>
      </c>
    </row>
    <row r="1915" spans="6:8" x14ac:dyDescent="0.2">
      <c r="F1915" s="19" t="str">
        <f t="shared" si="105"/>
        <v>None</v>
      </c>
      <c r="G1915" s="19" t="str">
        <f t="shared" si="106"/>
        <v>None</v>
      </c>
      <c r="H1915" s="19" t="str">
        <f t="shared" si="107"/>
        <v>None</v>
      </c>
    </row>
    <row r="1916" spans="6:8" x14ac:dyDescent="0.2">
      <c r="F1916" s="19" t="str">
        <f t="shared" si="105"/>
        <v>None</v>
      </c>
      <c r="G1916" s="19" t="str">
        <f t="shared" si="106"/>
        <v>None</v>
      </c>
      <c r="H1916" s="19" t="str">
        <f t="shared" si="107"/>
        <v>None</v>
      </c>
    </row>
    <row r="1917" spans="6:8" x14ac:dyDescent="0.2">
      <c r="F1917" s="19" t="str">
        <f t="shared" si="105"/>
        <v>None</v>
      </c>
      <c r="G1917" s="19" t="str">
        <f t="shared" si="106"/>
        <v>None</v>
      </c>
      <c r="H1917" s="19" t="str">
        <f t="shared" si="107"/>
        <v>None</v>
      </c>
    </row>
    <row r="1918" spans="6:8" x14ac:dyDescent="0.2">
      <c r="F1918" s="19" t="str">
        <f t="shared" si="105"/>
        <v>None</v>
      </c>
      <c r="G1918" s="19" t="str">
        <f t="shared" si="106"/>
        <v>None</v>
      </c>
      <c r="H1918" s="19" t="str">
        <f t="shared" si="107"/>
        <v>None</v>
      </c>
    </row>
    <row r="1919" spans="6:8" x14ac:dyDescent="0.2">
      <c r="F1919" s="19" t="str">
        <f t="shared" si="105"/>
        <v>None</v>
      </c>
      <c r="G1919" s="19" t="str">
        <f t="shared" si="106"/>
        <v>None</v>
      </c>
      <c r="H1919" s="19" t="str">
        <f t="shared" si="107"/>
        <v>None</v>
      </c>
    </row>
    <row r="1920" spans="6:8" x14ac:dyDescent="0.2">
      <c r="F1920" s="19" t="str">
        <f t="shared" si="105"/>
        <v>None</v>
      </c>
      <c r="G1920" s="19" t="str">
        <f t="shared" si="106"/>
        <v>None</v>
      </c>
      <c r="H1920" s="19" t="str">
        <f t="shared" si="107"/>
        <v>None</v>
      </c>
    </row>
    <row r="1921" spans="6:8" x14ac:dyDescent="0.2">
      <c r="F1921" s="19" t="str">
        <f t="shared" si="105"/>
        <v>None</v>
      </c>
      <c r="G1921" s="19" t="str">
        <f t="shared" si="106"/>
        <v>None</v>
      </c>
      <c r="H1921" s="19" t="str">
        <f t="shared" si="107"/>
        <v>None</v>
      </c>
    </row>
    <row r="1922" spans="6:8" x14ac:dyDescent="0.2">
      <c r="F1922" s="19" t="str">
        <f t="shared" si="105"/>
        <v>None</v>
      </c>
      <c r="G1922" s="19" t="str">
        <f t="shared" si="106"/>
        <v>None</v>
      </c>
      <c r="H1922" s="19" t="str">
        <f t="shared" si="107"/>
        <v>None</v>
      </c>
    </row>
    <row r="1923" spans="6:8" x14ac:dyDescent="0.2">
      <c r="F1923" s="19" t="str">
        <f t="shared" si="105"/>
        <v>None</v>
      </c>
      <c r="G1923" s="19" t="str">
        <f t="shared" si="106"/>
        <v>None</v>
      </c>
      <c r="H1923" s="19" t="str">
        <f t="shared" si="107"/>
        <v>None</v>
      </c>
    </row>
    <row r="1924" spans="6:8" x14ac:dyDescent="0.2">
      <c r="F1924" s="19" t="str">
        <f t="shared" si="105"/>
        <v>None</v>
      </c>
      <c r="G1924" s="19" t="str">
        <f t="shared" si="106"/>
        <v>None</v>
      </c>
      <c r="H1924" s="19" t="str">
        <f t="shared" si="107"/>
        <v>None</v>
      </c>
    </row>
    <row r="1925" spans="6:8" x14ac:dyDescent="0.2">
      <c r="F1925" s="19" t="str">
        <f t="shared" si="105"/>
        <v>None</v>
      </c>
      <c r="G1925" s="19" t="str">
        <f t="shared" si="106"/>
        <v>None</v>
      </c>
      <c r="H1925" s="19" t="str">
        <f t="shared" si="107"/>
        <v>None</v>
      </c>
    </row>
    <row r="1926" spans="6:8" x14ac:dyDescent="0.2">
      <c r="F1926" s="19" t="str">
        <f t="shared" si="105"/>
        <v>None</v>
      </c>
      <c r="G1926" s="19" t="str">
        <f t="shared" si="106"/>
        <v>None</v>
      </c>
      <c r="H1926" s="19" t="str">
        <f t="shared" si="107"/>
        <v>None</v>
      </c>
    </row>
    <row r="1927" spans="6:8" x14ac:dyDescent="0.2">
      <c r="F1927" s="19" t="str">
        <f t="shared" si="105"/>
        <v>None</v>
      </c>
      <c r="G1927" s="19" t="str">
        <f t="shared" si="106"/>
        <v>None</v>
      </c>
      <c r="H1927" s="19" t="str">
        <f t="shared" si="107"/>
        <v>None</v>
      </c>
    </row>
    <row r="1928" spans="6:8" x14ac:dyDescent="0.2">
      <c r="F1928" s="19" t="str">
        <f t="shared" si="105"/>
        <v>None</v>
      </c>
      <c r="G1928" s="19" t="str">
        <f t="shared" si="106"/>
        <v>None</v>
      </c>
      <c r="H1928" s="19" t="str">
        <f t="shared" si="107"/>
        <v>None</v>
      </c>
    </row>
    <row r="1929" spans="6:8" x14ac:dyDescent="0.2">
      <c r="F1929" s="19" t="str">
        <f t="shared" si="105"/>
        <v>None</v>
      </c>
      <c r="G1929" s="19" t="str">
        <f t="shared" si="106"/>
        <v>None</v>
      </c>
      <c r="H1929" s="19" t="str">
        <f t="shared" si="107"/>
        <v>None</v>
      </c>
    </row>
    <row r="1930" spans="6:8" x14ac:dyDescent="0.2">
      <c r="F1930" s="19" t="str">
        <f t="shared" si="105"/>
        <v>None</v>
      </c>
      <c r="G1930" s="19" t="str">
        <f t="shared" si="106"/>
        <v>None</v>
      </c>
      <c r="H1930" s="19" t="str">
        <f t="shared" si="107"/>
        <v>None</v>
      </c>
    </row>
    <row r="1931" spans="6:8" x14ac:dyDescent="0.2">
      <c r="F1931" s="19" t="str">
        <f t="shared" si="105"/>
        <v>None</v>
      </c>
      <c r="G1931" s="19" t="str">
        <f t="shared" si="106"/>
        <v>None</v>
      </c>
      <c r="H1931" s="19" t="str">
        <f t="shared" si="107"/>
        <v>None</v>
      </c>
    </row>
    <row r="1932" spans="6:8" x14ac:dyDescent="0.2">
      <c r="F1932" s="19" t="str">
        <f t="shared" si="105"/>
        <v>None</v>
      </c>
      <c r="G1932" s="19" t="str">
        <f t="shared" si="106"/>
        <v>None</v>
      </c>
      <c r="H1932" s="19" t="str">
        <f t="shared" si="107"/>
        <v>None</v>
      </c>
    </row>
    <row r="1933" spans="6:8" x14ac:dyDescent="0.2">
      <c r="F1933" s="19" t="str">
        <f t="shared" si="105"/>
        <v>None</v>
      </c>
      <c r="G1933" s="19" t="str">
        <f t="shared" si="106"/>
        <v>None</v>
      </c>
      <c r="H1933" s="19" t="str">
        <f t="shared" si="107"/>
        <v>None</v>
      </c>
    </row>
    <row r="1934" spans="6:8" x14ac:dyDescent="0.2">
      <c r="F1934" s="19" t="str">
        <f t="shared" si="105"/>
        <v>None</v>
      </c>
      <c r="G1934" s="19" t="str">
        <f t="shared" si="106"/>
        <v>None</v>
      </c>
      <c r="H1934" s="19" t="str">
        <f t="shared" si="107"/>
        <v>None</v>
      </c>
    </row>
    <row r="1935" spans="6:8" x14ac:dyDescent="0.2">
      <c r="F1935" s="19" t="str">
        <f t="shared" si="105"/>
        <v>None</v>
      </c>
      <c r="G1935" s="19" t="str">
        <f t="shared" si="106"/>
        <v>None</v>
      </c>
      <c r="H1935" s="19" t="str">
        <f t="shared" si="107"/>
        <v>None</v>
      </c>
    </row>
    <row r="1936" spans="6:8" x14ac:dyDescent="0.2">
      <c r="F1936" s="19" t="str">
        <f t="shared" si="105"/>
        <v>None</v>
      </c>
      <c r="G1936" s="19" t="str">
        <f t="shared" si="106"/>
        <v>None</v>
      </c>
      <c r="H1936" s="19" t="str">
        <f t="shared" si="107"/>
        <v>None</v>
      </c>
    </row>
    <row r="1937" spans="6:8" x14ac:dyDescent="0.2">
      <c r="F1937" s="19" t="str">
        <f t="shared" si="105"/>
        <v>None</v>
      </c>
      <c r="G1937" s="19" t="str">
        <f t="shared" si="106"/>
        <v>None</v>
      </c>
      <c r="H1937" s="19" t="str">
        <f t="shared" si="107"/>
        <v>None</v>
      </c>
    </row>
    <row r="1938" spans="6:8" x14ac:dyDescent="0.2">
      <c r="F1938" s="19" t="str">
        <f t="shared" si="105"/>
        <v>None</v>
      </c>
      <c r="G1938" s="19" t="str">
        <f t="shared" si="106"/>
        <v>None</v>
      </c>
      <c r="H1938" s="19" t="str">
        <f t="shared" si="107"/>
        <v>None</v>
      </c>
    </row>
    <row r="1939" spans="6:8" x14ac:dyDescent="0.2">
      <c r="F1939" s="19" t="str">
        <f t="shared" si="105"/>
        <v>None</v>
      </c>
      <c r="G1939" s="19" t="str">
        <f t="shared" si="106"/>
        <v>None</v>
      </c>
      <c r="H1939" s="19" t="str">
        <f t="shared" si="107"/>
        <v>None</v>
      </c>
    </row>
    <row r="1940" spans="6:8" x14ac:dyDescent="0.2">
      <c r="F1940" s="19" t="str">
        <f t="shared" si="105"/>
        <v>None</v>
      </c>
      <c r="G1940" s="19" t="str">
        <f t="shared" si="106"/>
        <v>None</v>
      </c>
      <c r="H1940" s="19" t="str">
        <f t="shared" si="107"/>
        <v>None</v>
      </c>
    </row>
    <row r="1941" spans="6:8" x14ac:dyDescent="0.2">
      <c r="F1941" s="19" t="str">
        <f t="shared" ref="F1941:F2003" si="108">IF(A1941="joint","Joint",_xlfn.IFNA(VLOOKUP(B1941,tour_purposes,2,FALSE),"None"))</f>
        <v>None</v>
      </c>
      <c r="G1941" s="19" t="str">
        <f t="shared" ref="G1941:G2003" si="109">IF(AND(A1941="joint",C1941&lt;=6),"Auto",_xlfn.IFNA(VLOOKUP(C1941,tour_modes,3,FALSE),"None"))</f>
        <v>None</v>
      </c>
      <c r="H1941" s="19" t="str">
        <f t="shared" ref="H1941:H2003" si="110">_xlfn.IFNA(VLOOKUP(D1941,trip_modes,2,FALSE),"None")</f>
        <v>None</v>
      </c>
    </row>
    <row r="1942" spans="6:8" x14ac:dyDescent="0.2">
      <c r="F1942" s="19" t="str">
        <f t="shared" si="108"/>
        <v>None</v>
      </c>
      <c r="G1942" s="19" t="str">
        <f t="shared" si="109"/>
        <v>None</v>
      </c>
      <c r="H1942" s="19" t="str">
        <f t="shared" si="110"/>
        <v>None</v>
      </c>
    </row>
    <row r="1943" spans="6:8" x14ac:dyDescent="0.2">
      <c r="F1943" s="19" t="str">
        <f t="shared" si="108"/>
        <v>None</v>
      </c>
      <c r="G1943" s="19" t="str">
        <f t="shared" si="109"/>
        <v>None</v>
      </c>
      <c r="H1943" s="19" t="str">
        <f t="shared" si="110"/>
        <v>None</v>
      </c>
    </row>
    <row r="1944" spans="6:8" x14ac:dyDescent="0.2">
      <c r="F1944" s="19" t="str">
        <f t="shared" si="108"/>
        <v>None</v>
      </c>
      <c r="G1944" s="19" t="str">
        <f t="shared" si="109"/>
        <v>None</v>
      </c>
      <c r="H1944" s="19" t="str">
        <f t="shared" si="110"/>
        <v>None</v>
      </c>
    </row>
    <row r="1945" spans="6:8" x14ac:dyDescent="0.2">
      <c r="F1945" s="19" t="str">
        <f t="shared" si="108"/>
        <v>None</v>
      </c>
      <c r="G1945" s="19" t="str">
        <f t="shared" si="109"/>
        <v>None</v>
      </c>
      <c r="H1945" s="19" t="str">
        <f t="shared" si="110"/>
        <v>None</v>
      </c>
    </row>
    <row r="1946" spans="6:8" x14ac:dyDescent="0.2">
      <c r="F1946" s="19" t="str">
        <f t="shared" si="108"/>
        <v>None</v>
      </c>
      <c r="G1946" s="19" t="str">
        <f t="shared" si="109"/>
        <v>None</v>
      </c>
      <c r="H1946" s="19" t="str">
        <f t="shared" si="110"/>
        <v>None</v>
      </c>
    </row>
    <row r="1947" spans="6:8" x14ac:dyDescent="0.2">
      <c r="F1947" s="19" t="str">
        <f t="shared" si="108"/>
        <v>None</v>
      </c>
      <c r="G1947" s="19" t="str">
        <f t="shared" si="109"/>
        <v>None</v>
      </c>
      <c r="H1947" s="19" t="str">
        <f t="shared" si="110"/>
        <v>None</v>
      </c>
    </row>
    <row r="1948" spans="6:8" x14ac:dyDescent="0.2">
      <c r="F1948" s="19" t="str">
        <f t="shared" si="108"/>
        <v>None</v>
      </c>
      <c r="G1948" s="19" t="str">
        <f t="shared" si="109"/>
        <v>None</v>
      </c>
      <c r="H1948" s="19" t="str">
        <f t="shared" si="110"/>
        <v>None</v>
      </c>
    </row>
    <row r="1949" spans="6:8" x14ac:dyDescent="0.2">
      <c r="F1949" s="19" t="str">
        <f t="shared" si="108"/>
        <v>None</v>
      </c>
      <c r="G1949" s="19" t="str">
        <f t="shared" si="109"/>
        <v>None</v>
      </c>
      <c r="H1949" s="19" t="str">
        <f t="shared" si="110"/>
        <v>None</v>
      </c>
    </row>
    <row r="1950" spans="6:8" x14ac:dyDescent="0.2">
      <c r="F1950" s="19" t="str">
        <f t="shared" si="108"/>
        <v>None</v>
      </c>
      <c r="G1950" s="19" t="str">
        <f t="shared" si="109"/>
        <v>None</v>
      </c>
      <c r="H1950" s="19" t="str">
        <f t="shared" si="110"/>
        <v>None</v>
      </c>
    </row>
    <row r="1951" spans="6:8" x14ac:dyDescent="0.2">
      <c r="F1951" s="19" t="str">
        <f t="shared" si="108"/>
        <v>None</v>
      </c>
      <c r="G1951" s="19" t="str">
        <f t="shared" si="109"/>
        <v>None</v>
      </c>
      <c r="H1951" s="19" t="str">
        <f t="shared" si="110"/>
        <v>None</v>
      </c>
    </row>
    <row r="1952" spans="6:8" x14ac:dyDescent="0.2">
      <c r="F1952" s="19" t="str">
        <f t="shared" si="108"/>
        <v>None</v>
      </c>
      <c r="G1952" s="19" t="str">
        <f t="shared" si="109"/>
        <v>None</v>
      </c>
      <c r="H1952" s="19" t="str">
        <f t="shared" si="110"/>
        <v>None</v>
      </c>
    </row>
    <row r="1953" spans="6:8" x14ac:dyDescent="0.2">
      <c r="F1953" s="19" t="str">
        <f t="shared" si="108"/>
        <v>None</v>
      </c>
      <c r="G1953" s="19" t="str">
        <f t="shared" si="109"/>
        <v>None</v>
      </c>
      <c r="H1953" s="19" t="str">
        <f t="shared" si="110"/>
        <v>None</v>
      </c>
    </row>
    <row r="1954" spans="6:8" x14ac:dyDescent="0.2">
      <c r="F1954" s="19" t="str">
        <f t="shared" si="108"/>
        <v>None</v>
      </c>
      <c r="G1954" s="19" t="str">
        <f t="shared" si="109"/>
        <v>None</v>
      </c>
      <c r="H1954" s="19" t="str">
        <f t="shared" si="110"/>
        <v>None</v>
      </c>
    </row>
    <row r="1955" spans="6:8" x14ac:dyDescent="0.2">
      <c r="F1955" s="19" t="str">
        <f t="shared" si="108"/>
        <v>None</v>
      </c>
      <c r="G1955" s="19" t="str">
        <f t="shared" si="109"/>
        <v>None</v>
      </c>
      <c r="H1955" s="19" t="str">
        <f t="shared" si="110"/>
        <v>None</v>
      </c>
    </row>
    <row r="1956" spans="6:8" x14ac:dyDescent="0.2">
      <c r="F1956" s="19" t="str">
        <f t="shared" si="108"/>
        <v>None</v>
      </c>
      <c r="G1956" s="19" t="str">
        <f t="shared" si="109"/>
        <v>None</v>
      </c>
      <c r="H1956" s="19" t="str">
        <f t="shared" si="110"/>
        <v>None</v>
      </c>
    </row>
    <row r="1957" spans="6:8" x14ac:dyDescent="0.2">
      <c r="F1957" s="19" t="str">
        <f t="shared" si="108"/>
        <v>None</v>
      </c>
      <c r="G1957" s="19" t="str">
        <f t="shared" si="109"/>
        <v>None</v>
      </c>
      <c r="H1957" s="19" t="str">
        <f t="shared" si="110"/>
        <v>None</v>
      </c>
    </row>
    <row r="1958" spans="6:8" x14ac:dyDescent="0.2">
      <c r="F1958" s="19" t="str">
        <f t="shared" si="108"/>
        <v>None</v>
      </c>
      <c r="G1958" s="19" t="str">
        <f t="shared" si="109"/>
        <v>None</v>
      </c>
      <c r="H1958" s="19" t="str">
        <f t="shared" si="110"/>
        <v>None</v>
      </c>
    </row>
    <row r="1959" spans="6:8" x14ac:dyDescent="0.2">
      <c r="F1959" s="19" t="str">
        <f t="shared" si="108"/>
        <v>None</v>
      </c>
      <c r="G1959" s="19" t="str">
        <f t="shared" si="109"/>
        <v>None</v>
      </c>
      <c r="H1959" s="19" t="str">
        <f t="shared" si="110"/>
        <v>None</v>
      </c>
    </row>
    <row r="1960" spans="6:8" x14ac:dyDescent="0.2">
      <c r="F1960" s="19" t="str">
        <f t="shared" si="108"/>
        <v>None</v>
      </c>
      <c r="G1960" s="19" t="str">
        <f t="shared" si="109"/>
        <v>None</v>
      </c>
      <c r="H1960" s="19" t="str">
        <f t="shared" si="110"/>
        <v>None</v>
      </c>
    </row>
    <row r="1961" spans="6:8" x14ac:dyDescent="0.2">
      <c r="F1961" s="19" t="str">
        <f t="shared" si="108"/>
        <v>None</v>
      </c>
      <c r="G1961" s="19" t="str">
        <f t="shared" si="109"/>
        <v>None</v>
      </c>
      <c r="H1961" s="19" t="str">
        <f t="shared" si="110"/>
        <v>None</v>
      </c>
    </row>
    <row r="1962" spans="6:8" x14ac:dyDescent="0.2">
      <c r="F1962" s="19" t="str">
        <f t="shared" si="108"/>
        <v>None</v>
      </c>
      <c r="G1962" s="19" t="str">
        <f t="shared" si="109"/>
        <v>None</v>
      </c>
      <c r="H1962" s="19" t="str">
        <f t="shared" si="110"/>
        <v>None</v>
      </c>
    </row>
    <row r="1963" spans="6:8" x14ac:dyDescent="0.2">
      <c r="F1963" s="19" t="str">
        <f t="shared" si="108"/>
        <v>None</v>
      </c>
      <c r="G1963" s="19" t="str">
        <f t="shared" si="109"/>
        <v>None</v>
      </c>
      <c r="H1963" s="19" t="str">
        <f t="shared" si="110"/>
        <v>None</v>
      </c>
    </row>
    <row r="1964" spans="6:8" x14ac:dyDescent="0.2">
      <c r="F1964" s="19" t="str">
        <f t="shared" si="108"/>
        <v>None</v>
      </c>
      <c r="G1964" s="19" t="str">
        <f t="shared" si="109"/>
        <v>None</v>
      </c>
      <c r="H1964" s="19" t="str">
        <f t="shared" si="110"/>
        <v>None</v>
      </c>
    </row>
    <row r="1965" spans="6:8" x14ac:dyDescent="0.2">
      <c r="F1965" s="19" t="str">
        <f t="shared" si="108"/>
        <v>None</v>
      </c>
      <c r="G1965" s="19" t="str">
        <f t="shared" si="109"/>
        <v>None</v>
      </c>
      <c r="H1965" s="19" t="str">
        <f t="shared" si="110"/>
        <v>None</v>
      </c>
    </row>
    <row r="1966" spans="6:8" x14ac:dyDescent="0.2">
      <c r="F1966" s="19" t="str">
        <f t="shared" si="108"/>
        <v>None</v>
      </c>
      <c r="G1966" s="19" t="str">
        <f t="shared" si="109"/>
        <v>None</v>
      </c>
      <c r="H1966" s="19" t="str">
        <f t="shared" si="110"/>
        <v>None</v>
      </c>
    </row>
    <row r="1967" spans="6:8" x14ac:dyDescent="0.2">
      <c r="F1967" s="19" t="str">
        <f t="shared" si="108"/>
        <v>None</v>
      </c>
      <c r="G1967" s="19" t="str">
        <f t="shared" si="109"/>
        <v>None</v>
      </c>
      <c r="H1967" s="19" t="str">
        <f t="shared" si="110"/>
        <v>None</v>
      </c>
    </row>
    <row r="1968" spans="6:8" x14ac:dyDescent="0.2">
      <c r="F1968" s="19" t="str">
        <f t="shared" si="108"/>
        <v>None</v>
      </c>
      <c r="G1968" s="19" t="str">
        <f t="shared" si="109"/>
        <v>None</v>
      </c>
      <c r="H1968" s="19" t="str">
        <f t="shared" si="110"/>
        <v>None</v>
      </c>
    </row>
    <row r="1969" spans="6:8" x14ac:dyDescent="0.2">
      <c r="F1969" s="19" t="str">
        <f t="shared" si="108"/>
        <v>None</v>
      </c>
      <c r="G1969" s="19" t="str">
        <f t="shared" si="109"/>
        <v>None</v>
      </c>
      <c r="H1969" s="19" t="str">
        <f t="shared" si="110"/>
        <v>None</v>
      </c>
    </row>
    <row r="1970" spans="6:8" x14ac:dyDescent="0.2">
      <c r="F1970" s="19" t="str">
        <f t="shared" si="108"/>
        <v>None</v>
      </c>
      <c r="G1970" s="19" t="str">
        <f t="shared" si="109"/>
        <v>None</v>
      </c>
      <c r="H1970" s="19" t="str">
        <f t="shared" si="110"/>
        <v>None</v>
      </c>
    </row>
    <row r="1971" spans="6:8" x14ac:dyDescent="0.2">
      <c r="F1971" s="19" t="str">
        <f t="shared" si="108"/>
        <v>None</v>
      </c>
      <c r="G1971" s="19" t="str">
        <f t="shared" si="109"/>
        <v>None</v>
      </c>
      <c r="H1971" s="19" t="str">
        <f t="shared" si="110"/>
        <v>None</v>
      </c>
    </row>
    <row r="1972" spans="6:8" x14ac:dyDescent="0.2">
      <c r="F1972" s="19" t="str">
        <f t="shared" si="108"/>
        <v>None</v>
      </c>
      <c r="G1972" s="19" t="str">
        <f t="shared" si="109"/>
        <v>None</v>
      </c>
      <c r="H1972" s="19" t="str">
        <f t="shared" si="110"/>
        <v>None</v>
      </c>
    </row>
    <row r="1973" spans="6:8" x14ac:dyDescent="0.2">
      <c r="F1973" s="19" t="str">
        <f t="shared" si="108"/>
        <v>None</v>
      </c>
      <c r="G1973" s="19" t="str">
        <f t="shared" si="109"/>
        <v>None</v>
      </c>
      <c r="H1973" s="19" t="str">
        <f t="shared" si="110"/>
        <v>None</v>
      </c>
    </row>
    <row r="1974" spans="6:8" x14ac:dyDescent="0.2">
      <c r="F1974" s="19" t="str">
        <f t="shared" si="108"/>
        <v>None</v>
      </c>
      <c r="G1974" s="19" t="str">
        <f t="shared" si="109"/>
        <v>None</v>
      </c>
      <c r="H1974" s="19" t="str">
        <f t="shared" si="110"/>
        <v>None</v>
      </c>
    </row>
    <row r="1975" spans="6:8" x14ac:dyDescent="0.2">
      <c r="F1975" s="19" t="str">
        <f t="shared" si="108"/>
        <v>None</v>
      </c>
      <c r="G1975" s="19" t="str">
        <f t="shared" si="109"/>
        <v>None</v>
      </c>
      <c r="H1975" s="19" t="str">
        <f t="shared" si="110"/>
        <v>None</v>
      </c>
    </row>
    <row r="1976" spans="6:8" x14ac:dyDescent="0.2">
      <c r="F1976" s="19" t="str">
        <f t="shared" si="108"/>
        <v>None</v>
      </c>
      <c r="G1976" s="19" t="str">
        <f t="shared" si="109"/>
        <v>None</v>
      </c>
      <c r="H1976" s="19" t="str">
        <f t="shared" si="110"/>
        <v>None</v>
      </c>
    </row>
    <row r="1977" spans="6:8" x14ac:dyDescent="0.2">
      <c r="F1977" s="19" t="str">
        <f t="shared" si="108"/>
        <v>None</v>
      </c>
      <c r="G1977" s="19" t="str">
        <f t="shared" si="109"/>
        <v>None</v>
      </c>
      <c r="H1977" s="19" t="str">
        <f t="shared" si="110"/>
        <v>None</v>
      </c>
    </row>
    <row r="1978" spans="6:8" x14ac:dyDescent="0.2">
      <c r="F1978" s="19" t="str">
        <f t="shared" si="108"/>
        <v>None</v>
      </c>
      <c r="G1978" s="19" t="str">
        <f t="shared" si="109"/>
        <v>None</v>
      </c>
      <c r="H1978" s="19" t="str">
        <f t="shared" si="110"/>
        <v>None</v>
      </c>
    </row>
    <row r="1979" spans="6:8" x14ac:dyDescent="0.2">
      <c r="F1979" s="19" t="str">
        <f t="shared" si="108"/>
        <v>None</v>
      </c>
      <c r="G1979" s="19" t="str">
        <f t="shared" si="109"/>
        <v>None</v>
      </c>
      <c r="H1979" s="19" t="str">
        <f t="shared" si="110"/>
        <v>None</v>
      </c>
    </row>
    <row r="1980" spans="6:8" x14ac:dyDescent="0.2">
      <c r="F1980" s="19" t="str">
        <f t="shared" si="108"/>
        <v>None</v>
      </c>
      <c r="G1980" s="19" t="str">
        <f t="shared" si="109"/>
        <v>None</v>
      </c>
      <c r="H1980" s="19" t="str">
        <f t="shared" si="110"/>
        <v>None</v>
      </c>
    </row>
    <row r="1981" spans="6:8" x14ac:dyDescent="0.2">
      <c r="F1981" s="19" t="str">
        <f t="shared" si="108"/>
        <v>None</v>
      </c>
      <c r="G1981" s="19" t="str">
        <f t="shared" si="109"/>
        <v>None</v>
      </c>
      <c r="H1981" s="19" t="str">
        <f t="shared" si="110"/>
        <v>None</v>
      </c>
    </row>
    <row r="1982" spans="6:8" x14ac:dyDescent="0.2">
      <c r="F1982" s="19" t="str">
        <f t="shared" si="108"/>
        <v>None</v>
      </c>
      <c r="G1982" s="19" t="str">
        <f t="shared" si="109"/>
        <v>None</v>
      </c>
      <c r="H1982" s="19" t="str">
        <f t="shared" si="110"/>
        <v>None</v>
      </c>
    </row>
    <row r="1983" spans="6:8" x14ac:dyDescent="0.2">
      <c r="F1983" s="19" t="str">
        <f t="shared" si="108"/>
        <v>None</v>
      </c>
      <c r="G1983" s="19" t="str">
        <f t="shared" si="109"/>
        <v>None</v>
      </c>
      <c r="H1983" s="19" t="str">
        <f t="shared" si="110"/>
        <v>None</v>
      </c>
    </row>
    <row r="1984" spans="6:8" x14ac:dyDescent="0.2">
      <c r="F1984" s="19" t="str">
        <f t="shared" si="108"/>
        <v>None</v>
      </c>
      <c r="G1984" s="19" t="str">
        <f t="shared" si="109"/>
        <v>None</v>
      </c>
      <c r="H1984" s="19" t="str">
        <f t="shared" si="110"/>
        <v>None</v>
      </c>
    </row>
    <row r="1985" spans="6:8" x14ac:dyDescent="0.2">
      <c r="F1985" s="19" t="str">
        <f t="shared" si="108"/>
        <v>None</v>
      </c>
      <c r="G1985" s="19" t="str">
        <f t="shared" si="109"/>
        <v>None</v>
      </c>
      <c r="H1985" s="19" t="str">
        <f t="shared" si="110"/>
        <v>None</v>
      </c>
    </row>
    <row r="1986" spans="6:8" x14ac:dyDescent="0.2">
      <c r="F1986" s="19" t="str">
        <f t="shared" si="108"/>
        <v>None</v>
      </c>
      <c r="G1986" s="19" t="str">
        <f t="shared" si="109"/>
        <v>None</v>
      </c>
      <c r="H1986" s="19" t="str">
        <f t="shared" si="110"/>
        <v>None</v>
      </c>
    </row>
    <row r="1987" spans="6:8" x14ac:dyDescent="0.2">
      <c r="F1987" s="19" t="str">
        <f t="shared" si="108"/>
        <v>None</v>
      </c>
      <c r="G1987" s="19" t="str">
        <f t="shared" si="109"/>
        <v>None</v>
      </c>
      <c r="H1987" s="19" t="str">
        <f t="shared" si="110"/>
        <v>None</v>
      </c>
    </row>
    <row r="1988" spans="6:8" x14ac:dyDescent="0.2">
      <c r="F1988" s="19" t="str">
        <f t="shared" si="108"/>
        <v>None</v>
      </c>
      <c r="G1988" s="19" t="str">
        <f t="shared" si="109"/>
        <v>None</v>
      </c>
      <c r="H1988" s="19" t="str">
        <f t="shared" si="110"/>
        <v>None</v>
      </c>
    </row>
    <row r="1989" spans="6:8" x14ac:dyDescent="0.2">
      <c r="F1989" s="19" t="str">
        <f t="shared" si="108"/>
        <v>None</v>
      </c>
      <c r="G1989" s="19" t="str">
        <f t="shared" si="109"/>
        <v>None</v>
      </c>
      <c r="H1989" s="19" t="str">
        <f t="shared" si="110"/>
        <v>None</v>
      </c>
    </row>
    <row r="1990" spans="6:8" x14ac:dyDescent="0.2">
      <c r="F1990" s="19" t="str">
        <f t="shared" si="108"/>
        <v>None</v>
      </c>
      <c r="G1990" s="19" t="str">
        <f t="shared" si="109"/>
        <v>None</v>
      </c>
      <c r="H1990" s="19" t="str">
        <f t="shared" si="110"/>
        <v>None</v>
      </c>
    </row>
    <row r="1991" spans="6:8" x14ac:dyDescent="0.2">
      <c r="F1991" s="19" t="str">
        <f t="shared" si="108"/>
        <v>None</v>
      </c>
      <c r="G1991" s="19" t="str">
        <f t="shared" si="109"/>
        <v>None</v>
      </c>
      <c r="H1991" s="19" t="str">
        <f t="shared" si="110"/>
        <v>None</v>
      </c>
    </row>
    <row r="1992" spans="6:8" x14ac:dyDescent="0.2">
      <c r="F1992" s="19" t="str">
        <f t="shared" si="108"/>
        <v>None</v>
      </c>
      <c r="G1992" s="19" t="str">
        <f t="shared" si="109"/>
        <v>None</v>
      </c>
      <c r="H1992" s="19" t="str">
        <f t="shared" si="110"/>
        <v>None</v>
      </c>
    </row>
    <row r="1993" spans="6:8" x14ac:dyDescent="0.2">
      <c r="F1993" s="19" t="str">
        <f t="shared" si="108"/>
        <v>None</v>
      </c>
      <c r="G1993" s="19" t="str">
        <f t="shared" si="109"/>
        <v>None</v>
      </c>
      <c r="H1993" s="19" t="str">
        <f t="shared" si="110"/>
        <v>None</v>
      </c>
    </row>
    <row r="1994" spans="6:8" x14ac:dyDescent="0.2">
      <c r="F1994" s="19" t="str">
        <f t="shared" si="108"/>
        <v>None</v>
      </c>
      <c r="G1994" s="19" t="str">
        <f t="shared" si="109"/>
        <v>None</v>
      </c>
      <c r="H1994" s="19" t="str">
        <f t="shared" si="110"/>
        <v>None</v>
      </c>
    </row>
    <row r="1995" spans="6:8" x14ac:dyDescent="0.2">
      <c r="F1995" s="19" t="str">
        <f t="shared" si="108"/>
        <v>None</v>
      </c>
      <c r="G1995" s="19" t="str">
        <f t="shared" si="109"/>
        <v>None</v>
      </c>
      <c r="H1995" s="19" t="str">
        <f t="shared" si="110"/>
        <v>None</v>
      </c>
    </row>
    <row r="1996" spans="6:8" x14ac:dyDescent="0.2">
      <c r="F1996" s="19" t="str">
        <f t="shared" si="108"/>
        <v>None</v>
      </c>
      <c r="G1996" s="19" t="str">
        <f t="shared" si="109"/>
        <v>None</v>
      </c>
      <c r="H1996" s="19" t="str">
        <f t="shared" si="110"/>
        <v>None</v>
      </c>
    </row>
    <row r="1997" spans="6:8" x14ac:dyDescent="0.2">
      <c r="F1997" s="19" t="str">
        <f t="shared" si="108"/>
        <v>None</v>
      </c>
      <c r="G1997" s="19" t="str">
        <f t="shared" si="109"/>
        <v>None</v>
      </c>
      <c r="H1997" s="19" t="str">
        <f t="shared" si="110"/>
        <v>None</v>
      </c>
    </row>
    <row r="1998" spans="6:8" x14ac:dyDescent="0.2">
      <c r="F1998" s="19" t="str">
        <f t="shared" si="108"/>
        <v>None</v>
      </c>
      <c r="G1998" s="19" t="str">
        <f t="shared" si="109"/>
        <v>None</v>
      </c>
      <c r="H1998" s="19" t="str">
        <f t="shared" si="110"/>
        <v>None</v>
      </c>
    </row>
    <row r="1999" spans="6:8" x14ac:dyDescent="0.2">
      <c r="F1999" s="19" t="str">
        <f t="shared" si="108"/>
        <v>None</v>
      </c>
      <c r="G1999" s="19" t="str">
        <f t="shared" si="109"/>
        <v>None</v>
      </c>
      <c r="H1999" s="19" t="str">
        <f t="shared" si="110"/>
        <v>None</v>
      </c>
    </row>
    <row r="2000" spans="6:8" x14ac:dyDescent="0.2">
      <c r="F2000" s="19" t="str">
        <f t="shared" si="108"/>
        <v>None</v>
      </c>
      <c r="G2000" s="19" t="str">
        <f t="shared" si="109"/>
        <v>None</v>
      </c>
      <c r="H2000" s="19" t="str">
        <f t="shared" si="110"/>
        <v>None</v>
      </c>
    </row>
    <row r="2001" spans="6:8" x14ac:dyDescent="0.2">
      <c r="F2001" s="19" t="str">
        <f t="shared" si="108"/>
        <v>None</v>
      </c>
      <c r="G2001" s="19" t="str">
        <f t="shared" si="109"/>
        <v>None</v>
      </c>
      <c r="H2001" s="19" t="str">
        <f t="shared" si="110"/>
        <v>None</v>
      </c>
    </row>
    <row r="2002" spans="6:8" x14ac:dyDescent="0.2">
      <c r="F2002" s="19" t="str">
        <f t="shared" si="108"/>
        <v>None</v>
      </c>
      <c r="G2002" s="19" t="str">
        <f t="shared" si="109"/>
        <v>None</v>
      </c>
      <c r="H2002" s="19" t="str">
        <f t="shared" si="110"/>
        <v>None</v>
      </c>
    </row>
    <row r="2003" spans="6:8" x14ac:dyDescent="0.2">
      <c r="F2003" s="19" t="str">
        <f t="shared" si="108"/>
        <v>None</v>
      </c>
      <c r="G2003" s="19" t="str">
        <f t="shared" si="109"/>
        <v>None</v>
      </c>
      <c r="H2003" s="19" t="str">
        <f t="shared" si="110"/>
        <v>None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I40"/>
  <sheetViews>
    <sheetView workbookViewId="0"/>
  </sheetViews>
  <sheetFormatPr defaultRowHeight="12.75" x14ac:dyDescent="0.2"/>
  <cols>
    <col min="1" max="1" width="15.85546875" style="2" customWidth="1"/>
    <col min="2" max="2" width="22.7109375" style="2" customWidth="1"/>
    <col min="3" max="4" width="9.140625" style="2"/>
    <col min="5" max="5" width="13.85546875" style="2" customWidth="1"/>
    <col min="6" max="6" width="12.7109375" style="2" customWidth="1"/>
    <col min="7" max="8" width="9.140625" style="2"/>
    <col min="9" max="9" width="15" style="2" customWidth="1"/>
    <col min="10" max="16384" width="9.140625" style="2"/>
  </cols>
  <sheetData>
    <row r="1" spans="1:9" x14ac:dyDescent="0.2">
      <c r="A1" s="2" t="s">
        <v>55</v>
      </c>
      <c r="B1" s="2" t="s">
        <v>76</v>
      </c>
      <c r="D1" s="2" t="s">
        <v>56</v>
      </c>
      <c r="E1" s="2" t="s">
        <v>90</v>
      </c>
      <c r="F1" s="2" t="s">
        <v>91</v>
      </c>
      <c r="H1" s="2" t="s">
        <v>57</v>
      </c>
      <c r="I1" s="2" t="s">
        <v>1</v>
      </c>
    </row>
    <row r="2" spans="1:9" x14ac:dyDescent="0.2">
      <c r="A2" s="14" t="s">
        <v>59</v>
      </c>
      <c r="B2" s="14" t="s">
        <v>77</v>
      </c>
      <c r="D2" s="14">
        <v>1</v>
      </c>
      <c r="E2" s="14" t="s">
        <v>4</v>
      </c>
      <c r="F2" s="14" t="s">
        <v>4</v>
      </c>
      <c r="H2" s="14">
        <v>1</v>
      </c>
      <c r="I2" s="14" t="s">
        <v>4</v>
      </c>
    </row>
    <row r="3" spans="1:9" x14ac:dyDescent="0.2">
      <c r="A3" s="2" t="s">
        <v>60</v>
      </c>
      <c r="B3" s="2" t="s">
        <v>77</v>
      </c>
      <c r="D3" s="2">
        <v>2</v>
      </c>
      <c r="E3" s="2" t="s">
        <v>4</v>
      </c>
      <c r="F3" s="2" t="s">
        <v>4</v>
      </c>
      <c r="H3" s="2">
        <v>2</v>
      </c>
      <c r="I3" s="2" t="s">
        <v>4</v>
      </c>
    </row>
    <row r="4" spans="1:9" x14ac:dyDescent="0.2">
      <c r="A4" s="2" t="s">
        <v>61</v>
      </c>
      <c r="B4" s="2" t="s">
        <v>77</v>
      </c>
      <c r="D4" s="2">
        <v>3</v>
      </c>
      <c r="E4" s="2" t="s">
        <v>41</v>
      </c>
      <c r="F4" s="2" t="s">
        <v>41</v>
      </c>
      <c r="H4" s="2">
        <v>3</v>
      </c>
      <c r="I4" s="2" t="s">
        <v>41</v>
      </c>
    </row>
    <row r="5" spans="1:9" x14ac:dyDescent="0.2">
      <c r="A5" s="2" t="s">
        <v>62</v>
      </c>
      <c r="B5" s="2" t="s">
        <v>78</v>
      </c>
      <c r="D5" s="2">
        <v>4</v>
      </c>
      <c r="E5" s="2" t="s">
        <v>41</v>
      </c>
      <c r="F5" s="2" t="s">
        <v>41</v>
      </c>
      <c r="H5" s="2">
        <v>4</v>
      </c>
      <c r="I5" s="2" t="s">
        <v>41</v>
      </c>
    </row>
    <row r="6" spans="1:9" x14ac:dyDescent="0.2">
      <c r="A6" s="2" t="s">
        <v>63</v>
      </c>
      <c r="B6" s="2" t="s">
        <v>79</v>
      </c>
      <c r="D6" s="2">
        <v>5</v>
      </c>
      <c r="E6" s="2" t="s">
        <v>42</v>
      </c>
      <c r="F6" s="2" t="s">
        <v>42</v>
      </c>
      <c r="H6" s="2">
        <v>5</v>
      </c>
      <c r="I6" s="2" t="s">
        <v>42</v>
      </c>
    </row>
    <row r="7" spans="1:9" x14ac:dyDescent="0.2">
      <c r="A7" s="2" t="s">
        <v>64</v>
      </c>
      <c r="B7" s="2" t="s">
        <v>79</v>
      </c>
      <c r="D7" s="2">
        <v>6</v>
      </c>
      <c r="E7" s="2" t="s">
        <v>42</v>
      </c>
      <c r="F7" s="2" t="s">
        <v>42</v>
      </c>
      <c r="H7" s="2">
        <v>6</v>
      </c>
      <c r="I7" s="2" t="s">
        <v>42</v>
      </c>
    </row>
    <row r="8" spans="1:9" x14ac:dyDescent="0.2">
      <c r="A8" s="2" t="s">
        <v>65</v>
      </c>
      <c r="B8" s="2" t="s">
        <v>78</v>
      </c>
      <c r="D8" s="2">
        <v>7</v>
      </c>
      <c r="E8" s="2" t="s">
        <v>2</v>
      </c>
      <c r="F8" s="2" t="s">
        <v>2</v>
      </c>
      <c r="H8" s="2">
        <v>7</v>
      </c>
      <c r="I8" s="2" t="s">
        <v>2</v>
      </c>
    </row>
    <row r="9" spans="1:9" x14ac:dyDescent="0.2">
      <c r="A9" s="2" t="s">
        <v>66</v>
      </c>
      <c r="B9" s="2" t="s">
        <v>79</v>
      </c>
      <c r="D9" s="2">
        <v>8</v>
      </c>
      <c r="E9" s="2" t="s">
        <v>3</v>
      </c>
      <c r="F9" s="2" t="s">
        <v>3</v>
      </c>
      <c r="H9" s="2">
        <v>8</v>
      </c>
      <c r="I9" s="2" t="s">
        <v>3</v>
      </c>
    </row>
    <row r="10" spans="1:9" x14ac:dyDescent="0.2">
      <c r="A10" s="2" t="s">
        <v>67</v>
      </c>
      <c r="B10" s="2" t="s">
        <v>80</v>
      </c>
      <c r="D10" s="2">
        <v>9</v>
      </c>
      <c r="E10" s="2" t="s">
        <v>5</v>
      </c>
      <c r="F10" s="2" t="s">
        <v>38</v>
      </c>
      <c r="H10" s="2">
        <v>9</v>
      </c>
      <c r="I10" s="2" t="s">
        <v>5</v>
      </c>
    </row>
    <row r="11" spans="1:9" x14ac:dyDescent="0.2">
      <c r="A11" s="2" t="s">
        <v>68</v>
      </c>
      <c r="B11" s="2" t="s">
        <v>80</v>
      </c>
      <c r="D11" s="2">
        <v>10</v>
      </c>
      <c r="E11" s="2" t="s">
        <v>81</v>
      </c>
      <c r="F11" s="2" t="s">
        <v>38</v>
      </c>
      <c r="H11" s="2">
        <v>10</v>
      </c>
      <c r="I11" s="2" t="s">
        <v>43</v>
      </c>
    </row>
    <row r="12" spans="1:9" x14ac:dyDescent="0.2">
      <c r="A12" s="2" t="s">
        <v>69</v>
      </c>
      <c r="B12" s="2" t="s">
        <v>79</v>
      </c>
      <c r="D12" s="2">
        <v>11</v>
      </c>
      <c r="E12" s="2" t="s">
        <v>45</v>
      </c>
      <c r="F12" s="2" t="s">
        <v>38</v>
      </c>
      <c r="H12" s="2">
        <v>11</v>
      </c>
      <c r="I12" s="2" t="s">
        <v>45</v>
      </c>
    </row>
    <row r="13" spans="1:9" x14ac:dyDescent="0.2">
      <c r="A13" s="2" t="s">
        <v>70</v>
      </c>
      <c r="B13" s="2" t="s">
        <v>78</v>
      </c>
      <c r="D13" s="2">
        <v>12</v>
      </c>
      <c r="E13" s="2" t="s">
        <v>82</v>
      </c>
      <c r="F13" s="2" t="s">
        <v>38</v>
      </c>
      <c r="H13" s="2">
        <v>12</v>
      </c>
      <c r="I13" s="2" t="s">
        <v>46</v>
      </c>
    </row>
    <row r="14" spans="1:9" x14ac:dyDescent="0.2">
      <c r="A14" s="2" t="s">
        <v>71</v>
      </c>
      <c r="B14" s="2" t="s">
        <v>83</v>
      </c>
      <c r="D14" s="2">
        <v>13</v>
      </c>
      <c r="E14" s="2" t="s">
        <v>84</v>
      </c>
      <c r="F14" s="2" t="s">
        <v>38</v>
      </c>
      <c r="H14" s="2">
        <v>13</v>
      </c>
      <c r="I14" s="2" t="s">
        <v>47</v>
      </c>
    </row>
    <row r="15" spans="1:9" x14ac:dyDescent="0.2">
      <c r="A15" s="2" t="s">
        <v>72</v>
      </c>
      <c r="B15" s="2" t="s">
        <v>32</v>
      </c>
      <c r="D15" s="2">
        <v>14</v>
      </c>
      <c r="E15" s="2" t="s">
        <v>40</v>
      </c>
      <c r="F15" s="2" t="s">
        <v>39</v>
      </c>
      <c r="H15" s="2">
        <v>14</v>
      </c>
      <c r="I15" s="2" t="s">
        <v>40</v>
      </c>
    </row>
    <row r="16" spans="1:9" x14ac:dyDescent="0.2">
      <c r="A16" s="2" t="s">
        <v>73</v>
      </c>
      <c r="B16" s="2" t="s">
        <v>32</v>
      </c>
      <c r="D16" s="2">
        <v>15</v>
      </c>
      <c r="E16" s="2" t="s">
        <v>85</v>
      </c>
      <c r="F16" s="2" t="s">
        <v>39</v>
      </c>
      <c r="H16" s="2">
        <v>15</v>
      </c>
      <c r="I16" s="2" t="s">
        <v>48</v>
      </c>
    </row>
    <row r="17" spans="1:9" x14ac:dyDescent="0.2">
      <c r="A17" s="2" t="s">
        <v>74</v>
      </c>
      <c r="B17" s="2" t="s">
        <v>32</v>
      </c>
      <c r="D17" s="2">
        <v>16</v>
      </c>
      <c r="E17" s="2" t="s">
        <v>50</v>
      </c>
      <c r="F17" s="2" t="s">
        <v>39</v>
      </c>
      <c r="H17" s="2">
        <v>16</v>
      </c>
      <c r="I17" s="2" t="s">
        <v>50</v>
      </c>
    </row>
    <row r="18" spans="1:9" x14ac:dyDescent="0.2">
      <c r="A18" s="8" t="s">
        <v>75</v>
      </c>
      <c r="B18" s="8" t="s">
        <v>32</v>
      </c>
      <c r="D18" s="2">
        <v>17</v>
      </c>
      <c r="E18" s="2" t="s">
        <v>86</v>
      </c>
      <c r="F18" s="2" t="s">
        <v>39</v>
      </c>
      <c r="H18" s="2">
        <v>17</v>
      </c>
      <c r="I18" s="2" t="s">
        <v>51</v>
      </c>
    </row>
    <row r="19" spans="1:9" x14ac:dyDescent="0.2">
      <c r="D19" s="2">
        <v>18</v>
      </c>
      <c r="E19" s="2" t="s">
        <v>87</v>
      </c>
      <c r="F19" s="2" t="s">
        <v>39</v>
      </c>
      <c r="H19" s="2">
        <v>18</v>
      </c>
      <c r="I19" s="2" t="s">
        <v>52</v>
      </c>
    </row>
    <row r="20" spans="1:9" x14ac:dyDescent="0.2">
      <c r="D20" s="2">
        <v>19</v>
      </c>
      <c r="E20" s="2" t="s">
        <v>6</v>
      </c>
      <c r="F20" s="2" t="s">
        <v>6</v>
      </c>
      <c r="H20" s="2">
        <v>19</v>
      </c>
      <c r="I20" s="2" t="s">
        <v>6</v>
      </c>
    </row>
    <row r="21" spans="1:9" x14ac:dyDescent="0.2">
      <c r="D21" s="2">
        <v>20</v>
      </c>
      <c r="E21" s="2" t="s">
        <v>88</v>
      </c>
      <c r="F21" s="2" t="s">
        <v>88</v>
      </c>
      <c r="H21" s="2">
        <v>20</v>
      </c>
      <c r="I21" s="2" t="s">
        <v>88</v>
      </c>
    </row>
    <row r="22" spans="1:9" x14ac:dyDescent="0.2">
      <c r="D22" s="8">
        <v>21</v>
      </c>
      <c r="E22" s="8" t="s">
        <v>89</v>
      </c>
      <c r="F22" s="8" t="s">
        <v>89</v>
      </c>
      <c r="H22" s="8">
        <v>21</v>
      </c>
      <c r="I22" s="8" t="s">
        <v>89</v>
      </c>
    </row>
    <row r="23" spans="1:9" x14ac:dyDescent="0.2">
      <c r="A23" s="2" t="s">
        <v>229</v>
      </c>
      <c r="B23" s="2" t="s">
        <v>76</v>
      </c>
      <c r="H23" s="2">
        <v>-10</v>
      </c>
      <c r="I23" s="2" t="s">
        <v>44</v>
      </c>
    </row>
    <row r="24" spans="1:9" x14ac:dyDescent="0.2">
      <c r="A24" s="136">
        <v>6</v>
      </c>
      <c r="B24" s="136" t="s">
        <v>230</v>
      </c>
      <c r="H24" s="8">
        <v>-15</v>
      </c>
      <c r="I24" s="8" t="s">
        <v>49</v>
      </c>
    </row>
    <row r="25" spans="1:9" x14ac:dyDescent="0.2">
      <c r="A25" s="137">
        <v>5</v>
      </c>
      <c r="B25" s="137" t="s">
        <v>231</v>
      </c>
    </row>
    <row r="26" spans="1:9" x14ac:dyDescent="0.2">
      <c r="A26" s="137">
        <v>4</v>
      </c>
      <c r="B26" s="137" t="s">
        <v>232</v>
      </c>
    </row>
    <row r="27" spans="1:9" x14ac:dyDescent="0.2">
      <c r="A27" s="137">
        <v>3</v>
      </c>
      <c r="B27" s="137" t="s">
        <v>233</v>
      </c>
    </row>
    <row r="28" spans="1:9" x14ac:dyDescent="0.2">
      <c r="A28" s="137">
        <v>2</v>
      </c>
      <c r="B28" s="137" t="s">
        <v>71</v>
      </c>
    </row>
    <row r="29" spans="1:9" x14ac:dyDescent="0.2">
      <c r="A29" s="137">
        <v>1</v>
      </c>
      <c r="B29" s="137" t="s">
        <v>234</v>
      </c>
    </row>
    <row r="30" spans="1:9" x14ac:dyDescent="0.2">
      <c r="A30" s="138" t="s">
        <v>7</v>
      </c>
      <c r="B30" s="138" t="s">
        <v>7</v>
      </c>
    </row>
    <row r="33" spans="1:2" x14ac:dyDescent="0.2">
      <c r="A33" s="2" t="s">
        <v>235</v>
      </c>
      <c r="B33" s="137" t="s">
        <v>236</v>
      </c>
    </row>
    <row r="34" spans="1:2" x14ac:dyDescent="0.2">
      <c r="A34" s="14" t="s">
        <v>160</v>
      </c>
      <c r="B34" s="14" t="s">
        <v>237</v>
      </c>
    </row>
    <row r="35" spans="1:2" x14ac:dyDescent="0.2">
      <c r="A35" s="2" t="s">
        <v>165</v>
      </c>
      <c r="B35" s="2" t="s">
        <v>238</v>
      </c>
    </row>
    <row r="36" spans="1:2" x14ac:dyDescent="0.2">
      <c r="A36" s="2" t="s">
        <v>168</v>
      </c>
      <c r="B36" s="2" t="s">
        <v>239</v>
      </c>
    </row>
    <row r="37" spans="1:2" x14ac:dyDescent="0.2">
      <c r="A37" s="2" t="s">
        <v>171</v>
      </c>
      <c r="B37" s="2" t="s">
        <v>240</v>
      </c>
    </row>
    <row r="38" spans="1:2" x14ac:dyDescent="0.2">
      <c r="A38" s="2" t="s">
        <v>174</v>
      </c>
      <c r="B38" s="2" t="s">
        <v>241</v>
      </c>
    </row>
    <row r="39" spans="1:2" x14ac:dyDescent="0.2">
      <c r="A39" s="2" t="s">
        <v>177</v>
      </c>
      <c r="B39" s="2" t="s">
        <v>242</v>
      </c>
    </row>
    <row r="40" spans="1:2" x14ac:dyDescent="0.2">
      <c r="A40" s="8" t="s">
        <v>7</v>
      </c>
      <c r="B40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DistrictTripFlows</vt:lpstr>
      <vt:lpstr>Transfers</vt:lpstr>
      <vt:lpstr>FirstTransitMode</vt:lpstr>
      <vt:lpstr>SF_transit</vt:lpstr>
      <vt:lpstr>calibration</vt:lpstr>
      <vt:lpstr>constants</vt:lpstr>
      <vt:lpstr>targets</vt:lpstr>
      <vt:lpstr>OBS_District_Flows</vt:lpstr>
      <vt:lpstr>OBS_Transfers</vt:lpstr>
      <vt:lpstr>modeldata</vt:lpstr>
      <vt:lpstr>model_lookup</vt:lpstr>
      <vt:lpstr>atwork_c_ivt</vt:lpstr>
      <vt:lpstr>atwork_damp</vt:lpstr>
      <vt:lpstr>damp</vt:lpstr>
      <vt:lpstr>damp2</vt:lpstr>
      <vt:lpstr>inddisc_damp</vt:lpstr>
      <vt:lpstr>indmaint_damp</vt:lpstr>
      <vt:lpstr>model_trn_trips</vt:lpstr>
      <vt:lpstr>othdiscr_c_ivt</vt:lpstr>
      <vt:lpstr>othmaint_c_ivt</vt:lpstr>
      <vt:lpstr>school_c_ivt</vt:lpstr>
      <vt:lpstr>school_damp</vt:lpstr>
      <vt:lpstr>simple_purposes</vt:lpstr>
      <vt:lpstr>taxi_share</vt:lpstr>
      <vt:lpstr>tnc_single_share</vt:lpstr>
      <vt:lpstr>tour_modes</vt:lpstr>
      <vt:lpstr>tour_purposes</vt:lpstr>
      <vt:lpstr>trip_modes</vt:lpstr>
      <vt:lpstr>trn_modes</vt:lpstr>
      <vt:lpstr>university_c_ivt</vt:lpstr>
      <vt:lpstr>university_damp</vt:lpstr>
      <vt:lpstr>work_c_ivt</vt:lpstr>
      <vt:lpstr>work_damp</vt:lpstr>
    </vt:vector>
  </TitlesOfParts>
  <Company>MTC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Zorn</dc:creator>
  <cp:lastModifiedBy>Melody Tsao</cp:lastModifiedBy>
  <cp:lastPrinted>2019-01-02T05:30:39Z</cp:lastPrinted>
  <dcterms:created xsi:type="dcterms:W3CDTF">2018-12-04T22:59:19Z</dcterms:created>
  <dcterms:modified xsi:type="dcterms:W3CDTF">2026-10-23T00:14:13Z</dcterms:modified>
</cp:coreProperties>
</file>